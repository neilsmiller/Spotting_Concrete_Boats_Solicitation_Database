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https://usaf.dps.mil/teams/WOOKIE/Shared Documents/General/FY25 MACC Draft Docs/7. Solicitation Docs/3. Revised Sol after BC_20241218/"/>
    </mc:Choice>
  </mc:AlternateContent>
  <xr:revisionPtr revIDLastSave="0" documentId="8_{BA0A8647-C96B-41BA-BD35-04514572538F}" xr6:coauthVersionLast="47" xr6:coauthVersionMax="47" xr10:uidLastSave="{00000000-0000-0000-0000-000000000000}"/>
  <bookViews>
    <workbookView xWindow="-120" yWindow="90" windowWidth="24240" windowHeight="17310" xr2:uid="{399F6DF3-6257-41DF-8840-0C2702EE39E2}"/>
  </bookViews>
  <sheets>
    <sheet name="Instructions" sheetId="85" r:id="rId1"/>
    <sheet name="Summary" sheetId="1" r:id="rId2"/>
    <sheet name="Div1" sheetId="3" r:id="rId3"/>
    <sheet name="Div2" sheetId="4" r:id="rId4"/>
    <sheet name="Div3" sheetId="5" r:id="rId5"/>
    <sheet name="Div4" sheetId="6" r:id="rId6"/>
    <sheet name="Div5" sheetId="43" r:id="rId7"/>
    <sheet name="Div6" sheetId="44" r:id="rId8"/>
    <sheet name="Div7" sheetId="45" r:id="rId9"/>
    <sheet name="Div8" sheetId="46" r:id="rId10"/>
    <sheet name="Div9" sheetId="47" r:id="rId11"/>
    <sheet name="Div10" sheetId="48" r:id="rId12"/>
    <sheet name="Div11" sheetId="49" r:id="rId13"/>
    <sheet name="Div12" sheetId="50" r:id="rId14"/>
    <sheet name="Div13" sheetId="51" r:id="rId15"/>
    <sheet name="Div14" sheetId="52" r:id="rId16"/>
    <sheet name="Div15" sheetId="53" r:id="rId17"/>
    <sheet name="Div16" sheetId="54" r:id="rId18"/>
    <sheet name="Div20" sheetId="55" r:id="rId19"/>
    <sheet name="Div21" sheetId="56" r:id="rId20"/>
    <sheet name="Div22" sheetId="57" r:id="rId21"/>
    <sheet name="Div23" sheetId="58" r:id="rId22"/>
    <sheet name="Div24" sheetId="59" r:id="rId23"/>
    <sheet name="Div25" sheetId="60" r:id="rId24"/>
    <sheet name="Div26" sheetId="61" r:id="rId25"/>
    <sheet name="Div27" sheetId="62" r:id="rId26"/>
    <sheet name="Div28" sheetId="63" r:id="rId27"/>
    <sheet name="Div29" sheetId="64" r:id="rId28"/>
    <sheet name="Div30" sheetId="65" r:id="rId29"/>
    <sheet name="Div31" sheetId="66" r:id="rId30"/>
    <sheet name="Div32" sheetId="67" r:id="rId31"/>
    <sheet name="Div33" sheetId="68" r:id="rId32"/>
    <sheet name="Div34" sheetId="69" r:id="rId33"/>
    <sheet name="Div35" sheetId="70" r:id="rId34"/>
    <sheet name="Div36" sheetId="71" r:id="rId35"/>
    <sheet name="Div37" sheetId="72" r:id="rId36"/>
    <sheet name="Div38" sheetId="73" r:id="rId37"/>
    <sheet name="Div39" sheetId="74" r:id="rId38"/>
    <sheet name="Div40" sheetId="75" r:id="rId39"/>
    <sheet name="Div41" sheetId="76" r:id="rId40"/>
    <sheet name="Div42" sheetId="77" r:id="rId41"/>
    <sheet name="Div43" sheetId="78" r:id="rId42"/>
    <sheet name="Div44" sheetId="79" r:id="rId43"/>
    <sheet name="Div45" sheetId="80" r:id="rId44"/>
    <sheet name="Div46" sheetId="81" r:id="rId45"/>
    <sheet name="Div47" sheetId="82" r:id="rId46"/>
    <sheet name="Div48" sheetId="83" r:id="rId47"/>
    <sheet name="Div49" sheetId="84" r:id="rId48"/>
  </sheets>
  <definedNames>
    <definedName name="_xlnm.Print_Area" localSheetId="0">Instructions!$A$2:$A$8</definedName>
    <definedName name="_xlnm.Print_Area" localSheetId="1">Summary!$A$1:$G$68</definedName>
    <definedName name="_xlnm.Print_Titles" localSheetId="2">'Div1'!$1:$12</definedName>
    <definedName name="_xlnm.Print_Titles" localSheetId="11">'Div10'!$1:$12</definedName>
    <definedName name="_xlnm.Print_Titles" localSheetId="12">'Div11'!$1:$12</definedName>
    <definedName name="_xlnm.Print_Titles" localSheetId="13">'Div12'!$1:$12</definedName>
    <definedName name="_xlnm.Print_Titles" localSheetId="14">'Div13'!$1:$12</definedName>
    <definedName name="_xlnm.Print_Titles" localSheetId="15">'Div14'!$1:$12</definedName>
    <definedName name="_xlnm.Print_Titles" localSheetId="16">'Div15'!$1:$12</definedName>
    <definedName name="_xlnm.Print_Titles" localSheetId="17">'Div16'!$1:$12</definedName>
    <definedName name="_xlnm.Print_Titles" localSheetId="3">'Div2'!$1:$12</definedName>
    <definedName name="_xlnm.Print_Titles" localSheetId="18">'Div20'!$1:$12</definedName>
    <definedName name="_xlnm.Print_Titles" localSheetId="19">'Div21'!$1:$12</definedName>
    <definedName name="_xlnm.Print_Titles" localSheetId="20">'Div22'!$1:$12</definedName>
    <definedName name="_xlnm.Print_Titles" localSheetId="21">'Div23'!$1:$12</definedName>
    <definedName name="_xlnm.Print_Titles" localSheetId="22">'Div24'!$1:$12</definedName>
    <definedName name="_xlnm.Print_Titles" localSheetId="23">'Div25'!$1:$12</definedName>
    <definedName name="_xlnm.Print_Titles" localSheetId="24">'Div26'!$1:$12</definedName>
    <definedName name="_xlnm.Print_Titles" localSheetId="25">'Div27'!$1:$12</definedName>
    <definedName name="_xlnm.Print_Titles" localSheetId="26">'Div28'!$1:$12</definedName>
    <definedName name="_xlnm.Print_Titles" localSheetId="27">'Div29'!$1:$12</definedName>
    <definedName name="_xlnm.Print_Titles" localSheetId="4">'Div3'!$1:$12</definedName>
    <definedName name="_xlnm.Print_Titles" localSheetId="28">'Div30'!$1:$12</definedName>
    <definedName name="_xlnm.Print_Titles" localSheetId="29">'Div31'!$1:$12</definedName>
    <definedName name="_xlnm.Print_Titles" localSheetId="30">'Div32'!$1:$12</definedName>
    <definedName name="_xlnm.Print_Titles" localSheetId="31">'Div33'!$1:$12</definedName>
    <definedName name="_xlnm.Print_Titles" localSheetId="32">'Div34'!$1:$12</definedName>
    <definedName name="_xlnm.Print_Titles" localSheetId="33">'Div35'!$1:$12</definedName>
    <definedName name="_xlnm.Print_Titles" localSheetId="34">'Div36'!$1:$12</definedName>
    <definedName name="_xlnm.Print_Titles" localSheetId="35">'Div37'!$1:$12</definedName>
    <definedName name="_xlnm.Print_Titles" localSheetId="36">'Div38'!$1:$12</definedName>
    <definedName name="_xlnm.Print_Titles" localSheetId="37">'Div39'!$1:$12</definedName>
    <definedName name="_xlnm.Print_Titles" localSheetId="5">'Div4'!$1:$12</definedName>
    <definedName name="_xlnm.Print_Titles" localSheetId="38">'Div40'!$1:$12</definedName>
    <definedName name="_xlnm.Print_Titles" localSheetId="39">'Div41'!$1:$12</definedName>
    <definedName name="_xlnm.Print_Titles" localSheetId="40">'Div42'!$1:$12</definedName>
    <definedName name="_xlnm.Print_Titles" localSheetId="41">'Div43'!$1:$12</definedName>
    <definedName name="_xlnm.Print_Titles" localSheetId="42">'Div44'!$1:$12</definedName>
    <definedName name="_xlnm.Print_Titles" localSheetId="43">'Div45'!$1:$12</definedName>
    <definedName name="_xlnm.Print_Titles" localSheetId="44">'Div46'!$1:$12</definedName>
    <definedName name="_xlnm.Print_Titles" localSheetId="45">'Div47'!$1:$12</definedName>
    <definedName name="_xlnm.Print_Titles" localSheetId="46">'Div48'!$1:$12</definedName>
    <definedName name="_xlnm.Print_Titles" localSheetId="47">'Div49'!$1:$12</definedName>
    <definedName name="_xlnm.Print_Titles" localSheetId="6">'Div5'!$1:$12</definedName>
    <definedName name="_xlnm.Print_Titles" localSheetId="7">'Div6'!$1:$12</definedName>
    <definedName name="_xlnm.Print_Titles" localSheetId="8">'Div7'!$1:$12</definedName>
    <definedName name="_xlnm.Print_Titles" localSheetId="9">'Div8'!$1:$12</definedName>
    <definedName name="_xlnm.Print_Titles" localSheetId="10">'Div9'!$1:$12</definedName>
    <definedName name="_xlnm.Print_Titles" localSheetId="1">Summary!$1:$12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3" l="1"/>
  <c r="H32" i="3"/>
  <c r="G32" i="3"/>
  <c r="A8" i="60"/>
  <c r="A8" i="59"/>
  <c r="C8" i="84"/>
  <c r="C8" i="83"/>
  <c r="C8" i="82"/>
  <c r="C8" i="81"/>
  <c r="C8" i="80"/>
  <c r="C8" i="79"/>
  <c r="C8" i="78"/>
  <c r="C8" i="77"/>
  <c r="C8" i="76"/>
  <c r="C8" i="75"/>
  <c r="C8" i="74"/>
  <c r="C8" i="73"/>
  <c r="C8" i="72"/>
  <c r="C8" i="71"/>
  <c r="C8" i="70"/>
  <c r="A46" i="70"/>
  <c r="C8" i="69"/>
  <c r="C8" i="68"/>
  <c r="C8" i="67"/>
  <c r="C8" i="66"/>
  <c r="C8" i="65"/>
  <c r="C8" i="64"/>
  <c r="C8" i="63"/>
  <c r="C8" i="62"/>
  <c r="C8" i="61"/>
  <c r="C8" i="60"/>
  <c r="C8" i="59"/>
  <c r="C8" i="58"/>
  <c r="C8" i="57"/>
  <c r="C8" i="56"/>
  <c r="C8" i="55"/>
  <c r="C8" i="54"/>
  <c r="C8" i="53"/>
  <c r="C8" i="4"/>
  <c r="H40" i="80"/>
  <c r="H40" i="83"/>
  <c r="G40" i="4"/>
  <c r="G40" i="5"/>
  <c r="G40" i="6"/>
  <c r="G40" i="43"/>
  <c r="G40" i="44"/>
  <c r="G40" i="45"/>
  <c r="G40" i="46"/>
  <c r="G40" i="47"/>
  <c r="H40" i="47"/>
  <c r="G40" i="48"/>
  <c r="G40" i="49"/>
  <c r="G40" i="50"/>
  <c r="G40" i="51"/>
  <c r="G40" i="52"/>
  <c r="H40" i="52"/>
  <c r="G40" i="53"/>
  <c r="G40" i="54"/>
  <c r="G40" i="55"/>
  <c r="H40" i="55"/>
  <c r="G40" i="56"/>
  <c r="G40" i="57"/>
  <c r="H40" i="57"/>
  <c r="G40" i="58"/>
  <c r="G40" i="59"/>
  <c r="G40" i="60"/>
  <c r="G40" i="61"/>
  <c r="G40" i="62"/>
  <c r="G40" i="63"/>
  <c r="G40" i="64"/>
  <c r="G40" i="65"/>
  <c r="G40" i="66"/>
  <c r="G40" i="67"/>
  <c r="H40" i="67"/>
  <c r="G40" i="68"/>
  <c r="H40" i="68"/>
  <c r="G40" i="69"/>
  <c r="G40" i="70"/>
  <c r="G40" i="71"/>
  <c r="G40" i="72"/>
  <c r="G40" i="73"/>
  <c r="G40" i="74"/>
  <c r="G40" i="75"/>
  <c r="G40" i="76"/>
  <c r="G40" i="77"/>
  <c r="G40" i="78"/>
  <c r="G40" i="79"/>
  <c r="G40" i="80"/>
  <c r="G40" i="81"/>
  <c r="G40" i="82"/>
  <c r="G40" i="83"/>
  <c r="G40" i="84"/>
  <c r="G40" i="3"/>
  <c r="E40" i="4"/>
  <c r="E40" i="5"/>
  <c r="H40" i="5"/>
  <c r="E40" i="6"/>
  <c r="H40" i="6"/>
  <c r="E40" i="43"/>
  <c r="H40" i="43"/>
  <c r="E40" i="44"/>
  <c r="H40" i="44"/>
  <c r="E40" i="45"/>
  <c r="H40" i="45"/>
  <c r="E40" i="46"/>
  <c r="H40" i="46"/>
  <c r="E40" i="47"/>
  <c r="E40" i="48"/>
  <c r="H40" i="48"/>
  <c r="E40" i="49"/>
  <c r="H40" i="49"/>
  <c r="E40" i="50"/>
  <c r="H40" i="50"/>
  <c r="E40" i="51"/>
  <c r="H40" i="51"/>
  <c r="E40" i="52"/>
  <c r="E40" i="53"/>
  <c r="H40" i="53"/>
  <c r="E40" i="54"/>
  <c r="H40" i="54"/>
  <c r="E40" i="55"/>
  <c r="E40" i="56"/>
  <c r="H40" i="56"/>
  <c r="E40" i="57"/>
  <c r="E40" i="58"/>
  <c r="E40" i="59"/>
  <c r="H40" i="59"/>
  <c r="E40" i="60"/>
  <c r="H40" i="60"/>
  <c r="E40" i="61"/>
  <c r="H40" i="61"/>
  <c r="E40" i="62"/>
  <c r="H40" i="62"/>
  <c r="E40" i="63"/>
  <c r="H40" i="63"/>
  <c r="E40" i="64"/>
  <c r="H40" i="64"/>
  <c r="E40" i="65"/>
  <c r="H40" i="65"/>
  <c r="E40" i="66"/>
  <c r="H40" i="66"/>
  <c r="E40" i="67"/>
  <c r="E40" i="68"/>
  <c r="E40" i="69"/>
  <c r="H40" i="69"/>
  <c r="E40" i="70"/>
  <c r="H40" i="70"/>
  <c r="E40" i="71"/>
  <c r="H40" i="71"/>
  <c r="E40" i="72"/>
  <c r="H40" i="72"/>
  <c r="E40" i="73"/>
  <c r="H40" i="73"/>
  <c r="E40" i="74"/>
  <c r="H40" i="74"/>
  <c r="E40" i="75"/>
  <c r="H40" i="75"/>
  <c r="E40" i="76"/>
  <c r="H40" i="76"/>
  <c r="E40" i="77"/>
  <c r="H40" i="77"/>
  <c r="E40" i="78"/>
  <c r="H40" i="78"/>
  <c r="E40" i="79"/>
  <c r="H40" i="79"/>
  <c r="E40" i="80"/>
  <c r="E40" i="81"/>
  <c r="H40" i="81"/>
  <c r="E40" i="82"/>
  <c r="H40" i="82"/>
  <c r="E40" i="83"/>
  <c r="E40" i="84"/>
  <c r="H40" i="84"/>
  <c r="E40" i="3"/>
  <c r="G44" i="74"/>
  <c r="G45" i="4"/>
  <c r="G45" i="5"/>
  <c r="G45" i="6"/>
  <c r="G45" i="43"/>
  <c r="G45" i="44"/>
  <c r="G45" i="45"/>
  <c r="G45" i="46"/>
  <c r="G45" i="47"/>
  <c r="G45" i="48"/>
  <c r="G45" i="49"/>
  <c r="G45" i="50"/>
  <c r="G45" i="51"/>
  <c r="G45" i="52"/>
  <c r="G45" i="53"/>
  <c r="G45" i="54"/>
  <c r="G45" i="55"/>
  <c r="G45" i="56"/>
  <c r="G45" i="57"/>
  <c r="G45" i="58"/>
  <c r="G45" i="59"/>
  <c r="G45" i="60"/>
  <c r="G45" i="61"/>
  <c r="G45" i="62"/>
  <c r="G45" i="63"/>
  <c r="G45" i="64"/>
  <c r="G45" i="65"/>
  <c r="G45" i="66"/>
  <c r="G45" i="67"/>
  <c r="G45" i="68"/>
  <c r="G45" i="69"/>
  <c r="G45" i="70"/>
  <c r="G45" i="71"/>
  <c r="G45" i="72"/>
  <c r="G45" i="73"/>
  <c r="G45" i="74"/>
  <c r="G45" i="75"/>
  <c r="G45" i="76"/>
  <c r="G45" i="77"/>
  <c r="G45" i="78"/>
  <c r="G45" i="79"/>
  <c r="G45" i="80"/>
  <c r="G45" i="81"/>
  <c r="G45" i="82"/>
  <c r="G45" i="83"/>
  <c r="G45" i="84"/>
  <c r="G44" i="4"/>
  <c r="G44" i="6"/>
  <c r="G44" i="43"/>
  <c r="G44" i="44"/>
  <c r="G44" i="45"/>
  <c r="G44" i="46"/>
  <c r="G44" i="47"/>
  <c r="G44" i="48"/>
  <c r="G44" i="49"/>
  <c r="G44" i="50"/>
  <c r="G44" i="51"/>
  <c r="G44" i="52"/>
  <c r="G44" i="53"/>
  <c r="G44" i="54"/>
  <c r="G44" i="55"/>
  <c r="G44" i="56"/>
  <c r="G44" i="57"/>
  <c r="G44" i="58"/>
  <c r="G44" i="59"/>
  <c r="G44" i="60"/>
  <c r="G44" i="61"/>
  <c r="G44" i="62"/>
  <c r="G44" i="63"/>
  <c r="G44" i="64"/>
  <c r="G44" i="65"/>
  <c r="G44" i="66"/>
  <c r="G44" i="67"/>
  <c r="G44" i="68"/>
  <c r="G44" i="69"/>
  <c r="G44" i="70"/>
  <c r="G44" i="71"/>
  <c r="G44" i="72"/>
  <c r="G44" i="73"/>
  <c r="G44" i="75"/>
  <c r="G44" i="76"/>
  <c r="G44" i="77"/>
  <c r="G44" i="78"/>
  <c r="G44" i="79"/>
  <c r="G44" i="80"/>
  <c r="G44" i="81"/>
  <c r="G44" i="82"/>
  <c r="G44" i="83"/>
  <c r="G44" i="84"/>
  <c r="G43" i="4"/>
  <c r="G43" i="6"/>
  <c r="G43" i="43"/>
  <c r="G43" i="44"/>
  <c r="G43" i="45"/>
  <c r="G43" i="46"/>
  <c r="G43" i="47"/>
  <c r="G43" i="48"/>
  <c r="G43" i="49"/>
  <c r="G43" i="50"/>
  <c r="G43" i="51"/>
  <c r="G43" i="52"/>
  <c r="G43" i="53"/>
  <c r="G43" i="54"/>
  <c r="G43" i="55"/>
  <c r="G43" i="56"/>
  <c r="G43" i="57"/>
  <c r="G43" i="58"/>
  <c r="G43" i="59"/>
  <c r="G43" i="60"/>
  <c r="G43" i="61"/>
  <c r="G43" i="62"/>
  <c r="G43" i="63"/>
  <c r="G43" i="64"/>
  <c r="G43" i="65"/>
  <c r="G43" i="66"/>
  <c r="G43" i="67"/>
  <c r="G43" i="68"/>
  <c r="G43" i="69"/>
  <c r="G43" i="70"/>
  <c r="G43" i="71"/>
  <c r="G43" i="72"/>
  <c r="G43" i="73"/>
  <c r="G43" i="74"/>
  <c r="G43" i="75"/>
  <c r="G43" i="76"/>
  <c r="G43" i="77"/>
  <c r="G43" i="78"/>
  <c r="G43" i="79"/>
  <c r="G43" i="80"/>
  <c r="G43" i="81"/>
  <c r="G43" i="82"/>
  <c r="G43" i="83"/>
  <c r="G43" i="84"/>
  <c r="G33" i="81"/>
  <c r="E33" i="81"/>
  <c r="H33" i="81"/>
  <c r="G36" i="80"/>
  <c r="E36" i="80"/>
  <c r="H36" i="80"/>
  <c r="G33" i="79"/>
  <c r="E33" i="79"/>
  <c r="G31" i="76"/>
  <c r="E31" i="76"/>
  <c r="H31" i="76"/>
  <c r="G31" i="75"/>
  <c r="E31" i="75"/>
  <c r="H31" i="75"/>
  <c r="G36" i="74"/>
  <c r="H36" i="74"/>
  <c r="E36" i="74"/>
  <c r="G33" i="68"/>
  <c r="E33" i="68"/>
  <c r="G30" i="67"/>
  <c r="E30" i="67"/>
  <c r="H30" i="67"/>
  <c r="G31" i="66"/>
  <c r="H31" i="66"/>
  <c r="E31" i="66"/>
  <c r="H30" i="63"/>
  <c r="G30" i="63"/>
  <c r="E30" i="63"/>
  <c r="G32" i="62"/>
  <c r="E32" i="62"/>
  <c r="G34" i="61"/>
  <c r="E34" i="61"/>
  <c r="H34" i="61"/>
  <c r="G33" i="56"/>
  <c r="E33" i="56"/>
  <c r="H33" i="56"/>
  <c r="G32" i="55"/>
  <c r="E32" i="55"/>
  <c r="H32" i="55"/>
  <c r="G33" i="54"/>
  <c r="E33" i="54"/>
  <c r="E34" i="51"/>
  <c r="E35" i="51"/>
  <c r="G35" i="50"/>
  <c r="H35" i="50"/>
  <c r="E35" i="50"/>
  <c r="G34" i="49"/>
  <c r="E34" i="49"/>
  <c r="G34" i="46"/>
  <c r="E34" i="46"/>
  <c r="H34" i="46"/>
  <c r="G31" i="45"/>
  <c r="E31" i="45"/>
  <c r="H31" i="45"/>
  <c r="G34" i="44"/>
  <c r="E34" i="44"/>
  <c r="H34" i="44"/>
  <c r="D55" i="1"/>
  <c r="D48" i="1"/>
  <c r="D29" i="1"/>
  <c r="D28" i="1"/>
  <c r="D2" i="4"/>
  <c r="D2" i="5"/>
  <c r="D2" i="6"/>
  <c r="D2" i="43"/>
  <c r="D2" i="44"/>
  <c r="D2" i="45"/>
  <c r="D2" i="46"/>
  <c r="D2" i="47"/>
  <c r="D2" i="48"/>
  <c r="D2" i="49"/>
  <c r="D2" i="50"/>
  <c r="D2" i="51"/>
  <c r="D2" i="52"/>
  <c r="D2" i="53"/>
  <c r="D2" i="54"/>
  <c r="D2" i="55"/>
  <c r="D2" i="56"/>
  <c r="D2" i="57"/>
  <c r="D2" i="58"/>
  <c r="D2" i="59"/>
  <c r="D2" i="60"/>
  <c r="D2" i="61"/>
  <c r="D2" i="62"/>
  <c r="D2" i="63"/>
  <c r="D2" i="64"/>
  <c r="D2" i="65"/>
  <c r="D2" i="66"/>
  <c r="D2" i="67"/>
  <c r="D2" i="68"/>
  <c r="D2" i="69"/>
  <c r="D2" i="70"/>
  <c r="D2" i="71"/>
  <c r="D2" i="72"/>
  <c r="D2" i="73"/>
  <c r="D2" i="74"/>
  <c r="D2" i="75"/>
  <c r="D2" i="76"/>
  <c r="D2" i="77"/>
  <c r="D2" i="78"/>
  <c r="D2" i="79"/>
  <c r="D2" i="80"/>
  <c r="D2" i="81"/>
  <c r="D2" i="82"/>
  <c r="D2" i="83"/>
  <c r="D2" i="84"/>
  <c r="D2" i="3"/>
  <c r="C8" i="52"/>
  <c r="C8" i="48"/>
  <c r="C8" i="47"/>
  <c r="C8" i="43"/>
  <c r="A8" i="4"/>
  <c r="A8" i="5"/>
  <c r="A8" i="6"/>
  <c r="A8" i="43"/>
  <c r="A8" i="44"/>
  <c r="A8" i="45"/>
  <c r="A8" i="46"/>
  <c r="A8" i="47"/>
  <c r="A8" i="48"/>
  <c r="A8" i="49"/>
  <c r="A8" i="50"/>
  <c r="A8" i="51"/>
  <c r="A8" i="52"/>
  <c r="A8" i="53"/>
  <c r="A8" i="54"/>
  <c r="A8" i="55"/>
  <c r="A8" i="56"/>
  <c r="A8" i="57"/>
  <c r="A8" i="58"/>
  <c r="A8" i="61"/>
  <c r="A8" i="62"/>
  <c r="A8" i="63"/>
  <c r="A8" i="64"/>
  <c r="A8" i="65"/>
  <c r="A8" i="66"/>
  <c r="A8" i="67"/>
  <c r="A8" i="68"/>
  <c r="A8" i="69"/>
  <c r="A8" i="70"/>
  <c r="A8" i="71"/>
  <c r="A8" i="72"/>
  <c r="A8" i="73"/>
  <c r="A8" i="74"/>
  <c r="A8" i="75"/>
  <c r="A8" i="76"/>
  <c r="A8" i="77"/>
  <c r="A8" i="78"/>
  <c r="A8" i="79"/>
  <c r="A8" i="80"/>
  <c r="A8" i="81"/>
  <c r="A8" i="82"/>
  <c r="A8" i="83"/>
  <c r="A8" i="84"/>
  <c r="A8" i="3"/>
  <c r="C8" i="5"/>
  <c r="C8" i="6"/>
  <c r="C8" i="44"/>
  <c r="C8" i="45"/>
  <c r="C8" i="46"/>
  <c r="C8" i="49"/>
  <c r="C8" i="50"/>
  <c r="C8" i="51"/>
  <c r="C8" i="3"/>
  <c r="A4" i="4"/>
  <c r="A4" i="5"/>
  <c r="A4" i="6"/>
  <c r="A4" i="43"/>
  <c r="A4" i="44"/>
  <c r="A4" i="45"/>
  <c r="A4" i="46"/>
  <c r="A4" i="47"/>
  <c r="A4" i="48"/>
  <c r="A4" i="49"/>
  <c r="A4" i="50"/>
  <c r="A4" i="51"/>
  <c r="A4" i="52"/>
  <c r="A4" i="53"/>
  <c r="A4" i="54"/>
  <c r="A4" i="55"/>
  <c r="A4" i="56"/>
  <c r="A4" i="57"/>
  <c r="A4" i="58"/>
  <c r="A4" i="59"/>
  <c r="A4" i="60"/>
  <c r="A4" i="61"/>
  <c r="A4" i="62"/>
  <c r="A4" i="63"/>
  <c r="A4" i="64"/>
  <c r="A4" i="65"/>
  <c r="A4" i="66"/>
  <c r="A4" i="67"/>
  <c r="A4" i="68"/>
  <c r="A4" i="69"/>
  <c r="A4" i="70"/>
  <c r="A4" i="71"/>
  <c r="A4" i="72"/>
  <c r="A4" i="73"/>
  <c r="A4" i="74"/>
  <c r="A4" i="75"/>
  <c r="A4" i="76"/>
  <c r="A4" i="77"/>
  <c r="A4" i="78"/>
  <c r="A4" i="79"/>
  <c r="A4" i="80"/>
  <c r="A4" i="81"/>
  <c r="A4" i="82"/>
  <c r="A4" i="83"/>
  <c r="A4" i="84"/>
  <c r="A4" i="3"/>
  <c r="G19" i="5"/>
  <c r="E19" i="5"/>
  <c r="G27" i="4"/>
  <c r="G26" i="4"/>
  <c r="E27" i="4"/>
  <c r="C67" i="1"/>
  <c r="C65" i="1"/>
  <c r="C63" i="1"/>
  <c r="A13" i="53"/>
  <c r="A13" i="84"/>
  <c r="A13" i="83"/>
  <c r="A13" i="82"/>
  <c r="A13" i="81"/>
  <c r="A13" i="80"/>
  <c r="A13" i="79"/>
  <c r="A13" i="78"/>
  <c r="A13" i="77"/>
  <c r="A13" i="76"/>
  <c r="A13" i="75"/>
  <c r="A13" i="74"/>
  <c r="A13" i="73"/>
  <c r="A13" i="72"/>
  <c r="A13" i="71"/>
  <c r="G39" i="84"/>
  <c r="E39" i="84"/>
  <c r="G38" i="84"/>
  <c r="E38" i="84"/>
  <c r="H38" i="84"/>
  <c r="G37" i="84"/>
  <c r="E37" i="84"/>
  <c r="H37" i="84"/>
  <c r="G36" i="84"/>
  <c r="E36" i="84"/>
  <c r="G35" i="84"/>
  <c r="E35" i="84"/>
  <c r="G34" i="84"/>
  <c r="E34" i="84"/>
  <c r="G33" i="84"/>
  <c r="E33" i="84"/>
  <c r="H33" i="84"/>
  <c r="G32" i="84"/>
  <c r="E32" i="84"/>
  <c r="H32" i="84"/>
  <c r="G31" i="84"/>
  <c r="H31" i="84"/>
  <c r="E31" i="84"/>
  <c r="G30" i="84"/>
  <c r="E30" i="84"/>
  <c r="H30" i="84"/>
  <c r="G29" i="84"/>
  <c r="H29" i="84"/>
  <c r="E29" i="84"/>
  <c r="G28" i="84"/>
  <c r="E28" i="84"/>
  <c r="H28" i="84"/>
  <c r="G27" i="84"/>
  <c r="E27" i="84"/>
  <c r="G26" i="84"/>
  <c r="E26" i="84"/>
  <c r="H26" i="84"/>
  <c r="G25" i="84"/>
  <c r="E25" i="84"/>
  <c r="H25" i="84"/>
  <c r="G24" i="84"/>
  <c r="E24" i="84"/>
  <c r="H24" i="84"/>
  <c r="G23" i="84"/>
  <c r="E23" i="84"/>
  <c r="G22" i="84"/>
  <c r="E22" i="84"/>
  <c r="H22" i="84"/>
  <c r="G21" i="84"/>
  <c r="E21" i="84"/>
  <c r="H21" i="84"/>
  <c r="G20" i="84"/>
  <c r="E20" i="84"/>
  <c r="G19" i="84"/>
  <c r="E19" i="84"/>
  <c r="H19" i="84"/>
  <c r="G18" i="84"/>
  <c r="H18" i="84"/>
  <c r="E18" i="84"/>
  <c r="G17" i="84"/>
  <c r="E17" i="84"/>
  <c r="G16" i="84"/>
  <c r="E16" i="84"/>
  <c r="G15" i="84"/>
  <c r="H15" i="84"/>
  <c r="E15" i="84"/>
  <c r="G14" i="84"/>
  <c r="E14" i="84"/>
  <c r="H14" i="84"/>
  <c r="G39" i="83"/>
  <c r="H39" i="83"/>
  <c r="E39" i="83"/>
  <c r="G38" i="83"/>
  <c r="E38" i="83"/>
  <c r="G37" i="83"/>
  <c r="E37" i="83"/>
  <c r="H37" i="83"/>
  <c r="G36" i="83"/>
  <c r="E36" i="83"/>
  <c r="H36" i="83"/>
  <c r="G35" i="83"/>
  <c r="E35" i="83"/>
  <c r="G34" i="83"/>
  <c r="E34" i="83"/>
  <c r="G33" i="83"/>
  <c r="E33" i="83"/>
  <c r="H33" i="83"/>
  <c r="G32" i="83"/>
  <c r="E32" i="83"/>
  <c r="G31" i="83"/>
  <c r="E31" i="83"/>
  <c r="H31" i="83"/>
  <c r="G30" i="83"/>
  <c r="E30" i="83"/>
  <c r="G29" i="83"/>
  <c r="E29" i="83"/>
  <c r="G28" i="83"/>
  <c r="E28" i="83"/>
  <c r="H28" i="83"/>
  <c r="G27" i="83"/>
  <c r="E27" i="83"/>
  <c r="H27" i="83"/>
  <c r="G26" i="83"/>
  <c r="E26" i="83"/>
  <c r="G25" i="83"/>
  <c r="E25" i="83"/>
  <c r="G24" i="83"/>
  <c r="E24" i="83"/>
  <c r="H24" i="83"/>
  <c r="G23" i="83"/>
  <c r="E23" i="83"/>
  <c r="G22" i="83"/>
  <c r="E22" i="83"/>
  <c r="G21" i="83"/>
  <c r="E21" i="83"/>
  <c r="G20" i="83"/>
  <c r="H20" i="83"/>
  <c r="E20" i="83"/>
  <c r="G19" i="83"/>
  <c r="E19" i="83"/>
  <c r="H19" i="83"/>
  <c r="G18" i="83"/>
  <c r="E18" i="83"/>
  <c r="H18" i="83"/>
  <c r="G17" i="83"/>
  <c r="E17" i="83"/>
  <c r="H17" i="83"/>
  <c r="G16" i="83"/>
  <c r="H16" i="83"/>
  <c r="E16" i="83"/>
  <c r="G15" i="83"/>
  <c r="E15" i="83"/>
  <c r="G14" i="83"/>
  <c r="E14" i="83"/>
  <c r="G39" i="82"/>
  <c r="E39" i="82"/>
  <c r="G38" i="82"/>
  <c r="E38" i="82"/>
  <c r="G37" i="82"/>
  <c r="E37" i="82"/>
  <c r="G36" i="82"/>
  <c r="H36" i="82"/>
  <c r="E36" i="82"/>
  <c r="G35" i="82"/>
  <c r="E35" i="82"/>
  <c r="H35" i="82"/>
  <c r="G34" i="82"/>
  <c r="E34" i="82"/>
  <c r="H34" i="82"/>
  <c r="G33" i="82"/>
  <c r="E33" i="82"/>
  <c r="G32" i="82"/>
  <c r="E32" i="82"/>
  <c r="H32" i="82"/>
  <c r="G31" i="82"/>
  <c r="E31" i="82"/>
  <c r="G30" i="82"/>
  <c r="E30" i="82"/>
  <c r="H30" i="82"/>
  <c r="G29" i="82"/>
  <c r="E29" i="82"/>
  <c r="G28" i="82"/>
  <c r="E28" i="82"/>
  <c r="H28" i="82"/>
  <c r="G27" i="82"/>
  <c r="E27" i="82"/>
  <c r="G26" i="82"/>
  <c r="E26" i="82"/>
  <c r="H26" i="82"/>
  <c r="G25" i="82"/>
  <c r="E25" i="82"/>
  <c r="H25" i="82"/>
  <c r="G24" i="82"/>
  <c r="E24" i="82"/>
  <c r="H24" i="82"/>
  <c r="G23" i="82"/>
  <c r="E23" i="82"/>
  <c r="G22" i="82"/>
  <c r="E22" i="82"/>
  <c r="G21" i="82"/>
  <c r="E21" i="82"/>
  <c r="H21" i="82"/>
  <c r="G20" i="82"/>
  <c r="H20" i="82"/>
  <c r="E20" i="82"/>
  <c r="G19" i="82"/>
  <c r="E19" i="82"/>
  <c r="G18" i="82"/>
  <c r="E18" i="82"/>
  <c r="G17" i="82"/>
  <c r="E17" i="82"/>
  <c r="H17" i="82"/>
  <c r="G16" i="82"/>
  <c r="E16" i="82"/>
  <c r="G15" i="82"/>
  <c r="E15" i="82"/>
  <c r="H15" i="82"/>
  <c r="G14" i="82"/>
  <c r="E14" i="82"/>
  <c r="G39" i="81"/>
  <c r="E39" i="81"/>
  <c r="G38" i="81"/>
  <c r="E38" i="81"/>
  <c r="G37" i="81"/>
  <c r="H37" i="81"/>
  <c r="E37" i="81"/>
  <c r="G36" i="81"/>
  <c r="E36" i="81"/>
  <c r="G35" i="81"/>
  <c r="E35" i="81"/>
  <c r="H35" i="81"/>
  <c r="G34" i="81"/>
  <c r="E34" i="81"/>
  <c r="H34" i="81"/>
  <c r="G32" i="81"/>
  <c r="E32" i="81"/>
  <c r="G31" i="81"/>
  <c r="E31" i="81"/>
  <c r="G30" i="81"/>
  <c r="H30" i="81"/>
  <c r="E30" i="81"/>
  <c r="G29" i="81"/>
  <c r="E29" i="81"/>
  <c r="H29" i="81"/>
  <c r="G28" i="81"/>
  <c r="H28" i="81"/>
  <c r="E28" i="81"/>
  <c r="G27" i="81"/>
  <c r="E27" i="81"/>
  <c r="G26" i="81"/>
  <c r="E26" i="81"/>
  <c r="G25" i="81"/>
  <c r="E25" i="81"/>
  <c r="H25" i="81"/>
  <c r="G24" i="81"/>
  <c r="E24" i="81"/>
  <c r="H24" i="81"/>
  <c r="G23" i="81"/>
  <c r="E23" i="81"/>
  <c r="H23" i="81"/>
  <c r="G22" i="81"/>
  <c r="E22" i="81"/>
  <c r="G21" i="81"/>
  <c r="E21" i="81"/>
  <c r="H21" i="81"/>
  <c r="G20" i="81"/>
  <c r="E20" i="81"/>
  <c r="G19" i="81"/>
  <c r="H19" i="81"/>
  <c r="E19" i="81"/>
  <c r="G18" i="81"/>
  <c r="E18" i="81"/>
  <c r="H18" i="81"/>
  <c r="G17" i="81"/>
  <c r="E17" i="81"/>
  <c r="H17" i="81"/>
  <c r="G16" i="81"/>
  <c r="E16" i="81"/>
  <c r="G15" i="81"/>
  <c r="E15" i="81"/>
  <c r="H15" i="81"/>
  <c r="G14" i="81"/>
  <c r="E14" i="81"/>
  <c r="H14" i="81"/>
  <c r="G39" i="80"/>
  <c r="H39" i="80"/>
  <c r="E39" i="80"/>
  <c r="G38" i="80"/>
  <c r="E38" i="80"/>
  <c r="G37" i="80"/>
  <c r="E37" i="80"/>
  <c r="H37" i="80"/>
  <c r="G35" i="80"/>
  <c r="E35" i="80"/>
  <c r="H35" i="80"/>
  <c r="G34" i="80"/>
  <c r="E34" i="80"/>
  <c r="G33" i="80"/>
  <c r="E33" i="80"/>
  <c r="H33" i="80"/>
  <c r="G32" i="80"/>
  <c r="H32" i="80"/>
  <c r="E32" i="80"/>
  <c r="G31" i="80"/>
  <c r="E31" i="80"/>
  <c r="H31" i="80"/>
  <c r="G30" i="80"/>
  <c r="E30" i="80"/>
  <c r="H30" i="80"/>
  <c r="G29" i="80"/>
  <c r="E29" i="80"/>
  <c r="G28" i="80"/>
  <c r="E28" i="80"/>
  <c r="H28" i="80"/>
  <c r="G27" i="80"/>
  <c r="E27" i="80"/>
  <c r="H27" i="80"/>
  <c r="G26" i="80"/>
  <c r="E26" i="80"/>
  <c r="H26" i="80"/>
  <c r="G25" i="80"/>
  <c r="E25" i="80"/>
  <c r="G24" i="80"/>
  <c r="E24" i="80"/>
  <c r="H24" i="80"/>
  <c r="G23" i="80"/>
  <c r="E23" i="80"/>
  <c r="H23" i="80"/>
  <c r="G22" i="80"/>
  <c r="E22" i="80"/>
  <c r="H22" i="80"/>
  <c r="G21" i="80"/>
  <c r="H21" i="80"/>
  <c r="E21" i="80"/>
  <c r="G20" i="80"/>
  <c r="E20" i="80"/>
  <c r="H20" i="80"/>
  <c r="G19" i="80"/>
  <c r="E19" i="80"/>
  <c r="H19" i="80"/>
  <c r="G18" i="80"/>
  <c r="E18" i="80"/>
  <c r="G17" i="80"/>
  <c r="E17" i="80"/>
  <c r="H17" i="80"/>
  <c r="G16" i="80"/>
  <c r="E16" i="80"/>
  <c r="H16" i="80"/>
  <c r="G15" i="80"/>
  <c r="E15" i="80"/>
  <c r="G14" i="80"/>
  <c r="E14" i="80"/>
  <c r="H14" i="80"/>
  <c r="G39" i="79"/>
  <c r="H39" i="79"/>
  <c r="E39" i="79"/>
  <c r="G38" i="79"/>
  <c r="E38" i="79"/>
  <c r="H38" i="79"/>
  <c r="G37" i="79"/>
  <c r="E37" i="79"/>
  <c r="G36" i="79"/>
  <c r="E36" i="79"/>
  <c r="H36" i="79"/>
  <c r="G35" i="79"/>
  <c r="E35" i="79"/>
  <c r="G34" i="79"/>
  <c r="H34" i="79"/>
  <c r="E34" i="79"/>
  <c r="G32" i="79"/>
  <c r="E32" i="79"/>
  <c r="H32" i="79"/>
  <c r="G31" i="79"/>
  <c r="E31" i="79"/>
  <c r="H31" i="79"/>
  <c r="G30" i="79"/>
  <c r="E30" i="79"/>
  <c r="G29" i="79"/>
  <c r="E29" i="79"/>
  <c r="H29" i="79"/>
  <c r="G28" i="79"/>
  <c r="E28" i="79"/>
  <c r="H28" i="79"/>
  <c r="G27" i="79"/>
  <c r="E27" i="79"/>
  <c r="G26" i="79"/>
  <c r="E26" i="79"/>
  <c r="H26" i="79"/>
  <c r="G25" i="79"/>
  <c r="E25" i="79"/>
  <c r="H25" i="79"/>
  <c r="G24" i="79"/>
  <c r="E24" i="79"/>
  <c r="G23" i="79"/>
  <c r="E23" i="79"/>
  <c r="G22" i="79"/>
  <c r="H22" i="79"/>
  <c r="E22" i="79"/>
  <c r="G21" i="79"/>
  <c r="E21" i="79"/>
  <c r="G20" i="79"/>
  <c r="E20" i="79"/>
  <c r="H20" i="79"/>
  <c r="G19" i="79"/>
  <c r="E19" i="79"/>
  <c r="G18" i="79"/>
  <c r="E18" i="79"/>
  <c r="H18" i="79"/>
  <c r="G17" i="79"/>
  <c r="E17" i="79"/>
  <c r="G16" i="79"/>
  <c r="E16" i="79"/>
  <c r="H16" i="79"/>
  <c r="G15" i="79"/>
  <c r="E15" i="79"/>
  <c r="G14" i="79"/>
  <c r="E14" i="79"/>
  <c r="H14" i="79"/>
  <c r="G39" i="78"/>
  <c r="H39" i="78"/>
  <c r="E39" i="78"/>
  <c r="G38" i="78"/>
  <c r="H38" i="78"/>
  <c r="E38" i="78"/>
  <c r="G37" i="78"/>
  <c r="E37" i="78"/>
  <c r="H37" i="78"/>
  <c r="G36" i="78"/>
  <c r="E36" i="78"/>
  <c r="G35" i="78"/>
  <c r="E35" i="78"/>
  <c r="H35" i="78"/>
  <c r="G34" i="78"/>
  <c r="E34" i="78"/>
  <c r="H34" i="78"/>
  <c r="G33" i="78"/>
  <c r="E33" i="78"/>
  <c r="H33" i="78"/>
  <c r="G32" i="78"/>
  <c r="H32" i="78"/>
  <c r="E32" i="78"/>
  <c r="G31" i="78"/>
  <c r="E31" i="78"/>
  <c r="H31" i="78"/>
  <c r="G30" i="78"/>
  <c r="E30" i="78"/>
  <c r="H30" i="78"/>
  <c r="G29" i="78"/>
  <c r="E29" i="78"/>
  <c r="H29" i="78"/>
  <c r="G28" i="78"/>
  <c r="E28" i="78"/>
  <c r="G27" i="78"/>
  <c r="E27" i="78"/>
  <c r="H27" i="78"/>
  <c r="G26" i="78"/>
  <c r="E26" i="78"/>
  <c r="H26" i="78"/>
  <c r="G25" i="78"/>
  <c r="H25" i="78"/>
  <c r="E25" i="78"/>
  <c r="G24" i="78"/>
  <c r="E24" i="78"/>
  <c r="H24" i="78"/>
  <c r="G23" i="78"/>
  <c r="E23" i="78"/>
  <c r="H23" i="78"/>
  <c r="G22" i="78"/>
  <c r="E22" i="78"/>
  <c r="H22" i="78"/>
  <c r="G21" i="78"/>
  <c r="H21" i="78"/>
  <c r="E21" i="78"/>
  <c r="G20" i="78"/>
  <c r="E20" i="78"/>
  <c r="G19" i="78"/>
  <c r="E19" i="78"/>
  <c r="G18" i="78"/>
  <c r="E18" i="78"/>
  <c r="H18" i="78"/>
  <c r="G17" i="78"/>
  <c r="E17" i="78"/>
  <c r="G16" i="78"/>
  <c r="E16" i="78"/>
  <c r="H16" i="78"/>
  <c r="G15" i="78"/>
  <c r="E15" i="78"/>
  <c r="H15" i="78"/>
  <c r="G14" i="78"/>
  <c r="E14" i="78"/>
  <c r="G39" i="77"/>
  <c r="E39" i="77"/>
  <c r="G38" i="77"/>
  <c r="H38" i="77"/>
  <c r="E38" i="77"/>
  <c r="G37" i="77"/>
  <c r="E37" i="77"/>
  <c r="H37" i="77"/>
  <c r="G36" i="77"/>
  <c r="H36" i="77"/>
  <c r="E36" i="77"/>
  <c r="G35" i="77"/>
  <c r="E35" i="77"/>
  <c r="H35" i="77"/>
  <c r="G34" i="77"/>
  <c r="E34" i="77"/>
  <c r="G33" i="77"/>
  <c r="H33" i="77"/>
  <c r="E33" i="77"/>
  <c r="G32" i="77"/>
  <c r="E32" i="77"/>
  <c r="H32" i="77"/>
  <c r="G31" i="77"/>
  <c r="H31" i="77"/>
  <c r="E31" i="77"/>
  <c r="G30" i="77"/>
  <c r="E30" i="77"/>
  <c r="H30" i="77"/>
  <c r="G29" i="77"/>
  <c r="E29" i="77"/>
  <c r="H29" i="77"/>
  <c r="G28" i="77"/>
  <c r="E28" i="77"/>
  <c r="H28" i="77"/>
  <c r="G27" i="77"/>
  <c r="H27" i="77"/>
  <c r="E27" i="77"/>
  <c r="G26" i="77"/>
  <c r="E26" i="77"/>
  <c r="H26" i="77"/>
  <c r="G25" i="77"/>
  <c r="E25" i="77"/>
  <c r="H25" i="77"/>
  <c r="G24" i="77"/>
  <c r="E24" i="77"/>
  <c r="G23" i="77"/>
  <c r="E23" i="77"/>
  <c r="G22" i="77"/>
  <c r="H22" i="77"/>
  <c r="E22" i="77"/>
  <c r="G21" i="77"/>
  <c r="E21" i="77"/>
  <c r="H21" i="77"/>
  <c r="G20" i="77"/>
  <c r="E20" i="77"/>
  <c r="G19" i="77"/>
  <c r="E19" i="77"/>
  <c r="H19" i="77"/>
  <c r="G18" i="77"/>
  <c r="E18" i="77"/>
  <c r="H18" i="77"/>
  <c r="G17" i="77"/>
  <c r="E17" i="77"/>
  <c r="G16" i="77"/>
  <c r="E16" i="77"/>
  <c r="G15" i="77"/>
  <c r="E15" i="77"/>
  <c r="G14" i="77"/>
  <c r="E14" i="77"/>
  <c r="G39" i="76"/>
  <c r="E39" i="76"/>
  <c r="H39" i="76"/>
  <c r="G38" i="76"/>
  <c r="E38" i="76"/>
  <c r="G37" i="76"/>
  <c r="E37" i="76"/>
  <c r="G36" i="76"/>
  <c r="H36" i="76"/>
  <c r="E36" i="76"/>
  <c r="G35" i="76"/>
  <c r="E35" i="76"/>
  <c r="H35" i="76"/>
  <c r="G34" i="76"/>
  <c r="E34" i="76"/>
  <c r="G33" i="76"/>
  <c r="H33" i="76"/>
  <c r="E33" i="76"/>
  <c r="G32" i="76"/>
  <c r="E32" i="76"/>
  <c r="H32" i="76"/>
  <c r="G30" i="76"/>
  <c r="E30" i="76"/>
  <c r="G29" i="76"/>
  <c r="E29" i="76"/>
  <c r="H29" i="76"/>
  <c r="G28" i="76"/>
  <c r="E28" i="76"/>
  <c r="H28" i="76"/>
  <c r="G27" i="76"/>
  <c r="E27" i="76"/>
  <c r="G26" i="76"/>
  <c r="E26" i="76"/>
  <c r="H26" i="76"/>
  <c r="G25" i="76"/>
  <c r="E25" i="76"/>
  <c r="G24" i="76"/>
  <c r="E24" i="76"/>
  <c r="G23" i="76"/>
  <c r="E23" i="76"/>
  <c r="G22" i="76"/>
  <c r="E22" i="76"/>
  <c r="G21" i="76"/>
  <c r="H21" i="76"/>
  <c r="E21" i="76"/>
  <c r="G20" i="76"/>
  <c r="E20" i="76"/>
  <c r="G19" i="76"/>
  <c r="E19" i="76"/>
  <c r="H19" i="76"/>
  <c r="G18" i="76"/>
  <c r="E18" i="76"/>
  <c r="G17" i="76"/>
  <c r="E17" i="76"/>
  <c r="G16" i="76"/>
  <c r="E16" i="76"/>
  <c r="G15" i="76"/>
  <c r="E15" i="76"/>
  <c r="G14" i="76"/>
  <c r="E14" i="76"/>
  <c r="H14" i="76"/>
  <c r="G39" i="75"/>
  <c r="H39" i="75"/>
  <c r="E39" i="75"/>
  <c r="G38" i="75"/>
  <c r="E38" i="75"/>
  <c r="H38" i="75"/>
  <c r="G37" i="75"/>
  <c r="E37" i="75"/>
  <c r="H37" i="75"/>
  <c r="G36" i="75"/>
  <c r="H36" i="75"/>
  <c r="E36" i="75"/>
  <c r="G35" i="75"/>
  <c r="E35" i="75"/>
  <c r="H35" i="75"/>
  <c r="G34" i="75"/>
  <c r="E34" i="75"/>
  <c r="H34" i="75"/>
  <c r="G33" i="75"/>
  <c r="E33" i="75"/>
  <c r="H33" i="75"/>
  <c r="G32" i="75"/>
  <c r="E32" i="75"/>
  <c r="G30" i="75"/>
  <c r="E30" i="75"/>
  <c r="H30" i="75"/>
  <c r="G29" i="75"/>
  <c r="E29" i="75"/>
  <c r="H29" i="75"/>
  <c r="G28" i="75"/>
  <c r="E28" i="75"/>
  <c r="G27" i="75"/>
  <c r="E27" i="75"/>
  <c r="H27" i="75"/>
  <c r="G26" i="75"/>
  <c r="H26" i="75"/>
  <c r="E26" i="75"/>
  <c r="G25" i="75"/>
  <c r="E25" i="75"/>
  <c r="H25" i="75"/>
  <c r="G24" i="75"/>
  <c r="E24" i="75"/>
  <c r="G23" i="75"/>
  <c r="E23" i="75"/>
  <c r="G22" i="75"/>
  <c r="E22" i="75"/>
  <c r="G21" i="75"/>
  <c r="H21" i="75"/>
  <c r="E21" i="75"/>
  <c r="G20" i="75"/>
  <c r="E20" i="75"/>
  <c r="G19" i="75"/>
  <c r="E19" i="75"/>
  <c r="H19" i="75"/>
  <c r="G18" i="75"/>
  <c r="E18" i="75"/>
  <c r="G17" i="75"/>
  <c r="E17" i="75"/>
  <c r="G16" i="75"/>
  <c r="H16" i="75"/>
  <c r="E16" i="75"/>
  <c r="G15" i="75"/>
  <c r="E15" i="75"/>
  <c r="H15" i="75"/>
  <c r="G14" i="75"/>
  <c r="E14" i="75"/>
  <c r="G39" i="74"/>
  <c r="E39" i="74"/>
  <c r="H39" i="74"/>
  <c r="G38" i="74"/>
  <c r="E38" i="74"/>
  <c r="H38" i="74"/>
  <c r="G37" i="74"/>
  <c r="E37" i="74"/>
  <c r="G35" i="74"/>
  <c r="E35" i="74"/>
  <c r="G34" i="74"/>
  <c r="E34" i="74"/>
  <c r="H34" i="74"/>
  <c r="G33" i="74"/>
  <c r="E33" i="74"/>
  <c r="G32" i="74"/>
  <c r="E32" i="74"/>
  <c r="G31" i="74"/>
  <c r="H31" i="74"/>
  <c r="E31" i="74"/>
  <c r="G30" i="74"/>
  <c r="E30" i="74"/>
  <c r="G29" i="74"/>
  <c r="E29" i="74"/>
  <c r="G28" i="74"/>
  <c r="E28" i="74"/>
  <c r="H28" i="74"/>
  <c r="G27" i="74"/>
  <c r="E27" i="74"/>
  <c r="G26" i="74"/>
  <c r="E26" i="74"/>
  <c r="G25" i="74"/>
  <c r="E25" i="74"/>
  <c r="H25" i="74"/>
  <c r="G24" i="74"/>
  <c r="E24" i="74"/>
  <c r="H24" i="74"/>
  <c r="G23" i="74"/>
  <c r="H23" i="74"/>
  <c r="E23" i="74"/>
  <c r="G22" i="74"/>
  <c r="E22" i="74"/>
  <c r="H22" i="74"/>
  <c r="G21" i="74"/>
  <c r="E21" i="74"/>
  <c r="H21" i="74"/>
  <c r="G20" i="74"/>
  <c r="E20" i="74"/>
  <c r="H20" i="74"/>
  <c r="G19" i="74"/>
  <c r="E19" i="74"/>
  <c r="G18" i="74"/>
  <c r="E18" i="74"/>
  <c r="G17" i="74"/>
  <c r="E17" i="74"/>
  <c r="G16" i="74"/>
  <c r="E16" i="74"/>
  <c r="G15" i="74"/>
  <c r="E15" i="74"/>
  <c r="H15" i="74"/>
  <c r="G14" i="74"/>
  <c r="H14" i="74"/>
  <c r="E14" i="74"/>
  <c r="G39" i="73"/>
  <c r="E39" i="73"/>
  <c r="G38" i="73"/>
  <c r="H38" i="73"/>
  <c r="E38" i="73"/>
  <c r="G37" i="73"/>
  <c r="E37" i="73"/>
  <c r="H37" i="73"/>
  <c r="G36" i="73"/>
  <c r="E36" i="73"/>
  <c r="G35" i="73"/>
  <c r="E35" i="73"/>
  <c r="G34" i="73"/>
  <c r="E34" i="73"/>
  <c r="G33" i="73"/>
  <c r="H33" i="73"/>
  <c r="E33" i="73"/>
  <c r="G32" i="73"/>
  <c r="E32" i="73"/>
  <c r="H32" i="73"/>
  <c r="G31" i="73"/>
  <c r="E31" i="73"/>
  <c r="H31" i="73"/>
  <c r="G30" i="73"/>
  <c r="E30" i="73"/>
  <c r="G29" i="73"/>
  <c r="E29" i="73"/>
  <c r="H29" i="73"/>
  <c r="G28" i="73"/>
  <c r="E28" i="73"/>
  <c r="H28" i="73"/>
  <c r="G27" i="73"/>
  <c r="E27" i="73"/>
  <c r="G26" i="73"/>
  <c r="E26" i="73"/>
  <c r="H26" i="73"/>
  <c r="G25" i="73"/>
  <c r="E25" i="73"/>
  <c r="H25" i="73"/>
  <c r="G24" i="73"/>
  <c r="E24" i="73"/>
  <c r="H24" i="73"/>
  <c r="G23" i="73"/>
  <c r="E23" i="73"/>
  <c r="H23" i="73"/>
  <c r="G22" i="73"/>
  <c r="E22" i="73"/>
  <c r="G21" i="73"/>
  <c r="E21" i="73"/>
  <c r="H21" i="73"/>
  <c r="G20" i="73"/>
  <c r="E20" i="73"/>
  <c r="H20" i="73"/>
  <c r="H42" i="73"/>
  <c r="G19" i="73"/>
  <c r="E19" i="73"/>
  <c r="G18" i="73"/>
  <c r="E18" i="73"/>
  <c r="H18" i="73"/>
  <c r="G17" i="73"/>
  <c r="E17" i="73"/>
  <c r="H17" i="73"/>
  <c r="G16" i="73"/>
  <c r="E16" i="73"/>
  <c r="H16" i="73"/>
  <c r="G15" i="73"/>
  <c r="E15" i="73"/>
  <c r="G14" i="73"/>
  <c r="E14" i="73"/>
  <c r="G39" i="72"/>
  <c r="E39" i="72"/>
  <c r="G38" i="72"/>
  <c r="E38" i="72"/>
  <c r="H38" i="72"/>
  <c r="G37" i="72"/>
  <c r="E37" i="72"/>
  <c r="G36" i="72"/>
  <c r="E36" i="72"/>
  <c r="H36" i="72"/>
  <c r="G35" i="72"/>
  <c r="E35" i="72"/>
  <c r="H35" i="72"/>
  <c r="G34" i="72"/>
  <c r="E34" i="72"/>
  <c r="H34" i="72"/>
  <c r="G33" i="72"/>
  <c r="H33" i="72"/>
  <c r="E33" i="72"/>
  <c r="G32" i="72"/>
  <c r="E32" i="72"/>
  <c r="H32" i="72"/>
  <c r="G31" i="72"/>
  <c r="E31" i="72"/>
  <c r="H31" i="72"/>
  <c r="G30" i="72"/>
  <c r="E30" i="72"/>
  <c r="H30" i="72"/>
  <c r="G29" i="72"/>
  <c r="E29" i="72"/>
  <c r="G28" i="72"/>
  <c r="E28" i="72"/>
  <c r="H28" i="72"/>
  <c r="G27" i="72"/>
  <c r="H27" i="72"/>
  <c r="E27" i="72"/>
  <c r="G26" i="72"/>
  <c r="E26" i="72"/>
  <c r="G25" i="72"/>
  <c r="E25" i="72"/>
  <c r="H25" i="72"/>
  <c r="G24" i="72"/>
  <c r="G41" i="72"/>
  <c r="H45" i="72"/>
  <c r="E24" i="72"/>
  <c r="G23" i="72"/>
  <c r="E23" i="72"/>
  <c r="H23" i="72"/>
  <c r="G22" i="72"/>
  <c r="E22" i="72"/>
  <c r="H22" i="72"/>
  <c r="G21" i="72"/>
  <c r="E21" i="72"/>
  <c r="H21" i="72"/>
  <c r="G20" i="72"/>
  <c r="E20" i="72"/>
  <c r="H20" i="72"/>
  <c r="G19" i="72"/>
  <c r="E19" i="72"/>
  <c r="G18" i="72"/>
  <c r="E18" i="72"/>
  <c r="G17" i="72"/>
  <c r="E17" i="72"/>
  <c r="G16" i="72"/>
  <c r="E16" i="72"/>
  <c r="H16" i="72"/>
  <c r="G15" i="72"/>
  <c r="E15" i="72"/>
  <c r="G14" i="72"/>
  <c r="E14" i="72"/>
  <c r="G39" i="71"/>
  <c r="E39" i="71"/>
  <c r="G38" i="71"/>
  <c r="E38" i="71"/>
  <c r="G37" i="71"/>
  <c r="E37" i="71"/>
  <c r="H37" i="71"/>
  <c r="G36" i="71"/>
  <c r="E36" i="71"/>
  <c r="G35" i="71"/>
  <c r="E35" i="71"/>
  <c r="G34" i="71"/>
  <c r="H34" i="71"/>
  <c r="E34" i="71"/>
  <c r="G33" i="71"/>
  <c r="G41" i="71"/>
  <c r="H45" i="71"/>
  <c r="E33" i="71"/>
  <c r="G32" i="71"/>
  <c r="E32" i="71"/>
  <c r="H32" i="71"/>
  <c r="G31" i="71"/>
  <c r="E31" i="71"/>
  <c r="H31" i="71"/>
  <c r="G30" i="71"/>
  <c r="H30" i="71"/>
  <c r="E30" i="71"/>
  <c r="G29" i="71"/>
  <c r="H29" i="71"/>
  <c r="E29" i="71"/>
  <c r="G28" i="71"/>
  <c r="H28" i="71"/>
  <c r="E28" i="71"/>
  <c r="G27" i="71"/>
  <c r="E27" i="71"/>
  <c r="G26" i="71"/>
  <c r="H26" i="71"/>
  <c r="E26" i="71"/>
  <c r="G25" i="71"/>
  <c r="H25" i="71"/>
  <c r="E25" i="71"/>
  <c r="G24" i="71"/>
  <c r="E24" i="71"/>
  <c r="H24" i="71"/>
  <c r="G23" i="71"/>
  <c r="H23" i="71"/>
  <c r="E23" i="71"/>
  <c r="G22" i="71"/>
  <c r="E22" i="71"/>
  <c r="H22" i="71"/>
  <c r="G21" i="71"/>
  <c r="E21" i="71"/>
  <c r="H21" i="71"/>
  <c r="G20" i="71"/>
  <c r="E20" i="71"/>
  <c r="G19" i="71"/>
  <c r="E19" i="71"/>
  <c r="H19" i="71"/>
  <c r="G18" i="71"/>
  <c r="E18" i="71"/>
  <c r="H18" i="71"/>
  <c r="G17" i="71"/>
  <c r="H17" i="71"/>
  <c r="E17" i="71"/>
  <c r="G16" i="71"/>
  <c r="H16" i="71"/>
  <c r="E16" i="71"/>
  <c r="G15" i="71"/>
  <c r="E15" i="71"/>
  <c r="G14" i="71"/>
  <c r="H14" i="71"/>
  <c r="E14" i="71"/>
  <c r="A13" i="70"/>
  <c r="A13" i="69"/>
  <c r="A13" i="68"/>
  <c r="A13" i="67"/>
  <c r="A13" i="66"/>
  <c r="A13" i="65"/>
  <c r="A13" i="64"/>
  <c r="A13" i="63"/>
  <c r="A13" i="62"/>
  <c r="A13" i="61"/>
  <c r="A13" i="60"/>
  <c r="A13" i="59"/>
  <c r="G39" i="70"/>
  <c r="E39" i="70"/>
  <c r="G38" i="70"/>
  <c r="E38" i="70"/>
  <c r="G37" i="70"/>
  <c r="E37" i="70"/>
  <c r="G36" i="70"/>
  <c r="E36" i="70"/>
  <c r="H36" i="70"/>
  <c r="G35" i="70"/>
  <c r="E35" i="70"/>
  <c r="G34" i="70"/>
  <c r="E34" i="70"/>
  <c r="G33" i="70"/>
  <c r="H33" i="70"/>
  <c r="E33" i="70"/>
  <c r="G32" i="70"/>
  <c r="E32" i="70"/>
  <c r="G31" i="70"/>
  <c r="E31" i="70"/>
  <c r="H31" i="70"/>
  <c r="G30" i="70"/>
  <c r="H30" i="70"/>
  <c r="E30" i="70"/>
  <c r="G29" i="70"/>
  <c r="E29" i="70"/>
  <c r="G28" i="70"/>
  <c r="E28" i="70"/>
  <c r="G27" i="70"/>
  <c r="E27" i="70"/>
  <c r="H27" i="70"/>
  <c r="G26" i="70"/>
  <c r="E26" i="70"/>
  <c r="G25" i="70"/>
  <c r="E25" i="70"/>
  <c r="H25" i="70"/>
  <c r="G24" i="70"/>
  <c r="E24" i="70"/>
  <c r="H24" i="70"/>
  <c r="G23" i="70"/>
  <c r="E23" i="70"/>
  <c r="H23" i="70"/>
  <c r="G22" i="70"/>
  <c r="E22" i="70"/>
  <c r="G21" i="70"/>
  <c r="E21" i="70"/>
  <c r="H21" i="70"/>
  <c r="G20" i="70"/>
  <c r="E20" i="70"/>
  <c r="H20" i="70"/>
  <c r="G19" i="70"/>
  <c r="E19" i="70"/>
  <c r="G18" i="70"/>
  <c r="H18" i="70"/>
  <c r="E18" i="70"/>
  <c r="G17" i="70"/>
  <c r="E17" i="70"/>
  <c r="H17" i="70"/>
  <c r="G16" i="70"/>
  <c r="E16" i="70"/>
  <c r="G15" i="70"/>
  <c r="E15" i="70"/>
  <c r="G14" i="70"/>
  <c r="E14" i="70"/>
  <c r="G39" i="69"/>
  <c r="E39" i="69"/>
  <c r="H39" i="69"/>
  <c r="G38" i="69"/>
  <c r="E38" i="69"/>
  <c r="H38" i="69"/>
  <c r="G37" i="69"/>
  <c r="E37" i="69"/>
  <c r="G36" i="69"/>
  <c r="E36" i="69"/>
  <c r="G35" i="69"/>
  <c r="H35" i="69"/>
  <c r="E35" i="69"/>
  <c r="G34" i="69"/>
  <c r="E34" i="69"/>
  <c r="H34" i="69"/>
  <c r="G33" i="69"/>
  <c r="E33" i="69"/>
  <c r="H33" i="69"/>
  <c r="G32" i="69"/>
  <c r="E32" i="69"/>
  <c r="G31" i="69"/>
  <c r="E31" i="69"/>
  <c r="G30" i="69"/>
  <c r="E30" i="69"/>
  <c r="H30" i="69"/>
  <c r="G29" i="69"/>
  <c r="E29" i="69"/>
  <c r="G28" i="69"/>
  <c r="E28" i="69"/>
  <c r="E41" i="69"/>
  <c r="H28" i="69"/>
  <c r="G27" i="69"/>
  <c r="E27" i="69"/>
  <c r="H27" i="69"/>
  <c r="G26" i="69"/>
  <c r="H26" i="69"/>
  <c r="E26" i="69"/>
  <c r="G25" i="69"/>
  <c r="H25" i="69"/>
  <c r="E25" i="69"/>
  <c r="G24" i="69"/>
  <c r="E24" i="69"/>
  <c r="H24" i="69"/>
  <c r="G23" i="69"/>
  <c r="E23" i="69"/>
  <c r="G22" i="69"/>
  <c r="E22" i="69"/>
  <c r="H22" i="69"/>
  <c r="G21" i="69"/>
  <c r="H21" i="69"/>
  <c r="E21" i="69"/>
  <c r="G20" i="69"/>
  <c r="E20" i="69"/>
  <c r="G19" i="69"/>
  <c r="E19" i="69"/>
  <c r="G18" i="69"/>
  <c r="E18" i="69"/>
  <c r="G17" i="69"/>
  <c r="H17" i="69"/>
  <c r="E17" i="69"/>
  <c r="G16" i="69"/>
  <c r="G41" i="69"/>
  <c r="H45" i="69"/>
  <c r="E16" i="69"/>
  <c r="H16" i="69"/>
  <c r="G15" i="69"/>
  <c r="E15" i="69"/>
  <c r="H15" i="69"/>
  <c r="G14" i="69"/>
  <c r="E14" i="69"/>
  <c r="H14" i="69"/>
  <c r="G39" i="68"/>
  <c r="H39" i="68"/>
  <c r="E39" i="68"/>
  <c r="G38" i="68"/>
  <c r="E38" i="68"/>
  <c r="G37" i="68"/>
  <c r="E37" i="68"/>
  <c r="H37" i="68"/>
  <c r="G36" i="68"/>
  <c r="H36" i="68"/>
  <c r="E36" i="68"/>
  <c r="G35" i="68"/>
  <c r="E35" i="68"/>
  <c r="H35" i="68"/>
  <c r="G34" i="68"/>
  <c r="E34" i="68"/>
  <c r="H34" i="68"/>
  <c r="G32" i="68"/>
  <c r="E32" i="68"/>
  <c r="G31" i="68"/>
  <c r="E31" i="68"/>
  <c r="H31" i="68"/>
  <c r="G30" i="68"/>
  <c r="E30" i="68"/>
  <c r="H30" i="68"/>
  <c r="G29" i="68"/>
  <c r="E29" i="68"/>
  <c r="H29" i="68"/>
  <c r="G28" i="68"/>
  <c r="H28" i="68"/>
  <c r="E28" i="68"/>
  <c r="G27" i="68"/>
  <c r="E27" i="68"/>
  <c r="G26" i="68"/>
  <c r="E26" i="68"/>
  <c r="H26" i="68"/>
  <c r="G25" i="68"/>
  <c r="E25" i="68"/>
  <c r="H25" i="68"/>
  <c r="G24" i="68"/>
  <c r="E24" i="68"/>
  <c r="H24" i="68"/>
  <c r="G23" i="68"/>
  <c r="E23" i="68"/>
  <c r="G22" i="68"/>
  <c r="H22" i="68"/>
  <c r="E22" i="68"/>
  <c r="G21" i="68"/>
  <c r="E21" i="68"/>
  <c r="H21" i="68"/>
  <c r="G20" i="68"/>
  <c r="E20" i="68"/>
  <c r="G19" i="68"/>
  <c r="H19" i="68"/>
  <c r="E19" i="68"/>
  <c r="G18" i="68"/>
  <c r="E18" i="68"/>
  <c r="H18" i="68"/>
  <c r="G17" i="68"/>
  <c r="E17" i="68"/>
  <c r="H17" i="68"/>
  <c r="G16" i="68"/>
  <c r="E16" i="68"/>
  <c r="G15" i="68"/>
  <c r="E15" i="68"/>
  <c r="H15" i="68"/>
  <c r="G14" i="68"/>
  <c r="E14" i="68"/>
  <c r="H14" i="68"/>
  <c r="G39" i="67"/>
  <c r="E39" i="67"/>
  <c r="H39" i="67"/>
  <c r="G38" i="67"/>
  <c r="E38" i="67"/>
  <c r="G37" i="67"/>
  <c r="H37" i="67"/>
  <c r="E37" i="67"/>
  <c r="G36" i="67"/>
  <c r="E36" i="67"/>
  <c r="H36" i="67"/>
  <c r="G35" i="67"/>
  <c r="E35" i="67"/>
  <c r="H35" i="67"/>
  <c r="G34" i="67"/>
  <c r="E34" i="67"/>
  <c r="G33" i="67"/>
  <c r="E33" i="67"/>
  <c r="H33" i="67"/>
  <c r="G32" i="67"/>
  <c r="E32" i="67"/>
  <c r="H32" i="67"/>
  <c r="G31" i="67"/>
  <c r="E31" i="67"/>
  <c r="H31" i="67"/>
  <c r="G29" i="67"/>
  <c r="E29" i="67"/>
  <c r="G28" i="67"/>
  <c r="H28" i="67"/>
  <c r="E28" i="67"/>
  <c r="G27" i="67"/>
  <c r="E27" i="67"/>
  <c r="H27" i="67"/>
  <c r="G26" i="67"/>
  <c r="E26" i="67"/>
  <c r="H26" i="67"/>
  <c r="G25" i="67"/>
  <c r="H25" i="67"/>
  <c r="E25" i="67"/>
  <c r="G24" i="67"/>
  <c r="E24" i="67"/>
  <c r="G23" i="67"/>
  <c r="H23" i="67"/>
  <c r="E23" i="67"/>
  <c r="G22" i="67"/>
  <c r="E22" i="67"/>
  <c r="G21" i="67"/>
  <c r="E21" i="67"/>
  <c r="H21" i="67"/>
  <c r="G20" i="67"/>
  <c r="G41" i="67"/>
  <c r="H45" i="67"/>
  <c r="E20" i="67"/>
  <c r="G19" i="67"/>
  <c r="E19" i="67"/>
  <c r="H19" i="67"/>
  <c r="G18" i="67"/>
  <c r="E18" i="67"/>
  <c r="H18" i="67"/>
  <c r="G17" i="67"/>
  <c r="E17" i="67"/>
  <c r="H17" i="67"/>
  <c r="G16" i="67"/>
  <c r="E16" i="67"/>
  <c r="G15" i="67"/>
  <c r="E15" i="67"/>
  <c r="H15" i="67"/>
  <c r="G14" i="67"/>
  <c r="E14" i="67"/>
  <c r="G39" i="66"/>
  <c r="E39" i="66"/>
  <c r="H39" i="66"/>
  <c r="G38" i="66"/>
  <c r="E38" i="66"/>
  <c r="H38" i="66"/>
  <c r="G37" i="66"/>
  <c r="E37" i="66"/>
  <c r="H37" i="66"/>
  <c r="G36" i="66"/>
  <c r="E36" i="66"/>
  <c r="H36" i="66"/>
  <c r="G35" i="66"/>
  <c r="E35" i="66"/>
  <c r="H35" i="66"/>
  <c r="G34" i="66"/>
  <c r="E34" i="66"/>
  <c r="G33" i="66"/>
  <c r="E33" i="66"/>
  <c r="H33" i="66"/>
  <c r="G32" i="66"/>
  <c r="E32" i="66"/>
  <c r="H32" i="66"/>
  <c r="G30" i="66"/>
  <c r="E30" i="66"/>
  <c r="H30" i="66"/>
  <c r="G29" i="66"/>
  <c r="E29" i="66"/>
  <c r="G28" i="66"/>
  <c r="E28" i="66"/>
  <c r="H28" i="66"/>
  <c r="G27" i="66"/>
  <c r="E27" i="66"/>
  <c r="G26" i="66"/>
  <c r="E26" i="66"/>
  <c r="H26" i="66"/>
  <c r="G25" i="66"/>
  <c r="E25" i="66"/>
  <c r="H25" i="66"/>
  <c r="G24" i="66"/>
  <c r="E24" i="66"/>
  <c r="H24" i="66"/>
  <c r="G23" i="66"/>
  <c r="G41" i="66"/>
  <c r="H45" i="66"/>
  <c r="E23" i="66"/>
  <c r="G22" i="66"/>
  <c r="E22" i="66"/>
  <c r="G21" i="66"/>
  <c r="H21" i="66"/>
  <c r="E21" i="66"/>
  <c r="G20" i="66"/>
  <c r="E20" i="66"/>
  <c r="G19" i="66"/>
  <c r="H19" i="66"/>
  <c r="E19" i="66"/>
  <c r="G18" i="66"/>
  <c r="E18" i="66"/>
  <c r="G17" i="66"/>
  <c r="E17" i="66"/>
  <c r="H17" i="66"/>
  <c r="G16" i="66"/>
  <c r="E16" i="66"/>
  <c r="G15" i="66"/>
  <c r="H15" i="66"/>
  <c r="E15" i="66"/>
  <c r="G14" i="66"/>
  <c r="E14" i="66"/>
  <c r="H14" i="66"/>
  <c r="G39" i="65"/>
  <c r="E39" i="65"/>
  <c r="H39" i="65"/>
  <c r="G38" i="65"/>
  <c r="H38" i="65"/>
  <c r="E38" i="65"/>
  <c r="G37" i="65"/>
  <c r="E37" i="65"/>
  <c r="G36" i="65"/>
  <c r="E36" i="65"/>
  <c r="G35" i="65"/>
  <c r="E35" i="65"/>
  <c r="G34" i="65"/>
  <c r="E34" i="65"/>
  <c r="H34" i="65"/>
  <c r="G33" i="65"/>
  <c r="H33" i="65"/>
  <c r="E33" i="65"/>
  <c r="G32" i="65"/>
  <c r="H32" i="65"/>
  <c r="E32" i="65"/>
  <c r="G31" i="65"/>
  <c r="E31" i="65"/>
  <c r="G30" i="65"/>
  <c r="E30" i="65"/>
  <c r="H30" i="65"/>
  <c r="G29" i="65"/>
  <c r="E29" i="65"/>
  <c r="H29" i="65"/>
  <c r="G28" i="65"/>
  <c r="E28" i="65"/>
  <c r="G27" i="65"/>
  <c r="E27" i="65"/>
  <c r="G26" i="65"/>
  <c r="E26" i="65"/>
  <c r="H26" i="65"/>
  <c r="G25" i="65"/>
  <c r="E25" i="65"/>
  <c r="G24" i="65"/>
  <c r="E24" i="65"/>
  <c r="G23" i="65"/>
  <c r="E23" i="65"/>
  <c r="G22" i="65"/>
  <c r="E22" i="65"/>
  <c r="H22" i="65"/>
  <c r="G21" i="65"/>
  <c r="E21" i="65"/>
  <c r="G20" i="65"/>
  <c r="E20" i="65"/>
  <c r="G19" i="65"/>
  <c r="H19" i="65"/>
  <c r="E19" i="65"/>
  <c r="G18" i="65"/>
  <c r="E18" i="65"/>
  <c r="G17" i="65"/>
  <c r="E17" i="65"/>
  <c r="H17" i="65"/>
  <c r="G16" i="65"/>
  <c r="E16" i="65"/>
  <c r="G15" i="65"/>
  <c r="E15" i="65"/>
  <c r="H15" i="65"/>
  <c r="G14" i="65"/>
  <c r="E14" i="65"/>
  <c r="H14" i="65"/>
  <c r="G39" i="64"/>
  <c r="E39" i="64"/>
  <c r="G38" i="64"/>
  <c r="E38" i="64"/>
  <c r="H38" i="64"/>
  <c r="G37" i="64"/>
  <c r="E37" i="64"/>
  <c r="H37" i="64"/>
  <c r="G36" i="64"/>
  <c r="H36" i="64"/>
  <c r="E36" i="64"/>
  <c r="G35" i="64"/>
  <c r="H35" i="64"/>
  <c r="E35" i="64"/>
  <c r="G34" i="64"/>
  <c r="E34" i="64"/>
  <c r="H34" i="64"/>
  <c r="G33" i="64"/>
  <c r="E33" i="64"/>
  <c r="H33" i="64"/>
  <c r="G32" i="64"/>
  <c r="E32" i="64"/>
  <c r="H32" i="64"/>
  <c r="G31" i="64"/>
  <c r="E31" i="64"/>
  <c r="H31" i="64"/>
  <c r="G30" i="64"/>
  <c r="E30" i="64"/>
  <c r="H30" i="64"/>
  <c r="G29" i="64"/>
  <c r="E29" i="64"/>
  <c r="H29" i="64"/>
  <c r="G28" i="64"/>
  <c r="E28" i="64"/>
  <c r="H28" i="64"/>
  <c r="G27" i="64"/>
  <c r="E27" i="64"/>
  <c r="H27" i="64"/>
  <c r="G26" i="64"/>
  <c r="E26" i="64"/>
  <c r="H26" i="64"/>
  <c r="G25" i="64"/>
  <c r="E25" i="64"/>
  <c r="H25" i="64"/>
  <c r="G24" i="64"/>
  <c r="E24" i="64"/>
  <c r="G23" i="64"/>
  <c r="E23" i="64"/>
  <c r="G22" i="64"/>
  <c r="E22" i="64"/>
  <c r="H22" i="64"/>
  <c r="G21" i="64"/>
  <c r="E21" i="64"/>
  <c r="G20" i="64"/>
  <c r="E20" i="64"/>
  <c r="H20" i="64"/>
  <c r="G19" i="64"/>
  <c r="E19" i="64"/>
  <c r="G18" i="64"/>
  <c r="E18" i="64"/>
  <c r="G17" i="64"/>
  <c r="E17" i="64"/>
  <c r="H17" i="64"/>
  <c r="G16" i="64"/>
  <c r="E16" i="64"/>
  <c r="G15" i="64"/>
  <c r="E15" i="64"/>
  <c r="H15" i="64"/>
  <c r="G14" i="64"/>
  <c r="E14" i="64"/>
  <c r="G39" i="63"/>
  <c r="E39" i="63"/>
  <c r="H39" i="63"/>
  <c r="G38" i="63"/>
  <c r="E38" i="63"/>
  <c r="H38" i="63"/>
  <c r="G37" i="63"/>
  <c r="E37" i="63"/>
  <c r="G36" i="63"/>
  <c r="E36" i="63"/>
  <c r="E41" i="63"/>
  <c r="G35" i="63"/>
  <c r="E35" i="63"/>
  <c r="H35" i="63"/>
  <c r="G34" i="63"/>
  <c r="E34" i="63"/>
  <c r="G33" i="63"/>
  <c r="E33" i="63"/>
  <c r="H33" i="63"/>
  <c r="G32" i="63"/>
  <c r="E32" i="63"/>
  <c r="H32" i="63"/>
  <c r="G31" i="63"/>
  <c r="E31" i="63"/>
  <c r="G29" i="63"/>
  <c r="E29" i="63"/>
  <c r="H29" i="63"/>
  <c r="G28" i="63"/>
  <c r="E28" i="63"/>
  <c r="H28" i="63"/>
  <c r="G27" i="63"/>
  <c r="E27" i="63"/>
  <c r="G26" i="63"/>
  <c r="H26" i="63"/>
  <c r="E26" i="63"/>
  <c r="G25" i="63"/>
  <c r="E25" i="63"/>
  <c r="G24" i="63"/>
  <c r="E24" i="63"/>
  <c r="H24" i="63"/>
  <c r="G23" i="63"/>
  <c r="H23" i="63"/>
  <c r="E23" i="63"/>
  <c r="G22" i="63"/>
  <c r="E22" i="63"/>
  <c r="H22" i="63"/>
  <c r="G21" i="63"/>
  <c r="E21" i="63"/>
  <c r="G20" i="63"/>
  <c r="E20" i="63"/>
  <c r="G19" i="63"/>
  <c r="E19" i="63"/>
  <c r="H19" i="63"/>
  <c r="G18" i="63"/>
  <c r="E18" i="63"/>
  <c r="G17" i="63"/>
  <c r="E17" i="63"/>
  <c r="H17" i="63"/>
  <c r="G16" i="63"/>
  <c r="E16" i="63"/>
  <c r="G15" i="63"/>
  <c r="E15" i="63"/>
  <c r="H15" i="63"/>
  <c r="G14" i="63"/>
  <c r="E14" i="63"/>
  <c r="H14" i="63"/>
  <c r="G39" i="62"/>
  <c r="E39" i="62"/>
  <c r="G38" i="62"/>
  <c r="E38" i="62"/>
  <c r="H38" i="62"/>
  <c r="G37" i="62"/>
  <c r="E37" i="62"/>
  <c r="G36" i="62"/>
  <c r="E36" i="62"/>
  <c r="G35" i="62"/>
  <c r="E35" i="62"/>
  <c r="H35" i="62"/>
  <c r="G34" i="62"/>
  <c r="E34" i="62"/>
  <c r="H34" i="62"/>
  <c r="G33" i="62"/>
  <c r="E33" i="62"/>
  <c r="H33" i="62"/>
  <c r="G31" i="62"/>
  <c r="H31" i="62"/>
  <c r="E31" i="62"/>
  <c r="G30" i="62"/>
  <c r="E30" i="62"/>
  <c r="G29" i="62"/>
  <c r="H29" i="62"/>
  <c r="E29" i="62"/>
  <c r="G28" i="62"/>
  <c r="G41" i="62"/>
  <c r="H45" i="62"/>
  <c r="E28" i="62"/>
  <c r="G27" i="62"/>
  <c r="E27" i="62"/>
  <c r="G26" i="62"/>
  <c r="E26" i="62"/>
  <c r="H26" i="62"/>
  <c r="G25" i="62"/>
  <c r="E25" i="62"/>
  <c r="H25" i="62"/>
  <c r="G24" i="62"/>
  <c r="E24" i="62"/>
  <c r="H24" i="62"/>
  <c r="G23" i="62"/>
  <c r="E23" i="62"/>
  <c r="G22" i="62"/>
  <c r="E22" i="62"/>
  <c r="H22" i="62"/>
  <c r="G21" i="62"/>
  <c r="E21" i="62"/>
  <c r="H21" i="62"/>
  <c r="G20" i="62"/>
  <c r="E20" i="62"/>
  <c r="G19" i="62"/>
  <c r="E19" i="62"/>
  <c r="G18" i="62"/>
  <c r="E18" i="62"/>
  <c r="H18" i="62"/>
  <c r="G17" i="62"/>
  <c r="E17" i="62"/>
  <c r="G16" i="62"/>
  <c r="E16" i="62"/>
  <c r="H16" i="62"/>
  <c r="G15" i="62"/>
  <c r="E15" i="62"/>
  <c r="H15" i="62"/>
  <c r="G14" i="62"/>
  <c r="E14" i="62"/>
  <c r="H14" i="62"/>
  <c r="G39" i="61"/>
  <c r="E39" i="61"/>
  <c r="G38" i="61"/>
  <c r="E38" i="61"/>
  <c r="H38" i="61"/>
  <c r="G37" i="61"/>
  <c r="E37" i="61"/>
  <c r="G36" i="61"/>
  <c r="E36" i="61"/>
  <c r="H36" i="61"/>
  <c r="G35" i="61"/>
  <c r="E35" i="61"/>
  <c r="H35" i="61"/>
  <c r="G33" i="61"/>
  <c r="E33" i="61"/>
  <c r="G32" i="61"/>
  <c r="E32" i="61"/>
  <c r="H32" i="61"/>
  <c r="G31" i="61"/>
  <c r="H31" i="61"/>
  <c r="E31" i="61"/>
  <c r="G30" i="61"/>
  <c r="E30" i="61"/>
  <c r="H30" i="61"/>
  <c r="G29" i="61"/>
  <c r="E29" i="61"/>
  <c r="G28" i="61"/>
  <c r="E28" i="61"/>
  <c r="G27" i="61"/>
  <c r="E27" i="61"/>
  <c r="H27" i="61"/>
  <c r="G26" i="61"/>
  <c r="E26" i="61"/>
  <c r="H26" i="61"/>
  <c r="G25" i="61"/>
  <c r="E25" i="61"/>
  <c r="H25" i="61"/>
  <c r="G24" i="61"/>
  <c r="H24" i="61"/>
  <c r="E24" i="61"/>
  <c r="G23" i="61"/>
  <c r="E23" i="61"/>
  <c r="G22" i="61"/>
  <c r="H22" i="61"/>
  <c r="E22" i="61"/>
  <c r="G21" i="61"/>
  <c r="E21" i="61"/>
  <c r="H21" i="61"/>
  <c r="G20" i="61"/>
  <c r="E20" i="61"/>
  <c r="G19" i="61"/>
  <c r="H19" i="61"/>
  <c r="E19" i="61"/>
  <c r="G18" i="61"/>
  <c r="E18" i="61"/>
  <c r="H18" i="61"/>
  <c r="G17" i="61"/>
  <c r="E17" i="61"/>
  <c r="G16" i="61"/>
  <c r="H16" i="61"/>
  <c r="E16" i="61"/>
  <c r="G15" i="61"/>
  <c r="E15" i="61"/>
  <c r="H15" i="61"/>
  <c r="G14" i="61"/>
  <c r="E14" i="61"/>
  <c r="G39" i="60"/>
  <c r="E39" i="60"/>
  <c r="G38" i="60"/>
  <c r="E38" i="60"/>
  <c r="G37" i="60"/>
  <c r="H37" i="60"/>
  <c r="E37" i="60"/>
  <c r="G36" i="60"/>
  <c r="E36" i="60"/>
  <c r="G35" i="60"/>
  <c r="H35" i="60"/>
  <c r="E35" i="60"/>
  <c r="G34" i="60"/>
  <c r="E34" i="60"/>
  <c r="G33" i="60"/>
  <c r="E33" i="60"/>
  <c r="H33" i="60"/>
  <c r="G32" i="60"/>
  <c r="H32" i="60"/>
  <c r="E32" i="60"/>
  <c r="G31" i="60"/>
  <c r="E31" i="60"/>
  <c r="H31" i="60"/>
  <c r="G30" i="60"/>
  <c r="H30" i="60"/>
  <c r="E30" i="60"/>
  <c r="G29" i="60"/>
  <c r="E29" i="60"/>
  <c r="H29" i="60"/>
  <c r="G28" i="60"/>
  <c r="H28" i="60"/>
  <c r="E28" i="60"/>
  <c r="G27" i="60"/>
  <c r="H27" i="60"/>
  <c r="E27" i="60"/>
  <c r="G26" i="60"/>
  <c r="E26" i="60"/>
  <c r="H26" i="60"/>
  <c r="G25" i="60"/>
  <c r="E25" i="60"/>
  <c r="H25" i="60"/>
  <c r="G24" i="60"/>
  <c r="G41" i="60"/>
  <c r="H45" i="60"/>
  <c r="E24" i="60"/>
  <c r="G23" i="60"/>
  <c r="E23" i="60"/>
  <c r="G22" i="60"/>
  <c r="E22" i="60"/>
  <c r="G21" i="60"/>
  <c r="E21" i="60"/>
  <c r="G20" i="60"/>
  <c r="E20" i="60"/>
  <c r="H20" i="60"/>
  <c r="G19" i="60"/>
  <c r="E19" i="60"/>
  <c r="H19" i="60"/>
  <c r="G18" i="60"/>
  <c r="E18" i="60"/>
  <c r="G17" i="60"/>
  <c r="E17" i="60"/>
  <c r="H17" i="60"/>
  <c r="G16" i="60"/>
  <c r="H16" i="60"/>
  <c r="E16" i="60"/>
  <c r="G15" i="60"/>
  <c r="E15" i="60"/>
  <c r="G14" i="60"/>
  <c r="H14" i="60"/>
  <c r="E14" i="60"/>
  <c r="G39" i="59"/>
  <c r="H39" i="59"/>
  <c r="E39" i="59"/>
  <c r="G38" i="59"/>
  <c r="E38" i="59"/>
  <c r="G37" i="59"/>
  <c r="E37" i="59"/>
  <c r="H37" i="59"/>
  <c r="G36" i="59"/>
  <c r="E36" i="59"/>
  <c r="G35" i="59"/>
  <c r="E35" i="59"/>
  <c r="H35" i="59"/>
  <c r="G34" i="59"/>
  <c r="E34" i="59"/>
  <c r="H34" i="59"/>
  <c r="G33" i="59"/>
  <c r="E33" i="59"/>
  <c r="G32" i="59"/>
  <c r="E32" i="59"/>
  <c r="G31" i="59"/>
  <c r="E31" i="59"/>
  <c r="H31" i="59"/>
  <c r="G30" i="59"/>
  <c r="E30" i="59"/>
  <c r="G29" i="59"/>
  <c r="E29" i="59"/>
  <c r="H29" i="59"/>
  <c r="G28" i="59"/>
  <c r="E28" i="59"/>
  <c r="H28" i="59"/>
  <c r="G27" i="59"/>
  <c r="E27" i="59"/>
  <c r="G26" i="59"/>
  <c r="E26" i="59"/>
  <c r="G25" i="59"/>
  <c r="E25" i="59"/>
  <c r="H25" i="59"/>
  <c r="G24" i="59"/>
  <c r="E24" i="59"/>
  <c r="H24" i="59"/>
  <c r="G23" i="59"/>
  <c r="E23" i="59"/>
  <c r="H23" i="59"/>
  <c r="G22" i="59"/>
  <c r="E22" i="59"/>
  <c r="G21" i="59"/>
  <c r="E21" i="59"/>
  <c r="G20" i="59"/>
  <c r="E20" i="59"/>
  <c r="G19" i="59"/>
  <c r="E19" i="59"/>
  <c r="H19" i="59"/>
  <c r="G18" i="59"/>
  <c r="H18" i="59"/>
  <c r="E18" i="59"/>
  <c r="G17" i="59"/>
  <c r="E17" i="59"/>
  <c r="H17" i="59"/>
  <c r="G16" i="59"/>
  <c r="E16" i="59"/>
  <c r="H16" i="59"/>
  <c r="G15" i="59"/>
  <c r="E15" i="59"/>
  <c r="G14" i="59"/>
  <c r="E14" i="59"/>
  <c r="H14" i="59"/>
  <c r="A13" i="58"/>
  <c r="A13" i="57"/>
  <c r="A13" i="56"/>
  <c r="A13" i="55"/>
  <c r="A13" i="54"/>
  <c r="A13" i="52"/>
  <c r="A13" i="51"/>
  <c r="A13" i="50"/>
  <c r="A13" i="49"/>
  <c r="A13" i="48"/>
  <c r="A13" i="47"/>
  <c r="A13" i="46"/>
  <c r="A13" i="45"/>
  <c r="A13" i="44"/>
  <c r="A13" i="43"/>
  <c r="G39" i="58"/>
  <c r="E39" i="58"/>
  <c r="G38" i="58"/>
  <c r="E38" i="58"/>
  <c r="G37" i="58"/>
  <c r="H37" i="58"/>
  <c r="E37" i="58"/>
  <c r="G36" i="58"/>
  <c r="E36" i="58"/>
  <c r="G35" i="58"/>
  <c r="H35" i="58"/>
  <c r="E35" i="58"/>
  <c r="G34" i="58"/>
  <c r="E34" i="58"/>
  <c r="H34" i="58"/>
  <c r="G33" i="58"/>
  <c r="E33" i="58"/>
  <c r="H33" i="58"/>
  <c r="G32" i="58"/>
  <c r="E32" i="58"/>
  <c r="H32" i="58"/>
  <c r="G31" i="58"/>
  <c r="E31" i="58"/>
  <c r="G30" i="58"/>
  <c r="E30" i="58"/>
  <c r="H30" i="58"/>
  <c r="G29" i="58"/>
  <c r="E29" i="58"/>
  <c r="G28" i="58"/>
  <c r="E28" i="58"/>
  <c r="G27" i="58"/>
  <c r="E27" i="58"/>
  <c r="H27" i="58"/>
  <c r="G26" i="58"/>
  <c r="E26" i="58"/>
  <c r="H26" i="58"/>
  <c r="G25" i="58"/>
  <c r="E25" i="58"/>
  <c r="G24" i="58"/>
  <c r="E24" i="58"/>
  <c r="G23" i="58"/>
  <c r="E23" i="58"/>
  <c r="H23" i="58"/>
  <c r="G22" i="58"/>
  <c r="E22" i="58"/>
  <c r="G21" i="58"/>
  <c r="E21" i="58"/>
  <c r="G20" i="58"/>
  <c r="E20" i="58"/>
  <c r="G19" i="58"/>
  <c r="H19" i="58"/>
  <c r="E19" i="58"/>
  <c r="G18" i="58"/>
  <c r="E18" i="58"/>
  <c r="H18" i="58"/>
  <c r="G17" i="58"/>
  <c r="E17" i="58"/>
  <c r="H17" i="58"/>
  <c r="G16" i="58"/>
  <c r="H16" i="58"/>
  <c r="E16" i="58"/>
  <c r="G15" i="58"/>
  <c r="E15" i="58"/>
  <c r="H15" i="58"/>
  <c r="G14" i="58"/>
  <c r="E14" i="58"/>
  <c r="G39" i="57"/>
  <c r="E39" i="57"/>
  <c r="H39" i="57"/>
  <c r="G38" i="57"/>
  <c r="E38" i="57"/>
  <c r="H38" i="57"/>
  <c r="G37" i="57"/>
  <c r="E37" i="57"/>
  <c r="G36" i="57"/>
  <c r="E36" i="57"/>
  <c r="H36" i="57"/>
  <c r="G35" i="57"/>
  <c r="E35" i="57"/>
  <c r="H35" i="57"/>
  <c r="G34" i="57"/>
  <c r="E34" i="57"/>
  <c r="G33" i="57"/>
  <c r="E33" i="57"/>
  <c r="G32" i="57"/>
  <c r="E32" i="57"/>
  <c r="H32" i="57"/>
  <c r="G31" i="57"/>
  <c r="E31" i="57"/>
  <c r="G30" i="57"/>
  <c r="E30" i="57"/>
  <c r="H30" i="57"/>
  <c r="G29" i="57"/>
  <c r="E29" i="57"/>
  <c r="H29" i="57"/>
  <c r="G28" i="57"/>
  <c r="H28" i="57"/>
  <c r="E28" i="57"/>
  <c r="G27" i="57"/>
  <c r="E27" i="57"/>
  <c r="H27" i="57"/>
  <c r="G26" i="57"/>
  <c r="E26" i="57"/>
  <c r="H26" i="57"/>
  <c r="G25" i="57"/>
  <c r="E25" i="57"/>
  <c r="G24" i="57"/>
  <c r="E24" i="57"/>
  <c r="H24" i="57"/>
  <c r="G23" i="57"/>
  <c r="E23" i="57"/>
  <c r="H23" i="57"/>
  <c r="G22" i="57"/>
  <c r="H22" i="57"/>
  <c r="E22" i="57"/>
  <c r="G21" i="57"/>
  <c r="E21" i="57"/>
  <c r="H21" i="57"/>
  <c r="G20" i="57"/>
  <c r="E20" i="57"/>
  <c r="G19" i="57"/>
  <c r="E19" i="57"/>
  <c r="G18" i="57"/>
  <c r="E18" i="57"/>
  <c r="H18" i="57"/>
  <c r="G17" i="57"/>
  <c r="H17" i="57"/>
  <c r="E17" i="57"/>
  <c r="G16" i="57"/>
  <c r="E16" i="57"/>
  <c r="H16" i="57"/>
  <c r="G15" i="57"/>
  <c r="E15" i="57"/>
  <c r="G14" i="57"/>
  <c r="E14" i="57"/>
  <c r="H14" i="57"/>
  <c r="G39" i="56"/>
  <c r="E39" i="56"/>
  <c r="G38" i="56"/>
  <c r="E38" i="56"/>
  <c r="H38" i="56"/>
  <c r="G37" i="56"/>
  <c r="H37" i="56"/>
  <c r="E37" i="56"/>
  <c r="G36" i="56"/>
  <c r="E36" i="56"/>
  <c r="G35" i="56"/>
  <c r="E35" i="56"/>
  <c r="G34" i="56"/>
  <c r="H34" i="56"/>
  <c r="E34" i="56"/>
  <c r="G32" i="56"/>
  <c r="E32" i="56"/>
  <c r="H32" i="56"/>
  <c r="G31" i="56"/>
  <c r="H31" i="56"/>
  <c r="E31" i="56"/>
  <c r="G30" i="56"/>
  <c r="E30" i="56"/>
  <c r="H30" i="56"/>
  <c r="G29" i="56"/>
  <c r="E29" i="56"/>
  <c r="H29" i="56"/>
  <c r="G28" i="56"/>
  <c r="E28" i="56"/>
  <c r="H28" i="56"/>
  <c r="G27" i="56"/>
  <c r="H27" i="56"/>
  <c r="E27" i="56"/>
  <c r="G26" i="56"/>
  <c r="E26" i="56"/>
  <c r="H26" i="56"/>
  <c r="G25" i="56"/>
  <c r="H25" i="56"/>
  <c r="E25" i="56"/>
  <c r="G24" i="56"/>
  <c r="E24" i="56"/>
  <c r="H24" i="56"/>
  <c r="G23" i="56"/>
  <c r="E23" i="56"/>
  <c r="G22" i="56"/>
  <c r="H22" i="56"/>
  <c r="E22" i="56"/>
  <c r="G21" i="56"/>
  <c r="E21" i="56"/>
  <c r="G20" i="56"/>
  <c r="H20" i="56"/>
  <c r="E20" i="56"/>
  <c r="G19" i="56"/>
  <c r="E19" i="56"/>
  <c r="H19" i="56"/>
  <c r="G18" i="56"/>
  <c r="E18" i="56"/>
  <c r="H18" i="56"/>
  <c r="G17" i="56"/>
  <c r="E17" i="56"/>
  <c r="G16" i="56"/>
  <c r="E16" i="56"/>
  <c r="G15" i="56"/>
  <c r="E15" i="56"/>
  <c r="H15" i="56"/>
  <c r="G14" i="56"/>
  <c r="G41" i="56"/>
  <c r="H45" i="56"/>
  <c r="E14" i="56"/>
  <c r="G39" i="55"/>
  <c r="E39" i="55"/>
  <c r="H39" i="55"/>
  <c r="G38" i="55"/>
  <c r="H38" i="55"/>
  <c r="E38" i="55"/>
  <c r="G37" i="55"/>
  <c r="E37" i="55"/>
  <c r="H37" i="55"/>
  <c r="G36" i="55"/>
  <c r="E36" i="55"/>
  <c r="H36" i="55"/>
  <c r="G35" i="55"/>
  <c r="E35" i="55"/>
  <c r="G34" i="55"/>
  <c r="E34" i="55"/>
  <c r="H34" i="55"/>
  <c r="G33" i="55"/>
  <c r="E33" i="55"/>
  <c r="G31" i="55"/>
  <c r="E31" i="55"/>
  <c r="H31" i="55"/>
  <c r="G30" i="55"/>
  <c r="E30" i="55"/>
  <c r="G29" i="55"/>
  <c r="E29" i="55"/>
  <c r="G28" i="55"/>
  <c r="E28" i="55"/>
  <c r="G27" i="55"/>
  <c r="E27" i="55"/>
  <c r="H27" i="55"/>
  <c r="G26" i="55"/>
  <c r="E26" i="55"/>
  <c r="H26" i="55"/>
  <c r="G25" i="55"/>
  <c r="E25" i="55"/>
  <c r="H25" i="55"/>
  <c r="G24" i="55"/>
  <c r="E24" i="55"/>
  <c r="H24" i="55"/>
  <c r="G23" i="55"/>
  <c r="E23" i="55"/>
  <c r="H23" i="55"/>
  <c r="G22" i="55"/>
  <c r="E22" i="55"/>
  <c r="G21" i="55"/>
  <c r="E21" i="55"/>
  <c r="G20" i="55"/>
  <c r="E20" i="55"/>
  <c r="H20" i="55"/>
  <c r="G19" i="55"/>
  <c r="E19" i="55"/>
  <c r="G18" i="55"/>
  <c r="G41" i="55"/>
  <c r="H45" i="55"/>
  <c r="E18" i="55"/>
  <c r="H18" i="55"/>
  <c r="G17" i="55"/>
  <c r="E17" i="55"/>
  <c r="H17" i="55"/>
  <c r="G16" i="55"/>
  <c r="E16" i="55"/>
  <c r="H16" i="55"/>
  <c r="G15" i="55"/>
  <c r="E15" i="55"/>
  <c r="G14" i="55"/>
  <c r="E14" i="55"/>
  <c r="G39" i="54"/>
  <c r="H39" i="54"/>
  <c r="E39" i="54"/>
  <c r="G38" i="54"/>
  <c r="E38" i="54"/>
  <c r="G37" i="54"/>
  <c r="E37" i="54"/>
  <c r="H37" i="54"/>
  <c r="G36" i="54"/>
  <c r="E36" i="54"/>
  <c r="G35" i="54"/>
  <c r="E35" i="54"/>
  <c r="G34" i="54"/>
  <c r="E34" i="54"/>
  <c r="H34" i="54"/>
  <c r="G32" i="54"/>
  <c r="E32" i="54"/>
  <c r="H32" i="54"/>
  <c r="G31" i="54"/>
  <c r="E31" i="54"/>
  <c r="G30" i="54"/>
  <c r="E30" i="54"/>
  <c r="H30" i="54"/>
  <c r="G29" i="54"/>
  <c r="E29" i="54"/>
  <c r="H29" i="54"/>
  <c r="G28" i="54"/>
  <c r="E28" i="54"/>
  <c r="H28" i="54"/>
  <c r="G27" i="54"/>
  <c r="E27" i="54"/>
  <c r="H27" i="54"/>
  <c r="G26" i="54"/>
  <c r="E26" i="54"/>
  <c r="G25" i="54"/>
  <c r="E25" i="54"/>
  <c r="G24" i="54"/>
  <c r="E24" i="54"/>
  <c r="H24" i="54"/>
  <c r="G23" i="54"/>
  <c r="E23" i="54"/>
  <c r="G22" i="54"/>
  <c r="E22" i="54"/>
  <c r="G21" i="54"/>
  <c r="E21" i="54"/>
  <c r="H21" i="54"/>
  <c r="G20" i="54"/>
  <c r="E20" i="54"/>
  <c r="H20" i="54"/>
  <c r="G19" i="54"/>
  <c r="E19" i="54"/>
  <c r="G18" i="54"/>
  <c r="E18" i="54"/>
  <c r="H18" i="54"/>
  <c r="G17" i="54"/>
  <c r="H17" i="54"/>
  <c r="E17" i="54"/>
  <c r="G16" i="54"/>
  <c r="E16" i="54"/>
  <c r="H16" i="54"/>
  <c r="G15" i="54"/>
  <c r="E15" i="54"/>
  <c r="G14" i="54"/>
  <c r="E14" i="54"/>
  <c r="G39" i="53"/>
  <c r="E39" i="53"/>
  <c r="G38" i="53"/>
  <c r="E38" i="53"/>
  <c r="G37" i="53"/>
  <c r="E37" i="53"/>
  <c r="G36" i="53"/>
  <c r="E36" i="53"/>
  <c r="H36" i="53"/>
  <c r="G35" i="53"/>
  <c r="E35" i="53"/>
  <c r="G34" i="53"/>
  <c r="E34" i="53"/>
  <c r="H34" i="53"/>
  <c r="G33" i="53"/>
  <c r="E33" i="53"/>
  <c r="H33" i="53"/>
  <c r="G32" i="53"/>
  <c r="E32" i="53"/>
  <c r="H32" i="53"/>
  <c r="G31" i="53"/>
  <c r="E31" i="53"/>
  <c r="G30" i="53"/>
  <c r="E30" i="53"/>
  <c r="H30" i="53"/>
  <c r="G29" i="53"/>
  <c r="E29" i="53"/>
  <c r="G28" i="53"/>
  <c r="E28" i="53"/>
  <c r="G27" i="53"/>
  <c r="E27" i="53"/>
  <c r="H27" i="53"/>
  <c r="G26" i="53"/>
  <c r="E26" i="53"/>
  <c r="G25" i="53"/>
  <c r="E25" i="53"/>
  <c r="G24" i="53"/>
  <c r="E24" i="53"/>
  <c r="H24" i="53"/>
  <c r="G23" i="53"/>
  <c r="E23" i="53"/>
  <c r="G22" i="53"/>
  <c r="E22" i="53"/>
  <c r="H22" i="53"/>
  <c r="G21" i="53"/>
  <c r="E21" i="53"/>
  <c r="G20" i="53"/>
  <c r="H20" i="53"/>
  <c r="E20" i="53"/>
  <c r="G19" i="53"/>
  <c r="E19" i="53"/>
  <c r="H19" i="53"/>
  <c r="G18" i="53"/>
  <c r="E18" i="53"/>
  <c r="G17" i="53"/>
  <c r="E17" i="53"/>
  <c r="G16" i="53"/>
  <c r="E16" i="53"/>
  <c r="G15" i="53"/>
  <c r="E15" i="53"/>
  <c r="G14" i="53"/>
  <c r="E14" i="53"/>
  <c r="H14" i="53"/>
  <c r="G39" i="52"/>
  <c r="E39" i="52"/>
  <c r="H39" i="52"/>
  <c r="G38" i="52"/>
  <c r="E38" i="52"/>
  <c r="G37" i="52"/>
  <c r="E37" i="52"/>
  <c r="H37" i="52"/>
  <c r="G36" i="52"/>
  <c r="E36" i="52"/>
  <c r="G35" i="52"/>
  <c r="E35" i="52"/>
  <c r="G34" i="52"/>
  <c r="E34" i="52"/>
  <c r="H34" i="52"/>
  <c r="G33" i="52"/>
  <c r="E33" i="52"/>
  <c r="H33" i="52"/>
  <c r="G32" i="52"/>
  <c r="H32" i="52"/>
  <c r="E32" i="52"/>
  <c r="G31" i="52"/>
  <c r="E31" i="52"/>
  <c r="G30" i="52"/>
  <c r="E30" i="52"/>
  <c r="H30" i="52"/>
  <c r="G29" i="52"/>
  <c r="E29" i="52"/>
  <c r="G28" i="52"/>
  <c r="H28" i="52"/>
  <c r="E28" i="52"/>
  <c r="G27" i="52"/>
  <c r="E27" i="52"/>
  <c r="H27" i="52"/>
  <c r="G26" i="52"/>
  <c r="E26" i="52"/>
  <c r="G25" i="52"/>
  <c r="E25" i="52"/>
  <c r="G24" i="52"/>
  <c r="E24" i="52"/>
  <c r="G23" i="52"/>
  <c r="E23" i="52"/>
  <c r="G22" i="52"/>
  <c r="E22" i="52"/>
  <c r="G21" i="52"/>
  <c r="E21" i="52"/>
  <c r="H21" i="52"/>
  <c r="G20" i="52"/>
  <c r="E20" i="52"/>
  <c r="G19" i="52"/>
  <c r="E19" i="52"/>
  <c r="H19" i="52"/>
  <c r="G18" i="52"/>
  <c r="E18" i="52"/>
  <c r="H18" i="52"/>
  <c r="G17" i="52"/>
  <c r="E17" i="52"/>
  <c r="G16" i="52"/>
  <c r="E16" i="52"/>
  <c r="H16" i="52"/>
  <c r="G15" i="52"/>
  <c r="E15" i="52"/>
  <c r="H15" i="52"/>
  <c r="G14" i="52"/>
  <c r="E14" i="52"/>
  <c r="G39" i="51"/>
  <c r="E39" i="51"/>
  <c r="G38" i="51"/>
  <c r="H38" i="51"/>
  <c r="E38" i="51"/>
  <c r="G37" i="51"/>
  <c r="E37" i="51"/>
  <c r="G36" i="51"/>
  <c r="H36" i="51"/>
  <c r="E36" i="51"/>
  <c r="G34" i="51"/>
  <c r="H34" i="51"/>
  <c r="G33" i="51"/>
  <c r="E33" i="51"/>
  <c r="H33" i="51"/>
  <c r="G32" i="51"/>
  <c r="E32" i="51"/>
  <c r="H32" i="51"/>
  <c r="G31" i="51"/>
  <c r="E31" i="51"/>
  <c r="G30" i="51"/>
  <c r="H30" i="51"/>
  <c r="E30" i="51"/>
  <c r="G29" i="51"/>
  <c r="E29" i="51"/>
  <c r="G28" i="51"/>
  <c r="E28" i="51"/>
  <c r="G27" i="51"/>
  <c r="E27" i="51"/>
  <c r="G26" i="51"/>
  <c r="E26" i="51"/>
  <c r="G25" i="51"/>
  <c r="E25" i="51"/>
  <c r="G24" i="51"/>
  <c r="H24" i="51"/>
  <c r="E24" i="51"/>
  <c r="G23" i="51"/>
  <c r="E23" i="51"/>
  <c r="H23" i="51"/>
  <c r="G22" i="51"/>
  <c r="E22" i="51"/>
  <c r="H22" i="51"/>
  <c r="G21" i="51"/>
  <c r="E21" i="51"/>
  <c r="G20" i="51"/>
  <c r="E20" i="51"/>
  <c r="G19" i="51"/>
  <c r="H19" i="51"/>
  <c r="E19" i="51"/>
  <c r="G18" i="51"/>
  <c r="E18" i="51"/>
  <c r="G17" i="51"/>
  <c r="E17" i="51"/>
  <c r="G16" i="51"/>
  <c r="E16" i="51"/>
  <c r="H16" i="51"/>
  <c r="G15" i="51"/>
  <c r="E15" i="51"/>
  <c r="G14" i="51"/>
  <c r="E14" i="51"/>
  <c r="G39" i="50"/>
  <c r="E39" i="50"/>
  <c r="H39" i="50"/>
  <c r="G38" i="50"/>
  <c r="E38" i="50"/>
  <c r="G37" i="50"/>
  <c r="E37" i="50"/>
  <c r="H37" i="50"/>
  <c r="G36" i="50"/>
  <c r="E36" i="50"/>
  <c r="G34" i="50"/>
  <c r="E34" i="50"/>
  <c r="H34" i="50"/>
  <c r="G33" i="50"/>
  <c r="E33" i="50"/>
  <c r="H33" i="50"/>
  <c r="G32" i="50"/>
  <c r="E32" i="50"/>
  <c r="G31" i="50"/>
  <c r="E31" i="50"/>
  <c r="H31" i="50"/>
  <c r="G30" i="50"/>
  <c r="E30" i="50"/>
  <c r="H30" i="50"/>
  <c r="G29" i="50"/>
  <c r="E29" i="50"/>
  <c r="H29" i="50"/>
  <c r="G28" i="50"/>
  <c r="E28" i="50"/>
  <c r="G27" i="50"/>
  <c r="E27" i="50"/>
  <c r="G26" i="50"/>
  <c r="E26" i="50"/>
  <c r="G25" i="50"/>
  <c r="E25" i="50"/>
  <c r="H25" i="50"/>
  <c r="G24" i="50"/>
  <c r="E24" i="50"/>
  <c r="H24" i="50"/>
  <c r="G23" i="50"/>
  <c r="E23" i="50"/>
  <c r="H23" i="50"/>
  <c r="G22" i="50"/>
  <c r="E22" i="50"/>
  <c r="G21" i="50"/>
  <c r="H21" i="50"/>
  <c r="E21" i="50"/>
  <c r="G20" i="50"/>
  <c r="E20" i="50"/>
  <c r="G19" i="50"/>
  <c r="E19" i="50"/>
  <c r="G18" i="50"/>
  <c r="E18" i="50"/>
  <c r="H18" i="50"/>
  <c r="G17" i="50"/>
  <c r="E17" i="50"/>
  <c r="H17" i="50"/>
  <c r="G16" i="50"/>
  <c r="E16" i="50"/>
  <c r="H16" i="50"/>
  <c r="G15" i="50"/>
  <c r="G41" i="50"/>
  <c r="H45" i="50"/>
  <c r="E15" i="50"/>
  <c r="G14" i="50"/>
  <c r="E14" i="50"/>
  <c r="H14" i="50"/>
  <c r="G39" i="49"/>
  <c r="H39" i="49"/>
  <c r="E39" i="49"/>
  <c r="G38" i="49"/>
  <c r="E38" i="49"/>
  <c r="H38" i="49"/>
  <c r="G37" i="49"/>
  <c r="E37" i="49"/>
  <c r="G36" i="49"/>
  <c r="H36" i="49"/>
  <c r="E36" i="49"/>
  <c r="G35" i="49"/>
  <c r="E35" i="49"/>
  <c r="H35" i="49"/>
  <c r="G33" i="49"/>
  <c r="E33" i="49"/>
  <c r="G32" i="49"/>
  <c r="E32" i="49"/>
  <c r="H32" i="49"/>
  <c r="G31" i="49"/>
  <c r="E31" i="49"/>
  <c r="G30" i="49"/>
  <c r="E30" i="49"/>
  <c r="H30" i="49"/>
  <c r="G29" i="49"/>
  <c r="E29" i="49"/>
  <c r="H29" i="49"/>
  <c r="G28" i="49"/>
  <c r="E28" i="49"/>
  <c r="H28" i="49"/>
  <c r="G27" i="49"/>
  <c r="E27" i="49"/>
  <c r="H27" i="49"/>
  <c r="G26" i="49"/>
  <c r="E26" i="49"/>
  <c r="H26" i="49"/>
  <c r="G25" i="49"/>
  <c r="E25" i="49"/>
  <c r="H25" i="49"/>
  <c r="G24" i="49"/>
  <c r="E24" i="49"/>
  <c r="H24" i="49"/>
  <c r="G23" i="49"/>
  <c r="E23" i="49"/>
  <c r="H23" i="49"/>
  <c r="G22" i="49"/>
  <c r="E22" i="49"/>
  <c r="H22" i="49"/>
  <c r="G21" i="49"/>
  <c r="E21" i="49"/>
  <c r="H21" i="49"/>
  <c r="G20" i="49"/>
  <c r="E20" i="49"/>
  <c r="H20" i="49"/>
  <c r="G19" i="49"/>
  <c r="E19" i="49"/>
  <c r="G18" i="49"/>
  <c r="E18" i="49"/>
  <c r="G17" i="49"/>
  <c r="E17" i="49"/>
  <c r="H17" i="49"/>
  <c r="G16" i="49"/>
  <c r="E16" i="49"/>
  <c r="H16" i="49"/>
  <c r="G15" i="49"/>
  <c r="E15" i="49"/>
  <c r="G14" i="49"/>
  <c r="E14" i="49"/>
  <c r="H14" i="49"/>
  <c r="G39" i="48"/>
  <c r="H39" i="48"/>
  <c r="E39" i="48"/>
  <c r="G38" i="48"/>
  <c r="E38" i="48"/>
  <c r="H38" i="48"/>
  <c r="G37" i="48"/>
  <c r="E37" i="48"/>
  <c r="H37" i="48"/>
  <c r="G36" i="48"/>
  <c r="E36" i="48"/>
  <c r="H36" i="48"/>
  <c r="G35" i="48"/>
  <c r="G41" i="48"/>
  <c r="H45" i="48"/>
  <c r="E35" i="48"/>
  <c r="E41" i="48"/>
  <c r="G34" i="48"/>
  <c r="E34" i="48"/>
  <c r="G33" i="48"/>
  <c r="E33" i="48"/>
  <c r="G32" i="48"/>
  <c r="E32" i="48"/>
  <c r="G31" i="48"/>
  <c r="E31" i="48"/>
  <c r="H31" i="48"/>
  <c r="G30" i="48"/>
  <c r="E30" i="48"/>
  <c r="H30" i="48"/>
  <c r="G29" i="48"/>
  <c r="E29" i="48"/>
  <c r="H29" i="48"/>
  <c r="G28" i="48"/>
  <c r="E28" i="48"/>
  <c r="G27" i="48"/>
  <c r="E27" i="48"/>
  <c r="G26" i="48"/>
  <c r="E26" i="48"/>
  <c r="G25" i="48"/>
  <c r="E25" i="48"/>
  <c r="H25" i="48"/>
  <c r="G24" i="48"/>
  <c r="E24" i="48"/>
  <c r="H24" i="48"/>
  <c r="G23" i="48"/>
  <c r="E23" i="48"/>
  <c r="G22" i="48"/>
  <c r="E22" i="48"/>
  <c r="G21" i="48"/>
  <c r="E21" i="48"/>
  <c r="G20" i="48"/>
  <c r="E20" i="48"/>
  <c r="G19" i="48"/>
  <c r="E19" i="48"/>
  <c r="H19" i="48"/>
  <c r="G18" i="48"/>
  <c r="E18" i="48"/>
  <c r="H18" i="48"/>
  <c r="G17" i="48"/>
  <c r="H17" i="48"/>
  <c r="E17" i="48"/>
  <c r="G16" i="48"/>
  <c r="H16" i="48"/>
  <c r="E16" i="48"/>
  <c r="G15" i="48"/>
  <c r="E15" i="48"/>
  <c r="H15" i="48"/>
  <c r="G14" i="48"/>
  <c r="E14" i="48"/>
  <c r="G39" i="47"/>
  <c r="E39" i="47"/>
  <c r="H39" i="47"/>
  <c r="G38" i="47"/>
  <c r="E38" i="47"/>
  <c r="H38" i="47"/>
  <c r="G37" i="47"/>
  <c r="E37" i="47"/>
  <c r="H37" i="47"/>
  <c r="G36" i="47"/>
  <c r="E36" i="47"/>
  <c r="G35" i="47"/>
  <c r="E35" i="47"/>
  <c r="H35" i="47"/>
  <c r="G34" i="47"/>
  <c r="E34" i="47"/>
  <c r="H34" i="47"/>
  <c r="G33" i="47"/>
  <c r="E33" i="47"/>
  <c r="G32" i="47"/>
  <c r="H32" i="47"/>
  <c r="E32" i="47"/>
  <c r="G31" i="47"/>
  <c r="E31" i="47"/>
  <c r="H31" i="47"/>
  <c r="G30" i="47"/>
  <c r="E30" i="47"/>
  <c r="H30" i="47"/>
  <c r="G29" i="47"/>
  <c r="H29" i="47"/>
  <c r="E29" i="47"/>
  <c r="G28" i="47"/>
  <c r="E28" i="47"/>
  <c r="G27" i="47"/>
  <c r="E27" i="47"/>
  <c r="G26" i="47"/>
  <c r="E26" i="47"/>
  <c r="G25" i="47"/>
  <c r="E25" i="47"/>
  <c r="H25" i="47"/>
  <c r="G24" i="47"/>
  <c r="E24" i="47"/>
  <c r="G23" i="47"/>
  <c r="E23" i="47"/>
  <c r="G22" i="47"/>
  <c r="E22" i="47"/>
  <c r="G21" i="47"/>
  <c r="E21" i="47"/>
  <c r="G20" i="47"/>
  <c r="H20" i="47"/>
  <c r="E20" i="47"/>
  <c r="G19" i="47"/>
  <c r="E19" i="47"/>
  <c r="G18" i="47"/>
  <c r="E18" i="47"/>
  <c r="H18" i="47"/>
  <c r="G17" i="47"/>
  <c r="E17" i="47"/>
  <c r="H17" i="47"/>
  <c r="G16" i="47"/>
  <c r="E16" i="47"/>
  <c r="G15" i="47"/>
  <c r="H15" i="47"/>
  <c r="E15" i="47"/>
  <c r="G14" i="47"/>
  <c r="E14" i="47"/>
  <c r="G39" i="46"/>
  <c r="E39" i="46"/>
  <c r="H39" i="46"/>
  <c r="G38" i="46"/>
  <c r="H38" i="46"/>
  <c r="E38" i="46"/>
  <c r="G37" i="46"/>
  <c r="E37" i="46"/>
  <c r="H37" i="46"/>
  <c r="G36" i="46"/>
  <c r="E36" i="46"/>
  <c r="G35" i="46"/>
  <c r="E35" i="46"/>
  <c r="H35" i="46"/>
  <c r="G33" i="46"/>
  <c r="H33" i="46"/>
  <c r="E33" i="46"/>
  <c r="G32" i="46"/>
  <c r="E32" i="46"/>
  <c r="H32" i="46"/>
  <c r="G31" i="46"/>
  <c r="E31" i="46"/>
  <c r="G30" i="46"/>
  <c r="E30" i="46"/>
  <c r="G29" i="46"/>
  <c r="E29" i="46"/>
  <c r="G28" i="46"/>
  <c r="H28" i="46"/>
  <c r="E28" i="46"/>
  <c r="G27" i="46"/>
  <c r="E27" i="46"/>
  <c r="H27" i="46"/>
  <c r="G26" i="46"/>
  <c r="E26" i="46"/>
  <c r="G25" i="46"/>
  <c r="E25" i="46"/>
  <c r="G24" i="46"/>
  <c r="E24" i="46"/>
  <c r="H24" i="46"/>
  <c r="G23" i="46"/>
  <c r="E23" i="46"/>
  <c r="H23" i="46"/>
  <c r="G22" i="46"/>
  <c r="E22" i="46"/>
  <c r="G21" i="46"/>
  <c r="E21" i="46"/>
  <c r="G20" i="46"/>
  <c r="E20" i="46"/>
  <c r="G19" i="46"/>
  <c r="E19" i="46"/>
  <c r="G18" i="46"/>
  <c r="H18" i="46"/>
  <c r="E18" i="46"/>
  <c r="G17" i="46"/>
  <c r="E17" i="46"/>
  <c r="H17" i="46"/>
  <c r="G16" i="46"/>
  <c r="E16" i="46"/>
  <c r="H16" i="46"/>
  <c r="G15" i="46"/>
  <c r="E15" i="46"/>
  <c r="H15" i="46"/>
  <c r="G14" i="46"/>
  <c r="E14" i="46"/>
  <c r="H14" i="46"/>
  <c r="G39" i="45"/>
  <c r="E39" i="45"/>
  <c r="H39" i="45"/>
  <c r="G38" i="45"/>
  <c r="E38" i="45"/>
  <c r="H38" i="45"/>
  <c r="G37" i="45"/>
  <c r="H37" i="45"/>
  <c r="E37" i="45"/>
  <c r="G36" i="45"/>
  <c r="E36" i="45"/>
  <c r="H36" i="45"/>
  <c r="G35" i="45"/>
  <c r="E35" i="45"/>
  <c r="G34" i="45"/>
  <c r="E34" i="45"/>
  <c r="G33" i="45"/>
  <c r="E33" i="45"/>
  <c r="H33" i="45"/>
  <c r="G32" i="45"/>
  <c r="E32" i="45"/>
  <c r="H32" i="45"/>
  <c r="G30" i="45"/>
  <c r="E30" i="45"/>
  <c r="G29" i="45"/>
  <c r="E29" i="45"/>
  <c r="H29" i="45"/>
  <c r="G28" i="45"/>
  <c r="E28" i="45"/>
  <c r="G27" i="45"/>
  <c r="H27" i="45"/>
  <c r="E27" i="45"/>
  <c r="G26" i="45"/>
  <c r="E26" i="45"/>
  <c r="G25" i="45"/>
  <c r="E25" i="45"/>
  <c r="G24" i="45"/>
  <c r="E24" i="45"/>
  <c r="H24" i="45"/>
  <c r="G23" i="45"/>
  <c r="E23" i="45"/>
  <c r="H23" i="45"/>
  <c r="G22" i="45"/>
  <c r="E22" i="45"/>
  <c r="G21" i="45"/>
  <c r="E21" i="45"/>
  <c r="E41" i="45"/>
  <c r="G20" i="45"/>
  <c r="E20" i="45"/>
  <c r="G19" i="45"/>
  <c r="E19" i="45"/>
  <c r="H19" i="45"/>
  <c r="G18" i="45"/>
  <c r="E18" i="45"/>
  <c r="H18" i="45"/>
  <c r="G17" i="45"/>
  <c r="E17" i="45"/>
  <c r="H17" i="45"/>
  <c r="G16" i="45"/>
  <c r="E16" i="45"/>
  <c r="H16" i="45"/>
  <c r="G15" i="45"/>
  <c r="E15" i="45"/>
  <c r="G14" i="45"/>
  <c r="E14" i="45"/>
  <c r="H14" i="45"/>
  <c r="G39" i="44"/>
  <c r="E39" i="44"/>
  <c r="H39" i="44"/>
  <c r="G38" i="44"/>
  <c r="E38" i="44"/>
  <c r="G37" i="44"/>
  <c r="H37" i="44"/>
  <c r="E37" i="44"/>
  <c r="G36" i="44"/>
  <c r="E36" i="44"/>
  <c r="H36" i="44"/>
  <c r="G35" i="44"/>
  <c r="E35" i="44"/>
  <c r="H35" i="44"/>
  <c r="G33" i="44"/>
  <c r="E33" i="44"/>
  <c r="H33" i="44"/>
  <c r="G32" i="44"/>
  <c r="E32" i="44"/>
  <c r="G31" i="44"/>
  <c r="E31" i="44"/>
  <c r="H31" i="44"/>
  <c r="G30" i="44"/>
  <c r="E30" i="44"/>
  <c r="H30" i="44"/>
  <c r="G29" i="44"/>
  <c r="E29" i="44"/>
  <c r="H29" i="44"/>
  <c r="G28" i="44"/>
  <c r="E28" i="44"/>
  <c r="G27" i="44"/>
  <c r="E27" i="44"/>
  <c r="H27" i="44"/>
  <c r="G26" i="44"/>
  <c r="E26" i="44"/>
  <c r="G25" i="44"/>
  <c r="E25" i="44"/>
  <c r="G24" i="44"/>
  <c r="E24" i="44"/>
  <c r="H24" i="44"/>
  <c r="G23" i="44"/>
  <c r="E23" i="44"/>
  <c r="G22" i="44"/>
  <c r="E22" i="44"/>
  <c r="H22" i="44"/>
  <c r="G21" i="44"/>
  <c r="E21" i="44"/>
  <c r="H21" i="44"/>
  <c r="G20" i="44"/>
  <c r="E20" i="44"/>
  <c r="H20" i="44"/>
  <c r="G19" i="44"/>
  <c r="E19" i="44"/>
  <c r="G18" i="44"/>
  <c r="E18" i="44"/>
  <c r="G17" i="44"/>
  <c r="E17" i="44"/>
  <c r="H17" i="44"/>
  <c r="G16" i="44"/>
  <c r="E16" i="44"/>
  <c r="G15" i="44"/>
  <c r="E15" i="44"/>
  <c r="G14" i="44"/>
  <c r="E14" i="44"/>
  <c r="G39" i="43"/>
  <c r="E39" i="43"/>
  <c r="H39" i="43"/>
  <c r="G38" i="43"/>
  <c r="E38" i="43"/>
  <c r="H38" i="43"/>
  <c r="G37" i="43"/>
  <c r="E37" i="43"/>
  <c r="H37" i="43"/>
  <c r="G36" i="43"/>
  <c r="H36" i="43"/>
  <c r="E36" i="43"/>
  <c r="G35" i="43"/>
  <c r="E35" i="43"/>
  <c r="H35" i="43"/>
  <c r="G34" i="43"/>
  <c r="E34" i="43"/>
  <c r="G33" i="43"/>
  <c r="E33" i="43"/>
  <c r="G32" i="43"/>
  <c r="E32" i="43"/>
  <c r="G31" i="43"/>
  <c r="E31" i="43"/>
  <c r="G30" i="43"/>
  <c r="E30" i="43"/>
  <c r="H30" i="43"/>
  <c r="G29" i="43"/>
  <c r="E29" i="43"/>
  <c r="H29" i="43"/>
  <c r="G28" i="43"/>
  <c r="E28" i="43"/>
  <c r="H28" i="43"/>
  <c r="G27" i="43"/>
  <c r="E27" i="43"/>
  <c r="G26" i="43"/>
  <c r="E26" i="43"/>
  <c r="G25" i="43"/>
  <c r="E25" i="43"/>
  <c r="G24" i="43"/>
  <c r="H24" i="43"/>
  <c r="E24" i="43"/>
  <c r="G23" i="43"/>
  <c r="E23" i="43"/>
  <c r="G22" i="43"/>
  <c r="H22" i="43"/>
  <c r="E22" i="43"/>
  <c r="G21" i="43"/>
  <c r="E21" i="43"/>
  <c r="H21" i="43"/>
  <c r="G20" i="43"/>
  <c r="E20" i="43"/>
  <c r="H20" i="43"/>
  <c r="G19" i="43"/>
  <c r="E19" i="43"/>
  <c r="G18" i="43"/>
  <c r="E18" i="43"/>
  <c r="G17" i="43"/>
  <c r="E17" i="43"/>
  <c r="H17" i="43"/>
  <c r="G16" i="43"/>
  <c r="E16" i="43"/>
  <c r="H16" i="43"/>
  <c r="G15" i="43"/>
  <c r="E15" i="43"/>
  <c r="H15" i="43"/>
  <c r="G14" i="43"/>
  <c r="E14" i="43"/>
  <c r="G14" i="6"/>
  <c r="G41" i="6"/>
  <c r="H45" i="6"/>
  <c r="G15" i="6"/>
  <c r="G16" i="6"/>
  <c r="G17" i="6"/>
  <c r="G18" i="6"/>
  <c r="G19" i="6"/>
  <c r="G20" i="6"/>
  <c r="G21" i="6"/>
  <c r="E14" i="6"/>
  <c r="E15" i="6"/>
  <c r="E16" i="6"/>
  <c r="E17" i="6"/>
  <c r="H17" i="6"/>
  <c r="E18" i="6"/>
  <c r="H18" i="6"/>
  <c r="E19" i="6"/>
  <c r="H19" i="6"/>
  <c r="E20" i="6"/>
  <c r="H20" i="6"/>
  <c r="E21" i="6"/>
  <c r="A13" i="6"/>
  <c r="G14" i="5"/>
  <c r="H14" i="5"/>
  <c r="G15" i="5"/>
  <c r="G16" i="5"/>
  <c r="G17" i="5"/>
  <c r="G18" i="5"/>
  <c r="G20" i="5"/>
  <c r="G21" i="5"/>
  <c r="G22" i="5"/>
  <c r="E14" i="5"/>
  <c r="E15" i="5"/>
  <c r="H15" i="5"/>
  <c r="E16" i="5"/>
  <c r="E17" i="5"/>
  <c r="H17" i="5"/>
  <c r="E18" i="5"/>
  <c r="H18" i="5"/>
  <c r="E20" i="5"/>
  <c r="E21" i="5"/>
  <c r="E22" i="5"/>
  <c r="H22" i="5"/>
  <c r="A13" i="5"/>
  <c r="G14" i="4"/>
  <c r="E14" i="4"/>
  <c r="E15" i="4"/>
  <c r="H15" i="4"/>
  <c r="G15" i="4"/>
  <c r="G16" i="4"/>
  <c r="G17" i="4"/>
  <c r="G18" i="4"/>
  <c r="G19" i="4"/>
  <c r="E16" i="4"/>
  <c r="E17" i="4"/>
  <c r="E18" i="4"/>
  <c r="H18" i="4"/>
  <c r="E19" i="4"/>
  <c r="H19" i="4"/>
  <c r="A13" i="4"/>
  <c r="G25" i="3"/>
  <c r="G15" i="3"/>
  <c r="G16" i="3"/>
  <c r="G17" i="3"/>
  <c r="G18" i="3"/>
  <c r="G20" i="3"/>
  <c r="G21" i="3"/>
  <c r="G22" i="3"/>
  <c r="G23" i="3"/>
  <c r="G24" i="3"/>
  <c r="E15" i="3"/>
  <c r="E16" i="3"/>
  <c r="H16" i="3"/>
  <c r="E17" i="3"/>
  <c r="E18" i="3"/>
  <c r="E20" i="3"/>
  <c r="E21" i="3"/>
  <c r="E22" i="3"/>
  <c r="H22" i="3"/>
  <c r="E23" i="3"/>
  <c r="E24" i="3"/>
  <c r="H24" i="3"/>
  <c r="E25" i="3"/>
  <c r="H25" i="3"/>
  <c r="E26" i="3"/>
  <c r="E27" i="3"/>
  <c r="E28" i="3"/>
  <c r="H28" i="3"/>
  <c r="G14" i="3"/>
  <c r="G38" i="5"/>
  <c r="E38" i="5"/>
  <c r="E14" i="3"/>
  <c r="H14" i="3"/>
  <c r="A13" i="3"/>
  <c r="E23" i="5"/>
  <c r="E24" i="5"/>
  <c r="H24" i="5"/>
  <c r="E25" i="5"/>
  <c r="E26" i="5"/>
  <c r="E27" i="5"/>
  <c r="E28" i="5"/>
  <c r="H28" i="5"/>
  <c r="E29" i="5"/>
  <c r="E30" i="5"/>
  <c r="H30" i="5"/>
  <c r="E31" i="5"/>
  <c r="H31" i="5"/>
  <c r="E32" i="5"/>
  <c r="H32" i="5"/>
  <c r="E33" i="5"/>
  <c r="E34" i="5"/>
  <c r="E35" i="5"/>
  <c r="E36" i="5"/>
  <c r="E37" i="5"/>
  <c r="E39" i="5"/>
  <c r="H39" i="5"/>
  <c r="G23" i="5"/>
  <c r="H23" i="5"/>
  <c r="G24" i="5"/>
  <c r="G25" i="5"/>
  <c r="G26" i="5"/>
  <c r="G27" i="5"/>
  <c r="G28" i="5"/>
  <c r="G29" i="5"/>
  <c r="H29" i="5"/>
  <c r="G30" i="5"/>
  <c r="G31" i="5"/>
  <c r="G32" i="5"/>
  <c r="G33" i="5"/>
  <c r="H33" i="5"/>
  <c r="G34" i="5"/>
  <c r="H34" i="5"/>
  <c r="G35" i="5"/>
  <c r="H35" i="5"/>
  <c r="G36" i="5"/>
  <c r="G37" i="5"/>
  <c r="H37" i="5"/>
  <c r="G39" i="5"/>
  <c r="E29" i="3"/>
  <c r="E30" i="3"/>
  <c r="E31" i="3"/>
  <c r="E33" i="3"/>
  <c r="E34" i="3"/>
  <c r="E35" i="3"/>
  <c r="H35" i="3"/>
  <c r="E36" i="3"/>
  <c r="E37" i="3"/>
  <c r="E38" i="3"/>
  <c r="E39" i="3"/>
  <c r="G26" i="3"/>
  <c r="H26" i="3"/>
  <c r="G27" i="3"/>
  <c r="G28" i="3"/>
  <c r="G29" i="3"/>
  <c r="G30" i="3"/>
  <c r="G31" i="3"/>
  <c r="G33" i="3"/>
  <c r="H33" i="3"/>
  <c r="G34" i="3"/>
  <c r="G35" i="3"/>
  <c r="G36" i="3"/>
  <c r="G37" i="3"/>
  <c r="G38" i="3"/>
  <c r="G39" i="3"/>
  <c r="E39" i="4"/>
  <c r="G39" i="4"/>
  <c r="E38" i="4"/>
  <c r="G38" i="4"/>
  <c r="H38" i="4"/>
  <c r="E37" i="4"/>
  <c r="H37" i="4"/>
  <c r="G37" i="4"/>
  <c r="E36" i="4"/>
  <c r="H36" i="4"/>
  <c r="G36" i="4"/>
  <c r="E35" i="4"/>
  <c r="G35" i="4"/>
  <c r="E34" i="4"/>
  <c r="G34" i="4"/>
  <c r="E33" i="4"/>
  <c r="H33" i="4"/>
  <c r="G33" i="4"/>
  <c r="E32" i="4"/>
  <c r="H32" i="4"/>
  <c r="G32" i="4"/>
  <c r="E31" i="4"/>
  <c r="H31" i="4"/>
  <c r="G31" i="4"/>
  <c r="E30" i="4"/>
  <c r="H30" i="4"/>
  <c r="G30" i="4"/>
  <c r="E29" i="4"/>
  <c r="H29" i="4"/>
  <c r="G29" i="4"/>
  <c r="E28" i="4"/>
  <c r="H28" i="4"/>
  <c r="G28" i="4"/>
  <c r="H27" i="4"/>
  <c r="E26" i="4"/>
  <c r="H26" i="4"/>
  <c r="E25" i="4"/>
  <c r="H25" i="4"/>
  <c r="G25" i="4"/>
  <c r="E24" i="4"/>
  <c r="H24" i="4"/>
  <c r="G24" i="4"/>
  <c r="E23" i="4"/>
  <c r="G23" i="4"/>
  <c r="E22" i="4"/>
  <c r="G22" i="4"/>
  <c r="E21" i="4"/>
  <c r="H21" i="4"/>
  <c r="G21" i="4"/>
  <c r="E20" i="4"/>
  <c r="H20" i="4"/>
  <c r="G20" i="4"/>
  <c r="E39" i="6"/>
  <c r="H39" i="6"/>
  <c r="G39" i="6"/>
  <c r="E38" i="6"/>
  <c r="G38" i="6"/>
  <c r="E37" i="6"/>
  <c r="G37" i="6"/>
  <c r="E36" i="6"/>
  <c r="G36" i="6"/>
  <c r="E35" i="6"/>
  <c r="H35" i="6"/>
  <c r="G35" i="6"/>
  <c r="E34" i="6"/>
  <c r="H34" i="6"/>
  <c r="G34" i="6"/>
  <c r="E33" i="6"/>
  <c r="G33" i="6"/>
  <c r="H33" i="6"/>
  <c r="E32" i="6"/>
  <c r="H32" i="6"/>
  <c r="G32" i="6"/>
  <c r="E31" i="6"/>
  <c r="H31" i="6"/>
  <c r="G31" i="6"/>
  <c r="E30" i="6"/>
  <c r="H30" i="6"/>
  <c r="G30" i="6"/>
  <c r="E28" i="6"/>
  <c r="G28" i="6"/>
  <c r="E27" i="6"/>
  <c r="H27" i="6"/>
  <c r="G27" i="6"/>
  <c r="E26" i="6"/>
  <c r="G26" i="6"/>
  <c r="H26" i="6"/>
  <c r="E25" i="6"/>
  <c r="H25" i="6"/>
  <c r="G25" i="6"/>
  <c r="E24" i="6"/>
  <c r="G24" i="6"/>
  <c r="H24" i="6"/>
  <c r="E23" i="6"/>
  <c r="H23" i="6"/>
  <c r="G23" i="6"/>
  <c r="E22" i="6"/>
  <c r="G22" i="6"/>
  <c r="E29" i="6"/>
  <c r="H29" i="6"/>
  <c r="G29" i="6"/>
  <c r="H14" i="72"/>
  <c r="H14" i="73"/>
  <c r="H14" i="82"/>
  <c r="H14" i="83"/>
  <c r="H14" i="61"/>
  <c r="H14" i="67"/>
  <c r="E41" i="68"/>
  <c r="H14" i="70"/>
  <c r="H14" i="52"/>
  <c r="H14" i="58"/>
  <c r="H15" i="3"/>
  <c r="H33" i="43"/>
  <c r="H18" i="44"/>
  <c r="H19" i="46"/>
  <c r="H30" i="46"/>
  <c r="H21" i="47"/>
  <c r="H28" i="47"/>
  <c r="H33" i="48"/>
  <c r="H33" i="49"/>
  <c r="H28" i="50"/>
  <c r="H32" i="50"/>
  <c r="H26" i="51"/>
  <c r="H39" i="51"/>
  <c r="H24" i="52"/>
  <c r="H36" i="52"/>
  <c r="H25" i="53"/>
  <c r="H29" i="53"/>
  <c r="H19" i="54"/>
  <c r="H22" i="54"/>
  <c r="H26" i="54"/>
  <c r="H19" i="55"/>
  <c r="H22" i="55"/>
  <c r="H35" i="55"/>
  <c r="H17" i="56"/>
  <c r="H21" i="56"/>
  <c r="H19" i="57"/>
  <c r="H34" i="57"/>
  <c r="H39" i="58"/>
  <c r="H33" i="59"/>
  <c r="E41" i="60"/>
  <c r="H22" i="60"/>
  <c r="H34" i="60"/>
  <c r="H38" i="60"/>
  <c r="H17" i="61"/>
  <c r="H28" i="61"/>
  <c r="H37" i="61"/>
  <c r="H20" i="62"/>
  <c r="H23" i="62"/>
  <c r="H27" i="62"/>
  <c r="H36" i="62"/>
  <c r="H18" i="63"/>
  <c r="H25" i="63"/>
  <c r="H34" i="63"/>
  <c r="H16" i="64"/>
  <c r="H23" i="64"/>
  <c r="H39" i="64"/>
  <c r="H21" i="65"/>
  <c r="H24" i="65"/>
  <c r="H28" i="65"/>
  <c r="H36" i="65"/>
  <c r="H18" i="66"/>
  <c r="H29" i="66"/>
  <c r="H34" i="66"/>
  <c r="H29" i="67"/>
  <c r="H34" i="67"/>
  <c r="H38" i="67"/>
  <c r="H16" i="68"/>
  <c r="H20" i="68"/>
  <c r="H23" i="68"/>
  <c r="H27" i="68"/>
  <c r="H18" i="69"/>
  <c r="H29" i="69"/>
  <c r="H37" i="69"/>
  <c r="H15" i="70"/>
  <c r="H19" i="70"/>
  <c r="H22" i="70"/>
  <c r="H26" i="70"/>
  <c r="H34" i="70"/>
  <c r="H38" i="70"/>
  <c r="H20" i="71"/>
  <c r="H27" i="71"/>
  <c r="H35" i="71"/>
  <c r="H39" i="71"/>
  <c r="H18" i="72"/>
  <c r="H29" i="72"/>
  <c r="H37" i="72"/>
  <c r="H19" i="73"/>
  <c r="H22" i="73"/>
  <c r="H30" i="73"/>
  <c r="H34" i="73"/>
  <c r="H16" i="74"/>
  <c r="H27" i="74"/>
  <c r="H35" i="74"/>
  <c r="H14" i="75"/>
  <c r="H20" i="75"/>
  <c r="H23" i="75"/>
  <c r="H18" i="76"/>
  <c r="H25" i="76"/>
  <c r="H34" i="76"/>
  <c r="H38" i="76"/>
  <c r="H16" i="77"/>
  <c r="H20" i="77"/>
  <c r="H23" i="77"/>
  <c r="H39" i="77"/>
  <c r="H17" i="78"/>
  <c r="H28" i="78"/>
  <c r="H36" i="78"/>
  <c r="H15" i="79"/>
  <c r="H19" i="79"/>
  <c r="H30" i="79"/>
  <c r="H35" i="79"/>
  <c r="H25" i="80"/>
  <c r="H29" i="80"/>
  <c r="H38" i="80"/>
  <c r="H16" i="81"/>
  <c r="H20" i="81"/>
  <c r="H27" i="81"/>
  <c r="H31" i="81"/>
  <c r="H36" i="81"/>
  <c r="H18" i="82"/>
  <c r="H29" i="82"/>
  <c r="H33" i="82"/>
  <c r="H37" i="82"/>
  <c r="E41" i="83"/>
  <c r="H15" i="83"/>
  <c r="H22" i="83"/>
  <c r="H26" i="83"/>
  <c r="H30" i="83"/>
  <c r="H34" i="83"/>
  <c r="H38" i="83"/>
  <c r="H16" i="84"/>
  <c r="H20" i="84"/>
  <c r="H23" i="84"/>
  <c r="H27" i="84"/>
  <c r="H35" i="84"/>
  <c r="H39" i="84"/>
  <c r="H42" i="84"/>
  <c r="H19" i="5"/>
  <c r="H14" i="48"/>
  <c r="H16" i="47"/>
  <c r="H15" i="51"/>
  <c r="H20" i="52"/>
  <c r="G41" i="53"/>
  <c r="H45" i="53"/>
  <c r="H28" i="6"/>
  <c r="H16" i="6"/>
  <c r="H20" i="46"/>
  <c r="H15" i="55"/>
  <c r="E41" i="67"/>
  <c r="H42" i="67"/>
  <c r="E41" i="84"/>
  <c r="E41" i="81"/>
  <c r="H42" i="81"/>
  <c r="H43" i="81"/>
  <c r="H22" i="4"/>
  <c r="H26" i="5"/>
  <c r="H14" i="44"/>
  <c r="H34" i="48"/>
  <c r="H29" i="51"/>
  <c r="H25" i="5"/>
  <c r="H33" i="57"/>
  <c r="H23" i="53"/>
  <c r="H23" i="4"/>
  <c r="H28" i="48"/>
  <c r="G41" i="54"/>
  <c r="H45" i="54"/>
  <c r="H31" i="43"/>
  <c r="H25" i="44"/>
  <c r="H34" i="45"/>
  <c r="H35" i="48"/>
  <c r="H25" i="52"/>
  <c r="H29" i="52"/>
  <c r="H25" i="54"/>
  <c r="H29" i="55"/>
  <c r="H37" i="57"/>
  <c r="H15" i="59"/>
  <c r="H20" i="65"/>
  <c r="H22" i="82"/>
  <c r="E41" i="82"/>
  <c r="G41" i="83"/>
  <c r="H45" i="83"/>
  <c r="H32" i="83"/>
  <c r="H17" i="84"/>
  <c r="H36" i="6"/>
  <c r="H20" i="5"/>
  <c r="H21" i="48"/>
  <c r="H22" i="52"/>
  <c r="H26" i="52"/>
  <c r="H21" i="53"/>
  <c r="H34" i="43"/>
  <c r="H15" i="50"/>
  <c r="H31" i="54"/>
  <c r="H36" i="54"/>
  <c r="H35" i="56"/>
  <c r="H39" i="56"/>
  <c r="H26" i="59"/>
  <c r="H30" i="59"/>
  <c r="H22" i="48"/>
  <c r="H28" i="55"/>
  <c r="H33" i="55"/>
  <c r="H36" i="58"/>
  <c r="H23" i="61"/>
  <c r="H38" i="58"/>
  <c r="H20" i="61"/>
  <c r="H37" i="63"/>
  <c r="H18" i="64"/>
  <c r="H27" i="66"/>
  <c r="H38" i="71"/>
  <c r="H36" i="73"/>
  <c r="H17" i="76"/>
  <c r="E41" i="80"/>
  <c r="H38" i="81"/>
  <c r="H31" i="57"/>
  <c r="H27" i="59"/>
  <c r="H23" i="60"/>
  <c r="H37" i="62"/>
  <c r="G41" i="63"/>
  <c r="H45" i="63"/>
  <c r="H23" i="65"/>
  <c r="H38" i="68"/>
  <c r="H36" i="69"/>
  <c r="H17" i="72"/>
  <c r="H19" i="74"/>
  <c r="H29" i="83"/>
  <c r="G41" i="70"/>
  <c r="H45" i="70"/>
  <c r="H32" i="70"/>
  <c r="H22" i="76"/>
  <c r="G41" i="84"/>
  <c r="H45" i="84"/>
  <c r="G41" i="81"/>
  <c r="H45" i="81"/>
  <c r="H25" i="57"/>
  <c r="H18" i="60"/>
  <c r="H29" i="61"/>
  <c r="H39" i="61"/>
  <c r="H30" i="62"/>
  <c r="H21" i="64"/>
  <c r="H24" i="64"/>
  <c r="H29" i="70"/>
  <c r="H39" i="73"/>
  <c r="H17" i="75"/>
  <c r="H20" i="76"/>
  <c r="H39" i="82"/>
  <c r="H38" i="3"/>
  <c r="H34" i="3"/>
  <c r="H36" i="3"/>
  <c r="H31" i="3"/>
  <c r="H40" i="3"/>
  <c r="H29" i="3"/>
  <c r="H35" i="73"/>
  <c r="G41" i="44"/>
  <c r="H45" i="44"/>
  <c r="E41" i="46"/>
  <c r="G41" i="76"/>
  <c r="H45" i="76"/>
  <c r="G41" i="74"/>
  <c r="H45" i="74"/>
  <c r="H15" i="73"/>
  <c r="H38" i="6"/>
  <c r="H15" i="6"/>
  <c r="H18" i="43"/>
  <c r="H23" i="43"/>
  <c r="H25" i="43"/>
  <c r="E41" i="43"/>
  <c r="H14" i="43"/>
  <c r="G41" i="52"/>
  <c r="H45" i="52"/>
  <c r="E41" i="79"/>
  <c r="E41" i="75"/>
  <c r="H42" i="63"/>
  <c r="H36" i="5"/>
  <c r="H38" i="5"/>
  <c r="H19" i="43"/>
  <c r="H26" i="43"/>
  <c r="H23" i="44"/>
  <c r="G41" i="45"/>
  <c r="H45" i="45"/>
  <c r="H26" i="45"/>
  <c r="H28" i="45"/>
  <c r="H32" i="43"/>
  <c r="H16" i="44"/>
  <c r="H26" i="44"/>
  <c r="H32" i="44"/>
  <c r="H38" i="44"/>
  <c r="H15" i="45"/>
  <c r="H20" i="45"/>
  <c r="H22" i="45"/>
  <c r="H21" i="46"/>
  <c r="H26" i="46"/>
  <c r="H29" i="46"/>
  <c r="H14" i="47"/>
  <c r="H23" i="47"/>
  <c r="H26" i="47"/>
  <c r="H36" i="47"/>
  <c r="H23" i="48"/>
  <c r="H26" i="48"/>
  <c r="H20" i="50"/>
  <c r="H18" i="51"/>
  <c r="H20" i="51"/>
  <c r="H25" i="51"/>
  <c r="H27" i="51"/>
  <c r="H31" i="51"/>
  <c r="H23" i="52"/>
  <c r="H38" i="52"/>
  <c r="H16" i="53"/>
  <c r="H28" i="53"/>
  <c r="H35" i="53"/>
  <c r="H39" i="53"/>
  <c r="H21" i="55"/>
  <c r="H25" i="58"/>
  <c r="H28" i="58"/>
  <c r="H22" i="59"/>
  <c r="H38" i="59"/>
  <c r="H15" i="60"/>
  <c r="H39" i="60"/>
  <c r="H35" i="65"/>
  <c r="H37" i="65"/>
  <c r="H16" i="66"/>
  <c r="H32" i="81"/>
  <c r="H16" i="82"/>
  <c r="H34" i="49"/>
  <c r="H32" i="62"/>
  <c r="H22" i="46"/>
  <c r="H25" i="46"/>
  <c r="H22" i="47"/>
  <c r="H27" i="47"/>
  <c r="H20" i="48"/>
  <c r="H27" i="48"/>
  <c r="H32" i="48"/>
  <c r="H37" i="49"/>
  <c r="H27" i="50"/>
  <c r="H17" i="51"/>
  <c r="H21" i="51"/>
  <c r="H28" i="51"/>
  <c r="H15" i="53"/>
  <c r="H38" i="53"/>
  <c r="H16" i="56"/>
  <c r="H23" i="56"/>
  <c r="H36" i="56"/>
  <c r="H22" i="58"/>
  <c r="H24" i="58"/>
  <c r="H29" i="58"/>
  <c r="H21" i="59"/>
  <c r="H21" i="60"/>
  <c r="H36" i="60"/>
  <c r="H27" i="63"/>
  <c r="H16" i="70"/>
  <c r="E41" i="70"/>
  <c r="H28" i="70"/>
  <c r="H33" i="61"/>
  <c r="H17" i="62"/>
  <c r="H39" i="62"/>
  <c r="H16" i="63"/>
  <c r="H20" i="63"/>
  <c r="H31" i="63"/>
  <c r="H25" i="65"/>
  <c r="H31" i="65"/>
  <c r="H22" i="66"/>
  <c r="H24" i="67"/>
  <c r="H32" i="68"/>
  <c r="H20" i="69"/>
  <c r="H31" i="69"/>
  <c r="H37" i="70"/>
  <c r="H39" i="70"/>
  <c r="H19" i="72"/>
  <c r="H24" i="72"/>
  <c r="H26" i="72"/>
  <c r="H39" i="72"/>
  <c r="H30" i="74"/>
  <c r="H32" i="74"/>
  <c r="H37" i="74"/>
  <c r="H15" i="80"/>
  <c r="H33" i="79"/>
  <c r="H29" i="74"/>
  <c r="H33" i="74"/>
  <c r="H15" i="76"/>
  <c r="H30" i="76"/>
  <c r="H37" i="76"/>
  <c r="H34" i="77"/>
  <c r="H20" i="78"/>
  <c r="H17" i="79"/>
  <c r="H21" i="79"/>
  <c r="H23" i="79"/>
  <c r="H27" i="79"/>
  <c r="H34" i="80"/>
  <c r="H22" i="81"/>
  <c r="H19" i="82"/>
  <c r="H23" i="82"/>
  <c r="H38" i="82"/>
  <c r="H33" i="54"/>
  <c r="H33" i="68"/>
  <c r="H27" i="73"/>
  <c r="H18" i="74"/>
  <c r="H26" i="74"/>
  <c r="H18" i="75"/>
  <c r="H22" i="75"/>
  <c r="H24" i="75"/>
  <c r="H28" i="75"/>
  <c r="H23" i="76"/>
  <c r="H27" i="76"/>
  <c r="H15" i="77"/>
  <c r="H17" i="77"/>
  <c r="H24" i="77"/>
  <c r="H37" i="79"/>
  <c r="H26" i="81"/>
  <c r="H21" i="83"/>
  <c r="H23" i="83"/>
  <c r="H35" i="83"/>
  <c r="H34" i="84"/>
  <c r="H36" i="84"/>
  <c r="H27" i="3"/>
  <c r="H30" i="3"/>
  <c r="H23" i="3"/>
  <c r="H20" i="3"/>
  <c r="H37" i="3"/>
  <c r="H18" i="3"/>
  <c r="G41" i="5"/>
  <c r="H45" i="5"/>
  <c r="H16" i="5"/>
  <c r="H17" i="4"/>
  <c r="H40" i="4"/>
  <c r="H39" i="4"/>
  <c r="G41" i="4"/>
  <c r="H45" i="4"/>
  <c r="H16" i="4"/>
  <c r="H39" i="3"/>
  <c r="H43" i="73"/>
  <c r="H44" i="73"/>
  <c r="H46" i="73"/>
  <c r="D47" i="1"/>
  <c r="H43" i="84"/>
  <c r="H46" i="84"/>
  <c r="D58" i="1"/>
  <c r="H44" i="84"/>
  <c r="H44" i="67"/>
  <c r="H43" i="67"/>
  <c r="H46" i="67"/>
  <c r="D41" i="1"/>
  <c r="H42" i="82"/>
  <c r="G41" i="51"/>
  <c r="H45" i="51"/>
  <c r="E41" i="64"/>
  <c r="H31" i="82"/>
  <c r="G41" i="82"/>
  <c r="H45" i="82"/>
  <c r="E41" i="61"/>
  <c r="G41" i="49"/>
  <c r="H45" i="49"/>
  <c r="H15" i="49"/>
  <c r="H36" i="59"/>
  <c r="G41" i="59"/>
  <c r="H45" i="59"/>
  <c r="H20" i="67"/>
  <c r="H42" i="3"/>
  <c r="H19" i="47"/>
  <c r="E41" i="47"/>
  <c r="H20" i="57"/>
  <c r="E41" i="57"/>
  <c r="H20" i="58"/>
  <c r="G41" i="58"/>
  <c r="H45" i="58"/>
  <c r="H20" i="59"/>
  <c r="E41" i="59"/>
  <c r="H19" i="78"/>
  <c r="E41" i="78"/>
  <c r="G41" i="80"/>
  <c r="H45" i="80"/>
  <c r="H18" i="80"/>
  <c r="H21" i="45"/>
  <c r="G41" i="47"/>
  <c r="H45" i="47"/>
  <c r="H15" i="57"/>
  <c r="G41" i="57"/>
  <c r="H45" i="57"/>
  <c r="H21" i="58"/>
  <c r="H42" i="58"/>
  <c r="E41" i="58"/>
  <c r="H42" i="59"/>
  <c r="H14" i="77"/>
  <c r="H42" i="77"/>
  <c r="E41" i="77"/>
  <c r="H42" i="45"/>
  <c r="H42" i="48"/>
  <c r="H14" i="56"/>
  <c r="E41" i="56"/>
  <c r="H42" i="56"/>
  <c r="H14" i="64"/>
  <c r="G41" i="64"/>
  <c r="H45" i="64"/>
  <c r="E41" i="4"/>
  <c r="H42" i="4"/>
  <c r="H43" i="63"/>
  <c r="H44" i="63"/>
  <c r="H44" i="81"/>
  <c r="H46" i="81"/>
  <c r="H19" i="44"/>
  <c r="H33" i="71"/>
  <c r="E41" i="66"/>
  <c r="H42" i="66"/>
  <c r="H15" i="54"/>
  <c r="E41" i="54"/>
  <c r="H42" i="54"/>
  <c r="H14" i="4"/>
  <c r="E41" i="49"/>
  <c r="H42" i="49"/>
  <c r="H17" i="52"/>
  <c r="E41" i="52"/>
  <c r="H27" i="5"/>
  <c r="E41" i="5"/>
  <c r="H42" i="5"/>
  <c r="E41" i="44"/>
  <c r="H42" i="44"/>
  <c r="H15" i="44"/>
  <c r="H38" i="50"/>
  <c r="E41" i="50"/>
  <c r="H42" i="50"/>
  <c r="H37" i="51"/>
  <c r="E41" i="51"/>
  <c r="H14" i="55"/>
  <c r="E41" i="55"/>
  <c r="H42" i="55"/>
  <c r="H16" i="65"/>
  <c r="H42" i="65"/>
  <c r="H27" i="65"/>
  <c r="H23" i="66"/>
  <c r="G41" i="78"/>
  <c r="H45" i="78"/>
  <c r="H14" i="78"/>
  <c r="H42" i="78"/>
  <c r="G41" i="61"/>
  <c r="H45" i="61"/>
  <c r="G41" i="79"/>
  <c r="E41" i="65"/>
  <c r="H22" i="50"/>
  <c r="H31" i="53"/>
  <c r="H32" i="59"/>
  <c r="H21" i="63"/>
  <c r="H36" i="63"/>
  <c r="H16" i="67"/>
  <c r="H23" i="69"/>
  <c r="H24" i="76"/>
  <c r="G41" i="77"/>
  <c r="H45" i="77"/>
  <c r="H24" i="79"/>
  <c r="H27" i="82"/>
  <c r="H21" i="5"/>
  <c r="H35" i="45"/>
  <c r="H36" i="46"/>
  <c r="H31" i="49"/>
  <c r="H14" i="51"/>
  <c r="H35" i="52"/>
  <c r="H26" i="53"/>
  <c r="H37" i="53"/>
  <c r="H23" i="54"/>
  <c r="H35" i="54"/>
  <c r="H30" i="55"/>
  <c r="H19" i="62"/>
  <c r="H18" i="65"/>
  <c r="H22" i="67"/>
  <c r="H35" i="70"/>
  <c r="H42" i="70"/>
  <c r="E41" i="71"/>
  <c r="H15" i="71"/>
  <c r="H42" i="71"/>
  <c r="H15" i="72"/>
  <c r="H42" i="72"/>
  <c r="G41" i="73"/>
  <c r="H45" i="73"/>
  <c r="E41" i="76"/>
  <c r="H42" i="76"/>
  <c r="E41" i="73"/>
  <c r="E41" i="72"/>
  <c r="H14" i="6"/>
  <c r="E41" i="6"/>
  <c r="H27" i="43"/>
  <c r="H42" i="43"/>
  <c r="G41" i="46"/>
  <c r="H45" i="46"/>
  <c r="H31" i="46"/>
  <c r="H31" i="52"/>
  <c r="H24" i="60"/>
  <c r="H42" i="60"/>
  <c r="H20" i="66"/>
  <c r="H19" i="69"/>
  <c r="H36" i="71"/>
  <c r="G41" i="75"/>
  <c r="H45" i="75"/>
  <c r="E41" i="62"/>
  <c r="H42" i="62"/>
  <c r="H34" i="4"/>
  <c r="E41" i="3"/>
  <c r="H21" i="3"/>
  <c r="H28" i="44"/>
  <c r="H30" i="45"/>
  <c r="H33" i="47"/>
  <c r="H18" i="49"/>
  <c r="H19" i="50"/>
  <c r="H36" i="50"/>
  <c r="H17" i="53"/>
  <c r="H42" i="53"/>
  <c r="G41" i="68"/>
  <c r="H45" i="68"/>
  <c r="H17" i="74"/>
  <c r="E41" i="74"/>
  <c r="H42" i="74"/>
  <c r="H42" i="57"/>
  <c r="G41" i="65"/>
  <c r="H45" i="65"/>
  <c r="H39" i="81"/>
  <c r="H25" i="83"/>
  <c r="H42" i="83"/>
  <c r="H40" i="58"/>
  <c r="H37" i="6"/>
  <c r="H35" i="4"/>
  <c r="H21" i="6"/>
  <c r="G41" i="43"/>
  <c r="H45" i="43"/>
  <c r="H25" i="45"/>
  <c r="E41" i="53"/>
  <c r="H18" i="53"/>
  <c r="H14" i="54"/>
  <c r="H38" i="54"/>
  <c r="H32" i="69"/>
  <c r="H22" i="6"/>
  <c r="G41" i="3"/>
  <c r="H45" i="3"/>
  <c r="H17" i="3"/>
  <c r="H24" i="47"/>
  <c r="H42" i="47"/>
  <c r="H19" i="49"/>
  <c r="H26" i="50"/>
  <c r="H31" i="58"/>
  <c r="H28" i="62"/>
  <c r="H19" i="64"/>
  <c r="H32" i="75"/>
  <c r="H16" i="76"/>
  <c r="H43" i="58"/>
  <c r="H44" i="58"/>
  <c r="H46" i="58"/>
  <c r="D32" i="1"/>
  <c r="H43" i="53"/>
  <c r="H44" i="53"/>
  <c r="H44" i="47"/>
  <c r="H43" i="47"/>
  <c r="H46" i="47"/>
  <c r="D21" i="1"/>
  <c r="H43" i="83"/>
  <c r="H44" i="83"/>
  <c r="H46" i="83"/>
  <c r="D57" i="1"/>
  <c r="H43" i="70"/>
  <c r="H44" i="70"/>
  <c r="H46" i="70"/>
  <c r="D44" i="1"/>
  <c r="H43" i="43"/>
  <c r="H44" i="43"/>
  <c r="H46" i="43"/>
  <c r="D17" i="1"/>
  <c r="H43" i="72"/>
  <c r="H44" i="72"/>
  <c r="H46" i="72"/>
  <c r="D46" i="1"/>
  <c r="H43" i="60"/>
  <c r="H42" i="52"/>
  <c r="H43" i="4"/>
  <c r="H44" i="4"/>
  <c r="H46" i="4"/>
  <c r="D14" i="1"/>
  <c r="H42" i="80"/>
  <c r="H42" i="51"/>
  <c r="H43" i="54"/>
  <c r="H44" i="54"/>
  <c r="H46" i="54"/>
  <c r="H42" i="64"/>
  <c r="H43" i="65"/>
  <c r="H44" i="65"/>
  <c r="H46" i="65"/>
  <c r="D39" i="1"/>
  <c r="H43" i="50"/>
  <c r="H44" i="50"/>
  <c r="H43" i="56"/>
  <c r="H44" i="56"/>
  <c r="H43" i="71"/>
  <c r="H46" i="71"/>
  <c r="D45" i="1"/>
  <c r="H44" i="71"/>
  <c r="H43" i="55"/>
  <c r="H44" i="55"/>
  <c r="H46" i="55"/>
  <c r="H43" i="3"/>
  <c r="H44" i="3"/>
  <c r="H46" i="3"/>
  <c r="D13" i="1"/>
  <c r="H43" i="74"/>
  <c r="H44" i="74"/>
  <c r="H46" i="74"/>
  <c r="H42" i="6"/>
  <c r="H43" i="66"/>
  <c r="H44" i="66"/>
  <c r="H43" i="48"/>
  <c r="H44" i="48"/>
  <c r="H46" i="48"/>
  <c r="D22" i="1"/>
  <c r="H42" i="61"/>
  <c r="H43" i="82"/>
  <c r="H44" i="82"/>
  <c r="H43" i="57"/>
  <c r="H44" i="57"/>
  <c r="H46" i="57"/>
  <c r="D31" i="1"/>
  <c r="H43" i="62"/>
  <c r="H44" i="62"/>
  <c r="H43" i="78"/>
  <c r="H46" i="78"/>
  <c r="D52" i="1"/>
  <c r="H44" i="78"/>
  <c r="H43" i="44"/>
  <c r="H44" i="44"/>
  <c r="H46" i="44"/>
  <c r="D18" i="1"/>
  <c r="H43" i="45"/>
  <c r="H44" i="45"/>
  <c r="H46" i="45"/>
  <c r="D19" i="1"/>
  <c r="H43" i="59"/>
  <c r="H44" i="59"/>
  <c r="H46" i="59"/>
  <c r="D33" i="1"/>
  <c r="H45" i="79"/>
  <c r="H42" i="79"/>
  <c r="H43" i="5"/>
  <c r="H44" i="5"/>
  <c r="H46" i="5"/>
  <c r="D15" i="1"/>
  <c r="H42" i="68"/>
  <c r="H42" i="75"/>
  <c r="H46" i="63"/>
  <c r="D37" i="1"/>
  <c r="H43" i="49"/>
  <c r="H44" i="49"/>
  <c r="H43" i="76"/>
  <c r="H44" i="76"/>
  <c r="H42" i="69"/>
  <c r="H42" i="46"/>
  <c r="H43" i="77"/>
  <c r="H44" i="77"/>
  <c r="H46" i="77"/>
  <c r="D51" i="1"/>
  <c r="H46" i="60"/>
  <c r="D34" i="1"/>
  <c r="H43" i="68"/>
  <c r="H44" i="68"/>
  <c r="H46" i="68"/>
  <c r="D42" i="1"/>
  <c r="H46" i="56"/>
  <c r="D30" i="1"/>
  <c r="H43" i="51"/>
  <c r="H44" i="51"/>
  <c r="H46" i="51"/>
  <c r="D25" i="1"/>
  <c r="H46" i="82"/>
  <c r="D56" i="1"/>
  <c r="H43" i="80"/>
  <c r="H44" i="80"/>
  <c r="H46" i="80"/>
  <c r="D54" i="1"/>
  <c r="H43" i="46"/>
  <c r="H44" i="46"/>
  <c r="H46" i="46"/>
  <c r="D20" i="1"/>
  <c r="H43" i="79"/>
  <c r="H46" i="79"/>
  <c r="D53" i="1"/>
  <c r="H44" i="79"/>
  <c r="H46" i="50"/>
  <c r="D24" i="1"/>
  <c r="H46" i="53"/>
  <c r="D27" i="1"/>
  <c r="H43" i="6"/>
  <c r="H44" i="6"/>
  <c r="H46" i="6"/>
  <c r="D16" i="1"/>
  <c r="H43" i="75"/>
  <c r="H44" i="75"/>
  <c r="H46" i="75"/>
  <c r="D49" i="1"/>
  <c r="H43" i="61"/>
  <c r="H44" i="61"/>
  <c r="H46" i="61"/>
  <c r="D35" i="1"/>
  <c r="H43" i="52"/>
  <c r="H44" i="52"/>
  <c r="H43" i="69"/>
  <c r="H44" i="69"/>
  <c r="H46" i="76"/>
  <c r="D50" i="1"/>
  <c r="H46" i="66"/>
  <c r="D40" i="1"/>
  <c r="H44" i="60"/>
  <c r="H46" i="49"/>
  <c r="D23" i="1"/>
  <c r="H46" i="62"/>
  <c r="D36" i="1"/>
  <c r="H43" i="64"/>
  <c r="H46" i="69"/>
  <c r="D43" i="1"/>
  <c r="H46" i="52"/>
  <c r="D26" i="1"/>
  <c r="H44" i="64"/>
  <c r="H46" i="64"/>
  <c r="D38" i="1"/>
  <c r="D60" i="1"/>
  <c r="C28" i="1"/>
  <c r="C29" i="1"/>
  <c r="D63" i="1"/>
  <c r="D64" i="1"/>
  <c r="D65" i="1"/>
  <c r="D66" i="1"/>
  <c r="C55" i="1"/>
  <c r="C48" i="1"/>
  <c r="C41" i="1"/>
  <c r="C47" i="1"/>
  <c r="C58" i="1"/>
  <c r="C44" i="1"/>
  <c r="C51" i="1"/>
  <c r="C15" i="1"/>
  <c r="C18" i="1"/>
  <c r="C32" i="1"/>
  <c r="C39" i="1"/>
  <c r="C21" i="1"/>
  <c r="C17" i="1"/>
  <c r="C13" i="1"/>
  <c r="C14" i="1"/>
  <c r="C57" i="1"/>
  <c r="C52" i="1"/>
  <c r="C22" i="1"/>
  <c r="C45" i="1"/>
  <c r="C37" i="1"/>
  <c r="C33" i="1"/>
  <c r="C31" i="1"/>
  <c r="C19" i="1"/>
  <c r="C46" i="1"/>
  <c r="C54" i="1"/>
  <c r="C42" i="1"/>
  <c r="C16" i="1"/>
  <c r="C56" i="1"/>
  <c r="C27" i="1"/>
  <c r="C50" i="1"/>
  <c r="C35" i="1"/>
  <c r="C49" i="1"/>
  <c r="C24" i="1"/>
  <c r="C23" i="1"/>
  <c r="C53" i="1"/>
  <c r="C30" i="1"/>
  <c r="C34" i="1"/>
  <c r="C36" i="1"/>
  <c r="C25" i="1"/>
  <c r="C40" i="1"/>
  <c r="C20" i="1"/>
  <c r="C43" i="1"/>
  <c r="C26" i="1"/>
  <c r="C38" i="1"/>
  <c r="C60" i="1"/>
  <c r="D67" i="1"/>
  <c r="D6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davisjam</author>
  </authors>
  <commentList>
    <comment ref="F15" authorId="0" shapeId="0" xr:uid="{BF8D0DC3-A6EF-4972-865A-BF69DFD161F4}">
      <text>
        <r>
          <rPr>
            <b/>
            <sz val="9"/>
            <color indexed="81"/>
            <rFont val="Tahoma"/>
            <family val="2"/>
          </rPr>
          <t>davisjam:</t>
        </r>
        <r>
          <rPr>
            <sz val="9"/>
            <color indexed="81"/>
            <rFont val="Tahoma"/>
            <family val="2"/>
          </rPr>
          <t xml:space="preserve">
Percentages listed are place fillers. Please complete as required</t>
        </r>
      </text>
    </comment>
  </commentList>
</comments>
</file>

<file path=xl/sharedStrings.xml><?xml version="1.0" encoding="utf-8"?>
<sst xmlns="http://schemas.openxmlformats.org/spreadsheetml/2006/main" count="1604" uniqueCount="134">
  <si>
    <t>DATE</t>
  </si>
  <si>
    <t>CONSTRUCTION COST ESTIMATE</t>
  </si>
  <si>
    <t>PROJECT</t>
  </si>
  <si>
    <t>BASIS FOR ESTIMATE</t>
  </si>
  <si>
    <t xml:space="preserve">     CODE A (No design completed)</t>
  </si>
  <si>
    <t>LOCATION</t>
  </si>
  <si>
    <t xml:space="preserve">     CODE B (Preliminary design)</t>
  </si>
  <si>
    <t>EGLIN AIR FORCE BASE, FLORIDA</t>
  </si>
  <si>
    <t xml:space="preserve">     CODE C (Final design)</t>
  </si>
  <si>
    <t>PROJECT NO.</t>
  </si>
  <si>
    <t xml:space="preserve">     OTHER (Specify)</t>
  </si>
  <si>
    <t>DRAWING NO.</t>
  </si>
  <si>
    <t>ESTIMATOR</t>
  </si>
  <si>
    <t>CHECKED BY</t>
  </si>
  <si>
    <t>QUANTITY</t>
  </si>
  <si>
    <t>LABOR</t>
  </si>
  <si>
    <t>MATERIAL</t>
  </si>
  <si>
    <t>ITEM DESCRIPTION</t>
  </si>
  <si>
    <t>NO. UNITS</t>
  </si>
  <si>
    <t>UNIT MEAS.</t>
  </si>
  <si>
    <t>PER UNIT</t>
  </si>
  <si>
    <t>TOTAL</t>
  </si>
  <si>
    <t>TOTAL COST</t>
  </si>
  <si>
    <t>SUBTOTAL</t>
  </si>
  <si>
    <t>DIVISION</t>
  </si>
  <si>
    <t>DESCRIPTION</t>
  </si>
  <si>
    <t>% by
Division</t>
  </si>
  <si>
    <t>Division Total</t>
  </si>
  <si>
    <t>DIVISION 01</t>
  </si>
  <si>
    <t>DIVISION 02</t>
  </si>
  <si>
    <t>DIVISION 03</t>
  </si>
  <si>
    <t>DIVISION 04</t>
  </si>
  <si>
    <t>MASONRY</t>
  </si>
  <si>
    <t>DIVISION 05</t>
  </si>
  <si>
    <t>METALS</t>
  </si>
  <si>
    <t>DIVISION 06</t>
  </si>
  <si>
    <t>DIVISION 07</t>
  </si>
  <si>
    <t>DIVISION 08</t>
  </si>
  <si>
    <t>DIVISION 09</t>
  </si>
  <si>
    <t>FINISHES</t>
  </si>
  <si>
    <t>ELECTRICAL</t>
  </si>
  <si>
    <t>COMPANY</t>
  </si>
  <si>
    <t>TOTAL LABOR/MATERIALS</t>
  </si>
  <si>
    <t>HARD COST TOTAL</t>
  </si>
  <si>
    <t>CONTRACT TOTAL</t>
  </si>
  <si>
    <t>CONCRETE WORK</t>
  </si>
  <si>
    <t>DIVISION 10</t>
  </si>
  <si>
    <t>SPECIALTIES</t>
  </si>
  <si>
    <t>DIVISION 11</t>
  </si>
  <si>
    <t>EQUIPMENT</t>
  </si>
  <si>
    <t>DIVISION 12</t>
  </si>
  <si>
    <t>FURNISHINGS</t>
  </si>
  <si>
    <t>DIVISION 13</t>
  </si>
  <si>
    <t>SPECIAL CONSTRUCTION</t>
  </si>
  <si>
    <t>DIVISION 14</t>
  </si>
  <si>
    <t>DIVISION 15</t>
  </si>
  <si>
    <t>DIVISION 16</t>
  </si>
  <si>
    <t>EXISTING CONDITIONS</t>
  </si>
  <si>
    <t>GENERAL REQUIREMENTS</t>
  </si>
  <si>
    <t>WOOD, PLASTICS AND COMPOSITES</t>
  </si>
  <si>
    <t>THERMAL AND MOISTURE PROTECTION</t>
  </si>
  <si>
    <t>OPENINGS</t>
  </si>
  <si>
    <t>CONVEYING EQUIPMENT</t>
  </si>
  <si>
    <t>RESERVED</t>
  </si>
  <si>
    <t>DIVISION 20</t>
  </si>
  <si>
    <t>DIVISION 21</t>
  </si>
  <si>
    <t>DIVISION 22</t>
  </si>
  <si>
    <t>DIVISION 23</t>
  </si>
  <si>
    <t>DIVISION 24</t>
  </si>
  <si>
    <t>DIVISION 25</t>
  </si>
  <si>
    <t>DIVISION 26</t>
  </si>
  <si>
    <t>DIVISION 27</t>
  </si>
  <si>
    <t>DIVISION 28</t>
  </si>
  <si>
    <t>DIVISION 29</t>
  </si>
  <si>
    <t>DIVISION 30</t>
  </si>
  <si>
    <t>DIVISION 31</t>
  </si>
  <si>
    <t>DIVISION 32</t>
  </si>
  <si>
    <t>FIRE SUPRESSION</t>
  </si>
  <si>
    <t>PLUMBING</t>
  </si>
  <si>
    <t>HEATING, VENTILATING AND A/C</t>
  </si>
  <si>
    <t>INTEGRATED AUTOMATION</t>
  </si>
  <si>
    <t>COMMUNICATIONS</t>
  </si>
  <si>
    <t>ELECTRONIC SAFETY AND SECURITY</t>
  </si>
  <si>
    <t>DIVISION 33</t>
  </si>
  <si>
    <t>DIVISION 34</t>
  </si>
  <si>
    <t>DIVISION 35</t>
  </si>
  <si>
    <t>EARTHWORK</t>
  </si>
  <si>
    <t>EXTERIOR IMPROVEMENTS</t>
  </si>
  <si>
    <t>UTILITIES</t>
  </si>
  <si>
    <t>TRANSPORTATION</t>
  </si>
  <si>
    <t>WATERWAYS AND MARINE CONSTRUCTION</t>
  </si>
  <si>
    <t>DIVISION 36</t>
  </si>
  <si>
    <t>DIVISION 37</t>
  </si>
  <si>
    <t>DIVISION 38</t>
  </si>
  <si>
    <t>DIVISION 39</t>
  </si>
  <si>
    <t>DIVISION 40</t>
  </si>
  <si>
    <t>DIVISION 41</t>
  </si>
  <si>
    <t>DIVISION 42</t>
  </si>
  <si>
    <t>DIVISION 43</t>
  </si>
  <si>
    <t>DIVISION 44</t>
  </si>
  <si>
    <t>DIVISION 45</t>
  </si>
  <si>
    <t>DIVISION 46</t>
  </si>
  <si>
    <t>DIVISION 47</t>
  </si>
  <si>
    <t>DIVISION 48</t>
  </si>
  <si>
    <t>PROCESS INTEGRATION</t>
  </si>
  <si>
    <t>MATERIAL PROCESING AND HANDLING EQUIPMENT</t>
  </si>
  <si>
    <t>PROCESS HEATING, COOLING AND DRYING EQUIPMENT</t>
  </si>
  <si>
    <t>PROCESS GAS &amp; LIQUID HANDLING, PURIFICATION AND STORAGE EQUIPMENT</t>
  </si>
  <si>
    <t>POLLUTION CONTROL EQUIPMENT</t>
  </si>
  <si>
    <t>INDUSTRY-SPECIFIC MANUFACTURING EQUIPMENT</t>
  </si>
  <si>
    <t>ELECTRICAL POWER GENERATION</t>
  </si>
  <si>
    <t>DIVISION 49</t>
  </si>
  <si>
    <t>BUILDER'S RISK / PERFORMANCE BONDS (Fill in%)</t>
  </si>
  <si>
    <t>GC Overhead</t>
  </si>
  <si>
    <t>Sub Overhead</t>
  </si>
  <si>
    <t>Sub Profit</t>
  </si>
  <si>
    <t>Sales Tax</t>
  </si>
  <si>
    <t>Risk/Bonding</t>
  </si>
  <si>
    <r>
      <rPr>
        <b/>
        <u/>
        <sz val="12"/>
        <color indexed="10"/>
        <rFont val="Arial"/>
        <family val="2"/>
      </rPr>
      <t xml:space="preserve">FILL IN AS REQUIRED </t>
    </r>
    <r>
      <rPr>
        <b/>
        <sz val="12"/>
        <color indexed="10"/>
        <rFont val="Arial"/>
        <family val="2"/>
      </rPr>
      <t>(this will link to the entire document)</t>
    </r>
  </si>
  <si>
    <t>Fill Here</t>
  </si>
  <si>
    <t>Date:</t>
  </si>
  <si>
    <t>Sub-Contractor's Overhead</t>
  </si>
  <si>
    <t>Sub-Contractor's Profit</t>
  </si>
  <si>
    <t>FL State Sales Tax</t>
  </si>
  <si>
    <t xml:space="preserve"> </t>
  </si>
  <si>
    <t>GC Profit</t>
  </si>
  <si>
    <t>PRIME GENERAL CONTRACT OFFICE OVERHEAD (Fill in%)</t>
  </si>
  <si>
    <t>PRIME GENERAL CONTRACTOR'S PROFIT(Fill in%)</t>
  </si>
  <si>
    <t>* CSI = Construction Specifications Institute</t>
  </si>
  <si>
    <r>
      <t>The ktr is required to complete the areas marked "</t>
    </r>
    <r>
      <rPr>
        <sz val="11"/>
        <color indexed="10"/>
        <rFont val="Arial"/>
        <family val="2"/>
      </rPr>
      <t>Fill Here"</t>
    </r>
    <r>
      <rPr>
        <sz val="11"/>
        <rFont val="Arial"/>
        <family val="2"/>
      </rPr>
      <t xml:space="preserve">  in the summary tab.  The rest of the information in the summary tab will automatically tabulate from the individual division tabs except for the few exceptions listed above. 
</t>
    </r>
  </si>
  <si>
    <r>
      <t xml:space="preserve">Use the information from the prefilled division sheets below to complete the 50 Divisions Cost Estimate CSI* Format tool to build your proposal.  The information from the prefilled division sheets may not be all inclusive.  The contractor is allowed to include any missing items from each division and is allowed to fill in other divisions that are not listed in the prefilled division sheets.  If there is a disagreement with the prefilled division sheets, the contractor should not delete the element(s), but instead leave it blank and then include their suggested element(s) at the bottom of that division tab.  Please note that on the summary page there is a place to fill in overhead and profit percentages for both the prime and the subcontractor that will self-populate the summary page and all the division tabs.  
</t>
    </r>
    <r>
      <rPr>
        <u/>
        <sz val="11"/>
        <rFont val="Verdana"/>
        <family val="2"/>
      </rPr>
      <t>Exceptions</t>
    </r>
    <r>
      <rPr>
        <sz val="11"/>
        <rFont val="Verdana"/>
        <family val="2"/>
      </rPr>
      <t xml:space="preserve">:
     (1) if each subcontractor has a different overhead and profit rates than the percentage placed on the summary page, an adjustment will have to be made to that specific division page.  The spreadsheet will still calculate correctly. 
     (2) If the prime is self-performing the work for that division then the profit and overhead will need to be zeroed for that particular division, because the primes overhead and profit is already captured on the summary page.  
</t>
    </r>
  </si>
  <si>
    <t>This spreadsheet contains many formulas... please save a copy prior to editting in case you make a mistake.   All shaded areas are either linked or contain formulas</t>
  </si>
  <si>
    <t>Sample Input</t>
  </si>
  <si>
    <t xml:space="preserve">Divisions 1, 2, and 3 show sample inputs to illustrate how the spreadsheet works.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</si>
</sst>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20" x14ac:knownFonts="1">
    <font>
      <sz val="10"/>
      <name val="MS Sans Serif"/>
    </font>
    <font>
      <b/>
      <sz val="10"/>
      <name val="MS Sans Serif"/>
    </font>
    <font>
      <sz val="10"/>
      <name val="MS Sans Serif"/>
      <family val="2"/>
    </font>
    <font>
      <b/>
      <sz val="8"/>
      <name val="Arial"/>
      <family val="2"/>
    </font>
    <font>
      <sz val="8"/>
      <name val="Arial"/>
      <family val="2"/>
    </font>
    <font>
      <b/>
      <sz val="10"/>
      <name val="Arial"/>
      <family val="2"/>
    </font>
    <font>
      <sz val="10"/>
      <name val="Arial"/>
      <family val="2"/>
    </font>
    <font>
      <sz val="12"/>
      <name val="Arial"/>
      <family val="2"/>
    </font>
    <font>
      <i/>
      <sz val="10"/>
      <name val="Arial"/>
      <family val="2"/>
    </font>
    <font>
      <b/>
      <sz val="12"/>
      <color indexed="10"/>
      <name val="Arial"/>
      <family val="2"/>
    </font>
    <font>
      <b/>
      <u/>
      <sz val="12"/>
      <color indexed="10"/>
      <name val="Arial"/>
      <family val="2"/>
    </font>
    <font>
      <b/>
      <sz val="9"/>
      <color indexed="81"/>
      <name val="Tahoma"/>
      <family val="2"/>
    </font>
    <font>
      <sz val="9"/>
      <color indexed="81"/>
      <name val="Tahoma"/>
      <family val="2"/>
    </font>
    <font>
      <sz val="11"/>
      <name val="Arial"/>
      <family val="2"/>
    </font>
    <font>
      <sz val="11"/>
      <color indexed="10"/>
      <name val="Arial"/>
      <family val="2"/>
    </font>
    <font>
      <sz val="11"/>
      <name val="Verdana"/>
      <family val="2"/>
    </font>
    <font>
      <u/>
      <sz val="11"/>
      <name val="Verdana"/>
      <family val="2"/>
    </font>
    <font>
      <b/>
      <sz val="8"/>
      <color rgb="FFFF0000"/>
      <name val="Arial"/>
      <family val="2"/>
    </font>
    <font>
      <b/>
      <sz val="10"/>
      <color rgb="FFFF0000"/>
      <name val="MS Sans Serif"/>
      <family val="2"/>
    </font>
    <font>
      <b/>
      <sz val="12"/>
      <color rgb="FFFF0000"/>
      <name val="Arial"/>
      <family val="2"/>
    </font>
  </fonts>
  <fills count="7">
    <fill>
      <patternFill patternType="none"/>
    </fill>
    <fill>
      <patternFill patternType="gray125"/>
    </fill>
    <fill>
      <patternFill patternType="gray0625"/>
    </fill>
    <fill>
      <patternFill patternType="solid">
        <fgColor indexed="65"/>
        <bgColor indexed="64"/>
      </patternFill>
    </fill>
    <fill>
      <patternFill patternType="solid">
        <fgColor rgb="FFFF0000"/>
        <bgColor indexed="64"/>
      </patternFill>
    </fill>
    <fill>
      <patternFill patternType="gray0625">
        <bgColor rgb="FFFF0000"/>
      </patternFill>
    </fill>
    <fill>
      <patternFill patternType="gray125">
        <bgColor rgb="FFFF0000"/>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s>
  <cellStyleXfs count="1">
    <xf numFmtId="0" fontId="0" fillId="0" borderId="0"/>
  </cellStyleXfs>
  <cellXfs count="140">
    <xf numFmtId="0" fontId="0" fillId="0" borderId="0" xfId="0"/>
    <xf numFmtId="43" fontId="4" fillId="0" borderId="1" xfId="0" applyNumberFormat="1" applyFont="1" applyBorder="1"/>
    <xf numFmtId="43" fontId="3" fillId="0" borderId="2" xfId="0" applyNumberFormat="1" applyFont="1" applyBorder="1"/>
    <xf numFmtId="43" fontId="3" fillId="0" borderId="3" xfId="0" applyNumberFormat="1" applyFont="1" applyBorder="1"/>
    <xf numFmtId="43" fontId="4" fillId="0" borderId="2" xfId="0" applyNumberFormat="1" applyFont="1" applyBorder="1"/>
    <xf numFmtId="0" fontId="4" fillId="0" borderId="0" xfId="0" applyFont="1" applyBorder="1"/>
    <xf numFmtId="0" fontId="4" fillId="0" borderId="0" xfId="0" applyFont="1"/>
    <xf numFmtId="43" fontId="4" fillId="0" borderId="4" xfId="0" applyNumberFormat="1" applyFont="1" applyBorder="1"/>
    <xf numFmtId="43" fontId="4" fillId="0" borderId="5" xfId="0" applyNumberFormat="1" applyFont="1" applyBorder="1"/>
    <xf numFmtId="0" fontId="4" fillId="0" borderId="6" xfId="0" applyFont="1" applyBorder="1"/>
    <xf numFmtId="43" fontId="4" fillId="0" borderId="0" xfId="0" applyNumberFormat="1" applyFont="1"/>
    <xf numFmtId="43" fontId="4" fillId="0" borderId="0" xfId="0" applyNumberFormat="1" applyFont="1" applyBorder="1"/>
    <xf numFmtId="43" fontId="3" fillId="0" borderId="6" xfId="0" applyNumberFormat="1" applyFont="1" applyBorder="1"/>
    <xf numFmtId="43" fontId="4" fillId="0" borderId="7" xfId="0" applyNumberFormat="1" applyFont="1" applyBorder="1"/>
    <xf numFmtId="0" fontId="3" fillId="0" borderId="8" xfId="0" applyFont="1" applyBorder="1"/>
    <xf numFmtId="0" fontId="4" fillId="0" borderId="5" xfId="0" applyFont="1" applyBorder="1"/>
    <xf numFmtId="43" fontId="4" fillId="0" borderId="6" xfId="0" applyNumberFormat="1" applyFont="1" applyBorder="1"/>
    <xf numFmtId="43" fontId="4" fillId="0" borderId="3" xfId="0" applyNumberFormat="1" applyFont="1" applyBorder="1"/>
    <xf numFmtId="0" fontId="4" fillId="0" borderId="9" xfId="0" applyFont="1" applyBorder="1" applyAlignment="1">
      <alignment horizontal="centerContinuous" vertical="center"/>
    </xf>
    <xf numFmtId="0" fontId="4" fillId="0" borderId="5" xfId="0" applyFont="1" applyBorder="1" applyAlignment="1">
      <alignment horizontal="centerContinuous"/>
    </xf>
    <xf numFmtId="43" fontId="4" fillId="0" borderId="5" xfId="0" applyNumberFormat="1" applyFont="1" applyBorder="1" applyAlignment="1">
      <alignment horizontal="centerContinuous"/>
    </xf>
    <xf numFmtId="43" fontId="4" fillId="0" borderId="8" xfId="0" applyNumberFormat="1" applyFont="1" applyBorder="1" applyAlignment="1">
      <alignment horizontal="centerContinuous"/>
    </xf>
    <xf numFmtId="43" fontId="4" fillId="0" borderId="9" xfId="0" applyNumberFormat="1" applyFont="1" applyBorder="1" applyAlignment="1">
      <alignment horizontal="center" vertical="top"/>
    </xf>
    <xf numFmtId="0" fontId="4" fillId="0" borderId="10" xfId="0" applyFont="1" applyBorder="1" applyAlignment="1">
      <alignment horizontal="centerContinuous" vertical="center"/>
    </xf>
    <xf numFmtId="0" fontId="4" fillId="0" borderId="4" xfId="0" applyFont="1" applyBorder="1" applyAlignment="1">
      <alignment vertical="top" wrapText="1"/>
    </xf>
    <xf numFmtId="43" fontId="4" fillId="0" borderId="4" xfId="0" applyNumberFormat="1" applyFont="1" applyBorder="1" applyAlignment="1">
      <alignment vertical="top" wrapText="1"/>
    </xf>
    <xf numFmtId="43" fontId="4" fillId="0" borderId="4" xfId="0" applyNumberFormat="1" applyFont="1" applyBorder="1" applyAlignment="1">
      <alignment horizontal="center"/>
    </xf>
    <xf numFmtId="43" fontId="4" fillId="0" borderId="4" xfId="0" applyNumberFormat="1" applyFont="1" applyBorder="1" applyAlignment="1">
      <alignment horizontal="centerContinuous"/>
    </xf>
    <xf numFmtId="43" fontId="4" fillId="0" borderId="4" xfId="0" applyNumberFormat="1" applyFont="1" applyBorder="1" applyAlignment="1">
      <alignment horizontal="center" vertical="top"/>
    </xf>
    <xf numFmtId="0" fontId="5" fillId="0" borderId="10" xfId="0" applyFont="1" applyBorder="1"/>
    <xf numFmtId="0" fontId="6" fillId="0" borderId="10" xfId="0" applyFont="1" applyBorder="1"/>
    <xf numFmtId="43" fontId="6" fillId="0" borderId="10" xfId="0" applyNumberFormat="1" applyFont="1" applyBorder="1"/>
    <xf numFmtId="0" fontId="6" fillId="0" borderId="11" xfId="0" applyFont="1" applyBorder="1"/>
    <xf numFmtId="43" fontId="6" fillId="0" borderId="11" xfId="0" applyNumberFormat="1" applyFont="1" applyBorder="1"/>
    <xf numFmtId="0" fontId="5" fillId="0" borderId="11" xfId="0" applyFont="1" applyBorder="1"/>
    <xf numFmtId="0" fontId="6" fillId="0" borderId="0" xfId="0" applyFont="1"/>
    <xf numFmtId="43" fontId="6" fillId="0" borderId="0" xfId="0" applyNumberFormat="1" applyFont="1"/>
    <xf numFmtId="43" fontId="3" fillId="0" borderId="0" xfId="0" applyNumberFormat="1" applyFont="1" applyBorder="1"/>
    <xf numFmtId="43" fontId="3" fillId="0" borderId="7" xfId="0" applyNumberFormat="1" applyFont="1" applyBorder="1"/>
    <xf numFmtId="0" fontId="6" fillId="0" borderId="10" xfId="0" applyFont="1" applyFill="1" applyBorder="1"/>
    <xf numFmtId="43" fontId="6" fillId="0" borderId="10" xfId="0" applyNumberFormat="1" applyFont="1" applyFill="1" applyBorder="1"/>
    <xf numFmtId="0" fontId="4" fillId="0" borderId="12" xfId="0" applyFont="1" applyBorder="1"/>
    <xf numFmtId="9" fontId="6" fillId="0" borderId="10" xfId="0" applyNumberFormat="1" applyFont="1" applyBorder="1"/>
    <xf numFmtId="43" fontId="5" fillId="0" borderId="11" xfId="0" applyNumberFormat="1" applyFont="1" applyBorder="1"/>
    <xf numFmtId="0" fontId="6" fillId="0" borderId="12" xfId="0" applyFont="1" applyBorder="1"/>
    <xf numFmtId="43" fontId="6" fillId="0" borderId="12" xfId="0" applyNumberFormat="1" applyFont="1" applyBorder="1"/>
    <xf numFmtId="0" fontId="6" fillId="0" borderId="10" xfId="0" applyFont="1" applyBorder="1" applyAlignment="1">
      <alignment horizontal="center"/>
    </xf>
    <xf numFmtId="43" fontId="6" fillId="0" borderId="10" xfId="0" applyNumberFormat="1" applyFont="1" applyBorder="1" applyAlignment="1">
      <alignment horizontal="center"/>
    </xf>
    <xf numFmtId="0" fontId="5" fillId="0" borderId="13" xfId="0" applyFont="1" applyBorder="1" applyAlignment="1"/>
    <xf numFmtId="0" fontId="0" fillId="0" borderId="14" xfId="0" applyBorder="1" applyAlignment="1"/>
    <xf numFmtId="0" fontId="4" fillId="0" borderId="6" xfId="0" applyFont="1" applyBorder="1" applyAlignment="1"/>
    <xf numFmtId="0" fontId="4" fillId="0" borderId="0" xfId="0" applyFont="1" applyBorder="1" applyAlignment="1"/>
    <xf numFmtId="0" fontId="4" fillId="0" borderId="7" xfId="0" applyFont="1" applyBorder="1" applyAlignment="1"/>
    <xf numFmtId="0" fontId="4" fillId="0" borderId="0" xfId="0" applyFont="1" applyFill="1"/>
    <xf numFmtId="0" fontId="6" fillId="0" borderId="10" xfId="0" applyFont="1" applyBorder="1" applyAlignment="1">
      <alignment wrapText="1"/>
    </xf>
    <xf numFmtId="43" fontId="4" fillId="0" borderId="12" xfId="0" applyNumberFormat="1" applyFont="1" applyBorder="1"/>
    <xf numFmtId="39" fontId="4" fillId="0" borderId="0" xfId="0" applyNumberFormat="1" applyFont="1"/>
    <xf numFmtId="2" fontId="4" fillId="0" borderId="0" xfId="0" applyNumberFormat="1" applyFont="1"/>
    <xf numFmtId="2" fontId="7" fillId="0" borderId="0" xfId="0" applyNumberFormat="1" applyFont="1"/>
    <xf numFmtId="0" fontId="7" fillId="0" borderId="0" xfId="0" applyFont="1"/>
    <xf numFmtId="43" fontId="7" fillId="0" borderId="0" xfId="0" applyNumberFormat="1" applyFont="1"/>
    <xf numFmtId="0" fontId="6" fillId="0" borderId="10" xfId="0" applyFont="1" applyBorder="1" applyAlignment="1">
      <alignment vertical="top" wrapText="1"/>
    </xf>
    <xf numFmtId="0" fontId="6" fillId="4" borderId="10" xfId="0" applyFont="1" applyFill="1" applyBorder="1"/>
    <xf numFmtId="164" fontId="6" fillId="4" borderId="10" xfId="0" applyNumberFormat="1" applyFont="1" applyFill="1" applyBorder="1"/>
    <xf numFmtId="0" fontId="8" fillId="4" borderId="10" xfId="0" applyFont="1" applyFill="1" applyBorder="1"/>
    <xf numFmtId="43" fontId="4" fillId="0" borderId="8" xfId="0" applyNumberFormat="1" applyFont="1" applyBorder="1" applyAlignment="1">
      <alignment horizontal="center"/>
    </xf>
    <xf numFmtId="10" fontId="6" fillId="0" borderId="10" xfId="0" applyNumberFormat="1" applyFont="1" applyBorder="1"/>
    <xf numFmtId="0" fontId="0" fillId="0" borderId="2" xfId="0" applyBorder="1" applyAlignment="1"/>
    <xf numFmtId="39" fontId="4" fillId="0" borderId="12" xfId="0" applyNumberFormat="1" applyFont="1" applyBorder="1"/>
    <xf numFmtId="2" fontId="7" fillId="0" borderId="0" xfId="0" applyNumberFormat="1" applyFont="1" applyBorder="1"/>
    <xf numFmtId="43" fontId="7" fillId="0" borderId="0" xfId="0" applyNumberFormat="1" applyFont="1" applyBorder="1"/>
    <xf numFmtId="10" fontId="7" fillId="0" borderId="12" xfId="0" applyNumberFormat="1" applyFont="1" applyBorder="1"/>
    <xf numFmtId="43" fontId="6" fillId="4" borderId="10" xfId="0" applyNumberFormat="1" applyFont="1" applyFill="1" applyBorder="1"/>
    <xf numFmtId="10" fontId="6" fillId="0" borderId="11" xfId="0" applyNumberFormat="1" applyFont="1" applyBorder="1"/>
    <xf numFmtId="0" fontId="17" fillId="0" borderId="8" xfId="0" applyFont="1" applyBorder="1"/>
    <xf numFmtId="15" fontId="3" fillId="0" borderId="5" xfId="0" applyNumberFormat="1" applyFont="1" applyBorder="1"/>
    <xf numFmtId="0" fontId="18" fillId="0" borderId="4" xfId="0" applyFont="1" applyBorder="1" applyAlignment="1"/>
    <xf numFmtId="164" fontId="6" fillId="2" borderId="10" xfId="0" applyNumberFormat="1" applyFont="1" applyFill="1" applyBorder="1"/>
    <xf numFmtId="164" fontId="6" fillId="5" borderId="10" xfId="0" applyNumberFormat="1" applyFont="1" applyFill="1" applyBorder="1"/>
    <xf numFmtId="164" fontId="6" fillId="6" borderId="10" xfId="0" applyNumberFormat="1" applyFont="1" applyFill="1" applyBorder="1"/>
    <xf numFmtId="43" fontId="6" fillId="3" borderId="10" xfId="0" applyNumberFormat="1" applyFont="1" applyFill="1" applyBorder="1"/>
    <xf numFmtId="9" fontId="6" fillId="2" borderId="10" xfId="0" applyNumberFormat="1" applyFont="1" applyFill="1" applyBorder="1"/>
    <xf numFmtId="43" fontId="4" fillId="3" borderId="0" xfId="0" applyNumberFormat="1" applyFont="1" applyFill="1" applyBorder="1"/>
    <xf numFmtId="43" fontId="6" fillId="2" borderId="10" xfId="0" applyNumberFormat="1" applyFont="1" applyFill="1" applyBorder="1"/>
    <xf numFmtId="44" fontId="5" fillId="2" borderId="11" xfId="0" applyNumberFormat="1" applyFont="1" applyFill="1" applyBorder="1"/>
    <xf numFmtId="43" fontId="5" fillId="2" borderId="10" xfId="0" applyNumberFormat="1" applyFont="1" applyFill="1" applyBorder="1"/>
    <xf numFmtId="43" fontId="6" fillId="5" borderId="10" xfId="0" applyNumberFormat="1" applyFont="1" applyFill="1" applyBorder="1"/>
    <xf numFmtId="43" fontId="4" fillId="2" borderId="12" xfId="0" applyNumberFormat="1" applyFont="1" applyFill="1" applyBorder="1"/>
    <xf numFmtId="43" fontId="4" fillId="2" borderId="12" xfId="0" applyNumberFormat="1" applyFont="1" applyFill="1" applyBorder="1" applyAlignment="1">
      <alignment horizontal="centerContinuous" vertical="center"/>
    </xf>
    <xf numFmtId="0" fontId="4" fillId="2" borderId="6" xfId="0" applyFont="1" applyFill="1" applyBorder="1"/>
    <xf numFmtId="0" fontId="4" fillId="2" borderId="0" xfId="0" applyFont="1" applyFill="1"/>
    <xf numFmtId="43" fontId="4" fillId="2" borderId="0" xfId="0" applyNumberFormat="1" applyFont="1" applyFill="1"/>
    <xf numFmtId="43" fontId="4" fillId="2" borderId="0" xfId="0" applyNumberFormat="1" applyFont="1" applyFill="1" applyBorder="1"/>
    <xf numFmtId="43" fontId="3" fillId="2" borderId="0" xfId="0" applyNumberFormat="1" applyFont="1" applyFill="1"/>
    <xf numFmtId="0" fontId="3" fillId="2" borderId="8" xfId="0" applyFont="1" applyFill="1" applyBorder="1"/>
    <xf numFmtId="0" fontId="4" fillId="2" borderId="5" xfId="0" applyFont="1" applyFill="1" applyBorder="1"/>
    <xf numFmtId="43" fontId="4" fillId="2" borderId="5" xfId="0" applyNumberFormat="1" applyFont="1" applyFill="1" applyBorder="1"/>
    <xf numFmtId="43" fontId="4" fillId="2" borderId="6" xfId="0" applyNumberFormat="1" applyFont="1" applyFill="1" applyBorder="1"/>
    <xf numFmtId="0" fontId="5" fillId="2" borderId="10" xfId="0" applyFont="1" applyFill="1" applyBorder="1"/>
    <xf numFmtId="43" fontId="6" fillId="2" borderId="12" xfId="0" applyNumberFormat="1" applyFont="1" applyFill="1" applyBorder="1"/>
    <xf numFmtId="10" fontId="7" fillId="2" borderId="12" xfId="0" applyNumberFormat="1" applyFont="1" applyFill="1" applyBorder="1"/>
    <xf numFmtId="44" fontId="6" fillId="2" borderId="10" xfId="0" applyNumberFormat="1" applyFont="1" applyFill="1" applyBorder="1"/>
    <xf numFmtId="10" fontId="6" fillId="2" borderId="10" xfId="0" applyNumberFormat="1" applyFont="1" applyFill="1" applyBorder="1"/>
    <xf numFmtId="0" fontId="15" fillId="0" borderId="0" xfId="0" applyFont="1" applyAlignment="1">
      <alignment vertical="top" wrapText="1"/>
    </xf>
    <xf numFmtId="0" fontId="15" fillId="0" borderId="12" xfId="0" applyFont="1" applyBorder="1" applyAlignment="1">
      <alignment vertical="top" wrapText="1"/>
    </xf>
    <xf numFmtId="0" fontId="5" fillId="0" borderId="12" xfId="0" applyFont="1" applyBorder="1" applyAlignment="1">
      <alignment horizontal="center" vertical="center"/>
    </xf>
    <xf numFmtId="0" fontId="2" fillId="0" borderId="1" xfId="0" applyFont="1" applyBorder="1" applyAlignment="1">
      <alignment horizontal="center"/>
    </xf>
    <xf numFmtId="0" fontId="0" fillId="0" borderId="8" xfId="0" applyBorder="1" applyAlignment="1">
      <alignment horizontal="center"/>
    </xf>
    <xf numFmtId="0" fontId="5" fillId="0" borderId="13" xfId="0" applyFont="1" applyBorder="1" applyAlignment="1"/>
    <xf numFmtId="0" fontId="0" fillId="0" borderId="14" xfId="0" applyBorder="1" applyAlignment="1"/>
    <xf numFmtId="0" fontId="5" fillId="0" borderId="15" xfId="0" applyFont="1" applyBorder="1" applyAlignment="1"/>
    <xf numFmtId="0" fontId="5" fillId="0" borderId="16" xfId="0" applyFont="1" applyBorder="1" applyAlignment="1"/>
    <xf numFmtId="0" fontId="9" fillId="0" borderId="0" xfId="0" applyFont="1" applyBorder="1" applyAlignment="1">
      <alignment horizontal="center" wrapText="1"/>
    </xf>
    <xf numFmtId="0" fontId="19" fillId="0" borderId="0" xfId="0" applyFont="1" applyBorder="1" applyAlignment="1">
      <alignment horizontal="center" wrapText="1"/>
    </xf>
    <xf numFmtId="0" fontId="19" fillId="0" borderId="5" xfId="0" applyFont="1" applyBorder="1" applyAlignment="1">
      <alignment horizontal="center" wrapText="1"/>
    </xf>
    <xf numFmtId="43" fontId="17" fillId="0" borderId="2" xfId="0" applyNumberFormat="1" applyFont="1" applyBorder="1" applyAlignment="1">
      <alignment horizontal="center" vertical="center"/>
    </xf>
    <xf numFmtId="43" fontId="4" fillId="0" borderId="4" xfId="0" applyNumberFormat="1" applyFont="1" applyBorder="1" applyAlignment="1">
      <alignment horizontal="center" vertical="center"/>
    </xf>
    <xf numFmtId="0" fontId="1" fillId="0" borderId="12" xfId="0" applyFont="1" applyBorder="1" applyAlignment="1">
      <alignment horizontal="center" vertical="center"/>
    </xf>
    <xf numFmtId="0" fontId="17" fillId="0" borderId="6" xfId="0" applyFont="1" applyBorder="1" applyAlignment="1">
      <alignment horizontal="left" vertical="center"/>
    </xf>
    <xf numFmtId="0" fontId="3" fillId="0" borderId="0" xfId="0" applyFont="1" applyBorder="1" applyAlignment="1">
      <alignment horizontal="left" vertical="center"/>
    </xf>
    <xf numFmtId="0" fontId="3" fillId="0" borderId="7" xfId="0" applyFont="1" applyBorder="1" applyAlignment="1">
      <alignment horizontal="left"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0" borderId="5" xfId="0" applyFont="1" applyBorder="1" applyAlignment="1">
      <alignment horizontal="left" vertical="center"/>
    </xf>
    <xf numFmtId="0" fontId="3" fillId="0" borderId="4" xfId="0" applyFont="1" applyBorder="1" applyAlignment="1">
      <alignment horizontal="left" vertical="center"/>
    </xf>
    <xf numFmtId="0" fontId="1" fillId="0" borderId="17" xfId="0" applyFont="1" applyBorder="1" applyAlignment="1">
      <alignment horizontal="center" wrapText="1"/>
    </xf>
    <xf numFmtId="0" fontId="1" fillId="0" borderId="10" xfId="0" applyFont="1" applyBorder="1" applyAlignment="1">
      <alignment horizont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7" fillId="0" borderId="0" xfId="0" applyFont="1" applyAlignment="1">
      <alignment horizontal="center" vertical="top" wrapText="1"/>
    </xf>
    <xf numFmtId="0" fontId="3" fillId="2" borderId="8" xfId="0" applyFont="1" applyFill="1" applyBorder="1"/>
    <xf numFmtId="0" fontId="3" fillId="2" borderId="4" xfId="0" applyFont="1" applyFill="1" applyBorder="1"/>
    <xf numFmtId="43" fontId="3" fillId="2" borderId="8" xfId="0" applyNumberFormat="1" applyFont="1" applyFill="1" applyBorder="1" applyAlignment="1">
      <alignment horizontal="left"/>
    </xf>
    <xf numFmtId="43" fontId="3" fillId="2" borderId="5" xfId="0" applyNumberFormat="1" applyFont="1" applyFill="1" applyBorder="1" applyAlignment="1">
      <alignment horizontal="left"/>
    </xf>
    <xf numFmtId="43" fontId="3" fillId="2" borderId="4" xfId="0" applyNumberFormat="1" applyFont="1" applyFill="1" applyBorder="1" applyAlignment="1">
      <alignment horizontal="left"/>
    </xf>
    <xf numFmtId="43" fontId="3" fillId="2" borderId="8" xfId="0" applyNumberFormat="1" applyFont="1" applyFill="1" applyBorder="1" applyAlignment="1"/>
    <xf numFmtId="43" fontId="3" fillId="2" borderId="5" xfId="0" applyNumberFormat="1" applyFont="1" applyFill="1" applyBorder="1" applyAlignment="1"/>
    <xf numFmtId="43" fontId="3" fillId="2" borderId="4" xfId="0" applyNumberFormat="1" applyFont="1" applyFill="1" applyBorder="1" applyAlignment="1"/>
    <xf numFmtId="0" fontId="3" fillId="2" borderId="8" xfId="0" applyFont="1" applyFill="1" applyBorder="1" applyAlignment="1">
      <alignment horizontal="left"/>
    </xf>
    <xf numFmtId="0" fontId="3"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21A1-8612-40C2-B406-52544029907C}">
  <sheetPr>
    <pageSetUpPr fitToPage="1"/>
  </sheetPr>
  <dimension ref="A2:B8"/>
  <sheetViews>
    <sheetView tabSelected="1" view="pageLayout" zoomScaleNormal="100" workbookViewId="0">
      <selection activeCell="A4" sqref="A4"/>
    </sheetView>
  </sheetViews>
  <sheetFormatPr defaultRowHeight="12.75" x14ac:dyDescent="0.2"/>
  <cols>
    <col min="1" max="1" width="112.5703125" customWidth="1"/>
    <col min="2" max="2" width="8.5703125" customWidth="1"/>
  </cols>
  <sheetData>
    <row r="2" spans="1:2" ht="256.5" x14ac:dyDescent="0.2">
      <c r="A2" s="104" t="s">
        <v>130</v>
      </c>
      <c r="B2" s="103"/>
    </row>
    <row r="3" spans="1:2" ht="57" x14ac:dyDescent="0.2">
      <c r="A3" s="104" t="s">
        <v>129</v>
      </c>
    </row>
    <row r="4" spans="1:2" ht="42.75" x14ac:dyDescent="0.2">
      <c r="A4" s="104" t="s">
        <v>133</v>
      </c>
    </row>
    <row r="8" spans="1:2" ht="14.25" x14ac:dyDescent="0.2">
      <c r="A8" s="103" t="s">
        <v>128</v>
      </c>
    </row>
  </sheetData>
  <printOptions horizontalCentered="1"/>
  <pageMargins left="0.5" right="0.5" top="0.75" bottom="0" header="0.3" footer="0"/>
  <pageSetup orientation="landscape" r:id="rId1"/>
  <headerFooter>
    <oddHeader>&amp;L&amp;"Verdana,Bold"Construction Cost Estimate&amp;RWOOKIE MACC
Solicitation: FA461025F0006
Attachment 12</oddHeader>
    <oddFooter>&amp;R&amp;P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A5BF2-199B-4AC6-B092-F48E30A6D617}">
  <sheetPr>
    <pageSetUpPr fitToPage="1"/>
  </sheetPr>
  <dimension ref="A1:Q237"/>
  <sheetViews>
    <sheetView showGridLines="0" showZeros="0" zoomScaleNormal="100" workbookViewId="0">
      <pane ySplit="12" topLeftCell="A13" activePane="bottomLeft" state="frozen"/>
      <selection activeCell="D4" sqref="D4"/>
      <selection pane="bottomLeft" activeCell="A13" sqref="A13"/>
    </sheetView>
  </sheetViews>
  <sheetFormatPr defaultRowHeight="11.25" x14ac:dyDescent="0.2"/>
  <cols>
    <col min="1" max="1" width="18.85546875" style="6" customWidth="1"/>
    <col min="2" max="2" width="55" style="6" customWidth="1"/>
    <col min="3" max="3" width="14.7109375" style="10" customWidth="1"/>
    <col min="4" max="4" width="18.7109375" style="10" customWidth="1"/>
    <col min="5" max="5" width="9.140625" style="6"/>
    <col min="6" max="6" width="12.140625" style="6" bestFit="1" customWidth="1"/>
    <col min="7" max="7" width="14.28515625" style="6" bestFit="1" customWidth="1"/>
    <col min="8" max="8" width="12.85546875" style="6" bestFit="1" customWidth="1"/>
    <col min="9" max="16384" width="9.140625" style="6"/>
  </cols>
  <sheetData>
    <row r="1" spans="1:7" ht="9.9499999999999993" customHeight="1" x14ac:dyDescent="0.2">
      <c r="A1" s="105" t="s">
        <v>1</v>
      </c>
      <c r="B1" s="105"/>
      <c r="C1" s="106" t="s">
        <v>120</v>
      </c>
      <c r="D1" s="67"/>
      <c r="E1" s="5"/>
    </row>
    <row r="2" spans="1:7" ht="14.1" customHeight="1" x14ac:dyDescent="0.2">
      <c r="A2" s="105"/>
      <c r="B2" s="105"/>
      <c r="C2" s="107"/>
      <c r="D2" s="76" t="s">
        <v>119</v>
      </c>
      <c r="E2" s="5"/>
    </row>
    <row r="3" spans="1:7" ht="14.1" customHeight="1" x14ac:dyDescent="0.2">
      <c r="A3" s="50" t="s">
        <v>41</v>
      </c>
      <c r="B3" s="51"/>
      <c r="C3" s="51"/>
      <c r="D3" s="52"/>
      <c r="E3" s="5"/>
    </row>
    <row r="4" spans="1:7" ht="14.1" customHeight="1" x14ac:dyDescent="0.2">
      <c r="A4" s="118" t="s">
        <v>119</v>
      </c>
      <c r="B4" s="119"/>
      <c r="C4" s="119"/>
      <c r="D4" s="120"/>
      <c r="E4" s="5"/>
    </row>
    <row r="5" spans="1:7" ht="14.1" customHeight="1" x14ac:dyDescent="0.2">
      <c r="A5" s="121"/>
      <c r="B5" s="119"/>
      <c r="C5" s="119"/>
      <c r="D5" s="120"/>
      <c r="E5" s="5"/>
    </row>
    <row r="6" spans="1:7" ht="14.1" customHeight="1" x14ac:dyDescent="0.2">
      <c r="A6" s="122"/>
      <c r="B6" s="123"/>
      <c r="C6" s="123"/>
      <c r="D6" s="124"/>
      <c r="E6" s="5"/>
    </row>
    <row r="7" spans="1:7" ht="11.25" customHeight="1" x14ac:dyDescent="0.2">
      <c r="A7" s="9" t="s">
        <v>2</v>
      </c>
      <c r="B7" s="5"/>
      <c r="C7" s="11"/>
      <c r="D7" s="13"/>
      <c r="E7" s="5"/>
    </row>
    <row r="8" spans="1:7" ht="11.25" customHeight="1" x14ac:dyDescent="0.2">
      <c r="A8" s="74" t="s">
        <v>119</v>
      </c>
      <c r="B8" s="15"/>
      <c r="C8" s="11"/>
      <c r="D8" s="7"/>
      <c r="E8" s="5"/>
    </row>
    <row r="9" spans="1:7" x14ac:dyDescent="0.2">
      <c r="A9" s="9" t="s">
        <v>5</v>
      </c>
      <c r="B9" s="5"/>
      <c r="C9" s="1" t="s">
        <v>9</v>
      </c>
      <c r="D9" s="115" t="s">
        <v>119</v>
      </c>
    </row>
    <row r="10" spans="1:7" x14ac:dyDescent="0.2">
      <c r="A10" s="14" t="s">
        <v>7</v>
      </c>
      <c r="B10" s="15"/>
      <c r="C10" s="65"/>
      <c r="D10" s="116"/>
    </row>
    <row r="11" spans="1:7" s="5" customFormat="1" ht="12.75" customHeight="1" x14ac:dyDescent="0.2">
      <c r="A11" s="105" t="s">
        <v>24</v>
      </c>
      <c r="B11" s="127" t="s">
        <v>25</v>
      </c>
      <c r="C11" s="125" t="s">
        <v>26</v>
      </c>
      <c r="D11" s="117" t="s">
        <v>27</v>
      </c>
    </row>
    <row r="12" spans="1:7" s="5" customFormat="1" x14ac:dyDescent="0.2">
      <c r="A12" s="105"/>
      <c r="B12" s="128"/>
      <c r="C12" s="126"/>
      <c r="D12" s="117"/>
    </row>
    <row r="13" spans="1:7" ht="20.100000000000001" customHeight="1" x14ac:dyDescent="0.2">
      <c r="A13" s="30" t="s">
        <v>28</v>
      </c>
      <c r="B13" s="30" t="s">
        <v>58</v>
      </c>
      <c r="C13" s="77">
        <f>SUM(D13/D60)</f>
        <v>0.28748023573379328</v>
      </c>
      <c r="D13" s="83">
        <f>'Div1'!H$46</f>
        <v>50</v>
      </c>
    </row>
    <row r="14" spans="1:7" ht="20.100000000000001" customHeight="1" x14ac:dyDescent="0.2">
      <c r="A14" s="30" t="s">
        <v>29</v>
      </c>
      <c r="B14" s="30" t="s">
        <v>57</v>
      </c>
      <c r="C14" s="77">
        <f>SUM(D14/D60)</f>
        <v>0.3419577404053471</v>
      </c>
      <c r="D14" s="83">
        <f>'Div2'!H46</f>
        <v>59.475000000000001</v>
      </c>
    </row>
    <row r="15" spans="1:7" ht="20.100000000000001" customHeight="1" x14ac:dyDescent="0.2">
      <c r="A15" s="30" t="s">
        <v>30</v>
      </c>
      <c r="B15" s="30" t="s">
        <v>45</v>
      </c>
      <c r="C15" s="77">
        <f>SUM(D15/D60)</f>
        <v>0.37056202386085957</v>
      </c>
      <c r="D15" s="83">
        <f>'Div3'!H$46</f>
        <v>64.45</v>
      </c>
      <c r="F15" s="112" t="s">
        <v>118</v>
      </c>
      <c r="G15" s="113"/>
    </row>
    <row r="16" spans="1:7" ht="20.100000000000001" customHeight="1" x14ac:dyDescent="0.2">
      <c r="A16" s="30" t="s">
        <v>31</v>
      </c>
      <c r="B16" s="30" t="s">
        <v>32</v>
      </c>
      <c r="C16" s="77">
        <f>SUM(D16/D60)</f>
        <v>0</v>
      </c>
      <c r="D16" s="83">
        <f>'Div4'!H$46</f>
        <v>0</v>
      </c>
      <c r="F16" s="113"/>
      <c r="G16" s="113"/>
    </row>
    <row r="17" spans="1:7" ht="20.100000000000001" customHeight="1" x14ac:dyDescent="0.2">
      <c r="A17" s="30" t="s">
        <v>33</v>
      </c>
      <c r="B17" s="30" t="s">
        <v>34</v>
      </c>
      <c r="C17" s="77">
        <f>SUM(D17/D60)</f>
        <v>0</v>
      </c>
      <c r="D17" s="83">
        <f>'Div5'!H$46</f>
        <v>0</v>
      </c>
      <c r="F17" s="114"/>
      <c r="G17" s="114"/>
    </row>
    <row r="18" spans="1:7" ht="20.100000000000001" customHeight="1" x14ac:dyDescent="0.2">
      <c r="A18" s="30" t="s">
        <v>35</v>
      </c>
      <c r="B18" s="30" t="s">
        <v>59</v>
      </c>
      <c r="C18" s="77">
        <f>SUM(D18/D60)</f>
        <v>0</v>
      </c>
      <c r="D18" s="83">
        <f>'Div6'!H$46</f>
        <v>0</v>
      </c>
      <c r="F18" s="41" t="s">
        <v>113</v>
      </c>
      <c r="G18" s="71">
        <v>0.1</v>
      </c>
    </row>
    <row r="19" spans="1:7" ht="20.100000000000001" customHeight="1" x14ac:dyDescent="0.2">
      <c r="A19" s="30" t="s">
        <v>36</v>
      </c>
      <c r="B19" s="30" t="s">
        <v>60</v>
      </c>
      <c r="C19" s="77">
        <f>SUM(D19/D60)</f>
        <v>0</v>
      </c>
      <c r="D19" s="83">
        <f>'Div7'!H$46</f>
        <v>0</v>
      </c>
      <c r="F19" s="41" t="s">
        <v>125</v>
      </c>
      <c r="G19" s="71">
        <v>0.15</v>
      </c>
    </row>
    <row r="20" spans="1:7" ht="20.100000000000001" customHeight="1" x14ac:dyDescent="0.2">
      <c r="A20" s="30" t="s">
        <v>37</v>
      </c>
      <c r="B20" s="30" t="s">
        <v>61</v>
      </c>
      <c r="C20" s="77">
        <f>SUM(D20/D60)</f>
        <v>0</v>
      </c>
      <c r="D20" s="83">
        <f>'Div8'!H$46</f>
        <v>0</v>
      </c>
      <c r="F20" s="41" t="s">
        <v>114</v>
      </c>
      <c r="G20" s="71">
        <v>0.05</v>
      </c>
    </row>
    <row r="21" spans="1:7" ht="20.100000000000001" customHeight="1" x14ac:dyDescent="0.2">
      <c r="A21" s="30" t="s">
        <v>38</v>
      </c>
      <c r="B21" s="30" t="s">
        <v>39</v>
      </c>
      <c r="C21" s="77">
        <f>SUM(D21/D60)</f>
        <v>0</v>
      </c>
      <c r="D21" s="83">
        <f>'Div9'!H$46</f>
        <v>0</v>
      </c>
      <c r="F21" s="41" t="s">
        <v>115</v>
      </c>
      <c r="G21" s="71">
        <v>0.11</v>
      </c>
    </row>
    <row r="22" spans="1:7" ht="20.100000000000001" customHeight="1" x14ac:dyDescent="0.2">
      <c r="A22" s="30" t="s">
        <v>46</v>
      </c>
      <c r="B22" s="30" t="s">
        <v>47</v>
      </c>
      <c r="C22" s="77">
        <f>SUM(D22/D60)</f>
        <v>0</v>
      </c>
      <c r="D22" s="83">
        <f>'Div10'!H$46</f>
        <v>0</v>
      </c>
      <c r="F22" s="68" t="s">
        <v>116</v>
      </c>
      <c r="G22" s="71">
        <v>0.06</v>
      </c>
    </row>
    <row r="23" spans="1:7" ht="20.100000000000001" customHeight="1" x14ac:dyDescent="0.2">
      <c r="A23" s="30" t="s">
        <v>48</v>
      </c>
      <c r="B23" s="30" t="s">
        <v>49</v>
      </c>
      <c r="C23" s="77">
        <f>SUM(D23/D60)</f>
        <v>0</v>
      </c>
      <c r="D23" s="83">
        <f>'Div11'!H$46</f>
        <v>0</v>
      </c>
      <c r="F23" s="41" t="s">
        <v>117</v>
      </c>
      <c r="G23" s="71">
        <v>0.02</v>
      </c>
    </row>
    <row r="24" spans="1:7" ht="20.100000000000001" customHeight="1" x14ac:dyDescent="0.2">
      <c r="A24" s="30" t="s">
        <v>50</v>
      </c>
      <c r="B24" s="30" t="s">
        <v>51</v>
      </c>
      <c r="C24" s="77">
        <f t="shared" ref="C24:C58" si="0">SUM(D24/D$60)</f>
        <v>0</v>
      </c>
      <c r="D24" s="83">
        <f>'Div12'!H$46</f>
        <v>0</v>
      </c>
    </row>
    <row r="25" spans="1:7" ht="20.100000000000001" customHeight="1" x14ac:dyDescent="0.2">
      <c r="A25" s="30" t="s">
        <v>52</v>
      </c>
      <c r="B25" s="30" t="s">
        <v>53</v>
      </c>
      <c r="C25" s="77">
        <f t="shared" si="0"/>
        <v>0</v>
      </c>
      <c r="D25" s="83">
        <f>'Div13'!H$46</f>
        <v>0</v>
      </c>
      <c r="F25" s="129" t="s">
        <v>131</v>
      </c>
      <c r="G25" s="129"/>
    </row>
    <row r="26" spans="1:7" ht="20.100000000000001" customHeight="1" x14ac:dyDescent="0.2">
      <c r="A26" s="30" t="s">
        <v>54</v>
      </c>
      <c r="B26" s="30" t="s">
        <v>62</v>
      </c>
      <c r="C26" s="77">
        <f t="shared" si="0"/>
        <v>0</v>
      </c>
      <c r="D26" s="83">
        <f>'Div14'!H$46</f>
        <v>0</v>
      </c>
      <c r="F26" s="129"/>
      <c r="G26" s="129"/>
    </row>
    <row r="27" spans="1:7" ht="12.75" hidden="1" customHeight="1" x14ac:dyDescent="0.2">
      <c r="A27" s="64" t="s">
        <v>55</v>
      </c>
      <c r="B27" s="64" t="s">
        <v>63</v>
      </c>
      <c r="C27" s="78">
        <f t="shared" si="0"/>
        <v>0</v>
      </c>
      <c r="D27" s="86">
        <f>'Div15'!H$46</f>
        <v>0</v>
      </c>
      <c r="F27" s="129"/>
      <c r="G27" s="129"/>
    </row>
    <row r="28" spans="1:7" ht="12.75" hidden="1" customHeight="1" x14ac:dyDescent="0.2">
      <c r="A28" s="64" t="s">
        <v>56</v>
      </c>
      <c r="B28" s="64" t="s">
        <v>63</v>
      </c>
      <c r="C28" s="78">
        <f t="shared" si="0"/>
        <v>0</v>
      </c>
      <c r="D28" s="86">
        <f>'Div16'!H$47</f>
        <v>0</v>
      </c>
      <c r="F28" s="129"/>
      <c r="G28" s="129"/>
    </row>
    <row r="29" spans="1:7" ht="12.75" hidden="1" customHeight="1" x14ac:dyDescent="0.2">
      <c r="A29" s="64" t="s">
        <v>64</v>
      </c>
      <c r="B29" s="64" t="s">
        <v>63</v>
      </c>
      <c r="C29" s="78">
        <f t="shared" si="0"/>
        <v>0</v>
      </c>
      <c r="D29" s="86">
        <f>'Div20'!H$47</f>
        <v>0</v>
      </c>
      <c r="F29" s="129"/>
      <c r="G29" s="129"/>
    </row>
    <row r="30" spans="1:7" ht="20.100000000000001" customHeight="1" x14ac:dyDescent="0.2">
      <c r="A30" s="30" t="s">
        <v>65</v>
      </c>
      <c r="B30" s="30" t="s">
        <v>77</v>
      </c>
      <c r="C30" s="77">
        <f t="shared" si="0"/>
        <v>0</v>
      </c>
      <c r="D30" s="83">
        <f>'Div21'!H$46</f>
        <v>0</v>
      </c>
      <c r="F30" s="129"/>
      <c r="G30" s="129"/>
    </row>
    <row r="31" spans="1:7" ht="20.100000000000001" customHeight="1" x14ac:dyDescent="0.2">
      <c r="A31" s="30" t="s">
        <v>66</v>
      </c>
      <c r="B31" s="30" t="s">
        <v>78</v>
      </c>
      <c r="C31" s="77">
        <f t="shared" si="0"/>
        <v>0</v>
      </c>
      <c r="D31" s="83">
        <f>'Div22'!H$46</f>
        <v>0</v>
      </c>
      <c r="F31" s="129"/>
      <c r="G31" s="129"/>
    </row>
    <row r="32" spans="1:7" ht="20.100000000000001" customHeight="1" x14ac:dyDescent="0.2">
      <c r="A32" s="30" t="s">
        <v>67</v>
      </c>
      <c r="B32" s="30" t="s">
        <v>79</v>
      </c>
      <c r="C32" s="77">
        <f t="shared" si="0"/>
        <v>0</v>
      </c>
      <c r="D32" s="83">
        <f>'Div23'!H$46</f>
        <v>0</v>
      </c>
    </row>
    <row r="33" spans="1:17" ht="12.75" hidden="1" x14ac:dyDescent="0.2">
      <c r="A33" s="64" t="s">
        <v>68</v>
      </c>
      <c r="B33" s="64" t="s">
        <v>63</v>
      </c>
      <c r="C33" s="78">
        <f t="shared" si="0"/>
        <v>0</v>
      </c>
      <c r="D33" s="86">
        <f>'Div24'!H$46</f>
        <v>0</v>
      </c>
    </row>
    <row r="34" spans="1:17" ht="20.100000000000001" customHeight="1" x14ac:dyDescent="0.2">
      <c r="A34" s="30" t="s">
        <v>69</v>
      </c>
      <c r="B34" s="30" t="s">
        <v>80</v>
      </c>
      <c r="C34" s="77">
        <f t="shared" si="0"/>
        <v>0</v>
      </c>
      <c r="D34" s="83">
        <f>'Div25'!H$46</f>
        <v>0</v>
      </c>
    </row>
    <row r="35" spans="1:17" ht="20.100000000000001" customHeight="1" x14ac:dyDescent="0.2">
      <c r="A35" s="30" t="s">
        <v>70</v>
      </c>
      <c r="B35" s="30" t="s">
        <v>40</v>
      </c>
      <c r="C35" s="77">
        <f t="shared" si="0"/>
        <v>0</v>
      </c>
      <c r="D35" s="83">
        <f>'Div26'!H$46</f>
        <v>0</v>
      </c>
    </row>
    <row r="36" spans="1:17" ht="20.100000000000001" customHeight="1" x14ac:dyDescent="0.2">
      <c r="A36" s="30" t="s">
        <v>71</v>
      </c>
      <c r="B36" s="30" t="s">
        <v>81</v>
      </c>
      <c r="C36" s="77">
        <f t="shared" si="0"/>
        <v>0</v>
      </c>
      <c r="D36" s="83">
        <f>'Div27'!H$46</f>
        <v>0</v>
      </c>
    </row>
    <row r="37" spans="1:17" ht="20.100000000000001" customHeight="1" x14ac:dyDescent="0.2">
      <c r="A37" s="30" t="s">
        <v>72</v>
      </c>
      <c r="B37" s="30" t="s">
        <v>82</v>
      </c>
      <c r="C37" s="77">
        <f t="shared" si="0"/>
        <v>0</v>
      </c>
      <c r="D37" s="83">
        <f>'Div28'!H$46</f>
        <v>0</v>
      </c>
    </row>
    <row r="38" spans="1:17" ht="12.75" hidden="1" x14ac:dyDescent="0.2">
      <c r="A38" s="64" t="s">
        <v>73</v>
      </c>
      <c r="B38" s="64" t="s">
        <v>63</v>
      </c>
      <c r="C38" s="78">
        <f t="shared" si="0"/>
        <v>0</v>
      </c>
      <c r="D38" s="86">
        <f>'Div29'!H$46</f>
        <v>0</v>
      </c>
    </row>
    <row r="39" spans="1:17" ht="12.75" hidden="1" x14ac:dyDescent="0.2">
      <c r="A39" s="64" t="s">
        <v>74</v>
      </c>
      <c r="B39" s="64" t="s">
        <v>63</v>
      </c>
      <c r="C39" s="78">
        <f t="shared" si="0"/>
        <v>0</v>
      </c>
      <c r="D39" s="86">
        <f>'Div30'!H$46</f>
        <v>0</v>
      </c>
    </row>
    <row r="40" spans="1:17" ht="20.100000000000001" customHeight="1" x14ac:dyDescent="0.2">
      <c r="A40" s="30" t="s">
        <v>75</v>
      </c>
      <c r="B40" s="30" t="s">
        <v>86</v>
      </c>
      <c r="C40" s="77">
        <f t="shared" si="0"/>
        <v>0</v>
      </c>
      <c r="D40" s="83">
        <f>'Div31'!H$46</f>
        <v>0</v>
      </c>
    </row>
    <row r="41" spans="1:17" ht="20.100000000000001" customHeight="1" x14ac:dyDescent="0.2">
      <c r="A41" s="30" t="s">
        <v>76</v>
      </c>
      <c r="B41" s="30" t="s">
        <v>87</v>
      </c>
      <c r="C41" s="77">
        <f t="shared" si="0"/>
        <v>0</v>
      </c>
      <c r="D41" s="83">
        <f>'Div32'!H$46</f>
        <v>0</v>
      </c>
    </row>
    <row r="42" spans="1:17" ht="20.100000000000001" customHeight="1" x14ac:dyDescent="0.2">
      <c r="A42" s="30" t="s">
        <v>83</v>
      </c>
      <c r="B42" s="30" t="s">
        <v>88</v>
      </c>
      <c r="C42" s="77">
        <f t="shared" si="0"/>
        <v>0</v>
      </c>
      <c r="D42" s="83">
        <f>'Div33'!H$46</f>
        <v>0</v>
      </c>
      <c r="G42" s="60"/>
      <c r="H42" s="60"/>
      <c r="I42" s="60"/>
      <c r="J42" s="60"/>
      <c r="K42" s="60"/>
      <c r="L42" s="60"/>
      <c r="M42" s="60"/>
      <c r="N42" s="60"/>
      <c r="O42" s="60"/>
      <c r="P42" s="59"/>
      <c r="Q42" s="59"/>
    </row>
    <row r="43" spans="1:17" ht="20.100000000000001" customHeight="1" x14ac:dyDescent="0.2">
      <c r="A43" s="30" t="s">
        <v>84</v>
      </c>
      <c r="B43" s="30" t="s">
        <v>89</v>
      </c>
      <c r="C43" s="77">
        <f t="shared" si="0"/>
        <v>0</v>
      </c>
      <c r="D43" s="83">
        <f>'Div34'!H$46</f>
        <v>0</v>
      </c>
      <c r="G43" s="60"/>
      <c r="H43" s="60"/>
      <c r="I43" s="60"/>
      <c r="J43" s="60"/>
      <c r="K43" s="60"/>
      <c r="L43" s="60"/>
      <c r="M43" s="60"/>
      <c r="N43" s="60"/>
      <c r="O43" s="60"/>
      <c r="P43" s="59"/>
      <c r="Q43" s="59"/>
    </row>
    <row r="44" spans="1:17" ht="20.100000000000001" customHeight="1" x14ac:dyDescent="0.2">
      <c r="A44" s="30" t="s">
        <v>85</v>
      </c>
      <c r="B44" s="30" t="s">
        <v>90</v>
      </c>
      <c r="C44" s="77">
        <f t="shared" si="0"/>
        <v>0</v>
      </c>
      <c r="D44" s="83">
        <f>'Div35'!H$46</f>
        <v>0</v>
      </c>
      <c r="G44" s="60"/>
      <c r="H44" s="60"/>
      <c r="I44" s="60"/>
      <c r="J44" s="60"/>
      <c r="K44" s="60"/>
      <c r="L44" s="60"/>
      <c r="M44" s="60"/>
      <c r="N44" s="60"/>
      <c r="O44" s="60"/>
      <c r="P44" s="59"/>
      <c r="Q44" s="59"/>
    </row>
    <row r="45" spans="1:17" ht="15" hidden="1" x14ac:dyDescent="0.2">
      <c r="A45" s="64" t="s">
        <v>91</v>
      </c>
      <c r="B45" s="64" t="s">
        <v>63</v>
      </c>
      <c r="C45" s="78">
        <f t="shared" si="0"/>
        <v>0</v>
      </c>
      <c r="D45" s="86">
        <f>'Div36'!H$46</f>
        <v>0</v>
      </c>
      <c r="G45" s="60"/>
      <c r="H45" s="60"/>
      <c r="I45" s="60"/>
      <c r="J45" s="60"/>
      <c r="K45" s="60"/>
      <c r="L45" s="60"/>
      <c r="M45" s="60"/>
      <c r="N45" s="60"/>
      <c r="O45" s="60"/>
      <c r="P45" s="59"/>
      <c r="Q45" s="59"/>
    </row>
    <row r="46" spans="1:17" ht="15" hidden="1" x14ac:dyDescent="0.2">
      <c r="A46" s="64" t="s">
        <v>92</v>
      </c>
      <c r="B46" s="64" t="s">
        <v>63</v>
      </c>
      <c r="C46" s="78">
        <f t="shared" si="0"/>
        <v>0</v>
      </c>
      <c r="D46" s="86">
        <f>'Div37'!H$46</f>
        <v>0</v>
      </c>
      <c r="G46" s="60"/>
      <c r="H46" s="60"/>
      <c r="I46" s="60"/>
      <c r="J46" s="60"/>
      <c r="K46" s="60"/>
      <c r="L46" s="60"/>
      <c r="M46" s="60"/>
      <c r="N46" s="60"/>
      <c r="O46" s="60"/>
      <c r="P46" s="59"/>
      <c r="Q46" s="59"/>
    </row>
    <row r="47" spans="1:17" ht="15" hidden="1" x14ac:dyDescent="0.2">
      <c r="A47" s="64" t="s">
        <v>93</v>
      </c>
      <c r="B47" s="64" t="s">
        <v>63</v>
      </c>
      <c r="C47" s="78">
        <f t="shared" si="0"/>
        <v>0</v>
      </c>
      <c r="D47" s="86">
        <f>'Div38'!H$46</f>
        <v>0</v>
      </c>
      <c r="G47" s="60"/>
      <c r="H47" s="60"/>
      <c r="I47" s="60"/>
      <c r="J47" s="60"/>
      <c r="K47" s="60"/>
      <c r="L47" s="60"/>
      <c r="M47" s="60"/>
      <c r="N47" s="60"/>
      <c r="O47" s="60"/>
      <c r="P47" s="59"/>
      <c r="Q47" s="59"/>
    </row>
    <row r="48" spans="1:17" ht="15" hidden="1" x14ac:dyDescent="0.2">
      <c r="A48" s="64" t="s">
        <v>94</v>
      </c>
      <c r="B48" s="64" t="s">
        <v>63</v>
      </c>
      <c r="C48" s="78">
        <f t="shared" si="0"/>
        <v>0</v>
      </c>
      <c r="D48" s="86">
        <f>'Div39'!H$47</f>
        <v>0</v>
      </c>
      <c r="G48" s="60"/>
      <c r="H48" s="60"/>
      <c r="I48" s="60"/>
      <c r="J48" s="60"/>
      <c r="K48" s="60"/>
      <c r="L48" s="60"/>
      <c r="M48" s="60"/>
      <c r="N48" s="60"/>
      <c r="O48" s="60"/>
      <c r="P48" s="59"/>
      <c r="Q48" s="59"/>
    </row>
    <row r="49" spans="1:17" ht="20.100000000000001" customHeight="1" x14ac:dyDescent="0.2">
      <c r="A49" s="30" t="s">
        <v>95</v>
      </c>
      <c r="B49" s="30" t="s">
        <v>104</v>
      </c>
      <c r="C49" s="77">
        <f t="shared" si="0"/>
        <v>0</v>
      </c>
      <c r="D49" s="83">
        <f>'Div40'!H$46</f>
        <v>0</v>
      </c>
      <c r="G49" s="60"/>
      <c r="H49" s="60"/>
      <c r="I49" s="60"/>
      <c r="J49" s="60"/>
      <c r="K49" s="60"/>
      <c r="L49" s="60"/>
      <c r="M49" s="60"/>
      <c r="N49" s="60"/>
      <c r="O49" s="60"/>
      <c r="P49" s="59"/>
      <c r="Q49" s="59"/>
    </row>
    <row r="50" spans="1:17" ht="20.100000000000001" customHeight="1" x14ac:dyDescent="0.2">
      <c r="A50" s="30" t="s">
        <v>96</v>
      </c>
      <c r="B50" s="30" t="s">
        <v>105</v>
      </c>
      <c r="C50" s="77">
        <f t="shared" si="0"/>
        <v>0</v>
      </c>
      <c r="D50" s="83">
        <f>'Div41'!H$46</f>
        <v>0</v>
      </c>
      <c r="G50" s="60"/>
      <c r="H50" s="60"/>
      <c r="I50" s="60"/>
      <c r="J50" s="60"/>
      <c r="K50" s="60"/>
      <c r="L50" s="60"/>
      <c r="M50" s="60"/>
      <c r="N50" s="60"/>
      <c r="O50" s="60"/>
      <c r="P50" s="59"/>
      <c r="Q50" s="59"/>
    </row>
    <row r="51" spans="1:17" ht="20.100000000000001" customHeight="1" x14ac:dyDescent="0.2">
      <c r="A51" s="30" t="s">
        <v>97</v>
      </c>
      <c r="B51" s="30" t="s">
        <v>106</v>
      </c>
      <c r="C51" s="77">
        <f t="shared" si="0"/>
        <v>0</v>
      </c>
      <c r="D51" s="83">
        <f>'Div42'!H$46</f>
        <v>0</v>
      </c>
      <c r="G51" s="60"/>
      <c r="H51" s="60"/>
      <c r="I51" s="60"/>
      <c r="J51" s="60"/>
      <c r="K51" s="60"/>
      <c r="L51" s="60"/>
      <c r="M51" s="60"/>
      <c r="N51" s="60"/>
      <c r="O51" s="60"/>
      <c r="P51" s="59"/>
      <c r="Q51" s="59"/>
    </row>
    <row r="52" spans="1:17" ht="25.5" x14ac:dyDescent="0.2">
      <c r="A52" s="30" t="s">
        <v>98</v>
      </c>
      <c r="B52" s="61" t="s">
        <v>107</v>
      </c>
      <c r="C52" s="77">
        <f t="shared" si="0"/>
        <v>0</v>
      </c>
      <c r="D52" s="83">
        <f>'Div43'!H$46</f>
        <v>0</v>
      </c>
      <c r="G52" s="60"/>
      <c r="H52" s="60"/>
      <c r="I52" s="60"/>
      <c r="J52" s="60"/>
      <c r="K52" s="60"/>
      <c r="L52" s="60"/>
      <c r="M52" s="60"/>
      <c r="N52" s="60"/>
      <c r="O52" s="60"/>
      <c r="P52" s="59"/>
      <c r="Q52" s="59"/>
    </row>
    <row r="53" spans="1:17" ht="20.100000000000001" customHeight="1" x14ac:dyDescent="0.2">
      <c r="A53" s="30" t="s">
        <v>99</v>
      </c>
      <c r="B53" s="30" t="s">
        <v>108</v>
      </c>
      <c r="C53" s="77">
        <f t="shared" si="0"/>
        <v>0</v>
      </c>
      <c r="D53" s="83">
        <f>'Div44'!H$46</f>
        <v>0</v>
      </c>
      <c r="G53" s="60"/>
      <c r="H53" s="60"/>
      <c r="I53" s="60"/>
      <c r="J53" s="60"/>
      <c r="K53" s="60"/>
      <c r="L53" s="60"/>
      <c r="M53" s="60"/>
      <c r="N53" s="60"/>
      <c r="O53" s="60"/>
      <c r="P53" s="59"/>
      <c r="Q53" s="59"/>
    </row>
    <row r="54" spans="1:17" ht="20.100000000000001" customHeight="1" x14ac:dyDescent="0.2">
      <c r="A54" s="30" t="s">
        <v>100</v>
      </c>
      <c r="B54" s="30" t="s">
        <v>109</v>
      </c>
      <c r="C54" s="77">
        <f t="shared" si="0"/>
        <v>0</v>
      </c>
      <c r="D54" s="83">
        <f>'Div45'!H$46</f>
        <v>0</v>
      </c>
      <c r="G54" s="60"/>
      <c r="H54" s="60"/>
      <c r="I54" s="60"/>
      <c r="J54" s="60"/>
      <c r="K54" s="60"/>
      <c r="L54" s="60"/>
      <c r="M54" s="60"/>
      <c r="N54" s="60"/>
      <c r="O54" s="60"/>
      <c r="P54" s="59"/>
      <c r="Q54" s="59"/>
    </row>
    <row r="55" spans="1:17" ht="15" hidden="1" x14ac:dyDescent="0.2">
      <c r="A55" s="64" t="s">
        <v>101</v>
      </c>
      <c r="B55" s="64" t="s">
        <v>63</v>
      </c>
      <c r="C55" s="79">
        <f t="shared" si="0"/>
        <v>0</v>
      </c>
      <c r="D55" s="72">
        <f>'Div46'!H$47</f>
        <v>0</v>
      </c>
      <c r="G55" s="60"/>
      <c r="H55" s="60"/>
      <c r="I55" s="60"/>
      <c r="J55" s="60"/>
      <c r="K55" s="60"/>
      <c r="L55" s="60"/>
      <c r="M55" s="60"/>
      <c r="N55" s="60"/>
      <c r="O55" s="60"/>
      <c r="P55" s="59"/>
      <c r="Q55" s="59"/>
    </row>
    <row r="56" spans="1:17" ht="15" hidden="1" x14ac:dyDescent="0.2">
      <c r="A56" s="64" t="s">
        <v>102</v>
      </c>
      <c r="B56" s="64" t="s">
        <v>63</v>
      </c>
      <c r="C56" s="79">
        <f t="shared" si="0"/>
        <v>0</v>
      </c>
      <c r="D56" s="72">
        <f>'Div47'!H$46</f>
        <v>0</v>
      </c>
      <c r="G56" s="60"/>
      <c r="H56" s="60"/>
      <c r="I56" s="60"/>
      <c r="J56" s="60"/>
      <c r="K56" s="60"/>
      <c r="L56" s="60"/>
      <c r="M56" s="60"/>
      <c r="N56" s="60"/>
      <c r="O56" s="60"/>
      <c r="P56" s="59"/>
      <c r="Q56" s="59"/>
    </row>
    <row r="57" spans="1:17" ht="20.100000000000001" customHeight="1" x14ac:dyDescent="0.2">
      <c r="A57" s="30" t="s">
        <v>103</v>
      </c>
      <c r="B57" s="30" t="s">
        <v>110</v>
      </c>
      <c r="C57" s="77">
        <f t="shared" si="0"/>
        <v>0</v>
      </c>
      <c r="D57" s="83">
        <f>'Div48'!H$46</f>
        <v>0</v>
      </c>
      <c r="G57" s="60"/>
      <c r="H57" s="60"/>
      <c r="I57" s="60"/>
      <c r="J57" s="60"/>
      <c r="K57" s="60"/>
      <c r="L57" s="60"/>
      <c r="M57" s="60"/>
      <c r="N57" s="60"/>
      <c r="O57" s="60"/>
      <c r="P57" s="59"/>
      <c r="Q57" s="59"/>
    </row>
    <row r="58" spans="1:17" ht="15" hidden="1" x14ac:dyDescent="0.2">
      <c r="A58" s="62" t="s">
        <v>111</v>
      </c>
      <c r="B58" s="62" t="s">
        <v>63</v>
      </c>
      <c r="C58" s="63">
        <f t="shared" si="0"/>
        <v>0</v>
      </c>
      <c r="D58" s="72">
        <f>'Div49'!H$46</f>
        <v>0</v>
      </c>
      <c r="G58" s="60"/>
      <c r="H58" s="60"/>
      <c r="I58" s="60"/>
      <c r="J58" s="60"/>
      <c r="K58" s="60"/>
      <c r="L58" s="60"/>
      <c r="M58" s="60"/>
      <c r="N58" s="60"/>
      <c r="O58" s="60"/>
      <c r="P58" s="59"/>
      <c r="Q58" s="59"/>
    </row>
    <row r="59" spans="1:17" ht="20.100000000000001" customHeight="1" x14ac:dyDescent="0.2">
      <c r="A59" s="41"/>
      <c r="B59" s="41"/>
      <c r="C59" s="31"/>
      <c r="D59" s="31"/>
      <c r="G59" s="60"/>
      <c r="H59" s="60"/>
      <c r="I59" s="60"/>
      <c r="J59" s="60"/>
      <c r="K59" s="60"/>
      <c r="L59" s="60"/>
      <c r="M59" s="60"/>
      <c r="N59" s="60"/>
      <c r="O59" s="60"/>
      <c r="P59" s="59"/>
      <c r="Q59" s="59"/>
    </row>
    <row r="60" spans="1:17" ht="20.100000000000001" customHeight="1" x14ac:dyDescent="0.2">
      <c r="A60" s="108" t="s">
        <v>43</v>
      </c>
      <c r="B60" s="109"/>
      <c r="C60" s="81">
        <f>SUM(C13:C58)</f>
        <v>1</v>
      </c>
      <c r="D60" s="85">
        <f>SUM(D13:D57)</f>
        <v>173.92500000000001</v>
      </c>
      <c r="H60" s="60"/>
      <c r="I60" s="60"/>
      <c r="J60" s="60"/>
      <c r="K60" s="60"/>
      <c r="L60" s="60"/>
      <c r="M60" s="60"/>
      <c r="N60" s="60"/>
      <c r="O60" s="60"/>
      <c r="P60" s="59"/>
      <c r="Q60" s="59"/>
    </row>
    <row r="61" spans="1:17" ht="20.100000000000001" customHeight="1" x14ac:dyDescent="0.2">
      <c r="A61" s="108"/>
      <c r="B61" s="109"/>
      <c r="C61" s="42"/>
      <c r="D61" s="31"/>
      <c r="H61" s="60"/>
      <c r="I61" s="60"/>
      <c r="J61" s="60"/>
      <c r="K61" s="60"/>
      <c r="L61" s="60"/>
      <c r="M61" s="60"/>
      <c r="N61" s="60"/>
      <c r="O61" s="60"/>
      <c r="P61" s="59"/>
      <c r="Q61" s="59"/>
    </row>
    <row r="62" spans="1:17" ht="20.100000000000001" customHeight="1" x14ac:dyDescent="0.2">
      <c r="A62" s="108"/>
      <c r="B62" s="109"/>
      <c r="C62" s="42"/>
      <c r="D62" s="31"/>
      <c r="H62" s="60"/>
      <c r="I62" s="60"/>
      <c r="J62" s="60"/>
      <c r="K62" s="60"/>
      <c r="L62" s="60"/>
      <c r="M62" s="60"/>
      <c r="N62" s="60"/>
      <c r="O62" s="60"/>
      <c r="P62" s="59"/>
      <c r="Q62" s="59"/>
    </row>
    <row r="63" spans="1:17" ht="20.100000000000001" customHeight="1" x14ac:dyDescent="0.2">
      <c r="A63" s="108" t="s">
        <v>126</v>
      </c>
      <c r="B63" s="109"/>
      <c r="C63" s="81">
        <f>G18</f>
        <v>0.1</v>
      </c>
      <c r="D63" s="83">
        <f>C63*D60</f>
        <v>17.392500000000002</v>
      </c>
      <c r="H63" s="60"/>
      <c r="I63" s="60"/>
      <c r="J63" s="60"/>
      <c r="K63" s="60"/>
      <c r="L63" s="60"/>
      <c r="M63" s="60"/>
      <c r="N63" s="60"/>
      <c r="O63" s="60"/>
      <c r="P63" s="59"/>
      <c r="Q63" s="59"/>
    </row>
    <row r="64" spans="1:17" ht="20.100000000000001" customHeight="1" x14ac:dyDescent="0.2">
      <c r="A64" s="48" t="s">
        <v>23</v>
      </c>
      <c r="B64" s="49"/>
      <c r="C64" s="66"/>
      <c r="D64" s="83">
        <f>D63+D60</f>
        <v>191.31750000000002</v>
      </c>
      <c r="H64" s="60"/>
      <c r="I64" s="60"/>
      <c r="J64" s="60"/>
      <c r="K64" s="60"/>
      <c r="L64" s="60"/>
      <c r="M64" s="60"/>
      <c r="N64" s="60"/>
      <c r="O64" s="60"/>
      <c r="P64" s="59"/>
      <c r="Q64" s="59"/>
    </row>
    <row r="65" spans="1:17" ht="20.100000000000001" customHeight="1" x14ac:dyDescent="0.2">
      <c r="A65" s="108" t="s">
        <v>127</v>
      </c>
      <c r="B65" s="109"/>
      <c r="C65" s="81">
        <f>G19</f>
        <v>0.15</v>
      </c>
      <c r="D65" s="83">
        <f>C65*D64</f>
        <v>28.697625000000002</v>
      </c>
      <c r="H65" s="60"/>
      <c r="I65" s="60"/>
      <c r="J65" s="60"/>
      <c r="K65" s="60"/>
      <c r="L65" s="60"/>
      <c r="M65" s="60"/>
      <c r="N65" s="60"/>
      <c r="O65" s="60"/>
      <c r="P65" s="59"/>
      <c r="Q65" s="59"/>
    </row>
    <row r="66" spans="1:17" ht="20.100000000000001" customHeight="1" x14ac:dyDescent="0.2">
      <c r="A66" s="48" t="s">
        <v>23</v>
      </c>
      <c r="B66" s="49"/>
      <c r="C66" s="80"/>
      <c r="D66" s="83">
        <f>D65+D64</f>
        <v>220.01512500000001</v>
      </c>
      <c r="H66" s="60"/>
      <c r="I66" s="60"/>
      <c r="J66" s="60"/>
      <c r="K66" s="60"/>
      <c r="L66" s="60"/>
      <c r="M66" s="60"/>
      <c r="N66" s="60"/>
      <c r="O66" s="60"/>
      <c r="P66" s="59"/>
      <c r="Q66" s="59"/>
    </row>
    <row r="67" spans="1:17" ht="20.100000000000001" customHeight="1" x14ac:dyDescent="0.2">
      <c r="A67" s="108" t="s">
        <v>112</v>
      </c>
      <c r="B67" s="109"/>
      <c r="C67" s="81">
        <f>G23</f>
        <v>0.02</v>
      </c>
      <c r="D67" s="83">
        <f>(D66*C67)</f>
        <v>4.4003025000000004</v>
      </c>
      <c r="H67" s="57"/>
      <c r="I67" s="60"/>
      <c r="J67" s="60"/>
      <c r="K67" s="60"/>
      <c r="L67" s="60"/>
      <c r="M67" s="60"/>
      <c r="N67" s="60"/>
      <c r="O67" s="60"/>
      <c r="P67" s="59"/>
      <c r="Q67" s="59"/>
    </row>
    <row r="68" spans="1:17" ht="20.100000000000001" customHeight="1" thickBot="1" x14ac:dyDescent="0.25">
      <c r="A68" s="110" t="s">
        <v>44</v>
      </c>
      <c r="B68" s="111"/>
      <c r="C68" s="43"/>
      <c r="D68" s="84">
        <f>D66+D67</f>
        <v>224.41542750000002</v>
      </c>
      <c r="H68" s="60"/>
      <c r="I68" s="60"/>
      <c r="J68" s="60"/>
      <c r="K68" s="60"/>
      <c r="L68" s="60"/>
      <c r="M68" s="60"/>
      <c r="N68" s="60"/>
      <c r="O68" s="60"/>
      <c r="P68" s="59"/>
      <c r="Q68" s="59"/>
    </row>
    <row r="69" spans="1:17" ht="20.100000000000001" customHeight="1" thickTop="1" x14ac:dyDescent="0.2">
      <c r="F69" s="69"/>
      <c r="G69" s="70"/>
      <c r="H69" s="60"/>
      <c r="I69" s="60"/>
      <c r="J69" s="60"/>
      <c r="K69" s="60"/>
      <c r="L69" s="60"/>
      <c r="M69" s="60"/>
      <c r="N69" s="60"/>
      <c r="O69" s="60"/>
      <c r="P69" s="59"/>
      <c r="Q69" s="59"/>
    </row>
    <row r="70" spans="1:17" ht="20.100000000000001" customHeight="1" x14ac:dyDescent="0.2">
      <c r="H70" s="58"/>
      <c r="I70" s="58"/>
      <c r="J70" s="58"/>
      <c r="K70" s="58"/>
      <c r="L70" s="58"/>
      <c r="M70" s="58"/>
      <c r="N70" s="59"/>
      <c r="O70" s="59"/>
      <c r="P70" s="59"/>
      <c r="Q70" s="59"/>
    </row>
    <row r="71" spans="1:17" ht="12.75" customHeight="1" x14ac:dyDescent="0.2">
      <c r="A71" s="35"/>
      <c r="B71" s="35"/>
      <c r="C71" s="36"/>
      <c r="D71" s="36"/>
      <c r="E71" s="35"/>
      <c r="H71" s="59"/>
      <c r="I71" s="59"/>
      <c r="J71" s="59"/>
      <c r="K71" s="59"/>
      <c r="L71" s="59"/>
      <c r="M71" s="59"/>
      <c r="N71" s="59"/>
      <c r="O71" s="59"/>
      <c r="P71" s="59"/>
      <c r="Q71" s="59"/>
    </row>
    <row r="72" spans="1:17" ht="12.75" customHeight="1" x14ac:dyDescent="0.2">
      <c r="A72" s="35"/>
      <c r="B72" s="35"/>
      <c r="C72" s="36"/>
      <c r="D72" s="36"/>
      <c r="E72" s="35"/>
      <c r="H72" s="59"/>
      <c r="I72" s="59"/>
      <c r="J72" s="59"/>
      <c r="K72" s="59"/>
      <c r="L72" s="59"/>
      <c r="M72" s="59"/>
      <c r="N72" s="59"/>
      <c r="O72" s="59"/>
      <c r="P72" s="59"/>
      <c r="Q72" s="59"/>
    </row>
    <row r="73" spans="1:17" ht="12.75" customHeight="1" x14ac:dyDescent="0.2">
      <c r="A73" s="35"/>
      <c r="B73" s="35"/>
      <c r="C73" s="36"/>
      <c r="E73" s="35"/>
      <c r="G73" s="59"/>
      <c r="H73" s="59"/>
      <c r="I73" s="59"/>
      <c r="J73" s="59"/>
      <c r="K73" s="59"/>
      <c r="L73" s="59"/>
      <c r="M73" s="59"/>
      <c r="N73" s="59"/>
      <c r="O73" s="59"/>
      <c r="P73" s="59"/>
      <c r="Q73" s="59"/>
    </row>
    <row r="74" spans="1:17" ht="12.75" customHeight="1" x14ac:dyDescent="0.2">
      <c r="A74" s="35"/>
      <c r="B74" s="35"/>
      <c r="C74" s="36"/>
      <c r="D74" s="36"/>
      <c r="E74" s="35"/>
      <c r="F74" s="56"/>
      <c r="G74" s="59"/>
      <c r="H74" s="59"/>
      <c r="I74" s="59"/>
      <c r="J74" s="59"/>
      <c r="K74" s="59"/>
      <c r="L74" s="59"/>
      <c r="M74" s="59"/>
      <c r="N74" s="59"/>
      <c r="O74" s="59"/>
      <c r="P74" s="59"/>
      <c r="Q74" s="59"/>
    </row>
    <row r="75" spans="1:17" ht="12.75" customHeight="1" x14ac:dyDescent="0.2">
      <c r="A75" s="35"/>
      <c r="B75" s="35"/>
      <c r="C75" s="36"/>
      <c r="D75" s="36"/>
      <c r="E75" s="35"/>
      <c r="G75" s="59"/>
      <c r="H75" s="59"/>
      <c r="I75" s="59"/>
      <c r="J75" s="59"/>
      <c r="K75" s="59"/>
      <c r="L75" s="59"/>
      <c r="M75" s="59"/>
      <c r="N75" s="59"/>
      <c r="O75" s="59"/>
      <c r="P75" s="59"/>
      <c r="Q75" s="59"/>
    </row>
    <row r="76" spans="1:17" ht="12.75" customHeight="1" x14ac:dyDescent="0.2">
      <c r="A76" s="35"/>
      <c r="B76" s="35"/>
      <c r="C76" s="36"/>
      <c r="D76" s="36"/>
      <c r="E76" s="35"/>
    </row>
    <row r="77" spans="1:17" ht="12.75" customHeight="1" x14ac:dyDescent="0.2">
      <c r="A77" s="35"/>
      <c r="B77" s="35"/>
      <c r="C77" s="36"/>
      <c r="D77" s="36"/>
      <c r="E77" s="35"/>
    </row>
    <row r="78" spans="1:17" ht="12.75" customHeight="1" x14ac:dyDescent="0.2">
      <c r="A78" s="35"/>
      <c r="B78" s="35"/>
      <c r="C78" s="36"/>
      <c r="D78" s="36"/>
      <c r="E78" s="35"/>
    </row>
    <row r="79" spans="1:17" ht="12.75" customHeight="1" x14ac:dyDescent="0.2">
      <c r="A79" s="35"/>
      <c r="B79" s="35"/>
      <c r="C79" s="36"/>
      <c r="D79" s="36"/>
      <c r="E79" s="35"/>
    </row>
    <row r="80" spans="1:17" ht="12.75" customHeight="1" x14ac:dyDescent="0.2">
      <c r="A80" s="35"/>
      <c r="B80" s="35"/>
      <c r="C80" s="36"/>
      <c r="D80" s="36"/>
      <c r="E80" s="35"/>
    </row>
    <row r="81" spans="1:5" ht="12.75" customHeight="1" x14ac:dyDescent="0.2">
      <c r="A81" s="35"/>
      <c r="B81" s="35"/>
      <c r="C81" s="36"/>
      <c r="D81" s="36"/>
      <c r="E81" s="35"/>
    </row>
    <row r="82" spans="1:5" ht="12.75" customHeight="1" x14ac:dyDescent="0.2">
      <c r="A82" s="35"/>
      <c r="B82" s="35"/>
      <c r="C82" s="36"/>
      <c r="D82" s="36"/>
      <c r="E82" s="35"/>
    </row>
    <row r="83" spans="1:5" ht="12.75" customHeight="1" x14ac:dyDescent="0.2">
      <c r="A83" s="35"/>
      <c r="B83" s="35"/>
      <c r="C83" s="36"/>
      <c r="D83" s="36"/>
      <c r="E83" s="35"/>
    </row>
    <row r="84" spans="1:5" ht="12.75" customHeight="1" x14ac:dyDescent="0.2">
      <c r="A84" s="35"/>
      <c r="B84" s="35"/>
      <c r="C84" s="36"/>
      <c r="D84" s="36"/>
      <c r="E84" s="35"/>
    </row>
    <row r="85" spans="1:5" ht="12.75" customHeight="1" x14ac:dyDescent="0.2">
      <c r="A85" s="35"/>
      <c r="B85" s="35"/>
      <c r="C85" s="36"/>
      <c r="D85" s="36"/>
      <c r="E85" s="35"/>
    </row>
    <row r="86" spans="1:5" ht="12.75" customHeight="1" x14ac:dyDescent="0.2">
      <c r="A86" s="35"/>
      <c r="B86" s="35"/>
      <c r="C86" s="36"/>
      <c r="D86" s="36"/>
      <c r="E86" s="35"/>
    </row>
    <row r="87" spans="1:5" ht="12.75" customHeight="1" x14ac:dyDescent="0.2">
      <c r="A87" s="35"/>
      <c r="B87" s="35"/>
      <c r="C87" s="36"/>
      <c r="D87" s="36"/>
      <c r="E87" s="35"/>
    </row>
    <row r="88" spans="1:5" ht="12.75" customHeight="1" x14ac:dyDescent="0.2">
      <c r="A88" s="35"/>
      <c r="B88" s="35"/>
      <c r="C88" s="36"/>
      <c r="D88" s="36"/>
      <c r="E88" s="35"/>
    </row>
    <row r="89" spans="1:5" ht="12.75" customHeight="1" x14ac:dyDescent="0.2">
      <c r="A89" s="35"/>
      <c r="B89" s="35"/>
      <c r="C89" s="36"/>
      <c r="D89" s="36"/>
      <c r="E89" s="35"/>
    </row>
    <row r="90" spans="1:5" ht="12.75" customHeight="1" x14ac:dyDescent="0.2">
      <c r="A90" s="35"/>
      <c r="B90" s="35"/>
      <c r="C90" s="36"/>
      <c r="D90" s="36"/>
      <c r="E90" s="35"/>
    </row>
    <row r="91" spans="1:5" ht="12.75" customHeight="1" x14ac:dyDescent="0.2">
      <c r="A91" s="35"/>
      <c r="B91" s="35"/>
      <c r="C91" s="36"/>
      <c r="D91" s="36"/>
      <c r="E91" s="35"/>
    </row>
    <row r="92" spans="1:5" ht="12.75" customHeight="1" x14ac:dyDescent="0.2">
      <c r="A92" s="35"/>
      <c r="B92" s="35"/>
      <c r="C92" s="36"/>
      <c r="D92" s="36"/>
      <c r="E92" s="35"/>
    </row>
    <row r="93" spans="1:5" ht="12.75" customHeight="1" x14ac:dyDescent="0.2">
      <c r="A93" s="35"/>
      <c r="B93" s="35"/>
      <c r="C93" s="36"/>
      <c r="D93" s="36"/>
      <c r="E93" s="35"/>
    </row>
    <row r="94" spans="1:5" ht="12.75" customHeight="1" x14ac:dyDescent="0.2">
      <c r="A94" s="35"/>
      <c r="B94" s="35"/>
      <c r="C94" s="36"/>
      <c r="D94" s="36"/>
      <c r="E94" s="35"/>
    </row>
    <row r="95" spans="1:5" ht="12.75" customHeight="1" x14ac:dyDescent="0.2">
      <c r="A95" s="35"/>
      <c r="B95" s="35"/>
      <c r="C95" s="36"/>
      <c r="D95" s="36"/>
      <c r="E95" s="35"/>
    </row>
    <row r="96" spans="1:5" ht="12.75" customHeight="1" x14ac:dyDescent="0.2">
      <c r="A96" s="35"/>
      <c r="B96" s="35"/>
      <c r="C96" s="36"/>
      <c r="D96" s="36"/>
      <c r="E96" s="35"/>
    </row>
    <row r="97" spans="1:5" ht="12.75" customHeight="1" x14ac:dyDescent="0.2">
      <c r="A97" s="35"/>
      <c r="B97" s="35"/>
      <c r="C97" s="36"/>
      <c r="D97" s="36"/>
      <c r="E97" s="35"/>
    </row>
    <row r="98" spans="1:5" ht="12.75" customHeight="1" x14ac:dyDescent="0.2">
      <c r="A98" s="35"/>
      <c r="B98" s="35"/>
      <c r="C98" s="36"/>
      <c r="D98" s="36"/>
      <c r="E98" s="35"/>
    </row>
    <row r="99" spans="1:5" ht="12.75" customHeight="1" x14ac:dyDescent="0.2">
      <c r="A99" s="35"/>
      <c r="B99" s="35"/>
      <c r="C99" s="36"/>
      <c r="D99" s="36"/>
      <c r="E99" s="35"/>
    </row>
    <row r="100" spans="1:5" ht="20.100000000000001" customHeight="1" x14ac:dyDescent="0.2">
      <c r="A100" s="35"/>
      <c r="B100" s="35"/>
      <c r="C100" s="36"/>
      <c r="D100" s="36"/>
      <c r="E100" s="35"/>
    </row>
    <row r="101" spans="1:5" ht="20.100000000000001" customHeight="1" x14ac:dyDescent="0.2">
      <c r="A101" s="35"/>
      <c r="B101" s="35"/>
      <c r="C101" s="36"/>
      <c r="D101" s="36"/>
      <c r="E101" s="35"/>
    </row>
    <row r="102" spans="1:5" ht="20.100000000000001" customHeight="1" x14ac:dyDescent="0.2">
      <c r="A102" s="35"/>
      <c r="B102" s="35"/>
      <c r="C102" s="36"/>
      <c r="D102" s="36"/>
      <c r="E102" s="35"/>
    </row>
    <row r="103" spans="1:5" ht="20.100000000000001" customHeight="1" x14ac:dyDescent="0.2">
      <c r="A103" s="35"/>
      <c r="B103" s="35"/>
      <c r="C103" s="36"/>
      <c r="D103" s="36"/>
      <c r="E103" s="35"/>
    </row>
    <row r="104" spans="1:5" ht="20.100000000000001" customHeight="1" x14ac:dyDescent="0.2">
      <c r="A104" s="35"/>
      <c r="B104" s="35"/>
      <c r="C104" s="36"/>
      <c r="D104" s="36"/>
      <c r="E104" s="35"/>
    </row>
    <row r="105" spans="1:5" ht="20.100000000000001" customHeight="1" x14ac:dyDescent="0.2">
      <c r="A105" s="35"/>
      <c r="B105" s="35"/>
      <c r="C105" s="36"/>
      <c r="D105" s="36"/>
      <c r="E105" s="35"/>
    </row>
    <row r="106" spans="1:5" ht="20.100000000000001" customHeight="1" x14ac:dyDescent="0.2">
      <c r="A106" s="35"/>
      <c r="B106" s="35"/>
      <c r="C106" s="36"/>
      <c r="D106" s="36"/>
      <c r="E106" s="35"/>
    </row>
    <row r="107" spans="1:5" ht="20.100000000000001" customHeight="1" x14ac:dyDescent="0.2">
      <c r="A107" s="35"/>
      <c r="B107" s="35"/>
      <c r="C107" s="36"/>
      <c r="D107" s="36"/>
      <c r="E107" s="35"/>
    </row>
    <row r="108" spans="1:5" ht="20.100000000000001" customHeight="1" x14ac:dyDescent="0.2">
      <c r="A108" s="35"/>
      <c r="B108" s="35"/>
      <c r="C108" s="36"/>
      <c r="D108" s="36"/>
      <c r="E108" s="35"/>
    </row>
    <row r="109" spans="1:5" ht="20.100000000000001" customHeight="1" x14ac:dyDescent="0.2">
      <c r="A109" s="35"/>
      <c r="B109" s="35"/>
      <c r="C109" s="36"/>
      <c r="D109" s="36"/>
      <c r="E109" s="35"/>
    </row>
    <row r="110" spans="1:5" ht="20.100000000000001" customHeight="1" x14ac:dyDescent="0.2">
      <c r="A110" s="35"/>
      <c r="B110" s="35"/>
      <c r="C110" s="36"/>
      <c r="D110" s="36"/>
      <c r="E110" s="35"/>
    </row>
    <row r="111" spans="1:5" ht="20.100000000000001" customHeight="1" x14ac:dyDescent="0.2">
      <c r="A111" s="35"/>
      <c r="B111" s="35"/>
      <c r="C111" s="36"/>
      <c r="D111" s="36"/>
      <c r="E111" s="35"/>
    </row>
    <row r="112" spans="1:5" ht="20.100000000000001" customHeight="1" x14ac:dyDescent="0.2">
      <c r="A112" s="35"/>
      <c r="B112" s="35"/>
      <c r="C112" s="36"/>
      <c r="D112" s="36"/>
      <c r="E112" s="35"/>
    </row>
    <row r="113" spans="1:5" ht="20.100000000000001" customHeight="1" x14ac:dyDescent="0.2">
      <c r="A113" s="35"/>
      <c r="B113" s="35"/>
      <c r="C113" s="36"/>
      <c r="D113" s="36"/>
      <c r="E113" s="35"/>
    </row>
    <row r="114" spans="1:5" ht="20.100000000000001" customHeight="1" x14ac:dyDescent="0.2">
      <c r="A114" s="35"/>
      <c r="B114" s="35"/>
      <c r="C114" s="36"/>
      <c r="D114" s="36"/>
      <c r="E114" s="35"/>
    </row>
    <row r="115" spans="1:5" ht="20.100000000000001" customHeight="1" x14ac:dyDescent="0.2">
      <c r="A115" s="35"/>
      <c r="B115" s="35"/>
      <c r="C115" s="36"/>
      <c r="D115" s="36"/>
      <c r="E115" s="35"/>
    </row>
    <row r="116" spans="1:5" ht="20.100000000000001" customHeight="1" x14ac:dyDescent="0.2">
      <c r="A116" s="35"/>
      <c r="B116" s="35"/>
      <c r="C116" s="36"/>
      <c r="D116" s="36"/>
      <c r="E116" s="35"/>
    </row>
    <row r="117" spans="1:5" ht="20.100000000000001" customHeight="1" x14ac:dyDescent="0.2">
      <c r="A117" s="35"/>
      <c r="B117" s="35"/>
      <c r="C117" s="36"/>
      <c r="D117" s="36"/>
      <c r="E117" s="35"/>
    </row>
    <row r="118" spans="1:5" ht="20.100000000000001" customHeight="1" x14ac:dyDescent="0.2">
      <c r="A118" s="35"/>
      <c r="B118" s="35"/>
      <c r="C118" s="36"/>
      <c r="D118" s="36"/>
      <c r="E118" s="35"/>
    </row>
    <row r="119" spans="1:5" ht="20.100000000000001" customHeight="1" x14ac:dyDescent="0.2">
      <c r="A119" s="35"/>
      <c r="B119" s="35"/>
      <c r="C119" s="36"/>
      <c r="D119" s="36"/>
      <c r="E119" s="35"/>
    </row>
    <row r="120" spans="1:5" ht="20.100000000000001" customHeight="1" x14ac:dyDescent="0.2">
      <c r="A120" s="35"/>
      <c r="B120" s="35"/>
      <c r="C120" s="36"/>
      <c r="D120" s="36"/>
      <c r="E120" s="35"/>
    </row>
    <row r="121" spans="1:5" ht="20.100000000000001" customHeight="1" x14ac:dyDescent="0.2">
      <c r="A121" s="35"/>
      <c r="B121" s="35"/>
      <c r="C121" s="36"/>
      <c r="D121" s="36"/>
      <c r="E121" s="35"/>
    </row>
    <row r="122" spans="1:5" ht="20.100000000000001" customHeight="1" x14ac:dyDescent="0.2">
      <c r="A122" s="35"/>
      <c r="B122" s="35"/>
      <c r="C122" s="36"/>
      <c r="D122" s="36"/>
      <c r="E122" s="35"/>
    </row>
    <row r="123" spans="1:5" ht="20.100000000000001" customHeight="1" x14ac:dyDescent="0.2">
      <c r="A123" s="35"/>
      <c r="B123" s="35"/>
      <c r="C123" s="36"/>
      <c r="D123" s="36"/>
      <c r="E123" s="35"/>
    </row>
    <row r="124" spans="1:5" ht="20.100000000000001" customHeight="1" x14ac:dyDescent="0.2">
      <c r="A124" s="35"/>
      <c r="B124" s="35"/>
      <c r="C124" s="36"/>
      <c r="D124" s="36"/>
      <c r="E124" s="35"/>
    </row>
    <row r="125" spans="1:5" ht="20.100000000000001" customHeight="1" x14ac:dyDescent="0.2">
      <c r="A125" s="35"/>
      <c r="B125" s="35"/>
      <c r="C125" s="36"/>
      <c r="D125" s="36"/>
      <c r="E125" s="35"/>
    </row>
    <row r="126" spans="1:5" ht="20.100000000000001" customHeight="1" x14ac:dyDescent="0.2">
      <c r="A126" s="35"/>
      <c r="B126" s="35"/>
      <c r="C126" s="36"/>
      <c r="D126" s="36"/>
      <c r="E126" s="35"/>
    </row>
    <row r="127" spans="1:5" ht="20.100000000000001" customHeight="1" x14ac:dyDescent="0.2">
      <c r="A127" s="35"/>
      <c r="B127" s="35"/>
      <c r="C127" s="36"/>
      <c r="D127" s="36"/>
      <c r="E127" s="35"/>
    </row>
    <row r="128" spans="1:5" ht="20.100000000000001" customHeight="1" x14ac:dyDescent="0.2">
      <c r="A128" s="35"/>
      <c r="B128" s="35"/>
      <c r="C128" s="36"/>
      <c r="D128" s="36"/>
      <c r="E128" s="35"/>
    </row>
    <row r="129" spans="1:5" ht="20.100000000000001" customHeight="1" x14ac:dyDescent="0.2">
      <c r="A129" s="35"/>
      <c r="B129" s="35"/>
      <c r="C129" s="36"/>
      <c r="D129" s="36"/>
      <c r="E129" s="35"/>
    </row>
    <row r="130" spans="1:5" ht="20.100000000000001" customHeight="1" x14ac:dyDescent="0.2">
      <c r="A130" s="35"/>
      <c r="B130" s="35"/>
      <c r="C130" s="36"/>
      <c r="D130" s="36"/>
      <c r="E130" s="35"/>
    </row>
    <row r="131" spans="1:5" ht="20.100000000000001" customHeight="1" x14ac:dyDescent="0.2">
      <c r="A131" s="35"/>
      <c r="B131" s="35"/>
      <c r="C131" s="36"/>
      <c r="D131" s="36"/>
      <c r="E131" s="35"/>
    </row>
    <row r="132" spans="1:5" ht="20.100000000000001" customHeight="1" x14ac:dyDescent="0.2">
      <c r="A132" s="35"/>
      <c r="B132" s="35"/>
      <c r="C132" s="36"/>
      <c r="D132" s="36"/>
      <c r="E132" s="35"/>
    </row>
    <row r="133" spans="1:5" ht="20.100000000000001" customHeight="1" x14ac:dyDescent="0.2">
      <c r="A133" s="35"/>
      <c r="B133" s="35"/>
      <c r="C133" s="36"/>
      <c r="D133" s="36"/>
      <c r="E133" s="35"/>
    </row>
    <row r="134" spans="1:5" ht="20.100000000000001" customHeight="1" x14ac:dyDescent="0.2">
      <c r="A134" s="35"/>
      <c r="B134" s="35"/>
      <c r="C134" s="36"/>
      <c r="D134" s="36"/>
      <c r="E134" s="35"/>
    </row>
    <row r="135" spans="1:5" ht="20.100000000000001" customHeight="1" x14ac:dyDescent="0.2">
      <c r="A135" s="35"/>
      <c r="B135" s="35"/>
      <c r="C135" s="36"/>
      <c r="D135" s="36"/>
      <c r="E135" s="35"/>
    </row>
    <row r="136" spans="1:5" ht="20.100000000000001" customHeight="1" x14ac:dyDescent="0.2">
      <c r="A136" s="35"/>
      <c r="B136" s="35"/>
      <c r="C136" s="36"/>
      <c r="D136" s="36"/>
      <c r="E136" s="35"/>
    </row>
    <row r="137" spans="1:5" ht="20.100000000000001" customHeight="1" x14ac:dyDescent="0.2">
      <c r="A137" s="35"/>
      <c r="B137" s="35"/>
      <c r="C137" s="36"/>
      <c r="D137" s="36"/>
      <c r="E137" s="35"/>
    </row>
    <row r="138" spans="1:5" ht="20.100000000000001" customHeight="1" x14ac:dyDescent="0.2">
      <c r="A138" s="35"/>
      <c r="B138" s="35"/>
      <c r="C138" s="36"/>
      <c r="D138" s="36"/>
      <c r="E138" s="35"/>
    </row>
    <row r="139" spans="1:5" ht="20.100000000000001" customHeight="1" x14ac:dyDescent="0.2">
      <c r="A139" s="35"/>
      <c r="B139" s="35"/>
      <c r="C139" s="36"/>
      <c r="D139" s="36"/>
      <c r="E139" s="35"/>
    </row>
    <row r="140" spans="1:5" ht="20.100000000000001" customHeight="1" x14ac:dyDescent="0.2">
      <c r="A140" s="35"/>
      <c r="B140" s="35"/>
      <c r="C140" s="36"/>
      <c r="D140" s="36"/>
      <c r="E140" s="35"/>
    </row>
    <row r="141" spans="1:5" ht="20.100000000000001" customHeight="1" x14ac:dyDescent="0.2">
      <c r="A141" s="35"/>
      <c r="B141" s="35"/>
      <c r="C141" s="36"/>
      <c r="D141" s="36"/>
      <c r="E141" s="35"/>
    </row>
    <row r="142" spans="1:5" ht="20.100000000000001" customHeight="1" x14ac:dyDescent="0.2">
      <c r="A142" s="35"/>
      <c r="B142" s="35"/>
      <c r="C142" s="36"/>
      <c r="D142" s="36"/>
      <c r="E142" s="35"/>
    </row>
    <row r="143" spans="1:5" ht="20.100000000000001" customHeight="1" x14ac:dyDescent="0.2">
      <c r="A143" s="35"/>
      <c r="B143" s="35"/>
      <c r="C143" s="36"/>
      <c r="D143" s="36"/>
      <c r="E143" s="35"/>
    </row>
    <row r="144" spans="1:5" ht="20.100000000000001" customHeight="1" x14ac:dyDescent="0.2">
      <c r="A144" s="35"/>
      <c r="B144" s="35"/>
      <c r="C144" s="36"/>
      <c r="D144" s="36"/>
      <c r="E144" s="35"/>
    </row>
    <row r="145" spans="1:5" ht="20.100000000000001" customHeight="1" x14ac:dyDescent="0.2">
      <c r="A145" s="35"/>
      <c r="B145" s="35"/>
      <c r="C145" s="36"/>
      <c r="D145" s="36"/>
      <c r="E145" s="35"/>
    </row>
    <row r="146" spans="1:5" ht="20.100000000000001" customHeight="1" x14ac:dyDescent="0.2">
      <c r="A146" s="35"/>
      <c r="B146" s="35"/>
      <c r="C146" s="36"/>
      <c r="D146" s="36"/>
      <c r="E146" s="35"/>
    </row>
    <row r="147" spans="1:5" ht="20.100000000000001" customHeight="1" x14ac:dyDescent="0.2">
      <c r="A147" s="35"/>
      <c r="B147" s="35"/>
      <c r="C147" s="36"/>
      <c r="D147" s="36"/>
      <c r="E147" s="35"/>
    </row>
    <row r="148" spans="1:5" ht="20.100000000000001" customHeight="1" x14ac:dyDescent="0.2">
      <c r="A148" s="35"/>
      <c r="B148" s="35"/>
      <c r="C148" s="36"/>
      <c r="D148" s="36"/>
      <c r="E148" s="35"/>
    </row>
    <row r="149" spans="1:5" ht="20.100000000000001" customHeight="1" x14ac:dyDescent="0.2">
      <c r="A149" s="35"/>
      <c r="B149" s="35"/>
      <c r="C149" s="36"/>
      <c r="D149" s="36"/>
      <c r="E149" s="35"/>
    </row>
    <row r="150" spans="1:5" ht="20.100000000000001" customHeight="1" x14ac:dyDescent="0.2">
      <c r="A150" s="35"/>
      <c r="B150" s="35"/>
      <c r="C150" s="36"/>
      <c r="D150" s="36"/>
      <c r="E150" s="35"/>
    </row>
    <row r="151" spans="1:5" ht="12.75" x14ac:dyDescent="0.2">
      <c r="A151" s="35"/>
      <c r="B151" s="35"/>
      <c r="C151" s="36"/>
      <c r="D151" s="36"/>
      <c r="E151" s="35"/>
    </row>
    <row r="152" spans="1:5" ht="12.75" x14ac:dyDescent="0.2">
      <c r="A152" s="35"/>
      <c r="B152" s="35"/>
      <c r="C152" s="36"/>
      <c r="D152" s="36"/>
      <c r="E152" s="35"/>
    </row>
    <row r="153" spans="1:5" ht="12.75" x14ac:dyDescent="0.2">
      <c r="A153" s="35"/>
      <c r="B153" s="35"/>
      <c r="C153" s="36"/>
      <c r="D153" s="36"/>
      <c r="E153" s="35"/>
    </row>
    <row r="154" spans="1:5" ht="12.75" x14ac:dyDescent="0.2">
      <c r="A154" s="35"/>
      <c r="B154" s="35"/>
      <c r="C154" s="36"/>
      <c r="D154" s="36"/>
      <c r="E154" s="35"/>
    </row>
    <row r="155" spans="1:5" ht="12.75" x14ac:dyDescent="0.2">
      <c r="A155" s="35"/>
      <c r="B155" s="35"/>
      <c r="C155" s="36"/>
      <c r="D155" s="36"/>
      <c r="E155" s="35"/>
    </row>
    <row r="156" spans="1:5" ht="12.75" x14ac:dyDescent="0.2">
      <c r="A156" s="35"/>
      <c r="B156" s="35"/>
      <c r="C156" s="36"/>
      <c r="D156" s="36"/>
      <c r="E156" s="35"/>
    </row>
    <row r="157" spans="1:5" ht="12.75" x14ac:dyDescent="0.2">
      <c r="A157" s="35"/>
      <c r="B157" s="35"/>
      <c r="C157" s="36"/>
      <c r="D157" s="36"/>
      <c r="E157" s="35"/>
    </row>
    <row r="158" spans="1:5" ht="12.75" x14ac:dyDescent="0.2">
      <c r="A158" s="35"/>
      <c r="B158" s="35"/>
      <c r="C158" s="36"/>
      <c r="D158" s="36"/>
      <c r="E158" s="35"/>
    </row>
    <row r="159" spans="1:5" ht="12.75" x14ac:dyDescent="0.2">
      <c r="A159" s="35"/>
      <c r="B159" s="35"/>
      <c r="C159" s="36"/>
      <c r="D159" s="36"/>
      <c r="E159" s="35"/>
    </row>
    <row r="160" spans="1:5" ht="12.75" x14ac:dyDescent="0.2">
      <c r="A160" s="35"/>
      <c r="B160" s="35"/>
      <c r="C160" s="36"/>
      <c r="D160" s="36"/>
      <c r="E160" s="35"/>
    </row>
    <row r="161" spans="1:5" ht="12.75" x14ac:dyDescent="0.2">
      <c r="A161" s="35"/>
      <c r="B161" s="35"/>
      <c r="C161" s="36"/>
      <c r="D161" s="36"/>
      <c r="E161" s="35"/>
    </row>
    <row r="162" spans="1:5" ht="12.75" x14ac:dyDescent="0.2">
      <c r="A162" s="35"/>
      <c r="B162" s="35"/>
      <c r="C162" s="36"/>
      <c r="D162" s="36"/>
      <c r="E162" s="35"/>
    </row>
    <row r="163" spans="1:5" ht="12.75" x14ac:dyDescent="0.2">
      <c r="A163" s="35"/>
      <c r="B163" s="35"/>
      <c r="C163" s="36"/>
      <c r="D163" s="36"/>
      <c r="E163" s="35"/>
    </row>
    <row r="164" spans="1:5" ht="12.75" x14ac:dyDescent="0.2">
      <c r="A164" s="35"/>
      <c r="B164" s="35"/>
      <c r="C164" s="36"/>
      <c r="D164" s="36"/>
      <c r="E164" s="35"/>
    </row>
    <row r="165" spans="1:5" ht="12.75" x14ac:dyDescent="0.2">
      <c r="A165" s="35"/>
      <c r="B165" s="35"/>
      <c r="C165" s="36"/>
      <c r="D165" s="36"/>
      <c r="E165" s="35"/>
    </row>
    <row r="166" spans="1:5" ht="12.75" x14ac:dyDescent="0.2">
      <c r="A166" s="35"/>
      <c r="B166" s="35"/>
      <c r="C166" s="36"/>
      <c r="D166" s="36"/>
      <c r="E166" s="35"/>
    </row>
    <row r="167" spans="1:5" ht="12.75" x14ac:dyDescent="0.2">
      <c r="A167" s="35"/>
      <c r="B167" s="35"/>
      <c r="C167" s="36"/>
      <c r="D167" s="36"/>
      <c r="E167" s="35"/>
    </row>
    <row r="168" spans="1:5" ht="12.75" x14ac:dyDescent="0.2">
      <c r="A168" s="35"/>
      <c r="B168" s="35"/>
      <c r="C168" s="36"/>
      <c r="D168" s="36"/>
      <c r="E168" s="35"/>
    </row>
    <row r="169" spans="1:5" ht="12.75" x14ac:dyDescent="0.2">
      <c r="A169" s="35"/>
      <c r="B169" s="35"/>
      <c r="C169" s="36"/>
      <c r="D169" s="36"/>
      <c r="E169" s="35"/>
    </row>
    <row r="170" spans="1:5" ht="12.75" x14ac:dyDescent="0.2">
      <c r="A170" s="35"/>
      <c r="B170" s="35"/>
      <c r="C170" s="36"/>
      <c r="D170" s="36"/>
      <c r="E170" s="35"/>
    </row>
    <row r="171" spans="1:5" ht="12.75" x14ac:dyDescent="0.2">
      <c r="A171" s="35"/>
      <c r="B171" s="35"/>
      <c r="C171" s="36"/>
      <c r="D171" s="36"/>
      <c r="E171" s="35"/>
    </row>
    <row r="172" spans="1:5" ht="12.75" x14ac:dyDescent="0.2">
      <c r="A172" s="35"/>
      <c r="B172" s="35"/>
      <c r="C172" s="36"/>
      <c r="D172" s="36"/>
      <c r="E172" s="35"/>
    </row>
    <row r="173" spans="1:5" ht="12.75" x14ac:dyDescent="0.2">
      <c r="A173" s="35"/>
      <c r="B173" s="35"/>
      <c r="C173" s="36"/>
      <c r="D173" s="36"/>
      <c r="E173" s="35"/>
    </row>
    <row r="174" spans="1:5" ht="12.75" x14ac:dyDescent="0.2">
      <c r="A174" s="35"/>
      <c r="B174" s="35"/>
      <c r="C174" s="36"/>
      <c r="D174" s="36"/>
      <c r="E174" s="35"/>
    </row>
    <row r="175" spans="1:5" ht="12.75" x14ac:dyDescent="0.2">
      <c r="A175" s="35"/>
      <c r="B175" s="35"/>
      <c r="C175" s="36"/>
      <c r="D175" s="36"/>
      <c r="E175" s="35"/>
    </row>
    <row r="176" spans="1:5" ht="12.75" x14ac:dyDescent="0.2">
      <c r="A176" s="35"/>
      <c r="B176" s="35"/>
      <c r="C176" s="36"/>
      <c r="D176" s="36"/>
      <c r="E176" s="35"/>
    </row>
    <row r="177" spans="1:5" ht="12.75" x14ac:dyDescent="0.2">
      <c r="A177" s="35"/>
      <c r="B177" s="35"/>
      <c r="C177" s="36"/>
      <c r="D177" s="36"/>
      <c r="E177" s="35"/>
    </row>
    <row r="178" spans="1:5" ht="12.75" x14ac:dyDescent="0.2">
      <c r="A178" s="35"/>
      <c r="B178" s="35"/>
      <c r="C178" s="36"/>
      <c r="D178" s="36"/>
      <c r="E178" s="35"/>
    </row>
    <row r="179" spans="1:5" ht="12.75" x14ac:dyDescent="0.2">
      <c r="A179" s="35"/>
      <c r="B179" s="35"/>
      <c r="C179" s="36"/>
      <c r="D179" s="36"/>
      <c r="E179" s="35"/>
    </row>
    <row r="180" spans="1:5" ht="12.75" x14ac:dyDescent="0.2">
      <c r="A180" s="35"/>
      <c r="B180" s="35"/>
      <c r="C180" s="36"/>
      <c r="D180" s="36"/>
      <c r="E180" s="35"/>
    </row>
    <row r="181" spans="1:5" ht="12.75" x14ac:dyDescent="0.2">
      <c r="A181" s="35"/>
      <c r="B181" s="35"/>
      <c r="C181" s="36"/>
      <c r="D181" s="36"/>
      <c r="E181" s="35"/>
    </row>
    <row r="182" spans="1:5" ht="12.75" x14ac:dyDescent="0.2">
      <c r="A182" s="35"/>
      <c r="B182" s="35"/>
      <c r="C182" s="36"/>
      <c r="D182" s="36"/>
      <c r="E182" s="35"/>
    </row>
    <row r="183" spans="1:5" ht="12.75" x14ac:dyDescent="0.2">
      <c r="A183" s="35"/>
      <c r="B183" s="35"/>
      <c r="C183" s="36"/>
      <c r="D183" s="36"/>
      <c r="E183" s="35"/>
    </row>
    <row r="184" spans="1:5" ht="12.75" x14ac:dyDescent="0.2">
      <c r="A184" s="35"/>
      <c r="B184" s="35"/>
      <c r="C184" s="36"/>
      <c r="D184" s="36"/>
      <c r="E184" s="35"/>
    </row>
    <row r="185" spans="1:5" ht="12.75" x14ac:dyDescent="0.2">
      <c r="A185" s="35"/>
      <c r="B185" s="35"/>
      <c r="C185" s="36"/>
      <c r="D185" s="36"/>
      <c r="E185" s="35"/>
    </row>
    <row r="186" spans="1:5" ht="12.75" x14ac:dyDescent="0.2">
      <c r="A186" s="35"/>
      <c r="B186" s="35"/>
      <c r="C186" s="36"/>
      <c r="D186" s="36"/>
      <c r="E186" s="35"/>
    </row>
    <row r="187" spans="1:5" ht="12.75" x14ac:dyDescent="0.2">
      <c r="A187" s="35"/>
      <c r="B187" s="35"/>
      <c r="C187" s="36"/>
      <c r="D187" s="36"/>
      <c r="E187" s="35"/>
    </row>
    <row r="188" spans="1:5" ht="12.75" x14ac:dyDescent="0.2">
      <c r="A188" s="35"/>
      <c r="B188" s="35"/>
      <c r="C188" s="36"/>
      <c r="D188" s="36"/>
      <c r="E188" s="35"/>
    </row>
    <row r="189" spans="1:5" ht="12.75" x14ac:dyDescent="0.2">
      <c r="A189" s="35"/>
      <c r="B189" s="35"/>
      <c r="C189" s="36"/>
      <c r="D189" s="36"/>
      <c r="E189" s="35"/>
    </row>
    <row r="190" spans="1:5" ht="12.75" x14ac:dyDescent="0.2">
      <c r="A190" s="35"/>
      <c r="B190" s="35"/>
      <c r="C190" s="36"/>
      <c r="D190" s="36"/>
      <c r="E190" s="35"/>
    </row>
    <row r="191" spans="1:5" ht="12.75" x14ac:dyDescent="0.2">
      <c r="A191" s="35"/>
      <c r="B191" s="35"/>
      <c r="C191" s="36"/>
      <c r="D191" s="36"/>
      <c r="E191" s="35"/>
    </row>
    <row r="192" spans="1:5" ht="12.75" x14ac:dyDescent="0.2">
      <c r="A192" s="35"/>
      <c r="B192" s="35"/>
      <c r="C192" s="36"/>
      <c r="D192" s="36"/>
      <c r="E192" s="35"/>
    </row>
    <row r="193" spans="1:5" ht="12.75" x14ac:dyDescent="0.2">
      <c r="A193" s="35"/>
      <c r="B193" s="35"/>
      <c r="C193" s="36"/>
      <c r="D193" s="36"/>
      <c r="E193" s="35"/>
    </row>
    <row r="194" spans="1:5" ht="12.75" x14ac:dyDescent="0.2">
      <c r="A194" s="35"/>
      <c r="B194" s="35"/>
      <c r="C194" s="36"/>
      <c r="D194" s="36"/>
      <c r="E194" s="35"/>
    </row>
    <row r="195" spans="1:5" ht="12.75" x14ac:dyDescent="0.2">
      <c r="A195" s="35"/>
      <c r="B195" s="35"/>
      <c r="C195" s="36"/>
      <c r="D195" s="36"/>
      <c r="E195" s="35"/>
    </row>
    <row r="196" spans="1:5" ht="12.75" x14ac:dyDescent="0.2">
      <c r="A196" s="35"/>
      <c r="B196" s="35"/>
      <c r="C196" s="36"/>
      <c r="D196" s="36"/>
      <c r="E196" s="35"/>
    </row>
    <row r="197" spans="1:5" ht="12.75" x14ac:dyDescent="0.2">
      <c r="A197" s="35"/>
      <c r="B197" s="35"/>
      <c r="C197" s="36"/>
      <c r="D197" s="36"/>
      <c r="E197" s="35"/>
    </row>
    <row r="198" spans="1:5" ht="12.75" x14ac:dyDescent="0.2">
      <c r="A198" s="35"/>
      <c r="B198" s="35"/>
      <c r="C198" s="36"/>
      <c r="D198" s="36"/>
      <c r="E198" s="35"/>
    </row>
    <row r="199" spans="1:5" ht="12.75" x14ac:dyDescent="0.2">
      <c r="A199" s="35"/>
      <c r="B199" s="35"/>
      <c r="C199" s="36"/>
      <c r="D199" s="36"/>
      <c r="E199" s="35"/>
    </row>
    <row r="200" spans="1:5" ht="12.75" x14ac:dyDescent="0.2">
      <c r="A200" s="35"/>
      <c r="B200" s="35"/>
      <c r="C200" s="36"/>
      <c r="D200" s="36"/>
      <c r="E200" s="35"/>
    </row>
    <row r="201" spans="1:5" ht="12.75" x14ac:dyDescent="0.2">
      <c r="A201" s="35"/>
      <c r="B201" s="35"/>
      <c r="C201" s="36"/>
      <c r="D201" s="36"/>
      <c r="E201" s="35"/>
    </row>
    <row r="202" spans="1:5" ht="12.75" x14ac:dyDescent="0.2">
      <c r="A202" s="35"/>
      <c r="B202" s="35"/>
      <c r="C202" s="36"/>
      <c r="D202" s="36"/>
      <c r="E202" s="35"/>
    </row>
    <row r="203" spans="1:5" ht="12.75" x14ac:dyDescent="0.2">
      <c r="A203" s="35"/>
      <c r="B203" s="35"/>
      <c r="C203" s="36"/>
      <c r="D203" s="36"/>
      <c r="E203" s="35"/>
    </row>
    <row r="204" spans="1:5" ht="12.75" x14ac:dyDescent="0.2">
      <c r="A204" s="35"/>
      <c r="B204" s="35"/>
      <c r="C204" s="36"/>
      <c r="D204" s="36"/>
      <c r="E204" s="35"/>
    </row>
    <row r="205" spans="1:5" ht="12.75" x14ac:dyDescent="0.2">
      <c r="A205" s="35"/>
      <c r="B205" s="35"/>
      <c r="C205" s="36"/>
      <c r="D205" s="36"/>
      <c r="E205" s="35"/>
    </row>
    <row r="206" spans="1:5" ht="12.75" x14ac:dyDescent="0.2">
      <c r="A206" s="35"/>
      <c r="B206" s="35"/>
      <c r="C206" s="36"/>
      <c r="D206" s="36"/>
      <c r="E206" s="35"/>
    </row>
    <row r="207" spans="1:5" ht="12.75" x14ac:dyDescent="0.2">
      <c r="A207" s="35"/>
      <c r="B207" s="35"/>
      <c r="C207" s="36"/>
      <c r="D207" s="36"/>
      <c r="E207" s="35"/>
    </row>
    <row r="208" spans="1:5" ht="12.75" x14ac:dyDescent="0.2">
      <c r="A208" s="35"/>
      <c r="B208" s="35"/>
      <c r="C208" s="36"/>
      <c r="D208" s="36"/>
      <c r="E208" s="35"/>
    </row>
    <row r="209" spans="1:5" ht="12.75" x14ac:dyDescent="0.2">
      <c r="A209" s="35"/>
      <c r="B209" s="35"/>
      <c r="C209" s="36"/>
      <c r="D209" s="36"/>
      <c r="E209" s="35"/>
    </row>
    <row r="210" spans="1:5" ht="12.75" x14ac:dyDescent="0.2">
      <c r="A210" s="35"/>
      <c r="B210" s="35"/>
      <c r="C210" s="36"/>
      <c r="D210" s="36"/>
      <c r="E210" s="35"/>
    </row>
    <row r="211" spans="1:5" ht="12.75" x14ac:dyDescent="0.2">
      <c r="A211" s="35"/>
      <c r="B211" s="35"/>
      <c r="C211" s="36"/>
      <c r="D211" s="36"/>
      <c r="E211" s="35"/>
    </row>
    <row r="212" spans="1:5" ht="12.75" x14ac:dyDescent="0.2">
      <c r="A212" s="35"/>
      <c r="B212" s="35"/>
      <c r="C212" s="36"/>
      <c r="D212" s="36"/>
      <c r="E212" s="35"/>
    </row>
    <row r="213" spans="1:5" ht="12.75" x14ac:dyDescent="0.2">
      <c r="A213" s="35"/>
      <c r="B213" s="35"/>
      <c r="C213" s="36"/>
      <c r="D213" s="36"/>
      <c r="E213" s="35"/>
    </row>
    <row r="214" spans="1:5" ht="12.75" x14ac:dyDescent="0.2">
      <c r="A214" s="35"/>
      <c r="B214" s="35"/>
      <c r="C214" s="36"/>
      <c r="D214" s="36"/>
      <c r="E214" s="35"/>
    </row>
    <row r="215" spans="1:5" ht="12.75" x14ac:dyDescent="0.2">
      <c r="A215" s="35"/>
      <c r="B215" s="35"/>
      <c r="C215" s="36"/>
      <c r="D215" s="36"/>
      <c r="E215" s="35"/>
    </row>
    <row r="216" spans="1:5" ht="12.75" x14ac:dyDescent="0.2">
      <c r="A216" s="35"/>
      <c r="B216" s="35"/>
      <c r="C216" s="36"/>
      <c r="D216" s="36"/>
      <c r="E216" s="35"/>
    </row>
    <row r="217" spans="1:5" ht="12.75" x14ac:dyDescent="0.2">
      <c r="A217" s="35"/>
      <c r="B217" s="35"/>
      <c r="C217" s="36"/>
      <c r="D217" s="36"/>
      <c r="E217" s="35"/>
    </row>
    <row r="218" spans="1:5" ht="12.75" x14ac:dyDescent="0.2">
      <c r="A218" s="35"/>
      <c r="B218" s="35"/>
      <c r="C218" s="36"/>
      <c r="D218" s="36"/>
      <c r="E218" s="35"/>
    </row>
    <row r="219" spans="1:5" ht="12.75" x14ac:dyDescent="0.2">
      <c r="A219" s="35"/>
      <c r="B219" s="35"/>
      <c r="C219" s="36"/>
      <c r="D219" s="36"/>
      <c r="E219" s="35"/>
    </row>
    <row r="220" spans="1:5" ht="12.75" x14ac:dyDescent="0.2">
      <c r="A220" s="35"/>
      <c r="B220" s="35"/>
      <c r="C220" s="36"/>
      <c r="D220" s="36"/>
      <c r="E220" s="35"/>
    </row>
    <row r="221" spans="1:5" ht="12.75" x14ac:dyDescent="0.2">
      <c r="A221" s="35"/>
      <c r="B221" s="35"/>
      <c r="C221" s="36"/>
      <c r="D221" s="36"/>
      <c r="E221" s="35"/>
    </row>
    <row r="222" spans="1:5" ht="12.75" x14ac:dyDescent="0.2">
      <c r="A222" s="35"/>
      <c r="B222" s="35"/>
      <c r="C222" s="36"/>
      <c r="D222" s="36"/>
      <c r="E222" s="35"/>
    </row>
    <row r="223" spans="1:5" ht="12.75" x14ac:dyDescent="0.2">
      <c r="A223" s="35"/>
      <c r="B223" s="35"/>
      <c r="C223" s="36"/>
      <c r="D223" s="36"/>
      <c r="E223" s="35"/>
    </row>
    <row r="224" spans="1:5" ht="12.75" x14ac:dyDescent="0.2">
      <c r="A224" s="35"/>
      <c r="B224" s="35"/>
      <c r="C224" s="36"/>
      <c r="D224" s="36"/>
      <c r="E224" s="35"/>
    </row>
    <row r="225" spans="1:5" ht="12.75" x14ac:dyDescent="0.2">
      <c r="A225" s="35"/>
      <c r="B225" s="35"/>
      <c r="C225" s="36"/>
      <c r="D225" s="36"/>
      <c r="E225" s="35"/>
    </row>
    <row r="226" spans="1:5" ht="12.75" x14ac:dyDescent="0.2">
      <c r="A226" s="35"/>
      <c r="B226" s="35"/>
      <c r="C226" s="36"/>
      <c r="D226" s="36"/>
      <c r="E226" s="35"/>
    </row>
    <row r="227" spans="1:5" ht="12.75" x14ac:dyDescent="0.2">
      <c r="A227" s="35"/>
      <c r="B227" s="35"/>
      <c r="C227" s="36"/>
      <c r="D227" s="36"/>
      <c r="E227" s="35"/>
    </row>
    <row r="228" spans="1:5" ht="12.75" x14ac:dyDescent="0.2">
      <c r="A228" s="35"/>
      <c r="B228" s="35"/>
      <c r="C228" s="36"/>
      <c r="D228" s="36"/>
      <c r="E228" s="35"/>
    </row>
    <row r="229" spans="1:5" ht="12.75" x14ac:dyDescent="0.2">
      <c r="A229" s="35"/>
      <c r="B229" s="35"/>
      <c r="C229" s="36"/>
      <c r="D229" s="36"/>
      <c r="E229" s="35"/>
    </row>
    <row r="230" spans="1:5" ht="12.75" x14ac:dyDescent="0.2">
      <c r="A230" s="35"/>
      <c r="B230" s="35"/>
      <c r="C230" s="36"/>
      <c r="D230" s="36"/>
      <c r="E230" s="35"/>
    </row>
    <row r="231" spans="1:5" ht="12.75" x14ac:dyDescent="0.2">
      <c r="A231" s="35"/>
      <c r="B231" s="35"/>
      <c r="C231" s="36"/>
      <c r="D231" s="36"/>
      <c r="E231" s="35"/>
    </row>
    <row r="232" spans="1:5" ht="12.75" x14ac:dyDescent="0.2">
      <c r="A232" s="35"/>
      <c r="B232" s="35"/>
      <c r="C232" s="36"/>
      <c r="D232" s="36"/>
      <c r="E232" s="35"/>
    </row>
    <row r="233" spans="1:5" ht="12.75" x14ac:dyDescent="0.2">
      <c r="A233" s="35"/>
      <c r="B233" s="35"/>
      <c r="C233" s="36"/>
      <c r="D233" s="36"/>
      <c r="E233" s="35"/>
    </row>
    <row r="234" spans="1:5" ht="12.75" x14ac:dyDescent="0.2">
      <c r="A234" s="35"/>
      <c r="B234" s="35"/>
      <c r="C234" s="36"/>
      <c r="D234" s="36"/>
      <c r="E234" s="35"/>
    </row>
    <row r="235" spans="1:5" ht="12.75" x14ac:dyDescent="0.2">
      <c r="A235" s="35"/>
      <c r="B235" s="35"/>
      <c r="C235" s="36"/>
      <c r="D235" s="36"/>
      <c r="E235" s="35"/>
    </row>
    <row r="236" spans="1:5" ht="12.75" x14ac:dyDescent="0.2">
      <c r="A236" s="35"/>
      <c r="B236" s="35"/>
      <c r="C236" s="36"/>
      <c r="D236" s="36"/>
      <c r="E236" s="35"/>
    </row>
    <row r="237" spans="1:5" ht="12.75" x14ac:dyDescent="0.2">
      <c r="A237" s="35"/>
      <c r="B237" s="35"/>
      <c r="C237" s="36"/>
      <c r="D237" s="36"/>
      <c r="E237" s="35"/>
    </row>
  </sheetData>
  <mergeCells count="17">
    <mergeCell ref="A68:B68"/>
    <mergeCell ref="F15:G17"/>
    <mergeCell ref="D9:D10"/>
    <mergeCell ref="D11:D12"/>
    <mergeCell ref="A4:D6"/>
    <mergeCell ref="C11:C12"/>
    <mergeCell ref="B11:B12"/>
    <mergeCell ref="A11:A12"/>
    <mergeCell ref="F25:G31"/>
    <mergeCell ref="A1:B2"/>
    <mergeCell ref="C1:C2"/>
    <mergeCell ref="A60:B60"/>
    <mergeCell ref="A63:B63"/>
    <mergeCell ref="A65:B65"/>
    <mergeCell ref="A67:B67"/>
    <mergeCell ref="A61:B61"/>
    <mergeCell ref="A62:B62"/>
  </mergeCells>
  <phoneticPr fontId="0" type="noConversion"/>
  <printOptions horizontalCentered="1" gridLinesSet="0"/>
  <pageMargins left="0.5" right="0.5" top="0.75" bottom="0" header="0.3" footer="0"/>
  <pageSetup scale="61" orientation="portrait" r:id="rId1"/>
  <headerFooter>
    <oddHeader>&amp;L&amp;"Verdana,Bold"Construction Cost Estimate</oddHeader>
    <oddFooter>&amp;R&amp;P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AF83D-F829-40CC-9170-E37B33A959F3}">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1"/>
      <c r="E7" s="91"/>
      <c r="F7" s="16" t="s">
        <v>10</v>
      </c>
      <c r="G7" s="11"/>
      <c r="H7" s="13"/>
    </row>
    <row r="8" spans="1:9" ht="12.75" customHeight="1" x14ac:dyDescent="0.2">
      <c r="A8" s="130" t="str">
        <f>Summary!A4</f>
        <v>Fill Here</v>
      </c>
      <c r="B8" s="131"/>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Summary!B13</f>
        <v>GENERAL REQUIREMENTS</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28" si="0">B15*D15</f>
        <v>0</v>
      </c>
      <c r="F15" s="31"/>
      <c r="G15" s="83">
        <f t="shared" ref="G15:G24" si="1">B15*F15</f>
        <v>0</v>
      </c>
      <c r="H15" s="83">
        <f t="shared" ref="H15:H23" si="2">E15+G15</f>
        <v>0</v>
      </c>
    </row>
    <row r="16" spans="1:9" ht="19.5" customHeight="1" x14ac:dyDescent="0.2">
      <c r="A16" s="30" t="s">
        <v>132</v>
      </c>
      <c r="B16" s="30">
        <v>2</v>
      </c>
      <c r="C16" s="31"/>
      <c r="D16" s="31"/>
      <c r="E16" s="83">
        <f t="shared" si="0"/>
        <v>0</v>
      </c>
      <c r="F16" s="31">
        <v>10</v>
      </c>
      <c r="G16" s="83">
        <f t="shared" si="1"/>
        <v>20</v>
      </c>
      <c r="H16" s="83">
        <f t="shared" si="2"/>
        <v>20</v>
      </c>
    </row>
    <row r="17" spans="1:8" ht="19.5" customHeight="1" x14ac:dyDescent="0.2">
      <c r="A17" s="30" t="s">
        <v>132</v>
      </c>
      <c r="B17" s="30">
        <v>3</v>
      </c>
      <c r="C17" s="31">
        <v>1</v>
      </c>
      <c r="D17" s="31">
        <v>10</v>
      </c>
      <c r="E17" s="83">
        <f t="shared" si="0"/>
        <v>30</v>
      </c>
      <c r="F17" s="31"/>
      <c r="G17" s="83">
        <f t="shared" si="1"/>
        <v>0</v>
      </c>
      <c r="H17" s="83">
        <f t="shared" si="2"/>
        <v>30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c r="F19" s="31"/>
      <c r="G19" s="83"/>
      <c r="H19" s="83"/>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9"/>
      <c r="B22" s="39"/>
      <c r="C22" s="40"/>
      <c r="D22" s="40"/>
      <c r="E22" s="83">
        <f t="shared" si="0"/>
        <v>0</v>
      </c>
      <c r="F22" s="40"/>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E24+G24</f>
        <v>0</v>
      </c>
    </row>
    <row r="25" spans="1:8" ht="19.5" customHeight="1" x14ac:dyDescent="0.2">
      <c r="A25" s="30"/>
      <c r="B25" s="30"/>
      <c r="C25" s="31"/>
      <c r="D25" s="31"/>
      <c r="E25" s="83">
        <f t="shared" si="0"/>
        <v>0</v>
      </c>
      <c r="F25" s="31"/>
      <c r="G25" s="83">
        <f>B25*F25</f>
        <v>0</v>
      </c>
      <c r="H25" s="83">
        <f>E25+G25</f>
        <v>0</v>
      </c>
    </row>
    <row r="26" spans="1:8" ht="19.5" customHeight="1" x14ac:dyDescent="0.2">
      <c r="A26" s="30"/>
      <c r="B26" s="30"/>
      <c r="C26" s="31"/>
      <c r="D26" s="31"/>
      <c r="E26" s="83">
        <f t="shared" si="0"/>
        <v>0</v>
      </c>
      <c r="F26" s="31"/>
      <c r="G26" s="83">
        <f t="shared" ref="G26:G40" si="3">B26*F26</f>
        <v>0</v>
      </c>
      <c r="H26" s="83">
        <f t="shared" ref="H26:H40" si="4">E26+G26</f>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 t="shared" ref="E29:E40" si="5">B29*D29</f>
        <v>0</v>
      </c>
      <c r="F29" s="31"/>
      <c r="G29" s="83">
        <f t="shared" si="3"/>
        <v>0</v>
      </c>
      <c r="H29" s="83">
        <f t="shared" si="4"/>
        <v>0</v>
      </c>
    </row>
    <row r="30" spans="1:8" ht="19.5" customHeight="1" x14ac:dyDescent="0.2">
      <c r="A30" s="30"/>
      <c r="B30" s="30"/>
      <c r="C30" s="31"/>
      <c r="D30" s="31"/>
      <c r="E30" s="83">
        <f t="shared" si="5"/>
        <v>0</v>
      </c>
      <c r="F30" s="31"/>
      <c r="G30" s="83">
        <f t="shared" si="3"/>
        <v>0</v>
      </c>
      <c r="H30" s="83">
        <f t="shared" si="4"/>
        <v>0</v>
      </c>
    </row>
    <row r="31" spans="1:8" ht="19.5" customHeight="1" x14ac:dyDescent="0.2">
      <c r="A31" s="30"/>
      <c r="B31" s="30"/>
      <c r="C31" s="31"/>
      <c r="D31" s="31"/>
      <c r="E31" s="83">
        <f>B31*D31</f>
        <v>0</v>
      </c>
      <c r="F31" s="31"/>
      <c r="G31" s="83">
        <f>B31*F31</f>
        <v>0</v>
      </c>
      <c r="H31" s="83">
        <f>E31+G31</f>
        <v>0</v>
      </c>
    </row>
    <row r="32" spans="1:8" ht="19.5" customHeight="1" x14ac:dyDescent="0.2">
      <c r="A32" s="30" t="s">
        <v>124</v>
      </c>
      <c r="B32" s="30"/>
      <c r="C32" s="31"/>
      <c r="D32" s="31"/>
      <c r="E32" s="83">
        <f>B32*D32</f>
        <v>0</v>
      </c>
      <c r="F32" s="31"/>
      <c r="G32" s="83">
        <f>B32*F32</f>
        <v>0</v>
      </c>
      <c r="H32" s="83">
        <f>E32+G32</f>
        <v>0</v>
      </c>
    </row>
    <row r="33" spans="1:10" ht="19.5" customHeight="1" x14ac:dyDescent="0.2">
      <c r="A33" s="30"/>
      <c r="B33" s="30"/>
      <c r="C33" s="31"/>
      <c r="D33" s="31"/>
      <c r="E33" s="83">
        <f>B33*D33</f>
        <v>0</v>
      </c>
      <c r="F33" s="31"/>
      <c r="G33" s="83">
        <f>B33*F33</f>
        <v>0</v>
      </c>
      <c r="H33" s="83">
        <f>E33+G33</f>
        <v>0</v>
      </c>
    </row>
    <row r="34" spans="1:10" ht="19.5" customHeight="1" x14ac:dyDescent="0.2">
      <c r="A34" s="30"/>
      <c r="B34" s="30"/>
      <c r="C34" s="31"/>
      <c r="D34" s="31"/>
      <c r="E34" s="83">
        <f t="shared" si="5"/>
        <v>0</v>
      </c>
      <c r="F34" s="31"/>
      <c r="G34" s="83">
        <f t="shared" si="3"/>
        <v>0</v>
      </c>
      <c r="H34" s="83">
        <f t="shared" si="4"/>
        <v>0</v>
      </c>
    </row>
    <row r="35" spans="1:10" ht="19.5" customHeight="1" x14ac:dyDescent="0.2">
      <c r="A35" s="30"/>
      <c r="B35" s="30"/>
      <c r="C35" s="31"/>
      <c r="D35" s="31"/>
      <c r="E35" s="83">
        <f t="shared" si="5"/>
        <v>0</v>
      </c>
      <c r="F35" s="31"/>
      <c r="G35" s="83">
        <f t="shared" si="3"/>
        <v>0</v>
      </c>
      <c r="H35" s="83">
        <f t="shared" si="4"/>
        <v>0</v>
      </c>
    </row>
    <row r="36" spans="1:10" ht="19.5" customHeight="1" x14ac:dyDescent="0.2">
      <c r="A36" s="30"/>
      <c r="B36" s="30"/>
      <c r="C36" s="31"/>
      <c r="D36" s="31"/>
      <c r="E36" s="83">
        <f t="shared" si="5"/>
        <v>0</v>
      </c>
      <c r="F36" s="31"/>
      <c r="G36" s="83">
        <f t="shared" si="3"/>
        <v>0</v>
      </c>
      <c r="H36" s="83">
        <f t="shared" si="4"/>
        <v>0</v>
      </c>
    </row>
    <row r="37" spans="1:10" ht="19.5" customHeight="1" x14ac:dyDescent="0.2">
      <c r="A37" s="30"/>
      <c r="B37" s="30"/>
      <c r="C37" s="31"/>
      <c r="D37" s="31"/>
      <c r="E37" s="83">
        <f t="shared" si="5"/>
        <v>0</v>
      </c>
      <c r="F37" s="31"/>
      <c r="G37" s="83">
        <f t="shared" si="3"/>
        <v>0</v>
      </c>
      <c r="H37" s="83">
        <f t="shared" si="4"/>
        <v>0</v>
      </c>
    </row>
    <row r="38" spans="1:10" ht="19.5" customHeight="1" x14ac:dyDescent="0.2">
      <c r="A38" s="30"/>
      <c r="B38" s="30"/>
      <c r="C38" s="31"/>
      <c r="D38" s="31"/>
      <c r="E38" s="83">
        <f t="shared" si="5"/>
        <v>0</v>
      </c>
      <c r="F38" s="31"/>
      <c r="G38" s="83">
        <f t="shared" si="3"/>
        <v>0</v>
      </c>
      <c r="H38" s="83">
        <f t="shared" si="4"/>
        <v>0</v>
      </c>
    </row>
    <row r="39" spans="1:10" ht="19.5" customHeight="1" x14ac:dyDescent="0.2">
      <c r="A39" s="30"/>
      <c r="B39" s="30"/>
      <c r="C39" s="31"/>
      <c r="D39" s="31"/>
      <c r="E39" s="83">
        <f t="shared" si="5"/>
        <v>0</v>
      </c>
      <c r="F39" s="31"/>
      <c r="G39" s="83">
        <f t="shared" si="3"/>
        <v>0</v>
      </c>
      <c r="H39" s="83">
        <f t="shared" si="4"/>
        <v>0</v>
      </c>
    </row>
    <row r="40" spans="1:10" ht="19.5" customHeight="1" x14ac:dyDescent="0.2">
      <c r="A40" s="30"/>
      <c r="B40" s="30"/>
      <c r="C40" s="31"/>
      <c r="D40" s="31"/>
      <c r="E40" s="83">
        <f t="shared" si="5"/>
        <v>0</v>
      </c>
      <c r="F40" s="31"/>
      <c r="G40" s="83">
        <f t="shared" si="3"/>
        <v>0</v>
      </c>
      <c r="H40" s="83">
        <f t="shared" si="4"/>
        <v>0</v>
      </c>
    </row>
    <row r="41" spans="1:10" ht="19.5" customHeight="1" x14ac:dyDescent="0.2">
      <c r="A41" s="29" t="s">
        <v>42</v>
      </c>
      <c r="B41" s="30"/>
      <c r="C41" s="31"/>
      <c r="D41" s="31"/>
      <c r="E41" s="83">
        <f>SUM(E14:E40)</f>
        <v>30</v>
      </c>
      <c r="F41" s="31"/>
      <c r="G41" s="83">
        <f>SUM(G14:G40)</f>
        <v>20</v>
      </c>
      <c r="H41" s="45"/>
      <c r="I41" s="10"/>
      <c r="J41" s="10"/>
    </row>
    <row r="42" spans="1:10" ht="19.5" customHeight="1" x14ac:dyDescent="0.2">
      <c r="A42" s="29" t="s">
        <v>23</v>
      </c>
      <c r="B42" s="30"/>
      <c r="C42" s="31"/>
      <c r="D42" s="31"/>
      <c r="E42" s="41"/>
      <c r="F42" s="31"/>
      <c r="G42" s="41"/>
      <c r="H42" s="83">
        <f>SUM(H14:H41)</f>
        <v>50</v>
      </c>
      <c r="J42" s="10"/>
    </row>
    <row r="43" spans="1:10" ht="19.5" customHeight="1" x14ac:dyDescent="0.2">
      <c r="A43" s="29" t="s">
        <v>121</v>
      </c>
      <c r="B43" s="30"/>
      <c r="C43" s="31"/>
      <c r="D43" s="31"/>
      <c r="E43" s="31"/>
      <c r="F43" s="31"/>
      <c r="G43" s="100">
        <v>0</v>
      </c>
      <c r="H43" s="83">
        <f>SUM(H42*G43)</f>
        <v>0</v>
      </c>
    </row>
    <row r="44" spans="1:10" ht="19.5" customHeight="1" x14ac:dyDescent="0.2">
      <c r="A44" s="29" t="s">
        <v>122</v>
      </c>
      <c r="B44" s="30"/>
      <c r="C44" s="31"/>
      <c r="D44" s="31"/>
      <c r="E44" s="31"/>
      <c r="F44" s="31"/>
      <c r="G44" s="100">
        <v>0</v>
      </c>
      <c r="H44" s="83">
        <f>SUM(H42+H43)*G44</f>
        <v>0</v>
      </c>
      <c r="J44" s="10"/>
    </row>
    <row r="45" spans="1:10" ht="19.5" customHeight="1" x14ac:dyDescent="0.2">
      <c r="A45" s="29" t="s">
        <v>123</v>
      </c>
      <c r="B45" s="30"/>
      <c r="C45" s="31"/>
      <c r="D45" s="31"/>
      <c r="E45" s="31"/>
      <c r="F45" s="31"/>
      <c r="G45" s="100">
        <v>0</v>
      </c>
      <c r="H45" s="83">
        <f>SUM(G41*G45)</f>
        <v>0</v>
      </c>
      <c r="J45" s="10"/>
    </row>
    <row r="46" spans="1:10" ht="19.5" customHeight="1" thickBot="1" x14ac:dyDescent="0.25">
      <c r="A46" s="34" t="s">
        <v>21</v>
      </c>
      <c r="B46" s="32"/>
      <c r="C46" s="33"/>
      <c r="D46" s="33"/>
      <c r="E46" s="33"/>
      <c r="F46" s="33"/>
      <c r="G46" s="33"/>
      <c r="H46" s="84">
        <f>SUM(H42:H45)</f>
        <v>50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3">
    <mergeCell ref="A1:C2"/>
    <mergeCell ref="A8:B8"/>
    <mergeCell ref="C8:E8"/>
  </mergeCells>
  <phoneticPr fontId="0" type="noConversion"/>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8C84-A5C6-4869-9DE6-E6AC9FD52798}">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5" t="str">
        <f>Summary!D9</f>
        <v>Fill Here</v>
      </c>
      <c r="D8" s="136"/>
      <c r="E8" s="137"/>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Summary!B14</f>
        <v>EXISTING CONDITIONS</v>
      </c>
      <c r="B13" s="41"/>
      <c r="C13" s="45"/>
      <c r="D13" s="55"/>
      <c r="E13" s="45"/>
      <c r="F13" s="55"/>
      <c r="G13" s="45"/>
      <c r="H13" s="45"/>
    </row>
    <row r="14" spans="1:9" ht="19.5" customHeight="1" x14ac:dyDescent="0.2">
      <c r="A14" s="30"/>
      <c r="B14" s="44"/>
      <c r="C14" s="45"/>
      <c r="D14" s="45"/>
      <c r="E14" s="99">
        <f t="shared" ref="E14:E19" si="0">B14*D14</f>
        <v>0</v>
      </c>
      <c r="F14" s="45"/>
      <c r="G14" s="99">
        <f t="shared" ref="G14:G19" si="1">B14*F14</f>
        <v>0</v>
      </c>
      <c r="H14" s="99">
        <f t="shared" ref="H14:H19"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30" t="s">
        <v>132</v>
      </c>
      <c r="B16" s="30">
        <v>2</v>
      </c>
      <c r="C16" s="31"/>
      <c r="D16" s="31"/>
      <c r="E16" s="83">
        <f t="shared" si="0"/>
        <v>0</v>
      </c>
      <c r="F16" s="31">
        <v>10</v>
      </c>
      <c r="G16" s="83">
        <f t="shared" si="1"/>
        <v>20</v>
      </c>
      <c r="H16" s="83">
        <f t="shared" si="2"/>
        <v>20</v>
      </c>
    </row>
    <row r="17" spans="1:8" ht="19.5" customHeight="1" x14ac:dyDescent="0.2">
      <c r="A17" s="30" t="s">
        <v>132</v>
      </c>
      <c r="B17" s="30">
        <v>3</v>
      </c>
      <c r="C17" s="31"/>
      <c r="D17" s="31">
        <v>10</v>
      </c>
      <c r="E17" s="83">
        <f t="shared" si="0"/>
        <v>30</v>
      </c>
      <c r="F17" s="31"/>
      <c r="G17" s="83">
        <f t="shared" si="1"/>
        <v>0</v>
      </c>
      <c r="H17" s="83">
        <f t="shared" si="2"/>
        <v>30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s="53" customFormat="1" ht="19.5" customHeight="1" x14ac:dyDescent="0.2">
      <c r="A20" s="39"/>
      <c r="B20" s="30"/>
      <c r="C20" s="31"/>
      <c r="D20" s="31"/>
      <c r="E20" s="83">
        <f t="shared" ref="E20:E40" si="3">B20*D20</f>
        <v>0</v>
      </c>
      <c r="F20" s="31"/>
      <c r="G20" s="83">
        <f t="shared" ref="G20:G40" si="4">B20*F20</f>
        <v>0</v>
      </c>
      <c r="H20" s="83">
        <f t="shared" ref="H20:H40" si="5">E20+G20</f>
        <v>0</v>
      </c>
    </row>
    <row r="21" spans="1:8" s="53" customFormat="1" ht="19.5" customHeight="1" x14ac:dyDescent="0.2">
      <c r="A21" s="39"/>
      <c r="B21" s="30"/>
      <c r="C21" s="31"/>
      <c r="D21" s="31"/>
      <c r="E21" s="83">
        <f t="shared" si="3"/>
        <v>0</v>
      </c>
      <c r="F21" s="31"/>
      <c r="G21" s="83">
        <f t="shared" si="4"/>
        <v>0</v>
      </c>
      <c r="H21" s="83">
        <f t="shared" si="5"/>
        <v>0</v>
      </c>
    </row>
    <row r="22" spans="1:8" ht="19.5" customHeight="1" x14ac:dyDescent="0.2">
      <c r="A22" s="30"/>
      <c r="B22" s="30"/>
      <c r="C22" s="31"/>
      <c r="D22" s="31"/>
      <c r="E22" s="83">
        <f t="shared" si="3"/>
        <v>0</v>
      </c>
      <c r="F22" s="31"/>
      <c r="G22" s="83">
        <f t="shared" si="4"/>
        <v>0</v>
      </c>
      <c r="H22" s="83">
        <f t="shared" si="5"/>
        <v>0</v>
      </c>
    </row>
    <row r="23" spans="1:8" ht="19.5" customHeight="1" x14ac:dyDescent="0.2">
      <c r="A23" s="30"/>
      <c r="B23" s="30"/>
      <c r="C23" s="31"/>
      <c r="D23" s="31"/>
      <c r="E23" s="83">
        <f t="shared" si="3"/>
        <v>0</v>
      </c>
      <c r="F23" s="31"/>
      <c r="G23" s="83">
        <f t="shared" si="4"/>
        <v>0</v>
      </c>
      <c r="H23" s="83">
        <f t="shared" si="5"/>
        <v>0</v>
      </c>
    </row>
    <row r="24" spans="1:8" ht="19.5" customHeight="1" x14ac:dyDescent="0.2">
      <c r="A24" s="30"/>
      <c r="B24" s="30"/>
      <c r="C24" s="31"/>
      <c r="D24" s="31"/>
      <c r="E24" s="83">
        <f t="shared" si="3"/>
        <v>0</v>
      </c>
      <c r="F24" s="31"/>
      <c r="G24" s="83">
        <f t="shared" si="4"/>
        <v>0</v>
      </c>
      <c r="H24" s="83">
        <f t="shared" si="5"/>
        <v>0</v>
      </c>
    </row>
    <row r="25" spans="1:8" ht="19.5" customHeight="1" x14ac:dyDescent="0.2">
      <c r="A25" s="30"/>
      <c r="B25" s="30"/>
      <c r="C25" s="31"/>
      <c r="D25" s="31"/>
      <c r="E25" s="83">
        <f t="shared" si="3"/>
        <v>0</v>
      </c>
      <c r="F25" s="31"/>
      <c r="G25" s="83">
        <f t="shared" si="4"/>
        <v>0</v>
      </c>
      <c r="H25" s="83">
        <f t="shared" si="5"/>
        <v>0</v>
      </c>
    </row>
    <row r="26" spans="1:8" ht="19.5" customHeight="1" x14ac:dyDescent="0.2">
      <c r="A26" s="30"/>
      <c r="B26" s="30"/>
      <c r="C26" s="31"/>
      <c r="D26" s="31"/>
      <c r="E26" s="83">
        <f t="shared" si="3"/>
        <v>0</v>
      </c>
      <c r="F26" s="31"/>
      <c r="G26" s="83">
        <f t="shared" si="4"/>
        <v>0</v>
      </c>
      <c r="H26" s="83">
        <f>E26+G27</f>
        <v>0</v>
      </c>
    </row>
    <row r="27" spans="1:8" ht="19.5" customHeight="1" x14ac:dyDescent="0.2">
      <c r="A27" s="30"/>
      <c r="B27" s="30"/>
      <c r="C27" s="31"/>
      <c r="D27" s="31"/>
      <c r="E27" s="83">
        <f t="shared" si="3"/>
        <v>0</v>
      </c>
      <c r="F27" s="31"/>
      <c r="G27" s="83">
        <f t="shared" si="4"/>
        <v>0</v>
      </c>
      <c r="H27" s="83">
        <f>E27+G28</f>
        <v>0</v>
      </c>
    </row>
    <row r="28" spans="1:8" ht="19.5" customHeight="1" x14ac:dyDescent="0.2">
      <c r="A28" s="30"/>
      <c r="B28" s="30"/>
      <c r="C28" s="31"/>
      <c r="D28" s="31"/>
      <c r="E28" s="83">
        <f t="shared" si="3"/>
        <v>0</v>
      </c>
      <c r="F28" s="31"/>
      <c r="G28" s="83">
        <f t="shared" si="4"/>
        <v>0</v>
      </c>
      <c r="H28" s="83">
        <f t="shared" si="5"/>
        <v>0</v>
      </c>
    </row>
    <row r="29" spans="1:8" ht="19.5" customHeight="1" x14ac:dyDescent="0.2">
      <c r="A29" s="30"/>
      <c r="B29" s="30"/>
      <c r="C29" s="31"/>
      <c r="D29" s="31"/>
      <c r="E29" s="83">
        <f t="shared" si="3"/>
        <v>0</v>
      </c>
      <c r="F29" s="31"/>
      <c r="G29" s="83">
        <f t="shared" si="4"/>
        <v>0</v>
      </c>
      <c r="H29" s="83">
        <f t="shared" si="5"/>
        <v>0</v>
      </c>
    </row>
    <row r="30" spans="1:8" ht="19.5" customHeight="1" x14ac:dyDescent="0.2">
      <c r="A30" s="30"/>
      <c r="B30" s="30"/>
      <c r="C30" s="31"/>
      <c r="D30" s="31"/>
      <c r="E30" s="83">
        <f t="shared" si="3"/>
        <v>0</v>
      </c>
      <c r="F30" s="31"/>
      <c r="G30" s="83">
        <f t="shared" si="4"/>
        <v>0</v>
      </c>
      <c r="H30" s="83">
        <f t="shared" si="5"/>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10" ht="19.5" customHeight="1" x14ac:dyDescent="0.2">
      <c r="A33" s="30"/>
      <c r="B33" s="30"/>
      <c r="C33" s="31"/>
      <c r="D33" s="31"/>
      <c r="E33" s="83">
        <f t="shared" si="3"/>
        <v>0</v>
      </c>
      <c r="F33" s="31"/>
      <c r="G33" s="83">
        <f t="shared" si="4"/>
        <v>0</v>
      </c>
      <c r="H33" s="83">
        <f t="shared" si="5"/>
        <v>0</v>
      </c>
    </row>
    <row r="34" spans="1:10" ht="19.5" customHeight="1" x14ac:dyDescent="0.2">
      <c r="A34" s="30"/>
      <c r="B34" s="30"/>
      <c r="C34" s="31"/>
      <c r="D34" s="31"/>
      <c r="E34" s="83">
        <f t="shared" si="3"/>
        <v>0</v>
      </c>
      <c r="F34" s="31"/>
      <c r="G34" s="83">
        <f t="shared" si="4"/>
        <v>0</v>
      </c>
      <c r="H34" s="83">
        <f t="shared" si="5"/>
        <v>0</v>
      </c>
    </row>
    <row r="35" spans="1:10" ht="19.5" customHeight="1" x14ac:dyDescent="0.2">
      <c r="A35" s="30"/>
      <c r="B35" s="30"/>
      <c r="C35" s="31"/>
      <c r="D35" s="31"/>
      <c r="E35" s="83">
        <f t="shared" si="3"/>
        <v>0</v>
      </c>
      <c r="F35" s="31"/>
      <c r="G35" s="83">
        <f t="shared" si="4"/>
        <v>0</v>
      </c>
      <c r="H35" s="83">
        <f t="shared" si="5"/>
        <v>0</v>
      </c>
    </row>
    <row r="36" spans="1:10" ht="19.5" customHeight="1" x14ac:dyDescent="0.2">
      <c r="A36" s="30"/>
      <c r="B36" s="30"/>
      <c r="C36" s="31"/>
      <c r="D36" s="31"/>
      <c r="E36" s="83">
        <f t="shared" si="3"/>
        <v>0</v>
      </c>
      <c r="F36" s="31"/>
      <c r="G36" s="83">
        <f t="shared" si="4"/>
        <v>0</v>
      </c>
      <c r="H36" s="83">
        <f t="shared" si="5"/>
        <v>0</v>
      </c>
    </row>
    <row r="37" spans="1:10" ht="19.5" customHeight="1" x14ac:dyDescent="0.2">
      <c r="A37" s="30"/>
      <c r="B37" s="30"/>
      <c r="C37" s="31"/>
      <c r="D37" s="31"/>
      <c r="E37" s="83">
        <f t="shared" si="3"/>
        <v>0</v>
      </c>
      <c r="F37" s="31"/>
      <c r="G37" s="83">
        <f t="shared" si="4"/>
        <v>0</v>
      </c>
      <c r="H37" s="83">
        <f t="shared" si="5"/>
        <v>0</v>
      </c>
    </row>
    <row r="38" spans="1:10" ht="19.5" customHeight="1" x14ac:dyDescent="0.2">
      <c r="A38" s="30"/>
      <c r="B38" s="30"/>
      <c r="C38" s="31"/>
      <c r="D38" s="31"/>
      <c r="E38" s="83">
        <f t="shared" si="3"/>
        <v>0</v>
      </c>
      <c r="F38" s="31"/>
      <c r="G38" s="83">
        <f t="shared" si="4"/>
        <v>0</v>
      </c>
      <c r="H38" s="83">
        <f t="shared" si="5"/>
        <v>0</v>
      </c>
    </row>
    <row r="39" spans="1:10" ht="19.5" customHeight="1" x14ac:dyDescent="0.2">
      <c r="A39" s="30"/>
      <c r="B39" s="30"/>
      <c r="C39" s="31"/>
      <c r="D39" s="31"/>
      <c r="E39" s="83">
        <f t="shared" si="3"/>
        <v>0</v>
      </c>
      <c r="F39" s="31"/>
      <c r="G39" s="83">
        <f t="shared" si="4"/>
        <v>0</v>
      </c>
      <c r="H39" s="83">
        <f t="shared" si="5"/>
        <v>0</v>
      </c>
    </row>
    <row r="40" spans="1:10" ht="19.5" customHeight="1" x14ac:dyDescent="0.2">
      <c r="A40" s="30"/>
      <c r="B40" s="30"/>
      <c r="C40" s="31"/>
      <c r="D40" s="31"/>
      <c r="E40" s="83">
        <f t="shared" si="3"/>
        <v>0</v>
      </c>
      <c r="F40" s="31"/>
      <c r="G40" s="83">
        <f t="shared" si="4"/>
        <v>0</v>
      </c>
      <c r="H40" s="83">
        <f t="shared" si="5"/>
        <v>0</v>
      </c>
    </row>
    <row r="41" spans="1:10" ht="19.5" customHeight="1" x14ac:dyDescent="0.2">
      <c r="A41" s="29" t="s">
        <v>42</v>
      </c>
      <c r="B41" s="30"/>
      <c r="C41" s="31"/>
      <c r="D41" s="31"/>
      <c r="E41" s="83">
        <f>SUM(E14:E40)</f>
        <v>30</v>
      </c>
      <c r="F41" s="31"/>
      <c r="G41" s="83">
        <f>SUM(G14:G40)</f>
        <v>20</v>
      </c>
      <c r="H41" s="55"/>
    </row>
    <row r="42" spans="1:10" ht="19.5" customHeight="1" x14ac:dyDescent="0.2">
      <c r="A42" s="29" t="s">
        <v>23</v>
      </c>
      <c r="B42" s="30"/>
      <c r="C42" s="31"/>
      <c r="D42" s="31"/>
      <c r="E42" s="41"/>
      <c r="F42" s="31"/>
      <c r="G42" s="41"/>
      <c r="H42" s="83">
        <f>E41+G41</f>
        <v>50</v>
      </c>
      <c r="J42" s="10"/>
    </row>
    <row r="43" spans="1:10" ht="19.5" customHeight="1" x14ac:dyDescent="0.2">
      <c r="A43" s="29" t="s">
        <v>121</v>
      </c>
      <c r="B43" s="30"/>
      <c r="C43" s="31"/>
      <c r="D43" s="31"/>
      <c r="E43" s="31"/>
      <c r="F43" s="31"/>
      <c r="G43" s="100">
        <f>Summary!G20</f>
        <v>0.05</v>
      </c>
      <c r="H43" s="83">
        <f>SUM(H42*G43)</f>
        <v>2.5</v>
      </c>
    </row>
    <row r="44" spans="1:10" ht="19.5" customHeight="1" x14ac:dyDescent="0.2">
      <c r="A44" s="29" t="s">
        <v>122</v>
      </c>
      <c r="B44" s="30"/>
      <c r="C44" s="31"/>
      <c r="D44" s="31"/>
      <c r="E44" s="31"/>
      <c r="F44" s="31"/>
      <c r="G44" s="100">
        <f>Summary!G21</f>
        <v>0.11</v>
      </c>
      <c r="H44" s="83">
        <f>SUM(H42+H43)*G44</f>
        <v>5.7750000000000004</v>
      </c>
    </row>
    <row r="45" spans="1:10" ht="19.5" customHeight="1" x14ac:dyDescent="0.2">
      <c r="A45" s="29" t="s">
        <v>123</v>
      </c>
      <c r="B45" s="30"/>
      <c r="C45" s="31"/>
      <c r="D45" s="31"/>
      <c r="E45" s="31"/>
      <c r="F45" s="31"/>
      <c r="G45" s="100">
        <f>Summary!G22</f>
        <v>0.06</v>
      </c>
      <c r="H45" s="83">
        <f>SUM(G41*G45)</f>
        <v>1.2</v>
      </c>
    </row>
    <row r="46" spans="1:10" ht="19.5" customHeight="1" thickBot="1" x14ac:dyDescent="0.25">
      <c r="A46" s="34" t="s">
        <v>21</v>
      </c>
      <c r="B46" s="32"/>
      <c r="C46" s="33"/>
      <c r="D46" s="33"/>
      <c r="E46" s="33"/>
      <c r="F46" s="33"/>
      <c r="G46" s="33"/>
      <c r="H46" s="84">
        <f>SUM(H42:H45)</f>
        <v>59.475000000000001</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honeticPr fontId="0" type="noConversion"/>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F074-0F34-4FB3-AA52-DFFB936287CE}">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130" t="str">
        <f>Summary!A4</f>
        <v>Fill Here</v>
      </c>
      <c r="B8" s="131"/>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Summary!B15</f>
        <v>CONCRETE WORK</v>
      </c>
      <c r="B13" s="30"/>
      <c r="C13" s="31"/>
      <c r="D13" s="31"/>
      <c r="E13" s="31"/>
      <c r="F13" s="31"/>
      <c r="G13" s="31"/>
      <c r="H13" s="31"/>
    </row>
    <row r="14" spans="1:9" ht="19.5" customHeight="1" x14ac:dyDescent="0.2">
      <c r="A14" s="30"/>
      <c r="B14" s="30"/>
      <c r="C14" s="31"/>
      <c r="D14" s="31"/>
      <c r="E14" s="83">
        <f t="shared" ref="E14:E22" si="0">B14*D14</f>
        <v>0</v>
      </c>
      <c r="F14" s="31"/>
      <c r="G14" s="83">
        <f t="shared" ref="G14:G22" si="1">B14*F14</f>
        <v>0</v>
      </c>
      <c r="H14" s="83">
        <f t="shared" ref="H14:H22"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30" t="s">
        <v>132</v>
      </c>
      <c r="B16" s="30">
        <v>2</v>
      </c>
      <c r="C16" s="31"/>
      <c r="D16" s="31"/>
      <c r="E16" s="83">
        <f t="shared" si="0"/>
        <v>0</v>
      </c>
      <c r="F16" s="31">
        <v>10</v>
      </c>
      <c r="G16" s="83">
        <f t="shared" si="1"/>
        <v>20</v>
      </c>
      <c r="H16" s="83">
        <f t="shared" si="2"/>
        <v>20</v>
      </c>
    </row>
    <row r="17" spans="1:8" ht="19.5" customHeight="1" x14ac:dyDescent="0.2">
      <c r="A17" s="30" t="s">
        <v>132</v>
      </c>
      <c r="B17" s="30">
        <v>3</v>
      </c>
      <c r="C17" s="31"/>
      <c r="D17" s="31">
        <v>10</v>
      </c>
      <c r="E17" s="83">
        <f t="shared" si="0"/>
        <v>30</v>
      </c>
      <c r="F17" s="31"/>
      <c r="G17" s="83">
        <f t="shared" si="1"/>
        <v>0</v>
      </c>
      <c r="H17" s="83">
        <f t="shared" si="2"/>
        <v>30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ref="E23:E34" si="3">B23*D23</f>
        <v>0</v>
      </c>
      <c r="F23" s="31"/>
      <c r="G23" s="83">
        <f t="shared" ref="G23:G34" si="4">B23*F23</f>
        <v>0</v>
      </c>
      <c r="H23" s="83">
        <f t="shared" ref="H23:H34" si="5">E23+G23</f>
        <v>0</v>
      </c>
    </row>
    <row r="24" spans="1:8" ht="19.5" customHeight="1" x14ac:dyDescent="0.2">
      <c r="A24" s="29"/>
      <c r="B24" s="30"/>
      <c r="C24" s="31"/>
      <c r="D24" s="31"/>
      <c r="E24" s="83">
        <f t="shared" si="3"/>
        <v>0</v>
      </c>
      <c r="F24" s="31"/>
      <c r="G24" s="83">
        <f t="shared" si="4"/>
        <v>0</v>
      </c>
      <c r="H24" s="83">
        <f t="shared" si="5"/>
        <v>0</v>
      </c>
    </row>
    <row r="25" spans="1:8" ht="19.5" customHeight="1" x14ac:dyDescent="0.2">
      <c r="A25" s="30"/>
      <c r="B25" s="30"/>
      <c r="C25" s="31"/>
      <c r="D25" s="31"/>
      <c r="E25" s="83">
        <f t="shared" si="3"/>
        <v>0</v>
      </c>
      <c r="F25" s="31"/>
      <c r="G25" s="83">
        <f t="shared" si="4"/>
        <v>0</v>
      </c>
      <c r="H25" s="83">
        <f t="shared" si="5"/>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si="3"/>
        <v>0</v>
      </c>
      <c r="F30" s="31"/>
      <c r="G30" s="83">
        <f t="shared" si="4"/>
        <v>0</v>
      </c>
      <c r="H30" s="83">
        <f t="shared" si="5"/>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10" ht="19.5" customHeight="1" x14ac:dyDescent="0.2">
      <c r="A33" s="30"/>
      <c r="B33" s="30"/>
      <c r="C33" s="31"/>
      <c r="D33" s="31"/>
      <c r="E33" s="83">
        <f t="shared" si="3"/>
        <v>0</v>
      </c>
      <c r="F33" s="31"/>
      <c r="G33" s="83">
        <f t="shared" si="4"/>
        <v>0</v>
      </c>
      <c r="H33" s="83">
        <f t="shared" si="5"/>
        <v>0</v>
      </c>
    </row>
    <row r="34" spans="1:10" ht="19.5" customHeight="1" x14ac:dyDescent="0.2">
      <c r="A34" s="30"/>
      <c r="B34" s="30"/>
      <c r="C34" s="31"/>
      <c r="D34" s="31"/>
      <c r="E34" s="83">
        <f t="shared" si="3"/>
        <v>0</v>
      </c>
      <c r="F34" s="31"/>
      <c r="G34" s="83">
        <f t="shared" si="4"/>
        <v>0</v>
      </c>
      <c r="H34" s="83">
        <f t="shared" si="5"/>
        <v>0</v>
      </c>
    </row>
    <row r="35" spans="1:10" ht="19.5" customHeight="1" x14ac:dyDescent="0.2">
      <c r="A35" s="30"/>
      <c r="B35" s="30"/>
      <c r="C35" s="31"/>
      <c r="D35" s="31"/>
      <c r="E35" s="83">
        <f t="shared" ref="E35:E40" si="6">B35*D35</f>
        <v>0</v>
      </c>
      <c r="F35" s="31"/>
      <c r="G35" s="83">
        <f t="shared" ref="G35:G40" si="7">B35*F35</f>
        <v>0</v>
      </c>
      <c r="H35" s="83">
        <f t="shared" ref="H35:H40" si="8">E35+G35</f>
        <v>0</v>
      </c>
    </row>
    <row r="36" spans="1:10" ht="19.5" customHeight="1" x14ac:dyDescent="0.2">
      <c r="A36" s="30"/>
      <c r="B36" s="30"/>
      <c r="C36" s="31"/>
      <c r="D36" s="31"/>
      <c r="E36" s="83">
        <f t="shared" si="6"/>
        <v>0</v>
      </c>
      <c r="F36" s="31"/>
      <c r="G36" s="83">
        <f t="shared" si="7"/>
        <v>0</v>
      </c>
      <c r="H36" s="83">
        <f t="shared" si="8"/>
        <v>0</v>
      </c>
    </row>
    <row r="37" spans="1:10" ht="19.5" customHeight="1" x14ac:dyDescent="0.2">
      <c r="A37" s="30"/>
      <c r="B37" s="30"/>
      <c r="C37" s="31"/>
      <c r="D37" s="31"/>
      <c r="E37" s="83">
        <f t="shared" si="6"/>
        <v>0</v>
      </c>
      <c r="F37" s="31"/>
      <c r="G37" s="83">
        <f t="shared" si="7"/>
        <v>0</v>
      </c>
      <c r="H37" s="83">
        <f t="shared" si="8"/>
        <v>0</v>
      </c>
    </row>
    <row r="38" spans="1:10" ht="19.5" customHeight="1" x14ac:dyDescent="0.2">
      <c r="A38" s="30"/>
      <c r="B38" s="30"/>
      <c r="C38" s="31"/>
      <c r="D38" s="31"/>
      <c r="E38" s="83">
        <f>B38*D38</f>
        <v>0</v>
      </c>
      <c r="F38" s="31"/>
      <c r="G38" s="83">
        <f>B38*F38</f>
        <v>0</v>
      </c>
      <c r="H38" s="83">
        <f t="shared" si="8"/>
        <v>0</v>
      </c>
    </row>
    <row r="39" spans="1:10" ht="19.5" customHeight="1" x14ac:dyDescent="0.2">
      <c r="A39" s="30"/>
      <c r="B39" s="30"/>
      <c r="C39" s="31"/>
      <c r="D39" s="31"/>
      <c r="E39" s="83">
        <f t="shared" si="6"/>
        <v>0</v>
      </c>
      <c r="F39" s="31"/>
      <c r="G39" s="83">
        <f t="shared" si="7"/>
        <v>0</v>
      </c>
      <c r="H39" s="83">
        <f t="shared" si="8"/>
        <v>0</v>
      </c>
    </row>
    <row r="40" spans="1:10" ht="19.5" customHeight="1" x14ac:dyDescent="0.2">
      <c r="A40" s="30"/>
      <c r="B40" s="30"/>
      <c r="C40" s="31"/>
      <c r="D40" s="31"/>
      <c r="E40" s="83">
        <f t="shared" si="6"/>
        <v>0</v>
      </c>
      <c r="F40" s="31"/>
      <c r="G40" s="83">
        <f t="shared" si="7"/>
        <v>0</v>
      </c>
      <c r="H40" s="83">
        <f t="shared" si="8"/>
        <v>0</v>
      </c>
    </row>
    <row r="41" spans="1:10" ht="19.5" customHeight="1" x14ac:dyDescent="0.2">
      <c r="A41" s="29" t="s">
        <v>42</v>
      </c>
      <c r="B41" s="30"/>
      <c r="C41" s="31"/>
      <c r="D41" s="31"/>
      <c r="E41" s="83">
        <f>SUM(E14:E40)</f>
        <v>30</v>
      </c>
      <c r="F41" s="31"/>
      <c r="G41" s="83">
        <f>SUM(G14:G40)</f>
        <v>20</v>
      </c>
      <c r="H41" s="55"/>
      <c r="I41" s="10"/>
    </row>
    <row r="42" spans="1:10" ht="19.5" customHeight="1" x14ac:dyDescent="0.2">
      <c r="A42" s="29" t="s">
        <v>23</v>
      </c>
      <c r="B42" s="30"/>
      <c r="C42" s="31"/>
      <c r="D42" s="31"/>
      <c r="E42" s="41"/>
      <c r="F42" s="31"/>
      <c r="G42" s="41"/>
      <c r="H42" s="83">
        <f>E41+G41</f>
        <v>50</v>
      </c>
      <c r="J42" s="10"/>
    </row>
    <row r="43" spans="1:10" ht="19.5" customHeight="1" x14ac:dyDescent="0.2">
      <c r="A43" s="29" t="s">
        <v>121</v>
      </c>
      <c r="B43" s="30"/>
      <c r="C43" s="31"/>
      <c r="D43" s="31"/>
      <c r="E43" s="31"/>
      <c r="F43" s="31"/>
      <c r="G43" s="100">
        <v>0.1</v>
      </c>
      <c r="H43" s="83">
        <f>SUM(H42*G43)</f>
        <v>5</v>
      </c>
    </row>
    <row r="44" spans="1:10" ht="19.5" customHeight="1" x14ac:dyDescent="0.2">
      <c r="A44" s="29" t="s">
        <v>122</v>
      </c>
      <c r="B44" s="30"/>
      <c r="C44" s="31"/>
      <c r="D44" s="31"/>
      <c r="E44" s="31"/>
      <c r="F44" s="31"/>
      <c r="G44" s="100">
        <v>0.15</v>
      </c>
      <c r="H44" s="83">
        <f>SUM(H42+H43)*G44</f>
        <v>8.25</v>
      </c>
    </row>
    <row r="45" spans="1:10" ht="19.5" customHeight="1" x14ac:dyDescent="0.2">
      <c r="A45" s="29" t="s">
        <v>123</v>
      </c>
      <c r="B45" s="30"/>
      <c r="C45" s="31"/>
      <c r="D45" s="31"/>
      <c r="E45" s="31"/>
      <c r="F45" s="31"/>
      <c r="G45" s="100">
        <f>Summary!G22</f>
        <v>0.06</v>
      </c>
      <c r="H45" s="83">
        <f>SUM(G41*G45)</f>
        <v>1.2</v>
      </c>
    </row>
    <row r="46" spans="1:10" ht="19.5" customHeight="1" thickBot="1" x14ac:dyDescent="0.25">
      <c r="A46" s="34" t="s">
        <v>21</v>
      </c>
      <c r="B46" s="32"/>
      <c r="C46" s="33"/>
      <c r="D46" s="33"/>
      <c r="E46" s="33"/>
      <c r="F46" s="33"/>
      <c r="G46" s="33"/>
      <c r="H46" s="84">
        <f>SUM(H42:H45)</f>
        <v>64.45</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1:C2"/>
    <mergeCell ref="A8:B8"/>
    <mergeCell ref="C8:E8"/>
  </mergeCells>
  <phoneticPr fontId="0" type="noConversion"/>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6A05-1555-4D52-B98F-6F797202A471}">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Summary!B16</f>
        <v>MASONRY</v>
      </c>
      <c r="B13" s="30"/>
      <c r="C13" s="31"/>
      <c r="D13" s="31"/>
      <c r="E13" s="31"/>
      <c r="F13" s="31"/>
      <c r="G13" s="31"/>
      <c r="H13" s="31"/>
    </row>
    <row r="14" spans="1:9" ht="19.5" customHeight="1" x14ac:dyDescent="0.2">
      <c r="A14" s="30"/>
      <c r="B14" s="46"/>
      <c r="C14" s="47"/>
      <c r="D14" s="31"/>
      <c r="E14" s="83">
        <f t="shared" ref="E14:E21" si="0">B14*D14</f>
        <v>0</v>
      </c>
      <c r="F14" s="31"/>
      <c r="G14" s="83">
        <f t="shared" ref="G14:G21" si="1">B14*F14</f>
        <v>0</v>
      </c>
      <c r="H14" s="83">
        <f t="shared" ref="H14:H21"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ref="E22:E28" si="3">B22*D22</f>
        <v>0</v>
      </c>
      <c r="F22" s="31"/>
      <c r="G22" s="83">
        <f t="shared" ref="G22:G28" si="4">B22*F22</f>
        <v>0</v>
      </c>
      <c r="H22" s="83">
        <f t="shared" ref="H22:H28" si="5">E22+G22</f>
        <v>0</v>
      </c>
    </row>
    <row r="23" spans="1:8" ht="19.5" customHeight="1" x14ac:dyDescent="0.2">
      <c r="A23" s="30"/>
      <c r="B23" s="30"/>
      <c r="C23" s="31"/>
      <c r="D23" s="31"/>
      <c r="E23" s="83">
        <f t="shared" si="3"/>
        <v>0</v>
      </c>
      <c r="F23" s="31"/>
      <c r="G23" s="83">
        <f t="shared" si="4"/>
        <v>0</v>
      </c>
      <c r="H23" s="83">
        <f t="shared" si="5"/>
        <v>0</v>
      </c>
    </row>
    <row r="24" spans="1:8" ht="19.5" customHeight="1" x14ac:dyDescent="0.2">
      <c r="A24" s="30"/>
      <c r="B24" s="30"/>
      <c r="C24" s="31"/>
      <c r="D24" s="31"/>
      <c r="E24" s="83">
        <f t="shared" si="3"/>
        <v>0</v>
      </c>
      <c r="F24" s="31"/>
      <c r="G24" s="83">
        <f t="shared" si="4"/>
        <v>0</v>
      </c>
      <c r="H24" s="83">
        <f t="shared" si="5"/>
        <v>0</v>
      </c>
    </row>
    <row r="25" spans="1:8" ht="19.5" customHeight="1" x14ac:dyDescent="0.2">
      <c r="A25" s="30"/>
      <c r="B25" s="30"/>
      <c r="C25" s="31"/>
      <c r="D25" s="31"/>
      <c r="E25" s="83">
        <f t="shared" si="3"/>
        <v>0</v>
      </c>
      <c r="F25" s="31"/>
      <c r="G25" s="83">
        <f t="shared" si="4"/>
        <v>0</v>
      </c>
      <c r="H25" s="83">
        <f t="shared" si="5"/>
        <v>0</v>
      </c>
    </row>
    <row r="26" spans="1:8" ht="19.5" customHeight="1" x14ac:dyDescent="0.2">
      <c r="A26" s="30"/>
      <c r="B26" s="30"/>
      <c r="C26" s="31"/>
      <c r="D26" s="31"/>
      <c r="E26" s="83">
        <f t="shared" si="3"/>
        <v>0</v>
      </c>
      <c r="F26" s="31"/>
      <c r="G26" s="83">
        <f t="shared" si="4"/>
        <v>0</v>
      </c>
      <c r="H26" s="83">
        <f t="shared" si="5"/>
        <v>0</v>
      </c>
    </row>
    <row r="27" spans="1:8" ht="19.5" customHeight="1" x14ac:dyDescent="0.2">
      <c r="A27" s="30"/>
      <c r="B27" s="30"/>
      <c r="C27" s="31"/>
      <c r="D27" s="31"/>
      <c r="E27" s="83">
        <f t="shared" si="3"/>
        <v>0</v>
      </c>
      <c r="F27" s="31"/>
      <c r="G27" s="83">
        <f t="shared" si="4"/>
        <v>0</v>
      </c>
      <c r="H27" s="83">
        <f t="shared" si="5"/>
        <v>0</v>
      </c>
    </row>
    <row r="28" spans="1:8" ht="19.5" customHeight="1" x14ac:dyDescent="0.2">
      <c r="A28" s="30"/>
      <c r="B28" s="30"/>
      <c r="C28" s="31"/>
      <c r="D28" s="31"/>
      <c r="E28" s="83">
        <f t="shared" si="3"/>
        <v>0</v>
      </c>
      <c r="F28" s="31"/>
      <c r="G28" s="83">
        <f t="shared" si="4"/>
        <v>0</v>
      </c>
      <c r="H28" s="83">
        <f t="shared" si="5"/>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6">B30*D30</f>
        <v>0</v>
      </c>
      <c r="F30" s="31"/>
      <c r="G30" s="83">
        <f t="shared" ref="G30:G40" si="7">B30*F30</f>
        <v>0</v>
      </c>
      <c r="H30" s="83">
        <f t="shared" ref="H30:H40" si="8">E30+G30</f>
        <v>0</v>
      </c>
    </row>
    <row r="31" spans="1:8" ht="19.5" customHeight="1" x14ac:dyDescent="0.2">
      <c r="A31" s="30"/>
      <c r="B31" s="30"/>
      <c r="C31" s="31"/>
      <c r="D31" s="31"/>
      <c r="E31" s="83">
        <f t="shared" si="6"/>
        <v>0</v>
      </c>
      <c r="F31" s="31"/>
      <c r="G31" s="83">
        <f t="shared" si="7"/>
        <v>0</v>
      </c>
      <c r="H31" s="83">
        <f t="shared" si="8"/>
        <v>0</v>
      </c>
    </row>
    <row r="32" spans="1:8" ht="19.5" customHeight="1" x14ac:dyDescent="0.2">
      <c r="A32" s="30"/>
      <c r="B32" s="30"/>
      <c r="C32" s="31"/>
      <c r="D32" s="31"/>
      <c r="E32" s="83">
        <f t="shared" si="6"/>
        <v>0</v>
      </c>
      <c r="F32" s="31"/>
      <c r="G32" s="83">
        <f t="shared" si="7"/>
        <v>0</v>
      </c>
      <c r="H32" s="83">
        <f t="shared" si="8"/>
        <v>0</v>
      </c>
    </row>
    <row r="33" spans="1:9" ht="19.5" customHeight="1" x14ac:dyDescent="0.2">
      <c r="A33" s="30"/>
      <c r="B33" s="30"/>
      <c r="C33" s="31"/>
      <c r="D33" s="31"/>
      <c r="E33" s="83">
        <f t="shared" si="6"/>
        <v>0</v>
      </c>
      <c r="F33" s="31"/>
      <c r="G33" s="83">
        <f t="shared" si="7"/>
        <v>0</v>
      </c>
      <c r="H33" s="83">
        <f t="shared" si="8"/>
        <v>0</v>
      </c>
    </row>
    <row r="34" spans="1:9" ht="19.5" customHeight="1" x14ac:dyDescent="0.2">
      <c r="A34" s="30"/>
      <c r="B34" s="30"/>
      <c r="C34" s="31"/>
      <c r="D34" s="31"/>
      <c r="E34" s="83">
        <f t="shared" si="6"/>
        <v>0</v>
      </c>
      <c r="F34" s="31"/>
      <c r="G34" s="83">
        <f t="shared" si="7"/>
        <v>0</v>
      </c>
      <c r="H34" s="83">
        <f t="shared" si="8"/>
        <v>0</v>
      </c>
    </row>
    <row r="35" spans="1:9" ht="19.5" customHeight="1" x14ac:dyDescent="0.2">
      <c r="A35" s="30"/>
      <c r="B35" s="30"/>
      <c r="C35" s="31"/>
      <c r="D35" s="31"/>
      <c r="E35" s="83">
        <f t="shared" si="6"/>
        <v>0</v>
      </c>
      <c r="F35" s="31"/>
      <c r="G35" s="83">
        <f t="shared" si="7"/>
        <v>0</v>
      </c>
      <c r="H35" s="83">
        <f t="shared" si="8"/>
        <v>0</v>
      </c>
    </row>
    <row r="36" spans="1:9" ht="19.5" customHeight="1" x14ac:dyDescent="0.2">
      <c r="A36" s="30"/>
      <c r="B36" s="30"/>
      <c r="C36" s="31"/>
      <c r="D36" s="31"/>
      <c r="E36" s="83">
        <f t="shared" si="6"/>
        <v>0</v>
      </c>
      <c r="F36" s="31"/>
      <c r="G36" s="83">
        <f t="shared" si="7"/>
        <v>0</v>
      </c>
      <c r="H36" s="83">
        <f t="shared" si="8"/>
        <v>0</v>
      </c>
    </row>
    <row r="37" spans="1:9" ht="19.5" customHeight="1" x14ac:dyDescent="0.2">
      <c r="A37" s="30"/>
      <c r="B37" s="30"/>
      <c r="C37" s="31"/>
      <c r="D37" s="31"/>
      <c r="E37" s="83">
        <f t="shared" si="6"/>
        <v>0</v>
      </c>
      <c r="F37" s="31"/>
      <c r="G37" s="83">
        <f t="shared" si="7"/>
        <v>0</v>
      </c>
      <c r="H37" s="83">
        <f t="shared" si="8"/>
        <v>0</v>
      </c>
    </row>
    <row r="38" spans="1:9" ht="19.5" customHeight="1" x14ac:dyDescent="0.2">
      <c r="A38" s="30"/>
      <c r="B38" s="30"/>
      <c r="C38" s="31"/>
      <c r="D38" s="31"/>
      <c r="E38" s="83">
        <f t="shared" si="6"/>
        <v>0</v>
      </c>
      <c r="F38" s="31"/>
      <c r="G38" s="83">
        <f t="shared" si="7"/>
        <v>0</v>
      </c>
      <c r="H38" s="83">
        <f t="shared" si="8"/>
        <v>0</v>
      </c>
    </row>
    <row r="39" spans="1:9" ht="19.5" customHeight="1" x14ac:dyDescent="0.2">
      <c r="A39" s="30"/>
      <c r="B39" s="30"/>
      <c r="C39" s="31"/>
      <c r="D39" s="31"/>
      <c r="E39" s="83">
        <f t="shared" si="6"/>
        <v>0</v>
      </c>
      <c r="F39" s="31"/>
      <c r="G39" s="83">
        <f t="shared" si="7"/>
        <v>0</v>
      </c>
      <c r="H39" s="83">
        <f t="shared" si="8"/>
        <v>0</v>
      </c>
    </row>
    <row r="40" spans="1:9" ht="19.5" customHeight="1" x14ac:dyDescent="0.2">
      <c r="A40" s="30"/>
      <c r="B40" s="30"/>
      <c r="C40" s="31"/>
      <c r="D40" s="31"/>
      <c r="E40" s="83">
        <f t="shared" si="6"/>
        <v>0</v>
      </c>
      <c r="F40" s="31"/>
      <c r="G40" s="83">
        <f t="shared" si="7"/>
        <v>0</v>
      </c>
      <c r="H40" s="83">
        <f t="shared" si="8"/>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0">
        <f>Summary!G20</f>
        <v>0.05</v>
      </c>
      <c r="H43" s="83">
        <f>SUM(H42*G43)</f>
        <v>0</v>
      </c>
    </row>
    <row r="44" spans="1:9" ht="19.5" customHeight="1" x14ac:dyDescent="0.2">
      <c r="A44" s="29" t="s">
        <v>122</v>
      </c>
      <c r="B44" s="30"/>
      <c r="C44" s="31"/>
      <c r="D44" s="31"/>
      <c r="E44" s="31"/>
      <c r="F44" s="31"/>
      <c r="G44" s="100">
        <f>Summary!G21</f>
        <v>0.11</v>
      </c>
      <c r="H44" s="83">
        <f>SUM(H42+H43)*G44</f>
        <v>0</v>
      </c>
    </row>
    <row r="45" spans="1:9" ht="19.5" customHeight="1" x14ac:dyDescent="0.2">
      <c r="A45" s="29" t="s">
        <v>123</v>
      </c>
      <c r="B45" s="30"/>
      <c r="C45" s="31"/>
      <c r="D45" s="31"/>
      <c r="E45" s="31"/>
      <c r="F45" s="31"/>
      <c r="G45" s="100">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A1:C2"/>
    <mergeCell ref="C8:E8"/>
  </mergeCells>
  <phoneticPr fontId="0" type="noConversion"/>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F2B-39BF-4B47-BF80-4A5FAD74AB66}">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Summary!B17</f>
        <v>METALS</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0">
        <f>Summary!G20</f>
        <v>0.05</v>
      </c>
      <c r="H43" s="83">
        <f>SUM(H42*G43)</f>
        <v>0</v>
      </c>
    </row>
    <row r="44" spans="1:9" ht="19.5" customHeight="1" x14ac:dyDescent="0.2">
      <c r="A44" s="29" t="s">
        <v>122</v>
      </c>
      <c r="B44" s="30"/>
      <c r="C44" s="31"/>
      <c r="D44" s="31"/>
      <c r="E44" s="31"/>
      <c r="F44" s="31"/>
      <c r="G44" s="100">
        <f>Summary!G21</f>
        <v>0.11</v>
      </c>
      <c r="H44" s="83">
        <f>SUM(H42+H43)*G44</f>
        <v>0</v>
      </c>
    </row>
    <row r="45" spans="1:9" ht="19.5" customHeight="1" x14ac:dyDescent="0.2">
      <c r="A45" s="29" t="s">
        <v>123</v>
      </c>
      <c r="B45" s="30"/>
      <c r="C45" s="31"/>
      <c r="D45" s="31"/>
      <c r="E45" s="31"/>
      <c r="F45" s="31"/>
      <c r="G45" s="100">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1A49-EE8F-4EB2-846C-8A6DBC13C150}">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Summary!B18</f>
        <v>WOOD, PLASTICS AND COMPOSITES</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 t="shared" si="0"/>
        <v>0</v>
      </c>
      <c r="F33" s="31"/>
      <c r="G33" s="83">
        <f t="shared" si="3"/>
        <v>0</v>
      </c>
      <c r="H33" s="83">
        <f t="shared" si="4"/>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0">
        <f>Summary!G20</f>
        <v>0.05</v>
      </c>
      <c r="H43" s="83">
        <f>SUM(H42*G43)</f>
        <v>0</v>
      </c>
    </row>
    <row r="44" spans="1:10" ht="19.5" customHeight="1" x14ac:dyDescent="0.2">
      <c r="A44" s="29" t="s">
        <v>122</v>
      </c>
      <c r="B44" s="30"/>
      <c r="C44" s="31"/>
      <c r="D44" s="31"/>
      <c r="E44" s="31"/>
      <c r="F44" s="31"/>
      <c r="G44" s="100">
        <f>Summary!G21</f>
        <v>0.11</v>
      </c>
      <c r="H44" s="83">
        <f>SUM(H42+H43)*G44</f>
        <v>0</v>
      </c>
      <c r="J44" s="10"/>
    </row>
    <row r="45" spans="1:10" ht="19.5" customHeight="1" x14ac:dyDescent="0.2">
      <c r="A45" s="29" t="s">
        <v>123</v>
      </c>
      <c r="B45" s="30"/>
      <c r="C45" s="31"/>
      <c r="D45" s="31"/>
      <c r="E45" s="31"/>
      <c r="F45" s="31"/>
      <c r="G45" s="100">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1E8FC-5B14-4B98-B52E-2B929B21E5E0}">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Summary!B19</f>
        <v>THERMAL AND MOISTURE PROTECTION</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0">
        <f>Summary!G20</f>
        <v>0.05</v>
      </c>
      <c r="H43" s="83">
        <f>SUM(H42*G43)</f>
        <v>0</v>
      </c>
    </row>
    <row r="44" spans="1:10" ht="19.5" customHeight="1" x14ac:dyDescent="0.2">
      <c r="A44" s="29" t="s">
        <v>122</v>
      </c>
      <c r="B44" s="30"/>
      <c r="C44" s="31"/>
      <c r="D44" s="31"/>
      <c r="E44" s="31"/>
      <c r="F44" s="31"/>
      <c r="G44" s="100">
        <f>Summary!G21</f>
        <v>0.11</v>
      </c>
      <c r="H44" s="83">
        <f>SUM(H42+H43)*G44</f>
        <v>0</v>
      </c>
    </row>
    <row r="45" spans="1:10" ht="19.5" customHeight="1" x14ac:dyDescent="0.2">
      <c r="A45" s="29" t="s">
        <v>123</v>
      </c>
      <c r="B45" s="30"/>
      <c r="C45" s="31"/>
      <c r="D45" s="31"/>
      <c r="E45" s="31"/>
      <c r="F45" s="31"/>
      <c r="G45" s="100">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93E2B-4F18-4607-B8E2-0612EB9DD0C2}">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Summary!B20</f>
        <v>OPENINGS</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0">
        <f>Summary!G20</f>
        <v>0.05</v>
      </c>
      <c r="H43" s="83">
        <f>SUM(H42*G43)</f>
        <v>0</v>
      </c>
    </row>
    <row r="44" spans="1:10" ht="19.5" customHeight="1" x14ac:dyDescent="0.2">
      <c r="A44" s="29" t="s">
        <v>122</v>
      </c>
      <c r="B44" s="30"/>
      <c r="C44" s="31"/>
      <c r="D44" s="31"/>
      <c r="E44" s="31"/>
      <c r="F44" s="31"/>
      <c r="G44" s="100">
        <f>Summary!G21</f>
        <v>0.11</v>
      </c>
      <c r="H44" s="83">
        <f>SUM(H42+H43)*G44</f>
        <v>0</v>
      </c>
    </row>
    <row r="45" spans="1:10" ht="19.5" customHeight="1" x14ac:dyDescent="0.2">
      <c r="A45" s="29" t="s">
        <v>123</v>
      </c>
      <c r="B45" s="30"/>
      <c r="C45" s="31"/>
      <c r="D45" s="31"/>
      <c r="E45" s="31"/>
      <c r="F45" s="31"/>
      <c r="G45" s="100">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1FFD4-F3FB-4D65-AFBF-F26A9143C701}">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Summary!B21</f>
        <v>FINISHES</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BE0E-AE0C-485A-A24B-35766FB4B780}">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Summary!B22</f>
        <v>SPECIALTIES</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D00E-5750-4BC3-B3F8-930DD59EB2C8}">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Summary!B23</f>
        <v>EQUIPMENT</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 t="shared" si="0"/>
        <v>0</v>
      </c>
      <c r="F33" s="31"/>
      <c r="G33" s="83">
        <f t="shared" si="3"/>
        <v>0</v>
      </c>
      <c r="H33" s="83">
        <f t="shared" si="4"/>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8916-8CE8-46C8-90D2-F00BDE32C857}">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Summary!B24</f>
        <v>FURNISHINGS</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179B9-A627-42D4-BE46-B7B89D4917E3}">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ht="12.75" customHeight="1"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Summary!B25</f>
        <v>SPECIAL CONSTRUCTION</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E35+G34</f>
        <v>0</v>
      </c>
    </row>
    <row r="35" spans="1:10" ht="19.5" customHeight="1" x14ac:dyDescent="0.2">
      <c r="A35" s="30"/>
      <c r="B35" s="30"/>
      <c r="C35" s="31"/>
      <c r="D35" s="31"/>
      <c r="E35" s="83">
        <f t="shared" si="0"/>
        <v>0</v>
      </c>
      <c r="F35" s="31"/>
      <c r="G35" s="83"/>
      <c r="H35" s="83"/>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78E8B-5727-4D32-BBA6-2A05ECBE3DD3}">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Summary!B26</f>
        <v>CONVEYING EQUIPMENT</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54213-62DB-4FF7-87CA-62157C3E3864}">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Summary!B27</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C0DB-4CE1-435D-9B62-4EEBC30EB5A1}">
  <sheetPr>
    <tabColor rgb="FFFF0000"/>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Summary!B27</f>
        <v>RESERVED</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B33*D33</f>
        <v>0</v>
      </c>
      <c r="F33" s="31"/>
      <c r="G33" s="83">
        <f>B33*F33</f>
        <v>0</v>
      </c>
      <c r="H33" s="83">
        <f>E33+G33</f>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C880-3446-47A4-8FC2-1337B015C577}">
  <sheetPr>
    <tabColor rgb="FFFF0000"/>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Summary!B28</f>
        <v>RESERVED</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B597C-81C1-416B-8CEC-24943D723E62}">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0" t="str">
        <f>Summary!A4</f>
        <v>Fill Here</v>
      </c>
      <c r="B8" s="131"/>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Summary!B30</f>
        <v>FIRE SUPRESSION</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1:C2"/>
    <mergeCell ref="C8:E8"/>
    <mergeCell ref="A8:B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C02C-9928-4CD4-926D-002633B6FBD5}">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Summary!B31</f>
        <v>PLUMBING</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8DAF-F5D2-40AF-BD04-3EF0E1AD8AA7}">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Summary!B32</f>
        <v>HEATING, VENTILATING AND A/C</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4E2E-5C8F-4E98-9346-B8508F027F7A}">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0" t="str">
        <f>Summary!A4</f>
        <v>Fill Here</v>
      </c>
      <c r="B8" s="131"/>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Summary!B33</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6DE7-7ABC-4D85-8A34-66B36DAA3761}">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0" t="str">
        <f>Summary!A4</f>
        <v>Fill Here</v>
      </c>
      <c r="B8" s="131"/>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Summary!B34</f>
        <v>INTEGRATED AUTOMATION</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90A5-8609-4642-A8EC-3B9415B93981}">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Summary!B35</f>
        <v>ELECTRICAL</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 t="shared" si="0"/>
        <v>0</v>
      </c>
      <c r="F33" s="31"/>
      <c r="G33" s="83">
        <f t="shared" si="3"/>
        <v>0</v>
      </c>
      <c r="H33" s="83">
        <f t="shared" si="4"/>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AE97-A99E-4D08-84D8-72C864250E06}">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Summary!B36</f>
        <v>COMMUNICATIONS</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28E7-4421-44A6-A24E-B5F3DAF5D707}">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Summary!B37</f>
        <v>ELECTRONIC SAFETY AND SECURITY</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D0D6-C8F5-44AA-A089-D7D6B77F2226}">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Summary!B38</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7E9E-F06A-4EE7-A0CE-E3E24589698D}">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Summary!B39</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892B3-3203-4545-8274-3EB91D3388EF}">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Summary!B40</f>
        <v>EARTHWORK</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B33*D33</f>
        <v>0</v>
      </c>
      <c r="F33" s="31"/>
      <c r="G33" s="83">
        <f>B33*F33</f>
        <v>0</v>
      </c>
      <c r="H33" s="83">
        <f>E33+G33</f>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21D8-AC83-4B82-96C8-9CEDAC01706A}">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Summary!B41</f>
        <v>EXTERIOR IMPROVEMENTS</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67CF-DFC4-4F1D-95EC-8C62AA2F030B}">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Summary!B42</f>
        <v>UTILITIES</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2A25-FAC6-48CE-8EE2-CA956983A6BD}">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Summary!B43</f>
        <v>TRANSPORTATION</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7B91-0951-41FC-BB0E-62E5123127D1}">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Summary!B44</f>
        <v>WATERWAYS AND MARINE CONSTRUCTION</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132" t="str">
        <f>Summary!B48</f>
        <v>RESERVED</v>
      </c>
      <c r="B46" s="133"/>
      <c r="C46" s="134"/>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4">
    <mergeCell ref="A8:B8"/>
    <mergeCell ref="C8:E8"/>
    <mergeCell ref="A1:C2"/>
    <mergeCell ref="A46:C46"/>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74F1-94BB-4625-9DB9-D7408643D6E0}">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Summary!B45</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FAC5D-3E0F-4A13-BA74-C9B253ED9379}">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Summary!B46</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536E7-F89E-4F48-BD3E-4F7F1A07A9A9}">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Summary!B47</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80E2-152A-42BE-B4FF-74164CE2D8ED}">
  <sheetPr>
    <tabColor rgb="FFFF0000"/>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Summary!B48</f>
        <v>RESERVED</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 t="shared" si="0"/>
        <v>0</v>
      </c>
      <c r="F33" s="31"/>
      <c r="G33" s="83">
        <f t="shared" si="3"/>
        <v>0</v>
      </c>
      <c r="H33" s="83">
        <f t="shared" si="4"/>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E98DC-204E-43AF-AC8B-A71743E44680}">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Summary!B49</f>
        <v>PROCESS INTEGRATION</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1C73-0399-47B3-8829-41AD4334CAD3}">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Summary!B50</f>
        <v>MATERIAL PROCESING AND HANDLING EQUIPMENT</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6BA2-DE97-4B67-8732-AEC2DC877823}">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Summary!B51</f>
        <v>PROCESS HEATING, COOLING AND DRYING EQUIPMENT</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764F6-2C7C-475B-B003-00E3C5E29DE0}">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Summary!B52</f>
        <v>PROCESS GAS &amp; LIQUID HANDLING, PURIFICATION AND STORAGE EQUIPMENT</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A584-75E7-4392-BAAA-1AC896751392}">
  <sheetPr>
    <pageSetUpPr fitToPage="1"/>
  </sheetPr>
  <dimension ref="A1:J218"/>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9" width="9.85546875" style="6" bestFit="1" customWidth="1"/>
    <col min="10" max="10" width="12" style="6" bestFit="1" customWidth="1"/>
    <col min="11"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Summary!B53</f>
        <v>POLLUTION CONTROL EQUIPMENT</v>
      </c>
      <c r="B13" s="30"/>
      <c r="C13" s="31"/>
      <c r="D13" s="31"/>
      <c r="E13" s="31"/>
      <c r="F13" s="31"/>
      <c r="G13" s="31"/>
      <c r="H13" s="31"/>
    </row>
    <row r="14" spans="1:9" ht="19.5" customHeight="1" x14ac:dyDescent="0.2">
      <c r="A14" s="39"/>
      <c r="B14" s="39"/>
      <c r="C14" s="40"/>
      <c r="D14" s="40"/>
      <c r="E14" s="83">
        <f>B14*D14</f>
        <v>0</v>
      </c>
      <c r="F14" s="40"/>
      <c r="G14" s="83">
        <f>B14*F14</f>
        <v>0</v>
      </c>
      <c r="H14" s="83">
        <f>E14+G14</f>
        <v>0</v>
      </c>
    </row>
    <row r="15" spans="1:9" ht="19.5" customHeight="1" x14ac:dyDescent="0.2">
      <c r="A15" s="30"/>
      <c r="B15" s="30"/>
      <c r="C15" s="31"/>
      <c r="D15" s="31"/>
      <c r="E15" s="83">
        <f t="shared" ref="E15:E40" si="0">B15*D15</f>
        <v>0</v>
      </c>
      <c r="F15" s="31"/>
      <c r="G15" s="83">
        <f t="shared" ref="G15:G22" si="1">B15*F15</f>
        <v>0</v>
      </c>
      <c r="H15" s="83">
        <f t="shared" ref="H15:H21" si="2">E15+G15</f>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9"/>
      <c r="B21" s="39"/>
      <c r="C21" s="40"/>
      <c r="D21" s="40"/>
      <c r="E21" s="83">
        <f t="shared" si="0"/>
        <v>0</v>
      </c>
      <c r="F21" s="40"/>
      <c r="G21" s="83">
        <f t="shared" si="1"/>
        <v>0</v>
      </c>
      <c r="H21" s="83">
        <f t="shared" si="2"/>
        <v>0</v>
      </c>
    </row>
    <row r="22" spans="1:8" ht="19.5" customHeight="1" x14ac:dyDescent="0.2">
      <c r="A22" s="30"/>
      <c r="B22" s="30"/>
      <c r="C22" s="31"/>
      <c r="D22" s="31"/>
      <c r="E22" s="83">
        <f t="shared" si="0"/>
        <v>0</v>
      </c>
      <c r="F22" s="31"/>
      <c r="G22" s="83">
        <f t="shared" si="1"/>
        <v>0</v>
      </c>
      <c r="H22" s="83">
        <f>E22+G22</f>
        <v>0</v>
      </c>
    </row>
    <row r="23" spans="1:8" ht="19.5" customHeight="1" x14ac:dyDescent="0.2">
      <c r="A23" s="30"/>
      <c r="B23" s="30"/>
      <c r="C23" s="31"/>
      <c r="D23" s="31"/>
      <c r="E23" s="83">
        <f t="shared" si="0"/>
        <v>0</v>
      </c>
      <c r="F23" s="31"/>
      <c r="G23" s="83">
        <f>B23*F23</f>
        <v>0</v>
      </c>
      <c r="H23" s="83">
        <f>E23+G23</f>
        <v>0</v>
      </c>
    </row>
    <row r="24" spans="1:8" ht="19.5" customHeight="1" x14ac:dyDescent="0.2">
      <c r="A24" s="30"/>
      <c r="B24" s="30"/>
      <c r="C24" s="31"/>
      <c r="D24" s="31"/>
      <c r="E24" s="83">
        <f t="shared" si="0"/>
        <v>0</v>
      </c>
      <c r="F24" s="31"/>
      <c r="G24" s="83">
        <f t="shared" ref="G24:G40" si="3">B24*F24</f>
        <v>0</v>
      </c>
      <c r="H24" s="83">
        <f t="shared" ref="H24:H40" si="4">E24+G24</f>
        <v>0</v>
      </c>
    </row>
    <row r="25" spans="1:8" ht="19.5" customHeight="1" x14ac:dyDescent="0.2">
      <c r="A25" s="30"/>
      <c r="B25" s="30"/>
      <c r="C25" s="31"/>
      <c r="D25" s="31"/>
      <c r="E25" s="83">
        <f t="shared" si="0"/>
        <v>0</v>
      </c>
      <c r="F25" s="31"/>
      <c r="G25" s="83">
        <f t="shared" si="3"/>
        <v>0</v>
      </c>
      <c r="H25" s="83">
        <f t="shared" si="4"/>
        <v>0</v>
      </c>
    </row>
    <row r="26" spans="1:8" ht="19.5" customHeight="1" x14ac:dyDescent="0.2">
      <c r="A26" s="30"/>
      <c r="B26" s="30"/>
      <c r="C26" s="31"/>
      <c r="D26" s="31"/>
      <c r="E26" s="83">
        <f t="shared" si="0"/>
        <v>0</v>
      </c>
      <c r="F26" s="31"/>
      <c r="G26" s="83">
        <f t="shared" si="3"/>
        <v>0</v>
      </c>
      <c r="H26" s="83">
        <f t="shared" si="4"/>
        <v>0</v>
      </c>
    </row>
    <row r="27" spans="1:8" ht="19.5" customHeight="1" x14ac:dyDescent="0.2">
      <c r="A27" s="30"/>
      <c r="B27" s="30"/>
      <c r="C27" s="31"/>
      <c r="D27" s="31"/>
      <c r="E27" s="83">
        <f t="shared" si="0"/>
        <v>0</v>
      </c>
      <c r="F27" s="31"/>
      <c r="G27" s="83">
        <f t="shared" si="3"/>
        <v>0</v>
      </c>
      <c r="H27" s="83">
        <f t="shared" si="4"/>
        <v>0</v>
      </c>
    </row>
    <row r="28" spans="1:8" ht="19.5" customHeight="1" x14ac:dyDescent="0.2">
      <c r="A28" s="30"/>
      <c r="B28" s="30"/>
      <c r="C28" s="31"/>
      <c r="D28" s="31"/>
      <c r="E28" s="83">
        <f t="shared" si="0"/>
        <v>0</v>
      </c>
      <c r="F28" s="31"/>
      <c r="G28" s="83">
        <f t="shared" si="3"/>
        <v>0</v>
      </c>
      <c r="H28" s="83">
        <f t="shared" si="4"/>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B30*D30</f>
        <v>0</v>
      </c>
      <c r="F30" s="31"/>
      <c r="G30" s="83">
        <f>B30*F30</f>
        <v>0</v>
      </c>
      <c r="H30" s="83">
        <f>E30+G30</f>
        <v>0</v>
      </c>
    </row>
    <row r="31" spans="1:8" ht="19.5" customHeight="1" x14ac:dyDescent="0.2">
      <c r="A31" s="30"/>
      <c r="B31" s="30"/>
      <c r="C31" s="31"/>
      <c r="D31" s="31"/>
      <c r="E31" s="83">
        <f>B31*D31</f>
        <v>0</v>
      </c>
      <c r="F31" s="31"/>
      <c r="G31" s="83">
        <f>B31*F31</f>
        <v>0</v>
      </c>
      <c r="H31" s="83">
        <f>E31+G31</f>
        <v>0</v>
      </c>
    </row>
    <row r="32" spans="1:8" ht="19.5" customHeight="1" x14ac:dyDescent="0.2">
      <c r="A32" s="30"/>
      <c r="B32" s="30"/>
      <c r="C32" s="31"/>
      <c r="D32" s="31"/>
      <c r="E32" s="83">
        <f>B32*D32</f>
        <v>0</v>
      </c>
      <c r="F32" s="31"/>
      <c r="G32" s="83">
        <f>B32*F32</f>
        <v>0</v>
      </c>
      <c r="H32" s="83">
        <f>E32+G32</f>
        <v>0</v>
      </c>
    </row>
    <row r="33" spans="1:10" ht="19.5" customHeight="1" x14ac:dyDescent="0.2">
      <c r="A33" s="30"/>
      <c r="B33" s="30"/>
      <c r="C33" s="31"/>
      <c r="D33" s="31"/>
      <c r="E33" s="83">
        <f>B33*D33</f>
        <v>0</v>
      </c>
      <c r="F33" s="31"/>
      <c r="G33" s="83">
        <f>B33*F33</f>
        <v>0</v>
      </c>
      <c r="H33" s="83">
        <f>E33+G33</f>
        <v>0</v>
      </c>
    </row>
    <row r="34" spans="1:10" ht="19.5" customHeight="1" x14ac:dyDescent="0.2">
      <c r="A34" s="30"/>
      <c r="B34" s="30"/>
      <c r="C34" s="31"/>
      <c r="D34" s="31"/>
      <c r="E34" s="83">
        <f t="shared" si="0"/>
        <v>0</v>
      </c>
      <c r="F34" s="31"/>
      <c r="G34" s="83">
        <f t="shared" si="3"/>
        <v>0</v>
      </c>
      <c r="H34" s="83">
        <f t="shared" si="4"/>
        <v>0</v>
      </c>
    </row>
    <row r="35" spans="1:10" ht="19.5" customHeight="1" x14ac:dyDescent="0.2">
      <c r="A35" s="30"/>
      <c r="B35" s="30"/>
      <c r="C35" s="31"/>
      <c r="D35" s="31"/>
      <c r="E35" s="83">
        <f t="shared" si="0"/>
        <v>0</v>
      </c>
      <c r="F35" s="31"/>
      <c r="G35" s="83">
        <f t="shared" si="3"/>
        <v>0</v>
      </c>
      <c r="H35" s="83">
        <f t="shared" si="4"/>
        <v>0</v>
      </c>
    </row>
    <row r="36" spans="1:10" ht="19.5" customHeight="1" x14ac:dyDescent="0.2">
      <c r="A36" s="30"/>
      <c r="B36" s="30"/>
      <c r="C36" s="31"/>
      <c r="D36" s="31"/>
      <c r="E36" s="83">
        <f t="shared" si="0"/>
        <v>0</v>
      </c>
      <c r="F36" s="31"/>
      <c r="G36" s="83">
        <f t="shared" si="3"/>
        <v>0</v>
      </c>
      <c r="H36" s="83">
        <f t="shared" si="4"/>
        <v>0</v>
      </c>
    </row>
    <row r="37" spans="1:10" ht="19.5" customHeight="1" x14ac:dyDescent="0.2">
      <c r="A37" s="30"/>
      <c r="B37" s="30"/>
      <c r="C37" s="31"/>
      <c r="D37" s="31"/>
      <c r="E37" s="83">
        <f t="shared" si="0"/>
        <v>0</v>
      </c>
      <c r="F37" s="31"/>
      <c r="G37" s="83">
        <f t="shared" si="3"/>
        <v>0</v>
      </c>
      <c r="H37" s="83">
        <f t="shared" si="4"/>
        <v>0</v>
      </c>
    </row>
    <row r="38" spans="1:10" ht="19.5" customHeight="1" x14ac:dyDescent="0.2">
      <c r="A38" s="30"/>
      <c r="B38" s="30"/>
      <c r="C38" s="31"/>
      <c r="D38" s="31"/>
      <c r="E38" s="83">
        <f t="shared" si="0"/>
        <v>0</v>
      </c>
      <c r="F38" s="31"/>
      <c r="G38" s="83">
        <f t="shared" si="3"/>
        <v>0</v>
      </c>
      <c r="H38" s="83">
        <f t="shared" si="4"/>
        <v>0</v>
      </c>
    </row>
    <row r="39" spans="1:10" ht="19.5" customHeight="1" x14ac:dyDescent="0.2">
      <c r="A39" s="30"/>
      <c r="B39" s="30"/>
      <c r="C39" s="31"/>
      <c r="D39" s="31"/>
      <c r="E39" s="83">
        <f t="shared" si="0"/>
        <v>0</v>
      </c>
      <c r="F39" s="31"/>
      <c r="G39" s="83">
        <f t="shared" si="3"/>
        <v>0</v>
      </c>
      <c r="H39" s="83">
        <f t="shared" si="4"/>
        <v>0</v>
      </c>
    </row>
    <row r="40" spans="1:10" ht="19.5" customHeight="1" x14ac:dyDescent="0.2">
      <c r="A40" s="30"/>
      <c r="B40" s="30"/>
      <c r="C40" s="31"/>
      <c r="D40" s="31"/>
      <c r="E40" s="83">
        <f t="shared" si="0"/>
        <v>0</v>
      </c>
      <c r="F40" s="31"/>
      <c r="G40" s="83">
        <f t="shared" si="3"/>
        <v>0</v>
      </c>
      <c r="H40" s="83">
        <f t="shared" si="4"/>
        <v>0</v>
      </c>
    </row>
    <row r="41" spans="1:10" ht="19.5" customHeight="1" x14ac:dyDescent="0.2">
      <c r="A41" s="29" t="s">
        <v>42</v>
      </c>
      <c r="B41" s="30"/>
      <c r="C41" s="31"/>
      <c r="D41" s="31"/>
      <c r="E41" s="83">
        <f>SUM(E14:E39)</f>
        <v>0</v>
      </c>
      <c r="F41" s="31"/>
      <c r="G41" s="83">
        <f>SUM(G14:G39)</f>
        <v>0</v>
      </c>
      <c r="H41" s="45"/>
      <c r="I41" s="10"/>
      <c r="J41" s="10"/>
    </row>
    <row r="42" spans="1:10" ht="19.5" customHeight="1" x14ac:dyDescent="0.2">
      <c r="A42" s="29" t="s">
        <v>23</v>
      </c>
      <c r="B42" s="30"/>
      <c r="C42" s="31"/>
      <c r="D42" s="31"/>
      <c r="E42" s="41"/>
      <c r="F42" s="31"/>
      <c r="G42" s="41"/>
      <c r="H42" s="83">
        <f>SUM(E41:G41)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c r="J44" s="10"/>
    </row>
    <row r="45" spans="1:10" ht="19.5" customHeight="1" x14ac:dyDescent="0.2">
      <c r="A45" s="29" t="s">
        <v>123</v>
      </c>
      <c r="B45" s="30"/>
      <c r="C45" s="31"/>
      <c r="D45" s="31"/>
      <c r="E45" s="31"/>
      <c r="F45" s="31"/>
      <c r="G45" s="102">
        <f>Summary!G22</f>
        <v>0.06</v>
      </c>
      <c r="H45" s="83">
        <f>SUM(G41*G45)</f>
        <v>0</v>
      </c>
      <c r="J45" s="10"/>
    </row>
    <row r="46" spans="1:10" ht="19.5" customHeight="1" thickBot="1" x14ac:dyDescent="0.25">
      <c r="A46" s="34" t="s">
        <v>21</v>
      </c>
      <c r="B46" s="32"/>
      <c r="C46" s="33"/>
      <c r="D46" s="33"/>
      <c r="E46" s="33"/>
      <c r="F46" s="33"/>
      <c r="G46" s="73"/>
      <c r="H46" s="84">
        <f>SUM(H42:H45)</f>
        <v>0</v>
      </c>
      <c r="J46" s="10"/>
    </row>
    <row r="47" spans="1:10" ht="19.5" customHeight="1" thickTop="1" x14ac:dyDescent="0.2">
      <c r="A47" s="35"/>
      <c r="B47" s="35"/>
      <c r="C47" s="36"/>
      <c r="D47" s="36"/>
      <c r="E47" s="36"/>
      <c r="F47" s="36"/>
      <c r="G47" s="36"/>
      <c r="H47" s="36"/>
      <c r="J47" s="10"/>
    </row>
    <row r="48" spans="1:10" ht="19.5" customHeight="1" x14ac:dyDescent="0.2">
      <c r="A48" s="35"/>
      <c r="B48" s="35"/>
      <c r="C48" s="36"/>
      <c r="D48" s="36"/>
      <c r="E48" s="36"/>
      <c r="F48" s="36"/>
      <c r="G48" s="36"/>
      <c r="H48" s="36"/>
    </row>
    <row r="49" spans="1:9" ht="19.5" customHeight="1" x14ac:dyDescent="0.2">
      <c r="A49" s="35"/>
      <c r="B49" s="35"/>
      <c r="C49" s="36"/>
      <c r="D49" s="36"/>
      <c r="E49" s="36"/>
      <c r="F49" s="36"/>
      <c r="G49" s="36"/>
      <c r="H49" s="36"/>
    </row>
    <row r="50" spans="1:9" ht="19.5" customHeight="1" x14ac:dyDescent="0.2">
      <c r="A50" s="35"/>
      <c r="B50" s="35"/>
      <c r="C50" s="36"/>
      <c r="D50" s="36"/>
      <c r="E50" s="36"/>
      <c r="F50" s="36"/>
      <c r="G50" s="36"/>
      <c r="H50" s="36"/>
    </row>
    <row r="51" spans="1:9" ht="19.5" customHeight="1" x14ac:dyDescent="0.2">
      <c r="A51" s="35"/>
      <c r="B51" s="35"/>
      <c r="C51" s="36"/>
      <c r="D51" s="36"/>
      <c r="E51" s="36"/>
      <c r="F51" s="36"/>
      <c r="G51" s="36"/>
      <c r="H51" s="36"/>
    </row>
    <row r="52" spans="1:9" ht="19.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12.75" customHeight="1" x14ac:dyDescent="0.2">
      <c r="A76" s="35"/>
      <c r="B76" s="35"/>
      <c r="C76" s="36"/>
      <c r="D76" s="36"/>
      <c r="E76" s="36"/>
      <c r="F76" s="36"/>
      <c r="G76" s="36"/>
      <c r="H76" s="36"/>
      <c r="I76" s="35"/>
    </row>
    <row r="77" spans="1:9" ht="12.75" customHeight="1" x14ac:dyDescent="0.2">
      <c r="A77" s="35"/>
      <c r="B77" s="35"/>
      <c r="C77" s="36"/>
      <c r="D77" s="36"/>
      <c r="E77" s="36"/>
      <c r="F77" s="36"/>
      <c r="G77" s="36"/>
      <c r="H77" s="36"/>
      <c r="I77" s="35"/>
    </row>
    <row r="78" spans="1:9" ht="12.75" customHeight="1" x14ac:dyDescent="0.2">
      <c r="A78" s="35"/>
      <c r="B78" s="35"/>
      <c r="C78" s="36"/>
      <c r="D78" s="36"/>
      <c r="E78" s="36"/>
      <c r="F78" s="36"/>
      <c r="G78" s="36"/>
      <c r="H78" s="36"/>
      <c r="I78" s="35"/>
    </row>
    <row r="79" spans="1:9" ht="12.75" customHeight="1" x14ac:dyDescent="0.2">
      <c r="A79" s="35"/>
      <c r="B79" s="35"/>
      <c r="C79" s="36"/>
      <c r="D79" s="36"/>
      <c r="E79" s="36"/>
      <c r="F79" s="36"/>
      <c r="G79" s="36"/>
      <c r="H79" s="36"/>
      <c r="I79" s="35"/>
    </row>
    <row r="80" spans="1:9" ht="12.75"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20.100000000000001" customHeight="1" x14ac:dyDescent="0.2">
      <c r="A127" s="35"/>
      <c r="B127" s="35"/>
      <c r="C127" s="36"/>
      <c r="D127" s="36"/>
      <c r="E127" s="36"/>
      <c r="F127" s="36"/>
      <c r="G127" s="36"/>
      <c r="H127" s="36"/>
      <c r="I127" s="35"/>
    </row>
    <row r="128" spans="1:9" ht="20.100000000000001" customHeight="1" x14ac:dyDescent="0.2">
      <c r="A128" s="35"/>
      <c r="B128" s="35"/>
      <c r="C128" s="36"/>
      <c r="D128" s="36"/>
      <c r="E128" s="36"/>
      <c r="F128" s="36"/>
      <c r="G128" s="36"/>
      <c r="H128" s="36"/>
      <c r="I128" s="35"/>
    </row>
    <row r="129" spans="1:9" ht="20.100000000000001" customHeight="1" x14ac:dyDescent="0.2">
      <c r="A129" s="35"/>
      <c r="B129" s="35"/>
      <c r="C129" s="36"/>
      <c r="D129" s="36"/>
      <c r="E129" s="36"/>
      <c r="F129" s="36"/>
      <c r="G129" s="36"/>
      <c r="H129" s="36"/>
      <c r="I129" s="35"/>
    </row>
    <row r="130" spans="1:9" ht="20.100000000000001" customHeight="1" x14ac:dyDescent="0.2">
      <c r="A130" s="35"/>
      <c r="B130" s="35"/>
      <c r="C130" s="36"/>
      <c r="D130" s="36"/>
      <c r="E130" s="36"/>
      <c r="F130" s="36"/>
      <c r="G130" s="36"/>
      <c r="H130" s="36"/>
      <c r="I130" s="35"/>
    </row>
    <row r="131" spans="1:9" ht="20.100000000000001" customHeight="1"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row r="214" spans="1:9" ht="12.75" x14ac:dyDescent="0.2">
      <c r="I214" s="35"/>
    </row>
    <row r="215" spans="1:9" ht="12.75" x14ac:dyDescent="0.2">
      <c r="I215" s="35"/>
    </row>
    <row r="216" spans="1:9" ht="12.75" x14ac:dyDescent="0.2">
      <c r="I216" s="35"/>
    </row>
    <row r="217" spans="1:9" ht="12.75" x14ac:dyDescent="0.2">
      <c r="I217" s="35"/>
    </row>
    <row r="218" spans="1:9" ht="12.75" x14ac:dyDescent="0.2">
      <c r="I218"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DCBE9-5247-4177-8953-5E70511A14C5}">
  <sheetPr>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Summary!B54</f>
        <v>INDUSTRY-SPECIFIC MANUFACTURING EQUIPMENT</v>
      </c>
      <c r="B13" s="41"/>
      <c r="C13" s="45"/>
      <c r="D13" s="55"/>
      <c r="E13" s="45"/>
      <c r="F13" s="55"/>
      <c r="G13" s="45"/>
      <c r="H13" s="45"/>
    </row>
    <row r="14" spans="1:9" ht="19.5" customHeight="1" x14ac:dyDescent="0.2">
      <c r="A14" s="30"/>
      <c r="B14" s="44"/>
      <c r="C14" s="45"/>
      <c r="D14" s="45"/>
      <c r="E14" s="99">
        <f>B14*D14</f>
        <v>0</v>
      </c>
      <c r="F14" s="45"/>
      <c r="G14" s="99">
        <f t="shared" ref="G14:G40" si="0">B14*F14</f>
        <v>0</v>
      </c>
      <c r="H14" s="99">
        <f t="shared" ref="H14:H40" si="1">E14+G14</f>
        <v>0</v>
      </c>
    </row>
    <row r="15" spans="1:9" ht="19.5" customHeight="1" x14ac:dyDescent="0.2">
      <c r="A15" s="30"/>
      <c r="B15" s="30"/>
      <c r="C15" s="31"/>
      <c r="D15" s="31"/>
      <c r="E15" s="83">
        <f>B15*D15</f>
        <v>0</v>
      </c>
      <c r="F15" s="31"/>
      <c r="G15" s="83">
        <f t="shared" si="0"/>
        <v>0</v>
      </c>
      <c r="H15" s="83">
        <f t="shared" si="1"/>
        <v>0</v>
      </c>
    </row>
    <row r="16" spans="1:9" ht="19.5" customHeight="1" x14ac:dyDescent="0.2">
      <c r="A16" s="30"/>
      <c r="B16" s="30"/>
      <c r="C16" s="31"/>
      <c r="D16" s="31"/>
      <c r="E16" s="83">
        <f t="shared" ref="E16:E40" si="2">B16*D16</f>
        <v>0</v>
      </c>
      <c r="F16" s="31"/>
      <c r="G16" s="83">
        <f t="shared" si="0"/>
        <v>0</v>
      </c>
      <c r="H16" s="83">
        <f t="shared" si="1"/>
        <v>0</v>
      </c>
    </row>
    <row r="17" spans="1:8" ht="19.5" customHeight="1" x14ac:dyDescent="0.2">
      <c r="A17" s="30"/>
      <c r="B17" s="30"/>
      <c r="C17" s="31"/>
      <c r="D17" s="31"/>
      <c r="E17" s="83">
        <f t="shared" si="2"/>
        <v>0</v>
      </c>
      <c r="F17" s="31"/>
      <c r="G17" s="83">
        <f t="shared" si="0"/>
        <v>0</v>
      </c>
      <c r="H17" s="83">
        <f t="shared" si="1"/>
        <v>0</v>
      </c>
    </row>
    <row r="18" spans="1:8" ht="19.5" customHeight="1" x14ac:dyDescent="0.2">
      <c r="A18" s="30"/>
      <c r="B18" s="30"/>
      <c r="C18" s="31"/>
      <c r="D18" s="31"/>
      <c r="E18" s="83">
        <f t="shared" si="2"/>
        <v>0</v>
      </c>
      <c r="F18" s="31"/>
      <c r="G18" s="83">
        <f t="shared" si="0"/>
        <v>0</v>
      </c>
      <c r="H18" s="83">
        <f t="shared" si="1"/>
        <v>0</v>
      </c>
    </row>
    <row r="19" spans="1:8" ht="19.5" customHeight="1" x14ac:dyDescent="0.2">
      <c r="A19" s="30"/>
      <c r="B19" s="30"/>
      <c r="C19" s="31"/>
      <c r="D19" s="31"/>
      <c r="E19" s="83">
        <f t="shared" si="2"/>
        <v>0</v>
      </c>
      <c r="F19" s="31"/>
      <c r="G19" s="83">
        <f t="shared" si="0"/>
        <v>0</v>
      </c>
      <c r="H19" s="83">
        <f t="shared" si="1"/>
        <v>0</v>
      </c>
    </row>
    <row r="20" spans="1:8" s="53" customFormat="1" ht="19.5" customHeight="1" x14ac:dyDescent="0.2">
      <c r="A20" s="39"/>
      <c r="B20" s="30"/>
      <c r="C20" s="31"/>
      <c r="D20" s="31"/>
      <c r="E20" s="83">
        <f t="shared" si="2"/>
        <v>0</v>
      </c>
      <c r="F20" s="31"/>
      <c r="G20" s="83">
        <f t="shared" si="0"/>
        <v>0</v>
      </c>
      <c r="H20" s="83">
        <f t="shared" si="1"/>
        <v>0</v>
      </c>
    </row>
    <row r="21" spans="1:8" s="53" customFormat="1" ht="19.5" customHeight="1" x14ac:dyDescent="0.2">
      <c r="A21" s="39"/>
      <c r="B21" s="30"/>
      <c r="C21" s="31"/>
      <c r="D21" s="31"/>
      <c r="E21" s="83">
        <f t="shared" si="2"/>
        <v>0</v>
      </c>
      <c r="F21" s="31"/>
      <c r="G21" s="83">
        <f t="shared" si="0"/>
        <v>0</v>
      </c>
      <c r="H21" s="83">
        <f t="shared" si="1"/>
        <v>0</v>
      </c>
    </row>
    <row r="22" spans="1:8" ht="19.5" customHeight="1" x14ac:dyDescent="0.2">
      <c r="A22" s="30"/>
      <c r="B22" s="30"/>
      <c r="C22" s="31"/>
      <c r="D22" s="31"/>
      <c r="E22" s="83">
        <f t="shared" si="2"/>
        <v>0</v>
      </c>
      <c r="F22" s="31"/>
      <c r="G22" s="83">
        <f t="shared" si="0"/>
        <v>0</v>
      </c>
      <c r="H22" s="83">
        <f t="shared" si="1"/>
        <v>0</v>
      </c>
    </row>
    <row r="23" spans="1:8" ht="19.5" customHeight="1" x14ac:dyDescent="0.2">
      <c r="A23" s="30"/>
      <c r="B23" s="30"/>
      <c r="C23" s="31"/>
      <c r="D23" s="31"/>
      <c r="E23" s="83">
        <f t="shared" si="2"/>
        <v>0</v>
      </c>
      <c r="F23" s="31"/>
      <c r="G23" s="83">
        <f t="shared" si="0"/>
        <v>0</v>
      </c>
      <c r="H23" s="83">
        <f t="shared" si="1"/>
        <v>0</v>
      </c>
    </row>
    <row r="24" spans="1:8" ht="19.5" customHeight="1" x14ac:dyDescent="0.2">
      <c r="A24" s="30"/>
      <c r="B24" s="30"/>
      <c r="C24" s="31"/>
      <c r="D24" s="31"/>
      <c r="E24" s="83">
        <f t="shared" si="2"/>
        <v>0</v>
      </c>
      <c r="F24" s="31"/>
      <c r="G24" s="83">
        <f t="shared" si="0"/>
        <v>0</v>
      </c>
      <c r="H24" s="83">
        <f t="shared" si="1"/>
        <v>0</v>
      </c>
    </row>
    <row r="25" spans="1:8" ht="19.5" customHeight="1" x14ac:dyDescent="0.2">
      <c r="A25" s="30"/>
      <c r="B25" s="30"/>
      <c r="C25" s="31"/>
      <c r="D25" s="31"/>
      <c r="E25" s="83">
        <f t="shared" si="2"/>
        <v>0</v>
      </c>
      <c r="F25" s="31"/>
      <c r="G25" s="83">
        <f t="shared" si="0"/>
        <v>0</v>
      </c>
      <c r="H25" s="83">
        <f t="shared" si="1"/>
        <v>0</v>
      </c>
    </row>
    <row r="26" spans="1:8" ht="19.5" customHeight="1" x14ac:dyDescent="0.2">
      <c r="A26" s="30"/>
      <c r="B26" s="30"/>
      <c r="C26" s="31"/>
      <c r="D26" s="31"/>
      <c r="E26" s="83">
        <f t="shared" si="2"/>
        <v>0</v>
      </c>
      <c r="F26" s="31"/>
      <c r="G26" s="83">
        <f t="shared" si="0"/>
        <v>0</v>
      </c>
      <c r="H26" s="83">
        <f t="shared" si="1"/>
        <v>0</v>
      </c>
    </row>
    <row r="27" spans="1:8" ht="19.5" customHeight="1" x14ac:dyDescent="0.2">
      <c r="A27" s="30"/>
      <c r="B27" s="30"/>
      <c r="C27" s="31"/>
      <c r="D27" s="31"/>
      <c r="E27" s="83">
        <f t="shared" si="2"/>
        <v>0</v>
      </c>
      <c r="F27" s="31"/>
      <c r="G27" s="83">
        <f t="shared" si="0"/>
        <v>0</v>
      </c>
      <c r="H27" s="83">
        <f t="shared" si="1"/>
        <v>0</v>
      </c>
    </row>
    <row r="28" spans="1:8" ht="19.5" customHeight="1" x14ac:dyDescent="0.2">
      <c r="A28" s="30"/>
      <c r="B28" s="30"/>
      <c r="C28" s="31"/>
      <c r="D28" s="31"/>
      <c r="E28" s="83">
        <f t="shared" si="2"/>
        <v>0</v>
      </c>
      <c r="F28" s="31"/>
      <c r="G28" s="83">
        <f t="shared" si="0"/>
        <v>0</v>
      </c>
      <c r="H28" s="83">
        <f t="shared" si="1"/>
        <v>0</v>
      </c>
    </row>
    <row r="29" spans="1:8" ht="19.5" customHeight="1" x14ac:dyDescent="0.2">
      <c r="A29" s="30"/>
      <c r="B29" s="30"/>
      <c r="C29" s="31"/>
      <c r="D29" s="31"/>
      <c r="E29" s="83">
        <f t="shared" si="2"/>
        <v>0</v>
      </c>
      <c r="F29" s="31"/>
      <c r="G29" s="83">
        <f t="shared" si="0"/>
        <v>0</v>
      </c>
      <c r="H29" s="83">
        <f t="shared" si="1"/>
        <v>0</v>
      </c>
    </row>
    <row r="30" spans="1:8" ht="19.5" customHeight="1" x14ac:dyDescent="0.2">
      <c r="A30" s="30"/>
      <c r="B30" s="30"/>
      <c r="C30" s="31"/>
      <c r="D30" s="31"/>
      <c r="E30" s="83">
        <f t="shared" si="2"/>
        <v>0</v>
      </c>
      <c r="F30" s="31"/>
      <c r="G30" s="83">
        <f t="shared" si="0"/>
        <v>0</v>
      </c>
      <c r="H30" s="83">
        <f t="shared" si="1"/>
        <v>0</v>
      </c>
    </row>
    <row r="31" spans="1:8" ht="19.5" customHeight="1" x14ac:dyDescent="0.2">
      <c r="A31" s="30"/>
      <c r="B31" s="30"/>
      <c r="C31" s="31"/>
      <c r="D31" s="31"/>
      <c r="E31" s="83">
        <f t="shared" si="2"/>
        <v>0</v>
      </c>
      <c r="F31" s="31"/>
      <c r="G31" s="83">
        <f t="shared" si="0"/>
        <v>0</v>
      </c>
      <c r="H31" s="83">
        <f t="shared" si="1"/>
        <v>0</v>
      </c>
    </row>
    <row r="32" spans="1:8" ht="19.5" customHeight="1" x14ac:dyDescent="0.2">
      <c r="A32" s="30"/>
      <c r="B32" s="30"/>
      <c r="C32" s="31"/>
      <c r="D32" s="31"/>
      <c r="E32" s="83">
        <f t="shared" si="2"/>
        <v>0</v>
      </c>
      <c r="F32" s="31"/>
      <c r="G32" s="83">
        <f t="shared" si="0"/>
        <v>0</v>
      </c>
      <c r="H32" s="83">
        <f t="shared" si="1"/>
        <v>0</v>
      </c>
    </row>
    <row r="33" spans="1:10" ht="19.5" customHeight="1" x14ac:dyDescent="0.2">
      <c r="A33" s="30"/>
      <c r="B33" s="30"/>
      <c r="C33" s="31"/>
      <c r="D33" s="31"/>
      <c r="E33" s="83">
        <f t="shared" si="2"/>
        <v>0</v>
      </c>
      <c r="F33" s="31"/>
      <c r="G33" s="83">
        <f t="shared" si="0"/>
        <v>0</v>
      </c>
      <c r="H33" s="83">
        <f t="shared" si="1"/>
        <v>0</v>
      </c>
    </row>
    <row r="34" spans="1:10" ht="19.5" customHeight="1" x14ac:dyDescent="0.2">
      <c r="A34" s="30"/>
      <c r="B34" s="30"/>
      <c r="C34" s="31"/>
      <c r="D34" s="31"/>
      <c r="E34" s="83">
        <f t="shared" si="2"/>
        <v>0</v>
      </c>
      <c r="F34" s="31"/>
      <c r="G34" s="83">
        <f t="shared" si="0"/>
        <v>0</v>
      </c>
      <c r="H34" s="83">
        <f t="shared" si="1"/>
        <v>0</v>
      </c>
    </row>
    <row r="35" spans="1:10" ht="19.5" customHeight="1" x14ac:dyDescent="0.2">
      <c r="A35" s="30"/>
      <c r="B35" s="30"/>
      <c r="C35" s="31"/>
      <c r="D35" s="31"/>
      <c r="E35" s="83">
        <f t="shared" si="2"/>
        <v>0</v>
      </c>
      <c r="F35" s="31"/>
      <c r="G35" s="83">
        <f t="shared" si="0"/>
        <v>0</v>
      </c>
      <c r="H35" s="83">
        <f t="shared" si="1"/>
        <v>0</v>
      </c>
    </row>
    <row r="36" spans="1:10" ht="19.5" customHeight="1" x14ac:dyDescent="0.2">
      <c r="A36" s="30"/>
      <c r="B36" s="30"/>
      <c r="C36" s="31"/>
      <c r="D36" s="31"/>
      <c r="E36" s="83">
        <f t="shared" si="2"/>
        <v>0</v>
      </c>
      <c r="F36" s="31"/>
      <c r="G36" s="83">
        <f t="shared" si="0"/>
        <v>0</v>
      </c>
      <c r="H36" s="83">
        <f t="shared" si="1"/>
        <v>0</v>
      </c>
    </row>
    <row r="37" spans="1:10" ht="19.5" customHeight="1" x14ac:dyDescent="0.2">
      <c r="A37" s="30"/>
      <c r="B37" s="30"/>
      <c r="C37" s="31"/>
      <c r="D37" s="31"/>
      <c r="E37" s="83">
        <f t="shared" si="2"/>
        <v>0</v>
      </c>
      <c r="F37" s="31"/>
      <c r="G37" s="83">
        <f t="shared" si="0"/>
        <v>0</v>
      </c>
      <c r="H37" s="83">
        <f t="shared" si="1"/>
        <v>0</v>
      </c>
    </row>
    <row r="38" spans="1:10" ht="19.5" customHeight="1" x14ac:dyDescent="0.2">
      <c r="A38" s="30"/>
      <c r="B38" s="30"/>
      <c r="C38" s="31"/>
      <c r="D38" s="31"/>
      <c r="E38" s="83">
        <f t="shared" si="2"/>
        <v>0</v>
      </c>
      <c r="F38" s="31"/>
      <c r="G38" s="83">
        <f t="shared" si="0"/>
        <v>0</v>
      </c>
      <c r="H38" s="83">
        <f t="shared" si="1"/>
        <v>0</v>
      </c>
    </row>
    <row r="39" spans="1:10" ht="19.5" customHeight="1" x14ac:dyDescent="0.2">
      <c r="A39" s="30"/>
      <c r="B39" s="30"/>
      <c r="C39" s="31"/>
      <c r="D39" s="31"/>
      <c r="E39" s="83">
        <f t="shared" si="2"/>
        <v>0</v>
      </c>
      <c r="F39" s="31"/>
      <c r="G39" s="83">
        <f t="shared" si="0"/>
        <v>0</v>
      </c>
      <c r="H39" s="83">
        <f t="shared" si="1"/>
        <v>0</v>
      </c>
    </row>
    <row r="40" spans="1:10" ht="19.5" customHeight="1" x14ac:dyDescent="0.2">
      <c r="A40" s="30"/>
      <c r="B40" s="30"/>
      <c r="C40" s="31"/>
      <c r="D40" s="31"/>
      <c r="E40" s="83">
        <f t="shared" si="2"/>
        <v>0</v>
      </c>
      <c r="F40" s="31"/>
      <c r="G40" s="83">
        <f t="shared" si="0"/>
        <v>0</v>
      </c>
      <c r="H40" s="83">
        <f t="shared" si="1"/>
        <v>0</v>
      </c>
    </row>
    <row r="41" spans="1:10" ht="19.5" customHeight="1" x14ac:dyDescent="0.2">
      <c r="A41" s="29" t="s">
        <v>42</v>
      </c>
      <c r="B41" s="30"/>
      <c r="C41" s="31"/>
      <c r="D41" s="31"/>
      <c r="E41" s="83">
        <f>SUM(E14:E40)</f>
        <v>0</v>
      </c>
      <c r="F41" s="31"/>
      <c r="G41" s="83">
        <f>SUM(G14:G40)</f>
        <v>0</v>
      </c>
      <c r="H41" s="55"/>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84DB-8BFB-42D9-B696-3C92CF972E24}">
  <sheetPr>
    <tabColor rgb="FFFF0000"/>
    <pageSetUpPr fitToPage="1"/>
  </sheetPr>
  <dimension ref="A1:J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94" t="str">
        <f>Summary!A4</f>
        <v>Fill Here</v>
      </c>
      <c r="B8" s="95"/>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19.5" customHeight="1" x14ac:dyDescent="0.2">
      <c r="A13" s="98" t="str">
        <f>Summary!B55</f>
        <v>RESERVED</v>
      </c>
      <c r="B13" s="30"/>
      <c r="C13" s="31"/>
      <c r="D13" s="31"/>
      <c r="E13" s="31"/>
      <c r="F13" s="31"/>
      <c r="G13" s="31"/>
      <c r="H13" s="31"/>
    </row>
    <row r="14" spans="1:9" ht="19.5" customHeight="1" x14ac:dyDescent="0.2">
      <c r="A14" s="30"/>
      <c r="B14" s="30"/>
      <c r="C14" s="31"/>
      <c r="D14" s="31"/>
      <c r="E14" s="83">
        <f t="shared" ref="E14:E40" si="0">B14*D14</f>
        <v>0</v>
      </c>
      <c r="F14" s="31"/>
      <c r="G14" s="83">
        <f t="shared" ref="G14:G40" si="1">B14*F14</f>
        <v>0</v>
      </c>
      <c r="H14" s="83">
        <f t="shared" ref="H14:H40" si="2">E14+G14</f>
        <v>0</v>
      </c>
    </row>
    <row r="15" spans="1:9" ht="19.5" customHeight="1" x14ac:dyDescent="0.2">
      <c r="A15" s="30"/>
      <c r="B15" s="30"/>
      <c r="C15" s="31"/>
      <c r="D15" s="31"/>
      <c r="E15" s="83">
        <f t="shared" si="0"/>
        <v>0</v>
      </c>
      <c r="F15" s="31"/>
      <c r="G15" s="83">
        <f t="shared" si="1"/>
        <v>0</v>
      </c>
      <c r="H15" s="83">
        <f t="shared" si="2"/>
        <v>0</v>
      </c>
    </row>
    <row r="16" spans="1:9" ht="19.5" customHeight="1" x14ac:dyDescent="0.2">
      <c r="A16" s="54"/>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29"/>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B25*D25</f>
        <v>0</v>
      </c>
      <c r="F25" s="31"/>
      <c r="G25" s="83">
        <f>B25*F25</f>
        <v>0</v>
      </c>
      <c r="H25" s="83">
        <f>E25+G25</f>
        <v>0</v>
      </c>
    </row>
    <row r="26" spans="1:8" ht="19.5" customHeight="1" x14ac:dyDescent="0.2">
      <c r="A26" s="30"/>
      <c r="B26" s="30"/>
      <c r="C26" s="31"/>
      <c r="D26" s="31"/>
      <c r="E26" s="83">
        <f>B26*D26</f>
        <v>0</v>
      </c>
      <c r="F26" s="31"/>
      <c r="G26" s="83">
        <f>B26*F26</f>
        <v>0</v>
      </c>
      <c r="H26" s="83">
        <f>E26+G26</f>
        <v>0</v>
      </c>
    </row>
    <row r="27" spans="1:8" ht="19.5" customHeight="1" x14ac:dyDescent="0.2">
      <c r="A27" s="30"/>
      <c r="B27" s="30"/>
      <c r="C27" s="31"/>
      <c r="D27" s="31"/>
      <c r="E27" s="83">
        <f>B27*D27</f>
        <v>0</v>
      </c>
      <c r="F27" s="31"/>
      <c r="G27" s="83">
        <f>B27*F27</f>
        <v>0</v>
      </c>
      <c r="H27" s="83">
        <f>E27+G27</f>
        <v>0</v>
      </c>
    </row>
    <row r="28" spans="1:8" ht="19.5" customHeight="1" x14ac:dyDescent="0.2">
      <c r="A28" s="30"/>
      <c r="B28" s="30"/>
      <c r="C28" s="31"/>
      <c r="D28" s="31"/>
      <c r="E28" s="83">
        <f>B28*D28</f>
        <v>0</v>
      </c>
      <c r="F28" s="31"/>
      <c r="G28" s="83">
        <f>B28*F28</f>
        <v>0</v>
      </c>
      <c r="H28" s="83">
        <f>E28+G28</f>
        <v>0</v>
      </c>
    </row>
    <row r="29" spans="1:8" ht="19.5" customHeight="1" x14ac:dyDescent="0.2">
      <c r="A29" s="30"/>
      <c r="B29" s="30"/>
      <c r="C29" s="31"/>
      <c r="D29" s="31"/>
      <c r="E29" s="83">
        <f t="shared" si="0"/>
        <v>0</v>
      </c>
      <c r="F29" s="31"/>
      <c r="G29" s="83">
        <f t="shared" si="1"/>
        <v>0</v>
      </c>
      <c r="H29" s="83">
        <f t="shared" si="2"/>
        <v>0</v>
      </c>
    </row>
    <row r="30" spans="1:8" ht="19.5" customHeight="1" x14ac:dyDescent="0.2">
      <c r="A30" s="30"/>
      <c r="B30" s="30"/>
      <c r="C30" s="31"/>
      <c r="D30" s="31"/>
      <c r="E30" s="83">
        <f t="shared" si="0"/>
        <v>0</v>
      </c>
      <c r="F30" s="31"/>
      <c r="G30" s="83">
        <f t="shared" si="1"/>
        <v>0</v>
      </c>
      <c r="H30" s="83">
        <f t="shared" si="2"/>
        <v>0</v>
      </c>
    </row>
    <row r="31" spans="1:8" ht="19.5" customHeight="1" x14ac:dyDescent="0.2">
      <c r="A31" s="30"/>
      <c r="B31" s="30"/>
      <c r="C31" s="31"/>
      <c r="D31" s="31"/>
      <c r="E31" s="83">
        <f t="shared" si="0"/>
        <v>0</v>
      </c>
      <c r="F31" s="31"/>
      <c r="G31" s="83">
        <f t="shared" si="1"/>
        <v>0</v>
      </c>
      <c r="H31" s="83">
        <f t="shared" si="2"/>
        <v>0</v>
      </c>
    </row>
    <row r="32" spans="1:8" ht="19.5" customHeight="1" x14ac:dyDescent="0.2">
      <c r="A32" s="30"/>
      <c r="B32" s="30"/>
      <c r="C32" s="31"/>
      <c r="D32" s="31"/>
      <c r="E32" s="83">
        <f t="shared" si="0"/>
        <v>0</v>
      </c>
      <c r="F32" s="31"/>
      <c r="G32" s="83">
        <f t="shared" si="1"/>
        <v>0</v>
      </c>
      <c r="H32" s="83">
        <f t="shared" si="2"/>
        <v>0</v>
      </c>
    </row>
    <row r="33" spans="1:10" ht="19.5" customHeight="1" x14ac:dyDescent="0.2">
      <c r="A33" s="30"/>
      <c r="B33" s="30"/>
      <c r="C33" s="31"/>
      <c r="D33" s="31"/>
      <c r="E33" s="83">
        <f t="shared" si="0"/>
        <v>0</v>
      </c>
      <c r="F33" s="31"/>
      <c r="G33" s="83">
        <f t="shared" si="1"/>
        <v>0</v>
      </c>
      <c r="H33" s="83">
        <f t="shared" si="2"/>
        <v>0</v>
      </c>
    </row>
    <row r="34" spans="1:10" ht="19.5" customHeight="1" x14ac:dyDescent="0.2">
      <c r="A34" s="30"/>
      <c r="B34" s="30"/>
      <c r="C34" s="31"/>
      <c r="D34" s="31"/>
      <c r="E34" s="83">
        <f t="shared" si="0"/>
        <v>0</v>
      </c>
      <c r="F34" s="31"/>
      <c r="G34" s="83">
        <f t="shared" si="1"/>
        <v>0</v>
      </c>
      <c r="H34" s="83">
        <f t="shared" si="2"/>
        <v>0</v>
      </c>
    </row>
    <row r="35" spans="1:10" ht="19.5" customHeight="1" x14ac:dyDescent="0.2">
      <c r="A35" s="30"/>
      <c r="B35" s="30"/>
      <c r="C35" s="31"/>
      <c r="D35" s="31"/>
      <c r="E35" s="83">
        <f t="shared" si="0"/>
        <v>0</v>
      </c>
      <c r="F35" s="31"/>
      <c r="G35" s="83">
        <f t="shared" si="1"/>
        <v>0</v>
      </c>
      <c r="H35" s="83">
        <f t="shared" si="2"/>
        <v>0</v>
      </c>
    </row>
    <row r="36" spans="1:10" ht="19.5" customHeight="1" x14ac:dyDescent="0.2">
      <c r="A36" s="30"/>
      <c r="B36" s="30"/>
      <c r="C36" s="31"/>
      <c r="D36" s="31"/>
      <c r="E36" s="83">
        <f t="shared" si="0"/>
        <v>0</v>
      </c>
      <c r="F36" s="31"/>
      <c r="G36" s="83">
        <f t="shared" si="1"/>
        <v>0</v>
      </c>
      <c r="H36" s="83">
        <f t="shared" si="2"/>
        <v>0</v>
      </c>
    </row>
    <row r="37" spans="1:10" ht="19.5" customHeight="1" x14ac:dyDescent="0.2">
      <c r="A37" s="30"/>
      <c r="B37" s="30"/>
      <c r="C37" s="31"/>
      <c r="D37" s="31"/>
      <c r="E37" s="83">
        <f t="shared" si="0"/>
        <v>0</v>
      </c>
      <c r="F37" s="31"/>
      <c r="G37" s="83">
        <f t="shared" si="1"/>
        <v>0</v>
      </c>
      <c r="H37" s="83">
        <f t="shared" si="2"/>
        <v>0</v>
      </c>
    </row>
    <row r="38" spans="1:10" ht="19.5" customHeight="1" x14ac:dyDescent="0.2">
      <c r="A38" s="30"/>
      <c r="B38" s="30"/>
      <c r="C38" s="31"/>
      <c r="D38" s="31"/>
      <c r="E38" s="83">
        <f>B38*D38</f>
        <v>0</v>
      </c>
      <c r="F38" s="31"/>
      <c r="G38" s="83">
        <f>B38*F38</f>
        <v>0</v>
      </c>
      <c r="H38" s="83">
        <f t="shared" si="2"/>
        <v>0</v>
      </c>
    </row>
    <row r="39" spans="1:10" ht="19.5" customHeight="1" x14ac:dyDescent="0.2">
      <c r="A39" s="30"/>
      <c r="B39" s="30"/>
      <c r="C39" s="31"/>
      <c r="D39" s="31"/>
      <c r="E39" s="83">
        <f t="shared" si="0"/>
        <v>0</v>
      </c>
      <c r="F39" s="31"/>
      <c r="G39" s="83">
        <f t="shared" si="1"/>
        <v>0</v>
      </c>
      <c r="H39" s="83">
        <f t="shared" si="2"/>
        <v>0</v>
      </c>
    </row>
    <row r="40" spans="1:10" ht="19.5" customHeight="1" x14ac:dyDescent="0.2">
      <c r="A40" s="30"/>
      <c r="B40" s="30"/>
      <c r="C40" s="31"/>
      <c r="D40" s="31"/>
      <c r="E40" s="83">
        <f t="shared" si="0"/>
        <v>0</v>
      </c>
      <c r="F40" s="31"/>
      <c r="G40" s="83">
        <f t="shared" si="1"/>
        <v>0</v>
      </c>
      <c r="H40" s="83">
        <f t="shared" si="2"/>
        <v>0</v>
      </c>
    </row>
    <row r="41" spans="1:10" ht="19.5" customHeight="1" x14ac:dyDescent="0.2">
      <c r="A41" s="29" t="s">
        <v>42</v>
      </c>
      <c r="B41" s="30"/>
      <c r="C41" s="31"/>
      <c r="D41" s="31"/>
      <c r="E41" s="83">
        <f>SUM(E14:E40)</f>
        <v>0</v>
      </c>
      <c r="F41" s="31"/>
      <c r="G41" s="83">
        <f>SUM(G14:G40)</f>
        <v>0</v>
      </c>
      <c r="H41" s="55"/>
      <c r="I41" s="10"/>
    </row>
    <row r="42" spans="1:10" ht="19.5" customHeight="1" x14ac:dyDescent="0.2">
      <c r="A42" s="29" t="s">
        <v>23</v>
      </c>
      <c r="B42" s="30"/>
      <c r="C42" s="31"/>
      <c r="D42" s="31"/>
      <c r="E42" s="41"/>
      <c r="F42" s="31"/>
      <c r="G42" s="41"/>
      <c r="H42" s="83">
        <f>E41+G41</f>
        <v>0</v>
      </c>
      <c r="J42" s="10"/>
    </row>
    <row r="43" spans="1:10" ht="19.5" customHeight="1" x14ac:dyDescent="0.2">
      <c r="A43" s="29" t="s">
        <v>121</v>
      </c>
      <c r="B43" s="30"/>
      <c r="C43" s="31"/>
      <c r="D43" s="31"/>
      <c r="E43" s="31"/>
      <c r="F43" s="31"/>
      <c r="G43" s="102">
        <f>Summary!G20</f>
        <v>0.05</v>
      </c>
      <c r="H43" s="83">
        <f>SUM(H42*G43)</f>
        <v>0</v>
      </c>
    </row>
    <row r="44" spans="1:10" ht="19.5" customHeight="1" x14ac:dyDescent="0.2">
      <c r="A44" s="29" t="s">
        <v>122</v>
      </c>
      <c r="B44" s="30"/>
      <c r="C44" s="31"/>
      <c r="D44" s="31"/>
      <c r="E44" s="31"/>
      <c r="F44" s="31"/>
      <c r="G44" s="102">
        <f>Summary!G21</f>
        <v>0.11</v>
      </c>
      <c r="H44" s="83">
        <f>SUM(H42+H43)*G44</f>
        <v>0</v>
      </c>
    </row>
    <row r="45" spans="1:10" ht="19.5" customHeight="1" x14ac:dyDescent="0.2">
      <c r="A45" s="29" t="s">
        <v>123</v>
      </c>
      <c r="B45" s="30"/>
      <c r="C45" s="31"/>
      <c r="D45" s="31"/>
      <c r="E45" s="31"/>
      <c r="F45" s="31"/>
      <c r="G45" s="102">
        <f>Summary!G22</f>
        <v>0.06</v>
      </c>
      <c r="H45" s="83">
        <f>SUM(G41*G45)</f>
        <v>0</v>
      </c>
    </row>
    <row r="46" spans="1:10" ht="19.5" customHeight="1" thickBot="1" x14ac:dyDescent="0.25">
      <c r="A46" s="34" t="s">
        <v>21</v>
      </c>
      <c r="B46" s="32"/>
      <c r="C46" s="33"/>
      <c r="D46" s="33"/>
      <c r="E46" s="33"/>
      <c r="F46" s="33"/>
      <c r="G46" s="73"/>
      <c r="H46" s="84">
        <f>SUM(H42:H45)</f>
        <v>0</v>
      </c>
    </row>
    <row r="47" spans="1:10" ht="12.75" customHeight="1" thickTop="1" x14ac:dyDescent="0.2">
      <c r="A47" s="35"/>
      <c r="B47" s="35"/>
      <c r="C47" s="36"/>
      <c r="D47" s="36"/>
      <c r="E47" s="36"/>
      <c r="F47" s="36"/>
      <c r="G47" s="36"/>
      <c r="H47" s="36"/>
      <c r="I47" s="35"/>
    </row>
    <row r="48" spans="1:10"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2">
    <mergeCell ref="A1:C2"/>
    <mergeCell ref="C8:E8"/>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F423-460A-41B7-88B6-4CB76B62BBD5}">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Summary!B56</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FA51-7A9E-4972-84BB-19F0A1E9EAFA}">
  <sheetPr>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Summary!B57</f>
        <v>ELECTRICAL POWER GENERATION</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3C37-9059-4DBE-AA70-EF79578688C7}">
  <sheetPr>
    <tabColor rgb="FFFF0000"/>
    <pageSetUpPr fitToPage="1"/>
  </sheetPr>
  <dimension ref="A1:I213"/>
  <sheetViews>
    <sheetView showGridLines="0" showZeros="0" zoomScaleNormal="100" workbookViewId="0">
      <pane ySplit="12" topLeftCell="A13" activePane="bottomLeft" state="frozen"/>
      <selection activeCell="A13" sqref="A13"/>
      <selection pane="bottomLeft" activeCell="A13" sqref="A13"/>
    </sheetView>
  </sheetViews>
  <sheetFormatPr defaultRowHeight="11.25" x14ac:dyDescent="0.2"/>
  <cols>
    <col min="1" max="1" width="35.7109375" style="6" customWidth="1"/>
    <col min="2" max="2" width="5.7109375" style="6" customWidth="1"/>
    <col min="3" max="3" width="5.7109375" style="10" customWidth="1"/>
    <col min="4" max="8" width="12.7109375" style="10" customWidth="1"/>
    <col min="9" max="16384" width="9.140625" style="6"/>
  </cols>
  <sheetData>
    <row r="1" spans="1:9" ht="9.9499999999999993" customHeight="1" x14ac:dyDescent="0.2">
      <c r="A1" s="105" t="s">
        <v>1</v>
      </c>
      <c r="B1" s="105"/>
      <c r="C1" s="105"/>
      <c r="D1" s="87" t="s">
        <v>0</v>
      </c>
      <c r="E1" s="1"/>
      <c r="F1" s="2"/>
      <c r="G1" s="3"/>
      <c r="H1" s="4"/>
      <c r="I1" s="5"/>
    </row>
    <row r="2" spans="1:9" ht="14.1" customHeight="1" x14ac:dyDescent="0.2">
      <c r="A2" s="105"/>
      <c r="B2" s="105"/>
      <c r="C2" s="105"/>
      <c r="D2" s="88" t="str">
        <f>Summary!D2</f>
        <v>Fill Here</v>
      </c>
      <c r="E2" s="75"/>
      <c r="F2" s="7"/>
      <c r="G2" s="8"/>
      <c r="H2" s="7"/>
      <c r="I2" s="5"/>
    </row>
    <row r="3" spans="1:9" ht="11.25" customHeight="1" x14ac:dyDescent="0.2">
      <c r="A3" s="89" t="s">
        <v>2</v>
      </c>
      <c r="B3" s="90"/>
      <c r="C3" s="91"/>
      <c r="D3" s="92"/>
      <c r="E3" s="93"/>
      <c r="F3" s="12" t="s">
        <v>3</v>
      </c>
      <c r="G3" s="11"/>
      <c r="H3" s="13"/>
      <c r="I3" s="5"/>
    </row>
    <row r="4" spans="1:9" x14ac:dyDescent="0.2">
      <c r="A4" s="94" t="str">
        <f>Summary!A8</f>
        <v>Fill Here</v>
      </c>
      <c r="B4" s="95"/>
      <c r="C4" s="96"/>
      <c r="D4" s="96"/>
      <c r="E4" s="96"/>
      <c r="F4" s="16" t="s">
        <v>4</v>
      </c>
      <c r="G4" s="11"/>
      <c r="H4" s="13"/>
      <c r="I4" s="5"/>
    </row>
    <row r="5" spans="1:9" x14ac:dyDescent="0.2">
      <c r="A5" s="9" t="s">
        <v>5</v>
      </c>
      <c r="D5" s="82"/>
      <c r="E5" s="11"/>
      <c r="F5" s="16" t="s">
        <v>6</v>
      </c>
      <c r="G5" s="37"/>
      <c r="H5" s="38"/>
    </row>
    <row r="6" spans="1:9" x14ac:dyDescent="0.2">
      <c r="A6" s="14" t="s">
        <v>7</v>
      </c>
      <c r="B6" s="15"/>
      <c r="C6" s="8"/>
      <c r="D6" s="8"/>
      <c r="E6" s="8"/>
      <c r="F6" s="16" t="s">
        <v>8</v>
      </c>
      <c r="G6" s="11"/>
      <c r="H6" s="13"/>
    </row>
    <row r="7" spans="1:9" x14ac:dyDescent="0.2">
      <c r="A7" s="89" t="s">
        <v>41</v>
      </c>
      <c r="B7" s="90"/>
      <c r="C7" s="97" t="s">
        <v>9</v>
      </c>
      <c r="D7" s="92"/>
      <c r="E7" s="91"/>
      <c r="F7" s="16" t="s">
        <v>10</v>
      </c>
      <c r="G7" s="11"/>
      <c r="H7" s="13"/>
    </row>
    <row r="8" spans="1:9" x14ac:dyDescent="0.2">
      <c r="A8" s="138" t="str">
        <f>Summary!A4</f>
        <v>Fill Here</v>
      </c>
      <c r="B8" s="139"/>
      <c r="C8" s="132" t="str">
        <f>Summary!D9</f>
        <v>Fill Here</v>
      </c>
      <c r="D8" s="133"/>
      <c r="E8" s="134"/>
      <c r="F8" s="16"/>
      <c r="G8" s="11"/>
      <c r="H8" s="13"/>
    </row>
    <row r="9" spans="1:9" x14ac:dyDescent="0.2">
      <c r="A9" s="9" t="s">
        <v>11</v>
      </c>
      <c r="B9" s="9" t="s">
        <v>12</v>
      </c>
      <c r="C9" s="11"/>
      <c r="D9" s="11"/>
      <c r="E9" s="4"/>
      <c r="F9" s="17" t="s">
        <v>13</v>
      </c>
      <c r="G9" s="4"/>
      <c r="H9" s="4"/>
    </row>
    <row r="10" spans="1:9" x14ac:dyDescent="0.2">
      <c r="A10" s="14"/>
      <c r="B10" s="14"/>
      <c r="C10" s="8"/>
      <c r="D10" s="8"/>
      <c r="E10" s="7"/>
      <c r="F10" s="8"/>
      <c r="G10" s="7"/>
      <c r="H10" s="7"/>
    </row>
    <row r="11" spans="1:9" x14ac:dyDescent="0.2">
      <c r="A11" s="18"/>
      <c r="B11" s="19" t="s">
        <v>14</v>
      </c>
      <c r="C11" s="20"/>
      <c r="D11" s="21" t="s">
        <v>15</v>
      </c>
      <c r="E11" s="20"/>
      <c r="F11" s="21" t="s">
        <v>16</v>
      </c>
      <c r="G11" s="20"/>
      <c r="H11" s="22"/>
    </row>
    <row r="12" spans="1:9" ht="22.5" customHeight="1" x14ac:dyDescent="0.2">
      <c r="A12" s="23" t="s">
        <v>17</v>
      </c>
      <c r="B12" s="24" t="s">
        <v>18</v>
      </c>
      <c r="C12" s="25" t="s">
        <v>19</v>
      </c>
      <c r="D12" s="26" t="s">
        <v>20</v>
      </c>
      <c r="E12" s="26" t="s">
        <v>21</v>
      </c>
      <c r="F12" s="27" t="s">
        <v>20</v>
      </c>
      <c r="G12" s="27" t="s">
        <v>21</v>
      </c>
      <c r="H12" s="28" t="s">
        <v>22</v>
      </c>
    </row>
    <row r="13" spans="1:9" ht="20.100000000000001" customHeight="1" x14ac:dyDescent="0.2">
      <c r="A13" s="98" t="str">
        <f>Summary!B58</f>
        <v>RESERVED</v>
      </c>
      <c r="B13" s="30"/>
      <c r="C13" s="31"/>
      <c r="D13" s="31"/>
      <c r="E13" s="31"/>
      <c r="F13" s="31"/>
      <c r="G13" s="31"/>
      <c r="H13" s="31"/>
    </row>
    <row r="14" spans="1:9" ht="19.5" customHeight="1" x14ac:dyDescent="0.2">
      <c r="A14" s="30"/>
      <c r="B14" s="46"/>
      <c r="C14" s="47"/>
      <c r="D14" s="31"/>
      <c r="E14" s="83">
        <f t="shared" ref="E14:E28" si="0">B14*D14</f>
        <v>0</v>
      </c>
      <c r="F14" s="31"/>
      <c r="G14" s="83">
        <f t="shared" ref="G14:G28" si="1">B14*F14</f>
        <v>0</v>
      </c>
      <c r="H14" s="83">
        <f t="shared" ref="H14:H28" si="2">E14+G14</f>
        <v>0</v>
      </c>
    </row>
    <row r="15" spans="1:9" ht="19.5" customHeight="1" x14ac:dyDescent="0.2">
      <c r="A15" s="30"/>
      <c r="B15" s="46"/>
      <c r="C15" s="47"/>
      <c r="D15" s="31"/>
      <c r="E15" s="83">
        <f t="shared" si="0"/>
        <v>0</v>
      </c>
      <c r="F15" s="31"/>
      <c r="G15" s="83">
        <f t="shared" si="1"/>
        <v>0</v>
      </c>
      <c r="H15" s="83">
        <f t="shared" si="2"/>
        <v>0</v>
      </c>
    </row>
    <row r="16" spans="1:9" ht="19.5" customHeight="1" x14ac:dyDescent="0.2">
      <c r="A16" s="30"/>
      <c r="B16" s="30"/>
      <c r="C16" s="31"/>
      <c r="D16" s="31"/>
      <c r="E16" s="83">
        <f t="shared" si="0"/>
        <v>0</v>
      </c>
      <c r="F16" s="31"/>
      <c r="G16" s="83">
        <f t="shared" si="1"/>
        <v>0</v>
      </c>
      <c r="H16" s="83">
        <f t="shared" si="2"/>
        <v>0</v>
      </c>
    </row>
    <row r="17" spans="1:8" ht="19.5" customHeight="1" x14ac:dyDescent="0.2">
      <c r="A17" s="30"/>
      <c r="B17" s="30"/>
      <c r="C17" s="31"/>
      <c r="D17" s="31"/>
      <c r="E17" s="83">
        <f t="shared" si="0"/>
        <v>0</v>
      </c>
      <c r="F17" s="31"/>
      <c r="G17" s="83">
        <f t="shared" si="1"/>
        <v>0</v>
      </c>
      <c r="H17" s="83">
        <f t="shared" si="2"/>
        <v>0</v>
      </c>
    </row>
    <row r="18" spans="1:8" ht="19.5" customHeight="1" x14ac:dyDescent="0.2">
      <c r="A18" s="30"/>
      <c r="B18" s="30"/>
      <c r="C18" s="31"/>
      <c r="D18" s="31"/>
      <c r="E18" s="83">
        <f t="shared" si="0"/>
        <v>0</v>
      </c>
      <c r="F18" s="31"/>
      <c r="G18" s="83">
        <f t="shared" si="1"/>
        <v>0</v>
      </c>
      <c r="H18" s="83">
        <f t="shared" si="2"/>
        <v>0</v>
      </c>
    </row>
    <row r="19" spans="1:8" ht="19.5" customHeight="1" x14ac:dyDescent="0.2">
      <c r="A19" s="30"/>
      <c r="B19" s="30"/>
      <c r="C19" s="31"/>
      <c r="D19" s="31"/>
      <c r="E19" s="83">
        <f t="shared" si="0"/>
        <v>0</v>
      </c>
      <c r="F19" s="31"/>
      <c r="G19" s="83">
        <f t="shared" si="1"/>
        <v>0</v>
      </c>
      <c r="H19" s="83">
        <f t="shared" si="2"/>
        <v>0</v>
      </c>
    </row>
    <row r="20" spans="1:8" ht="19.5" customHeight="1" x14ac:dyDescent="0.2">
      <c r="A20" s="30"/>
      <c r="B20" s="30"/>
      <c r="C20" s="31"/>
      <c r="D20" s="31"/>
      <c r="E20" s="83">
        <f t="shared" si="0"/>
        <v>0</v>
      </c>
      <c r="F20" s="31"/>
      <c r="G20" s="83">
        <f t="shared" si="1"/>
        <v>0</v>
      </c>
      <c r="H20" s="83">
        <f t="shared" si="2"/>
        <v>0</v>
      </c>
    </row>
    <row r="21" spans="1:8" ht="19.5" customHeight="1" x14ac:dyDescent="0.2">
      <c r="A21" s="30"/>
      <c r="B21" s="30"/>
      <c r="C21" s="31"/>
      <c r="D21" s="31"/>
      <c r="E21" s="83">
        <f t="shared" si="0"/>
        <v>0</v>
      </c>
      <c r="F21" s="31"/>
      <c r="G21" s="83">
        <f t="shared" si="1"/>
        <v>0</v>
      </c>
      <c r="H21" s="83">
        <f t="shared" si="2"/>
        <v>0</v>
      </c>
    </row>
    <row r="22" spans="1:8" ht="19.5" customHeight="1" x14ac:dyDescent="0.2">
      <c r="A22" s="30"/>
      <c r="B22" s="30"/>
      <c r="C22" s="31"/>
      <c r="D22" s="31"/>
      <c r="E22" s="83">
        <f t="shared" si="0"/>
        <v>0</v>
      </c>
      <c r="F22" s="31"/>
      <c r="G22" s="83">
        <f t="shared" si="1"/>
        <v>0</v>
      </c>
      <c r="H22" s="83">
        <f t="shared" si="2"/>
        <v>0</v>
      </c>
    </row>
    <row r="23" spans="1:8" ht="19.5" customHeight="1" x14ac:dyDescent="0.2">
      <c r="A23" s="30"/>
      <c r="B23" s="30"/>
      <c r="C23" s="31"/>
      <c r="D23" s="31"/>
      <c r="E23" s="83">
        <f t="shared" si="0"/>
        <v>0</v>
      </c>
      <c r="F23" s="31"/>
      <c r="G23" s="83">
        <f t="shared" si="1"/>
        <v>0</v>
      </c>
      <c r="H23" s="83">
        <f t="shared" si="2"/>
        <v>0</v>
      </c>
    </row>
    <row r="24" spans="1:8" ht="19.5" customHeight="1" x14ac:dyDescent="0.2">
      <c r="A24" s="30"/>
      <c r="B24" s="30"/>
      <c r="C24" s="31"/>
      <c r="D24" s="31"/>
      <c r="E24" s="83">
        <f t="shared" si="0"/>
        <v>0</v>
      </c>
      <c r="F24" s="31"/>
      <c r="G24" s="83">
        <f t="shared" si="1"/>
        <v>0</v>
      </c>
      <c r="H24" s="83">
        <f t="shared" si="2"/>
        <v>0</v>
      </c>
    </row>
    <row r="25" spans="1:8" ht="19.5" customHeight="1" x14ac:dyDescent="0.2">
      <c r="A25" s="30"/>
      <c r="B25" s="30"/>
      <c r="C25" s="31"/>
      <c r="D25" s="31"/>
      <c r="E25" s="83">
        <f t="shared" si="0"/>
        <v>0</v>
      </c>
      <c r="F25" s="31"/>
      <c r="G25" s="83">
        <f t="shared" si="1"/>
        <v>0</v>
      </c>
      <c r="H25" s="83">
        <f t="shared" si="2"/>
        <v>0</v>
      </c>
    </row>
    <row r="26" spans="1:8" ht="19.5" customHeight="1" x14ac:dyDescent="0.2">
      <c r="A26" s="30"/>
      <c r="B26" s="30"/>
      <c r="C26" s="31"/>
      <c r="D26" s="31"/>
      <c r="E26" s="83">
        <f t="shared" si="0"/>
        <v>0</v>
      </c>
      <c r="F26" s="31"/>
      <c r="G26" s="83">
        <f t="shared" si="1"/>
        <v>0</v>
      </c>
      <c r="H26" s="83">
        <f t="shared" si="2"/>
        <v>0</v>
      </c>
    </row>
    <row r="27" spans="1:8" ht="19.5" customHeight="1" x14ac:dyDescent="0.2">
      <c r="A27" s="30"/>
      <c r="B27" s="30"/>
      <c r="C27" s="31"/>
      <c r="D27" s="31"/>
      <c r="E27" s="83">
        <f t="shared" si="0"/>
        <v>0</v>
      </c>
      <c r="F27" s="31"/>
      <c r="G27" s="83">
        <f t="shared" si="1"/>
        <v>0</v>
      </c>
      <c r="H27" s="83">
        <f t="shared" si="2"/>
        <v>0</v>
      </c>
    </row>
    <row r="28" spans="1:8" ht="19.5" customHeight="1" x14ac:dyDescent="0.2">
      <c r="A28" s="30"/>
      <c r="B28" s="30"/>
      <c r="C28" s="31"/>
      <c r="D28" s="31"/>
      <c r="E28" s="83">
        <f t="shared" si="0"/>
        <v>0</v>
      </c>
      <c r="F28" s="31"/>
      <c r="G28" s="83">
        <f t="shared" si="1"/>
        <v>0</v>
      </c>
      <c r="H28" s="83">
        <f t="shared" si="2"/>
        <v>0</v>
      </c>
    </row>
    <row r="29" spans="1:8" ht="19.5" customHeight="1" x14ac:dyDescent="0.2">
      <c r="A29" s="30"/>
      <c r="B29" s="30"/>
      <c r="C29" s="31"/>
      <c r="D29" s="31"/>
      <c r="E29" s="83">
        <f>B29*D29</f>
        <v>0</v>
      </c>
      <c r="F29" s="31"/>
      <c r="G29" s="83">
        <f>B29*F29</f>
        <v>0</v>
      </c>
      <c r="H29" s="83">
        <f>E29+G29</f>
        <v>0</v>
      </c>
    </row>
    <row r="30" spans="1:8" ht="19.5" customHeight="1" x14ac:dyDescent="0.2">
      <c r="A30" s="30"/>
      <c r="B30" s="30"/>
      <c r="C30" s="31"/>
      <c r="D30" s="31"/>
      <c r="E30" s="83">
        <f t="shared" ref="E30:E40" si="3">B30*D30</f>
        <v>0</v>
      </c>
      <c r="F30" s="31"/>
      <c r="G30" s="83">
        <f t="shared" ref="G30:G40" si="4">B30*F30</f>
        <v>0</v>
      </c>
      <c r="H30" s="83">
        <f t="shared" ref="H30:H40" si="5">E30+G30</f>
        <v>0</v>
      </c>
    </row>
    <row r="31" spans="1:8" ht="19.5" customHeight="1" x14ac:dyDescent="0.2">
      <c r="A31" s="30"/>
      <c r="B31" s="30"/>
      <c r="C31" s="31"/>
      <c r="D31" s="31"/>
      <c r="E31" s="83">
        <f t="shared" si="3"/>
        <v>0</v>
      </c>
      <c r="F31" s="31"/>
      <c r="G31" s="83">
        <f t="shared" si="4"/>
        <v>0</v>
      </c>
      <c r="H31" s="83">
        <f t="shared" si="5"/>
        <v>0</v>
      </c>
    </row>
    <row r="32" spans="1:8" ht="19.5" customHeight="1" x14ac:dyDescent="0.2">
      <c r="A32" s="30"/>
      <c r="B32" s="30"/>
      <c r="C32" s="31"/>
      <c r="D32" s="31"/>
      <c r="E32" s="83">
        <f t="shared" si="3"/>
        <v>0</v>
      </c>
      <c r="F32" s="31"/>
      <c r="G32" s="83">
        <f t="shared" si="4"/>
        <v>0</v>
      </c>
      <c r="H32" s="83">
        <f t="shared" si="5"/>
        <v>0</v>
      </c>
    </row>
    <row r="33" spans="1:9" ht="19.5" customHeight="1" x14ac:dyDescent="0.2">
      <c r="A33" s="30"/>
      <c r="B33" s="30"/>
      <c r="C33" s="31"/>
      <c r="D33" s="31"/>
      <c r="E33" s="83">
        <f t="shared" si="3"/>
        <v>0</v>
      </c>
      <c r="F33" s="31"/>
      <c r="G33" s="83">
        <f t="shared" si="4"/>
        <v>0</v>
      </c>
      <c r="H33" s="83">
        <f t="shared" si="5"/>
        <v>0</v>
      </c>
    </row>
    <row r="34" spans="1:9" ht="19.5" customHeight="1" x14ac:dyDescent="0.2">
      <c r="A34" s="30"/>
      <c r="B34" s="30"/>
      <c r="C34" s="31"/>
      <c r="D34" s="31"/>
      <c r="E34" s="83">
        <f t="shared" si="3"/>
        <v>0</v>
      </c>
      <c r="F34" s="31"/>
      <c r="G34" s="83">
        <f t="shared" si="4"/>
        <v>0</v>
      </c>
      <c r="H34" s="83">
        <f t="shared" si="5"/>
        <v>0</v>
      </c>
    </row>
    <row r="35" spans="1:9" ht="19.5" customHeight="1" x14ac:dyDescent="0.2">
      <c r="A35" s="30"/>
      <c r="B35" s="30"/>
      <c r="C35" s="31"/>
      <c r="D35" s="31"/>
      <c r="E35" s="83">
        <f t="shared" si="3"/>
        <v>0</v>
      </c>
      <c r="F35" s="31"/>
      <c r="G35" s="83">
        <f t="shared" si="4"/>
        <v>0</v>
      </c>
      <c r="H35" s="83">
        <f t="shared" si="5"/>
        <v>0</v>
      </c>
    </row>
    <row r="36" spans="1:9" ht="19.5" customHeight="1" x14ac:dyDescent="0.2">
      <c r="A36" s="30"/>
      <c r="B36" s="30"/>
      <c r="C36" s="31"/>
      <c r="D36" s="31"/>
      <c r="E36" s="83">
        <f t="shared" si="3"/>
        <v>0</v>
      </c>
      <c r="F36" s="31"/>
      <c r="G36" s="83">
        <f t="shared" si="4"/>
        <v>0</v>
      </c>
      <c r="H36" s="83">
        <f t="shared" si="5"/>
        <v>0</v>
      </c>
    </row>
    <row r="37" spans="1:9" ht="19.5" customHeight="1" x14ac:dyDescent="0.2">
      <c r="A37" s="30"/>
      <c r="B37" s="30"/>
      <c r="C37" s="31"/>
      <c r="D37" s="31"/>
      <c r="E37" s="83">
        <f t="shared" si="3"/>
        <v>0</v>
      </c>
      <c r="F37" s="31"/>
      <c r="G37" s="83">
        <f t="shared" si="4"/>
        <v>0</v>
      </c>
      <c r="H37" s="83">
        <f t="shared" si="5"/>
        <v>0</v>
      </c>
    </row>
    <row r="38" spans="1:9" ht="19.5" customHeight="1" x14ac:dyDescent="0.2">
      <c r="A38" s="30"/>
      <c r="B38" s="30"/>
      <c r="C38" s="31"/>
      <c r="D38" s="31"/>
      <c r="E38" s="83">
        <f t="shared" si="3"/>
        <v>0</v>
      </c>
      <c r="F38" s="31"/>
      <c r="G38" s="83">
        <f t="shared" si="4"/>
        <v>0</v>
      </c>
      <c r="H38" s="83">
        <f t="shared" si="5"/>
        <v>0</v>
      </c>
    </row>
    <row r="39" spans="1:9" ht="19.5" customHeight="1" x14ac:dyDescent="0.2">
      <c r="A39" s="30"/>
      <c r="B39" s="30"/>
      <c r="C39" s="31"/>
      <c r="D39" s="31"/>
      <c r="E39" s="83">
        <f t="shared" si="3"/>
        <v>0</v>
      </c>
      <c r="F39" s="31"/>
      <c r="G39" s="83">
        <f t="shared" si="4"/>
        <v>0</v>
      </c>
      <c r="H39" s="83">
        <f t="shared" si="5"/>
        <v>0</v>
      </c>
    </row>
    <row r="40" spans="1:9" ht="19.5" customHeight="1" x14ac:dyDescent="0.2">
      <c r="A40" s="30"/>
      <c r="B40" s="30"/>
      <c r="C40" s="31"/>
      <c r="D40" s="31"/>
      <c r="E40" s="83">
        <f t="shared" si="3"/>
        <v>0</v>
      </c>
      <c r="F40" s="31"/>
      <c r="G40" s="83">
        <f t="shared" si="4"/>
        <v>0</v>
      </c>
      <c r="H40" s="83">
        <f t="shared" si="5"/>
        <v>0</v>
      </c>
    </row>
    <row r="41" spans="1:9" ht="19.5" customHeight="1" x14ac:dyDescent="0.2">
      <c r="A41" s="29" t="s">
        <v>42</v>
      </c>
      <c r="B41" s="30"/>
      <c r="C41" s="31"/>
      <c r="D41" s="31"/>
      <c r="E41" s="83">
        <f>SUM(E14:E40)</f>
        <v>0</v>
      </c>
      <c r="F41" s="31"/>
      <c r="G41" s="83">
        <f>SUM(G14:G40)</f>
        <v>0</v>
      </c>
      <c r="H41" s="31"/>
      <c r="I41" s="10"/>
    </row>
    <row r="42" spans="1:9" ht="19.5" customHeight="1" x14ac:dyDescent="0.2">
      <c r="A42" s="29" t="s">
        <v>23</v>
      </c>
      <c r="B42" s="30"/>
      <c r="C42" s="31"/>
      <c r="D42" s="31"/>
      <c r="E42" s="41"/>
      <c r="F42" s="31"/>
      <c r="G42" s="41"/>
      <c r="H42" s="101">
        <f>SUM(H14:H40)</f>
        <v>0</v>
      </c>
    </row>
    <row r="43" spans="1:9" ht="19.5" customHeight="1" x14ac:dyDescent="0.2">
      <c r="A43" s="29" t="s">
        <v>121</v>
      </c>
      <c r="B43" s="30"/>
      <c r="C43" s="31"/>
      <c r="D43" s="31"/>
      <c r="E43" s="31"/>
      <c r="F43" s="31"/>
      <c r="G43" s="102">
        <f>Summary!G20</f>
        <v>0.05</v>
      </c>
      <c r="H43" s="83">
        <f>SUM(H42*G43)</f>
        <v>0</v>
      </c>
    </row>
    <row r="44" spans="1:9" ht="19.5" customHeight="1" x14ac:dyDescent="0.2">
      <c r="A44" s="29" t="s">
        <v>122</v>
      </c>
      <c r="B44" s="30"/>
      <c r="C44" s="31"/>
      <c r="D44" s="31"/>
      <c r="E44" s="31"/>
      <c r="F44" s="31"/>
      <c r="G44" s="102">
        <f>Summary!G21</f>
        <v>0.11</v>
      </c>
      <c r="H44" s="83">
        <f>SUM(H42+H43)*G44</f>
        <v>0</v>
      </c>
    </row>
    <row r="45" spans="1:9" ht="19.5" customHeight="1" x14ac:dyDescent="0.2">
      <c r="A45" s="29" t="s">
        <v>123</v>
      </c>
      <c r="B45" s="30"/>
      <c r="C45" s="31"/>
      <c r="D45" s="31"/>
      <c r="E45" s="31"/>
      <c r="F45" s="31"/>
      <c r="G45" s="102">
        <f>Summary!G22</f>
        <v>0.06</v>
      </c>
      <c r="H45" s="83">
        <f>SUM(G41*G45)</f>
        <v>0</v>
      </c>
    </row>
    <row r="46" spans="1:9" ht="19.5" customHeight="1" thickBot="1" x14ac:dyDescent="0.25">
      <c r="A46" s="34" t="s">
        <v>21</v>
      </c>
      <c r="B46" s="32"/>
      <c r="C46" s="33"/>
      <c r="D46" s="33"/>
      <c r="E46" s="33"/>
      <c r="F46" s="33"/>
      <c r="G46" s="33"/>
      <c r="H46" s="84">
        <f>SUM(H42:H45)</f>
        <v>0</v>
      </c>
    </row>
    <row r="47" spans="1:9" ht="12.75" customHeight="1" thickTop="1" x14ac:dyDescent="0.2">
      <c r="A47" s="35"/>
      <c r="B47" s="35"/>
      <c r="C47" s="36"/>
      <c r="D47" s="36"/>
      <c r="E47" s="36"/>
      <c r="F47" s="36"/>
      <c r="G47" s="36"/>
      <c r="H47" s="36"/>
      <c r="I47" s="35"/>
    </row>
    <row r="48" spans="1:9" ht="12.75" customHeight="1" x14ac:dyDescent="0.2">
      <c r="A48" s="35"/>
      <c r="B48" s="35"/>
      <c r="C48" s="36"/>
      <c r="D48" s="36"/>
      <c r="E48" s="36"/>
      <c r="F48" s="36"/>
      <c r="G48" s="36"/>
      <c r="H48" s="36"/>
      <c r="I48" s="35"/>
    </row>
    <row r="49" spans="1:9" ht="12.75" customHeight="1" x14ac:dyDescent="0.2">
      <c r="A49" s="35"/>
      <c r="B49" s="35"/>
      <c r="C49" s="36"/>
      <c r="D49" s="36"/>
      <c r="E49" s="36"/>
      <c r="F49" s="36"/>
      <c r="G49" s="36"/>
      <c r="H49" s="36"/>
      <c r="I49" s="35"/>
    </row>
    <row r="50" spans="1:9" ht="12.75" customHeight="1" x14ac:dyDescent="0.2">
      <c r="A50" s="35"/>
      <c r="B50" s="35"/>
      <c r="C50" s="36"/>
      <c r="D50" s="36"/>
      <c r="E50" s="36"/>
      <c r="F50" s="36"/>
      <c r="G50" s="36"/>
      <c r="H50" s="36"/>
      <c r="I50" s="35"/>
    </row>
    <row r="51" spans="1:9" ht="12.75" customHeight="1" x14ac:dyDescent="0.2">
      <c r="A51" s="35"/>
      <c r="B51" s="35"/>
      <c r="C51" s="36"/>
      <c r="D51" s="36"/>
      <c r="E51" s="36"/>
      <c r="F51" s="36"/>
      <c r="G51" s="36"/>
      <c r="H51" s="36"/>
      <c r="I51" s="35"/>
    </row>
    <row r="52" spans="1:9" ht="12.75" customHeight="1" x14ac:dyDescent="0.2">
      <c r="A52" s="35"/>
      <c r="B52" s="35"/>
      <c r="C52" s="36"/>
      <c r="D52" s="36"/>
      <c r="E52" s="36"/>
      <c r="F52" s="36"/>
      <c r="G52" s="36"/>
      <c r="H52" s="36"/>
      <c r="I52" s="35"/>
    </row>
    <row r="53" spans="1:9" ht="12.75" customHeight="1" x14ac:dyDescent="0.2">
      <c r="A53" s="35"/>
      <c r="B53" s="35"/>
      <c r="C53" s="36"/>
      <c r="D53" s="36"/>
      <c r="E53" s="36"/>
      <c r="F53" s="36"/>
      <c r="G53" s="36"/>
      <c r="H53" s="36"/>
      <c r="I53" s="35"/>
    </row>
    <row r="54" spans="1:9" ht="12.75" customHeight="1" x14ac:dyDescent="0.2">
      <c r="A54" s="35"/>
      <c r="B54" s="35"/>
      <c r="C54" s="36"/>
      <c r="D54" s="36"/>
      <c r="E54" s="36"/>
      <c r="F54" s="36"/>
      <c r="G54" s="36"/>
      <c r="H54" s="36"/>
      <c r="I54" s="35"/>
    </row>
    <row r="55" spans="1:9" ht="12.75" customHeight="1" x14ac:dyDescent="0.2">
      <c r="A55" s="35"/>
      <c r="B55" s="35"/>
      <c r="C55" s="36"/>
      <c r="D55" s="36"/>
      <c r="E55" s="36"/>
      <c r="F55" s="36"/>
      <c r="G55" s="36"/>
      <c r="H55" s="36"/>
      <c r="I55" s="35"/>
    </row>
    <row r="56" spans="1:9" ht="12.75" customHeight="1" x14ac:dyDescent="0.2">
      <c r="A56" s="35"/>
      <c r="B56" s="35"/>
      <c r="C56" s="36"/>
      <c r="D56" s="36"/>
      <c r="E56" s="36"/>
      <c r="F56" s="36"/>
      <c r="G56" s="36"/>
      <c r="H56" s="36"/>
      <c r="I56" s="35"/>
    </row>
    <row r="57" spans="1:9" ht="12.75" customHeight="1" x14ac:dyDescent="0.2">
      <c r="A57" s="35"/>
      <c r="B57" s="35"/>
      <c r="C57" s="36"/>
      <c r="D57" s="36"/>
      <c r="E57" s="36"/>
      <c r="F57" s="36"/>
      <c r="G57" s="36"/>
      <c r="H57" s="36"/>
      <c r="I57" s="35"/>
    </row>
    <row r="58" spans="1:9" ht="12.75" customHeight="1" x14ac:dyDescent="0.2">
      <c r="A58" s="35"/>
      <c r="B58" s="35"/>
      <c r="C58" s="36"/>
      <c r="D58" s="36"/>
      <c r="E58" s="36"/>
      <c r="F58" s="36"/>
      <c r="G58" s="36"/>
      <c r="H58" s="36"/>
      <c r="I58" s="35"/>
    </row>
    <row r="59" spans="1:9" ht="12.75" customHeight="1" x14ac:dyDescent="0.2">
      <c r="A59" s="35"/>
      <c r="B59" s="35"/>
      <c r="C59" s="36"/>
      <c r="D59" s="36"/>
      <c r="E59" s="36"/>
      <c r="F59" s="36"/>
      <c r="G59" s="36"/>
      <c r="H59" s="36"/>
      <c r="I59" s="35"/>
    </row>
    <row r="60" spans="1:9" ht="12.75" customHeight="1" x14ac:dyDescent="0.2">
      <c r="A60" s="35"/>
      <c r="B60" s="35"/>
      <c r="C60" s="36"/>
      <c r="D60" s="36"/>
      <c r="E60" s="36"/>
      <c r="F60" s="36"/>
      <c r="G60" s="36"/>
      <c r="H60" s="36"/>
      <c r="I60" s="35"/>
    </row>
    <row r="61" spans="1:9" ht="12.75" customHeight="1" x14ac:dyDescent="0.2">
      <c r="A61" s="35"/>
      <c r="B61" s="35"/>
      <c r="C61" s="36"/>
      <c r="D61" s="36"/>
      <c r="E61" s="36"/>
      <c r="F61" s="36"/>
      <c r="G61" s="36"/>
      <c r="H61" s="36"/>
      <c r="I61" s="35"/>
    </row>
    <row r="62" spans="1:9" ht="12.75" customHeight="1" x14ac:dyDescent="0.2">
      <c r="A62" s="35"/>
      <c r="B62" s="35"/>
      <c r="C62" s="36"/>
      <c r="D62" s="36"/>
      <c r="E62" s="36"/>
      <c r="F62" s="36"/>
      <c r="G62" s="36"/>
      <c r="H62" s="36"/>
      <c r="I62" s="35"/>
    </row>
    <row r="63" spans="1:9" ht="12.75" customHeight="1" x14ac:dyDescent="0.2">
      <c r="A63" s="35"/>
      <c r="B63" s="35"/>
      <c r="C63" s="36"/>
      <c r="D63" s="36"/>
      <c r="E63" s="36"/>
      <c r="F63" s="36"/>
      <c r="G63" s="36"/>
      <c r="H63" s="36"/>
      <c r="I63" s="35"/>
    </row>
    <row r="64" spans="1:9" ht="12.75" customHeight="1" x14ac:dyDescent="0.2">
      <c r="A64" s="35"/>
      <c r="B64" s="35"/>
      <c r="C64" s="36"/>
      <c r="D64" s="36"/>
      <c r="E64" s="36"/>
      <c r="F64" s="36"/>
      <c r="G64" s="36"/>
      <c r="H64" s="36"/>
      <c r="I64" s="35"/>
    </row>
    <row r="65" spans="1:9" ht="12.75" customHeight="1" x14ac:dyDescent="0.2">
      <c r="A65" s="35"/>
      <c r="B65" s="35"/>
      <c r="C65" s="36"/>
      <c r="D65" s="36"/>
      <c r="E65" s="36"/>
      <c r="F65" s="36"/>
      <c r="G65" s="36"/>
      <c r="H65" s="36"/>
      <c r="I65" s="35"/>
    </row>
    <row r="66" spans="1:9" ht="12.75" customHeight="1" x14ac:dyDescent="0.2">
      <c r="A66" s="35"/>
      <c r="B66" s="35"/>
      <c r="C66" s="36"/>
      <c r="D66" s="36"/>
      <c r="E66" s="36"/>
      <c r="F66" s="36"/>
      <c r="G66" s="36"/>
      <c r="H66" s="36"/>
      <c r="I66" s="35"/>
    </row>
    <row r="67" spans="1:9" ht="12.75" customHeight="1" x14ac:dyDescent="0.2">
      <c r="A67" s="35"/>
      <c r="B67" s="35"/>
      <c r="C67" s="36"/>
      <c r="D67" s="36"/>
      <c r="E67" s="36"/>
      <c r="F67" s="36"/>
      <c r="G67" s="36"/>
      <c r="H67" s="36"/>
      <c r="I67" s="35"/>
    </row>
    <row r="68" spans="1:9" ht="12.75" customHeight="1" x14ac:dyDescent="0.2">
      <c r="A68" s="35"/>
      <c r="B68" s="35"/>
      <c r="C68" s="36"/>
      <c r="D68" s="36"/>
      <c r="E68" s="36"/>
      <c r="F68" s="36"/>
      <c r="G68" s="36"/>
      <c r="H68" s="36"/>
      <c r="I68" s="35"/>
    </row>
    <row r="69" spans="1:9" ht="12.75" customHeight="1" x14ac:dyDescent="0.2">
      <c r="A69" s="35"/>
      <c r="B69" s="35"/>
      <c r="C69" s="36"/>
      <c r="D69" s="36"/>
      <c r="E69" s="36"/>
      <c r="F69" s="36"/>
      <c r="G69" s="36"/>
      <c r="H69" s="36"/>
      <c r="I69" s="35"/>
    </row>
    <row r="70" spans="1:9" ht="12.75" customHeight="1" x14ac:dyDescent="0.2">
      <c r="A70" s="35"/>
      <c r="B70" s="35"/>
      <c r="C70" s="36"/>
      <c r="D70" s="36"/>
      <c r="E70" s="36"/>
      <c r="F70" s="36"/>
      <c r="G70" s="36"/>
      <c r="H70" s="36"/>
      <c r="I70" s="35"/>
    </row>
    <row r="71" spans="1:9" ht="12.75" customHeight="1" x14ac:dyDescent="0.2">
      <c r="A71" s="35"/>
      <c r="B71" s="35"/>
      <c r="C71" s="36"/>
      <c r="D71" s="36"/>
      <c r="E71" s="36"/>
      <c r="F71" s="36"/>
      <c r="G71" s="36"/>
      <c r="H71" s="36"/>
      <c r="I71" s="35"/>
    </row>
    <row r="72" spans="1:9" ht="12.75" customHeight="1" x14ac:dyDescent="0.2">
      <c r="A72" s="35"/>
      <c r="B72" s="35"/>
      <c r="C72" s="36"/>
      <c r="D72" s="36"/>
      <c r="E72" s="36"/>
      <c r="F72" s="36"/>
      <c r="G72" s="36"/>
      <c r="H72" s="36"/>
      <c r="I72" s="35"/>
    </row>
    <row r="73" spans="1:9" ht="12.75" customHeight="1" x14ac:dyDescent="0.2">
      <c r="A73" s="35"/>
      <c r="B73" s="35"/>
      <c r="C73" s="36"/>
      <c r="D73" s="36"/>
      <c r="E73" s="36"/>
      <c r="F73" s="36"/>
      <c r="G73" s="36"/>
      <c r="H73" s="36"/>
      <c r="I73" s="35"/>
    </row>
    <row r="74" spans="1:9" ht="12.75" customHeight="1" x14ac:dyDescent="0.2">
      <c r="A74" s="35"/>
      <c r="B74" s="35"/>
      <c r="C74" s="36"/>
      <c r="D74" s="36"/>
      <c r="E74" s="36"/>
      <c r="F74" s="36"/>
      <c r="G74" s="36"/>
      <c r="H74" s="36"/>
      <c r="I74" s="35"/>
    </row>
    <row r="75" spans="1:9" ht="12.75" customHeight="1" x14ac:dyDescent="0.2">
      <c r="A75" s="35"/>
      <c r="B75" s="35"/>
      <c r="C75" s="36"/>
      <c r="D75" s="36"/>
      <c r="E75" s="36"/>
      <c r="F75" s="36"/>
      <c r="G75" s="36"/>
      <c r="H75" s="36"/>
      <c r="I75" s="35"/>
    </row>
    <row r="76" spans="1:9" ht="20.100000000000001" customHeight="1" x14ac:dyDescent="0.2">
      <c r="A76" s="35"/>
      <c r="B76" s="35"/>
      <c r="C76" s="36"/>
      <c r="D76" s="36"/>
      <c r="E76" s="36"/>
      <c r="F76" s="36"/>
      <c r="G76" s="36"/>
      <c r="H76" s="36"/>
      <c r="I76" s="35"/>
    </row>
    <row r="77" spans="1:9" ht="20.100000000000001" customHeight="1" x14ac:dyDescent="0.2">
      <c r="A77" s="35"/>
      <c r="B77" s="35"/>
      <c r="C77" s="36"/>
      <c r="D77" s="36"/>
      <c r="E77" s="36"/>
      <c r="F77" s="36"/>
      <c r="G77" s="36"/>
      <c r="H77" s="36"/>
      <c r="I77" s="35"/>
    </row>
    <row r="78" spans="1:9" ht="20.100000000000001" customHeight="1" x14ac:dyDescent="0.2">
      <c r="A78" s="35"/>
      <c r="B78" s="35"/>
      <c r="C78" s="36"/>
      <c r="D78" s="36"/>
      <c r="E78" s="36"/>
      <c r="F78" s="36"/>
      <c r="G78" s="36"/>
      <c r="H78" s="36"/>
      <c r="I78" s="35"/>
    </row>
    <row r="79" spans="1:9" ht="20.100000000000001" customHeight="1" x14ac:dyDescent="0.2">
      <c r="A79" s="35"/>
      <c r="B79" s="35"/>
      <c r="C79" s="36"/>
      <c r="D79" s="36"/>
      <c r="E79" s="36"/>
      <c r="F79" s="36"/>
      <c r="G79" s="36"/>
      <c r="H79" s="36"/>
      <c r="I79" s="35"/>
    </row>
    <row r="80" spans="1:9" ht="20.100000000000001" customHeight="1" x14ac:dyDescent="0.2">
      <c r="A80" s="35"/>
      <c r="B80" s="35"/>
      <c r="C80" s="36"/>
      <c r="D80" s="36"/>
      <c r="E80" s="36"/>
      <c r="F80" s="36"/>
      <c r="G80" s="36"/>
      <c r="H80" s="36"/>
      <c r="I80" s="35"/>
    </row>
    <row r="81" spans="1:9" ht="20.100000000000001" customHeight="1" x14ac:dyDescent="0.2">
      <c r="A81" s="35"/>
      <c r="B81" s="35"/>
      <c r="C81" s="36"/>
      <c r="D81" s="36"/>
      <c r="E81" s="36"/>
      <c r="F81" s="36"/>
      <c r="G81" s="36"/>
      <c r="H81" s="36"/>
      <c r="I81" s="35"/>
    </row>
    <row r="82" spans="1:9" ht="20.100000000000001" customHeight="1" x14ac:dyDescent="0.2">
      <c r="A82" s="35"/>
      <c r="B82" s="35"/>
      <c r="C82" s="36"/>
      <c r="D82" s="36"/>
      <c r="E82" s="36"/>
      <c r="F82" s="36"/>
      <c r="G82" s="36"/>
      <c r="H82" s="36"/>
      <c r="I82" s="35"/>
    </row>
    <row r="83" spans="1:9" ht="20.100000000000001" customHeight="1" x14ac:dyDescent="0.2">
      <c r="A83" s="35"/>
      <c r="B83" s="35"/>
      <c r="C83" s="36"/>
      <c r="D83" s="36"/>
      <c r="E83" s="36"/>
      <c r="F83" s="36"/>
      <c r="G83" s="36"/>
      <c r="H83" s="36"/>
      <c r="I83" s="35"/>
    </row>
    <row r="84" spans="1:9" ht="20.100000000000001" customHeight="1" x14ac:dyDescent="0.2">
      <c r="A84" s="35"/>
      <c r="B84" s="35"/>
      <c r="C84" s="36"/>
      <c r="D84" s="36"/>
      <c r="E84" s="36"/>
      <c r="F84" s="36"/>
      <c r="G84" s="36"/>
      <c r="H84" s="36"/>
      <c r="I84" s="35"/>
    </row>
    <row r="85" spans="1:9" ht="20.100000000000001" customHeight="1" x14ac:dyDescent="0.2">
      <c r="A85" s="35"/>
      <c r="B85" s="35"/>
      <c r="C85" s="36"/>
      <c r="D85" s="36"/>
      <c r="E85" s="36"/>
      <c r="F85" s="36"/>
      <c r="G85" s="36"/>
      <c r="H85" s="36"/>
      <c r="I85" s="35"/>
    </row>
    <row r="86" spans="1:9" ht="20.100000000000001" customHeight="1" x14ac:dyDescent="0.2">
      <c r="A86" s="35"/>
      <c r="B86" s="35"/>
      <c r="C86" s="36"/>
      <c r="D86" s="36"/>
      <c r="E86" s="36"/>
      <c r="F86" s="36"/>
      <c r="G86" s="36"/>
      <c r="H86" s="36"/>
      <c r="I86" s="35"/>
    </row>
    <row r="87" spans="1:9" ht="20.100000000000001" customHeight="1" x14ac:dyDescent="0.2">
      <c r="A87" s="35"/>
      <c r="B87" s="35"/>
      <c r="C87" s="36"/>
      <c r="D87" s="36"/>
      <c r="E87" s="36"/>
      <c r="F87" s="36"/>
      <c r="G87" s="36"/>
      <c r="H87" s="36"/>
      <c r="I87" s="35"/>
    </row>
    <row r="88" spans="1:9" ht="20.100000000000001" customHeight="1" x14ac:dyDescent="0.2">
      <c r="A88" s="35"/>
      <c r="B88" s="35"/>
      <c r="C88" s="36"/>
      <c r="D88" s="36"/>
      <c r="E88" s="36"/>
      <c r="F88" s="36"/>
      <c r="G88" s="36"/>
      <c r="H88" s="36"/>
      <c r="I88" s="35"/>
    </row>
    <row r="89" spans="1:9" ht="20.100000000000001" customHeight="1" x14ac:dyDescent="0.2">
      <c r="A89" s="35"/>
      <c r="B89" s="35"/>
      <c r="C89" s="36"/>
      <c r="D89" s="36"/>
      <c r="E89" s="36"/>
      <c r="F89" s="36"/>
      <c r="G89" s="36"/>
      <c r="H89" s="36"/>
      <c r="I89" s="35"/>
    </row>
    <row r="90" spans="1:9" ht="20.100000000000001" customHeight="1" x14ac:dyDescent="0.2">
      <c r="A90" s="35"/>
      <c r="B90" s="35"/>
      <c r="C90" s="36"/>
      <c r="D90" s="36"/>
      <c r="E90" s="36"/>
      <c r="F90" s="36"/>
      <c r="G90" s="36"/>
      <c r="H90" s="36"/>
      <c r="I90" s="35"/>
    </row>
    <row r="91" spans="1:9" ht="20.100000000000001" customHeight="1" x14ac:dyDescent="0.2">
      <c r="A91" s="35"/>
      <c r="B91" s="35"/>
      <c r="C91" s="36"/>
      <c r="D91" s="36"/>
      <c r="E91" s="36"/>
      <c r="F91" s="36"/>
      <c r="G91" s="36"/>
      <c r="H91" s="36"/>
      <c r="I91" s="35"/>
    </row>
    <row r="92" spans="1:9" ht="20.100000000000001" customHeight="1" x14ac:dyDescent="0.2">
      <c r="A92" s="35"/>
      <c r="B92" s="35"/>
      <c r="C92" s="36"/>
      <c r="D92" s="36"/>
      <c r="E92" s="36"/>
      <c r="F92" s="36"/>
      <c r="G92" s="36"/>
      <c r="H92" s="36"/>
      <c r="I92" s="35"/>
    </row>
    <row r="93" spans="1:9" ht="20.100000000000001" customHeight="1" x14ac:dyDescent="0.2">
      <c r="A93" s="35"/>
      <c r="B93" s="35"/>
      <c r="C93" s="36"/>
      <c r="D93" s="36"/>
      <c r="E93" s="36"/>
      <c r="F93" s="36"/>
      <c r="G93" s="36"/>
      <c r="H93" s="36"/>
      <c r="I93" s="35"/>
    </row>
    <row r="94" spans="1:9" ht="20.100000000000001" customHeight="1" x14ac:dyDescent="0.2">
      <c r="A94" s="35"/>
      <c r="B94" s="35"/>
      <c r="C94" s="36"/>
      <c r="D94" s="36"/>
      <c r="E94" s="36"/>
      <c r="F94" s="36"/>
      <c r="G94" s="36"/>
      <c r="H94" s="36"/>
      <c r="I94" s="35"/>
    </row>
    <row r="95" spans="1:9" ht="20.100000000000001" customHeight="1" x14ac:dyDescent="0.2">
      <c r="A95" s="35"/>
      <c r="B95" s="35"/>
      <c r="C95" s="36"/>
      <c r="D95" s="36"/>
      <c r="E95" s="36"/>
      <c r="F95" s="36"/>
      <c r="G95" s="36"/>
      <c r="H95" s="36"/>
      <c r="I95" s="35"/>
    </row>
    <row r="96" spans="1:9" ht="20.100000000000001" customHeight="1" x14ac:dyDescent="0.2">
      <c r="A96" s="35"/>
      <c r="B96" s="35"/>
      <c r="C96" s="36"/>
      <c r="D96" s="36"/>
      <c r="E96" s="36"/>
      <c r="F96" s="36"/>
      <c r="G96" s="36"/>
      <c r="H96" s="36"/>
      <c r="I96" s="35"/>
    </row>
    <row r="97" spans="1:9" ht="20.100000000000001" customHeight="1" x14ac:dyDescent="0.2">
      <c r="A97" s="35"/>
      <c r="B97" s="35"/>
      <c r="C97" s="36"/>
      <c r="D97" s="36"/>
      <c r="E97" s="36"/>
      <c r="F97" s="36"/>
      <c r="G97" s="36"/>
      <c r="H97" s="36"/>
      <c r="I97" s="35"/>
    </row>
    <row r="98" spans="1:9" ht="20.100000000000001" customHeight="1" x14ac:dyDescent="0.2">
      <c r="A98" s="35"/>
      <c r="B98" s="35"/>
      <c r="C98" s="36"/>
      <c r="D98" s="36"/>
      <c r="E98" s="36"/>
      <c r="F98" s="36"/>
      <c r="G98" s="36"/>
      <c r="H98" s="36"/>
      <c r="I98" s="35"/>
    </row>
    <row r="99" spans="1:9" ht="20.100000000000001" customHeight="1" x14ac:dyDescent="0.2">
      <c r="A99" s="35"/>
      <c r="B99" s="35"/>
      <c r="C99" s="36"/>
      <c r="D99" s="36"/>
      <c r="E99" s="36"/>
      <c r="F99" s="36"/>
      <c r="G99" s="36"/>
      <c r="H99" s="36"/>
      <c r="I99" s="35"/>
    </row>
    <row r="100" spans="1:9" ht="20.100000000000001" customHeight="1" x14ac:dyDescent="0.2">
      <c r="A100" s="35"/>
      <c r="B100" s="35"/>
      <c r="C100" s="36"/>
      <c r="D100" s="36"/>
      <c r="E100" s="36"/>
      <c r="F100" s="36"/>
      <c r="G100" s="36"/>
      <c r="H100" s="36"/>
      <c r="I100" s="35"/>
    </row>
    <row r="101" spans="1:9" ht="20.100000000000001" customHeight="1" x14ac:dyDescent="0.2">
      <c r="A101" s="35"/>
      <c r="B101" s="35"/>
      <c r="C101" s="36"/>
      <c r="D101" s="36"/>
      <c r="E101" s="36"/>
      <c r="F101" s="36"/>
      <c r="G101" s="36"/>
      <c r="H101" s="36"/>
      <c r="I101" s="35"/>
    </row>
    <row r="102" spans="1:9" ht="20.100000000000001" customHeight="1" x14ac:dyDescent="0.2">
      <c r="A102" s="35"/>
      <c r="B102" s="35"/>
      <c r="C102" s="36"/>
      <c r="D102" s="36"/>
      <c r="E102" s="36"/>
      <c r="F102" s="36"/>
      <c r="G102" s="36"/>
      <c r="H102" s="36"/>
      <c r="I102" s="35"/>
    </row>
    <row r="103" spans="1:9" ht="20.100000000000001" customHeight="1" x14ac:dyDescent="0.2">
      <c r="A103" s="35"/>
      <c r="B103" s="35"/>
      <c r="C103" s="36"/>
      <c r="D103" s="36"/>
      <c r="E103" s="36"/>
      <c r="F103" s="36"/>
      <c r="G103" s="36"/>
      <c r="H103" s="36"/>
      <c r="I103" s="35"/>
    </row>
    <row r="104" spans="1:9" ht="20.100000000000001" customHeight="1" x14ac:dyDescent="0.2">
      <c r="A104" s="35"/>
      <c r="B104" s="35"/>
      <c r="C104" s="36"/>
      <c r="D104" s="36"/>
      <c r="E104" s="36"/>
      <c r="F104" s="36"/>
      <c r="G104" s="36"/>
      <c r="H104" s="36"/>
      <c r="I104" s="35"/>
    </row>
    <row r="105" spans="1:9" ht="20.100000000000001" customHeight="1" x14ac:dyDescent="0.2">
      <c r="A105" s="35"/>
      <c r="B105" s="35"/>
      <c r="C105" s="36"/>
      <c r="D105" s="36"/>
      <c r="E105" s="36"/>
      <c r="F105" s="36"/>
      <c r="G105" s="36"/>
      <c r="H105" s="36"/>
      <c r="I105" s="35"/>
    </row>
    <row r="106" spans="1:9" ht="20.100000000000001" customHeight="1" x14ac:dyDescent="0.2">
      <c r="A106" s="35"/>
      <c r="B106" s="35"/>
      <c r="C106" s="36"/>
      <c r="D106" s="36"/>
      <c r="E106" s="36"/>
      <c r="F106" s="36"/>
      <c r="G106" s="36"/>
      <c r="H106" s="36"/>
      <c r="I106" s="35"/>
    </row>
    <row r="107" spans="1:9" ht="20.100000000000001" customHeight="1" x14ac:dyDescent="0.2">
      <c r="A107" s="35"/>
      <c r="B107" s="35"/>
      <c r="C107" s="36"/>
      <c r="D107" s="36"/>
      <c r="E107" s="36"/>
      <c r="F107" s="36"/>
      <c r="G107" s="36"/>
      <c r="H107" s="36"/>
      <c r="I107" s="35"/>
    </row>
    <row r="108" spans="1:9" ht="20.100000000000001" customHeight="1" x14ac:dyDescent="0.2">
      <c r="A108" s="35"/>
      <c r="B108" s="35"/>
      <c r="C108" s="36"/>
      <c r="D108" s="36"/>
      <c r="E108" s="36"/>
      <c r="F108" s="36"/>
      <c r="G108" s="36"/>
      <c r="H108" s="36"/>
      <c r="I108" s="35"/>
    </row>
    <row r="109" spans="1:9" ht="20.100000000000001" customHeight="1" x14ac:dyDescent="0.2">
      <c r="A109" s="35"/>
      <c r="B109" s="35"/>
      <c r="C109" s="36"/>
      <c r="D109" s="36"/>
      <c r="E109" s="36"/>
      <c r="F109" s="36"/>
      <c r="G109" s="36"/>
      <c r="H109" s="36"/>
      <c r="I109" s="35"/>
    </row>
    <row r="110" spans="1:9" ht="20.100000000000001" customHeight="1" x14ac:dyDescent="0.2">
      <c r="A110" s="35"/>
      <c r="B110" s="35"/>
      <c r="C110" s="36"/>
      <c r="D110" s="36"/>
      <c r="E110" s="36"/>
      <c r="F110" s="36"/>
      <c r="G110" s="36"/>
      <c r="H110" s="36"/>
      <c r="I110" s="35"/>
    </row>
    <row r="111" spans="1:9" ht="20.100000000000001" customHeight="1" x14ac:dyDescent="0.2">
      <c r="A111" s="35"/>
      <c r="B111" s="35"/>
      <c r="C111" s="36"/>
      <c r="D111" s="36"/>
      <c r="E111" s="36"/>
      <c r="F111" s="36"/>
      <c r="G111" s="36"/>
      <c r="H111" s="36"/>
      <c r="I111" s="35"/>
    </row>
    <row r="112" spans="1:9" ht="20.100000000000001" customHeight="1" x14ac:dyDescent="0.2">
      <c r="A112" s="35"/>
      <c r="B112" s="35"/>
      <c r="C112" s="36"/>
      <c r="D112" s="36"/>
      <c r="E112" s="36"/>
      <c r="F112" s="36"/>
      <c r="G112" s="36"/>
      <c r="H112" s="36"/>
      <c r="I112" s="35"/>
    </row>
    <row r="113" spans="1:9" ht="20.100000000000001" customHeight="1" x14ac:dyDescent="0.2">
      <c r="A113" s="35"/>
      <c r="B113" s="35"/>
      <c r="C113" s="36"/>
      <c r="D113" s="36"/>
      <c r="E113" s="36"/>
      <c r="F113" s="36"/>
      <c r="G113" s="36"/>
      <c r="H113" s="36"/>
      <c r="I113" s="35"/>
    </row>
    <row r="114" spans="1:9" ht="20.100000000000001" customHeight="1" x14ac:dyDescent="0.2">
      <c r="A114" s="35"/>
      <c r="B114" s="35"/>
      <c r="C114" s="36"/>
      <c r="D114" s="36"/>
      <c r="E114" s="36"/>
      <c r="F114" s="36"/>
      <c r="G114" s="36"/>
      <c r="H114" s="36"/>
      <c r="I114" s="35"/>
    </row>
    <row r="115" spans="1:9" ht="20.100000000000001" customHeight="1" x14ac:dyDescent="0.2">
      <c r="A115" s="35"/>
      <c r="B115" s="35"/>
      <c r="C115" s="36"/>
      <c r="D115" s="36"/>
      <c r="E115" s="36"/>
      <c r="F115" s="36"/>
      <c r="G115" s="36"/>
      <c r="H115" s="36"/>
      <c r="I115" s="35"/>
    </row>
    <row r="116" spans="1:9" ht="20.100000000000001" customHeight="1" x14ac:dyDescent="0.2">
      <c r="A116" s="35"/>
      <c r="B116" s="35"/>
      <c r="C116" s="36"/>
      <c r="D116" s="36"/>
      <c r="E116" s="36"/>
      <c r="F116" s="36"/>
      <c r="G116" s="36"/>
      <c r="H116" s="36"/>
      <c r="I116" s="35"/>
    </row>
    <row r="117" spans="1:9" ht="20.100000000000001" customHeight="1" x14ac:dyDescent="0.2">
      <c r="A117" s="35"/>
      <c r="B117" s="35"/>
      <c r="C117" s="36"/>
      <c r="D117" s="36"/>
      <c r="E117" s="36"/>
      <c r="F117" s="36"/>
      <c r="G117" s="36"/>
      <c r="H117" s="36"/>
      <c r="I117" s="35"/>
    </row>
    <row r="118" spans="1:9" ht="20.100000000000001" customHeight="1" x14ac:dyDescent="0.2">
      <c r="A118" s="35"/>
      <c r="B118" s="35"/>
      <c r="C118" s="36"/>
      <c r="D118" s="36"/>
      <c r="E118" s="36"/>
      <c r="F118" s="36"/>
      <c r="G118" s="36"/>
      <c r="H118" s="36"/>
      <c r="I118" s="35"/>
    </row>
    <row r="119" spans="1:9" ht="20.100000000000001" customHeight="1" x14ac:dyDescent="0.2">
      <c r="A119" s="35"/>
      <c r="B119" s="35"/>
      <c r="C119" s="36"/>
      <c r="D119" s="36"/>
      <c r="E119" s="36"/>
      <c r="F119" s="36"/>
      <c r="G119" s="36"/>
      <c r="H119" s="36"/>
      <c r="I119" s="35"/>
    </row>
    <row r="120" spans="1:9" ht="20.100000000000001" customHeight="1" x14ac:dyDescent="0.2">
      <c r="A120" s="35"/>
      <c r="B120" s="35"/>
      <c r="C120" s="36"/>
      <c r="D120" s="36"/>
      <c r="E120" s="36"/>
      <c r="F120" s="36"/>
      <c r="G120" s="36"/>
      <c r="H120" s="36"/>
      <c r="I120" s="35"/>
    </row>
    <row r="121" spans="1:9" ht="20.100000000000001" customHeight="1" x14ac:dyDescent="0.2">
      <c r="A121" s="35"/>
      <c r="B121" s="35"/>
      <c r="C121" s="36"/>
      <c r="D121" s="36"/>
      <c r="E121" s="36"/>
      <c r="F121" s="36"/>
      <c r="G121" s="36"/>
      <c r="H121" s="36"/>
      <c r="I121" s="35"/>
    </row>
    <row r="122" spans="1:9" ht="20.100000000000001" customHeight="1" x14ac:dyDescent="0.2">
      <c r="A122" s="35"/>
      <c r="B122" s="35"/>
      <c r="C122" s="36"/>
      <c r="D122" s="36"/>
      <c r="E122" s="36"/>
      <c r="F122" s="36"/>
      <c r="G122" s="36"/>
      <c r="H122" s="36"/>
      <c r="I122" s="35"/>
    </row>
    <row r="123" spans="1:9" ht="20.100000000000001" customHeight="1" x14ac:dyDescent="0.2">
      <c r="A123" s="35"/>
      <c r="B123" s="35"/>
      <c r="C123" s="36"/>
      <c r="D123" s="36"/>
      <c r="E123" s="36"/>
      <c r="F123" s="36"/>
      <c r="G123" s="36"/>
      <c r="H123" s="36"/>
      <c r="I123" s="35"/>
    </row>
    <row r="124" spans="1:9" ht="20.100000000000001" customHeight="1" x14ac:dyDescent="0.2">
      <c r="A124" s="35"/>
      <c r="B124" s="35"/>
      <c r="C124" s="36"/>
      <c r="D124" s="36"/>
      <c r="E124" s="36"/>
      <c r="F124" s="36"/>
      <c r="G124" s="36"/>
      <c r="H124" s="36"/>
      <c r="I124" s="35"/>
    </row>
    <row r="125" spans="1:9" ht="20.100000000000001" customHeight="1" x14ac:dyDescent="0.2">
      <c r="A125" s="35"/>
      <c r="B125" s="35"/>
      <c r="C125" s="36"/>
      <c r="D125" s="36"/>
      <c r="E125" s="36"/>
      <c r="F125" s="36"/>
      <c r="G125" s="36"/>
      <c r="H125" s="36"/>
      <c r="I125" s="35"/>
    </row>
    <row r="126" spans="1:9" ht="20.100000000000001" customHeight="1" x14ac:dyDescent="0.2">
      <c r="A126" s="35"/>
      <c r="B126" s="35"/>
      <c r="C126" s="36"/>
      <c r="D126" s="36"/>
      <c r="E126" s="36"/>
      <c r="F126" s="36"/>
      <c r="G126" s="36"/>
      <c r="H126" s="36"/>
      <c r="I126" s="35"/>
    </row>
    <row r="127" spans="1:9" ht="12.75" x14ac:dyDescent="0.2">
      <c r="A127" s="35"/>
      <c r="B127" s="35"/>
      <c r="C127" s="36"/>
      <c r="D127" s="36"/>
      <c r="E127" s="36"/>
      <c r="F127" s="36"/>
      <c r="G127" s="36"/>
      <c r="H127" s="36"/>
      <c r="I127" s="35"/>
    </row>
    <row r="128" spans="1:9" ht="12.75" x14ac:dyDescent="0.2">
      <c r="A128" s="35"/>
      <c r="B128" s="35"/>
      <c r="C128" s="36"/>
      <c r="D128" s="36"/>
      <c r="E128" s="36"/>
      <c r="F128" s="36"/>
      <c r="G128" s="36"/>
      <c r="H128" s="36"/>
      <c r="I128" s="35"/>
    </row>
    <row r="129" spans="1:9" ht="12.75" x14ac:dyDescent="0.2">
      <c r="A129" s="35"/>
      <c r="B129" s="35"/>
      <c r="C129" s="36"/>
      <c r="D129" s="36"/>
      <c r="E129" s="36"/>
      <c r="F129" s="36"/>
      <c r="G129" s="36"/>
      <c r="H129" s="36"/>
      <c r="I129" s="35"/>
    </row>
    <row r="130" spans="1:9" ht="12.75" x14ac:dyDescent="0.2">
      <c r="A130" s="35"/>
      <c r="B130" s="35"/>
      <c r="C130" s="36"/>
      <c r="D130" s="36"/>
      <c r="E130" s="36"/>
      <c r="F130" s="36"/>
      <c r="G130" s="36"/>
      <c r="H130" s="36"/>
      <c r="I130" s="35"/>
    </row>
    <row r="131" spans="1:9" ht="12.75" x14ac:dyDescent="0.2">
      <c r="A131" s="35"/>
      <c r="B131" s="35"/>
      <c r="C131" s="36"/>
      <c r="D131" s="36"/>
      <c r="E131" s="36"/>
      <c r="F131" s="36"/>
      <c r="G131" s="36"/>
      <c r="H131" s="36"/>
      <c r="I131" s="35"/>
    </row>
    <row r="132" spans="1:9" ht="12.75" x14ac:dyDescent="0.2">
      <c r="A132" s="35"/>
      <c r="B132" s="35"/>
      <c r="C132" s="36"/>
      <c r="D132" s="36"/>
      <c r="E132" s="36"/>
      <c r="F132" s="36"/>
      <c r="G132" s="36"/>
      <c r="H132" s="36"/>
      <c r="I132" s="35"/>
    </row>
    <row r="133" spans="1:9" ht="12.75" x14ac:dyDescent="0.2">
      <c r="A133" s="35"/>
      <c r="B133" s="35"/>
      <c r="C133" s="36"/>
      <c r="D133" s="36"/>
      <c r="E133" s="36"/>
      <c r="F133" s="36"/>
      <c r="G133" s="36"/>
      <c r="H133" s="36"/>
      <c r="I133" s="35"/>
    </row>
    <row r="134" spans="1:9" ht="12.75" x14ac:dyDescent="0.2">
      <c r="A134" s="35"/>
      <c r="B134" s="35"/>
      <c r="C134" s="36"/>
      <c r="D134" s="36"/>
      <c r="E134" s="36"/>
      <c r="F134" s="36"/>
      <c r="G134" s="36"/>
      <c r="H134" s="36"/>
      <c r="I134" s="35"/>
    </row>
    <row r="135" spans="1:9" ht="12.75" x14ac:dyDescent="0.2">
      <c r="A135" s="35"/>
      <c r="B135" s="35"/>
      <c r="C135" s="36"/>
      <c r="D135" s="36"/>
      <c r="E135" s="36"/>
      <c r="F135" s="36"/>
      <c r="G135" s="36"/>
      <c r="H135" s="36"/>
      <c r="I135" s="35"/>
    </row>
    <row r="136" spans="1:9" ht="12.75" x14ac:dyDescent="0.2">
      <c r="A136" s="35"/>
      <c r="B136" s="35"/>
      <c r="C136" s="36"/>
      <c r="D136" s="36"/>
      <c r="E136" s="36"/>
      <c r="F136" s="36"/>
      <c r="G136" s="36"/>
      <c r="H136" s="36"/>
      <c r="I136" s="35"/>
    </row>
    <row r="137" spans="1:9" ht="12.75" x14ac:dyDescent="0.2">
      <c r="A137" s="35"/>
      <c r="B137" s="35"/>
      <c r="C137" s="36"/>
      <c r="D137" s="36"/>
      <c r="E137" s="36"/>
      <c r="F137" s="36"/>
      <c r="G137" s="36"/>
      <c r="H137" s="36"/>
      <c r="I137" s="35"/>
    </row>
    <row r="138" spans="1:9" ht="12.75" x14ac:dyDescent="0.2">
      <c r="A138" s="35"/>
      <c r="B138" s="35"/>
      <c r="C138" s="36"/>
      <c r="D138" s="36"/>
      <c r="E138" s="36"/>
      <c r="F138" s="36"/>
      <c r="G138" s="36"/>
      <c r="H138" s="36"/>
      <c r="I138" s="35"/>
    </row>
    <row r="139" spans="1:9" ht="12.75" x14ac:dyDescent="0.2">
      <c r="A139" s="35"/>
      <c r="B139" s="35"/>
      <c r="C139" s="36"/>
      <c r="D139" s="36"/>
      <c r="E139" s="36"/>
      <c r="F139" s="36"/>
      <c r="G139" s="36"/>
      <c r="H139" s="36"/>
      <c r="I139" s="35"/>
    </row>
    <row r="140" spans="1:9" ht="12.75" x14ac:dyDescent="0.2">
      <c r="A140" s="35"/>
      <c r="B140" s="35"/>
      <c r="C140" s="36"/>
      <c r="D140" s="36"/>
      <c r="E140" s="36"/>
      <c r="F140" s="36"/>
      <c r="G140" s="36"/>
      <c r="H140" s="36"/>
      <c r="I140" s="35"/>
    </row>
    <row r="141" spans="1:9" ht="12.75" x14ac:dyDescent="0.2">
      <c r="A141" s="35"/>
      <c r="B141" s="35"/>
      <c r="C141" s="36"/>
      <c r="D141" s="36"/>
      <c r="E141" s="36"/>
      <c r="F141" s="36"/>
      <c r="G141" s="36"/>
      <c r="H141" s="36"/>
      <c r="I141" s="35"/>
    </row>
    <row r="142" spans="1:9" ht="12.75" x14ac:dyDescent="0.2">
      <c r="A142" s="35"/>
      <c r="B142" s="35"/>
      <c r="C142" s="36"/>
      <c r="D142" s="36"/>
      <c r="E142" s="36"/>
      <c r="F142" s="36"/>
      <c r="G142" s="36"/>
      <c r="H142" s="36"/>
      <c r="I142" s="35"/>
    </row>
    <row r="143" spans="1:9" ht="12.75" x14ac:dyDescent="0.2">
      <c r="A143" s="35"/>
      <c r="B143" s="35"/>
      <c r="C143" s="36"/>
      <c r="D143" s="36"/>
      <c r="E143" s="36"/>
      <c r="F143" s="36"/>
      <c r="G143" s="36"/>
      <c r="H143" s="36"/>
      <c r="I143" s="35"/>
    </row>
    <row r="144" spans="1:9" ht="12.75" x14ac:dyDescent="0.2">
      <c r="A144" s="35"/>
      <c r="B144" s="35"/>
      <c r="C144" s="36"/>
      <c r="D144" s="36"/>
      <c r="E144" s="36"/>
      <c r="F144" s="36"/>
      <c r="G144" s="36"/>
      <c r="H144" s="36"/>
      <c r="I144" s="35"/>
    </row>
    <row r="145" spans="1:9" ht="12.75" x14ac:dyDescent="0.2">
      <c r="A145" s="35"/>
      <c r="B145" s="35"/>
      <c r="C145" s="36"/>
      <c r="D145" s="36"/>
      <c r="E145" s="36"/>
      <c r="F145" s="36"/>
      <c r="G145" s="36"/>
      <c r="H145" s="36"/>
      <c r="I145" s="35"/>
    </row>
    <row r="146" spans="1:9" ht="12.75" x14ac:dyDescent="0.2">
      <c r="A146" s="35"/>
      <c r="B146" s="35"/>
      <c r="C146" s="36"/>
      <c r="D146" s="36"/>
      <c r="E146" s="36"/>
      <c r="F146" s="36"/>
      <c r="G146" s="36"/>
      <c r="H146" s="36"/>
      <c r="I146" s="35"/>
    </row>
    <row r="147" spans="1:9" ht="12.75" x14ac:dyDescent="0.2">
      <c r="A147" s="35"/>
      <c r="B147" s="35"/>
      <c r="C147" s="36"/>
      <c r="D147" s="36"/>
      <c r="E147" s="36"/>
      <c r="F147" s="36"/>
      <c r="G147" s="36"/>
      <c r="H147" s="36"/>
      <c r="I147" s="35"/>
    </row>
    <row r="148" spans="1:9" ht="12.75" x14ac:dyDescent="0.2">
      <c r="A148" s="35"/>
      <c r="B148" s="35"/>
      <c r="C148" s="36"/>
      <c r="D148" s="36"/>
      <c r="E148" s="36"/>
      <c r="F148" s="36"/>
      <c r="G148" s="36"/>
      <c r="H148" s="36"/>
      <c r="I148" s="35"/>
    </row>
    <row r="149" spans="1:9" ht="12.75" x14ac:dyDescent="0.2">
      <c r="A149" s="35"/>
      <c r="B149" s="35"/>
      <c r="C149" s="36"/>
      <c r="D149" s="36"/>
      <c r="E149" s="36"/>
      <c r="F149" s="36"/>
      <c r="G149" s="36"/>
      <c r="H149" s="36"/>
      <c r="I149" s="35"/>
    </row>
    <row r="150" spans="1:9" ht="12.75" x14ac:dyDescent="0.2">
      <c r="A150" s="35"/>
      <c r="B150" s="35"/>
      <c r="C150" s="36"/>
      <c r="D150" s="36"/>
      <c r="E150" s="36"/>
      <c r="F150" s="36"/>
      <c r="G150" s="36"/>
      <c r="H150" s="36"/>
      <c r="I150" s="35"/>
    </row>
    <row r="151" spans="1:9" ht="12.75" x14ac:dyDescent="0.2">
      <c r="A151" s="35"/>
      <c r="B151" s="35"/>
      <c r="C151" s="36"/>
      <c r="D151" s="36"/>
      <c r="E151" s="36"/>
      <c r="F151" s="36"/>
      <c r="G151" s="36"/>
      <c r="H151" s="36"/>
      <c r="I151" s="35"/>
    </row>
    <row r="152" spans="1:9" ht="12.75" x14ac:dyDescent="0.2">
      <c r="A152" s="35"/>
      <c r="B152" s="35"/>
      <c r="C152" s="36"/>
      <c r="D152" s="36"/>
      <c r="E152" s="36"/>
      <c r="F152" s="36"/>
      <c r="G152" s="36"/>
      <c r="H152" s="36"/>
      <c r="I152" s="35"/>
    </row>
    <row r="153" spans="1:9" ht="12.75" x14ac:dyDescent="0.2">
      <c r="A153" s="35"/>
      <c r="B153" s="35"/>
      <c r="C153" s="36"/>
      <c r="D153" s="36"/>
      <c r="E153" s="36"/>
      <c r="F153" s="36"/>
      <c r="G153" s="36"/>
      <c r="H153" s="36"/>
      <c r="I153" s="35"/>
    </row>
    <row r="154" spans="1:9" ht="12.75" x14ac:dyDescent="0.2">
      <c r="A154" s="35"/>
      <c r="B154" s="35"/>
      <c r="C154" s="36"/>
      <c r="D154" s="36"/>
      <c r="E154" s="36"/>
      <c r="F154" s="36"/>
      <c r="G154" s="36"/>
      <c r="H154" s="36"/>
      <c r="I154" s="35"/>
    </row>
    <row r="155" spans="1:9" ht="12.75" x14ac:dyDescent="0.2">
      <c r="A155" s="35"/>
      <c r="B155" s="35"/>
      <c r="C155" s="36"/>
      <c r="D155" s="36"/>
      <c r="E155" s="36"/>
      <c r="F155" s="36"/>
      <c r="G155" s="36"/>
      <c r="H155" s="36"/>
      <c r="I155" s="35"/>
    </row>
    <row r="156" spans="1:9" ht="12.75" x14ac:dyDescent="0.2">
      <c r="A156" s="35"/>
      <c r="B156" s="35"/>
      <c r="C156" s="36"/>
      <c r="D156" s="36"/>
      <c r="E156" s="36"/>
      <c r="F156" s="36"/>
      <c r="G156" s="36"/>
      <c r="H156" s="36"/>
      <c r="I156" s="35"/>
    </row>
    <row r="157" spans="1:9" ht="12.75" x14ac:dyDescent="0.2">
      <c r="A157" s="35"/>
      <c r="B157" s="35"/>
      <c r="C157" s="36"/>
      <c r="D157" s="36"/>
      <c r="E157" s="36"/>
      <c r="F157" s="36"/>
      <c r="G157" s="36"/>
      <c r="H157" s="36"/>
      <c r="I157" s="35"/>
    </row>
    <row r="158" spans="1:9" ht="12.75" x14ac:dyDescent="0.2">
      <c r="A158" s="35"/>
      <c r="B158" s="35"/>
      <c r="C158" s="36"/>
      <c r="D158" s="36"/>
      <c r="E158" s="36"/>
      <c r="F158" s="36"/>
      <c r="G158" s="36"/>
      <c r="H158" s="36"/>
      <c r="I158" s="35"/>
    </row>
    <row r="159" spans="1:9" ht="12.75" x14ac:dyDescent="0.2">
      <c r="A159" s="35"/>
      <c r="B159" s="35"/>
      <c r="C159" s="36"/>
      <c r="D159" s="36"/>
      <c r="E159" s="36"/>
      <c r="F159" s="36"/>
      <c r="G159" s="36"/>
      <c r="H159" s="36"/>
      <c r="I159" s="35"/>
    </row>
    <row r="160" spans="1:9" ht="12.75" x14ac:dyDescent="0.2">
      <c r="A160" s="35"/>
      <c r="B160" s="35"/>
      <c r="C160" s="36"/>
      <c r="D160" s="36"/>
      <c r="E160" s="36"/>
      <c r="F160" s="36"/>
      <c r="G160" s="36"/>
      <c r="H160" s="36"/>
      <c r="I160" s="35"/>
    </row>
    <row r="161" spans="1:9" ht="12.75" x14ac:dyDescent="0.2">
      <c r="A161" s="35"/>
      <c r="B161" s="35"/>
      <c r="C161" s="36"/>
      <c r="D161" s="36"/>
      <c r="E161" s="36"/>
      <c r="F161" s="36"/>
      <c r="G161" s="36"/>
      <c r="H161" s="36"/>
      <c r="I161" s="35"/>
    </row>
    <row r="162" spans="1:9" ht="12.75" x14ac:dyDescent="0.2">
      <c r="A162" s="35"/>
      <c r="B162" s="35"/>
      <c r="C162" s="36"/>
      <c r="D162" s="36"/>
      <c r="E162" s="36"/>
      <c r="F162" s="36"/>
      <c r="G162" s="36"/>
      <c r="H162" s="36"/>
      <c r="I162" s="35"/>
    </row>
    <row r="163" spans="1:9" ht="12.75" x14ac:dyDescent="0.2">
      <c r="A163" s="35"/>
      <c r="B163" s="35"/>
      <c r="C163" s="36"/>
      <c r="D163" s="36"/>
      <c r="E163" s="36"/>
      <c r="F163" s="36"/>
      <c r="G163" s="36"/>
      <c r="H163" s="36"/>
      <c r="I163" s="35"/>
    </row>
    <row r="164" spans="1:9" ht="12.75" x14ac:dyDescent="0.2">
      <c r="A164" s="35"/>
      <c r="B164" s="35"/>
      <c r="C164" s="36"/>
      <c r="D164" s="36"/>
      <c r="E164" s="36"/>
      <c r="F164" s="36"/>
      <c r="G164" s="36"/>
      <c r="H164" s="36"/>
      <c r="I164" s="35"/>
    </row>
    <row r="165" spans="1:9" ht="12.75" x14ac:dyDescent="0.2">
      <c r="A165" s="35"/>
      <c r="B165" s="35"/>
      <c r="C165" s="36"/>
      <c r="D165" s="36"/>
      <c r="E165" s="36"/>
      <c r="F165" s="36"/>
      <c r="G165" s="36"/>
      <c r="H165" s="36"/>
      <c r="I165" s="35"/>
    </row>
    <row r="166" spans="1:9" ht="12.75" x14ac:dyDescent="0.2">
      <c r="A166" s="35"/>
      <c r="B166" s="35"/>
      <c r="C166" s="36"/>
      <c r="D166" s="36"/>
      <c r="E166" s="36"/>
      <c r="F166" s="36"/>
      <c r="G166" s="36"/>
      <c r="H166" s="36"/>
      <c r="I166" s="35"/>
    </row>
    <row r="167" spans="1:9" ht="12.75" x14ac:dyDescent="0.2">
      <c r="A167" s="35"/>
      <c r="B167" s="35"/>
      <c r="C167" s="36"/>
      <c r="D167" s="36"/>
      <c r="E167" s="36"/>
      <c r="F167" s="36"/>
      <c r="G167" s="36"/>
      <c r="H167" s="36"/>
      <c r="I167" s="35"/>
    </row>
    <row r="168" spans="1:9" ht="12.75" x14ac:dyDescent="0.2">
      <c r="A168" s="35"/>
      <c r="B168" s="35"/>
      <c r="C168" s="36"/>
      <c r="D168" s="36"/>
      <c r="E168" s="36"/>
      <c r="F168" s="36"/>
      <c r="G168" s="36"/>
      <c r="H168" s="36"/>
      <c r="I168" s="35"/>
    </row>
    <row r="169" spans="1:9" ht="12.75" x14ac:dyDescent="0.2">
      <c r="A169" s="35"/>
      <c r="B169" s="35"/>
      <c r="C169" s="36"/>
      <c r="D169" s="36"/>
      <c r="E169" s="36"/>
      <c r="F169" s="36"/>
      <c r="G169" s="36"/>
      <c r="H169" s="36"/>
      <c r="I169" s="35"/>
    </row>
    <row r="170" spans="1:9" ht="12.75" x14ac:dyDescent="0.2">
      <c r="A170" s="35"/>
      <c r="B170" s="35"/>
      <c r="C170" s="36"/>
      <c r="D170" s="36"/>
      <c r="E170" s="36"/>
      <c r="F170" s="36"/>
      <c r="G170" s="36"/>
      <c r="H170" s="36"/>
      <c r="I170" s="35"/>
    </row>
    <row r="171" spans="1:9" ht="12.75" x14ac:dyDescent="0.2">
      <c r="A171" s="35"/>
      <c r="B171" s="35"/>
      <c r="C171" s="36"/>
      <c r="D171" s="36"/>
      <c r="E171" s="36"/>
      <c r="F171" s="36"/>
      <c r="G171" s="36"/>
      <c r="H171" s="36"/>
      <c r="I171" s="35"/>
    </row>
    <row r="172" spans="1:9" ht="12.75" x14ac:dyDescent="0.2">
      <c r="A172" s="35"/>
      <c r="B172" s="35"/>
      <c r="C172" s="36"/>
      <c r="D172" s="36"/>
      <c r="E172" s="36"/>
      <c r="F172" s="36"/>
      <c r="G172" s="36"/>
      <c r="H172" s="36"/>
      <c r="I172" s="35"/>
    </row>
    <row r="173" spans="1:9" ht="12.75" x14ac:dyDescent="0.2">
      <c r="A173" s="35"/>
      <c r="B173" s="35"/>
      <c r="C173" s="36"/>
      <c r="D173" s="36"/>
      <c r="E173" s="36"/>
      <c r="F173" s="36"/>
      <c r="G173" s="36"/>
      <c r="H173" s="36"/>
      <c r="I173" s="35"/>
    </row>
    <row r="174" spans="1:9" ht="12.75" x14ac:dyDescent="0.2">
      <c r="A174" s="35"/>
      <c r="B174" s="35"/>
      <c r="C174" s="36"/>
      <c r="D174" s="36"/>
      <c r="E174" s="36"/>
      <c r="F174" s="36"/>
      <c r="G174" s="36"/>
      <c r="H174" s="36"/>
      <c r="I174" s="35"/>
    </row>
    <row r="175" spans="1:9" ht="12.75" x14ac:dyDescent="0.2">
      <c r="A175" s="35"/>
      <c r="B175" s="35"/>
      <c r="C175" s="36"/>
      <c r="D175" s="36"/>
      <c r="E175" s="36"/>
      <c r="F175" s="36"/>
      <c r="G175" s="36"/>
      <c r="H175" s="36"/>
      <c r="I175" s="35"/>
    </row>
    <row r="176" spans="1:9" ht="12.75" x14ac:dyDescent="0.2">
      <c r="A176" s="35"/>
      <c r="B176" s="35"/>
      <c r="C176" s="36"/>
      <c r="D176" s="36"/>
      <c r="E176" s="36"/>
      <c r="F176" s="36"/>
      <c r="G176" s="36"/>
      <c r="H176" s="36"/>
      <c r="I176" s="35"/>
    </row>
    <row r="177" spans="1:9" ht="12.75" x14ac:dyDescent="0.2">
      <c r="A177" s="35"/>
      <c r="B177" s="35"/>
      <c r="C177" s="36"/>
      <c r="D177" s="36"/>
      <c r="E177" s="36"/>
      <c r="F177" s="36"/>
      <c r="G177" s="36"/>
      <c r="H177" s="36"/>
      <c r="I177" s="35"/>
    </row>
    <row r="178" spans="1:9" ht="12.75" x14ac:dyDescent="0.2">
      <c r="A178" s="35"/>
      <c r="B178" s="35"/>
      <c r="C178" s="36"/>
      <c r="D178" s="36"/>
      <c r="E178" s="36"/>
      <c r="F178" s="36"/>
      <c r="G178" s="36"/>
      <c r="H178" s="36"/>
      <c r="I178" s="35"/>
    </row>
    <row r="179" spans="1:9" ht="12.75" x14ac:dyDescent="0.2">
      <c r="A179" s="35"/>
      <c r="B179" s="35"/>
      <c r="C179" s="36"/>
      <c r="D179" s="36"/>
      <c r="E179" s="36"/>
      <c r="F179" s="36"/>
      <c r="G179" s="36"/>
      <c r="H179" s="36"/>
      <c r="I179" s="35"/>
    </row>
    <row r="180" spans="1:9" ht="12.75" x14ac:dyDescent="0.2">
      <c r="A180" s="35"/>
      <c r="B180" s="35"/>
      <c r="C180" s="36"/>
      <c r="D180" s="36"/>
      <c r="E180" s="36"/>
      <c r="F180" s="36"/>
      <c r="G180" s="36"/>
      <c r="H180" s="36"/>
      <c r="I180" s="35"/>
    </row>
    <row r="181" spans="1:9" ht="12.75" x14ac:dyDescent="0.2">
      <c r="A181" s="35"/>
      <c r="B181" s="35"/>
      <c r="C181" s="36"/>
      <c r="D181" s="36"/>
      <c r="E181" s="36"/>
      <c r="F181" s="36"/>
      <c r="G181" s="36"/>
      <c r="H181" s="36"/>
      <c r="I181" s="35"/>
    </row>
    <row r="182" spans="1:9" ht="12.75" x14ac:dyDescent="0.2">
      <c r="A182" s="35"/>
      <c r="B182" s="35"/>
      <c r="C182" s="36"/>
      <c r="D182" s="36"/>
      <c r="E182" s="36"/>
      <c r="F182" s="36"/>
      <c r="G182" s="36"/>
      <c r="H182" s="36"/>
      <c r="I182" s="35"/>
    </row>
    <row r="183" spans="1:9" ht="12.75" x14ac:dyDescent="0.2">
      <c r="A183" s="35"/>
      <c r="B183" s="35"/>
      <c r="C183" s="36"/>
      <c r="D183" s="36"/>
      <c r="E183" s="36"/>
      <c r="F183" s="36"/>
      <c r="G183" s="36"/>
      <c r="H183" s="36"/>
      <c r="I183" s="35"/>
    </row>
    <row r="184" spans="1:9" ht="12.75" x14ac:dyDescent="0.2">
      <c r="A184" s="35"/>
      <c r="B184" s="35"/>
      <c r="C184" s="36"/>
      <c r="D184" s="36"/>
      <c r="E184" s="36"/>
      <c r="F184" s="36"/>
      <c r="G184" s="36"/>
      <c r="H184" s="36"/>
      <c r="I184" s="35"/>
    </row>
    <row r="185" spans="1:9" ht="12.75" x14ac:dyDescent="0.2">
      <c r="A185" s="35"/>
      <c r="B185" s="35"/>
      <c r="C185" s="36"/>
      <c r="D185" s="36"/>
      <c r="E185" s="36"/>
      <c r="F185" s="36"/>
      <c r="G185" s="36"/>
      <c r="H185" s="36"/>
      <c r="I185" s="35"/>
    </row>
    <row r="186" spans="1:9" ht="12.75" x14ac:dyDescent="0.2">
      <c r="A186" s="35"/>
      <c r="B186" s="35"/>
      <c r="C186" s="36"/>
      <c r="D186" s="36"/>
      <c r="E186" s="36"/>
      <c r="F186" s="36"/>
      <c r="G186" s="36"/>
      <c r="H186" s="36"/>
      <c r="I186" s="35"/>
    </row>
    <row r="187" spans="1:9" ht="12.75" x14ac:dyDescent="0.2">
      <c r="A187" s="35"/>
      <c r="B187" s="35"/>
      <c r="C187" s="36"/>
      <c r="D187" s="36"/>
      <c r="E187" s="36"/>
      <c r="F187" s="36"/>
      <c r="G187" s="36"/>
      <c r="H187" s="36"/>
      <c r="I187" s="35"/>
    </row>
    <row r="188" spans="1:9" ht="12.75" x14ac:dyDescent="0.2">
      <c r="A188" s="35"/>
      <c r="B188" s="35"/>
      <c r="C188" s="36"/>
      <c r="D188" s="36"/>
      <c r="E188" s="36"/>
      <c r="F188" s="36"/>
      <c r="G188" s="36"/>
      <c r="H188" s="36"/>
      <c r="I188" s="35"/>
    </row>
    <row r="189" spans="1:9" ht="12.75" x14ac:dyDescent="0.2">
      <c r="A189" s="35"/>
      <c r="B189" s="35"/>
      <c r="C189" s="36"/>
      <c r="D189" s="36"/>
      <c r="E189" s="36"/>
      <c r="F189" s="36"/>
      <c r="G189" s="36"/>
      <c r="H189" s="36"/>
      <c r="I189" s="35"/>
    </row>
    <row r="190" spans="1:9" ht="12.75" x14ac:dyDescent="0.2">
      <c r="A190" s="35"/>
      <c r="B190" s="35"/>
      <c r="C190" s="36"/>
      <c r="D190" s="36"/>
      <c r="E190" s="36"/>
      <c r="F190" s="36"/>
      <c r="G190" s="36"/>
      <c r="H190" s="36"/>
      <c r="I190" s="35"/>
    </row>
    <row r="191" spans="1:9" ht="12.75" x14ac:dyDescent="0.2">
      <c r="A191" s="35"/>
      <c r="B191" s="35"/>
      <c r="C191" s="36"/>
      <c r="D191" s="36"/>
      <c r="E191" s="36"/>
      <c r="F191" s="36"/>
      <c r="G191" s="36"/>
      <c r="H191" s="36"/>
      <c r="I191" s="35"/>
    </row>
    <row r="192" spans="1:9" ht="12.75" x14ac:dyDescent="0.2">
      <c r="A192" s="35"/>
      <c r="B192" s="35"/>
      <c r="C192" s="36"/>
      <c r="D192" s="36"/>
      <c r="E192" s="36"/>
      <c r="F192" s="36"/>
      <c r="G192" s="36"/>
      <c r="H192" s="36"/>
      <c r="I192" s="35"/>
    </row>
    <row r="193" spans="1:9" ht="12.75" x14ac:dyDescent="0.2">
      <c r="A193" s="35"/>
      <c r="B193" s="35"/>
      <c r="C193" s="36"/>
      <c r="D193" s="36"/>
      <c r="E193" s="36"/>
      <c r="F193" s="36"/>
      <c r="G193" s="36"/>
      <c r="H193" s="36"/>
      <c r="I193" s="35"/>
    </row>
    <row r="194" spans="1:9" ht="12.75" x14ac:dyDescent="0.2">
      <c r="A194" s="35"/>
      <c r="B194" s="35"/>
      <c r="C194" s="36"/>
      <c r="D194" s="36"/>
      <c r="E194" s="36"/>
      <c r="F194" s="36"/>
      <c r="G194" s="36"/>
      <c r="H194" s="36"/>
      <c r="I194" s="35"/>
    </row>
    <row r="195" spans="1:9" ht="12.75" x14ac:dyDescent="0.2">
      <c r="A195" s="35"/>
      <c r="B195" s="35"/>
      <c r="C195" s="36"/>
      <c r="D195" s="36"/>
      <c r="E195" s="36"/>
      <c r="F195" s="36"/>
      <c r="G195" s="36"/>
      <c r="H195" s="36"/>
      <c r="I195" s="35"/>
    </row>
    <row r="196" spans="1:9" ht="12.75" x14ac:dyDescent="0.2">
      <c r="A196" s="35"/>
      <c r="B196" s="35"/>
      <c r="C196" s="36"/>
      <c r="D196" s="36"/>
      <c r="E196" s="36"/>
      <c r="F196" s="36"/>
      <c r="G196" s="36"/>
      <c r="H196" s="36"/>
      <c r="I196" s="35"/>
    </row>
    <row r="197" spans="1:9" ht="12.75" x14ac:dyDescent="0.2">
      <c r="A197" s="35"/>
      <c r="B197" s="35"/>
      <c r="C197" s="36"/>
      <c r="D197" s="36"/>
      <c r="E197" s="36"/>
      <c r="F197" s="36"/>
      <c r="G197" s="36"/>
      <c r="H197" s="36"/>
      <c r="I197" s="35"/>
    </row>
    <row r="198" spans="1:9" ht="12.75" x14ac:dyDescent="0.2">
      <c r="A198" s="35"/>
      <c r="B198" s="35"/>
      <c r="C198" s="36"/>
      <c r="D198" s="36"/>
      <c r="E198" s="36"/>
      <c r="F198" s="36"/>
      <c r="G198" s="36"/>
      <c r="H198" s="36"/>
      <c r="I198" s="35"/>
    </row>
    <row r="199" spans="1:9" ht="12.75" x14ac:dyDescent="0.2">
      <c r="A199" s="35"/>
      <c r="B199" s="35"/>
      <c r="C199" s="36"/>
      <c r="D199" s="36"/>
      <c r="E199" s="36"/>
      <c r="F199" s="36"/>
      <c r="G199" s="36"/>
      <c r="H199" s="36"/>
      <c r="I199" s="35"/>
    </row>
    <row r="200" spans="1:9" ht="12.75" x14ac:dyDescent="0.2">
      <c r="A200" s="35"/>
      <c r="B200" s="35"/>
      <c r="C200" s="36"/>
      <c r="D200" s="36"/>
      <c r="E200" s="36"/>
      <c r="F200" s="36"/>
      <c r="G200" s="36"/>
      <c r="H200" s="36"/>
      <c r="I200" s="35"/>
    </row>
    <row r="201" spans="1:9" ht="12.75" x14ac:dyDescent="0.2">
      <c r="A201" s="35"/>
      <c r="B201" s="35"/>
      <c r="C201" s="36"/>
      <c r="D201" s="36"/>
      <c r="E201" s="36"/>
      <c r="F201" s="36"/>
      <c r="G201" s="36"/>
      <c r="H201" s="36"/>
      <c r="I201" s="35"/>
    </row>
    <row r="202" spans="1:9" ht="12.75" x14ac:dyDescent="0.2">
      <c r="A202" s="35"/>
      <c r="B202" s="35"/>
      <c r="C202" s="36"/>
      <c r="D202" s="36"/>
      <c r="E202" s="36"/>
      <c r="F202" s="36"/>
      <c r="G202" s="36"/>
      <c r="H202" s="36"/>
      <c r="I202" s="35"/>
    </row>
    <row r="203" spans="1:9" ht="12.75" x14ac:dyDescent="0.2">
      <c r="A203" s="35"/>
      <c r="B203" s="35"/>
      <c r="C203" s="36"/>
      <c r="D203" s="36"/>
      <c r="E203" s="36"/>
      <c r="F203" s="36"/>
      <c r="G203" s="36"/>
      <c r="H203" s="36"/>
      <c r="I203" s="35"/>
    </row>
    <row r="204" spans="1:9" ht="12.75" x14ac:dyDescent="0.2">
      <c r="A204" s="35"/>
      <c r="B204" s="35"/>
      <c r="C204" s="36"/>
      <c r="D204" s="36"/>
      <c r="E204" s="36"/>
      <c r="F204" s="36"/>
      <c r="G204" s="36"/>
      <c r="H204" s="36"/>
      <c r="I204" s="35"/>
    </row>
    <row r="205" spans="1:9" ht="12.75" x14ac:dyDescent="0.2">
      <c r="A205" s="35"/>
      <c r="B205" s="35"/>
      <c r="C205" s="36"/>
      <c r="D205" s="36"/>
      <c r="E205" s="36"/>
      <c r="F205" s="36"/>
      <c r="G205" s="36"/>
      <c r="H205" s="36"/>
      <c r="I205" s="35"/>
    </row>
    <row r="206" spans="1:9" ht="12.75" x14ac:dyDescent="0.2">
      <c r="A206" s="35"/>
      <c r="B206" s="35"/>
      <c r="C206" s="36"/>
      <c r="D206" s="36"/>
      <c r="E206" s="36"/>
      <c r="F206" s="36"/>
      <c r="G206" s="36"/>
      <c r="H206" s="36"/>
      <c r="I206" s="35"/>
    </row>
    <row r="207" spans="1:9" ht="12.75" x14ac:dyDescent="0.2">
      <c r="A207" s="35"/>
      <c r="B207" s="35"/>
      <c r="C207" s="36"/>
      <c r="D207" s="36"/>
      <c r="E207" s="36"/>
      <c r="F207" s="36"/>
      <c r="G207" s="36"/>
      <c r="H207" s="36"/>
      <c r="I207" s="35"/>
    </row>
    <row r="208" spans="1:9" ht="12.75" x14ac:dyDescent="0.2">
      <c r="A208" s="35"/>
      <c r="B208" s="35"/>
      <c r="C208" s="36"/>
      <c r="D208" s="36"/>
      <c r="E208" s="36"/>
      <c r="F208" s="36"/>
      <c r="G208" s="36"/>
      <c r="H208" s="36"/>
      <c r="I208" s="35"/>
    </row>
    <row r="209" spans="1:9" ht="12.75" x14ac:dyDescent="0.2">
      <c r="A209" s="35"/>
      <c r="B209" s="35"/>
      <c r="C209" s="36"/>
      <c r="D209" s="36"/>
      <c r="E209" s="36"/>
      <c r="F209" s="36"/>
      <c r="G209" s="36"/>
      <c r="H209" s="36"/>
      <c r="I209" s="35"/>
    </row>
    <row r="210" spans="1:9" ht="12.75" x14ac:dyDescent="0.2">
      <c r="A210" s="35"/>
      <c r="B210" s="35"/>
      <c r="C210" s="36"/>
      <c r="D210" s="36"/>
      <c r="E210" s="36"/>
      <c r="F210" s="36"/>
      <c r="G210" s="36"/>
      <c r="H210" s="36"/>
      <c r="I210" s="35"/>
    </row>
    <row r="211" spans="1:9" ht="12.75" x14ac:dyDescent="0.2">
      <c r="A211" s="35"/>
      <c r="B211" s="35"/>
      <c r="C211" s="36"/>
      <c r="D211" s="36"/>
      <c r="E211" s="36"/>
      <c r="F211" s="36"/>
      <c r="G211" s="36"/>
      <c r="H211" s="36"/>
      <c r="I211" s="35"/>
    </row>
    <row r="212" spans="1:9" ht="12.75" x14ac:dyDescent="0.2">
      <c r="A212" s="35"/>
      <c r="B212" s="35"/>
      <c r="C212" s="36"/>
      <c r="D212" s="36"/>
      <c r="E212" s="36"/>
      <c r="F212" s="36"/>
      <c r="G212" s="36"/>
      <c r="H212" s="36"/>
      <c r="I212" s="35"/>
    </row>
    <row r="213" spans="1:9" ht="12.75" x14ac:dyDescent="0.2">
      <c r="A213" s="35"/>
      <c r="B213" s="35"/>
      <c r="C213" s="36"/>
      <c r="D213" s="36"/>
      <c r="E213" s="36"/>
      <c r="F213" s="36"/>
      <c r="G213" s="36"/>
      <c r="H213" s="36"/>
      <c r="I213" s="35"/>
    </row>
  </sheetData>
  <mergeCells count="3">
    <mergeCell ref="A8:B8"/>
    <mergeCell ref="C8:E8"/>
    <mergeCell ref="A1:C2"/>
  </mergeCells>
  <printOptions horizontalCentered="1" headings="1" gridLinesSet="0"/>
  <pageMargins left="0.5" right="0.5" top="0.75" bottom="0" header="0.3" footer="0"/>
  <pageSetup scale="76" orientation="portrait" r:id="rId1"/>
  <headerFooter>
    <oddHeader>&amp;L&amp;"Verdana,Bold"Construction Cost Estimate</oddHeader>
    <oddFooter>&amp;R&amp;P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A0F93B69A7E24DA9BC61EF3B9012A5" ma:contentTypeVersion="14" ma:contentTypeDescription="Create a new document." ma:contentTypeScope="" ma:versionID="019ca686ea805b42daf5e4cb59ed0723">
  <xsd:schema xmlns:xsd="http://www.w3.org/2001/XMLSchema" xmlns:xs="http://www.w3.org/2001/XMLSchema" xmlns:p="http://schemas.microsoft.com/office/2006/metadata/properties" xmlns:ns2="9a775a1d-0b97-42a0-873a-96d01c9e5348" xmlns:ns3="970a0eeb-e1e9-41cd-aee8-0b7f8a0111b8" targetNamespace="http://schemas.microsoft.com/office/2006/metadata/properties" ma:root="true" ma:fieldsID="f26d981a90deb85b72538ac66bf87e5d" ns2:_="" ns3:_="">
    <xsd:import namespace="9a775a1d-0b97-42a0-873a-96d01c9e5348"/>
    <xsd:import namespace="970a0eeb-e1e9-41cd-aee8-0b7f8a0111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UploadedtoKTF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775a1d-0b97-42a0-873a-96d01c9e5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UploadedtoKTFS" ma:index="14" nillable="true" ma:displayName="Uploaded to KTFS" ma:default="0" ma:description="Uploaded to KTFS" ma:format="Dropdown" ma:internalName="UploadedtoKTFS">
      <xsd:simpleType>
        <xsd:restriction base="dms:Boolea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70a0eeb-e1e9-41cd-aee8-0b7f8a0111b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c00ce16-8bf1-43c2-8261-e78c9f942ca2}" ma:internalName="TaxCatchAll" ma:showField="CatchAllData" ma:web="970a0eeb-e1e9-41cd-aee8-0b7f8a0111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70a0eeb-e1e9-41cd-aee8-0b7f8a0111b8" xsi:nil="true"/>
    <lcf76f155ced4ddcb4097134ff3c332f xmlns="9a775a1d-0b97-42a0-873a-96d01c9e5348">
      <Terms xmlns="http://schemas.microsoft.com/office/infopath/2007/PartnerControls"/>
    </lcf76f155ced4ddcb4097134ff3c332f>
    <UploadedtoKTFS xmlns="9a775a1d-0b97-42a0-873a-96d01c9e5348">false</UploadedtoKTFS>
  </documentManagement>
</p:properties>
</file>

<file path=customXml/itemProps1.xml><?xml version="1.0" encoding="utf-8"?>
<ds:datastoreItem xmlns:ds="http://schemas.openxmlformats.org/officeDocument/2006/customXml" ds:itemID="{C93C4D11-7F54-4848-85F6-4B2F8FB725E1}">
  <ds:schemaRefs>
    <ds:schemaRef ds:uri="http://schemas.microsoft.com/office/2006/metadata/longProperties"/>
  </ds:schemaRefs>
</ds:datastoreItem>
</file>

<file path=customXml/itemProps2.xml><?xml version="1.0" encoding="utf-8"?>
<ds:datastoreItem xmlns:ds="http://schemas.openxmlformats.org/officeDocument/2006/customXml" ds:itemID="{1371684B-1192-4618-851D-3469C34202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775a1d-0b97-42a0-873a-96d01c9e5348"/>
    <ds:schemaRef ds:uri="970a0eeb-e1e9-41cd-aee8-0b7f8a0111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E236993-0CDC-4081-A6E9-1B7ECB7985C7}">
  <ds:schemaRefs>
    <ds:schemaRef ds:uri="http://schemas.microsoft.com/sharepoint/v3/contenttype/forms"/>
  </ds:schemaRefs>
</ds:datastoreItem>
</file>

<file path=customXml/itemProps4.xml><?xml version="1.0" encoding="utf-8"?>
<ds:datastoreItem xmlns:ds="http://schemas.openxmlformats.org/officeDocument/2006/customXml" ds:itemID="{C6F97907-A04F-493B-91A4-796DC342F989}">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49</vt:i4>
      </vt:variant>
    </vt:vector>
  </HeadingPairs>
  <TitlesOfParts>
    <vt:vector size="97" baseType="lpstr">
      <vt:lpstr>Instructions</vt:lpstr>
      <vt:lpstr>Summary</vt:lpstr>
      <vt:lpstr>Div1</vt:lpstr>
      <vt:lpstr>Div2</vt:lpstr>
      <vt:lpstr>Div3</vt:lpstr>
      <vt:lpstr>Div4</vt:lpstr>
      <vt:lpstr>Div5</vt:lpstr>
      <vt:lpstr>Div6</vt:lpstr>
      <vt:lpstr>Div7</vt:lpstr>
      <vt:lpstr>Div8</vt:lpstr>
      <vt:lpstr>Div9</vt:lpstr>
      <vt:lpstr>Div10</vt:lpstr>
      <vt:lpstr>Div11</vt:lpstr>
      <vt:lpstr>Div12</vt:lpstr>
      <vt:lpstr>Div13</vt:lpstr>
      <vt:lpstr>Div14</vt:lpstr>
      <vt:lpstr>Div15</vt:lpstr>
      <vt:lpstr>Div16</vt:lpstr>
      <vt:lpstr>Div20</vt:lpstr>
      <vt:lpstr>Div21</vt:lpstr>
      <vt:lpstr>Div22</vt:lpstr>
      <vt:lpstr>Div23</vt:lpstr>
      <vt:lpstr>Div24</vt:lpstr>
      <vt:lpstr>Div25</vt:lpstr>
      <vt:lpstr>Div26</vt:lpstr>
      <vt:lpstr>Div27</vt:lpstr>
      <vt:lpstr>Div28</vt:lpstr>
      <vt:lpstr>Div29</vt:lpstr>
      <vt:lpstr>Div30</vt:lpstr>
      <vt:lpstr>Div31</vt:lpstr>
      <vt:lpstr>Div32</vt:lpstr>
      <vt:lpstr>Div33</vt:lpstr>
      <vt:lpstr>Div34</vt:lpstr>
      <vt:lpstr>Div35</vt:lpstr>
      <vt:lpstr>Div36</vt:lpstr>
      <vt:lpstr>Div37</vt:lpstr>
      <vt:lpstr>Div38</vt:lpstr>
      <vt:lpstr>Div39</vt:lpstr>
      <vt:lpstr>Div40</vt:lpstr>
      <vt:lpstr>Div41</vt:lpstr>
      <vt:lpstr>Div42</vt:lpstr>
      <vt:lpstr>Div43</vt:lpstr>
      <vt:lpstr>Div44</vt:lpstr>
      <vt:lpstr>Div45</vt:lpstr>
      <vt:lpstr>Div46</vt:lpstr>
      <vt:lpstr>Div47</vt:lpstr>
      <vt:lpstr>Div48</vt:lpstr>
      <vt:lpstr>Div49</vt:lpstr>
      <vt:lpstr>Instructions!Print_Area</vt:lpstr>
      <vt:lpstr>Summary!Print_Area</vt:lpstr>
      <vt:lpstr>Div1!Print_Titles</vt:lpstr>
      <vt:lpstr>Div10!Print_Titles</vt:lpstr>
      <vt:lpstr>Div11!Print_Titles</vt:lpstr>
      <vt:lpstr>Div12!Print_Titles</vt:lpstr>
      <vt:lpstr>Div13!Print_Titles</vt:lpstr>
      <vt:lpstr>Div14!Print_Titles</vt:lpstr>
      <vt:lpstr>Div15!Print_Titles</vt:lpstr>
      <vt:lpstr>Div16!Print_Titles</vt:lpstr>
      <vt:lpstr>Div2!Print_Titles</vt:lpstr>
      <vt:lpstr>Div20!Print_Titles</vt:lpstr>
      <vt:lpstr>Div21!Print_Titles</vt:lpstr>
      <vt:lpstr>Div22!Print_Titles</vt:lpstr>
      <vt:lpstr>Div23!Print_Titles</vt:lpstr>
      <vt:lpstr>Div24!Print_Titles</vt:lpstr>
      <vt:lpstr>Div25!Print_Titles</vt:lpstr>
      <vt:lpstr>Div26!Print_Titles</vt:lpstr>
      <vt:lpstr>Div27!Print_Titles</vt:lpstr>
      <vt:lpstr>Div28!Print_Titles</vt:lpstr>
      <vt:lpstr>Div29!Print_Titles</vt:lpstr>
      <vt:lpstr>Div3!Print_Titles</vt:lpstr>
      <vt:lpstr>Div30!Print_Titles</vt:lpstr>
      <vt:lpstr>Div31!Print_Titles</vt:lpstr>
      <vt:lpstr>Div32!Print_Titles</vt:lpstr>
      <vt:lpstr>Div33!Print_Titles</vt:lpstr>
      <vt:lpstr>Div34!Print_Titles</vt:lpstr>
      <vt:lpstr>Div35!Print_Titles</vt:lpstr>
      <vt:lpstr>Div36!Print_Titles</vt:lpstr>
      <vt:lpstr>Div37!Print_Titles</vt:lpstr>
      <vt:lpstr>Div38!Print_Titles</vt:lpstr>
      <vt:lpstr>Div39!Print_Titles</vt:lpstr>
      <vt:lpstr>Div4!Print_Titles</vt:lpstr>
      <vt:lpstr>Div40!Print_Titles</vt:lpstr>
      <vt:lpstr>Div41!Print_Titles</vt:lpstr>
      <vt:lpstr>Div42!Print_Titles</vt:lpstr>
      <vt:lpstr>Div43!Print_Titles</vt:lpstr>
      <vt:lpstr>Div44!Print_Titles</vt:lpstr>
      <vt:lpstr>Div45!Print_Titles</vt:lpstr>
      <vt:lpstr>Div46!Print_Titles</vt:lpstr>
      <vt:lpstr>Div47!Print_Titles</vt:lpstr>
      <vt:lpstr>Div48!Print_Titles</vt:lpstr>
      <vt:lpstr>Div49!Print_Titles</vt:lpstr>
      <vt:lpstr>Div5!Print_Titles</vt:lpstr>
      <vt:lpstr>Div6!Print_Titles</vt:lpstr>
      <vt:lpstr>Div7!Print_Titles</vt:lpstr>
      <vt:lpstr>Div8!Print_Titles</vt:lpstr>
      <vt:lpstr>Div9!Print_Titles</vt:lpstr>
      <vt:lpstr>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EGL CST EST TEMPLATE</dc:title>
  <dc:creator>IT</dc:creator>
  <cp:lastModifiedBy>PACCIORETTI, JENNIFER A CIV USSF SSC 30 CONS/PKA</cp:lastModifiedBy>
  <cp:lastPrinted>2015-05-12T20:15:02Z</cp:lastPrinted>
  <dcterms:created xsi:type="dcterms:W3CDTF">2009-03-11T21:05:22Z</dcterms:created>
  <dcterms:modified xsi:type="dcterms:W3CDTF">2024-12-18T23:28:07Z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le (with Link)">
    <vt:lpwstr>https://usaf.dps.mil/sites/AFCC/KnowledgeCenter/contracting_templates/construction_cost_estimate_breakdown.xls, Construction Cost Estimate Breakdown</vt:lpwstr>
  </property>
  <property fmtid="{D5CDD505-2E9C-101B-9397-08002B2CF9AE}" pid="3" name="AFFARS Ref 2">
    <vt:lpwstr/>
  </property>
  <property fmtid="{D5CDD505-2E9C-101B-9397-08002B2CF9AE}" pid="4" name="Library">
    <vt:lpwstr>5336</vt:lpwstr>
  </property>
  <property fmtid="{D5CDD505-2E9C-101B-9397-08002B2CF9AE}" pid="5" name="Control #">
    <vt:lpwstr>5336-01</vt:lpwstr>
  </property>
  <property fmtid="{D5CDD505-2E9C-101B-9397-08002B2CF9AE}" pid="6" name="AFFARS Ref 1">
    <vt:lpwstr>5336.9001</vt:lpwstr>
  </property>
  <property fmtid="{D5CDD505-2E9C-101B-9397-08002B2CF9AE}" pid="7" name="Status">
    <vt:lpwstr>Reformatted</vt:lpwstr>
  </property>
  <property fmtid="{D5CDD505-2E9C-101B-9397-08002B2CF9AE}" pid="8" name="display_urn:schemas-microsoft-com:office:office#Editor">
    <vt:lpwstr>VOUDREN, JEFFREY W NH-04 USAF HAF SAF/BLDG PENTAGON, 4C149</vt:lpwstr>
  </property>
  <property fmtid="{D5CDD505-2E9C-101B-9397-08002B2CF9AE}" pid="9" name="IconOverlay">
    <vt:lpwstr/>
  </property>
  <property fmtid="{D5CDD505-2E9C-101B-9397-08002B2CF9AE}" pid="10" name="TemplateUrl">
    <vt:lpwstr/>
  </property>
  <property fmtid="{D5CDD505-2E9C-101B-9397-08002B2CF9AE}" pid="11" name="xd_ProgID">
    <vt:lpwstr/>
  </property>
  <property fmtid="{D5CDD505-2E9C-101B-9397-08002B2CF9AE}" pid="12" name="display_urn:schemas-microsoft-com:office:office#Author">
    <vt:lpwstr>VOUDREN, JEFFREY W NH-04 USAF HAF SAF/BLDG PENTAGON, 4C149</vt:lpwstr>
  </property>
  <property fmtid="{D5CDD505-2E9C-101B-9397-08002B2CF9AE}" pid="13" name="Order">
    <vt:lpwstr>18100.0000000000</vt:lpwstr>
  </property>
  <property fmtid="{D5CDD505-2E9C-101B-9397-08002B2CF9AE}" pid="14" name="URL">
    <vt:lpwstr/>
  </property>
  <property fmtid="{D5CDD505-2E9C-101B-9397-08002B2CF9AE}" pid="15" name="Group #">
    <vt:lpwstr>06</vt:lpwstr>
  </property>
  <property fmtid="{D5CDD505-2E9C-101B-9397-08002B2CF9AE}" pid="16" name="DAFFARSPart">
    <vt:lpwstr>5336</vt:lpwstr>
  </property>
  <property fmtid="{D5CDD505-2E9C-101B-9397-08002B2CF9AE}" pid="17" name="TemplateTitle">
    <vt:lpwstr>Construction Cost Estimate Breakdown</vt:lpwstr>
  </property>
  <property fmtid="{D5CDD505-2E9C-101B-9397-08002B2CF9AE}" pid="18" name="PrimaryReference">
    <vt:lpwstr>https://www.acquisition.gov/daffars/part-5336-construction-and-architect-engineer-contracts, 5336</vt:lpwstr>
  </property>
  <property fmtid="{D5CDD505-2E9C-101B-9397-08002B2CF9AE}" pid="19" name="MediaServiceImageTags">
    <vt:lpwstr/>
  </property>
  <property fmtid="{D5CDD505-2E9C-101B-9397-08002B2CF9AE}" pid="20" name="ContentTypeId">
    <vt:lpwstr>0x0101004EA0F93B69A7E24DA9BC61EF3B9012A5</vt:lpwstr>
  </property>
</Properties>
</file>