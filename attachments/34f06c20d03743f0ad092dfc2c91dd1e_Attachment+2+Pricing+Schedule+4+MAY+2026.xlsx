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af-my.dps.mil/personal/nichole_ray_1_us_af_mil/Documents/Desktop/FY26 LTS LAK FSH/RFQ/AMEND 0005/"/>
    </mc:Choice>
  </mc:AlternateContent>
  <xr:revisionPtr revIDLastSave="15" documentId="8_{7C9B670F-0218-4736-A32E-F07302B0E01F}" xr6:coauthVersionLast="47" xr6:coauthVersionMax="47" xr10:uidLastSave="{B745B975-A6A2-4BA5-92C3-49789FCDBEF0}"/>
  <bookViews>
    <workbookView xWindow="19090" yWindow="30" windowWidth="38620" windowHeight="20960" tabRatio="771" xr2:uid="{00000000-000D-0000-FFFF-FFFF00000000}"/>
  </bookViews>
  <sheets>
    <sheet name="Base Year" sheetId="2" r:id="rId1"/>
    <sheet name="Option Yr 1" sheetId="11" r:id="rId2"/>
    <sheet name="Option Yr 2" sheetId="12" r:id="rId3"/>
    <sheet name="Option Yr 3" sheetId="13" r:id="rId4"/>
    <sheet name="Option Yr 4" sheetId="14" r:id="rId5"/>
    <sheet name="Pricing Schedule Summary" sheetId="15" r:id="rId6"/>
  </sheets>
  <definedNames>
    <definedName name="CLIN1_Total">'Base Year'!#REF!</definedName>
    <definedName name="CLIN2_Total">'Base Year'!#REF!</definedName>
    <definedName name="CLIN3_Total">'Base Year'!#REF!</definedName>
    <definedName name="FlatCLIN1">'Base Year'!#REF!</definedName>
    <definedName name="FlatCLIN2">'Base Year'!#REF!</definedName>
    <definedName name="FlatCLIN3">'Base Year'!#REF!</definedName>
    <definedName name="MeasCLIN1">'Base Year'!#REF!</definedName>
    <definedName name="MeasCLIN2">'Base Year'!#REF!</definedName>
    <definedName name="MeasCLIN3">'Base Year'!#REF!</definedName>
    <definedName name="NAME">'Base Year'!#REF!</definedName>
    <definedName name="_xlnm.Print_Area" localSheetId="0">'Base Year'!$B$2:$I$33</definedName>
    <definedName name="_xlnm.Print_Titles" localSheetId="0">'Base Year'!$2:$6</definedName>
    <definedName name="RS1_CLIN1_Total">#REF!</definedName>
    <definedName name="RS1_CLIN2_Total">#REF!</definedName>
    <definedName name="RS1_CLIN3_Total">#REF!</definedName>
    <definedName name="RS1_FlatCLIN1">#REF!</definedName>
    <definedName name="RS1_FlatCLIN2">#REF!</definedName>
    <definedName name="RS1_FlatCLIN3">#REF!</definedName>
    <definedName name="RS1_MeasCLIN1">#REF!</definedName>
    <definedName name="RS1_MeasCLIN2">#REF!</definedName>
    <definedName name="RS1_MeasCLIN3">#REF!</definedName>
    <definedName name="RS1_NAME">#REF!</definedName>
    <definedName name="RS2_CLIN1_Total">#REF!</definedName>
    <definedName name="RS2_CLIN2_Total">#REF!</definedName>
    <definedName name="RS2_CLIN3_Total">#REF!</definedName>
    <definedName name="RS2_FlatCLIN1">#REF!</definedName>
    <definedName name="RS2_FlatCLIN2">#REF!</definedName>
    <definedName name="RS2_FlatCLIN3">#REF!</definedName>
    <definedName name="RS2_MeasCLIN1">#REF!</definedName>
    <definedName name="RS2_MeasCLIN2">#REF!</definedName>
    <definedName name="RS2_MeasCLIN3">#REF!</definedName>
    <definedName name="RS2_NAM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2" l="1"/>
  <c r="D12" i="15"/>
  <c r="S12" i="15"/>
  <c r="P12" i="15"/>
  <c r="M12" i="15"/>
  <c r="J12" i="15"/>
  <c r="G12" i="15"/>
  <c r="I86" i="14"/>
  <c r="H86" i="14"/>
  <c r="G86" i="14"/>
  <c r="I50" i="14"/>
  <c r="H50" i="14"/>
  <c r="G50" i="14"/>
  <c r="I76" i="14"/>
  <c r="H86" i="13"/>
  <c r="G86" i="13"/>
  <c r="H50" i="13"/>
  <c r="G50" i="13"/>
  <c r="I76" i="13"/>
  <c r="H86" i="12"/>
  <c r="G86" i="12"/>
  <c r="I76" i="12"/>
  <c r="I77" i="12"/>
  <c r="H50" i="12"/>
  <c r="H88" i="12" s="1"/>
  <c r="G50" i="12"/>
  <c r="H86" i="11"/>
  <c r="G86" i="11"/>
  <c r="I76" i="11"/>
  <c r="H50" i="11"/>
  <c r="G50" i="11"/>
  <c r="H86" i="2"/>
  <c r="G86" i="2"/>
  <c r="H50" i="2"/>
  <c r="G50" i="2"/>
  <c r="I76" i="2"/>
  <c r="I77" i="2"/>
  <c r="B2" i="15"/>
  <c r="I83" i="14"/>
  <c r="I82" i="14"/>
  <c r="I81" i="14"/>
  <c r="I75" i="14"/>
  <c r="I74" i="14"/>
  <c r="I73" i="14"/>
  <c r="I72" i="14"/>
  <c r="I68" i="14"/>
  <c r="I67" i="14"/>
  <c r="I66" i="14"/>
  <c r="I65" i="14"/>
  <c r="I62" i="14"/>
  <c r="I61" i="14"/>
  <c r="I57" i="14"/>
  <c r="I55" i="14"/>
  <c r="I47" i="14"/>
  <c r="I46" i="14"/>
  <c r="I45" i="14"/>
  <c r="I44" i="14"/>
  <c r="I43" i="14"/>
  <c r="I42" i="14"/>
  <c r="I38" i="14"/>
  <c r="I37" i="14"/>
  <c r="I33" i="14"/>
  <c r="I32" i="14"/>
  <c r="I29" i="14"/>
  <c r="I28" i="14"/>
  <c r="I23" i="14"/>
  <c r="I22" i="14"/>
  <c r="I83" i="13"/>
  <c r="I82" i="13"/>
  <c r="I81" i="13"/>
  <c r="I75" i="13"/>
  <c r="I74" i="13"/>
  <c r="I73" i="13"/>
  <c r="I72" i="13"/>
  <c r="I86" i="13" s="1"/>
  <c r="I68" i="13"/>
  <c r="I67" i="13"/>
  <c r="I66" i="13"/>
  <c r="I65" i="13"/>
  <c r="I62" i="13"/>
  <c r="I61" i="13"/>
  <c r="I57" i="13"/>
  <c r="I55" i="13"/>
  <c r="I47" i="13"/>
  <c r="I46" i="13"/>
  <c r="I45" i="13"/>
  <c r="I44" i="13"/>
  <c r="I43" i="13"/>
  <c r="I42" i="13"/>
  <c r="I38" i="13"/>
  <c r="I37" i="13"/>
  <c r="I32" i="13"/>
  <c r="I30" i="13"/>
  <c r="I29" i="13"/>
  <c r="I28" i="13"/>
  <c r="I23" i="13"/>
  <c r="I22" i="13"/>
  <c r="I50" i="13" s="1"/>
  <c r="I83" i="12"/>
  <c r="I82" i="12"/>
  <c r="I81" i="12"/>
  <c r="I75" i="12"/>
  <c r="I74" i="12"/>
  <c r="I73" i="12"/>
  <c r="I72" i="12"/>
  <c r="I68" i="12"/>
  <c r="I67" i="12"/>
  <c r="I66" i="12"/>
  <c r="I65" i="12"/>
  <c r="I62" i="12"/>
  <c r="I61" i="12"/>
  <c r="I57" i="12"/>
  <c r="I55" i="12"/>
  <c r="I86" i="12" s="1"/>
  <c r="I47" i="12"/>
  <c r="I46" i="12"/>
  <c r="I45" i="12"/>
  <c r="I44" i="12"/>
  <c r="I43" i="12"/>
  <c r="I42" i="12"/>
  <c r="I38" i="12"/>
  <c r="I37" i="12"/>
  <c r="I32" i="12"/>
  <c r="I29" i="12"/>
  <c r="I28" i="12"/>
  <c r="I23" i="12"/>
  <c r="I22" i="12"/>
  <c r="I50" i="12" s="1"/>
  <c r="I83" i="11"/>
  <c r="I82" i="11"/>
  <c r="I81" i="11"/>
  <c r="I75" i="11"/>
  <c r="I74" i="11"/>
  <c r="I73" i="11"/>
  <c r="I72" i="11"/>
  <c r="I68" i="11"/>
  <c r="I67" i="11"/>
  <c r="I66" i="11"/>
  <c r="I65" i="11"/>
  <c r="I62" i="11"/>
  <c r="I61" i="11"/>
  <c r="I57" i="11"/>
  <c r="I55" i="11"/>
  <c r="I86" i="11" s="1"/>
  <c r="I47" i="11"/>
  <c r="I46" i="11"/>
  <c r="I45" i="11"/>
  <c r="I44" i="11"/>
  <c r="I43" i="11"/>
  <c r="I50" i="11" s="1"/>
  <c r="I42" i="11"/>
  <c r="I38" i="11"/>
  <c r="I37" i="11"/>
  <c r="I32" i="11"/>
  <c r="I29" i="11"/>
  <c r="I28" i="11"/>
  <c r="I23" i="11"/>
  <c r="I22" i="11"/>
  <c r="H88" i="14" l="1"/>
  <c r="G88" i="14"/>
  <c r="H88" i="13"/>
  <c r="G88" i="13"/>
  <c r="G88" i="12"/>
  <c r="G88" i="11"/>
  <c r="H88" i="11"/>
  <c r="I88" i="14"/>
  <c r="I88" i="13"/>
  <c r="I88" i="12"/>
  <c r="I82" i="2"/>
  <c r="I74" i="2"/>
  <c r="I73" i="2"/>
  <c r="I68" i="2"/>
  <c r="I67" i="2"/>
  <c r="I66" i="2"/>
  <c r="I65" i="2"/>
  <c r="I88" i="11" l="1"/>
  <c r="J88" i="2"/>
  <c r="H11" i="15"/>
  <c r="E13" i="15" l="1"/>
  <c r="G88" i="2"/>
  <c r="E11" i="15" s="1"/>
  <c r="N11" i="15"/>
  <c r="H88" i="2"/>
  <c r="Q11" i="15"/>
  <c r="T11" i="15" s="1"/>
  <c r="K11" i="15"/>
  <c r="N12" i="15" l="1"/>
  <c r="I44" i="2"/>
  <c r="I22" i="2"/>
  <c r="I83" i="2"/>
  <c r="I81" i="2"/>
  <c r="I75" i="2"/>
  <c r="I72" i="2"/>
  <c r="I62" i="2"/>
  <c r="I61" i="2"/>
  <c r="I57" i="2"/>
  <c r="I55" i="2"/>
  <c r="I86" i="2" s="1"/>
  <c r="T12" i="15" l="1"/>
  <c r="T15" i="15" s="1"/>
  <c r="Q12" i="15"/>
  <c r="K12" i="15"/>
  <c r="H12" i="15"/>
  <c r="H15" i="15" s="1"/>
  <c r="N15" i="15"/>
  <c r="Q15" i="15" l="1"/>
  <c r="K15" i="15"/>
  <c r="I23" i="2"/>
  <c r="I28" i="2"/>
  <c r="I29" i="2"/>
  <c r="I30" i="2"/>
  <c r="I32" i="2"/>
  <c r="I33" i="2"/>
  <c r="I37" i="2"/>
  <c r="I38" i="2"/>
  <c r="I42" i="2"/>
  <c r="I43" i="2"/>
  <c r="I45" i="2"/>
  <c r="I46" i="2"/>
  <c r="I47" i="2"/>
  <c r="I48" i="2"/>
  <c r="I50" i="2" l="1"/>
  <c r="S15" i="15"/>
  <c r="B5" i="15" l="1"/>
  <c r="E12" i="15" l="1"/>
  <c r="E15" i="15" l="1"/>
  <c r="E17" i="15" s="1"/>
</calcChain>
</file>

<file path=xl/sharedStrings.xml><?xml version="1.0" encoding="utf-8"?>
<sst xmlns="http://schemas.openxmlformats.org/spreadsheetml/2006/main" count="1104" uniqueCount="109">
  <si>
    <t>BASE YEAR</t>
  </si>
  <si>
    <t>Solicitation FA301626Q0004</t>
  </si>
  <si>
    <t>JBSA Lackland AFB / Fort Sam Houston, TX</t>
  </si>
  <si>
    <t>CLIN 0001 (FFP)</t>
  </si>
  <si>
    <t>CLIN 0002 (FFP)</t>
  </si>
  <si>
    <t>CLIN 0003 (FFP)</t>
  </si>
  <si>
    <t>Services &amp; Function Items</t>
  </si>
  <si>
    <t>Non-Recurring Charges</t>
  </si>
  <si>
    <t>Recurring Charges</t>
  </si>
  <si>
    <t>Cutover</t>
  </si>
  <si>
    <t>SLIN</t>
  </si>
  <si>
    <t>DESCRIPTION</t>
  </si>
  <si>
    <t>Unit of Issue</t>
  </si>
  <si>
    <t>Quantity</t>
  </si>
  <si>
    <t>Annual Total NRC</t>
  </si>
  <si>
    <t xml:space="preserve">Per Unit Monthly </t>
  </si>
  <si>
    <t>Total Monthly</t>
  </si>
  <si>
    <t xml:space="preserve"> </t>
  </si>
  <si>
    <t>A</t>
  </si>
  <si>
    <t xml:space="preserve">Installation and Cutover </t>
  </si>
  <si>
    <t>Installation (PWS Para 4.2)</t>
  </si>
  <si>
    <t>EA</t>
  </si>
  <si>
    <t>B</t>
  </si>
  <si>
    <t>Cutover (PWS Para 4.2.1)</t>
  </si>
  <si>
    <t>Customer Service Records</t>
  </si>
  <si>
    <t>C</t>
  </si>
  <si>
    <t>Customer Services Record (CSR)</t>
  </si>
  <si>
    <t>SIP Trunking Traffic Study/Analysis Report</t>
  </si>
  <si>
    <t>D</t>
  </si>
  <si>
    <t>City Trunk Traffic Analysis Study with Report</t>
  </si>
  <si>
    <t>E</t>
  </si>
  <si>
    <t>Long Distance Traffic Analysis Study with Report</t>
  </si>
  <si>
    <t>(A) Lackland AFB</t>
  </si>
  <si>
    <t xml:space="preserve">Direct Inward Dial Directory Number </t>
  </si>
  <si>
    <t>DID Directory Number</t>
  </si>
  <si>
    <t>HD</t>
  </si>
  <si>
    <t>Direct In Dial (DID) Directory Number Portability</t>
  </si>
  <si>
    <t>Taxes, Fees &amp; Surcharges</t>
  </si>
  <si>
    <t xml:space="preserve"> - BZ Reserved</t>
  </si>
  <si>
    <t>Commercial Subscriber Lines</t>
  </si>
  <si>
    <t>Flat Rate, Basic Services, Analog</t>
  </si>
  <si>
    <t xml:space="preserve">Commercial Subscriber Line Features </t>
  </si>
  <si>
    <t>Touch Tone</t>
  </si>
  <si>
    <t xml:space="preserve"> - CZ Reserved</t>
  </si>
  <si>
    <t>SIP Trunking with PRI Handoff</t>
  </si>
  <si>
    <t>Concurrent Call Path</t>
  </si>
  <si>
    <t>ISDN Primary Rate Interface</t>
  </si>
  <si>
    <t xml:space="preserve"> - EZ Reserved</t>
  </si>
  <si>
    <t>F</t>
  </si>
  <si>
    <t xml:space="preserve">Transport Channels </t>
  </si>
  <si>
    <t xml:space="preserve">4-Wire Voice Circuit &amp; Terminations </t>
  </si>
  <si>
    <t>4-Wire Voice Circuit Transport Mileage, Per Mile</t>
  </si>
  <si>
    <t>MI</t>
  </si>
  <si>
    <t>1 Gbps Circuit</t>
  </si>
  <si>
    <t>1 GbpsTransport Mileage, Per Mile</t>
  </si>
  <si>
    <t>Taxes, Fees &amp; Surchages</t>
  </si>
  <si>
    <t>G</t>
  </si>
  <si>
    <t xml:space="preserve"> - FZ Reserved</t>
  </si>
  <si>
    <t>Total Lackland AFB</t>
  </si>
  <si>
    <t>(B) Fort Sam Houston / BAMC</t>
  </si>
  <si>
    <t xml:space="preserve">Direct In Dial Directory Number </t>
  </si>
  <si>
    <r>
      <t xml:space="preserve">Direct In Dial (DID) Directory Number Portability    </t>
    </r>
    <r>
      <rPr>
        <sz val="12"/>
        <color indexed="10"/>
        <rFont val="Arial"/>
        <family val="2"/>
      </rPr>
      <t xml:space="preserve"> </t>
    </r>
  </si>
  <si>
    <t xml:space="preserve"> - GZ Reserved</t>
  </si>
  <si>
    <t>H</t>
  </si>
  <si>
    <t xml:space="preserve">Flat Rate, Basic Services, Analog, </t>
  </si>
  <si>
    <t>Call Forward</t>
  </si>
  <si>
    <t xml:space="preserve">Call Waiting </t>
  </si>
  <si>
    <t>Call Transfer</t>
  </si>
  <si>
    <t xml:space="preserve"> - HZ Reserved</t>
  </si>
  <si>
    <t>J</t>
  </si>
  <si>
    <t>Concurrent Call Path (Ft Sam)</t>
  </si>
  <si>
    <t>ISDN Primary Rate Interface (Ft Sam)</t>
  </si>
  <si>
    <t>Concurrent Call Path (BAMC)</t>
  </si>
  <si>
    <t>ISDN Primary Rate Interface (BAMC)</t>
  </si>
  <si>
    <t xml:space="preserve"> - JZ Reserved</t>
  </si>
  <si>
    <t>K</t>
  </si>
  <si>
    <t>Transport Channels</t>
  </si>
  <si>
    <t xml:space="preserve">E-Line EVC EVPL 10 Mbps Ethernet </t>
  </si>
  <si>
    <t>Ethernet Transport Mileage, Per Mile</t>
  </si>
  <si>
    <t>Ml</t>
  </si>
  <si>
    <t xml:space="preserve"> - KZ Reserved</t>
  </si>
  <si>
    <t>Total Fort Sam Houston</t>
  </si>
  <si>
    <t>Total</t>
  </si>
  <si>
    <t>PRICING SCHEDULE Solicitation FA301626Q0004</t>
  </si>
  <si>
    <t>LOCAL TECOMMUNICATION SERVICES</t>
  </si>
  <si>
    <t>OPTION YEAR ONE</t>
  </si>
  <si>
    <t>OPTION YEAR TWO</t>
  </si>
  <si>
    <t>OPTION YEAR THREE</t>
  </si>
  <si>
    <t>OPTION YEAR FOUR</t>
  </si>
  <si>
    <t>OPTIONAL 6-MO EXTENSION</t>
  </si>
  <si>
    <t>PRICING SUMMARY</t>
  </si>
  <si>
    <t>CLIN</t>
  </si>
  <si>
    <t>MONTHLY</t>
  </si>
  <si>
    <t>ANNUALLY</t>
  </si>
  <si>
    <t>0001</t>
  </si>
  <si>
    <t>NON-RECURRING CHARGES (NRC)</t>
  </si>
  <si>
    <t>0002</t>
  </si>
  <si>
    <t>MONTHLY RECURRING CHARGES (MRC)</t>
  </si>
  <si>
    <t>0003</t>
  </si>
  <si>
    <t>CUTOVER</t>
  </si>
  <si>
    <t>TOTAL:</t>
  </si>
  <si>
    <t>BASE YEAR + ALL OPTION YEARS TOTAL:</t>
  </si>
  <si>
    <t>OPTION YEAR 1</t>
  </si>
  <si>
    <t>OPTION YEAR 2</t>
  </si>
  <si>
    <t>OPTION YEAR 3</t>
  </si>
  <si>
    <t>OPTION YEAR 4</t>
  </si>
  <si>
    <t>Sub Total</t>
  </si>
  <si>
    <t>GRAND TOTAL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</si>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</sst>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2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u/>
      <sz val="12"/>
      <color indexed="37"/>
      <name val="Arial"/>
      <family val="2"/>
    </font>
    <font>
      <sz val="12"/>
      <color indexed="38"/>
      <name val="Arial"/>
      <family val="2"/>
    </font>
    <font>
      <sz val="12"/>
      <color indexed="10"/>
      <name val="Arial"/>
      <family val="2"/>
    </font>
    <font>
      <b/>
      <sz val="12"/>
      <color indexed="37"/>
      <name val="Arial"/>
      <family val="2"/>
    </font>
    <font>
      <b/>
      <sz val="12"/>
      <color indexed="38"/>
      <name val="Arial"/>
      <family val="2"/>
    </font>
    <font>
      <sz val="12"/>
      <color rgb="FFFF0000"/>
      <name val="Arial"/>
      <family val="2"/>
    </font>
    <font>
      <sz val="12"/>
      <color rgb="FF31849B"/>
      <name val="Arial"/>
      <family val="2"/>
    </font>
    <font>
      <sz val="12"/>
      <color theme="8" tint="-0.499984740745262"/>
      <name val="Arial"/>
      <family val="2"/>
    </font>
    <font>
      <b/>
      <sz val="12"/>
      <color rgb="FFFF0000"/>
      <name val="Arial"/>
      <family val="2"/>
    </font>
    <font>
      <sz val="12"/>
      <color indexed="37"/>
      <name val="Arial"/>
      <family val="2"/>
    </font>
    <font>
      <sz val="30"/>
      <name val="Arial"/>
      <family val="2"/>
    </font>
    <font>
      <b/>
      <sz val="10"/>
      <color rgb="FFFF0000"/>
      <name val="Arial"/>
      <family val="2"/>
    </font>
    <font>
      <b/>
      <sz val="14"/>
      <color rgb="FFFF0000"/>
      <name val="Arial"/>
      <family val="2"/>
    </font>
    <font>
      <sz val="12"/>
      <color rgb="FF008080"/>
      <name val="Arial"/>
      <family val="2"/>
    </font>
    <font>
      <sz val="12"/>
      <color theme="8" tint="-0.2499465926084170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99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0">
    <xf numFmtId="0" fontId="0" fillId="0" borderId="0" xfId="0"/>
    <xf numFmtId="0" fontId="2" fillId="0" borderId="1" xfId="0" applyFont="1" applyBorder="1"/>
    <xf numFmtId="49" fontId="2" fillId="0" borderId="3" xfId="0" applyNumberFormat="1" applyFont="1" applyBorder="1" applyAlignment="1" applyProtection="1">
      <alignment horizontal="center"/>
      <protection locked="0"/>
    </xf>
    <xf numFmtId="0" fontId="2" fillId="0" borderId="7" xfId="0" applyFont="1" applyBorder="1"/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 wrapText="1"/>
    </xf>
    <xf numFmtId="0" fontId="6" fillId="0" borderId="0" xfId="0" applyFont="1" applyAlignment="1" applyProtection="1">
      <alignment horizontal="left" vertical="top"/>
      <protection locked="0"/>
    </xf>
    <xf numFmtId="0" fontId="6" fillId="0" borderId="0" xfId="0" applyFont="1" applyAlignment="1" applyProtection="1">
      <alignment horizontal="center" vertical="top"/>
      <protection locked="0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 applyProtection="1">
      <alignment horizontal="left" vertical="center"/>
      <protection locked="0"/>
    </xf>
    <xf numFmtId="0" fontId="6" fillId="0" borderId="0" xfId="0" applyFont="1" applyAlignment="1">
      <alignment vertical="center" wrapText="1"/>
    </xf>
    <xf numFmtId="0" fontId="4" fillId="0" borderId="0" xfId="0" applyFont="1" applyAlignment="1" applyProtection="1">
      <alignment horizontal="left"/>
      <protection locked="0"/>
    </xf>
    <xf numFmtId="0" fontId="7" fillId="0" borderId="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quotePrefix="1" applyFont="1" applyAlignment="1">
      <alignment horizontal="left" vertical="center" wrapText="1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44" fontId="3" fillId="0" borderId="0" xfId="0" applyNumberFormat="1" applyFont="1" applyAlignment="1">
      <alignment horizontal="right" vertical="center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10" fillId="0" borderId="9" xfId="0" applyFont="1" applyBorder="1" applyAlignment="1">
      <alignment horizontal="left"/>
    </xf>
    <xf numFmtId="0" fontId="10" fillId="0" borderId="0" xfId="0" applyFont="1" applyAlignment="1">
      <alignment horizontal="left"/>
    </xf>
    <xf numFmtId="44" fontId="3" fillId="4" borderId="0" xfId="0" applyNumberFormat="1" applyFont="1" applyFill="1" applyAlignment="1">
      <alignment horizontal="right" vertical="center"/>
    </xf>
    <xf numFmtId="44" fontId="3" fillId="0" borderId="0" xfId="0" applyNumberFormat="1" applyFont="1" applyAlignment="1" applyProtection="1">
      <alignment horizontal="right" vertical="center"/>
      <protection locked="0"/>
    </xf>
    <xf numFmtId="44" fontId="3" fillId="0" borderId="19" xfId="0" applyNumberFormat="1" applyFont="1" applyBorder="1" applyAlignment="1" applyProtection="1">
      <alignment horizontal="right" vertical="center"/>
      <protection locked="0"/>
    </xf>
    <xf numFmtId="44" fontId="3" fillId="0" borderId="19" xfId="0" applyNumberFormat="1" applyFont="1" applyBorder="1" applyAlignment="1">
      <alignment horizontal="right" vertical="center"/>
    </xf>
    <xf numFmtId="0" fontId="11" fillId="0" borderId="0" xfId="0" applyFont="1" applyAlignment="1">
      <alignment horizontal="left" vertical="center" wrapText="1"/>
    </xf>
    <xf numFmtId="44" fontId="3" fillId="4" borderId="19" xfId="1" applyFont="1" applyFill="1" applyBorder="1" applyAlignment="1" applyProtection="1">
      <alignment horizontal="right" vertical="center"/>
    </xf>
    <xf numFmtId="44" fontId="3" fillId="0" borderId="19" xfId="1" applyFont="1" applyFill="1" applyBorder="1" applyAlignment="1" applyProtection="1">
      <alignment horizontal="right" vertical="center"/>
    </xf>
    <xf numFmtId="44" fontId="3" fillId="0" borderId="20" xfId="0" applyNumberFormat="1" applyFont="1" applyBorder="1" applyAlignment="1">
      <alignment horizontal="left"/>
    </xf>
    <xf numFmtId="49" fontId="12" fillId="0" borderId="0" xfId="0" applyNumberFormat="1" applyFont="1" applyAlignment="1">
      <alignment horizontal="left" vertical="center" wrapText="1"/>
    </xf>
    <xf numFmtId="164" fontId="2" fillId="0" borderId="26" xfId="0" applyNumberFormat="1" applyFont="1" applyBorder="1"/>
    <xf numFmtId="0" fontId="2" fillId="0" borderId="14" xfId="0" applyFont="1" applyBorder="1" applyAlignment="1">
      <alignment wrapText="1"/>
    </xf>
    <xf numFmtId="8" fontId="2" fillId="0" borderId="26" xfId="0" applyNumberFormat="1" applyFont="1" applyBorder="1"/>
    <xf numFmtId="0" fontId="4" fillId="0" borderId="19" xfId="0" applyFont="1" applyBorder="1" applyAlignment="1" applyProtection="1">
      <alignment horizontal="left"/>
      <protection locked="0"/>
    </xf>
    <xf numFmtId="0" fontId="4" fillId="0" borderId="9" xfId="0" applyFont="1" applyBorder="1" applyAlignment="1" applyProtection="1">
      <alignment horizontal="left"/>
      <protection locked="0"/>
    </xf>
    <xf numFmtId="0" fontId="4" fillId="0" borderId="22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8" fillId="0" borderId="8" xfId="0" applyFont="1" applyBorder="1" applyAlignment="1">
      <alignment horizontal="left" vertical="center" wrapText="1"/>
    </xf>
    <xf numFmtId="0" fontId="4" fillId="0" borderId="30" xfId="0" applyFont="1" applyBorder="1" applyAlignment="1" applyProtection="1">
      <alignment horizontal="left"/>
      <protection locked="0"/>
    </xf>
    <xf numFmtId="44" fontId="3" fillId="0" borderId="30" xfId="0" applyNumberFormat="1" applyFont="1" applyBorder="1" applyAlignment="1" applyProtection="1">
      <alignment horizontal="right" vertical="center"/>
      <protection locked="0"/>
    </xf>
    <xf numFmtId="44" fontId="3" fillId="4" borderId="30" xfId="1" applyFont="1" applyFill="1" applyBorder="1" applyAlignment="1" applyProtection="1">
      <alignment horizontal="right" vertical="center"/>
    </xf>
    <xf numFmtId="44" fontId="3" fillId="0" borderId="30" xfId="1" applyFont="1" applyFill="1" applyBorder="1" applyAlignment="1" applyProtection="1">
      <alignment horizontal="right" vertical="center"/>
    </xf>
    <xf numFmtId="3" fontId="6" fillId="0" borderId="0" xfId="0" applyNumberFormat="1" applyFont="1" applyAlignment="1" applyProtection="1">
      <alignment horizontal="center" vertical="top"/>
      <protection locked="0"/>
    </xf>
    <xf numFmtId="0" fontId="6" fillId="0" borderId="0" xfId="0" quotePrefix="1" applyFont="1" applyAlignment="1" applyProtection="1">
      <alignment horizontal="center" vertical="top"/>
      <protection locked="0"/>
    </xf>
    <xf numFmtId="0" fontId="7" fillId="0" borderId="0" xfId="0" applyFont="1" applyAlignment="1" applyProtection="1">
      <alignment horizontal="center" vertical="top"/>
      <protection locked="0"/>
    </xf>
    <xf numFmtId="0" fontId="6" fillId="0" borderId="8" xfId="0" applyFont="1" applyBorder="1" applyAlignment="1" applyProtection="1">
      <alignment horizontal="center" vertical="top"/>
      <protection locked="0"/>
    </xf>
    <xf numFmtId="44" fontId="3" fillId="0" borderId="30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14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3" fillId="2" borderId="2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0" borderId="22" xfId="0" applyFont="1" applyBorder="1" applyAlignment="1">
      <alignment horizontal="left"/>
    </xf>
    <xf numFmtId="0" fontId="3" fillId="0" borderId="8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center" wrapText="1"/>
    </xf>
    <xf numFmtId="0" fontId="3" fillId="0" borderId="8" xfId="0" applyFont="1" applyBorder="1" applyAlignment="1" applyProtection="1">
      <alignment horizontal="center" wrapText="1"/>
      <protection locked="0"/>
    </xf>
    <xf numFmtId="0" fontId="3" fillId="0" borderId="18" xfId="0" applyFont="1" applyBorder="1" applyAlignment="1" applyProtection="1">
      <alignment horizontal="center" wrapText="1"/>
      <protection locked="0"/>
    </xf>
    <xf numFmtId="0" fontId="3" fillId="3" borderId="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 wrapText="1"/>
    </xf>
    <xf numFmtId="0" fontId="1" fillId="0" borderId="0" xfId="0" applyFont="1"/>
    <xf numFmtId="0" fontId="1" fillId="6" borderId="12" xfId="0" applyFont="1" applyFill="1" applyBorder="1"/>
    <xf numFmtId="0" fontId="1" fillId="6" borderId="0" xfId="0" applyFont="1" applyFill="1"/>
    <xf numFmtId="0" fontId="1" fillId="6" borderId="9" xfId="0" applyFont="1" applyFill="1" applyBorder="1"/>
    <xf numFmtId="0" fontId="1" fillId="6" borderId="0" xfId="0" applyFont="1" applyFill="1" applyAlignment="1">
      <alignment wrapText="1"/>
    </xf>
    <xf numFmtId="164" fontId="1" fillId="0" borderId="1" xfId="0" applyNumberFormat="1" applyFont="1" applyBorder="1"/>
    <xf numFmtId="164" fontId="1" fillId="3" borderId="24" xfId="0" applyNumberFormat="1" applyFont="1" applyFill="1" applyBorder="1"/>
    <xf numFmtId="164" fontId="1" fillId="2" borderId="24" xfId="0" applyNumberFormat="1" applyFont="1" applyFill="1" applyBorder="1"/>
    <xf numFmtId="164" fontId="1" fillId="0" borderId="24" xfId="0" applyNumberFormat="1" applyFont="1" applyBorder="1"/>
    <xf numFmtId="0" fontId="1" fillId="0" borderId="1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1" fillId="0" borderId="25" xfId="0" applyFont="1" applyBorder="1"/>
    <xf numFmtId="0" fontId="1" fillId="0" borderId="6" xfId="0" applyFont="1" applyBorder="1" applyAlignment="1">
      <alignment horizontal="center"/>
    </xf>
    <xf numFmtId="0" fontId="3" fillId="8" borderId="8" xfId="0" applyFont="1" applyFill="1" applyBorder="1" applyAlignment="1">
      <alignment horizontal="center" wrapText="1"/>
    </xf>
    <xf numFmtId="164" fontId="1" fillId="8" borderId="1" xfId="0" applyNumberFormat="1" applyFont="1" applyFill="1" applyBorder="1"/>
    <xf numFmtId="164" fontId="1" fillId="8" borderId="24" xfId="0" applyNumberFormat="1" applyFont="1" applyFill="1" applyBorder="1"/>
    <xf numFmtId="0" fontId="11" fillId="0" borderId="0" xfId="0" applyFont="1" applyAlignment="1" applyProtection="1">
      <alignment horizontal="center" vertical="top"/>
      <protection locked="0"/>
    </xf>
    <xf numFmtId="0" fontId="11" fillId="0" borderId="0" xfId="0" quotePrefix="1" applyFont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 applyProtection="1">
      <alignment horizontal="center" vertical="top"/>
      <protection locked="0"/>
    </xf>
    <xf numFmtId="44" fontId="3" fillId="4" borderId="19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 wrapText="1"/>
    </xf>
    <xf numFmtId="44" fontId="3" fillId="0" borderId="19" xfId="1" applyFont="1" applyFill="1" applyBorder="1" applyAlignment="1" applyProtection="1">
      <alignment horizontal="right" vertical="center"/>
      <protection locked="0"/>
    </xf>
    <xf numFmtId="0" fontId="1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 wrapText="1"/>
    </xf>
    <xf numFmtId="44" fontId="3" fillId="0" borderId="19" xfId="0" applyNumberFormat="1" applyFont="1" applyBorder="1" applyAlignment="1">
      <alignment horizontal="right"/>
    </xf>
    <xf numFmtId="0" fontId="11" fillId="0" borderId="0" xfId="0" applyFont="1" applyAlignment="1">
      <alignment horizontal="left" vertical="top"/>
    </xf>
    <xf numFmtId="0" fontId="3" fillId="3" borderId="30" xfId="0" applyFont="1" applyFill="1" applyBorder="1" applyAlignment="1">
      <alignment horizontal="center" wrapText="1"/>
    </xf>
    <xf numFmtId="0" fontId="3" fillId="8" borderId="0" xfId="0" applyFont="1" applyFill="1" applyAlignment="1">
      <alignment horizontal="center" wrapText="1"/>
    </xf>
    <xf numFmtId="164" fontId="3" fillId="2" borderId="29" xfId="0" applyNumberFormat="1" applyFont="1" applyFill="1" applyBorder="1" applyAlignment="1">
      <alignment horizontal="center" wrapText="1"/>
    </xf>
    <xf numFmtId="44" fontId="3" fillId="0" borderId="1" xfId="0" applyNumberFormat="1" applyFont="1" applyBorder="1" applyAlignment="1">
      <alignment horizontal="right" vertical="center"/>
    </xf>
    <xf numFmtId="44" fontId="6" fillId="0" borderId="1" xfId="0" applyNumberFormat="1" applyFont="1" applyBorder="1" applyAlignment="1" applyProtection="1">
      <alignment horizontal="center" vertical="top"/>
      <protection locked="0"/>
    </xf>
    <xf numFmtId="44" fontId="3" fillId="0" borderId="1" xfId="1" applyFont="1" applyFill="1" applyBorder="1" applyAlignment="1" applyProtection="1">
      <alignment horizontal="right" vertical="center"/>
    </xf>
    <xf numFmtId="44" fontId="3" fillId="4" borderId="1" xfId="1" applyFont="1" applyFill="1" applyBorder="1" applyAlignment="1" applyProtection="1">
      <alignment horizontal="right" vertical="center"/>
    </xf>
    <xf numFmtId="44" fontId="3" fillId="0" borderId="1" xfId="0" applyNumberFormat="1" applyFont="1" applyBorder="1" applyAlignment="1" applyProtection="1">
      <alignment horizontal="right" vertical="center"/>
      <protection locked="0"/>
    </xf>
    <xf numFmtId="44" fontId="3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 applyProtection="1">
      <alignment horizontal="left"/>
      <protection locked="0"/>
    </xf>
    <xf numFmtId="0" fontId="6" fillId="0" borderId="1" xfId="0" applyFont="1" applyBorder="1" applyAlignment="1" applyProtection="1">
      <alignment horizontal="center" vertical="top"/>
      <protection locked="0"/>
    </xf>
    <xf numFmtId="44" fontId="3" fillId="7" borderId="1" xfId="1" applyFont="1" applyFill="1" applyBorder="1" applyAlignment="1" applyProtection="1">
      <alignment horizontal="right" vertical="center"/>
    </xf>
    <xf numFmtId="44" fontId="3" fillId="9" borderId="1" xfId="1" applyFont="1" applyFill="1" applyBorder="1" applyAlignment="1" applyProtection="1">
      <alignment horizontal="right" vertical="center"/>
    </xf>
    <xf numFmtId="44" fontId="3" fillId="0" borderId="1" xfId="0" applyNumberFormat="1" applyFont="1" applyBorder="1" applyAlignment="1">
      <alignment horizontal="right"/>
    </xf>
    <xf numFmtId="44" fontId="4" fillId="0" borderId="1" xfId="0" applyNumberFormat="1" applyFont="1" applyBorder="1" applyAlignment="1">
      <alignment horizontal="center" vertical="top"/>
    </xf>
    <xf numFmtId="44" fontId="3" fillId="0" borderId="1" xfId="1" applyFont="1" applyFill="1" applyBorder="1" applyAlignment="1" applyProtection="1">
      <alignment horizontal="right" vertical="center"/>
      <protection locked="0"/>
    </xf>
    <xf numFmtId="44" fontId="3" fillId="0" borderId="1" xfId="0" applyNumberFormat="1" applyFont="1" applyBorder="1" applyAlignment="1">
      <alignment horizontal="left"/>
    </xf>
    <xf numFmtId="44" fontId="3" fillId="0" borderId="1" xfId="0" applyNumberFormat="1" applyFont="1" applyBorder="1" applyAlignment="1">
      <alignment horizontal="center" vertical="top"/>
    </xf>
    <xf numFmtId="44" fontId="3" fillId="9" borderId="1" xfId="0" applyNumberFormat="1" applyFont="1" applyFill="1" applyBorder="1" applyAlignment="1">
      <alignment horizontal="right" vertical="center"/>
    </xf>
    <xf numFmtId="44" fontId="3" fillId="9" borderId="30" xfId="0" applyNumberFormat="1" applyFont="1" applyFill="1" applyBorder="1" applyAlignment="1" applyProtection="1">
      <alignment horizontal="right" vertical="center"/>
      <protection locked="0"/>
    </xf>
    <xf numFmtId="44" fontId="3" fillId="9" borderId="19" xfId="0" applyNumberFormat="1" applyFont="1" applyFill="1" applyBorder="1" applyAlignment="1">
      <alignment horizontal="right" vertical="center"/>
    </xf>
    <xf numFmtId="44" fontId="3" fillId="9" borderId="19" xfId="1" applyFont="1" applyFill="1" applyBorder="1" applyAlignment="1" applyProtection="1">
      <alignment horizontal="right" vertical="center"/>
    </xf>
    <xf numFmtId="44" fontId="3" fillId="9" borderId="19" xfId="0" applyNumberFormat="1" applyFont="1" applyFill="1" applyBorder="1" applyAlignment="1" applyProtection="1">
      <alignment horizontal="right" vertical="center"/>
      <protection locked="0"/>
    </xf>
    <xf numFmtId="44" fontId="3" fillId="9" borderId="19" xfId="1" applyFont="1" applyFill="1" applyBorder="1" applyAlignment="1" applyProtection="1">
      <alignment horizontal="right" vertical="center"/>
      <protection locked="0"/>
    </xf>
    <xf numFmtId="44" fontId="3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44" fontId="3" fillId="9" borderId="1" xfId="0" applyNumberFormat="1" applyFont="1" applyFill="1" applyBorder="1" applyAlignment="1" applyProtection="1">
      <alignment horizontal="right" vertical="center"/>
      <protection locked="0"/>
    </xf>
    <xf numFmtId="44" fontId="3" fillId="9" borderId="1" xfId="1" applyFont="1" applyFill="1" applyBorder="1" applyAlignment="1" applyProtection="1">
      <alignment horizontal="right" vertical="center"/>
      <protection locked="0"/>
    </xf>
    <xf numFmtId="164" fontId="3" fillId="0" borderId="1" xfId="0" applyNumberFormat="1" applyFont="1" applyBorder="1" applyAlignment="1">
      <alignment horizontal="left"/>
    </xf>
    <xf numFmtId="0" fontId="4" fillId="0" borderId="8" xfId="0" applyFont="1" applyBorder="1" applyAlignment="1">
      <alignment horizontal="center"/>
    </xf>
    <xf numFmtId="0" fontId="15" fillId="5" borderId="12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8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0" borderId="9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6" xfId="0" applyFont="1" applyBorder="1" applyAlignment="1">
      <alignment horizontal="center"/>
    </xf>
    <xf numFmtId="15" fontId="13" fillId="0" borderId="12" xfId="0" applyNumberFormat="1" applyFont="1" applyBorder="1" applyAlignment="1" applyProtection="1">
      <alignment horizontal="left" vertical="center" wrapText="1"/>
      <protection locked="0"/>
    </xf>
    <xf numFmtId="15" fontId="13" fillId="0" borderId="10" xfId="0" applyNumberFormat="1" applyFont="1" applyBorder="1" applyAlignment="1" applyProtection="1">
      <alignment horizontal="left" vertical="center" wrapText="1"/>
      <protection locked="0"/>
    </xf>
    <xf numFmtId="15" fontId="13" fillId="0" borderId="11" xfId="0" applyNumberFormat="1" applyFont="1" applyBorder="1" applyAlignment="1" applyProtection="1">
      <alignment horizontal="left" vertical="center" wrapText="1"/>
      <protection locked="0"/>
    </xf>
    <xf numFmtId="164" fontId="3" fillId="0" borderId="10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center" vertical="center" readingOrder="1"/>
    </xf>
    <xf numFmtId="15" fontId="16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  <color rgb="FF31849B"/>
      <color rgb="FFCC99FF"/>
      <color rgb="FFFF99FF"/>
      <color rgb="FFFF99CC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1666875</xdr:colOff>
      <xdr:row>1</xdr:row>
      <xdr:rowOff>0</xdr:rowOff>
    </xdr:from>
    <xdr:to>
      <xdr:col>4</xdr:col>
      <xdr:colOff>266700</xdr:colOff>
      <xdr:row>1</xdr:row>
      <xdr:rowOff>0</xdr:rowOff>
    </xdr:to>
    <xdr:sp macro="" textlink="">
      <xdr:nvSpPr>
        <xdr:cNvPr id="1026" name="Text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2124075" y="0"/>
          <a:ext cx="3886200" cy="0"/>
        </a:xfrm>
        <a:prstGeom prst="rect">
          <a:avLst/>
        </a:prstGeom>
        <a:solidFill>
          <a:srgbClr val="CCFFCC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800000"/>
              </a:solidFill>
              <a:latin typeface="Arial"/>
              <a:cs typeface="Arial"/>
            </a:rPr>
            <a:t>CSA Eng. Est. Master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800000"/>
              </a:solidFill>
              <a:latin typeface="Arial"/>
              <a:cs typeface="Arial"/>
            </a:rPr>
            <a:t>Rev 1.1, 08 Aug '97</a:t>
          </a:r>
        </a:p>
      </xdr:txBody>
    </xdr:sp>
    <xdr:clientData/>
  </xdr:twoCellAnchor>
  <xdr:twoCellAnchor>
    <xdr:from>
      <xdr:col>3</xdr:col>
      <xdr:colOff>1714500</xdr:colOff>
      <xdr:row>1</xdr:row>
      <xdr:rowOff>0</xdr:rowOff>
    </xdr:from>
    <xdr:to>
      <xdr:col>4</xdr:col>
      <xdr:colOff>266700</xdr:colOff>
      <xdr:row>1</xdr:row>
      <xdr:rowOff>0</xdr:rowOff>
    </xdr:to>
    <xdr:sp macro="" textlink="">
      <xdr:nvSpPr>
        <xdr:cNvPr id="15729" name="Oval 3">
          <a:extLst>
            <a:ext uri="{FF2B5EF4-FFF2-40B4-BE49-F238E27FC236}">
              <a16:creationId xmlns:a16="http://schemas.microsoft.com/office/drawing/2014/main" id="{00000000-0008-0000-0000-0000713D0000}"/>
            </a:ext>
          </a:extLst>
        </xdr:cNvPr>
        <xdr:cNvSpPr>
          <a:spLocks noChangeArrowheads="1"/>
        </xdr:cNvSpPr>
      </xdr:nvSpPr>
      <xdr:spPr bwMode="auto">
        <a:xfrm>
          <a:off x="2200275" y="0"/>
          <a:ext cx="3838575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1905000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15730" name="Rectangle 4">
          <a:extLst>
            <a:ext uri="{FF2B5EF4-FFF2-40B4-BE49-F238E27FC236}">
              <a16:creationId xmlns:a16="http://schemas.microsoft.com/office/drawing/2014/main" id="{00000000-0008-0000-0000-0000723D0000}"/>
            </a:ext>
          </a:extLst>
        </xdr:cNvPr>
        <xdr:cNvSpPr>
          <a:spLocks noChangeArrowheads="1"/>
        </xdr:cNvSpPr>
      </xdr:nvSpPr>
      <xdr:spPr bwMode="auto">
        <a:xfrm>
          <a:off x="2390775" y="0"/>
          <a:ext cx="3867150" cy="0"/>
        </a:xfrm>
        <a:prstGeom prst="rect">
          <a:avLst/>
        </a:prstGeom>
        <a:noFill/>
        <a:ln w="1">
          <a:solidFill>
            <a:srgbClr val="008000"/>
          </a:solidFill>
          <a:prstDash val="lgDash"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1030" name="Text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ChangeArrowheads="1"/>
        </xdr:cNvSpPr>
      </xdr:nvSpPr>
      <xdr:spPr bwMode="auto">
        <a:xfrm>
          <a:off x="6229350" y="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Data Items 3, 4, &amp; 6 are N/A after 1st year; once it is ordered, it is good for life of contract.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1031" name="Text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 txBox="1">
          <a:spLocks noChangeArrowheads="1"/>
        </xdr:cNvSpPr>
      </xdr:nvSpPr>
      <xdr:spPr bwMode="auto">
        <a:xfrm>
          <a:off x="6229350" y="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Include all items in service at the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conclusion</a:t>
          </a: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 of cutover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1032" name="Text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ChangeArrowheads="1"/>
        </xdr:cNvSpPr>
      </xdr:nvSpPr>
      <xdr:spPr bwMode="auto">
        <a:xfrm>
          <a:off x="6229350" y="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one-time expenses to invoke additional services not present at the end of cutover.  The qtys are not cumulative.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1033" name="Text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6229350" y="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recurring expenses to maintain existing services.  The 1st year qtys should equal the cutover qty plus first year N/R. 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Out-year qtys are cumulative</a:t>
          </a: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 and should equal the sum of CLINs 1 &amp; 2. 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Unit prices are for 1 month, not 12.</a:t>
          </a:r>
        </a:p>
      </xdr:txBody>
    </xdr:sp>
    <xdr:clientData/>
  </xdr:twoCellAnchor>
  <xdr:twoCellAnchor>
    <xdr:from>
      <xdr:col>3</xdr:col>
      <xdr:colOff>266700</xdr:colOff>
      <xdr:row>1</xdr:row>
      <xdr:rowOff>0</xdr:rowOff>
    </xdr:from>
    <xdr:to>
      <xdr:col>3</xdr:col>
      <xdr:colOff>2486025</xdr:colOff>
      <xdr:row>1</xdr:row>
      <xdr:rowOff>0</xdr:rowOff>
    </xdr:to>
    <xdr:sp macro="" textlink="">
      <xdr:nvSpPr>
        <xdr:cNvPr id="1034" name="Text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ChangeArrowheads="1"/>
        </xdr:cNvSpPr>
      </xdr:nvSpPr>
      <xdr:spPr bwMode="auto">
        <a:xfrm>
          <a:off x="723900" y="0"/>
          <a:ext cx="2219325" cy="0"/>
        </a:xfrm>
        <a:prstGeom prst="rect">
          <a:avLst/>
        </a:prstGeom>
        <a:solidFill>
          <a:srgbClr val="FFFFC0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800000"/>
              </a:solidFill>
              <a:latin typeface="Arial"/>
              <a:cs typeface="Arial"/>
            </a:rPr>
            <a:t>Multiply CLIN 3 by 12 because the price and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800000"/>
              </a:solidFill>
              <a:latin typeface="Arial"/>
              <a:cs typeface="Arial"/>
            </a:rPr>
            <a:t>qty's reflect one month of service in lieu of 12.</a:t>
          </a:r>
        </a:p>
      </xdr:txBody>
    </xdr:sp>
    <xdr:clientData/>
  </xdr:twoCellAnchor>
  <xdr:twoCellAnchor>
    <xdr:from>
      <xdr:col>4</xdr:col>
      <xdr:colOff>57150</xdr:colOff>
      <xdr:row>1</xdr:row>
      <xdr:rowOff>0</xdr:rowOff>
    </xdr:from>
    <xdr:to>
      <xdr:col>4</xdr:col>
      <xdr:colOff>257175</xdr:colOff>
      <xdr:row>1</xdr:row>
      <xdr:rowOff>0</xdr:rowOff>
    </xdr:to>
    <xdr:sp macro="" textlink="">
      <xdr:nvSpPr>
        <xdr:cNvPr id="1035" name="Text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 txBox="1">
          <a:spLocks noChangeArrowheads="1"/>
        </xdr:cNvSpPr>
      </xdr:nvSpPr>
      <xdr:spPr bwMode="auto">
        <a:xfrm>
          <a:off x="5800725" y="0"/>
          <a:ext cx="200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EA for CLIN 1 &amp;  2, /MIN for CLIN 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1666875</xdr:colOff>
      <xdr:row>1</xdr:row>
      <xdr:rowOff>0</xdr:rowOff>
    </xdr:from>
    <xdr:to>
      <xdr:col>4</xdr:col>
      <xdr:colOff>266700</xdr:colOff>
      <xdr:row>1</xdr:row>
      <xdr:rowOff>0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7A03AA66-E97B-4F26-B19B-F46717DEC874}"/>
            </a:ext>
          </a:extLst>
        </xdr:cNvPr>
        <xdr:cNvSpPr txBox="1">
          <a:spLocks noChangeArrowheads="1"/>
        </xdr:cNvSpPr>
      </xdr:nvSpPr>
      <xdr:spPr bwMode="auto">
        <a:xfrm>
          <a:off x="2352675" y="209550"/>
          <a:ext cx="4137025" cy="0"/>
        </a:xfrm>
        <a:prstGeom prst="rect">
          <a:avLst/>
        </a:prstGeom>
        <a:solidFill>
          <a:srgbClr val="CCFFCC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800000"/>
              </a:solidFill>
              <a:latin typeface="Arial"/>
              <a:cs typeface="Arial"/>
            </a:rPr>
            <a:t>CSA Eng. Est. Master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800000"/>
              </a:solidFill>
              <a:latin typeface="Arial"/>
              <a:cs typeface="Arial"/>
            </a:rPr>
            <a:t>Rev 1.1, 08 Aug '97</a:t>
          </a:r>
        </a:p>
      </xdr:txBody>
    </xdr:sp>
    <xdr:clientData/>
  </xdr:twoCellAnchor>
  <xdr:twoCellAnchor>
    <xdr:from>
      <xdr:col>3</xdr:col>
      <xdr:colOff>1714500</xdr:colOff>
      <xdr:row>1</xdr:row>
      <xdr:rowOff>0</xdr:rowOff>
    </xdr:from>
    <xdr:to>
      <xdr:col>4</xdr:col>
      <xdr:colOff>266700</xdr:colOff>
      <xdr:row>1</xdr:row>
      <xdr:rowOff>0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5AB7CFFA-429E-42BE-AFA1-200B7A5E9E35}"/>
            </a:ext>
          </a:extLst>
        </xdr:cNvPr>
        <xdr:cNvSpPr>
          <a:spLocks noChangeArrowheads="1"/>
        </xdr:cNvSpPr>
      </xdr:nvSpPr>
      <xdr:spPr bwMode="auto">
        <a:xfrm>
          <a:off x="2400300" y="209550"/>
          <a:ext cx="408940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1905000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DD29DF62-0293-43FE-ADF2-DE8412BCD384}"/>
            </a:ext>
          </a:extLst>
        </xdr:cNvPr>
        <xdr:cNvSpPr>
          <a:spLocks noChangeArrowheads="1"/>
        </xdr:cNvSpPr>
      </xdr:nvSpPr>
      <xdr:spPr bwMode="auto">
        <a:xfrm>
          <a:off x="2590800" y="209550"/>
          <a:ext cx="4140200" cy="0"/>
        </a:xfrm>
        <a:prstGeom prst="rect">
          <a:avLst/>
        </a:prstGeom>
        <a:noFill/>
        <a:ln w="1">
          <a:solidFill>
            <a:srgbClr val="008000"/>
          </a:solidFill>
          <a:prstDash val="lgDash"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5" name="Text 6">
          <a:extLst>
            <a:ext uri="{FF2B5EF4-FFF2-40B4-BE49-F238E27FC236}">
              <a16:creationId xmlns:a16="http://schemas.microsoft.com/office/drawing/2014/main" id="{D41062BD-6F58-407A-8DE6-DFF9C0B6EF1C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Data Items 3, 4, &amp; 6 are N/A after 1st year; once it is ordered, it is good for life of contract.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6" name="Text 7">
          <a:extLst>
            <a:ext uri="{FF2B5EF4-FFF2-40B4-BE49-F238E27FC236}">
              <a16:creationId xmlns:a16="http://schemas.microsoft.com/office/drawing/2014/main" id="{5A5B33DF-559E-41C5-B4B2-46A721BF46EE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Include all items in service at the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conclusion</a:t>
          </a: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 of cutover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7" name="Text 8">
          <a:extLst>
            <a:ext uri="{FF2B5EF4-FFF2-40B4-BE49-F238E27FC236}">
              <a16:creationId xmlns:a16="http://schemas.microsoft.com/office/drawing/2014/main" id="{D71AD9C9-DA44-4BCA-878C-9E2CEBF5B550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one-time expenses to invoke additional services not present at the end of cutover.  The qtys are not cumulative.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8" name="Text 9">
          <a:extLst>
            <a:ext uri="{FF2B5EF4-FFF2-40B4-BE49-F238E27FC236}">
              <a16:creationId xmlns:a16="http://schemas.microsoft.com/office/drawing/2014/main" id="{69414160-6CC2-49EC-8077-0D11E85FF7C5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recurring expenses to maintain existing services.  The 1st year qtys should equal the cutover qty plus first year N/R. 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Out-year qtys are cumulative</a:t>
          </a: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 and should equal the sum of CLINs 1 &amp; 2. 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Unit prices are for 1 month, not 12.</a:t>
          </a:r>
        </a:p>
      </xdr:txBody>
    </xdr:sp>
    <xdr:clientData/>
  </xdr:twoCellAnchor>
  <xdr:twoCellAnchor>
    <xdr:from>
      <xdr:col>3</xdr:col>
      <xdr:colOff>266700</xdr:colOff>
      <xdr:row>1</xdr:row>
      <xdr:rowOff>0</xdr:rowOff>
    </xdr:from>
    <xdr:to>
      <xdr:col>3</xdr:col>
      <xdr:colOff>2486025</xdr:colOff>
      <xdr:row>1</xdr:row>
      <xdr:rowOff>0</xdr:rowOff>
    </xdr:to>
    <xdr:sp macro="" textlink="">
      <xdr:nvSpPr>
        <xdr:cNvPr id="9" name="Text 10">
          <a:extLst>
            <a:ext uri="{FF2B5EF4-FFF2-40B4-BE49-F238E27FC236}">
              <a16:creationId xmlns:a16="http://schemas.microsoft.com/office/drawing/2014/main" id="{EA58096E-890D-4668-8B43-DC4ED4AC7F35}"/>
            </a:ext>
          </a:extLst>
        </xdr:cNvPr>
        <xdr:cNvSpPr txBox="1">
          <a:spLocks noChangeArrowheads="1"/>
        </xdr:cNvSpPr>
      </xdr:nvSpPr>
      <xdr:spPr bwMode="auto">
        <a:xfrm>
          <a:off x="952500" y="209550"/>
          <a:ext cx="2219325" cy="0"/>
        </a:xfrm>
        <a:prstGeom prst="rect">
          <a:avLst/>
        </a:prstGeom>
        <a:solidFill>
          <a:srgbClr val="FFFFC0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800000"/>
              </a:solidFill>
              <a:latin typeface="Arial"/>
              <a:cs typeface="Arial"/>
            </a:rPr>
            <a:t>Multiply CLIN 3 by 12 because the price and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800000"/>
              </a:solidFill>
              <a:latin typeface="Arial"/>
              <a:cs typeface="Arial"/>
            </a:rPr>
            <a:t>qty's reflect one month of service in lieu of 12.</a:t>
          </a:r>
        </a:p>
      </xdr:txBody>
    </xdr:sp>
    <xdr:clientData/>
  </xdr:twoCellAnchor>
  <xdr:twoCellAnchor>
    <xdr:from>
      <xdr:col>4</xdr:col>
      <xdr:colOff>57150</xdr:colOff>
      <xdr:row>1</xdr:row>
      <xdr:rowOff>0</xdr:rowOff>
    </xdr:from>
    <xdr:to>
      <xdr:col>4</xdr:col>
      <xdr:colOff>257175</xdr:colOff>
      <xdr:row>1</xdr:row>
      <xdr:rowOff>0</xdr:rowOff>
    </xdr:to>
    <xdr:sp macro="" textlink="">
      <xdr:nvSpPr>
        <xdr:cNvPr id="10" name="Text 11">
          <a:extLst>
            <a:ext uri="{FF2B5EF4-FFF2-40B4-BE49-F238E27FC236}">
              <a16:creationId xmlns:a16="http://schemas.microsoft.com/office/drawing/2014/main" id="{F07611DB-8369-4A44-A23A-BD71F892038C}"/>
            </a:ext>
          </a:extLst>
        </xdr:cNvPr>
        <xdr:cNvSpPr txBox="1">
          <a:spLocks noChangeArrowheads="1"/>
        </xdr:cNvSpPr>
      </xdr:nvSpPr>
      <xdr:spPr bwMode="auto">
        <a:xfrm>
          <a:off x="6280150" y="209550"/>
          <a:ext cx="200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EA for CLIN 1 &amp;  2, /MIN for CLIN 3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1666875</xdr:colOff>
      <xdr:row>1</xdr:row>
      <xdr:rowOff>0</xdr:rowOff>
    </xdr:from>
    <xdr:to>
      <xdr:col>4</xdr:col>
      <xdr:colOff>266700</xdr:colOff>
      <xdr:row>1</xdr:row>
      <xdr:rowOff>0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F54C3586-0930-4B24-BE22-A56941233C4C}"/>
            </a:ext>
          </a:extLst>
        </xdr:cNvPr>
        <xdr:cNvSpPr txBox="1">
          <a:spLocks noChangeArrowheads="1"/>
        </xdr:cNvSpPr>
      </xdr:nvSpPr>
      <xdr:spPr bwMode="auto">
        <a:xfrm>
          <a:off x="2352675" y="209550"/>
          <a:ext cx="4137025" cy="0"/>
        </a:xfrm>
        <a:prstGeom prst="rect">
          <a:avLst/>
        </a:prstGeom>
        <a:solidFill>
          <a:srgbClr val="CCFFCC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800000"/>
              </a:solidFill>
              <a:latin typeface="Arial"/>
              <a:cs typeface="Arial"/>
            </a:rPr>
            <a:t>CSA Eng. Est. Master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800000"/>
              </a:solidFill>
              <a:latin typeface="Arial"/>
              <a:cs typeface="Arial"/>
            </a:rPr>
            <a:t>Rev 1.1, 08 Aug '97</a:t>
          </a:r>
        </a:p>
      </xdr:txBody>
    </xdr:sp>
    <xdr:clientData/>
  </xdr:twoCellAnchor>
  <xdr:twoCellAnchor>
    <xdr:from>
      <xdr:col>3</xdr:col>
      <xdr:colOff>1714500</xdr:colOff>
      <xdr:row>1</xdr:row>
      <xdr:rowOff>0</xdr:rowOff>
    </xdr:from>
    <xdr:to>
      <xdr:col>4</xdr:col>
      <xdr:colOff>266700</xdr:colOff>
      <xdr:row>1</xdr:row>
      <xdr:rowOff>0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22CEABF2-C2F3-42CC-B498-B063EAB4EB4C}"/>
            </a:ext>
          </a:extLst>
        </xdr:cNvPr>
        <xdr:cNvSpPr>
          <a:spLocks noChangeArrowheads="1"/>
        </xdr:cNvSpPr>
      </xdr:nvSpPr>
      <xdr:spPr bwMode="auto">
        <a:xfrm>
          <a:off x="2400300" y="209550"/>
          <a:ext cx="408940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1905000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8DD386CF-EC81-4778-AFB7-405C48FC03B4}"/>
            </a:ext>
          </a:extLst>
        </xdr:cNvPr>
        <xdr:cNvSpPr>
          <a:spLocks noChangeArrowheads="1"/>
        </xdr:cNvSpPr>
      </xdr:nvSpPr>
      <xdr:spPr bwMode="auto">
        <a:xfrm>
          <a:off x="2590800" y="209550"/>
          <a:ext cx="4140200" cy="0"/>
        </a:xfrm>
        <a:prstGeom prst="rect">
          <a:avLst/>
        </a:prstGeom>
        <a:noFill/>
        <a:ln w="1">
          <a:solidFill>
            <a:srgbClr val="008000"/>
          </a:solidFill>
          <a:prstDash val="lgDash"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5" name="Text 6">
          <a:extLst>
            <a:ext uri="{FF2B5EF4-FFF2-40B4-BE49-F238E27FC236}">
              <a16:creationId xmlns:a16="http://schemas.microsoft.com/office/drawing/2014/main" id="{0E49B80D-DF35-4834-AF6D-966B0B51E1E4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Data Items 3, 4, &amp; 6 are N/A after 1st year; once it is ordered, it is good for life of contract.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6" name="Text 7">
          <a:extLst>
            <a:ext uri="{FF2B5EF4-FFF2-40B4-BE49-F238E27FC236}">
              <a16:creationId xmlns:a16="http://schemas.microsoft.com/office/drawing/2014/main" id="{BF04C3B1-2310-407E-AA79-0CEB64D35E2A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Include all items in service at the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conclusion</a:t>
          </a: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 of cutover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7" name="Text 8">
          <a:extLst>
            <a:ext uri="{FF2B5EF4-FFF2-40B4-BE49-F238E27FC236}">
              <a16:creationId xmlns:a16="http://schemas.microsoft.com/office/drawing/2014/main" id="{C0222C33-D01A-4B11-8C19-7B7F173966A5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one-time expenses to invoke additional services not present at the end of cutover.  The qtys are not cumulative.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8" name="Text 9">
          <a:extLst>
            <a:ext uri="{FF2B5EF4-FFF2-40B4-BE49-F238E27FC236}">
              <a16:creationId xmlns:a16="http://schemas.microsoft.com/office/drawing/2014/main" id="{E729735E-2692-4018-A633-E65B86FB46B1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recurring expenses to maintain existing services.  The 1st year qtys should equal the cutover qty plus first year N/R. 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Out-year qtys are cumulative</a:t>
          </a: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 and should equal the sum of CLINs 1 &amp; 2. 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Unit prices are for 1 month, not 12.</a:t>
          </a:r>
        </a:p>
      </xdr:txBody>
    </xdr:sp>
    <xdr:clientData/>
  </xdr:twoCellAnchor>
  <xdr:twoCellAnchor>
    <xdr:from>
      <xdr:col>3</xdr:col>
      <xdr:colOff>266700</xdr:colOff>
      <xdr:row>1</xdr:row>
      <xdr:rowOff>0</xdr:rowOff>
    </xdr:from>
    <xdr:to>
      <xdr:col>3</xdr:col>
      <xdr:colOff>2486025</xdr:colOff>
      <xdr:row>1</xdr:row>
      <xdr:rowOff>0</xdr:rowOff>
    </xdr:to>
    <xdr:sp macro="" textlink="">
      <xdr:nvSpPr>
        <xdr:cNvPr id="9" name="Text 10">
          <a:extLst>
            <a:ext uri="{FF2B5EF4-FFF2-40B4-BE49-F238E27FC236}">
              <a16:creationId xmlns:a16="http://schemas.microsoft.com/office/drawing/2014/main" id="{43D8483B-A1F7-4FEC-84BD-5156FEC490CE}"/>
            </a:ext>
          </a:extLst>
        </xdr:cNvPr>
        <xdr:cNvSpPr txBox="1">
          <a:spLocks noChangeArrowheads="1"/>
        </xdr:cNvSpPr>
      </xdr:nvSpPr>
      <xdr:spPr bwMode="auto">
        <a:xfrm>
          <a:off x="952500" y="209550"/>
          <a:ext cx="2219325" cy="0"/>
        </a:xfrm>
        <a:prstGeom prst="rect">
          <a:avLst/>
        </a:prstGeom>
        <a:solidFill>
          <a:srgbClr val="FFFFC0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800000"/>
              </a:solidFill>
              <a:latin typeface="Arial"/>
              <a:cs typeface="Arial"/>
            </a:rPr>
            <a:t>Multiply CLIN 3 by 12 because the price and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800000"/>
              </a:solidFill>
              <a:latin typeface="Arial"/>
              <a:cs typeface="Arial"/>
            </a:rPr>
            <a:t>qty's reflect one month of service in lieu of 12.</a:t>
          </a:r>
        </a:p>
      </xdr:txBody>
    </xdr:sp>
    <xdr:clientData/>
  </xdr:twoCellAnchor>
  <xdr:twoCellAnchor>
    <xdr:from>
      <xdr:col>4</xdr:col>
      <xdr:colOff>57150</xdr:colOff>
      <xdr:row>1</xdr:row>
      <xdr:rowOff>0</xdr:rowOff>
    </xdr:from>
    <xdr:to>
      <xdr:col>4</xdr:col>
      <xdr:colOff>257175</xdr:colOff>
      <xdr:row>1</xdr:row>
      <xdr:rowOff>0</xdr:rowOff>
    </xdr:to>
    <xdr:sp macro="" textlink="">
      <xdr:nvSpPr>
        <xdr:cNvPr id="10" name="Text 11">
          <a:extLst>
            <a:ext uri="{FF2B5EF4-FFF2-40B4-BE49-F238E27FC236}">
              <a16:creationId xmlns:a16="http://schemas.microsoft.com/office/drawing/2014/main" id="{10636F24-428D-45C0-AD37-E030DB83F11D}"/>
            </a:ext>
          </a:extLst>
        </xdr:cNvPr>
        <xdr:cNvSpPr txBox="1">
          <a:spLocks noChangeArrowheads="1"/>
        </xdr:cNvSpPr>
      </xdr:nvSpPr>
      <xdr:spPr bwMode="auto">
        <a:xfrm>
          <a:off x="6280150" y="209550"/>
          <a:ext cx="200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EA for CLIN 1 &amp;  2, /MIN for CLIN 3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1666875</xdr:colOff>
      <xdr:row>1</xdr:row>
      <xdr:rowOff>0</xdr:rowOff>
    </xdr:from>
    <xdr:to>
      <xdr:col>4</xdr:col>
      <xdr:colOff>266700</xdr:colOff>
      <xdr:row>1</xdr:row>
      <xdr:rowOff>0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947CFA32-ED1A-42AB-BD22-E57E83C58DD1}"/>
            </a:ext>
          </a:extLst>
        </xdr:cNvPr>
        <xdr:cNvSpPr txBox="1">
          <a:spLocks noChangeArrowheads="1"/>
        </xdr:cNvSpPr>
      </xdr:nvSpPr>
      <xdr:spPr bwMode="auto">
        <a:xfrm>
          <a:off x="2352675" y="209550"/>
          <a:ext cx="4137025" cy="0"/>
        </a:xfrm>
        <a:prstGeom prst="rect">
          <a:avLst/>
        </a:prstGeom>
        <a:solidFill>
          <a:srgbClr val="CCFFCC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800000"/>
              </a:solidFill>
              <a:latin typeface="Arial"/>
              <a:cs typeface="Arial"/>
            </a:rPr>
            <a:t>CSA Eng. Est. Master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800000"/>
              </a:solidFill>
              <a:latin typeface="Arial"/>
              <a:cs typeface="Arial"/>
            </a:rPr>
            <a:t>Rev 1.1, 08 Aug '97</a:t>
          </a:r>
        </a:p>
      </xdr:txBody>
    </xdr:sp>
    <xdr:clientData/>
  </xdr:twoCellAnchor>
  <xdr:twoCellAnchor>
    <xdr:from>
      <xdr:col>3</xdr:col>
      <xdr:colOff>1714500</xdr:colOff>
      <xdr:row>1</xdr:row>
      <xdr:rowOff>0</xdr:rowOff>
    </xdr:from>
    <xdr:to>
      <xdr:col>4</xdr:col>
      <xdr:colOff>266700</xdr:colOff>
      <xdr:row>1</xdr:row>
      <xdr:rowOff>0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8D4BA4A7-EFD5-4F8D-B747-6A40E6E73A25}"/>
            </a:ext>
          </a:extLst>
        </xdr:cNvPr>
        <xdr:cNvSpPr>
          <a:spLocks noChangeArrowheads="1"/>
        </xdr:cNvSpPr>
      </xdr:nvSpPr>
      <xdr:spPr bwMode="auto">
        <a:xfrm>
          <a:off x="2400300" y="209550"/>
          <a:ext cx="408940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1905000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D39D2D3A-A32A-40BA-AC65-161B99FEE2F7}"/>
            </a:ext>
          </a:extLst>
        </xdr:cNvPr>
        <xdr:cNvSpPr>
          <a:spLocks noChangeArrowheads="1"/>
        </xdr:cNvSpPr>
      </xdr:nvSpPr>
      <xdr:spPr bwMode="auto">
        <a:xfrm>
          <a:off x="2590800" y="209550"/>
          <a:ext cx="4140200" cy="0"/>
        </a:xfrm>
        <a:prstGeom prst="rect">
          <a:avLst/>
        </a:prstGeom>
        <a:noFill/>
        <a:ln w="1">
          <a:solidFill>
            <a:srgbClr val="008000"/>
          </a:solidFill>
          <a:prstDash val="lgDash"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5" name="Text 6">
          <a:extLst>
            <a:ext uri="{FF2B5EF4-FFF2-40B4-BE49-F238E27FC236}">
              <a16:creationId xmlns:a16="http://schemas.microsoft.com/office/drawing/2014/main" id="{1B7EC330-EF47-4BF5-A391-522C62C0999F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Data Items 3, 4, &amp; 6 are N/A after 1st year; once it is ordered, it is good for life of contract.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6" name="Text 7">
          <a:extLst>
            <a:ext uri="{FF2B5EF4-FFF2-40B4-BE49-F238E27FC236}">
              <a16:creationId xmlns:a16="http://schemas.microsoft.com/office/drawing/2014/main" id="{38D37845-D09A-413E-B2EB-049CE4C1B35D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Include all items in service at the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conclusion</a:t>
          </a: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 of cutover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7" name="Text 8">
          <a:extLst>
            <a:ext uri="{FF2B5EF4-FFF2-40B4-BE49-F238E27FC236}">
              <a16:creationId xmlns:a16="http://schemas.microsoft.com/office/drawing/2014/main" id="{E86DDE44-D6AB-419E-AF5C-91DD1342FADB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one-time expenses to invoke additional services not present at the end of cutover.  The qtys are not cumulative.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8" name="Text 9">
          <a:extLst>
            <a:ext uri="{FF2B5EF4-FFF2-40B4-BE49-F238E27FC236}">
              <a16:creationId xmlns:a16="http://schemas.microsoft.com/office/drawing/2014/main" id="{7E9373F3-4A81-4933-8BFC-E750F5D1104A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recurring expenses to maintain existing services.  The 1st year qtys should equal the cutover qty plus first year N/R. 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Out-year qtys are cumulative</a:t>
          </a: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 and should equal the sum of CLINs 1 &amp; 2. 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Unit prices are for 1 month, not 12.</a:t>
          </a:r>
        </a:p>
      </xdr:txBody>
    </xdr:sp>
    <xdr:clientData/>
  </xdr:twoCellAnchor>
  <xdr:twoCellAnchor>
    <xdr:from>
      <xdr:col>3</xdr:col>
      <xdr:colOff>266700</xdr:colOff>
      <xdr:row>1</xdr:row>
      <xdr:rowOff>0</xdr:rowOff>
    </xdr:from>
    <xdr:to>
      <xdr:col>3</xdr:col>
      <xdr:colOff>2486025</xdr:colOff>
      <xdr:row>1</xdr:row>
      <xdr:rowOff>0</xdr:rowOff>
    </xdr:to>
    <xdr:sp macro="" textlink="">
      <xdr:nvSpPr>
        <xdr:cNvPr id="9" name="Text 10">
          <a:extLst>
            <a:ext uri="{FF2B5EF4-FFF2-40B4-BE49-F238E27FC236}">
              <a16:creationId xmlns:a16="http://schemas.microsoft.com/office/drawing/2014/main" id="{A5245C07-953A-4289-8E1F-30692760B5B1}"/>
            </a:ext>
          </a:extLst>
        </xdr:cNvPr>
        <xdr:cNvSpPr txBox="1">
          <a:spLocks noChangeArrowheads="1"/>
        </xdr:cNvSpPr>
      </xdr:nvSpPr>
      <xdr:spPr bwMode="auto">
        <a:xfrm>
          <a:off x="952500" y="209550"/>
          <a:ext cx="2219325" cy="0"/>
        </a:xfrm>
        <a:prstGeom prst="rect">
          <a:avLst/>
        </a:prstGeom>
        <a:solidFill>
          <a:srgbClr val="FFFFC0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800000"/>
              </a:solidFill>
              <a:latin typeface="Arial"/>
              <a:cs typeface="Arial"/>
            </a:rPr>
            <a:t>Multiply CLIN 3 by 12 because the price and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800000"/>
              </a:solidFill>
              <a:latin typeface="Arial"/>
              <a:cs typeface="Arial"/>
            </a:rPr>
            <a:t>qty's reflect one month of service in lieu of 12.</a:t>
          </a:r>
        </a:p>
      </xdr:txBody>
    </xdr:sp>
    <xdr:clientData/>
  </xdr:twoCellAnchor>
  <xdr:twoCellAnchor>
    <xdr:from>
      <xdr:col>4</xdr:col>
      <xdr:colOff>57150</xdr:colOff>
      <xdr:row>1</xdr:row>
      <xdr:rowOff>0</xdr:rowOff>
    </xdr:from>
    <xdr:to>
      <xdr:col>4</xdr:col>
      <xdr:colOff>257175</xdr:colOff>
      <xdr:row>1</xdr:row>
      <xdr:rowOff>0</xdr:rowOff>
    </xdr:to>
    <xdr:sp macro="" textlink="">
      <xdr:nvSpPr>
        <xdr:cNvPr id="10" name="Text 11">
          <a:extLst>
            <a:ext uri="{FF2B5EF4-FFF2-40B4-BE49-F238E27FC236}">
              <a16:creationId xmlns:a16="http://schemas.microsoft.com/office/drawing/2014/main" id="{618F6C5B-B424-4815-9EE0-FC8397AC5AFF}"/>
            </a:ext>
          </a:extLst>
        </xdr:cNvPr>
        <xdr:cNvSpPr txBox="1">
          <a:spLocks noChangeArrowheads="1"/>
        </xdr:cNvSpPr>
      </xdr:nvSpPr>
      <xdr:spPr bwMode="auto">
        <a:xfrm>
          <a:off x="6280150" y="209550"/>
          <a:ext cx="200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EA for CLIN 1 &amp;  2, /MIN for CLIN 3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1666875</xdr:colOff>
      <xdr:row>1</xdr:row>
      <xdr:rowOff>0</xdr:rowOff>
    </xdr:from>
    <xdr:to>
      <xdr:col>4</xdr:col>
      <xdr:colOff>266700</xdr:colOff>
      <xdr:row>1</xdr:row>
      <xdr:rowOff>0</xdr:rowOff>
    </xdr:to>
    <xdr:sp macro="" textlink="">
      <xdr:nvSpPr>
        <xdr:cNvPr id="2" name="Text 2">
          <a:extLst>
            <a:ext uri="{FF2B5EF4-FFF2-40B4-BE49-F238E27FC236}">
              <a16:creationId xmlns:a16="http://schemas.microsoft.com/office/drawing/2014/main" id="{A53103A4-4ED8-4C4A-839B-B91F51A85A87}"/>
            </a:ext>
          </a:extLst>
        </xdr:cNvPr>
        <xdr:cNvSpPr txBox="1">
          <a:spLocks noChangeArrowheads="1"/>
        </xdr:cNvSpPr>
      </xdr:nvSpPr>
      <xdr:spPr bwMode="auto">
        <a:xfrm>
          <a:off x="2352675" y="209550"/>
          <a:ext cx="4137025" cy="0"/>
        </a:xfrm>
        <a:prstGeom prst="rect">
          <a:avLst/>
        </a:prstGeom>
        <a:solidFill>
          <a:srgbClr val="CCFFCC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0" i="0" strike="noStrike">
              <a:solidFill>
                <a:srgbClr val="800000"/>
              </a:solidFill>
              <a:latin typeface="Arial"/>
              <a:cs typeface="Arial"/>
            </a:rPr>
            <a:t>CSA Eng. Est. Master</a:t>
          </a:r>
        </a:p>
        <a:p>
          <a:pPr algn="ctr" rtl="0">
            <a:defRPr sz="1000"/>
          </a:pPr>
          <a:r>
            <a:rPr lang="en-US" sz="1000" b="0" i="0" strike="noStrike">
              <a:solidFill>
                <a:srgbClr val="800000"/>
              </a:solidFill>
              <a:latin typeface="Arial"/>
              <a:cs typeface="Arial"/>
            </a:rPr>
            <a:t>Rev 1.1, 08 Aug '97</a:t>
          </a:r>
        </a:p>
      </xdr:txBody>
    </xdr:sp>
    <xdr:clientData/>
  </xdr:twoCellAnchor>
  <xdr:twoCellAnchor>
    <xdr:from>
      <xdr:col>3</xdr:col>
      <xdr:colOff>1714500</xdr:colOff>
      <xdr:row>1</xdr:row>
      <xdr:rowOff>0</xdr:rowOff>
    </xdr:from>
    <xdr:to>
      <xdr:col>4</xdr:col>
      <xdr:colOff>266700</xdr:colOff>
      <xdr:row>1</xdr:row>
      <xdr:rowOff>0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id="{6ADD1C2F-1A97-4D83-8677-427A5EDCDA9D}"/>
            </a:ext>
          </a:extLst>
        </xdr:cNvPr>
        <xdr:cNvSpPr>
          <a:spLocks noChangeArrowheads="1"/>
        </xdr:cNvSpPr>
      </xdr:nvSpPr>
      <xdr:spPr bwMode="auto">
        <a:xfrm>
          <a:off x="2400300" y="209550"/>
          <a:ext cx="4089400" cy="0"/>
        </a:xfrm>
        <a:prstGeom prst="ellips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1905000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4" name="Rectangle 4">
          <a:extLst>
            <a:ext uri="{FF2B5EF4-FFF2-40B4-BE49-F238E27FC236}">
              <a16:creationId xmlns:a16="http://schemas.microsoft.com/office/drawing/2014/main" id="{79AC9E40-220D-4B59-B82F-6320704E233B}"/>
            </a:ext>
          </a:extLst>
        </xdr:cNvPr>
        <xdr:cNvSpPr>
          <a:spLocks noChangeArrowheads="1"/>
        </xdr:cNvSpPr>
      </xdr:nvSpPr>
      <xdr:spPr bwMode="auto">
        <a:xfrm>
          <a:off x="2590800" y="209550"/>
          <a:ext cx="4140200" cy="0"/>
        </a:xfrm>
        <a:prstGeom prst="rect">
          <a:avLst/>
        </a:prstGeom>
        <a:noFill/>
        <a:ln w="1">
          <a:solidFill>
            <a:srgbClr val="008000"/>
          </a:solidFill>
          <a:prstDash val="lgDash"/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5" name="Text 6">
          <a:extLst>
            <a:ext uri="{FF2B5EF4-FFF2-40B4-BE49-F238E27FC236}">
              <a16:creationId xmlns:a16="http://schemas.microsoft.com/office/drawing/2014/main" id="{0E7FCF51-2420-4710-BFAA-E084CB9551EF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Data Items 3, 4, &amp; 6 are N/A after 1st year; once it is ordered, it is good for life of contract.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6" name="Text 7">
          <a:extLst>
            <a:ext uri="{FF2B5EF4-FFF2-40B4-BE49-F238E27FC236}">
              <a16:creationId xmlns:a16="http://schemas.microsoft.com/office/drawing/2014/main" id="{4872A97F-4257-4727-934F-7475189BF5FB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Include all items in service at the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conclusion</a:t>
          </a: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 of cutover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7" name="Text 8">
          <a:extLst>
            <a:ext uri="{FF2B5EF4-FFF2-40B4-BE49-F238E27FC236}">
              <a16:creationId xmlns:a16="http://schemas.microsoft.com/office/drawing/2014/main" id="{102A2DEB-BFF3-4247-BA11-442D81193EB1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one-time expenses to invoke additional services not present at the end of cutover.  The qtys are not cumulative.</a:t>
          </a:r>
        </a:p>
      </xdr:txBody>
    </xdr:sp>
    <xdr:clientData/>
  </xdr:twoCellAnchor>
  <xdr:twoCellAnchor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sp macro="" textlink="">
      <xdr:nvSpPr>
        <xdr:cNvPr id="8" name="Text 9">
          <a:extLst>
            <a:ext uri="{FF2B5EF4-FFF2-40B4-BE49-F238E27FC236}">
              <a16:creationId xmlns:a16="http://schemas.microsoft.com/office/drawing/2014/main" id="{DBE3B22C-C837-4FBC-AA2B-E408B54D9140}"/>
            </a:ext>
          </a:extLst>
        </xdr:cNvPr>
        <xdr:cNvSpPr txBox="1">
          <a:spLocks noChangeArrowheads="1"/>
        </xdr:cNvSpPr>
      </xdr:nvSpPr>
      <xdr:spPr bwMode="auto">
        <a:xfrm>
          <a:off x="6731000" y="209550"/>
          <a:ext cx="0" cy="0"/>
        </a:xfrm>
        <a:prstGeom prst="rect">
          <a:avLst/>
        </a:prstGeom>
        <a:solidFill>
          <a:srgbClr val="FFFFFF"/>
        </a:solidFill>
        <a:ln w="1">
          <a:solidFill>
            <a:srgbClr val="808000"/>
          </a:solidFill>
          <a:prstDash val="dash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These are recurring expenses to maintain existing services.  The 1st year qtys should equal the cutover qty plus first year N/R. 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Out-year qtys are cumulative</a:t>
          </a:r>
          <a:r>
            <a:rPr lang="en-US" sz="700" b="0" i="0" strike="noStrike">
              <a:solidFill>
                <a:srgbClr val="808000"/>
              </a:solidFill>
              <a:latin typeface="Arial"/>
              <a:cs typeface="Arial"/>
            </a:rPr>
            <a:t> and should equal the sum of CLINs 1 &amp; 2.  </a:t>
          </a:r>
          <a:r>
            <a:rPr lang="en-US" sz="700" b="0" i="0" u="sng" strike="noStrike">
              <a:solidFill>
                <a:srgbClr val="808000"/>
              </a:solidFill>
              <a:latin typeface="Arial"/>
              <a:cs typeface="Arial"/>
            </a:rPr>
            <a:t>Unit prices are for 1 month, not 12.</a:t>
          </a:r>
        </a:p>
      </xdr:txBody>
    </xdr:sp>
    <xdr:clientData/>
  </xdr:twoCellAnchor>
  <xdr:twoCellAnchor>
    <xdr:from>
      <xdr:col>3</xdr:col>
      <xdr:colOff>266700</xdr:colOff>
      <xdr:row>1</xdr:row>
      <xdr:rowOff>0</xdr:rowOff>
    </xdr:from>
    <xdr:to>
      <xdr:col>3</xdr:col>
      <xdr:colOff>2486025</xdr:colOff>
      <xdr:row>1</xdr:row>
      <xdr:rowOff>0</xdr:rowOff>
    </xdr:to>
    <xdr:sp macro="" textlink="">
      <xdr:nvSpPr>
        <xdr:cNvPr id="9" name="Text 10">
          <a:extLst>
            <a:ext uri="{FF2B5EF4-FFF2-40B4-BE49-F238E27FC236}">
              <a16:creationId xmlns:a16="http://schemas.microsoft.com/office/drawing/2014/main" id="{838FE8CF-22A6-4084-A09B-4D01AE822DC5}"/>
            </a:ext>
          </a:extLst>
        </xdr:cNvPr>
        <xdr:cNvSpPr txBox="1">
          <a:spLocks noChangeArrowheads="1"/>
        </xdr:cNvSpPr>
      </xdr:nvSpPr>
      <xdr:spPr bwMode="auto">
        <a:xfrm>
          <a:off x="952500" y="209550"/>
          <a:ext cx="2219325" cy="0"/>
        </a:xfrm>
        <a:prstGeom prst="rect">
          <a:avLst/>
        </a:prstGeom>
        <a:solidFill>
          <a:srgbClr val="FFFFC0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800000"/>
              </a:solidFill>
              <a:latin typeface="Arial"/>
              <a:cs typeface="Arial"/>
            </a:rPr>
            <a:t>Multiply CLIN 3 by 12 because the price and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800000"/>
              </a:solidFill>
              <a:latin typeface="Arial"/>
              <a:cs typeface="Arial"/>
            </a:rPr>
            <a:t>qty's reflect one month of service in lieu of 12.</a:t>
          </a:r>
        </a:p>
      </xdr:txBody>
    </xdr:sp>
    <xdr:clientData/>
  </xdr:twoCellAnchor>
  <xdr:twoCellAnchor>
    <xdr:from>
      <xdr:col>4</xdr:col>
      <xdr:colOff>57150</xdr:colOff>
      <xdr:row>1</xdr:row>
      <xdr:rowOff>0</xdr:rowOff>
    </xdr:from>
    <xdr:to>
      <xdr:col>4</xdr:col>
      <xdr:colOff>257175</xdr:colOff>
      <xdr:row>1</xdr:row>
      <xdr:rowOff>0</xdr:rowOff>
    </xdr:to>
    <xdr:sp macro="" textlink="">
      <xdr:nvSpPr>
        <xdr:cNvPr id="10" name="Text 11">
          <a:extLst>
            <a:ext uri="{FF2B5EF4-FFF2-40B4-BE49-F238E27FC236}">
              <a16:creationId xmlns:a16="http://schemas.microsoft.com/office/drawing/2014/main" id="{3AC923F4-1697-4ED1-A50E-CC78199BB8BB}"/>
            </a:ext>
          </a:extLst>
        </xdr:cNvPr>
        <xdr:cNvSpPr txBox="1">
          <a:spLocks noChangeArrowheads="1"/>
        </xdr:cNvSpPr>
      </xdr:nvSpPr>
      <xdr:spPr bwMode="auto">
        <a:xfrm>
          <a:off x="6280150" y="209550"/>
          <a:ext cx="200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EA for CLIN 1 &amp;  2, /MIN for CLIN 3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J88"/>
  <sheetViews>
    <sheetView showZeros="0" tabSelected="1" zoomScale="75" zoomScaleNormal="75" zoomScalePageLayoutView="70" workbookViewId="0">
      <pane ySplit="6" topLeftCell="A51" activePane="bottomLeft" state="frozen"/>
      <selection pane="bottomLeft" activeCell="I88" sqref="I88"/>
    </sheetView>
  </sheetViews>
  <sheetFormatPr defaultColWidth="9" defaultRowHeight="15.6" x14ac:dyDescent="0.3"/>
  <cols>
    <col min="1" max="1" width="2.5546875" style="14" customWidth="1"/>
    <col min="2" max="2" width="2.88671875" style="18" customWidth="1"/>
    <col min="3" max="3" width="4.44140625" style="18" customWidth="1"/>
    <col min="4" max="4" width="79.33203125" style="11" customWidth="1"/>
    <col min="5" max="5" width="7.33203125" style="8" bestFit="1" customWidth="1"/>
    <col min="6" max="6" width="9.88671875" style="9" customWidth="1"/>
    <col min="7" max="7" width="27.88671875" style="58" bestFit="1" customWidth="1"/>
    <col min="8" max="8" width="15.6640625" style="57" customWidth="1"/>
    <col min="9" max="9" width="15" style="57" customWidth="1"/>
    <col min="10" max="10" width="25.5546875" style="9" customWidth="1"/>
    <col min="11" max="16384" width="9" style="14"/>
  </cols>
  <sheetData>
    <row r="1" spans="2:10" ht="16.5" customHeight="1" thickBot="1" x14ac:dyDescent="0.3">
      <c r="B1" s="134"/>
      <c r="C1" s="134"/>
      <c r="D1" s="134"/>
      <c r="E1" s="134"/>
      <c r="F1" s="134"/>
      <c r="G1" s="134"/>
      <c r="H1" s="134"/>
      <c r="I1" s="134"/>
      <c r="J1" s="134"/>
    </row>
    <row r="2" spans="2:10" x14ac:dyDescent="0.25">
      <c r="B2" s="149">
        <v>46146</v>
      </c>
      <c r="C2" s="150"/>
      <c r="D2" s="150"/>
      <c r="E2" s="150"/>
      <c r="F2" s="151"/>
      <c r="G2" s="135" t="s">
        <v>0</v>
      </c>
      <c r="H2" s="136"/>
      <c r="I2" s="136"/>
      <c r="J2" s="137"/>
    </row>
    <row r="3" spans="2:10" ht="23.25" customHeight="1" x14ac:dyDescent="0.25">
      <c r="B3" s="143" t="s">
        <v>1</v>
      </c>
      <c r="C3" s="144"/>
      <c r="D3" s="144"/>
      <c r="E3" s="144"/>
      <c r="F3" s="145"/>
      <c r="G3" s="138"/>
      <c r="H3" s="139"/>
      <c r="I3" s="139"/>
      <c r="J3" s="140"/>
    </row>
    <row r="4" spans="2:10" ht="15" customHeight="1" x14ac:dyDescent="0.3">
      <c r="B4" s="146" t="s">
        <v>2</v>
      </c>
      <c r="C4" s="147"/>
      <c r="D4" s="147"/>
      <c r="E4" s="147"/>
      <c r="F4" s="148"/>
      <c r="G4" s="68" t="s">
        <v>3</v>
      </c>
      <c r="H4" s="141" t="s">
        <v>4</v>
      </c>
      <c r="I4" s="142"/>
      <c r="J4" s="61" t="s">
        <v>5</v>
      </c>
    </row>
    <row r="5" spans="2:10" s="59" customFormat="1" ht="47.25" customHeight="1" x14ac:dyDescent="0.3">
      <c r="B5" s="143" t="s">
        <v>6</v>
      </c>
      <c r="C5" s="144"/>
      <c r="D5" s="144"/>
      <c r="E5" s="144"/>
      <c r="F5" s="145"/>
      <c r="G5" s="69" t="s">
        <v>7</v>
      </c>
      <c r="H5" s="142" t="s">
        <v>8</v>
      </c>
      <c r="I5" s="142"/>
      <c r="J5" s="62" t="s">
        <v>9</v>
      </c>
    </row>
    <row r="6" spans="2:10" s="60" customFormat="1" ht="47.4" thickBot="1" x14ac:dyDescent="0.35">
      <c r="B6" s="63" t="s">
        <v>10</v>
      </c>
      <c r="C6" s="64"/>
      <c r="D6" s="65" t="s">
        <v>11</v>
      </c>
      <c r="E6" s="66" t="s">
        <v>12</v>
      </c>
      <c r="F6" s="67" t="s">
        <v>13</v>
      </c>
      <c r="G6" s="105" t="s">
        <v>14</v>
      </c>
      <c r="H6" s="106" t="s">
        <v>15</v>
      </c>
      <c r="I6" s="106" t="s">
        <v>16</v>
      </c>
      <c r="J6" s="107" t="s">
        <v>17</v>
      </c>
    </row>
    <row r="7" spans="2:10" s="12" customFormat="1" x14ac:dyDescent="0.25">
      <c r="B7" s="5" t="s">
        <v>17</v>
      </c>
      <c r="C7" s="6"/>
      <c r="D7" s="7"/>
      <c r="E7" s="8"/>
      <c r="F7" s="9"/>
      <c r="G7" s="108"/>
      <c r="H7" s="108"/>
      <c r="I7" s="108"/>
      <c r="J7" s="109"/>
    </row>
    <row r="8" spans="2:10" s="12" customFormat="1" x14ac:dyDescent="0.25">
      <c r="B8" s="5" t="s">
        <v>18</v>
      </c>
      <c r="C8" s="6"/>
      <c r="D8" s="10" t="s">
        <v>19</v>
      </c>
      <c r="E8" s="8"/>
      <c r="F8" s="9"/>
      <c r="G8" s="108"/>
      <c r="H8" s="108"/>
      <c r="I8" s="108"/>
      <c r="J8" s="109"/>
    </row>
    <row r="9" spans="2:10" s="12" customFormat="1" x14ac:dyDescent="0.25">
      <c r="B9" s="5" t="s">
        <v>18</v>
      </c>
      <c r="C9" s="6" t="s">
        <v>18</v>
      </c>
      <c r="D9" s="11" t="s">
        <v>20</v>
      </c>
      <c r="E9" s="8" t="s">
        <v>21</v>
      </c>
      <c r="F9" s="9">
        <v>1</v>
      </c>
      <c r="G9" s="110" t="s">
        <v>17</v>
      </c>
      <c r="H9" s="108"/>
      <c r="I9" s="110"/>
      <c r="J9" s="111">
        <v>0</v>
      </c>
    </row>
    <row r="10" spans="2:10" s="12" customFormat="1" x14ac:dyDescent="0.25">
      <c r="B10" s="5" t="s">
        <v>18</v>
      </c>
      <c r="C10" s="6" t="s">
        <v>22</v>
      </c>
      <c r="D10" s="11" t="s">
        <v>23</v>
      </c>
      <c r="E10" s="8" t="s">
        <v>21</v>
      </c>
      <c r="F10" s="9">
        <v>1</v>
      </c>
      <c r="G10" s="110" t="s">
        <v>17</v>
      </c>
      <c r="H10" s="108"/>
      <c r="I10" s="110"/>
      <c r="J10" s="111">
        <v>0</v>
      </c>
    </row>
    <row r="11" spans="2:10" s="12" customFormat="1" x14ac:dyDescent="0.25">
      <c r="B11" s="5"/>
      <c r="C11" s="6"/>
      <c r="D11" s="11"/>
      <c r="E11" s="8"/>
      <c r="F11" s="9"/>
      <c r="G11" s="112"/>
      <c r="H11" s="112"/>
      <c r="I11" s="112"/>
      <c r="J11" s="109"/>
    </row>
    <row r="12" spans="2:10" s="12" customFormat="1" x14ac:dyDescent="0.25">
      <c r="B12" s="5"/>
      <c r="C12" s="6"/>
      <c r="D12" s="10" t="s">
        <v>24</v>
      </c>
      <c r="E12" s="8"/>
      <c r="F12" s="9"/>
      <c r="G12" s="112"/>
      <c r="H12" s="112"/>
      <c r="I12" s="112"/>
      <c r="J12" s="109"/>
    </row>
    <row r="13" spans="2:10" s="12" customFormat="1" x14ac:dyDescent="0.25">
      <c r="B13" s="5" t="s">
        <v>18</v>
      </c>
      <c r="C13" s="6" t="s">
        <v>25</v>
      </c>
      <c r="D13" s="11" t="s">
        <v>26</v>
      </c>
      <c r="E13" s="8" t="s">
        <v>21</v>
      </c>
      <c r="F13" s="9">
        <v>2</v>
      </c>
      <c r="G13" s="111">
        <v>0</v>
      </c>
      <c r="H13" s="108"/>
      <c r="I13" s="110"/>
      <c r="J13" s="110" t="s">
        <v>17</v>
      </c>
    </row>
    <row r="14" spans="2:10" s="12" customFormat="1" x14ac:dyDescent="0.25">
      <c r="B14" s="5"/>
      <c r="C14" s="6"/>
      <c r="D14" s="11"/>
      <c r="E14" s="8"/>
      <c r="F14" s="9"/>
      <c r="G14" s="112"/>
      <c r="H14" s="112"/>
      <c r="I14" s="112"/>
      <c r="J14" s="109"/>
    </row>
    <row r="15" spans="2:10" s="12" customFormat="1" x14ac:dyDescent="0.25">
      <c r="B15" s="5"/>
      <c r="C15" s="6"/>
      <c r="D15" s="10" t="s">
        <v>27</v>
      </c>
      <c r="E15" s="8"/>
      <c r="F15" s="9"/>
      <c r="G15" s="112"/>
      <c r="H15" s="112"/>
      <c r="I15" s="112"/>
      <c r="J15" s="109"/>
    </row>
    <row r="16" spans="2:10" x14ac:dyDescent="0.25">
      <c r="B16" s="5" t="s">
        <v>18</v>
      </c>
      <c r="C16" s="6" t="s">
        <v>28</v>
      </c>
      <c r="D16" s="13" t="s">
        <v>29</v>
      </c>
      <c r="E16" s="8" t="s">
        <v>21</v>
      </c>
      <c r="F16" s="9">
        <v>5</v>
      </c>
      <c r="G16" s="111">
        <v>0</v>
      </c>
      <c r="H16" s="108"/>
      <c r="I16" s="110"/>
      <c r="J16" s="110" t="s">
        <v>17</v>
      </c>
    </row>
    <row r="17" spans="2:10" s="12" customFormat="1" x14ac:dyDescent="0.25">
      <c r="B17" s="5" t="s">
        <v>18</v>
      </c>
      <c r="C17" s="6" t="s">
        <v>30</v>
      </c>
      <c r="D17" s="11" t="s">
        <v>31</v>
      </c>
      <c r="E17" s="8" t="s">
        <v>21</v>
      </c>
      <c r="F17" s="9">
        <v>5</v>
      </c>
      <c r="G17" s="111">
        <v>0</v>
      </c>
      <c r="H17" s="108"/>
      <c r="I17" s="110"/>
      <c r="J17" s="110" t="s">
        <v>17</v>
      </c>
    </row>
    <row r="18" spans="2:10" s="12" customFormat="1" x14ac:dyDescent="0.25">
      <c r="B18" s="5"/>
      <c r="C18" s="6"/>
      <c r="D18" s="11"/>
      <c r="E18" s="8"/>
      <c r="F18" s="9"/>
      <c r="G18" s="110"/>
      <c r="H18" s="108"/>
      <c r="I18" s="110"/>
      <c r="J18" s="110"/>
    </row>
    <row r="19" spans="2:10" s="12" customFormat="1" ht="17.399999999999999" x14ac:dyDescent="0.25">
      <c r="B19" s="5"/>
      <c r="C19" s="6"/>
      <c r="D19" s="93" t="s">
        <v>32</v>
      </c>
      <c r="E19" s="8"/>
      <c r="F19" s="9"/>
      <c r="G19" s="110"/>
      <c r="H19" s="108"/>
      <c r="I19" s="110"/>
      <c r="J19" s="110"/>
    </row>
    <row r="20" spans="2:10" s="12" customFormat="1" x14ac:dyDescent="0.25">
      <c r="B20" s="15"/>
      <c r="C20" s="16"/>
      <c r="D20" s="17"/>
      <c r="E20" s="8"/>
      <c r="F20" s="9"/>
      <c r="G20" s="112"/>
      <c r="H20" s="112"/>
      <c r="I20" s="112"/>
      <c r="J20" s="109"/>
    </row>
    <row r="21" spans="2:10" s="12" customFormat="1" x14ac:dyDescent="0.25">
      <c r="B21" s="4" t="s">
        <v>22</v>
      </c>
      <c r="C21" s="18"/>
      <c r="D21" s="10" t="s">
        <v>33</v>
      </c>
      <c r="E21" s="22"/>
      <c r="F21" s="9"/>
      <c r="G21" s="110"/>
      <c r="H21" s="108"/>
      <c r="I21" s="110"/>
      <c r="J21" s="109"/>
    </row>
    <row r="22" spans="2:10" s="12" customFormat="1" x14ac:dyDescent="0.25">
      <c r="B22" s="4" t="s">
        <v>22</v>
      </c>
      <c r="C22" s="18" t="s">
        <v>18</v>
      </c>
      <c r="D22" s="11" t="s">
        <v>34</v>
      </c>
      <c r="E22" s="22" t="s">
        <v>35</v>
      </c>
      <c r="F22" s="9">
        <v>400</v>
      </c>
      <c r="G22" s="111">
        <v>0</v>
      </c>
      <c r="H22" s="113">
        <v>0</v>
      </c>
      <c r="I22" s="111">
        <f>F22*H22</f>
        <v>0</v>
      </c>
      <c r="J22" s="110" t="s">
        <v>17</v>
      </c>
    </row>
    <row r="23" spans="2:10" x14ac:dyDescent="0.25">
      <c r="B23" s="4" t="s">
        <v>22</v>
      </c>
      <c r="C23" s="18" t="s">
        <v>22</v>
      </c>
      <c r="D23" s="11" t="s">
        <v>36</v>
      </c>
      <c r="E23" s="22" t="s">
        <v>35</v>
      </c>
      <c r="F23" s="9">
        <v>400</v>
      </c>
      <c r="G23" s="111">
        <v>0</v>
      </c>
      <c r="H23" s="113">
        <v>0</v>
      </c>
      <c r="I23" s="111">
        <f t="shared" ref="I23" si="0">H23*F23</f>
        <v>0</v>
      </c>
      <c r="J23" s="110" t="s">
        <v>17</v>
      </c>
    </row>
    <row r="24" spans="2:10" x14ac:dyDescent="0.25">
      <c r="B24" s="5" t="s">
        <v>22</v>
      </c>
      <c r="C24" s="6" t="s">
        <v>25</v>
      </c>
      <c r="D24" s="39" t="s">
        <v>37</v>
      </c>
      <c r="E24" s="22"/>
      <c r="G24" s="111">
        <v>0</v>
      </c>
      <c r="H24" s="113">
        <v>0</v>
      </c>
      <c r="I24" s="111">
        <v>0</v>
      </c>
      <c r="J24" s="109"/>
    </row>
    <row r="25" spans="2:10" x14ac:dyDescent="0.25">
      <c r="B25" s="29" t="s">
        <v>22</v>
      </c>
      <c r="C25" s="30" t="s">
        <v>28</v>
      </c>
      <c r="D25" s="17" t="s">
        <v>38</v>
      </c>
      <c r="E25" s="22"/>
      <c r="G25" s="112"/>
      <c r="H25" s="112"/>
      <c r="I25" s="112"/>
      <c r="J25" s="114"/>
    </row>
    <row r="26" spans="2:10" x14ac:dyDescent="0.25">
      <c r="B26" s="4" t="s">
        <v>17</v>
      </c>
      <c r="E26" s="22"/>
      <c r="G26" s="112"/>
      <c r="H26" s="112"/>
      <c r="I26" s="112"/>
      <c r="J26" s="110" t="s">
        <v>17</v>
      </c>
    </row>
    <row r="27" spans="2:10" x14ac:dyDescent="0.25">
      <c r="B27" s="5" t="s">
        <v>25</v>
      </c>
      <c r="C27" s="6" t="s">
        <v>17</v>
      </c>
      <c r="D27" s="10" t="s">
        <v>39</v>
      </c>
      <c r="E27" s="14"/>
      <c r="G27" s="114"/>
      <c r="H27" s="114"/>
      <c r="I27" s="114"/>
      <c r="J27" s="109"/>
    </row>
    <row r="28" spans="2:10" x14ac:dyDescent="0.25">
      <c r="B28" s="5" t="s">
        <v>25</v>
      </c>
      <c r="C28" s="6" t="s">
        <v>18</v>
      </c>
      <c r="D28" s="11" t="s">
        <v>40</v>
      </c>
      <c r="E28" s="22"/>
      <c r="G28" s="111">
        <v>0</v>
      </c>
      <c r="H28" s="113">
        <v>0</v>
      </c>
      <c r="I28" s="111">
        <f>H28*F28</f>
        <v>0</v>
      </c>
      <c r="J28" s="109"/>
    </row>
    <row r="29" spans="2:10" x14ac:dyDescent="0.25">
      <c r="B29" s="5" t="s">
        <v>25</v>
      </c>
      <c r="C29" s="18" t="s">
        <v>22</v>
      </c>
      <c r="D29" s="39" t="s">
        <v>37</v>
      </c>
      <c r="E29" s="22"/>
      <c r="F29" s="52"/>
      <c r="G29" s="111">
        <v>0</v>
      </c>
      <c r="H29" s="113">
        <v>0</v>
      </c>
      <c r="I29" s="111">
        <f t="shared" ref="I29:I30" si="1">H29*F29</f>
        <v>0</v>
      </c>
      <c r="J29" s="114"/>
    </row>
    <row r="30" spans="2:10" x14ac:dyDescent="0.25">
      <c r="B30" s="5"/>
      <c r="E30" s="22"/>
      <c r="F30" s="52">
        <v>0</v>
      </c>
      <c r="G30" s="111">
        <v>0</v>
      </c>
      <c r="H30" s="113">
        <v>0</v>
      </c>
      <c r="I30" s="111">
        <f t="shared" si="1"/>
        <v>0</v>
      </c>
      <c r="J30" s="110" t="s">
        <v>17</v>
      </c>
    </row>
    <row r="31" spans="2:10" x14ac:dyDescent="0.25">
      <c r="B31" s="5"/>
      <c r="C31" s="18" t="s">
        <v>17</v>
      </c>
      <c r="D31" s="10" t="s">
        <v>41</v>
      </c>
      <c r="E31" s="14"/>
      <c r="G31" s="114"/>
      <c r="H31" s="114"/>
      <c r="I31" s="114"/>
      <c r="J31" s="109"/>
    </row>
    <row r="32" spans="2:10" x14ac:dyDescent="0.25">
      <c r="B32" s="5" t="s">
        <v>25</v>
      </c>
      <c r="C32" s="18" t="s">
        <v>25</v>
      </c>
      <c r="D32" s="11" t="s">
        <v>42</v>
      </c>
      <c r="E32" s="22"/>
      <c r="G32" s="111">
        <v>0</v>
      </c>
      <c r="H32" s="113">
        <v>0</v>
      </c>
      <c r="I32" s="111">
        <f t="shared" ref="I32:I33" si="2">H32*F32</f>
        <v>0</v>
      </c>
      <c r="J32" s="109"/>
    </row>
    <row r="33" spans="2:10" x14ac:dyDescent="0.25">
      <c r="B33" s="5" t="s">
        <v>25</v>
      </c>
      <c r="C33" s="18" t="s">
        <v>28</v>
      </c>
      <c r="D33" s="17" t="s">
        <v>43</v>
      </c>
      <c r="E33" s="22"/>
      <c r="G33" s="111">
        <v>0</v>
      </c>
      <c r="H33" s="113">
        <v>0</v>
      </c>
      <c r="I33" s="111">
        <f t="shared" si="2"/>
        <v>0</v>
      </c>
      <c r="J33" s="109"/>
    </row>
    <row r="34" spans="2:10" x14ac:dyDescent="0.25">
      <c r="B34" s="5"/>
      <c r="C34" s="20"/>
      <c r="E34" s="22"/>
      <c r="G34" s="112"/>
      <c r="H34" s="112"/>
      <c r="I34" s="112"/>
      <c r="J34" s="115"/>
    </row>
    <row r="35" spans="2:10" x14ac:dyDescent="0.25">
      <c r="B35" s="5" t="s">
        <v>30</v>
      </c>
      <c r="C35" s="6"/>
      <c r="D35" s="10" t="s">
        <v>44</v>
      </c>
      <c r="E35" s="14"/>
      <c r="G35" s="114"/>
      <c r="H35" s="114"/>
      <c r="I35" s="110"/>
      <c r="J35" s="115"/>
    </row>
    <row r="36" spans="2:10" x14ac:dyDescent="0.25">
      <c r="B36" s="5" t="s">
        <v>30</v>
      </c>
      <c r="C36" s="18" t="s">
        <v>18</v>
      </c>
      <c r="D36" s="11" t="s">
        <v>45</v>
      </c>
      <c r="E36" s="22" t="s">
        <v>21</v>
      </c>
      <c r="F36" s="9">
        <v>621</v>
      </c>
      <c r="G36" s="111">
        <v>0</v>
      </c>
      <c r="H36" s="113">
        <v>0</v>
      </c>
      <c r="I36" s="111">
        <v>0</v>
      </c>
      <c r="J36" s="115"/>
    </row>
    <row r="37" spans="2:10" x14ac:dyDescent="0.25">
      <c r="B37" s="5" t="s">
        <v>30</v>
      </c>
      <c r="C37" s="18" t="s">
        <v>22</v>
      </c>
      <c r="D37" s="11" t="s">
        <v>46</v>
      </c>
      <c r="E37" s="22" t="s">
        <v>21</v>
      </c>
      <c r="F37" s="9">
        <v>27</v>
      </c>
      <c r="G37" s="111">
        <v>0</v>
      </c>
      <c r="H37" s="113">
        <v>0</v>
      </c>
      <c r="I37" s="111">
        <f t="shared" ref="I37:I38" si="3">H37*F37</f>
        <v>0</v>
      </c>
      <c r="J37" s="115"/>
    </row>
    <row r="38" spans="2:10" x14ac:dyDescent="0.25">
      <c r="B38" s="5" t="s">
        <v>30</v>
      </c>
      <c r="C38" s="18" t="s">
        <v>25</v>
      </c>
      <c r="D38" s="11" t="s">
        <v>37</v>
      </c>
      <c r="E38" s="22"/>
      <c r="G38" s="111">
        <v>0</v>
      </c>
      <c r="H38" s="113">
        <v>0</v>
      </c>
      <c r="I38" s="111">
        <f t="shared" si="3"/>
        <v>0</v>
      </c>
      <c r="J38" s="115"/>
    </row>
    <row r="39" spans="2:10" x14ac:dyDescent="0.25">
      <c r="B39" s="5" t="s">
        <v>30</v>
      </c>
      <c r="C39" s="18" t="s">
        <v>28</v>
      </c>
      <c r="D39" s="17" t="s">
        <v>47</v>
      </c>
      <c r="E39" s="22"/>
      <c r="G39" s="112"/>
      <c r="H39" s="108"/>
      <c r="I39" s="110"/>
      <c r="J39" s="115"/>
    </row>
    <row r="40" spans="2:10" x14ac:dyDescent="0.25">
      <c r="B40" s="44"/>
      <c r="C40" s="14"/>
      <c r="D40" s="17"/>
      <c r="E40" s="14"/>
      <c r="G40" s="114"/>
      <c r="H40" s="114"/>
      <c r="I40" s="116"/>
      <c r="J40" s="115"/>
    </row>
    <row r="41" spans="2:10" x14ac:dyDescent="0.25">
      <c r="B41" s="4" t="s">
        <v>48</v>
      </c>
      <c r="D41" s="10" t="s">
        <v>49</v>
      </c>
      <c r="E41" s="14"/>
      <c r="F41" s="54"/>
      <c r="G41" s="114"/>
      <c r="H41" s="114"/>
      <c r="I41" s="110"/>
      <c r="J41" s="115"/>
    </row>
    <row r="42" spans="2:10" x14ac:dyDescent="0.25">
      <c r="B42" s="4" t="s">
        <v>48</v>
      </c>
      <c r="C42" s="18" t="s">
        <v>18</v>
      </c>
      <c r="D42" s="35" t="s">
        <v>50</v>
      </c>
      <c r="E42" s="22" t="s">
        <v>21</v>
      </c>
      <c r="F42" s="89"/>
      <c r="G42" s="111">
        <v>0</v>
      </c>
      <c r="H42" s="113">
        <v>0</v>
      </c>
      <c r="I42" s="111">
        <f t="shared" ref="I42:I48" si="4">H42*F42</f>
        <v>0</v>
      </c>
      <c r="J42" s="115"/>
    </row>
    <row r="43" spans="2:10" x14ac:dyDescent="0.25">
      <c r="B43" s="4" t="s">
        <v>48</v>
      </c>
      <c r="C43" s="18" t="s">
        <v>22</v>
      </c>
      <c r="D43" s="35" t="s">
        <v>51</v>
      </c>
      <c r="E43" s="22" t="s">
        <v>52</v>
      </c>
      <c r="F43" s="89">
        <v>16</v>
      </c>
      <c r="G43" s="111">
        <v>0</v>
      </c>
      <c r="H43" s="113">
        <v>0</v>
      </c>
      <c r="I43" s="111">
        <f t="shared" si="4"/>
        <v>0</v>
      </c>
      <c r="J43" s="115"/>
    </row>
    <row r="44" spans="2:10" x14ac:dyDescent="0.25">
      <c r="B44" s="4" t="s">
        <v>48</v>
      </c>
      <c r="C44" s="18" t="s">
        <v>25</v>
      </c>
      <c r="D44" s="35" t="s">
        <v>37</v>
      </c>
      <c r="E44" s="22"/>
      <c r="F44" s="89"/>
      <c r="G44" s="111">
        <v>0</v>
      </c>
      <c r="H44" s="113">
        <v>0</v>
      </c>
      <c r="I44" s="111">
        <f>H44*F44</f>
        <v>0</v>
      </c>
      <c r="J44" s="115"/>
    </row>
    <row r="45" spans="2:10" x14ac:dyDescent="0.25">
      <c r="B45" s="4" t="s">
        <v>48</v>
      </c>
      <c r="C45" s="18" t="s">
        <v>28</v>
      </c>
      <c r="D45" s="90" t="s">
        <v>53</v>
      </c>
      <c r="E45" s="22" t="s">
        <v>21</v>
      </c>
      <c r="F45" s="89"/>
      <c r="G45" s="111">
        <v>0</v>
      </c>
      <c r="H45" s="113">
        <v>0</v>
      </c>
      <c r="I45" s="111">
        <f t="shared" si="4"/>
        <v>0</v>
      </c>
      <c r="J45" s="115"/>
    </row>
    <row r="46" spans="2:10" x14ac:dyDescent="0.25">
      <c r="B46" s="4" t="s">
        <v>48</v>
      </c>
      <c r="C46" s="18" t="s">
        <v>30</v>
      </c>
      <c r="D46" s="90" t="s">
        <v>54</v>
      </c>
      <c r="E46" s="22" t="s">
        <v>52</v>
      </c>
      <c r="F46" s="89">
        <v>18</v>
      </c>
      <c r="G46" s="111">
        <v>0</v>
      </c>
      <c r="H46" s="113">
        <v>0</v>
      </c>
      <c r="I46" s="111">
        <f t="shared" si="4"/>
        <v>0</v>
      </c>
      <c r="J46" s="115"/>
    </row>
    <row r="47" spans="2:10" x14ac:dyDescent="0.25">
      <c r="B47" s="4" t="s">
        <v>48</v>
      </c>
      <c r="C47" s="18" t="s">
        <v>48</v>
      </c>
      <c r="D47" s="35" t="s">
        <v>55</v>
      </c>
      <c r="E47" s="22"/>
      <c r="G47" s="111">
        <v>0</v>
      </c>
      <c r="H47" s="113">
        <v>0</v>
      </c>
      <c r="I47" s="111">
        <f t="shared" si="4"/>
        <v>0</v>
      </c>
      <c r="J47" s="115"/>
    </row>
    <row r="48" spans="2:10" x14ac:dyDescent="0.25">
      <c r="B48" s="4" t="s">
        <v>48</v>
      </c>
      <c r="C48" s="18" t="s">
        <v>56</v>
      </c>
      <c r="D48" s="17" t="s">
        <v>57</v>
      </c>
      <c r="E48" s="22"/>
      <c r="G48" s="111">
        <v>0</v>
      </c>
      <c r="H48" s="113">
        <v>0</v>
      </c>
      <c r="I48" s="111">
        <f t="shared" si="4"/>
        <v>0</v>
      </c>
      <c r="J48" s="115"/>
    </row>
    <row r="49" spans="2:10" x14ac:dyDescent="0.25">
      <c r="B49" s="19"/>
      <c r="C49" s="20"/>
      <c r="D49" s="17"/>
      <c r="E49" s="14"/>
      <c r="G49" s="114"/>
      <c r="H49" s="114"/>
      <c r="I49" s="110"/>
      <c r="J49" s="115"/>
    </row>
    <row r="50" spans="2:10" x14ac:dyDescent="0.25">
      <c r="B50" s="19"/>
      <c r="C50" s="20"/>
      <c r="D50" s="102" t="s">
        <v>58</v>
      </c>
      <c r="E50" s="14"/>
      <c r="G50" s="110">
        <f>+SUM(G13:G48)</f>
        <v>0</v>
      </c>
      <c r="H50" s="110">
        <f>+SUM(H22:H48)</f>
        <v>0</v>
      </c>
      <c r="I50" s="110">
        <f>SUM(I22:I48)</f>
        <v>0</v>
      </c>
      <c r="J50" s="115"/>
    </row>
    <row r="51" spans="2:10" x14ac:dyDescent="0.25">
      <c r="B51" s="44"/>
      <c r="C51" s="14"/>
      <c r="D51" s="17"/>
      <c r="E51" s="14"/>
      <c r="G51" s="114"/>
      <c r="H51" s="114"/>
      <c r="I51" s="110"/>
      <c r="J51" s="115"/>
    </row>
    <row r="52" spans="2:10" ht="17.399999999999999" x14ac:dyDescent="0.3">
      <c r="B52" s="4"/>
      <c r="D52" s="93" t="s">
        <v>59</v>
      </c>
      <c r="E52" s="22"/>
      <c r="G52" s="118"/>
      <c r="H52" s="118"/>
      <c r="I52" s="118"/>
      <c r="J52" s="115"/>
    </row>
    <row r="53" spans="2:10" x14ac:dyDescent="0.25">
      <c r="B53" s="4"/>
      <c r="D53" s="21"/>
      <c r="E53" s="22"/>
      <c r="G53" s="110"/>
      <c r="H53" s="108"/>
      <c r="I53" s="110"/>
      <c r="J53" s="119"/>
    </row>
    <row r="54" spans="2:10" x14ac:dyDescent="0.25">
      <c r="B54" s="4" t="s">
        <v>56</v>
      </c>
      <c r="D54" s="10" t="s">
        <v>60</v>
      </c>
      <c r="E54" s="22"/>
      <c r="G54" s="110"/>
      <c r="H54" s="110"/>
      <c r="I54" s="110"/>
      <c r="J54" s="115"/>
    </row>
    <row r="55" spans="2:10" x14ac:dyDescent="0.25">
      <c r="B55" s="4" t="s">
        <v>56</v>
      </c>
      <c r="C55" s="18" t="s">
        <v>18</v>
      </c>
      <c r="D55" s="11" t="s">
        <v>34</v>
      </c>
      <c r="E55" s="22" t="s">
        <v>35</v>
      </c>
      <c r="F55" s="94">
        <v>600</v>
      </c>
      <c r="G55" s="113">
        <v>0</v>
      </c>
      <c r="H55" s="113">
        <v>0</v>
      </c>
      <c r="I55" s="113">
        <f>H55*F55</f>
        <v>0</v>
      </c>
      <c r="J55" s="115"/>
    </row>
    <row r="56" spans="2:10" x14ac:dyDescent="0.25">
      <c r="B56" s="4" t="s">
        <v>56</v>
      </c>
      <c r="C56" s="18" t="s">
        <v>22</v>
      </c>
      <c r="D56" s="11" t="s">
        <v>61</v>
      </c>
      <c r="E56" s="22" t="s">
        <v>35</v>
      </c>
      <c r="F56" s="94">
        <v>600</v>
      </c>
      <c r="G56" s="113">
        <v>0</v>
      </c>
      <c r="H56" s="113">
        <v>0</v>
      </c>
      <c r="I56" s="113">
        <v>0</v>
      </c>
      <c r="J56" s="115"/>
    </row>
    <row r="57" spans="2:10" x14ac:dyDescent="0.25">
      <c r="B57" s="4" t="s">
        <v>56</v>
      </c>
      <c r="C57" s="18" t="s">
        <v>25</v>
      </c>
      <c r="D57" s="11" t="s">
        <v>37</v>
      </c>
      <c r="E57" s="22"/>
      <c r="F57" s="94"/>
      <c r="G57" s="113">
        <v>0</v>
      </c>
      <c r="H57" s="113">
        <v>0</v>
      </c>
      <c r="I57" s="113">
        <f>H57*F57</f>
        <v>0</v>
      </c>
      <c r="J57" s="115"/>
    </row>
    <row r="58" spans="2:10" x14ac:dyDescent="0.25">
      <c r="B58" s="91" t="s">
        <v>56</v>
      </c>
      <c r="C58" s="92" t="s">
        <v>28</v>
      </c>
      <c r="D58" s="98" t="s">
        <v>62</v>
      </c>
      <c r="E58" s="22"/>
      <c r="F58" s="94"/>
      <c r="G58" s="112"/>
      <c r="H58" s="120"/>
      <c r="I58" s="112"/>
      <c r="J58" s="115"/>
    </row>
    <row r="59" spans="2:10" x14ac:dyDescent="0.25">
      <c r="B59" s="5"/>
      <c r="C59" s="6"/>
      <c r="D59" s="96"/>
      <c r="E59" s="22"/>
      <c r="F59" s="94"/>
      <c r="G59" s="112"/>
      <c r="H59" s="120"/>
      <c r="I59" s="112"/>
      <c r="J59" s="115"/>
    </row>
    <row r="60" spans="2:10" x14ac:dyDescent="0.25">
      <c r="B60" s="4" t="s">
        <v>63</v>
      </c>
      <c r="D60" s="10" t="s">
        <v>39</v>
      </c>
      <c r="E60" s="22"/>
      <c r="F60" s="94"/>
      <c r="G60" s="112"/>
      <c r="H60" s="120"/>
      <c r="I60" s="112"/>
      <c r="J60" s="115"/>
    </row>
    <row r="61" spans="2:10" x14ac:dyDescent="0.25">
      <c r="B61" s="5" t="s">
        <v>63</v>
      </c>
      <c r="C61" s="6" t="s">
        <v>18</v>
      </c>
      <c r="D61" s="11" t="s">
        <v>64</v>
      </c>
      <c r="E61" s="104" t="s">
        <v>21</v>
      </c>
      <c r="F61" s="89">
        <v>94</v>
      </c>
      <c r="G61" s="113">
        <v>0</v>
      </c>
      <c r="H61" s="111">
        <v>0</v>
      </c>
      <c r="I61" s="111">
        <f>F61*H61</f>
        <v>0</v>
      </c>
      <c r="J61" s="115"/>
    </row>
    <row r="62" spans="2:10" x14ac:dyDescent="0.25">
      <c r="B62" s="5" t="s">
        <v>63</v>
      </c>
      <c r="C62" s="6" t="s">
        <v>22</v>
      </c>
      <c r="D62" s="11" t="s">
        <v>37</v>
      </c>
      <c r="E62" s="104"/>
      <c r="F62" s="89"/>
      <c r="G62" s="113">
        <v>0</v>
      </c>
      <c r="H62" s="111">
        <v>0</v>
      </c>
      <c r="I62" s="111">
        <f>F62*H62</f>
        <v>0</v>
      </c>
      <c r="J62" s="115"/>
    </row>
    <row r="63" spans="2:10" x14ac:dyDescent="0.25">
      <c r="B63" s="91"/>
      <c r="C63" s="92"/>
      <c r="D63" s="98"/>
      <c r="E63" s="22"/>
      <c r="G63" s="112"/>
      <c r="H63" s="120"/>
      <c r="I63" s="112"/>
      <c r="J63" s="115"/>
    </row>
    <row r="64" spans="2:10" x14ac:dyDescent="0.25">
      <c r="B64" s="4"/>
      <c r="D64" s="7" t="s">
        <v>41</v>
      </c>
      <c r="E64" s="22"/>
      <c r="G64" s="112"/>
      <c r="H64" s="120"/>
      <c r="I64" s="112"/>
      <c r="J64" s="115"/>
    </row>
    <row r="65" spans="2:10" x14ac:dyDescent="0.25">
      <c r="B65" s="4" t="s">
        <v>63</v>
      </c>
      <c r="C65" s="18" t="s">
        <v>25</v>
      </c>
      <c r="D65" s="35" t="s">
        <v>65</v>
      </c>
      <c r="E65" s="22" t="s">
        <v>21</v>
      </c>
      <c r="F65" s="9">
        <v>2</v>
      </c>
      <c r="G65" s="113">
        <v>0</v>
      </c>
      <c r="H65" s="113">
        <v>0</v>
      </c>
      <c r="I65" s="111">
        <f t="shared" ref="I65:I68" si="5">H65*F65</f>
        <v>0</v>
      </c>
      <c r="J65" s="115"/>
    </row>
    <row r="66" spans="2:10" x14ac:dyDescent="0.25">
      <c r="B66" s="4" t="s">
        <v>63</v>
      </c>
      <c r="C66" s="18" t="s">
        <v>28</v>
      </c>
      <c r="D66" s="35" t="s">
        <v>66</v>
      </c>
      <c r="E66" s="22" t="s">
        <v>21</v>
      </c>
      <c r="F66" s="9">
        <v>1</v>
      </c>
      <c r="G66" s="113">
        <v>0</v>
      </c>
      <c r="H66" s="113">
        <v>0</v>
      </c>
      <c r="I66" s="111">
        <f t="shared" si="5"/>
        <v>0</v>
      </c>
      <c r="J66" s="115"/>
    </row>
    <row r="67" spans="2:10" x14ac:dyDescent="0.25">
      <c r="B67" s="4" t="s">
        <v>63</v>
      </c>
      <c r="C67" s="18" t="s">
        <v>30</v>
      </c>
      <c r="D67" s="35" t="s">
        <v>67</v>
      </c>
      <c r="E67" s="104" t="s">
        <v>21</v>
      </c>
      <c r="F67" s="89">
        <v>1</v>
      </c>
      <c r="G67" s="113">
        <v>0</v>
      </c>
      <c r="H67" s="113">
        <v>0</v>
      </c>
      <c r="I67" s="111">
        <f t="shared" si="5"/>
        <v>0</v>
      </c>
      <c r="J67" s="115"/>
    </row>
    <row r="68" spans="2:10" x14ac:dyDescent="0.25">
      <c r="B68" s="4" t="s">
        <v>63</v>
      </c>
      <c r="C68" s="18" t="s">
        <v>48</v>
      </c>
      <c r="D68" s="35" t="s">
        <v>42</v>
      </c>
      <c r="E68" s="99" t="s">
        <v>21</v>
      </c>
      <c r="F68" s="94">
        <v>94</v>
      </c>
      <c r="G68" s="113">
        <v>0</v>
      </c>
      <c r="H68" s="113">
        <v>0</v>
      </c>
      <c r="I68" s="111">
        <f t="shared" si="5"/>
        <v>0</v>
      </c>
      <c r="J68" s="115"/>
    </row>
    <row r="69" spans="2:10" x14ac:dyDescent="0.25">
      <c r="B69" s="4" t="s">
        <v>63</v>
      </c>
      <c r="C69" s="18" t="s">
        <v>56</v>
      </c>
      <c r="D69" s="98" t="s">
        <v>68</v>
      </c>
      <c r="E69" s="22"/>
      <c r="F69" s="94"/>
      <c r="G69" s="108"/>
      <c r="H69" s="108"/>
      <c r="I69" s="110"/>
      <c r="J69" s="115"/>
    </row>
    <row r="70" spans="2:10" x14ac:dyDescent="0.25">
      <c r="B70" s="5"/>
      <c r="C70" s="6"/>
      <c r="D70" s="96"/>
      <c r="E70" s="22"/>
      <c r="G70" s="112"/>
      <c r="H70" s="120"/>
      <c r="I70" s="112"/>
      <c r="J70" s="115"/>
    </row>
    <row r="71" spans="2:10" x14ac:dyDescent="0.25">
      <c r="B71" s="5" t="s">
        <v>69</v>
      </c>
      <c r="C71" s="6"/>
      <c r="D71" s="10" t="s">
        <v>44</v>
      </c>
      <c r="E71" s="22"/>
      <c r="G71" s="112"/>
      <c r="H71" s="120"/>
      <c r="I71" s="112"/>
      <c r="J71" s="115"/>
    </row>
    <row r="72" spans="2:10" x14ac:dyDescent="0.25">
      <c r="B72" s="5" t="s">
        <v>69</v>
      </c>
      <c r="C72" s="18" t="s">
        <v>18</v>
      </c>
      <c r="D72" s="11" t="s">
        <v>70</v>
      </c>
      <c r="E72" s="104" t="s">
        <v>21</v>
      </c>
      <c r="F72" s="89">
        <v>414</v>
      </c>
      <c r="G72" s="113">
        <v>0</v>
      </c>
      <c r="H72" s="111">
        <v>0</v>
      </c>
      <c r="I72" s="111">
        <f>H72*F72</f>
        <v>0</v>
      </c>
      <c r="J72" s="115"/>
    </row>
    <row r="73" spans="2:10" x14ac:dyDescent="0.25">
      <c r="B73" s="5" t="s">
        <v>69</v>
      </c>
      <c r="C73" s="18" t="s">
        <v>22</v>
      </c>
      <c r="D73" s="11" t="s">
        <v>71</v>
      </c>
      <c r="E73" s="104" t="s">
        <v>21</v>
      </c>
      <c r="F73" s="89">
        <v>18</v>
      </c>
      <c r="G73" s="113">
        <v>0</v>
      </c>
      <c r="H73" s="113">
        <v>0</v>
      </c>
      <c r="I73" s="111">
        <f t="shared" ref="I73:I74" si="6">H73*F73</f>
        <v>0</v>
      </c>
      <c r="J73" s="115"/>
    </row>
    <row r="74" spans="2:10" x14ac:dyDescent="0.25">
      <c r="B74" s="5" t="s">
        <v>69</v>
      </c>
      <c r="C74" s="18" t="s">
        <v>25</v>
      </c>
      <c r="D74" s="11" t="s">
        <v>37</v>
      </c>
      <c r="E74" s="104"/>
      <c r="F74" s="89"/>
      <c r="G74" s="113">
        <v>0</v>
      </c>
      <c r="H74" s="113">
        <v>0</v>
      </c>
      <c r="I74" s="111">
        <f t="shared" si="6"/>
        <v>0</v>
      </c>
      <c r="J74" s="115"/>
    </row>
    <row r="75" spans="2:10" x14ac:dyDescent="0.25">
      <c r="B75" s="5" t="s">
        <v>69</v>
      </c>
      <c r="C75" s="18" t="s">
        <v>28</v>
      </c>
      <c r="D75" s="11" t="s">
        <v>72</v>
      </c>
      <c r="E75" s="104" t="s">
        <v>21</v>
      </c>
      <c r="F75" s="89">
        <v>115</v>
      </c>
      <c r="G75" s="113">
        <v>0</v>
      </c>
      <c r="H75" s="113">
        <v>0</v>
      </c>
      <c r="I75" s="111">
        <f>H75*F75</f>
        <v>0</v>
      </c>
      <c r="J75" s="115"/>
    </row>
    <row r="76" spans="2:10" x14ac:dyDescent="0.25">
      <c r="B76" s="5" t="s">
        <v>69</v>
      </c>
      <c r="C76" s="18" t="s">
        <v>30</v>
      </c>
      <c r="D76" s="11" t="s">
        <v>73</v>
      </c>
      <c r="E76" s="22" t="s">
        <v>21</v>
      </c>
      <c r="F76" s="9">
        <v>5</v>
      </c>
      <c r="G76" s="113">
        <v>0</v>
      </c>
      <c r="H76" s="113">
        <v>0</v>
      </c>
      <c r="I76" s="111">
        <f t="shared" ref="I76:I77" si="7">H76*F76</f>
        <v>0</v>
      </c>
      <c r="J76" s="115"/>
    </row>
    <row r="77" spans="2:10" x14ac:dyDescent="0.25">
      <c r="B77" s="5" t="s">
        <v>69</v>
      </c>
      <c r="C77" s="6" t="s">
        <v>48</v>
      </c>
      <c r="D77" s="96" t="s">
        <v>37</v>
      </c>
      <c r="E77" s="22"/>
      <c r="G77" s="113">
        <v>0</v>
      </c>
      <c r="H77" s="113">
        <v>0</v>
      </c>
      <c r="I77" s="111">
        <f t="shared" si="7"/>
        <v>0</v>
      </c>
      <c r="J77" s="115"/>
    </row>
    <row r="78" spans="2:10" x14ac:dyDescent="0.25">
      <c r="B78" s="5" t="s">
        <v>69</v>
      </c>
      <c r="C78" s="6" t="s">
        <v>56</v>
      </c>
      <c r="D78" s="98" t="s">
        <v>74</v>
      </c>
      <c r="E78" s="22"/>
      <c r="G78" s="112"/>
      <c r="H78" s="120"/>
      <c r="I78" s="112"/>
      <c r="J78" s="115"/>
    </row>
    <row r="79" spans="2:10" x14ac:dyDescent="0.25">
      <c r="B79" s="5"/>
      <c r="C79" s="6"/>
      <c r="D79" s="98"/>
      <c r="E79" s="22"/>
      <c r="G79" s="112"/>
      <c r="H79" s="120"/>
      <c r="I79" s="112"/>
      <c r="J79" s="115"/>
    </row>
    <row r="80" spans="2:10" x14ac:dyDescent="0.25">
      <c r="B80" s="4" t="s">
        <v>75</v>
      </c>
      <c r="D80" s="10" t="s">
        <v>76</v>
      </c>
      <c r="E80" s="22"/>
      <c r="F80" s="53"/>
      <c r="G80" s="112"/>
      <c r="H80" s="112"/>
      <c r="I80" s="112"/>
      <c r="J80" s="115"/>
    </row>
    <row r="81" spans="2:10" x14ac:dyDescent="0.25">
      <c r="B81" s="4" t="s">
        <v>75</v>
      </c>
      <c r="C81" s="18" t="s">
        <v>18</v>
      </c>
      <c r="D81" s="100" t="s">
        <v>77</v>
      </c>
      <c r="E81" s="104" t="s">
        <v>21</v>
      </c>
      <c r="F81" s="89">
        <v>1</v>
      </c>
      <c r="G81" s="113">
        <v>0</v>
      </c>
      <c r="H81" s="113">
        <v>0</v>
      </c>
      <c r="I81" s="111">
        <f>H81*F81</f>
        <v>0</v>
      </c>
      <c r="J81" s="115"/>
    </row>
    <row r="82" spans="2:10" x14ac:dyDescent="0.25">
      <c r="B82" s="4" t="s">
        <v>75</v>
      </c>
      <c r="C82" s="18" t="s">
        <v>22</v>
      </c>
      <c r="D82" s="100" t="s">
        <v>78</v>
      </c>
      <c r="E82" s="101" t="s">
        <v>79</v>
      </c>
      <c r="F82" s="94">
        <v>21</v>
      </c>
      <c r="G82" s="113">
        <v>0</v>
      </c>
      <c r="H82" s="113">
        <v>0</v>
      </c>
      <c r="I82" s="111">
        <f t="shared" ref="I82" si="8">H82*F82</f>
        <v>0</v>
      </c>
      <c r="J82" s="115"/>
    </row>
    <row r="83" spans="2:10" x14ac:dyDescent="0.25">
      <c r="B83" s="4" t="s">
        <v>75</v>
      </c>
      <c r="C83" s="18" t="s">
        <v>25</v>
      </c>
      <c r="D83" s="11" t="s">
        <v>37</v>
      </c>
      <c r="E83" s="101"/>
      <c r="F83" s="94"/>
      <c r="G83" s="113">
        <v>0</v>
      </c>
      <c r="H83" s="113">
        <v>0</v>
      </c>
      <c r="I83" s="111">
        <f>H83*F83</f>
        <v>0</v>
      </c>
      <c r="J83" s="115"/>
    </row>
    <row r="84" spans="2:10" x14ac:dyDescent="0.25">
      <c r="B84" s="4" t="s">
        <v>75</v>
      </c>
      <c r="C84" s="18" t="s">
        <v>28</v>
      </c>
      <c r="D84" s="98" t="s">
        <v>80</v>
      </c>
      <c r="E84" s="101"/>
      <c r="F84" s="94"/>
      <c r="G84" s="108"/>
      <c r="H84" s="108"/>
      <c r="I84" s="110"/>
      <c r="J84" s="115"/>
    </row>
    <row r="85" spans="2:10" x14ac:dyDescent="0.25">
      <c r="B85" s="4"/>
      <c r="D85" s="17"/>
      <c r="E85" s="23"/>
      <c r="G85" s="112"/>
      <c r="H85" s="112"/>
      <c r="I85" s="112"/>
      <c r="J85" s="115"/>
    </row>
    <row r="86" spans="2:10" x14ac:dyDescent="0.25">
      <c r="B86" s="4"/>
      <c r="D86" s="102" t="s">
        <v>81</v>
      </c>
      <c r="E86" s="23"/>
      <c r="G86" s="108">
        <f>SUM(G55:G83)</f>
        <v>0</v>
      </c>
      <c r="H86" s="108">
        <f>SUM(H55:H83)</f>
        <v>0</v>
      </c>
      <c r="I86" s="108">
        <f>SUM(I55:I83)</f>
        <v>0</v>
      </c>
      <c r="J86" s="115"/>
    </row>
    <row r="87" spans="2:10" x14ac:dyDescent="0.25">
      <c r="B87" s="44"/>
      <c r="C87" s="14"/>
      <c r="D87" s="17"/>
      <c r="E87" s="14"/>
      <c r="G87" s="112"/>
      <c r="H87" s="112"/>
      <c r="I87" s="112"/>
      <c r="J87" s="115"/>
    </row>
    <row r="88" spans="2:10" ht="16.2" thickBot="1" x14ac:dyDescent="0.35">
      <c r="B88" s="45"/>
      <c r="C88" s="46"/>
      <c r="D88" s="47" t="s">
        <v>106</v>
      </c>
      <c r="E88" s="24"/>
      <c r="F88" s="55"/>
      <c r="G88" s="121">
        <f>G86+G50</f>
        <v>0</v>
      </c>
      <c r="H88" s="121">
        <f>H86+H50</f>
        <v>0</v>
      </c>
      <c r="I88" s="121">
        <f>I86+I50</f>
        <v>0</v>
      </c>
      <c r="J88" s="122">
        <f>SUM(J9:J10)</f>
        <v>0</v>
      </c>
    </row>
  </sheetData>
  <mergeCells count="8">
    <mergeCell ref="B1:J1"/>
    <mergeCell ref="G2:J3"/>
    <mergeCell ref="H4:I4"/>
    <mergeCell ref="H5:I5"/>
    <mergeCell ref="B5:F5"/>
    <mergeCell ref="B4:F4"/>
    <mergeCell ref="B3:F3"/>
    <mergeCell ref="B2:F2"/>
  </mergeCells>
  <phoneticPr fontId="0" type="noConversion"/>
  <printOptions horizontalCentered="1" gridLines="1"/>
  <pageMargins left="0.33" right="0.33" top="0.33" bottom="0.36" header="0" footer="0"/>
  <pageSetup scale="58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89"/>
  <sheetViews>
    <sheetView zoomScale="80" zoomScaleNormal="80" workbookViewId="0">
      <selection activeCell="G2" sqref="G2:I3"/>
    </sheetView>
  </sheetViews>
  <sheetFormatPr defaultColWidth="9" defaultRowHeight="15.6" x14ac:dyDescent="0.3"/>
  <cols>
    <col min="1" max="1" width="2.5546875" style="14" customWidth="1"/>
    <col min="2" max="2" width="2.88671875" style="18" customWidth="1"/>
    <col min="3" max="3" width="4.44140625" style="18" customWidth="1"/>
    <col min="4" max="4" width="79.33203125" style="11" customWidth="1"/>
    <col min="5" max="5" width="7.33203125" style="8" bestFit="1" customWidth="1"/>
    <col min="6" max="6" width="9.88671875" style="9" customWidth="1"/>
    <col min="7" max="7" width="27.88671875" style="58" bestFit="1" customWidth="1"/>
    <col min="8" max="8" width="15.6640625" style="57" customWidth="1"/>
    <col min="9" max="9" width="15" style="57" customWidth="1"/>
    <col min="10" max="16384" width="9" style="14"/>
  </cols>
  <sheetData>
    <row r="1" spans="2:9" ht="16.5" customHeight="1" thickBot="1" x14ac:dyDescent="0.3">
      <c r="B1" s="134"/>
      <c r="C1" s="134"/>
      <c r="D1" s="134"/>
      <c r="E1" s="134"/>
      <c r="F1" s="134"/>
      <c r="G1" s="134"/>
      <c r="H1" s="134"/>
      <c r="I1" s="134"/>
    </row>
    <row r="2" spans="2:9" x14ac:dyDescent="0.25">
      <c r="B2" s="149">
        <v>46146</v>
      </c>
      <c r="C2" s="150"/>
      <c r="D2" s="150"/>
      <c r="E2" s="150"/>
      <c r="F2" s="151"/>
      <c r="G2" s="135" t="s">
        <v>102</v>
      </c>
      <c r="H2" s="136"/>
      <c r="I2" s="136"/>
    </row>
    <row r="3" spans="2:9" ht="23.25" customHeight="1" x14ac:dyDescent="0.25">
      <c r="B3" s="143" t="s">
        <v>1</v>
      </c>
      <c r="C3" s="144"/>
      <c r="D3" s="144"/>
      <c r="E3" s="144"/>
      <c r="F3" s="145"/>
      <c r="G3" s="138"/>
      <c r="H3" s="139"/>
      <c r="I3" s="139"/>
    </row>
    <row r="4" spans="2:9" ht="15" customHeight="1" x14ac:dyDescent="0.3">
      <c r="B4" s="146" t="s">
        <v>2</v>
      </c>
      <c r="C4" s="147"/>
      <c r="D4" s="147"/>
      <c r="E4" s="147"/>
      <c r="F4" s="148"/>
      <c r="G4" s="68" t="s">
        <v>3</v>
      </c>
      <c r="H4" s="141" t="s">
        <v>4</v>
      </c>
      <c r="I4" s="142"/>
    </row>
    <row r="5" spans="2:9" s="59" customFormat="1" ht="47.25" customHeight="1" x14ac:dyDescent="0.3">
      <c r="B5" s="143" t="s">
        <v>6</v>
      </c>
      <c r="C5" s="144"/>
      <c r="D5" s="144"/>
      <c r="E5" s="144"/>
      <c r="F5" s="145"/>
      <c r="G5" s="69" t="s">
        <v>7</v>
      </c>
      <c r="H5" s="142" t="s">
        <v>8</v>
      </c>
      <c r="I5" s="142"/>
    </row>
    <row r="6" spans="2:9" s="60" customFormat="1" ht="47.4" thickBot="1" x14ac:dyDescent="0.35">
      <c r="B6" s="63" t="s">
        <v>10</v>
      </c>
      <c r="C6" s="64"/>
      <c r="D6" s="65" t="s">
        <v>11</v>
      </c>
      <c r="E6" s="66" t="s">
        <v>12</v>
      </c>
      <c r="F6" s="67" t="s">
        <v>13</v>
      </c>
      <c r="G6" s="105" t="s">
        <v>14</v>
      </c>
      <c r="H6" s="106" t="s">
        <v>15</v>
      </c>
      <c r="I6" s="106" t="s">
        <v>16</v>
      </c>
    </row>
    <row r="7" spans="2:9" s="12" customFormat="1" x14ac:dyDescent="0.25">
      <c r="B7" s="5" t="s">
        <v>17</v>
      </c>
      <c r="C7" s="6"/>
      <c r="D7" s="7"/>
      <c r="E7" s="8"/>
      <c r="F7" s="9"/>
      <c r="G7" s="108"/>
      <c r="H7" s="108"/>
      <c r="I7" s="108"/>
    </row>
    <row r="8" spans="2:9" s="12" customFormat="1" x14ac:dyDescent="0.25">
      <c r="B8" s="5" t="s">
        <v>18</v>
      </c>
      <c r="C8" s="6"/>
      <c r="D8" s="10"/>
      <c r="E8" s="8"/>
      <c r="F8" s="9"/>
      <c r="G8" s="108"/>
      <c r="H8" s="108"/>
      <c r="I8" s="108"/>
    </row>
    <row r="9" spans="2:9" s="12" customFormat="1" x14ac:dyDescent="0.25">
      <c r="B9" s="5" t="s">
        <v>18</v>
      </c>
      <c r="C9" s="6" t="s">
        <v>18</v>
      </c>
      <c r="D9" s="11"/>
      <c r="E9" s="8"/>
      <c r="F9" s="9"/>
      <c r="G9" s="110" t="s">
        <v>17</v>
      </c>
      <c r="H9" s="108"/>
      <c r="I9" s="110"/>
    </row>
    <row r="10" spans="2:9" s="12" customFormat="1" x14ac:dyDescent="0.25">
      <c r="B10" s="5" t="s">
        <v>18</v>
      </c>
      <c r="C10" s="6" t="s">
        <v>22</v>
      </c>
      <c r="D10" s="11"/>
      <c r="E10" s="8"/>
      <c r="F10" s="9"/>
      <c r="G10" s="110" t="s">
        <v>17</v>
      </c>
      <c r="H10" s="108"/>
      <c r="I10" s="110"/>
    </row>
    <row r="11" spans="2:9" s="12" customFormat="1" x14ac:dyDescent="0.25">
      <c r="B11" s="5"/>
      <c r="C11" s="6"/>
      <c r="D11" s="11"/>
      <c r="E11" s="8"/>
      <c r="F11" s="9"/>
      <c r="G11" s="112"/>
      <c r="H11" s="112"/>
      <c r="I11" s="112"/>
    </row>
    <row r="12" spans="2:9" s="12" customFormat="1" x14ac:dyDescent="0.25">
      <c r="B12" s="5"/>
      <c r="C12" s="6"/>
      <c r="D12" s="10" t="s">
        <v>24</v>
      </c>
      <c r="E12" s="8"/>
      <c r="F12" s="9"/>
      <c r="G12" s="112"/>
      <c r="H12" s="112"/>
      <c r="I12" s="112"/>
    </row>
    <row r="13" spans="2:9" s="12" customFormat="1" x14ac:dyDescent="0.25">
      <c r="B13" s="5" t="s">
        <v>18</v>
      </c>
      <c r="C13" s="6" t="s">
        <v>25</v>
      </c>
      <c r="D13" s="11" t="s">
        <v>26</v>
      </c>
      <c r="E13" s="8" t="s">
        <v>21</v>
      </c>
      <c r="F13" s="9">
        <v>2</v>
      </c>
      <c r="G13" s="111">
        <v>0</v>
      </c>
      <c r="H13" s="108"/>
      <c r="I13" s="110"/>
    </row>
    <row r="14" spans="2:9" s="12" customFormat="1" x14ac:dyDescent="0.25">
      <c r="B14" s="5"/>
      <c r="C14" s="6"/>
      <c r="D14" s="11"/>
      <c r="E14" s="8"/>
      <c r="F14" s="9"/>
      <c r="G14" s="112"/>
      <c r="H14" s="112"/>
      <c r="I14" s="112"/>
    </row>
    <row r="15" spans="2:9" s="12" customFormat="1" x14ac:dyDescent="0.25">
      <c r="B15" s="5"/>
      <c r="C15" s="6"/>
      <c r="D15" s="10" t="s">
        <v>27</v>
      </c>
      <c r="E15" s="8"/>
      <c r="F15" s="9"/>
      <c r="G15" s="112"/>
      <c r="H15" s="112"/>
      <c r="I15" s="112"/>
    </row>
    <row r="16" spans="2:9" x14ac:dyDescent="0.25">
      <c r="B16" s="5" t="s">
        <v>18</v>
      </c>
      <c r="C16" s="6" t="s">
        <v>28</v>
      </c>
      <c r="D16" s="13" t="s">
        <v>29</v>
      </c>
      <c r="E16" s="8" t="s">
        <v>21</v>
      </c>
      <c r="F16" s="9">
        <v>5</v>
      </c>
      <c r="G16" s="111">
        <v>0</v>
      </c>
      <c r="H16" s="108"/>
      <c r="I16" s="110"/>
    </row>
    <row r="17" spans="2:9" s="12" customFormat="1" x14ac:dyDescent="0.25">
      <c r="B17" s="5" t="s">
        <v>18</v>
      </c>
      <c r="C17" s="6" t="s">
        <v>30</v>
      </c>
      <c r="D17" s="11" t="s">
        <v>31</v>
      </c>
      <c r="E17" s="8" t="s">
        <v>21</v>
      </c>
      <c r="F17" s="9">
        <v>5</v>
      </c>
      <c r="G17" s="111">
        <v>0</v>
      </c>
      <c r="H17" s="108"/>
      <c r="I17" s="110"/>
    </row>
    <row r="18" spans="2:9" s="12" customFormat="1" x14ac:dyDescent="0.25">
      <c r="B18" s="5"/>
      <c r="C18" s="6"/>
      <c r="D18" s="11"/>
      <c r="E18" s="8"/>
      <c r="F18" s="9"/>
      <c r="G18" s="110"/>
      <c r="H18" s="108"/>
      <c r="I18" s="110"/>
    </row>
    <row r="19" spans="2:9" s="12" customFormat="1" ht="17.399999999999999" x14ac:dyDescent="0.25">
      <c r="B19" s="5"/>
      <c r="C19" s="6"/>
      <c r="D19" s="93" t="s">
        <v>32</v>
      </c>
      <c r="E19" s="8"/>
      <c r="F19" s="9"/>
      <c r="G19" s="110"/>
      <c r="H19" s="108"/>
      <c r="I19" s="110"/>
    </row>
    <row r="20" spans="2:9" s="12" customFormat="1" x14ac:dyDescent="0.25">
      <c r="B20" s="15"/>
      <c r="C20" s="16"/>
      <c r="D20" s="17"/>
      <c r="E20" s="8"/>
      <c r="F20" s="9"/>
      <c r="G20" s="112"/>
      <c r="H20" s="112"/>
      <c r="I20" s="112"/>
    </row>
    <row r="21" spans="2:9" s="12" customFormat="1" x14ac:dyDescent="0.25">
      <c r="B21" s="4" t="s">
        <v>22</v>
      </c>
      <c r="C21" s="18"/>
      <c r="D21" s="10" t="s">
        <v>33</v>
      </c>
      <c r="E21" s="22"/>
      <c r="F21" s="9"/>
      <c r="G21" s="110"/>
      <c r="H21" s="108"/>
      <c r="I21" s="110"/>
    </row>
    <row r="22" spans="2:9" s="12" customFormat="1" x14ac:dyDescent="0.25">
      <c r="B22" s="4" t="s">
        <v>22</v>
      </c>
      <c r="C22" s="18" t="s">
        <v>18</v>
      </c>
      <c r="D22" s="11" t="s">
        <v>34</v>
      </c>
      <c r="E22" s="22" t="s">
        <v>35</v>
      </c>
      <c r="F22" s="9">
        <v>400</v>
      </c>
      <c r="G22" s="111">
        <v>0</v>
      </c>
      <c r="H22" s="113">
        <v>0</v>
      </c>
      <c r="I22" s="111">
        <f>F22*H22</f>
        <v>0</v>
      </c>
    </row>
    <row r="23" spans="2:9" x14ac:dyDescent="0.25">
      <c r="B23" s="4" t="s">
        <v>22</v>
      </c>
      <c r="C23" s="18" t="s">
        <v>22</v>
      </c>
      <c r="D23" s="11" t="s">
        <v>36</v>
      </c>
      <c r="E23" s="22" t="s">
        <v>35</v>
      </c>
      <c r="F23" s="9">
        <v>400</v>
      </c>
      <c r="G23" s="111">
        <v>0</v>
      </c>
      <c r="H23" s="113">
        <v>0</v>
      </c>
      <c r="I23" s="111">
        <f t="shared" ref="I23" si="0">H23*F23</f>
        <v>0</v>
      </c>
    </row>
    <row r="24" spans="2:9" x14ac:dyDescent="0.25">
      <c r="B24" s="5" t="s">
        <v>22</v>
      </c>
      <c r="C24" s="6" t="s">
        <v>25</v>
      </c>
      <c r="D24" s="39" t="s">
        <v>37</v>
      </c>
      <c r="E24" s="22"/>
      <c r="G24" s="131">
        <v>0</v>
      </c>
      <c r="H24" s="113">
        <v>0</v>
      </c>
      <c r="I24" s="111">
        <v>0</v>
      </c>
    </row>
    <row r="25" spans="2:9" x14ac:dyDescent="0.25">
      <c r="B25" s="29" t="s">
        <v>22</v>
      </c>
      <c r="C25" s="30" t="s">
        <v>28</v>
      </c>
      <c r="D25" s="17" t="s">
        <v>38</v>
      </c>
      <c r="E25" s="22"/>
      <c r="G25" s="112"/>
      <c r="H25" s="112"/>
      <c r="I25" s="112"/>
    </row>
    <row r="26" spans="2:9" x14ac:dyDescent="0.25">
      <c r="B26" s="4" t="s">
        <v>17</v>
      </c>
      <c r="E26" s="22"/>
      <c r="G26" s="112"/>
      <c r="H26" s="112"/>
      <c r="I26" s="112"/>
    </row>
    <row r="27" spans="2:9" x14ac:dyDescent="0.25">
      <c r="B27" s="5" t="s">
        <v>25</v>
      </c>
      <c r="C27" s="6" t="s">
        <v>17</v>
      </c>
      <c r="D27" s="10" t="s">
        <v>39</v>
      </c>
      <c r="E27" s="14"/>
      <c r="G27" s="114"/>
      <c r="H27" s="114"/>
      <c r="I27" s="114"/>
    </row>
    <row r="28" spans="2:9" x14ac:dyDescent="0.25">
      <c r="B28" s="5" t="s">
        <v>25</v>
      </c>
      <c r="C28" s="6" t="s">
        <v>18</v>
      </c>
      <c r="D28" s="11" t="s">
        <v>40</v>
      </c>
      <c r="E28" s="22"/>
      <c r="G28" s="111">
        <v>0</v>
      </c>
      <c r="H28" s="113">
        <v>0</v>
      </c>
      <c r="I28" s="111">
        <f>H28*F28</f>
        <v>0</v>
      </c>
    </row>
    <row r="29" spans="2:9" x14ac:dyDescent="0.25">
      <c r="B29" s="5" t="s">
        <v>25</v>
      </c>
      <c r="C29" s="18" t="s">
        <v>22</v>
      </c>
      <c r="D29" s="39" t="s">
        <v>37</v>
      </c>
      <c r="E29" s="22"/>
      <c r="F29" s="52"/>
      <c r="G29" s="111">
        <v>0</v>
      </c>
      <c r="H29" s="113">
        <v>0</v>
      </c>
      <c r="I29" s="111">
        <f t="shared" ref="I29" si="1">H29*F29</f>
        <v>0</v>
      </c>
    </row>
    <row r="30" spans="2:9" x14ac:dyDescent="0.25">
      <c r="B30" s="5"/>
      <c r="D30" s="17"/>
      <c r="E30" s="22"/>
      <c r="G30" s="112"/>
      <c r="H30" s="112"/>
      <c r="I30" s="112"/>
    </row>
    <row r="31" spans="2:9" x14ac:dyDescent="0.25">
      <c r="B31" s="5"/>
      <c r="C31" s="18" t="s">
        <v>17</v>
      </c>
      <c r="D31" s="10" t="s">
        <v>41</v>
      </c>
      <c r="E31" s="14"/>
      <c r="G31" s="114"/>
      <c r="H31" s="114"/>
      <c r="I31" s="114"/>
    </row>
    <row r="32" spans="2:9" x14ac:dyDescent="0.25">
      <c r="B32" s="5" t="s">
        <v>25</v>
      </c>
      <c r="C32" s="18" t="s">
        <v>25</v>
      </c>
      <c r="D32" s="11" t="s">
        <v>42</v>
      </c>
      <c r="E32" s="22"/>
      <c r="G32" s="111">
        <v>0</v>
      </c>
      <c r="H32" s="113">
        <v>0</v>
      </c>
      <c r="I32" s="111">
        <f t="shared" ref="I32" si="2">H32*F32</f>
        <v>0</v>
      </c>
    </row>
    <row r="33" spans="2:9" x14ac:dyDescent="0.25">
      <c r="B33" s="5" t="s">
        <v>25</v>
      </c>
      <c r="C33" s="18" t="s">
        <v>28</v>
      </c>
      <c r="D33" s="17" t="s">
        <v>43</v>
      </c>
      <c r="E33" s="22"/>
      <c r="G33" s="110"/>
      <c r="H33" s="108"/>
      <c r="I33" s="110"/>
    </row>
    <row r="34" spans="2:9" x14ac:dyDescent="0.25">
      <c r="B34" s="5"/>
      <c r="C34" s="20"/>
      <c r="E34" s="22"/>
      <c r="G34" s="112"/>
      <c r="H34" s="112"/>
      <c r="I34" s="112"/>
    </row>
    <row r="35" spans="2:9" x14ac:dyDescent="0.25">
      <c r="B35" s="5" t="s">
        <v>30</v>
      </c>
      <c r="C35" s="6"/>
      <c r="D35" s="10" t="s">
        <v>44</v>
      </c>
      <c r="E35" s="14"/>
      <c r="G35" s="114"/>
      <c r="H35" s="114"/>
      <c r="I35" s="110"/>
    </row>
    <row r="36" spans="2:9" x14ac:dyDescent="0.25">
      <c r="B36" s="5" t="s">
        <v>30</v>
      </c>
      <c r="C36" s="18" t="s">
        <v>18</v>
      </c>
      <c r="D36" s="11" t="s">
        <v>45</v>
      </c>
      <c r="E36" s="22" t="s">
        <v>21</v>
      </c>
      <c r="F36" s="9">
        <v>621</v>
      </c>
      <c r="G36" s="111">
        <v>0</v>
      </c>
      <c r="H36" s="113">
        <v>0</v>
      </c>
      <c r="I36" s="111"/>
    </row>
    <row r="37" spans="2:9" x14ac:dyDescent="0.25">
      <c r="B37" s="5" t="s">
        <v>30</v>
      </c>
      <c r="C37" s="18" t="s">
        <v>22</v>
      </c>
      <c r="D37" s="11" t="s">
        <v>46</v>
      </c>
      <c r="E37" s="22" t="s">
        <v>21</v>
      </c>
      <c r="F37" s="9">
        <v>27</v>
      </c>
      <c r="G37" s="111">
        <v>0</v>
      </c>
      <c r="H37" s="113">
        <v>0</v>
      </c>
      <c r="I37" s="111">
        <f t="shared" ref="I37:I38" si="3">H37*F37</f>
        <v>0</v>
      </c>
    </row>
    <row r="38" spans="2:9" x14ac:dyDescent="0.25">
      <c r="B38" s="5" t="s">
        <v>30</v>
      </c>
      <c r="C38" s="18" t="s">
        <v>25</v>
      </c>
      <c r="D38" s="11" t="s">
        <v>37</v>
      </c>
      <c r="E38" s="22"/>
      <c r="G38" s="111">
        <v>0</v>
      </c>
      <c r="H38" s="113">
        <v>0</v>
      </c>
      <c r="I38" s="111">
        <f t="shared" si="3"/>
        <v>0</v>
      </c>
    </row>
    <row r="39" spans="2:9" x14ac:dyDescent="0.25">
      <c r="B39" s="5" t="s">
        <v>30</v>
      </c>
      <c r="C39" s="18" t="s">
        <v>28</v>
      </c>
      <c r="D39" s="17" t="s">
        <v>47</v>
      </c>
      <c r="E39" s="22"/>
      <c r="G39" s="112"/>
      <c r="H39" s="108"/>
      <c r="I39" s="110"/>
    </row>
    <row r="40" spans="2:9" x14ac:dyDescent="0.25">
      <c r="B40" s="15"/>
      <c r="C40" s="20"/>
      <c r="E40" s="22"/>
      <c r="G40" s="112"/>
      <c r="H40" s="112"/>
      <c r="I40" s="116"/>
    </row>
    <row r="41" spans="2:9" x14ac:dyDescent="0.25">
      <c r="B41" s="4" t="s">
        <v>48</v>
      </c>
      <c r="D41" s="10" t="s">
        <v>49</v>
      </c>
      <c r="E41" s="14"/>
      <c r="F41" s="54"/>
      <c r="G41" s="114"/>
      <c r="H41" s="114"/>
      <c r="I41" s="110"/>
    </row>
    <row r="42" spans="2:9" x14ac:dyDescent="0.25">
      <c r="B42" s="4" t="s">
        <v>48</v>
      </c>
      <c r="C42" s="18" t="s">
        <v>18</v>
      </c>
      <c r="D42" s="35" t="s">
        <v>50</v>
      </c>
      <c r="E42" s="22" t="s">
        <v>21</v>
      </c>
      <c r="F42" s="89"/>
      <c r="G42" s="111">
        <v>0</v>
      </c>
      <c r="H42" s="113">
        <v>0</v>
      </c>
      <c r="I42" s="111">
        <f t="shared" ref="I42:I47" si="4">H42*F42</f>
        <v>0</v>
      </c>
    </row>
    <row r="43" spans="2:9" x14ac:dyDescent="0.25">
      <c r="B43" s="4" t="s">
        <v>48</v>
      </c>
      <c r="C43" s="18" t="s">
        <v>22</v>
      </c>
      <c r="D43" s="35" t="s">
        <v>51</v>
      </c>
      <c r="E43" s="22" t="s">
        <v>52</v>
      </c>
      <c r="F43" s="89">
        <v>16</v>
      </c>
      <c r="G43" s="111">
        <v>0</v>
      </c>
      <c r="H43" s="113">
        <v>0</v>
      </c>
      <c r="I43" s="111">
        <f t="shared" si="4"/>
        <v>0</v>
      </c>
    </row>
    <row r="44" spans="2:9" x14ac:dyDescent="0.25">
      <c r="B44" s="4" t="s">
        <v>48</v>
      </c>
      <c r="C44" s="18" t="s">
        <v>25</v>
      </c>
      <c r="D44" s="35" t="s">
        <v>37</v>
      </c>
      <c r="E44" s="22"/>
      <c r="F44" s="89"/>
      <c r="G44" s="111">
        <v>0</v>
      </c>
      <c r="H44" s="113">
        <v>0</v>
      </c>
      <c r="I44" s="111">
        <f>H44*F44</f>
        <v>0</v>
      </c>
    </row>
    <row r="45" spans="2:9" x14ac:dyDescent="0.25">
      <c r="B45" s="4" t="s">
        <v>48</v>
      </c>
      <c r="C45" s="18" t="s">
        <v>28</v>
      </c>
      <c r="D45" s="90" t="s">
        <v>53</v>
      </c>
      <c r="E45" s="22" t="s">
        <v>21</v>
      </c>
      <c r="F45" s="89"/>
      <c r="G45" s="111">
        <v>0</v>
      </c>
      <c r="H45" s="113">
        <v>0</v>
      </c>
      <c r="I45" s="111">
        <f t="shared" si="4"/>
        <v>0</v>
      </c>
    </row>
    <row r="46" spans="2:9" x14ac:dyDescent="0.25">
      <c r="B46" s="4" t="s">
        <v>48</v>
      </c>
      <c r="C46" s="18" t="s">
        <v>30</v>
      </c>
      <c r="D46" s="90" t="s">
        <v>54</v>
      </c>
      <c r="E46" s="22" t="s">
        <v>52</v>
      </c>
      <c r="F46" s="89">
        <v>18</v>
      </c>
      <c r="G46" s="111">
        <v>0</v>
      </c>
      <c r="H46" s="113">
        <v>0</v>
      </c>
      <c r="I46" s="111">
        <f t="shared" si="4"/>
        <v>0</v>
      </c>
    </row>
    <row r="47" spans="2:9" x14ac:dyDescent="0.25">
      <c r="B47" s="4" t="s">
        <v>48</v>
      </c>
      <c r="C47" s="18" t="s">
        <v>48</v>
      </c>
      <c r="D47" s="35" t="s">
        <v>55</v>
      </c>
      <c r="E47" s="22"/>
      <c r="G47" s="111">
        <v>0</v>
      </c>
      <c r="H47" s="113">
        <v>0</v>
      </c>
      <c r="I47" s="111">
        <f t="shared" si="4"/>
        <v>0</v>
      </c>
    </row>
    <row r="48" spans="2:9" x14ac:dyDescent="0.25">
      <c r="B48" s="4" t="s">
        <v>48</v>
      </c>
      <c r="C48" s="18" t="s">
        <v>56</v>
      </c>
      <c r="D48" s="17" t="s">
        <v>57</v>
      </c>
      <c r="E48" s="22"/>
      <c r="G48" s="110"/>
      <c r="H48" s="108"/>
      <c r="I48" s="110"/>
    </row>
    <row r="49" spans="2:9" x14ac:dyDescent="0.25">
      <c r="B49" s="19"/>
      <c r="C49" s="20"/>
      <c r="D49" s="17"/>
      <c r="E49" s="14"/>
      <c r="G49" s="114"/>
      <c r="H49" s="114"/>
      <c r="I49" s="110"/>
    </row>
    <row r="50" spans="2:9" x14ac:dyDescent="0.25">
      <c r="B50" s="19"/>
      <c r="C50" s="20"/>
      <c r="D50" s="102" t="s">
        <v>58</v>
      </c>
      <c r="E50" s="14"/>
      <c r="G50" s="110">
        <f>SUM(G13:G47)</f>
        <v>0</v>
      </c>
      <c r="H50" s="110">
        <f>SUM(H22:H47)</f>
        <v>0</v>
      </c>
      <c r="I50" s="110">
        <f>SUM(I22:I47)</f>
        <v>0</v>
      </c>
    </row>
    <row r="51" spans="2:9" x14ac:dyDescent="0.25">
      <c r="B51" s="44"/>
      <c r="C51" s="14"/>
      <c r="D51" s="17"/>
      <c r="E51" s="14"/>
      <c r="G51" s="114"/>
      <c r="H51" s="114"/>
      <c r="I51" s="110"/>
    </row>
    <row r="52" spans="2:9" ht="17.399999999999999" x14ac:dyDescent="0.3">
      <c r="B52" s="4"/>
      <c r="D52" s="93" t="s">
        <v>59</v>
      </c>
      <c r="E52" s="22"/>
      <c r="G52" s="118"/>
      <c r="H52" s="118"/>
      <c r="I52" s="118"/>
    </row>
    <row r="53" spans="2:9" x14ac:dyDescent="0.25">
      <c r="B53" s="4"/>
      <c r="D53" s="21"/>
      <c r="E53" s="22"/>
      <c r="G53" s="110"/>
      <c r="H53" s="108"/>
      <c r="I53" s="110"/>
    </row>
    <row r="54" spans="2:9" x14ac:dyDescent="0.25">
      <c r="B54" s="4" t="s">
        <v>56</v>
      </c>
      <c r="D54" s="10" t="s">
        <v>60</v>
      </c>
      <c r="E54" s="22"/>
      <c r="G54" s="110"/>
      <c r="H54" s="110"/>
      <c r="I54" s="110"/>
    </row>
    <row r="55" spans="2:9" x14ac:dyDescent="0.25">
      <c r="B55" s="4" t="s">
        <v>56</v>
      </c>
      <c r="C55" s="18" t="s">
        <v>18</v>
      </c>
      <c r="D55" s="11" t="s">
        <v>34</v>
      </c>
      <c r="E55" s="22" t="s">
        <v>35</v>
      </c>
      <c r="F55" s="94">
        <v>600</v>
      </c>
      <c r="G55" s="113">
        <v>0</v>
      </c>
      <c r="H55" s="113">
        <v>0</v>
      </c>
      <c r="I55" s="113">
        <f>H55*F55</f>
        <v>0</v>
      </c>
    </row>
    <row r="56" spans="2:9" x14ac:dyDescent="0.25">
      <c r="B56" s="4" t="s">
        <v>56</v>
      </c>
      <c r="C56" s="18" t="s">
        <v>22</v>
      </c>
      <c r="D56" s="11" t="s">
        <v>61</v>
      </c>
      <c r="E56" s="22" t="s">
        <v>35</v>
      </c>
      <c r="F56" s="94">
        <v>600</v>
      </c>
      <c r="G56" s="113">
        <v>0</v>
      </c>
      <c r="H56" s="113">
        <v>0</v>
      </c>
      <c r="I56" s="113">
        <v>0</v>
      </c>
    </row>
    <row r="57" spans="2:9" x14ac:dyDescent="0.25">
      <c r="B57" s="4" t="s">
        <v>56</v>
      </c>
      <c r="C57" s="18" t="s">
        <v>25</v>
      </c>
      <c r="D57" s="11" t="s">
        <v>37</v>
      </c>
      <c r="E57" s="22"/>
      <c r="F57" s="94"/>
      <c r="G57" s="113">
        <v>0</v>
      </c>
      <c r="H57" s="113">
        <v>0</v>
      </c>
      <c r="I57" s="113">
        <f>H57*F57</f>
        <v>0</v>
      </c>
    </row>
    <row r="58" spans="2:9" x14ac:dyDescent="0.25">
      <c r="B58" s="91" t="s">
        <v>56</v>
      </c>
      <c r="C58" s="92" t="s">
        <v>28</v>
      </c>
      <c r="D58" s="98" t="s">
        <v>62</v>
      </c>
      <c r="E58" s="22"/>
      <c r="F58" s="94"/>
      <c r="G58" s="112"/>
      <c r="H58" s="120"/>
      <c r="I58" s="112"/>
    </row>
    <row r="59" spans="2:9" x14ac:dyDescent="0.25">
      <c r="B59" s="5"/>
      <c r="C59" s="6"/>
      <c r="D59" s="96"/>
      <c r="E59" s="22"/>
      <c r="F59" s="94"/>
      <c r="G59" s="112"/>
      <c r="H59" s="120"/>
      <c r="I59" s="112"/>
    </row>
    <row r="60" spans="2:9" x14ac:dyDescent="0.25">
      <c r="B60" s="4" t="s">
        <v>63</v>
      </c>
      <c r="D60" s="10" t="s">
        <v>39</v>
      </c>
      <c r="E60" s="22"/>
      <c r="F60" s="94"/>
      <c r="G60" s="112"/>
      <c r="H60" s="120"/>
      <c r="I60" s="112"/>
    </row>
    <row r="61" spans="2:9" x14ac:dyDescent="0.25">
      <c r="B61" s="5" t="s">
        <v>63</v>
      </c>
      <c r="C61" s="6" t="s">
        <v>18</v>
      </c>
      <c r="D61" s="11" t="s">
        <v>64</v>
      </c>
      <c r="E61" s="104" t="s">
        <v>21</v>
      </c>
      <c r="F61" s="89">
        <v>94</v>
      </c>
      <c r="G61" s="113">
        <v>0</v>
      </c>
      <c r="H61" s="111">
        <v>0</v>
      </c>
      <c r="I61" s="111">
        <f>F61*H61</f>
        <v>0</v>
      </c>
    </row>
    <row r="62" spans="2:9" x14ac:dyDescent="0.25">
      <c r="B62" s="5" t="s">
        <v>63</v>
      </c>
      <c r="C62" s="6" t="s">
        <v>22</v>
      </c>
      <c r="D62" s="11" t="s">
        <v>37</v>
      </c>
      <c r="E62" s="104"/>
      <c r="F62" s="89"/>
      <c r="G62" s="113">
        <v>0</v>
      </c>
      <c r="H62" s="111">
        <v>0</v>
      </c>
      <c r="I62" s="111">
        <f>F62*H62</f>
        <v>0</v>
      </c>
    </row>
    <row r="63" spans="2:9" x14ac:dyDescent="0.25">
      <c r="B63" s="5"/>
      <c r="C63" s="6"/>
      <c r="D63" s="96"/>
      <c r="E63" s="22"/>
      <c r="G63" s="112"/>
      <c r="H63" s="120"/>
      <c r="I63" s="112"/>
    </row>
    <row r="64" spans="2:9" x14ac:dyDescent="0.25">
      <c r="B64" s="4"/>
      <c r="D64" s="7" t="s">
        <v>41</v>
      </c>
      <c r="E64" s="22"/>
      <c r="G64" s="112"/>
      <c r="H64" s="120"/>
      <c r="I64" s="112"/>
    </row>
    <row r="65" spans="2:9" x14ac:dyDescent="0.25">
      <c r="B65" s="4" t="s">
        <v>63</v>
      </c>
      <c r="C65" s="18" t="s">
        <v>25</v>
      </c>
      <c r="D65" s="35" t="s">
        <v>65</v>
      </c>
      <c r="E65" s="22" t="s">
        <v>21</v>
      </c>
      <c r="F65" s="9">
        <v>2</v>
      </c>
      <c r="G65" s="113">
        <v>0</v>
      </c>
      <c r="H65" s="113">
        <v>0</v>
      </c>
      <c r="I65" s="111">
        <f t="shared" ref="I65:I68" si="5">H65*F65</f>
        <v>0</v>
      </c>
    </row>
    <row r="66" spans="2:9" x14ac:dyDescent="0.25">
      <c r="B66" s="4" t="s">
        <v>63</v>
      </c>
      <c r="C66" s="18" t="s">
        <v>28</v>
      </c>
      <c r="D66" s="35" t="s">
        <v>66</v>
      </c>
      <c r="E66" s="22" t="s">
        <v>21</v>
      </c>
      <c r="F66" s="9">
        <v>1</v>
      </c>
      <c r="G66" s="113">
        <v>0</v>
      </c>
      <c r="H66" s="113">
        <v>0</v>
      </c>
      <c r="I66" s="111">
        <f t="shared" si="5"/>
        <v>0</v>
      </c>
    </row>
    <row r="67" spans="2:9" x14ac:dyDescent="0.25">
      <c r="B67" s="4" t="s">
        <v>63</v>
      </c>
      <c r="C67" s="18" t="s">
        <v>30</v>
      </c>
      <c r="D67" s="35" t="s">
        <v>67</v>
      </c>
      <c r="E67" s="104" t="s">
        <v>21</v>
      </c>
      <c r="F67" s="89">
        <v>1</v>
      </c>
      <c r="G67" s="113">
        <v>0</v>
      </c>
      <c r="H67" s="113">
        <v>0</v>
      </c>
      <c r="I67" s="111">
        <f t="shared" si="5"/>
        <v>0</v>
      </c>
    </row>
    <row r="68" spans="2:9" x14ac:dyDescent="0.25">
      <c r="B68" s="4" t="s">
        <v>63</v>
      </c>
      <c r="C68" s="18" t="s">
        <v>48</v>
      </c>
      <c r="D68" s="35" t="s">
        <v>42</v>
      </c>
      <c r="E68" s="99" t="s">
        <v>21</v>
      </c>
      <c r="F68" s="94">
        <v>94</v>
      </c>
      <c r="G68" s="113">
        <v>0</v>
      </c>
      <c r="H68" s="113">
        <v>0</v>
      </c>
      <c r="I68" s="111">
        <f t="shared" si="5"/>
        <v>0</v>
      </c>
    </row>
    <row r="69" spans="2:9" x14ac:dyDescent="0.25">
      <c r="B69" s="4" t="s">
        <v>63</v>
      </c>
      <c r="C69" s="18" t="s">
        <v>56</v>
      </c>
      <c r="D69" s="98" t="s">
        <v>68</v>
      </c>
      <c r="E69" s="22"/>
      <c r="F69" s="94"/>
      <c r="G69" s="108"/>
      <c r="H69" s="108"/>
      <c r="I69" s="110"/>
    </row>
    <row r="70" spans="2:9" x14ac:dyDescent="0.25">
      <c r="B70" s="5"/>
      <c r="C70" s="6"/>
      <c r="D70" s="96"/>
      <c r="E70" s="22"/>
      <c r="G70" s="112"/>
      <c r="H70" s="120"/>
      <c r="I70" s="112"/>
    </row>
    <row r="71" spans="2:9" x14ac:dyDescent="0.25">
      <c r="B71" s="5" t="s">
        <v>69</v>
      </c>
      <c r="C71" s="6"/>
      <c r="D71" s="10" t="s">
        <v>44</v>
      </c>
      <c r="E71" s="22"/>
      <c r="G71" s="112"/>
      <c r="H71" s="120"/>
      <c r="I71" s="112"/>
    </row>
    <row r="72" spans="2:9" x14ac:dyDescent="0.25">
      <c r="B72" s="5" t="s">
        <v>69</v>
      </c>
      <c r="C72" s="18" t="s">
        <v>18</v>
      </c>
      <c r="D72" s="11" t="s">
        <v>70</v>
      </c>
      <c r="E72" s="104" t="s">
        <v>21</v>
      </c>
      <c r="F72" s="89">
        <v>414</v>
      </c>
      <c r="G72" s="113">
        <v>0</v>
      </c>
      <c r="H72" s="111">
        <v>0</v>
      </c>
      <c r="I72" s="111">
        <f>H72*F72</f>
        <v>0</v>
      </c>
    </row>
    <row r="73" spans="2:9" x14ac:dyDescent="0.25">
      <c r="B73" s="5" t="s">
        <v>69</v>
      </c>
      <c r="C73" s="18" t="s">
        <v>22</v>
      </c>
      <c r="D73" s="11" t="s">
        <v>71</v>
      </c>
      <c r="E73" s="104" t="s">
        <v>21</v>
      </c>
      <c r="F73" s="89">
        <v>18</v>
      </c>
      <c r="G73" s="113">
        <v>0</v>
      </c>
      <c r="H73" s="113">
        <v>0</v>
      </c>
      <c r="I73" s="111">
        <f t="shared" ref="I73:I74" si="6">H73*F73</f>
        <v>0</v>
      </c>
    </row>
    <row r="74" spans="2:9" x14ac:dyDescent="0.25">
      <c r="B74" s="5" t="s">
        <v>69</v>
      </c>
      <c r="C74" s="18" t="s">
        <v>25</v>
      </c>
      <c r="D74" s="11" t="s">
        <v>37</v>
      </c>
      <c r="E74" s="104"/>
      <c r="F74" s="89"/>
      <c r="G74" s="113">
        <v>0</v>
      </c>
      <c r="H74" s="113">
        <v>0</v>
      </c>
      <c r="I74" s="111">
        <f t="shared" si="6"/>
        <v>0</v>
      </c>
    </row>
    <row r="75" spans="2:9" x14ac:dyDescent="0.25">
      <c r="B75" s="5" t="s">
        <v>69</v>
      </c>
      <c r="C75" s="18" t="s">
        <v>28</v>
      </c>
      <c r="D75" s="11" t="s">
        <v>72</v>
      </c>
      <c r="E75" s="104" t="s">
        <v>21</v>
      </c>
      <c r="F75" s="89">
        <v>115</v>
      </c>
      <c r="G75" s="123">
        <v>0</v>
      </c>
      <c r="H75" s="123">
        <v>0</v>
      </c>
      <c r="I75" s="117">
        <f>H75*F75</f>
        <v>0</v>
      </c>
    </row>
    <row r="76" spans="2:9" x14ac:dyDescent="0.25">
      <c r="B76" s="5" t="s">
        <v>69</v>
      </c>
      <c r="C76" s="18" t="s">
        <v>30</v>
      </c>
      <c r="D76" s="11" t="s">
        <v>73</v>
      </c>
      <c r="E76" s="22" t="s">
        <v>21</v>
      </c>
      <c r="F76" s="9">
        <v>5</v>
      </c>
      <c r="G76" s="131">
        <v>0</v>
      </c>
      <c r="H76" s="132">
        <v>0</v>
      </c>
      <c r="I76" s="131">
        <f>H76*F76</f>
        <v>0</v>
      </c>
    </row>
    <row r="77" spans="2:9" x14ac:dyDescent="0.25">
      <c r="B77" s="5" t="s">
        <v>69</v>
      </c>
      <c r="C77" s="6" t="s">
        <v>48</v>
      </c>
      <c r="D77" s="96" t="s">
        <v>37</v>
      </c>
      <c r="E77" s="22"/>
      <c r="G77" s="131">
        <v>0</v>
      </c>
      <c r="H77" s="132">
        <v>0</v>
      </c>
      <c r="I77" s="131">
        <v>0</v>
      </c>
    </row>
    <row r="78" spans="2:9" x14ac:dyDescent="0.25">
      <c r="B78" s="5" t="s">
        <v>69</v>
      </c>
      <c r="C78" s="6" t="s">
        <v>56</v>
      </c>
      <c r="D78" s="98" t="s">
        <v>74</v>
      </c>
      <c r="E78" s="22"/>
      <c r="G78" s="112"/>
      <c r="H78" s="120"/>
      <c r="I78" s="112"/>
    </row>
    <row r="79" spans="2:9" x14ac:dyDescent="0.25">
      <c r="B79" s="5"/>
      <c r="C79" s="6"/>
      <c r="D79" s="98"/>
      <c r="E79" s="22"/>
      <c r="G79" s="112"/>
      <c r="H79" s="120"/>
      <c r="I79" s="112"/>
    </row>
    <row r="80" spans="2:9" x14ac:dyDescent="0.25">
      <c r="B80" s="4" t="s">
        <v>75</v>
      </c>
      <c r="D80" s="10" t="s">
        <v>76</v>
      </c>
      <c r="E80" s="22"/>
      <c r="F80" s="53"/>
      <c r="G80" s="112"/>
      <c r="H80" s="112"/>
      <c r="I80" s="112"/>
    </row>
    <row r="81" spans="2:9" x14ac:dyDescent="0.25">
      <c r="B81" s="4" t="s">
        <v>75</v>
      </c>
      <c r="C81" s="18" t="s">
        <v>18</v>
      </c>
      <c r="D81" s="100" t="s">
        <v>77</v>
      </c>
      <c r="E81" s="104" t="s">
        <v>21</v>
      </c>
      <c r="F81" s="89">
        <v>1</v>
      </c>
      <c r="G81" s="113">
        <v>0</v>
      </c>
      <c r="H81" s="113">
        <v>0</v>
      </c>
      <c r="I81" s="111">
        <f>H81*F81</f>
        <v>0</v>
      </c>
    </row>
    <row r="82" spans="2:9" x14ac:dyDescent="0.25">
      <c r="B82" s="4" t="s">
        <v>75</v>
      </c>
      <c r="C82" s="18" t="s">
        <v>22</v>
      </c>
      <c r="D82" s="100" t="s">
        <v>78</v>
      </c>
      <c r="E82" s="101" t="s">
        <v>79</v>
      </c>
      <c r="F82" s="94">
        <v>21</v>
      </c>
      <c r="G82" s="113">
        <v>0</v>
      </c>
      <c r="H82" s="113">
        <v>0</v>
      </c>
      <c r="I82" s="111">
        <f t="shared" ref="I82" si="7">H82*F82</f>
        <v>0</v>
      </c>
    </row>
    <row r="83" spans="2:9" x14ac:dyDescent="0.25">
      <c r="B83" s="4" t="s">
        <v>75</v>
      </c>
      <c r="C83" s="18" t="s">
        <v>25</v>
      </c>
      <c r="D83" s="11" t="s">
        <v>37</v>
      </c>
      <c r="E83" s="101"/>
      <c r="F83" s="94"/>
      <c r="G83" s="113">
        <v>0</v>
      </c>
      <c r="H83" s="113">
        <v>0</v>
      </c>
      <c r="I83" s="111">
        <f>H83*F83</f>
        <v>0</v>
      </c>
    </row>
    <row r="84" spans="2:9" x14ac:dyDescent="0.25">
      <c r="B84" s="4" t="s">
        <v>75</v>
      </c>
      <c r="C84" s="18" t="s">
        <v>28</v>
      </c>
      <c r="D84" s="98" t="s">
        <v>80</v>
      </c>
      <c r="E84" s="101"/>
      <c r="F84" s="94"/>
      <c r="G84" s="108"/>
      <c r="H84" s="108"/>
      <c r="I84" s="110"/>
    </row>
    <row r="85" spans="2:9" x14ac:dyDescent="0.25">
      <c r="B85" s="4"/>
      <c r="D85" s="17"/>
      <c r="E85" s="23"/>
      <c r="G85" s="112"/>
      <c r="H85" s="112"/>
      <c r="I85" s="112"/>
    </row>
    <row r="86" spans="2:9" x14ac:dyDescent="0.25">
      <c r="B86" s="4"/>
      <c r="D86" s="102" t="s">
        <v>81</v>
      </c>
      <c r="E86" s="23"/>
      <c r="G86" s="108">
        <f>SUM(G55:G83)</f>
        <v>0</v>
      </c>
      <c r="H86" s="108">
        <f>SUM(H55:H83)</f>
        <v>0</v>
      </c>
      <c r="I86" s="108">
        <f>SUM(I55:I83)</f>
        <v>0</v>
      </c>
    </row>
    <row r="87" spans="2:9" x14ac:dyDescent="0.25">
      <c r="B87" s="44"/>
      <c r="C87" s="14"/>
      <c r="D87" s="17"/>
      <c r="E87" s="14"/>
      <c r="G87" s="112"/>
      <c r="H87" s="112"/>
      <c r="I87" s="112"/>
    </row>
    <row r="88" spans="2:9" ht="16.2" thickBot="1" x14ac:dyDescent="0.35">
      <c r="B88" s="45"/>
      <c r="C88" s="46"/>
      <c r="D88" s="47" t="s">
        <v>82</v>
      </c>
      <c r="E88" s="24"/>
      <c r="F88" s="55"/>
      <c r="G88" s="121">
        <f>G86+G50</f>
        <v>0</v>
      </c>
      <c r="H88" s="121">
        <f>H86+H50</f>
        <v>0</v>
      </c>
      <c r="I88" s="121">
        <f>I86+I50</f>
        <v>0</v>
      </c>
    </row>
    <row r="89" spans="2:9" hidden="1" x14ac:dyDescent="0.3">
      <c r="G89" s="133" t="s">
        <v>107</v>
      </c>
      <c r="H89" s="133"/>
      <c r="I89" s="130" t="s">
        <v>108</v>
      </c>
    </row>
  </sheetData>
  <mergeCells count="8">
    <mergeCell ref="B1:I1"/>
    <mergeCell ref="B2:F2"/>
    <mergeCell ref="G2:I3"/>
    <mergeCell ref="B5:F5"/>
    <mergeCell ref="B4:F4"/>
    <mergeCell ref="B3:F3"/>
    <mergeCell ref="H4:I4"/>
    <mergeCell ref="H5:I5"/>
  </mergeCells>
  <pageMargins left="0.7" right="0.7" top="0.75" bottom="0.75" header="0.3" footer="0.3"/>
  <pageSetup scale="53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88"/>
  <sheetViews>
    <sheetView zoomScale="80" zoomScaleNormal="80" workbookViewId="0">
      <selection activeCell="G2" sqref="G2:I3"/>
    </sheetView>
  </sheetViews>
  <sheetFormatPr defaultColWidth="9" defaultRowHeight="15.6" x14ac:dyDescent="0.3"/>
  <cols>
    <col min="1" max="1" width="2.5546875" style="14" customWidth="1"/>
    <col min="2" max="2" width="2.88671875" style="18" customWidth="1"/>
    <col min="3" max="3" width="4.44140625" style="18" customWidth="1"/>
    <col min="4" max="4" width="79.33203125" style="11" customWidth="1"/>
    <col min="5" max="5" width="7.33203125" style="8" bestFit="1" customWidth="1"/>
    <col min="6" max="6" width="9.88671875" style="9" customWidth="1"/>
    <col min="7" max="7" width="27.44140625" style="58" customWidth="1"/>
    <col min="8" max="8" width="20" style="57" customWidth="1"/>
    <col min="9" max="9" width="18.44140625" style="57" customWidth="1"/>
    <col min="10" max="16384" width="9" style="14"/>
  </cols>
  <sheetData>
    <row r="1" spans="2:9" ht="16.5" customHeight="1" thickBot="1" x14ac:dyDescent="0.3">
      <c r="B1" s="134"/>
      <c r="C1" s="134"/>
      <c r="D1" s="134"/>
      <c r="E1" s="134"/>
      <c r="F1" s="134"/>
      <c r="G1" s="134"/>
      <c r="H1" s="134"/>
      <c r="I1" s="134"/>
    </row>
    <row r="2" spans="2:9" x14ac:dyDescent="0.25">
      <c r="B2" s="149">
        <v>46146</v>
      </c>
      <c r="C2" s="150"/>
      <c r="D2" s="150"/>
      <c r="E2" s="150"/>
      <c r="F2" s="151"/>
      <c r="G2" s="135" t="s">
        <v>103</v>
      </c>
      <c r="H2" s="136"/>
      <c r="I2" s="136"/>
    </row>
    <row r="3" spans="2:9" ht="23.25" customHeight="1" x14ac:dyDescent="0.25">
      <c r="B3" s="143" t="s">
        <v>1</v>
      </c>
      <c r="C3" s="144"/>
      <c r="D3" s="144"/>
      <c r="E3" s="144"/>
      <c r="F3" s="145"/>
      <c r="G3" s="138"/>
      <c r="H3" s="139"/>
      <c r="I3" s="139"/>
    </row>
    <row r="4" spans="2:9" ht="15" customHeight="1" x14ac:dyDescent="0.3">
      <c r="B4" s="146" t="s">
        <v>2</v>
      </c>
      <c r="C4" s="147"/>
      <c r="D4" s="147"/>
      <c r="E4" s="147"/>
      <c r="F4" s="148"/>
      <c r="G4" s="68" t="s">
        <v>3</v>
      </c>
      <c r="H4" s="141" t="s">
        <v>4</v>
      </c>
      <c r="I4" s="142"/>
    </row>
    <row r="5" spans="2:9" s="59" customFormat="1" ht="47.25" customHeight="1" x14ac:dyDescent="0.3">
      <c r="B5" s="143" t="s">
        <v>6</v>
      </c>
      <c r="C5" s="144"/>
      <c r="D5" s="144"/>
      <c r="E5" s="144"/>
      <c r="F5" s="145"/>
      <c r="G5" s="69" t="s">
        <v>7</v>
      </c>
      <c r="H5" s="142" t="s">
        <v>8</v>
      </c>
      <c r="I5" s="142"/>
    </row>
    <row r="6" spans="2:9" s="60" customFormat="1" ht="47.4" thickBot="1" x14ac:dyDescent="0.35">
      <c r="B6" s="63" t="s">
        <v>10</v>
      </c>
      <c r="C6" s="64"/>
      <c r="D6" s="65" t="s">
        <v>11</v>
      </c>
      <c r="E6" s="66" t="s">
        <v>12</v>
      </c>
      <c r="F6" s="67" t="s">
        <v>13</v>
      </c>
      <c r="G6" s="105" t="s">
        <v>14</v>
      </c>
      <c r="H6" s="106" t="s">
        <v>15</v>
      </c>
      <c r="I6" s="106" t="s">
        <v>16</v>
      </c>
    </row>
    <row r="7" spans="2:9" s="12" customFormat="1" x14ac:dyDescent="0.25">
      <c r="B7" s="5" t="s">
        <v>17</v>
      </c>
      <c r="C7" s="6"/>
      <c r="D7" s="7"/>
      <c r="E7" s="8"/>
      <c r="F7" s="9"/>
      <c r="G7" s="108"/>
      <c r="H7" s="108"/>
      <c r="I7" s="108"/>
    </row>
    <row r="8" spans="2:9" s="12" customFormat="1" x14ac:dyDescent="0.25">
      <c r="B8" s="5" t="s">
        <v>18</v>
      </c>
      <c r="C8" s="6"/>
      <c r="D8" s="10"/>
      <c r="E8" s="8"/>
      <c r="F8" s="9"/>
      <c r="G8" s="108"/>
      <c r="H8" s="108"/>
      <c r="I8" s="108"/>
    </row>
    <row r="9" spans="2:9" s="12" customFormat="1" x14ac:dyDescent="0.25">
      <c r="B9" s="5" t="s">
        <v>18</v>
      </c>
      <c r="C9" s="6" t="s">
        <v>18</v>
      </c>
      <c r="D9" s="11"/>
      <c r="E9" s="8"/>
      <c r="F9" s="9"/>
      <c r="G9" s="110" t="s">
        <v>17</v>
      </c>
      <c r="H9" s="108"/>
      <c r="I9" s="110"/>
    </row>
    <row r="10" spans="2:9" s="12" customFormat="1" x14ac:dyDescent="0.25">
      <c r="B10" s="5" t="s">
        <v>18</v>
      </c>
      <c r="C10" s="6" t="s">
        <v>22</v>
      </c>
      <c r="D10" s="11"/>
      <c r="E10" s="8"/>
      <c r="F10" s="9"/>
      <c r="G10" s="110" t="s">
        <v>17</v>
      </c>
      <c r="H10" s="108"/>
      <c r="I10" s="110"/>
    </row>
    <row r="11" spans="2:9" s="12" customFormat="1" x14ac:dyDescent="0.25">
      <c r="B11" s="5"/>
      <c r="C11" s="6"/>
      <c r="D11" s="11"/>
      <c r="E11" s="8"/>
      <c r="F11" s="9"/>
      <c r="G11" s="112"/>
      <c r="H11" s="112"/>
      <c r="I11" s="112"/>
    </row>
    <row r="12" spans="2:9" s="12" customFormat="1" x14ac:dyDescent="0.25">
      <c r="B12" s="5"/>
      <c r="C12" s="6"/>
      <c r="D12" s="10" t="s">
        <v>24</v>
      </c>
      <c r="E12" s="8"/>
      <c r="F12" s="9"/>
      <c r="G12" s="112"/>
      <c r="H12" s="112"/>
      <c r="I12" s="112"/>
    </row>
    <row r="13" spans="2:9" s="12" customFormat="1" x14ac:dyDescent="0.25">
      <c r="B13" s="5" t="s">
        <v>18</v>
      </c>
      <c r="C13" s="6" t="s">
        <v>25</v>
      </c>
      <c r="D13" s="11" t="s">
        <v>26</v>
      </c>
      <c r="E13" s="8" t="s">
        <v>21</v>
      </c>
      <c r="F13" s="9">
        <v>2</v>
      </c>
      <c r="G13" s="111">
        <v>0</v>
      </c>
      <c r="H13" s="108"/>
      <c r="I13" s="110"/>
    </row>
    <row r="14" spans="2:9" s="12" customFormat="1" x14ac:dyDescent="0.25">
      <c r="B14" s="5"/>
      <c r="C14" s="6"/>
      <c r="D14" s="11"/>
      <c r="E14" s="8"/>
      <c r="F14" s="9"/>
      <c r="G14" s="112"/>
      <c r="H14" s="112"/>
      <c r="I14" s="112"/>
    </row>
    <row r="15" spans="2:9" s="12" customFormat="1" x14ac:dyDescent="0.25">
      <c r="B15" s="5"/>
      <c r="C15" s="6"/>
      <c r="D15" s="10" t="s">
        <v>27</v>
      </c>
      <c r="E15" s="8"/>
      <c r="F15" s="9"/>
      <c r="G15" s="112"/>
      <c r="H15" s="112"/>
      <c r="I15" s="112"/>
    </row>
    <row r="16" spans="2:9" x14ac:dyDescent="0.25">
      <c r="B16" s="5" t="s">
        <v>18</v>
      </c>
      <c r="C16" s="6" t="s">
        <v>28</v>
      </c>
      <c r="D16" s="13" t="s">
        <v>29</v>
      </c>
      <c r="E16" s="8" t="s">
        <v>21</v>
      </c>
      <c r="F16" s="9">
        <v>5</v>
      </c>
      <c r="G16" s="111">
        <v>0</v>
      </c>
      <c r="H16" s="108"/>
      <c r="I16" s="110"/>
    </row>
    <row r="17" spans="2:9" s="12" customFormat="1" x14ac:dyDescent="0.25">
      <c r="B17" s="5" t="s">
        <v>18</v>
      </c>
      <c r="C17" s="6" t="s">
        <v>30</v>
      </c>
      <c r="D17" s="11" t="s">
        <v>31</v>
      </c>
      <c r="E17" s="8" t="s">
        <v>21</v>
      </c>
      <c r="F17" s="9">
        <v>5</v>
      </c>
      <c r="G17" s="111">
        <v>0</v>
      </c>
      <c r="H17" s="108"/>
      <c r="I17" s="110"/>
    </row>
    <row r="18" spans="2:9" s="12" customFormat="1" x14ac:dyDescent="0.25">
      <c r="B18" s="5"/>
      <c r="C18" s="6"/>
      <c r="D18" s="11"/>
      <c r="E18" s="8"/>
      <c r="F18" s="9"/>
      <c r="G18" s="110"/>
      <c r="H18" s="108"/>
      <c r="I18" s="110"/>
    </row>
    <row r="19" spans="2:9" s="12" customFormat="1" ht="17.399999999999999" x14ac:dyDescent="0.25">
      <c r="B19" s="5"/>
      <c r="C19" s="6"/>
      <c r="D19" s="93" t="s">
        <v>32</v>
      </c>
      <c r="E19" s="8"/>
      <c r="F19" s="9"/>
      <c r="G19" s="110"/>
      <c r="H19" s="108"/>
      <c r="I19" s="110"/>
    </row>
    <row r="20" spans="2:9" s="12" customFormat="1" x14ac:dyDescent="0.25">
      <c r="B20" s="15"/>
      <c r="C20" s="16"/>
      <c r="D20" s="17"/>
      <c r="E20" s="8"/>
      <c r="F20" s="9"/>
      <c r="G20" s="112"/>
      <c r="H20" s="112"/>
      <c r="I20" s="112"/>
    </row>
    <row r="21" spans="2:9" s="12" customFormat="1" x14ac:dyDescent="0.25">
      <c r="B21" s="4" t="s">
        <v>22</v>
      </c>
      <c r="C21" s="18"/>
      <c r="D21" s="10" t="s">
        <v>33</v>
      </c>
      <c r="E21" s="22"/>
      <c r="F21" s="9"/>
      <c r="G21" s="110"/>
      <c r="H21" s="108"/>
      <c r="I21" s="110"/>
    </row>
    <row r="22" spans="2:9" s="12" customFormat="1" x14ac:dyDescent="0.25">
      <c r="B22" s="4" t="s">
        <v>22</v>
      </c>
      <c r="C22" s="18" t="s">
        <v>18</v>
      </c>
      <c r="D22" s="11" t="s">
        <v>34</v>
      </c>
      <c r="E22" s="22" t="s">
        <v>35</v>
      </c>
      <c r="F22" s="9">
        <v>400</v>
      </c>
      <c r="G22" s="111">
        <v>0</v>
      </c>
      <c r="H22" s="113">
        <v>0</v>
      </c>
      <c r="I22" s="111">
        <f>F22*H22</f>
        <v>0</v>
      </c>
    </row>
    <row r="23" spans="2:9" x14ac:dyDescent="0.25">
      <c r="B23" s="4" t="s">
        <v>22</v>
      </c>
      <c r="C23" s="18" t="s">
        <v>22</v>
      </c>
      <c r="D23" s="11" t="s">
        <v>36</v>
      </c>
      <c r="E23" s="22" t="s">
        <v>35</v>
      </c>
      <c r="F23" s="9">
        <v>400</v>
      </c>
      <c r="G23" s="111">
        <v>0</v>
      </c>
      <c r="H23" s="113">
        <v>0</v>
      </c>
      <c r="I23" s="111">
        <f t="shared" ref="I23" si="0">H23*F23</f>
        <v>0</v>
      </c>
    </row>
    <row r="24" spans="2:9" x14ac:dyDescent="0.25">
      <c r="B24" s="5" t="s">
        <v>22</v>
      </c>
      <c r="C24" s="6" t="s">
        <v>25</v>
      </c>
      <c r="D24" s="39" t="s">
        <v>37</v>
      </c>
      <c r="E24" s="22"/>
      <c r="G24" s="131">
        <v>0</v>
      </c>
      <c r="H24" s="113">
        <v>0</v>
      </c>
      <c r="I24" s="111">
        <v>0</v>
      </c>
    </row>
    <row r="25" spans="2:9" x14ac:dyDescent="0.25">
      <c r="B25" s="29" t="s">
        <v>22</v>
      </c>
      <c r="C25" s="30" t="s">
        <v>28</v>
      </c>
      <c r="D25" s="17" t="s">
        <v>38</v>
      </c>
      <c r="E25" s="22"/>
      <c r="G25" s="112"/>
      <c r="H25" s="112"/>
      <c r="I25" s="112"/>
    </row>
    <row r="26" spans="2:9" x14ac:dyDescent="0.25">
      <c r="B26" s="4" t="s">
        <v>17</v>
      </c>
      <c r="E26" s="22"/>
      <c r="G26" s="112"/>
      <c r="H26" s="112"/>
      <c r="I26" s="112"/>
    </row>
    <row r="27" spans="2:9" x14ac:dyDescent="0.25">
      <c r="B27" s="5" t="s">
        <v>25</v>
      </c>
      <c r="C27" s="6" t="s">
        <v>17</v>
      </c>
      <c r="D27" s="10" t="s">
        <v>39</v>
      </c>
      <c r="E27" s="14"/>
      <c r="G27" s="114"/>
      <c r="H27" s="114"/>
      <c r="I27" s="114"/>
    </row>
    <row r="28" spans="2:9" x14ac:dyDescent="0.25">
      <c r="B28" s="5" t="s">
        <v>25</v>
      </c>
      <c r="C28" s="6" t="s">
        <v>18</v>
      </c>
      <c r="D28" s="11" t="s">
        <v>40</v>
      </c>
      <c r="E28" s="22"/>
      <c r="G28" s="111">
        <v>0</v>
      </c>
      <c r="H28" s="113">
        <v>0</v>
      </c>
      <c r="I28" s="111">
        <f>H28*F28</f>
        <v>0</v>
      </c>
    </row>
    <row r="29" spans="2:9" x14ac:dyDescent="0.25">
      <c r="B29" s="5" t="s">
        <v>25</v>
      </c>
      <c r="C29" s="18" t="s">
        <v>22</v>
      </c>
      <c r="D29" s="39" t="s">
        <v>37</v>
      </c>
      <c r="E29" s="22"/>
      <c r="F29" s="52"/>
      <c r="G29" s="111">
        <v>0</v>
      </c>
      <c r="H29" s="113">
        <v>0</v>
      </c>
      <c r="I29" s="111">
        <f t="shared" ref="I29" si="1">H29*F29</f>
        <v>0</v>
      </c>
    </row>
    <row r="30" spans="2:9" x14ac:dyDescent="0.25">
      <c r="B30" s="5"/>
      <c r="D30" s="17"/>
      <c r="E30" s="22"/>
      <c r="G30" s="112"/>
      <c r="H30" s="112"/>
      <c r="I30" s="112"/>
    </row>
    <row r="31" spans="2:9" x14ac:dyDescent="0.25">
      <c r="B31" s="5"/>
      <c r="C31" s="18" t="s">
        <v>17</v>
      </c>
      <c r="D31" s="10" t="s">
        <v>41</v>
      </c>
      <c r="E31" s="14"/>
      <c r="G31" s="114"/>
      <c r="H31" s="114"/>
      <c r="I31" s="114"/>
    </row>
    <row r="32" spans="2:9" x14ac:dyDescent="0.25">
      <c r="B32" s="5" t="s">
        <v>25</v>
      </c>
      <c r="C32" s="18" t="s">
        <v>25</v>
      </c>
      <c r="D32" s="11" t="s">
        <v>42</v>
      </c>
      <c r="E32" s="22"/>
      <c r="G32" s="111">
        <v>0</v>
      </c>
      <c r="H32" s="113">
        <v>0</v>
      </c>
      <c r="I32" s="111">
        <f t="shared" ref="I32" si="2">H32*F32</f>
        <v>0</v>
      </c>
    </row>
    <row r="33" spans="2:9" x14ac:dyDescent="0.25">
      <c r="B33" s="5" t="s">
        <v>25</v>
      </c>
      <c r="C33" s="18" t="s">
        <v>28</v>
      </c>
      <c r="D33" s="17" t="s">
        <v>43</v>
      </c>
      <c r="E33" s="22"/>
      <c r="G33" s="110"/>
      <c r="H33" s="108"/>
      <c r="I33" s="110"/>
    </row>
    <row r="34" spans="2:9" ht="15" x14ac:dyDescent="0.25">
      <c r="B34" s="44"/>
      <c r="C34" s="14"/>
      <c r="D34" s="17"/>
      <c r="E34" s="14"/>
      <c r="G34" s="114"/>
      <c r="H34" s="114"/>
      <c r="I34" s="114"/>
    </row>
    <row r="35" spans="2:9" x14ac:dyDescent="0.25">
      <c r="B35" s="5" t="s">
        <v>30</v>
      </c>
      <c r="C35" s="6"/>
      <c r="D35" s="10" t="s">
        <v>44</v>
      </c>
      <c r="E35" s="14"/>
      <c r="G35" s="114"/>
      <c r="H35" s="114"/>
      <c r="I35" s="110"/>
    </row>
    <row r="36" spans="2:9" x14ac:dyDescent="0.25">
      <c r="B36" s="5" t="s">
        <v>30</v>
      </c>
      <c r="C36" s="18" t="s">
        <v>18</v>
      </c>
      <c r="D36" s="11" t="s">
        <v>45</v>
      </c>
      <c r="E36" s="22" t="s">
        <v>21</v>
      </c>
      <c r="F36" s="9">
        <v>621</v>
      </c>
      <c r="G36" s="111">
        <v>0</v>
      </c>
      <c r="H36" s="113">
        <v>0</v>
      </c>
      <c r="I36" s="111"/>
    </row>
    <row r="37" spans="2:9" x14ac:dyDescent="0.25">
      <c r="B37" s="5" t="s">
        <v>30</v>
      </c>
      <c r="C37" s="18" t="s">
        <v>22</v>
      </c>
      <c r="D37" s="11" t="s">
        <v>46</v>
      </c>
      <c r="E37" s="22" t="s">
        <v>21</v>
      </c>
      <c r="F37" s="9">
        <v>27</v>
      </c>
      <c r="G37" s="111">
        <v>0</v>
      </c>
      <c r="H37" s="113">
        <v>0</v>
      </c>
      <c r="I37" s="111">
        <f t="shared" ref="I37:I38" si="3">H37*F37</f>
        <v>0</v>
      </c>
    </row>
    <row r="38" spans="2:9" x14ac:dyDescent="0.25">
      <c r="B38" s="5" t="s">
        <v>30</v>
      </c>
      <c r="C38" s="18" t="s">
        <v>25</v>
      </c>
      <c r="D38" s="11" t="s">
        <v>37</v>
      </c>
      <c r="E38" s="22"/>
      <c r="G38" s="111">
        <v>0</v>
      </c>
      <c r="H38" s="113">
        <v>0</v>
      </c>
      <c r="I38" s="111">
        <f t="shared" si="3"/>
        <v>0</v>
      </c>
    </row>
    <row r="39" spans="2:9" x14ac:dyDescent="0.25">
      <c r="B39" s="5" t="s">
        <v>30</v>
      </c>
      <c r="C39" s="18" t="s">
        <v>28</v>
      </c>
      <c r="D39" s="17" t="s">
        <v>47</v>
      </c>
      <c r="E39" s="22"/>
      <c r="G39" s="112"/>
      <c r="H39" s="108"/>
      <c r="I39" s="110"/>
    </row>
    <row r="40" spans="2:9" x14ac:dyDescent="0.25">
      <c r="B40" s="44"/>
      <c r="C40" s="14"/>
      <c r="D40" s="17"/>
      <c r="E40" s="14"/>
      <c r="G40" s="114"/>
      <c r="H40" s="114"/>
      <c r="I40" s="116"/>
    </row>
    <row r="41" spans="2:9" x14ac:dyDescent="0.25">
      <c r="B41" s="4" t="s">
        <v>48</v>
      </c>
      <c r="D41" s="10" t="s">
        <v>49</v>
      </c>
      <c r="E41" s="14"/>
      <c r="F41" s="54"/>
      <c r="G41" s="114"/>
      <c r="H41" s="114"/>
      <c r="I41" s="110"/>
    </row>
    <row r="42" spans="2:9" x14ac:dyDescent="0.25">
      <c r="B42" s="4" t="s">
        <v>48</v>
      </c>
      <c r="C42" s="18" t="s">
        <v>18</v>
      </c>
      <c r="D42" s="35" t="s">
        <v>50</v>
      </c>
      <c r="E42" s="22" t="s">
        <v>21</v>
      </c>
      <c r="F42" s="89"/>
      <c r="G42" s="111">
        <v>0</v>
      </c>
      <c r="H42" s="113">
        <v>0</v>
      </c>
      <c r="I42" s="111">
        <f t="shared" ref="I42:I47" si="4">H42*F42</f>
        <v>0</v>
      </c>
    </row>
    <row r="43" spans="2:9" x14ac:dyDescent="0.25">
      <c r="B43" s="4" t="s">
        <v>48</v>
      </c>
      <c r="C43" s="18" t="s">
        <v>22</v>
      </c>
      <c r="D43" s="35" t="s">
        <v>51</v>
      </c>
      <c r="E43" s="22" t="s">
        <v>52</v>
      </c>
      <c r="F43" s="89">
        <v>16</v>
      </c>
      <c r="G43" s="111">
        <v>0</v>
      </c>
      <c r="H43" s="113">
        <v>0</v>
      </c>
      <c r="I43" s="111">
        <f t="shared" si="4"/>
        <v>0</v>
      </c>
    </row>
    <row r="44" spans="2:9" x14ac:dyDescent="0.25">
      <c r="B44" s="4" t="s">
        <v>48</v>
      </c>
      <c r="C44" s="18" t="s">
        <v>25</v>
      </c>
      <c r="D44" s="35" t="s">
        <v>37</v>
      </c>
      <c r="E44" s="22"/>
      <c r="F44" s="89"/>
      <c r="G44" s="111">
        <v>0</v>
      </c>
      <c r="H44" s="113">
        <v>0</v>
      </c>
      <c r="I44" s="111">
        <f>H44*F44</f>
        <v>0</v>
      </c>
    </row>
    <row r="45" spans="2:9" x14ac:dyDescent="0.25">
      <c r="B45" s="4" t="s">
        <v>48</v>
      </c>
      <c r="C45" s="18" t="s">
        <v>28</v>
      </c>
      <c r="D45" s="90" t="s">
        <v>53</v>
      </c>
      <c r="E45" s="22" t="s">
        <v>21</v>
      </c>
      <c r="F45" s="89"/>
      <c r="G45" s="111">
        <v>0</v>
      </c>
      <c r="H45" s="113">
        <v>0</v>
      </c>
      <c r="I45" s="111">
        <f t="shared" si="4"/>
        <v>0</v>
      </c>
    </row>
    <row r="46" spans="2:9" x14ac:dyDescent="0.25">
      <c r="B46" s="4" t="s">
        <v>48</v>
      </c>
      <c r="C46" s="18" t="s">
        <v>30</v>
      </c>
      <c r="D46" s="90" t="s">
        <v>54</v>
      </c>
      <c r="E46" s="22" t="s">
        <v>52</v>
      </c>
      <c r="F46" s="89">
        <v>18</v>
      </c>
      <c r="G46" s="111">
        <v>0</v>
      </c>
      <c r="H46" s="113">
        <v>0</v>
      </c>
      <c r="I46" s="111">
        <f t="shared" si="4"/>
        <v>0</v>
      </c>
    </row>
    <row r="47" spans="2:9" x14ac:dyDescent="0.25">
      <c r="B47" s="4" t="s">
        <v>48</v>
      </c>
      <c r="C47" s="18" t="s">
        <v>48</v>
      </c>
      <c r="D47" s="35" t="s">
        <v>55</v>
      </c>
      <c r="E47" s="22"/>
      <c r="G47" s="111">
        <v>0</v>
      </c>
      <c r="H47" s="113">
        <v>0</v>
      </c>
      <c r="I47" s="111">
        <f t="shared" si="4"/>
        <v>0</v>
      </c>
    </row>
    <row r="48" spans="2:9" x14ac:dyDescent="0.25">
      <c r="B48" s="4" t="s">
        <v>48</v>
      </c>
      <c r="C48" s="18" t="s">
        <v>56</v>
      </c>
      <c r="D48" s="17" t="s">
        <v>57</v>
      </c>
      <c r="E48" s="22"/>
      <c r="G48" s="110"/>
      <c r="H48" s="108"/>
      <c r="I48" s="110"/>
    </row>
    <row r="49" spans="2:9" x14ac:dyDescent="0.25">
      <c r="B49" s="19"/>
      <c r="C49" s="20"/>
      <c r="D49" s="17"/>
      <c r="E49" s="14"/>
      <c r="G49" s="114"/>
      <c r="H49" s="114"/>
      <c r="I49" s="110"/>
    </row>
    <row r="50" spans="2:9" x14ac:dyDescent="0.25">
      <c r="B50" s="19"/>
      <c r="C50" s="20"/>
      <c r="D50" s="102" t="s">
        <v>58</v>
      </c>
      <c r="E50" s="14"/>
      <c r="G50" s="110">
        <f>SUM(G13:G47)</f>
        <v>0</v>
      </c>
      <c r="H50" s="110">
        <f>SUM(H22:H47)</f>
        <v>0</v>
      </c>
      <c r="I50" s="110">
        <f>SUM(I22:I47)</f>
        <v>0</v>
      </c>
    </row>
    <row r="51" spans="2:9" x14ac:dyDescent="0.25">
      <c r="B51" s="44"/>
      <c r="C51" s="14"/>
      <c r="D51" s="17"/>
      <c r="E51" s="14"/>
      <c r="G51" s="114"/>
      <c r="H51" s="114"/>
      <c r="I51" s="110"/>
    </row>
    <row r="52" spans="2:9" ht="17.399999999999999" x14ac:dyDescent="0.3">
      <c r="B52" s="4"/>
      <c r="D52" s="93" t="s">
        <v>59</v>
      </c>
      <c r="E52" s="22"/>
      <c r="G52" s="118"/>
      <c r="H52" s="118"/>
      <c r="I52" s="118"/>
    </row>
    <row r="53" spans="2:9" x14ac:dyDescent="0.25">
      <c r="B53" s="4"/>
      <c r="D53" s="21"/>
      <c r="E53" s="22"/>
      <c r="G53" s="110"/>
      <c r="H53" s="108"/>
      <c r="I53" s="110"/>
    </row>
    <row r="54" spans="2:9" x14ac:dyDescent="0.25">
      <c r="B54" s="4" t="s">
        <v>56</v>
      </c>
      <c r="D54" s="10" t="s">
        <v>60</v>
      </c>
      <c r="E54" s="22"/>
      <c r="G54" s="110"/>
      <c r="H54" s="110"/>
      <c r="I54" s="110"/>
    </row>
    <row r="55" spans="2:9" x14ac:dyDescent="0.25">
      <c r="B55" s="4" t="s">
        <v>56</v>
      </c>
      <c r="C55" s="18" t="s">
        <v>18</v>
      </c>
      <c r="D55" s="11" t="s">
        <v>34</v>
      </c>
      <c r="E55" s="22" t="s">
        <v>35</v>
      </c>
      <c r="F55" s="94">
        <v>600</v>
      </c>
      <c r="G55" s="113">
        <v>0</v>
      </c>
      <c r="H55" s="113">
        <v>0</v>
      </c>
      <c r="I55" s="113">
        <f>H55*F55</f>
        <v>0</v>
      </c>
    </row>
    <row r="56" spans="2:9" x14ac:dyDescent="0.25">
      <c r="B56" s="4" t="s">
        <v>56</v>
      </c>
      <c r="C56" s="18" t="s">
        <v>22</v>
      </c>
      <c r="D56" s="11" t="s">
        <v>61</v>
      </c>
      <c r="E56" s="22" t="s">
        <v>35</v>
      </c>
      <c r="F56" s="94">
        <v>600</v>
      </c>
      <c r="G56" s="113">
        <v>0</v>
      </c>
      <c r="H56" s="113">
        <v>0</v>
      </c>
      <c r="I56" s="113">
        <v>0</v>
      </c>
    </row>
    <row r="57" spans="2:9" x14ac:dyDescent="0.25">
      <c r="B57" s="4" t="s">
        <v>56</v>
      </c>
      <c r="C57" s="18" t="s">
        <v>25</v>
      </c>
      <c r="D57" s="11" t="s">
        <v>37</v>
      </c>
      <c r="E57" s="22"/>
      <c r="F57" s="94"/>
      <c r="G57" s="113">
        <v>0</v>
      </c>
      <c r="H57" s="113">
        <v>0</v>
      </c>
      <c r="I57" s="113">
        <f>H57*F57</f>
        <v>0</v>
      </c>
    </row>
    <row r="58" spans="2:9" x14ac:dyDescent="0.25">
      <c r="B58" s="91" t="s">
        <v>56</v>
      </c>
      <c r="C58" s="92" t="s">
        <v>28</v>
      </c>
      <c r="D58" s="98" t="s">
        <v>62</v>
      </c>
      <c r="E58" s="22"/>
      <c r="F58" s="94"/>
      <c r="G58" s="112"/>
      <c r="H58" s="120"/>
      <c r="I58" s="112"/>
    </row>
    <row r="59" spans="2:9" x14ac:dyDescent="0.25">
      <c r="B59" s="5"/>
      <c r="C59" s="6"/>
      <c r="D59" s="96"/>
      <c r="E59" s="22"/>
      <c r="F59" s="94"/>
      <c r="G59" s="112"/>
      <c r="H59" s="120"/>
      <c r="I59" s="112"/>
    </row>
    <row r="60" spans="2:9" x14ac:dyDescent="0.25">
      <c r="B60" s="4" t="s">
        <v>63</v>
      </c>
      <c r="D60" s="10" t="s">
        <v>39</v>
      </c>
      <c r="E60" s="22"/>
      <c r="F60" s="94"/>
      <c r="G60" s="112"/>
      <c r="H60" s="120"/>
      <c r="I60" s="112"/>
    </row>
    <row r="61" spans="2:9" x14ac:dyDescent="0.25">
      <c r="B61" s="5" t="s">
        <v>63</v>
      </c>
      <c r="C61" s="6" t="s">
        <v>18</v>
      </c>
      <c r="D61" s="11" t="s">
        <v>64</v>
      </c>
      <c r="E61" s="104" t="s">
        <v>21</v>
      </c>
      <c r="F61" s="89">
        <v>94</v>
      </c>
      <c r="G61" s="113">
        <v>0</v>
      </c>
      <c r="H61" s="111">
        <v>0</v>
      </c>
      <c r="I61" s="111">
        <f>F61*H61</f>
        <v>0</v>
      </c>
    </row>
    <row r="62" spans="2:9" x14ac:dyDescent="0.25">
      <c r="B62" s="5" t="s">
        <v>63</v>
      </c>
      <c r="C62" s="6" t="s">
        <v>22</v>
      </c>
      <c r="D62" s="11" t="s">
        <v>37</v>
      </c>
      <c r="E62" s="104"/>
      <c r="F62" s="89"/>
      <c r="G62" s="113">
        <v>0</v>
      </c>
      <c r="H62" s="111">
        <v>0</v>
      </c>
      <c r="I62" s="111">
        <f>F62*H62</f>
        <v>0</v>
      </c>
    </row>
    <row r="63" spans="2:9" x14ac:dyDescent="0.25">
      <c r="B63" s="91"/>
      <c r="C63" s="92"/>
      <c r="D63" s="98"/>
      <c r="E63" s="22"/>
      <c r="G63" s="112"/>
      <c r="H63" s="120"/>
      <c r="I63" s="112"/>
    </row>
    <row r="64" spans="2:9" x14ac:dyDescent="0.25">
      <c r="B64" s="4"/>
      <c r="D64" s="7" t="s">
        <v>41</v>
      </c>
      <c r="E64" s="22"/>
      <c r="G64" s="112"/>
      <c r="H64" s="120"/>
      <c r="I64" s="112"/>
    </row>
    <row r="65" spans="2:9" x14ac:dyDescent="0.25">
      <c r="B65" s="4" t="s">
        <v>63</v>
      </c>
      <c r="C65" s="18" t="s">
        <v>25</v>
      </c>
      <c r="D65" s="35" t="s">
        <v>65</v>
      </c>
      <c r="E65" s="22" t="s">
        <v>21</v>
      </c>
      <c r="F65" s="9">
        <v>2</v>
      </c>
      <c r="G65" s="113">
        <v>0</v>
      </c>
      <c r="H65" s="113">
        <v>0</v>
      </c>
      <c r="I65" s="111">
        <f t="shared" ref="I65:I68" si="5">H65*F65</f>
        <v>0</v>
      </c>
    </row>
    <row r="66" spans="2:9" x14ac:dyDescent="0.25">
      <c r="B66" s="4" t="s">
        <v>63</v>
      </c>
      <c r="C66" s="18" t="s">
        <v>28</v>
      </c>
      <c r="D66" s="35" t="s">
        <v>66</v>
      </c>
      <c r="E66" s="22" t="s">
        <v>21</v>
      </c>
      <c r="F66" s="9">
        <v>1</v>
      </c>
      <c r="G66" s="113">
        <v>0</v>
      </c>
      <c r="H66" s="113">
        <v>0</v>
      </c>
      <c r="I66" s="111">
        <f t="shared" si="5"/>
        <v>0</v>
      </c>
    </row>
    <row r="67" spans="2:9" x14ac:dyDescent="0.25">
      <c r="B67" s="4" t="s">
        <v>63</v>
      </c>
      <c r="C67" s="18" t="s">
        <v>30</v>
      </c>
      <c r="D67" s="35" t="s">
        <v>67</v>
      </c>
      <c r="E67" s="104" t="s">
        <v>21</v>
      </c>
      <c r="F67" s="89">
        <v>1</v>
      </c>
      <c r="G67" s="113">
        <v>0</v>
      </c>
      <c r="H67" s="113">
        <v>0</v>
      </c>
      <c r="I67" s="111">
        <f t="shared" si="5"/>
        <v>0</v>
      </c>
    </row>
    <row r="68" spans="2:9" x14ac:dyDescent="0.25">
      <c r="B68" s="4" t="s">
        <v>63</v>
      </c>
      <c r="C68" s="18" t="s">
        <v>48</v>
      </c>
      <c r="D68" s="35" t="s">
        <v>42</v>
      </c>
      <c r="E68" s="99" t="s">
        <v>21</v>
      </c>
      <c r="F68" s="94">
        <v>94</v>
      </c>
      <c r="G68" s="113">
        <v>0</v>
      </c>
      <c r="H68" s="113">
        <v>0</v>
      </c>
      <c r="I68" s="111">
        <f t="shared" si="5"/>
        <v>0</v>
      </c>
    </row>
    <row r="69" spans="2:9" x14ac:dyDescent="0.25">
      <c r="B69" s="4" t="s">
        <v>63</v>
      </c>
      <c r="C69" s="18" t="s">
        <v>56</v>
      </c>
      <c r="D69" s="98" t="s">
        <v>68</v>
      </c>
      <c r="E69" s="22"/>
      <c r="F69" s="94"/>
      <c r="G69" s="108"/>
      <c r="H69" s="108"/>
      <c r="I69" s="110"/>
    </row>
    <row r="70" spans="2:9" x14ac:dyDescent="0.25">
      <c r="B70" s="4"/>
      <c r="C70" s="30"/>
      <c r="E70" s="22"/>
      <c r="G70" s="112"/>
      <c r="H70" s="120"/>
      <c r="I70" s="112"/>
    </row>
    <row r="71" spans="2:9" x14ac:dyDescent="0.25">
      <c r="B71" s="5" t="s">
        <v>69</v>
      </c>
      <c r="C71" s="6"/>
      <c r="D71" s="10" t="s">
        <v>44</v>
      </c>
      <c r="E71" s="22"/>
      <c r="G71" s="112"/>
      <c r="H71" s="120"/>
      <c r="I71" s="112"/>
    </row>
    <row r="72" spans="2:9" x14ac:dyDescent="0.25">
      <c r="B72" s="5" t="s">
        <v>69</v>
      </c>
      <c r="C72" s="18" t="s">
        <v>18</v>
      </c>
      <c r="D72" s="11" t="s">
        <v>70</v>
      </c>
      <c r="E72" s="104" t="s">
        <v>21</v>
      </c>
      <c r="F72" s="89">
        <v>414</v>
      </c>
      <c r="G72" s="113">
        <v>0</v>
      </c>
      <c r="H72" s="111">
        <v>0</v>
      </c>
      <c r="I72" s="111">
        <f>H72*F72</f>
        <v>0</v>
      </c>
    </row>
    <row r="73" spans="2:9" x14ac:dyDescent="0.25">
      <c r="B73" s="5" t="s">
        <v>69</v>
      </c>
      <c r="C73" s="18" t="s">
        <v>22</v>
      </c>
      <c r="D73" s="11" t="s">
        <v>71</v>
      </c>
      <c r="E73" s="104" t="s">
        <v>21</v>
      </c>
      <c r="F73" s="89">
        <v>18</v>
      </c>
      <c r="G73" s="113">
        <v>0</v>
      </c>
      <c r="H73" s="113">
        <v>0</v>
      </c>
      <c r="I73" s="111">
        <f t="shared" ref="I73:I74" si="6">H73*F73</f>
        <v>0</v>
      </c>
    </row>
    <row r="74" spans="2:9" x14ac:dyDescent="0.25">
      <c r="B74" s="5" t="s">
        <v>69</v>
      </c>
      <c r="C74" s="18" t="s">
        <v>25</v>
      </c>
      <c r="D74" s="11" t="s">
        <v>37</v>
      </c>
      <c r="E74" s="104"/>
      <c r="F74" s="89"/>
      <c r="G74" s="113">
        <v>0</v>
      </c>
      <c r="H74" s="113">
        <v>0</v>
      </c>
      <c r="I74" s="111">
        <f t="shared" si="6"/>
        <v>0</v>
      </c>
    </row>
    <row r="75" spans="2:9" x14ac:dyDescent="0.25">
      <c r="B75" s="5" t="s">
        <v>69</v>
      </c>
      <c r="C75" s="18" t="s">
        <v>28</v>
      </c>
      <c r="D75" s="11" t="s">
        <v>72</v>
      </c>
      <c r="E75" s="104" t="s">
        <v>21</v>
      </c>
      <c r="F75" s="89">
        <v>115</v>
      </c>
      <c r="G75" s="123">
        <v>0</v>
      </c>
      <c r="H75" s="113">
        <v>0</v>
      </c>
      <c r="I75" s="111">
        <f>H75*F75</f>
        <v>0</v>
      </c>
    </row>
    <row r="76" spans="2:9" x14ac:dyDescent="0.25">
      <c r="B76" s="5" t="s">
        <v>69</v>
      </c>
      <c r="C76" s="18" t="s">
        <v>30</v>
      </c>
      <c r="D76" s="11" t="s">
        <v>73</v>
      </c>
      <c r="E76" s="22" t="s">
        <v>21</v>
      </c>
      <c r="F76" s="9">
        <v>5</v>
      </c>
      <c r="G76" s="131">
        <v>0</v>
      </c>
      <c r="H76" s="113">
        <v>0</v>
      </c>
      <c r="I76" s="111">
        <f t="shared" ref="I76:I77" si="7">H76*F76</f>
        <v>0</v>
      </c>
    </row>
    <row r="77" spans="2:9" x14ac:dyDescent="0.25">
      <c r="B77" s="5" t="s">
        <v>69</v>
      </c>
      <c r="C77" s="6" t="s">
        <v>48</v>
      </c>
      <c r="D77" s="96" t="s">
        <v>37</v>
      </c>
      <c r="E77" s="22"/>
      <c r="G77" s="131">
        <v>0</v>
      </c>
      <c r="H77" s="113">
        <v>0</v>
      </c>
      <c r="I77" s="111">
        <f t="shared" si="7"/>
        <v>0</v>
      </c>
    </row>
    <row r="78" spans="2:9" x14ac:dyDescent="0.25">
      <c r="B78" s="5" t="s">
        <v>69</v>
      </c>
      <c r="C78" s="6" t="s">
        <v>56</v>
      </c>
      <c r="D78" s="98" t="s">
        <v>74</v>
      </c>
      <c r="E78" s="22"/>
      <c r="G78" s="112"/>
      <c r="H78" s="120"/>
      <c r="I78" s="112"/>
    </row>
    <row r="79" spans="2:9" x14ac:dyDescent="0.25">
      <c r="B79" s="5"/>
      <c r="C79" s="6"/>
      <c r="D79" s="98"/>
      <c r="E79" s="22"/>
      <c r="G79" s="112"/>
      <c r="H79" s="120"/>
      <c r="I79" s="112"/>
    </row>
    <row r="80" spans="2:9" x14ac:dyDescent="0.25">
      <c r="B80" s="4" t="s">
        <v>75</v>
      </c>
      <c r="D80" s="10" t="s">
        <v>76</v>
      </c>
      <c r="E80" s="22"/>
      <c r="F80" s="53"/>
      <c r="G80" s="112"/>
      <c r="H80" s="112"/>
      <c r="I80" s="112"/>
    </row>
    <row r="81" spans="2:9" x14ac:dyDescent="0.25">
      <c r="B81" s="4" t="s">
        <v>75</v>
      </c>
      <c r="C81" s="18" t="s">
        <v>18</v>
      </c>
      <c r="D81" s="100" t="s">
        <v>77</v>
      </c>
      <c r="E81" s="104" t="s">
        <v>21</v>
      </c>
      <c r="F81" s="89">
        <v>1</v>
      </c>
      <c r="G81" s="113">
        <v>0</v>
      </c>
      <c r="H81" s="113">
        <v>0</v>
      </c>
      <c r="I81" s="111">
        <f>H81*F81</f>
        <v>0</v>
      </c>
    </row>
    <row r="82" spans="2:9" x14ac:dyDescent="0.25">
      <c r="B82" s="4" t="s">
        <v>75</v>
      </c>
      <c r="C82" s="18" t="s">
        <v>22</v>
      </c>
      <c r="D82" s="100" t="s">
        <v>78</v>
      </c>
      <c r="E82" s="101" t="s">
        <v>79</v>
      </c>
      <c r="F82" s="94">
        <v>21</v>
      </c>
      <c r="G82" s="113">
        <v>0</v>
      </c>
      <c r="H82" s="113">
        <v>0</v>
      </c>
      <c r="I82" s="111">
        <f t="shared" ref="I82" si="8">H82*F82</f>
        <v>0</v>
      </c>
    </row>
    <row r="83" spans="2:9" x14ac:dyDescent="0.25">
      <c r="B83" s="4" t="s">
        <v>75</v>
      </c>
      <c r="C83" s="18" t="s">
        <v>25</v>
      </c>
      <c r="D83" s="11" t="s">
        <v>37</v>
      </c>
      <c r="E83" s="101"/>
      <c r="F83" s="94"/>
      <c r="G83" s="113">
        <v>0</v>
      </c>
      <c r="H83" s="113">
        <v>0</v>
      </c>
      <c r="I83" s="111">
        <f>H83*F83</f>
        <v>0</v>
      </c>
    </row>
    <row r="84" spans="2:9" x14ac:dyDescent="0.25">
      <c r="B84" s="4" t="s">
        <v>75</v>
      </c>
      <c r="C84" s="18" t="s">
        <v>28</v>
      </c>
      <c r="D84" s="98" t="s">
        <v>80</v>
      </c>
      <c r="E84" s="101"/>
      <c r="F84" s="94"/>
      <c r="G84" s="108"/>
      <c r="H84" s="108"/>
      <c r="I84" s="110"/>
    </row>
    <row r="85" spans="2:9" x14ac:dyDescent="0.25">
      <c r="B85" s="4"/>
      <c r="E85" s="101"/>
      <c r="F85" s="94"/>
      <c r="G85" s="108"/>
      <c r="H85" s="108"/>
      <c r="I85" s="110"/>
    </row>
    <row r="86" spans="2:9" x14ac:dyDescent="0.25">
      <c r="B86" s="4"/>
      <c r="D86" s="102" t="s">
        <v>81</v>
      </c>
      <c r="E86" s="23"/>
      <c r="G86" s="108">
        <f>SUM(G55:G83)</f>
        <v>0</v>
      </c>
      <c r="H86" s="108">
        <f>SUM(H55:H83)</f>
        <v>0</v>
      </c>
      <c r="I86" s="108">
        <f>SUM(I55:I83)</f>
        <v>0</v>
      </c>
    </row>
    <row r="87" spans="2:9" x14ac:dyDescent="0.25">
      <c r="B87" s="44"/>
      <c r="C87" s="14"/>
      <c r="D87" s="17"/>
      <c r="E87" s="14"/>
      <c r="G87" s="112"/>
      <c r="H87" s="112"/>
      <c r="I87" s="112"/>
    </row>
    <row r="88" spans="2:9" ht="16.2" thickBot="1" x14ac:dyDescent="0.35">
      <c r="B88" s="45"/>
      <c r="C88" s="46"/>
      <c r="D88" s="47" t="s">
        <v>82</v>
      </c>
      <c r="E88" s="24"/>
      <c r="F88" s="55"/>
      <c r="G88" s="121">
        <f>G86+G50</f>
        <v>0</v>
      </c>
      <c r="H88" s="121">
        <f>H86+H50</f>
        <v>0</v>
      </c>
      <c r="I88" s="121">
        <f>I86+I50</f>
        <v>0</v>
      </c>
    </row>
  </sheetData>
  <mergeCells count="8">
    <mergeCell ref="B1:I1"/>
    <mergeCell ref="B2:F2"/>
    <mergeCell ref="G2:I3"/>
    <mergeCell ref="B5:F5"/>
    <mergeCell ref="B4:F4"/>
    <mergeCell ref="B3:F3"/>
    <mergeCell ref="H4:I4"/>
    <mergeCell ref="H5:I5"/>
  </mergeCells>
  <pageMargins left="0.7" right="0.7" top="0.75" bottom="0.75" header="0.3" footer="0.3"/>
  <pageSetup scale="53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I88"/>
  <sheetViews>
    <sheetView zoomScale="80" zoomScaleNormal="80" workbookViewId="0">
      <selection activeCell="G2" sqref="G2:I3"/>
    </sheetView>
  </sheetViews>
  <sheetFormatPr defaultColWidth="9" defaultRowHeight="15.6" x14ac:dyDescent="0.3"/>
  <cols>
    <col min="1" max="1" width="2.5546875" style="14" customWidth="1"/>
    <col min="2" max="2" width="2.88671875" style="18" customWidth="1"/>
    <col min="3" max="3" width="4.44140625" style="18" customWidth="1"/>
    <col min="4" max="4" width="79.33203125" style="11" customWidth="1"/>
    <col min="5" max="5" width="7.33203125" style="8" bestFit="1" customWidth="1"/>
    <col min="6" max="6" width="9.88671875" style="9" customWidth="1"/>
    <col min="7" max="7" width="27.88671875" style="58" bestFit="1" customWidth="1"/>
    <col min="8" max="8" width="15.6640625" style="57" customWidth="1"/>
    <col min="9" max="9" width="15" style="57" customWidth="1"/>
    <col min="10" max="16384" width="9" style="14"/>
  </cols>
  <sheetData>
    <row r="1" spans="2:9" ht="16.5" customHeight="1" thickBot="1" x14ac:dyDescent="0.3">
      <c r="B1" s="134"/>
      <c r="C1" s="134"/>
      <c r="D1" s="134"/>
      <c r="E1" s="134"/>
      <c r="F1" s="134"/>
      <c r="G1" s="134"/>
      <c r="H1" s="134"/>
      <c r="I1" s="134"/>
    </row>
    <row r="2" spans="2:9" x14ac:dyDescent="0.25">
      <c r="B2" s="149">
        <v>46146</v>
      </c>
      <c r="C2" s="150"/>
      <c r="D2" s="150"/>
      <c r="E2" s="150"/>
      <c r="F2" s="151"/>
      <c r="G2" s="135" t="s">
        <v>104</v>
      </c>
      <c r="H2" s="136"/>
      <c r="I2" s="136"/>
    </row>
    <row r="3" spans="2:9" ht="23.25" customHeight="1" x14ac:dyDescent="0.25">
      <c r="B3" s="143" t="s">
        <v>1</v>
      </c>
      <c r="C3" s="144"/>
      <c r="D3" s="144"/>
      <c r="E3" s="144"/>
      <c r="F3" s="145"/>
      <c r="G3" s="138"/>
      <c r="H3" s="139"/>
      <c r="I3" s="139"/>
    </row>
    <row r="4" spans="2:9" ht="15" customHeight="1" x14ac:dyDescent="0.3">
      <c r="B4" s="146" t="s">
        <v>2</v>
      </c>
      <c r="C4" s="147"/>
      <c r="D4" s="147"/>
      <c r="E4" s="147"/>
      <c r="F4" s="148"/>
      <c r="G4" s="68" t="s">
        <v>3</v>
      </c>
      <c r="H4" s="141" t="s">
        <v>4</v>
      </c>
      <c r="I4" s="142"/>
    </row>
    <row r="5" spans="2:9" s="59" customFormat="1" ht="47.25" customHeight="1" x14ac:dyDescent="0.3">
      <c r="B5" s="143" t="s">
        <v>6</v>
      </c>
      <c r="C5" s="144"/>
      <c r="D5" s="144"/>
      <c r="E5" s="144"/>
      <c r="F5" s="145"/>
      <c r="G5" s="69" t="s">
        <v>7</v>
      </c>
      <c r="H5" s="142" t="s">
        <v>8</v>
      </c>
      <c r="I5" s="142"/>
    </row>
    <row r="6" spans="2:9" s="60" customFormat="1" ht="47.4" thickBot="1" x14ac:dyDescent="0.35">
      <c r="B6" s="63" t="s">
        <v>10</v>
      </c>
      <c r="C6" s="64"/>
      <c r="D6" s="65" t="s">
        <v>11</v>
      </c>
      <c r="E6" s="66" t="s">
        <v>12</v>
      </c>
      <c r="F6" s="67" t="s">
        <v>13</v>
      </c>
      <c r="G6" s="105" t="s">
        <v>14</v>
      </c>
      <c r="H6" s="106" t="s">
        <v>15</v>
      </c>
      <c r="I6" s="106" t="s">
        <v>16</v>
      </c>
    </row>
    <row r="7" spans="2:9" s="12" customFormat="1" x14ac:dyDescent="0.25">
      <c r="B7" s="5" t="s">
        <v>17</v>
      </c>
      <c r="C7" s="6"/>
      <c r="D7" s="7"/>
      <c r="E7" s="8"/>
      <c r="F7" s="9"/>
      <c r="G7" s="108"/>
      <c r="H7" s="108"/>
      <c r="I7" s="108"/>
    </row>
    <row r="8" spans="2:9" s="12" customFormat="1" x14ac:dyDescent="0.25">
      <c r="B8" s="5" t="s">
        <v>18</v>
      </c>
      <c r="C8" s="6"/>
      <c r="D8" s="10"/>
      <c r="E8" s="8"/>
      <c r="F8" s="9"/>
      <c r="G8" s="108"/>
      <c r="H8" s="108"/>
      <c r="I8" s="108"/>
    </row>
    <row r="9" spans="2:9" s="12" customFormat="1" x14ac:dyDescent="0.25">
      <c r="B9" s="5" t="s">
        <v>18</v>
      </c>
      <c r="C9" s="6" t="s">
        <v>18</v>
      </c>
      <c r="D9" s="11"/>
      <c r="E9" s="8"/>
      <c r="F9" s="9"/>
      <c r="G9" s="110" t="s">
        <v>17</v>
      </c>
      <c r="H9" s="108"/>
      <c r="I9" s="110"/>
    </row>
    <row r="10" spans="2:9" s="12" customFormat="1" x14ac:dyDescent="0.25">
      <c r="B10" s="5" t="s">
        <v>18</v>
      </c>
      <c r="C10" s="6" t="s">
        <v>22</v>
      </c>
      <c r="D10" s="11"/>
      <c r="E10" s="8"/>
      <c r="F10" s="9"/>
      <c r="G10" s="110" t="s">
        <v>17</v>
      </c>
      <c r="H10" s="108"/>
      <c r="I10" s="110"/>
    </row>
    <row r="11" spans="2:9" s="12" customFormat="1" x14ac:dyDescent="0.25">
      <c r="B11" s="5"/>
      <c r="C11" s="6"/>
      <c r="D11" s="11"/>
      <c r="E11" s="8"/>
      <c r="F11" s="9"/>
      <c r="G11" s="112"/>
      <c r="H11" s="112"/>
      <c r="I11" s="112"/>
    </row>
    <row r="12" spans="2:9" s="12" customFormat="1" x14ac:dyDescent="0.25">
      <c r="B12" s="5"/>
      <c r="C12" s="6"/>
      <c r="D12" s="10" t="s">
        <v>24</v>
      </c>
      <c r="E12" s="8"/>
      <c r="F12" s="9"/>
      <c r="G12" s="112"/>
      <c r="H12" s="112"/>
      <c r="I12" s="112"/>
    </row>
    <row r="13" spans="2:9" s="12" customFormat="1" x14ac:dyDescent="0.25">
      <c r="B13" s="5" t="s">
        <v>18</v>
      </c>
      <c r="C13" s="6" t="s">
        <v>25</v>
      </c>
      <c r="D13" s="11" t="s">
        <v>26</v>
      </c>
      <c r="E13" s="8" t="s">
        <v>21</v>
      </c>
      <c r="F13" s="9">
        <v>2</v>
      </c>
      <c r="G13" s="111">
        <v>0</v>
      </c>
      <c r="H13" s="108"/>
      <c r="I13" s="110"/>
    </row>
    <row r="14" spans="2:9" s="12" customFormat="1" x14ac:dyDescent="0.25">
      <c r="B14" s="5"/>
      <c r="C14" s="6"/>
      <c r="D14" s="11"/>
      <c r="E14" s="8"/>
      <c r="F14" s="9"/>
      <c r="G14" s="112"/>
      <c r="H14" s="112"/>
      <c r="I14" s="112"/>
    </row>
    <row r="15" spans="2:9" s="12" customFormat="1" x14ac:dyDescent="0.25">
      <c r="B15" s="5"/>
      <c r="C15" s="6"/>
      <c r="D15" s="10" t="s">
        <v>27</v>
      </c>
      <c r="E15" s="8"/>
      <c r="F15" s="9"/>
      <c r="G15" s="112"/>
      <c r="H15" s="112"/>
      <c r="I15" s="112"/>
    </row>
    <row r="16" spans="2:9" x14ac:dyDescent="0.25">
      <c r="B16" s="5" t="s">
        <v>18</v>
      </c>
      <c r="C16" s="6" t="s">
        <v>28</v>
      </c>
      <c r="D16" s="13" t="s">
        <v>29</v>
      </c>
      <c r="E16" s="8" t="s">
        <v>21</v>
      </c>
      <c r="F16" s="9">
        <v>5</v>
      </c>
      <c r="G16" s="111">
        <v>0</v>
      </c>
      <c r="H16" s="108"/>
      <c r="I16" s="110"/>
    </row>
    <row r="17" spans="2:9" s="12" customFormat="1" x14ac:dyDescent="0.25">
      <c r="B17" s="5" t="s">
        <v>18</v>
      </c>
      <c r="C17" s="6" t="s">
        <v>30</v>
      </c>
      <c r="D17" s="11" t="s">
        <v>31</v>
      </c>
      <c r="E17" s="8" t="s">
        <v>21</v>
      </c>
      <c r="F17" s="9">
        <v>5</v>
      </c>
      <c r="G17" s="111">
        <v>0</v>
      </c>
      <c r="H17" s="108"/>
      <c r="I17" s="110"/>
    </row>
    <row r="18" spans="2:9" s="12" customFormat="1" x14ac:dyDescent="0.25">
      <c r="B18" s="5"/>
      <c r="C18" s="6"/>
      <c r="D18" s="11"/>
      <c r="E18" s="8"/>
      <c r="F18" s="9"/>
      <c r="G18" s="110"/>
      <c r="H18" s="108"/>
      <c r="I18" s="110"/>
    </row>
    <row r="19" spans="2:9" s="12" customFormat="1" ht="17.399999999999999" x14ac:dyDescent="0.25">
      <c r="B19" s="5"/>
      <c r="C19" s="6"/>
      <c r="D19" s="93" t="s">
        <v>32</v>
      </c>
      <c r="E19" s="8"/>
      <c r="F19" s="9"/>
      <c r="G19" s="110"/>
      <c r="H19" s="108"/>
      <c r="I19" s="110"/>
    </row>
    <row r="20" spans="2:9" s="12" customFormat="1" x14ac:dyDescent="0.25">
      <c r="B20" s="15"/>
      <c r="C20" s="16"/>
      <c r="D20" s="17"/>
      <c r="E20" s="8"/>
      <c r="F20" s="9"/>
      <c r="G20" s="112"/>
      <c r="H20" s="112"/>
      <c r="I20" s="112"/>
    </row>
    <row r="21" spans="2:9" s="12" customFormat="1" x14ac:dyDescent="0.25">
      <c r="B21" s="4" t="s">
        <v>22</v>
      </c>
      <c r="C21" s="18"/>
      <c r="D21" s="10" t="s">
        <v>33</v>
      </c>
      <c r="E21" s="22"/>
      <c r="F21" s="9"/>
      <c r="G21" s="110"/>
      <c r="H21" s="108"/>
      <c r="I21" s="110"/>
    </row>
    <row r="22" spans="2:9" s="12" customFormat="1" x14ac:dyDescent="0.25">
      <c r="B22" s="4" t="s">
        <v>22</v>
      </c>
      <c r="C22" s="18" t="s">
        <v>18</v>
      </c>
      <c r="D22" s="11" t="s">
        <v>34</v>
      </c>
      <c r="E22" s="22" t="s">
        <v>35</v>
      </c>
      <c r="F22" s="9">
        <v>400</v>
      </c>
      <c r="G22" s="111">
        <v>0</v>
      </c>
      <c r="H22" s="113">
        <v>0</v>
      </c>
      <c r="I22" s="111">
        <f>F22*H22</f>
        <v>0</v>
      </c>
    </row>
    <row r="23" spans="2:9" x14ac:dyDescent="0.25">
      <c r="B23" s="4" t="s">
        <v>22</v>
      </c>
      <c r="C23" s="18" t="s">
        <v>22</v>
      </c>
      <c r="D23" s="11" t="s">
        <v>36</v>
      </c>
      <c r="E23" s="22" t="s">
        <v>35</v>
      </c>
      <c r="F23" s="9">
        <v>400</v>
      </c>
      <c r="G23" s="111">
        <v>0</v>
      </c>
      <c r="H23" s="113">
        <v>0</v>
      </c>
      <c r="I23" s="111">
        <f t="shared" ref="I23" si="0">H23*F23</f>
        <v>0</v>
      </c>
    </row>
    <row r="24" spans="2:9" x14ac:dyDescent="0.25">
      <c r="B24" s="5" t="s">
        <v>22</v>
      </c>
      <c r="C24" s="6" t="s">
        <v>25</v>
      </c>
      <c r="D24" s="39" t="s">
        <v>37</v>
      </c>
      <c r="E24" s="22"/>
      <c r="G24" s="131">
        <v>0</v>
      </c>
      <c r="H24" s="113">
        <v>0</v>
      </c>
      <c r="I24" s="111">
        <v>0</v>
      </c>
    </row>
    <row r="25" spans="2:9" x14ac:dyDescent="0.25">
      <c r="B25" s="29" t="s">
        <v>22</v>
      </c>
      <c r="C25" s="30" t="s">
        <v>28</v>
      </c>
      <c r="D25" s="17" t="s">
        <v>38</v>
      </c>
      <c r="E25" s="22"/>
      <c r="G25" s="112"/>
      <c r="H25" s="112"/>
      <c r="I25" s="112"/>
    </row>
    <row r="26" spans="2:9" x14ac:dyDescent="0.25">
      <c r="B26" s="4" t="s">
        <v>17</v>
      </c>
      <c r="E26" s="22"/>
      <c r="G26" s="112"/>
      <c r="H26" s="112"/>
      <c r="I26" s="112"/>
    </row>
    <row r="27" spans="2:9" x14ac:dyDescent="0.25">
      <c r="B27" s="5" t="s">
        <v>25</v>
      </c>
      <c r="C27" s="6" t="s">
        <v>17</v>
      </c>
      <c r="D27" s="10" t="s">
        <v>39</v>
      </c>
      <c r="E27" s="14"/>
      <c r="G27" s="114"/>
      <c r="H27" s="114"/>
      <c r="I27" s="114"/>
    </row>
    <row r="28" spans="2:9" x14ac:dyDescent="0.25">
      <c r="B28" s="5" t="s">
        <v>25</v>
      </c>
      <c r="C28" s="6" t="s">
        <v>18</v>
      </c>
      <c r="D28" s="11" t="s">
        <v>40</v>
      </c>
      <c r="E28" s="22"/>
      <c r="G28" s="111">
        <v>0</v>
      </c>
      <c r="H28" s="113">
        <v>0</v>
      </c>
      <c r="I28" s="111">
        <f>H28*F28</f>
        <v>0</v>
      </c>
    </row>
    <row r="29" spans="2:9" x14ac:dyDescent="0.25">
      <c r="B29" s="5" t="s">
        <v>25</v>
      </c>
      <c r="C29" s="18" t="s">
        <v>22</v>
      </c>
      <c r="D29" s="39" t="s">
        <v>37</v>
      </c>
      <c r="E29" s="22"/>
      <c r="F29" s="52"/>
      <c r="G29" s="111">
        <v>0</v>
      </c>
      <c r="H29" s="113">
        <v>0</v>
      </c>
      <c r="I29" s="111">
        <f t="shared" ref="I29:I30" si="1">H29*F29</f>
        <v>0</v>
      </c>
    </row>
    <row r="30" spans="2:9" x14ac:dyDescent="0.25">
      <c r="B30" s="5"/>
      <c r="E30" s="22"/>
      <c r="F30" s="52"/>
      <c r="G30" s="111">
        <v>0</v>
      </c>
      <c r="H30" s="113">
        <v>0</v>
      </c>
      <c r="I30" s="111">
        <f t="shared" si="1"/>
        <v>0</v>
      </c>
    </row>
    <row r="31" spans="2:9" x14ac:dyDescent="0.25">
      <c r="B31" s="5"/>
      <c r="C31" s="18" t="s">
        <v>17</v>
      </c>
      <c r="D31" s="10" t="s">
        <v>41</v>
      </c>
      <c r="E31" s="14"/>
      <c r="G31" s="114"/>
      <c r="H31" s="114"/>
      <c r="I31" s="114"/>
    </row>
    <row r="32" spans="2:9" x14ac:dyDescent="0.25">
      <c r="B32" s="5" t="s">
        <v>25</v>
      </c>
      <c r="C32" s="18" t="s">
        <v>25</v>
      </c>
      <c r="D32" s="11" t="s">
        <v>42</v>
      </c>
      <c r="E32" s="22"/>
      <c r="G32" s="111">
        <v>0</v>
      </c>
      <c r="H32" s="113">
        <v>0</v>
      </c>
      <c r="I32" s="111">
        <f t="shared" ref="I32" si="2">H32*F32</f>
        <v>0</v>
      </c>
    </row>
    <row r="33" spans="2:9" x14ac:dyDescent="0.25">
      <c r="B33" s="5" t="s">
        <v>25</v>
      </c>
      <c r="C33" s="18" t="s">
        <v>28</v>
      </c>
      <c r="D33" s="17" t="s">
        <v>43</v>
      </c>
      <c r="E33" s="22"/>
      <c r="G33" s="110"/>
      <c r="H33" s="108"/>
      <c r="I33" s="110"/>
    </row>
    <row r="34" spans="2:9" x14ac:dyDescent="0.25">
      <c r="B34" s="5"/>
      <c r="C34" s="20"/>
      <c r="E34" s="22"/>
      <c r="G34" s="112"/>
      <c r="H34" s="112"/>
      <c r="I34" s="112"/>
    </row>
    <row r="35" spans="2:9" x14ac:dyDescent="0.25">
      <c r="B35" s="5" t="s">
        <v>30</v>
      </c>
      <c r="C35" s="6"/>
      <c r="D35" s="10" t="s">
        <v>44</v>
      </c>
      <c r="E35" s="14"/>
      <c r="G35" s="114"/>
      <c r="H35" s="114"/>
      <c r="I35" s="110"/>
    </row>
    <row r="36" spans="2:9" x14ac:dyDescent="0.25">
      <c r="B36" s="5" t="s">
        <v>30</v>
      </c>
      <c r="C36" s="18" t="s">
        <v>18</v>
      </c>
      <c r="D36" s="11" t="s">
        <v>45</v>
      </c>
      <c r="E36" s="22" t="s">
        <v>21</v>
      </c>
      <c r="F36" s="9">
        <v>621</v>
      </c>
      <c r="G36" s="111">
        <v>0</v>
      </c>
      <c r="H36" s="113">
        <v>0</v>
      </c>
      <c r="I36" s="111">
        <v>0</v>
      </c>
    </row>
    <row r="37" spans="2:9" x14ac:dyDescent="0.25">
      <c r="B37" s="5" t="s">
        <v>30</v>
      </c>
      <c r="C37" s="18" t="s">
        <v>22</v>
      </c>
      <c r="D37" s="11" t="s">
        <v>46</v>
      </c>
      <c r="E37" s="22" t="s">
        <v>21</v>
      </c>
      <c r="F37" s="9">
        <v>27</v>
      </c>
      <c r="G37" s="111">
        <v>0</v>
      </c>
      <c r="H37" s="113">
        <v>0</v>
      </c>
      <c r="I37" s="111">
        <f t="shared" ref="I37:I38" si="3">H37*F37</f>
        <v>0</v>
      </c>
    </row>
    <row r="38" spans="2:9" x14ac:dyDescent="0.25">
      <c r="B38" s="5" t="s">
        <v>30</v>
      </c>
      <c r="C38" s="18" t="s">
        <v>25</v>
      </c>
      <c r="D38" s="11" t="s">
        <v>37</v>
      </c>
      <c r="E38" s="22"/>
      <c r="G38" s="111">
        <v>0</v>
      </c>
      <c r="H38" s="113">
        <v>0</v>
      </c>
      <c r="I38" s="111">
        <f t="shared" si="3"/>
        <v>0</v>
      </c>
    </row>
    <row r="39" spans="2:9" x14ac:dyDescent="0.25">
      <c r="B39" s="5" t="s">
        <v>30</v>
      </c>
      <c r="C39" s="18" t="s">
        <v>28</v>
      </c>
      <c r="D39" s="17" t="s">
        <v>47</v>
      </c>
      <c r="E39" s="22"/>
      <c r="G39" s="112"/>
      <c r="H39" s="108"/>
      <c r="I39" s="110"/>
    </row>
    <row r="40" spans="2:9" x14ac:dyDescent="0.25">
      <c r="B40" s="15"/>
      <c r="C40" s="20"/>
      <c r="E40" s="22"/>
      <c r="G40" s="112"/>
      <c r="H40" s="112"/>
      <c r="I40" s="116"/>
    </row>
    <row r="41" spans="2:9" x14ac:dyDescent="0.25">
      <c r="B41" s="4" t="s">
        <v>48</v>
      </c>
      <c r="D41" s="10" t="s">
        <v>49</v>
      </c>
      <c r="E41" s="14"/>
      <c r="F41" s="54"/>
      <c r="G41" s="114"/>
      <c r="H41" s="114"/>
      <c r="I41" s="110"/>
    </row>
    <row r="42" spans="2:9" x14ac:dyDescent="0.25">
      <c r="B42" s="4" t="s">
        <v>48</v>
      </c>
      <c r="C42" s="18" t="s">
        <v>18</v>
      </c>
      <c r="D42" s="35" t="s">
        <v>50</v>
      </c>
      <c r="E42" s="22" t="s">
        <v>21</v>
      </c>
      <c r="F42" s="89"/>
      <c r="G42" s="111">
        <v>0</v>
      </c>
      <c r="H42" s="113">
        <v>0</v>
      </c>
      <c r="I42" s="111">
        <f t="shared" ref="I42:I47" si="4">H42*F42</f>
        <v>0</v>
      </c>
    </row>
    <row r="43" spans="2:9" x14ac:dyDescent="0.25">
      <c r="B43" s="4" t="s">
        <v>48</v>
      </c>
      <c r="C43" s="18" t="s">
        <v>22</v>
      </c>
      <c r="D43" s="35" t="s">
        <v>51</v>
      </c>
      <c r="E43" s="22" t="s">
        <v>52</v>
      </c>
      <c r="F43" s="89">
        <v>16</v>
      </c>
      <c r="G43" s="111">
        <v>0</v>
      </c>
      <c r="H43" s="113">
        <v>0</v>
      </c>
      <c r="I43" s="111">
        <f t="shared" si="4"/>
        <v>0</v>
      </c>
    </row>
    <row r="44" spans="2:9" x14ac:dyDescent="0.25">
      <c r="B44" s="4" t="s">
        <v>48</v>
      </c>
      <c r="C44" s="18" t="s">
        <v>25</v>
      </c>
      <c r="D44" s="35" t="s">
        <v>37</v>
      </c>
      <c r="E44" s="22"/>
      <c r="F44" s="89"/>
      <c r="G44" s="111">
        <v>0</v>
      </c>
      <c r="H44" s="113">
        <v>0</v>
      </c>
      <c r="I44" s="111">
        <f>H44*F44</f>
        <v>0</v>
      </c>
    </row>
    <row r="45" spans="2:9" x14ac:dyDescent="0.25">
      <c r="B45" s="4" t="s">
        <v>48</v>
      </c>
      <c r="C45" s="18" t="s">
        <v>28</v>
      </c>
      <c r="D45" s="90" t="s">
        <v>53</v>
      </c>
      <c r="E45" s="22" t="s">
        <v>21</v>
      </c>
      <c r="F45" s="89"/>
      <c r="G45" s="111">
        <v>0</v>
      </c>
      <c r="H45" s="113">
        <v>0</v>
      </c>
      <c r="I45" s="111">
        <f t="shared" si="4"/>
        <v>0</v>
      </c>
    </row>
    <row r="46" spans="2:9" x14ac:dyDescent="0.25">
      <c r="B46" s="4" t="s">
        <v>48</v>
      </c>
      <c r="C46" s="18" t="s">
        <v>30</v>
      </c>
      <c r="D46" s="90" t="s">
        <v>54</v>
      </c>
      <c r="E46" s="22" t="s">
        <v>52</v>
      </c>
      <c r="F46" s="89">
        <v>18</v>
      </c>
      <c r="G46" s="111">
        <v>0</v>
      </c>
      <c r="H46" s="113">
        <v>0</v>
      </c>
      <c r="I46" s="111">
        <f t="shared" si="4"/>
        <v>0</v>
      </c>
    </row>
    <row r="47" spans="2:9" x14ac:dyDescent="0.25">
      <c r="B47" s="4" t="s">
        <v>48</v>
      </c>
      <c r="C47" s="18" t="s">
        <v>48</v>
      </c>
      <c r="D47" s="35" t="s">
        <v>55</v>
      </c>
      <c r="E47" s="22"/>
      <c r="G47" s="111">
        <v>0</v>
      </c>
      <c r="H47" s="113">
        <v>0</v>
      </c>
      <c r="I47" s="111">
        <f t="shared" si="4"/>
        <v>0</v>
      </c>
    </row>
    <row r="48" spans="2:9" x14ac:dyDescent="0.25">
      <c r="B48" s="4" t="s">
        <v>48</v>
      </c>
      <c r="C48" s="18" t="s">
        <v>56</v>
      </c>
      <c r="D48" s="17" t="s">
        <v>57</v>
      </c>
      <c r="E48" s="22"/>
      <c r="G48" s="110"/>
      <c r="H48" s="108"/>
      <c r="I48" s="110"/>
    </row>
    <row r="49" spans="2:9" x14ac:dyDescent="0.25">
      <c r="B49" s="19"/>
      <c r="C49" s="20"/>
      <c r="D49" s="17"/>
      <c r="E49" s="14"/>
      <c r="G49" s="114"/>
      <c r="H49" s="114"/>
      <c r="I49" s="110"/>
    </row>
    <row r="50" spans="2:9" x14ac:dyDescent="0.25">
      <c r="B50" s="19"/>
      <c r="C50" s="20"/>
      <c r="D50" s="102" t="s">
        <v>58</v>
      </c>
      <c r="E50" s="14"/>
      <c r="G50" s="110">
        <f>SUM(G13:G47)</f>
        <v>0</v>
      </c>
      <c r="H50" s="110">
        <f>SUM(H22:H47)</f>
        <v>0</v>
      </c>
      <c r="I50" s="110">
        <f>SUM(I22:I47)</f>
        <v>0</v>
      </c>
    </row>
    <row r="51" spans="2:9" x14ac:dyDescent="0.25">
      <c r="B51" s="44"/>
      <c r="C51" s="14"/>
      <c r="D51" s="17"/>
      <c r="E51" s="14"/>
      <c r="G51" s="114"/>
      <c r="H51" s="114"/>
      <c r="I51" s="110"/>
    </row>
    <row r="52" spans="2:9" ht="17.399999999999999" x14ac:dyDescent="0.3">
      <c r="B52" s="4"/>
      <c r="D52" s="93" t="s">
        <v>59</v>
      </c>
      <c r="E52" s="22"/>
      <c r="G52" s="118"/>
      <c r="H52" s="118"/>
      <c r="I52" s="118"/>
    </row>
    <row r="53" spans="2:9" x14ac:dyDescent="0.25">
      <c r="B53" s="4"/>
      <c r="D53" s="21"/>
      <c r="E53" s="22"/>
      <c r="G53" s="110"/>
      <c r="H53" s="108"/>
      <c r="I53" s="110"/>
    </row>
    <row r="54" spans="2:9" x14ac:dyDescent="0.25">
      <c r="B54" s="4" t="s">
        <v>56</v>
      </c>
      <c r="D54" s="10" t="s">
        <v>60</v>
      </c>
      <c r="E54" s="22"/>
      <c r="G54" s="110"/>
      <c r="H54" s="110"/>
      <c r="I54" s="110"/>
    </row>
    <row r="55" spans="2:9" x14ac:dyDescent="0.25">
      <c r="B55" s="4" t="s">
        <v>56</v>
      </c>
      <c r="C55" s="18" t="s">
        <v>18</v>
      </c>
      <c r="D55" s="11" t="s">
        <v>34</v>
      </c>
      <c r="E55" s="22" t="s">
        <v>35</v>
      </c>
      <c r="F55" s="94">
        <v>600</v>
      </c>
      <c r="G55" s="113">
        <v>0</v>
      </c>
      <c r="H55" s="113">
        <v>0</v>
      </c>
      <c r="I55" s="113">
        <f>H55*F55</f>
        <v>0</v>
      </c>
    </row>
    <row r="56" spans="2:9" x14ac:dyDescent="0.25">
      <c r="B56" s="4" t="s">
        <v>56</v>
      </c>
      <c r="C56" s="18" t="s">
        <v>22</v>
      </c>
      <c r="D56" s="11" t="s">
        <v>61</v>
      </c>
      <c r="E56" s="22" t="s">
        <v>35</v>
      </c>
      <c r="F56" s="94">
        <v>600</v>
      </c>
      <c r="G56" s="113">
        <v>0</v>
      </c>
      <c r="H56" s="113">
        <v>0</v>
      </c>
      <c r="I56" s="113">
        <v>0</v>
      </c>
    </row>
    <row r="57" spans="2:9" x14ac:dyDescent="0.25">
      <c r="B57" s="4" t="s">
        <v>56</v>
      </c>
      <c r="C57" s="18" t="s">
        <v>25</v>
      </c>
      <c r="D57" s="11" t="s">
        <v>37</v>
      </c>
      <c r="E57" s="22"/>
      <c r="F57" s="94"/>
      <c r="G57" s="113">
        <v>0</v>
      </c>
      <c r="H57" s="113">
        <v>0</v>
      </c>
      <c r="I57" s="113">
        <f>H57*F57</f>
        <v>0</v>
      </c>
    </row>
    <row r="58" spans="2:9" x14ac:dyDescent="0.25">
      <c r="B58" s="91" t="s">
        <v>56</v>
      </c>
      <c r="C58" s="92" t="s">
        <v>28</v>
      </c>
      <c r="D58" s="98" t="s">
        <v>62</v>
      </c>
      <c r="E58" s="22"/>
      <c r="F58" s="94"/>
      <c r="G58" s="112"/>
      <c r="H58" s="120"/>
      <c r="I58" s="112"/>
    </row>
    <row r="59" spans="2:9" x14ac:dyDescent="0.25">
      <c r="B59" s="5"/>
      <c r="C59" s="6"/>
      <c r="D59" s="96"/>
      <c r="E59" s="22"/>
      <c r="F59" s="94"/>
      <c r="G59" s="112"/>
      <c r="H59" s="120"/>
      <c r="I59" s="112"/>
    </row>
    <row r="60" spans="2:9" x14ac:dyDescent="0.25">
      <c r="B60" s="4" t="s">
        <v>63</v>
      </c>
      <c r="D60" s="10" t="s">
        <v>39</v>
      </c>
      <c r="E60" s="22"/>
      <c r="F60" s="94"/>
      <c r="G60" s="112"/>
      <c r="H60" s="120"/>
      <c r="I60" s="112"/>
    </row>
    <row r="61" spans="2:9" x14ac:dyDescent="0.25">
      <c r="B61" s="5" t="s">
        <v>63</v>
      </c>
      <c r="C61" s="6" t="s">
        <v>18</v>
      </c>
      <c r="D61" s="11" t="s">
        <v>64</v>
      </c>
      <c r="E61" s="104" t="s">
        <v>21</v>
      </c>
      <c r="F61" s="89">
        <v>94</v>
      </c>
      <c r="G61" s="113">
        <v>0</v>
      </c>
      <c r="H61" s="111">
        <v>0</v>
      </c>
      <c r="I61" s="111">
        <f>F61*H61</f>
        <v>0</v>
      </c>
    </row>
    <row r="62" spans="2:9" x14ac:dyDescent="0.25">
      <c r="B62" s="5" t="s">
        <v>63</v>
      </c>
      <c r="C62" s="6" t="s">
        <v>22</v>
      </c>
      <c r="D62" s="11" t="s">
        <v>37</v>
      </c>
      <c r="E62" s="104"/>
      <c r="F62" s="89"/>
      <c r="G62" s="113">
        <v>0</v>
      </c>
      <c r="H62" s="111">
        <v>0</v>
      </c>
      <c r="I62" s="111">
        <f>F62*H62</f>
        <v>0</v>
      </c>
    </row>
    <row r="63" spans="2:9" x14ac:dyDescent="0.25">
      <c r="B63" s="5"/>
      <c r="C63" s="6"/>
      <c r="D63" s="96"/>
      <c r="E63" s="22"/>
      <c r="G63" s="112"/>
      <c r="H63" s="120"/>
      <c r="I63" s="112"/>
    </row>
    <row r="64" spans="2:9" x14ac:dyDescent="0.25">
      <c r="B64" s="4"/>
      <c r="D64" s="7" t="s">
        <v>41</v>
      </c>
      <c r="E64" s="22"/>
      <c r="G64" s="112"/>
      <c r="H64" s="120"/>
      <c r="I64" s="112"/>
    </row>
    <row r="65" spans="2:9" x14ac:dyDescent="0.25">
      <c r="B65" s="4" t="s">
        <v>63</v>
      </c>
      <c r="C65" s="18" t="s">
        <v>25</v>
      </c>
      <c r="D65" s="35" t="s">
        <v>65</v>
      </c>
      <c r="E65" s="22" t="s">
        <v>21</v>
      </c>
      <c r="F65" s="9">
        <v>2</v>
      </c>
      <c r="G65" s="113">
        <v>0</v>
      </c>
      <c r="H65" s="113">
        <v>0</v>
      </c>
      <c r="I65" s="111">
        <f t="shared" ref="I65:I68" si="5">H65*F65</f>
        <v>0</v>
      </c>
    </row>
    <row r="66" spans="2:9" x14ac:dyDescent="0.25">
      <c r="B66" s="4" t="s">
        <v>63</v>
      </c>
      <c r="C66" s="18" t="s">
        <v>28</v>
      </c>
      <c r="D66" s="35" t="s">
        <v>66</v>
      </c>
      <c r="E66" s="22" t="s">
        <v>21</v>
      </c>
      <c r="F66" s="9">
        <v>1</v>
      </c>
      <c r="G66" s="113">
        <v>0</v>
      </c>
      <c r="H66" s="113">
        <v>0</v>
      </c>
      <c r="I66" s="111">
        <f t="shared" si="5"/>
        <v>0</v>
      </c>
    </row>
    <row r="67" spans="2:9" x14ac:dyDescent="0.25">
      <c r="B67" s="4" t="s">
        <v>63</v>
      </c>
      <c r="C67" s="18" t="s">
        <v>30</v>
      </c>
      <c r="D67" s="35" t="s">
        <v>67</v>
      </c>
      <c r="E67" s="104" t="s">
        <v>21</v>
      </c>
      <c r="F67" s="89">
        <v>1</v>
      </c>
      <c r="G67" s="113">
        <v>0</v>
      </c>
      <c r="H67" s="113">
        <v>0</v>
      </c>
      <c r="I67" s="111">
        <f t="shared" si="5"/>
        <v>0</v>
      </c>
    </row>
    <row r="68" spans="2:9" x14ac:dyDescent="0.25">
      <c r="B68" s="4" t="s">
        <v>63</v>
      </c>
      <c r="C68" s="18" t="s">
        <v>48</v>
      </c>
      <c r="D68" s="35" t="s">
        <v>42</v>
      </c>
      <c r="E68" s="99" t="s">
        <v>21</v>
      </c>
      <c r="F68" s="94">
        <v>94</v>
      </c>
      <c r="G68" s="113">
        <v>0</v>
      </c>
      <c r="H68" s="113">
        <v>0</v>
      </c>
      <c r="I68" s="111">
        <f t="shared" si="5"/>
        <v>0</v>
      </c>
    </row>
    <row r="69" spans="2:9" x14ac:dyDescent="0.25">
      <c r="B69" s="4" t="s">
        <v>63</v>
      </c>
      <c r="C69" s="18" t="s">
        <v>56</v>
      </c>
      <c r="D69" s="98" t="s">
        <v>68</v>
      </c>
      <c r="E69" s="22"/>
      <c r="F69" s="94"/>
      <c r="G69" s="108"/>
      <c r="H69" s="108"/>
      <c r="I69" s="110"/>
    </row>
    <row r="70" spans="2:9" x14ac:dyDescent="0.25">
      <c r="B70" s="5"/>
      <c r="C70" s="6"/>
      <c r="D70" s="96"/>
      <c r="E70" s="22"/>
      <c r="G70" s="112"/>
      <c r="H70" s="120"/>
      <c r="I70" s="112"/>
    </row>
    <row r="71" spans="2:9" x14ac:dyDescent="0.25">
      <c r="B71" s="5" t="s">
        <v>69</v>
      </c>
      <c r="C71" s="6"/>
      <c r="D71" s="10" t="s">
        <v>44</v>
      </c>
      <c r="E71" s="22"/>
      <c r="G71" s="112"/>
      <c r="H71" s="120"/>
      <c r="I71" s="112"/>
    </row>
    <row r="72" spans="2:9" x14ac:dyDescent="0.25">
      <c r="B72" s="5" t="s">
        <v>69</v>
      </c>
      <c r="C72" s="18" t="s">
        <v>18</v>
      </c>
      <c r="D72" s="11" t="s">
        <v>70</v>
      </c>
      <c r="E72" s="104" t="s">
        <v>21</v>
      </c>
      <c r="F72" s="89">
        <v>414</v>
      </c>
      <c r="G72" s="113">
        <v>0</v>
      </c>
      <c r="H72" s="111">
        <v>0</v>
      </c>
      <c r="I72" s="111">
        <f>H72*F72</f>
        <v>0</v>
      </c>
    </row>
    <row r="73" spans="2:9" x14ac:dyDescent="0.25">
      <c r="B73" s="5" t="s">
        <v>69</v>
      </c>
      <c r="C73" s="18" t="s">
        <v>22</v>
      </c>
      <c r="D73" s="11" t="s">
        <v>71</v>
      </c>
      <c r="E73" s="104" t="s">
        <v>21</v>
      </c>
      <c r="F73" s="89">
        <v>18</v>
      </c>
      <c r="G73" s="113">
        <v>0</v>
      </c>
      <c r="H73" s="113">
        <v>0</v>
      </c>
      <c r="I73" s="111">
        <f t="shared" ref="I73:I74" si="6">H73*F73</f>
        <v>0</v>
      </c>
    </row>
    <row r="74" spans="2:9" x14ac:dyDescent="0.25">
      <c r="B74" s="5" t="s">
        <v>69</v>
      </c>
      <c r="C74" s="18" t="s">
        <v>25</v>
      </c>
      <c r="D74" s="11" t="s">
        <v>37</v>
      </c>
      <c r="E74" s="104"/>
      <c r="F74" s="89"/>
      <c r="G74" s="113">
        <v>0</v>
      </c>
      <c r="H74" s="113">
        <v>0</v>
      </c>
      <c r="I74" s="111">
        <f t="shared" si="6"/>
        <v>0</v>
      </c>
    </row>
    <row r="75" spans="2:9" x14ac:dyDescent="0.25">
      <c r="B75" s="5" t="s">
        <v>69</v>
      </c>
      <c r="C75" s="18" t="s">
        <v>28</v>
      </c>
      <c r="D75" s="11" t="s">
        <v>72</v>
      </c>
      <c r="E75" s="104" t="s">
        <v>21</v>
      </c>
      <c r="F75" s="89">
        <v>115</v>
      </c>
      <c r="G75" s="123">
        <v>0</v>
      </c>
      <c r="H75" s="123">
        <v>0</v>
      </c>
      <c r="I75" s="117">
        <f>H75*F75</f>
        <v>0</v>
      </c>
    </row>
    <row r="76" spans="2:9" x14ac:dyDescent="0.25">
      <c r="B76" s="5" t="s">
        <v>69</v>
      </c>
      <c r="C76" s="18" t="s">
        <v>30</v>
      </c>
      <c r="D76" s="11" t="s">
        <v>73</v>
      </c>
      <c r="E76" s="22" t="s">
        <v>21</v>
      </c>
      <c r="F76" s="9">
        <v>5</v>
      </c>
      <c r="G76" s="131">
        <v>0</v>
      </c>
      <c r="H76" s="132">
        <v>0</v>
      </c>
      <c r="I76" s="131">
        <f>H76*F76</f>
        <v>0</v>
      </c>
    </row>
    <row r="77" spans="2:9" x14ac:dyDescent="0.25">
      <c r="B77" s="5" t="s">
        <v>69</v>
      </c>
      <c r="C77" s="6" t="s">
        <v>48</v>
      </c>
      <c r="D77" s="96" t="s">
        <v>37</v>
      </c>
      <c r="E77" s="22"/>
      <c r="G77" s="131">
        <v>0</v>
      </c>
      <c r="H77" s="132">
        <v>0</v>
      </c>
      <c r="I77" s="131">
        <v>0</v>
      </c>
    </row>
    <row r="78" spans="2:9" x14ac:dyDescent="0.25">
      <c r="B78" s="5" t="s">
        <v>69</v>
      </c>
      <c r="C78" s="6" t="s">
        <v>56</v>
      </c>
      <c r="D78" s="98" t="s">
        <v>74</v>
      </c>
      <c r="E78" s="22"/>
      <c r="G78" s="112"/>
      <c r="H78" s="120"/>
      <c r="I78" s="112"/>
    </row>
    <row r="79" spans="2:9" x14ac:dyDescent="0.25">
      <c r="B79" s="5"/>
      <c r="C79" s="6"/>
      <c r="D79" s="98"/>
      <c r="E79" s="22"/>
      <c r="G79" s="112"/>
      <c r="H79" s="120"/>
      <c r="I79" s="112"/>
    </row>
    <row r="80" spans="2:9" x14ac:dyDescent="0.25">
      <c r="B80" s="4" t="s">
        <v>75</v>
      </c>
      <c r="D80" s="10" t="s">
        <v>76</v>
      </c>
      <c r="E80" s="22"/>
      <c r="F80" s="53"/>
      <c r="G80" s="112"/>
      <c r="H80" s="112"/>
      <c r="I80" s="112"/>
    </row>
    <row r="81" spans="2:9" x14ac:dyDescent="0.25">
      <c r="B81" s="4" t="s">
        <v>75</v>
      </c>
      <c r="C81" s="18" t="s">
        <v>18</v>
      </c>
      <c r="D81" s="100" t="s">
        <v>77</v>
      </c>
      <c r="E81" s="104" t="s">
        <v>21</v>
      </c>
      <c r="F81" s="89">
        <v>1</v>
      </c>
      <c r="G81" s="113">
        <v>0</v>
      </c>
      <c r="H81" s="113">
        <v>0</v>
      </c>
      <c r="I81" s="111">
        <f>H81*F81</f>
        <v>0</v>
      </c>
    </row>
    <row r="82" spans="2:9" x14ac:dyDescent="0.25">
      <c r="B82" s="4" t="s">
        <v>75</v>
      </c>
      <c r="C82" s="18" t="s">
        <v>22</v>
      </c>
      <c r="D82" s="100" t="s">
        <v>78</v>
      </c>
      <c r="E82" s="101" t="s">
        <v>79</v>
      </c>
      <c r="F82" s="94">
        <v>21</v>
      </c>
      <c r="G82" s="113">
        <v>0</v>
      </c>
      <c r="H82" s="113">
        <v>0</v>
      </c>
      <c r="I82" s="111">
        <f t="shared" ref="I82" si="7">H82*F82</f>
        <v>0</v>
      </c>
    </row>
    <row r="83" spans="2:9" x14ac:dyDescent="0.25">
      <c r="B83" s="4" t="s">
        <v>75</v>
      </c>
      <c r="C83" s="18" t="s">
        <v>25</v>
      </c>
      <c r="D83" s="11" t="s">
        <v>37</v>
      </c>
      <c r="E83" s="101"/>
      <c r="F83" s="94"/>
      <c r="G83" s="113">
        <v>0</v>
      </c>
      <c r="H83" s="113">
        <v>0</v>
      </c>
      <c r="I83" s="111">
        <f>H83*F83</f>
        <v>0</v>
      </c>
    </row>
    <row r="84" spans="2:9" x14ac:dyDescent="0.25">
      <c r="B84" s="4" t="s">
        <v>75</v>
      </c>
      <c r="C84" s="18" t="s">
        <v>28</v>
      </c>
      <c r="D84" s="98" t="s">
        <v>80</v>
      </c>
      <c r="E84" s="101"/>
      <c r="F84" s="94"/>
      <c r="G84" s="108"/>
      <c r="H84" s="108"/>
      <c r="I84" s="110"/>
    </row>
    <row r="85" spans="2:9" x14ac:dyDescent="0.25">
      <c r="B85" s="4"/>
      <c r="E85" s="101"/>
      <c r="F85" s="94"/>
      <c r="G85" s="108"/>
      <c r="H85" s="108"/>
      <c r="I85" s="110"/>
    </row>
    <row r="86" spans="2:9" x14ac:dyDescent="0.25">
      <c r="B86" s="4"/>
      <c r="D86" s="102" t="s">
        <v>81</v>
      </c>
      <c r="E86" s="23"/>
      <c r="G86" s="108">
        <f>SUM(G55:G83)</f>
        <v>0</v>
      </c>
      <c r="H86" s="108">
        <f>SUM(H55:H83)</f>
        <v>0</v>
      </c>
      <c r="I86" s="108">
        <f>SUM(I55:I83)</f>
        <v>0</v>
      </c>
    </row>
    <row r="87" spans="2:9" x14ac:dyDescent="0.25">
      <c r="B87" s="44"/>
      <c r="C87" s="14"/>
      <c r="D87" s="17"/>
      <c r="E87" s="14"/>
      <c r="G87" s="112"/>
      <c r="H87" s="112"/>
      <c r="I87" s="112"/>
    </row>
    <row r="88" spans="2:9" ht="16.2" thickBot="1" x14ac:dyDescent="0.35">
      <c r="B88" s="45"/>
      <c r="C88" s="46"/>
      <c r="D88" s="47" t="s">
        <v>82</v>
      </c>
      <c r="E88" s="24"/>
      <c r="F88" s="55"/>
      <c r="G88" s="121">
        <f>G86+G50</f>
        <v>0</v>
      </c>
      <c r="H88" s="121">
        <f>H86+H50</f>
        <v>0</v>
      </c>
      <c r="I88" s="121">
        <f>I86+I50</f>
        <v>0</v>
      </c>
    </row>
  </sheetData>
  <mergeCells count="8">
    <mergeCell ref="B1:I1"/>
    <mergeCell ref="B2:F2"/>
    <mergeCell ref="G2:I3"/>
    <mergeCell ref="B5:F5"/>
    <mergeCell ref="B4:F4"/>
    <mergeCell ref="B3:F3"/>
    <mergeCell ref="H4:I4"/>
    <mergeCell ref="H5:I5"/>
  </mergeCells>
  <pageMargins left="0.7" right="0.7" top="0.75" bottom="0.75" header="0.3" footer="0.3"/>
  <pageSetup scale="53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I89"/>
  <sheetViews>
    <sheetView zoomScale="80" zoomScaleNormal="80" workbookViewId="0">
      <selection activeCell="B2" sqref="B2:F2"/>
    </sheetView>
  </sheetViews>
  <sheetFormatPr defaultColWidth="9" defaultRowHeight="15.6" x14ac:dyDescent="0.3"/>
  <cols>
    <col min="1" max="1" width="2.5546875" style="14" customWidth="1"/>
    <col min="2" max="2" width="2.88671875" style="18" customWidth="1"/>
    <col min="3" max="3" width="4.44140625" style="18" customWidth="1"/>
    <col min="4" max="4" width="79.33203125" style="11" customWidth="1"/>
    <col min="5" max="5" width="7.33203125" style="8" bestFit="1" customWidth="1"/>
    <col min="6" max="6" width="9.88671875" style="9" customWidth="1"/>
    <col min="7" max="7" width="27.88671875" style="58" bestFit="1" customWidth="1"/>
    <col min="8" max="8" width="15.6640625" style="57" customWidth="1"/>
    <col min="9" max="9" width="15" style="57" customWidth="1"/>
    <col min="10" max="16384" width="9" style="14"/>
  </cols>
  <sheetData>
    <row r="1" spans="2:9" ht="16.5" customHeight="1" thickBot="1" x14ac:dyDescent="0.3">
      <c r="B1" s="134"/>
      <c r="C1" s="134"/>
      <c r="D1" s="134"/>
      <c r="E1" s="134"/>
      <c r="F1" s="134"/>
      <c r="G1" s="134"/>
      <c r="H1" s="134"/>
      <c r="I1" s="134"/>
    </row>
    <row r="2" spans="2:9" x14ac:dyDescent="0.25">
      <c r="B2" s="149">
        <v>46146</v>
      </c>
      <c r="C2" s="150"/>
      <c r="D2" s="150"/>
      <c r="E2" s="150"/>
      <c r="F2" s="151"/>
      <c r="G2" s="135" t="s">
        <v>105</v>
      </c>
      <c r="H2" s="136"/>
      <c r="I2" s="136"/>
    </row>
    <row r="3" spans="2:9" ht="23.25" customHeight="1" x14ac:dyDescent="0.25">
      <c r="B3" s="143" t="s">
        <v>1</v>
      </c>
      <c r="C3" s="144"/>
      <c r="D3" s="144"/>
      <c r="E3" s="144"/>
      <c r="F3" s="145"/>
      <c r="G3" s="138"/>
      <c r="H3" s="139"/>
      <c r="I3" s="139"/>
    </row>
    <row r="4" spans="2:9" ht="15" customHeight="1" x14ac:dyDescent="0.3">
      <c r="B4" s="146" t="s">
        <v>2</v>
      </c>
      <c r="C4" s="147"/>
      <c r="D4" s="147"/>
      <c r="E4" s="147"/>
      <c r="F4" s="148"/>
      <c r="G4" s="68" t="s">
        <v>3</v>
      </c>
      <c r="H4" s="141" t="s">
        <v>4</v>
      </c>
      <c r="I4" s="142"/>
    </row>
    <row r="5" spans="2:9" s="59" customFormat="1" ht="47.25" customHeight="1" x14ac:dyDescent="0.3">
      <c r="B5" s="143" t="s">
        <v>6</v>
      </c>
      <c r="C5" s="144"/>
      <c r="D5" s="144"/>
      <c r="E5" s="144"/>
      <c r="F5" s="145"/>
      <c r="G5" s="69" t="s">
        <v>7</v>
      </c>
      <c r="H5" s="142" t="s">
        <v>8</v>
      </c>
      <c r="I5" s="142"/>
    </row>
    <row r="6" spans="2:9" s="60" customFormat="1" ht="47.4" thickBot="1" x14ac:dyDescent="0.35">
      <c r="B6" s="63" t="s">
        <v>10</v>
      </c>
      <c r="C6" s="64"/>
      <c r="D6" s="65" t="s">
        <v>11</v>
      </c>
      <c r="E6" s="66" t="s">
        <v>12</v>
      </c>
      <c r="F6" s="67" t="s">
        <v>13</v>
      </c>
      <c r="G6" s="70" t="s">
        <v>14</v>
      </c>
      <c r="H6" s="86" t="s">
        <v>15</v>
      </c>
      <c r="I6" s="86" t="s">
        <v>16</v>
      </c>
    </row>
    <row r="7" spans="2:9" s="12" customFormat="1" x14ac:dyDescent="0.25">
      <c r="B7" s="5" t="s">
        <v>17</v>
      </c>
      <c r="C7" s="6"/>
      <c r="D7" s="7"/>
      <c r="E7" s="8"/>
      <c r="F7" s="9"/>
      <c r="G7" s="56"/>
      <c r="H7" s="25"/>
      <c r="I7" s="34"/>
    </row>
    <row r="8" spans="2:9" s="12" customFormat="1" x14ac:dyDescent="0.25">
      <c r="B8" s="5" t="s">
        <v>18</v>
      </c>
      <c r="C8" s="6"/>
      <c r="D8" s="10"/>
      <c r="E8" s="8"/>
      <c r="F8" s="9"/>
      <c r="G8" s="56"/>
      <c r="H8" s="25"/>
      <c r="I8" s="34"/>
    </row>
    <row r="9" spans="2:9" s="12" customFormat="1" x14ac:dyDescent="0.25">
      <c r="B9" s="5" t="s">
        <v>18</v>
      </c>
      <c r="C9" s="6" t="s">
        <v>18</v>
      </c>
      <c r="D9" s="11"/>
      <c r="E9" s="8"/>
      <c r="F9" s="9"/>
      <c r="G9" s="51" t="s">
        <v>17</v>
      </c>
      <c r="H9" s="25"/>
      <c r="I9" s="37"/>
    </row>
    <row r="10" spans="2:9" s="12" customFormat="1" x14ac:dyDescent="0.25">
      <c r="B10" s="5" t="s">
        <v>18</v>
      </c>
      <c r="C10" s="6" t="s">
        <v>22</v>
      </c>
      <c r="D10" s="11"/>
      <c r="E10" s="8"/>
      <c r="F10" s="9"/>
      <c r="G10" s="51" t="s">
        <v>17</v>
      </c>
      <c r="H10" s="25"/>
      <c r="I10" s="37"/>
    </row>
    <row r="11" spans="2:9" s="12" customFormat="1" x14ac:dyDescent="0.25">
      <c r="B11" s="5"/>
      <c r="C11" s="6"/>
      <c r="D11" s="11"/>
      <c r="E11" s="8"/>
      <c r="F11" s="9"/>
      <c r="G11" s="49"/>
      <c r="H11" s="32"/>
      <c r="I11" s="33"/>
    </row>
    <row r="12" spans="2:9" s="12" customFormat="1" x14ac:dyDescent="0.25">
      <c r="B12" s="5"/>
      <c r="C12" s="6"/>
      <c r="D12" s="10" t="s">
        <v>24</v>
      </c>
      <c r="E12" s="8"/>
      <c r="F12" s="9"/>
      <c r="G12" s="49"/>
      <c r="H12" s="32"/>
      <c r="I12" s="33"/>
    </row>
    <row r="13" spans="2:9" s="12" customFormat="1" x14ac:dyDescent="0.25">
      <c r="B13" s="5" t="s">
        <v>18</v>
      </c>
      <c r="C13" s="6" t="s">
        <v>25</v>
      </c>
      <c r="D13" s="11" t="s">
        <v>26</v>
      </c>
      <c r="E13" s="8" t="s">
        <v>21</v>
      </c>
      <c r="F13" s="9">
        <v>2</v>
      </c>
      <c r="G13" s="50">
        <v>0</v>
      </c>
      <c r="H13" s="25"/>
      <c r="I13" s="37"/>
    </row>
    <row r="14" spans="2:9" s="12" customFormat="1" x14ac:dyDescent="0.25">
      <c r="B14" s="5"/>
      <c r="C14" s="6"/>
      <c r="D14" s="11"/>
      <c r="E14" s="8"/>
      <c r="F14" s="9"/>
      <c r="G14" s="49"/>
      <c r="H14" s="32"/>
      <c r="I14" s="33"/>
    </row>
    <row r="15" spans="2:9" s="12" customFormat="1" x14ac:dyDescent="0.25">
      <c r="B15" s="5"/>
      <c r="C15" s="6"/>
      <c r="D15" s="10" t="s">
        <v>27</v>
      </c>
      <c r="E15" s="8"/>
      <c r="F15" s="9"/>
      <c r="G15" s="49"/>
      <c r="H15" s="32"/>
      <c r="I15" s="33"/>
    </row>
    <row r="16" spans="2:9" x14ac:dyDescent="0.25">
      <c r="B16" s="5" t="s">
        <v>18</v>
      </c>
      <c r="C16" s="6" t="s">
        <v>28</v>
      </c>
      <c r="D16" s="13" t="s">
        <v>29</v>
      </c>
      <c r="E16" s="8" t="s">
        <v>21</v>
      </c>
      <c r="F16" s="9">
        <v>5</v>
      </c>
      <c r="G16" s="50">
        <v>0</v>
      </c>
      <c r="H16" s="25"/>
      <c r="I16" s="37"/>
    </row>
    <row r="17" spans="2:9" s="12" customFormat="1" x14ac:dyDescent="0.25">
      <c r="B17" s="5" t="s">
        <v>18</v>
      </c>
      <c r="C17" s="6" t="s">
        <v>30</v>
      </c>
      <c r="D17" s="11" t="s">
        <v>31</v>
      </c>
      <c r="E17" s="8" t="s">
        <v>21</v>
      </c>
      <c r="F17" s="9">
        <v>5</v>
      </c>
      <c r="G17" s="50">
        <v>0</v>
      </c>
      <c r="H17" s="25"/>
      <c r="I17" s="37"/>
    </row>
    <row r="18" spans="2:9" s="12" customFormat="1" x14ac:dyDescent="0.25">
      <c r="B18" s="5"/>
      <c r="C18" s="6"/>
      <c r="D18" s="11"/>
      <c r="E18" s="8"/>
      <c r="F18" s="9"/>
      <c r="G18" s="51"/>
      <c r="H18" s="25"/>
      <c r="I18" s="37"/>
    </row>
    <row r="19" spans="2:9" s="12" customFormat="1" ht="17.399999999999999" x14ac:dyDescent="0.25">
      <c r="B19" s="5"/>
      <c r="C19" s="6"/>
      <c r="D19" s="93" t="s">
        <v>32</v>
      </c>
      <c r="E19" s="8"/>
      <c r="F19" s="9"/>
      <c r="G19" s="51"/>
      <c r="H19" s="25"/>
      <c r="I19" s="37"/>
    </row>
    <row r="20" spans="2:9" s="12" customFormat="1" x14ac:dyDescent="0.25">
      <c r="B20" s="15"/>
      <c r="C20" s="16"/>
      <c r="D20" s="17"/>
      <c r="E20" s="8"/>
      <c r="F20" s="9"/>
      <c r="G20" s="49"/>
      <c r="H20" s="32"/>
      <c r="I20" s="33"/>
    </row>
    <row r="21" spans="2:9" s="12" customFormat="1" x14ac:dyDescent="0.25">
      <c r="B21" s="4" t="s">
        <v>22</v>
      </c>
      <c r="C21" s="18"/>
      <c r="D21" s="10" t="s">
        <v>33</v>
      </c>
      <c r="E21" s="22"/>
      <c r="F21" s="9"/>
      <c r="G21" s="51"/>
      <c r="H21" s="25"/>
      <c r="I21" s="37"/>
    </row>
    <row r="22" spans="2:9" s="12" customFormat="1" x14ac:dyDescent="0.25">
      <c r="B22" s="4" t="s">
        <v>22</v>
      </c>
      <c r="C22" s="18" t="s">
        <v>18</v>
      </c>
      <c r="D22" s="11" t="s">
        <v>34</v>
      </c>
      <c r="E22" s="22" t="s">
        <v>35</v>
      </c>
      <c r="F22" s="9">
        <v>400</v>
      </c>
      <c r="G22" s="50">
        <v>0</v>
      </c>
      <c r="H22" s="31">
        <v>0</v>
      </c>
      <c r="I22" s="36">
        <f>F22*H22</f>
        <v>0</v>
      </c>
    </row>
    <row r="23" spans="2:9" x14ac:dyDescent="0.25">
      <c r="B23" s="4" t="s">
        <v>22</v>
      </c>
      <c r="C23" s="18" t="s">
        <v>22</v>
      </c>
      <c r="D23" s="11" t="s">
        <v>36</v>
      </c>
      <c r="E23" s="22" t="s">
        <v>35</v>
      </c>
      <c r="F23" s="9">
        <v>400</v>
      </c>
      <c r="G23" s="50">
        <v>0</v>
      </c>
      <c r="H23" s="31">
        <v>0</v>
      </c>
      <c r="I23" s="36">
        <f t="shared" ref="I23" si="0">H23*F23</f>
        <v>0</v>
      </c>
    </row>
    <row r="24" spans="2:9" x14ac:dyDescent="0.25">
      <c r="B24" s="5" t="s">
        <v>22</v>
      </c>
      <c r="C24" s="6" t="s">
        <v>25</v>
      </c>
      <c r="D24" s="39" t="s">
        <v>37</v>
      </c>
      <c r="E24" s="22"/>
      <c r="G24" s="124">
        <v>0</v>
      </c>
      <c r="H24" s="31">
        <v>0</v>
      </c>
      <c r="I24" s="36">
        <v>0</v>
      </c>
    </row>
    <row r="25" spans="2:9" x14ac:dyDescent="0.25">
      <c r="B25" s="29" t="s">
        <v>22</v>
      </c>
      <c r="C25" s="30" t="s">
        <v>28</v>
      </c>
      <c r="D25" s="17" t="s">
        <v>38</v>
      </c>
      <c r="E25" s="22"/>
      <c r="G25" s="49"/>
      <c r="H25" s="32"/>
      <c r="I25" s="33"/>
    </row>
    <row r="26" spans="2:9" x14ac:dyDescent="0.25">
      <c r="B26" s="4" t="s">
        <v>17</v>
      </c>
      <c r="E26" s="22"/>
      <c r="G26" s="49"/>
      <c r="H26" s="32"/>
      <c r="I26" s="33"/>
    </row>
    <row r="27" spans="2:9" x14ac:dyDescent="0.25">
      <c r="B27" s="5" t="s">
        <v>25</v>
      </c>
      <c r="C27" s="6" t="s">
        <v>17</v>
      </c>
      <c r="D27" s="10" t="s">
        <v>39</v>
      </c>
      <c r="E27" s="14"/>
      <c r="G27" s="48"/>
      <c r="H27" s="43"/>
      <c r="I27" s="43"/>
    </row>
    <row r="28" spans="2:9" x14ac:dyDescent="0.25">
      <c r="B28" s="5" t="s">
        <v>25</v>
      </c>
      <c r="C28" s="6" t="s">
        <v>18</v>
      </c>
      <c r="D28" s="11" t="s">
        <v>40</v>
      </c>
      <c r="E28" s="22"/>
      <c r="G28" s="50">
        <v>0</v>
      </c>
      <c r="H28" s="31">
        <v>0</v>
      </c>
      <c r="I28" s="36">
        <f>H28*F28</f>
        <v>0</v>
      </c>
    </row>
    <row r="29" spans="2:9" x14ac:dyDescent="0.25">
      <c r="B29" s="5" t="s">
        <v>25</v>
      </c>
      <c r="C29" s="18" t="s">
        <v>22</v>
      </c>
      <c r="D29" s="39" t="s">
        <v>37</v>
      </c>
      <c r="E29" s="22"/>
      <c r="F29" s="52"/>
      <c r="G29" s="50">
        <v>0</v>
      </c>
      <c r="H29" s="31">
        <v>0</v>
      </c>
      <c r="I29" s="36">
        <f t="shared" ref="I29" si="1">H29*F29</f>
        <v>0</v>
      </c>
    </row>
    <row r="30" spans="2:9" x14ac:dyDescent="0.25">
      <c r="B30" s="5"/>
      <c r="D30" s="17"/>
      <c r="E30" s="22"/>
      <c r="G30" s="49"/>
      <c r="H30" s="32"/>
      <c r="I30" s="33"/>
    </row>
    <row r="31" spans="2:9" x14ac:dyDescent="0.25">
      <c r="B31" s="5"/>
      <c r="C31" s="18" t="s">
        <v>17</v>
      </c>
      <c r="D31" s="10" t="s">
        <v>41</v>
      </c>
      <c r="E31" s="14"/>
      <c r="G31" s="44"/>
      <c r="H31" s="43"/>
      <c r="I31" s="43"/>
    </row>
    <row r="32" spans="2:9" x14ac:dyDescent="0.25">
      <c r="B32" s="5" t="s">
        <v>25</v>
      </c>
      <c r="C32" s="18" t="s">
        <v>25</v>
      </c>
      <c r="D32" s="11" t="s">
        <v>42</v>
      </c>
      <c r="E32" s="22"/>
      <c r="G32" s="50">
        <v>0</v>
      </c>
      <c r="H32" s="31">
        <v>0</v>
      </c>
      <c r="I32" s="36">
        <f t="shared" ref="I32:I33" si="2">H32*F32</f>
        <v>0</v>
      </c>
    </row>
    <row r="33" spans="2:9" x14ac:dyDescent="0.25">
      <c r="B33" s="5" t="s">
        <v>25</v>
      </c>
      <c r="C33" s="18" t="s">
        <v>28</v>
      </c>
      <c r="D33" s="17" t="s">
        <v>43</v>
      </c>
      <c r="E33" s="22"/>
      <c r="G33" s="50">
        <v>0</v>
      </c>
      <c r="H33" s="31">
        <v>0</v>
      </c>
      <c r="I33" s="36">
        <f t="shared" si="2"/>
        <v>0</v>
      </c>
    </row>
    <row r="34" spans="2:9" ht="15" x14ac:dyDescent="0.25">
      <c r="B34" s="44"/>
      <c r="C34" s="14"/>
      <c r="D34" s="17"/>
      <c r="E34" s="14"/>
      <c r="G34" s="48"/>
      <c r="H34" s="43"/>
      <c r="I34" s="43"/>
    </row>
    <row r="35" spans="2:9" x14ac:dyDescent="0.25">
      <c r="B35" s="5" t="s">
        <v>30</v>
      </c>
      <c r="C35" s="6"/>
      <c r="D35" s="10" t="s">
        <v>44</v>
      </c>
      <c r="E35" s="14"/>
      <c r="G35" s="48"/>
      <c r="H35" s="43"/>
      <c r="I35" s="37"/>
    </row>
    <row r="36" spans="2:9" x14ac:dyDescent="0.25">
      <c r="B36" s="5" t="s">
        <v>30</v>
      </c>
      <c r="C36" s="18" t="s">
        <v>18</v>
      </c>
      <c r="D36" s="11" t="s">
        <v>45</v>
      </c>
      <c r="E36" s="22" t="s">
        <v>21</v>
      </c>
      <c r="F36" s="9">
        <v>621</v>
      </c>
      <c r="G36" s="50">
        <v>0</v>
      </c>
      <c r="H36" s="31">
        <v>0</v>
      </c>
      <c r="I36" s="36">
        <v>0</v>
      </c>
    </row>
    <row r="37" spans="2:9" x14ac:dyDescent="0.25">
      <c r="B37" s="5" t="s">
        <v>30</v>
      </c>
      <c r="C37" s="18" t="s">
        <v>22</v>
      </c>
      <c r="D37" s="11" t="s">
        <v>46</v>
      </c>
      <c r="E37" s="22" t="s">
        <v>21</v>
      </c>
      <c r="F37" s="9">
        <v>27</v>
      </c>
      <c r="G37" s="50">
        <v>0</v>
      </c>
      <c r="H37" s="31">
        <v>0</v>
      </c>
      <c r="I37" s="36">
        <f t="shared" ref="I37:I38" si="3">H37*F37</f>
        <v>0</v>
      </c>
    </row>
    <row r="38" spans="2:9" x14ac:dyDescent="0.25">
      <c r="B38" s="5" t="s">
        <v>30</v>
      </c>
      <c r="C38" s="18" t="s">
        <v>25</v>
      </c>
      <c r="D38" s="11" t="s">
        <v>37</v>
      </c>
      <c r="E38" s="22"/>
      <c r="G38" s="50">
        <v>0</v>
      </c>
      <c r="H38" s="31">
        <v>0</v>
      </c>
      <c r="I38" s="36">
        <f t="shared" si="3"/>
        <v>0</v>
      </c>
    </row>
    <row r="39" spans="2:9" x14ac:dyDescent="0.25">
      <c r="B39" s="5" t="s">
        <v>30</v>
      </c>
      <c r="C39" s="18" t="s">
        <v>28</v>
      </c>
      <c r="D39" s="17" t="s">
        <v>47</v>
      </c>
      <c r="E39" s="22"/>
      <c r="G39" s="49"/>
      <c r="H39" s="25"/>
      <c r="I39" s="37"/>
    </row>
    <row r="40" spans="2:9" x14ac:dyDescent="0.25">
      <c r="B40" s="44"/>
      <c r="C40" s="14"/>
      <c r="D40" s="17"/>
      <c r="E40" s="14"/>
      <c r="G40" s="48"/>
      <c r="H40" s="43"/>
      <c r="I40" s="37"/>
    </row>
    <row r="41" spans="2:9" x14ac:dyDescent="0.25">
      <c r="B41" s="4" t="s">
        <v>48</v>
      </c>
      <c r="D41" s="10" t="s">
        <v>49</v>
      </c>
      <c r="E41" s="14"/>
      <c r="F41" s="54"/>
      <c r="G41" s="48"/>
      <c r="H41" s="43"/>
      <c r="I41" s="37"/>
    </row>
    <row r="42" spans="2:9" x14ac:dyDescent="0.25">
      <c r="B42" s="4" t="s">
        <v>48</v>
      </c>
      <c r="C42" s="18" t="s">
        <v>18</v>
      </c>
      <c r="D42" s="35" t="s">
        <v>50</v>
      </c>
      <c r="E42" s="22" t="s">
        <v>21</v>
      </c>
      <c r="F42" s="89"/>
      <c r="G42" s="50">
        <v>0</v>
      </c>
      <c r="H42" s="31">
        <v>0</v>
      </c>
      <c r="I42" s="36">
        <f t="shared" ref="I42:I47" si="4">H42*F42</f>
        <v>0</v>
      </c>
    </row>
    <row r="43" spans="2:9" x14ac:dyDescent="0.25">
      <c r="B43" s="4" t="s">
        <v>48</v>
      </c>
      <c r="C43" s="18" t="s">
        <v>22</v>
      </c>
      <c r="D43" s="35" t="s">
        <v>51</v>
      </c>
      <c r="E43" s="22" t="s">
        <v>52</v>
      </c>
      <c r="F43" s="89">
        <v>16</v>
      </c>
      <c r="G43" s="50">
        <v>0</v>
      </c>
      <c r="H43" s="31">
        <v>0</v>
      </c>
      <c r="I43" s="36">
        <f t="shared" si="4"/>
        <v>0</v>
      </c>
    </row>
    <row r="44" spans="2:9" x14ac:dyDescent="0.25">
      <c r="B44" s="4" t="s">
        <v>48</v>
      </c>
      <c r="C44" s="18" t="s">
        <v>25</v>
      </c>
      <c r="D44" s="35" t="s">
        <v>37</v>
      </c>
      <c r="E44" s="22"/>
      <c r="F44" s="89"/>
      <c r="G44" s="50">
        <v>0</v>
      </c>
      <c r="H44" s="31">
        <v>0</v>
      </c>
      <c r="I44" s="36">
        <f>H44*F44</f>
        <v>0</v>
      </c>
    </row>
    <row r="45" spans="2:9" x14ac:dyDescent="0.25">
      <c r="B45" s="4" t="s">
        <v>48</v>
      </c>
      <c r="C45" s="18" t="s">
        <v>28</v>
      </c>
      <c r="D45" s="90" t="s">
        <v>53</v>
      </c>
      <c r="E45" s="22" t="s">
        <v>21</v>
      </c>
      <c r="F45" s="89"/>
      <c r="G45" s="50">
        <v>0</v>
      </c>
      <c r="H45" s="31">
        <v>0</v>
      </c>
      <c r="I45" s="36">
        <f t="shared" si="4"/>
        <v>0</v>
      </c>
    </row>
    <row r="46" spans="2:9" x14ac:dyDescent="0.25">
      <c r="B46" s="4" t="s">
        <v>48</v>
      </c>
      <c r="C46" s="18" t="s">
        <v>30</v>
      </c>
      <c r="D46" s="90" t="s">
        <v>54</v>
      </c>
      <c r="E46" s="22" t="s">
        <v>52</v>
      </c>
      <c r="F46" s="89">
        <v>18</v>
      </c>
      <c r="G46" s="50">
        <v>0</v>
      </c>
      <c r="H46" s="31">
        <v>0</v>
      </c>
      <c r="I46" s="36">
        <f t="shared" si="4"/>
        <v>0</v>
      </c>
    </row>
    <row r="47" spans="2:9" x14ac:dyDescent="0.25">
      <c r="B47" s="4" t="s">
        <v>48</v>
      </c>
      <c r="C47" s="18" t="s">
        <v>48</v>
      </c>
      <c r="D47" s="35" t="s">
        <v>55</v>
      </c>
      <c r="E47" s="22"/>
      <c r="G47" s="50">
        <v>0</v>
      </c>
      <c r="H47" s="31">
        <v>0</v>
      </c>
      <c r="I47" s="36">
        <f t="shared" si="4"/>
        <v>0</v>
      </c>
    </row>
    <row r="48" spans="2:9" x14ac:dyDescent="0.25">
      <c r="B48" s="4" t="s">
        <v>48</v>
      </c>
      <c r="C48" s="18" t="s">
        <v>56</v>
      </c>
      <c r="D48" s="17" t="s">
        <v>57</v>
      </c>
      <c r="E48" s="22"/>
      <c r="G48" s="51"/>
      <c r="H48" s="25"/>
      <c r="I48" s="37"/>
    </row>
    <row r="49" spans="2:9" x14ac:dyDescent="0.25">
      <c r="B49" s="19"/>
      <c r="C49" s="20"/>
      <c r="D49" s="17"/>
      <c r="E49" s="14"/>
      <c r="G49" s="43"/>
      <c r="H49" s="43"/>
      <c r="I49" s="37"/>
    </row>
    <row r="50" spans="2:9" x14ac:dyDescent="0.25">
      <c r="B50" s="19"/>
      <c r="C50" s="20"/>
      <c r="D50" s="102" t="s">
        <v>58</v>
      </c>
      <c r="E50" s="14"/>
      <c r="G50" s="37">
        <f>SUM(G13:G47)</f>
        <v>0</v>
      </c>
      <c r="H50" s="37">
        <f>SUM(H22:H47)</f>
        <v>0</v>
      </c>
      <c r="I50" s="37">
        <f>SUM(I22:I47)</f>
        <v>0</v>
      </c>
    </row>
    <row r="51" spans="2:9" x14ac:dyDescent="0.25">
      <c r="B51" s="44"/>
      <c r="C51" s="14"/>
      <c r="D51" s="17"/>
      <c r="E51" s="14"/>
      <c r="G51" s="43"/>
      <c r="H51" s="43"/>
      <c r="I51" s="37"/>
    </row>
    <row r="52" spans="2:9" ht="17.399999999999999" x14ac:dyDescent="0.3">
      <c r="B52" s="4"/>
      <c r="D52" s="93" t="s">
        <v>59</v>
      </c>
      <c r="E52" s="22"/>
      <c r="G52" s="103"/>
      <c r="H52" s="103"/>
      <c r="I52" s="103"/>
    </row>
    <row r="53" spans="2:9" x14ac:dyDescent="0.25">
      <c r="B53" s="4"/>
      <c r="D53" s="21"/>
      <c r="E53" s="22"/>
      <c r="G53" s="37"/>
      <c r="H53" s="34"/>
      <c r="I53" s="37"/>
    </row>
    <row r="54" spans="2:9" x14ac:dyDescent="0.25">
      <c r="B54" s="4" t="s">
        <v>56</v>
      </c>
      <c r="D54" s="10" t="s">
        <v>60</v>
      </c>
      <c r="E54" s="22"/>
      <c r="G54" s="37"/>
      <c r="H54" s="37"/>
      <c r="I54" s="37"/>
    </row>
    <row r="55" spans="2:9" x14ac:dyDescent="0.25">
      <c r="B55" s="4" t="s">
        <v>56</v>
      </c>
      <c r="C55" s="18" t="s">
        <v>18</v>
      </c>
      <c r="D55" s="11" t="s">
        <v>34</v>
      </c>
      <c r="E55" s="22" t="s">
        <v>35</v>
      </c>
      <c r="F55" s="94">
        <v>600</v>
      </c>
      <c r="G55" s="95">
        <v>0</v>
      </c>
      <c r="H55" s="95">
        <v>0</v>
      </c>
      <c r="I55" s="95">
        <f>H55*F55</f>
        <v>0</v>
      </c>
    </row>
    <row r="56" spans="2:9" x14ac:dyDescent="0.25">
      <c r="B56" s="4" t="s">
        <v>56</v>
      </c>
      <c r="C56" s="18" t="s">
        <v>22</v>
      </c>
      <c r="D56" s="11" t="s">
        <v>61</v>
      </c>
      <c r="E56" s="22" t="s">
        <v>35</v>
      </c>
      <c r="F56" s="94">
        <v>600</v>
      </c>
      <c r="G56" s="95">
        <v>0</v>
      </c>
      <c r="H56" s="95">
        <v>0</v>
      </c>
      <c r="I56" s="95">
        <v>0</v>
      </c>
    </row>
    <row r="57" spans="2:9" x14ac:dyDescent="0.25">
      <c r="B57" s="4" t="s">
        <v>56</v>
      </c>
      <c r="C57" s="18" t="s">
        <v>25</v>
      </c>
      <c r="D57" s="11" t="s">
        <v>37</v>
      </c>
      <c r="E57" s="22"/>
      <c r="F57" s="94"/>
      <c r="G57" s="95">
        <v>0</v>
      </c>
      <c r="H57" s="95">
        <v>0</v>
      </c>
      <c r="I57" s="95">
        <f>H57*F57</f>
        <v>0</v>
      </c>
    </row>
    <row r="58" spans="2:9" x14ac:dyDescent="0.25">
      <c r="B58" s="91" t="s">
        <v>56</v>
      </c>
      <c r="C58" s="92" t="s">
        <v>28</v>
      </c>
      <c r="D58" s="98" t="s">
        <v>62</v>
      </c>
      <c r="E58" s="22"/>
      <c r="F58" s="94"/>
      <c r="G58" s="33"/>
      <c r="H58" s="97"/>
      <c r="I58" s="33"/>
    </row>
    <row r="59" spans="2:9" x14ac:dyDescent="0.25">
      <c r="B59" s="5"/>
      <c r="C59" s="6"/>
      <c r="D59" s="96"/>
      <c r="E59" s="22"/>
      <c r="F59" s="94"/>
      <c r="G59" s="33"/>
      <c r="H59" s="97"/>
      <c r="I59" s="33"/>
    </row>
    <row r="60" spans="2:9" x14ac:dyDescent="0.25">
      <c r="B60" s="4" t="s">
        <v>63</v>
      </c>
      <c r="D60" s="10" t="s">
        <v>39</v>
      </c>
      <c r="E60" s="22"/>
      <c r="F60" s="94"/>
      <c r="G60" s="33"/>
      <c r="H60" s="97"/>
      <c r="I60" s="33"/>
    </row>
    <row r="61" spans="2:9" x14ac:dyDescent="0.25">
      <c r="B61" s="5" t="s">
        <v>63</v>
      </c>
      <c r="C61" s="6" t="s">
        <v>18</v>
      </c>
      <c r="D61" s="11" t="s">
        <v>64</v>
      </c>
      <c r="E61" s="104" t="s">
        <v>21</v>
      </c>
      <c r="F61" s="89">
        <v>94</v>
      </c>
      <c r="G61" s="95">
        <v>0</v>
      </c>
      <c r="H61" s="36">
        <v>0</v>
      </c>
      <c r="I61" s="36">
        <f>F61*H61</f>
        <v>0</v>
      </c>
    </row>
    <row r="62" spans="2:9" x14ac:dyDescent="0.25">
      <c r="B62" s="5" t="s">
        <v>63</v>
      </c>
      <c r="C62" s="6" t="s">
        <v>22</v>
      </c>
      <c r="D62" s="11" t="s">
        <v>37</v>
      </c>
      <c r="E62" s="104"/>
      <c r="F62" s="89"/>
      <c r="G62" s="95">
        <v>0</v>
      </c>
      <c r="H62" s="36">
        <v>0</v>
      </c>
      <c r="I62" s="36">
        <f>F62*H62</f>
        <v>0</v>
      </c>
    </row>
    <row r="63" spans="2:9" x14ac:dyDescent="0.25">
      <c r="B63" s="91"/>
      <c r="C63" s="92"/>
      <c r="D63" s="98"/>
      <c r="E63" s="22"/>
      <c r="G63" s="33"/>
      <c r="H63" s="97"/>
      <c r="I63" s="33"/>
    </row>
    <row r="64" spans="2:9" x14ac:dyDescent="0.25">
      <c r="B64" s="4"/>
      <c r="D64" s="7" t="s">
        <v>41</v>
      </c>
      <c r="E64" s="22"/>
      <c r="G64" s="33"/>
      <c r="H64" s="97"/>
      <c r="I64" s="33"/>
    </row>
    <row r="65" spans="2:9" x14ac:dyDescent="0.25">
      <c r="B65" s="4" t="s">
        <v>63</v>
      </c>
      <c r="C65" s="18" t="s">
        <v>25</v>
      </c>
      <c r="D65" s="35" t="s">
        <v>65</v>
      </c>
      <c r="E65" s="22" t="s">
        <v>21</v>
      </c>
      <c r="F65" s="9">
        <v>2</v>
      </c>
      <c r="G65" s="95">
        <v>0</v>
      </c>
      <c r="H65" s="95">
        <v>0</v>
      </c>
      <c r="I65" s="36">
        <f t="shared" ref="I65:I68" si="5">H65*F65</f>
        <v>0</v>
      </c>
    </row>
    <row r="66" spans="2:9" x14ac:dyDescent="0.25">
      <c r="B66" s="4" t="s">
        <v>63</v>
      </c>
      <c r="C66" s="18" t="s">
        <v>28</v>
      </c>
      <c r="D66" s="35" t="s">
        <v>66</v>
      </c>
      <c r="E66" s="22" t="s">
        <v>21</v>
      </c>
      <c r="F66" s="9">
        <v>1</v>
      </c>
      <c r="G66" s="95">
        <v>0</v>
      </c>
      <c r="H66" s="95">
        <v>0</v>
      </c>
      <c r="I66" s="36">
        <f t="shared" si="5"/>
        <v>0</v>
      </c>
    </row>
    <row r="67" spans="2:9" x14ac:dyDescent="0.25">
      <c r="B67" s="4" t="s">
        <v>63</v>
      </c>
      <c r="C67" s="18" t="s">
        <v>30</v>
      </c>
      <c r="D67" s="35" t="s">
        <v>67</v>
      </c>
      <c r="E67" s="104" t="s">
        <v>21</v>
      </c>
      <c r="F67" s="89">
        <v>1</v>
      </c>
      <c r="G67" s="95">
        <v>0</v>
      </c>
      <c r="H67" s="95">
        <v>0</v>
      </c>
      <c r="I67" s="36">
        <f t="shared" si="5"/>
        <v>0</v>
      </c>
    </row>
    <row r="68" spans="2:9" x14ac:dyDescent="0.25">
      <c r="B68" s="4" t="s">
        <v>63</v>
      </c>
      <c r="C68" s="18" t="s">
        <v>48</v>
      </c>
      <c r="D68" s="35" t="s">
        <v>42</v>
      </c>
      <c r="E68" s="99" t="s">
        <v>21</v>
      </c>
      <c r="F68" s="94">
        <v>94</v>
      </c>
      <c r="G68" s="95">
        <v>0</v>
      </c>
      <c r="H68" s="95">
        <v>0</v>
      </c>
      <c r="I68" s="36">
        <f t="shared" si="5"/>
        <v>0</v>
      </c>
    </row>
    <row r="69" spans="2:9" x14ac:dyDescent="0.25">
      <c r="B69" s="4" t="s">
        <v>63</v>
      </c>
      <c r="C69" s="18" t="s">
        <v>56</v>
      </c>
      <c r="D69" s="98" t="s">
        <v>68</v>
      </c>
      <c r="E69" s="22"/>
      <c r="F69" s="94"/>
      <c r="G69" s="34"/>
      <c r="H69" s="34"/>
      <c r="I69" s="37"/>
    </row>
    <row r="70" spans="2:9" x14ac:dyDescent="0.25">
      <c r="B70" s="5"/>
      <c r="C70" s="6"/>
      <c r="D70" s="96"/>
      <c r="E70" s="22"/>
      <c r="G70" s="33"/>
      <c r="H70" s="97"/>
      <c r="I70" s="33"/>
    </row>
    <row r="71" spans="2:9" x14ac:dyDescent="0.25">
      <c r="B71" s="5" t="s">
        <v>69</v>
      </c>
      <c r="C71" s="6"/>
      <c r="D71" s="10" t="s">
        <v>44</v>
      </c>
      <c r="E71" s="22"/>
      <c r="G71" s="33"/>
      <c r="H71" s="97"/>
      <c r="I71" s="33"/>
    </row>
    <row r="72" spans="2:9" x14ac:dyDescent="0.25">
      <c r="B72" s="5" t="s">
        <v>69</v>
      </c>
      <c r="C72" s="18" t="s">
        <v>18</v>
      </c>
      <c r="D72" s="11" t="s">
        <v>70</v>
      </c>
      <c r="E72" s="104" t="s">
        <v>21</v>
      </c>
      <c r="F72" s="89">
        <v>414</v>
      </c>
      <c r="G72" s="95">
        <v>0</v>
      </c>
      <c r="H72" s="36">
        <v>0</v>
      </c>
      <c r="I72" s="36">
        <f>H72*F72</f>
        <v>0</v>
      </c>
    </row>
    <row r="73" spans="2:9" x14ac:dyDescent="0.25">
      <c r="B73" s="5" t="s">
        <v>69</v>
      </c>
      <c r="C73" s="18" t="s">
        <v>22</v>
      </c>
      <c r="D73" s="11" t="s">
        <v>71</v>
      </c>
      <c r="E73" s="104" t="s">
        <v>21</v>
      </c>
      <c r="F73" s="89">
        <v>18</v>
      </c>
      <c r="G73" s="95">
        <v>0</v>
      </c>
      <c r="H73" s="95">
        <v>0</v>
      </c>
      <c r="I73" s="36">
        <f t="shared" ref="I73:I74" si="6">H73*F73</f>
        <v>0</v>
      </c>
    </row>
    <row r="74" spans="2:9" x14ac:dyDescent="0.25">
      <c r="B74" s="5" t="s">
        <v>69</v>
      </c>
      <c r="C74" s="18" t="s">
        <v>25</v>
      </c>
      <c r="D74" s="11" t="s">
        <v>37</v>
      </c>
      <c r="E74" s="104"/>
      <c r="F74" s="89"/>
      <c r="G74" s="95">
        <v>0</v>
      </c>
      <c r="H74" s="95">
        <v>0</v>
      </c>
      <c r="I74" s="36">
        <f t="shared" si="6"/>
        <v>0</v>
      </c>
    </row>
    <row r="75" spans="2:9" x14ac:dyDescent="0.25">
      <c r="B75" s="5" t="s">
        <v>69</v>
      </c>
      <c r="C75" s="18" t="s">
        <v>28</v>
      </c>
      <c r="D75" s="11" t="s">
        <v>72</v>
      </c>
      <c r="E75" s="104" t="s">
        <v>21</v>
      </c>
      <c r="F75" s="89">
        <v>115</v>
      </c>
      <c r="G75" s="125">
        <v>0</v>
      </c>
      <c r="H75" s="125">
        <v>0</v>
      </c>
      <c r="I75" s="126">
        <f>H75*F75</f>
        <v>0</v>
      </c>
    </row>
    <row r="76" spans="2:9" x14ac:dyDescent="0.25">
      <c r="B76" s="5" t="s">
        <v>69</v>
      </c>
      <c r="C76" s="18" t="s">
        <v>30</v>
      </c>
      <c r="D76" s="11" t="s">
        <v>73</v>
      </c>
      <c r="E76" s="22" t="s">
        <v>21</v>
      </c>
      <c r="F76" s="9">
        <v>5</v>
      </c>
      <c r="G76" s="127">
        <v>0</v>
      </c>
      <c r="H76" s="128">
        <v>0</v>
      </c>
      <c r="I76" s="127">
        <f>H76*F76</f>
        <v>0</v>
      </c>
    </row>
    <row r="77" spans="2:9" x14ac:dyDescent="0.25">
      <c r="B77" s="5" t="s">
        <v>69</v>
      </c>
      <c r="C77" s="6" t="s">
        <v>48</v>
      </c>
      <c r="D77" s="96" t="s">
        <v>37</v>
      </c>
      <c r="E77" s="22"/>
      <c r="G77" s="127">
        <v>0</v>
      </c>
      <c r="H77" s="128">
        <v>0</v>
      </c>
      <c r="I77" s="127">
        <v>0</v>
      </c>
    </row>
    <row r="78" spans="2:9" x14ac:dyDescent="0.25">
      <c r="B78" s="5" t="s">
        <v>69</v>
      </c>
      <c r="C78" s="6" t="s">
        <v>56</v>
      </c>
      <c r="D78" s="98" t="s">
        <v>74</v>
      </c>
      <c r="E78" s="22"/>
      <c r="G78" s="33"/>
      <c r="H78" s="97"/>
      <c r="I78" s="33"/>
    </row>
    <row r="79" spans="2:9" x14ac:dyDescent="0.25">
      <c r="B79" s="5"/>
      <c r="C79" s="6"/>
      <c r="D79" s="98"/>
      <c r="E79" s="22"/>
      <c r="G79" s="33"/>
      <c r="H79" s="97"/>
      <c r="I79" s="33"/>
    </row>
    <row r="80" spans="2:9" x14ac:dyDescent="0.25">
      <c r="B80" s="4" t="s">
        <v>75</v>
      </c>
      <c r="D80" s="10" t="s">
        <v>76</v>
      </c>
      <c r="E80" s="22"/>
      <c r="F80" s="53"/>
      <c r="G80" s="33"/>
      <c r="H80" s="33"/>
      <c r="I80" s="33"/>
    </row>
    <row r="81" spans="2:9" x14ac:dyDescent="0.25">
      <c r="B81" s="4" t="s">
        <v>75</v>
      </c>
      <c r="C81" s="18" t="s">
        <v>18</v>
      </c>
      <c r="D81" s="100" t="s">
        <v>77</v>
      </c>
      <c r="E81" s="104" t="s">
        <v>21</v>
      </c>
      <c r="F81" s="89">
        <v>1</v>
      </c>
      <c r="G81" s="95">
        <v>0</v>
      </c>
      <c r="H81" s="95">
        <v>0</v>
      </c>
      <c r="I81" s="36">
        <f>H81*F81</f>
        <v>0</v>
      </c>
    </row>
    <row r="82" spans="2:9" x14ac:dyDescent="0.25">
      <c r="B82" s="4" t="s">
        <v>75</v>
      </c>
      <c r="C82" s="18" t="s">
        <v>22</v>
      </c>
      <c r="D82" s="100" t="s">
        <v>78</v>
      </c>
      <c r="E82" s="101" t="s">
        <v>79</v>
      </c>
      <c r="F82" s="94">
        <v>21</v>
      </c>
      <c r="G82" s="95">
        <v>0</v>
      </c>
      <c r="H82" s="95">
        <v>0</v>
      </c>
      <c r="I82" s="36">
        <f t="shared" ref="I82" si="7">H82*F82</f>
        <v>0</v>
      </c>
    </row>
    <row r="83" spans="2:9" x14ac:dyDescent="0.25">
      <c r="B83" s="4" t="s">
        <v>75</v>
      </c>
      <c r="C83" s="18" t="s">
        <v>25</v>
      </c>
      <c r="D83" s="11" t="s">
        <v>37</v>
      </c>
      <c r="E83" s="101"/>
      <c r="F83" s="94"/>
      <c r="G83" s="95">
        <v>0</v>
      </c>
      <c r="H83" s="95">
        <v>0</v>
      </c>
      <c r="I83" s="36">
        <f>H83*F83</f>
        <v>0</v>
      </c>
    </row>
    <row r="84" spans="2:9" x14ac:dyDescent="0.25">
      <c r="B84" s="4" t="s">
        <v>75</v>
      </c>
      <c r="C84" s="18" t="s">
        <v>28</v>
      </c>
      <c r="D84" s="98" t="s">
        <v>80</v>
      </c>
      <c r="E84" s="101"/>
      <c r="F84" s="94"/>
      <c r="G84" s="34"/>
      <c r="H84" s="34"/>
      <c r="I84" s="37"/>
    </row>
    <row r="85" spans="2:9" x14ac:dyDescent="0.25">
      <c r="B85" s="4"/>
      <c r="E85" s="101"/>
      <c r="F85" s="94"/>
      <c r="G85" s="34"/>
      <c r="H85" s="34"/>
      <c r="I85" s="37"/>
    </row>
    <row r="86" spans="2:9" x14ac:dyDescent="0.25">
      <c r="B86" s="4"/>
      <c r="D86" s="102" t="s">
        <v>81</v>
      </c>
      <c r="E86" s="23"/>
      <c r="G86" s="34">
        <f>SUM(G55:G83)</f>
        <v>0</v>
      </c>
      <c r="H86" s="34">
        <f>SUM(H55:H83)</f>
        <v>0</v>
      </c>
      <c r="I86" s="34">
        <f>SUM(I55:I83)</f>
        <v>0</v>
      </c>
    </row>
    <row r="87" spans="2:9" x14ac:dyDescent="0.25">
      <c r="B87" s="44"/>
      <c r="C87" s="14"/>
      <c r="D87" s="17"/>
      <c r="E87" s="14"/>
      <c r="G87" s="33"/>
      <c r="H87" s="33"/>
      <c r="I87" s="33"/>
    </row>
    <row r="88" spans="2:9" ht="16.2" thickBot="1" x14ac:dyDescent="0.35">
      <c r="B88" s="45"/>
      <c r="C88" s="46"/>
      <c r="D88" s="47" t="s">
        <v>82</v>
      </c>
      <c r="E88" s="24"/>
      <c r="F88" s="55"/>
      <c r="G88" s="38">
        <f>G86+G50</f>
        <v>0</v>
      </c>
      <c r="H88" s="38">
        <f>H86+H50</f>
        <v>0</v>
      </c>
      <c r="I88" s="38">
        <f>I86+I50</f>
        <v>0</v>
      </c>
    </row>
    <row r="89" spans="2:9" x14ac:dyDescent="0.3">
      <c r="G89" s="152"/>
      <c r="H89" s="152"/>
      <c r="I89" s="129"/>
    </row>
  </sheetData>
  <mergeCells count="9">
    <mergeCell ref="G89:H89"/>
    <mergeCell ref="B1:I1"/>
    <mergeCell ref="B2:F2"/>
    <mergeCell ref="G2:I3"/>
    <mergeCell ref="B5:F5"/>
    <mergeCell ref="B4:F4"/>
    <mergeCell ref="B3:F3"/>
    <mergeCell ref="H4:I4"/>
    <mergeCell ref="H5:I5"/>
  </mergeCells>
  <pageMargins left="0.7" right="0.7" top="0.75" bottom="0.75" header="0.3" footer="0.3"/>
  <pageSetup scale="53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T17"/>
  <sheetViews>
    <sheetView topLeftCell="D1" workbookViewId="0">
      <selection activeCell="T12" sqref="T12"/>
    </sheetView>
  </sheetViews>
  <sheetFormatPr defaultColWidth="9.109375" defaultRowHeight="13.2" x14ac:dyDescent="0.25"/>
  <cols>
    <col min="1" max="1" width="1.6640625" style="71" customWidth="1"/>
    <col min="2" max="2" width="9.109375" style="71"/>
    <col min="3" max="3" width="61.5546875" style="71" bestFit="1" customWidth="1"/>
    <col min="4" max="4" width="10.109375" style="71" bestFit="1" customWidth="1"/>
    <col min="5" max="5" width="15" style="71" customWidth="1"/>
    <col min="6" max="6" width="2" style="71" bestFit="1" customWidth="1"/>
    <col min="7" max="7" width="9.88671875" style="71" bestFit="1" customWidth="1"/>
    <col min="8" max="8" width="11.33203125" style="71" customWidth="1"/>
    <col min="9" max="9" width="2" style="71" bestFit="1" customWidth="1"/>
    <col min="10" max="10" width="9.88671875" style="71" bestFit="1" customWidth="1"/>
    <col min="11" max="11" width="12.109375" style="71" customWidth="1"/>
    <col min="12" max="12" width="2" style="71" bestFit="1" customWidth="1"/>
    <col min="13" max="13" width="11" style="71" customWidth="1"/>
    <col min="14" max="14" width="12.33203125" style="71" customWidth="1"/>
    <col min="15" max="15" width="2" style="71" bestFit="1" customWidth="1"/>
    <col min="16" max="16" width="10.33203125" style="71" customWidth="1"/>
    <col min="17" max="17" width="11.33203125" style="71" customWidth="1"/>
    <col min="18" max="18" width="2" style="71" bestFit="1" customWidth="1"/>
    <col min="19" max="19" width="10.6640625" style="71" customWidth="1"/>
    <col min="20" max="20" width="11.33203125" style="71" customWidth="1"/>
    <col min="21" max="16384" width="9.109375" style="71"/>
  </cols>
  <sheetData>
    <row r="1" spans="2:20" x14ac:dyDescent="0.25">
      <c r="B1" s="156" t="s">
        <v>17</v>
      </c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</row>
    <row r="2" spans="2:20" x14ac:dyDescent="0.25">
      <c r="B2" s="155">
        <f>'Base Year'!B2</f>
        <v>46146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</row>
    <row r="3" spans="2:20" x14ac:dyDescent="0.25">
      <c r="B3" s="154" t="s">
        <v>83</v>
      </c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</row>
    <row r="4" spans="2:20" x14ac:dyDescent="0.25">
      <c r="B4" s="154" t="s">
        <v>84</v>
      </c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154"/>
      <c r="S4" s="154"/>
      <c r="T4" s="154"/>
    </row>
    <row r="5" spans="2:20" x14ac:dyDescent="0.25">
      <c r="B5" s="153" t="str">
        <f>'Base Year'!B4</f>
        <v>JBSA Lackland AFB / Fort Sam Houston, TX</v>
      </c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</row>
    <row r="6" spans="2:20" ht="13.8" thickBot="1" x14ac:dyDescent="0.3"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</row>
    <row r="7" spans="2:20" x14ac:dyDescent="0.25">
      <c r="B7" s="160"/>
      <c r="C7" s="161"/>
      <c r="D7" s="160" t="s">
        <v>0</v>
      </c>
      <c r="E7" s="161"/>
      <c r="F7" s="72"/>
      <c r="G7" s="160" t="s">
        <v>85</v>
      </c>
      <c r="H7" s="161"/>
      <c r="I7" s="72"/>
      <c r="J7" s="160" t="s">
        <v>86</v>
      </c>
      <c r="K7" s="161"/>
      <c r="L7" s="72"/>
      <c r="M7" s="160" t="s">
        <v>87</v>
      </c>
      <c r="N7" s="161"/>
      <c r="O7" s="72"/>
      <c r="P7" s="160" t="s">
        <v>88</v>
      </c>
      <c r="Q7" s="161"/>
      <c r="R7" s="72"/>
      <c r="S7" s="164" t="s">
        <v>89</v>
      </c>
      <c r="T7" s="165"/>
    </row>
    <row r="8" spans="2:20" ht="13.8" thickBot="1" x14ac:dyDescent="0.3">
      <c r="B8" s="162"/>
      <c r="C8" s="163"/>
      <c r="D8" s="162"/>
      <c r="E8" s="163"/>
      <c r="F8" s="73"/>
      <c r="G8" s="162"/>
      <c r="H8" s="163"/>
      <c r="I8" s="74"/>
      <c r="J8" s="162"/>
      <c r="K8" s="163"/>
      <c r="L8" s="74"/>
      <c r="M8" s="162"/>
      <c r="N8" s="163"/>
      <c r="O8" s="74"/>
      <c r="P8" s="162"/>
      <c r="Q8" s="163"/>
      <c r="R8" s="74"/>
      <c r="S8" s="166"/>
      <c r="T8" s="167"/>
    </row>
    <row r="9" spans="2:20" ht="13.8" thickBot="1" x14ac:dyDescent="0.3">
      <c r="B9" s="158"/>
      <c r="C9" s="159"/>
      <c r="D9" s="168" t="s">
        <v>90</v>
      </c>
      <c r="E9" s="169"/>
      <c r="F9" s="73"/>
      <c r="G9" s="168" t="s">
        <v>90</v>
      </c>
      <c r="H9" s="169"/>
      <c r="I9" s="74"/>
      <c r="J9" s="168" t="s">
        <v>90</v>
      </c>
      <c r="K9" s="169"/>
      <c r="L9" s="74"/>
      <c r="M9" s="168" t="s">
        <v>90</v>
      </c>
      <c r="N9" s="169"/>
      <c r="O9" s="74"/>
      <c r="P9" s="168" t="s">
        <v>90</v>
      </c>
      <c r="Q9" s="169"/>
      <c r="R9" s="74"/>
      <c r="S9" s="168" t="s">
        <v>90</v>
      </c>
      <c r="T9" s="169"/>
    </row>
    <row r="10" spans="2:20" x14ac:dyDescent="0.25">
      <c r="B10" s="26" t="s">
        <v>91</v>
      </c>
      <c r="C10" s="41" t="s">
        <v>6</v>
      </c>
      <c r="D10" s="27" t="s">
        <v>92</v>
      </c>
      <c r="E10" s="28" t="s">
        <v>93</v>
      </c>
      <c r="F10" s="75"/>
      <c r="G10" s="27" t="s">
        <v>92</v>
      </c>
      <c r="H10" s="28" t="s">
        <v>93</v>
      </c>
      <c r="I10" s="74"/>
      <c r="J10" s="27" t="s">
        <v>92</v>
      </c>
      <c r="K10" s="28" t="s">
        <v>93</v>
      </c>
      <c r="L10" s="74"/>
      <c r="M10" s="27" t="s">
        <v>92</v>
      </c>
      <c r="N10" s="28" t="s">
        <v>93</v>
      </c>
      <c r="O10" s="74"/>
      <c r="P10" s="27" t="s">
        <v>92</v>
      </c>
      <c r="Q10" s="28" t="s">
        <v>93</v>
      </c>
      <c r="R10" s="74"/>
      <c r="S10" s="27" t="s">
        <v>92</v>
      </c>
      <c r="T10" s="28" t="s">
        <v>93</v>
      </c>
    </row>
    <row r="11" spans="2:20" x14ac:dyDescent="0.25">
      <c r="B11" s="2" t="s">
        <v>94</v>
      </c>
      <c r="C11" s="1" t="s">
        <v>95</v>
      </c>
      <c r="D11" s="76"/>
      <c r="E11" s="77">
        <f>'Base Year'!G88</f>
        <v>0</v>
      </c>
      <c r="F11" s="73"/>
      <c r="G11" s="76"/>
      <c r="H11" s="77">
        <f>'Option Yr 1'!G88</f>
        <v>0</v>
      </c>
      <c r="I11" s="74"/>
      <c r="J11" s="76"/>
      <c r="K11" s="77">
        <f>'Option Yr 2'!G88</f>
        <v>0</v>
      </c>
      <c r="L11" s="74"/>
      <c r="M11" s="76"/>
      <c r="N11" s="77">
        <f>'Option Yr 3'!G88</f>
        <v>0</v>
      </c>
      <c r="O11" s="74"/>
      <c r="P11" s="76"/>
      <c r="Q11" s="77">
        <f>'Option Yr 4'!G88</f>
        <v>0</v>
      </c>
      <c r="R11" s="74"/>
      <c r="S11" s="76"/>
      <c r="T11" s="77">
        <f>Q11/2</f>
        <v>0</v>
      </c>
    </row>
    <row r="12" spans="2:20" x14ac:dyDescent="0.25">
      <c r="B12" s="2" t="s">
        <v>96</v>
      </c>
      <c r="C12" s="1" t="s">
        <v>97</v>
      </c>
      <c r="D12" s="87">
        <f>'Base Year'!I88</f>
        <v>0</v>
      </c>
      <c r="E12" s="88">
        <f>D12*12</f>
        <v>0</v>
      </c>
      <c r="F12" s="73"/>
      <c r="G12" s="87">
        <f>'Option Yr 1'!I88</f>
        <v>0</v>
      </c>
      <c r="H12" s="88">
        <f>G12*12</f>
        <v>0</v>
      </c>
      <c r="I12" s="74"/>
      <c r="J12" s="87">
        <f>'Option Yr 2'!I88</f>
        <v>0</v>
      </c>
      <c r="K12" s="88">
        <f>J12*12</f>
        <v>0</v>
      </c>
      <c r="L12" s="74"/>
      <c r="M12" s="87">
        <f>'Option Yr 3'!I88</f>
        <v>0</v>
      </c>
      <c r="N12" s="88">
        <f>M12*12</f>
        <v>0</v>
      </c>
      <c r="O12" s="74"/>
      <c r="P12" s="87">
        <f>'Option Yr 4'!I88</f>
        <v>0</v>
      </c>
      <c r="Q12" s="88">
        <f>P12*12</f>
        <v>0</v>
      </c>
      <c r="R12" s="74"/>
      <c r="S12" s="87">
        <f>'Option Yr 4'!I88</f>
        <v>0</v>
      </c>
      <c r="T12" s="88">
        <f>S12*6</f>
        <v>0</v>
      </c>
    </row>
    <row r="13" spans="2:20" x14ac:dyDescent="0.25">
      <c r="B13" s="2" t="s">
        <v>98</v>
      </c>
      <c r="C13" s="1" t="s">
        <v>99</v>
      </c>
      <c r="D13" s="76"/>
      <c r="E13" s="78">
        <f>'Base Year'!J88</f>
        <v>0</v>
      </c>
      <c r="F13" s="73"/>
      <c r="G13" s="76"/>
      <c r="H13" s="79"/>
      <c r="I13" s="74"/>
      <c r="J13" s="76" t="s">
        <v>17</v>
      </c>
      <c r="K13" s="79" t="s">
        <v>17</v>
      </c>
      <c r="L13" s="74"/>
      <c r="M13" s="76" t="s">
        <v>17</v>
      </c>
      <c r="N13" s="79" t="s">
        <v>17</v>
      </c>
      <c r="O13" s="74" t="s">
        <v>17</v>
      </c>
      <c r="P13" s="76" t="s">
        <v>17</v>
      </c>
      <c r="Q13" s="79" t="s">
        <v>17</v>
      </c>
      <c r="R13" s="74" t="s">
        <v>17</v>
      </c>
      <c r="S13" s="76" t="s">
        <v>17</v>
      </c>
      <c r="T13" s="79" t="s">
        <v>17</v>
      </c>
    </row>
    <row r="14" spans="2:20" x14ac:dyDescent="0.25">
      <c r="B14" s="2"/>
      <c r="C14" s="1"/>
      <c r="D14" s="80"/>
      <c r="E14" s="79"/>
      <c r="F14" s="73"/>
      <c r="G14" s="80"/>
      <c r="H14" s="79"/>
      <c r="I14" s="74"/>
      <c r="J14" s="80"/>
      <c r="K14" s="79"/>
      <c r="L14" s="74"/>
      <c r="M14" s="80"/>
      <c r="N14" s="79"/>
      <c r="O14" s="74"/>
      <c r="P14" s="80"/>
      <c r="Q14" s="79"/>
      <c r="R14" s="74"/>
      <c r="S14" s="80"/>
      <c r="T14" s="79"/>
    </row>
    <row r="15" spans="2:20" x14ac:dyDescent="0.25">
      <c r="B15" s="81"/>
      <c r="C15" s="1" t="s">
        <v>100</v>
      </c>
      <c r="D15" s="76" t="s">
        <v>17</v>
      </c>
      <c r="E15" s="79">
        <f>SUM(E11:E13)</f>
        <v>0</v>
      </c>
      <c r="F15" s="73"/>
      <c r="G15" s="76" t="s">
        <v>17</v>
      </c>
      <c r="H15" s="79">
        <f>SUM(H11:H13)</f>
        <v>0</v>
      </c>
      <c r="I15" s="74"/>
      <c r="J15" s="76" t="s">
        <v>17</v>
      </c>
      <c r="K15" s="79">
        <f>SUM(K11:K13)</f>
        <v>0</v>
      </c>
      <c r="L15" s="74"/>
      <c r="M15" s="76" t="s">
        <v>17</v>
      </c>
      <c r="N15" s="79">
        <f>SUM(N11:N13)</f>
        <v>0</v>
      </c>
      <c r="O15" s="74"/>
      <c r="P15" s="76" t="s">
        <v>17</v>
      </c>
      <c r="Q15" s="79">
        <f>SUM(Q11:Q13)</f>
        <v>0</v>
      </c>
      <c r="R15" s="74"/>
      <c r="S15" s="76" t="str">
        <f>P15</f>
        <v xml:space="preserve"> </v>
      </c>
      <c r="T15" s="79">
        <f>SUM(T11:T13)</f>
        <v>0</v>
      </c>
    </row>
    <row r="16" spans="2:20" ht="13.8" thickBot="1" x14ac:dyDescent="0.3">
      <c r="B16" s="82"/>
      <c r="C16" s="83"/>
      <c r="D16" s="83"/>
      <c r="E16" s="84"/>
      <c r="F16" s="73"/>
      <c r="G16" s="83"/>
      <c r="H16" s="84"/>
      <c r="I16" s="74"/>
      <c r="J16" s="83"/>
      <c r="K16" s="84"/>
      <c r="L16" s="74"/>
      <c r="M16" s="83"/>
      <c r="N16" s="84"/>
      <c r="O16" s="74"/>
      <c r="P16" s="83"/>
      <c r="Q16" s="84"/>
      <c r="R16" s="74"/>
      <c r="S16" s="83"/>
      <c r="T16" s="84"/>
    </row>
    <row r="17" spans="2:20" ht="13.8" thickBot="1" x14ac:dyDescent="0.3">
      <c r="B17" s="85"/>
      <c r="C17" s="3" t="s">
        <v>101</v>
      </c>
      <c r="D17" s="3"/>
      <c r="E17" s="42">
        <f>E15+H15+K15+N15+Q15+T15</f>
        <v>0</v>
      </c>
      <c r="F17" s="73"/>
      <c r="G17" s="3"/>
      <c r="H17" s="40"/>
      <c r="I17" s="74"/>
      <c r="J17" s="3"/>
      <c r="K17" s="40"/>
      <c r="L17" s="74"/>
      <c r="M17" s="3"/>
      <c r="N17" s="40"/>
      <c r="O17" s="74"/>
      <c r="P17" s="3"/>
      <c r="Q17" s="40"/>
      <c r="R17" s="74"/>
      <c r="S17" s="3"/>
      <c r="T17" s="40"/>
    </row>
  </sheetData>
  <mergeCells count="20">
    <mergeCell ref="B6:T6"/>
    <mergeCell ref="B9:C9"/>
    <mergeCell ref="B7:C8"/>
    <mergeCell ref="S7:T8"/>
    <mergeCell ref="S9:T9"/>
    <mergeCell ref="D7:E8"/>
    <mergeCell ref="G7:H8"/>
    <mergeCell ref="J7:K8"/>
    <mergeCell ref="M7:N8"/>
    <mergeCell ref="P7:Q8"/>
    <mergeCell ref="D9:E9"/>
    <mergeCell ref="G9:H9"/>
    <mergeCell ref="J9:K9"/>
    <mergeCell ref="M9:N9"/>
    <mergeCell ref="P9:Q9"/>
    <mergeCell ref="B5:T5"/>
    <mergeCell ref="B4:T4"/>
    <mergeCell ref="B3:T3"/>
    <mergeCell ref="B2:T2"/>
    <mergeCell ref="B1:T1"/>
  </mergeCells>
  <pageMargins left="0.7" right="0.7" top="0.75" bottom="0.75" header="0.3" footer="0.3"/>
  <pageSetup scale="63" fitToHeight="0" orientation="landscape" r:id="rId1"/>
  <ignoredErrors>
    <ignoredError sqref="B11:B1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8E347A6E31A341A3336FF947EAAB76" ma:contentTypeVersion="3" ma:contentTypeDescription="Create a new document." ma:contentTypeScope="" ma:versionID="f775ff7e9ebdca3d0adaadd7bb966df9">
  <xsd:schema xmlns:xsd="http://www.w3.org/2001/XMLSchema" xmlns:xs="http://www.w3.org/2001/XMLSchema" xmlns:p="http://schemas.microsoft.com/office/2006/metadata/properties" xmlns:ns2="2cdc00d3-47e2-44dc-ae4c-34a0c6ed95b1" targetNamespace="http://schemas.microsoft.com/office/2006/metadata/properties" ma:root="true" ma:fieldsID="2309e7370edd9a69834b7c021fdd6422" ns2:_="">
    <xsd:import namespace="2cdc00d3-47e2-44dc-ae4c-34a0c6ed95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c00d3-47e2-44dc-ae4c-34a0c6ed95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076E98-B0A3-44CE-912A-14821A2155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dc00d3-47e2-44dc-ae4c-34a0c6ed95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8490D5-395D-4663-8436-803A8D55AEE6}">
  <ds:schemaRefs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2cdc00d3-47e2-44dc-ae4c-34a0c6ed95b1"/>
  </ds:schemaRefs>
</ds:datastoreItem>
</file>

<file path=customXml/itemProps3.xml><?xml version="1.0" encoding="utf-8"?>
<ds:datastoreItem xmlns:ds="http://schemas.openxmlformats.org/officeDocument/2006/customXml" ds:itemID="{3C86B676-8A51-45E4-A1F4-06BE998A5D8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Base Year</vt:lpstr>
      <vt:lpstr>Option Yr 1</vt:lpstr>
      <vt:lpstr>Option Yr 2</vt:lpstr>
      <vt:lpstr>Option Yr 3</vt:lpstr>
      <vt:lpstr>Option Yr 4</vt:lpstr>
      <vt:lpstr>Pricing Schedule Summary</vt:lpstr>
      <vt:lpstr>'Base Year'!Print_Area</vt:lpstr>
      <vt:lpstr>'Base Year'!Print_Titles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CSA Dereg</dc:title>
  <dc:subject/>
  <dc:creator>Roa, Tibuercio L Civ USAF AFSPC 38 CEG/PKK</dc:creator>
  <cp:keywords/>
  <dc:description/>
  <cp:lastModifiedBy>RAY, NICHOLE M CIV USAF AETC 502 CONS/PKBD</cp:lastModifiedBy>
  <cp:revision/>
  <dcterms:created xsi:type="dcterms:W3CDTF">1997-08-11T18:25:11Z</dcterms:created>
  <dcterms:modified xsi:type="dcterms:W3CDTF">2026-05-04T20:26:59Z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0x010100268E347A6E31A341A3336FF947EAAB76</vt:lpwstr>
  </property>
  <property fmtid="{D5CDD505-2E9C-101B-9397-08002B2CF9AE}" pid="4" name="ecm_ItemDeleteBlockHolders">
    <vt:lpwstr>ecm_InPlaceRecordLock</vt:lpwstr>
  </property>
  <property fmtid="{D5CDD505-2E9C-101B-9397-08002B2CF9AE}" pid="5" name="IconOverlay">
    <vt:lpwstr>|xlsx|lockoverlay.png</vt:lpwstr>
  </property>
  <property fmtid="{D5CDD505-2E9C-101B-9397-08002B2CF9AE}" pid="6" name="ecm_RecordRestrictions">
    <vt:lpwstr>BlockDelete, BlockEdit</vt:lpwstr>
  </property>
  <property fmtid="{D5CDD505-2E9C-101B-9397-08002B2CF9AE}" pid="7" name="ecm_ItemLockHolders">
    <vt:lpwstr>ecm_InPlaceRecordLock</vt:lpwstr>
  </property>
</Properties>
</file>