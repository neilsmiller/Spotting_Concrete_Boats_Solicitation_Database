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aveExternalLinkValues="0"/>
  <mc:AlternateContent xmlns:mc="http://schemas.openxmlformats.org/markup-compatibility/2006">
    <mc:Choice Requires="x15">
      <x15ac:absPath xmlns:x15ac="http://schemas.microsoft.com/office/spreadsheetml/2010/11/ac" url="X:\Marion\FCI\Staff Folders\Clark\! CLARK\~MACB TO Weekly RFQ's\"/>
    </mc:Choice>
  </mc:AlternateContent>
  <xr:revisionPtr revIDLastSave="0" documentId="13_ncr:1_{3CC59E37-F20B-4958-BDE3-EC3AC5F68A3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  <workbookView xWindow="-120" yWindow="-120" windowWidth="29040" windowHeight="15840" activeTab="2" xr2:uid="{36572F85-D9FA-4210-A573-7E574FDF9C61}"/>
  </bookViews>
  <sheets>
    <sheet name="Clauses" sheetId="2" r:id="rId1"/>
    <sheet name="Example RFQ" sheetId="7" r:id="rId2"/>
    <sheet name="Enter Your RFQ Data Here" sheetId="4" r:id="rId3"/>
    <sheet name="Settings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rchive" hidden="1">[1]preliminary!#REF!,[1]preliminary!#REF!,[1]preliminary!$34:$34</definedName>
    <definedName name="_FilterCB2Database" hidden="1">#REF!</definedName>
    <definedName name="_xlnm._FilterDatabase" hidden="1">#REF!</definedName>
    <definedName name="_FilterDatabase1" hidden="1">#REF!</definedName>
    <definedName name="_FilterDatabase2" hidden="1">#N/A</definedName>
    <definedName name="_GLB_CollectiveNumber">IFERROR(INDEX(_tblRFQ[Collective Number],1),"")</definedName>
    <definedName name="_GLB_RFQ_Plant">IF(COUNT(_tblRFQ[Quantity Requested])&gt;0,IFERROR(INDEX(_tblRFQ[Plant],1,1),""),"")</definedName>
    <definedName name="_TysMASTER" hidden="1">#REF!</definedName>
    <definedName name="_UNFILTERdATABASE" hidden="1">#REF!</definedName>
    <definedName name="ASDF" hidden="1">#REF!</definedName>
    <definedName name="Belden" hidden="1">#REF!</definedName>
    <definedName name="BlueScope" hidden="1">#REF!</definedName>
    <definedName name="Calendar_Print" hidden="1">[2]preliminary!#REF!,[2]preliminary!#REF!,[2]preliminary!$34:$34</definedName>
    <definedName name="l" hidden="1">#REF!</definedName>
    <definedName name="newname" hidden="1">[3]preliminary!#REF!,[3]preliminary!#REF!,[3]preliminary!$34:$34</definedName>
    <definedName name="newname2" hidden="1">#N/A</definedName>
    <definedName name="o" hidden="1">#REF!</definedName>
    <definedName name="OLD" hidden="1">#REF!</definedName>
    <definedName name="PPP" hidden="1">[1]preliminary!#REF!,[1]preliminary!#REF!,[1]preliminary!$34:$34</definedName>
    <definedName name="SDG" hidden="1">#REF!</definedName>
    <definedName name="skhcvkAHSlkfhslf" hidden="1">#REF!</definedName>
    <definedName name="TAWRT" hidden="1">#REF!</definedName>
    <definedName name="whereisthey" hidden="1">#REF!</definedName>
    <definedName name="X" hidden="1">'[4]Label Templates'!#REF!,'[4]Label Templates'!#REF!,'[4]Label Templates'!$34:$34</definedName>
    <definedName name="Xagain" hidden="1">#N/A</definedName>
    <definedName name="xxxx" hidden="1">[5]preliminary!#REF!,[5]preliminary!#REF!,[5]preliminary!$34:$34</definedName>
    <definedName name="xxxx4444" hidden="1">#N/A</definedName>
    <definedName name="yyyyyy" hidden="1">'[6]RA Data'!#REF!,'[6]RA Data'!#REF!,'[6]RA Data'!$34:$34</definedName>
    <definedName name="yyyyyy666666" hidden="1">#N/A</definedName>
    <definedName name="yyyyyyy" hidden="1">[5]preliminary!#REF!,[5]preliminary!#REF!,[5]preliminary!$34:$34</definedName>
    <definedName name="yyyyyyy7" hidden="1">#N/A</definedName>
    <definedName name="Z_00AD7991_D334_11D7_A808_00609469102F_.wvu.PrintArea" hidden="1">#REF!</definedName>
    <definedName name="Z_03DF0612_38B6_46E6_8CE3_9E3A19E3DE14_.wvu.PrintTitles" hidden="1">#REF!</definedName>
    <definedName name="Z_055EFCBD_B99B_40FF_9AEB_19D0E018729_.wvu.Rows1" hidden="1">#N/A</definedName>
    <definedName name="Z_055EFCBD_B99B_40FF_9AEB_19D0E7018729_.wvu.Rows" hidden="1">#REF!</definedName>
    <definedName name="Z_073E0300_D1B0_11D7_A808_00609469102F_.wvu.PrintArea" hidden="1">#REF!</definedName>
    <definedName name="Z_09B1F8CE_5804_49D6_87F0_C967E4D22644_.wvu.FilterData" hidden="1">#REF!</definedName>
    <definedName name="Z_09B1F8CE_5804_49D687F0_C987E4D22644_.wvu.FilterData2" hidden="1">#N/A</definedName>
    <definedName name="Z_10413021_B27C_12D9_BA05_000E2E20COA" hidden="1">[6]database!$A:$A,[6]database!$G:$G,[6]database!$J:$J,[6]database!$N:$N,[6]database!$R:$R,[6]database!$T:$V,[6]database!$AA:$AE,[6]database!$AG:$AI</definedName>
    <definedName name="Z_10413201_B27C_11D9_BA05_000E2E20B0AF_.wvu.Cols" hidden="1">[3]database!$A:$A,[3]database!$G:$G,[3]database!$J:$J,[3]database!$N:$N,[3]database!$R:$R,[3]database!$T:$V,[3]database!$AA:$AE,[3]database!$AG:$AI</definedName>
    <definedName name="Z_115D45B6_5C8F_4D7B_A416_B8BDCDFF0569_.wvu.Cols" hidden="1">#REF!,#REF!,#REF!</definedName>
    <definedName name="Z_115D45B6_5C8F_4D7B_A416_B8BDCDFF0569_.wvu.PrintArea" hidden="1">#REF!</definedName>
    <definedName name="Z_115D45B6_5C8F_4D7B_A416_B8BDCDFF0569_.wvu.PrintTitles" hidden="1">#REF!,#REF!</definedName>
    <definedName name="Z_11E0D929_8E79_4DE6_B7EC_FD91E945CDE8_.wvu.Cols" hidden="1">'[7]3rd Quarter'!$A$1:$A$65536,'[7]3rd Quarter'!$C$1:$Q$65536</definedName>
    <definedName name="Z_25359E9E_BF2B_4AFE_83E5_E0D5EE555760_.wvu.PrintArea" hidden="1">'[8]1-6 of 2010'!#REF!</definedName>
    <definedName name="Z_2A949A7E_4541_4934_8162_8AC85AEC74BD_.wvu.Cols" hidden="1">[9]Roster!$K:$K,[9]Roster!$T:$T,[9]Roster!$P:$P,[9]Roster!$R:$AK,[9]Roster!$X:$AA</definedName>
    <definedName name="Z_2A949A7E_4541_4934_8162_8AC85AEC74BD_.wvu.PrintTitles" hidden="1">[9]Roster!#REF!</definedName>
    <definedName name="Z_3921A0FF_1826_4C8A_BC35_C603AA66442E_.wvu.Cols" hidden="1">#REF!,#REF!</definedName>
    <definedName name="Z_3921A0FF_1826_4C8A_BC35_C603AA66442E_.wvu.PrintTitles" hidden="1">[9]Roster!#REF!</definedName>
    <definedName name="Z_3921A0FF_1826_4C8A_BC35_C603AA66442E_.wvu.Rows" hidden="1">#REF!,#REF!</definedName>
    <definedName name="Z_3BBE1D48_9011_4592_9505_710821D8215B_.wvu.PrintTitles" hidden="1">[9]Roster!#REF!</definedName>
    <definedName name="Z_3BBE1D48_9011_4592_9505_710821D8215B_.wvu.Rows" hidden="1">'[10]96 Form'!#REF!,'[10]96 Form'!#REF!</definedName>
    <definedName name="Z_3F1709F1_205F_11DA_BA30_000E2E20B0AF_.wvu.Cols" hidden="1">[3]database!$G:$G,[3]database!$J:$J,[3]database!$L:$N,[3]database!$Q:$R,[3]database!$U:$V,[3]database!$AA:$AI</definedName>
    <definedName name="Z_3F1709F1_205F_11DA_BA30_000E2E20B0AF_.wvu.Rows" hidden="1">[3]preliminary!#REF!,[3]preliminary!#REF!,[3]preliminary!$34:$34</definedName>
    <definedName name="Z_3F87E657_A56D_40D9_8198_669E766584EE_.wvu.Cols" hidden="1">'[7]3rd Quarter'!$A$1:$A$65536,'[7]3rd Quarter'!$C$1:$K$65536</definedName>
    <definedName name="Z_410FBC66_A4CC_4A72_99A2_783AA569723F_.wvu.PrintTitles" hidden="1">#REF!</definedName>
    <definedName name="Z_43F20D92_77A5_11DA_BA43_000E2E20B0AF_.wvu.Cols" hidden="1">[3]database!$J:$J,[3]database!$M:$N,[3]database!$R:$V,[3]database!$AF:$AI</definedName>
    <definedName name="Z_43F20D92_77A5_11DA_BA43_000E2E20B0AF_.wvu.Rows" hidden="1">[3]preliminary!$14:$26,[3]preliminary!$32:$33</definedName>
    <definedName name="Z_43F20D93_77A5_11DA_BA43_000E2E20B0AF_.wvu.Cols" hidden="1">[3]database!$J:$J,[3]database!$M:$N,[3]database!$R:$V,[3]database!$AF:$AI</definedName>
    <definedName name="Z_43F20D93_77A5_11DA_BA43_000E2E20B0AF_.wvu.Rows" hidden="1">[3]preliminary!$14:$26,[3]preliminary!$32:$33</definedName>
    <definedName name="Z_45EF1A93_20A1_44E4_996C_00E82275AED3_.wvu.PrintArea" hidden="1">#N/A</definedName>
    <definedName name="Z_45EF1A93_20A1_44E4_996C_00E82275AED3_.wvu.Rows" hidden="1">#N/A</definedName>
    <definedName name="Z_4CB80719_3E44_481E_8BB0_021555845348_.wvu.PrintArea" hidden="1">#REF!</definedName>
    <definedName name="Z_4D21C280_A845_4D14_A3CF_2C035E2C6ADB_.wvu.FilterData" hidden="1">#REF!</definedName>
    <definedName name="Z_538AEE83_7426_4F13_B949_549C46CE88A5_.wvu.PrintTitles" hidden="1">#REF!</definedName>
    <definedName name="Z_56D9B797_6337_4968_86D2_10F6B71ED2BF_.wvu.FilterData" hidden="1">#REF!</definedName>
    <definedName name="Z_58AABC3A_1F28_437F_9F8A_80D1748CE112_.wvu.Cols" hidden="1">'[7]3rd Quarter'!$A$1:$A$65536,'[7]3rd Quarter'!$C$1:$I$65536</definedName>
    <definedName name="Z_646EF06E_E266_4845_9BD6_86BD8E88A082_.wvu.PrintTitles" hidden="1">#REF!</definedName>
    <definedName name="Z_68B69C97_9FE8_453D_9CF5_2324D5438200_.wvu.FilterData" hidden="1">'[11]Vacation Log (B)'!$C$5:$K$5</definedName>
    <definedName name="Z_68B69C97_9FE8_453D_9CF5_2324D5438200_.wvu.PrintArea" hidden="1">#REF!</definedName>
    <definedName name="Z_68B69C97_9FE8_453D_9CF5_2324D5438200_.wvu.PrintTitles" hidden="1">'[11]Vacation Log (B)'!$A$5:$IS$5</definedName>
    <definedName name="Z_696D9811_34DA_11D9_B94D_006094E59260_.wvu.Cols" hidden="1">[3]database!$A:$A,[3]database!$F:$G,[3]database!$L:$N,[3]database!$P:$V</definedName>
    <definedName name="Z_69C1D01A_1219_4990_A816_A0185A298F59_.wvu.PrintTitles" hidden="1">#REF!</definedName>
    <definedName name="Z_6B88CA70_52D6_4C4D_A68F_2BAE2692059C_.wvu.PrintArea" hidden="1">#REF!</definedName>
    <definedName name="Z_6B88CA70_52D6_4C4D_A68F_2BAE2692059C_.wvu.PrintTitles" hidden="1">#REF!</definedName>
    <definedName name="Z_902C1127_21A1_4E41_8410_3B8A0C1364A8_.wvu.PrintTitles" hidden="1">#REF!</definedName>
    <definedName name="Z_934F020D_0D66_43F4_86E0_2AD968B9842D_.wvu.PrintTitles" hidden="1">#REF!</definedName>
    <definedName name="Z_95B066B5_BC1E_4398_94F0_6E723D395217_.wvu.FilterData" hidden="1">#REF!</definedName>
    <definedName name="Z_9A05DE89_AA4D_4BDC_B216_301F22C44774_.wvu.Rows" hidden="1">#REF!</definedName>
    <definedName name="Z_9A90B03D_055B_4AC6_B7AE_EBB69DDD9EB4_.wvu.FilterData" hidden="1">#REF!</definedName>
    <definedName name="Z_9BCF96A0_865A_49DC_B7EF_1EC6C2AE0D92_.wvu.Cols" hidden="1">#REF!,#REF!</definedName>
    <definedName name="Z_9BCF96A0_865A_49DC_B7EF_1EC6C2AE0D92_.wvu.PrintTitles" hidden="1">[9]Roster!#REF!</definedName>
    <definedName name="Z_9BCF96A0_865A_49DC_B7EF_1EC6C2AE0D92_.wvu.Rows" hidden="1">#REF!,#REF!</definedName>
    <definedName name="Z_A36AC374_8EF8_4464_9849_9668AD2E59EC_.wvu.Cols" hidden="1">'[7]3rd Quarter'!$A$1:$A$65536,'[7]3rd Quarter'!$C$1:$W$65536</definedName>
    <definedName name="Z_AB13A36B_E2BF_48D8_A890_48F5549F8E13_.wvu.FilterData" hidden="1">#REF!</definedName>
    <definedName name="Z_AEFEACD6_93E9_11DA_A084_0050BF781650_.wvu.Cols" hidden="1">[3]database!$G:$G,[3]database!$J:$J,[3]database!$L:$N,[3]database!$R:$R,[3]database!$T:$AA</definedName>
    <definedName name="Z_AEFEACD6_93E9_11DA_A084_0050BF781650_.wvu.Rows" hidden="1">[12]Money!$35:$35</definedName>
    <definedName name="Z_AFE8AEE6_7A57_496D_8941_403629C2BE7F_.wvu.FilterData" hidden="1">#REF!</definedName>
    <definedName name="Z_B06C5EE6_9D12_4196_ADD1_660F7A743A4C_.wvu.PrintArea" hidden="1">#REF!</definedName>
    <definedName name="Z_BC4BD00F_5C2B_4B89_940B_D9A7D0F0A789_.wvu.FilterData" hidden="1">#REF!</definedName>
    <definedName name="Z_BC6DEFD2_7112_4EEC_9878_3FA7ACB3B04F_.wvu.FilterData" hidden="1">#REF!</definedName>
    <definedName name="Z_BD9186B1_3AE5_4B4E_A348_ECEBE44ECB0E_.wvu.FilterData" hidden="1">#REF!</definedName>
    <definedName name="Z_C42B74C4_4FEE_4E3C_9FF8_1BBA128AFC36_.wvu.Cols" hidden="1">#REF!,#REF!,#REF!</definedName>
    <definedName name="Z_C42B74C4_4FEE_4E3C_9FF8_1BBA128AFC36_.wvu.PrintArea" hidden="1">#REF!</definedName>
    <definedName name="Z_C42B74C4_4FEE_4E3C_9FF8_1BBA128AFC36_.wvu.PrintTitles" hidden="1">#REF!,#REF!</definedName>
    <definedName name="Z_CBD5FED1_7BCD_4586_BA69_7D9B63CC30B2_.wvu.Cols" hidden="1">[3]database!$J:$J,[3]database!$M:$N,[3]database!$R:$V,[3]database!$AF:$AI</definedName>
    <definedName name="Z_D064BCD0_8696_4272_9488_485BC7FC9450_.wvu.Cols" hidden="1">#REF!,#REF!</definedName>
    <definedName name="Z_D064BCD0_8696_4272_9488_485BC7FC9450_.wvu.PrintTitles" hidden="1">[9]Roster!#REF!</definedName>
    <definedName name="Z_D064BCD0_8696_4272_9488_485BC7FC9450_.wvu.Rows" hidden="1">#REF!,#REF!</definedName>
    <definedName name="Z_D0C5FB8F_4D2A_484B_A34D_C905FD6204B8_.wvu.PrintArea" hidden="1">#REF!</definedName>
    <definedName name="Z_D7754246_8C08_402B_A52F_A4A9FD16D52F_.wvu.Cols" hidden="1">#REF!,#REF!</definedName>
    <definedName name="Z_D7754246_8C08_402B_A52F_A4A9FD16D52F_.wvu.PrintTitles" hidden="1">[9]Roster!#REF!</definedName>
    <definedName name="Z_D7754246_8C08_402B_A52F_A4A9FD16D52F_.wvu.Rows" hidden="1">#REF!,#REF!</definedName>
    <definedName name="Z_D9D9FF47_2C2B_4370_8460_9F7F32DD2791_.wvu.FilterData" hidden="1">#REF!</definedName>
    <definedName name="Z_DA5EA14A_1B2C_4BBA_A158_48019C480FC4_.wvu.FilterData" hidden="1">#REF!</definedName>
    <definedName name="Z_DFD34AD1_3402_11DA_BA38_000E2E20B0AF_.wvu.Cols" hidden="1">[3]database!$A:$A,[3]database!$D:$D,[3]database!$G:$G,[3]database!$J:$J,[3]database!$M:$N,[3]database!$R:$V</definedName>
    <definedName name="Z_EF2C517C_88F5_4755_B655_E3D60A55DE6F_.wvu.FilterData" hidden="1">#REF!</definedName>
    <definedName name="Z_EF8122F6_74D0_4FAC_9418_23BDA870C311_.wvu.Cols" hidden="1">'[8]1-6 of 2010'!#REF!</definedName>
    <definedName name="Z_F225AD76_F684_4E78_8048_CE2F14FF9ACF_.wvu.Cols" hidden="1">'[7]3rd Quarter'!$A$1:$A$65536,'[7]3rd Quarter'!$C$1:$AC$65536</definedName>
    <definedName name="Z_FFAFB785_6C88_4949_A065_BF9C1C80CFC4_.wvu.Cols" hidden="1">#REF!,#REF!</definedName>
    <definedName name="Z_FFAFB785_6C88_4949_A065_BF9C1C80CFC4_.wvu.PrintTitles" hidden="1">[9]Roster!#REF!</definedName>
    <definedName name="Z_FFAFB785_6C88_4949_A065_BF9C1C80CFC4_.wvu.Rows" hidden="1">#REF!,#REF!</definedName>
    <definedName name="Z_FFC11318_AEBD_4CF6_A8FF_E7D5C44AB32F_.wvu.PrintTitles" hidden="1">#REF!</definedName>
    <definedName name="Zrows" hidden="1">'[6]RA Data'!#REF!,'[6]RA Data'!#REF!,'[6]RA Data'!$A$34:$IV$34</definedName>
    <definedName name="ZZZZ1" hidden="1">#REF!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" i="4" l="1"/>
  <c r="S21" i="4" a="1"/>
  <c r="S21" i="4" s="1"/>
  <c r="T124" i="7"/>
  <c r="S124" i="7"/>
  <c r="B124" i="7"/>
  <c r="T123" i="7"/>
  <c r="S123" i="7"/>
  <c r="B123" i="7"/>
  <c r="T122" i="7"/>
  <c r="S122" i="7"/>
  <c r="B122" i="7"/>
  <c r="T121" i="7"/>
  <c r="S121" i="7"/>
  <c r="B121" i="7"/>
  <c r="T120" i="7"/>
  <c r="S120" i="7"/>
  <c r="B120" i="7"/>
  <c r="T119" i="7"/>
  <c r="S119" i="7"/>
  <c r="B119" i="7"/>
  <c r="T118" i="7"/>
  <c r="S118" i="7"/>
  <c r="B118" i="7"/>
  <c r="T117" i="7"/>
  <c r="S117" i="7"/>
  <c r="B117" i="7"/>
  <c r="T116" i="7"/>
  <c r="S116" i="7"/>
  <c r="B116" i="7"/>
  <c r="T115" i="7"/>
  <c r="S115" i="7"/>
  <c r="B115" i="7"/>
  <c r="T114" i="7"/>
  <c r="S114" i="7"/>
  <c r="B114" i="7"/>
  <c r="T113" i="7"/>
  <c r="S113" i="7"/>
  <c r="B113" i="7"/>
  <c r="T112" i="7"/>
  <c r="S112" i="7"/>
  <c r="B112" i="7"/>
  <c r="T111" i="7"/>
  <c r="S111" i="7"/>
  <c r="B111" i="7"/>
  <c r="T110" i="7"/>
  <c r="S110" i="7"/>
  <c r="B110" i="7"/>
  <c r="T109" i="7"/>
  <c r="S109" i="7"/>
  <c r="B109" i="7"/>
  <c r="T108" i="7"/>
  <c r="S108" i="7"/>
  <c r="B108" i="7"/>
  <c r="T107" i="7"/>
  <c r="S107" i="7"/>
  <c r="B107" i="7"/>
  <c r="T106" i="7"/>
  <c r="S106" i="7"/>
  <c r="B106" i="7"/>
  <c r="T105" i="7"/>
  <c r="S105" i="7"/>
  <c r="B105" i="7"/>
  <c r="T104" i="7"/>
  <c r="S104" i="7"/>
  <c r="B104" i="7"/>
  <c r="T103" i="7"/>
  <c r="S103" i="7"/>
  <c r="B103" i="7"/>
  <c r="T102" i="7"/>
  <c r="S102" i="7"/>
  <c r="B102" i="7"/>
  <c r="T101" i="7"/>
  <c r="S101" i="7"/>
  <c r="B101" i="7"/>
  <c r="T100" i="7"/>
  <c r="S100" i="7"/>
  <c r="B100" i="7"/>
  <c r="T99" i="7"/>
  <c r="S99" i="7"/>
  <c r="B99" i="7"/>
  <c r="T98" i="7"/>
  <c r="S98" i="7"/>
  <c r="B98" i="7"/>
  <c r="T97" i="7"/>
  <c r="S97" i="7"/>
  <c r="B97" i="7"/>
  <c r="T96" i="7"/>
  <c r="S96" i="7"/>
  <c r="B96" i="7"/>
  <c r="T95" i="7"/>
  <c r="S95" i="7"/>
  <c r="B95" i="7"/>
  <c r="T94" i="7"/>
  <c r="S94" i="7"/>
  <c r="B94" i="7"/>
  <c r="T93" i="7"/>
  <c r="S93" i="7"/>
  <c r="B93" i="7"/>
  <c r="T92" i="7"/>
  <c r="S92" i="7"/>
  <c r="B92" i="7"/>
  <c r="T91" i="7"/>
  <c r="S91" i="7"/>
  <c r="B91" i="7"/>
  <c r="T90" i="7"/>
  <c r="S90" i="7"/>
  <c r="B90" i="7"/>
  <c r="T89" i="7"/>
  <c r="S89" i="7"/>
  <c r="B89" i="7"/>
  <c r="T88" i="7"/>
  <c r="S88" i="7"/>
  <c r="B88" i="7"/>
  <c r="T87" i="7"/>
  <c r="S87" i="7"/>
  <c r="B87" i="7"/>
  <c r="T86" i="7"/>
  <c r="S86" i="7"/>
  <c r="B86" i="7"/>
  <c r="T85" i="7"/>
  <c r="S85" i="7"/>
  <c r="B85" i="7"/>
  <c r="T84" i="7"/>
  <c r="S84" i="7"/>
  <c r="B84" i="7"/>
  <c r="T83" i="7"/>
  <c r="S83" i="7"/>
  <c r="B83" i="7"/>
  <c r="T82" i="7"/>
  <c r="S82" i="7"/>
  <c r="B82" i="7"/>
  <c r="T81" i="7"/>
  <c r="S81" i="7"/>
  <c r="B81" i="7"/>
  <c r="T80" i="7"/>
  <c r="S80" i="7"/>
  <c r="B80" i="7"/>
  <c r="T79" i="7"/>
  <c r="S79" i="7"/>
  <c r="B79" i="7"/>
  <c r="T78" i="7"/>
  <c r="S78" i="7"/>
  <c r="B78" i="7"/>
  <c r="T77" i="7"/>
  <c r="S77" i="7"/>
  <c r="B77" i="7"/>
  <c r="T76" i="7"/>
  <c r="S76" i="7"/>
  <c r="B76" i="7"/>
  <c r="T75" i="7"/>
  <c r="S75" i="7"/>
  <c r="B75" i="7"/>
  <c r="T74" i="7"/>
  <c r="S74" i="7"/>
  <c r="B74" i="7"/>
  <c r="T73" i="7"/>
  <c r="S73" i="7"/>
  <c r="B73" i="7"/>
  <c r="T72" i="7"/>
  <c r="S72" i="7"/>
  <c r="B72" i="7"/>
  <c r="T71" i="7"/>
  <c r="S71" i="7"/>
  <c r="B71" i="7"/>
  <c r="T70" i="7"/>
  <c r="S70" i="7"/>
  <c r="B70" i="7"/>
  <c r="T69" i="7"/>
  <c r="S69" i="7"/>
  <c r="B69" i="7"/>
  <c r="T68" i="7"/>
  <c r="S68" i="7"/>
  <c r="B68" i="7"/>
  <c r="T67" i="7"/>
  <c r="S67" i="7"/>
  <c r="B67" i="7"/>
  <c r="T66" i="7"/>
  <c r="S66" i="7"/>
  <c r="B66" i="7"/>
  <c r="T65" i="7"/>
  <c r="S65" i="7"/>
  <c r="B65" i="7"/>
  <c r="T64" i="7"/>
  <c r="S64" i="7"/>
  <c r="B64" i="7"/>
  <c r="T63" i="7"/>
  <c r="S63" i="7"/>
  <c r="B63" i="7"/>
  <c r="T62" i="7"/>
  <c r="S62" i="7"/>
  <c r="B62" i="7"/>
  <c r="T61" i="7"/>
  <c r="S61" i="7"/>
  <c r="B61" i="7"/>
  <c r="T60" i="7"/>
  <c r="S60" i="7"/>
  <c r="B60" i="7"/>
  <c r="T59" i="7"/>
  <c r="S59" i="7"/>
  <c r="B59" i="7"/>
  <c r="T58" i="7"/>
  <c r="S58" i="7"/>
  <c r="B58" i="7"/>
  <c r="T57" i="7"/>
  <c r="S57" i="7"/>
  <c r="B57" i="7"/>
  <c r="T56" i="7"/>
  <c r="S56" i="7"/>
  <c r="B56" i="7"/>
  <c r="T55" i="7"/>
  <c r="S55" i="7"/>
  <c r="B55" i="7"/>
  <c r="T54" i="7"/>
  <c r="S54" i="7"/>
  <c r="B54" i="7"/>
  <c r="T53" i="7"/>
  <c r="S53" i="7"/>
  <c r="B53" i="7"/>
  <c r="T52" i="7"/>
  <c r="S52" i="7"/>
  <c r="B52" i="7"/>
  <c r="T51" i="7"/>
  <c r="S51" i="7"/>
  <c r="B51" i="7"/>
  <c r="T50" i="7"/>
  <c r="S50" i="7"/>
  <c r="B50" i="7"/>
  <c r="T49" i="7"/>
  <c r="S49" i="7"/>
  <c r="B49" i="7"/>
  <c r="T48" i="7"/>
  <c r="S48" i="7"/>
  <c r="B48" i="7"/>
  <c r="T47" i="7"/>
  <c r="S47" i="7"/>
  <c r="B47" i="7"/>
  <c r="T46" i="7"/>
  <c r="S46" i="7"/>
  <c r="B46" i="7"/>
  <c r="T45" i="7"/>
  <c r="S45" i="7"/>
  <c r="B45" i="7"/>
  <c r="T44" i="7"/>
  <c r="S44" i="7"/>
  <c r="B44" i="7"/>
  <c r="T43" i="7"/>
  <c r="S43" i="7"/>
  <c r="B43" i="7"/>
  <c r="T42" i="7"/>
  <c r="S42" i="7"/>
  <c r="B42" i="7"/>
  <c r="T41" i="7"/>
  <c r="S41" i="7"/>
  <c r="B41" i="7"/>
  <c r="T40" i="7"/>
  <c r="S40" i="7"/>
  <c r="B40" i="7"/>
  <c r="T39" i="7"/>
  <c r="S39" i="7"/>
  <c r="B39" i="7"/>
  <c r="T38" i="7"/>
  <c r="S38" i="7"/>
  <c r="B38" i="7"/>
  <c r="T37" i="7"/>
  <c r="S37" i="7"/>
  <c r="B37" i="7"/>
  <c r="T36" i="7"/>
  <c r="S36" i="7"/>
  <c r="B36" i="7"/>
  <c r="T35" i="7"/>
  <c r="S35" i="7"/>
  <c r="B35" i="7"/>
  <c r="T34" i="7"/>
  <c r="S34" i="7"/>
  <c r="B34" i="7"/>
  <c r="S33" i="7"/>
  <c r="B33" i="7"/>
  <c r="S32" i="7"/>
  <c r="B32" i="7"/>
  <c r="S31" i="7"/>
  <c r="B31" i="7"/>
  <c r="S30" i="7"/>
  <c r="B30" i="7"/>
  <c r="S29" i="7"/>
  <c r="B29" i="7"/>
  <c r="S28" i="7"/>
  <c r="B28" i="7"/>
  <c r="S27" i="7"/>
  <c r="B27" i="7"/>
  <c r="S26" i="7"/>
  <c r="B26" i="7"/>
  <c r="S24" i="7"/>
  <c r="D23" i="7"/>
  <c r="R18" i="7"/>
  <c r="C15" i="7"/>
  <c r="F12" i="7"/>
  <c r="C12" i="7"/>
  <c r="R8" i="7"/>
  <c r="T33" i="7" l="1"/>
  <c r="T32" i="7"/>
  <c r="T31" i="7"/>
  <c r="T30" i="7"/>
  <c r="T29" i="7"/>
  <c r="T28" i="7"/>
  <c r="T27" i="7"/>
  <c r="T26" i="7"/>
  <c r="R21" i="7" s="1"/>
  <c r="S8" i="4" l="1"/>
  <c r="B46" i="4" l="1"/>
  <c r="B47" i="4"/>
  <c r="B48" i="4"/>
  <c r="B49" i="4"/>
  <c r="U49" i="4" s="1"/>
  <c r="B50" i="4"/>
  <c r="B51" i="4"/>
  <c r="B52" i="4"/>
  <c r="U52" i="4" s="1"/>
  <c r="B53" i="4"/>
  <c r="B54" i="4"/>
  <c r="B55" i="4"/>
  <c r="T55" i="4" s="1"/>
  <c r="B56" i="4"/>
  <c r="U56" i="4" s="1"/>
  <c r="B57" i="4"/>
  <c r="U57" i="4" s="1"/>
  <c r="B58" i="4"/>
  <c r="U58" i="4" s="1"/>
  <c r="B59" i="4"/>
  <c r="U59" i="4" s="1"/>
  <c r="B60" i="4"/>
  <c r="T60" i="4" s="1"/>
  <c r="B61" i="4"/>
  <c r="U61" i="4" s="1"/>
  <c r="B62" i="4"/>
  <c r="U62" i="4" s="1"/>
  <c r="B63" i="4"/>
  <c r="T63" i="4" s="1"/>
  <c r="B64" i="4"/>
  <c r="B65" i="4"/>
  <c r="T65" i="4" s="1"/>
  <c r="B66" i="4"/>
  <c r="U66" i="4" s="1"/>
  <c r="B67" i="4"/>
  <c r="B68" i="4"/>
  <c r="B69" i="4"/>
  <c r="B70" i="4"/>
  <c r="B71" i="4"/>
  <c r="B72" i="4"/>
  <c r="B73" i="4"/>
  <c r="U73" i="4" s="1"/>
  <c r="B74" i="4"/>
  <c r="U74" i="4" s="1"/>
  <c r="B75" i="4"/>
  <c r="T75" i="4" s="1"/>
  <c r="B76" i="4"/>
  <c r="T76" i="4" s="1"/>
  <c r="B77" i="4"/>
  <c r="B78" i="4"/>
  <c r="U78" i="4" s="1"/>
  <c r="B79" i="4"/>
  <c r="B80" i="4"/>
  <c r="T80" i="4" s="1"/>
  <c r="B81" i="4"/>
  <c r="T81" i="4" s="1"/>
  <c r="B82" i="4"/>
  <c r="U82" i="4" s="1"/>
  <c r="B83" i="4"/>
  <c r="U83" i="4" s="1"/>
  <c r="B84" i="4"/>
  <c r="B85" i="4"/>
  <c r="B86" i="4"/>
  <c r="T86" i="4" s="1"/>
  <c r="B87" i="4"/>
  <c r="T87" i="4" s="1"/>
  <c r="B88" i="4"/>
  <c r="B89" i="4"/>
  <c r="B90" i="4"/>
  <c r="B91" i="4"/>
  <c r="B92" i="4"/>
  <c r="T92" i="4" s="1"/>
  <c r="B93" i="4"/>
  <c r="T93" i="4" s="1"/>
  <c r="B94" i="4"/>
  <c r="B95" i="4"/>
  <c r="U95" i="4" s="1"/>
  <c r="B96" i="4"/>
  <c r="U96" i="4" s="1"/>
  <c r="B97" i="4"/>
  <c r="T97" i="4" s="1"/>
  <c r="B98" i="4"/>
  <c r="U98" i="4" s="1"/>
  <c r="B99" i="4"/>
  <c r="B100" i="4"/>
  <c r="B101" i="4"/>
  <c r="B102" i="4"/>
  <c r="B103" i="4"/>
  <c r="T103" i="4" s="1"/>
  <c r="B104" i="4"/>
  <c r="T104" i="4" s="1"/>
  <c r="B105" i="4"/>
  <c r="T105" i="4" s="1"/>
  <c r="B106" i="4"/>
  <c r="B107" i="4"/>
  <c r="U107" i="4" s="1"/>
  <c r="B108" i="4"/>
  <c r="T108" i="4" s="1"/>
  <c r="B109" i="4"/>
  <c r="T109" i="4" s="1"/>
  <c r="B110" i="4"/>
  <c r="B111" i="4"/>
  <c r="B112" i="4"/>
  <c r="B113" i="4"/>
  <c r="T113" i="4" s="1"/>
  <c r="B114" i="4"/>
  <c r="U114" i="4" s="1"/>
  <c r="B115" i="4"/>
  <c r="U115" i="4" s="1"/>
  <c r="B116" i="4"/>
  <c r="B117" i="4"/>
  <c r="B118" i="4"/>
  <c r="B119" i="4"/>
  <c r="T119" i="4" s="1"/>
  <c r="B120" i="4"/>
  <c r="U120" i="4" s="1"/>
  <c r="B121" i="4"/>
  <c r="T121" i="4" s="1"/>
  <c r="B122" i="4"/>
  <c r="T122" i="4" s="1"/>
  <c r="B123" i="4"/>
  <c r="T123" i="4" s="1"/>
  <c r="B124" i="4"/>
  <c r="U124" i="4" s="1"/>
  <c r="B125" i="4"/>
  <c r="U125" i="4" s="1"/>
  <c r="T46" i="4"/>
  <c r="T47" i="4"/>
  <c r="T48" i="4"/>
  <c r="T49" i="4"/>
  <c r="T50" i="4"/>
  <c r="T51" i="4"/>
  <c r="T52" i="4"/>
  <c r="T53" i="4"/>
  <c r="T54" i="4"/>
  <c r="T64" i="4"/>
  <c r="T96" i="4"/>
  <c r="U46" i="4"/>
  <c r="U47" i="4"/>
  <c r="U48" i="4"/>
  <c r="U64" i="4"/>
  <c r="T78" i="4" l="1"/>
  <c r="T95" i="4"/>
  <c r="U79" i="4"/>
  <c r="T110" i="4"/>
  <c r="T94" i="4"/>
  <c r="U111" i="4"/>
  <c r="U110" i="4"/>
  <c r="T62" i="4"/>
  <c r="U94" i="4"/>
  <c r="U63" i="4"/>
  <c r="T112" i="4"/>
  <c r="T111" i="4"/>
  <c r="T59" i="4"/>
  <c r="T58" i="4"/>
  <c r="T57" i="4"/>
  <c r="U113" i="4"/>
  <c r="T56" i="4"/>
  <c r="T79" i="4"/>
  <c r="U112" i="4"/>
  <c r="U81" i="4"/>
  <c r="U80" i="4"/>
  <c r="U90" i="4"/>
  <c r="U89" i="4"/>
  <c r="T120" i="4"/>
  <c r="U91" i="4"/>
  <c r="U88" i="4"/>
  <c r="U65" i="4"/>
  <c r="T91" i="4"/>
  <c r="T89" i="4"/>
  <c r="T88" i="4"/>
  <c r="U97" i="4"/>
  <c r="T90" i="4"/>
  <c r="U108" i="4"/>
  <c r="U119" i="4"/>
  <c r="U71" i="4"/>
  <c r="U118" i="4"/>
  <c r="T118" i="4"/>
  <c r="U54" i="4"/>
  <c r="U77" i="4"/>
  <c r="T77" i="4"/>
  <c r="U85" i="4"/>
  <c r="T85" i="4"/>
  <c r="T61" i="4"/>
  <c r="U87" i="4"/>
  <c r="U106" i="4"/>
  <c r="T107" i="4"/>
  <c r="U86" i="4"/>
  <c r="U105" i="4"/>
  <c r="T106" i="4"/>
  <c r="U117" i="4"/>
  <c r="T117" i="4"/>
  <c r="T69" i="4"/>
  <c r="U69" i="4"/>
  <c r="U75" i="4"/>
  <c r="U122" i="4"/>
  <c r="U70" i="4"/>
  <c r="U104" i="4"/>
  <c r="T74" i="4"/>
  <c r="T125" i="4"/>
  <c r="T73" i="4"/>
  <c r="U123" i="4"/>
  <c r="T124" i="4"/>
  <c r="T72" i="4"/>
  <c r="U72" i="4"/>
  <c r="T71" i="4"/>
  <c r="U121" i="4"/>
  <c r="U93" i="4"/>
  <c r="T70" i="4"/>
  <c r="U60" i="4"/>
  <c r="U109" i="4"/>
  <c r="U103" i="4"/>
  <c r="U55" i="4"/>
  <c r="U102" i="4"/>
  <c r="T102" i="4"/>
  <c r="T101" i="4"/>
  <c r="U101" i="4"/>
  <c r="U53" i="4"/>
  <c r="U76" i="4"/>
  <c r="U92" i="4"/>
  <c r="T100" i="4"/>
  <c r="U116" i="4"/>
  <c r="U100" i="4"/>
  <c r="U84" i="4"/>
  <c r="U68" i="4"/>
  <c r="U51" i="4"/>
  <c r="T115" i="4"/>
  <c r="T99" i="4"/>
  <c r="T82" i="4"/>
  <c r="T68" i="4"/>
  <c r="T84" i="4"/>
  <c r="T116" i="4"/>
  <c r="T83" i="4"/>
  <c r="U99" i="4"/>
  <c r="U67" i="4"/>
  <c r="U50" i="4"/>
  <c r="T114" i="4"/>
  <c r="T67" i="4"/>
  <c r="T66" i="4"/>
  <c r="T98" i="4"/>
  <c r="G12" i="4"/>
  <c r="C15" i="4" l="1"/>
  <c r="C12" i="4"/>
  <c r="B26" i="4" l="1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T36" i="4" l="1"/>
  <c r="T35" i="4"/>
  <c r="T34" i="4"/>
  <c r="U34" i="4"/>
  <c r="U33" i="4"/>
  <c r="T32" i="4"/>
  <c r="U32" i="4"/>
  <c r="T31" i="4"/>
  <c r="U31" i="4"/>
  <c r="T30" i="4"/>
  <c r="U30" i="4"/>
  <c r="U28" i="4"/>
  <c r="U27" i="4"/>
  <c r="U26" i="4"/>
  <c r="T33" i="4"/>
  <c r="T29" i="4"/>
  <c r="U29" i="4"/>
  <c r="T28" i="4"/>
  <c r="T27" i="4"/>
  <c r="T26" i="4"/>
  <c r="D23" i="4"/>
  <c r="T43" i="4"/>
  <c r="T45" i="4"/>
  <c r="T44" i="4"/>
  <c r="T42" i="4"/>
  <c r="T41" i="4"/>
  <c r="T40" i="4"/>
  <c r="T37" i="4"/>
  <c r="T39" i="4"/>
  <c r="T38" i="4"/>
  <c r="U41" i="4"/>
  <c r="U35" i="4"/>
  <c r="U40" i="4"/>
  <c r="U39" i="4"/>
  <c r="U38" i="4"/>
  <c r="U37" i="4"/>
  <c r="U36" i="4"/>
  <c r="U43" i="4"/>
  <c r="U45" i="4"/>
  <c r="U44" i="4"/>
  <c r="U42" i="4"/>
  <c r="T2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Inmate Eric Stafford</author>
  </authors>
  <commentList>
    <comment ref="K25" authorId="0" shapeId="0" xr:uid="{714894A9-49BA-4E27-9B7A-FE73A0E1C6FE}">
      <text>
        <r>
          <rPr>
            <b/>
            <sz val="9"/>
            <color indexed="81"/>
            <rFont val="Tahoma"/>
            <family val="2"/>
          </rPr>
          <t>You must enter a numeric value. 
If the item is in stock type 0.</t>
        </r>
      </text>
    </comment>
    <comment ref="L25" authorId="0" shapeId="0" xr:uid="{4C2471B4-3737-4D5C-821E-81D862B42D94}">
      <text>
        <r>
          <rPr>
            <b/>
            <sz val="9"/>
            <color indexed="81"/>
            <rFont val="Tahoma"/>
            <family val="2"/>
          </rPr>
          <t>You must provide a quantity even if it is the same as quantity requested.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52F467EB-2C93-4E4D-9ED0-E61BBC92D813}">
      <text>
        <r>
          <rPr>
            <b/>
            <sz val="9"/>
            <color indexed="81"/>
            <rFont val="Tahoma"/>
            <family val="2"/>
          </rPr>
          <t>You must provide price per unit.</t>
        </r>
      </text>
    </comment>
    <comment ref="J27" authorId="0" shapeId="0" xr:uid="{E148B56C-6454-43B9-804D-8B3EC327543C}">
      <text>
        <r>
          <rPr>
            <b/>
            <sz val="9"/>
            <color indexed="81"/>
            <rFont val="Tahoma"/>
            <family val="2"/>
          </rPr>
          <t>If you do not want to bid on this item please enter "x"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<sst xmlns="http://schemas.openxmlformats.org/spreadsheetml/2006/main" count="183" uniqueCount="97">
  <si>
    <t/>
  </si>
  <si>
    <t>Collective Number</t>
  </si>
  <si>
    <t>Quantity Requested</t>
  </si>
  <si>
    <t>Business Name</t>
  </si>
  <si>
    <t>SAM.GOV Registration Number</t>
  </si>
  <si>
    <t>Date Issued</t>
  </si>
  <si>
    <t>Address</t>
  </si>
  <si>
    <t>City</t>
  </si>
  <si>
    <t>State</t>
  </si>
  <si>
    <t>Zip</t>
  </si>
  <si>
    <t>Quote Due Date</t>
  </si>
  <si>
    <t xml:space="preserve"> </t>
  </si>
  <si>
    <t>Vendor Quote Number</t>
  </si>
  <si>
    <t>Solicitation Number</t>
  </si>
  <si>
    <t>Issued by</t>
  </si>
  <si>
    <t>Deliver to</t>
  </si>
  <si>
    <t>Acquisition Type</t>
  </si>
  <si>
    <t>Unrestricted</t>
  </si>
  <si>
    <t>Instructions</t>
  </si>
  <si>
    <t>Payment will be made by</t>
  </si>
  <si>
    <t>UNICOR FPI Central Acct Payable</t>
  </si>
  <si>
    <t>RFQ</t>
  </si>
  <si>
    <t>PO Box 11849</t>
  </si>
  <si>
    <t>Lexington, KY 40578-1849</t>
  </si>
  <si>
    <t>UNICOR Part Number</t>
  </si>
  <si>
    <t xml:space="preserve">Material </t>
  </si>
  <si>
    <t>Days ARO</t>
  </si>
  <si>
    <t>Unit of Measure</t>
  </si>
  <si>
    <t>Approximate Delivery Date</t>
  </si>
  <si>
    <t>Name of Manufacture</t>
  </si>
  <si>
    <t>Country of Manufacture</t>
  </si>
  <si>
    <t>Quantity Provided</t>
  </si>
  <si>
    <t>Quantity Per Unit</t>
  </si>
  <si>
    <t>Unit Price</t>
  </si>
  <si>
    <t>Notes</t>
  </si>
  <si>
    <t>Sub Total</t>
  </si>
  <si>
    <t>Total:</t>
  </si>
  <si>
    <t>Index</t>
  </si>
  <si>
    <t>Provided Unit</t>
  </si>
  <si>
    <t>No Bid (x)</t>
  </si>
  <si>
    <t>Issues By Name</t>
  </si>
  <si>
    <t>Issued By Address</t>
  </si>
  <si>
    <t>PHX1</t>
  </si>
  <si>
    <t>MAR1</t>
  </si>
  <si>
    <t>Plant</t>
  </si>
  <si>
    <t>EA</t>
  </si>
  <si>
    <t>No BID on an item ENTER X</t>
  </si>
  <si>
    <t>Deliver Address</t>
  </si>
  <si>
    <t>FPI Phoenix
37940 No.46th Ave.
Phoenix, AZ 85086-7058</t>
  </si>
  <si>
    <t>Required Field</t>
  </si>
  <si>
    <t>x</t>
  </si>
  <si>
    <t>Quote Due Time</t>
  </si>
  <si>
    <t>LAT1</t>
  </si>
  <si>
    <t>BAS1</t>
  </si>
  <si>
    <t>VIM1</t>
  </si>
  <si>
    <t>FPI La Tuna
8500 Doniphan
Anthony, TX 79821</t>
  </si>
  <si>
    <t>FPI BASTROP
1341 Hwy. 95 N.
Bastrop, TX 78602</t>
  </si>
  <si>
    <t>FPI VICTORVILLE</t>
  </si>
  <si>
    <t>FPI VICTORVILLE
13777 Air Expressway Blvd.
Victorville, CA 92394</t>
  </si>
  <si>
    <t>FPI Marion
Marion, IL 62959
4500 Prison Road</t>
  </si>
  <si>
    <t>Plant Label</t>
  </si>
  <si>
    <t>FPI BASTROP</t>
  </si>
  <si>
    <t>UNICOR Federal Prison Industries
Electronic Business Group</t>
  </si>
  <si>
    <t>FPI-Marion</t>
  </si>
  <si>
    <t>FPI-Phoenix</t>
  </si>
  <si>
    <t>FPI-La Tuna</t>
  </si>
  <si>
    <t>UNICOR Federal Prison Industries
Fleet Business Group</t>
  </si>
  <si>
    <t>Chelsea Walker
618-964-1441 ext.1825</t>
  </si>
  <si>
    <t>1. Only Fill-in the Green Colored Area
2. For a "no bid"  type x in the no Bid Column
3. Adjusting MOQ will change the cell to red</t>
  </si>
  <si>
    <t>Desired Production Date</t>
  </si>
  <si>
    <t>OEC COC Maybe Required</t>
  </si>
  <si>
    <t>Method of Solicitation</t>
  </si>
  <si>
    <t>EHR0047</t>
  </si>
  <si>
    <t>C,SDR-240-48,PWR-SUPPLY,240W,48VDC
240W SINGLE OUTPUT INDUSTRIAL POWER SUPPLY,
48VDC, 5 AMPS, DIN RAIL MOUNTED
DO NOT SUBSTITUTE PART NUMBER WITHOUT AUTHORIZATION</t>
  </si>
  <si>
    <t>MA26-090GL</t>
  </si>
  <si>
    <t>EHR9171</t>
  </si>
  <si>
    <t>HWS0303</t>
  </si>
  <si>
    <t>M,M19622/16-0004,PACKING,STUFF-TUBE
NYLON STUFFING TUBE, TUBE SIZE 1, BUSHING I.D. 0.234"</t>
  </si>
  <si>
    <t>IST0078</t>
  </si>
  <si>
    <t>CLS-832-2,8-32,PEM,INSERT,SST
P/N CLS-832-2
8-32 FOR MATERIAL THICKNESS .056"</t>
  </si>
  <si>
    <t>USA</t>
  </si>
  <si>
    <t>Put your notes here</t>
  </si>
  <si>
    <t>M,19622/1-001,5975002964092</t>
  </si>
  <si>
    <t>QPL</t>
  </si>
  <si>
    <t xml:space="preserve">Marlea Clark
PRC Contract Specialist | FMC Lexington
marlea.clark@usdoj.gov | 800-827-3168 ext. 3100
</t>
  </si>
  <si>
    <t>12.205 Solicitation provisions and contract clauses</t>
  </si>
  <si>
    <t>        52.212-1 Instructions to Offerors - Commercial Products &amp; Services (tailorable) P</t>
  </si>
  <si>
    <t>       52.212-2 - Evaluation – Commercial Products &amp; Services (if using evaluation factors) P</t>
  </si>
  <si>
    <t>       52.212-4 Contract Terms &amp; Conditions – Commercial Products &amp; Services C</t>
  </si>
  <si>
    <t>       52.204-7 System for Award Management (SAM registration) P</t>
  </si>
  <si>
    <t>       52.219-1 Small Business Program Representations P</t>
  </si>
  <si>
    <t>      52.222-50 Combating Trafficking in Persons C</t>
  </si>
  <si>
    <t>CHW0229</t>
  </si>
  <si>
    <t xml:space="preserve">C,MT306-502,VIDEO-SCALER,NTSC-CARD
Sole Source of Supply:
Altinex Inc. Part number:MT306-502
</t>
  </si>
  <si>
    <t>MA26-266FB</t>
  </si>
  <si>
    <t>CHW0658</t>
  </si>
  <si>
    <t>C,96-02401-01,CONVERTER,VIDEO,4-CHAN
FOUR CHANNEL RGB TO IP VIDEO CONVERTER, 2U,
COMES WITH 4 BNC JUMPER CABLES AND REAR BRACKETS
OSPREY VIDEO IS SOLE SOURCE PROVIDER
DO NOT SUBSTITUTE PART NUMBER WITHOUT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</si>
</sst>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164" formatCode="[&lt;=9999999]###\-####;\(###\)\ ###\-####"/>
    <numFmt numFmtId="165" formatCode="d\ mmm\ yyyy"/>
    <numFmt numFmtId="166" formatCode="&quot;$&quot;#,##0.00"/>
    <numFmt numFmtId="167" formatCode="m/d/yyyy;@"/>
    <numFmt numFmtId="168" formatCode="[$-F400]h:mm:ss\ AM/PM"/>
    <numFmt numFmtId="169" formatCode="mm/dd/yy;@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Verdana"/>
      <family val="2"/>
    </font>
    <font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8"/>
      <name val="Arial Black"/>
      <family val="2"/>
    </font>
    <font>
      <b/>
      <sz val="9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 Black"/>
      <family val="2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DE2E7"/>
        <bgColor rgb="FF000000"/>
      </patternFill>
    </fill>
    <fill>
      <patternFill patternType="solid">
        <fgColor rgb="FFDDE2E7"/>
        <bgColor indexed="64"/>
      </patternFill>
    </fill>
    <fill>
      <patternFill patternType="lightDown">
        <fgColor theme="1"/>
        <bgColor theme="1" tint="0.249977111117893"/>
      </patternFill>
    </fill>
    <fill>
      <patternFill patternType="lightDown">
        <fgColor theme="0" tint="-0.14996795556505021"/>
        <bgColor theme="0" tint="-0.24997711111789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EC040"/>
        <bgColor indexed="64"/>
      </patternFill>
    </fill>
    <fill>
      <patternFill patternType="solid">
        <fgColor rgb="FFEDF1F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auto="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6" fillId="2" borderId="2" applyNumberFormat="0" applyFont="0" applyBorder="0" applyAlignment="0" applyProtection="0"/>
    <xf numFmtId="0" fontId="3" fillId="4" borderId="0" applyNumberFormat="0" applyFont="0" applyBorder="0" applyAlignment="0">
      <alignment horizontal="center"/>
    </xf>
    <xf numFmtId="0" fontId="3" fillId="5" borderId="0" applyNumberFormat="0" applyFont="0" applyAlignment="0"/>
    <xf numFmtId="0" fontId="6" fillId="3" borderId="3" applyNumberFormat="0" applyFont="0" applyBorder="0" applyAlignment="0" applyProtection="0"/>
  </cellStyleXfs>
  <cellXfs count="156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indent="1"/>
    </xf>
    <xf numFmtId="0" fontId="0" fillId="0" borderId="0" xfId="0" applyFont="1" applyAlignment="1">
      <alignment horizontal="left" vertical="top" indent="1"/>
    </xf>
    <xf numFmtId="164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indent="1"/>
    </xf>
    <xf numFmtId="0" fontId="1" fillId="0" borderId="0" xfId="0" applyFont="1" applyAlignment="1">
      <alignment vertical="top"/>
    </xf>
    <xf numFmtId="0" fontId="0" fillId="0" borderId="0" xfId="0" applyBorder="1" applyAlignment="1">
      <alignment vertical="top"/>
    </xf>
    <xf numFmtId="164" fontId="0" fillId="0" borderId="0" xfId="0" applyNumberFormat="1" applyBorder="1" applyAlignment="1">
      <alignment vertical="top"/>
    </xf>
    <xf numFmtId="164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2" fillId="0" borderId="0" xfId="0" applyFont="1" applyAlignment="1">
      <alignment horizontal="left" vertical="top" wrapText="1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0" fillId="0" borderId="0" xfId="0" applyBorder="1" applyAlignment="1">
      <alignment horizontal="left" vertical="top" indent="1"/>
    </xf>
    <xf numFmtId="0" fontId="8" fillId="0" borderId="10" xfId="0" applyFont="1" applyBorder="1" applyAlignment="1">
      <alignment horizontal="left" vertical="top" indent="1"/>
    </xf>
    <xf numFmtId="0" fontId="8" fillId="0" borderId="0" xfId="0" applyFont="1" applyBorder="1" applyAlignment="1">
      <alignment horizontal="left" vertical="top" indent="1"/>
    </xf>
    <xf numFmtId="0" fontId="0" fillId="0" borderId="0" xfId="0" applyFont="1" applyBorder="1" applyAlignment="1">
      <alignment horizontal="left" vertical="top" indent="1"/>
    </xf>
    <xf numFmtId="0" fontId="11" fillId="10" borderId="9" xfId="0" applyFont="1" applyFill="1" applyBorder="1" applyAlignment="1">
      <alignment vertical="top"/>
    </xf>
    <xf numFmtId="0" fontId="12" fillId="10" borderId="9" xfId="0" applyFont="1" applyFill="1" applyBorder="1" applyAlignment="1">
      <alignment horizontal="left" vertical="top" indent="1"/>
    </xf>
    <xf numFmtId="0" fontId="12" fillId="10" borderId="9" xfId="0" applyFont="1" applyFill="1" applyBorder="1" applyAlignment="1">
      <alignment vertical="top"/>
    </xf>
    <xf numFmtId="0" fontId="13" fillId="10" borderId="0" xfId="0" applyFont="1" applyFill="1" applyAlignment="1">
      <alignment vertical="top"/>
    </xf>
    <xf numFmtId="0" fontId="5" fillId="9" borderId="0" xfId="0" applyFont="1" applyFill="1" applyBorder="1" applyAlignment="1">
      <alignment horizontal="left" vertical="top" indent="1"/>
    </xf>
    <xf numFmtId="0" fontId="5" fillId="9" borderId="0" xfId="0" applyFont="1" applyFill="1" applyAlignment="1">
      <alignment vertical="top"/>
    </xf>
    <xf numFmtId="0" fontId="13" fillId="9" borderId="0" xfId="0" applyFont="1" applyFill="1" applyBorder="1" applyAlignment="1">
      <alignment horizontal="left" vertical="top" indent="1"/>
    </xf>
    <xf numFmtId="0" fontId="13" fillId="9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44" fontId="11" fillId="9" borderId="0" xfId="1" applyFont="1" applyFill="1" applyAlignment="1">
      <alignment horizontal="center" vertical="top"/>
    </xf>
    <xf numFmtId="164" fontId="7" fillId="8" borderId="15" xfId="0" applyNumberFormat="1" applyFont="1" applyFill="1" applyBorder="1" applyAlignment="1">
      <alignment horizontal="left" vertical="top" wrapText="1"/>
    </xf>
    <xf numFmtId="0" fontId="7" fillId="8" borderId="17" xfId="0" applyFont="1" applyFill="1" applyBorder="1" applyAlignment="1">
      <alignment horizontal="center" vertical="top" textRotation="180" wrapText="1"/>
    </xf>
    <xf numFmtId="164" fontId="7" fillId="8" borderId="17" xfId="0" applyNumberFormat="1" applyFont="1" applyFill="1" applyBorder="1" applyAlignment="1">
      <alignment horizontal="center" vertical="top" wrapText="1"/>
    </xf>
    <xf numFmtId="0" fontId="7" fillId="8" borderId="17" xfId="0" applyFont="1" applyFill="1" applyBorder="1" applyAlignment="1">
      <alignment horizontal="center" vertical="top" wrapText="1"/>
    </xf>
    <xf numFmtId="0" fontId="7" fillId="8" borderId="18" xfId="0" applyFont="1" applyFill="1" applyBorder="1" applyAlignment="1">
      <alignment horizontal="center" vertical="top" wrapText="1"/>
    </xf>
    <xf numFmtId="0" fontId="7" fillId="7" borderId="5" xfId="0" applyFont="1" applyFill="1" applyBorder="1" applyAlignment="1">
      <alignment horizontal="center" vertical="top" textRotation="180"/>
    </xf>
    <xf numFmtId="0" fontId="7" fillId="8" borderId="18" xfId="0" applyFont="1" applyFill="1" applyBorder="1" applyAlignment="1">
      <alignment horizontal="center" vertical="top" textRotation="180" wrapText="1"/>
    </xf>
    <xf numFmtId="0" fontId="0" fillId="0" borderId="4" xfId="0" applyBorder="1" applyAlignment="1">
      <alignment horizontal="center" vertical="top"/>
    </xf>
    <xf numFmtId="0" fontId="0" fillId="6" borderId="11" xfId="0" applyFill="1" applyBorder="1" applyAlignment="1">
      <alignment vertical="top"/>
    </xf>
    <xf numFmtId="166" fontId="0" fillId="6" borderId="11" xfId="0" applyNumberFormat="1" applyFill="1" applyBorder="1" applyAlignment="1">
      <alignment vertical="top"/>
    </xf>
    <xf numFmtId="0" fontId="0" fillId="6" borderId="12" xfId="0" applyFill="1" applyBorder="1" applyAlignment="1">
      <alignment vertical="top"/>
    </xf>
    <xf numFmtId="166" fontId="0" fillId="6" borderId="12" xfId="0" applyNumberFormat="1" applyFill="1" applyBorder="1" applyAlignment="1">
      <alignment vertical="top"/>
    </xf>
    <xf numFmtId="0" fontId="0" fillId="0" borderId="6" xfId="0" applyFill="1" applyBorder="1" applyAlignment="1">
      <alignment horizontal="center" vertical="top"/>
    </xf>
    <xf numFmtId="0" fontId="0" fillId="0" borderId="7" xfId="0" applyFill="1" applyBorder="1" applyAlignment="1">
      <alignment vertical="top" wrapText="1"/>
    </xf>
    <xf numFmtId="0" fontId="0" fillId="0" borderId="7" xfId="0" applyFill="1" applyBorder="1" applyAlignment="1">
      <alignment vertical="top"/>
    </xf>
    <xf numFmtId="0" fontId="0" fillId="0" borderId="8" xfId="0" applyFill="1" applyBorder="1" applyAlignment="1">
      <alignment horizontal="center" vertical="top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0" fontId="7" fillId="8" borderId="19" xfId="0" applyFont="1" applyFill="1" applyBorder="1" applyAlignment="1">
      <alignment horizontal="center" vertical="top" wrapText="1"/>
    </xf>
    <xf numFmtId="166" fontId="16" fillId="7" borderId="16" xfId="0" applyNumberFormat="1" applyFont="1" applyFill="1" applyBorder="1" applyAlignment="1">
      <alignment horizontal="center" vertical="top"/>
    </xf>
    <xf numFmtId="164" fontId="7" fillId="8" borderId="16" xfId="0" applyNumberFormat="1" applyFont="1" applyFill="1" applyBorder="1" applyAlignment="1">
      <alignment horizontal="center" vertical="top"/>
    </xf>
    <xf numFmtId="166" fontId="0" fillId="0" borderId="13" xfId="0" applyNumberFormat="1" applyFill="1" applyBorder="1" applyAlignment="1">
      <alignment vertical="top"/>
    </xf>
    <xf numFmtId="165" fontId="0" fillId="0" borderId="9" xfId="0" applyNumberFormat="1" applyBorder="1" applyAlignment="1"/>
    <xf numFmtId="0" fontId="8" fillId="0" borderId="10" xfId="0" applyFont="1" applyBorder="1" applyAlignment="1">
      <alignment vertical="top"/>
    </xf>
    <xf numFmtId="165" fontId="1" fillId="8" borderId="9" xfId="0" applyNumberFormat="1" applyFont="1" applyFill="1" applyBorder="1" applyAlignment="1">
      <alignment vertical="top"/>
    </xf>
    <xf numFmtId="0" fontId="1" fillId="8" borderId="9" xfId="0" applyFont="1" applyFill="1" applyBorder="1" applyAlignment="1">
      <alignment vertical="top"/>
    </xf>
    <xf numFmtId="165" fontId="1" fillId="8" borderId="9" xfId="0" applyNumberFormat="1" applyFont="1" applyFill="1" applyBorder="1" applyAlignment="1">
      <alignment horizontal="left" vertical="top"/>
    </xf>
    <xf numFmtId="0" fontId="1" fillId="8" borderId="9" xfId="0" applyFont="1" applyFill="1" applyBorder="1" applyAlignment="1">
      <alignment horizontal="left" vertical="top"/>
    </xf>
    <xf numFmtId="0" fontId="0" fillId="0" borderId="0" xfId="0" applyBorder="1"/>
    <xf numFmtId="0" fontId="15" fillId="6" borderId="14" xfId="0" applyFont="1" applyFill="1" applyBorder="1" applyAlignment="1">
      <alignment horizontal="center" vertical="top"/>
    </xf>
    <xf numFmtId="0" fontId="15" fillId="6" borderId="20" xfId="0" applyFont="1" applyFill="1" applyBorder="1" applyAlignment="1">
      <alignment horizontal="center" vertical="top"/>
    </xf>
    <xf numFmtId="165" fontId="1" fillId="0" borderId="9" xfId="0" applyNumberFormat="1" applyFont="1" applyBorder="1" applyAlignment="1">
      <alignment horizontal="left"/>
    </xf>
    <xf numFmtId="166" fontId="9" fillId="0" borderId="13" xfId="0" applyNumberFormat="1" applyFont="1" applyFill="1" applyBorder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7" fillId="8" borderId="15" xfId="0" applyFont="1" applyFill="1" applyBorder="1" applyAlignment="1">
      <alignment horizontal="center" vertical="top" textRotation="180" wrapText="1"/>
    </xf>
    <xf numFmtId="0" fontId="16" fillId="8" borderId="16" xfId="0" applyFont="1" applyFill="1" applyBorder="1" applyAlignment="1">
      <alignment horizontal="center" vertical="top" textRotation="180" wrapText="1"/>
    </xf>
    <xf numFmtId="0" fontId="15" fillId="8" borderId="16" xfId="0" applyFont="1" applyFill="1" applyBorder="1" applyAlignment="1">
      <alignment horizontal="center" vertical="top" textRotation="180" wrapText="1"/>
    </xf>
    <xf numFmtId="167" fontId="0" fillId="0" borderId="0" xfId="0" applyNumberFormat="1" applyFill="1" applyAlignment="1">
      <alignment horizontal="center" vertical="top"/>
    </xf>
    <xf numFmtId="167" fontId="9" fillId="0" borderId="0" xfId="0" applyNumberFormat="1" applyFont="1" applyFill="1" applyAlignment="1">
      <alignment horizontal="center" vertical="top"/>
    </xf>
    <xf numFmtId="0" fontId="13" fillId="0" borderId="0" xfId="0" applyFont="1" applyFill="1" applyAlignment="1">
      <alignment vertical="center"/>
    </xf>
    <xf numFmtId="0" fontId="13" fillId="0" borderId="23" xfId="0" applyFont="1" applyFill="1" applyBorder="1" applyAlignment="1">
      <alignment vertical="center"/>
    </xf>
    <xf numFmtId="0" fontId="0" fillId="0" borderId="24" xfId="0" applyNumberFormat="1" applyBorder="1" applyAlignment="1">
      <alignment horizontal="center" vertical="top"/>
    </xf>
    <xf numFmtId="0" fontId="0" fillId="0" borderId="8" xfId="0" applyNumberFormat="1" applyFill="1" applyBorder="1" applyAlignment="1">
      <alignment horizontal="center" vertical="top"/>
    </xf>
    <xf numFmtId="0" fontId="0" fillId="0" borderId="0" xfId="0" applyNumberFormat="1" applyFill="1" applyAlignment="1">
      <alignment vertical="top" wrapText="1"/>
    </xf>
    <xf numFmtId="0" fontId="0" fillId="0" borderId="0" xfId="0" applyNumberFormat="1" applyFill="1" applyAlignment="1">
      <alignment vertical="top"/>
    </xf>
    <xf numFmtId="0" fontId="0" fillId="0" borderId="25" xfId="0" applyNumberFormat="1" applyBorder="1" applyAlignment="1">
      <alignment horizontal="center" vertical="top"/>
    </xf>
    <xf numFmtId="0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/>
    </xf>
    <xf numFmtId="167" fontId="9" fillId="0" borderId="0" xfId="0" applyNumberFormat="1" applyFont="1" applyFill="1" applyBorder="1" applyAlignment="1">
      <alignment horizontal="center" vertical="top"/>
    </xf>
    <xf numFmtId="0" fontId="15" fillId="6" borderId="27" xfId="0" applyFont="1" applyFill="1" applyBorder="1" applyAlignment="1">
      <alignment horizontal="center" vertical="top"/>
    </xf>
    <xf numFmtId="0" fontId="0" fillId="6" borderId="28" xfId="0" applyFill="1" applyBorder="1" applyAlignment="1">
      <alignment vertical="top"/>
    </xf>
    <xf numFmtId="166" fontId="0" fillId="6" borderId="28" xfId="0" applyNumberFormat="1" applyFill="1" applyBorder="1" applyAlignment="1">
      <alignment vertical="top"/>
    </xf>
    <xf numFmtId="0" fontId="0" fillId="6" borderId="29" xfId="0" applyFill="1" applyBorder="1" applyAlignment="1">
      <alignment vertical="top"/>
    </xf>
    <xf numFmtId="0" fontId="0" fillId="6" borderId="30" xfId="0" applyFill="1" applyBorder="1" applyAlignment="1">
      <alignment vertical="top"/>
    </xf>
    <xf numFmtId="0" fontId="0" fillId="6" borderId="31" xfId="0" applyFill="1" applyBorder="1" applyAlignment="1">
      <alignment vertical="top"/>
    </xf>
    <xf numFmtId="166" fontId="0" fillId="0" borderId="26" xfId="0" applyNumberFormat="1" applyFill="1" applyBorder="1" applyAlignment="1">
      <alignment vertical="top"/>
    </xf>
    <xf numFmtId="168" fontId="1" fillId="8" borderId="9" xfId="0" applyNumberFormat="1" applyFont="1" applyFill="1" applyBorder="1" applyAlignment="1">
      <alignment vertical="top"/>
    </xf>
    <xf numFmtId="0" fontId="0" fillId="0" borderId="0" xfId="0" applyAlignment="1"/>
    <xf numFmtId="164" fontId="7" fillId="8" borderId="32" xfId="0" applyNumberFormat="1" applyFont="1" applyFill="1" applyBorder="1" applyAlignment="1">
      <alignment horizontal="center" vertical="top" textRotation="180" wrapText="1"/>
    </xf>
    <xf numFmtId="164" fontId="7" fillId="8" borderId="19" xfId="0" applyNumberFormat="1" applyFont="1" applyFill="1" applyBorder="1" applyAlignment="1">
      <alignment horizontal="center" vertical="top" textRotation="180" wrapText="1"/>
    </xf>
    <xf numFmtId="164" fontId="7" fillId="8" borderId="15" xfId="0" applyNumberFormat="1" applyFont="1" applyFill="1" applyBorder="1" applyAlignment="1">
      <alignment horizontal="center" vertical="top" textRotation="180" wrapText="1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5" fillId="9" borderId="0" xfId="0" applyFont="1" applyFill="1" applyBorder="1" applyAlignment="1">
      <alignment horizontal="center" vertical="top"/>
    </xf>
    <xf numFmtId="0" fontId="11" fillId="10" borderId="9" xfId="0" applyFont="1" applyFill="1" applyBorder="1" applyAlignment="1">
      <alignment horizontal="center" vertical="top"/>
    </xf>
    <xf numFmtId="0" fontId="13" fillId="9" borderId="0" xfId="0" applyFont="1" applyFill="1" applyBorder="1" applyAlignment="1">
      <alignment horizontal="center" vertical="top"/>
    </xf>
    <xf numFmtId="0" fontId="0" fillId="0" borderId="7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0" borderId="0" xfId="0" applyNumberFormat="1" applyFill="1" applyBorder="1" applyAlignment="1">
      <alignment horizontal="center" vertical="top"/>
    </xf>
    <xf numFmtId="0" fontId="0" fillId="0" borderId="0" xfId="0" applyNumberFormat="1" applyFill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8" fillId="0" borderId="10" xfId="0" applyFont="1" applyBorder="1" applyAlignment="1">
      <alignment horizontal="left" vertical="top" indent="1"/>
    </xf>
    <xf numFmtId="0" fontId="8" fillId="0" borderId="0" xfId="0" applyFont="1" applyBorder="1" applyAlignment="1">
      <alignment horizontal="left" vertical="top" indent="1"/>
    </xf>
    <xf numFmtId="0" fontId="1" fillId="0" borderId="10" xfId="0" applyFont="1" applyBorder="1" applyAlignment="1">
      <alignment vertical="top"/>
    </xf>
    <xf numFmtId="0" fontId="18" fillId="9" borderId="0" xfId="0" applyFont="1" applyFill="1" applyBorder="1" applyAlignment="1">
      <alignment vertical="top"/>
    </xf>
    <xf numFmtId="0" fontId="20" fillId="0" borderId="10" xfId="0" applyFont="1" applyBorder="1" applyAlignment="1">
      <alignment horizontal="left" vertical="top" indent="1"/>
    </xf>
    <xf numFmtId="0" fontId="20" fillId="0" borderId="10" xfId="0" applyFont="1" applyBorder="1" applyAlignment="1">
      <alignment horizontal="left" vertical="top" indent="1"/>
    </xf>
    <xf numFmtId="169" fontId="0" fillId="0" borderId="7" xfId="0" applyNumberFormat="1" applyFill="1" applyBorder="1" applyAlignment="1">
      <alignment horizontal="center" vertical="top"/>
    </xf>
    <xf numFmtId="169" fontId="0" fillId="0" borderId="0" xfId="0" applyNumberFormat="1" applyFill="1" applyBorder="1" applyAlignment="1">
      <alignment horizontal="center" vertical="top"/>
    </xf>
    <xf numFmtId="164" fontId="16" fillId="8" borderId="15" xfId="0" applyNumberFormat="1" applyFont="1" applyFill="1" applyBorder="1" applyAlignment="1">
      <alignment horizontal="center" vertical="top" textRotation="180" wrapText="1"/>
    </xf>
    <xf numFmtId="165" fontId="25" fillId="8" borderId="9" xfId="0" applyNumberFormat="1" applyFont="1" applyFill="1" applyBorder="1" applyAlignment="1">
      <alignment horizontal="left" vertical="top"/>
    </xf>
    <xf numFmtId="0" fontId="11" fillId="0" borderId="23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top" indent="1"/>
    </xf>
    <xf numFmtId="0" fontId="10" fillId="0" borderId="0" xfId="0" applyFont="1" applyBorder="1" applyAlignment="1">
      <alignment horizontal="left" indent="1"/>
    </xf>
    <xf numFmtId="0" fontId="1" fillId="0" borderId="7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NumberFormat="1" applyFont="1" applyFill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164" fontId="7" fillId="13" borderId="15" xfId="0" applyNumberFormat="1" applyFont="1" applyFill="1" applyBorder="1" applyAlignment="1">
      <alignment horizontal="center" vertical="top" textRotation="180" wrapText="1"/>
    </xf>
    <xf numFmtId="164" fontId="7" fillId="13" borderId="32" xfId="0" applyNumberFormat="1" applyFont="1" applyFill="1" applyBorder="1" applyAlignment="1">
      <alignment horizontal="center" vertical="top" textRotation="180" wrapText="1"/>
    </xf>
    <xf numFmtId="166" fontId="13" fillId="0" borderId="26" xfId="0" applyNumberFormat="1" applyFont="1" applyFill="1" applyBorder="1" applyAlignment="1">
      <alignment vertical="top"/>
    </xf>
    <xf numFmtId="166" fontId="13" fillId="0" borderId="13" xfId="0" applyNumberFormat="1" applyFont="1" applyFill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 vertical="top"/>
    </xf>
    <xf numFmtId="0" fontId="26" fillId="0" borderId="0" xfId="0" applyFont="1" applyAlignment="1">
      <alignment vertical="top"/>
    </xf>
    <xf numFmtId="0" fontId="10" fillId="0" borderId="9" xfId="0" applyFont="1" applyBorder="1" applyAlignment="1">
      <alignment horizontal="left" indent="1"/>
    </xf>
    <xf numFmtId="0" fontId="0" fillId="0" borderId="9" xfId="0" applyBorder="1" applyAlignment="1">
      <alignment horizontal="left"/>
    </xf>
    <xf numFmtId="0" fontId="4" fillId="11" borderId="0" xfId="0" applyFont="1" applyFill="1" applyBorder="1" applyAlignment="1">
      <alignment horizontal="left" vertical="top"/>
    </xf>
    <xf numFmtId="0" fontId="20" fillId="0" borderId="10" xfId="0" applyFont="1" applyBorder="1" applyAlignment="1">
      <alignment horizontal="left" vertical="top" indent="1"/>
    </xf>
    <xf numFmtId="0" fontId="20" fillId="0" borderId="0" xfId="0" applyFont="1" applyBorder="1" applyAlignment="1">
      <alignment horizontal="left" vertical="top" indent="1"/>
    </xf>
    <xf numFmtId="0" fontId="17" fillId="6" borderId="0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top" indent="1"/>
    </xf>
    <xf numFmtId="0" fontId="19" fillId="12" borderId="0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left" vertical="top"/>
    </xf>
    <xf numFmtId="0" fontId="13" fillId="10" borderId="0" xfId="0" applyFont="1" applyFill="1" applyBorder="1" applyAlignment="1">
      <alignment horizontal="left" vertical="top" wrapText="1"/>
    </xf>
    <xf numFmtId="0" fontId="13" fillId="10" borderId="0" xfId="0" applyFont="1" applyFill="1" applyBorder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18" fillId="8" borderId="22" xfId="0" applyFont="1" applyFill="1" applyBorder="1" applyAlignment="1">
      <alignment horizontal="center" vertical="top" wrapText="1"/>
    </xf>
    <xf numFmtId="0" fontId="18" fillId="8" borderId="21" xfId="0" applyFont="1" applyFill="1" applyBorder="1" applyAlignment="1">
      <alignment horizontal="center" vertical="top" wrapText="1"/>
    </xf>
    <xf numFmtId="0" fontId="13" fillId="10" borderId="10" xfId="0" applyFont="1" applyFill="1" applyBorder="1" applyAlignment="1">
      <alignment horizontal="left" vertical="top" indent="1"/>
    </xf>
    <xf numFmtId="0" fontId="13" fillId="10" borderId="0" xfId="0" applyFont="1" applyFill="1" applyBorder="1" applyAlignment="1">
      <alignment vertical="top"/>
    </xf>
    <xf numFmtId="0" fontId="13" fillId="10" borderId="0" xfId="0" applyFont="1" applyFill="1" applyAlignment="1">
      <alignment horizontal="left" vertical="top"/>
    </xf>
    <xf numFmtId="0" fontId="2" fillId="8" borderId="2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168" fontId="24" fillId="8" borderId="9" xfId="0" applyNumberFormat="1" applyFont="1" applyFill="1" applyBorder="1" applyAlignment="1">
      <alignment horizontal="left" vertical="top"/>
    </xf>
  </cellXfs>
  <cellStyles count="6">
    <cellStyle name="Currency" xfId="1" builtinId="4"/>
    <cellStyle name="Dark Dashboard" xfId="3" xr:uid="{00000000-0005-0000-0000-000001000000}"/>
    <cellStyle name="Dashboard Light" xfId="4" xr:uid="{00000000-0005-0000-0000-000002000000}"/>
    <cellStyle name="Normal" xfId="0" builtinId="0"/>
    <cellStyle name="Shade1" xfId="2" xr:uid="{00000000-0005-0000-0000-000004000000}"/>
    <cellStyle name="Shade1 2" xfId="5" xr:uid="{00000000-0005-0000-0000-000005000000}"/>
  </cellStyles>
  <dxfs count="71">
    <dxf>
      <fill>
        <patternFill>
          <bgColor rgb="FFC00000"/>
        </patternFill>
      </fill>
    </dxf>
    <dxf>
      <font>
        <color theme="0" tint="-4.9989318521683403E-2"/>
      </font>
      <fill>
        <patternFill>
          <bgColor rgb="FFC0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 tint="-4.9989318521683403E-2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1" tint="0.34998626667073579"/>
        </patternFill>
      </fill>
      <border>
        <top style="thin">
          <color theme="1" tint="0.24994659260841701"/>
        </top>
        <bottom style="thin">
          <color theme="1" tint="0.24994659260841701"/>
        </bottom>
      </border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00000"/>
        </patternFill>
      </fill>
    </dxf>
    <dxf>
      <font>
        <color theme="0" tint="-4.9989318521683403E-2"/>
      </font>
      <fill>
        <patternFill>
          <bgColor rgb="FFC0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 tint="-4.9989318521683403E-2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1" tint="0.34998626667073579"/>
        </patternFill>
      </fill>
      <border>
        <top style="thin">
          <color theme="1" tint="0.24994659260841701"/>
        </top>
        <bottom style="thin">
          <color theme="1" tint="0.24994659260841701"/>
        </bottom>
      </border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numFmt numFmtId="167" formatCode="m/d/yyyy;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outline="0">
        <left style="medium">
          <color theme="0" tint="-0.499984740745262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 outline="0">
        <left style="hair">
          <color theme="0" tint="-0.499984740745262"/>
        </left>
        <right style="medium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166" formatCode="&quot;$&quot;#,##0.00"/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scheme val="minor"/>
      </font>
      <fill>
        <patternFill patternType="none">
          <fgColor indexed="64"/>
          <bgColor theme="9" tint="0.79998168889431442"/>
        </patternFill>
      </fill>
      <alignment horizontal="center" vertical="top" textRotation="0" indent="0" justifyLastLine="0" shrinkToFit="0" readingOrder="0"/>
      <border diagonalUp="0" diagonalDown="0">
        <left style="medium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169" formatCode="mm/dd/yy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  <border diagonalUp="0" diagonalDown="0">
        <left style="thin">
          <color theme="0" tint="-0.499984740745262"/>
        </left>
        <right/>
        <top/>
        <bottom/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numFmt numFmtId="167" formatCode="m/d/yyyy;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medium">
          <color theme="0" tint="-0.499984740745262"/>
        </left>
        <right style="medium">
          <color theme="0" tint="-0.499984740745262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medium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166" formatCode="&quot;$&quot;#,##0.00"/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scheme val="minor"/>
      </font>
      <fill>
        <patternFill patternType="none">
          <fgColor indexed="64"/>
          <bgColor theme="9" tint="0.79998168889431442"/>
        </patternFill>
      </fill>
      <alignment horizontal="center" vertical="top" textRotation="0" indent="0" justifyLastLine="0" shrinkToFit="0" readingOrder="0"/>
      <border diagonalUp="0" diagonalDown="0">
        <left style="medium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169" formatCode="mm/dd/yy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  <border diagonalUp="0" diagonalDown="0">
        <left style="thin">
          <color theme="0" tint="-0.499984740745262"/>
        </left>
        <right/>
        <top/>
        <bottom/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color theme="0" tint="-4.9989318521683403E-2"/>
      </font>
      <fill>
        <patternFill>
          <bgColor theme="0" tint="-0.499984740745262"/>
        </patternFill>
      </fill>
      <border>
        <bottom style="thin">
          <color theme="1"/>
        </bottom>
        <vertical style="thin">
          <color theme="0" tint="-0.14996795556505021"/>
        </vertical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hair">
          <color theme="0" tint="-0.499984740745262"/>
        </vertical>
      </border>
    </dxf>
  </dxfs>
  <tableStyles count="1" defaultTableStyle="TableStyleMedium2" defaultPivotStyle="PivotStyleLight16">
    <tableStyle name="TableStyleLight1 2" pivot="0" count="7" xr9:uid="{00000000-0011-0000-FFFF-FFFF00000000}">
      <tableStyleElement type="wholeTable" dxfId="70"/>
      <tableStyleElement type="headerRow" dxfId="69"/>
      <tableStyleElement type="totalRow" dxfId="68"/>
      <tableStyleElement type="firstColumn" dxfId="67"/>
      <tableStyleElement type="lastColumn" dxfId="66"/>
      <tableStyleElement type="firstRowStripe" dxfId="65"/>
      <tableStyleElement type="firstColumnStripe" dxfId="64"/>
    </tableStyle>
  </tableStyles>
  <colors>
    <mruColors>
      <color rgb="FFEDF1F9"/>
      <color rgb="FFDDA5A5"/>
      <color rgb="FFEEC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41</xdr:row>
          <xdr:rowOff>180975</xdr:rowOff>
        </xdr:from>
        <xdr:to>
          <xdr:col>6</xdr:col>
          <xdr:colOff>333375</xdr:colOff>
          <xdr:row>43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41</xdr:row>
          <xdr:rowOff>180975</xdr:rowOff>
        </xdr:from>
        <xdr:to>
          <xdr:col>8</xdr:col>
          <xdr:colOff>200025</xdr:colOff>
          <xdr:row>43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44</xdr:row>
          <xdr:rowOff>180975</xdr:rowOff>
        </xdr:from>
        <xdr:to>
          <xdr:col>8</xdr:col>
          <xdr:colOff>114300</xdr:colOff>
          <xdr:row>46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44</xdr:row>
          <xdr:rowOff>180975</xdr:rowOff>
        </xdr:from>
        <xdr:to>
          <xdr:col>10</xdr:col>
          <xdr:colOff>9525</xdr:colOff>
          <xdr:row>46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371475</xdr:colOff>
          <xdr:row>48</xdr:row>
          <xdr:rowOff>180975</xdr:rowOff>
        </xdr:from>
        <xdr:to>
          <xdr:col>8</xdr:col>
          <xdr:colOff>161925</xdr:colOff>
          <xdr:row>50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48</xdr:row>
          <xdr:rowOff>180975</xdr:rowOff>
        </xdr:from>
        <xdr:to>
          <xdr:col>10</xdr:col>
          <xdr:colOff>9525</xdr:colOff>
          <xdr:row>50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My%20Documents\PRODUCTION%20FOLDER\SALES%20REPORTS\SALES%20INFORMATION\SALES%20PRESENTATION%20DOC.-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Home\QA%20Support\Fleming\mbstuff\PRODUCTION%20FOLDER\SALES%20REPORTS\SALES%20INFORMATION\SALES%20PRESENTATION%20DOC.-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shared\My%20Documents\PRODUCTION%20FOLDER\SALES%20REPORTS\SALES%20INFORMATION\SALES%20PRESENTATION%20DOC.-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Warehouse%20Clerk\Kruse\My%20Documents\SALES\SALES%20INFORMATION\SALES%20PRESENTATION%20DOC.-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my%20documents\SALES\SALES%20INFORMATION\SALES%20PRESENTATION%20DOC.-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shared\My%20Documents\SALES\SALES%20INFORMATION\SALES%20PRESENTATION%20DOC.-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Warehouse%20Clerk\Kruse\My%20Documents\Wilson\Scott\VACATION\My%20Documents\Human%20Resources\2009_EMPLOYEE_HOUR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ome\Marion\16990-097\My%20Documents\Human%20Resources\Whitecottens%20databa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ome\Marion\16990-097\Employment%20Master%20Roster%20Fix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R\EMPLOYMENT%20MASTER%20ROSTER%20WORKING%20COP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ome\Marion\16990-097\Administration%20Office%20Clerks\ASHMORE\96%20CLERK%20FILES\VACATION%20MAST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shared\Production\MACB%20REPORTS\job%20costing%20work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esrc"/>
      <sheetName val="Vend"/>
      <sheetName val="CstCtr"/>
      <sheetName val="CE"/>
      <sheetName val="BOM Master"/>
      <sheetName val="Coll"/>
      <sheetName val="Master Data Lnx"/>
      <sheetName val="Ven Lnx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esrc"/>
      <sheetName val="Vend"/>
      <sheetName val="CstCtr"/>
      <sheetName val="CE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esrc"/>
      <sheetName val="Vend"/>
      <sheetName val="CstCtr"/>
      <sheetName val="CE"/>
      <sheetName val="AAA_(2)"/>
      <sheetName val="Presentation_Index"/>
      <sheetName val="AAA_(2)1"/>
      <sheetName val="Presentation_Index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A Stage"/>
      <sheetName val="RA Data"/>
      <sheetName val="Inv Stage"/>
      <sheetName val="Inv Data"/>
      <sheetName val="Del Stage"/>
      <sheetName val="Del Data"/>
      <sheetName val="JCV Form"/>
      <sheetName val="Calibrations Clerk"/>
      <sheetName val="Calendar"/>
      <sheetName val="Calendar (2)"/>
      <sheetName val="CAL_DATA"/>
      <sheetName val="Holidays"/>
      <sheetName val="Label Templates"/>
      <sheetName val="Julian"/>
      <sheetName val="Appointment Calendar"/>
      <sheetName val="Cal"/>
      <sheetName val="Start"/>
      <sheetName val="CAL_DATA (2)"/>
      <sheetName val="Holidays (2)"/>
      <sheetName val="Extract Load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s Clerk"/>
      <sheetName val="Calendar"/>
      <sheetName val="Calendar (2)"/>
      <sheetName val="CAL_DATA"/>
      <sheetName val="Holidays"/>
      <sheetName val="Label Templates"/>
      <sheetName val="Julian"/>
      <sheetName val="Appointment Calendar"/>
      <sheetName val="Cal"/>
      <sheetName val="Start"/>
      <sheetName val="CAL_DATA (2)"/>
      <sheetName val="Holidays (2)"/>
      <sheetName val="preliminary"/>
      <sheetName val="RA Stage"/>
      <sheetName val="database"/>
      <sheetName val="AAA (2)"/>
      <sheetName val="AAA"/>
      <sheetName val="Money"/>
      <sheetName val="Presentation Index"/>
      <sheetName val="RA Data"/>
      <sheetName val="Inv Stage"/>
      <sheetName val="Inv Data"/>
      <sheetName val="Del Stage"/>
      <sheetName val="Del Data"/>
      <sheetName val="JCV Form"/>
      <sheetName val="Extract Load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A Stage"/>
      <sheetName val="RA Data"/>
      <sheetName val="Inv Stage"/>
      <sheetName val="Inv Data"/>
      <sheetName val="Del Stage"/>
      <sheetName val="Del Data"/>
      <sheetName val="JCV Form"/>
      <sheetName val="AAA_(2)"/>
      <sheetName val="Presentation_Index"/>
      <sheetName val="RA_Stage"/>
      <sheetName val="RA_Data"/>
      <sheetName val="Inv_Stage"/>
      <sheetName val="Inv_Data"/>
      <sheetName val="Del_Stage"/>
      <sheetName val="Del_Data"/>
      <sheetName val="JCV_Form"/>
      <sheetName val="AAA_(2)1"/>
      <sheetName val="Presentation_Index1"/>
      <sheetName val="RA_Stage1"/>
      <sheetName val="RA_Data1"/>
      <sheetName val="Inv_Stage1"/>
      <sheetName val="Inv_Data1"/>
      <sheetName val="Del_Stage1"/>
      <sheetName val="Del_Data1"/>
      <sheetName val="JCV_Form1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rd Quarter"/>
      <sheetName val="Daily Call-outs (D)FORM"/>
      <sheetName val="Vacation Request"/>
      <sheetName val="Vacation Log"/>
      <sheetName val="Vacation Records 09"/>
      <sheetName val="4th Quarter"/>
      <sheetName val="FAX SHEET"/>
      <sheetName val="NOTICE"/>
      <sheetName val="7-17Blnk Dor Sht"/>
      <sheetName val="Anniversary's"/>
      <sheetName val="Fill In sort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6 of 2010"/>
      <sheetName val="FAX SHEET (2010)"/>
      <sheetName val="CURRENT (2)"/>
      <sheetName val="CAMP"/>
      <sheetName val="BlankFAXsheet03-19-10"/>
      <sheetName val="CBL-QA"/>
      <sheetName val="CBL-2|P&amp;S"/>
      <sheetName val="CBL-3"/>
      <sheetName val="Hubbard"/>
      <sheetName val="CBL-4"/>
      <sheetName val="Vacation Log "/>
      <sheetName val="Vacation Calendar (2)"/>
      <sheetName val="Vacation Req Form 39"/>
      <sheetName val="TERMINATED"/>
      <sheetName val="Over Time MEMO"/>
      <sheetName val="OUTCOUNT SHEET"/>
      <sheetName val="BlankFAXsheet12-15-09"/>
      <sheetName val="Whitecotton door sheet"/>
      <sheetName val="Vacation Log"/>
      <sheetName val="TOTAL CALL-OUTS"/>
      <sheetName val="new"/>
      <sheetName val="Sheet1"/>
      <sheetName val="3rd Quarter"/>
    </sheetNames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ter"/>
      <sheetName val="Vac"/>
      <sheetName val="Hrs_log"/>
      <sheetName val="FAX Sheet"/>
      <sheetName val="FT Door"/>
      <sheetName val="PT Door"/>
      <sheetName val="Podium"/>
      <sheetName val="COMP"/>
      <sheetName val="CBL-1 (H)"/>
      <sheetName val="CBL-2(H)"/>
      <sheetName val="CBL-3(E)"/>
      <sheetName val="CBL-PS(L)"/>
      <sheetName val="CBL-4(F)"/>
      <sheetName val="HGR (F)"/>
      <sheetName val="QA(K)"/>
      <sheetName val="Door Orig"/>
      <sheetName val="Podium FT"/>
      <sheetName val="Podium PT"/>
      <sheetName val="96 Log"/>
      <sheetName val="96 Form"/>
      <sheetName val="Dpt Transf"/>
      <sheetName val="Early Pay"/>
      <sheetName val="OTLog"/>
      <sheetName val="$"/>
      <sheetName val="INSTRUCTIONS"/>
      <sheetName val="Roll Call"/>
      <sheetName val="HGR Out Count "/>
      <sheetName val="USP Out Count"/>
      <sheetName val="Camp Out Count"/>
      <sheetName val="Blank Out Count"/>
      <sheetName val="Master Data"/>
      <sheetName val="MOU"/>
      <sheetName val="MOU (2)"/>
      <sheetName val="MIER"/>
      <sheetName val="Grade Allocations"/>
      <sheetName val="Grade By Ethnicity"/>
      <sheetName val="Veteran-Short-FT&amp;PT-Ethnicity"/>
      <sheetName val="Extract"/>
      <sheetName val="Promo"/>
      <sheetName val="Payroll Projected"/>
      <sheetName val="Factory Down Time"/>
      <sheetName val="Lost Time- Injury"/>
      <sheetName val="Evals"/>
      <sheetName val="Tours"/>
      <sheetName val="Qtr Train"/>
      <sheetName val="CERTIFICATION"/>
    </sheetNames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count Instructions"/>
      <sheetName val="Roster"/>
      <sheetName val="CBL 135"/>
      <sheetName val="outcountlist"/>
      <sheetName val="Out Count 1 Page"/>
      <sheetName val="Out Count 2 Page"/>
      <sheetName val="Print List 50"/>
      <sheetName val="Print List 100"/>
      <sheetName val="Print List 150"/>
      <sheetName val="Print List 150 (2)"/>
      <sheetName val="VAC"/>
      <sheetName val="Lookup"/>
      <sheetName val="96 Log"/>
      <sheetName val="96 Form"/>
      <sheetName val="Early Pay"/>
      <sheetName val="Extract"/>
      <sheetName val="Promo"/>
      <sheetName val="Grade Allocations For Promotion"/>
      <sheetName val="Grade Allocations "/>
      <sheetName val="MOU"/>
      <sheetName val="MIER"/>
      <sheetName val="Cost Center Usage"/>
      <sheetName val="Master Data"/>
      <sheetName val="Dpt Transf"/>
      <sheetName val="Memo to Terminate"/>
      <sheetName val="ActiveList"/>
      <sheetName val="EvenList"/>
      <sheetName val="OddList"/>
      <sheetName val="fpi train promo list"/>
      <sheetName val="Grade By Ethnicity"/>
      <sheetName val="Veteran-Short-FT&amp;PT-Ethnicity"/>
      <sheetName val="Evals"/>
      <sheetName val="Qtr Train"/>
      <sheetName val="Crew Kit Detail Report"/>
      <sheetName val="Etnicity "/>
      <sheetName val="Crew Kit Detail Report (2)"/>
      <sheetName val="Stats"/>
      <sheetName val="Cost Center For Bartlett"/>
      <sheetName val="Promo Template"/>
      <sheetName val="Lead Sheet New"/>
      <sheetName val="Derrick Sheet"/>
      <sheetName val="fpi train list 1"/>
      <sheetName val="fpi train promo list Paste"/>
      <sheetName val="Dept Transfer"/>
      <sheetName val="Ethnicity "/>
      <sheetName val="Dpt Transf-Old"/>
    </sheetNames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ation Log (B)"/>
      <sheetName val="PRINT Vacation Req Form 39"/>
      <sheetName val="bASE FOR MEMO"/>
      <sheetName val="1-6 of 2010"/>
    </sheetNames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 INDEX"/>
      <sheetName val="JCV-08"/>
      <sheetName val="FY SALES"/>
      <sheetName val="Money"/>
      <sheetName val="FY_INDEX"/>
      <sheetName val="FY_SALES"/>
      <sheetName val="FY_INDEX1"/>
      <sheetName val="FY_SALES1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4B73C-ED1B-4BD7-B25E-FBA294F5FD55}" name="_tblRFQExample" displayName="_tblRFQExample" ref="B25:T124" totalsRowShown="0" headerRowDxfId="63">
  <autoFilter ref="B25:T124" xr:uid="{00000000-0009-0000-0100-000003000000}">
    <filterColumn colId="1" hiddenButton="1"/>
    <filterColumn colId="2" hiddenButton="1"/>
    <filterColumn colId="3" hiddenButton="1"/>
    <filterColumn colId="4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6" xr3:uid="{F4670801-343D-42F1-B98E-FABB61370849}" name="Index" dataDxfId="62">
      <calculatedColumnFormula>(ROW()-ROW(_tblRFQExample[]))+1</calculatedColumnFormula>
    </tableColumn>
    <tableColumn id="1" xr3:uid="{E08ABE02-06B7-4A00-99FA-BBCB5920E54D}" name="UNICOR Part Number" dataDxfId="61"/>
    <tableColumn id="2" xr3:uid="{5CACF78F-711F-4227-9C1B-65321FC04D22}" name="Material " dataDxfId="60"/>
    <tableColumn id="3" xr3:uid="{7A6E419C-DD86-4562-8C85-3D4842D0F8F3}" name="Quantity Requested" dataDxfId="59"/>
    <tableColumn id="4" xr3:uid="{73845E27-DC4C-49EB-AB13-0F5952E39DBC}" name="Unit of Measure" dataDxfId="58"/>
    <tableColumn id="17" xr3:uid="{6967970F-884C-4964-BECD-CBE280A4BD4C}" name="Desired Production Date" dataDxfId="57"/>
    <tableColumn id="18" xr3:uid="{2C467AA4-E81B-4B3E-97E7-A8D8874F18DE}" name="Plant" dataDxfId="56"/>
    <tableColumn id="19" xr3:uid="{0397F90C-E962-4C65-811E-B464FD167AFE}" name="Collective Number" dataDxfId="55"/>
    <tableColumn id="5" xr3:uid="{2A10CDFF-97DA-4E60-9D9F-99697A69B890}" name="No Bid (x)" dataDxfId="54"/>
    <tableColumn id="6" xr3:uid="{6B4A884C-8A5B-4809-B695-00EB07E7EE06}" name="Days ARO" dataDxfId="53"/>
    <tableColumn id="7" xr3:uid="{E94E9629-6981-4BC6-B78A-8009A3BA6962}" name="Quantity Provided" dataDxfId="52"/>
    <tableColumn id="8" xr3:uid="{5804BC65-7C70-470B-A82B-8DACC744FC69}" name="Provided Unit" dataDxfId="51"/>
    <tableColumn id="9" xr3:uid="{51EAEE28-9C60-4686-84B4-B5C437F14796}" name="Unit Price" dataDxfId="50"/>
    <tableColumn id="10" xr3:uid="{DBC7EBBE-7CB4-41C0-86A1-75C35C800617}" name="Quantity Per Unit" dataDxfId="49"/>
    <tableColumn id="11" xr3:uid="{F4D0059F-EA71-4928-93B0-108C482EE14D}" name="Name of Manufacture" dataDxfId="48"/>
    <tableColumn id="12" xr3:uid="{8D86854B-A7CE-488B-ABC3-D060E9F663BD}" name="Country of Manufacture" dataDxfId="47"/>
    <tableColumn id="13" xr3:uid="{42328CAF-3458-4620-A348-25503D5F8EF3}" name="Notes" dataDxfId="46"/>
    <tableColumn id="14" xr3:uid="{F91B7B3B-9ED0-4E82-BC50-8E0899A3F8C7}" name="Sub Total" dataDxfId="45">
      <calculatedColumnFormula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calculatedColumnFormula>
    </tableColumn>
    <tableColumn id="15" xr3:uid="{5A9EFDA9-EF6B-4236-BA83-EF259DD53019}" name="Approximate Delivery Date" dataDxfId="44">
      <calculatedColumnFormula>IFERROR(IF(_tblRFQExample[[#This Row],[Material ]]&lt;&gt;"",$R$18+_tblRFQExample[[#This Row],[Days ARO]],""),"")</calculatedColumnFormula>
    </tableColumn>
  </tableColumns>
  <tableStyleInfo name="TableStyleLight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_tblRFQ" displayName="_tblRFQ" ref="B25:U125" totalsRowShown="0" headerRowDxfId="43">
  <autoFilter ref="B25:U125" xr:uid="{00000000-0009-0000-0100-000003000000}">
    <filterColumn colId="1" hiddenButton="1"/>
    <filterColumn colId="2" hiddenButton="1"/>
    <filterColumn colId="3" hiddenButton="1"/>
    <filterColumn colId="4" hiddenButton="1"/>
    <filterColumn colId="5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6" xr3:uid="{00000000-0010-0000-0100-000010000000}" name="Index" dataDxfId="42">
      <calculatedColumnFormula>(ROW()-ROW(_tblRFQ[]))+1</calculatedColumnFormula>
    </tableColumn>
    <tableColumn id="1" xr3:uid="{00000000-0010-0000-0100-000001000000}" name="UNICOR Part Number" dataDxfId="41"/>
    <tableColumn id="2" xr3:uid="{00000000-0010-0000-0100-000002000000}" name="Material " dataDxfId="40"/>
    <tableColumn id="20" xr3:uid="{75FB797A-F00F-41AB-A503-6F4ED560F91A}" name="QPL" dataDxfId="39"/>
    <tableColumn id="3" xr3:uid="{00000000-0010-0000-0100-000003000000}" name="Quantity Requested" dataDxfId="38"/>
    <tableColumn id="4" xr3:uid="{00000000-0010-0000-0100-000004000000}" name="Unit of Measure" dataDxfId="37"/>
    <tableColumn id="17" xr3:uid="{00000000-0010-0000-0100-000011000000}" name="Desired Production Date" dataDxfId="36"/>
    <tableColumn id="18" xr3:uid="{00000000-0010-0000-0100-000012000000}" name="Plant" dataDxfId="35"/>
    <tableColumn id="19" xr3:uid="{00000000-0010-0000-0100-000013000000}" name="Collective Number" dataDxfId="34"/>
    <tableColumn id="5" xr3:uid="{00000000-0010-0000-0100-000005000000}" name="No Bid (x)" dataDxfId="33"/>
    <tableColumn id="6" xr3:uid="{00000000-0010-0000-0100-000006000000}" name="Days ARO" dataDxfId="32"/>
    <tableColumn id="7" xr3:uid="{00000000-0010-0000-0100-000007000000}" name="Quantity Provided" dataDxfId="31"/>
    <tableColumn id="8" xr3:uid="{00000000-0010-0000-0100-000008000000}" name="Provided Unit" dataDxfId="30"/>
    <tableColumn id="9" xr3:uid="{00000000-0010-0000-0100-000009000000}" name="Unit Price" dataDxfId="29"/>
    <tableColumn id="10" xr3:uid="{00000000-0010-0000-0100-00000A000000}" name="Quantity Per Unit" dataDxfId="28"/>
    <tableColumn id="11" xr3:uid="{00000000-0010-0000-0100-00000B000000}" name="Name of Manufacture" dataDxfId="27"/>
    <tableColumn id="12" xr3:uid="{00000000-0010-0000-0100-00000C000000}" name="Country of Manufacture" dataDxfId="26"/>
    <tableColumn id="13" xr3:uid="{00000000-0010-0000-0100-00000D000000}" name="Notes" dataDxfId="25"/>
    <tableColumn id="14" xr3:uid="{00000000-0010-0000-0100-00000E000000}" name="Sub Total" dataDxfId="24">
      <calculatedColumnFormula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calculatedColumnFormula>
    </tableColumn>
    <tableColumn id="15" xr3:uid="{00000000-0010-0000-0100-00000F000000}" name="Approximate Delivery Date" dataDxfId="23">
      <calculatedColumnFormula>IFERROR(IF(_tblRFQ[[#This Row],[Material ]]&lt;&gt;"",$S$18+_tblRFQ[[#This Row],[Days ARO]],""),"")</calculatedColumnFormula>
    </tableColumn>
  </tableColumns>
  <tableStyleInfo name="TableStyleLight1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_tblIssuedBy" displayName="_tblIssuedBy" ref="A1:E6" totalsRowShown="0" dataDxfId="22">
  <autoFilter ref="A1:E6" xr:uid="{00000000-0009-0000-0100-000001000000}">
    <filterColumn colId="0" hiddenButton="1"/>
    <filterColumn colId="1" hiddenButton="1"/>
    <filterColumn colId="3" hiddenButton="1"/>
  </autoFilter>
  <sortState xmlns:xlrd2="http://schemas.microsoft.com/office/spreadsheetml/2017/richdata2" ref="A2:E6">
    <sortCondition ref="B2:B6"/>
    <sortCondition ref="A2:A6"/>
  </sortState>
  <tableColumns count="5">
    <tableColumn id="1" xr3:uid="{00000000-0010-0000-0200-000001000000}" name="Plant" dataDxfId="21"/>
    <tableColumn id="2" xr3:uid="{00000000-0010-0000-0200-000002000000}" name="Issues By Name" dataDxfId="20"/>
    <tableColumn id="6" xr3:uid="{00000000-0010-0000-0200-000006000000}" name="Plant Label" dataDxfId="19"/>
    <tableColumn id="3" xr3:uid="{00000000-0010-0000-0200-000003000000}" name="Issued By Address" dataDxfId="18"/>
    <tableColumn id="4" xr3:uid="{00000000-0010-0000-0200-000004000000}" name="Deliver Address" dataDxfId="17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2:Q118"/>
  <sheetViews>
    <sheetView showGridLines="0" workbookViewId="0">
      <selection activeCell="E11" sqref="E11"/>
    </sheetView>
    <sheetView workbookViewId="1">
      <selection activeCell="G38" sqref="G38"/>
    </sheetView>
  </sheetViews>
  <sheetFormatPr defaultRowHeight="15" x14ac:dyDescent="0.25"/>
  <cols>
    <col min="7" max="8" width="6.140625" customWidth="1"/>
    <col min="9" max="9" width="4" customWidth="1"/>
  </cols>
  <sheetData>
    <row r="2" spans="2:11" x14ac:dyDescent="0.25">
      <c r="B2" s="130" t="s">
        <v>85</v>
      </c>
      <c r="C2" s="130"/>
      <c r="D2" s="130"/>
      <c r="E2" s="130"/>
      <c r="F2" s="130"/>
      <c r="G2" s="5"/>
      <c r="H2" s="4"/>
      <c r="I2" s="3"/>
      <c r="J2" s="2"/>
      <c r="K2" s="1"/>
    </row>
    <row r="3" spans="2:11" x14ac:dyDescent="0.25">
      <c r="B3" s="5"/>
      <c r="C3" s="5"/>
      <c r="D3" s="5"/>
      <c r="E3" s="7"/>
      <c r="F3" s="4"/>
      <c r="G3" s="5"/>
      <c r="H3" s="4"/>
      <c r="I3" s="3"/>
      <c r="J3" s="2"/>
      <c r="K3" s="1"/>
    </row>
    <row r="4" spans="2:11" x14ac:dyDescent="0.25">
      <c r="B4" s="5"/>
      <c r="C4" s="5"/>
      <c r="D4" s="5"/>
      <c r="E4" s="7"/>
      <c r="F4" s="4"/>
      <c r="G4" s="5"/>
      <c r="H4" s="4"/>
      <c r="I4" s="3"/>
      <c r="J4" s="2"/>
      <c r="K4" s="1"/>
    </row>
    <row r="5" spans="2:11" x14ac:dyDescent="0.25">
      <c r="B5" s="5"/>
      <c r="C5" s="5"/>
      <c r="D5" s="5"/>
      <c r="E5" s="7"/>
      <c r="F5" s="4"/>
      <c r="G5" s="5"/>
      <c r="H5" s="4"/>
      <c r="I5" s="3"/>
      <c r="J5" s="2"/>
      <c r="K5" s="1"/>
    </row>
    <row r="6" spans="2:11" x14ac:dyDescent="0.25">
      <c r="B6" s="131" t="s">
        <v>86</v>
      </c>
      <c r="C6" s="131"/>
      <c r="D6" s="131"/>
      <c r="E6" s="131"/>
      <c r="F6" s="131"/>
      <c r="G6" s="131"/>
      <c r="H6" s="131"/>
      <c r="I6" s="131"/>
      <c r="J6" s="131"/>
      <c r="K6" s="131"/>
    </row>
    <row r="7" spans="2:11" x14ac:dyDescent="0.25">
      <c r="B7" s="9"/>
      <c r="C7" s="5"/>
      <c r="D7" s="5"/>
      <c r="E7" s="7"/>
      <c r="F7" s="4"/>
      <c r="G7" s="5"/>
      <c r="H7" s="4"/>
      <c r="I7" s="3"/>
      <c r="J7" s="2"/>
      <c r="K7" s="1"/>
    </row>
    <row r="8" spans="2:11" x14ac:dyDescent="0.25">
      <c r="B8" s="5"/>
      <c r="C8" s="5"/>
      <c r="D8" s="5"/>
      <c r="E8" s="7"/>
      <c r="F8" s="4"/>
      <c r="G8" s="5"/>
      <c r="H8" s="4"/>
      <c r="I8" s="3"/>
      <c r="J8" s="2"/>
      <c r="K8" s="1"/>
    </row>
    <row r="9" spans="2:11" x14ac:dyDescent="0.25">
      <c r="B9" s="131" t="s">
        <v>87</v>
      </c>
      <c r="C9" s="131"/>
      <c r="D9" s="131"/>
      <c r="E9" s="131"/>
      <c r="F9" s="131"/>
      <c r="G9" s="131"/>
      <c r="H9" s="131"/>
      <c r="I9" s="131"/>
      <c r="J9" s="131"/>
      <c r="K9" s="131"/>
    </row>
    <row r="10" spans="2:11" x14ac:dyDescent="0.25">
      <c r="B10" s="5"/>
      <c r="C10" s="5"/>
      <c r="D10" s="5"/>
      <c r="E10" s="7"/>
      <c r="F10" s="4"/>
      <c r="G10" s="5"/>
      <c r="H10" s="4"/>
      <c r="I10" s="3"/>
      <c r="J10" s="2"/>
      <c r="K10" s="1"/>
    </row>
    <row r="11" spans="2:11" x14ac:dyDescent="0.25">
      <c r="B11" s="5"/>
      <c r="C11" s="5"/>
      <c r="D11" s="5"/>
      <c r="E11" s="7"/>
      <c r="F11" s="4"/>
      <c r="G11" s="5"/>
      <c r="H11" s="4"/>
      <c r="I11" s="3"/>
      <c r="J11" s="2"/>
      <c r="K11" s="1"/>
    </row>
    <row r="12" spans="2:11" x14ac:dyDescent="0.25">
      <c r="B12" s="1"/>
      <c r="C12" s="5"/>
      <c r="D12" s="5"/>
      <c r="E12" s="7"/>
      <c r="F12" s="4"/>
      <c r="G12" s="5"/>
      <c r="H12" s="4"/>
      <c r="I12" s="3"/>
      <c r="J12" s="2"/>
      <c r="K12" s="1"/>
    </row>
    <row r="13" spans="2:11" x14ac:dyDescent="0.25">
      <c r="B13" s="131" t="s">
        <v>88</v>
      </c>
      <c r="C13" s="131"/>
      <c r="D13" s="131"/>
      <c r="E13" s="131"/>
      <c r="F13" s="131"/>
      <c r="G13" s="131"/>
      <c r="H13" s="131"/>
      <c r="I13" s="131"/>
      <c r="J13" s="131"/>
      <c r="K13" s="1"/>
    </row>
    <row r="14" spans="2:11" x14ac:dyDescent="0.25">
      <c r="B14" s="9"/>
      <c r="C14" s="5"/>
      <c r="D14" s="5"/>
      <c r="E14" s="7"/>
      <c r="F14" s="4"/>
      <c r="G14" s="5"/>
      <c r="H14" s="4"/>
      <c r="I14" s="3"/>
      <c r="J14" s="2"/>
      <c r="K14" s="1"/>
    </row>
    <row r="15" spans="2:11" x14ac:dyDescent="0.25">
      <c r="B15" s="9"/>
      <c r="C15" s="5"/>
      <c r="D15" s="7"/>
      <c r="E15" s="4"/>
      <c r="F15" s="5"/>
      <c r="G15" s="4"/>
      <c r="H15" s="3"/>
      <c r="I15" s="3"/>
      <c r="J15" s="1"/>
      <c r="K15" s="1"/>
    </row>
    <row r="16" spans="2:11" x14ac:dyDescent="0.25">
      <c r="B16" s="9"/>
      <c r="C16" s="5"/>
      <c r="D16" s="7"/>
      <c r="E16" s="4"/>
      <c r="F16" s="5"/>
      <c r="G16" s="4"/>
      <c r="H16" s="3"/>
      <c r="I16" s="3"/>
      <c r="J16" s="1"/>
      <c r="K16" s="1"/>
    </row>
    <row r="17" spans="2:11" x14ac:dyDescent="0.25">
      <c r="B17" s="131" t="s">
        <v>89</v>
      </c>
      <c r="C17" s="131"/>
      <c r="D17" s="131"/>
      <c r="E17" s="131"/>
      <c r="F17" s="131"/>
      <c r="G17" s="131"/>
      <c r="H17" s="131"/>
      <c r="I17" s="131"/>
      <c r="J17" s="1"/>
      <c r="K17" s="1"/>
    </row>
    <row r="18" spans="2:11" x14ac:dyDescent="0.25">
      <c r="B18" s="9"/>
      <c r="C18" s="5"/>
      <c r="D18" s="7"/>
      <c r="E18" s="4"/>
      <c r="F18" s="5"/>
      <c r="G18" s="4"/>
      <c r="H18" s="3"/>
      <c r="I18" s="3"/>
      <c r="J18" s="1"/>
      <c r="K18" s="1"/>
    </row>
    <row r="19" spans="2:11" x14ac:dyDescent="0.25">
      <c r="B19" s="9"/>
      <c r="C19" s="5"/>
      <c r="D19" s="7"/>
      <c r="E19" s="4"/>
      <c r="F19" s="5"/>
      <c r="G19" s="4"/>
      <c r="H19" s="3"/>
      <c r="I19" s="3"/>
      <c r="J19" s="1"/>
      <c r="K19" s="1"/>
    </row>
    <row r="20" spans="2:11" x14ac:dyDescent="0.25">
      <c r="B20" s="9"/>
      <c r="C20" s="5"/>
      <c r="D20" s="7"/>
      <c r="E20" s="4"/>
      <c r="F20" s="5"/>
      <c r="G20" s="4"/>
      <c r="H20" s="3"/>
      <c r="I20" s="3"/>
      <c r="J20" s="1"/>
      <c r="K20" s="1"/>
    </row>
    <row r="21" spans="2:11" x14ac:dyDescent="0.25">
      <c r="B21" s="132" t="s">
        <v>90</v>
      </c>
      <c r="C21" s="132"/>
      <c r="D21" s="132"/>
      <c r="E21" s="132"/>
      <c r="F21" s="132"/>
      <c r="G21" s="132"/>
      <c r="H21" s="3"/>
      <c r="I21" s="3"/>
      <c r="J21" s="1"/>
      <c r="K21" s="1"/>
    </row>
    <row r="22" spans="2:11" x14ac:dyDescent="0.25">
      <c r="B22" s="9"/>
      <c r="C22" s="5"/>
      <c r="D22" s="7"/>
      <c r="E22" s="4"/>
      <c r="F22" s="5"/>
      <c r="G22" s="4"/>
      <c r="H22" s="3"/>
      <c r="I22" s="3"/>
      <c r="J22" s="1"/>
      <c r="K22" s="1"/>
    </row>
    <row r="23" spans="2:11" x14ac:dyDescent="0.25">
      <c r="B23" s="9"/>
      <c r="C23" s="5"/>
      <c r="D23" s="7"/>
      <c r="E23" s="4"/>
      <c r="F23" s="5"/>
      <c r="G23" s="4"/>
      <c r="H23" s="3"/>
      <c r="I23" s="3"/>
      <c r="J23" s="1"/>
      <c r="K23" s="1"/>
    </row>
    <row r="24" spans="2:11" x14ac:dyDescent="0.25">
      <c r="B24" s="5"/>
      <c r="C24" s="5"/>
      <c r="D24" s="5"/>
      <c r="E24" s="7"/>
      <c r="F24" s="4"/>
      <c r="G24" s="5"/>
      <c r="H24" s="4"/>
      <c r="I24" s="3"/>
      <c r="J24" s="2"/>
      <c r="K24" s="1"/>
    </row>
    <row r="25" spans="2:11" x14ac:dyDescent="0.25">
      <c r="B25" s="131" t="s">
        <v>91</v>
      </c>
      <c r="C25" s="131"/>
      <c r="D25" s="131"/>
      <c r="E25" s="131"/>
      <c r="F25" s="131"/>
      <c r="G25" s="5"/>
      <c r="H25" s="4"/>
      <c r="I25" s="3"/>
      <c r="J25" s="2"/>
      <c r="K25" s="1"/>
    </row>
    <row r="26" spans="2:11" x14ac:dyDescent="0.25">
      <c r="B26" s="5"/>
      <c r="C26" s="5"/>
      <c r="D26" s="5"/>
      <c r="E26" s="7"/>
      <c r="F26" s="4"/>
      <c r="G26" s="5"/>
      <c r="H26" s="4"/>
      <c r="I26" s="3"/>
      <c r="J26" s="2"/>
      <c r="K26" s="1"/>
    </row>
    <row r="27" spans="2:11" x14ac:dyDescent="0.25">
      <c r="B27" s="5"/>
      <c r="C27" s="5"/>
      <c r="D27" s="5"/>
      <c r="E27" s="7"/>
      <c r="F27" s="4"/>
      <c r="G27" s="5"/>
      <c r="H27" s="4"/>
      <c r="I27" s="3"/>
      <c r="J27" s="2"/>
      <c r="K27" s="1"/>
    </row>
    <row r="28" spans="2:11" x14ac:dyDescent="0.25">
      <c r="B28" s="5"/>
      <c r="C28" s="5"/>
      <c r="D28" s="5"/>
      <c r="E28" s="7"/>
      <c r="F28" s="4"/>
      <c r="G28" s="5"/>
      <c r="H28" s="4"/>
      <c r="I28" s="3"/>
      <c r="J28" s="2"/>
      <c r="K28" s="1"/>
    </row>
    <row r="29" spans="2:11" x14ac:dyDescent="0.25">
      <c r="B29" s="5"/>
      <c r="C29" s="5"/>
      <c r="D29" s="5"/>
      <c r="E29" s="7"/>
      <c r="F29" s="4"/>
      <c r="G29" s="5"/>
      <c r="H29" s="4"/>
      <c r="I29" s="3"/>
      <c r="J29" s="2"/>
      <c r="K29" s="1"/>
    </row>
    <row r="30" spans="2:11" x14ac:dyDescent="0.25">
      <c r="B30" s="5"/>
      <c r="C30" s="5"/>
      <c r="D30" s="5"/>
      <c r="E30" s="7"/>
      <c r="F30" s="4"/>
      <c r="G30" s="5"/>
      <c r="H30" s="4"/>
      <c r="I30" s="3"/>
      <c r="J30" s="2"/>
      <c r="K30" s="1"/>
    </row>
    <row r="31" spans="2:11" x14ac:dyDescent="0.25">
      <c r="B31" s="5"/>
      <c r="C31" s="5"/>
      <c r="D31" s="1"/>
      <c r="E31" s="7"/>
      <c r="F31" s="4"/>
      <c r="G31" s="5"/>
      <c r="H31" s="4"/>
      <c r="I31" s="3"/>
      <c r="J31" s="2"/>
      <c r="K31" s="1"/>
    </row>
    <row r="32" spans="2:11" x14ac:dyDescent="0.25">
      <c r="B32" s="5"/>
      <c r="C32" s="5"/>
      <c r="D32" s="5"/>
      <c r="E32" s="7"/>
      <c r="F32" s="4"/>
      <c r="G32" s="5"/>
      <c r="H32" s="4"/>
      <c r="I32" s="3"/>
      <c r="J32" s="2"/>
      <c r="K32" s="1"/>
    </row>
    <row r="33" spans="2:17" x14ac:dyDescent="0.25">
      <c r="B33" s="5"/>
      <c r="C33" s="5"/>
      <c r="D33" s="5"/>
      <c r="E33" s="7"/>
      <c r="F33" s="4"/>
      <c r="G33" s="5"/>
      <c r="H33" s="4"/>
      <c r="I33" s="3"/>
      <c r="J33" s="2"/>
      <c r="K33" s="1"/>
    </row>
    <row r="34" spans="2:17" x14ac:dyDescent="0.25">
      <c r="B34" s="5"/>
      <c r="C34" s="5"/>
      <c r="D34" s="5"/>
      <c r="E34" s="5"/>
      <c r="F34" s="5"/>
      <c r="G34" s="5"/>
      <c r="H34" s="5"/>
      <c r="I34" s="5"/>
      <c r="J34" s="129"/>
      <c r="K34" s="129"/>
      <c r="L34" s="4"/>
      <c r="M34" s="5"/>
      <c r="N34" s="4"/>
      <c r="O34" s="3"/>
      <c r="P34" s="2"/>
      <c r="Q34" s="1"/>
    </row>
    <row r="35" spans="2:17" x14ac:dyDescent="0.25">
      <c r="B35" s="5"/>
      <c r="C35" s="5"/>
      <c r="D35" s="5"/>
      <c r="E35" s="7"/>
      <c r="F35" s="4"/>
      <c r="G35" s="5"/>
      <c r="H35" s="4"/>
      <c r="I35" s="3"/>
      <c r="J35" s="2"/>
      <c r="K35" s="1"/>
    </row>
    <row r="36" spans="2:17" x14ac:dyDescent="0.25">
      <c r="B36" s="5"/>
      <c r="C36" s="5"/>
      <c r="D36" s="5"/>
      <c r="E36" s="7"/>
      <c r="F36" s="129"/>
      <c r="G36" s="129"/>
      <c r="H36" s="4"/>
      <c r="I36" s="5"/>
      <c r="J36" s="2"/>
      <c r="K36" s="1"/>
    </row>
    <row r="37" spans="2:17" x14ac:dyDescent="0.25">
      <c r="B37" s="5"/>
      <c r="C37" s="5"/>
      <c r="D37" s="5"/>
      <c r="E37" s="7"/>
      <c r="F37" s="4"/>
      <c r="G37" s="5"/>
      <c r="H37" s="4"/>
      <c r="I37" s="3"/>
      <c r="J37" s="2"/>
      <c r="K37" s="1"/>
    </row>
    <row r="38" spans="2:17" x14ac:dyDescent="0.25">
      <c r="B38" s="5"/>
      <c r="C38" s="5"/>
      <c r="D38" s="5"/>
      <c r="E38" s="7"/>
      <c r="F38" s="4"/>
      <c r="G38" s="5"/>
      <c r="H38" s="4"/>
      <c r="I38" s="3"/>
      <c r="J38" s="2"/>
      <c r="K38" s="1"/>
    </row>
    <row r="39" spans="2:17" x14ac:dyDescent="0.25">
      <c r="B39" s="5"/>
      <c r="C39" s="5"/>
      <c r="D39" s="5"/>
      <c r="E39" s="7"/>
      <c r="F39" s="4"/>
      <c r="G39" s="5"/>
      <c r="H39" s="4"/>
      <c r="I39" s="3"/>
      <c r="J39" s="2"/>
      <c r="K39" s="1"/>
    </row>
    <row r="40" spans="2:17" x14ac:dyDescent="0.25">
      <c r="B40" s="5"/>
      <c r="C40" s="5"/>
      <c r="D40" s="5"/>
      <c r="E40" s="7"/>
      <c r="F40" s="4"/>
      <c r="G40" s="5"/>
      <c r="H40" s="4"/>
      <c r="I40" s="3"/>
      <c r="J40" s="2"/>
      <c r="K40" s="1"/>
    </row>
    <row r="41" spans="2:17" x14ac:dyDescent="0.25">
      <c r="B41" s="5"/>
      <c r="C41" s="5"/>
      <c r="D41" s="5"/>
      <c r="E41" s="7"/>
      <c r="F41" s="4"/>
      <c r="G41" s="5"/>
      <c r="H41" s="4"/>
      <c r="I41" s="3"/>
      <c r="J41" s="2"/>
      <c r="K41" s="1"/>
    </row>
    <row r="42" spans="2:17" x14ac:dyDescent="0.25">
      <c r="B42" s="5"/>
      <c r="C42" s="5"/>
      <c r="D42" s="5"/>
      <c r="E42" s="7"/>
      <c r="F42" s="4"/>
      <c r="G42" s="5"/>
      <c r="H42" s="4"/>
      <c r="I42" s="3"/>
      <c r="J42" s="2"/>
      <c r="K42" s="1"/>
    </row>
    <row r="43" spans="2:17" x14ac:dyDescent="0.25">
      <c r="B43" s="5"/>
      <c r="C43" s="5"/>
      <c r="D43" s="5"/>
      <c r="E43" s="7"/>
      <c r="F43" s="4"/>
      <c r="G43" s="5"/>
      <c r="H43" s="4"/>
      <c r="I43" s="8"/>
      <c r="K43" s="1"/>
    </row>
    <row r="44" spans="2:17" x14ac:dyDescent="0.25">
      <c r="B44" s="5"/>
      <c r="C44" s="5"/>
      <c r="D44" s="5"/>
      <c r="E44" s="7"/>
      <c r="F44" s="4"/>
      <c r="G44" s="5"/>
      <c r="H44" s="4"/>
      <c r="I44" s="3"/>
      <c r="J44" s="2"/>
      <c r="K44" s="1"/>
    </row>
    <row r="45" spans="2:17" x14ac:dyDescent="0.25">
      <c r="B45" s="5"/>
      <c r="C45" s="5"/>
      <c r="D45" s="5"/>
      <c r="E45" s="7"/>
      <c r="F45" s="4"/>
      <c r="G45" s="5"/>
      <c r="H45" s="4"/>
      <c r="I45" s="3"/>
      <c r="J45" s="2"/>
      <c r="K45" s="1"/>
    </row>
    <row r="46" spans="2:17" x14ac:dyDescent="0.25">
      <c r="B46" s="5"/>
      <c r="C46" s="5"/>
      <c r="D46" s="5"/>
      <c r="E46" s="7"/>
      <c r="F46" s="4"/>
      <c r="G46" s="5"/>
      <c r="H46" s="4"/>
      <c r="I46" s="5"/>
      <c r="J46" s="4"/>
      <c r="K46" s="8"/>
    </row>
    <row r="47" spans="2:17" x14ac:dyDescent="0.25">
      <c r="B47" s="5"/>
      <c r="C47" s="5"/>
      <c r="D47" s="5"/>
      <c r="E47" s="7"/>
      <c r="F47" s="4"/>
      <c r="G47" s="5"/>
      <c r="H47" s="4"/>
      <c r="I47" s="3"/>
      <c r="J47" s="2"/>
      <c r="K47" s="1"/>
    </row>
    <row r="48" spans="2:17" x14ac:dyDescent="0.25">
      <c r="B48" s="5"/>
      <c r="C48" s="5"/>
      <c r="D48" s="5"/>
      <c r="E48" s="7"/>
      <c r="F48" s="4"/>
      <c r="G48" s="5"/>
      <c r="H48" s="4"/>
      <c r="I48" s="3"/>
      <c r="J48" s="2"/>
      <c r="K48" s="1"/>
    </row>
    <row r="49" spans="2:13" x14ac:dyDescent="0.25">
      <c r="B49" s="5"/>
      <c r="C49" s="5"/>
      <c r="D49" s="5"/>
      <c r="E49" s="7"/>
      <c r="F49" s="4"/>
      <c r="G49" s="5"/>
      <c r="H49" s="4"/>
      <c r="I49" s="3"/>
      <c r="J49" s="2"/>
      <c r="K49" s="1"/>
    </row>
    <row r="50" spans="2:13" x14ac:dyDescent="0.25">
      <c r="B50" s="5"/>
      <c r="C50" s="5"/>
      <c r="D50" s="5"/>
      <c r="E50" s="7"/>
      <c r="F50" s="4"/>
      <c r="G50" s="5"/>
      <c r="H50" s="4"/>
      <c r="I50" s="5"/>
      <c r="J50" s="4"/>
      <c r="K50" s="8"/>
      <c r="M50" s="1"/>
    </row>
    <row r="51" spans="2:13" x14ac:dyDescent="0.25">
      <c r="B51" s="5"/>
      <c r="C51" s="5"/>
      <c r="D51" s="5"/>
      <c r="E51" s="7"/>
      <c r="F51" s="4"/>
      <c r="G51" s="5"/>
      <c r="H51" s="4"/>
      <c r="I51" s="3"/>
      <c r="J51" s="2"/>
      <c r="K51" s="1"/>
    </row>
    <row r="52" spans="2:13" x14ac:dyDescent="0.25">
      <c r="B52" s="5"/>
      <c r="C52" s="5"/>
      <c r="D52" s="5"/>
      <c r="E52" s="7"/>
      <c r="F52" s="4"/>
      <c r="G52" s="5"/>
      <c r="H52" s="4"/>
      <c r="I52" s="3"/>
      <c r="J52" s="2"/>
      <c r="K52" s="1"/>
    </row>
    <row r="53" spans="2:13" x14ac:dyDescent="0.25">
      <c r="B53" s="5"/>
      <c r="C53" s="5"/>
      <c r="D53" s="5"/>
      <c r="E53" s="7"/>
      <c r="F53" s="4"/>
      <c r="G53" s="5"/>
      <c r="H53" s="4"/>
      <c r="I53" s="3"/>
      <c r="J53" s="2"/>
      <c r="K53" s="1"/>
    </row>
    <row r="54" spans="2:13" x14ac:dyDescent="0.25">
      <c r="B54" s="5"/>
      <c r="C54" s="5"/>
      <c r="D54" s="5"/>
      <c r="E54" s="7"/>
      <c r="F54" s="4"/>
      <c r="G54" s="5"/>
      <c r="H54" s="4"/>
      <c r="I54" s="3"/>
      <c r="J54" s="2"/>
      <c r="K54" s="1"/>
    </row>
    <row r="55" spans="2:13" x14ac:dyDescent="0.25">
      <c r="B55" s="5"/>
      <c r="C55" s="5"/>
      <c r="D55" s="5"/>
      <c r="E55" s="7"/>
      <c r="F55" s="4"/>
      <c r="G55" s="5"/>
      <c r="H55" s="4"/>
      <c r="I55" s="3"/>
      <c r="J55" s="2"/>
      <c r="K55" s="1"/>
    </row>
    <row r="56" spans="2:13" x14ac:dyDescent="0.25">
      <c r="B56" s="5"/>
      <c r="C56" s="5"/>
      <c r="D56" s="5"/>
      <c r="E56" s="7"/>
      <c r="F56" s="4"/>
      <c r="G56" s="5"/>
      <c r="H56" s="4"/>
      <c r="I56" s="3"/>
      <c r="J56" s="2"/>
      <c r="K56" s="1"/>
    </row>
    <row r="57" spans="2:13" x14ac:dyDescent="0.25">
      <c r="B57" s="5"/>
      <c r="C57" s="5"/>
      <c r="D57" s="5"/>
      <c r="E57" s="7"/>
      <c r="F57" s="4"/>
      <c r="G57" s="5"/>
      <c r="H57" s="4"/>
      <c r="I57" s="3"/>
      <c r="J57" s="2"/>
      <c r="K57" s="1"/>
    </row>
    <row r="58" spans="2:13" x14ac:dyDescent="0.25">
      <c r="B58" s="5"/>
      <c r="C58" s="5"/>
      <c r="D58" s="5"/>
      <c r="E58" s="7"/>
      <c r="F58" s="4"/>
      <c r="G58" s="5"/>
      <c r="H58" s="4"/>
      <c r="I58" s="3"/>
      <c r="J58" s="2"/>
      <c r="K58" s="1"/>
    </row>
    <row r="59" spans="2:13" x14ac:dyDescent="0.25">
      <c r="B59" s="5"/>
      <c r="C59" s="5"/>
      <c r="D59" s="5"/>
      <c r="E59" s="7"/>
      <c r="F59" s="4"/>
      <c r="G59" s="5"/>
      <c r="H59" s="4"/>
      <c r="I59" s="3"/>
      <c r="J59" s="2"/>
      <c r="K59" s="1"/>
    </row>
    <row r="60" spans="2:13" x14ac:dyDescent="0.25">
      <c r="B60" s="5"/>
      <c r="C60" s="5"/>
      <c r="D60" s="5"/>
      <c r="E60" s="7"/>
      <c r="F60" s="4"/>
      <c r="G60" s="5"/>
      <c r="H60" s="4"/>
      <c r="I60" s="3"/>
      <c r="J60" s="2"/>
      <c r="K60" s="1"/>
    </row>
    <row r="61" spans="2:13" x14ac:dyDescent="0.25">
      <c r="B61" s="5"/>
      <c r="C61" s="5"/>
      <c r="D61" s="5"/>
      <c r="E61" s="7"/>
      <c r="F61" s="4"/>
      <c r="G61" s="5"/>
      <c r="H61" s="4"/>
      <c r="I61" s="3"/>
      <c r="J61" s="2"/>
      <c r="K61" s="1"/>
    </row>
    <row r="62" spans="2:13" x14ac:dyDescent="0.25">
      <c r="B62" s="5"/>
      <c r="C62" s="5"/>
      <c r="D62" s="5"/>
      <c r="E62" s="7"/>
      <c r="F62" s="4"/>
      <c r="G62" s="5"/>
      <c r="H62" s="4"/>
      <c r="I62" s="3"/>
      <c r="J62" s="2"/>
      <c r="K62" s="1"/>
    </row>
    <row r="63" spans="2:13" x14ac:dyDescent="0.25">
      <c r="B63" s="5"/>
      <c r="C63" s="5"/>
      <c r="D63" s="5"/>
      <c r="E63" s="7"/>
      <c r="F63" s="4"/>
      <c r="G63" s="5"/>
      <c r="H63" s="4"/>
      <c r="I63" s="3"/>
      <c r="J63" s="2"/>
      <c r="K63" s="1"/>
    </row>
    <row r="64" spans="2:13" x14ac:dyDescent="0.25">
      <c r="B64" s="5"/>
      <c r="C64" s="5"/>
      <c r="D64" s="5"/>
      <c r="E64" s="7"/>
      <c r="F64" s="4"/>
      <c r="G64" s="5"/>
      <c r="H64" s="4"/>
      <c r="I64" s="3"/>
      <c r="J64" s="2"/>
      <c r="K64" s="1"/>
    </row>
    <row r="65" spans="2:11" x14ac:dyDescent="0.25">
      <c r="B65" s="5"/>
      <c r="C65" s="5"/>
      <c r="D65" s="5"/>
      <c r="E65" s="7"/>
      <c r="F65" s="4"/>
      <c r="G65" s="5"/>
      <c r="H65" s="4"/>
      <c r="I65" s="3"/>
      <c r="J65" s="2"/>
      <c r="K65" s="1"/>
    </row>
    <row r="66" spans="2:11" x14ac:dyDescent="0.25">
      <c r="B66" s="5"/>
      <c r="C66" s="5"/>
      <c r="D66" s="5"/>
      <c r="E66" s="7"/>
      <c r="F66" s="4"/>
      <c r="G66" s="5"/>
      <c r="H66" s="4"/>
      <c r="I66" s="3"/>
      <c r="J66" s="2"/>
      <c r="K66" s="1"/>
    </row>
    <row r="67" spans="2:11" x14ac:dyDescent="0.25">
      <c r="B67" s="5"/>
      <c r="C67" s="5"/>
      <c r="D67" s="5"/>
      <c r="E67" s="7"/>
      <c r="F67" s="4"/>
      <c r="G67" s="5"/>
      <c r="H67" s="4"/>
      <c r="I67" s="3"/>
      <c r="J67" s="2"/>
      <c r="K67" s="1"/>
    </row>
    <row r="68" spans="2:11" x14ac:dyDescent="0.25">
      <c r="B68" s="5"/>
      <c r="C68" s="5"/>
      <c r="D68" s="5"/>
      <c r="E68" s="7"/>
      <c r="F68" s="4"/>
      <c r="G68" s="5"/>
      <c r="H68" s="4"/>
      <c r="I68" s="3"/>
      <c r="J68" s="2"/>
      <c r="K68" s="1"/>
    </row>
    <row r="69" spans="2:11" x14ac:dyDescent="0.25">
      <c r="B69" s="5"/>
      <c r="C69" s="5"/>
      <c r="D69" s="5"/>
      <c r="E69" s="7"/>
      <c r="F69" s="4"/>
      <c r="G69" s="5"/>
      <c r="H69" s="4"/>
      <c r="I69" s="3"/>
      <c r="J69" s="2"/>
      <c r="K69" s="1"/>
    </row>
    <row r="70" spans="2:11" x14ac:dyDescent="0.25">
      <c r="B70" s="5"/>
      <c r="C70" s="5"/>
      <c r="D70" s="5"/>
      <c r="E70" s="7"/>
      <c r="F70" s="4"/>
      <c r="G70" s="5"/>
      <c r="H70" s="4"/>
      <c r="I70" s="3"/>
      <c r="J70" s="2"/>
      <c r="K70" s="1"/>
    </row>
    <row r="71" spans="2:11" x14ac:dyDescent="0.25">
      <c r="B71" s="5"/>
      <c r="C71" s="5"/>
      <c r="D71" s="5"/>
      <c r="E71" s="7"/>
      <c r="F71" s="4"/>
      <c r="G71" s="5"/>
      <c r="H71" s="4"/>
      <c r="I71" s="3"/>
      <c r="J71" s="2"/>
      <c r="K71" s="1"/>
    </row>
    <row r="72" spans="2:11" x14ac:dyDescent="0.25">
      <c r="B72" s="5"/>
      <c r="C72" s="5"/>
      <c r="D72" s="5"/>
      <c r="E72" s="7"/>
      <c r="F72" s="4"/>
      <c r="G72" s="5"/>
      <c r="H72" s="4"/>
      <c r="I72" s="3"/>
      <c r="J72" s="2"/>
      <c r="K72" s="1"/>
    </row>
    <row r="73" spans="2:11" x14ac:dyDescent="0.25">
      <c r="B73" s="5"/>
      <c r="C73" s="5"/>
      <c r="D73" s="5"/>
      <c r="E73" s="7"/>
      <c r="F73" s="4"/>
      <c r="G73" s="5"/>
      <c r="H73" s="4"/>
      <c r="I73" s="3"/>
      <c r="J73" s="2"/>
      <c r="K73" s="1"/>
    </row>
    <row r="74" spans="2:11" x14ac:dyDescent="0.25">
      <c r="B74" s="5"/>
      <c r="C74" s="5"/>
      <c r="D74" s="5"/>
      <c r="E74" s="7"/>
      <c r="F74" s="4"/>
      <c r="G74" s="5"/>
      <c r="H74" s="4"/>
      <c r="I74" s="3"/>
      <c r="J74" s="2"/>
      <c r="K74" s="1"/>
    </row>
    <row r="75" spans="2:11" x14ac:dyDescent="0.25">
      <c r="B75" s="5"/>
      <c r="C75" s="5"/>
      <c r="D75" s="5"/>
      <c r="E75" s="7"/>
      <c r="F75" s="4"/>
      <c r="G75" s="5"/>
      <c r="H75" s="4"/>
      <c r="I75" s="3"/>
      <c r="J75" s="2"/>
      <c r="K75" s="1"/>
    </row>
    <row r="76" spans="2:11" x14ac:dyDescent="0.25">
      <c r="B76" s="5"/>
      <c r="C76" s="5"/>
      <c r="D76" s="5"/>
      <c r="E76" s="7"/>
      <c r="F76" s="4"/>
      <c r="G76" s="5"/>
      <c r="H76" s="4"/>
      <c r="I76" s="3"/>
      <c r="J76" s="2"/>
      <c r="K76" s="1"/>
    </row>
    <row r="77" spans="2:11" x14ac:dyDescent="0.25">
      <c r="B77" s="5"/>
      <c r="C77" s="5"/>
      <c r="D77" s="5"/>
      <c r="E77" s="7"/>
      <c r="F77" s="4"/>
      <c r="G77" s="5"/>
      <c r="H77" s="4"/>
      <c r="I77" s="3"/>
      <c r="J77" s="2"/>
      <c r="K77" s="1"/>
    </row>
    <row r="78" spans="2:11" x14ac:dyDescent="0.25">
      <c r="B78" s="5"/>
      <c r="C78" s="5"/>
      <c r="D78" s="5"/>
      <c r="E78" s="7"/>
      <c r="F78" s="4"/>
      <c r="G78" s="5"/>
      <c r="H78" s="4"/>
      <c r="I78" s="3"/>
      <c r="J78" s="2"/>
      <c r="K78" s="1"/>
    </row>
    <row r="79" spans="2:11" x14ac:dyDescent="0.25">
      <c r="B79" s="5"/>
      <c r="C79" s="5"/>
      <c r="D79" s="5"/>
      <c r="E79" s="7"/>
      <c r="F79" s="4"/>
      <c r="G79" s="5"/>
      <c r="H79" s="4"/>
      <c r="I79" s="3"/>
      <c r="J79" s="2"/>
      <c r="K79" s="1"/>
    </row>
    <row r="80" spans="2:11" x14ac:dyDescent="0.25">
      <c r="B80" s="5"/>
      <c r="C80" s="5"/>
      <c r="D80" s="5"/>
      <c r="E80" s="7"/>
      <c r="F80" s="4"/>
      <c r="G80" s="5"/>
      <c r="H80" s="4"/>
      <c r="I80" s="3"/>
      <c r="J80" s="2"/>
      <c r="K80" s="1"/>
    </row>
    <row r="81" spans="2:11" x14ac:dyDescent="0.25">
      <c r="B81" s="5"/>
      <c r="C81" s="5"/>
      <c r="D81" s="5"/>
      <c r="E81" s="7"/>
      <c r="F81" s="4"/>
      <c r="G81" s="5"/>
      <c r="H81" s="4"/>
      <c r="I81" s="3"/>
      <c r="J81" s="2"/>
      <c r="K81" s="1"/>
    </row>
    <row r="82" spans="2:11" x14ac:dyDescent="0.25">
      <c r="B82" s="5"/>
      <c r="C82" s="5"/>
      <c r="D82" s="5"/>
      <c r="E82" s="6"/>
      <c r="F82" s="4"/>
      <c r="G82" s="5"/>
      <c r="H82" s="4"/>
      <c r="I82" s="3"/>
      <c r="J82" s="2"/>
      <c r="K82" s="1"/>
    </row>
    <row r="83" spans="2:11" x14ac:dyDescent="0.25">
      <c r="B83" s="5"/>
      <c r="C83" s="5"/>
      <c r="D83" s="5"/>
      <c r="E83" s="6"/>
      <c r="F83" s="4"/>
      <c r="G83" s="5"/>
      <c r="H83" s="4"/>
      <c r="I83" s="3"/>
      <c r="J83" s="2"/>
      <c r="K83" s="1"/>
    </row>
    <row r="84" spans="2:11" x14ac:dyDescent="0.25">
      <c r="B84" s="5"/>
      <c r="C84" s="7"/>
      <c r="D84" s="5"/>
      <c r="E84" s="6"/>
      <c r="F84" s="4"/>
      <c r="G84" s="5"/>
      <c r="H84" s="4"/>
      <c r="I84" s="3"/>
      <c r="J84" s="2"/>
      <c r="K84" s="1"/>
    </row>
    <row r="85" spans="2:11" x14ac:dyDescent="0.25">
      <c r="B85" s="5"/>
      <c r="C85" s="7"/>
      <c r="D85" s="5"/>
      <c r="E85" s="6"/>
      <c r="F85" s="4"/>
      <c r="G85" s="5"/>
      <c r="H85" s="4"/>
      <c r="I85" s="3"/>
      <c r="J85" s="2"/>
      <c r="K85" s="1"/>
    </row>
    <row r="86" spans="2:11" x14ac:dyDescent="0.25">
      <c r="B86" s="5"/>
      <c r="C86" s="7"/>
      <c r="D86" s="5"/>
      <c r="E86" s="6"/>
      <c r="F86" s="4"/>
      <c r="G86" s="5"/>
      <c r="H86" s="4"/>
      <c r="I86" s="3"/>
      <c r="J86" s="2"/>
      <c r="K86" s="1"/>
    </row>
    <row r="87" spans="2:11" x14ac:dyDescent="0.25">
      <c r="B87" s="5"/>
      <c r="C87" s="7"/>
      <c r="D87" s="5"/>
      <c r="E87" s="6"/>
      <c r="F87" s="4"/>
      <c r="G87" s="5"/>
      <c r="H87" s="4"/>
      <c r="I87" s="3"/>
      <c r="J87" s="2"/>
      <c r="K87" s="1"/>
    </row>
    <row r="88" spans="2:11" x14ac:dyDescent="0.25">
      <c r="B88" s="5"/>
      <c r="C88" s="7"/>
      <c r="D88" s="5"/>
      <c r="E88" s="6"/>
      <c r="F88" s="4"/>
      <c r="G88" s="5"/>
      <c r="H88" s="4"/>
      <c r="I88" s="3"/>
      <c r="J88" s="2"/>
      <c r="K88" s="1"/>
    </row>
    <row r="89" spans="2:11" x14ac:dyDescent="0.25">
      <c r="B89" s="5"/>
      <c r="C89" s="7"/>
      <c r="D89" s="5"/>
      <c r="E89" s="6"/>
      <c r="F89" s="4"/>
      <c r="G89" s="5"/>
      <c r="H89" s="4"/>
      <c r="I89" s="3"/>
      <c r="J89" s="2"/>
      <c r="K89" s="1"/>
    </row>
    <row r="90" spans="2:11" x14ac:dyDescent="0.25">
      <c r="B90" s="5"/>
      <c r="C90" s="7"/>
      <c r="D90" s="5"/>
      <c r="E90" s="6"/>
      <c r="F90" s="4"/>
      <c r="G90" s="5"/>
      <c r="H90" s="4"/>
      <c r="I90" s="3"/>
      <c r="J90" s="2"/>
      <c r="K90" s="1"/>
    </row>
    <row r="91" spans="2:11" x14ac:dyDescent="0.25">
      <c r="B91" s="5"/>
      <c r="C91" s="7"/>
      <c r="D91" s="5"/>
      <c r="E91" s="6"/>
      <c r="F91" s="4"/>
      <c r="G91" s="5"/>
      <c r="H91" s="4"/>
      <c r="I91" s="3"/>
      <c r="J91" s="2"/>
      <c r="K91" s="1"/>
    </row>
    <row r="92" spans="2:11" x14ac:dyDescent="0.25">
      <c r="B92" s="5"/>
      <c r="C92" s="7"/>
      <c r="D92" s="5"/>
      <c r="E92" s="6"/>
      <c r="F92" s="4"/>
      <c r="G92" s="5"/>
      <c r="H92" s="4"/>
      <c r="I92" s="3"/>
      <c r="J92" s="2"/>
      <c r="K92" s="1"/>
    </row>
    <row r="93" spans="2:11" x14ac:dyDescent="0.25">
      <c r="B93" s="5"/>
      <c r="C93" s="7"/>
      <c r="D93" s="5"/>
      <c r="E93" s="6"/>
      <c r="F93" s="4"/>
      <c r="G93" s="5"/>
      <c r="H93" s="4"/>
      <c r="I93" s="3"/>
      <c r="J93" s="2"/>
      <c r="K93" s="1"/>
    </row>
    <row r="94" spans="2:11" x14ac:dyDescent="0.25">
      <c r="B94" s="5"/>
      <c r="C94" s="7"/>
      <c r="D94" s="5"/>
      <c r="E94" s="6"/>
      <c r="F94" s="4"/>
      <c r="G94" s="5"/>
      <c r="H94" s="4"/>
      <c r="I94" s="3"/>
      <c r="J94" s="2"/>
      <c r="K94" s="1"/>
    </row>
    <row r="95" spans="2:11" x14ac:dyDescent="0.25">
      <c r="B95" s="5"/>
      <c r="C95" s="7"/>
      <c r="D95" s="5"/>
      <c r="E95" s="6"/>
      <c r="F95" s="4"/>
      <c r="G95" s="5"/>
      <c r="H95" s="4"/>
      <c r="I95" s="3"/>
      <c r="J95" s="2"/>
      <c r="K95" s="1"/>
    </row>
    <row r="96" spans="2:11" x14ac:dyDescent="0.25">
      <c r="B96" s="5"/>
      <c r="C96" s="7"/>
      <c r="D96" s="5"/>
      <c r="E96" s="6"/>
      <c r="F96" s="4"/>
      <c r="G96" s="5"/>
      <c r="H96" s="4"/>
      <c r="I96" s="3"/>
      <c r="J96" s="2"/>
      <c r="K96" s="1"/>
    </row>
    <row r="97" spans="2:11" x14ac:dyDescent="0.25">
      <c r="B97" s="5"/>
      <c r="C97" s="7"/>
      <c r="D97" s="5"/>
      <c r="E97" s="6"/>
      <c r="F97" s="4"/>
      <c r="G97" s="5"/>
      <c r="H97" s="4"/>
      <c r="I97" s="3"/>
      <c r="J97" s="2"/>
      <c r="K97" s="1"/>
    </row>
    <row r="98" spans="2:11" x14ac:dyDescent="0.25">
      <c r="B98" s="5"/>
      <c r="C98" s="7"/>
      <c r="D98" s="5"/>
      <c r="E98" s="6"/>
      <c r="F98" s="4"/>
      <c r="G98" s="5"/>
      <c r="H98" s="4"/>
      <c r="I98" s="3"/>
      <c r="J98" s="2"/>
      <c r="K98" s="1"/>
    </row>
    <row r="99" spans="2:11" x14ac:dyDescent="0.25">
      <c r="B99" s="5"/>
      <c r="C99" s="7"/>
      <c r="D99" s="5"/>
      <c r="E99" s="6"/>
      <c r="F99" s="4"/>
      <c r="G99" s="5"/>
      <c r="H99" s="4"/>
      <c r="I99" s="3"/>
      <c r="J99" s="2"/>
      <c r="K99" s="1"/>
    </row>
    <row r="100" spans="2:11" x14ac:dyDescent="0.25">
      <c r="B100" s="5"/>
      <c r="C100" s="7"/>
      <c r="D100" s="5"/>
      <c r="E100" s="6"/>
      <c r="F100" s="4"/>
      <c r="G100" s="5"/>
      <c r="H100" s="4"/>
      <c r="I100" s="3"/>
      <c r="J100" s="2"/>
      <c r="K100" s="1"/>
    </row>
    <row r="101" spans="2:11" x14ac:dyDescent="0.25">
      <c r="B101" s="5"/>
      <c r="C101" s="7"/>
      <c r="D101" s="5"/>
      <c r="E101" s="6"/>
      <c r="F101" s="4"/>
      <c r="G101" s="5"/>
      <c r="H101" s="4"/>
      <c r="I101" s="3"/>
      <c r="J101" s="2"/>
      <c r="K101" s="1"/>
    </row>
    <row r="102" spans="2:11" x14ac:dyDescent="0.25">
      <c r="B102" s="5"/>
      <c r="C102" s="7"/>
      <c r="D102" s="5"/>
      <c r="E102" s="6"/>
      <c r="F102" s="4"/>
      <c r="G102" s="5"/>
      <c r="H102" s="4"/>
      <c r="I102" s="3"/>
      <c r="J102" s="2"/>
      <c r="K102" s="1"/>
    </row>
    <row r="103" spans="2:11" x14ac:dyDescent="0.25">
      <c r="B103" s="5"/>
      <c r="C103" s="7"/>
      <c r="D103" s="5"/>
      <c r="E103" s="6"/>
      <c r="F103" s="4"/>
      <c r="G103" s="5"/>
      <c r="H103" s="4"/>
      <c r="I103" s="3"/>
      <c r="J103" s="2"/>
      <c r="K103" s="1"/>
    </row>
    <row r="104" spans="2:11" x14ac:dyDescent="0.25">
      <c r="B104" s="5"/>
      <c r="C104" s="7"/>
      <c r="D104" s="5"/>
      <c r="E104" s="6"/>
      <c r="F104" s="4"/>
      <c r="G104" s="5"/>
      <c r="H104" s="4"/>
      <c r="I104" s="3"/>
      <c r="J104" s="2"/>
      <c r="K104" s="1"/>
    </row>
    <row r="105" spans="2:11" x14ac:dyDescent="0.25">
      <c r="B105" s="5"/>
      <c r="C105" s="7"/>
      <c r="D105" s="5"/>
      <c r="E105" s="6"/>
      <c r="F105" s="4"/>
      <c r="G105" s="5"/>
      <c r="H105" s="4"/>
      <c r="I105" s="3"/>
      <c r="J105" s="2"/>
      <c r="K105" s="1"/>
    </row>
    <row r="106" spans="2:11" x14ac:dyDescent="0.25">
      <c r="B106" s="5"/>
      <c r="C106" s="7"/>
      <c r="D106" s="5"/>
      <c r="E106" s="6"/>
      <c r="F106" s="4"/>
      <c r="G106" s="5"/>
      <c r="H106" s="4"/>
      <c r="I106" s="3"/>
      <c r="J106" s="2"/>
      <c r="K106" s="1"/>
    </row>
    <row r="107" spans="2:11" x14ac:dyDescent="0.25">
      <c r="B107" s="5"/>
      <c r="C107" s="7"/>
      <c r="D107" s="5"/>
      <c r="E107" s="6"/>
      <c r="F107" s="4"/>
      <c r="G107" s="5"/>
      <c r="H107" s="4"/>
      <c r="I107" s="3"/>
      <c r="J107" s="2"/>
      <c r="K107" s="1"/>
    </row>
    <row r="108" spans="2:11" x14ac:dyDescent="0.25">
      <c r="B108" s="5"/>
      <c r="C108" s="7"/>
      <c r="D108" s="5"/>
      <c r="E108" s="6"/>
      <c r="F108" s="4"/>
      <c r="G108" s="5"/>
      <c r="H108" s="4"/>
      <c r="I108" s="3"/>
      <c r="J108" s="2"/>
      <c r="K108" s="1"/>
    </row>
    <row r="109" spans="2:11" x14ac:dyDescent="0.25">
      <c r="B109" s="5"/>
      <c r="C109" s="7"/>
      <c r="D109" s="5"/>
      <c r="E109" s="6"/>
      <c r="F109" s="4"/>
      <c r="G109" s="5"/>
      <c r="H109" s="4"/>
      <c r="I109" s="3"/>
      <c r="J109" s="2"/>
      <c r="K109" s="1"/>
    </row>
    <row r="110" spans="2:11" x14ac:dyDescent="0.25">
      <c r="B110" s="5"/>
      <c r="C110" s="7"/>
      <c r="D110" s="5"/>
      <c r="E110" s="6"/>
      <c r="F110" s="4"/>
      <c r="G110" s="5"/>
      <c r="H110" s="4"/>
      <c r="I110" s="3"/>
      <c r="J110" s="2"/>
      <c r="K110" s="1"/>
    </row>
    <row r="111" spans="2:11" x14ac:dyDescent="0.25">
      <c r="B111" s="5"/>
      <c r="C111" s="7"/>
      <c r="D111" s="5"/>
      <c r="E111" s="6"/>
      <c r="F111" s="4"/>
      <c r="G111" s="5"/>
      <c r="H111" s="4"/>
      <c r="I111" s="3"/>
      <c r="J111" s="2"/>
      <c r="K111" s="1"/>
    </row>
    <row r="112" spans="2:11" x14ac:dyDescent="0.25">
      <c r="B112" s="5"/>
      <c r="C112" s="7"/>
      <c r="D112" s="5"/>
      <c r="E112" s="6"/>
      <c r="F112" s="4"/>
      <c r="G112" s="5"/>
      <c r="H112" s="4"/>
      <c r="I112" s="3"/>
      <c r="J112" s="2"/>
      <c r="K112" s="1"/>
    </row>
    <row r="113" spans="2:11" x14ac:dyDescent="0.25">
      <c r="B113" s="5"/>
      <c r="C113" s="7"/>
      <c r="D113" s="5"/>
      <c r="E113" s="6"/>
      <c r="F113" s="4"/>
      <c r="G113" s="5"/>
      <c r="H113" s="4"/>
      <c r="I113" s="3"/>
      <c r="J113" s="2"/>
      <c r="K113" s="1"/>
    </row>
    <row r="114" spans="2:11" x14ac:dyDescent="0.25">
      <c r="B114" s="5"/>
      <c r="C114" s="7"/>
      <c r="D114" s="5"/>
      <c r="E114" s="6"/>
      <c r="F114" s="4"/>
      <c r="G114" s="5"/>
      <c r="H114" s="4"/>
      <c r="I114" s="3"/>
      <c r="J114" s="2"/>
      <c r="K114" s="1"/>
    </row>
    <row r="115" spans="2:11" x14ac:dyDescent="0.25">
      <c r="B115" s="5"/>
      <c r="C115" s="7"/>
      <c r="D115" s="5"/>
      <c r="E115" s="6"/>
      <c r="F115" s="4"/>
      <c r="G115" s="5"/>
      <c r="H115" s="4"/>
      <c r="I115" s="3"/>
      <c r="J115" s="2"/>
      <c r="K115" s="1"/>
    </row>
    <row r="116" spans="2:11" x14ac:dyDescent="0.25">
      <c r="B116" s="5"/>
      <c r="C116" s="7"/>
      <c r="D116" s="5"/>
      <c r="E116" s="6"/>
      <c r="F116" s="4"/>
      <c r="G116" s="5"/>
      <c r="H116" s="4"/>
      <c r="I116" s="3"/>
      <c r="J116" s="2"/>
      <c r="K116" s="1"/>
    </row>
    <row r="117" spans="2:11" x14ac:dyDescent="0.25">
      <c r="B117" s="5"/>
      <c r="C117" s="7"/>
      <c r="D117" s="5"/>
      <c r="E117" s="6"/>
      <c r="F117" s="4"/>
      <c r="G117" s="5"/>
      <c r="H117" s="4"/>
      <c r="I117" s="3"/>
      <c r="J117" s="2"/>
      <c r="K117" s="1"/>
    </row>
    <row r="118" spans="2:11" x14ac:dyDescent="0.25">
      <c r="B118" s="5"/>
      <c r="C118" s="7"/>
      <c r="D118" s="5"/>
      <c r="E118" s="6"/>
      <c r="F118" s="4"/>
      <c r="G118" s="5"/>
      <c r="H118" s="4"/>
      <c r="I118" s="3"/>
      <c r="J118" s="2"/>
      <c r="K118" s="1"/>
    </row>
  </sheetData>
  <mergeCells count="9">
    <mergeCell ref="J34:K34"/>
    <mergeCell ref="F36:G36"/>
    <mergeCell ref="B2:F2"/>
    <mergeCell ref="B6:K6"/>
    <mergeCell ref="B9:K9"/>
    <mergeCell ref="B13:J13"/>
    <mergeCell ref="B17:I17"/>
    <mergeCell ref="B21:G21"/>
    <mergeCell ref="B25:F25"/>
  </mergeCells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41</xdr:row>
                    <xdr:rowOff>180975</xdr:rowOff>
                  </from>
                  <to>
                    <xdr:col>6</xdr:col>
                    <xdr:colOff>333375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419100</xdr:colOff>
                    <xdr:row>41</xdr:row>
                    <xdr:rowOff>180975</xdr:rowOff>
                  </from>
                  <to>
                    <xdr:col>8</xdr:col>
                    <xdr:colOff>200025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323850</xdr:colOff>
                    <xdr:row>44</xdr:row>
                    <xdr:rowOff>180975</xdr:rowOff>
                  </from>
                  <to>
                    <xdr:col>8</xdr:col>
                    <xdr:colOff>114300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9</xdr:col>
                    <xdr:colOff>419100</xdr:colOff>
                    <xdr:row>44</xdr:row>
                    <xdr:rowOff>180975</xdr:rowOff>
                  </from>
                  <to>
                    <xdr:col>10</xdr:col>
                    <xdr:colOff>9525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371475</xdr:colOff>
                    <xdr:row>48</xdr:row>
                    <xdr:rowOff>180975</xdr:rowOff>
                  </from>
                  <to>
                    <xdr:col>8</xdr:col>
                    <xdr:colOff>161925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419100</xdr:colOff>
                    <xdr:row>48</xdr:row>
                    <xdr:rowOff>180975</xdr:rowOff>
                  </from>
                  <to>
                    <xdr:col>10</xdr:col>
                    <xdr:colOff>9525</xdr:colOff>
                    <xdr:row>50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D08B-9BB6-4FD9-9ADD-44AA470B79C0}">
  <sheetPr>
    <tabColor theme="7" tint="0.39997558519241921"/>
  </sheetPr>
  <dimension ref="B1:T124"/>
  <sheetViews>
    <sheetView showGridLines="0" workbookViewId="0">
      <selection activeCell="Q26" sqref="Q26"/>
    </sheetView>
    <sheetView showGridLines="0" workbookViewId="1">
      <selection activeCell="Q25" sqref="Q25"/>
    </sheetView>
  </sheetViews>
  <sheetFormatPr defaultRowHeight="15" x14ac:dyDescent="0.25"/>
  <cols>
    <col min="1" max="1" width="3.85546875" customWidth="1"/>
    <col min="2" max="2" width="7.42578125" hidden="1" customWidth="1"/>
    <col min="3" max="3" width="17" customWidth="1"/>
    <col min="4" max="4" width="65.140625" customWidth="1"/>
    <col min="5" max="5" width="10.42578125" customWidth="1"/>
    <col min="6" max="6" width="7.7109375" customWidth="1"/>
    <col min="7" max="7" width="9.85546875" style="68" customWidth="1"/>
    <col min="8" max="8" width="9.85546875" style="68" hidden="1" customWidth="1"/>
    <col min="9" max="9" width="11.85546875" style="68" hidden="1" customWidth="1"/>
    <col min="10" max="10" width="9.28515625" customWidth="1"/>
    <col min="11" max="11" width="9" customWidth="1"/>
    <col min="12" max="12" width="9.28515625" customWidth="1"/>
    <col min="13" max="13" width="6.7109375" customWidth="1"/>
    <col min="14" max="14" width="9.28515625" customWidth="1"/>
    <col min="15" max="15" width="8.7109375" customWidth="1"/>
    <col min="16" max="16" width="18.42578125" customWidth="1"/>
    <col min="17" max="17" width="17.85546875" customWidth="1"/>
    <col min="18" max="18" width="26.85546875" customWidth="1"/>
    <col min="19" max="19" width="12.42578125" bestFit="1" customWidth="1"/>
    <col min="20" max="20" width="19.7109375" customWidth="1"/>
  </cols>
  <sheetData>
    <row r="1" spans="3:20" x14ac:dyDescent="0.25">
      <c r="C1" s="1"/>
      <c r="D1" s="10"/>
      <c r="E1" s="10"/>
      <c r="F1" s="10"/>
      <c r="G1" s="96"/>
      <c r="H1" s="96"/>
      <c r="I1" s="96"/>
      <c r="J1" s="10"/>
      <c r="L1" s="11"/>
      <c r="M1" s="11"/>
      <c r="N1" s="11"/>
      <c r="O1" s="10"/>
      <c r="P1" s="11"/>
      <c r="Q1" s="2"/>
    </row>
    <row r="2" spans="3:20" ht="21.75" thickBot="1" x14ac:dyDescent="0.4">
      <c r="C2" s="133"/>
      <c r="D2" s="133"/>
      <c r="E2" s="1"/>
      <c r="F2" s="134" t="s">
        <v>0</v>
      </c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0"/>
      <c r="R2" s="135" t="s">
        <v>18</v>
      </c>
      <c r="S2" s="135"/>
      <c r="T2" s="135"/>
    </row>
    <row r="3" spans="3:20" ht="15" customHeight="1" x14ac:dyDescent="0.25">
      <c r="C3" s="136" t="s">
        <v>3</v>
      </c>
      <c r="D3" s="136"/>
      <c r="E3" s="1"/>
      <c r="F3" s="136" t="s">
        <v>4</v>
      </c>
      <c r="G3" s="136"/>
      <c r="H3" s="136"/>
      <c r="I3" s="136"/>
      <c r="J3" s="136"/>
      <c r="K3" s="136"/>
      <c r="L3" s="136"/>
      <c r="M3" s="137"/>
      <c r="N3" s="137"/>
      <c r="O3" s="137"/>
      <c r="P3" s="12"/>
      <c r="Q3" s="13"/>
      <c r="R3" s="138" t="s">
        <v>68</v>
      </c>
      <c r="S3" s="138"/>
      <c r="T3" s="138"/>
    </row>
    <row r="4" spans="3:20" ht="15" customHeight="1" x14ac:dyDescent="0.25">
      <c r="C4" s="1"/>
      <c r="D4" s="14"/>
      <c r="E4" s="1"/>
      <c r="F4" s="1"/>
      <c r="G4" s="97"/>
      <c r="H4" s="97"/>
      <c r="I4" s="97"/>
      <c r="J4" s="1"/>
      <c r="K4" s="1"/>
      <c r="L4" s="1"/>
      <c r="M4" s="1"/>
      <c r="N4" s="1"/>
      <c r="P4" s="15"/>
      <c r="Q4" s="1"/>
      <c r="R4" s="138"/>
      <c r="S4" s="138"/>
      <c r="T4" s="138"/>
    </row>
    <row r="5" spans="3:20" ht="15" customHeight="1" thickBot="1" x14ac:dyDescent="0.3">
      <c r="C5" s="139"/>
      <c r="D5" s="139"/>
      <c r="E5" s="1"/>
      <c r="F5" s="139"/>
      <c r="G5" s="139"/>
      <c r="H5" s="139"/>
      <c r="I5" s="139"/>
      <c r="J5" s="139"/>
      <c r="K5" s="139"/>
      <c r="L5" s="139"/>
      <c r="M5" s="18"/>
      <c r="N5" s="18"/>
      <c r="O5" s="16"/>
      <c r="P5" s="17"/>
      <c r="Q5" s="18"/>
      <c r="R5" s="138"/>
      <c r="S5" s="138"/>
      <c r="T5" s="138"/>
    </row>
    <row r="6" spans="3:20" x14ac:dyDescent="0.25">
      <c r="C6" s="113" t="s">
        <v>6</v>
      </c>
      <c r="D6" s="108"/>
      <c r="E6" s="1"/>
      <c r="F6" s="113" t="s">
        <v>7</v>
      </c>
      <c r="G6" s="98"/>
      <c r="H6" s="98"/>
      <c r="I6" s="98"/>
      <c r="J6" s="109"/>
      <c r="K6" s="109"/>
      <c r="L6" s="109"/>
      <c r="M6" s="109"/>
      <c r="N6" s="109"/>
      <c r="O6" s="113" t="s">
        <v>8</v>
      </c>
      <c r="P6" s="113" t="s">
        <v>9</v>
      </c>
      <c r="Q6" s="109"/>
      <c r="R6" s="138"/>
      <c r="S6" s="138"/>
      <c r="T6" s="138"/>
    </row>
    <row r="7" spans="3:20" x14ac:dyDescent="0.25">
      <c r="C7" s="1"/>
      <c r="D7" s="14"/>
      <c r="E7" s="1"/>
      <c r="F7" s="1"/>
      <c r="G7" s="97"/>
      <c r="H7" s="97"/>
      <c r="I7" s="97"/>
      <c r="J7" s="1"/>
      <c r="K7" s="1"/>
      <c r="L7" s="1"/>
      <c r="M7" s="1"/>
      <c r="N7" s="1"/>
      <c r="P7" s="15"/>
      <c r="Q7" s="1"/>
      <c r="R7" s="92"/>
      <c r="S7" s="92"/>
      <c r="T7" s="92"/>
    </row>
    <row r="8" spans="3:20" ht="15.75" customHeight="1" thickBot="1" x14ac:dyDescent="0.3">
      <c r="C8" s="1"/>
      <c r="D8" s="14"/>
      <c r="E8" s="1"/>
      <c r="F8" s="134" t="s">
        <v>11</v>
      </c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"/>
      <c r="R8" s="140" t="str">
        <f>IF(_GLB_RFQ_Plant&lt;&gt;"",IFERROR(UPPER(INDEX(_tblIssuedBy[Plant Label],MATCH(_GLB_RFQ_Plant,_tblIssuedBy[Plant],0))),""),"")</f>
        <v>FPI-MARION</v>
      </c>
      <c r="S8" s="140"/>
      <c r="T8" s="140"/>
    </row>
    <row r="9" spans="3:20" ht="15" customHeight="1" x14ac:dyDescent="0.25">
      <c r="C9" s="1"/>
      <c r="D9" s="14"/>
      <c r="E9" s="1"/>
      <c r="F9" s="136" t="s">
        <v>12</v>
      </c>
      <c r="G9" s="136"/>
      <c r="H9" s="136"/>
      <c r="I9" s="136"/>
      <c r="J9" s="136"/>
      <c r="K9" s="136"/>
      <c r="L9" s="136"/>
      <c r="M9" s="137"/>
      <c r="N9" s="137"/>
      <c r="O9" s="137"/>
      <c r="P9" s="15"/>
      <c r="Q9" s="1"/>
      <c r="R9" s="140"/>
      <c r="S9" s="140"/>
      <c r="T9" s="140"/>
    </row>
    <row r="10" spans="3:20" ht="15" customHeight="1" x14ac:dyDescent="0.25">
      <c r="C10" s="21"/>
      <c r="D10" s="21"/>
      <c r="E10" s="5"/>
      <c r="F10" s="5"/>
      <c r="G10" s="99"/>
      <c r="H10" s="99"/>
      <c r="I10" s="99"/>
      <c r="J10" s="5"/>
      <c r="K10" s="5"/>
      <c r="L10" s="5"/>
      <c r="M10" s="5"/>
      <c r="N10" s="5"/>
      <c r="O10" s="6"/>
      <c r="P10" s="4"/>
      <c r="Q10" s="5"/>
      <c r="R10" s="140"/>
      <c r="S10" s="140"/>
      <c r="T10" s="140"/>
    </row>
    <row r="11" spans="3:20" ht="15" customHeight="1" x14ac:dyDescent="0.25">
      <c r="C11" s="141" t="s">
        <v>14</v>
      </c>
      <c r="D11" s="141"/>
      <c r="E11" s="5"/>
      <c r="F11" s="141" t="s">
        <v>15</v>
      </c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R11" s="140"/>
      <c r="S11" s="140"/>
      <c r="T11" s="140"/>
    </row>
    <row r="12" spans="3:20" ht="15" customHeight="1" x14ac:dyDescent="0.25">
      <c r="C12" s="142" t="str">
        <f>IFERROR(IF(_GLB_RFQ_Plant&lt;&gt;"",INDEX(_tblIssuedBy[Issues By Name],MATCH(_GLB_RFQ_Plant,_tblIssuedBy[Plant],0)),""),"")</f>
        <v xml:space="preserve">Marlea Clark
PRC Contract Specialist | FMC Lexington
marlea.clark@usdoj.gov | 800-827-3168 ext. 3100
</v>
      </c>
      <c r="D12" s="143"/>
      <c r="E12" s="5"/>
      <c r="F12" s="142" t="str">
        <f>IFERROR(IF(_GLB_RFQ_Plant&lt;&gt;"",INDEX(_tblIssuedBy[Deliver Address],MATCH(_GLB_RFQ_Plant,_tblIssuedBy[Plant],0)),""),"")</f>
        <v>FPI Marion
Marion, IL 62959
4500 Prison Road</v>
      </c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R12" s="140"/>
      <c r="S12" s="140"/>
      <c r="T12" s="140"/>
    </row>
    <row r="13" spans="3:20" ht="15" customHeight="1" x14ac:dyDescent="0.25">
      <c r="C13" s="143"/>
      <c r="D13" s="143"/>
      <c r="E13" s="5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R13" s="144" t="s">
        <v>70</v>
      </c>
      <c r="S13" s="144"/>
      <c r="T13" s="144"/>
    </row>
    <row r="14" spans="3:20" x14ac:dyDescent="0.25">
      <c r="C14" s="143"/>
      <c r="D14" s="143"/>
      <c r="E14" s="5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R14" s="144"/>
      <c r="S14" s="144"/>
      <c r="T14" s="144"/>
    </row>
    <row r="15" spans="3:20" ht="15" customHeight="1" thickBot="1" x14ac:dyDescent="0.3">
      <c r="C15" s="142" t="str">
        <f>IFERROR(IF(_GLB_RFQ_Plant&lt;&gt;"",INDEX(_tblIssuedBy[Issued By Address],MATCH(_GLB_RFQ_Plant,_tblIssuedBy[Plant],0)),""),"")</f>
        <v>UNICOR Federal Prison Industries
Electronic Business Group</v>
      </c>
      <c r="D15" s="142"/>
      <c r="E15" s="5"/>
      <c r="F15" s="26"/>
      <c r="G15" s="100"/>
      <c r="H15" s="100"/>
      <c r="I15" s="100"/>
      <c r="J15" s="26"/>
      <c r="K15" s="26"/>
      <c r="L15" s="27"/>
      <c r="M15" s="27"/>
      <c r="N15" s="27"/>
      <c r="O15" s="27"/>
      <c r="P15" s="4"/>
      <c r="R15" s="64"/>
      <c r="S15" s="55"/>
      <c r="T15" s="55"/>
    </row>
    <row r="16" spans="3:20" ht="15.75" thickBot="1" x14ac:dyDescent="0.3">
      <c r="C16" s="142"/>
      <c r="D16" s="142"/>
      <c r="E16" s="5"/>
      <c r="F16" s="22" t="s">
        <v>16</v>
      </c>
      <c r="G16" s="101"/>
      <c r="H16" s="101"/>
      <c r="I16" s="101"/>
      <c r="J16" s="22"/>
      <c r="K16" s="23"/>
      <c r="L16" s="24"/>
      <c r="M16" s="24"/>
      <c r="N16" s="24"/>
      <c r="O16" s="24"/>
      <c r="P16" s="24"/>
      <c r="Q16" s="5"/>
      <c r="R16" s="110" t="s">
        <v>5</v>
      </c>
      <c r="T16" s="56"/>
    </row>
    <row r="17" spans="2:20" x14ac:dyDescent="0.25">
      <c r="C17" s="142"/>
      <c r="D17" s="142"/>
      <c r="E17" s="5"/>
      <c r="F17" s="147" t="s">
        <v>17</v>
      </c>
      <c r="G17" s="147"/>
      <c r="H17" s="147"/>
      <c r="I17" s="147"/>
      <c r="J17" s="147"/>
      <c r="K17" s="147"/>
      <c r="L17" s="147"/>
      <c r="M17" s="147"/>
      <c r="N17" s="147"/>
      <c r="O17" s="147"/>
      <c r="P17" s="25"/>
      <c r="R17" s="1"/>
      <c r="S17" s="15"/>
      <c r="T17" s="2"/>
    </row>
    <row r="18" spans="2:20" ht="15.75" thickBot="1" x14ac:dyDescent="0.3">
      <c r="C18" s="21"/>
      <c r="D18" s="21"/>
      <c r="E18" s="5"/>
      <c r="F18" s="28"/>
      <c r="G18" s="102"/>
      <c r="H18" s="102"/>
      <c r="I18" s="102"/>
      <c r="J18" s="28"/>
      <c r="K18" s="28"/>
      <c r="L18" s="29"/>
      <c r="M18" s="29"/>
      <c r="N18" s="29"/>
      <c r="O18" s="29"/>
      <c r="P18" s="4"/>
      <c r="R18" s="59" t="str">
        <f>IF($R$15&lt;&gt;"",$R$15+7,"")</f>
        <v/>
      </c>
      <c r="S18" s="91"/>
      <c r="T18" s="57"/>
    </row>
    <row r="19" spans="2:20" ht="15.75" thickBot="1" x14ac:dyDescent="0.3">
      <c r="C19" s="141" t="s">
        <v>19</v>
      </c>
      <c r="D19" s="141"/>
      <c r="E19" s="30"/>
      <c r="F19" s="22" t="s">
        <v>71</v>
      </c>
      <c r="G19" s="101"/>
      <c r="H19" s="101"/>
      <c r="I19" s="101"/>
      <c r="J19" s="22"/>
      <c r="K19" s="23"/>
      <c r="L19" s="24"/>
      <c r="M19" s="24"/>
      <c r="N19" s="24"/>
      <c r="O19" s="24"/>
      <c r="P19" s="24"/>
      <c r="R19" s="111" t="s">
        <v>10</v>
      </c>
      <c r="S19" s="111" t="s">
        <v>51</v>
      </c>
      <c r="T19" s="111"/>
    </row>
    <row r="20" spans="2:20" x14ac:dyDescent="0.25">
      <c r="C20" s="148" t="s">
        <v>20</v>
      </c>
      <c r="D20" s="148"/>
      <c r="E20" s="5"/>
      <c r="F20" s="147" t="s">
        <v>21</v>
      </c>
      <c r="G20" s="147"/>
      <c r="H20" s="147"/>
      <c r="I20" s="147"/>
      <c r="J20" s="147"/>
      <c r="K20" s="147"/>
      <c r="L20" s="147"/>
      <c r="M20" s="147"/>
      <c r="N20" s="147"/>
      <c r="O20" s="147"/>
      <c r="P20" s="25"/>
      <c r="R20" s="61"/>
      <c r="S20" s="61"/>
      <c r="T20" s="61"/>
    </row>
    <row r="21" spans="2:20" ht="15.75" thickBot="1" x14ac:dyDescent="0.3">
      <c r="C21" s="143" t="s">
        <v>22</v>
      </c>
      <c r="D21" s="143"/>
      <c r="E21" s="5"/>
      <c r="F21" s="5"/>
      <c r="G21" s="99"/>
      <c r="H21" s="99"/>
      <c r="I21" s="99"/>
      <c r="J21" s="5"/>
      <c r="K21" s="5"/>
      <c r="L21" s="5"/>
      <c r="M21" s="5"/>
      <c r="N21" s="5"/>
      <c r="O21" s="6"/>
      <c r="P21" s="4"/>
      <c r="R21" s="60" t="str">
        <f>IFERROR(IF(COUNT(_tblRFQExample[])&gt;0,INDEX(_tblRFQExample[Collective Number],1),""),"")</f>
        <v>MA26-090GL</v>
      </c>
      <c r="S21" s="58"/>
      <c r="T21" s="58"/>
    </row>
    <row r="22" spans="2:20" ht="15" customHeight="1" thickBot="1" x14ac:dyDescent="0.3">
      <c r="C22" s="149" t="s">
        <v>23</v>
      </c>
      <c r="D22" s="149"/>
      <c r="E22" s="5"/>
      <c r="F22" s="5"/>
      <c r="G22" s="99"/>
      <c r="H22" s="99"/>
      <c r="I22" s="99"/>
      <c r="J22" s="150" t="s">
        <v>46</v>
      </c>
      <c r="K22" s="5"/>
      <c r="M22" s="5"/>
      <c r="N22" s="5"/>
      <c r="O22" s="6"/>
      <c r="P22" s="107"/>
      <c r="R22" s="110" t="s">
        <v>13</v>
      </c>
      <c r="T22" s="56"/>
    </row>
    <row r="23" spans="2:20" ht="15" customHeight="1" x14ac:dyDescent="0.25">
      <c r="C23" s="5"/>
      <c r="D23" s="153" t="str">
        <f>IF(COUNT(#REF!)&gt;COUNT(_tblRFQExample[Index]),"Warrning: Some Materials from This Collective are Not Being Displayed","")</f>
        <v/>
      </c>
      <c r="E23" s="74"/>
      <c r="F23" s="5"/>
      <c r="G23" s="99"/>
      <c r="H23" s="99"/>
      <c r="I23" s="99"/>
      <c r="J23" s="151"/>
      <c r="K23" s="145" t="s">
        <v>49</v>
      </c>
      <c r="L23" s="145" t="s">
        <v>49</v>
      </c>
      <c r="M23" s="5"/>
      <c r="N23" s="145" t="s">
        <v>49</v>
      </c>
      <c r="O23" s="6"/>
      <c r="P23" s="4"/>
    </row>
    <row r="24" spans="2:20" ht="15" customHeight="1" x14ac:dyDescent="0.25">
      <c r="C24" s="31"/>
      <c r="D24" s="154"/>
      <c r="E24" s="75"/>
      <c r="J24" s="152"/>
      <c r="K24" s="146"/>
      <c r="L24" s="146"/>
      <c r="N24" s="146"/>
      <c r="R24" s="32" t="s">
        <v>36</v>
      </c>
      <c r="S24" s="52">
        <f>SUM(_tblRFQExample[Sub Total])</f>
        <v>35</v>
      </c>
    </row>
    <row r="25" spans="2:20" ht="81" x14ac:dyDescent="0.25">
      <c r="B25" s="38" t="s">
        <v>37</v>
      </c>
      <c r="C25" s="37" t="s">
        <v>24</v>
      </c>
      <c r="D25" s="36" t="s">
        <v>25</v>
      </c>
      <c r="E25" s="34" t="s">
        <v>2</v>
      </c>
      <c r="F25" s="94" t="s">
        <v>27</v>
      </c>
      <c r="G25" s="116" t="s">
        <v>69</v>
      </c>
      <c r="H25" s="95" t="s">
        <v>44</v>
      </c>
      <c r="I25" s="93" t="s">
        <v>1</v>
      </c>
      <c r="J25" s="71" t="s">
        <v>39</v>
      </c>
      <c r="K25" s="70" t="s">
        <v>26</v>
      </c>
      <c r="L25" s="70" t="s">
        <v>31</v>
      </c>
      <c r="M25" s="69" t="s">
        <v>38</v>
      </c>
      <c r="N25" s="70" t="s">
        <v>33</v>
      </c>
      <c r="O25" s="39" t="s">
        <v>32</v>
      </c>
      <c r="P25" s="35" t="s">
        <v>29</v>
      </c>
      <c r="Q25" s="35" t="s">
        <v>30</v>
      </c>
      <c r="R25" s="51" t="s">
        <v>34</v>
      </c>
      <c r="S25" s="53" t="s">
        <v>35</v>
      </c>
      <c r="T25" s="33" t="s">
        <v>28</v>
      </c>
    </row>
    <row r="26" spans="2:20" ht="75" x14ac:dyDescent="0.25">
      <c r="B26" s="40">
        <f>(ROW()-ROW(_tblRFQExample[]))+1</f>
        <v>1</v>
      </c>
      <c r="C26" s="45" t="s">
        <v>72</v>
      </c>
      <c r="D26" s="46" t="s">
        <v>73</v>
      </c>
      <c r="E26" s="47">
        <v>2</v>
      </c>
      <c r="F26" s="47" t="s">
        <v>45</v>
      </c>
      <c r="G26" s="114">
        <v>46015</v>
      </c>
      <c r="H26" s="103" t="s">
        <v>43</v>
      </c>
      <c r="I26" s="103" t="s">
        <v>74</v>
      </c>
      <c r="J26" s="84"/>
      <c r="K26" s="85">
        <v>21</v>
      </c>
      <c r="L26" s="85">
        <v>2</v>
      </c>
      <c r="M26" s="85" t="s">
        <v>45</v>
      </c>
      <c r="N26" s="86">
        <v>10</v>
      </c>
      <c r="O26" s="85">
        <v>1</v>
      </c>
      <c r="P26" s="85"/>
      <c r="Q26" s="85" t="s">
        <v>80</v>
      </c>
      <c r="R26" s="87" t="s">
        <v>81</v>
      </c>
      <c r="S26" s="90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20</v>
      </c>
      <c r="T26" s="72" t="str">
        <f>IFERROR(IF(_tblRFQExample[[#This Row],[Material ]]&lt;&gt;"",$R$18+_tblRFQExample[[#This Row],[Days ARO]],""),"")</f>
        <v/>
      </c>
    </row>
    <row r="27" spans="2:20" x14ac:dyDescent="0.25">
      <c r="B27" s="40">
        <f>(ROW()-ROW(_tblRFQExample[]))+1</f>
        <v>2</v>
      </c>
      <c r="C27" s="48" t="s">
        <v>75</v>
      </c>
      <c r="D27" s="49" t="s">
        <v>82</v>
      </c>
      <c r="E27" s="50">
        <v>12</v>
      </c>
      <c r="F27" s="50" t="s">
        <v>45</v>
      </c>
      <c r="G27" s="115">
        <v>46023</v>
      </c>
      <c r="H27" s="104" t="s">
        <v>43</v>
      </c>
      <c r="I27" s="104" t="s">
        <v>74</v>
      </c>
      <c r="J27" s="62" t="s">
        <v>50</v>
      </c>
      <c r="K27" s="41"/>
      <c r="L27" s="41"/>
      <c r="M27" s="41"/>
      <c r="N27" s="42"/>
      <c r="O27" s="41"/>
      <c r="P27" s="41"/>
      <c r="Q27" s="41"/>
      <c r="R27" s="88"/>
      <c r="S27" s="54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0</v>
      </c>
      <c r="T27" s="72" t="str">
        <f>IFERROR(IF(_tblRFQExample[[#This Row],[Material ]]&lt;&gt;"",$R$18+_tblRFQExample[[#This Row],[Days ARO]],""),"")</f>
        <v/>
      </c>
    </row>
    <row r="28" spans="2:20" ht="45" x14ac:dyDescent="0.25">
      <c r="B28" s="40">
        <f>(ROW()-ROW(_tblRFQExample[]))+1</f>
        <v>3</v>
      </c>
      <c r="C28" s="48" t="s">
        <v>76</v>
      </c>
      <c r="D28" s="49" t="s">
        <v>77</v>
      </c>
      <c r="E28" s="50">
        <v>12</v>
      </c>
      <c r="F28" s="50" t="s">
        <v>45</v>
      </c>
      <c r="G28" s="115">
        <v>46023</v>
      </c>
      <c r="H28" s="104" t="s">
        <v>43</v>
      </c>
      <c r="I28" s="104" t="s">
        <v>74</v>
      </c>
      <c r="J28" s="62"/>
      <c r="K28" s="41">
        <v>5</v>
      </c>
      <c r="L28" s="41">
        <v>6</v>
      </c>
      <c r="M28" s="41" t="s">
        <v>45</v>
      </c>
      <c r="N28" s="42">
        <v>5</v>
      </c>
      <c r="O28" s="41">
        <v>2</v>
      </c>
      <c r="P28" s="41"/>
      <c r="Q28" s="41" t="s">
        <v>80</v>
      </c>
      <c r="R28" s="88"/>
      <c r="S28" s="54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15</v>
      </c>
      <c r="T28" s="72" t="str">
        <f>IFERROR(IF(_tblRFQExample[[#This Row],[Material ]]&lt;&gt;"",$R$18+_tblRFQExample[[#This Row],[Days ARO]],""),"")</f>
        <v/>
      </c>
    </row>
    <row r="29" spans="2:20" ht="60" x14ac:dyDescent="0.25">
      <c r="B29" s="40">
        <f>(ROW()-ROW(_tblRFQExample[]))+1</f>
        <v>4</v>
      </c>
      <c r="C29" s="48" t="s">
        <v>78</v>
      </c>
      <c r="D29" s="49" t="s">
        <v>79</v>
      </c>
      <c r="E29" s="50">
        <v>200</v>
      </c>
      <c r="F29" s="50" t="s">
        <v>45</v>
      </c>
      <c r="G29" s="115">
        <v>46015</v>
      </c>
      <c r="H29" s="104" t="s">
        <v>43</v>
      </c>
      <c r="I29" s="104" t="s">
        <v>74</v>
      </c>
      <c r="J29" s="62"/>
      <c r="K29" s="41"/>
      <c r="L29" s="41"/>
      <c r="M29" s="41"/>
      <c r="N29" s="42"/>
      <c r="O29" s="41"/>
      <c r="P29" s="41"/>
      <c r="Q29" s="41"/>
      <c r="R29" s="88"/>
      <c r="S29" s="54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0</v>
      </c>
      <c r="T29" s="72" t="str">
        <f>IFERROR(IF(_tblRFQExample[[#This Row],[Material ]]&lt;&gt;"",$R$18+_tblRFQExample[[#This Row],[Days ARO]],""),"")</f>
        <v/>
      </c>
    </row>
    <row r="30" spans="2:20" x14ac:dyDescent="0.25">
      <c r="B30" s="40">
        <f>(ROW()-ROW(_tblRFQExample[]))+1</f>
        <v>5</v>
      </c>
      <c r="C30" s="48"/>
      <c r="D30" s="49"/>
      <c r="E30" s="50"/>
      <c r="F30" s="50"/>
      <c r="G30" s="115"/>
      <c r="H30" s="104" t="s">
        <v>43</v>
      </c>
      <c r="I30" s="104" t="s">
        <v>74</v>
      </c>
      <c r="J30" s="62"/>
      <c r="K30" s="41"/>
      <c r="L30" s="41"/>
      <c r="M30" s="41"/>
      <c r="N30" s="42"/>
      <c r="O30" s="41"/>
      <c r="P30" s="41"/>
      <c r="Q30" s="41"/>
      <c r="R30" s="88"/>
      <c r="S30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0" s="72" t="str">
        <f>IFERROR(IF(_tblRFQExample[[#This Row],[Material ]]&lt;&gt;"",$R$18+_tblRFQExample[[#This Row],[Days ARO]],""),"")</f>
        <v/>
      </c>
    </row>
    <row r="31" spans="2:20" x14ac:dyDescent="0.25">
      <c r="B31" s="40">
        <f>(ROW()-ROW(_tblRFQExample[]))+1</f>
        <v>6</v>
      </c>
      <c r="C31" s="48"/>
      <c r="D31" s="49"/>
      <c r="E31" s="50"/>
      <c r="F31" s="50"/>
      <c r="G31" s="115"/>
      <c r="H31" s="104" t="s">
        <v>43</v>
      </c>
      <c r="I31" s="104" t="s">
        <v>74</v>
      </c>
      <c r="J31" s="62"/>
      <c r="K31" s="41"/>
      <c r="L31" s="41"/>
      <c r="M31" s="41"/>
      <c r="N31" s="42"/>
      <c r="O31" s="41"/>
      <c r="P31" s="41"/>
      <c r="Q31" s="41"/>
      <c r="R31" s="88"/>
      <c r="S31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1" s="72" t="str">
        <f>IFERROR(IF(_tblRFQExample[[#This Row],[Material ]]&lt;&gt;"",$R$18+_tblRFQExample[[#This Row],[Days ARO]],""),"")</f>
        <v/>
      </c>
    </row>
    <row r="32" spans="2:20" x14ac:dyDescent="0.25">
      <c r="B32" s="40">
        <f>(ROW()-ROW(_tblRFQExample[]))+1</f>
        <v>7</v>
      </c>
      <c r="C32" s="48"/>
      <c r="D32" s="49"/>
      <c r="E32" s="50"/>
      <c r="F32" s="50"/>
      <c r="G32" s="115"/>
      <c r="H32" s="104" t="s">
        <v>43</v>
      </c>
      <c r="I32" s="104" t="s">
        <v>74</v>
      </c>
      <c r="J32" s="62"/>
      <c r="K32" s="41"/>
      <c r="L32" s="41"/>
      <c r="M32" s="41"/>
      <c r="N32" s="42"/>
      <c r="O32" s="41"/>
      <c r="P32" s="41"/>
      <c r="Q32" s="41"/>
      <c r="R32" s="88"/>
      <c r="S32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2" s="72" t="str">
        <f>IFERROR(IF(_tblRFQExample[[#This Row],[Material ]]&lt;&gt;"",$R$18+_tblRFQExample[[#This Row],[Days ARO]],""),"")</f>
        <v/>
      </c>
    </row>
    <row r="33" spans="2:20" x14ac:dyDescent="0.25">
      <c r="B33" s="40">
        <f>(ROW()-ROW(_tblRFQExample[]))+1</f>
        <v>8</v>
      </c>
      <c r="C33" s="48"/>
      <c r="D33" s="49"/>
      <c r="E33" s="50"/>
      <c r="F33" s="50"/>
      <c r="G33" s="115"/>
      <c r="H33" s="104" t="s">
        <v>43</v>
      </c>
      <c r="I33" s="104" t="s">
        <v>74</v>
      </c>
      <c r="J33" s="62"/>
      <c r="K33" s="41"/>
      <c r="L33" s="41"/>
      <c r="M33" s="41"/>
      <c r="N33" s="42"/>
      <c r="O33" s="41"/>
      <c r="P33" s="41"/>
      <c r="Q33" s="41"/>
      <c r="R33" s="88"/>
      <c r="S33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3" s="72" t="str">
        <f>IFERROR(IF(_tblRFQExample[[#This Row],[Material ]]&lt;&gt;"",$R$18+_tblRFQExample[[#This Row],[Days ARO]],""),"")</f>
        <v/>
      </c>
    </row>
    <row r="34" spans="2:20" x14ac:dyDescent="0.25">
      <c r="B34" s="40">
        <f>(ROW()-ROW(_tblRFQExample[]))+1</f>
        <v>9</v>
      </c>
      <c r="C34" s="48"/>
      <c r="D34" s="49"/>
      <c r="E34" s="50"/>
      <c r="F34" s="50"/>
      <c r="G34" s="115"/>
      <c r="H34" s="104"/>
      <c r="I34" s="104"/>
      <c r="J34" s="62"/>
      <c r="K34" s="41"/>
      <c r="L34" s="41"/>
      <c r="M34" s="41"/>
      <c r="N34" s="42"/>
      <c r="O34" s="41"/>
      <c r="P34" s="41"/>
      <c r="Q34" s="41"/>
      <c r="R34" s="88"/>
      <c r="S34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4" s="72" t="str">
        <f>IFERROR(IF(_tblRFQExample[[#This Row],[Material ]]&lt;&gt;"",$R$18+_tblRFQExample[[#This Row],[Days ARO]],""),"")</f>
        <v/>
      </c>
    </row>
    <row r="35" spans="2:20" x14ac:dyDescent="0.25">
      <c r="B35" s="40">
        <f>(ROW()-ROW(_tblRFQExample[]))+1</f>
        <v>10</v>
      </c>
      <c r="C35" s="48"/>
      <c r="D35" s="49"/>
      <c r="E35" s="50"/>
      <c r="F35" s="50"/>
      <c r="G35" s="115"/>
      <c r="H35" s="104"/>
      <c r="I35" s="104"/>
      <c r="J35" s="62"/>
      <c r="K35" s="41"/>
      <c r="L35" s="41"/>
      <c r="M35" s="41"/>
      <c r="N35" s="42"/>
      <c r="O35" s="41"/>
      <c r="P35" s="41"/>
      <c r="Q35" s="41"/>
      <c r="R35" s="88"/>
      <c r="S35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5" s="72" t="str">
        <f>IFERROR(IF(_tblRFQExample[[#This Row],[Material ]]&lt;&gt;"",$R$18+_tblRFQExample[[#This Row],[Days ARO]],""),"")</f>
        <v/>
      </c>
    </row>
    <row r="36" spans="2:20" x14ac:dyDescent="0.25">
      <c r="B36" s="40">
        <f>(ROW()-ROW(_tblRFQExample[]))+1</f>
        <v>11</v>
      </c>
      <c r="C36" s="48"/>
      <c r="D36" s="49"/>
      <c r="E36" s="50"/>
      <c r="F36" s="50"/>
      <c r="G36" s="115"/>
      <c r="H36" s="104"/>
      <c r="I36" s="104"/>
      <c r="J36" s="62"/>
      <c r="K36" s="41"/>
      <c r="L36" s="41"/>
      <c r="M36" s="41"/>
      <c r="N36" s="42"/>
      <c r="O36" s="41"/>
      <c r="P36" s="41"/>
      <c r="Q36" s="41"/>
      <c r="R36" s="88"/>
      <c r="S36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6" s="72" t="str">
        <f>IFERROR(IF(_tblRFQExample[[#This Row],[Material ]]&lt;&gt;"",$R$18+_tblRFQExample[[#This Row],[Days ARO]],""),"")</f>
        <v/>
      </c>
    </row>
    <row r="37" spans="2:20" x14ac:dyDescent="0.25">
      <c r="B37" s="40">
        <f>(ROW()-ROW(_tblRFQExample[]))+1</f>
        <v>12</v>
      </c>
      <c r="C37" s="48"/>
      <c r="D37" s="49"/>
      <c r="E37" s="50"/>
      <c r="F37" s="50"/>
      <c r="G37" s="115"/>
      <c r="H37" s="104"/>
      <c r="I37" s="104"/>
      <c r="J37" s="62"/>
      <c r="K37" s="41"/>
      <c r="L37" s="41"/>
      <c r="M37" s="41"/>
      <c r="N37" s="42"/>
      <c r="O37" s="41"/>
      <c r="P37" s="41"/>
      <c r="Q37" s="41"/>
      <c r="R37" s="88"/>
      <c r="S37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7" s="72" t="str">
        <f>IFERROR(IF(_tblRFQExample[[#This Row],[Material ]]&lt;&gt;"",$R$18+_tblRFQExample[[#This Row],[Days ARO]],""),"")</f>
        <v/>
      </c>
    </row>
    <row r="38" spans="2:20" x14ac:dyDescent="0.25">
      <c r="B38" s="40">
        <f>(ROW()-ROW(_tblRFQExample[]))+1</f>
        <v>13</v>
      </c>
      <c r="C38" s="48"/>
      <c r="D38" s="49"/>
      <c r="E38" s="50"/>
      <c r="F38" s="50"/>
      <c r="G38" s="115"/>
      <c r="H38" s="104"/>
      <c r="I38" s="104"/>
      <c r="J38" s="62"/>
      <c r="K38" s="41"/>
      <c r="L38" s="41"/>
      <c r="M38" s="41"/>
      <c r="N38" s="42"/>
      <c r="O38" s="41"/>
      <c r="P38" s="41"/>
      <c r="Q38" s="41"/>
      <c r="R38" s="88"/>
      <c r="S38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8" s="72" t="str">
        <f>IFERROR(IF(_tblRFQExample[[#This Row],[Material ]]&lt;&gt;"",$R$18+_tblRFQExample[[#This Row],[Days ARO]],""),"")</f>
        <v/>
      </c>
    </row>
    <row r="39" spans="2:20" x14ac:dyDescent="0.25">
      <c r="B39" s="40">
        <f>(ROW()-ROW(_tblRFQExample[]))+1</f>
        <v>14</v>
      </c>
      <c r="C39" s="48"/>
      <c r="D39" s="49"/>
      <c r="E39" s="50"/>
      <c r="F39" s="50"/>
      <c r="G39" s="115"/>
      <c r="H39" s="104"/>
      <c r="I39" s="104"/>
      <c r="J39" s="62"/>
      <c r="K39" s="41"/>
      <c r="L39" s="41"/>
      <c r="M39" s="41"/>
      <c r="N39" s="42"/>
      <c r="O39" s="41"/>
      <c r="P39" s="41"/>
      <c r="Q39" s="41"/>
      <c r="R39" s="88"/>
      <c r="S39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9" s="72" t="str">
        <f>IFERROR(IF(_tblRFQExample[[#This Row],[Material ]]&lt;&gt;"",$R$18+_tblRFQExample[[#This Row],[Days ARO]],""),"")</f>
        <v/>
      </c>
    </row>
    <row r="40" spans="2:20" x14ac:dyDescent="0.25">
      <c r="B40" s="40">
        <f>(ROW()-ROW(_tblRFQExample[]))+1</f>
        <v>15</v>
      </c>
      <c r="C40" s="48"/>
      <c r="D40" s="49"/>
      <c r="E40" s="50"/>
      <c r="F40" s="50"/>
      <c r="G40" s="115"/>
      <c r="H40" s="104"/>
      <c r="I40" s="104"/>
      <c r="J40" s="62"/>
      <c r="K40" s="41"/>
      <c r="L40" s="41"/>
      <c r="M40" s="41"/>
      <c r="N40" s="42"/>
      <c r="O40" s="41"/>
      <c r="P40" s="41"/>
      <c r="Q40" s="41"/>
      <c r="R40" s="88"/>
      <c r="S40" s="5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0" s="72" t="str">
        <f>IFERROR(IF(_tblRFQExample[[#This Row],[Material ]]&lt;&gt;"",$R$18+_tblRFQExample[[#This Row],[Days ARO]],""),"")</f>
        <v/>
      </c>
    </row>
    <row r="41" spans="2:20" x14ac:dyDescent="0.25">
      <c r="B41" s="40">
        <f>(ROW()-ROW(_tblRFQExample[]))+1</f>
        <v>16</v>
      </c>
      <c r="C41" s="48"/>
      <c r="D41" s="49"/>
      <c r="E41" s="50"/>
      <c r="F41" s="50"/>
      <c r="G41" s="115"/>
      <c r="H41" s="104"/>
      <c r="I41" s="104"/>
      <c r="J41" s="62"/>
      <c r="K41" s="41"/>
      <c r="L41" s="41"/>
      <c r="M41" s="41"/>
      <c r="N41" s="42"/>
      <c r="O41" s="41"/>
      <c r="P41" s="41"/>
      <c r="Q41" s="41"/>
      <c r="R41" s="88"/>
      <c r="S4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1" s="73" t="str">
        <f>IFERROR(IF(_tblRFQExample[[#This Row],[Material ]]&lt;&gt;"",$R$18+_tblRFQExample[[#This Row],[Days ARO]],""),"")</f>
        <v/>
      </c>
    </row>
    <row r="42" spans="2:20" x14ac:dyDescent="0.25">
      <c r="B42" s="40">
        <f>(ROW()-ROW(_tblRFQExample[]))+1</f>
        <v>17</v>
      </c>
      <c r="C42" s="48"/>
      <c r="D42" s="49"/>
      <c r="E42" s="50"/>
      <c r="F42" s="50"/>
      <c r="G42" s="115"/>
      <c r="H42" s="104"/>
      <c r="I42" s="104"/>
      <c r="J42" s="62"/>
      <c r="K42" s="41"/>
      <c r="L42" s="41"/>
      <c r="M42" s="41"/>
      <c r="N42" s="42"/>
      <c r="O42" s="41"/>
      <c r="P42" s="41"/>
      <c r="Q42" s="41"/>
      <c r="R42" s="88"/>
      <c r="S4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2" s="73" t="str">
        <f>IFERROR(IF(_tblRFQExample[[#This Row],[Material ]]&lt;&gt;"",$R$18+_tblRFQExample[[#This Row],[Days ARO]],""),"")</f>
        <v/>
      </c>
    </row>
    <row r="43" spans="2:20" x14ac:dyDescent="0.25">
      <c r="B43" s="40">
        <f>(ROW()-ROW(_tblRFQExample[]))+1</f>
        <v>18</v>
      </c>
      <c r="C43" s="48"/>
      <c r="D43" s="49"/>
      <c r="E43" s="50"/>
      <c r="F43" s="50"/>
      <c r="G43" s="115"/>
      <c r="H43" s="104"/>
      <c r="I43" s="104"/>
      <c r="J43" s="62"/>
      <c r="K43" s="41"/>
      <c r="L43" s="41"/>
      <c r="M43" s="41"/>
      <c r="N43" s="42"/>
      <c r="O43" s="41"/>
      <c r="P43" s="41"/>
      <c r="Q43" s="41"/>
      <c r="R43" s="88"/>
      <c r="S4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3" s="73" t="str">
        <f>IFERROR(IF(_tblRFQExample[[#This Row],[Material ]]&lt;&gt;"",$R$18+_tblRFQExample[[#This Row],[Days ARO]],""),"")</f>
        <v/>
      </c>
    </row>
    <row r="44" spans="2:20" x14ac:dyDescent="0.25">
      <c r="B44" s="40">
        <f>(ROW()-ROW(_tblRFQExample[]))+1</f>
        <v>19</v>
      </c>
      <c r="C44" s="48"/>
      <c r="D44" s="49"/>
      <c r="E44" s="50"/>
      <c r="F44" s="50"/>
      <c r="G44" s="115"/>
      <c r="H44" s="104"/>
      <c r="I44" s="104"/>
      <c r="J44" s="62"/>
      <c r="K44" s="41"/>
      <c r="L44" s="41"/>
      <c r="M44" s="41"/>
      <c r="N44" s="42"/>
      <c r="O44" s="41"/>
      <c r="P44" s="41"/>
      <c r="Q44" s="41"/>
      <c r="R44" s="88"/>
      <c r="S4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4" s="73" t="str">
        <f>IFERROR(IF(_tblRFQExample[[#This Row],[Material ]]&lt;&gt;"",$R$18+_tblRFQExample[[#This Row],[Days ARO]],""),"")</f>
        <v/>
      </c>
    </row>
    <row r="45" spans="2:20" x14ac:dyDescent="0.25">
      <c r="B45" s="76">
        <f>(ROW()-ROW(_tblRFQExample[]))+1</f>
        <v>20</v>
      </c>
      <c r="C45" s="77"/>
      <c r="D45" s="78"/>
      <c r="E45" s="79"/>
      <c r="F45" s="79"/>
      <c r="G45" s="115"/>
      <c r="H45" s="106"/>
      <c r="I45" s="106"/>
      <c r="J45" s="62"/>
      <c r="K45" s="41"/>
      <c r="L45" s="41"/>
      <c r="M45" s="41"/>
      <c r="N45" s="42"/>
      <c r="O45" s="41"/>
      <c r="P45" s="41"/>
      <c r="Q45" s="41"/>
      <c r="R45" s="88"/>
      <c r="S4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5" s="73" t="str">
        <f>IFERROR(IF(_tblRFQExample[[#This Row],[Material ]]&lt;&gt;"",$R$18+_tblRFQExample[[#This Row],[Days ARO]],""),"")</f>
        <v/>
      </c>
    </row>
    <row r="46" spans="2:20" x14ac:dyDescent="0.25">
      <c r="B46" s="76">
        <f>(ROW()-ROW(_tblRFQExample[]))+1</f>
        <v>21</v>
      </c>
      <c r="C46" s="77"/>
      <c r="D46" s="78"/>
      <c r="E46" s="79"/>
      <c r="F46" s="79"/>
      <c r="G46" s="115"/>
      <c r="H46" s="106"/>
      <c r="I46" s="106"/>
      <c r="J46" s="62"/>
      <c r="K46" s="41"/>
      <c r="L46" s="41"/>
      <c r="M46" s="41"/>
      <c r="N46" s="42"/>
      <c r="O46" s="41"/>
      <c r="P46" s="41"/>
      <c r="Q46" s="41"/>
      <c r="R46" s="88"/>
      <c r="S4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6" s="73" t="str">
        <f>IFERROR(IF(_tblRFQExample[[#This Row],[Material ]]&lt;&gt;"",$R$18+_tblRFQExample[[#This Row],[Days ARO]],""),"")</f>
        <v/>
      </c>
    </row>
    <row r="47" spans="2:20" x14ac:dyDescent="0.25">
      <c r="B47" s="76">
        <f>(ROW()-ROW(_tblRFQExample[]))+1</f>
        <v>22</v>
      </c>
      <c r="C47" s="77"/>
      <c r="D47" s="78"/>
      <c r="E47" s="79"/>
      <c r="F47" s="79"/>
      <c r="G47" s="115"/>
      <c r="H47" s="106"/>
      <c r="I47" s="106"/>
      <c r="J47" s="62"/>
      <c r="K47" s="41"/>
      <c r="L47" s="41"/>
      <c r="M47" s="41"/>
      <c r="N47" s="42"/>
      <c r="O47" s="41"/>
      <c r="P47" s="41"/>
      <c r="Q47" s="41"/>
      <c r="R47" s="88"/>
      <c r="S4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7" s="73" t="str">
        <f>IFERROR(IF(_tblRFQExample[[#This Row],[Material ]]&lt;&gt;"",$R$18+_tblRFQExample[[#This Row],[Days ARO]],""),"")</f>
        <v/>
      </c>
    </row>
    <row r="48" spans="2:20" x14ac:dyDescent="0.25">
      <c r="B48" s="76">
        <f>(ROW()-ROW(_tblRFQExample[]))+1</f>
        <v>23</v>
      </c>
      <c r="C48" s="77"/>
      <c r="D48" s="78"/>
      <c r="E48" s="79"/>
      <c r="F48" s="79"/>
      <c r="G48" s="115"/>
      <c r="H48" s="106"/>
      <c r="I48" s="106"/>
      <c r="J48" s="62"/>
      <c r="K48" s="41"/>
      <c r="L48" s="41"/>
      <c r="M48" s="41"/>
      <c r="N48" s="42"/>
      <c r="O48" s="41"/>
      <c r="P48" s="41"/>
      <c r="Q48" s="41"/>
      <c r="R48" s="88"/>
      <c r="S4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8" s="73" t="str">
        <f>IFERROR(IF(_tblRFQExample[[#This Row],[Material ]]&lt;&gt;"",$R$18+_tblRFQExample[[#This Row],[Days ARO]],""),"")</f>
        <v/>
      </c>
    </row>
    <row r="49" spans="2:20" x14ac:dyDescent="0.25">
      <c r="B49" s="76">
        <f>(ROW()-ROW(_tblRFQExample[]))+1</f>
        <v>24</v>
      </c>
      <c r="C49" s="77"/>
      <c r="D49" s="78"/>
      <c r="E49" s="79"/>
      <c r="F49" s="79"/>
      <c r="G49" s="115"/>
      <c r="H49" s="106"/>
      <c r="I49" s="106"/>
      <c r="J49" s="62"/>
      <c r="K49" s="41"/>
      <c r="L49" s="41"/>
      <c r="M49" s="41"/>
      <c r="N49" s="42"/>
      <c r="O49" s="41"/>
      <c r="P49" s="41"/>
      <c r="Q49" s="41"/>
      <c r="R49" s="88"/>
      <c r="S4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9" s="73" t="str">
        <f>IFERROR(IF(_tblRFQExample[[#This Row],[Material ]]&lt;&gt;"",$R$18+_tblRFQExample[[#This Row],[Days ARO]],""),"")</f>
        <v/>
      </c>
    </row>
    <row r="50" spans="2:20" x14ac:dyDescent="0.25">
      <c r="B50" s="76">
        <f>(ROW()-ROW(_tblRFQExample[]))+1</f>
        <v>25</v>
      </c>
      <c r="C50" s="77"/>
      <c r="D50" s="78"/>
      <c r="E50" s="79"/>
      <c r="F50" s="79"/>
      <c r="G50" s="115"/>
      <c r="H50" s="106"/>
      <c r="I50" s="106"/>
      <c r="J50" s="62"/>
      <c r="K50" s="41"/>
      <c r="L50" s="41"/>
      <c r="M50" s="41"/>
      <c r="N50" s="42"/>
      <c r="O50" s="41"/>
      <c r="P50" s="41"/>
      <c r="Q50" s="41"/>
      <c r="R50" s="88"/>
      <c r="S5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0" s="73" t="str">
        <f>IFERROR(IF(_tblRFQExample[[#This Row],[Material ]]&lt;&gt;"",$R$18+_tblRFQExample[[#This Row],[Days ARO]],""),"")</f>
        <v/>
      </c>
    </row>
    <row r="51" spans="2:20" x14ac:dyDescent="0.25">
      <c r="B51" s="76">
        <f>(ROW()-ROW(_tblRFQExample[]))+1</f>
        <v>26</v>
      </c>
      <c r="C51" s="77"/>
      <c r="D51" s="78"/>
      <c r="E51" s="79"/>
      <c r="F51" s="79"/>
      <c r="G51" s="115"/>
      <c r="H51" s="106"/>
      <c r="I51" s="106"/>
      <c r="J51" s="62"/>
      <c r="K51" s="41"/>
      <c r="L51" s="41"/>
      <c r="M51" s="41"/>
      <c r="N51" s="42"/>
      <c r="O51" s="41"/>
      <c r="P51" s="41"/>
      <c r="Q51" s="41"/>
      <c r="R51" s="88"/>
      <c r="S5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1" s="73" t="str">
        <f>IFERROR(IF(_tblRFQExample[[#This Row],[Material ]]&lt;&gt;"",$R$18+_tblRFQExample[[#This Row],[Days ARO]],""),"")</f>
        <v/>
      </c>
    </row>
    <row r="52" spans="2:20" x14ac:dyDescent="0.25">
      <c r="B52" s="76">
        <f>(ROW()-ROW(_tblRFQExample[]))+1</f>
        <v>27</v>
      </c>
      <c r="C52" s="77"/>
      <c r="D52" s="78"/>
      <c r="E52" s="79"/>
      <c r="F52" s="79"/>
      <c r="G52" s="115"/>
      <c r="H52" s="106"/>
      <c r="I52" s="106"/>
      <c r="J52" s="62"/>
      <c r="K52" s="41"/>
      <c r="L52" s="41"/>
      <c r="M52" s="41"/>
      <c r="N52" s="42"/>
      <c r="O52" s="41"/>
      <c r="P52" s="41"/>
      <c r="Q52" s="41"/>
      <c r="R52" s="88"/>
      <c r="S5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2" s="73" t="str">
        <f>IFERROR(IF(_tblRFQExample[[#This Row],[Material ]]&lt;&gt;"",$R$18+_tblRFQExample[[#This Row],[Days ARO]],""),"")</f>
        <v/>
      </c>
    </row>
    <row r="53" spans="2:20" x14ac:dyDescent="0.25">
      <c r="B53" s="76">
        <f>(ROW()-ROW(_tblRFQExample[]))+1</f>
        <v>28</v>
      </c>
      <c r="C53" s="77"/>
      <c r="D53" s="78"/>
      <c r="E53" s="79"/>
      <c r="F53" s="79"/>
      <c r="G53" s="115"/>
      <c r="H53" s="106"/>
      <c r="I53" s="106"/>
      <c r="J53" s="62"/>
      <c r="K53" s="41"/>
      <c r="L53" s="41"/>
      <c r="M53" s="41"/>
      <c r="N53" s="42"/>
      <c r="O53" s="41"/>
      <c r="P53" s="41"/>
      <c r="Q53" s="41"/>
      <c r="R53" s="88"/>
      <c r="S5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3" s="73" t="str">
        <f>IFERROR(IF(_tblRFQExample[[#This Row],[Material ]]&lt;&gt;"",$R$18+_tblRFQExample[[#This Row],[Days ARO]],""),"")</f>
        <v/>
      </c>
    </row>
    <row r="54" spans="2:20" x14ac:dyDescent="0.25">
      <c r="B54" s="76">
        <f>(ROW()-ROW(_tblRFQExample[]))+1</f>
        <v>29</v>
      </c>
      <c r="C54" s="77"/>
      <c r="D54" s="78"/>
      <c r="E54" s="79"/>
      <c r="F54" s="79"/>
      <c r="G54" s="115"/>
      <c r="H54" s="106"/>
      <c r="I54" s="106"/>
      <c r="J54" s="62"/>
      <c r="K54" s="41"/>
      <c r="L54" s="41"/>
      <c r="M54" s="41"/>
      <c r="N54" s="42"/>
      <c r="O54" s="41"/>
      <c r="P54" s="41"/>
      <c r="Q54" s="41"/>
      <c r="R54" s="88"/>
      <c r="S5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4" s="73" t="str">
        <f>IFERROR(IF(_tblRFQExample[[#This Row],[Material ]]&lt;&gt;"",$R$18+_tblRFQExample[[#This Row],[Days ARO]],""),"")</f>
        <v/>
      </c>
    </row>
    <row r="55" spans="2:20" x14ac:dyDescent="0.25">
      <c r="B55" s="76">
        <f>(ROW()-ROW(_tblRFQExample[]))+1</f>
        <v>30</v>
      </c>
      <c r="C55" s="77"/>
      <c r="D55" s="78"/>
      <c r="E55" s="79"/>
      <c r="F55" s="79"/>
      <c r="G55" s="115"/>
      <c r="H55" s="106"/>
      <c r="I55" s="106"/>
      <c r="J55" s="62"/>
      <c r="K55" s="41"/>
      <c r="L55" s="41"/>
      <c r="M55" s="41"/>
      <c r="N55" s="42"/>
      <c r="O55" s="41"/>
      <c r="P55" s="41"/>
      <c r="Q55" s="41"/>
      <c r="R55" s="88"/>
      <c r="S5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5" s="73" t="str">
        <f>IFERROR(IF(_tblRFQExample[[#This Row],[Material ]]&lt;&gt;"",$R$18+_tblRFQExample[[#This Row],[Days ARO]],""),"")</f>
        <v/>
      </c>
    </row>
    <row r="56" spans="2:20" x14ac:dyDescent="0.25">
      <c r="B56" s="76">
        <f>(ROW()-ROW(_tblRFQExample[]))+1</f>
        <v>31</v>
      </c>
      <c r="C56" s="77"/>
      <c r="D56" s="78"/>
      <c r="E56" s="79"/>
      <c r="F56" s="79"/>
      <c r="G56" s="115"/>
      <c r="H56" s="106"/>
      <c r="I56" s="106"/>
      <c r="J56" s="62"/>
      <c r="K56" s="41"/>
      <c r="L56" s="41"/>
      <c r="M56" s="41"/>
      <c r="N56" s="42"/>
      <c r="O56" s="41"/>
      <c r="P56" s="41"/>
      <c r="Q56" s="41"/>
      <c r="R56" s="88"/>
      <c r="S5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6" s="73" t="str">
        <f>IFERROR(IF(_tblRFQExample[[#This Row],[Material ]]&lt;&gt;"",$R$18+_tblRFQExample[[#This Row],[Days ARO]],""),"")</f>
        <v/>
      </c>
    </row>
    <row r="57" spans="2:20" x14ac:dyDescent="0.25">
      <c r="B57" s="76">
        <f>(ROW()-ROW(_tblRFQExample[]))+1</f>
        <v>32</v>
      </c>
      <c r="C57" s="77"/>
      <c r="D57" s="78"/>
      <c r="E57" s="79"/>
      <c r="F57" s="79"/>
      <c r="G57" s="115"/>
      <c r="H57" s="106"/>
      <c r="I57" s="106"/>
      <c r="J57" s="62"/>
      <c r="K57" s="41"/>
      <c r="L57" s="41"/>
      <c r="M57" s="41"/>
      <c r="N57" s="42"/>
      <c r="O57" s="41"/>
      <c r="P57" s="41"/>
      <c r="Q57" s="41"/>
      <c r="R57" s="88"/>
      <c r="S5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7" s="73" t="str">
        <f>IFERROR(IF(_tblRFQExample[[#This Row],[Material ]]&lt;&gt;"",$R$18+_tblRFQExample[[#This Row],[Days ARO]],""),"")</f>
        <v/>
      </c>
    </row>
    <row r="58" spans="2:20" x14ac:dyDescent="0.25">
      <c r="B58" s="76">
        <f>(ROW()-ROW(_tblRFQExample[]))+1</f>
        <v>33</v>
      </c>
      <c r="C58" s="77"/>
      <c r="D58" s="78"/>
      <c r="E58" s="79"/>
      <c r="F58" s="79"/>
      <c r="G58" s="115"/>
      <c r="H58" s="106"/>
      <c r="I58" s="106"/>
      <c r="J58" s="62"/>
      <c r="K58" s="41"/>
      <c r="L58" s="41"/>
      <c r="M58" s="41"/>
      <c r="N58" s="42"/>
      <c r="O58" s="41"/>
      <c r="P58" s="41"/>
      <c r="Q58" s="41"/>
      <c r="R58" s="88"/>
      <c r="S5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8" s="73" t="str">
        <f>IFERROR(IF(_tblRFQExample[[#This Row],[Material ]]&lt;&gt;"",$R$18+_tblRFQExample[[#This Row],[Days ARO]],""),"")</f>
        <v/>
      </c>
    </row>
    <row r="59" spans="2:20" x14ac:dyDescent="0.25">
      <c r="B59" s="76">
        <f>(ROW()-ROW(_tblRFQExample[]))+1</f>
        <v>34</v>
      </c>
      <c r="C59" s="77"/>
      <c r="D59" s="78"/>
      <c r="E59" s="79"/>
      <c r="F59" s="79"/>
      <c r="G59" s="115"/>
      <c r="H59" s="106"/>
      <c r="I59" s="106"/>
      <c r="J59" s="62"/>
      <c r="K59" s="41"/>
      <c r="L59" s="41"/>
      <c r="M59" s="41"/>
      <c r="N59" s="42"/>
      <c r="O59" s="41"/>
      <c r="P59" s="41"/>
      <c r="Q59" s="41"/>
      <c r="R59" s="88"/>
      <c r="S5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9" s="73" t="str">
        <f>IFERROR(IF(_tblRFQExample[[#This Row],[Material ]]&lt;&gt;"",$R$18+_tblRFQExample[[#This Row],[Days ARO]],""),"")</f>
        <v/>
      </c>
    </row>
    <row r="60" spans="2:20" x14ac:dyDescent="0.25">
      <c r="B60" s="76">
        <f>(ROW()-ROW(_tblRFQExample[]))+1</f>
        <v>35</v>
      </c>
      <c r="C60" s="77"/>
      <c r="D60" s="78"/>
      <c r="E60" s="79"/>
      <c r="F60" s="79"/>
      <c r="G60" s="115"/>
      <c r="H60" s="106"/>
      <c r="I60" s="106"/>
      <c r="J60" s="62"/>
      <c r="K60" s="41"/>
      <c r="L60" s="41"/>
      <c r="M60" s="41"/>
      <c r="N60" s="42"/>
      <c r="O60" s="41"/>
      <c r="P60" s="41"/>
      <c r="Q60" s="41"/>
      <c r="R60" s="88"/>
      <c r="S6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0" s="73" t="str">
        <f>IFERROR(IF(_tblRFQExample[[#This Row],[Material ]]&lt;&gt;"",$R$18+_tblRFQExample[[#This Row],[Days ARO]],""),"")</f>
        <v/>
      </c>
    </row>
    <row r="61" spans="2:20" x14ac:dyDescent="0.25">
      <c r="B61" s="76">
        <f>(ROW()-ROW(_tblRFQExample[]))+1</f>
        <v>36</v>
      </c>
      <c r="C61" s="77"/>
      <c r="D61" s="78"/>
      <c r="E61" s="79"/>
      <c r="F61" s="79"/>
      <c r="G61" s="115"/>
      <c r="H61" s="106"/>
      <c r="I61" s="106"/>
      <c r="J61" s="62"/>
      <c r="K61" s="41"/>
      <c r="L61" s="41"/>
      <c r="M61" s="41"/>
      <c r="N61" s="42"/>
      <c r="O61" s="41"/>
      <c r="P61" s="41"/>
      <c r="Q61" s="41"/>
      <c r="R61" s="88"/>
      <c r="S6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1" s="73" t="str">
        <f>IFERROR(IF(_tblRFQExample[[#This Row],[Material ]]&lt;&gt;"",$R$18+_tblRFQExample[[#This Row],[Days ARO]],""),"")</f>
        <v/>
      </c>
    </row>
    <row r="62" spans="2:20" x14ac:dyDescent="0.25">
      <c r="B62" s="76">
        <f>(ROW()-ROW(_tblRFQExample[]))+1</f>
        <v>37</v>
      </c>
      <c r="C62" s="77"/>
      <c r="D62" s="78"/>
      <c r="E62" s="79"/>
      <c r="F62" s="79"/>
      <c r="G62" s="115"/>
      <c r="H62" s="106"/>
      <c r="I62" s="106"/>
      <c r="J62" s="62"/>
      <c r="K62" s="41"/>
      <c r="L62" s="41"/>
      <c r="M62" s="41"/>
      <c r="N62" s="42"/>
      <c r="O62" s="41"/>
      <c r="P62" s="41"/>
      <c r="Q62" s="41"/>
      <c r="R62" s="88"/>
      <c r="S6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2" s="73" t="str">
        <f>IFERROR(IF(_tblRFQExample[[#This Row],[Material ]]&lt;&gt;"",$R$18+_tblRFQExample[[#This Row],[Days ARO]],""),"")</f>
        <v/>
      </c>
    </row>
    <row r="63" spans="2:20" x14ac:dyDescent="0.25">
      <c r="B63" s="76">
        <f>(ROW()-ROW(_tblRFQExample[]))+1</f>
        <v>38</v>
      </c>
      <c r="C63" s="77"/>
      <c r="D63" s="78"/>
      <c r="E63" s="79"/>
      <c r="F63" s="79"/>
      <c r="G63" s="115"/>
      <c r="H63" s="106"/>
      <c r="I63" s="106"/>
      <c r="J63" s="62"/>
      <c r="K63" s="41"/>
      <c r="L63" s="41"/>
      <c r="M63" s="41"/>
      <c r="N63" s="42"/>
      <c r="O63" s="41"/>
      <c r="P63" s="41"/>
      <c r="Q63" s="41"/>
      <c r="R63" s="88"/>
      <c r="S6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3" s="73" t="str">
        <f>IFERROR(IF(_tblRFQExample[[#This Row],[Material ]]&lt;&gt;"",$R$18+_tblRFQExample[[#This Row],[Days ARO]],""),"")</f>
        <v/>
      </c>
    </row>
    <row r="64" spans="2:20" x14ac:dyDescent="0.25">
      <c r="B64" s="76">
        <f>(ROW()-ROW(_tblRFQExample[]))+1</f>
        <v>39</v>
      </c>
      <c r="C64" s="77"/>
      <c r="D64" s="78"/>
      <c r="E64" s="79"/>
      <c r="F64" s="79"/>
      <c r="G64" s="115"/>
      <c r="H64" s="106"/>
      <c r="I64" s="106"/>
      <c r="J64" s="62"/>
      <c r="K64" s="41"/>
      <c r="L64" s="41"/>
      <c r="M64" s="41"/>
      <c r="N64" s="42"/>
      <c r="O64" s="41"/>
      <c r="P64" s="41"/>
      <c r="Q64" s="41"/>
      <c r="R64" s="88"/>
      <c r="S6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4" s="73" t="str">
        <f>IFERROR(IF(_tblRFQExample[[#This Row],[Material ]]&lt;&gt;"",$R$18+_tblRFQExample[[#This Row],[Days ARO]],""),"")</f>
        <v/>
      </c>
    </row>
    <row r="65" spans="2:20" x14ac:dyDescent="0.25">
      <c r="B65" s="76">
        <f>(ROW()-ROW(_tblRFQExample[]))+1</f>
        <v>40</v>
      </c>
      <c r="C65" s="77"/>
      <c r="D65" s="78"/>
      <c r="E65" s="79"/>
      <c r="F65" s="79"/>
      <c r="G65" s="115"/>
      <c r="H65" s="106"/>
      <c r="I65" s="106"/>
      <c r="J65" s="62"/>
      <c r="K65" s="41"/>
      <c r="L65" s="41"/>
      <c r="M65" s="41"/>
      <c r="N65" s="42"/>
      <c r="O65" s="41"/>
      <c r="P65" s="41"/>
      <c r="Q65" s="41"/>
      <c r="R65" s="88"/>
      <c r="S6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5" s="73" t="str">
        <f>IFERROR(IF(_tblRFQExample[[#This Row],[Material ]]&lt;&gt;"",$R$18+_tblRFQExample[[#This Row],[Days ARO]],""),"")</f>
        <v/>
      </c>
    </row>
    <row r="66" spans="2:20" x14ac:dyDescent="0.25">
      <c r="B66" s="76">
        <f>(ROW()-ROW(_tblRFQExample[]))+1</f>
        <v>41</v>
      </c>
      <c r="C66" s="77"/>
      <c r="D66" s="78"/>
      <c r="E66" s="79"/>
      <c r="F66" s="79"/>
      <c r="G66" s="115"/>
      <c r="H66" s="106"/>
      <c r="I66" s="106"/>
      <c r="J66" s="62"/>
      <c r="K66" s="41"/>
      <c r="L66" s="41"/>
      <c r="M66" s="41"/>
      <c r="N66" s="42"/>
      <c r="O66" s="41"/>
      <c r="P66" s="41"/>
      <c r="Q66" s="41"/>
      <c r="R66" s="88"/>
      <c r="S6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6" s="73" t="str">
        <f>IFERROR(IF(_tblRFQExample[[#This Row],[Material ]]&lt;&gt;"",$R$18+_tblRFQExample[[#This Row],[Days ARO]],""),"")</f>
        <v/>
      </c>
    </row>
    <row r="67" spans="2:20" x14ac:dyDescent="0.25">
      <c r="B67" s="76">
        <f>(ROW()-ROW(_tblRFQExample[]))+1</f>
        <v>42</v>
      </c>
      <c r="C67" s="77"/>
      <c r="D67" s="78"/>
      <c r="E67" s="79"/>
      <c r="F67" s="79"/>
      <c r="G67" s="115"/>
      <c r="H67" s="106"/>
      <c r="I67" s="106"/>
      <c r="J67" s="62"/>
      <c r="K67" s="41"/>
      <c r="L67" s="41"/>
      <c r="M67" s="41"/>
      <c r="N67" s="42"/>
      <c r="O67" s="41"/>
      <c r="P67" s="41"/>
      <c r="Q67" s="41"/>
      <c r="R67" s="88"/>
      <c r="S6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7" s="73" t="str">
        <f>IFERROR(IF(_tblRFQExample[[#This Row],[Material ]]&lt;&gt;"",$R$18+_tblRFQExample[[#This Row],[Days ARO]],""),"")</f>
        <v/>
      </c>
    </row>
    <row r="68" spans="2:20" x14ac:dyDescent="0.25">
      <c r="B68" s="76">
        <f>(ROW()-ROW(_tblRFQExample[]))+1</f>
        <v>43</v>
      </c>
      <c r="C68" s="77"/>
      <c r="D68" s="78"/>
      <c r="E68" s="79"/>
      <c r="F68" s="79"/>
      <c r="G68" s="115"/>
      <c r="H68" s="106"/>
      <c r="I68" s="106"/>
      <c r="J68" s="62"/>
      <c r="K68" s="41"/>
      <c r="L68" s="41"/>
      <c r="M68" s="41"/>
      <c r="N68" s="42"/>
      <c r="O68" s="41"/>
      <c r="P68" s="41"/>
      <c r="Q68" s="41"/>
      <c r="R68" s="88"/>
      <c r="S6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8" s="73" t="str">
        <f>IFERROR(IF(_tblRFQExample[[#This Row],[Material ]]&lt;&gt;"",$R$18+_tblRFQExample[[#This Row],[Days ARO]],""),"")</f>
        <v/>
      </c>
    </row>
    <row r="69" spans="2:20" x14ac:dyDescent="0.25">
      <c r="B69" s="76">
        <f>(ROW()-ROW(_tblRFQExample[]))+1</f>
        <v>44</v>
      </c>
      <c r="C69" s="77"/>
      <c r="D69" s="78"/>
      <c r="E69" s="79"/>
      <c r="F69" s="79"/>
      <c r="G69" s="115"/>
      <c r="H69" s="106"/>
      <c r="I69" s="106"/>
      <c r="J69" s="62"/>
      <c r="K69" s="41"/>
      <c r="L69" s="41"/>
      <c r="M69" s="41"/>
      <c r="N69" s="42"/>
      <c r="O69" s="41"/>
      <c r="P69" s="41"/>
      <c r="Q69" s="41"/>
      <c r="R69" s="88"/>
      <c r="S6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9" s="73" t="str">
        <f>IFERROR(IF(_tblRFQExample[[#This Row],[Material ]]&lt;&gt;"",$R$18+_tblRFQExample[[#This Row],[Days ARO]],""),"")</f>
        <v/>
      </c>
    </row>
    <row r="70" spans="2:20" x14ac:dyDescent="0.25">
      <c r="B70" s="76">
        <f>(ROW()-ROW(_tblRFQExample[]))+1</f>
        <v>45</v>
      </c>
      <c r="C70" s="77"/>
      <c r="D70" s="78"/>
      <c r="E70" s="79"/>
      <c r="F70" s="79"/>
      <c r="G70" s="115"/>
      <c r="H70" s="106"/>
      <c r="I70" s="106"/>
      <c r="J70" s="62"/>
      <c r="K70" s="41"/>
      <c r="L70" s="41"/>
      <c r="M70" s="41"/>
      <c r="N70" s="42"/>
      <c r="O70" s="41"/>
      <c r="P70" s="41"/>
      <c r="Q70" s="41"/>
      <c r="R70" s="88"/>
      <c r="S7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0" s="73" t="str">
        <f>IFERROR(IF(_tblRFQExample[[#This Row],[Material ]]&lt;&gt;"",$R$18+_tblRFQExample[[#This Row],[Days ARO]],""),"")</f>
        <v/>
      </c>
    </row>
    <row r="71" spans="2:20" x14ac:dyDescent="0.25">
      <c r="B71" s="76">
        <f>(ROW()-ROW(_tblRFQExample[]))+1</f>
        <v>46</v>
      </c>
      <c r="C71" s="77"/>
      <c r="D71" s="78"/>
      <c r="E71" s="79"/>
      <c r="F71" s="79"/>
      <c r="G71" s="115"/>
      <c r="H71" s="106"/>
      <c r="I71" s="106"/>
      <c r="J71" s="62"/>
      <c r="K71" s="41"/>
      <c r="L71" s="41"/>
      <c r="M71" s="41"/>
      <c r="N71" s="42"/>
      <c r="O71" s="41"/>
      <c r="P71" s="41"/>
      <c r="Q71" s="41"/>
      <c r="R71" s="88"/>
      <c r="S7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1" s="73" t="str">
        <f>IFERROR(IF(_tblRFQExample[[#This Row],[Material ]]&lt;&gt;"",$R$18+_tblRFQExample[[#This Row],[Days ARO]],""),"")</f>
        <v/>
      </c>
    </row>
    <row r="72" spans="2:20" x14ac:dyDescent="0.25">
      <c r="B72" s="76">
        <f>(ROW()-ROW(_tblRFQExample[]))+1</f>
        <v>47</v>
      </c>
      <c r="C72" s="77"/>
      <c r="D72" s="78"/>
      <c r="E72" s="79"/>
      <c r="F72" s="79"/>
      <c r="G72" s="115"/>
      <c r="H72" s="106"/>
      <c r="I72" s="106"/>
      <c r="J72" s="62"/>
      <c r="K72" s="41"/>
      <c r="L72" s="41"/>
      <c r="M72" s="41"/>
      <c r="N72" s="42"/>
      <c r="O72" s="41"/>
      <c r="P72" s="41"/>
      <c r="Q72" s="41"/>
      <c r="R72" s="88"/>
      <c r="S7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2" s="73" t="str">
        <f>IFERROR(IF(_tblRFQExample[[#This Row],[Material ]]&lt;&gt;"",$R$18+_tblRFQExample[[#This Row],[Days ARO]],""),"")</f>
        <v/>
      </c>
    </row>
    <row r="73" spans="2:20" x14ac:dyDescent="0.25">
      <c r="B73" s="76">
        <f>(ROW()-ROW(_tblRFQExample[]))+1</f>
        <v>48</v>
      </c>
      <c r="C73" s="77"/>
      <c r="D73" s="78"/>
      <c r="E73" s="79"/>
      <c r="F73" s="79"/>
      <c r="G73" s="115"/>
      <c r="H73" s="106"/>
      <c r="I73" s="106"/>
      <c r="J73" s="62"/>
      <c r="K73" s="41"/>
      <c r="L73" s="41"/>
      <c r="M73" s="41"/>
      <c r="N73" s="42"/>
      <c r="O73" s="41"/>
      <c r="P73" s="41"/>
      <c r="Q73" s="41"/>
      <c r="R73" s="88"/>
      <c r="S7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3" s="73" t="str">
        <f>IFERROR(IF(_tblRFQExample[[#This Row],[Material ]]&lt;&gt;"",$R$18+_tblRFQExample[[#This Row],[Days ARO]],""),"")</f>
        <v/>
      </c>
    </row>
    <row r="74" spans="2:20" x14ac:dyDescent="0.25">
      <c r="B74" s="76">
        <f>(ROW()-ROW(_tblRFQExample[]))+1</f>
        <v>49</v>
      </c>
      <c r="C74" s="77"/>
      <c r="D74" s="78"/>
      <c r="E74" s="79"/>
      <c r="F74" s="79"/>
      <c r="G74" s="115"/>
      <c r="H74" s="106"/>
      <c r="I74" s="106"/>
      <c r="J74" s="62"/>
      <c r="K74" s="41"/>
      <c r="L74" s="41"/>
      <c r="M74" s="41"/>
      <c r="N74" s="42"/>
      <c r="O74" s="41"/>
      <c r="P74" s="41"/>
      <c r="Q74" s="41"/>
      <c r="R74" s="88"/>
      <c r="S7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4" s="73" t="str">
        <f>IFERROR(IF(_tblRFQExample[[#This Row],[Material ]]&lt;&gt;"",$R$18+_tblRFQExample[[#This Row],[Days ARO]],""),"")</f>
        <v/>
      </c>
    </row>
    <row r="75" spans="2:20" x14ac:dyDescent="0.25">
      <c r="B75" s="76">
        <f>(ROW()-ROW(_tblRFQExample[]))+1</f>
        <v>50</v>
      </c>
      <c r="C75" s="77"/>
      <c r="D75" s="78"/>
      <c r="E75" s="79"/>
      <c r="F75" s="79"/>
      <c r="G75" s="115"/>
      <c r="H75" s="106"/>
      <c r="I75" s="106"/>
      <c r="J75" s="62"/>
      <c r="K75" s="41"/>
      <c r="L75" s="41"/>
      <c r="M75" s="41"/>
      <c r="N75" s="42"/>
      <c r="O75" s="41"/>
      <c r="P75" s="41"/>
      <c r="Q75" s="41"/>
      <c r="R75" s="88"/>
      <c r="S7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5" s="73" t="str">
        <f>IFERROR(IF(_tblRFQExample[[#This Row],[Material ]]&lt;&gt;"",$R$18+_tblRFQExample[[#This Row],[Days ARO]],""),"")</f>
        <v/>
      </c>
    </row>
    <row r="76" spans="2:20" x14ac:dyDescent="0.25">
      <c r="B76" s="76">
        <f>(ROW()-ROW(_tblRFQExample[]))+1</f>
        <v>51</v>
      </c>
      <c r="C76" s="77"/>
      <c r="D76" s="78"/>
      <c r="E76" s="79"/>
      <c r="F76" s="79"/>
      <c r="G76" s="115"/>
      <c r="H76" s="106"/>
      <c r="I76" s="106"/>
      <c r="J76" s="62"/>
      <c r="K76" s="41"/>
      <c r="L76" s="41"/>
      <c r="M76" s="41"/>
      <c r="N76" s="42"/>
      <c r="O76" s="41"/>
      <c r="P76" s="41"/>
      <c r="Q76" s="41"/>
      <c r="R76" s="88"/>
      <c r="S7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6" s="73" t="str">
        <f>IFERROR(IF(_tblRFQExample[[#This Row],[Material ]]&lt;&gt;"",$R$18+_tblRFQExample[[#This Row],[Days ARO]],""),"")</f>
        <v/>
      </c>
    </row>
    <row r="77" spans="2:20" x14ac:dyDescent="0.25">
      <c r="B77" s="76">
        <f>(ROW()-ROW(_tblRFQExample[]))+1</f>
        <v>52</v>
      </c>
      <c r="C77" s="77"/>
      <c r="D77" s="78"/>
      <c r="E77" s="79"/>
      <c r="F77" s="79"/>
      <c r="G77" s="115"/>
      <c r="H77" s="106"/>
      <c r="I77" s="106"/>
      <c r="J77" s="62"/>
      <c r="K77" s="41"/>
      <c r="L77" s="41"/>
      <c r="M77" s="41"/>
      <c r="N77" s="42"/>
      <c r="O77" s="41"/>
      <c r="P77" s="41"/>
      <c r="Q77" s="41"/>
      <c r="R77" s="88"/>
      <c r="S7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7" s="73" t="str">
        <f>IFERROR(IF(_tblRFQExample[[#This Row],[Material ]]&lt;&gt;"",$R$18+_tblRFQExample[[#This Row],[Days ARO]],""),"")</f>
        <v/>
      </c>
    </row>
    <row r="78" spans="2:20" x14ac:dyDescent="0.25">
      <c r="B78" s="76">
        <f>(ROW()-ROW(_tblRFQExample[]))+1</f>
        <v>53</v>
      </c>
      <c r="C78" s="77"/>
      <c r="D78" s="78"/>
      <c r="E78" s="79"/>
      <c r="F78" s="79"/>
      <c r="G78" s="115"/>
      <c r="H78" s="106"/>
      <c r="I78" s="106"/>
      <c r="J78" s="62"/>
      <c r="K78" s="41"/>
      <c r="L78" s="41"/>
      <c r="M78" s="41"/>
      <c r="N78" s="42"/>
      <c r="O78" s="41"/>
      <c r="P78" s="41"/>
      <c r="Q78" s="41"/>
      <c r="R78" s="88"/>
      <c r="S7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8" s="73" t="str">
        <f>IFERROR(IF(_tblRFQExample[[#This Row],[Material ]]&lt;&gt;"",$R$18+_tblRFQExample[[#This Row],[Days ARO]],""),"")</f>
        <v/>
      </c>
    </row>
    <row r="79" spans="2:20" x14ac:dyDescent="0.25">
      <c r="B79" s="76">
        <f>(ROW()-ROW(_tblRFQExample[]))+1</f>
        <v>54</v>
      </c>
      <c r="C79" s="77"/>
      <c r="D79" s="78"/>
      <c r="E79" s="79"/>
      <c r="F79" s="79"/>
      <c r="G79" s="115"/>
      <c r="H79" s="106"/>
      <c r="I79" s="106"/>
      <c r="J79" s="62"/>
      <c r="K79" s="41"/>
      <c r="L79" s="41"/>
      <c r="M79" s="41"/>
      <c r="N79" s="42"/>
      <c r="O79" s="41"/>
      <c r="P79" s="41"/>
      <c r="Q79" s="41"/>
      <c r="R79" s="88"/>
      <c r="S7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9" s="73" t="str">
        <f>IFERROR(IF(_tblRFQExample[[#This Row],[Material ]]&lt;&gt;"",$R$18+_tblRFQExample[[#This Row],[Days ARO]],""),"")</f>
        <v/>
      </c>
    </row>
    <row r="80" spans="2:20" x14ac:dyDescent="0.25">
      <c r="B80" s="76">
        <f>(ROW()-ROW(_tblRFQExample[]))+1</f>
        <v>55</v>
      </c>
      <c r="C80" s="77"/>
      <c r="D80" s="78"/>
      <c r="E80" s="79"/>
      <c r="F80" s="79"/>
      <c r="G80" s="115"/>
      <c r="H80" s="106"/>
      <c r="I80" s="106"/>
      <c r="J80" s="62"/>
      <c r="K80" s="41"/>
      <c r="L80" s="41"/>
      <c r="M80" s="41"/>
      <c r="N80" s="42"/>
      <c r="O80" s="41"/>
      <c r="P80" s="41"/>
      <c r="Q80" s="41"/>
      <c r="R80" s="88"/>
      <c r="S8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0" s="73" t="str">
        <f>IFERROR(IF(_tblRFQExample[[#This Row],[Material ]]&lt;&gt;"",$R$18+_tblRFQExample[[#This Row],[Days ARO]],""),"")</f>
        <v/>
      </c>
    </row>
    <row r="81" spans="2:20" x14ac:dyDescent="0.25">
      <c r="B81" s="76">
        <f>(ROW()-ROW(_tblRFQExample[]))+1</f>
        <v>56</v>
      </c>
      <c r="C81" s="77"/>
      <c r="D81" s="78"/>
      <c r="E81" s="79"/>
      <c r="F81" s="79"/>
      <c r="G81" s="115"/>
      <c r="H81" s="106"/>
      <c r="I81" s="106"/>
      <c r="J81" s="62"/>
      <c r="K81" s="41"/>
      <c r="L81" s="41"/>
      <c r="M81" s="41"/>
      <c r="N81" s="42"/>
      <c r="O81" s="41"/>
      <c r="P81" s="41"/>
      <c r="Q81" s="41"/>
      <c r="R81" s="88"/>
      <c r="S8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1" s="73" t="str">
        <f>IFERROR(IF(_tblRFQExample[[#This Row],[Material ]]&lt;&gt;"",$R$18+_tblRFQExample[[#This Row],[Days ARO]],""),"")</f>
        <v/>
      </c>
    </row>
    <row r="82" spans="2:20" x14ac:dyDescent="0.25">
      <c r="B82" s="76">
        <f>(ROW()-ROW(_tblRFQExample[]))+1</f>
        <v>57</v>
      </c>
      <c r="C82" s="77"/>
      <c r="D82" s="78"/>
      <c r="E82" s="79"/>
      <c r="F82" s="79"/>
      <c r="G82" s="115"/>
      <c r="H82" s="106"/>
      <c r="I82" s="106"/>
      <c r="J82" s="62"/>
      <c r="K82" s="41"/>
      <c r="L82" s="41"/>
      <c r="M82" s="41"/>
      <c r="N82" s="42"/>
      <c r="O82" s="41"/>
      <c r="P82" s="41"/>
      <c r="Q82" s="41"/>
      <c r="R82" s="88"/>
      <c r="S8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2" s="73" t="str">
        <f>IFERROR(IF(_tblRFQExample[[#This Row],[Material ]]&lt;&gt;"",$R$18+_tblRFQExample[[#This Row],[Days ARO]],""),"")</f>
        <v/>
      </c>
    </row>
    <row r="83" spans="2:20" x14ac:dyDescent="0.25">
      <c r="B83" s="76">
        <f>(ROW()-ROW(_tblRFQExample[]))+1</f>
        <v>58</v>
      </c>
      <c r="C83" s="77"/>
      <c r="D83" s="78"/>
      <c r="E83" s="79"/>
      <c r="F83" s="79"/>
      <c r="G83" s="115"/>
      <c r="H83" s="106"/>
      <c r="I83" s="106"/>
      <c r="J83" s="62"/>
      <c r="K83" s="41"/>
      <c r="L83" s="41"/>
      <c r="M83" s="41"/>
      <c r="N83" s="42"/>
      <c r="O83" s="41"/>
      <c r="P83" s="41"/>
      <c r="Q83" s="41"/>
      <c r="R83" s="88"/>
      <c r="S8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3" s="73" t="str">
        <f>IFERROR(IF(_tblRFQExample[[#This Row],[Material ]]&lt;&gt;"",$R$18+_tblRFQExample[[#This Row],[Days ARO]],""),"")</f>
        <v/>
      </c>
    </row>
    <row r="84" spans="2:20" x14ac:dyDescent="0.25">
      <c r="B84" s="76">
        <f>(ROW()-ROW(_tblRFQExample[]))+1</f>
        <v>59</v>
      </c>
      <c r="C84" s="77"/>
      <c r="D84" s="78"/>
      <c r="E84" s="79"/>
      <c r="F84" s="79"/>
      <c r="G84" s="115"/>
      <c r="H84" s="106"/>
      <c r="I84" s="106"/>
      <c r="J84" s="62"/>
      <c r="K84" s="41"/>
      <c r="L84" s="41"/>
      <c r="M84" s="41"/>
      <c r="N84" s="42"/>
      <c r="O84" s="41"/>
      <c r="P84" s="41"/>
      <c r="Q84" s="41"/>
      <c r="R84" s="88"/>
      <c r="S8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4" s="73" t="str">
        <f>IFERROR(IF(_tblRFQExample[[#This Row],[Material ]]&lt;&gt;"",$R$18+_tblRFQExample[[#This Row],[Days ARO]],""),"")</f>
        <v/>
      </c>
    </row>
    <row r="85" spans="2:20" x14ac:dyDescent="0.25">
      <c r="B85" s="76">
        <f>(ROW()-ROW(_tblRFQExample[]))+1</f>
        <v>60</v>
      </c>
      <c r="C85" s="77"/>
      <c r="D85" s="78"/>
      <c r="E85" s="79"/>
      <c r="F85" s="79"/>
      <c r="G85" s="115"/>
      <c r="H85" s="106"/>
      <c r="I85" s="106"/>
      <c r="J85" s="62"/>
      <c r="K85" s="41"/>
      <c r="L85" s="41"/>
      <c r="M85" s="41"/>
      <c r="N85" s="42"/>
      <c r="O85" s="41"/>
      <c r="P85" s="41"/>
      <c r="Q85" s="41"/>
      <c r="R85" s="88"/>
      <c r="S8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5" s="73" t="str">
        <f>IFERROR(IF(_tblRFQExample[[#This Row],[Material ]]&lt;&gt;"",$R$18+_tblRFQExample[[#This Row],[Days ARO]],""),"")</f>
        <v/>
      </c>
    </row>
    <row r="86" spans="2:20" x14ac:dyDescent="0.25">
      <c r="B86" s="76">
        <f>(ROW()-ROW(_tblRFQExample[]))+1</f>
        <v>61</v>
      </c>
      <c r="C86" s="77"/>
      <c r="D86" s="78"/>
      <c r="E86" s="79"/>
      <c r="F86" s="79"/>
      <c r="G86" s="115"/>
      <c r="H86" s="106"/>
      <c r="I86" s="106"/>
      <c r="J86" s="62"/>
      <c r="K86" s="41"/>
      <c r="L86" s="41"/>
      <c r="M86" s="41"/>
      <c r="N86" s="42"/>
      <c r="O86" s="41"/>
      <c r="P86" s="41"/>
      <c r="Q86" s="41"/>
      <c r="R86" s="88"/>
      <c r="S8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6" s="73" t="str">
        <f>IFERROR(IF(_tblRFQExample[[#This Row],[Material ]]&lt;&gt;"",$R$18+_tblRFQExample[[#This Row],[Days ARO]],""),"")</f>
        <v/>
      </c>
    </row>
    <row r="87" spans="2:20" x14ac:dyDescent="0.25">
      <c r="B87" s="76">
        <f>(ROW()-ROW(_tblRFQExample[]))+1</f>
        <v>62</v>
      </c>
      <c r="C87" s="77"/>
      <c r="D87" s="78"/>
      <c r="E87" s="79"/>
      <c r="F87" s="79"/>
      <c r="G87" s="115"/>
      <c r="H87" s="106"/>
      <c r="I87" s="106"/>
      <c r="J87" s="62"/>
      <c r="K87" s="41"/>
      <c r="L87" s="41"/>
      <c r="M87" s="41"/>
      <c r="N87" s="42"/>
      <c r="O87" s="41"/>
      <c r="P87" s="41"/>
      <c r="Q87" s="41"/>
      <c r="R87" s="88"/>
      <c r="S8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7" s="73" t="str">
        <f>IFERROR(IF(_tblRFQExample[[#This Row],[Material ]]&lt;&gt;"",$R$18+_tblRFQExample[[#This Row],[Days ARO]],""),"")</f>
        <v/>
      </c>
    </row>
    <row r="88" spans="2:20" x14ac:dyDescent="0.25">
      <c r="B88" s="76">
        <f>(ROW()-ROW(_tblRFQExample[]))+1</f>
        <v>63</v>
      </c>
      <c r="C88" s="77"/>
      <c r="D88" s="78"/>
      <c r="E88" s="79"/>
      <c r="F88" s="79"/>
      <c r="G88" s="115"/>
      <c r="H88" s="106"/>
      <c r="I88" s="106"/>
      <c r="J88" s="62"/>
      <c r="K88" s="41"/>
      <c r="L88" s="41"/>
      <c r="M88" s="41"/>
      <c r="N88" s="42"/>
      <c r="O88" s="41"/>
      <c r="P88" s="41"/>
      <c r="Q88" s="41"/>
      <c r="R88" s="88"/>
      <c r="S8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8" s="73" t="str">
        <f>IFERROR(IF(_tblRFQExample[[#This Row],[Material ]]&lt;&gt;"",$R$18+_tblRFQExample[[#This Row],[Days ARO]],""),"")</f>
        <v/>
      </c>
    </row>
    <row r="89" spans="2:20" x14ac:dyDescent="0.25">
      <c r="B89" s="76">
        <f>(ROW()-ROW(_tblRFQExample[]))+1</f>
        <v>64</v>
      </c>
      <c r="C89" s="77"/>
      <c r="D89" s="78"/>
      <c r="E89" s="79"/>
      <c r="F89" s="79"/>
      <c r="G89" s="115"/>
      <c r="H89" s="106"/>
      <c r="I89" s="106"/>
      <c r="J89" s="62"/>
      <c r="K89" s="41"/>
      <c r="L89" s="41"/>
      <c r="M89" s="41"/>
      <c r="N89" s="42"/>
      <c r="O89" s="41"/>
      <c r="P89" s="41"/>
      <c r="Q89" s="41"/>
      <c r="R89" s="88"/>
      <c r="S8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9" s="73" t="str">
        <f>IFERROR(IF(_tblRFQExample[[#This Row],[Material ]]&lt;&gt;"",$R$18+_tblRFQExample[[#This Row],[Days ARO]],""),"")</f>
        <v/>
      </c>
    </row>
    <row r="90" spans="2:20" x14ac:dyDescent="0.25">
      <c r="B90" s="76">
        <f>(ROW()-ROW(_tblRFQExample[]))+1</f>
        <v>65</v>
      </c>
      <c r="C90" s="77"/>
      <c r="D90" s="78"/>
      <c r="E90" s="79"/>
      <c r="F90" s="79"/>
      <c r="G90" s="115"/>
      <c r="H90" s="106"/>
      <c r="I90" s="106"/>
      <c r="J90" s="62"/>
      <c r="K90" s="41"/>
      <c r="L90" s="41"/>
      <c r="M90" s="41"/>
      <c r="N90" s="42"/>
      <c r="O90" s="41"/>
      <c r="P90" s="41"/>
      <c r="Q90" s="41"/>
      <c r="R90" s="88"/>
      <c r="S9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0" s="73" t="str">
        <f>IFERROR(IF(_tblRFQExample[[#This Row],[Material ]]&lt;&gt;"",$R$18+_tblRFQExample[[#This Row],[Days ARO]],""),"")</f>
        <v/>
      </c>
    </row>
    <row r="91" spans="2:20" x14ac:dyDescent="0.25">
      <c r="B91" s="76">
        <f>(ROW()-ROW(_tblRFQExample[]))+1</f>
        <v>66</v>
      </c>
      <c r="C91" s="77"/>
      <c r="D91" s="78"/>
      <c r="E91" s="79"/>
      <c r="F91" s="79"/>
      <c r="G91" s="115"/>
      <c r="H91" s="106"/>
      <c r="I91" s="106"/>
      <c r="J91" s="62"/>
      <c r="K91" s="41"/>
      <c r="L91" s="41"/>
      <c r="M91" s="41"/>
      <c r="N91" s="42"/>
      <c r="O91" s="41"/>
      <c r="P91" s="41"/>
      <c r="Q91" s="41"/>
      <c r="R91" s="88"/>
      <c r="S9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1" s="73" t="str">
        <f>IFERROR(IF(_tblRFQExample[[#This Row],[Material ]]&lt;&gt;"",$R$18+_tblRFQExample[[#This Row],[Days ARO]],""),"")</f>
        <v/>
      </c>
    </row>
    <row r="92" spans="2:20" x14ac:dyDescent="0.25">
      <c r="B92" s="76">
        <f>(ROW()-ROW(_tblRFQExample[]))+1</f>
        <v>67</v>
      </c>
      <c r="C92" s="77"/>
      <c r="D92" s="78"/>
      <c r="E92" s="79"/>
      <c r="F92" s="79"/>
      <c r="G92" s="115"/>
      <c r="H92" s="106"/>
      <c r="I92" s="106"/>
      <c r="J92" s="62"/>
      <c r="K92" s="41"/>
      <c r="L92" s="41"/>
      <c r="M92" s="41"/>
      <c r="N92" s="42"/>
      <c r="O92" s="41"/>
      <c r="P92" s="41"/>
      <c r="Q92" s="41"/>
      <c r="R92" s="88"/>
      <c r="S9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2" s="73" t="str">
        <f>IFERROR(IF(_tblRFQExample[[#This Row],[Material ]]&lt;&gt;"",$R$18+_tblRFQExample[[#This Row],[Days ARO]],""),"")</f>
        <v/>
      </c>
    </row>
    <row r="93" spans="2:20" x14ac:dyDescent="0.25">
      <c r="B93" s="76">
        <f>(ROW()-ROW(_tblRFQExample[]))+1</f>
        <v>68</v>
      </c>
      <c r="C93" s="77"/>
      <c r="D93" s="78"/>
      <c r="E93" s="79"/>
      <c r="F93" s="79"/>
      <c r="G93" s="115"/>
      <c r="H93" s="106"/>
      <c r="I93" s="106"/>
      <c r="J93" s="62"/>
      <c r="K93" s="41"/>
      <c r="L93" s="41"/>
      <c r="M93" s="41"/>
      <c r="N93" s="42"/>
      <c r="O93" s="41"/>
      <c r="P93" s="41"/>
      <c r="Q93" s="41"/>
      <c r="R93" s="88"/>
      <c r="S9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3" s="73" t="str">
        <f>IFERROR(IF(_tblRFQExample[[#This Row],[Material ]]&lt;&gt;"",$R$18+_tblRFQExample[[#This Row],[Days ARO]],""),"")</f>
        <v/>
      </c>
    </row>
    <row r="94" spans="2:20" x14ac:dyDescent="0.25">
      <c r="B94" s="76">
        <f>(ROW()-ROW(_tblRFQExample[]))+1</f>
        <v>69</v>
      </c>
      <c r="C94" s="77"/>
      <c r="D94" s="78"/>
      <c r="E94" s="79"/>
      <c r="F94" s="79"/>
      <c r="G94" s="115"/>
      <c r="H94" s="106"/>
      <c r="I94" s="106"/>
      <c r="J94" s="62"/>
      <c r="K94" s="41"/>
      <c r="L94" s="41"/>
      <c r="M94" s="41"/>
      <c r="N94" s="42"/>
      <c r="O94" s="41"/>
      <c r="P94" s="41"/>
      <c r="Q94" s="41"/>
      <c r="R94" s="88"/>
      <c r="S9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4" s="73" t="str">
        <f>IFERROR(IF(_tblRFQExample[[#This Row],[Material ]]&lt;&gt;"",$R$18+_tblRFQExample[[#This Row],[Days ARO]],""),"")</f>
        <v/>
      </c>
    </row>
    <row r="95" spans="2:20" x14ac:dyDescent="0.25">
      <c r="B95" s="76">
        <f>(ROW()-ROW(_tblRFQExample[]))+1</f>
        <v>70</v>
      </c>
      <c r="C95" s="77"/>
      <c r="D95" s="78"/>
      <c r="E95" s="79"/>
      <c r="F95" s="79"/>
      <c r="G95" s="115"/>
      <c r="H95" s="106"/>
      <c r="I95" s="106"/>
      <c r="J95" s="62"/>
      <c r="K95" s="41"/>
      <c r="L95" s="41"/>
      <c r="M95" s="41"/>
      <c r="N95" s="42"/>
      <c r="O95" s="41"/>
      <c r="P95" s="41"/>
      <c r="Q95" s="41"/>
      <c r="R95" s="88"/>
      <c r="S9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5" s="73" t="str">
        <f>IFERROR(IF(_tblRFQExample[[#This Row],[Material ]]&lt;&gt;"",$R$18+_tblRFQExample[[#This Row],[Days ARO]],""),"")</f>
        <v/>
      </c>
    </row>
    <row r="96" spans="2:20" x14ac:dyDescent="0.25">
      <c r="B96" s="76">
        <f>(ROW()-ROW(_tblRFQExample[]))+1</f>
        <v>71</v>
      </c>
      <c r="C96" s="77"/>
      <c r="D96" s="78"/>
      <c r="E96" s="79"/>
      <c r="F96" s="79"/>
      <c r="G96" s="115"/>
      <c r="H96" s="106"/>
      <c r="I96" s="106"/>
      <c r="J96" s="62"/>
      <c r="K96" s="41"/>
      <c r="L96" s="41"/>
      <c r="M96" s="41"/>
      <c r="N96" s="42"/>
      <c r="O96" s="41"/>
      <c r="P96" s="41"/>
      <c r="Q96" s="41"/>
      <c r="R96" s="88"/>
      <c r="S9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6" s="73" t="str">
        <f>IFERROR(IF(_tblRFQExample[[#This Row],[Material ]]&lt;&gt;"",$R$18+_tblRFQExample[[#This Row],[Days ARO]],""),"")</f>
        <v/>
      </c>
    </row>
    <row r="97" spans="2:20" x14ac:dyDescent="0.25">
      <c r="B97" s="76">
        <f>(ROW()-ROW(_tblRFQExample[]))+1</f>
        <v>72</v>
      </c>
      <c r="C97" s="77"/>
      <c r="D97" s="78"/>
      <c r="E97" s="79"/>
      <c r="F97" s="79"/>
      <c r="G97" s="115"/>
      <c r="H97" s="106"/>
      <c r="I97" s="106"/>
      <c r="J97" s="62"/>
      <c r="K97" s="41"/>
      <c r="L97" s="41"/>
      <c r="M97" s="41"/>
      <c r="N97" s="42"/>
      <c r="O97" s="41"/>
      <c r="P97" s="41"/>
      <c r="Q97" s="41"/>
      <c r="R97" s="88"/>
      <c r="S9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7" s="73" t="str">
        <f>IFERROR(IF(_tblRFQExample[[#This Row],[Material ]]&lt;&gt;"",$R$18+_tblRFQExample[[#This Row],[Days ARO]],""),"")</f>
        <v/>
      </c>
    </row>
    <row r="98" spans="2:20" x14ac:dyDescent="0.25">
      <c r="B98" s="76">
        <f>(ROW()-ROW(_tblRFQExample[]))+1</f>
        <v>73</v>
      </c>
      <c r="C98" s="77"/>
      <c r="D98" s="78"/>
      <c r="E98" s="79"/>
      <c r="F98" s="79"/>
      <c r="G98" s="115"/>
      <c r="H98" s="106"/>
      <c r="I98" s="106"/>
      <c r="J98" s="62"/>
      <c r="K98" s="41"/>
      <c r="L98" s="41"/>
      <c r="M98" s="41"/>
      <c r="N98" s="42"/>
      <c r="O98" s="41"/>
      <c r="P98" s="41"/>
      <c r="Q98" s="41"/>
      <c r="R98" s="88"/>
      <c r="S9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8" s="73" t="str">
        <f>IFERROR(IF(_tblRFQExample[[#This Row],[Material ]]&lt;&gt;"",$R$18+_tblRFQExample[[#This Row],[Days ARO]],""),"")</f>
        <v/>
      </c>
    </row>
    <row r="99" spans="2:20" x14ac:dyDescent="0.25">
      <c r="B99" s="76">
        <f>(ROW()-ROW(_tblRFQExample[]))+1</f>
        <v>74</v>
      </c>
      <c r="C99" s="77"/>
      <c r="D99" s="78"/>
      <c r="E99" s="79"/>
      <c r="F99" s="79"/>
      <c r="G99" s="115"/>
      <c r="H99" s="106"/>
      <c r="I99" s="106"/>
      <c r="J99" s="62"/>
      <c r="K99" s="41"/>
      <c r="L99" s="41"/>
      <c r="M99" s="41"/>
      <c r="N99" s="42"/>
      <c r="O99" s="41"/>
      <c r="P99" s="41"/>
      <c r="Q99" s="41"/>
      <c r="R99" s="88"/>
      <c r="S9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9" s="73" t="str">
        <f>IFERROR(IF(_tblRFQExample[[#This Row],[Material ]]&lt;&gt;"",$R$18+_tblRFQExample[[#This Row],[Days ARO]],""),"")</f>
        <v/>
      </c>
    </row>
    <row r="100" spans="2:20" x14ac:dyDescent="0.25">
      <c r="B100" s="76">
        <f>(ROW()-ROW(_tblRFQExample[]))+1</f>
        <v>75</v>
      </c>
      <c r="C100" s="77"/>
      <c r="D100" s="78"/>
      <c r="E100" s="79"/>
      <c r="F100" s="79"/>
      <c r="G100" s="115"/>
      <c r="H100" s="106"/>
      <c r="I100" s="106"/>
      <c r="J100" s="62"/>
      <c r="K100" s="41"/>
      <c r="L100" s="41"/>
      <c r="M100" s="41"/>
      <c r="N100" s="42"/>
      <c r="O100" s="41"/>
      <c r="P100" s="41"/>
      <c r="Q100" s="41"/>
      <c r="R100" s="88"/>
      <c r="S10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0" s="73" t="str">
        <f>IFERROR(IF(_tblRFQExample[[#This Row],[Material ]]&lt;&gt;"",$R$18+_tblRFQExample[[#This Row],[Days ARO]],""),"")</f>
        <v/>
      </c>
    </row>
    <row r="101" spans="2:20" x14ac:dyDescent="0.25">
      <c r="B101" s="76">
        <f>(ROW()-ROW(_tblRFQExample[]))+1</f>
        <v>76</v>
      </c>
      <c r="C101" s="77"/>
      <c r="D101" s="78"/>
      <c r="E101" s="79"/>
      <c r="F101" s="79"/>
      <c r="G101" s="115"/>
      <c r="H101" s="106"/>
      <c r="I101" s="106"/>
      <c r="J101" s="62"/>
      <c r="K101" s="41"/>
      <c r="L101" s="41"/>
      <c r="M101" s="41"/>
      <c r="N101" s="42"/>
      <c r="O101" s="41"/>
      <c r="P101" s="41"/>
      <c r="Q101" s="41"/>
      <c r="R101" s="88"/>
      <c r="S10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1" s="73" t="str">
        <f>IFERROR(IF(_tblRFQExample[[#This Row],[Material ]]&lt;&gt;"",$R$18+_tblRFQExample[[#This Row],[Days ARO]],""),"")</f>
        <v/>
      </c>
    </row>
    <row r="102" spans="2:20" x14ac:dyDescent="0.25">
      <c r="B102" s="76">
        <f>(ROW()-ROW(_tblRFQExample[]))+1</f>
        <v>77</v>
      </c>
      <c r="C102" s="77"/>
      <c r="D102" s="78"/>
      <c r="E102" s="79"/>
      <c r="F102" s="79"/>
      <c r="G102" s="115"/>
      <c r="H102" s="106"/>
      <c r="I102" s="106"/>
      <c r="J102" s="62"/>
      <c r="K102" s="41"/>
      <c r="L102" s="41"/>
      <c r="M102" s="41"/>
      <c r="N102" s="42"/>
      <c r="O102" s="41"/>
      <c r="P102" s="41"/>
      <c r="Q102" s="41"/>
      <c r="R102" s="88"/>
      <c r="S10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2" s="73" t="str">
        <f>IFERROR(IF(_tblRFQExample[[#This Row],[Material ]]&lt;&gt;"",$R$18+_tblRFQExample[[#This Row],[Days ARO]],""),"")</f>
        <v/>
      </c>
    </row>
    <row r="103" spans="2:20" x14ac:dyDescent="0.25">
      <c r="B103" s="76">
        <f>(ROW()-ROW(_tblRFQExample[]))+1</f>
        <v>78</v>
      </c>
      <c r="C103" s="77"/>
      <c r="D103" s="78"/>
      <c r="E103" s="79"/>
      <c r="F103" s="79"/>
      <c r="G103" s="115"/>
      <c r="H103" s="106"/>
      <c r="I103" s="106"/>
      <c r="J103" s="62"/>
      <c r="K103" s="41"/>
      <c r="L103" s="41"/>
      <c r="M103" s="41"/>
      <c r="N103" s="42"/>
      <c r="O103" s="41"/>
      <c r="P103" s="41"/>
      <c r="Q103" s="41"/>
      <c r="R103" s="88"/>
      <c r="S10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3" s="73" t="str">
        <f>IFERROR(IF(_tblRFQExample[[#This Row],[Material ]]&lt;&gt;"",$R$18+_tblRFQExample[[#This Row],[Days ARO]],""),"")</f>
        <v/>
      </c>
    </row>
    <row r="104" spans="2:20" x14ac:dyDescent="0.25">
      <c r="B104" s="76">
        <f>(ROW()-ROW(_tblRFQExample[]))+1</f>
        <v>79</v>
      </c>
      <c r="C104" s="77"/>
      <c r="D104" s="78"/>
      <c r="E104" s="79"/>
      <c r="F104" s="79"/>
      <c r="G104" s="115"/>
      <c r="H104" s="106"/>
      <c r="I104" s="106"/>
      <c r="J104" s="62"/>
      <c r="K104" s="41"/>
      <c r="L104" s="41"/>
      <c r="M104" s="41"/>
      <c r="N104" s="42"/>
      <c r="O104" s="41"/>
      <c r="P104" s="41"/>
      <c r="Q104" s="41"/>
      <c r="R104" s="88"/>
      <c r="S10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4" s="73" t="str">
        <f>IFERROR(IF(_tblRFQExample[[#This Row],[Material ]]&lt;&gt;"",$R$18+_tblRFQExample[[#This Row],[Days ARO]],""),"")</f>
        <v/>
      </c>
    </row>
    <row r="105" spans="2:20" x14ac:dyDescent="0.25">
      <c r="B105" s="76">
        <f>(ROW()-ROW(_tblRFQExample[]))+1</f>
        <v>80</v>
      </c>
      <c r="C105" s="77"/>
      <c r="D105" s="78"/>
      <c r="E105" s="79"/>
      <c r="F105" s="79"/>
      <c r="G105" s="115"/>
      <c r="H105" s="106"/>
      <c r="I105" s="106"/>
      <c r="J105" s="62"/>
      <c r="K105" s="41"/>
      <c r="L105" s="41"/>
      <c r="M105" s="41"/>
      <c r="N105" s="42"/>
      <c r="O105" s="41"/>
      <c r="P105" s="41"/>
      <c r="Q105" s="41"/>
      <c r="R105" s="88"/>
      <c r="S10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5" s="73" t="str">
        <f>IFERROR(IF(_tblRFQExample[[#This Row],[Material ]]&lt;&gt;"",$R$18+_tblRFQExample[[#This Row],[Days ARO]],""),"")</f>
        <v/>
      </c>
    </row>
    <row r="106" spans="2:20" x14ac:dyDescent="0.25">
      <c r="B106" s="76">
        <f>(ROW()-ROW(_tblRFQExample[]))+1</f>
        <v>81</v>
      </c>
      <c r="C106" s="77"/>
      <c r="D106" s="78"/>
      <c r="E106" s="79"/>
      <c r="F106" s="79"/>
      <c r="G106" s="115"/>
      <c r="H106" s="106"/>
      <c r="I106" s="106"/>
      <c r="J106" s="62"/>
      <c r="K106" s="41"/>
      <c r="L106" s="41"/>
      <c r="M106" s="41"/>
      <c r="N106" s="42"/>
      <c r="O106" s="41"/>
      <c r="P106" s="41"/>
      <c r="Q106" s="41"/>
      <c r="R106" s="88"/>
      <c r="S10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6" s="73" t="str">
        <f>IFERROR(IF(_tblRFQExample[[#This Row],[Material ]]&lt;&gt;"",$R$18+_tblRFQExample[[#This Row],[Days ARO]],""),"")</f>
        <v/>
      </c>
    </row>
    <row r="107" spans="2:20" x14ac:dyDescent="0.25">
      <c r="B107" s="76">
        <f>(ROW()-ROW(_tblRFQExample[]))+1</f>
        <v>82</v>
      </c>
      <c r="C107" s="77"/>
      <c r="D107" s="78"/>
      <c r="E107" s="79"/>
      <c r="F107" s="79"/>
      <c r="G107" s="115"/>
      <c r="H107" s="106"/>
      <c r="I107" s="106"/>
      <c r="J107" s="62"/>
      <c r="K107" s="41"/>
      <c r="L107" s="41"/>
      <c r="M107" s="41"/>
      <c r="N107" s="42"/>
      <c r="O107" s="41"/>
      <c r="P107" s="41"/>
      <c r="Q107" s="41"/>
      <c r="R107" s="88"/>
      <c r="S10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7" s="73" t="str">
        <f>IFERROR(IF(_tblRFQExample[[#This Row],[Material ]]&lt;&gt;"",$R$18+_tblRFQExample[[#This Row],[Days ARO]],""),"")</f>
        <v/>
      </c>
    </row>
    <row r="108" spans="2:20" x14ac:dyDescent="0.25">
      <c r="B108" s="76">
        <f>(ROW()-ROW(_tblRFQExample[]))+1</f>
        <v>83</v>
      </c>
      <c r="C108" s="77"/>
      <c r="D108" s="78"/>
      <c r="E108" s="79"/>
      <c r="F108" s="79"/>
      <c r="G108" s="115"/>
      <c r="H108" s="106"/>
      <c r="I108" s="106"/>
      <c r="J108" s="62"/>
      <c r="K108" s="41"/>
      <c r="L108" s="41"/>
      <c r="M108" s="41"/>
      <c r="N108" s="42"/>
      <c r="O108" s="41"/>
      <c r="P108" s="41"/>
      <c r="Q108" s="41"/>
      <c r="R108" s="88"/>
      <c r="S10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8" s="73" t="str">
        <f>IFERROR(IF(_tblRFQExample[[#This Row],[Material ]]&lt;&gt;"",$R$18+_tblRFQExample[[#This Row],[Days ARO]],""),"")</f>
        <v/>
      </c>
    </row>
    <row r="109" spans="2:20" x14ac:dyDescent="0.25">
      <c r="B109" s="76">
        <f>(ROW()-ROW(_tblRFQExample[]))+1</f>
        <v>84</v>
      </c>
      <c r="C109" s="77"/>
      <c r="D109" s="78"/>
      <c r="E109" s="79"/>
      <c r="F109" s="79"/>
      <c r="G109" s="115"/>
      <c r="H109" s="106"/>
      <c r="I109" s="106"/>
      <c r="J109" s="62"/>
      <c r="K109" s="41"/>
      <c r="L109" s="41"/>
      <c r="M109" s="41"/>
      <c r="N109" s="42"/>
      <c r="O109" s="41"/>
      <c r="P109" s="41"/>
      <c r="Q109" s="41"/>
      <c r="R109" s="88"/>
      <c r="S10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9" s="73" t="str">
        <f>IFERROR(IF(_tblRFQExample[[#This Row],[Material ]]&lt;&gt;"",$R$18+_tblRFQExample[[#This Row],[Days ARO]],""),"")</f>
        <v/>
      </c>
    </row>
    <row r="110" spans="2:20" x14ac:dyDescent="0.25">
      <c r="B110" s="76">
        <f>(ROW()-ROW(_tblRFQExample[]))+1</f>
        <v>85</v>
      </c>
      <c r="C110" s="77"/>
      <c r="D110" s="78"/>
      <c r="E110" s="79"/>
      <c r="F110" s="79"/>
      <c r="G110" s="115"/>
      <c r="H110" s="106"/>
      <c r="I110" s="106"/>
      <c r="J110" s="62"/>
      <c r="K110" s="41"/>
      <c r="L110" s="41"/>
      <c r="M110" s="41"/>
      <c r="N110" s="42"/>
      <c r="O110" s="41"/>
      <c r="P110" s="41"/>
      <c r="Q110" s="41"/>
      <c r="R110" s="88"/>
      <c r="S11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0" s="73" t="str">
        <f>IFERROR(IF(_tblRFQExample[[#This Row],[Material ]]&lt;&gt;"",$R$18+_tblRFQExample[[#This Row],[Days ARO]],""),"")</f>
        <v/>
      </c>
    </row>
    <row r="111" spans="2:20" x14ac:dyDescent="0.25">
      <c r="B111" s="76">
        <f>(ROW()-ROW(_tblRFQExample[]))+1</f>
        <v>86</v>
      </c>
      <c r="C111" s="77"/>
      <c r="D111" s="78"/>
      <c r="E111" s="79"/>
      <c r="F111" s="79"/>
      <c r="G111" s="115"/>
      <c r="H111" s="106"/>
      <c r="I111" s="106"/>
      <c r="J111" s="62"/>
      <c r="K111" s="41"/>
      <c r="L111" s="41"/>
      <c r="M111" s="41"/>
      <c r="N111" s="42"/>
      <c r="O111" s="41"/>
      <c r="P111" s="41"/>
      <c r="Q111" s="41"/>
      <c r="R111" s="88"/>
      <c r="S11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1" s="73" t="str">
        <f>IFERROR(IF(_tblRFQExample[[#This Row],[Material ]]&lt;&gt;"",$R$18+_tblRFQExample[[#This Row],[Days ARO]],""),"")</f>
        <v/>
      </c>
    </row>
    <row r="112" spans="2:20" x14ac:dyDescent="0.25">
      <c r="B112" s="76">
        <f>(ROW()-ROW(_tblRFQExample[]))+1</f>
        <v>87</v>
      </c>
      <c r="C112" s="77"/>
      <c r="D112" s="78"/>
      <c r="E112" s="79"/>
      <c r="F112" s="79"/>
      <c r="G112" s="115"/>
      <c r="H112" s="106"/>
      <c r="I112" s="106"/>
      <c r="J112" s="62"/>
      <c r="K112" s="41"/>
      <c r="L112" s="41"/>
      <c r="M112" s="41"/>
      <c r="N112" s="42"/>
      <c r="O112" s="41"/>
      <c r="P112" s="41"/>
      <c r="Q112" s="41"/>
      <c r="R112" s="88"/>
      <c r="S11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2" s="73" t="str">
        <f>IFERROR(IF(_tblRFQExample[[#This Row],[Material ]]&lt;&gt;"",$R$18+_tblRFQExample[[#This Row],[Days ARO]],""),"")</f>
        <v/>
      </c>
    </row>
    <row r="113" spans="2:20" x14ac:dyDescent="0.25">
      <c r="B113" s="76">
        <f>(ROW()-ROW(_tblRFQExample[]))+1</f>
        <v>88</v>
      </c>
      <c r="C113" s="77"/>
      <c r="D113" s="78"/>
      <c r="E113" s="79"/>
      <c r="F113" s="79"/>
      <c r="G113" s="115"/>
      <c r="H113" s="106"/>
      <c r="I113" s="106"/>
      <c r="J113" s="62"/>
      <c r="K113" s="41"/>
      <c r="L113" s="41"/>
      <c r="M113" s="41"/>
      <c r="N113" s="42"/>
      <c r="O113" s="41"/>
      <c r="P113" s="41"/>
      <c r="Q113" s="41"/>
      <c r="R113" s="88"/>
      <c r="S11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3" s="73" t="str">
        <f>IFERROR(IF(_tblRFQExample[[#This Row],[Material ]]&lt;&gt;"",$R$18+_tblRFQExample[[#This Row],[Days ARO]],""),"")</f>
        <v/>
      </c>
    </row>
    <row r="114" spans="2:20" x14ac:dyDescent="0.25">
      <c r="B114" s="76">
        <f>(ROW()-ROW(_tblRFQExample[]))+1</f>
        <v>89</v>
      </c>
      <c r="C114" s="77"/>
      <c r="D114" s="78"/>
      <c r="E114" s="79"/>
      <c r="F114" s="79"/>
      <c r="G114" s="115"/>
      <c r="H114" s="106"/>
      <c r="I114" s="106"/>
      <c r="J114" s="62"/>
      <c r="K114" s="41"/>
      <c r="L114" s="41"/>
      <c r="M114" s="41"/>
      <c r="N114" s="42"/>
      <c r="O114" s="41"/>
      <c r="P114" s="41"/>
      <c r="Q114" s="41"/>
      <c r="R114" s="88"/>
      <c r="S11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4" s="73" t="str">
        <f>IFERROR(IF(_tblRFQExample[[#This Row],[Material ]]&lt;&gt;"",$R$18+_tblRFQExample[[#This Row],[Days ARO]],""),"")</f>
        <v/>
      </c>
    </row>
    <row r="115" spans="2:20" x14ac:dyDescent="0.25">
      <c r="B115" s="76">
        <f>(ROW()-ROW(_tblRFQExample[]))+1</f>
        <v>90</v>
      </c>
      <c r="C115" s="77"/>
      <c r="D115" s="78"/>
      <c r="E115" s="79"/>
      <c r="F115" s="79"/>
      <c r="G115" s="115"/>
      <c r="H115" s="106"/>
      <c r="I115" s="106"/>
      <c r="J115" s="62"/>
      <c r="K115" s="41"/>
      <c r="L115" s="41"/>
      <c r="M115" s="41"/>
      <c r="N115" s="42"/>
      <c r="O115" s="41"/>
      <c r="P115" s="41"/>
      <c r="Q115" s="41"/>
      <c r="R115" s="88"/>
      <c r="S115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5" s="73" t="str">
        <f>IFERROR(IF(_tblRFQExample[[#This Row],[Material ]]&lt;&gt;"",$R$18+_tblRFQExample[[#This Row],[Days ARO]],""),"")</f>
        <v/>
      </c>
    </row>
    <row r="116" spans="2:20" x14ac:dyDescent="0.25">
      <c r="B116" s="76">
        <f>(ROW()-ROW(_tblRFQExample[]))+1</f>
        <v>91</v>
      </c>
      <c r="C116" s="77"/>
      <c r="D116" s="78"/>
      <c r="E116" s="79"/>
      <c r="F116" s="79"/>
      <c r="G116" s="115"/>
      <c r="H116" s="106"/>
      <c r="I116" s="106"/>
      <c r="J116" s="62"/>
      <c r="K116" s="41"/>
      <c r="L116" s="41"/>
      <c r="M116" s="41"/>
      <c r="N116" s="42"/>
      <c r="O116" s="41"/>
      <c r="P116" s="41"/>
      <c r="Q116" s="41"/>
      <c r="R116" s="88"/>
      <c r="S116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6" s="73" t="str">
        <f>IFERROR(IF(_tblRFQExample[[#This Row],[Material ]]&lt;&gt;"",$R$18+_tblRFQExample[[#This Row],[Days ARO]],""),"")</f>
        <v/>
      </c>
    </row>
    <row r="117" spans="2:20" x14ac:dyDescent="0.25">
      <c r="B117" s="76">
        <f>(ROW()-ROW(_tblRFQExample[]))+1</f>
        <v>92</v>
      </c>
      <c r="C117" s="77"/>
      <c r="D117" s="78"/>
      <c r="E117" s="79"/>
      <c r="F117" s="79"/>
      <c r="G117" s="115"/>
      <c r="H117" s="106"/>
      <c r="I117" s="106"/>
      <c r="J117" s="62"/>
      <c r="K117" s="41"/>
      <c r="L117" s="41"/>
      <c r="M117" s="41"/>
      <c r="N117" s="42"/>
      <c r="O117" s="41"/>
      <c r="P117" s="41"/>
      <c r="Q117" s="41"/>
      <c r="R117" s="88"/>
      <c r="S117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7" s="73" t="str">
        <f>IFERROR(IF(_tblRFQExample[[#This Row],[Material ]]&lt;&gt;"",$R$18+_tblRFQExample[[#This Row],[Days ARO]],""),"")</f>
        <v/>
      </c>
    </row>
    <row r="118" spans="2:20" x14ac:dyDescent="0.25">
      <c r="B118" s="76">
        <f>(ROW()-ROW(_tblRFQExample[]))+1</f>
        <v>93</v>
      </c>
      <c r="C118" s="77"/>
      <c r="D118" s="78"/>
      <c r="E118" s="79"/>
      <c r="F118" s="79"/>
      <c r="G118" s="115"/>
      <c r="H118" s="106"/>
      <c r="I118" s="106"/>
      <c r="J118" s="62"/>
      <c r="K118" s="41"/>
      <c r="L118" s="41"/>
      <c r="M118" s="41"/>
      <c r="N118" s="42"/>
      <c r="O118" s="41"/>
      <c r="P118" s="41"/>
      <c r="Q118" s="41"/>
      <c r="R118" s="88"/>
      <c r="S118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8" s="73" t="str">
        <f>IFERROR(IF(_tblRFQExample[[#This Row],[Material ]]&lt;&gt;"",$R$18+_tblRFQExample[[#This Row],[Days ARO]],""),"")</f>
        <v/>
      </c>
    </row>
    <row r="119" spans="2:20" x14ac:dyDescent="0.25">
      <c r="B119" s="76">
        <f>(ROW()-ROW(_tblRFQExample[]))+1</f>
        <v>94</v>
      </c>
      <c r="C119" s="77"/>
      <c r="D119" s="78"/>
      <c r="E119" s="79"/>
      <c r="F119" s="79"/>
      <c r="G119" s="115"/>
      <c r="H119" s="106"/>
      <c r="I119" s="106"/>
      <c r="J119" s="62"/>
      <c r="K119" s="41"/>
      <c r="L119" s="41"/>
      <c r="M119" s="41"/>
      <c r="N119" s="42"/>
      <c r="O119" s="41"/>
      <c r="P119" s="41"/>
      <c r="Q119" s="41"/>
      <c r="R119" s="88"/>
      <c r="S119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9" s="73" t="str">
        <f>IFERROR(IF(_tblRFQExample[[#This Row],[Material ]]&lt;&gt;"",$R$18+_tblRFQExample[[#This Row],[Days ARO]],""),"")</f>
        <v/>
      </c>
    </row>
    <row r="120" spans="2:20" x14ac:dyDescent="0.25">
      <c r="B120" s="76">
        <f>(ROW()-ROW(_tblRFQExample[]))+1</f>
        <v>95</v>
      </c>
      <c r="C120" s="77"/>
      <c r="D120" s="78"/>
      <c r="E120" s="79"/>
      <c r="F120" s="79"/>
      <c r="G120" s="115"/>
      <c r="H120" s="106"/>
      <c r="I120" s="106"/>
      <c r="J120" s="62"/>
      <c r="K120" s="41"/>
      <c r="L120" s="41"/>
      <c r="M120" s="41"/>
      <c r="N120" s="42"/>
      <c r="O120" s="41"/>
      <c r="P120" s="41"/>
      <c r="Q120" s="41"/>
      <c r="R120" s="88"/>
      <c r="S120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0" s="73" t="str">
        <f>IFERROR(IF(_tblRFQExample[[#This Row],[Material ]]&lt;&gt;"",$R$18+_tblRFQExample[[#This Row],[Days ARO]],""),"")</f>
        <v/>
      </c>
    </row>
    <row r="121" spans="2:20" x14ac:dyDescent="0.25">
      <c r="B121" s="76">
        <f>(ROW()-ROW(_tblRFQExample[]))+1</f>
        <v>96</v>
      </c>
      <c r="C121" s="77"/>
      <c r="D121" s="78"/>
      <c r="E121" s="79"/>
      <c r="F121" s="79"/>
      <c r="G121" s="115"/>
      <c r="H121" s="106"/>
      <c r="I121" s="106"/>
      <c r="J121" s="62"/>
      <c r="K121" s="41"/>
      <c r="L121" s="41"/>
      <c r="M121" s="41"/>
      <c r="N121" s="42"/>
      <c r="O121" s="41"/>
      <c r="P121" s="41"/>
      <c r="Q121" s="41"/>
      <c r="R121" s="88"/>
      <c r="S121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1" s="73" t="str">
        <f>IFERROR(IF(_tblRFQExample[[#This Row],[Material ]]&lt;&gt;"",$R$18+_tblRFQExample[[#This Row],[Days ARO]],""),"")</f>
        <v/>
      </c>
    </row>
    <row r="122" spans="2:20" x14ac:dyDescent="0.25">
      <c r="B122" s="76">
        <f>(ROW()-ROW(_tblRFQExample[]))+1</f>
        <v>97</v>
      </c>
      <c r="C122" s="77"/>
      <c r="D122" s="78"/>
      <c r="E122" s="79"/>
      <c r="F122" s="79"/>
      <c r="G122" s="115"/>
      <c r="H122" s="106"/>
      <c r="I122" s="106"/>
      <c r="J122" s="62"/>
      <c r="K122" s="41"/>
      <c r="L122" s="41"/>
      <c r="M122" s="41"/>
      <c r="N122" s="42"/>
      <c r="O122" s="41"/>
      <c r="P122" s="41"/>
      <c r="Q122" s="41"/>
      <c r="R122" s="88"/>
      <c r="S122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2" s="73" t="str">
        <f>IFERROR(IF(_tblRFQExample[[#This Row],[Material ]]&lt;&gt;"",$R$18+_tblRFQExample[[#This Row],[Days ARO]],""),"")</f>
        <v/>
      </c>
    </row>
    <row r="123" spans="2:20" x14ac:dyDescent="0.25">
      <c r="B123" s="76">
        <f>(ROW()-ROW(_tblRFQExample[]))+1</f>
        <v>98</v>
      </c>
      <c r="C123" s="77"/>
      <c r="D123" s="78"/>
      <c r="E123" s="79"/>
      <c r="F123" s="79"/>
      <c r="G123" s="115"/>
      <c r="H123" s="106"/>
      <c r="I123" s="106"/>
      <c r="J123" s="62"/>
      <c r="K123" s="41"/>
      <c r="L123" s="41"/>
      <c r="M123" s="41"/>
      <c r="N123" s="42"/>
      <c r="O123" s="41"/>
      <c r="P123" s="41"/>
      <c r="Q123" s="41"/>
      <c r="R123" s="88"/>
      <c r="S123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3" s="73" t="str">
        <f>IFERROR(IF(_tblRFQExample[[#This Row],[Material ]]&lt;&gt;"",$R$18+_tblRFQExample[[#This Row],[Days ARO]],""),"")</f>
        <v/>
      </c>
    </row>
    <row r="124" spans="2:20" x14ac:dyDescent="0.25">
      <c r="B124" s="80">
        <f>(ROW()-ROW(_tblRFQExample[]))+1</f>
        <v>99</v>
      </c>
      <c r="C124" s="77"/>
      <c r="D124" s="81"/>
      <c r="E124" s="82"/>
      <c r="F124" s="82"/>
      <c r="G124" s="115"/>
      <c r="H124" s="105"/>
      <c r="I124" s="105"/>
      <c r="J124" s="63"/>
      <c r="K124" s="43"/>
      <c r="L124" s="43"/>
      <c r="M124" s="43"/>
      <c r="N124" s="44"/>
      <c r="O124" s="43"/>
      <c r="P124" s="43"/>
      <c r="Q124" s="43"/>
      <c r="R124" s="89"/>
      <c r="S124" s="65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4" s="83" t="str">
        <f>IFERROR(IF(_tblRFQExample[[#This Row],[Material ]]&lt;&gt;"",$R$18+_tblRFQExample[[#This Row],[Days ARO]],""),"")</f>
        <v/>
      </c>
    </row>
  </sheetData>
  <mergeCells count="28">
    <mergeCell ref="N23:N24"/>
    <mergeCell ref="C15:D17"/>
    <mergeCell ref="F17:O17"/>
    <mergeCell ref="C19:D19"/>
    <mergeCell ref="C20:D20"/>
    <mergeCell ref="F20:O20"/>
    <mergeCell ref="C21:D21"/>
    <mergeCell ref="C22:D22"/>
    <mergeCell ref="J22:J24"/>
    <mergeCell ref="D23:D24"/>
    <mergeCell ref="K23:K24"/>
    <mergeCell ref="L23:L24"/>
    <mergeCell ref="F8:P8"/>
    <mergeCell ref="R8:T12"/>
    <mergeCell ref="F9:O9"/>
    <mergeCell ref="C11:D11"/>
    <mergeCell ref="F11:P11"/>
    <mergeCell ref="C12:D14"/>
    <mergeCell ref="F12:P14"/>
    <mergeCell ref="R13:T14"/>
    <mergeCell ref="C2:D2"/>
    <mergeCell ref="F2:P2"/>
    <mergeCell ref="R2:T2"/>
    <mergeCell ref="C3:D3"/>
    <mergeCell ref="F3:O3"/>
    <mergeCell ref="R3:T6"/>
    <mergeCell ref="C5:D5"/>
    <mergeCell ref="F5:L5"/>
  </mergeCells>
  <conditionalFormatting sqref="C2">
    <cfRule type="containsBlanks" dxfId="16" priority="4">
      <formula>LEN(TRIM(C2))=0</formula>
    </cfRule>
  </conditionalFormatting>
  <conditionalFormatting sqref="C5:D5">
    <cfRule type="expression" dxfId="15" priority="7">
      <formula>IF(AND($O$1&lt;&gt;"",#REF!&lt;&gt;"",$O$4=""),TRUE,FALSE)</formula>
    </cfRule>
  </conditionalFormatting>
  <conditionalFormatting sqref="C26:T124">
    <cfRule type="expression" dxfId="14" priority="1">
      <formula>$J26="x"</formula>
    </cfRule>
  </conditionalFormatting>
  <conditionalFormatting sqref="D23:D24">
    <cfRule type="notContainsBlanks" dxfId="13" priority="6">
      <formula>LEN(TRIM(D23))&gt;0</formula>
    </cfRule>
  </conditionalFormatting>
  <conditionalFormatting sqref="F2:J2 F8:J8">
    <cfRule type="expression" dxfId="12" priority="5">
      <formula>IF($O$1="",FALSE,IF(F2="",TRUE,FALSE))</formula>
    </cfRule>
  </conditionalFormatting>
  <conditionalFormatting sqref="F5:P5">
    <cfRule type="expression" dxfId="11" priority="8">
      <formula>IF(AND($O$1&lt;&gt;"",#REF!&lt;&gt;"",$O$4&lt;&gt;"",$S$17=""),TRUE,FALSE)</formula>
    </cfRule>
  </conditionalFormatting>
  <conditionalFormatting sqref="L26:L124">
    <cfRule type="expression" dxfId="10" priority="2">
      <formula>AND($L26&lt;&gt;"",$L26&lt;&gt;$E26)</formula>
    </cfRule>
  </conditionalFormatting>
  <conditionalFormatting sqref="R15:T15">
    <cfRule type="expression" dxfId="9" priority="3">
      <formula>$R$15=""</formula>
    </cfRule>
  </conditionalFormatting>
  <dataValidations count="7">
    <dataValidation type="list" allowBlank="1" showInputMessage="1" sqref="F17:O17" xr:uid="{0B391B32-3E87-4CA4-8102-9747D33CFD7A}">
      <formula1>$AD$243:$AD$244</formula1>
    </dataValidation>
    <dataValidation type="list" allowBlank="1" showInputMessage="1" sqref="F20:O20" xr:uid="{673A4E68-E147-4D62-BC65-057783F2B41B}">
      <formula1>$AD$247:$AD$249</formula1>
    </dataValidation>
    <dataValidation type="whole" operator="greaterThanOrEqual" allowBlank="1" showInputMessage="1" showErrorMessage="1" errorTitle="Error" error="You can only enter a Numeric Value greater than 0 in this field. If the item is in stock enter 0." sqref="K26:K124" xr:uid="{5566175F-D98D-4DFA-9F48-2B480CBF1306}">
      <formula1>0</formula1>
    </dataValidation>
    <dataValidation type="whole" operator="greaterThan" allowBlank="1" showInputMessage="1" showErrorMessage="1" errorTitle="Error" error="You can only enter a Numeric Value greater than 0 in this field." sqref="O26:O124" xr:uid="{3FE257FF-83F8-45D0-A004-9FC74015C7B9}">
      <formula1>0</formula1>
    </dataValidation>
    <dataValidation type="decimal" operator="greaterThan" allowBlank="1" showInputMessage="1" showErrorMessage="1" errorTitle="Error" error="You can only enter a Numeric Value greater than 0 in this field." sqref="N26:N124 L26:L124" xr:uid="{349CAC27-620F-42B1-AA4A-115536EB2B18}">
      <formula1>0</formula1>
    </dataValidation>
    <dataValidation allowBlank="1" showInputMessage="1" showErrorMessage="1" promptTitle="ALERT" prompt="This is a formula cell,do not alter, only enter values in green cells." sqref="S26:T124 C26:I124" xr:uid="{C0436B64-A72D-4B7B-BC14-BB2EE6337794}"/>
    <dataValidation type="custom" allowBlank="1" showErrorMessage="1" errorTitle="Error" error="You can only enter &quot;x&quot; or BLANK in this cell." sqref="J26:J124" xr:uid="{5209A21E-46E8-4F90-85F1-E7AEBCD7C8E8}">
      <formula1>$J26="x"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U125"/>
  <sheetViews>
    <sheetView showGridLines="0" tabSelected="1" workbookViewId="0">
      <selection activeCell="B6" sqref="B6"/>
    </sheetView>
    <sheetView showGridLines="0" tabSelected="1" topLeftCell="A12" workbookViewId="1">
      <selection activeCell="S18" sqref="S18"/>
    </sheetView>
  </sheetViews>
  <sheetFormatPr defaultRowHeight="15" x14ac:dyDescent="0.25"/>
  <cols>
    <col min="1" max="1" width="3.85546875" customWidth="1"/>
    <col min="2" max="2" width="7.42578125" hidden="1" customWidth="1"/>
    <col min="3" max="3" width="17" customWidth="1"/>
    <col min="4" max="4" width="65.140625" customWidth="1"/>
    <col min="5" max="5" width="3.7109375" bestFit="1" customWidth="1"/>
    <col min="6" max="6" width="10.42578125" customWidth="1"/>
    <col min="7" max="7" width="7.7109375" customWidth="1"/>
    <col min="8" max="8" width="9.85546875" style="68" customWidth="1"/>
    <col min="9" max="9" width="9.85546875" style="68" hidden="1" customWidth="1"/>
    <col min="10" max="10" width="11.85546875" style="68" hidden="1" customWidth="1"/>
    <col min="11" max="11" width="9.28515625" customWidth="1"/>
    <col min="12" max="12" width="9" customWidth="1"/>
    <col min="13" max="13" width="9.28515625" customWidth="1"/>
    <col min="14" max="14" width="6.7109375" customWidth="1"/>
    <col min="15" max="15" width="9.28515625" customWidth="1"/>
    <col min="16" max="16" width="8.7109375" customWidth="1"/>
    <col min="17" max="17" width="18.42578125" customWidth="1"/>
    <col min="18" max="18" width="17.85546875" customWidth="1"/>
    <col min="19" max="19" width="26.85546875" customWidth="1"/>
    <col min="20" max="20" width="12.42578125" bestFit="1" customWidth="1"/>
    <col min="21" max="21" width="19.7109375" customWidth="1"/>
  </cols>
  <sheetData>
    <row r="1" spans="3:21" x14ac:dyDescent="0.25">
      <c r="C1" s="1"/>
      <c r="D1" s="10"/>
      <c r="E1" s="10"/>
      <c r="F1" s="10"/>
      <c r="G1" s="10"/>
      <c r="H1" s="96"/>
      <c r="I1" s="96"/>
      <c r="J1" s="96"/>
      <c r="K1" s="10"/>
      <c r="M1" s="11"/>
      <c r="N1" s="11"/>
      <c r="O1" s="11"/>
      <c r="P1" s="10"/>
      <c r="Q1" s="11"/>
      <c r="R1" s="2"/>
    </row>
    <row r="2" spans="3:21" ht="21.75" thickBot="1" x14ac:dyDescent="0.4">
      <c r="C2" s="133"/>
      <c r="D2" s="133"/>
      <c r="E2" s="120"/>
      <c r="F2" s="1"/>
      <c r="G2" s="134" t="s">
        <v>0</v>
      </c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0"/>
      <c r="S2" s="135" t="s">
        <v>18</v>
      </c>
      <c r="T2" s="135"/>
      <c r="U2" s="135"/>
    </row>
    <row r="3" spans="3:21" ht="15" customHeight="1" x14ac:dyDescent="0.25">
      <c r="C3" s="136" t="s">
        <v>3</v>
      </c>
      <c r="D3" s="136"/>
      <c r="E3" s="119"/>
      <c r="F3" s="1"/>
      <c r="G3" s="136" t="s">
        <v>4</v>
      </c>
      <c r="H3" s="136"/>
      <c r="I3" s="136"/>
      <c r="J3" s="136"/>
      <c r="K3" s="136"/>
      <c r="L3" s="136"/>
      <c r="M3" s="136"/>
      <c r="N3" s="137"/>
      <c r="O3" s="137"/>
      <c r="P3" s="137"/>
      <c r="Q3" s="12"/>
      <c r="R3" s="13"/>
      <c r="S3" s="138" t="s">
        <v>68</v>
      </c>
      <c r="T3" s="138"/>
      <c r="U3" s="138"/>
    </row>
    <row r="4" spans="3:21" ht="15" customHeight="1" x14ac:dyDescent="0.25">
      <c r="C4" s="1"/>
      <c r="D4" s="14"/>
      <c r="E4" s="14"/>
      <c r="F4" s="1"/>
      <c r="G4" s="1"/>
      <c r="H4" s="97"/>
      <c r="I4" s="97"/>
      <c r="J4" s="97"/>
      <c r="K4" s="1"/>
      <c r="L4" s="1"/>
      <c r="M4" s="1"/>
      <c r="N4" s="1"/>
      <c r="O4" s="1"/>
      <c r="Q4" s="15"/>
      <c r="R4" s="1"/>
      <c r="S4" s="138"/>
      <c r="T4" s="138"/>
      <c r="U4" s="138"/>
    </row>
    <row r="5" spans="3:21" ht="15" customHeight="1" thickBot="1" x14ac:dyDescent="0.3">
      <c r="C5" s="139"/>
      <c r="D5" s="139"/>
      <c r="E5" s="18"/>
      <c r="F5" s="1"/>
      <c r="G5" s="139"/>
      <c r="H5" s="139"/>
      <c r="I5" s="139"/>
      <c r="J5" s="139"/>
      <c r="K5" s="139"/>
      <c r="L5" s="139"/>
      <c r="M5" s="139"/>
      <c r="N5" s="18"/>
      <c r="O5" s="18"/>
      <c r="P5" s="16"/>
      <c r="Q5" s="17"/>
      <c r="R5" s="18"/>
      <c r="S5" s="138"/>
      <c r="T5" s="138"/>
      <c r="U5" s="138"/>
    </row>
    <row r="6" spans="3:21" x14ac:dyDescent="0.25">
      <c r="C6" s="112" t="s">
        <v>6</v>
      </c>
      <c r="D6" s="19"/>
      <c r="E6" s="109"/>
      <c r="F6" s="1"/>
      <c r="G6" s="112" t="s">
        <v>7</v>
      </c>
      <c r="H6" s="98"/>
      <c r="I6" s="98"/>
      <c r="J6" s="98"/>
      <c r="K6" s="20"/>
      <c r="L6" s="20"/>
      <c r="M6" s="20"/>
      <c r="N6" s="20"/>
      <c r="O6" s="20"/>
      <c r="P6" s="112" t="s">
        <v>8</v>
      </c>
      <c r="Q6" s="112" t="s">
        <v>9</v>
      </c>
      <c r="R6" s="20"/>
      <c r="S6" s="138"/>
      <c r="T6" s="138"/>
      <c r="U6" s="138"/>
    </row>
    <row r="7" spans="3:21" x14ac:dyDescent="0.25">
      <c r="C7" s="1"/>
      <c r="D7" s="14"/>
      <c r="E7" s="14"/>
      <c r="F7" s="1"/>
      <c r="G7" s="1"/>
      <c r="H7" s="97"/>
      <c r="I7" s="97"/>
      <c r="J7" s="97"/>
      <c r="K7" s="1"/>
      <c r="L7" s="1"/>
      <c r="M7" s="1"/>
      <c r="N7" s="1"/>
      <c r="O7" s="1"/>
      <c r="Q7" s="15"/>
      <c r="R7" s="1"/>
      <c r="S7" s="92"/>
      <c r="T7" s="92"/>
      <c r="U7" s="92"/>
    </row>
    <row r="8" spans="3:21" ht="15.75" customHeight="1" thickBot="1" x14ac:dyDescent="0.3">
      <c r="C8" s="1"/>
      <c r="D8" s="14"/>
      <c r="E8" s="14"/>
      <c r="F8" s="1"/>
      <c r="G8" s="134" t="s">
        <v>11</v>
      </c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"/>
      <c r="S8" s="140" t="str">
        <f>IF(_GLB_RFQ_Plant&lt;&gt;"",IFERROR(UPPER(INDEX(_tblIssuedBy[Plant Label],MATCH(_GLB_RFQ_Plant,_tblIssuedBy[Plant],0))),""),"")</f>
        <v>FPI-MARION</v>
      </c>
      <c r="T8" s="140"/>
      <c r="U8" s="140"/>
    </row>
    <row r="9" spans="3:21" ht="15" customHeight="1" x14ac:dyDescent="0.25">
      <c r="C9" s="1"/>
      <c r="D9" s="14"/>
      <c r="E9" s="14"/>
      <c r="F9" s="1"/>
      <c r="G9" s="136" t="s">
        <v>12</v>
      </c>
      <c r="H9" s="136"/>
      <c r="I9" s="136"/>
      <c r="J9" s="136"/>
      <c r="K9" s="136"/>
      <c r="L9" s="136"/>
      <c r="M9" s="136"/>
      <c r="N9" s="137"/>
      <c r="O9" s="137"/>
      <c r="P9" s="137"/>
      <c r="Q9" s="15"/>
      <c r="R9" s="1"/>
      <c r="S9" s="140"/>
      <c r="T9" s="140"/>
      <c r="U9" s="140"/>
    </row>
    <row r="10" spans="3:21" ht="15" customHeight="1" x14ac:dyDescent="0.25">
      <c r="C10" s="21"/>
      <c r="D10" s="21"/>
      <c r="E10" s="21"/>
      <c r="F10" s="5"/>
      <c r="G10" s="5"/>
      <c r="H10" s="99"/>
      <c r="I10" s="99"/>
      <c r="J10" s="99"/>
      <c r="K10" s="5"/>
      <c r="L10" s="5"/>
      <c r="M10" s="5"/>
      <c r="N10" s="5"/>
      <c r="O10" s="5"/>
      <c r="P10" s="6"/>
      <c r="Q10" s="4"/>
      <c r="R10" s="5"/>
      <c r="S10" s="140"/>
      <c r="T10" s="140"/>
      <c r="U10" s="140"/>
    </row>
    <row r="11" spans="3:21" ht="15" customHeight="1" x14ac:dyDescent="0.25">
      <c r="C11" s="141" t="s">
        <v>14</v>
      </c>
      <c r="D11" s="141"/>
      <c r="F11" s="5"/>
      <c r="G11" s="141" t="s">
        <v>15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S11" s="140"/>
      <c r="T11" s="140"/>
      <c r="U11" s="140"/>
    </row>
    <row r="12" spans="3:21" ht="15" customHeight="1" x14ac:dyDescent="0.25">
      <c r="C12" s="142" t="str">
        <f>IFERROR(IF(_GLB_RFQ_Plant&lt;&gt;"",INDEX(_tblIssuedBy[Issues By Name],MATCH(_GLB_RFQ_Plant,_tblIssuedBy[Plant],0)),""),"")</f>
        <v xml:space="preserve">Marlea Clark
PRC Contract Specialist | FMC Lexington
marlea.clark@usdoj.gov | 800-827-3168 ext. 3100
</v>
      </c>
      <c r="D12" s="143"/>
      <c r="F12" s="5"/>
      <c r="G12" s="142" t="str">
        <f>IFERROR(IF(_GLB_RFQ_Plant&lt;&gt;"",INDEX(_tblIssuedBy[Deliver Address],MATCH(_GLB_RFQ_Plant,_tblIssuedBy[Plant],0)),""),"")</f>
        <v>FPI Marion
Marion, IL 62959
4500 Prison Road</v>
      </c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S12" s="140"/>
      <c r="T12" s="140"/>
      <c r="U12" s="140"/>
    </row>
    <row r="13" spans="3:21" ht="15" customHeight="1" x14ac:dyDescent="0.25">
      <c r="C13" s="143"/>
      <c r="D13" s="143"/>
      <c r="F13" s="5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S13" s="144" t="s">
        <v>70</v>
      </c>
      <c r="T13" s="144"/>
      <c r="U13" s="144"/>
    </row>
    <row r="14" spans="3:21" x14ac:dyDescent="0.25">
      <c r="C14" s="143"/>
      <c r="D14" s="143"/>
      <c r="F14" s="5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S14" s="144"/>
      <c r="T14" s="144"/>
      <c r="U14" s="144"/>
    </row>
    <row r="15" spans="3:21" ht="15" customHeight="1" thickBot="1" x14ac:dyDescent="0.3">
      <c r="C15" s="142" t="str">
        <f>IFERROR(IF(_GLB_RFQ_Plant&lt;&gt;"",INDEX(_tblIssuedBy[Issued By Address],MATCH(_GLB_RFQ_Plant,_tblIssuedBy[Plant],0)),""),"")</f>
        <v>UNICOR Federal Prison Industries
Electronic Business Group</v>
      </c>
      <c r="D15" s="142"/>
      <c r="F15" s="5"/>
      <c r="G15" s="26"/>
      <c r="H15" s="100"/>
      <c r="I15" s="100"/>
      <c r="J15" s="100"/>
      <c r="K15" s="26"/>
      <c r="L15" s="26"/>
      <c r="M15" s="27"/>
      <c r="N15" s="27"/>
      <c r="O15" s="27"/>
      <c r="P15" s="27"/>
      <c r="Q15" s="4"/>
      <c r="S15" s="64">
        <v>46136</v>
      </c>
      <c r="T15" s="55"/>
      <c r="U15" s="55"/>
    </row>
    <row r="16" spans="3:21" ht="15.75" thickBot="1" x14ac:dyDescent="0.3">
      <c r="C16" s="142"/>
      <c r="D16" s="142"/>
      <c r="F16" s="5"/>
      <c r="G16" s="22" t="s">
        <v>16</v>
      </c>
      <c r="H16" s="101"/>
      <c r="I16" s="101"/>
      <c r="J16" s="101"/>
      <c r="K16" s="22"/>
      <c r="L16" s="23"/>
      <c r="M16" s="24"/>
      <c r="N16" s="24"/>
      <c r="O16" s="24"/>
      <c r="P16" s="24"/>
      <c r="Q16" s="24"/>
      <c r="R16" s="5"/>
      <c r="S16" s="110" t="s">
        <v>5</v>
      </c>
      <c r="U16" s="56"/>
    </row>
    <row r="17" spans="2:21" x14ac:dyDescent="0.25">
      <c r="C17" s="142"/>
      <c r="D17" s="142"/>
      <c r="F17" s="5"/>
      <c r="G17" s="147" t="s">
        <v>17</v>
      </c>
      <c r="H17" s="147"/>
      <c r="I17" s="147"/>
      <c r="J17" s="147"/>
      <c r="K17" s="147"/>
      <c r="L17" s="147"/>
      <c r="M17" s="147"/>
      <c r="N17" s="147"/>
      <c r="O17" s="147"/>
      <c r="P17" s="147"/>
      <c r="Q17" s="25"/>
      <c r="S17" s="1"/>
      <c r="T17" s="15"/>
      <c r="U17" s="2"/>
    </row>
    <row r="18" spans="2:21" ht="19.5" thickBot="1" x14ac:dyDescent="0.3">
      <c r="C18" s="21"/>
      <c r="D18" s="21"/>
      <c r="F18" s="5"/>
      <c r="G18" s="28"/>
      <c r="H18" s="102"/>
      <c r="I18" s="102"/>
      <c r="J18" s="102"/>
      <c r="K18" s="28"/>
      <c r="L18" s="28"/>
      <c r="M18" s="29"/>
      <c r="N18" s="29"/>
      <c r="O18" s="29"/>
      <c r="P18" s="29"/>
      <c r="Q18" s="4"/>
      <c r="S18" s="117">
        <f>IF($S$15&lt;&gt;"",$S$15+5,"")</f>
        <v>46141</v>
      </c>
      <c r="T18" s="155"/>
      <c r="U18" s="155"/>
    </row>
    <row r="19" spans="2:21" ht="15.75" thickBot="1" x14ac:dyDescent="0.3">
      <c r="C19" s="141" t="s">
        <v>19</v>
      </c>
      <c r="D19" s="141"/>
      <c r="F19" s="30"/>
      <c r="G19" s="22" t="s">
        <v>71</v>
      </c>
      <c r="H19" s="101"/>
      <c r="I19" s="101"/>
      <c r="J19" s="101"/>
      <c r="K19" s="22"/>
      <c r="L19" s="23"/>
      <c r="M19" s="24"/>
      <c r="N19" s="24"/>
      <c r="O19" s="24"/>
      <c r="P19" s="24"/>
      <c r="Q19" s="24"/>
      <c r="S19" s="111" t="s">
        <v>10</v>
      </c>
      <c r="T19" s="111"/>
      <c r="U19" s="111"/>
    </row>
    <row r="20" spans="2:21" x14ac:dyDescent="0.25">
      <c r="C20" s="148" t="s">
        <v>20</v>
      </c>
      <c r="D20" s="148"/>
      <c r="F20" s="5"/>
      <c r="G20" s="147" t="s">
        <v>21</v>
      </c>
      <c r="H20" s="147"/>
      <c r="I20" s="147"/>
      <c r="J20" s="147"/>
      <c r="K20" s="147"/>
      <c r="L20" s="147"/>
      <c r="M20" s="147"/>
      <c r="N20" s="147"/>
      <c r="O20" s="147"/>
      <c r="P20" s="147"/>
      <c r="Q20" s="25"/>
      <c r="S20" s="61"/>
      <c r="T20" s="61"/>
      <c r="U20" s="61"/>
    </row>
    <row r="21" spans="2:21" ht="15.75" thickBot="1" x14ac:dyDescent="0.3">
      <c r="C21" s="143" t="s">
        <v>22</v>
      </c>
      <c r="D21" s="143"/>
      <c r="F21" s="5"/>
      <c r="G21" s="5"/>
      <c r="H21" s="99"/>
      <c r="I21" s="99"/>
      <c r="J21" s="99"/>
      <c r="K21" s="5"/>
      <c r="L21" s="5"/>
      <c r="M21" s="5"/>
      <c r="N21" s="5"/>
      <c r="O21" s="5"/>
      <c r="P21" s="6"/>
      <c r="Q21" s="4"/>
      <c r="S21" s="60" t="str" cm="1">
        <f t="array" ref="S21">IF(_GLB_CollectiveNumber&lt;&gt;0,_GLB_CollectiveNumber,"")</f>
        <v>MA26-266FB</v>
      </c>
      <c r="T21" s="58"/>
      <c r="U21" s="58"/>
    </row>
    <row r="22" spans="2:21" ht="15" customHeight="1" thickBot="1" x14ac:dyDescent="0.3">
      <c r="C22" s="149" t="s">
        <v>23</v>
      </c>
      <c r="D22" s="149"/>
      <c r="F22" s="5"/>
      <c r="G22" s="5"/>
      <c r="H22" s="99"/>
      <c r="I22" s="99"/>
      <c r="J22" s="99"/>
      <c r="K22" s="150" t="s">
        <v>46</v>
      </c>
      <c r="L22" s="5"/>
      <c r="N22" s="5"/>
      <c r="O22" s="5"/>
      <c r="P22" s="6"/>
      <c r="Q22" s="107"/>
      <c r="S22" s="110" t="s">
        <v>13</v>
      </c>
      <c r="U22" s="56"/>
    </row>
    <row r="23" spans="2:21" ht="15" customHeight="1" x14ac:dyDescent="0.25">
      <c r="C23" s="5"/>
      <c r="D23" s="153" t="str">
        <f>IF(COUNT(#REF!)&gt;COUNT(_tblRFQ[Index]),"Warrning: Some Materials from This Collective are Not Being Displayed","")</f>
        <v/>
      </c>
      <c r="F23" s="74"/>
      <c r="G23" s="5"/>
      <c r="H23" s="99"/>
      <c r="I23" s="99"/>
      <c r="J23" s="99"/>
      <c r="K23" s="151"/>
      <c r="L23" s="145" t="s">
        <v>49</v>
      </c>
      <c r="M23" s="145" t="s">
        <v>49</v>
      </c>
      <c r="N23" s="5"/>
      <c r="O23" s="145" t="s">
        <v>49</v>
      </c>
      <c r="P23" s="6"/>
      <c r="Q23" s="4"/>
    </row>
    <row r="24" spans="2:21" ht="15" customHeight="1" x14ac:dyDescent="0.25">
      <c r="C24" s="31"/>
      <c r="D24" s="154"/>
      <c r="E24" s="118"/>
      <c r="F24" s="75"/>
      <c r="K24" s="152"/>
      <c r="L24" s="146"/>
      <c r="M24" s="146"/>
      <c r="O24" s="146"/>
      <c r="S24" s="32" t="s">
        <v>36</v>
      </c>
      <c r="T24" s="52">
        <f>SUM(_tblRFQ[Sub Total])</f>
        <v>0</v>
      </c>
    </row>
    <row r="25" spans="2:21" ht="81" x14ac:dyDescent="0.25">
      <c r="B25" s="38" t="s">
        <v>37</v>
      </c>
      <c r="C25" s="37" t="s">
        <v>24</v>
      </c>
      <c r="D25" s="36" t="s">
        <v>25</v>
      </c>
      <c r="E25" s="34" t="s">
        <v>83</v>
      </c>
      <c r="F25" s="34" t="s">
        <v>2</v>
      </c>
      <c r="G25" s="94" t="s">
        <v>27</v>
      </c>
      <c r="H25" s="116" t="s">
        <v>69</v>
      </c>
      <c r="I25" s="125" t="s">
        <v>44</v>
      </c>
      <c r="J25" s="126" t="s">
        <v>1</v>
      </c>
      <c r="K25" s="71" t="s">
        <v>39</v>
      </c>
      <c r="L25" s="70" t="s">
        <v>26</v>
      </c>
      <c r="M25" s="70" t="s">
        <v>31</v>
      </c>
      <c r="N25" s="69" t="s">
        <v>38</v>
      </c>
      <c r="O25" s="70" t="s">
        <v>33</v>
      </c>
      <c r="P25" s="39" t="s">
        <v>32</v>
      </c>
      <c r="Q25" s="35" t="s">
        <v>29</v>
      </c>
      <c r="R25" s="35" t="s">
        <v>30</v>
      </c>
      <c r="S25" s="51" t="s">
        <v>34</v>
      </c>
      <c r="T25" s="53" t="s">
        <v>35</v>
      </c>
      <c r="U25" s="33" t="s">
        <v>28</v>
      </c>
    </row>
    <row r="26" spans="2:21" ht="90" x14ac:dyDescent="0.25">
      <c r="B26" s="40">
        <f>(ROW()-ROW(_tblRFQ[]))+1</f>
        <v>1</v>
      </c>
      <c r="C26" s="45" t="s">
        <v>92</v>
      </c>
      <c r="D26" s="46" t="s">
        <v>93</v>
      </c>
      <c r="E26" s="121" t="s">
        <v>0</v>
      </c>
      <c r="F26" s="47">
        <v>50</v>
      </c>
      <c r="G26" s="47" t="s">
        <v>45</v>
      </c>
      <c r="H26" s="114">
        <v>46142</v>
      </c>
      <c r="I26" s="103" t="s">
        <v>43</v>
      </c>
      <c r="J26" s="103" t="s">
        <v>94</v>
      </c>
      <c r="K26" s="84"/>
      <c r="L26" s="85"/>
      <c r="M26" s="85"/>
      <c r="N26" s="85"/>
      <c r="O26" s="86"/>
      <c r="P26" s="85"/>
      <c r="Q26" s="85"/>
      <c r="R26" s="85"/>
      <c r="S26" s="87"/>
      <c r="T26" s="127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>0</v>
      </c>
      <c r="U26" s="72">
        <f>IFERROR(IF(_tblRFQ[[#This Row],[Material ]]&lt;&gt;"",$S$18+_tblRFQ[[#This Row],[Days ARO]],""),"")</f>
        <v>46141</v>
      </c>
    </row>
    <row r="27" spans="2:21" ht="90" x14ac:dyDescent="0.25">
      <c r="B27" s="40">
        <f>(ROW()-ROW(_tblRFQ[]))+1</f>
        <v>2</v>
      </c>
      <c r="C27" s="48" t="s">
        <v>95</v>
      </c>
      <c r="D27" s="49" t="s">
        <v>96</v>
      </c>
      <c r="E27" s="122" t="s">
        <v>0</v>
      </c>
      <c r="F27" s="50">
        <v>1</v>
      </c>
      <c r="G27" s="50" t="s">
        <v>45</v>
      </c>
      <c r="H27" s="115">
        <v>46142</v>
      </c>
      <c r="I27" s="104" t="s">
        <v>43</v>
      </c>
      <c r="J27" s="104" t="s">
        <v>94</v>
      </c>
      <c r="K27" s="62"/>
      <c r="L27" s="41"/>
      <c r="M27" s="41"/>
      <c r="N27" s="41"/>
      <c r="O27" s="42"/>
      <c r="P27" s="41"/>
      <c r="Q27" s="41"/>
      <c r="R27" s="41"/>
      <c r="S27" s="88"/>
      <c r="T27" s="128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>0</v>
      </c>
      <c r="U27" s="72">
        <f>IFERROR(IF(_tblRFQ[[#This Row],[Material ]]&lt;&gt;"",$S$18+_tblRFQ[[#This Row],[Days ARO]],""),"")</f>
        <v>46141</v>
      </c>
    </row>
    <row r="28" spans="2:21" x14ac:dyDescent="0.25">
      <c r="B28" s="40">
        <f>(ROW()-ROW(_tblRFQ[]))+1</f>
        <v>3</v>
      </c>
      <c r="C28" s="48"/>
      <c r="D28" s="49"/>
      <c r="E28" s="122"/>
      <c r="F28" s="50"/>
      <c r="G28" s="50"/>
      <c r="H28" s="115"/>
      <c r="I28" s="104"/>
      <c r="J28" s="104"/>
      <c r="K28" s="62"/>
      <c r="L28" s="41"/>
      <c r="M28" s="41"/>
      <c r="N28" s="41"/>
      <c r="O28" s="42"/>
      <c r="P28" s="41"/>
      <c r="Q28" s="41"/>
      <c r="R28" s="41"/>
      <c r="S28" s="88"/>
      <c r="T2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28" s="72" t="str">
        <f>IFERROR(IF(_tblRFQ[[#This Row],[Material ]]&lt;&gt;"",$S$18+_tblRFQ[[#This Row],[Days ARO]],""),"")</f>
        <v/>
      </c>
    </row>
    <row r="29" spans="2:21" x14ac:dyDescent="0.25">
      <c r="B29" s="40">
        <f>(ROW()-ROW(_tblRFQ[]))+1</f>
        <v>4</v>
      </c>
      <c r="C29" s="48"/>
      <c r="D29" s="49"/>
      <c r="E29" s="122"/>
      <c r="F29" s="50"/>
      <c r="G29" s="50"/>
      <c r="H29" s="115"/>
      <c r="I29" s="104"/>
      <c r="J29" s="104"/>
      <c r="K29" s="62"/>
      <c r="L29" s="41"/>
      <c r="M29" s="41"/>
      <c r="N29" s="41"/>
      <c r="O29" s="42"/>
      <c r="P29" s="41"/>
      <c r="Q29" s="41"/>
      <c r="R29" s="41"/>
      <c r="S29" s="88"/>
      <c r="T2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29" s="72" t="str">
        <f>IFERROR(IF(_tblRFQ[[#This Row],[Material ]]&lt;&gt;"",$S$18+_tblRFQ[[#This Row],[Days ARO]],""),"")</f>
        <v/>
      </c>
    </row>
    <row r="30" spans="2:21" x14ac:dyDescent="0.25">
      <c r="B30" s="40">
        <f>(ROW()-ROW(_tblRFQ[]))+1</f>
        <v>5</v>
      </c>
      <c r="C30" s="48"/>
      <c r="D30" s="49"/>
      <c r="E30" s="122"/>
      <c r="F30" s="50"/>
      <c r="G30" s="50"/>
      <c r="H30" s="115"/>
      <c r="I30" s="104"/>
      <c r="J30" s="104"/>
      <c r="K30" s="62"/>
      <c r="L30" s="41"/>
      <c r="M30" s="41"/>
      <c r="N30" s="41"/>
      <c r="O30" s="42"/>
      <c r="P30" s="41"/>
      <c r="Q30" s="41"/>
      <c r="R30" s="41"/>
      <c r="S30" s="88"/>
      <c r="T3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0" s="72" t="str">
        <f>IFERROR(IF(_tblRFQ[[#This Row],[Material ]]&lt;&gt;"",$S$18+_tblRFQ[[#This Row],[Days ARO]],""),"")</f>
        <v/>
      </c>
    </row>
    <row r="31" spans="2:21" x14ac:dyDescent="0.25">
      <c r="B31" s="40">
        <f>(ROW()-ROW(_tblRFQ[]))+1</f>
        <v>6</v>
      </c>
      <c r="C31" s="48"/>
      <c r="D31" s="49"/>
      <c r="E31" s="122"/>
      <c r="F31" s="50"/>
      <c r="G31" s="50"/>
      <c r="H31" s="115"/>
      <c r="I31" s="104"/>
      <c r="J31" s="104"/>
      <c r="K31" s="62"/>
      <c r="L31" s="41"/>
      <c r="M31" s="41"/>
      <c r="N31" s="41"/>
      <c r="O31" s="42"/>
      <c r="P31" s="41"/>
      <c r="Q31" s="41"/>
      <c r="R31" s="41"/>
      <c r="S31" s="88"/>
      <c r="T3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1" s="72" t="str">
        <f>IFERROR(IF(_tblRFQ[[#This Row],[Material ]]&lt;&gt;"",$S$18+_tblRFQ[[#This Row],[Days ARO]],""),"")</f>
        <v/>
      </c>
    </row>
    <row r="32" spans="2:21" x14ac:dyDescent="0.25">
      <c r="B32" s="40">
        <f>(ROW()-ROW(_tblRFQ[]))+1</f>
        <v>7</v>
      </c>
      <c r="C32" s="48"/>
      <c r="D32" s="49"/>
      <c r="E32" s="122"/>
      <c r="F32" s="50"/>
      <c r="G32" s="50"/>
      <c r="H32" s="115"/>
      <c r="I32" s="104"/>
      <c r="J32" s="104"/>
      <c r="K32" s="62"/>
      <c r="L32" s="41"/>
      <c r="M32" s="41"/>
      <c r="N32" s="41"/>
      <c r="O32" s="42"/>
      <c r="P32" s="41"/>
      <c r="Q32" s="41"/>
      <c r="R32" s="41"/>
      <c r="S32" s="88"/>
      <c r="T3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2" s="72" t="str">
        <f>IFERROR(IF(_tblRFQ[[#This Row],[Material ]]&lt;&gt;"",$S$18+_tblRFQ[[#This Row],[Days ARO]],""),"")</f>
        <v/>
      </c>
    </row>
    <row r="33" spans="2:21" x14ac:dyDescent="0.25">
      <c r="B33" s="40">
        <f>(ROW()-ROW(_tblRFQ[]))+1</f>
        <v>8</v>
      </c>
      <c r="C33" s="48"/>
      <c r="D33" s="49"/>
      <c r="E33" s="122"/>
      <c r="F33" s="50"/>
      <c r="G33" s="50"/>
      <c r="H33" s="115"/>
      <c r="I33" s="104"/>
      <c r="J33" s="104"/>
      <c r="K33" s="62"/>
      <c r="L33" s="41"/>
      <c r="M33" s="41"/>
      <c r="N33" s="41"/>
      <c r="O33" s="42"/>
      <c r="P33" s="41"/>
      <c r="Q33" s="41"/>
      <c r="R33" s="41"/>
      <c r="S33" s="88"/>
      <c r="T3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3" s="72" t="str">
        <f>IFERROR(IF(_tblRFQ[[#This Row],[Material ]]&lt;&gt;"",$S$18+_tblRFQ[[#This Row],[Days ARO]],""),"")</f>
        <v/>
      </c>
    </row>
    <row r="34" spans="2:21" x14ac:dyDescent="0.25">
      <c r="B34" s="40">
        <f>(ROW()-ROW(_tblRFQ[]))+1</f>
        <v>9</v>
      </c>
      <c r="C34" s="48"/>
      <c r="D34" s="49"/>
      <c r="E34" s="122"/>
      <c r="F34" s="50"/>
      <c r="G34" s="50"/>
      <c r="H34" s="115"/>
      <c r="I34" s="104"/>
      <c r="J34" s="104"/>
      <c r="K34" s="62"/>
      <c r="L34" s="41"/>
      <c r="M34" s="41"/>
      <c r="N34" s="41"/>
      <c r="O34" s="42"/>
      <c r="P34" s="41"/>
      <c r="Q34" s="41"/>
      <c r="R34" s="41"/>
      <c r="S34" s="88"/>
      <c r="T3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4" s="72" t="str">
        <f>IFERROR(IF(_tblRFQ[[#This Row],[Material ]]&lt;&gt;"",$S$18+_tblRFQ[[#This Row],[Days ARO]],""),"")</f>
        <v/>
      </c>
    </row>
    <row r="35" spans="2:21" x14ac:dyDescent="0.25">
      <c r="B35" s="40">
        <f>(ROW()-ROW(_tblRFQ[]))+1</f>
        <v>10</v>
      </c>
      <c r="C35" s="48"/>
      <c r="D35" s="49"/>
      <c r="E35" s="122"/>
      <c r="F35" s="50"/>
      <c r="G35" s="50"/>
      <c r="H35" s="115"/>
      <c r="I35" s="104"/>
      <c r="J35" s="104"/>
      <c r="K35" s="62"/>
      <c r="L35" s="41"/>
      <c r="M35" s="41"/>
      <c r="N35" s="41"/>
      <c r="O35" s="42"/>
      <c r="P35" s="41"/>
      <c r="Q35" s="41"/>
      <c r="R35" s="41"/>
      <c r="S35" s="88"/>
      <c r="T3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5" s="72" t="str">
        <f>IFERROR(IF(_tblRFQ[[#This Row],[Material ]]&lt;&gt;"",$S$18+_tblRFQ[[#This Row],[Days ARO]],""),"")</f>
        <v/>
      </c>
    </row>
    <row r="36" spans="2:21" x14ac:dyDescent="0.25">
      <c r="B36" s="40">
        <f>(ROW()-ROW(_tblRFQ[]))+1</f>
        <v>11</v>
      </c>
      <c r="C36" s="48"/>
      <c r="D36" s="49"/>
      <c r="E36" s="122"/>
      <c r="F36" s="50"/>
      <c r="G36" s="50"/>
      <c r="H36" s="115"/>
      <c r="I36" s="104"/>
      <c r="J36" s="104"/>
      <c r="K36" s="62"/>
      <c r="L36" s="41"/>
      <c r="M36" s="41"/>
      <c r="N36" s="41"/>
      <c r="O36" s="42"/>
      <c r="P36" s="41"/>
      <c r="Q36" s="41"/>
      <c r="R36" s="41"/>
      <c r="S36" s="88"/>
      <c r="T3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6" s="72" t="str">
        <f>IFERROR(IF(_tblRFQ[[#This Row],[Material ]]&lt;&gt;"",$S$18+_tblRFQ[[#This Row],[Days ARO]],""),"")</f>
        <v/>
      </c>
    </row>
    <row r="37" spans="2:21" x14ac:dyDescent="0.25">
      <c r="B37" s="40">
        <f>(ROW()-ROW(_tblRFQ[]))+1</f>
        <v>12</v>
      </c>
      <c r="C37" s="48"/>
      <c r="D37" s="49"/>
      <c r="E37" s="122"/>
      <c r="F37" s="50"/>
      <c r="G37" s="50"/>
      <c r="H37" s="115"/>
      <c r="I37" s="104"/>
      <c r="J37" s="104"/>
      <c r="K37" s="62"/>
      <c r="L37" s="41"/>
      <c r="M37" s="41"/>
      <c r="N37" s="41"/>
      <c r="O37" s="42"/>
      <c r="P37" s="41"/>
      <c r="Q37" s="41"/>
      <c r="R37" s="41"/>
      <c r="S37" s="88"/>
      <c r="T3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7" s="72" t="str">
        <f>IFERROR(IF(_tblRFQ[[#This Row],[Material ]]&lt;&gt;"",$S$18+_tblRFQ[[#This Row],[Days ARO]],""),"")</f>
        <v/>
      </c>
    </row>
    <row r="38" spans="2:21" x14ac:dyDescent="0.25">
      <c r="B38" s="40">
        <f>(ROW()-ROW(_tblRFQ[]))+1</f>
        <v>13</v>
      </c>
      <c r="C38" s="48"/>
      <c r="D38" s="49"/>
      <c r="E38" s="122"/>
      <c r="F38" s="50"/>
      <c r="G38" s="50"/>
      <c r="H38" s="115"/>
      <c r="I38" s="104"/>
      <c r="J38" s="104"/>
      <c r="K38" s="62"/>
      <c r="L38" s="41"/>
      <c r="M38" s="41"/>
      <c r="N38" s="41"/>
      <c r="O38" s="42"/>
      <c r="P38" s="41"/>
      <c r="Q38" s="41"/>
      <c r="R38" s="41"/>
      <c r="S38" s="88"/>
      <c r="T3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8" s="72" t="str">
        <f>IFERROR(IF(_tblRFQ[[#This Row],[Material ]]&lt;&gt;"",$S$18+_tblRFQ[[#This Row],[Days ARO]],""),"")</f>
        <v/>
      </c>
    </row>
    <row r="39" spans="2:21" x14ac:dyDescent="0.25">
      <c r="B39" s="40">
        <f>(ROW()-ROW(_tblRFQ[]))+1</f>
        <v>14</v>
      </c>
      <c r="C39" s="48"/>
      <c r="D39" s="49"/>
      <c r="E39" s="122"/>
      <c r="F39" s="50"/>
      <c r="G39" s="50"/>
      <c r="H39" s="115"/>
      <c r="I39" s="104"/>
      <c r="J39" s="104"/>
      <c r="K39" s="62"/>
      <c r="L39" s="41"/>
      <c r="M39" s="41"/>
      <c r="N39" s="41"/>
      <c r="O39" s="42"/>
      <c r="P39" s="41"/>
      <c r="Q39" s="41"/>
      <c r="R39" s="41"/>
      <c r="S39" s="88"/>
      <c r="T3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9" s="72" t="str">
        <f>IFERROR(IF(_tblRFQ[[#This Row],[Material ]]&lt;&gt;"",$S$18+_tblRFQ[[#This Row],[Days ARO]],""),"")</f>
        <v/>
      </c>
    </row>
    <row r="40" spans="2:21" x14ac:dyDescent="0.25">
      <c r="B40" s="40">
        <f>(ROW()-ROW(_tblRFQ[]))+1</f>
        <v>15</v>
      </c>
      <c r="C40" s="48"/>
      <c r="D40" s="49"/>
      <c r="E40" s="122"/>
      <c r="F40" s="50"/>
      <c r="G40" s="50"/>
      <c r="H40" s="115"/>
      <c r="I40" s="104"/>
      <c r="J40" s="104"/>
      <c r="K40" s="62"/>
      <c r="L40" s="41"/>
      <c r="M40" s="41"/>
      <c r="N40" s="41"/>
      <c r="O40" s="42"/>
      <c r="P40" s="41"/>
      <c r="Q40" s="41"/>
      <c r="R40" s="41"/>
      <c r="S40" s="88"/>
      <c r="T4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0" s="72" t="str">
        <f>IFERROR(IF(_tblRFQ[[#This Row],[Material ]]&lt;&gt;"",$S$18+_tblRFQ[[#This Row],[Days ARO]],""),"")</f>
        <v/>
      </c>
    </row>
    <row r="41" spans="2:21" x14ac:dyDescent="0.25">
      <c r="B41" s="40">
        <f>(ROW()-ROW(_tblRFQ[]))+1</f>
        <v>16</v>
      </c>
      <c r="C41" s="48"/>
      <c r="D41" s="49"/>
      <c r="E41" s="122"/>
      <c r="F41" s="50"/>
      <c r="G41" s="50"/>
      <c r="H41" s="115"/>
      <c r="I41" s="104"/>
      <c r="J41" s="104"/>
      <c r="K41" s="62"/>
      <c r="L41" s="41"/>
      <c r="M41" s="41"/>
      <c r="N41" s="41"/>
      <c r="O41" s="42"/>
      <c r="P41" s="41"/>
      <c r="Q41" s="41"/>
      <c r="R41" s="41"/>
      <c r="S41" s="88"/>
      <c r="T4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1" s="72" t="str">
        <f>IFERROR(IF(_tblRFQ[[#This Row],[Material ]]&lt;&gt;"",$S$18+_tblRFQ[[#This Row],[Days ARO]],""),"")</f>
        <v/>
      </c>
    </row>
    <row r="42" spans="2:21" x14ac:dyDescent="0.25">
      <c r="B42" s="40">
        <f>(ROW()-ROW(_tblRFQ[]))+1</f>
        <v>17</v>
      </c>
      <c r="C42" s="48"/>
      <c r="D42" s="49"/>
      <c r="E42" s="122"/>
      <c r="F42" s="50"/>
      <c r="G42" s="50"/>
      <c r="H42" s="115"/>
      <c r="I42" s="104"/>
      <c r="J42" s="104"/>
      <c r="K42" s="62"/>
      <c r="L42" s="41"/>
      <c r="M42" s="41"/>
      <c r="N42" s="41"/>
      <c r="O42" s="42"/>
      <c r="P42" s="41"/>
      <c r="Q42" s="41"/>
      <c r="R42" s="41"/>
      <c r="S42" s="88"/>
      <c r="T4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2" s="73" t="str">
        <f>IFERROR(IF(_tblRFQ[[#This Row],[Material ]]&lt;&gt;"",$S$18+_tblRFQ[[#This Row],[Days ARO]],""),"")</f>
        <v/>
      </c>
    </row>
    <row r="43" spans="2:21" x14ac:dyDescent="0.25">
      <c r="B43" s="40">
        <f>(ROW()-ROW(_tblRFQ[]))+1</f>
        <v>18</v>
      </c>
      <c r="C43" s="48"/>
      <c r="D43" s="49"/>
      <c r="E43" s="122"/>
      <c r="F43" s="50"/>
      <c r="G43" s="50"/>
      <c r="H43" s="115"/>
      <c r="I43" s="104"/>
      <c r="J43" s="104"/>
      <c r="K43" s="62"/>
      <c r="L43" s="41"/>
      <c r="M43" s="41"/>
      <c r="N43" s="41"/>
      <c r="O43" s="42"/>
      <c r="P43" s="41"/>
      <c r="Q43" s="41"/>
      <c r="R43" s="41"/>
      <c r="S43" s="88"/>
      <c r="T4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3" s="73" t="str">
        <f>IFERROR(IF(_tblRFQ[[#This Row],[Material ]]&lt;&gt;"",$S$18+_tblRFQ[[#This Row],[Days ARO]],""),"")</f>
        <v/>
      </c>
    </row>
    <row r="44" spans="2:21" x14ac:dyDescent="0.25">
      <c r="B44" s="40">
        <f>(ROW()-ROW(_tblRFQ[]))+1</f>
        <v>19</v>
      </c>
      <c r="C44" s="48"/>
      <c r="D44" s="49"/>
      <c r="E44" s="122"/>
      <c r="F44" s="50"/>
      <c r="G44" s="50"/>
      <c r="H44" s="115"/>
      <c r="I44" s="104"/>
      <c r="J44" s="104"/>
      <c r="K44" s="62"/>
      <c r="L44" s="41"/>
      <c r="M44" s="41"/>
      <c r="N44" s="41"/>
      <c r="O44" s="42"/>
      <c r="P44" s="41"/>
      <c r="Q44" s="41"/>
      <c r="R44" s="41"/>
      <c r="S44" s="88"/>
      <c r="T4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4" s="73" t="str">
        <f>IFERROR(IF(_tblRFQ[[#This Row],[Material ]]&lt;&gt;"",$S$18+_tblRFQ[[#This Row],[Days ARO]],""),"")</f>
        <v/>
      </c>
    </row>
    <row r="45" spans="2:21" x14ac:dyDescent="0.25">
      <c r="B45" s="40">
        <f>(ROW()-ROW(_tblRFQ[]))+1</f>
        <v>20</v>
      </c>
      <c r="C45" s="48"/>
      <c r="D45" s="49"/>
      <c r="E45" s="122"/>
      <c r="F45" s="50"/>
      <c r="G45" s="50"/>
      <c r="H45" s="115"/>
      <c r="I45" s="104"/>
      <c r="J45" s="104"/>
      <c r="K45" s="62"/>
      <c r="L45" s="41"/>
      <c r="M45" s="41"/>
      <c r="N45" s="41"/>
      <c r="O45" s="42"/>
      <c r="P45" s="41"/>
      <c r="Q45" s="41"/>
      <c r="R45" s="41"/>
      <c r="S45" s="88"/>
      <c r="T4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5" s="73" t="str">
        <f>IFERROR(IF(_tblRFQ[[#This Row],[Material ]]&lt;&gt;"",$S$18+_tblRFQ[[#This Row],[Days ARO]],""),"")</f>
        <v/>
      </c>
    </row>
    <row r="46" spans="2:21" x14ac:dyDescent="0.25">
      <c r="B46" s="76">
        <f>(ROW()-ROW(_tblRFQ[]))+1</f>
        <v>21</v>
      </c>
      <c r="C46" s="77"/>
      <c r="D46" s="78"/>
      <c r="E46" s="123"/>
      <c r="F46" s="79"/>
      <c r="G46" s="79"/>
      <c r="H46" s="115"/>
      <c r="I46" s="106"/>
      <c r="J46" s="106"/>
      <c r="K46" s="62"/>
      <c r="L46" s="41"/>
      <c r="M46" s="41"/>
      <c r="N46" s="41"/>
      <c r="O46" s="42"/>
      <c r="P46" s="41"/>
      <c r="Q46" s="41"/>
      <c r="R46" s="41"/>
      <c r="S46" s="88"/>
      <c r="T4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6" s="73" t="str">
        <f>IFERROR(IF(_tblRFQ[[#This Row],[Material ]]&lt;&gt;"",$S$18+_tblRFQ[[#This Row],[Days ARO]],""),"")</f>
        <v/>
      </c>
    </row>
    <row r="47" spans="2:21" x14ac:dyDescent="0.25">
      <c r="B47" s="76">
        <f>(ROW()-ROW(_tblRFQ[]))+1</f>
        <v>22</v>
      </c>
      <c r="C47" s="77"/>
      <c r="D47" s="78"/>
      <c r="E47" s="123"/>
      <c r="F47" s="79"/>
      <c r="G47" s="79"/>
      <c r="H47" s="115"/>
      <c r="I47" s="106"/>
      <c r="J47" s="106"/>
      <c r="K47" s="62"/>
      <c r="L47" s="41"/>
      <c r="M47" s="41"/>
      <c r="N47" s="41"/>
      <c r="O47" s="42"/>
      <c r="P47" s="41"/>
      <c r="Q47" s="41"/>
      <c r="R47" s="41"/>
      <c r="S47" s="88"/>
      <c r="T4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7" s="73" t="str">
        <f>IFERROR(IF(_tblRFQ[[#This Row],[Material ]]&lt;&gt;"",$S$18+_tblRFQ[[#This Row],[Days ARO]],""),"")</f>
        <v/>
      </c>
    </row>
    <row r="48" spans="2:21" x14ac:dyDescent="0.25">
      <c r="B48" s="76">
        <f>(ROW()-ROW(_tblRFQ[]))+1</f>
        <v>23</v>
      </c>
      <c r="C48" s="77"/>
      <c r="D48" s="78"/>
      <c r="E48" s="123"/>
      <c r="F48" s="79"/>
      <c r="G48" s="79"/>
      <c r="H48" s="115"/>
      <c r="I48" s="106"/>
      <c r="J48" s="106"/>
      <c r="K48" s="62"/>
      <c r="L48" s="41"/>
      <c r="M48" s="41"/>
      <c r="N48" s="41"/>
      <c r="O48" s="42"/>
      <c r="P48" s="41"/>
      <c r="Q48" s="41"/>
      <c r="R48" s="41"/>
      <c r="S48" s="88"/>
      <c r="T4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8" s="73" t="str">
        <f>IFERROR(IF(_tblRFQ[[#This Row],[Material ]]&lt;&gt;"",$S$18+_tblRFQ[[#This Row],[Days ARO]],""),"")</f>
        <v/>
      </c>
    </row>
    <row r="49" spans="2:21" x14ac:dyDescent="0.25">
      <c r="B49" s="76">
        <f>(ROW()-ROW(_tblRFQ[]))+1</f>
        <v>24</v>
      </c>
      <c r="C49" s="77"/>
      <c r="D49" s="78"/>
      <c r="E49" s="123"/>
      <c r="F49" s="79"/>
      <c r="G49" s="79"/>
      <c r="H49" s="115"/>
      <c r="I49" s="106"/>
      <c r="J49" s="106"/>
      <c r="K49" s="62"/>
      <c r="L49" s="41"/>
      <c r="M49" s="41"/>
      <c r="N49" s="41"/>
      <c r="O49" s="42"/>
      <c r="P49" s="41"/>
      <c r="Q49" s="41"/>
      <c r="R49" s="41"/>
      <c r="S49" s="88"/>
      <c r="T4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9" s="73" t="str">
        <f>IFERROR(IF(_tblRFQ[[#This Row],[Material ]]&lt;&gt;"",$S$18+_tblRFQ[[#This Row],[Days ARO]],""),"")</f>
        <v/>
      </c>
    </row>
    <row r="50" spans="2:21" x14ac:dyDescent="0.25">
      <c r="B50" s="76">
        <f>(ROW()-ROW(_tblRFQ[]))+1</f>
        <v>25</v>
      </c>
      <c r="C50" s="77"/>
      <c r="D50" s="78"/>
      <c r="E50" s="123"/>
      <c r="F50" s="79"/>
      <c r="G50" s="79"/>
      <c r="H50" s="115"/>
      <c r="I50" s="106"/>
      <c r="J50" s="106"/>
      <c r="K50" s="62"/>
      <c r="L50" s="41"/>
      <c r="M50" s="41"/>
      <c r="N50" s="41"/>
      <c r="O50" s="42"/>
      <c r="P50" s="41"/>
      <c r="Q50" s="41"/>
      <c r="R50" s="41"/>
      <c r="S50" s="88"/>
      <c r="T5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0" s="73" t="str">
        <f>IFERROR(IF(_tblRFQ[[#This Row],[Material ]]&lt;&gt;"",$S$18+_tblRFQ[[#This Row],[Days ARO]],""),"")</f>
        <v/>
      </c>
    </row>
    <row r="51" spans="2:21" x14ac:dyDescent="0.25">
      <c r="B51" s="76">
        <f>(ROW()-ROW(_tblRFQ[]))+1</f>
        <v>26</v>
      </c>
      <c r="C51" s="77"/>
      <c r="D51" s="78"/>
      <c r="E51" s="123"/>
      <c r="F51" s="79"/>
      <c r="G51" s="79"/>
      <c r="H51" s="115"/>
      <c r="I51" s="106"/>
      <c r="J51" s="106"/>
      <c r="K51" s="62"/>
      <c r="L51" s="41"/>
      <c r="M51" s="41"/>
      <c r="N51" s="41"/>
      <c r="O51" s="42"/>
      <c r="P51" s="41"/>
      <c r="Q51" s="41"/>
      <c r="R51" s="41"/>
      <c r="S51" s="88"/>
      <c r="T5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1" s="73" t="str">
        <f>IFERROR(IF(_tblRFQ[[#This Row],[Material ]]&lt;&gt;"",$S$18+_tblRFQ[[#This Row],[Days ARO]],""),"")</f>
        <v/>
      </c>
    </row>
    <row r="52" spans="2:21" x14ac:dyDescent="0.25">
      <c r="B52" s="76">
        <f>(ROW()-ROW(_tblRFQ[]))+1</f>
        <v>27</v>
      </c>
      <c r="C52" s="77"/>
      <c r="D52" s="78"/>
      <c r="E52" s="123"/>
      <c r="F52" s="79"/>
      <c r="G52" s="79"/>
      <c r="H52" s="115"/>
      <c r="I52" s="106"/>
      <c r="J52" s="106"/>
      <c r="K52" s="62"/>
      <c r="L52" s="41"/>
      <c r="M52" s="41"/>
      <c r="N52" s="41"/>
      <c r="O52" s="42"/>
      <c r="P52" s="41"/>
      <c r="Q52" s="41"/>
      <c r="R52" s="41"/>
      <c r="S52" s="88"/>
      <c r="T5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2" s="73" t="str">
        <f>IFERROR(IF(_tblRFQ[[#This Row],[Material ]]&lt;&gt;"",$S$18+_tblRFQ[[#This Row],[Days ARO]],""),"")</f>
        <v/>
      </c>
    </row>
    <row r="53" spans="2:21" x14ac:dyDescent="0.25">
      <c r="B53" s="76">
        <f>(ROW()-ROW(_tblRFQ[]))+1</f>
        <v>28</v>
      </c>
      <c r="C53" s="77"/>
      <c r="D53" s="78"/>
      <c r="E53" s="123"/>
      <c r="F53" s="79"/>
      <c r="G53" s="79"/>
      <c r="H53" s="115"/>
      <c r="I53" s="106"/>
      <c r="J53" s="106"/>
      <c r="K53" s="62"/>
      <c r="L53" s="41"/>
      <c r="M53" s="41"/>
      <c r="N53" s="41"/>
      <c r="O53" s="42"/>
      <c r="P53" s="41"/>
      <c r="Q53" s="41"/>
      <c r="R53" s="41"/>
      <c r="S53" s="88"/>
      <c r="T5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3" s="73" t="str">
        <f>IFERROR(IF(_tblRFQ[[#This Row],[Material ]]&lt;&gt;"",$S$18+_tblRFQ[[#This Row],[Days ARO]],""),"")</f>
        <v/>
      </c>
    </row>
    <row r="54" spans="2:21" x14ac:dyDescent="0.25">
      <c r="B54" s="76">
        <f>(ROW()-ROW(_tblRFQ[]))+1</f>
        <v>29</v>
      </c>
      <c r="C54" s="77"/>
      <c r="D54" s="78"/>
      <c r="E54" s="123"/>
      <c r="F54" s="79"/>
      <c r="G54" s="79"/>
      <c r="H54" s="115"/>
      <c r="I54" s="106"/>
      <c r="J54" s="106"/>
      <c r="K54" s="62"/>
      <c r="L54" s="41"/>
      <c r="M54" s="41"/>
      <c r="N54" s="41"/>
      <c r="O54" s="42"/>
      <c r="P54" s="41"/>
      <c r="Q54" s="41"/>
      <c r="R54" s="41"/>
      <c r="S54" s="88"/>
      <c r="T5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4" s="73" t="str">
        <f>IFERROR(IF(_tblRFQ[[#This Row],[Material ]]&lt;&gt;"",$S$18+_tblRFQ[[#This Row],[Days ARO]],""),"")</f>
        <v/>
      </c>
    </row>
    <row r="55" spans="2:21" x14ac:dyDescent="0.25">
      <c r="B55" s="76">
        <f>(ROW()-ROW(_tblRFQ[]))+1</f>
        <v>30</v>
      </c>
      <c r="C55" s="77"/>
      <c r="D55" s="78"/>
      <c r="E55" s="123"/>
      <c r="F55" s="79"/>
      <c r="G55" s="79"/>
      <c r="H55" s="115"/>
      <c r="I55" s="106"/>
      <c r="J55" s="106"/>
      <c r="K55" s="62"/>
      <c r="L55" s="41"/>
      <c r="M55" s="41"/>
      <c r="N55" s="41"/>
      <c r="O55" s="42"/>
      <c r="P55" s="41"/>
      <c r="Q55" s="41"/>
      <c r="R55" s="41"/>
      <c r="S55" s="88"/>
      <c r="T5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5" s="73" t="str">
        <f>IFERROR(IF(_tblRFQ[[#This Row],[Material ]]&lt;&gt;"",$S$18+_tblRFQ[[#This Row],[Days ARO]],""),"")</f>
        <v/>
      </c>
    </row>
    <row r="56" spans="2:21" x14ac:dyDescent="0.25">
      <c r="B56" s="76">
        <f>(ROW()-ROW(_tblRFQ[]))+1</f>
        <v>31</v>
      </c>
      <c r="C56" s="77"/>
      <c r="D56" s="78"/>
      <c r="E56" s="123"/>
      <c r="F56" s="79"/>
      <c r="G56" s="79"/>
      <c r="H56" s="115"/>
      <c r="I56" s="106"/>
      <c r="J56" s="106"/>
      <c r="K56" s="62"/>
      <c r="L56" s="41"/>
      <c r="M56" s="41"/>
      <c r="N56" s="41"/>
      <c r="O56" s="42"/>
      <c r="P56" s="41"/>
      <c r="Q56" s="41"/>
      <c r="R56" s="41"/>
      <c r="S56" s="88"/>
      <c r="T5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6" s="73" t="str">
        <f>IFERROR(IF(_tblRFQ[[#This Row],[Material ]]&lt;&gt;"",$S$18+_tblRFQ[[#This Row],[Days ARO]],""),"")</f>
        <v/>
      </c>
    </row>
    <row r="57" spans="2:21" x14ac:dyDescent="0.25">
      <c r="B57" s="76">
        <f>(ROW()-ROW(_tblRFQ[]))+1</f>
        <v>32</v>
      </c>
      <c r="C57" s="77"/>
      <c r="D57" s="78"/>
      <c r="E57" s="123"/>
      <c r="F57" s="79"/>
      <c r="G57" s="79"/>
      <c r="H57" s="115"/>
      <c r="I57" s="106"/>
      <c r="J57" s="106"/>
      <c r="K57" s="62"/>
      <c r="L57" s="41"/>
      <c r="M57" s="41"/>
      <c r="N57" s="41"/>
      <c r="O57" s="42"/>
      <c r="P57" s="41"/>
      <c r="Q57" s="41"/>
      <c r="R57" s="41"/>
      <c r="S57" s="88"/>
      <c r="T5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7" s="73" t="str">
        <f>IFERROR(IF(_tblRFQ[[#This Row],[Material ]]&lt;&gt;"",$S$18+_tblRFQ[[#This Row],[Days ARO]],""),"")</f>
        <v/>
      </c>
    </row>
    <row r="58" spans="2:21" x14ac:dyDescent="0.25">
      <c r="B58" s="76">
        <f>(ROW()-ROW(_tblRFQ[]))+1</f>
        <v>33</v>
      </c>
      <c r="C58" s="77"/>
      <c r="D58" s="78"/>
      <c r="E58" s="123"/>
      <c r="F58" s="79"/>
      <c r="G58" s="79"/>
      <c r="H58" s="115"/>
      <c r="I58" s="106"/>
      <c r="J58" s="106"/>
      <c r="K58" s="62"/>
      <c r="L58" s="41"/>
      <c r="M58" s="41"/>
      <c r="N58" s="41"/>
      <c r="O58" s="42"/>
      <c r="P58" s="41"/>
      <c r="Q58" s="41"/>
      <c r="R58" s="41"/>
      <c r="S58" s="88"/>
      <c r="T5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8" s="73" t="str">
        <f>IFERROR(IF(_tblRFQ[[#This Row],[Material ]]&lt;&gt;"",$S$18+_tblRFQ[[#This Row],[Days ARO]],""),"")</f>
        <v/>
      </c>
    </row>
    <row r="59" spans="2:21" x14ac:dyDescent="0.25">
      <c r="B59" s="76">
        <f>(ROW()-ROW(_tblRFQ[]))+1</f>
        <v>34</v>
      </c>
      <c r="C59" s="77"/>
      <c r="D59" s="78"/>
      <c r="E59" s="123"/>
      <c r="F59" s="79"/>
      <c r="G59" s="79"/>
      <c r="H59" s="115"/>
      <c r="I59" s="106"/>
      <c r="J59" s="106"/>
      <c r="K59" s="62"/>
      <c r="L59" s="41"/>
      <c r="M59" s="41"/>
      <c r="N59" s="41"/>
      <c r="O59" s="42"/>
      <c r="P59" s="41"/>
      <c r="Q59" s="41"/>
      <c r="R59" s="41"/>
      <c r="S59" s="88"/>
      <c r="T5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9" s="73" t="str">
        <f>IFERROR(IF(_tblRFQ[[#This Row],[Material ]]&lt;&gt;"",$S$18+_tblRFQ[[#This Row],[Days ARO]],""),"")</f>
        <v/>
      </c>
    </row>
    <row r="60" spans="2:21" x14ac:dyDescent="0.25">
      <c r="B60" s="76">
        <f>(ROW()-ROW(_tblRFQ[]))+1</f>
        <v>35</v>
      </c>
      <c r="C60" s="77"/>
      <c r="D60" s="78"/>
      <c r="E60" s="123"/>
      <c r="F60" s="79"/>
      <c r="G60" s="79"/>
      <c r="H60" s="115"/>
      <c r="I60" s="106"/>
      <c r="J60" s="106"/>
      <c r="K60" s="62"/>
      <c r="L60" s="41"/>
      <c r="M60" s="41"/>
      <c r="N60" s="41"/>
      <c r="O60" s="42"/>
      <c r="P60" s="41"/>
      <c r="Q60" s="41"/>
      <c r="R60" s="41"/>
      <c r="S60" s="88"/>
      <c r="T6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0" s="73" t="str">
        <f>IFERROR(IF(_tblRFQ[[#This Row],[Material ]]&lt;&gt;"",$S$18+_tblRFQ[[#This Row],[Days ARO]],""),"")</f>
        <v/>
      </c>
    </row>
    <row r="61" spans="2:21" x14ac:dyDescent="0.25">
      <c r="B61" s="76">
        <f>(ROW()-ROW(_tblRFQ[]))+1</f>
        <v>36</v>
      </c>
      <c r="C61" s="77"/>
      <c r="D61" s="78"/>
      <c r="E61" s="123"/>
      <c r="F61" s="79"/>
      <c r="G61" s="79"/>
      <c r="H61" s="115"/>
      <c r="I61" s="106"/>
      <c r="J61" s="106"/>
      <c r="K61" s="62"/>
      <c r="L61" s="41"/>
      <c r="M61" s="41"/>
      <c r="N61" s="41"/>
      <c r="O61" s="42"/>
      <c r="P61" s="41"/>
      <c r="Q61" s="41"/>
      <c r="R61" s="41"/>
      <c r="S61" s="88"/>
      <c r="T6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1" s="73" t="str">
        <f>IFERROR(IF(_tblRFQ[[#This Row],[Material ]]&lt;&gt;"",$S$18+_tblRFQ[[#This Row],[Days ARO]],""),"")</f>
        <v/>
      </c>
    </row>
    <row r="62" spans="2:21" x14ac:dyDescent="0.25">
      <c r="B62" s="76">
        <f>(ROW()-ROW(_tblRFQ[]))+1</f>
        <v>37</v>
      </c>
      <c r="C62" s="77"/>
      <c r="D62" s="78"/>
      <c r="E62" s="123"/>
      <c r="F62" s="79"/>
      <c r="G62" s="79"/>
      <c r="H62" s="115"/>
      <c r="I62" s="106"/>
      <c r="J62" s="106"/>
      <c r="K62" s="62"/>
      <c r="L62" s="41"/>
      <c r="M62" s="41"/>
      <c r="N62" s="41"/>
      <c r="O62" s="42"/>
      <c r="P62" s="41"/>
      <c r="Q62" s="41"/>
      <c r="R62" s="41"/>
      <c r="S62" s="88"/>
      <c r="T6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2" s="73" t="str">
        <f>IFERROR(IF(_tblRFQ[[#This Row],[Material ]]&lt;&gt;"",$S$18+_tblRFQ[[#This Row],[Days ARO]],""),"")</f>
        <v/>
      </c>
    </row>
    <row r="63" spans="2:21" x14ac:dyDescent="0.25">
      <c r="B63" s="76">
        <f>(ROW()-ROW(_tblRFQ[]))+1</f>
        <v>38</v>
      </c>
      <c r="C63" s="77"/>
      <c r="D63" s="78"/>
      <c r="E63" s="123"/>
      <c r="F63" s="79"/>
      <c r="G63" s="79"/>
      <c r="H63" s="115"/>
      <c r="I63" s="106"/>
      <c r="J63" s="106"/>
      <c r="K63" s="62"/>
      <c r="L63" s="41"/>
      <c r="M63" s="41"/>
      <c r="N63" s="41"/>
      <c r="O63" s="42"/>
      <c r="P63" s="41"/>
      <c r="Q63" s="41"/>
      <c r="R63" s="41"/>
      <c r="S63" s="88"/>
      <c r="T6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3" s="73" t="str">
        <f>IFERROR(IF(_tblRFQ[[#This Row],[Material ]]&lt;&gt;"",$S$18+_tblRFQ[[#This Row],[Days ARO]],""),"")</f>
        <v/>
      </c>
    </row>
    <row r="64" spans="2:21" x14ac:dyDescent="0.25">
      <c r="B64" s="76">
        <f>(ROW()-ROW(_tblRFQ[]))+1</f>
        <v>39</v>
      </c>
      <c r="C64" s="77"/>
      <c r="D64" s="78"/>
      <c r="E64" s="123"/>
      <c r="F64" s="79"/>
      <c r="G64" s="79"/>
      <c r="H64" s="115"/>
      <c r="I64" s="106"/>
      <c r="J64" s="106"/>
      <c r="K64" s="62"/>
      <c r="L64" s="41"/>
      <c r="M64" s="41"/>
      <c r="N64" s="41"/>
      <c r="O64" s="42"/>
      <c r="P64" s="41"/>
      <c r="Q64" s="41"/>
      <c r="R64" s="41"/>
      <c r="S64" s="88"/>
      <c r="T6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4" s="73" t="str">
        <f>IFERROR(IF(_tblRFQ[[#This Row],[Material ]]&lt;&gt;"",$S$18+_tblRFQ[[#This Row],[Days ARO]],""),"")</f>
        <v/>
      </c>
    </row>
    <row r="65" spans="2:21" x14ac:dyDescent="0.25">
      <c r="B65" s="76">
        <f>(ROW()-ROW(_tblRFQ[]))+1</f>
        <v>40</v>
      </c>
      <c r="C65" s="77"/>
      <c r="D65" s="78"/>
      <c r="E65" s="123"/>
      <c r="F65" s="79"/>
      <c r="G65" s="79"/>
      <c r="H65" s="115"/>
      <c r="I65" s="106"/>
      <c r="J65" s="106"/>
      <c r="K65" s="62"/>
      <c r="L65" s="41"/>
      <c r="M65" s="41"/>
      <c r="N65" s="41"/>
      <c r="O65" s="42"/>
      <c r="P65" s="41"/>
      <c r="Q65" s="41"/>
      <c r="R65" s="41"/>
      <c r="S65" s="88"/>
      <c r="T6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5" s="73" t="str">
        <f>IFERROR(IF(_tblRFQ[[#This Row],[Material ]]&lt;&gt;"",$S$18+_tblRFQ[[#This Row],[Days ARO]],""),"")</f>
        <v/>
      </c>
    </row>
    <row r="66" spans="2:21" x14ac:dyDescent="0.25">
      <c r="B66" s="76">
        <f>(ROW()-ROW(_tblRFQ[]))+1</f>
        <v>41</v>
      </c>
      <c r="C66" s="77"/>
      <c r="D66" s="78"/>
      <c r="E66" s="123"/>
      <c r="F66" s="79"/>
      <c r="G66" s="79"/>
      <c r="H66" s="115"/>
      <c r="I66" s="106"/>
      <c r="J66" s="106"/>
      <c r="K66" s="62"/>
      <c r="L66" s="41"/>
      <c r="M66" s="41"/>
      <c r="N66" s="41"/>
      <c r="O66" s="42"/>
      <c r="P66" s="41"/>
      <c r="Q66" s="41"/>
      <c r="R66" s="41"/>
      <c r="S66" s="88"/>
      <c r="T6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6" s="73" t="str">
        <f>IFERROR(IF(_tblRFQ[[#This Row],[Material ]]&lt;&gt;"",$S$18+_tblRFQ[[#This Row],[Days ARO]],""),"")</f>
        <v/>
      </c>
    </row>
    <row r="67" spans="2:21" x14ac:dyDescent="0.25">
      <c r="B67" s="76">
        <f>(ROW()-ROW(_tblRFQ[]))+1</f>
        <v>42</v>
      </c>
      <c r="C67" s="77"/>
      <c r="D67" s="78"/>
      <c r="E67" s="123"/>
      <c r="F67" s="79"/>
      <c r="G67" s="79"/>
      <c r="H67" s="115"/>
      <c r="I67" s="106"/>
      <c r="J67" s="106"/>
      <c r="K67" s="62"/>
      <c r="L67" s="41"/>
      <c r="M67" s="41"/>
      <c r="N67" s="41"/>
      <c r="O67" s="42"/>
      <c r="P67" s="41"/>
      <c r="Q67" s="41"/>
      <c r="R67" s="41"/>
      <c r="S67" s="88"/>
      <c r="T6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7" s="73" t="str">
        <f>IFERROR(IF(_tblRFQ[[#This Row],[Material ]]&lt;&gt;"",$S$18+_tblRFQ[[#This Row],[Days ARO]],""),"")</f>
        <v/>
      </c>
    </row>
    <row r="68" spans="2:21" x14ac:dyDescent="0.25">
      <c r="B68" s="76">
        <f>(ROW()-ROW(_tblRFQ[]))+1</f>
        <v>43</v>
      </c>
      <c r="C68" s="77"/>
      <c r="D68" s="78"/>
      <c r="E68" s="123"/>
      <c r="F68" s="79"/>
      <c r="G68" s="79"/>
      <c r="H68" s="115"/>
      <c r="I68" s="106"/>
      <c r="J68" s="106"/>
      <c r="K68" s="62"/>
      <c r="L68" s="41"/>
      <c r="M68" s="41"/>
      <c r="N68" s="41"/>
      <c r="O68" s="42"/>
      <c r="P68" s="41"/>
      <c r="Q68" s="41"/>
      <c r="R68" s="41"/>
      <c r="S68" s="88"/>
      <c r="T6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8" s="73" t="str">
        <f>IFERROR(IF(_tblRFQ[[#This Row],[Material ]]&lt;&gt;"",$S$18+_tblRFQ[[#This Row],[Days ARO]],""),"")</f>
        <v/>
      </c>
    </row>
    <row r="69" spans="2:21" x14ac:dyDescent="0.25">
      <c r="B69" s="76">
        <f>(ROW()-ROW(_tblRFQ[]))+1</f>
        <v>44</v>
      </c>
      <c r="C69" s="77"/>
      <c r="D69" s="78"/>
      <c r="E69" s="123"/>
      <c r="F69" s="79"/>
      <c r="G69" s="79"/>
      <c r="H69" s="115"/>
      <c r="I69" s="106"/>
      <c r="J69" s="106"/>
      <c r="K69" s="62"/>
      <c r="L69" s="41"/>
      <c r="M69" s="41"/>
      <c r="N69" s="41"/>
      <c r="O69" s="42"/>
      <c r="P69" s="41"/>
      <c r="Q69" s="41"/>
      <c r="R69" s="41"/>
      <c r="S69" s="88"/>
      <c r="T6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9" s="73" t="str">
        <f>IFERROR(IF(_tblRFQ[[#This Row],[Material ]]&lt;&gt;"",$S$18+_tblRFQ[[#This Row],[Days ARO]],""),"")</f>
        <v/>
      </c>
    </row>
    <row r="70" spans="2:21" x14ac:dyDescent="0.25">
      <c r="B70" s="76">
        <f>(ROW()-ROW(_tblRFQ[]))+1</f>
        <v>45</v>
      </c>
      <c r="C70" s="77"/>
      <c r="D70" s="78"/>
      <c r="E70" s="123"/>
      <c r="F70" s="79"/>
      <c r="G70" s="79"/>
      <c r="H70" s="115"/>
      <c r="I70" s="106"/>
      <c r="J70" s="106"/>
      <c r="K70" s="62"/>
      <c r="L70" s="41"/>
      <c r="M70" s="41"/>
      <c r="N70" s="41"/>
      <c r="O70" s="42"/>
      <c r="P70" s="41"/>
      <c r="Q70" s="41"/>
      <c r="R70" s="41"/>
      <c r="S70" s="88"/>
      <c r="T7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0" s="73" t="str">
        <f>IFERROR(IF(_tblRFQ[[#This Row],[Material ]]&lt;&gt;"",$S$18+_tblRFQ[[#This Row],[Days ARO]],""),"")</f>
        <v/>
      </c>
    </row>
    <row r="71" spans="2:21" x14ac:dyDescent="0.25">
      <c r="B71" s="76">
        <f>(ROW()-ROW(_tblRFQ[]))+1</f>
        <v>46</v>
      </c>
      <c r="C71" s="77"/>
      <c r="D71" s="78"/>
      <c r="E71" s="123"/>
      <c r="F71" s="79"/>
      <c r="G71" s="79"/>
      <c r="H71" s="115"/>
      <c r="I71" s="106"/>
      <c r="J71" s="106"/>
      <c r="K71" s="62"/>
      <c r="L71" s="41"/>
      <c r="M71" s="41"/>
      <c r="N71" s="41"/>
      <c r="O71" s="42"/>
      <c r="P71" s="41"/>
      <c r="Q71" s="41"/>
      <c r="R71" s="41"/>
      <c r="S71" s="88"/>
      <c r="T7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1" s="73" t="str">
        <f>IFERROR(IF(_tblRFQ[[#This Row],[Material ]]&lt;&gt;"",$S$18+_tblRFQ[[#This Row],[Days ARO]],""),"")</f>
        <v/>
      </c>
    </row>
    <row r="72" spans="2:21" x14ac:dyDescent="0.25">
      <c r="B72" s="76">
        <f>(ROW()-ROW(_tblRFQ[]))+1</f>
        <v>47</v>
      </c>
      <c r="C72" s="77"/>
      <c r="D72" s="78"/>
      <c r="E72" s="123"/>
      <c r="F72" s="79"/>
      <c r="G72" s="79"/>
      <c r="H72" s="115"/>
      <c r="I72" s="106"/>
      <c r="J72" s="106"/>
      <c r="K72" s="62"/>
      <c r="L72" s="41"/>
      <c r="M72" s="41"/>
      <c r="N72" s="41"/>
      <c r="O72" s="42"/>
      <c r="P72" s="41"/>
      <c r="Q72" s="41"/>
      <c r="R72" s="41"/>
      <c r="S72" s="88"/>
      <c r="T7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2" s="73" t="str">
        <f>IFERROR(IF(_tblRFQ[[#This Row],[Material ]]&lt;&gt;"",$S$18+_tblRFQ[[#This Row],[Days ARO]],""),"")</f>
        <v/>
      </c>
    </row>
    <row r="73" spans="2:21" x14ac:dyDescent="0.25">
      <c r="B73" s="76">
        <f>(ROW()-ROW(_tblRFQ[]))+1</f>
        <v>48</v>
      </c>
      <c r="C73" s="77"/>
      <c r="D73" s="78"/>
      <c r="E73" s="123"/>
      <c r="F73" s="79"/>
      <c r="G73" s="79"/>
      <c r="H73" s="115"/>
      <c r="I73" s="106"/>
      <c r="J73" s="106"/>
      <c r="K73" s="62"/>
      <c r="L73" s="41"/>
      <c r="M73" s="41"/>
      <c r="N73" s="41"/>
      <c r="O73" s="42"/>
      <c r="P73" s="41"/>
      <c r="Q73" s="41"/>
      <c r="R73" s="41"/>
      <c r="S73" s="88"/>
      <c r="T7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3" s="73" t="str">
        <f>IFERROR(IF(_tblRFQ[[#This Row],[Material ]]&lt;&gt;"",$S$18+_tblRFQ[[#This Row],[Days ARO]],""),"")</f>
        <v/>
      </c>
    </row>
    <row r="74" spans="2:21" x14ac:dyDescent="0.25">
      <c r="B74" s="76">
        <f>(ROW()-ROW(_tblRFQ[]))+1</f>
        <v>49</v>
      </c>
      <c r="C74" s="77"/>
      <c r="D74" s="78"/>
      <c r="E74" s="123"/>
      <c r="F74" s="79"/>
      <c r="G74" s="79"/>
      <c r="H74" s="115"/>
      <c r="I74" s="106"/>
      <c r="J74" s="106"/>
      <c r="K74" s="62"/>
      <c r="L74" s="41"/>
      <c r="M74" s="41"/>
      <c r="N74" s="41"/>
      <c r="O74" s="42"/>
      <c r="P74" s="41"/>
      <c r="Q74" s="41"/>
      <c r="R74" s="41"/>
      <c r="S74" s="88"/>
      <c r="T7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4" s="73" t="str">
        <f>IFERROR(IF(_tblRFQ[[#This Row],[Material ]]&lt;&gt;"",$S$18+_tblRFQ[[#This Row],[Days ARO]],""),"")</f>
        <v/>
      </c>
    </row>
    <row r="75" spans="2:21" x14ac:dyDescent="0.25">
      <c r="B75" s="76">
        <f>(ROW()-ROW(_tblRFQ[]))+1</f>
        <v>50</v>
      </c>
      <c r="C75" s="77"/>
      <c r="D75" s="78"/>
      <c r="E75" s="123"/>
      <c r="F75" s="79"/>
      <c r="G75" s="79"/>
      <c r="H75" s="115"/>
      <c r="I75" s="106"/>
      <c r="J75" s="106"/>
      <c r="K75" s="62"/>
      <c r="L75" s="41"/>
      <c r="M75" s="41"/>
      <c r="N75" s="41"/>
      <c r="O75" s="42"/>
      <c r="P75" s="41"/>
      <c r="Q75" s="41"/>
      <c r="R75" s="41"/>
      <c r="S75" s="88"/>
      <c r="T7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5" s="73" t="str">
        <f>IFERROR(IF(_tblRFQ[[#This Row],[Material ]]&lt;&gt;"",$S$18+_tblRFQ[[#This Row],[Days ARO]],""),"")</f>
        <v/>
      </c>
    </row>
    <row r="76" spans="2:21" x14ac:dyDescent="0.25">
      <c r="B76" s="76">
        <f>(ROW()-ROW(_tblRFQ[]))+1</f>
        <v>51</v>
      </c>
      <c r="C76" s="77"/>
      <c r="D76" s="78"/>
      <c r="E76" s="123"/>
      <c r="F76" s="79"/>
      <c r="G76" s="79"/>
      <c r="H76" s="115"/>
      <c r="I76" s="106"/>
      <c r="J76" s="106"/>
      <c r="K76" s="62"/>
      <c r="L76" s="41"/>
      <c r="M76" s="41"/>
      <c r="N76" s="41"/>
      <c r="O76" s="42"/>
      <c r="P76" s="41"/>
      <c r="Q76" s="41"/>
      <c r="R76" s="41"/>
      <c r="S76" s="88"/>
      <c r="T7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6" s="73" t="str">
        <f>IFERROR(IF(_tblRFQ[[#This Row],[Material ]]&lt;&gt;"",$S$18+_tblRFQ[[#This Row],[Days ARO]],""),"")</f>
        <v/>
      </c>
    </row>
    <row r="77" spans="2:21" x14ac:dyDescent="0.25">
      <c r="B77" s="76">
        <f>(ROW()-ROW(_tblRFQ[]))+1</f>
        <v>52</v>
      </c>
      <c r="C77" s="77"/>
      <c r="D77" s="78"/>
      <c r="E77" s="123"/>
      <c r="F77" s="79"/>
      <c r="G77" s="79"/>
      <c r="H77" s="115"/>
      <c r="I77" s="106"/>
      <c r="J77" s="106"/>
      <c r="K77" s="62"/>
      <c r="L77" s="41"/>
      <c r="M77" s="41"/>
      <c r="N77" s="41"/>
      <c r="O77" s="42"/>
      <c r="P77" s="41"/>
      <c r="Q77" s="41"/>
      <c r="R77" s="41"/>
      <c r="S77" s="88"/>
      <c r="T7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7" s="73" t="str">
        <f>IFERROR(IF(_tblRFQ[[#This Row],[Material ]]&lt;&gt;"",$S$18+_tblRFQ[[#This Row],[Days ARO]],""),"")</f>
        <v/>
      </c>
    </row>
    <row r="78" spans="2:21" x14ac:dyDescent="0.25">
      <c r="B78" s="76">
        <f>(ROW()-ROW(_tblRFQ[]))+1</f>
        <v>53</v>
      </c>
      <c r="C78" s="77"/>
      <c r="D78" s="78"/>
      <c r="E78" s="123"/>
      <c r="F78" s="79"/>
      <c r="G78" s="79"/>
      <c r="H78" s="115"/>
      <c r="I78" s="106"/>
      <c r="J78" s="106"/>
      <c r="K78" s="62"/>
      <c r="L78" s="41"/>
      <c r="M78" s="41"/>
      <c r="N78" s="41"/>
      <c r="O78" s="42"/>
      <c r="P78" s="41"/>
      <c r="Q78" s="41"/>
      <c r="R78" s="41"/>
      <c r="S78" s="88"/>
      <c r="T7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8" s="73" t="str">
        <f>IFERROR(IF(_tblRFQ[[#This Row],[Material ]]&lt;&gt;"",$S$18+_tblRFQ[[#This Row],[Days ARO]],""),"")</f>
        <v/>
      </c>
    </row>
    <row r="79" spans="2:21" x14ac:dyDescent="0.25">
      <c r="B79" s="76">
        <f>(ROW()-ROW(_tblRFQ[]))+1</f>
        <v>54</v>
      </c>
      <c r="C79" s="77"/>
      <c r="D79" s="78"/>
      <c r="E79" s="123"/>
      <c r="F79" s="79"/>
      <c r="G79" s="79"/>
      <c r="H79" s="115"/>
      <c r="I79" s="106"/>
      <c r="J79" s="106"/>
      <c r="K79" s="62"/>
      <c r="L79" s="41"/>
      <c r="M79" s="41"/>
      <c r="N79" s="41"/>
      <c r="O79" s="42"/>
      <c r="P79" s="41"/>
      <c r="Q79" s="41"/>
      <c r="R79" s="41"/>
      <c r="S79" s="88"/>
      <c r="T7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9" s="73" t="str">
        <f>IFERROR(IF(_tblRFQ[[#This Row],[Material ]]&lt;&gt;"",$S$18+_tblRFQ[[#This Row],[Days ARO]],""),"")</f>
        <v/>
      </c>
    </row>
    <row r="80" spans="2:21" x14ac:dyDescent="0.25">
      <c r="B80" s="76">
        <f>(ROW()-ROW(_tblRFQ[]))+1</f>
        <v>55</v>
      </c>
      <c r="C80" s="77"/>
      <c r="D80" s="78"/>
      <c r="E80" s="123"/>
      <c r="F80" s="79"/>
      <c r="G80" s="79"/>
      <c r="H80" s="115"/>
      <c r="I80" s="106"/>
      <c r="J80" s="106"/>
      <c r="K80" s="62"/>
      <c r="L80" s="41"/>
      <c r="M80" s="41"/>
      <c r="N80" s="41"/>
      <c r="O80" s="42"/>
      <c r="P80" s="41"/>
      <c r="Q80" s="41"/>
      <c r="R80" s="41"/>
      <c r="S80" s="88"/>
      <c r="T8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0" s="73" t="str">
        <f>IFERROR(IF(_tblRFQ[[#This Row],[Material ]]&lt;&gt;"",$S$18+_tblRFQ[[#This Row],[Days ARO]],""),"")</f>
        <v/>
      </c>
    </row>
    <row r="81" spans="2:21" x14ac:dyDescent="0.25">
      <c r="B81" s="76">
        <f>(ROW()-ROW(_tblRFQ[]))+1</f>
        <v>56</v>
      </c>
      <c r="C81" s="77"/>
      <c r="D81" s="78"/>
      <c r="E81" s="123"/>
      <c r="F81" s="79"/>
      <c r="G81" s="79"/>
      <c r="H81" s="115"/>
      <c r="I81" s="106"/>
      <c r="J81" s="106"/>
      <c r="K81" s="62"/>
      <c r="L81" s="41"/>
      <c r="M81" s="41"/>
      <c r="N81" s="41"/>
      <c r="O81" s="42"/>
      <c r="P81" s="41"/>
      <c r="Q81" s="41"/>
      <c r="R81" s="41"/>
      <c r="S81" s="88"/>
      <c r="T8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1" s="73" t="str">
        <f>IFERROR(IF(_tblRFQ[[#This Row],[Material ]]&lt;&gt;"",$S$18+_tblRFQ[[#This Row],[Days ARO]],""),"")</f>
        <v/>
      </c>
    </row>
    <row r="82" spans="2:21" x14ac:dyDescent="0.25">
      <c r="B82" s="76">
        <f>(ROW()-ROW(_tblRFQ[]))+1</f>
        <v>57</v>
      </c>
      <c r="C82" s="77"/>
      <c r="D82" s="78"/>
      <c r="E82" s="123"/>
      <c r="F82" s="79"/>
      <c r="G82" s="79"/>
      <c r="H82" s="115"/>
      <c r="I82" s="106"/>
      <c r="J82" s="106"/>
      <c r="K82" s="62"/>
      <c r="L82" s="41"/>
      <c r="M82" s="41"/>
      <c r="N82" s="41"/>
      <c r="O82" s="42"/>
      <c r="P82" s="41"/>
      <c r="Q82" s="41"/>
      <c r="R82" s="41"/>
      <c r="S82" s="88"/>
      <c r="T8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2" s="73" t="str">
        <f>IFERROR(IF(_tblRFQ[[#This Row],[Material ]]&lt;&gt;"",$S$18+_tblRFQ[[#This Row],[Days ARO]],""),"")</f>
        <v/>
      </c>
    </row>
    <row r="83" spans="2:21" x14ac:dyDescent="0.25">
      <c r="B83" s="76">
        <f>(ROW()-ROW(_tblRFQ[]))+1</f>
        <v>58</v>
      </c>
      <c r="C83" s="77"/>
      <c r="D83" s="78"/>
      <c r="E83" s="123"/>
      <c r="F83" s="79"/>
      <c r="G83" s="79"/>
      <c r="H83" s="115"/>
      <c r="I83" s="106"/>
      <c r="J83" s="106"/>
      <c r="K83" s="62"/>
      <c r="L83" s="41"/>
      <c r="M83" s="41"/>
      <c r="N83" s="41"/>
      <c r="O83" s="42"/>
      <c r="P83" s="41"/>
      <c r="Q83" s="41"/>
      <c r="R83" s="41"/>
      <c r="S83" s="88"/>
      <c r="T8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3" s="73" t="str">
        <f>IFERROR(IF(_tblRFQ[[#This Row],[Material ]]&lt;&gt;"",$S$18+_tblRFQ[[#This Row],[Days ARO]],""),"")</f>
        <v/>
      </c>
    </row>
    <row r="84" spans="2:21" x14ac:dyDescent="0.25">
      <c r="B84" s="76">
        <f>(ROW()-ROW(_tblRFQ[]))+1</f>
        <v>59</v>
      </c>
      <c r="C84" s="77"/>
      <c r="D84" s="78"/>
      <c r="E84" s="123"/>
      <c r="F84" s="79"/>
      <c r="G84" s="79"/>
      <c r="H84" s="115"/>
      <c r="I84" s="106"/>
      <c r="J84" s="106"/>
      <c r="K84" s="62"/>
      <c r="L84" s="41"/>
      <c r="M84" s="41"/>
      <c r="N84" s="41"/>
      <c r="O84" s="42"/>
      <c r="P84" s="41"/>
      <c r="Q84" s="41"/>
      <c r="R84" s="41"/>
      <c r="S84" s="88"/>
      <c r="T8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4" s="73" t="str">
        <f>IFERROR(IF(_tblRFQ[[#This Row],[Material ]]&lt;&gt;"",$S$18+_tblRFQ[[#This Row],[Days ARO]],""),"")</f>
        <v/>
      </c>
    </row>
    <row r="85" spans="2:21" x14ac:dyDescent="0.25">
      <c r="B85" s="76">
        <f>(ROW()-ROW(_tblRFQ[]))+1</f>
        <v>60</v>
      </c>
      <c r="C85" s="77"/>
      <c r="D85" s="78"/>
      <c r="E85" s="123"/>
      <c r="F85" s="79"/>
      <c r="G85" s="79"/>
      <c r="H85" s="115"/>
      <c r="I85" s="106"/>
      <c r="J85" s="106"/>
      <c r="K85" s="62"/>
      <c r="L85" s="41"/>
      <c r="M85" s="41"/>
      <c r="N85" s="41"/>
      <c r="O85" s="42"/>
      <c r="P85" s="41"/>
      <c r="Q85" s="41"/>
      <c r="R85" s="41"/>
      <c r="S85" s="88"/>
      <c r="T8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5" s="73" t="str">
        <f>IFERROR(IF(_tblRFQ[[#This Row],[Material ]]&lt;&gt;"",$S$18+_tblRFQ[[#This Row],[Days ARO]],""),"")</f>
        <v/>
      </c>
    </row>
    <row r="86" spans="2:21" x14ac:dyDescent="0.25">
      <c r="B86" s="76">
        <f>(ROW()-ROW(_tblRFQ[]))+1</f>
        <v>61</v>
      </c>
      <c r="C86" s="77"/>
      <c r="D86" s="78"/>
      <c r="E86" s="123"/>
      <c r="F86" s="79"/>
      <c r="G86" s="79"/>
      <c r="H86" s="115"/>
      <c r="I86" s="106"/>
      <c r="J86" s="106"/>
      <c r="K86" s="62"/>
      <c r="L86" s="41"/>
      <c r="M86" s="41"/>
      <c r="N86" s="41"/>
      <c r="O86" s="42"/>
      <c r="P86" s="41"/>
      <c r="Q86" s="41"/>
      <c r="R86" s="41"/>
      <c r="S86" s="88"/>
      <c r="T8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6" s="73" t="str">
        <f>IFERROR(IF(_tblRFQ[[#This Row],[Material ]]&lt;&gt;"",$S$18+_tblRFQ[[#This Row],[Days ARO]],""),"")</f>
        <v/>
      </c>
    </row>
    <row r="87" spans="2:21" x14ac:dyDescent="0.25">
      <c r="B87" s="76">
        <f>(ROW()-ROW(_tblRFQ[]))+1</f>
        <v>62</v>
      </c>
      <c r="C87" s="77"/>
      <c r="D87" s="78"/>
      <c r="E87" s="123"/>
      <c r="F87" s="79"/>
      <c r="G87" s="79"/>
      <c r="H87" s="115"/>
      <c r="I87" s="106"/>
      <c r="J87" s="106"/>
      <c r="K87" s="62"/>
      <c r="L87" s="41"/>
      <c r="M87" s="41"/>
      <c r="N87" s="41"/>
      <c r="O87" s="42"/>
      <c r="P87" s="41"/>
      <c r="Q87" s="41"/>
      <c r="R87" s="41"/>
      <c r="S87" s="88"/>
      <c r="T8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7" s="73" t="str">
        <f>IFERROR(IF(_tblRFQ[[#This Row],[Material ]]&lt;&gt;"",$S$18+_tblRFQ[[#This Row],[Days ARO]],""),"")</f>
        <v/>
      </c>
    </row>
    <row r="88" spans="2:21" x14ac:dyDescent="0.25">
      <c r="B88" s="76">
        <f>(ROW()-ROW(_tblRFQ[]))+1</f>
        <v>63</v>
      </c>
      <c r="C88" s="77"/>
      <c r="D88" s="78"/>
      <c r="E88" s="123"/>
      <c r="F88" s="79"/>
      <c r="G88" s="79"/>
      <c r="H88" s="115"/>
      <c r="I88" s="106"/>
      <c r="J88" s="106"/>
      <c r="K88" s="62"/>
      <c r="L88" s="41"/>
      <c r="M88" s="41"/>
      <c r="N88" s="41"/>
      <c r="O88" s="42"/>
      <c r="P88" s="41"/>
      <c r="Q88" s="41"/>
      <c r="R88" s="41"/>
      <c r="S88" s="88"/>
      <c r="T8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8" s="73" t="str">
        <f>IFERROR(IF(_tblRFQ[[#This Row],[Material ]]&lt;&gt;"",$S$18+_tblRFQ[[#This Row],[Days ARO]],""),"")</f>
        <v/>
      </c>
    </row>
    <row r="89" spans="2:21" x14ac:dyDescent="0.25">
      <c r="B89" s="76">
        <f>(ROW()-ROW(_tblRFQ[]))+1</f>
        <v>64</v>
      </c>
      <c r="C89" s="77"/>
      <c r="D89" s="78"/>
      <c r="E89" s="123"/>
      <c r="F89" s="79"/>
      <c r="G89" s="79"/>
      <c r="H89" s="115"/>
      <c r="I89" s="106"/>
      <c r="J89" s="106"/>
      <c r="K89" s="62"/>
      <c r="L89" s="41"/>
      <c r="M89" s="41"/>
      <c r="N89" s="41"/>
      <c r="O89" s="42"/>
      <c r="P89" s="41"/>
      <c r="Q89" s="41"/>
      <c r="R89" s="41"/>
      <c r="S89" s="88"/>
      <c r="T8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9" s="73" t="str">
        <f>IFERROR(IF(_tblRFQ[[#This Row],[Material ]]&lt;&gt;"",$S$18+_tblRFQ[[#This Row],[Days ARO]],""),"")</f>
        <v/>
      </c>
    </row>
    <row r="90" spans="2:21" x14ac:dyDescent="0.25">
      <c r="B90" s="76">
        <f>(ROW()-ROW(_tblRFQ[]))+1</f>
        <v>65</v>
      </c>
      <c r="C90" s="77"/>
      <c r="D90" s="78"/>
      <c r="E90" s="123"/>
      <c r="F90" s="79"/>
      <c r="G90" s="79"/>
      <c r="H90" s="115"/>
      <c r="I90" s="106"/>
      <c r="J90" s="106"/>
      <c r="K90" s="62"/>
      <c r="L90" s="41"/>
      <c r="M90" s="41"/>
      <c r="N90" s="41"/>
      <c r="O90" s="42"/>
      <c r="P90" s="41"/>
      <c r="Q90" s="41"/>
      <c r="R90" s="41"/>
      <c r="S90" s="88"/>
      <c r="T9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0" s="73" t="str">
        <f>IFERROR(IF(_tblRFQ[[#This Row],[Material ]]&lt;&gt;"",$S$18+_tblRFQ[[#This Row],[Days ARO]],""),"")</f>
        <v/>
      </c>
    </row>
    <row r="91" spans="2:21" x14ac:dyDescent="0.25">
      <c r="B91" s="76">
        <f>(ROW()-ROW(_tblRFQ[]))+1</f>
        <v>66</v>
      </c>
      <c r="C91" s="77"/>
      <c r="D91" s="78"/>
      <c r="E91" s="123"/>
      <c r="F91" s="79"/>
      <c r="G91" s="79"/>
      <c r="H91" s="115"/>
      <c r="I91" s="106"/>
      <c r="J91" s="106"/>
      <c r="K91" s="62"/>
      <c r="L91" s="41"/>
      <c r="M91" s="41"/>
      <c r="N91" s="41"/>
      <c r="O91" s="42"/>
      <c r="P91" s="41"/>
      <c r="Q91" s="41"/>
      <c r="R91" s="41"/>
      <c r="S91" s="88"/>
      <c r="T9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1" s="73" t="str">
        <f>IFERROR(IF(_tblRFQ[[#This Row],[Material ]]&lt;&gt;"",$S$18+_tblRFQ[[#This Row],[Days ARO]],""),"")</f>
        <v/>
      </c>
    </row>
    <row r="92" spans="2:21" x14ac:dyDescent="0.25">
      <c r="B92" s="76">
        <f>(ROW()-ROW(_tblRFQ[]))+1</f>
        <v>67</v>
      </c>
      <c r="C92" s="77"/>
      <c r="D92" s="78"/>
      <c r="E92" s="123"/>
      <c r="F92" s="79"/>
      <c r="G92" s="79"/>
      <c r="H92" s="115"/>
      <c r="I92" s="106"/>
      <c r="J92" s="106"/>
      <c r="K92" s="62"/>
      <c r="L92" s="41"/>
      <c r="M92" s="41"/>
      <c r="N92" s="41"/>
      <c r="O92" s="42"/>
      <c r="P92" s="41"/>
      <c r="Q92" s="41"/>
      <c r="R92" s="41"/>
      <c r="S92" s="88"/>
      <c r="T9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2" s="73" t="str">
        <f>IFERROR(IF(_tblRFQ[[#This Row],[Material ]]&lt;&gt;"",$S$18+_tblRFQ[[#This Row],[Days ARO]],""),"")</f>
        <v/>
      </c>
    </row>
    <row r="93" spans="2:21" x14ac:dyDescent="0.25">
      <c r="B93" s="76">
        <f>(ROW()-ROW(_tblRFQ[]))+1</f>
        <v>68</v>
      </c>
      <c r="C93" s="77"/>
      <c r="D93" s="78"/>
      <c r="E93" s="123"/>
      <c r="F93" s="79"/>
      <c r="G93" s="79"/>
      <c r="H93" s="115"/>
      <c r="I93" s="106"/>
      <c r="J93" s="106"/>
      <c r="K93" s="62"/>
      <c r="L93" s="41"/>
      <c r="M93" s="41"/>
      <c r="N93" s="41"/>
      <c r="O93" s="42"/>
      <c r="P93" s="41"/>
      <c r="Q93" s="41"/>
      <c r="R93" s="41"/>
      <c r="S93" s="88"/>
      <c r="T9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3" s="73" t="str">
        <f>IFERROR(IF(_tblRFQ[[#This Row],[Material ]]&lt;&gt;"",$S$18+_tblRFQ[[#This Row],[Days ARO]],""),"")</f>
        <v/>
      </c>
    </row>
    <row r="94" spans="2:21" x14ac:dyDescent="0.25">
      <c r="B94" s="76">
        <f>(ROW()-ROW(_tblRFQ[]))+1</f>
        <v>69</v>
      </c>
      <c r="C94" s="77"/>
      <c r="D94" s="78"/>
      <c r="E94" s="123"/>
      <c r="F94" s="79"/>
      <c r="G94" s="79"/>
      <c r="H94" s="115"/>
      <c r="I94" s="106"/>
      <c r="J94" s="106"/>
      <c r="K94" s="62"/>
      <c r="L94" s="41"/>
      <c r="M94" s="41"/>
      <c r="N94" s="41"/>
      <c r="O94" s="42"/>
      <c r="P94" s="41"/>
      <c r="Q94" s="41"/>
      <c r="R94" s="41"/>
      <c r="S94" s="88"/>
      <c r="T9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4" s="73" t="str">
        <f>IFERROR(IF(_tblRFQ[[#This Row],[Material ]]&lt;&gt;"",$S$18+_tblRFQ[[#This Row],[Days ARO]],""),"")</f>
        <v/>
      </c>
    </row>
    <row r="95" spans="2:21" x14ac:dyDescent="0.25">
      <c r="B95" s="76">
        <f>(ROW()-ROW(_tblRFQ[]))+1</f>
        <v>70</v>
      </c>
      <c r="C95" s="77"/>
      <c r="D95" s="78"/>
      <c r="E95" s="123"/>
      <c r="F95" s="79"/>
      <c r="G95" s="79"/>
      <c r="H95" s="115"/>
      <c r="I95" s="106"/>
      <c r="J95" s="106"/>
      <c r="K95" s="62"/>
      <c r="L95" s="41"/>
      <c r="M95" s="41"/>
      <c r="N95" s="41"/>
      <c r="O95" s="42"/>
      <c r="P95" s="41"/>
      <c r="Q95" s="41"/>
      <c r="R95" s="41"/>
      <c r="S95" s="88"/>
      <c r="T9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5" s="73" t="str">
        <f>IFERROR(IF(_tblRFQ[[#This Row],[Material ]]&lt;&gt;"",$S$18+_tblRFQ[[#This Row],[Days ARO]],""),"")</f>
        <v/>
      </c>
    </row>
    <row r="96" spans="2:21" x14ac:dyDescent="0.25">
      <c r="B96" s="76">
        <f>(ROW()-ROW(_tblRFQ[]))+1</f>
        <v>71</v>
      </c>
      <c r="C96" s="77"/>
      <c r="D96" s="78"/>
      <c r="E96" s="123"/>
      <c r="F96" s="79"/>
      <c r="G96" s="79"/>
      <c r="H96" s="115"/>
      <c r="I96" s="106"/>
      <c r="J96" s="106"/>
      <c r="K96" s="62"/>
      <c r="L96" s="41"/>
      <c r="M96" s="41"/>
      <c r="N96" s="41"/>
      <c r="O96" s="42"/>
      <c r="P96" s="41"/>
      <c r="Q96" s="41"/>
      <c r="R96" s="41"/>
      <c r="S96" s="88"/>
      <c r="T9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6" s="73" t="str">
        <f>IFERROR(IF(_tblRFQ[[#This Row],[Material ]]&lt;&gt;"",$S$18+_tblRFQ[[#This Row],[Days ARO]],""),"")</f>
        <v/>
      </c>
    </row>
    <row r="97" spans="2:21" x14ac:dyDescent="0.25">
      <c r="B97" s="76">
        <f>(ROW()-ROW(_tblRFQ[]))+1</f>
        <v>72</v>
      </c>
      <c r="C97" s="77"/>
      <c r="D97" s="78"/>
      <c r="E97" s="123"/>
      <c r="F97" s="79"/>
      <c r="G97" s="79"/>
      <c r="H97" s="115"/>
      <c r="I97" s="106"/>
      <c r="J97" s="106"/>
      <c r="K97" s="62"/>
      <c r="L97" s="41"/>
      <c r="M97" s="41"/>
      <c r="N97" s="41"/>
      <c r="O97" s="42"/>
      <c r="P97" s="41"/>
      <c r="Q97" s="41"/>
      <c r="R97" s="41"/>
      <c r="S97" s="88"/>
      <c r="T9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7" s="73" t="str">
        <f>IFERROR(IF(_tblRFQ[[#This Row],[Material ]]&lt;&gt;"",$S$18+_tblRFQ[[#This Row],[Days ARO]],""),"")</f>
        <v/>
      </c>
    </row>
    <row r="98" spans="2:21" x14ac:dyDescent="0.25">
      <c r="B98" s="76">
        <f>(ROW()-ROW(_tblRFQ[]))+1</f>
        <v>73</v>
      </c>
      <c r="C98" s="77"/>
      <c r="D98" s="78"/>
      <c r="E98" s="123"/>
      <c r="F98" s="79"/>
      <c r="G98" s="79"/>
      <c r="H98" s="115"/>
      <c r="I98" s="106"/>
      <c r="J98" s="106"/>
      <c r="K98" s="62"/>
      <c r="L98" s="41"/>
      <c r="M98" s="41"/>
      <c r="N98" s="41"/>
      <c r="O98" s="42"/>
      <c r="P98" s="41"/>
      <c r="Q98" s="41"/>
      <c r="R98" s="41"/>
      <c r="S98" s="88"/>
      <c r="T9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8" s="73" t="str">
        <f>IFERROR(IF(_tblRFQ[[#This Row],[Material ]]&lt;&gt;"",$S$18+_tblRFQ[[#This Row],[Days ARO]],""),"")</f>
        <v/>
      </c>
    </row>
    <row r="99" spans="2:21" x14ac:dyDescent="0.25">
      <c r="B99" s="76">
        <f>(ROW()-ROW(_tblRFQ[]))+1</f>
        <v>74</v>
      </c>
      <c r="C99" s="77"/>
      <c r="D99" s="78"/>
      <c r="E99" s="123"/>
      <c r="F99" s="79"/>
      <c r="G99" s="79"/>
      <c r="H99" s="115"/>
      <c r="I99" s="106"/>
      <c r="J99" s="106"/>
      <c r="K99" s="62"/>
      <c r="L99" s="41"/>
      <c r="M99" s="41"/>
      <c r="N99" s="41"/>
      <c r="O99" s="42"/>
      <c r="P99" s="41"/>
      <c r="Q99" s="41"/>
      <c r="R99" s="41"/>
      <c r="S99" s="88"/>
      <c r="T9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9" s="73" t="str">
        <f>IFERROR(IF(_tblRFQ[[#This Row],[Material ]]&lt;&gt;"",$S$18+_tblRFQ[[#This Row],[Days ARO]],""),"")</f>
        <v/>
      </c>
    </row>
    <row r="100" spans="2:21" x14ac:dyDescent="0.25">
      <c r="B100" s="76">
        <f>(ROW()-ROW(_tblRFQ[]))+1</f>
        <v>75</v>
      </c>
      <c r="C100" s="77"/>
      <c r="D100" s="78"/>
      <c r="E100" s="123"/>
      <c r="F100" s="79"/>
      <c r="G100" s="79"/>
      <c r="H100" s="115"/>
      <c r="I100" s="106"/>
      <c r="J100" s="106"/>
      <c r="K100" s="62"/>
      <c r="L100" s="41"/>
      <c r="M100" s="41"/>
      <c r="N100" s="41"/>
      <c r="O100" s="42"/>
      <c r="P100" s="41"/>
      <c r="Q100" s="41"/>
      <c r="R100" s="41"/>
      <c r="S100" s="88"/>
      <c r="T10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0" s="73" t="str">
        <f>IFERROR(IF(_tblRFQ[[#This Row],[Material ]]&lt;&gt;"",$S$18+_tblRFQ[[#This Row],[Days ARO]],""),"")</f>
        <v/>
      </c>
    </row>
    <row r="101" spans="2:21" x14ac:dyDescent="0.25">
      <c r="B101" s="76">
        <f>(ROW()-ROW(_tblRFQ[]))+1</f>
        <v>76</v>
      </c>
      <c r="C101" s="77"/>
      <c r="D101" s="78"/>
      <c r="E101" s="123"/>
      <c r="F101" s="79"/>
      <c r="G101" s="79"/>
      <c r="H101" s="115"/>
      <c r="I101" s="106"/>
      <c r="J101" s="106"/>
      <c r="K101" s="62"/>
      <c r="L101" s="41"/>
      <c r="M101" s="41"/>
      <c r="N101" s="41"/>
      <c r="O101" s="42"/>
      <c r="P101" s="41"/>
      <c r="Q101" s="41"/>
      <c r="R101" s="41"/>
      <c r="S101" s="88"/>
      <c r="T10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1" s="73" t="str">
        <f>IFERROR(IF(_tblRFQ[[#This Row],[Material ]]&lt;&gt;"",$S$18+_tblRFQ[[#This Row],[Days ARO]],""),"")</f>
        <v/>
      </c>
    </row>
    <row r="102" spans="2:21" x14ac:dyDescent="0.25">
      <c r="B102" s="76">
        <f>(ROW()-ROW(_tblRFQ[]))+1</f>
        <v>77</v>
      </c>
      <c r="C102" s="77"/>
      <c r="D102" s="78"/>
      <c r="E102" s="123"/>
      <c r="F102" s="79"/>
      <c r="G102" s="79"/>
      <c r="H102" s="115"/>
      <c r="I102" s="106"/>
      <c r="J102" s="106"/>
      <c r="K102" s="62"/>
      <c r="L102" s="41"/>
      <c r="M102" s="41"/>
      <c r="N102" s="41"/>
      <c r="O102" s="42"/>
      <c r="P102" s="41"/>
      <c r="Q102" s="41"/>
      <c r="R102" s="41"/>
      <c r="S102" s="88"/>
      <c r="T10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2" s="73" t="str">
        <f>IFERROR(IF(_tblRFQ[[#This Row],[Material ]]&lt;&gt;"",$S$18+_tblRFQ[[#This Row],[Days ARO]],""),"")</f>
        <v/>
      </c>
    </row>
    <row r="103" spans="2:21" x14ac:dyDescent="0.25">
      <c r="B103" s="76">
        <f>(ROW()-ROW(_tblRFQ[]))+1</f>
        <v>78</v>
      </c>
      <c r="C103" s="77"/>
      <c r="D103" s="78"/>
      <c r="E103" s="123"/>
      <c r="F103" s="79"/>
      <c r="G103" s="79"/>
      <c r="H103" s="115"/>
      <c r="I103" s="106"/>
      <c r="J103" s="106"/>
      <c r="K103" s="62"/>
      <c r="L103" s="41"/>
      <c r="M103" s="41"/>
      <c r="N103" s="41"/>
      <c r="O103" s="42"/>
      <c r="P103" s="41"/>
      <c r="Q103" s="41"/>
      <c r="R103" s="41"/>
      <c r="S103" s="88"/>
      <c r="T10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3" s="73" t="str">
        <f>IFERROR(IF(_tblRFQ[[#This Row],[Material ]]&lt;&gt;"",$S$18+_tblRFQ[[#This Row],[Days ARO]],""),"")</f>
        <v/>
      </c>
    </row>
    <row r="104" spans="2:21" x14ac:dyDescent="0.25">
      <c r="B104" s="76">
        <f>(ROW()-ROW(_tblRFQ[]))+1</f>
        <v>79</v>
      </c>
      <c r="C104" s="77"/>
      <c r="D104" s="78"/>
      <c r="E104" s="123"/>
      <c r="F104" s="79"/>
      <c r="G104" s="79"/>
      <c r="H104" s="115"/>
      <c r="I104" s="106"/>
      <c r="J104" s="106"/>
      <c r="K104" s="62"/>
      <c r="L104" s="41"/>
      <c r="M104" s="41"/>
      <c r="N104" s="41"/>
      <c r="O104" s="42"/>
      <c r="P104" s="41"/>
      <c r="Q104" s="41"/>
      <c r="R104" s="41"/>
      <c r="S104" s="88"/>
      <c r="T10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4" s="73" t="str">
        <f>IFERROR(IF(_tblRFQ[[#This Row],[Material ]]&lt;&gt;"",$S$18+_tblRFQ[[#This Row],[Days ARO]],""),"")</f>
        <v/>
      </c>
    </row>
    <row r="105" spans="2:21" x14ac:dyDescent="0.25">
      <c r="B105" s="76">
        <f>(ROW()-ROW(_tblRFQ[]))+1</f>
        <v>80</v>
      </c>
      <c r="C105" s="77"/>
      <c r="D105" s="78"/>
      <c r="E105" s="123"/>
      <c r="F105" s="79"/>
      <c r="G105" s="79"/>
      <c r="H105" s="115"/>
      <c r="I105" s="106"/>
      <c r="J105" s="106"/>
      <c r="K105" s="62"/>
      <c r="L105" s="41"/>
      <c r="M105" s="41"/>
      <c r="N105" s="41"/>
      <c r="O105" s="42"/>
      <c r="P105" s="41"/>
      <c r="Q105" s="41"/>
      <c r="R105" s="41"/>
      <c r="S105" s="88"/>
      <c r="T10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5" s="73" t="str">
        <f>IFERROR(IF(_tblRFQ[[#This Row],[Material ]]&lt;&gt;"",$S$18+_tblRFQ[[#This Row],[Days ARO]],""),"")</f>
        <v/>
      </c>
    </row>
    <row r="106" spans="2:21" x14ac:dyDescent="0.25">
      <c r="B106" s="76">
        <f>(ROW()-ROW(_tblRFQ[]))+1</f>
        <v>81</v>
      </c>
      <c r="C106" s="77"/>
      <c r="D106" s="78"/>
      <c r="E106" s="123"/>
      <c r="F106" s="79"/>
      <c r="G106" s="79"/>
      <c r="H106" s="115"/>
      <c r="I106" s="106"/>
      <c r="J106" s="106"/>
      <c r="K106" s="62"/>
      <c r="L106" s="41"/>
      <c r="M106" s="41"/>
      <c r="N106" s="41"/>
      <c r="O106" s="42"/>
      <c r="P106" s="41"/>
      <c r="Q106" s="41"/>
      <c r="R106" s="41"/>
      <c r="S106" s="88"/>
      <c r="T10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6" s="73" t="str">
        <f>IFERROR(IF(_tblRFQ[[#This Row],[Material ]]&lt;&gt;"",$S$18+_tblRFQ[[#This Row],[Days ARO]],""),"")</f>
        <v/>
      </c>
    </row>
    <row r="107" spans="2:21" x14ac:dyDescent="0.25">
      <c r="B107" s="76">
        <f>(ROW()-ROW(_tblRFQ[]))+1</f>
        <v>82</v>
      </c>
      <c r="C107" s="77"/>
      <c r="D107" s="78"/>
      <c r="E107" s="123"/>
      <c r="F107" s="79"/>
      <c r="G107" s="79"/>
      <c r="H107" s="115"/>
      <c r="I107" s="106"/>
      <c r="J107" s="106"/>
      <c r="K107" s="62"/>
      <c r="L107" s="41"/>
      <c r="M107" s="41"/>
      <c r="N107" s="41"/>
      <c r="O107" s="42"/>
      <c r="P107" s="41"/>
      <c r="Q107" s="41"/>
      <c r="R107" s="41"/>
      <c r="S107" s="88"/>
      <c r="T10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7" s="73" t="str">
        <f>IFERROR(IF(_tblRFQ[[#This Row],[Material ]]&lt;&gt;"",$S$18+_tblRFQ[[#This Row],[Days ARO]],""),"")</f>
        <v/>
      </c>
    </row>
    <row r="108" spans="2:21" x14ac:dyDescent="0.25">
      <c r="B108" s="76">
        <f>(ROW()-ROW(_tblRFQ[]))+1</f>
        <v>83</v>
      </c>
      <c r="C108" s="77"/>
      <c r="D108" s="78"/>
      <c r="E108" s="123"/>
      <c r="F108" s="79"/>
      <c r="G108" s="79"/>
      <c r="H108" s="115"/>
      <c r="I108" s="106"/>
      <c r="J108" s="106"/>
      <c r="K108" s="62"/>
      <c r="L108" s="41"/>
      <c r="M108" s="41"/>
      <c r="N108" s="41"/>
      <c r="O108" s="42"/>
      <c r="P108" s="41"/>
      <c r="Q108" s="41"/>
      <c r="R108" s="41"/>
      <c r="S108" s="88"/>
      <c r="T10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8" s="73" t="str">
        <f>IFERROR(IF(_tblRFQ[[#This Row],[Material ]]&lt;&gt;"",$S$18+_tblRFQ[[#This Row],[Days ARO]],""),"")</f>
        <v/>
      </c>
    </row>
    <row r="109" spans="2:21" x14ac:dyDescent="0.25">
      <c r="B109" s="76">
        <f>(ROW()-ROW(_tblRFQ[]))+1</f>
        <v>84</v>
      </c>
      <c r="C109" s="77"/>
      <c r="D109" s="78"/>
      <c r="E109" s="123"/>
      <c r="F109" s="79"/>
      <c r="G109" s="79"/>
      <c r="H109" s="115"/>
      <c r="I109" s="106"/>
      <c r="J109" s="106"/>
      <c r="K109" s="62"/>
      <c r="L109" s="41"/>
      <c r="M109" s="41"/>
      <c r="N109" s="41"/>
      <c r="O109" s="42"/>
      <c r="P109" s="41"/>
      <c r="Q109" s="41"/>
      <c r="R109" s="41"/>
      <c r="S109" s="88"/>
      <c r="T10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9" s="73" t="str">
        <f>IFERROR(IF(_tblRFQ[[#This Row],[Material ]]&lt;&gt;"",$S$18+_tblRFQ[[#This Row],[Days ARO]],""),"")</f>
        <v/>
      </c>
    </row>
    <row r="110" spans="2:21" x14ac:dyDescent="0.25">
      <c r="B110" s="76">
        <f>(ROW()-ROW(_tblRFQ[]))+1</f>
        <v>85</v>
      </c>
      <c r="C110" s="77"/>
      <c r="D110" s="78"/>
      <c r="E110" s="123"/>
      <c r="F110" s="79"/>
      <c r="G110" s="79"/>
      <c r="H110" s="115"/>
      <c r="I110" s="106"/>
      <c r="J110" s="106"/>
      <c r="K110" s="62"/>
      <c r="L110" s="41"/>
      <c r="M110" s="41"/>
      <c r="N110" s="41"/>
      <c r="O110" s="42"/>
      <c r="P110" s="41"/>
      <c r="Q110" s="41"/>
      <c r="R110" s="41"/>
      <c r="S110" s="88"/>
      <c r="T11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0" s="73" t="str">
        <f>IFERROR(IF(_tblRFQ[[#This Row],[Material ]]&lt;&gt;"",$S$18+_tblRFQ[[#This Row],[Days ARO]],""),"")</f>
        <v/>
      </c>
    </row>
    <row r="111" spans="2:21" x14ac:dyDescent="0.25">
      <c r="B111" s="76">
        <f>(ROW()-ROW(_tblRFQ[]))+1</f>
        <v>86</v>
      </c>
      <c r="C111" s="77"/>
      <c r="D111" s="78"/>
      <c r="E111" s="123"/>
      <c r="F111" s="79"/>
      <c r="G111" s="79"/>
      <c r="H111" s="115"/>
      <c r="I111" s="106"/>
      <c r="J111" s="106"/>
      <c r="K111" s="62"/>
      <c r="L111" s="41"/>
      <c r="M111" s="41"/>
      <c r="N111" s="41"/>
      <c r="O111" s="42"/>
      <c r="P111" s="41"/>
      <c r="Q111" s="41"/>
      <c r="R111" s="41"/>
      <c r="S111" s="88"/>
      <c r="T11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1" s="73" t="str">
        <f>IFERROR(IF(_tblRFQ[[#This Row],[Material ]]&lt;&gt;"",$S$18+_tblRFQ[[#This Row],[Days ARO]],""),"")</f>
        <v/>
      </c>
    </row>
    <row r="112" spans="2:21" x14ac:dyDescent="0.25">
      <c r="B112" s="76">
        <f>(ROW()-ROW(_tblRFQ[]))+1</f>
        <v>87</v>
      </c>
      <c r="C112" s="77"/>
      <c r="D112" s="78"/>
      <c r="E112" s="123"/>
      <c r="F112" s="79"/>
      <c r="G112" s="79"/>
      <c r="H112" s="115"/>
      <c r="I112" s="106"/>
      <c r="J112" s="106"/>
      <c r="K112" s="62"/>
      <c r="L112" s="41"/>
      <c r="M112" s="41"/>
      <c r="N112" s="41"/>
      <c r="O112" s="42"/>
      <c r="P112" s="41"/>
      <c r="Q112" s="41"/>
      <c r="R112" s="41"/>
      <c r="S112" s="88"/>
      <c r="T11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2" s="73" t="str">
        <f>IFERROR(IF(_tblRFQ[[#This Row],[Material ]]&lt;&gt;"",$S$18+_tblRFQ[[#This Row],[Days ARO]],""),"")</f>
        <v/>
      </c>
    </row>
    <row r="113" spans="2:21" x14ac:dyDescent="0.25">
      <c r="B113" s="76">
        <f>(ROW()-ROW(_tblRFQ[]))+1</f>
        <v>88</v>
      </c>
      <c r="C113" s="77"/>
      <c r="D113" s="78"/>
      <c r="E113" s="123"/>
      <c r="F113" s="79"/>
      <c r="G113" s="79"/>
      <c r="H113" s="115"/>
      <c r="I113" s="106"/>
      <c r="J113" s="106"/>
      <c r="K113" s="62"/>
      <c r="L113" s="41"/>
      <c r="M113" s="41"/>
      <c r="N113" s="41"/>
      <c r="O113" s="42"/>
      <c r="P113" s="41"/>
      <c r="Q113" s="41"/>
      <c r="R113" s="41"/>
      <c r="S113" s="88"/>
      <c r="T11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3" s="73" t="str">
        <f>IFERROR(IF(_tblRFQ[[#This Row],[Material ]]&lt;&gt;"",$S$18+_tblRFQ[[#This Row],[Days ARO]],""),"")</f>
        <v/>
      </c>
    </row>
    <row r="114" spans="2:21" x14ac:dyDescent="0.25">
      <c r="B114" s="76">
        <f>(ROW()-ROW(_tblRFQ[]))+1</f>
        <v>89</v>
      </c>
      <c r="C114" s="77"/>
      <c r="D114" s="78"/>
      <c r="E114" s="123"/>
      <c r="F114" s="79"/>
      <c r="G114" s="79"/>
      <c r="H114" s="115"/>
      <c r="I114" s="106"/>
      <c r="J114" s="106"/>
      <c r="K114" s="62"/>
      <c r="L114" s="41"/>
      <c r="M114" s="41"/>
      <c r="N114" s="41"/>
      <c r="O114" s="42"/>
      <c r="P114" s="41"/>
      <c r="Q114" s="41"/>
      <c r="R114" s="41"/>
      <c r="S114" s="88"/>
      <c r="T11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4" s="73" t="str">
        <f>IFERROR(IF(_tblRFQ[[#This Row],[Material ]]&lt;&gt;"",$S$18+_tblRFQ[[#This Row],[Days ARO]],""),"")</f>
        <v/>
      </c>
    </row>
    <row r="115" spans="2:21" x14ac:dyDescent="0.25">
      <c r="B115" s="76">
        <f>(ROW()-ROW(_tblRFQ[]))+1</f>
        <v>90</v>
      </c>
      <c r="C115" s="77"/>
      <c r="D115" s="78"/>
      <c r="E115" s="123"/>
      <c r="F115" s="79"/>
      <c r="G115" s="79"/>
      <c r="H115" s="115"/>
      <c r="I115" s="106"/>
      <c r="J115" s="106"/>
      <c r="K115" s="62"/>
      <c r="L115" s="41"/>
      <c r="M115" s="41"/>
      <c r="N115" s="41"/>
      <c r="O115" s="42"/>
      <c r="P115" s="41"/>
      <c r="Q115" s="41"/>
      <c r="R115" s="41"/>
      <c r="S115" s="88"/>
      <c r="T11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5" s="73" t="str">
        <f>IFERROR(IF(_tblRFQ[[#This Row],[Material ]]&lt;&gt;"",$S$18+_tblRFQ[[#This Row],[Days ARO]],""),"")</f>
        <v/>
      </c>
    </row>
    <row r="116" spans="2:21" x14ac:dyDescent="0.25">
      <c r="B116" s="76">
        <f>(ROW()-ROW(_tblRFQ[]))+1</f>
        <v>91</v>
      </c>
      <c r="C116" s="77"/>
      <c r="D116" s="78"/>
      <c r="E116" s="123"/>
      <c r="F116" s="79"/>
      <c r="G116" s="79"/>
      <c r="H116" s="115"/>
      <c r="I116" s="106"/>
      <c r="J116" s="106"/>
      <c r="K116" s="62"/>
      <c r="L116" s="41"/>
      <c r="M116" s="41"/>
      <c r="N116" s="41"/>
      <c r="O116" s="42"/>
      <c r="P116" s="41"/>
      <c r="Q116" s="41"/>
      <c r="R116" s="41"/>
      <c r="S116" s="88"/>
      <c r="T116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6" s="73" t="str">
        <f>IFERROR(IF(_tblRFQ[[#This Row],[Material ]]&lt;&gt;"",$S$18+_tblRFQ[[#This Row],[Days ARO]],""),"")</f>
        <v/>
      </c>
    </row>
    <row r="117" spans="2:21" x14ac:dyDescent="0.25">
      <c r="B117" s="76">
        <f>(ROW()-ROW(_tblRFQ[]))+1</f>
        <v>92</v>
      </c>
      <c r="C117" s="77"/>
      <c r="D117" s="78"/>
      <c r="E117" s="123"/>
      <c r="F117" s="79"/>
      <c r="G117" s="79"/>
      <c r="H117" s="115"/>
      <c r="I117" s="106"/>
      <c r="J117" s="106"/>
      <c r="K117" s="62"/>
      <c r="L117" s="41"/>
      <c r="M117" s="41"/>
      <c r="N117" s="41"/>
      <c r="O117" s="42"/>
      <c r="P117" s="41"/>
      <c r="Q117" s="41"/>
      <c r="R117" s="41"/>
      <c r="S117" s="88"/>
      <c r="T117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7" s="73" t="str">
        <f>IFERROR(IF(_tblRFQ[[#This Row],[Material ]]&lt;&gt;"",$S$18+_tblRFQ[[#This Row],[Days ARO]],""),"")</f>
        <v/>
      </c>
    </row>
    <row r="118" spans="2:21" x14ac:dyDescent="0.25">
      <c r="B118" s="76">
        <f>(ROW()-ROW(_tblRFQ[]))+1</f>
        <v>93</v>
      </c>
      <c r="C118" s="77"/>
      <c r="D118" s="78"/>
      <c r="E118" s="123"/>
      <c r="F118" s="79"/>
      <c r="G118" s="79"/>
      <c r="H118" s="115"/>
      <c r="I118" s="106"/>
      <c r="J118" s="106"/>
      <c r="K118" s="62"/>
      <c r="L118" s="41"/>
      <c r="M118" s="41"/>
      <c r="N118" s="41"/>
      <c r="O118" s="42"/>
      <c r="P118" s="41"/>
      <c r="Q118" s="41"/>
      <c r="R118" s="41"/>
      <c r="S118" s="88"/>
      <c r="T118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8" s="73" t="str">
        <f>IFERROR(IF(_tblRFQ[[#This Row],[Material ]]&lt;&gt;"",$S$18+_tblRFQ[[#This Row],[Days ARO]],""),"")</f>
        <v/>
      </c>
    </row>
    <row r="119" spans="2:21" x14ac:dyDescent="0.25">
      <c r="B119" s="76">
        <f>(ROW()-ROW(_tblRFQ[]))+1</f>
        <v>94</v>
      </c>
      <c r="C119" s="77"/>
      <c r="D119" s="78"/>
      <c r="E119" s="123"/>
      <c r="F119" s="79"/>
      <c r="G119" s="79"/>
      <c r="H119" s="115"/>
      <c r="I119" s="106"/>
      <c r="J119" s="106"/>
      <c r="K119" s="62"/>
      <c r="L119" s="41"/>
      <c r="M119" s="41"/>
      <c r="N119" s="41"/>
      <c r="O119" s="42"/>
      <c r="P119" s="41"/>
      <c r="Q119" s="41"/>
      <c r="R119" s="41"/>
      <c r="S119" s="88"/>
      <c r="T119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9" s="73" t="str">
        <f>IFERROR(IF(_tblRFQ[[#This Row],[Material ]]&lt;&gt;"",$S$18+_tblRFQ[[#This Row],[Days ARO]],""),"")</f>
        <v/>
      </c>
    </row>
    <row r="120" spans="2:21" x14ac:dyDescent="0.25">
      <c r="B120" s="76">
        <f>(ROW()-ROW(_tblRFQ[]))+1</f>
        <v>95</v>
      </c>
      <c r="C120" s="77"/>
      <c r="D120" s="78"/>
      <c r="E120" s="123"/>
      <c r="F120" s="79"/>
      <c r="G120" s="79"/>
      <c r="H120" s="115"/>
      <c r="I120" s="106"/>
      <c r="J120" s="106"/>
      <c r="K120" s="62"/>
      <c r="L120" s="41"/>
      <c r="M120" s="41"/>
      <c r="N120" s="41"/>
      <c r="O120" s="42"/>
      <c r="P120" s="41"/>
      <c r="Q120" s="41"/>
      <c r="R120" s="41"/>
      <c r="S120" s="88"/>
      <c r="T120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0" s="73" t="str">
        <f>IFERROR(IF(_tblRFQ[[#This Row],[Material ]]&lt;&gt;"",$S$18+_tblRFQ[[#This Row],[Days ARO]],""),"")</f>
        <v/>
      </c>
    </row>
    <row r="121" spans="2:21" x14ac:dyDescent="0.25">
      <c r="B121" s="76">
        <f>(ROW()-ROW(_tblRFQ[]))+1</f>
        <v>96</v>
      </c>
      <c r="C121" s="77"/>
      <c r="D121" s="78"/>
      <c r="E121" s="123"/>
      <c r="F121" s="79"/>
      <c r="G121" s="79"/>
      <c r="H121" s="115"/>
      <c r="I121" s="106"/>
      <c r="J121" s="106"/>
      <c r="K121" s="62"/>
      <c r="L121" s="41"/>
      <c r="M121" s="41"/>
      <c r="N121" s="41"/>
      <c r="O121" s="42"/>
      <c r="P121" s="41"/>
      <c r="Q121" s="41"/>
      <c r="R121" s="41"/>
      <c r="S121" s="88"/>
      <c r="T121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1" s="73" t="str">
        <f>IFERROR(IF(_tblRFQ[[#This Row],[Material ]]&lt;&gt;"",$S$18+_tblRFQ[[#This Row],[Days ARO]],""),"")</f>
        <v/>
      </c>
    </row>
    <row r="122" spans="2:21" x14ac:dyDescent="0.25">
      <c r="B122" s="76">
        <f>(ROW()-ROW(_tblRFQ[]))+1</f>
        <v>97</v>
      </c>
      <c r="C122" s="77"/>
      <c r="D122" s="78"/>
      <c r="E122" s="123"/>
      <c r="F122" s="79"/>
      <c r="G122" s="79"/>
      <c r="H122" s="115"/>
      <c r="I122" s="106"/>
      <c r="J122" s="106"/>
      <c r="K122" s="62"/>
      <c r="L122" s="41"/>
      <c r="M122" s="41"/>
      <c r="N122" s="41"/>
      <c r="O122" s="42"/>
      <c r="P122" s="41"/>
      <c r="Q122" s="41"/>
      <c r="R122" s="41"/>
      <c r="S122" s="88"/>
      <c r="T122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2" s="73" t="str">
        <f>IFERROR(IF(_tblRFQ[[#This Row],[Material ]]&lt;&gt;"",$S$18+_tblRFQ[[#This Row],[Days ARO]],""),"")</f>
        <v/>
      </c>
    </row>
    <row r="123" spans="2:21" x14ac:dyDescent="0.25">
      <c r="B123" s="76">
        <f>(ROW()-ROW(_tblRFQ[]))+1</f>
        <v>98</v>
      </c>
      <c r="C123" s="77"/>
      <c r="D123" s="78"/>
      <c r="E123" s="123"/>
      <c r="F123" s="79"/>
      <c r="G123" s="79"/>
      <c r="H123" s="115"/>
      <c r="I123" s="106"/>
      <c r="J123" s="106"/>
      <c r="K123" s="62"/>
      <c r="L123" s="41"/>
      <c r="M123" s="41"/>
      <c r="N123" s="41"/>
      <c r="O123" s="42"/>
      <c r="P123" s="41"/>
      <c r="Q123" s="41"/>
      <c r="R123" s="41"/>
      <c r="S123" s="88"/>
      <c r="T123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3" s="73" t="str">
        <f>IFERROR(IF(_tblRFQ[[#This Row],[Material ]]&lt;&gt;"",$S$18+_tblRFQ[[#This Row],[Days ARO]],""),"")</f>
        <v/>
      </c>
    </row>
    <row r="124" spans="2:21" x14ac:dyDescent="0.25">
      <c r="B124" s="76">
        <f>(ROW()-ROW(_tblRFQ[]))+1</f>
        <v>99</v>
      </c>
      <c r="C124" s="77"/>
      <c r="D124" s="78"/>
      <c r="E124" s="123"/>
      <c r="F124" s="79"/>
      <c r="G124" s="79"/>
      <c r="H124" s="115"/>
      <c r="I124" s="106"/>
      <c r="J124" s="106"/>
      <c r="K124" s="62"/>
      <c r="L124" s="41"/>
      <c r="M124" s="41"/>
      <c r="N124" s="41"/>
      <c r="O124" s="42"/>
      <c r="P124" s="41"/>
      <c r="Q124" s="41"/>
      <c r="R124" s="41"/>
      <c r="S124" s="88"/>
      <c r="T124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4" s="73" t="str">
        <f>IFERROR(IF(_tblRFQ[[#This Row],[Material ]]&lt;&gt;"",$S$18+_tblRFQ[[#This Row],[Days ARO]],""),"")</f>
        <v/>
      </c>
    </row>
    <row r="125" spans="2:21" x14ac:dyDescent="0.25">
      <c r="B125" s="80">
        <f>(ROW()-ROW(_tblRFQ[]))+1</f>
        <v>100</v>
      </c>
      <c r="C125" s="77"/>
      <c r="D125" s="81"/>
      <c r="E125" s="124"/>
      <c r="F125" s="82"/>
      <c r="G125" s="82"/>
      <c r="H125" s="115"/>
      <c r="I125" s="105"/>
      <c r="J125" s="105"/>
      <c r="K125" s="63"/>
      <c r="L125" s="43"/>
      <c r="M125" s="43"/>
      <c r="N125" s="43"/>
      <c r="O125" s="44"/>
      <c r="P125" s="43"/>
      <c r="Q125" s="43"/>
      <c r="R125" s="43"/>
      <c r="S125" s="89"/>
      <c r="T125" s="128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5" s="83" t="str">
        <f>IFERROR(IF(_tblRFQ[[#This Row],[Material ]]&lt;&gt;"",$S$18+_tblRFQ[[#This Row],[Days ARO]],""),"")</f>
        <v/>
      </c>
    </row>
  </sheetData>
  <mergeCells count="29">
    <mergeCell ref="S3:U6"/>
    <mergeCell ref="S2:U2"/>
    <mergeCell ref="C19:D19"/>
    <mergeCell ref="C20:D20"/>
    <mergeCell ref="C12:D14"/>
    <mergeCell ref="C15:D17"/>
    <mergeCell ref="G2:Q2"/>
    <mergeCell ref="G8:Q8"/>
    <mergeCell ref="G11:Q11"/>
    <mergeCell ref="C11:D11"/>
    <mergeCell ref="C5:D5"/>
    <mergeCell ref="G5:M5"/>
    <mergeCell ref="C2:D2"/>
    <mergeCell ref="C3:D3"/>
    <mergeCell ref="G3:P3"/>
    <mergeCell ref="S8:U12"/>
    <mergeCell ref="C22:D22"/>
    <mergeCell ref="G20:P20"/>
    <mergeCell ref="K22:K24"/>
    <mergeCell ref="M23:M24"/>
    <mergeCell ref="O23:O24"/>
    <mergeCell ref="L23:L24"/>
    <mergeCell ref="D23:D24"/>
    <mergeCell ref="S13:U14"/>
    <mergeCell ref="G9:P9"/>
    <mergeCell ref="G17:P17"/>
    <mergeCell ref="G12:Q14"/>
    <mergeCell ref="C21:D21"/>
    <mergeCell ref="T18:U18"/>
  </mergeCells>
  <conditionalFormatting sqref="C2">
    <cfRule type="containsBlanks" dxfId="8" priority="7">
      <formula>LEN(TRIM(C2))=0</formula>
    </cfRule>
  </conditionalFormatting>
  <conditionalFormatting sqref="C5:E5">
    <cfRule type="expression" dxfId="7" priority="13">
      <formula>IF(AND($P$1&lt;&gt;"",#REF!&lt;&gt;"",$P$4=""),TRUE,FALSE)</formula>
    </cfRule>
  </conditionalFormatting>
  <conditionalFormatting sqref="C26:U125">
    <cfRule type="expression" dxfId="6" priority="3">
      <formula>$K26="x"</formula>
    </cfRule>
  </conditionalFormatting>
  <conditionalFormatting sqref="D23 D24:E24">
    <cfRule type="notContainsBlanks" dxfId="5" priority="11">
      <formula>LEN(TRIM(D23))&gt;0</formula>
    </cfRule>
  </conditionalFormatting>
  <conditionalFormatting sqref="D26:E125">
    <cfRule type="expression" dxfId="4" priority="1">
      <formula>$E26="X"</formula>
    </cfRule>
  </conditionalFormatting>
  <conditionalFormatting sqref="G2:K2 G8:K8">
    <cfRule type="expression" dxfId="3" priority="8">
      <formula>IF($P$1="",FALSE,IF(G2="",TRUE,FALSE))</formula>
    </cfRule>
  </conditionalFormatting>
  <conditionalFormatting sqref="G5:Q5">
    <cfRule type="expression" dxfId="2" priority="14">
      <formula>IF(AND($P$1&lt;&gt;"",#REF!&lt;&gt;"",$P$4&lt;&gt;"",$T$17=""),TRUE,FALSE)</formula>
    </cfRule>
  </conditionalFormatting>
  <conditionalFormatting sqref="M26:M125">
    <cfRule type="expression" dxfId="1" priority="5">
      <formula>AND($M26&lt;&gt;"",$M26&lt;&gt;$F26)</formula>
    </cfRule>
  </conditionalFormatting>
  <conditionalFormatting sqref="S15:U15">
    <cfRule type="expression" dxfId="0" priority="6">
      <formula>$S$15=""</formula>
    </cfRule>
  </conditionalFormatting>
  <dataValidations count="7">
    <dataValidation type="list" allowBlank="1" showInputMessage="1" sqref="G20:P20" xr:uid="{00000000-0002-0000-0200-000000000000}">
      <formula1>$AE$247:$AE$249</formula1>
    </dataValidation>
    <dataValidation type="list" allowBlank="1" showInputMessage="1" sqref="G17:P17" xr:uid="{00000000-0002-0000-0200-000001000000}">
      <formula1>$AE$243:$AE$244</formula1>
    </dataValidation>
    <dataValidation type="custom" allowBlank="1" showErrorMessage="1" errorTitle="Error" error="You can only enter &quot;x&quot; or BLANK in this cell." sqref="K26:K125" xr:uid="{00000000-0002-0000-0200-000002000000}">
      <formula1>$K26="x"</formula1>
    </dataValidation>
    <dataValidation allowBlank="1" showInputMessage="1" showErrorMessage="1" promptTitle="ALERT" prompt="This is a formula cell,do not alter, only enter values in green cells." sqref="C26:J125 T26:U125" xr:uid="{00000000-0002-0000-0200-000003000000}"/>
    <dataValidation type="decimal" operator="greaterThan" allowBlank="1" showInputMessage="1" showErrorMessage="1" errorTitle="Error" error="You can only enter a Numeric Value greater than 0 in this field." sqref="M26:M125 O26:O125" xr:uid="{00000000-0002-0000-0200-000004000000}">
      <formula1>0</formula1>
    </dataValidation>
    <dataValidation type="whole" operator="greaterThan" allowBlank="1" showInputMessage="1" showErrorMessage="1" errorTitle="Error" error="You can only enter a Numeric Value greater than 0 in this field." sqref="P26:P125" xr:uid="{00000000-0002-0000-0200-000005000000}">
      <formula1>0</formula1>
    </dataValidation>
    <dataValidation type="whole" operator="greaterThanOrEqual" allowBlank="1" showInputMessage="1" showErrorMessage="1" errorTitle="Error" error="You can only enter a Numeric Value greater than 0 in this field. If the item is in stock enter 0." sqref="L26:L125" xr:uid="{00000000-0002-0000-0200-000006000000}">
      <formula1>0</formula1>
    </dataValidation>
  </dataValidations>
  <pageMargins left="0.7" right="0.7" top="0.75" bottom="0.75" header="0.3" footer="0.3"/>
  <pageSetup orientation="portrait" r:id="rId1"/>
  <customProperties>
    <customPr name="_pios_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249977111117893"/>
  </sheetPr>
  <dimension ref="A1:E6"/>
  <sheetViews>
    <sheetView workbookViewId="0">
      <selection activeCell="D5" sqref="D5"/>
    </sheetView>
    <sheetView workbookViewId="1">
      <selection activeCell="C11" sqref="C11"/>
    </sheetView>
  </sheetViews>
  <sheetFormatPr defaultRowHeight="15" x14ac:dyDescent="0.25"/>
  <cols>
    <col min="1" max="1" width="9.5703125" customWidth="1"/>
    <col min="2" max="3" width="26.85546875" customWidth="1"/>
    <col min="4" max="4" width="27.140625" customWidth="1"/>
    <col min="5" max="5" width="27.5703125" customWidth="1"/>
  </cols>
  <sheetData>
    <row r="1" spans="1:5" x14ac:dyDescent="0.25">
      <c r="A1" t="s">
        <v>44</v>
      </c>
      <c r="B1" t="s">
        <v>40</v>
      </c>
      <c r="C1" t="s">
        <v>60</v>
      </c>
      <c r="D1" t="s">
        <v>41</v>
      </c>
      <c r="E1" t="s">
        <v>47</v>
      </c>
    </row>
    <row r="2" spans="1:5" ht="45" x14ac:dyDescent="0.25">
      <c r="A2" s="66" t="s">
        <v>53</v>
      </c>
      <c r="B2" s="67" t="s">
        <v>67</v>
      </c>
      <c r="C2" s="67" t="s">
        <v>61</v>
      </c>
      <c r="D2" s="67" t="s">
        <v>66</v>
      </c>
      <c r="E2" s="67" t="s">
        <v>56</v>
      </c>
    </row>
    <row r="3" spans="1:5" ht="45" x14ac:dyDescent="0.25">
      <c r="A3" s="66" t="s">
        <v>52</v>
      </c>
      <c r="B3" s="67" t="s">
        <v>67</v>
      </c>
      <c r="C3" s="67" t="s">
        <v>65</v>
      </c>
      <c r="D3" s="67" t="s">
        <v>66</v>
      </c>
      <c r="E3" s="67" t="s">
        <v>55</v>
      </c>
    </row>
    <row r="4" spans="1:5" ht="45" x14ac:dyDescent="0.25">
      <c r="A4" s="66" t="s">
        <v>54</v>
      </c>
      <c r="B4" s="67" t="s">
        <v>67</v>
      </c>
      <c r="C4" s="67" t="s">
        <v>57</v>
      </c>
      <c r="D4" s="67" t="s">
        <v>66</v>
      </c>
      <c r="E4" s="67" t="s">
        <v>58</v>
      </c>
    </row>
    <row r="5" spans="1:5" ht="90" x14ac:dyDescent="0.25">
      <c r="A5" s="66" t="s">
        <v>43</v>
      </c>
      <c r="B5" s="67" t="s">
        <v>84</v>
      </c>
      <c r="C5" s="67" t="s">
        <v>63</v>
      </c>
      <c r="D5" s="67" t="s">
        <v>62</v>
      </c>
      <c r="E5" s="67" t="s">
        <v>59</v>
      </c>
    </row>
    <row r="6" spans="1:5" ht="90" x14ac:dyDescent="0.25">
      <c r="A6" s="66" t="s">
        <v>42</v>
      </c>
      <c r="B6" s="67" t="s">
        <v>84</v>
      </c>
      <c r="C6" s="67" t="s">
        <v>64</v>
      </c>
      <c r="D6" s="67" t="s">
        <v>62</v>
      </c>
      <c r="E6" s="67" t="s">
        <v>48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Clauses</vt:lpstr>
      <vt:lpstr>Example RFQ</vt:lpstr>
      <vt:lpstr>Enter Your RFQ Data Here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Inmate Michael Peterson</dc:creator>
  <cp:lastModifiedBy>Inmate Eric Stafford</cp:lastModifiedBy>
  <dcterms:created xsi:type="dcterms:W3CDTF">2025-01-29T17:40:13Z</dcterms:created>
  <dcterms:modified xsi:type="dcterms:W3CDTF">2026-04-24T14:16:22Z</dcterms:modified>
</cp:coreProperties>
</file>