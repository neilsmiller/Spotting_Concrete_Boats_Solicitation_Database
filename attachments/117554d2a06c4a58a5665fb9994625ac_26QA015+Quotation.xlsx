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1" documentId="8_{191B3E6D-3EEA-4938-9051-867802EB0055}" xr6:coauthVersionLast="47" xr6:coauthVersionMax="47" xr10:uidLastSave="{36268692-3792-4FF8-AB3F-C7AA90D88550}"/>
  <bookViews>
    <workbookView xWindow="-120" yWindow="240" windowWidth="29040" windowHeight="15360" firstSheet="1" activeTab="1" xr2:uid="{F18FDDBA-4CBC-466C-9A93-C8D21CDA9E6C}"/>
  </bookViews>
  <sheets>
    <sheet name="Recovered_Sheet1" sheetId="1" state="veryHidden" r:id="rId1"/>
    <sheet name="Base Year" sheetId="4" r:id="rId2"/>
  </sheets>
  <definedNames>
    <definedName name="_xlnm.Print_Area" localSheetId="1">'Base Year'!$A$1:$L$153</definedName>
    <definedName name="_xlnm.Print_Titles" localSheetId="1">'Base Year'!$A:$F,'Base Year'!$1:$3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4" l="1"/>
  <c r="K67" i="4" s="1"/>
  <c r="H67" i="4"/>
  <c r="J57" i="4"/>
  <c r="L57" i="4" s="1"/>
  <c r="H57" i="4"/>
  <c r="J53" i="4"/>
  <c r="L53" i="4" s="1"/>
  <c r="H53" i="4"/>
  <c r="J49" i="4"/>
  <c r="L49" i="4" s="1"/>
  <c r="H49" i="4"/>
  <c r="J45" i="4"/>
  <c r="L45" i="4" s="1"/>
  <c r="H45" i="4"/>
  <c r="J40" i="4"/>
  <c r="K40" i="4" s="1"/>
  <c r="H40" i="4"/>
  <c r="J84" i="4"/>
  <c r="L84" i="4" s="1"/>
  <c r="H84" i="4"/>
  <c r="J80" i="4"/>
  <c r="L80" i="4" s="1"/>
  <c r="H80" i="4"/>
  <c r="J76" i="4"/>
  <c r="L76" i="4" s="1"/>
  <c r="H76" i="4"/>
  <c r="J72" i="4"/>
  <c r="L72" i="4" s="1"/>
  <c r="H72" i="4"/>
  <c r="J63" i="4"/>
  <c r="K63" i="4" s="1"/>
  <c r="H63" i="4"/>
  <c r="J131" i="4"/>
  <c r="L131" i="4" s="1"/>
  <c r="H131" i="4"/>
  <c r="J127" i="4"/>
  <c r="L127" i="4" s="1"/>
  <c r="H127" i="4"/>
  <c r="J123" i="4"/>
  <c r="L123" i="4" s="1"/>
  <c r="H123" i="4"/>
  <c r="J119" i="4"/>
  <c r="L119" i="4" s="1"/>
  <c r="H119" i="4"/>
  <c r="J114" i="4"/>
  <c r="K114" i="4" s="1"/>
  <c r="H114" i="4"/>
  <c r="J107" i="4"/>
  <c r="L107" i="4" s="1"/>
  <c r="H107" i="4"/>
  <c r="J103" i="4"/>
  <c r="L103" i="4" s="1"/>
  <c r="H103" i="4"/>
  <c r="J99" i="4"/>
  <c r="L99" i="4" s="1"/>
  <c r="H99" i="4"/>
  <c r="J95" i="4"/>
  <c r="L95" i="4"/>
  <c r="H95" i="4"/>
  <c r="H90" i="4"/>
  <c r="J90" i="4"/>
  <c r="K90" i="4" s="1"/>
  <c r="A13" i="4"/>
  <c r="B13" i="4"/>
  <c r="A20" i="4"/>
  <c r="A24" i="4" s="1"/>
  <c r="A27" i="4" s="1"/>
  <c r="B20" i="4"/>
  <c r="B24" i="4" s="1"/>
  <c r="B27" i="4" s="1"/>
  <c r="H22" i="4"/>
  <c r="H29" i="4"/>
  <c r="H35" i="4"/>
  <c r="J35" i="4"/>
  <c r="K35" i="4" s="1"/>
  <c r="J138" i="4" l="1"/>
  <c r="J140" i="4" s="1"/>
  <c r="J145" i="4"/>
  <c r="J147" i="4" s="1"/>
  <c r="I35" i="4"/>
  <c r="H141" i="4"/>
  <c r="J150" i="4" l="1"/>
  <c r="I22" i="4"/>
  <c r="I29" i="4"/>
</calcChain>
</file>

<file path=xl/sharedStrings.xml><?xml version="1.0" encoding="utf-8"?>
<sst xmlns="http://schemas.openxmlformats.org/spreadsheetml/2006/main" count="226" uniqueCount="53">
  <si>
    <t>NSP</t>
  </si>
  <si>
    <t>SLIN</t>
  </si>
  <si>
    <t xml:space="preserve"> </t>
  </si>
  <si>
    <t>CLIN 2 - NON RECURRING</t>
  </si>
  <si>
    <t>0002</t>
  </si>
  <si>
    <t>DESCRIPTION</t>
  </si>
  <si>
    <t>Unit of</t>
  </si>
  <si>
    <t>Issue</t>
  </si>
  <si>
    <t>A</t>
  </si>
  <si>
    <t>LO</t>
  </si>
  <si>
    <t>B</t>
  </si>
  <si>
    <t xml:space="preserve"> Unit $</t>
  </si>
  <si>
    <t xml:space="preserve"> Qty</t>
  </si>
  <si>
    <t>City Trunk Traffic Study</t>
  </si>
  <si>
    <t>EA</t>
  </si>
  <si>
    <t xml:space="preserve"> Ext $</t>
  </si>
  <si>
    <t>Traffic Analysis Report, DS1 and Higher)</t>
  </si>
  <si>
    <t>Higher Bandwidth Transport Study</t>
  </si>
  <si>
    <t>C</t>
  </si>
  <si>
    <t>D</t>
  </si>
  <si>
    <t>x 12</t>
  </si>
  <si>
    <t>Customer Service Record</t>
  </si>
  <si>
    <t>City Trunk Traffic Analysis Report</t>
  </si>
  <si>
    <t xml:space="preserve">Higher Bandwidth Transport Circuit </t>
  </si>
  <si>
    <t>Communication Service Record</t>
  </si>
  <si>
    <t>Taxes, Fees, and Surcharges</t>
  </si>
  <si>
    <t>USOC</t>
  </si>
  <si>
    <t>Base</t>
  </si>
  <si>
    <t>Year</t>
  </si>
  <si>
    <t>F</t>
  </si>
  <si>
    <t>DID Directory Number</t>
  </si>
  <si>
    <t>E</t>
  </si>
  <si>
    <t>Direct In Dial Directory Number (DID) (Appendix 10, Table 10.1)</t>
  </si>
  <si>
    <t xml:space="preserve">Data Item IAW DD Form 1423-1 SOW </t>
  </si>
  <si>
    <t>Trunking Traffic Study / Analysis Report (SOW 3.2.2)</t>
  </si>
  <si>
    <t>0001</t>
  </si>
  <si>
    <t>Local Exchange Digital ISDN PRIs (Appendix 10, SOW 10.3)</t>
  </si>
  <si>
    <t>G</t>
  </si>
  <si>
    <t>ISDN PRIs</t>
  </si>
  <si>
    <t>Tobyhanna AD, PA</t>
  </si>
  <si>
    <t>ALI Trunk</t>
  </si>
  <si>
    <t>Commercial Subscriber Lines (Appendix 10, Table 10.2)</t>
  </si>
  <si>
    <t xml:space="preserve">Commercial subscriber lines </t>
  </si>
  <si>
    <t>E911 Circuits (Appendix 10, Table 10.2.1 and Table 10.2.2)</t>
  </si>
  <si>
    <t>CAMA Trunk</t>
  </si>
  <si>
    <t>Off-Premise Extensions (Appendix 10, Table 10.5)</t>
  </si>
  <si>
    <t xml:space="preserve">Voice grade, 2 way.  </t>
  </si>
  <si>
    <t>11 Midway Rd &lt;---&gt;  800 Linden St, Scranton, PA</t>
  </si>
  <si>
    <t xml:space="preserve"> MONTHLY RECURRING CHARGES</t>
  </si>
  <si>
    <t>Total MRC</t>
  </si>
  <si>
    <t>Total TFS</t>
  </si>
  <si>
    <t>Annual Grand Total</t>
  </si>
  <si>
    <t>Total NRC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</si>
</sst>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;[Red]&quot;$&quot;#,##0.00"/>
    <numFmt numFmtId="165" formatCode="&quot;$&quot;#,##0"/>
    <numFmt numFmtId="166" formatCode="&quot;$&quot;#,##0.00"/>
    <numFmt numFmtId="167" formatCode=";;;"/>
    <numFmt numFmtId="168" formatCode="#,##0.000"/>
    <numFmt numFmtId="169" formatCode="0.00_)"/>
  </numFmts>
  <fonts count="57" x14ac:knownFonts="1">
    <font>
      <sz val="8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37"/>
      <name val="Arial"/>
      <family val="2"/>
    </font>
    <font>
      <u/>
      <sz val="7"/>
      <color indexed="39"/>
      <name val="Arial"/>
      <family val="2"/>
    </font>
    <font>
      <b/>
      <u/>
      <sz val="8"/>
      <color indexed="37"/>
      <name val="Arial"/>
      <family val="2"/>
    </font>
    <font>
      <b/>
      <sz val="8"/>
      <color indexed="37"/>
      <name val="Arial"/>
      <family val="2"/>
    </font>
    <font>
      <sz val="7"/>
      <color indexed="12"/>
      <name val="Arial"/>
      <family val="2"/>
    </font>
    <font>
      <u/>
      <sz val="8"/>
      <color indexed="37"/>
      <name val="Arial"/>
      <family val="2"/>
    </font>
    <font>
      <b/>
      <i/>
      <u/>
      <sz val="10"/>
      <color indexed="10"/>
      <name val="Arial"/>
      <family val="2"/>
    </font>
    <font>
      <b/>
      <i/>
      <u/>
      <sz val="10"/>
      <color indexed="10"/>
      <name val="Arial"/>
      <family val="2"/>
    </font>
    <font>
      <b/>
      <sz val="8"/>
      <color indexed="38"/>
      <name val="Arial"/>
      <family val="2"/>
    </font>
    <font>
      <sz val="8"/>
      <color indexed="38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8"/>
      <color indexed="10"/>
      <name val="Arial"/>
      <family val="2"/>
    </font>
    <font>
      <b/>
      <u/>
      <sz val="8"/>
      <color indexed="10"/>
      <name val="Arial"/>
      <family val="2"/>
    </font>
    <font>
      <i/>
      <sz val="8"/>
      <color indexed="38"/>
      <name val="Arial"/>
      <family val="2"/>
    </font>
    <font>
      <sz val="7"/>
      <color indexed="3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8"/>
      <color indexed="10"/>
      <name val="Arial"/>
      <family val="2"/>
    </font>
    <font>
      <b/>
      <sz val="8"/>
      <color indexed="19"/>
      <name val="Arial"/>
      <family val="2"/>
    </font>
    <font>
      <b/>
      <sz val="8"/>
      <color indexed="5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u/>
      <sz val="8"/>
      <color indexed="61"/>
      <name val="Arial"/>
      <family val="2"/>
    </font>
    <font>
      <b/>
      <u/>
      <sz val="8"/>
      <color indexed="5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008000"/>
      <name val="Arial"/>
      <family val="2"/>
    </font>
    <font>
      <b/>
      <u/>
      <sz val="8"/>
      <color rgb="FF008000"/>
      <name val="Arial"/>
      <family val="2"/>
    </font>
    <font>
      <b/>
      <sz val="7"/>
      <color rgb="FF008000"/>
      <name val="Arial"/>
      <family val="2"/>
    </font>
    <font>
      <sz val="8"/>
      <color theme="4"/>
      <name val="Arial"/>
      <family val="2"/>
    </font>
    <font>
      <sz val="8"/>
      <color theme="6" tint="-0.249977111117893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21"/>
      </left>
      <right/>
      <top/>
      <bottom/>
      <diagonal/>
    </border>
    <border>
      <left/>
      <right/>
      <top/>
      <bottom style="hair">
        <color indexed="37"/>
      </bottom>
      <diagonal/>
    </border>
    <border>
      <left/>
      <right/>
      <top/>
      <bottom style="double">
        <color indexed="19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1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 style="thin">
        <color indexed="64"/>
      </bottom>
      <diagonal/>
    </border>
    <border>
      <left style="hair">
        <color indexed="64"/>
      </left>
      <right style="hair">
        <color indexed="12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12"/>
      </bottom>
      <diagonal/>
    </border>
    <border>
      <left/>
      <right style="hair">
        <color indexed="12"/>
      </right>
      <top style="hair">
        <color indexed="12"/>
      </top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21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47" fillId="6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8" borderId="0" applyNumberFormat="0" applyBorder="0" applyAlignment="0" applyProtection="0"/>
    <xf numFmtId="0" fontId="47" fillId="6" borderId="0" applyNumberFormat="0" applyBorder="0" applyAlignment="0" applyProtection="0"/>
    <xf numFmtId="0" fontId="47" fillId="3" borderId="0" applyNumberFormat="0" applyBorder="0" applyAlignment="0" applyProtection="0"/>
    <xf numFmtId="0" fontId="47" fillId="11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37" fillId="15" borderId="0" applyNumberFormat="0" applyBorder="0" applyAlignment="0" applyProtection="0"/>
    <xf numFmtId="0" fontId="41" fillId="16" borderId="1" applyNumberFormat="0" applyAlignment="0" applyProtection="0"/>
    <xf numFmtId="0" fontId="43" fillId="17" borderId="2" applyNumberFormat="0" applyAlignment="0" applyProtection="0"/>
    <xf numFmtId="0" fontId="45" fillId="0" borderId="0" applyNumberFormat="0" applyFill="0" applyBorder="0" applyAlignment="0" applyProtection="0"/>
    <xf numFmtId="0" fontId="36" fillId="6" borderId="0" applyNumberFormat="0" applyBorder="0" applyAlignment="0" applyProtection="0"/>
    <xf numFmtId="38" fontId="5" fillId="18" borderId="0" applyNumberFormat="0" applyBorder="0" applyAlignment="0" applyProtection="0"/>
    <xf numFmtId="0" fontId="28" fillId="0" borderId="3" applyNumberFormat="0" applyAlignment="0" applyProtection="0">
      <alignment horizontal="left" vertical="center"/>
    </xf>
    <xf numFmtId="0" fontId="28" fillId="0" borderId="4">
      <alignment horizontal="left" vertical="center"/>
    </xf>
    <xf numFmtId="0" fontId="33" fillId="0" borderId="5" applyNumberFormat="0" applyFill="0" applyAlignment="0" applyProtection="0"/>
    <xf numFmtId="0" fontId="34" fillId="0" borderId="6" applyNumberFormat="0" applyFill="0" applyAlignment="0" applyProtection="0"/>
    <xf numFmtId="0" fontId="35" fillId="0" borderId="7" applyNumberFormat="0" applyFill="0" applyAlignment="0" applyProtection="0"/>
    <xf numFmtId="0" fontId="35" fillId="0" borderId="0" applyNumberFormat="0" applyFill="0" applyBorder="0" applyAlignment="0" applyProtection="0"/>
    <xf numFmtId="0" fontId="39" fillId="7" borderId="1" applyNumberFormat="0" applyAlignment="0" applyProtection="0"/>
    <xf numFmtId="10" fontId="5" fillId="19" borderId="8" applyNumberFormat="0" applyBorder="0" applyAlignment="0" applyProtection="0"/>
    <xf numFmtId="0" fontId="42" fillId="0" borderId="9" applyNumberFormat="0" applyFill="0" applyAlignment="0" applyProtection="0"/>
    <xf numFmtId="0" fontId="38" fillId="7" borderId="0" applyNumberFormat="0" applyBorder="0" applyAlignment="0" applyProtection="0"/>
    <xf numFmtId="169" fontId="2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4" borderId="10" applyNumberFormat="0" applyFont="0" applyAlignment="0" applyProtection="0"/>
    <xf numFmtId="0" fontId="40" fillId="16" borderId="11" applyNumberFormat="0" applyAlignment="0" applyProtection="0"/>
    <xf numFmtId="9" fontId="3" fillId="0" borderId="0" applyFont="0" applyFill="0" applyBorder="0" applyAlignment="0" applyProtection="0"/>
    <xf numFmtId="10" fontId="2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46" fillId="0" borderId="12" applyNumberFormat="0" applyFill="0" applyAlignment="0" applyProtection="0"/>
    <xf numFmtId="0" fontId="44" fillId="0" borderId="0" applyNumberFormat="0" applyFill="0" applyBorder="0" applyAlignment="0" applyProtection="0"/>
  </cellStyleXfs>
  <cellXfs count="204">
    <xf numFmtId="0" fontId="0" fillId="0" borderId="0" xfId="0"/>
    <xf numFmtId="0" fontId="0" fillId="20" borderId="0" xfId="0" applyFill="1"/>
    <xf numFmtId="0" fontId="0" fillId="0" borderId="0" xfId="0" applyAlignment="1"/>
    <xf numFmtId="0" fontId="4" fillId="0" borderId="0" xfId="0" applyFont="1" applyAlignment="1">
      <alignment vertical="top"/>
    </xf>
    <xf numFmtId="0" fontId="15" fillId="21" borderId="13" xfId="0" applyFont="1" applyFill="1" applyBorder="1" applyAlignment="1">
      <alignment horizontal="center" vertical="center"/>
    </xf>
    <xf numFmtId="3" fontId="18" fillId="21" borderId="0" xfId="0" applyNumberFormat="1" applyFont="1" applyFill="1" applyBorder="1" applyAlignment="1">
      <alignment horizontal="right" vertical="center"/>
    </xf>
    <xf numFmtId="0" fontId="0" fillId="21" borderId="0" xfId="0" applyFill="1"/>
    <xf numFmtId="0" fontId="15" fillId="20" borderId="13" xfId="0" applyFont="1" applyFill="1" applyBorder="1" applyAlignment="1">
      <alignment horizontal="center" vertical="center"/>
    </xf>
    <xf numFmtId="3" fontId="18" fillId="20" borderId="0" xfId="0" applyNumberFormat="1" applyFont="1" applyFill="1" applyBorder="1" applyAlignment="1">
      <alignment horizontal="right" vertical="center"/>
    </xf>
    <xf numFmtId="3" fontId="19" fillId="20" borderId="0" xfId="0" applyNumberFormat="1" applyFont="1" applyFill="1" applyBorder="1" applyAlignment="1">
      <alignment horizontal="right" vertical="center" wrapText="1"/>
    </xf>
    <xf numFmtId="3" fontId="17" fillId="20" borderId="0" xfId="0" applyNumberFormat="1" applyFont="1" applyFill="1" applyBorder="1" applyAlignment="1">
      <alignment horizontal="left" vertical="center"/>
    </xf>
    <xf numFmtId="3" fontId="17" fillId="20" borderId="0" xfId="0" applyNumberFormat="1" applyFont="1" applyFill="1" applyBorder="1" applyAlignment="1">
      <alignment horizontal="right" vertical="center"/>
    </xf>
    <xf numFmtId="165" fontId="17" fillId="20" borderId="0" xfId="0" applyNumberFormat="1" applyFont="1" applyFill="1" applyBorder="1" applyAlignment="1">
      <alignment horizontal="center" vertical="center"/>
    </xf>
    <xf numFmtId="0" fontId="8" fillId="20" borderId="0" xfId="0" applyFont="1" applyFill="1" applyBorder="1" applyAlignment="1">
      <alignment horizontal="left" vertical="center"/>
    </xf>
    <xf numFmtId="0" fontId="21" fillId="20" borderId="13" xfId="0" applyFont="1" applyFill="1" applyBorder="1" applyAlignment="1">
      <alignment horizontal="left"/>
    </xf>
    <xf numFmtId="0" fontId="15" fillId="20" borderId="13" xfId="0" applyFont="1" applyFill="1" applyBorder="1" applyAlignment="1">
      <alignment horizontal="center"/>
    </xf>
    <xf numFmtId="165" fontId="17" fillId="20" borderId="0" xfId="0" applyNumberFormat="1" applyFont="1" applyFill="1" applyBorder="1" applyAlignment="1" applyProtection="1">
      <alignment horizontal="right" vertical="center"/>
      <protection locked="0"/>
    </xf>
    <xf numFmtId="3" fontId="17" fillId="20" borderId="0" xfId="0" applyNumberFormat="1" applyFont="1" applyFill="1" applyBorder="1" applyAlignment="1" applyProtection="1">
      <alignment horizontal="right" vertical="center"/>
      <protection locked="0"/>
    </xf>
    <xf numFmtId="3" fontId="18" fillId="20" borderId="0" xfId="0" applyNumberFormat="1" applyFont="1" applyFill="1" applyBorder="1" applyAlignment="1">
      <alignment horizontal="right"/>
    </xf>
    <xf numFmtId="0" fontId="15" fillId="20" borderId="0" xfId="0" applyFont="1" applyFill="1" applyBorder="1" applyAlignment="1">
      <alignment horizontal="center"/>
    </xf>
    <xf numFmtId="0" fontId="17" fillId="20" borderId="0" xfId="0" applyFont="1" applyFill="1" applyBorder="1" applyAlignment="1" applyProtection="1">
      <alignment horizontal="center" vertical="top"/>
    </xf>
    <xf numFmtId="0" fontId="17" fillId="20" borderId="0" xfId="0" applyFont="1" applyFill="1" applyBorder="1" applyAlignment="1" applyProtection="1">
      <alignment horizontal="left" vertical="top"/>
    </xf>
    <xf numFmtId="0" fontId="0" fillId="0" borderId="0" xfId="0" applyFill="1"/>
    <xf numFmtId="0" fontId="0" fillId="20" borderId="0" xfId="0" applyFill="1" applyBorder="1"/>
    <xf numFmtId="0" fontId="15" fillId="20" borderId="0" xfId="0" applyFont="1" applyFill="1" applyBorder="1" applyAlignment="1">
      <alignment horizontal="center" vertical="center"/>
    </xf>
    <xf numFmtId="0" fontId="15" fillId="20" borderId="0" xfId="0" applyFont="1" applyFill="1" applyBorder="1" applyAlignment="1">
      <alignment vertical="center"/>
    </xf>
    <xf numFmtId="0" fontId="15" fillId="19" borderId="0" xfId="0" applyFont="1" applyFill="1" applyBorder="1" applyAlignment="1">
      <alignment vertical="center"/>
    </xf>
    <xf numFmtId="0" fontId="8" fillId="21" borderId="0" xfId="0" applyFont="1" applyFill="1" applyBorder="1" applyAlignment="1">
      <alignment horizontal="left" vertical="center"/>
    </xf>
    <xf numFmtId="0" fontId="17" fillId="20" borderId="0" xfId="0" applyFont="1" applyFill="1" applyBorder="1" applyAlignment="1" applyProtection="1">
      <alignment horizontal="left" vertical="center"/>
    </xf>
    <xf numFmtId="0" fontId="18" fillId="20" borderId="0" xfId="0" applyFont="1" applyFill="1" applyBorder="1" applyAlignment="1" applyProtection="1">
      <alignment horizontal="left" vertical="center"/>
    </xf>
    <xf numFmtId="0" fontId="0" fillId="0" borderId="0" xfId="0" applyBorder="1"/>
    <xf numFmtId="0" fontId="0" fillId="0" borderId="0" xfId="0" applyFill="1" applyAlignment="1"/>
    <xf numFmtId="0" fontId="4" fillId="0" borderId="0" xfId="0" applyFont="1" applyFill="1" applyAlignment="1">
      <alignment vertical="top"/>
    </xf>
    <xf numFmtId="0" fontId="16" fillId="0" borderId="0" xfId="0" applyFont="1" applyFill="1"/>
    <xf numFmtId="0" fontId="16" fillId="0" borderId="0" xfId="0" applyFont="1"/>
    <xf numFmtId="3" fontId="17" fillId="20" borderId="0" xfId="0" applyNumberFormat="1" applyFont="1" applyFill="1" applyBorder="1" applyAlignment="1" applyProtection="1">
      <alignment horizontal="right" vertical="center"/>
    </xf>
    <xf numFmtId="165" fontId="17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7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8" fillId="22" borderId="14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Fill="1" applyBorder="1" applyAlignment="1">
      <alignment horizontal="left" vertical="center"/>
    </xf>
    <xf numFmtId="3" fontId="25" fillId="20" borderId="0" xfId="0" applyNumberFormat="1" applyFont="1" applyFill="1" applyBorder="1" applyAlignment="1">
      <alignment horizontal="left" vertical="center"/>
    </xf>
    <xf numFmtId="167" fontId="23" fillId="0" borderId="0" xfId="0" applyNumberFormat="1" applyFont="1" applyFill="1" applyBorder="1" applyAlignment="1" applyProtection="1">
      <alignment horizontal="center"/>
      <protection locked="0"/>
    </xf>
    <xf numFmtId="166" fontId="25" fillId="20" borderId="15" xfId="0" applyNumberFormat="1" applyFont="1" applyFill="1" applyBorder="1" applyAlignment="1" applyProtection="1">
      <alignment horizontal="centerContinuous" vertical="center"/>
      <protection locked="0"/>
    </xf>
    <xf numFmtId="166" fontId="18" fillId="22" borderId="0" xfId="0" applyNumberFormat="1" applyFont="1" applyFill="1" applyBorder="1" applyAlignment="1" applyProtection="1">
      <alignment horizontal="right" vertical="center"/>
      <protection locked="0"/>
    </xf>
    <xf numFmtId="166" fontId="25" fillId="20" borderId="0" xfId="0" applyNumberFormat="1" applyFont="1" applyFill="1" applyBorder="1" applyAlignment="1" applyProtection="1">
      <alignment horizontal="centerContinuous" vertical="center"/>
      <protection locked="0"/>
    </xf>
    <xf numFmtId="3" fontId="18" fillId="21" borderId="16" xfId="0" applyNumberFormat="1" applyFont="1" applyFill="1" applyBorder="1" applyAlignment="1">
      <alignment horizontal="right" vertical="center"/>
    </xf>
    <xf numFmtId="3" fontId="18" fillId="20" borderId="16" xfId="0" applyNumberFormat="1" applyFont="1" applyFill="1" applyBorder="1" applyAlignment="1">
      <alignment horizontal="right" vertical="center"/>
    </xf>
    <xf numFmtId="3" fontId="19" fillId="20" borderId="16" xfId="0" applyNumberFormat="1" applyFont="1" applyFill="1" applyBorder="1" applyAlignment="1">
      <alignment horizontal="right" vertical="center" wrapText="1"/>
    </xf>
    <xf numFmtId="3" fontId="17" fillId="20" borderId="16" xfId="0" applyNumberFormat="1" applyFont="1" applyFill="1" applyBorder="1" applyAlignment="1">
      <alignment horizontal="right" vertical="center"/>
    </xf>
    <xf numFmtId="3" fontId="17" fillId="20" borderId="16" xfId="0" applyNumberFormat="1" applyFont="1" applyFill="1" applyBorder="1" applyAlignment="1">
      <alignment horizontal="left" vertical="center"/>
    </xf>
    <xf numFmtId="3" fontId="17" fillId="20" borderId="16" xfId="0" applyNumberFormat="1" applyFont="1" applyFill="1" applyBorder="1" applyAlignment="1" applyProtection="1">
      <alignment horizontal="right" vertical="center"/>
      <protection locked="0"/>
    </xf>
    <xf numFmtId="3" fontId="18" fillId="20" borderId="16" xfId="0" applyNumberFormat="1" applyFont="1" applyFill="1" applyBorder="1" applyAlignment="1">
      <alignment horizontal="right"/>
    </xf>
    <xf numFmtId="166" fontId="18" fillId="22" borderId="16" xfId="0" applyNumberFormat="1" applyFont="1" applyFill="1" applyBorder="1" applyAlignment="1" applyProtection="1">
      <alignment horizontal="right" vertical="center"/>
      <protection locked="0"/>
    </xf>
    <xf numFmtId="166" fontId="17" fillId="20" borderId="16" xfId="0" quotePrefix="1" applyNumberFormat="1" applyFont="1" applyFill="1" applyBorder="1" applyAlignment="1" applyProtection="1">
      <alignment horizontal="right" vertical="center"/>
      <protection locked="0"/>
    </xf>
    <xf numFmtId="165" fontId="17" fillId="20" borderId="16" xfId="0" applyNumberFormat="1" applyFont="1" applyFill="1" applyBorder="1" applyAlignment="1" applyProtection="1">
      <alignment horizontal="right" vertical="center"/>
      <protection locked="0"/>
    </xf>
    <xf numFmtId="166" fontId="25" fillId="20" borderId="16" xfId="0" applyNumberFormat="1" applyFont="1" applyFill="1" applyBorder="1" applyAlignment="1" applyProtection="1">
      <alignment horizontal="centerContinuous" vertical="center"/>
      <protection locked="0"/>
    </xf>
    <xf numFmtId="0" fontId="0" fillId="20" borderId="16" xfId="0" applyFill="1" applyBorder="1"/>
    <xf numFmtId="0" fontId="8" fillId="0" borderId="0" xfId="0" quotePrefix="1" applyFont="1" applyFill="1" applyBorder="1" applyAlignment="1">
      <alignment horizontal="left" vertical="center"/>
    </xf>
    <xf numFmtId="167" fontId="23" fillId="20" borderId="0" xfId="0" applyNumberFormat="1" applyFont="1" applyFill="1" applyBorder="1" applyAlignment="1" applyProtection="1">
      <alignment horizontal="center"/>
      <protection locked="0"/>
    </xf>
    <xf numFmtId="167" fontId="17" fillId="20" borderId="0" xfId="0" applyNumberFormat="1" applyFont="1" applyFill="1" applyBorder="1" applyAlignment="1">
      <alignment horizontal="center"/>
    </xf>
    <xf numFmtId="167" fontId="17" fillId="20" borderId="0" xfId="0" applyNumberFormat="1" applyFont="1" applyFill="1" applyBorder="1" applyAlignment="1" applyProtection="1">
      <alignment horizontal="center"/>
    </xf>
    <xf numFmtId="167" fontId="17" fillId="20" borderId="0" xfId="0" applyNumberFormat="1" applyFont="1" applyFill="1" applyBorder="1" applyAlignment="1" applyProtection="1">
      <alignment horizontal="right" vertical="center"/>
    </xf>
    <xf numFmtId="0" fontId="17" fillId="20" borderId="0" xfId="0" applyFont="1" applyFill="1" applyBorder="1" applyAlignment="1">
      <alignment horizontal="center" vertical="center"/>
    </xf>
    <xf numFmtId="3" fontId="18" fillId="20" borderId="0" xfId="0" applyNumberFormat="1" applyFont="1" applyFill="1" applyBorder="1" applyAlignment="1">
      <alignment horizontal="left"/>
    </xf>
    <xf numFmtId="3" fontId="18" fillId="20" borderId="0" xfId="0" applyNumberFormat="1" applyFont="1" applyFill="1" applyBorder="1" applyAlignment="1" applyProtection="1">
      <alignment horizontal="right" vertical="center"/>
    </xf>
    <xf numFmtId="3" fontId="18" fillId="20" borderId="16" xfId="0" applyNumberFormat="1" applyFont="1" applyFill="1" applyBorder="1" applyAlignment="1" applyProtection="1">
      <alignment horizontal="right" vertical="center"/>
    </xf>
    <xf numFmtId="0" fontId="6" fillId="19" borderId="0" xfId="0" applyFont="1" applyFill="1" applyBorder="1" applyAlignment="1">
      <alignment horizontal="centerContinuous"/>
    </xf>
    <xf numFmtId="0" fontId="9" fillId="19" borderId="17" xfId="0" applyFont="1" applyFill="1" applyBorder="1" applyAlignment="1">
      <alignment horizontal="center"/>
    </xf>
    <xf numFmtId="0" fontId="9" fillId="19" borderId="17" xfId="0" applyFont="1" applyFill="1" applyBorder="1" applyAlignment="1">
      <alignment horizontal="centerContinuous"/>
    </xf>
    <xf numFmtId="0" fontId="9" fillId="19" borderId="17" xfId="0" quotePrefix="1" applyFont="1" applyFill="1" applyBorder="1" applyAlignment="1">
      <alignment horizontal="center"/>
    </xf>
    <xf numFmtId="0" fontId="9" fillId="19" borderId="16" xfId="0" quotePrefix="1" applyFont="1" applyFill="1" applyBorder="1" applyAlignment="1">
      <alignment horizontal="center"/>
    </xf>
    <xf numFmtId="0" fontId="9" fillId="19" borderId="0" xfId="0" quotePrefix="1" applyFont="1" applyFill="1" applyBorder="1" applyAlignment="1">
      <alignment horizontal="center"/>
    </xf>
    <xf numFmtId="0" fontId="12" fillId="19" borderId="0" xfId="0" applyFont="1" applyFill="1" applyBorder="1" applyAlignment="1" applyProtection="1">
      <alignment horizontal="center" vertical="center" wrapText="1"/>
      <protection locked="0"/>
    </xf>
    <xf numFmtId="0" fontId="11" fillId="19" borderId="13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9" borderId="0" xfId="0" quotePrefix="1" applyFont="1" applyFill="1" applyBorder="1" applyAlignment="1">
      <alignment horizontal="center"/>
    </xf>
    <xf numFmtId="0" fontId="6" fillId="19" borderId="0" xfId="0" applyFont="1" applyFill="1" applyBorder="1" applyAlignment="1">
      <alignment horizontal="center"/>
    </xf>
    <xf numFmtId="0" fontId="6" fillId="19" borderId="16" xfId="0" quotePrefix="1" applyFont="1" applyFill="1" applyBorder="1" applyAlignment="1">
      <alignment horizontal="center"/>
    </xf>
    <xf numFmtId="0" fontId="10" fillId="19" borderId="0" xfId="0" applyFont="1" applyFill="1" applyBorder="1" applyAlignment="1" applyProtection="1">
      <alignment horizontal="left" vertical="center"/>
      <protection locked="0"/>
    </xf>
    <xf numFmtId="0" fontId="6" fillId="19" borderId="16" xfId="0" applyFont="1" applyFill="1" applyBorder="1" applyAlignment="1">
      <alignment horizontal="center"/>
    </xf>
    <xf numFmtId="0" fontId="13" fillId="19" borderId="0" xfId="0" applyFont="1" applyFill="1" applyBorder="1" applyAlignment="1" applyProtection="1">
      <alignment horizontal="left" vertical="center" wrapText="1"/>
      <protection locked="0"/>
    </xf>
    <xf numFmtId="0" fontId="8" fillId="19" borderId="0" xfId="0" applyFont="1" applyFill="1" applyBorder="1" applyAlignment="1">
      <alignment horizontal="left"/>
    </xf>
    <xf numFmtId="0" fontId="9" fillId="19" borderId="0" xfId="0" applyFont="1" applyFill="1" applyBorder="1" applyAlignment="1">
      <alignment horizontal="left" vertical="top"/>
    </xf>
    <xf numFmtId="0" fontId="6" fillId="19" borderId="13" xfId="0" applyFont="1" applyFill="1" applyBorder="1" applyAlignment="1">
      <alignment horizontal="center" vertical="top"/>
    </xf>
    <xf numFmtId="0" fontId="20" fillId="19" borderId="0" xfId="0" applyFont="1" applyFill="1" applyBorder="1" applyAlignment="1">
      <alignment vertical="center"/>
    </xf>
    <xf numFmtId="0" fontId="15" fillId="20" borderId="18" xfId="0" applyFont="1" applyFill="1" applyBorder="1" applyAlignment="1">
      <alignment vertical="center" wrapText="1"/>
    </xf>
    <xf numFmtId="3" fontId="18" fillId="20" borderId="18" xfId="0" applyNumberFormat="1" applyFont="1" applyFill="1" applyBorder="1" applyAlignment="1">
      <alignment horizontal="right"/>
    </xf>
    <xf numFmtId="167" fontId="17" fillId="20" borderId="18" xfId="0" applyNumberFormat="1" applyFont="1" applyFill="1" applyBorder="1" applyAlignment="1" applyProtection="1">
      <alignment horizontal="right" vertical="center"/>
    </xf>
    <xf numFmtId="3" fontId="18" fillId="20" borderId="19" xfId="0" applyNumberFormat="1" applyFont="1" applyFill="1" applyBorder="1" applyAlignment="1">
      <alignment horizontal="right"/>
    </xf>
    <xf numFmtId="0" fontId="6" fillId="19" borderId="0" xfId="0" applyFont="1" applyFill="1" applyBorder="1" applyAlignment="1">
      <alignment horizontal="center" vertical="top"/>
    </xf>
    <xf numFmtId="0" fontId="17" fillId="21" borderId="0" xfId="0" applyFont="1" applyFill="1" applyBorder="1" applyAlignment="1">
      <alignment horizontal="center" vertical="center"/>
    </xf>
    <xf numFmtId="0" fontId="17" fillId="20" borderId="0" xfId="0" applyFont="1" applyFill="1" applyBorder="1" applyAlignment="1">
      <alignment horizontal="center"/>
    </xf>
    <xf numFmtId="0" fontId="17" fillId="20" borderId="18" xfId="0" applyFont="1" applyFill="1" applyBorder="1" applyAlignment="1">
      <alignment horizontal="center"/>
    </xf>
    <xf numFmtId="0" fontId="6" fillId="19" borderId="20" xfId="0" applyFont="1" applyFill="1" applyBorder="1" applyAlignment="1">
      <alignment horizontal="center"/>
    </xf>
    <xf numFmtId="0" fontId="6" fillId="19" borderId="21" xfId="0" applyFont="1" applyFill="1" applyBorder="1" applyAlignment="1">
      <alignment horizontal="center"/>
    </xf>
    <xf numFmtId="0" fontId="6" fillId="19" borderId="21" xfId="0" applyFont="1" applyFill="1" applyBorder="1" applyAlignment="1">
      <alignment horizontal="center" vertical="top"/>
    </xf>
    <xf numFmtId="0" fontId="15" fillId="21" borderId="21" xfId="0" applyFont="1" applyFill="1" applyBorder="1" applyAlignment="1">
      <alignment horizontal="center" vertical="center"/>
    </xf>
    <xf numFmtId="0" fontId="15" fillId="20" borderId="21" xfId="0" applyFont="1" applyFill="1" applyBorder="1" applyAlignment="1">
      <alignment horizontal="center" vertical="center"/>
    </xf>
    <xf numFmtId="0" fontId="15" fillId="20" borderId="21" xfId="0" applyFont="1" applyFill="1" applyBorder="1" applyAlignment="1">
      <alignment horizontal="center"/>
    </xf>
    <xf numFmtId="0" fontId="15" fillId="20" borderId="22" xfId="0" applyFont="1" applyFill="1" applyBorder="1" applyAlignment="1">
      <alignment horizontal="center"/>
    </xf>
    <xf numFmtId="0" fontId="15" fillId="20" borderId="23" xfId="0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 vertical="top"/>
    </xf>
    <xf numFmtId="0" fontId="7" fillId="19" borderId="24" xfId="0" applyFont="1" applyFill="1" applyBorder="1" applyAlignment="1" applyProtection="1">
      <alignment horizontal="center" vertical="center"/>
      <protection locked="0"/>
    </xf>
    <xf numFmtId="0" fontId="7" fillId="19" borderId="24" xfId="0" applyFont="1" applyFill="1" applyBorder="1" applyAlignment="1" applyProtection="1">
      <alignment horizontal="right" vertical="center"/>
      <protection locked="0"/>
    </xf>
    <xf numFmtId="0" fontId="6" fillId="19" borderId="24" xfId="0" applyFont="1" applyFill="1" applyBorder="1" applyAlignment="1">
      <alignment horizontal="centerContinuous"/>
    </xf>
    <xf numFmtId="164" fontId="8" fillId="19" borderId="24" xfId="0" applyNumberFormat="1" applyFont="1" applyFill="1" applyBorder="1" applyAlignment="1">
      <alignment horizontal="centerContinuous" vertical="top"/>
    </xf>
    <xf numFmtId="164" fontId="8" fillId="19" borderId="25" xfId="0" applyNumberFormat="1" applyFont="1" applyFill="1" applyBorder="1" applyAlignment="1">
      <alignment horizontal="centerContinuous" vertical="top"/>
    </xf>
    <xf numFmtId="165" fontId="17" fillId="20" borderId="18" xfId="0" applyNumberFormat="1" applyFont="1" applyFill="1" applyBorder="1" applyAlignment="1" applyProtection="1">
      <alignment horizontal="right" vertical="center"/>
      <protection locked="0"/>
    </xf>
    <xf numFmtId="167" fontId="17" fillId="20" borderId="18" xfId="0" applyNumberFormat="1" applyFont="1" applyFill="1" applyBorder="1" applyAlignment="1">
      <alignment horizontal="center"/>
    </xf>
    <xf numFmtId="0" fontId="16" fillId="20" borderId="0" xfId="0" applyFont="1" applyFill="1" applyBorder="1"/>
    <xf numFmtId="0" fontId="0" fillId="20" borderId="18" xfId="0" applyFill="1" applyBorder="1"/>
    <xf numFmtId="0" fontId="0" fillId="20" borderId="19" xfId="0" applyFill="1" applyBorder="1"/>
    <xf numFmtId="167" fontId="6" fillId="20" borderId="24" xfId="0" applyNumberFormat="1" applyFont="1" applyFill="1" applyBorder="1" applyAlignment="1">
      <alignment horizontal="centerContinuous"/>
    </xf>
    <xf numFmtId="167" fontId="6" fillId="20" borderId="0" xfId="0" applyNumberFormat="1" applyFont="1" applyFill="1" applyBorder="1" applyAlignment="1">
      <alignment horizontal="centerContinuous"/>
    </xf>
    <xf numFmtId="167" fontId="17" fillId="20" borderId="0" xfId="0" applyNumberFormat="1" applyFont="1" applyFill="1" applyBorder="1" applyAlignment="1">
      <alignment horizontal="center" vertical="center"/>
    </xf>
    <xf numFmtId="167" fontId="17" fillId="20" borderId="0" xfId="0" applyNumberFormat="1" applyFont="1" applyFill="1" applyBorder="1" applyAlignment="1">
      <alignment horizontal="right" vertical="center"/>
    </xf>
    <xf numFmtId="0" fontId="17" fillId="20" borderId="0" xfId="0" applyFont="1" applyFill="1" applyBorder="1"/>
    <xf numFmtId="3" fontId="24" fillId="20" borderId="0" xfId="55" quotePrefix="1" applyNumberFormat="1" applyFont="1" applyFill="1" applyBorder="1" applyAlignment="1">
      <alignment horizontal="right" vertical="top"/>
    </xf>
    <xf numFmtId="3" fontId="15" fillId="20" borderId="0" xfId="0" applyNumberFormat="1" applyFont="1" applyFill="1" applyBorder="1" applyAlignment="1">
      <alignment horizontal="right" vertical="center"/>
    </xf>
    <xf numFmtId="0" fontId="30" fillId="20" borderId="0" xfId="0" applyFont="1" applyFill="1" applyBorder="1" applyAlignment="1">
      <alignment vertical="center"/>
    </xf>
    <xf numFmtId="167" fontId="0" fillId="20" borderId="0" xfId="0" applyNumberFormat="1" applyFill="1" applyBorder="1"/>
    <xf numFmtId="3" fontId="14" fillId="20" borderId="0" xfId="0" applyNumberFormat="1" applyFont="1" applyFill="1" applyBorder="1" applyAlignment="1">
      <alignment horizontal="right" vertical="center"/>
    </xf>
    <xf numFmtId="168" fontId="26" fillId="20" borderId="0" xfId="0" applyNumberFormat="1" applyFont="1" applyFill="1" applyBorder="1" applyAlignment="1">
      <alignment horizontal="centerContinuous" vertical="center"/>
    </xf>
    <xf numFmtId="167" fontId="25" fillId="20" borderId="0" xfId="0" applyNumberFormat="1" applyFont="1" applyFill="1" applyBorder="1" applyAlignment="1">
      <alignment horizontal="right" vertical="center"/>
    </xf>
    <xf numFmtId="0" fontId="22" fillId="20" borderId="0" xfId="0" applyFont="1" applyFill="1" applyBorder="1" applyAlignment="1">
      <alignment horizontal="centerContinuous" vertical="center"/>
    </xf>
    <xf numFmtId="0" fontId="31" fillId="20" borderId="0" xfId="0" applyFont="1" applyFill="1" applyBorder="1" applyAlignment="1">
      <alignment vertical="center"/>
    </xf>
    <xf numFmtId="167" fontId="0" fillId="20" borderId="0" xfId="0" applyNumberFormat="1" applyFill="1" applyBorder="1" applyAlignment="1">
      <alignment horizontal="centerContinuous"/>
    </xf>
    <xf numFmtId="165" fontId="17" fillId="20" borderId="16" xfId="0" applyNumberFormat="1" applyFont="1" applyFill="1" applyBorder="1" applyAlignment="1" applyProtection="1">
      <alignment vertical="center"/>
      <protection locked="0"/>
    </xf>
    <xf numFmtId="165" fontId="17" fillId="20" borderId="0" xfId="0" applyNumberFormat="1" applyFont="1" applyFill="1" applyBorder="1" applyAlignment="1" applyProtection="1">
      <alignment vertical="center"/>
      <protection locked="0"/>
    </xf>
    <xf numFmtId="167" fontId="23" fillId="20" borderId="26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Fill="1" applyBorder="1" applyAlignment="1">
      <alignment horizontal="center"/>
    </xf>
    <xf numFmtId="167" fontId="6" fillId="0" borderId="0" xfId="0" applyNumberFormat="1" applyFont="1" applyFill="1" applyBorder="1" applyAlignment="1">
      <alignment horizontal="center" vertical="top"/>
    </xf>
    <xf numFmtId="0" fontId="0" fillId="0" borderId="0" xfId="0" applyFill="1" applyBorder="1"/>
    <xf numFmtId="0" fontId="16" fillId="0" borderId="0" xfId="0" applyFont="1" applyFill="1" applyBorder="1"/>
    <xf numFmtId="166" fontId="16" fillId="0" borderId="0" xfId="0" applyNumberFormat="1" applyFont="1" applyFill="1"/>
    <xf numFmtId="0" fontId="49" fillId="0" borderId="0" xfId="0" applyFont="1" applyFill="1"/>
    <xf numFmtId="0" fontId="0" fillId="0" borderId="27" xfId="0" applyFill="1" applyBorder="1"/>
    <xf numFmtId="0" fontId="16" fillId="0" borderId="27" xfId="0" applyFont="1" applyFill="1" applyBorder="1"/>
    <xf numFmtId="0" fontId="0" fillId="0" borderId="27" xfId="0" applyFill="1" applyBorder="1" applyAlignment="1"/>
    <xf numFmtId="0" fontId="4" fillId="0" borderId="27" xfId="0" applyFont="1" applyFill="1" applyBorder="1" applyAlignment="1">
      <alignment vertical="top"/>
    </xf>
    <xf numFmtId="0" fontId="50" fillId="19" borderId="28" xfId="0" applyFont="1" applyFill="1" applyBorder="1" applyAlignment="1">
      <alignment horizontal="center" vertical="center"/>
    </xf>
    <xf numFmtId="0" fontId="50" fillId="19" borderId="24" xfId="0" applyFont="1" applyFill="1" applyBorder="1" applyAlignment="1">
      <alignment horizontal="center" vertical="center"/>
    </xf>
    <xf numFmtId="0" fontId="50" fillId="19" borderId="29" xfId="0" applyFont="1" applyFill="1" applyBorder="1" applyAlignment="1">
      <alignment horizontal="center" vertical="center"/>
    </xf>
    <xf numFmtId="0" fontId="50" fillId="19" borderId="17" xfId="0" applyFont="1" applyFill="1" applyBorder="1" applyAlignment="1">
      <alignment horizontal="center" vertical="center"/>
    </xf>
    <xf numFmtId="0" fontId="51" fillId="19" borderId="27" xfId="0" applyFont="1" applyFill="1" applyBorder="1" applyAlignment="1">
      <alignment horizontal="center" vertical="center"/>
    </xf>
    <xf numFmtId="0" fontId="50" fillId="19" borderId="30" xfId="0" applyFont="1" applyFill="1" applyBorder="1" applyAlignment="1">
      <alignment horizontal="center" vertical="center"/>
    </xf>
    <xf numFmtId="0" fontId="50" fillId="19" borderId="27" xfId="0" applyFont="1" applyFill="1" applyBorder="1" applyAlignment="1">
      <alignment horizontal="center" vertical="center"/>
    </xf>
    <xf numFmtId="0" fontId="52" fillId="19" borderId="31" xfId="0" applyFont="1" applyFill="1" applyBorder="1" applyAlignment="1" applyProtection="1">
      <alignment horizontal="center" vertical="center"/>
      <protection locked="0"/>
    </xf>
    <xf numFmtId="0" fontId="50" fillId="19" borderId="31" xfId="0" applyFont="1" applyFill="1" applyBorder="1" applyAlignment="1">
      <alignment horizontal="center" vertical="center"/>
    </xf>
    <xf numFmtId="0" fontId="50" fillId="19" borderId="27" xfId="0" applyFont="1" applyFill="1" applyBorder="1" applyAlignment="1">
      <alignment horizontal="center"/>
    </xf>
    <xf numFmtId="0" fontId="50" fillId="19" borderId="31" xfId="0" applyFont="1" applyFill="1" applyBorder="1" applyAlignment="1">
      <alignment horizontal="center"/>
    </xf>
    <xf numFmtId="0" fontId="50" fillId="19" borderId="27" xfId="0" applyFont="1" applyFill="1" applyBorder="1" applyAlignment="1">
      <alignment horizontal="center" vertical="top"/>
    </xf>
    <xf numFmtId="0" fontId="50" fillId="19" borderId="31" xfId="0" applyFont="1" applyFill="1" applyBorder="1" applyAlignment="1">
      <alignment horizontal="center" vertical="top"/>
    </xf>
    <xf numFmtId="0" fontId="50" fillId="21" borderId="27" xfId="0" applyFont="1" applyFill="1" applyBorder="1" applyAlignment="1">
      <alignment horizontal="center" vertical="center"/>
    </xf>
    <xf numFmtId="0" fontId="50" fillId="21" borderId="31" xfId="0" applyFont="1" applyFill="1" applyBorder="1" applyAlignment="1">
      <alignment horizontal="center" vertical="center"/>
    </xf>
    <xf numFmtId="0" fontId="50" fillId="20" borderId="27" xfId="0" applyFont="1" applyFill="1" applyBorder="1" applyAlignment="1">
      <alignment horizontal="center" vertical="center"/>
    </xf>
    <xf numFmtId="0" fontId="50" fillId="20" borderId="32" xfId="0" applyFont="1" applyFill="1" applyBorder="1" applyAlignment="1">
      <alignment horizontal="center" vertical="center"/>
    </xf>
    <xf numFmtId="0" fontId="50" fillId="19" borderId="32" xfId="0" applyFont="1" applyFill="1" applyBorder="1" applyAlignment="1">
      <alignment horizontal="center" vertical="center"/>
    </xf>
    <xf numFmtId="0" fontId="50" fillId="19" borderId="27" xfId="0" applyFont="1" applyFill="1" applyBorder="1" applyAlignment="1" applyProtection="1">
      <alignment horizontal="center" vertical="top"/>
    </xf>
    <xf numFmtId="0" fontId="50" fillId="19" borderId="32" xfId="0" applyFont="1" applyFill="1" applyBorder="1" applyAlignment="1" applyProtection="1">
      <alignment horizontal="center" vertical="top"/>
    </xf>
    <xf numFmtId="0" fontId="50" fillId="20" borderId="27" xfId="0" applyFont="1" applyFill="1" applyBorder="1" applyAlignment="1">
      <alignment horizontal="center"/>
    </xf>
    <xf numFmtId="0" fontId="50" fillId="20" borderId="32" xfId="0" applyFont="1" applyFill="1" applyBorder="1" applyAlignment="1">
      <alignment horizontal="center"/>
    </xf>
    <xf numFmtId="0" fontId="50" fillId="20" borderId="27" xfId="0" applyFont="1" applyFill="1" applyBorder="1" applyAlignment="1">
      <alignment horizontal="center" vertical="top"/>
    </xf>
    <xf numFmtId="0" fontId="50" fillId="20" borderId="27" xfId="0" applyFont="1" applyFill="1" applyBorder="1" applyAlignment="1" applyProtection="1">
      <alignment horizontal="center" vertical="top"/>
    </xf>
    <xf numFmtId="0" fontId="50" fillId="20" borderId="32" xfId="0" applyFont="1" applyFill="1" applyBorder="1" applyAlignment="1" applyProtection="1">
      <alignment horizontal="center" vertical="top"/>
    </xf>
    <xf numFmtId="0" fontId="50" fillId="20" borderId="33" xfId="0" applyFont="1" applyFill="1" applyBorder="1" applyAlignment="1">
      <alignment horizontal="center" vertical="center"/>
    </xf>
    <xf numFmtId="0" fontId="50" fillId="20" borderId="34" xfId="0" applyFont="1" applyFill="1" applyBorder="1" applyAlignment="1">
      <alignment horizontal="center" vertical="center"/>
    </xf>
    <xf numFmtId="0" fontId="50" fillId="20" borderId="0" xfId="0" applyFont="1" applyFill="1" applyBorder="1" applyAlignment="1">
      <alignment horizontal="center"/>
    </xf>
    <xf numFmtId="0" fontId="50" fillId="20" borderId="0" xfId="0" applyFont="1" applyFill="1" applyBorder="1" applyAlignment="1" applyProtection="1">
      <alignment horizontal="center" vertical="top"/>
    </xf>
    <xf numFmtId="0" fontId="50" fillId="20" borderId="33" xfId="0" applyFont="1" applyFill="1" applyBorder="1" applyAlignment="1">
      <alignment horizontal="center"/>
    </xf>
    <xf numFmtId="0" fontId="50" fillId="20" borderId="18" xfId="0" applyFont="1" applyFill="1" applyBorder="1" applyAlignment="1">
      <alignment horizontal="center"/>
    </xf>
    <xf numFmtId="0" fontId="50" fillId="20" borderId="0" xfId="0" applyFont="1" applyFill="1" applyAlignment="1">
      <alignment horizontal="center"/>
    </xf>
    <xf numFmtId="0" fontId="50" fillId="0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16" fillId="20" borderId="0" xfId="0" applyFont="1" applyFill="1" applyBorder="1" applyAlignment="1">
      <alignment horizontal="center" vertical="center" wrapText="1"/>
    </xf>
    <xf numFmtId="0" fontId="21" fillId="20" borderId="35" xfId="0" applyFont="1" applyFill="1" applyBorder="1" applyAlignment="1">
      <alignment horizontal="left"/>
    </xf>
    <xf numFmtId="0" fontId="53" fillId="19" borderId="0" xfId="0" applyFont="1" applyFill="1" applyBorder="1" applyAlignment="1">
      <alignment vertical="center"/>
    </xf>
    <xf numFmtId="0" fontId="54" fillId="19" borderId="0" xfId="0" applyFont="1" applyFill="1" applyBorder="1" applyAlignment="1">
      <alignment vertical="center"/>
    </xf>
    <xf numFmtId="0" fontId="15" fillId="24" borderId="0" xfId="0" applyFont="1" applyFill="1" applyBorder="1" applyAlignment="1">
      <alignment vertical="center"/>
    </xf>
    <xf numFmtId="0" fontId="50" fillId="20" borderId="0" xfId="0" applyFont="1" applyFill="1" applyBorder="1" applyAlignment="1">
      <alignment horizontal="center" vertical="center"/>
    </xf>
    <xf numFmtId="0" fontId="15" fillId="20" borderId="0" xfId="0" applyFont="1" applyFill="1" applyBorder="1" applyAlignment="1">
      <alignment vertical="center" wrapText="1"/>
    </xf>
    <xf numFmtId="0" fontId="21" fillId="20" borderId="0" xfId="0" applyFont="1" applyFill="1" applyBorder="1" applyAlignment="1">
      <alignment horizontal="left"/>
    </xf>
    <xf numFmtId="3" fontId="2" fillId="20" borderId="16" xfId="0" applyNumberFormat="1" applyFont="1" applyFill="1" applyBorder="1" applyAlignment="1">
      <alignment horizontal="right"/>
    </xf>
    <xf numFmtId="3" fontId="2" fillId="20" borderId="16" xfId="0" applyNumberFormat="1" applyFont="1" applyFill="1" applyBorder="1" applyAlignment="1">
      <alignment horizontal="right" vertical="center"/>
    </xf>
    <xf numFmtId="166" fontId="2" fillId="20" borderId="16" xfId="0" applyNumberFormat="1" applyFont="1" applyFill="1" applyBorder="1" applyAlignment="1" applyProtection="1">
      <alignment horizontal="right" vertical="center"/>
      <protection locked="0"/>
    </xf>
    <xf numFmtId="166" fontId="2" fillId="20" borderId="0" xfId="0" applyNumberFormat="1" applyFont="1" applyFill="1" applyBorder="1" applyAlignment="1" applyProtection="1">
      <alignment horizontal="right" vertical="center"/>
      <protection locked="0"/>
    </xf>
    <xf numFmtId="165" fontId="2" fillId="20" borderId="19" xfId="0" applyNumberFormat="1" applyFont="1" applyFill="1" applyBorder="1" applyAlignment="1" applyProtection="1">
      <alignment horizontal="right" vertical="center"/>
      <protection locked="0"/>
    </xf>
    <xf numFmtId="165" fontId="2" fillId="20" borderId="18" xfId="0" applyNumberFormat="1" applyFont="1" applyFill="1" applyBorder="1" applyAlignment="1" applyProtection="1">
      <alignment horizontal="right" vertical="center"/>
      <protection locked="0"/>
    </xf>
    <xf numFmtId="166" fontId="2" fillId="25" borderId="16" xfId="0" applyNumberFormat="1" applyFont="1" applyFill="1" applyBorder="1" applyAlignment="1" applyProtection="1">
      <alignment horizontal="right" vertical="center"/>
      <protection locked="0"/>
    </xf>
    <xf numFmtId="166" fontId="2" fillId="23" borderId="0" xfId="0" applyNumberFormat="1" applyFont="1" applyFill="1" applyBorder="1" applyAlignment="1" applyProtection="1">
      <alignment horizontal="right" vertical="center"/>
      <protection locked="0"/>
    </xf>
    <xf numFmtId="3" fontId="2" fillId="20" borderId="0" xfId="0" applyNumberFormat="1" applyFont="1" applyFill="1" applyBorder="1" applyAlignment="1">
      <alignment horizontal="right" vertical="center"/>
    </xf>
    <xf numFmtId="166" fontId="3" fillId="24" borderId="0" xfId="0" applyNumberFormat="1" applyFont="1" applyFill="1" applyBorder="1" applyAlignment="1" applyProtection="1">
      <alignment horizontal="right" vertical="center"/>
      <protection locked="0"/>
    </xf>
    <xf numFmtId="165" fontId="3" fillId="24" borderId="18" xfId="0" applyNumberFormat="1" applyFont="1" applyFill="1" applyBorder="1" applyAlignment="1" applyProtection="1">
      <alignment horizontal="right" vertical="center"/>
      <protection locked="0"/>
    </xf>
    <xf numFmtId="166" fontId="2" fillId="24" borderId="0" xfId="0" applyNumberFormat="1" applyFont="1" applyFill="1" applyBorder="1" applyAlignment="1" applyProtection="1">
      <alignment horizontal="right" vertical="center"/>
      <protection locked="0"/>
    </xf>
    <xf numFmtId="165" fontId="2" fillId="24" borderId="16" xfId="0" applyNumberFormat="1" applyFont="1" applyFill="1" applyBorder="1" applyAlignment="1" applyProtection="1">
      <alignment horizontal="right" vertical="center"/>
      <protection locked="0"/>
    </xf>
    <xf numFmtId="0" fontId="2" fillId="20" borderId="16" xfId="0" applyFont="1" applyFill="1" applyBorder="1" applyAlignment="1">
      <alignment horizontal="right"/>
    </xf>
    <xf numFmtId="166" fontId="2" fillId="20" borderId="16" xfId="0" applyNumberFormat="1" applyFont="1" applyFill="1" applyBorder="1"/>
    <xf numFmtId="0" fontId="16" fillId="20" borderId="18" xfId="0" applyFont="1" applyFill="1" applyBorder="1" applyAlignment="1">
      <alignment horizontal="center" vertical="center" wrapText="1"/>
    </xf>
    <xf numFmtId="167" fontId="17" fillId="20" borderId="36" xfId="0" applyNumberFormat="1" applyFont="1" applyFill="1" applyBorder="1" applyAlignment="1">
      <alignment horizontal="center"/>
    </xf>
    <xf numFmtId="15" fontId="55" fillId="19" borderId="17" xfId="0" applyNumberFormat="1" applyFont="1" applyFill="1" applyBorder="1" applyAlignment="1" applyProtection="1">
      <alignment horizontal="center" vertical="center" wrapText="1"/>
      <protection locked="0"/>
    </xf>
    <xf numFmtId="0" fontId="56" fillId="19" borderId="24" xfId="0" applyFont="1" applyFill="1" applyBorder="1" applyAlignment="1" applyProtection="1">
      <alignment horizontal="center" vertical="center"/>
      <protection locked="0"/>
    </xf>
    <xf numFmtId="0" fontId="2" fillId="20" borderId="0" xfId="0" applyFont="1" applyFill="1" applyBorder="1" applyAlignment="1" applyProtection="1">
      <alignment horizontal="left" vertical="top"/>
    </xf>
    <xf numFmtId="166" fontId="2" fillId="20" borderId="15" xfId="0" applyNumberFormat="1" applyFont="1" applyFill="1" applyBorder="1" applyAlignment="1" applyProtection="1">
      <alignment horizontal="centerContinuous" vertical="center"/>
      <protection locked="0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 xr:uid="{1847EAA2-85CD-45C0-8A22-4A57109657D2}"/>
    <cellStyle name="Header1" xfId="31" xr:uid="{89582EB8-2380-4D04-A45F-7D560FC80F13}"/>
    <cellStyle name="Header2" xfId="32" xr:uid="{0EEBF16E-66AC-4761-8487-D12DF083C2F9}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Input [yellow]" xfId="38" xr:uid="{7D53E61F-5269-4E53-B3BD-AF34C0FED8AF}"/>
    <cellStyle name="Linked Cell" xfId="39" builtinId="24" customBuiltin="1"/>
    <cellStyle name="Neutral" xfId="40" builtinId="28" customBuiltin="1"/>
    <cellStyle name="Normal" xfId="0" builtinId="0"/>
    <cellStyle name="Normal - Style1" xfId="41" xr:uid="{FEDF0B04-6C03-4A15-A099-83ED13016555}"/>
    <cellStyle name="Normal 10" xfId="42" xr:uid="{C5A5F287-2B11-45EF-B4AC-236E1A5CD649}"/>
    <cellStyle name="Normal 11" xfId="43" xr:uid="{8A58B0A9-D13C-4242-88ED-DA3E6ECFF17D}"/>
    <cellStyle name="Normal 12" xfId="44" xr:uid="{141EADF1-87F9-4FC7-8C3F-F300DBD71FDB}"/>
    <cellStyle name="Normal 2" xfId="45" xr:uid="{425A663F-3FAA-4298-B5AB-1497A1295A2D}"/>
    <cellStyle name="Normal 3" xfId="46" xr:uid="{B3C09481-BD8F-4EC6-8CF9-807DE2A9ABB0}"/>
    <cellStyle name="Normal 4" xfId="47" xr:uid="{3C24A0A9-2859-4109-9606-F3EDB9DC6FDD}"/>
    <cellStyle name="Normal 5" xfId="48" xr:uid="{20657F10-F61F-4308-9C87-2684D666DC0E}"/>
    <cellStyle name="Normal 6" xfId="49" xr:uid="{BC15475A-C695-48B3-A479-173442B336D5}"/>
    <cellStyle name="Normal 7" xfId="50" xr:uid="{F4FC3950-0838-4E37-9217-33D21295DD6A}"/>
    <cellStyle name="Normal 8" xfId="51" xr:uid="{F19BFBBC-EE4C-4B82-8D99-E5A60989B95A}"/>
    <cellStyle name="Normal 9" xfId="52" xr:uid="{CF10FAA8-90F8-4BE1-B4B8-DF0B8546BFCA}"/>
    <cellStyle name="Note" xfId="53" builtinId="10" customBuiltin="1"/>
    <cellStyle name="Output" xfId="54" builtinId="21" customBuiltin="1"/>
    <cellStyle name="Percent" xfId="55" builtinId="5"/>
    <cellStyle name="Percent [2]" xfId="56" xr:uid="{2C66C2D8-BA08-49D2-87F6-3841FBC5C52D}"/>
    <cellStyle name="Title" xfId="57" builtinId="15" customBuiltin="1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19050</xdr:rowOff>
    </xdr:from>
    <xdr:to>
      <xdr:col>8</xdr:col>
      <xdr:colOff>0</xdr:colOff>
      <xdr:row>4</xdr:row>
      <xdr:rowOff>123825</xdr:rowOff>
    </xdr:to>
    <xdr:sp macro="" textlink="">
      <xdr:nvSpPr>
        <xdr:cNvPr id="2052" name="Text 4">
          <a:extLst>
            <a:ext uri="{FF2B5EF4-FFF2-40B4-BE49-F238E27FC236}">
              <a16:creationId xmlns:a16="http://schemas.microsoft.com/office/drawing/2014/main" id="{71B95DAB-2065-57EE-0639-8E7B28AB6F2F}"/>
            </a:ext>
          </a:extLst>
        </xdr:cNvPr>
        <xdr:cNvSpPr txBox="1">
          <a:spLocks noChangeArrowheads="1"/>
        </xdr:cNvSpPr>
      </xdr:nvSpPr>
      <xdr:spPr bwMode="auto">
        <a:xfrm>
          <a:off x="4533900" y="342900"/>
          <a:ext cx="3171825" cy="22860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</a:t>
          </a:r>
        </a:p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services not present at the end of cutover.</a:t>
          </a:r>
        </a:p>
      </xdr:txBody>
    </xdr:sp>
    <xdr:clientData/>
  </xdr:twoCellAnchor>
  <xdr:twoCellAnchor>
    <xdr:from>
      <xdr:col>9</xdr:col>
      <xdr:colOff>38100</xdr:colOff>
      <xdr:row>3</xdr:row>
      <xdr:rowOff>19050</xdr:rowOff>
    </xdr:from>
    <xdr:to>
      <xdr:col>12</xdr:col>
      <xdr:colOff>0</xdr:colOff>
      <xdr:row>4</xdr:row>
      <xdr:rowOff>123825</xdr:rowOff>
    </xdr:to>
    <xdr:sp macro="" textlink="">
      <xdr:nvSpPr>
        <xdr:cNvPr id="2053" name="Text 5">
          <a:extLst>
            <a:ext uri="{FF2B5EF4-FFF2-40B4-BE49-F238E27FC236}">
              <a16:creationId xmlns:a16="http://schemas.microsoft.com/office/drawing/2014/main" id="{5FFDD376-0913-EEA2-A900-1DD81908C192}"/>
            </a:ext>
          </a:extLst>
        </xdr:cNvPr>
        <xdr:cNvSpPr txBox="1">
          <a:spLocks noChangeArrowheads="1"/>
        </xdr:cNvSpPr>
      </xdr:nvSpPr>
      <xdr:spPr bwMode="auto">
        <a:xfrm>
          <a:off x="7743825" y="342900"/>
          <a:ext cx="3714750" cy="22860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</a:t>
          </a:r>
        </a:p>
        <a:p>
          <a:pPr algn="ctr" rtl="0">
            <a:defRPr sz="1000"/>
          </a:pP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6066-8ABE-4753-90F8-069869A86558}">
  <dimension ref="A1"/>
  <sheetViews>
    <sheetView workbookViewId="0"/>
  </sheetViews>
  <sheetFormatPr defaultRowHeight="11.25" x14ac:dyDescent="0.2"/>
  <sheetData/>
  <phoneticPr fontId="0" type="noConversion"/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39DF-94B6-4547-B212-8843456E399E}">
  <dimension ref="A1:AD711"/>
  <sheetViews>
    <sheetView tabSelected="1" zoomScaleNormal="100" zoomScaleSheetLayoutView="100" workbookViewId="0">
      <selection activeCell="C3" sqref="C3"/>
    </sheetView>
  </sheetViews>
  <sheetFormatPr defaultRowHeight="11.25" x14ac:dyDescent="0.2"/>
  <cols>
    <col min="1" max="1" width="5.1640625" style="174" bestFit="1" customWidth="1"/>
    <col min="2" max="2" width="2.83203125" style="174" bestFit="1" customWidth="1"/>
    <col min="3" max="3" width="65.6640625" style="30" bestFit="1" customWidth="1"/>
    <col min="4" max="4" width="7" customWidth="1"/>
    <col min="5" max="5" width="5.6640625" customWidth="1"/>
    <col min="6" max="6" width="6" customWidth="1"/>
    <col min="7" max="7" width="0.6640625" hidden="1" customWidth="1"/>
    <col min="8" max="8" width="30" customWidth="1"/>
    <col min="9" max="9" width="0.5" style="121" customWidth="1"/>
    <col min="10" max="10" width="37.33203125" style="30" customWidth="1"/>
    <col min="11" max="11" width="0.33203125" style="30" customWidth="1"/>
    <col min="12" max="12" width="1" style="30" customWidth="1"/>
    <col min="13" max="15" width="9.33203125" style="22"/>
    <col min="16" max="16" width="15" style="22" customWidth="1"/>
    <col min="17" max="17" width="9.33203125" style="22"/>
    <col min="18" max="18" width="11.83203125" style="22" customWidth="1"/>
    <col min="19" max="19" width="9.33203125" style="22"/>
    <col min="20" max="20" width="12" style="22" customWidth="1"/>
    <col min="21" max="21" width="9.33203125" style="22"/>
  </cols>
  <sheetData>
    <row r="1" spans="1:21" ht="12.75" x14ac:dyDescent="0.2">
      <c r="A1" s="141" t="s">
        <v>2</v>
      </c>
      <c r="B1" s="142"/>
      <c r="C1" s="201" t="s">
        <v>39</v>
      </c>
      <c r="D1" s="103"/>
      <c r="E1" s="103"/>
      <c r="F1" s="104"/>
      <c r="G1" s="105" t="s">
        <v>2</v>
      </c>
      <c r="H1" s="106" t="s">
        <v>3</v>
      </c>
      <c r="I1" s="113"/>
      <c r="J1" s="107" t="s">
        <v>48</v>
      </c>
      <c r="K1" s="106"/>
      <c r="L1" s="106"/>
      <c r="M1" s="137"/>
    </row>
    <row r="2" spans="1:21" s="34" customFormat="1" ht="12.75" x14ac:dyDescent="0.2">
      <c r="A2" s="143"/>
      <c r="B2" s="144"/>
      <c r="C2" s="200">
        <v>46112</v>
      </c>
      <c r="D2" s="67"/>
      <c r="E2" s="67"/>
      <c r="F2" s="67"/>
      <c r="G2" s="68"/>
      <c r="H2" s="69" t="s">
        <v>35</v>
      </c>
      <c r="I2" s="114"/>
      <c r="J2" s="70" t="s">
        <v>4</v>
      </c>
      <c r="K2" s="71"/>
      <c r="L2" s="71"/>
      <c r="M2" s="138"/>
      <c r="N2" s="33"/>
      <c r="O2" s="33"/>
      <c r="P2" s="33"/>
      <c r="Q2" s="33"/>
      <c r="R2" s="33"/>
      <c r="S2" s="33"/>
      <c r="T2" s="33"/>
      <c r="U2" s="33"/>
    </row>
    <row r="3" spans="1:21" s="1" customFormat="1" ht="12.75" x14ac:dyDescent="0.2">
      <c r="A3" s="145"/>
      <c r="B3" s="146"/>
      <c r="C3" s="72"/>
      <c r="D3" s="73"/>
      <c r="E3" s="73"/>
      <c r="F3" s="93"/>
      <c r="G3" s="66"/>
      <c r="H3" s="75"/>
      <c r="I3" s="114"/>
      <c r="J3" s="77"/>
      <c r="K3" s="75"/>
      <c r="L3" s="75"/>
      <c r="M3" s="137"/>
      <c r="N3" s="22"/>
      <c r="O3" s="22"/>
      <c r="P3" s="22"/>
      <c r="Q3" s="22"/>
      <c r="R3" s="22"/>
      <c r="S3" s="22"/>
      <c r="T3" s="22"/>
      <c r="U3" s="22"/>
    </row>
    <row r="4" spans="1:21" x14ac:dyDescent="0.2">
      <c r="A4" s="147"/>
      <c r="B4" s="148"/>
      <c r="C4" s="78"/>
      <c r="D4" s="74"/>
      <c r="E4" s="74"/>
      <c r="F4" s="94"/>
      <c r="G4" s="66"/>
      <c r="H4" s="76"/>
      <c r="I4" s="114"/>
      <c r="J4" s="79"/>
      <c r="K4" s="76"/>
      <c r="L4" s="76"/>
      <c r="M4" s="137"/>
    </row>
    <row r="5" spans="1:21" ht="12.75" x14ac:dyDescent="0.2">
      <c r="A5" s="147"/>
      <c r="B5" s="149"/>
      <c r="C5" s="80"/>
      <c r="D5" s="74"/>
      <c r="E5" s="74"/>
      <c r="F5" s="94"/>
      <c r="G5" s="66"/>
      <c r="H5" s="76"/>
      <c r="I5" s="114"/>
      <c r="J5" s="79"/>
      <c r="K5" s="76"/>
      <c r="L5" s="76"/>
      <c r="M5" s="137"/>
    </row>
    <row r="6" spans="1:21" s="2" customFormat="1" x14ac:dyDescent="0.2">
      <c r="A6" s="150" t="s">
        <v>1</v>
      </c>
      <c r="B6" s="151"/>
      <c r="C6" s="81" t="s">
        <v>5</v>
      </c>
      <c r="D6" s="74" t="s">
        <v>26</v>
      </c>
      <c r="E6" s="74"/>
      <c r="F6" s="94" t="s">
        <v>6</v>
      </c>
      <c r="G6" s="66"/>
      <c r="H6" s="76" t="s">
        <v>27</v>
      </c>
      <c r="I6" s="101"/>
      <c r="J6" s="79" t="s">
        <v>27</v>
      </c>
      <c r="K6" s="76"/>
      <c r="L6" s="76"/>
      <c r="M6" s="139"/>
      <c r="N6" s="131"/>
      <c r="O6" s="31"/>
      <c r="P6" s="31"/>
      <c r="Q6" s="31"/>
      <c r="R6" s="31"/>
      <c r="S6" s="31"/>
      <c r="T6" s="31"/>
      <c r="U6" s="31"/>
    </row>
    <row r="7" spans="1:21" s="3" customFormat="1" ht="12.75" x14ac:dyDescent="0.2">
      <c r="A7" s="152"/>
      <c r="B7" s="153"/>
      <c r="C7" s="82"/>
      <c r="D7" s="83"/>
      <c r="E7" s="83"/>
      <c r="F7" s="95" t="s">
        <v>7</v>
      </c>
      <c r="G7" s="89"/>
      <c r="H7" s="76" t="s">
        <v>28</v>
      </c>
      <c r="I7" s="102"/>
      <c r="J7" s="79" t="s">
        <v>28</v>
      </c>
      <c r="K7" s="76"/>
      <c r="L7" s="76"/>
      <c r="M7" s="140"/>
      <c r="N7" s="132"/>
      <c r="O7" s="32"/>
      <c r="P7" s="32"/>
      <c r="Q7" s="32"/>
      <c r="R7" s="32"/>
      <c r="S7" s="32"/>
      <c r="T7" s="32"/>
      <c r="U7" s="32"/>
    </row>
    <row r="8" spans="1:21" s="6" customFormat="1" ht="3" customHeight="1" x14ac:dyDescent="0.2">
      <c r="A8" s="154"/>
      <c r="B8" s="155"/>
      <c r="C8" s="27"/>
      <c r="D8" s="4"/>
      <c r="E8" s="4"/>
      <c r="F8" s="96"/>
      <c r="G8" s="90"/>
      <c r="H8" s="5"/>
      <c r="I8" s="115"/>
      <c r="J8" s="45"/>
      <c r="K8" s="5"/>
      <c r="L8" s="5"/>
      <c r="M8" s="137"/>
      <c r="N8" s="22"/>
      <c r="O8" s="22"/>
      <c r="P8" s="22"/>
      <c r="Q8" s="22"/>
      <c r="R8" s="22"/>
      <c r="S8" s="22"/>
      <c r="T8" s="22"/>
      <c r="U8" s="22"/>
    </row>
    <row r="9" spans="1:21" x14ac:dyDescent="0.2">
      <c r="A9" s="156"/>
      <c r="B9" s="157"/>
      <c r="C9" s="13"/>
      <c r="D9" s="7"/>
      <c r="E9" s="7"/>
      <c r="F9" s="97"/>
      <c r="G9" s="62"/>
      <c r="H9" s="8"/>
      <c r="I9" s="115"/>
      <c r="J9" s="46"/>
      <c r="K9" s="8"/>
      <c r="L9" s="8"/>
      <c r="M9" s="137"/>
    </row>
    <row r="10" spans="1:21" x14ac:dyDescent="0.2">
      <c r="A10" s="156"/>
      <c r="B10" s="157"/>
      <c r="C10" s="57" t="s">
        <v>33</v>
      </c>
      <c r="D10" s="7"/>
      <c r="E10" s="7"/>
      <c r="F10" s="97"/>
      <c r="G10" s="12"/>
      <c r="H10" s="9"/>
      <c r="I10" s="115"/>
      <c r="J10" s="47"/>
      <c r="K10" s="9"/>
      <c r="L10" s="9"/>
      <c r="M10" s="137"/>
    </row>
    <row r="11" spans="1:21" x14ac:dyDescent="0.2">
      <c r="A11" s="147" t="s">
        <v>8</v>
      </c>
      <c r="B11" s="158" t="s">
        <v>8</v>
      </c>
      <c r="C11" s="84" t="s">
        <v>21</v>
      </c>
      <c r="D11" s="7"/>
      <c r="E11" s="7"/>
      <c r="F11" s="97" t="s">
        <v>9</v>
      </c>
      <c r="G11" s="12"/>
      <c r="H11" s="10"/>
      <c r="I11" s="116"/>
      <c r="J11" s="46" t="s">
        <v>0</v>
      </c>
      <c r="K11" s="8"/>
      <c r="L11" s="8"/>
      <c r="M11" s="137"/>
    </row>
    <row r="12" spans="1:21" x14ac:dyDescent="0.2">
      <c r="A12" s="156"/>
      <c r="B12" s="157"/>
      <c r="C12" s="25"/>
      <c r="D12" s="7"/>
      <c r="E12" s="7"/>
      <c r="F12" s="97"/>
      <c r="G12" s="12"/>
      <c r="H12" s="11"/>
      <c r="I12" s="116"/>
      <c r="J12" s="48"/>
      <c r="K12" s="11"/>
      <c r="L12" s="11"/>
      <c r="M12" s="137"/>
    </row>
    <row r="13" spans="1:21" x14ac:dyDescent="0.2">
      <c r="A13" s="159" t="str">
        <f>+A11</f>
        <v>A</v>
      </c>
      <c r="B13" s="160" t="str">
        <f>IF(OR(CODE(B11)=72,CODE(B11)=78),CHAR(CODE(B11)+2),CHAR(CODE(B11)+1))</f>
        <v>B</v>
      </c>
      <c r="C13" s="84" t="s">
        <v>24</v>
      </c>
      <c r="D13" s="7"/>
      <c r="E13" s="7"/>
      <c r="F13" s="97" t="s">
        <v>9</v>
      </c>
      <c r="G13" s="12"/>
      <c r="H13" s="10"/>
      <c r="I13" s="116"/>
      <c r="J13" s="46" t="s">
        <v>0</v>
      </c>
      <c r="K13" s="8"/>
      <c r="L13" s="8"/>
      <c r="M13" s="137"/>
    </row>
    <row r="14" spans="1:21" x14ac:dyDescent="0.2">
      <c r="A14" s="156"/>
      <c r="B14" s="157"/>
      <c r="C14" s="13"/>
      <c r="D14" s="7"/>
      <c r="E14" s="7"/>
      <c r="F14" s="97"/>
      <c r="G14" s="62"/>
      <c r="H14" s="8"/>
      <c r="I14" s="115"/>
      <c r="J14" s="46"/>
      <c r="K14" s="8"/>
      <c r="L14" s="8"/>
      <c r="M14" s="137"/>
    </row>
    <row r="15" spans="1:21" x14ac:dyDescent="0.2">
      <c r="A15" s="156"/>
      <c r="B15" s="157"/>
      <c r="C15" s="13"/>
      <c r="D15" s="7"/>
      <c r="E15" s="7"/>
      <c r="F15" s="97"/>
      <c r="G15" s="62"/>
      <c r="H15" s="8"/>
      <c r="I15" s="115"/>
      <c r="J15" s="46"/>
      <c r="K15" s="8"/>
      <c r="L15" s="8"/>
      <c r="M15" s="137"/>
    </row>
    <row r="16" spans="1:21" x14ac:dyDescent="0.2">
      <c r="A16" s="156"/>
      <c r="B16" s="157"/>
      <c r="C16" s="39" t="s">
        <v>34</v>
      </c>
      <c r="D16" s="7"/>
      <c r="E16" s="7"/>
      <c r="F16" s="97"/>
      <c r="G16" s="12"/>
      <c r="H16" s="9"/>
      <c r="I16" s="115"/>
      <c r="J16" s="47"/>
      <c r="K16" s="9"/>
      <c r="L16" s="9"/>
      <c r="M16" s="137"/>
    </row>
    <row r="17" spans="1:13" x14ac:dyDescent="0.2">
      <c r="A17" s="147" t="s">
        <v>10</v>
      </c>
      <c r="B17" s="158" t="s">
        <v>8</v>
      </c>
      <c r="C17" s="84" t="s">
        <v>22</v>
      </c>
      <c r="D17" s="14"/>
      <c r="E17" s="14" t="s">
        <v>11</v>
      </c>
      <c r="F17" s="97"/>
      <c r="G17" s="12"/>
      <c r="H17" s="11" t="s">
        <v>0</v>
      </c>
      <c r="I17" s="116"/>
      <c r="J17" s="49"/>
      <c r="K17" s="10"/>
      <c r="L17" s="10"/>
      <c r="M17" s="137"/>
    </row>
    <row r="18" spans="1:13" x14ac:dyDescent="0.2">
      <c r="A18" s="156"/>
      <c r="B18" s="157"/>
      <c r="C18" s="26"/>
      <c r="D18" s="14"/>
      <c r="E18" s="14" t="s">
        <v>12</v>
      </c>
      <c r="F18" s="97" t="s">
        <v>9</v>
      </c>
      <c r="G18" s="12"/>
      <c r="H18" s="11">
        <v>1</v>
      </c>
      <c r="I18" s="116"/>
      <c r="J18" s="48"/>
      <c r="K18" s="11"/>
      <c r="L18" s="11"/>
      <c r="M18" s="137"/>
    </row>
    <row r="19" spans="1:13" x14ac:dyDescent="0.2">
      <c r="A19" s="156"/>
      <c r="B19" s="157"/>
      <c r="C19" s="25"/>
      <c r="D19" s="7"/>
      <c r="E19" s="7"/>
      <c r="F19" s="97"/>
      <c r="G19" s="12"/>
      <c r="H19" s="11"/>
      <c r="I19" s="116"/>
      <c r="J19" s="48"/>
      <c r="K19" s="11"/>
      <c r="L19" s="11"/>
      <c r="M19" s="137"/>
    </row>
    <row r="20" spans="1:13" x14ac:dyDescent="0.2">
      <c r="A20" s="159" t="str">
        <f>+A17</f>
        <v>B</v>
      </c>
      <c r="B20" s="160" t="str">
        <f>IF(OR(CODE(B17)=72,CODE(B17)=78),CHAR(CODE(B17)+2),CHAR(CODE(B17)+1))</f>
        <v>B</v>
      </c>
      <c r="C20" s="26" t="s">
        <v>13</v>
      </c>
      <c r="D20" s="14"/>
      <c r="E20" s="14" t="s">
        <v>11</v>
      </c>
      <c r="F20" s="98"/>
      <c r="G20" s="62"/>
      <c r="H20" s="38" t="s">
        <v>0</v>
      </c>
      <c r="I20" s="60"/>
      <c r="J20" s="49"/>
      <c r="K20" s="10"/>
      <c r="L20" s="10"/>
      <c r="M20" s="137"/>
    </row>
    <row r="21" spans="1:13" x14ac:dyDescent="0.2">
      <c r="A21" s="156"/>
      <c r="B21" s="157"/>
      <c r="C21" s="26"/>
      <c r="D21" s="14"/>
      <c r="E21" s="14" t="s">
        <v>12</v>
      </c>
      <c r="F21" s="98" t="s">
        <v>14</v>
      </c>
      <c r="G21" s="62"/>
      <c r="H21" s="35">
        <v>1</v>
      </c>
      <c r="I21" s="61"/>
      <c r="J21" s="47"/>
      <c r="K21" s="9"/>
      <c r="L21" s="9"/>
      <c r="M21" s="137"/>
    </row>
    <row r="22" spans="1:13" x14ac:dyDescent="0.2">
      <c r="A22" s="161"/>
      <c r="B22" s="162"/>
      <c r="C22" s="26"/>
      <c r="D22" s="14"/>
      <c r="E22" s="14" t="s">
        <v>15</v>
      </c>
      <c r="F22" s="98"/>
      <c r="G22" s="62"/>
      <c r="H22" s="37" t="str">
        <f>IF(H20="NSP","NSP",SUM(H20*H21))</f>
        <v>NSP</v>
      </c>
      <c r="I22" s="58" t="e">
        <f>+#REF!</f>
        <v>#REF!</v>
      </c>
      <c r="J22" s="50"/>
      <c r="K22" s="17"/>
      <c r="L22" s="17"/>
      <c r="M22" s="137"/>
    </row>
    <row r="23" spans="1:13" x14ac:dyDescent="0.2">
      <c r="A23" s="163"/>
      <c r="B23" s="157"/>
      <c r="C23" s="25"/>
      <c r="D23" s="7"/>
      <c r="E23" s="7"/>
      <c r="F23" s="97"/>
      <c r="G23" s="12"/>
      <c r="H23" s="18"/>
      <c r="I23" s="59"/>
      <c r="J23" s="48"/>
      <c r="K23" s="11"/>
      <c r="L23" s="11"/>
      <c r="M23" s="137"/>
    </row>
    <row r="24" spans="1:13" x14ac:dyDescent="0.2">
      <c r="A24" s="159" t="str">
        <f>+A20</f>
        <v>B</v>
      </c>
      <c r="B24" s="160" t="str">
        <f>IF(OR(CODE(B20)=72,CODE(B20)=78),CHAR(CODE(B20)+2),CHAR(CODE(B20)+1))</f>
        <v>C</v>
      </c>
      <c r="C24" s="84" t="s">
        <v>23</v>
      </c>
      <c r="D24" s="14"/>
      <c r="E24" s="14" t="s">
        <v>11</v>
      </c>
      <c r="F24" s="97"/>
      <c r="G24" s="12"/>
      <c r="H24" s="11" t="s">
        <v>0</v>
      </c>
      <c r="I24" s="116"/>
      <c r="J24" s="49"/>
      <c r="K24" s="10"/>
      <c r="L24" s="10"/>
      <c r="M24" s="137"/>
    </row>
    <row r="25" spans="1:13" x14ac:dyDescent="0.2">
      <c r="A25" s="156"/>
      <c r="B25" s="157"/>
      <c r="C25" s="84" t="s">
        <v>16</v>
      </c>
      <c r="D25" s="14"/>
      <c r="E25" s="14" t="s">
        <v>12</v>
      </c>
      <c r="F25" s="97" t="s">
        <v>9</v>
      </c>
      <c r="G25" s="12"/>
      <c r="H25" s="11">
        <v>0</v>
      </c>
      <c r="I25" s="116"/>
      <c r="J25" s="48"/>
      <c r="K25" s="11"/>
      <c r="L25" s="11"/>
      <c r="M25" s="137"/>
    </row>
    <row r="26" spans="1:13" x14ac:dyDescent="0.2">
      <c r="A26" s="156"/>
      <c r="B26" s="157"/>
      <c r="C26" s="25"/>
      <c r="D26" s="7"/>
      <c r="E26" s="7"/>
      <c r="F26" s="97"/>
      <c r="G26" s="12"/>
      <c r="H26" s="11"/>
      <c r="I26" s="116"/>
      <c r="J26" s="48"/>
      <c r="K26" s="11"/>
      <c r="L26" s="11"/>
      <c r="M26" s="137"/>
    </row>
    <row r="27" spans="1:13" x14ac:dyDescent="0.2">
      <c r="A27" s="159" t="str">
        <f>+A24</f>
        <v>B</v>
      </c>
      <c r="B27" s="160" t="str">
        <f>IF(OR(CODE(B24)=72,CODE(B24)=78),CHAR(CODE(B24)+2),CHAR(CODE(B24)+1))</f>
        <v>D</v>
      </c>
      <c r="C27" s="26" t="s">
        <v>17</v>
      </c>
      <c r="D27" s="14"/>
      <c r="E27" s="14" t="s">
        <v>11</v>
      </c>
      <c r="F27" s="98"/>
      <c r="G27" s="62"/>
      <c r="H27" s="38" t="s">
        <v>0</v>
      </c>
      <c r="I27" s="60"/>
      <c r="J27" s="49"/>
      <c r="K27" s="10"/>
      <c r="L27" s="10"/>
      <c r="M27" s="137"/>
    </row>
    <row r="28" spans="1:13" x14ac:dyDescent="0.2">
      <c r="A28" s="156"/>
      <c r="B28" s="157"/>
      <c r="C28" s="26"/>
      <c r="D28" s="14"/>
      <c r="E28" s="14" t="s">
        <v>12</v>
      </c>
      <c r="F28" s="98" t="s">
        <v>14</v>
      </c>
      <c r="G28" s="62"/>
      <c r="H28" s="35">
        <v>1</v>
      </c>
      <c r="I28" s="61"/>
      <c r="J28" s="47"/>
      <c r="K28" s="9"/>
      <c r="L28" s="9"/>
      <c r="M28" s="137"/>
    </row>
    <row r="29" spans="1:13" x14ac:dyDescent="0.2">
      <c r="A29" s="161"/>
      <c r="B29" s="162"/>
      <c r="C29" s="26"/>
      <c r="D29" s="14"/>
      <c r="E29" s="14" t="s">
        <v>15</v>
      </c>
      <c r="F29" s="98"/>
      <c r="G29" s="62"/>
      <c r="H29" s="37" t="str">
        <f>IF(H27="NSP","NSP",SUM(H27*H28))</f>
        <v>NSP</v>
      </c>
      <c r="I29" s="58" t="e">
        <f>+#REF!</f>
        <v>#REF!</v>
      </c>
      <c r="J29" s="50"/>
      <c r="K29" s="17"/>
      <c r="L29" s="17"/>
      <c r="M29" s="137"/>
    </row>
    <row r="30" spans="1:13" x14ac:dyDescent="0.2">
      <c r="A30" s="164"/>
      <c r="B30" s="165"/>
      <c r="C30" s="28"/>
      <c r="D30" s="7"/>
      <c r="E30" s="7"/>
      <c r="F30" s="97"/>
      <c r="G30" s="12"/>
      <c r="H30" s="11"/>
      <c r="I30" s="116"/>
      <c r="J30" s="48"/>
      <c r="K30" s="11"/>
      <c r="L30" s="11"/>
      <c r="M30" s="137"/>
    </row>
    <row r="31" spans="1:13" x14ac:dyDescent="0.2">
      <c r="A31" s="164"/>
      <c r="B31" s="165"/>
      <c r="C31" s="28"/>
      <c r="D31" s="7"/>
      <c r="E31" s="7"/>
      <c r="F31" s="97"/>
      <c r="G31" s="12"/>
      <c r="H31" s="11"/>
      <c r="I31" s="116"/>
      <c r="J31" s="48"/>
      <c r="K31" s="11"/>
      <c r="L31" s="11"/>
      <c r="M31" s="137"/>
    </row>
    <row r="32" spans="1:13" x14ac:dyDescent="0.2">
      <c r="A32" s="156"/>
      <c r="B32" s="157"/>
      <c r="C32" s="39" t="s">
        <v>32</v>
      </c>
      <c r="D32" s="15"/>
      <c r="E32" s="15"/>
      <c r="F32" s="98"/>
      <c r="G32" s="91"/>
      <c r="H32" s="18"/>
      <c r="I32" s="61"/>
      <c r="J32" s="51"/>
      <c r="K32" s="18"/>
      <c r="L32" s="18"/>
      <c r="M32" s="137"/>
    </row>
    <row r="33" spans="1:14" x14ac:dyDescent="0.2">
      <c r="A33" s="147" t="s">
        <v>18</v>
      </c>
      <c r="B33" s="158" t="s">
        <v>8</v>
      </c>
      <c r="C33" s="26" t="s">
        <v>30</v>
      </c>
      <c r="D33" s="14"/>
      <c r="E33" s="14" t="s">
        <v>11</v>
      </c>
      <c r="F33" s="98"/>
      <c r="G33" s="62"/>
      <c r="H33" s="38">
        <v>0</v>
      </c>
      <c r="I33" s="58"/>
      <c r="J33" s="52">
        <v>0</v>
      </c>
      <c r="K33" s="43"/>
      <c r="L33" s="43"/>
      <c r="M33" s="137"/>
    </row>
    <row r="34" spans="1:14" x14ac:dyDescent="0.2">
      <c r="A34" s="156"/>
      <c r="B34" s="157"/>
      <c r="C34" s="26" t="s">
        <v>2</v>
      </c>
      <c r="D34" s="14"/>
      <c r="E34" s="14" t="s">
        <v>12</v>
      </c>
      <c r="F34" s="98" t="s">
        <v>14</v>
      </c>
      <c r="G34" s="62"/>
      <c r="H34" s="35">
        <v>0</v>
      </c>
      <c r="I34" s="59"/>
      <c r="J34" s="65">
        <v>10000</v>
      </c>
      <c r="K34" s="35"/>
      <c r="L34" s="35"/>
      <c r="M34" s="137"/>
    </row>
    <row r="35" spans="1:14" x14ac:dyDescent="0.2">
      <c r="A35" s="156"/>
      <c r="B35" s="157"/>
      <c r="C35" s="26"/>
      <c r="D35" s="14"/>
      <c r="E35" s="14" t="s">
        <v>15</v>
      </c>
      <c r="F35" s="98"/>
      <c r="G35" s="62"/>
      <c r="H35" s="37">
        <f>IF(H33="NSP","NSP",SUM(H33*H34))</f>
        <v>0</v>
      </c>
      <c r="I35" s="58" t="e">
        <f>+#REF!</f>
        <v>#REF!</v>
      </c>
      <c r="J35" s="53">
        <f>IF(J33="NSP","NSP",SUM(J33*J34))</f>
        <v>0</v>
      </c>
      <c r="K35" s="37">
        <f>J35</f>
        <v>0</v>
      </c>
      <c r="L35" s="37"/>
      <c r="M35" s="137"/>
    </row>
    <row r="36" spans="1:14" x14ac:dyDescent="0.2">
      <c r="A36" s="164"/>
      <c r="B36" s="165"/>
      <c r="C36" s="28"/>
      <c r="D36" s="7"/>
      <c r="E36" s="7"/>
      <c r="F36" s="97"/>
      <c r="G36" s="12"/>
      <c r="H36" s="11"/>
      <c r="I36" s="60"/>
      <c r="J36" s="48"/>
      <c r="K36" s="11"/>
      <c r="L36" s="11"/>
      <c r="M36" s="137"/>
    </row>
    <row r="37" spans="1:14" x14ac:dyDescent="0.2">
      <c r="A37" s="156"/>
      <c r="B37" s="157"/>
      <c r="C37" s="39" t="s">
        <v>41</v>
      </c>
      <c r="D37" s="15"/>
      <c r="E37" s="15"/>
      <c r="F37" s="98"/>
      <c r="G37" s="91"/>
      <c r="H37" s="63"/>
      <c r="I37" s="59"/>
      <c r="J37" s="51" t="s">
        <v>2</v>
      </c>
      <c r="K37" s="18"/>
      <c r="L37" s="18"/>
      <c r="M37" s="137"/>
    </row>
    <row r="38" spans="1:14" x14ac:dyDescent="0.2">
      <c r="A38" s="159" t="s">
        <v>19</v>
      </c>
      <c r="B38" s="160" t="s">
        <v>8</v>
      </c>
      <c r="C38" s="178" t="s">
        <v>42</v>
      </c>
      <c r="D38" s="14"/>
      <c r="E38" s="14" t="s">
        <v>11</v>
      </c>
      <c r="F38" s="98"/>
      <c r="G38" s="62"/>
      <c r="H38" s="38">
        <v>0</v>
      </c>
      <c r="I38" s="59"/>
      <c r="J38" s="52">
        <v>0</v>
      </c>
      <c r="K38" s="43"/>
      <c r="L38" s="43"/>
      <c r="M38" s="137"/>
    </row>
    <row r="39" spans="1:14" x14ac:dyDescent="0.2">
      <c r="A39" s="156"/>
      <c r="B39" s="157"/>
      <c r="C39" s="178" t="s">
        <v>2</v>
      </c>
      <c r="D39" s="14"/>
      <c r="E39" s="14" t="s">
        <v>12</v>
      </c>
      <c r="F39" s="98" t="s">
        <v>14</v>
      </c>
      <c r="G39" s="62"/>
      <c r="H39" s="35">
        <v>0</v>
      </c>
      <c r="I39" s="60"/>
      <c r="J39" s="65">
        <v>4</v>
      </c>
      <c r="K39" s="64"/>
      <c r="L39" s="64"/>
      <c r="M39" s="137"/>
    </row>
    <row r="40" spans="1:14" x14ac:dyDescent="0.2">
      <c r="A40" s="156"/>
      <c r="B40" s="157"/>
      <c r="C40" s="178"/>
      <c r="D40" s="14"/>
      <c r="E40" s="14"/>
      <c r="F40" s="98"/>
      <c r="G40" s="62"/>
      <c r="H40" s="37">
        <f>IF(H38="NSP","NSP",SUM(H38*H39))</f>
        <v>0</v>
      </c>
      <c r="I40" s="59"/>
      <c r="J40" s="53">
        <f>SUM(J38*J39)</f>
        <v>0</v>
      </c>
      <c r="K40" s="37">
        <f>J40</f>
        <v>0</v>
      </c>
      <c r="L40" s="37"/>
      <c r="M40" s="137"/>
    </row>
    <row r="41" spans="1:14" x14ac:dyDescent="0.2">
      <c r="A41" s="156"/>
      <c r="B41" s="157"/>
      <c r="C41" s="25"/>
      <c r="D41" s="14"/>
      <c r="E41" s="14"/>
      <c r="F41" s="98"/>
      <c r="G41" s="62"/>
      <c r="H41" s="36"/>
      <c r="I41" s="59"/>
      <c r="J41" s="54"/>
      <c r="K41" s="16"/>
      <c r="L41" s="16"/>
      <c r="M41" s="137"/>
    </row>
    <row r="42" spans="1:14" x14ac:dyDescent="0.2">
      <c r="A42" s="156"/>
      <c r="B42" s="157"/>
      <c r="C42" s="39" t="s">
        <v>25</v>
      </c>
      <c r="D42" s="14"/>
      <c r="E42" s="14"/>
      <c r="F42" s="98"/>
      <c r="G42" s="62"/>
      <c r="H42" s="36"/>
      <c r="I42" s="129"/>
      <c r="J42" s="128"/>
      <c r="K42" s="129"/>
      <c r="L42" s="129"/>
      <c r="M42" s="137"/>
    </row>
    <row r="43" spans="1:14" x14ac:dyDescent="0.2">
      <c r="A43" s="159" t="s">
        <v>19</v>
      </c>
      <c r="B43" s="160" t="s">
        <v>10</v>
      </c>
      <c r="C43" s="26" t="s">
        <v>2</v>
      </c>
      <c r="D43" s="14"/>
      <c r="E43" s="14" t="s">
        <v>11</v>
      </c>
      <c r="F43" s="98"/>
      <c r="G43" s="62"/>
      <c r="H43" s="38">
        <v>0</v>
      </c>
      <c r="I43" s="59"/>
      <c r="J43" s="52">
        <v>0</v>
      </c>
      <c r="K43" s="43"/>
      <c r="L43" s="43"/>
      <c r="M43" s="137"/>
      <c r="N43" s="33"/>
    </row>
    <row r="44" spans="1:14" x14ac:dyDescent="0.2">
      <c r="A44" s="156"/>
      <c r="B44" s="157"/>
      <c r="C44" s="26"/>
      <c r="D44" s="14"/>
      <c r="E44" s="14" t="s">
        <v>12</v>
      </c>
      <c r="F44" s="98" t="s">
        <v>14</v>
      </c>
      <c r="G44" s="62"/>
      <c r="H44" s="35">
        <v>0</v>
      </c>
      <c r="I44" s="60"/>
      <c r="J44" s="65">
        <v>0</v>
      </c>
      <c r="K44" s="64"/>
      <c r="L44" s="64"/>
      <c r="M44" s="137"/>
    </row>
    <row r="45" spans="1:14" x14ac:dyDescent="0.2">
      <c r="A45" s="156"/>
      <c r="B45" s="157"/>
      <c r="C45" s="26"/>
      <c r="D45" s="14"/>
      <c r="E45" s="14" t="s">
        <v>15</v>
      </c>
      <c r="F45" s="98"/>
      <c r="G45" s="62"/>
      <c r="H45" s="37">
        <f>SUM(H43*H44)</f>
        <v>0</v>
      </c>
      <c r="I45" s="61"/>
      <c r="J45" s="53">
        <f>SUM(J43*J44)</f>
        <v>0</v>
      </c>
      <c r="K45" s="37"/>
      <c r="L45" s="37">
        <f>J45</f>
        <v>0</v>
      </c>
      <c r="M45" s="137"/>
    </row>
    <row r="46" spans="1:14" x14ac:dyDescent="0.2">
      <c r="A46" s="156"/>
      <c r="B46" s="157"/>
      <c r="C46" s="25"/>
      <c r="D46" s="14"/>
      <c r="E46" s="14"/>
      <c r="F46" s="98"/>
      <c r="G46" s="62"/>
      <c r="H46" s="11"/>
      <c r="I46" s="58"/>
      <c r="J46" s="54"/>
      <c r="K46" s="16"/>
      <c r="L46" s="16"/>
      <c r="M46" s="137"/>
    </row>
    <row r="47" spans="1:14" x14ac:dyDescent="0.2">
      <c r="A47" s="159" t="s">
        <v>19</v>
      </c>
      <c r="B47" s="160" t="s">
        <v>18</v>
      </c>
      <c r="C47" s="26" t="s">
        <v>2</v>
      </c>
      <c r="D47" s="14"/>
      <c r="E47" s="14" t="s">
        <v>11</v>
      </c>
      <c r="F47" s="98"/>
      <c r="G47" s="62"/>
      <c r="H47" s="38">
        <v>0</v>
      </c>
      <c r="I47" s="59"/>
      <c r="J47" s="52">
        <v>0</v>
      </c>
      <c r="K47" s="43"/>
      <c r="L47" s="43"/>
      <c r="M47" s="137"/>
      <c r="N47" s="33"/>
    </row>
    <row r="48" spans="1:14" x14ac:dyDescent="0.2">
      <c r="A48" s="156"/>
      <c r="B48" s="157"/>
      <c r="C48" s="26"/>
      <c r="D48" s="14"/>
      <c r="E48" s="14" t="s">
        <v>12</v>
      </c>
      <c r="F48" s="98" t="s">
        <v>14</v>
      </c>
      <c r="G48" s="62"/>
      <c r="H48" s="35">
        <v>0</v>
      </c>
      <c r="I48" s="60"/>
      <c r="J48" s="65">
        <v>0</v>
      </c>
      <c r="K48" s="64"/>
      <c r="L48" s="64"/>
      <c r="M48" s="137"/>
    </row>
    <row r="49" spans="1:14" x14ac:dyDescent="0.2">
      <c r="A49" s="156"/>
      <c r="B49" s="157"/>
      <c r="C49" s="26"/>
      <c r="D49" s="14"/>
      <c r="E49" s="14" t="s">
        <v>15</v>
      </c>
      <c r="F49" s="98"/>
      <c r="G49" s="62"/>
      <c r="H49" s="37">
        <f>SUM(H47*H48)</f>
        <v>0</v>
      </c>
      <c r="I49" s="61"/>
      <c r="J49" s="53">
        <f>SUM(J47*J48)</f>
        <v>0</v>
      </c>
      <c r="K49" s="37"/>
      <c r="L49" s="37">
        <f>J49</f>
        <v>0</v>
      </c>
      <c r="M49" s="137"/>
    </row>
    <row r="50" spans="1:14" x14ac:dyDescent="0.2">
      <c r="A50" s="156"/>
      <c r="B50" s="157"/>
      <c r="C50" s="25"/>
      <c r="D50" s="14"/>
      <c r="E50" s="14"/>
      <c r="F50" s="98"/>
      <c r="G50" s="62"/>
      <c r="H50" s="11"/>
      <c r="I50" s="58"/>
      <c r="J50" s="54"/>
      <c r="K50" s="16"/>
      <c r="L50" s="16"/>
      <c r="M50" s="137"/>
    </row>
    <row r="51" spans="1:14" x14ac:dyDescent="0.2">
      <c r="A51" s="159" t="s">
        <v>19</v>
      </c>
      <c r="B51" s="160" t="s">
        <v>19</v>
      </c>
      <c r="C51" s="26" t="s">
        <v>2</v>
      </c>
      <c r="D51" s="14"/>
      <c r="E51" s="14" t="s">
        <v>11</v>
      </c>
      <c r="F51" s="98"/>
      <c r="G51" s="62"/>
      <c r="H51" s="38">
        <v>0</v>
      </c>
      <c r="I51" s="59"/>
      <c r="J51" s="52">
        <v>0</v>
      </c>
      <c r="K51" s="43"/>
      <c r="L51" s="43"/>
      <c r="M51" s="137"/>
      <c r="N51" s="33"/>
    </row>
    <row r="52" spans="1:14" x14ac:dyDescent="0.2">
      <c r="A52" s="156"/>
      <c r="B52" s="157"/>
      <c r="C52" s="26"/>
      <c r="D52" s="14"/>
      <c r="E52" s="14" t="s">
        <v>12</v>
      </c>
      <c r="F52" s="98" t="s">
        <v>14</v>
      </c>
      <c r="G52" s="62"/>
      <c r="H52" s="35">
        <v>0</v>
      </c>
      <c r="I52" s="60"/>
      <c r="J52" s="65">
        <v>0</v>
      </c>
      <c r="K52" s="64"/>
      <c r="L52" s="64"/>
      <c r="M52" s="137"/>
    </row>
    <row r="53" spans="1:14" x14ac:dyDescent="0.2">
      <c r="A53" s="156"/>
      <c r="B53" s="157"/>
      <c r="C53" s="26"/>
      <c r="D53" s="14"/>
      <c r="E53" s="14" t="s">
        <v>15</v>
      </c>
      <c r="F53" s="98"/>
      <c r="G53" s="62"/>
      <c r="H53" s="37">
        <f>SUM(H51*H52)</f>
        <v>0</v>
      </c>
      <c r="I53" s="61"/>
      <c r="J53" s="53">
        <f>SUM(J51*J52)</f>
        <v>0</v>
      </c>
      <c r="K53" s="37"/>
      <c r="L53" s="37">
        <f>J53</f>
        <v>0</v>
      </c>
      <c r="M53" s="137"/>
    </row>
    <row r="54" spans="1:14" x14ac:dyDescent="0.2">
      <c r="A54" s="156"/>
      <c r="B54" s="157"/>
      <c r="C54" s="25"/>
      <c r="D54" s="14"/>
      <c r="E54" s="14"/>
      <c r="F54" s="98"/>
      <c r="G54" s="62"/>
      <c r="H54" s="11"/>
      <c r="I54" s="58"/>
      <c r="J54" s="54"/>
      <c r="K54" s="16"/>
      <c r="L54" s="16"/>
      <c r="M54" s="137"/>
    </row>
    <row r="55" spans="1:14" x14ac:dyDescent="0.2">
      <c r="A55" s="159" t="s">
        <v>19</v>
      </c>
      <c r="B55" s="160" t="s">
        <v>31</v>
      </c>
      <c r="C55" s="26" t="s">
        <v>2</v>
      </c>
      <c r="D55" s="14"/>
      <c r="E55" s="14" t="s">
        <v>11</v>
      </c>
      <c r="F55" s="98"/>
      <c r="G55" s="62"/>
      <c r="H55" s="38">
        <v>0</v>
      </c>
      <c r="I55" s="59"/>
      <c r="J55" s="52">
        <v>0</v>
      </c>
      <c r="K55" s="43"/>
      <c r="L55" s="43"/>
      <c r="M55" s="137"/>
      <c r="N55" s="33"/>
    </row>
    <row r="56" spans="1:14" x14ac:dyDescent="0.2">
      <c r="A56" s="156"/>
      <c r="B56" s="157"/>
      <c r="C56" s="26"/>
      <c r="D56" s="14"/>
      <c r="E56" s="14" t="s">
        <v>12</v>
      </c>
      <c r="F56" s="98" t="s">
        <v>14</v>
      </c>
      <c r="G56" s="62"/>
      <c r="H56" s="35">
        <v>0</v>
      </c>
      <c r="I56" s="60"/>
      <c r="J56" s="65">
        <v>0</v>
      </c>
      <c r="K56" s="64"/>
      <c r="L56" s="64"/>
      <c r="M56" s="137"/>
    </row>
    <row r="57" spans="1:14" x14ac:dyDescent="0.2">
      <c r="A57" s="156"/>
      <c r="B57" s="157"/>
      <c r="C57" s="26"/>
      <c r="D57" s="14"/>
      <c r="E57" s="14" t="s">
        <v>15</v>
      </c>
      <c r="F57" s="98"/>
      <c r="G57" s="62"/>
      <c r="H57" s="37">
        <f>SUM(H55*H56)</f>
        <v>0</v>
      </c>
      <c r="I57" s="61"/>
      <c r="J57" s="53">
        <f>SUM(J55*J56)</f>
        <v>0</v>
      </c>
      <c r="K57" s="37"/>
      <c r="L57" s="37">
        <f>J57</f>
        <v>0</v>
      </c>
      <c r="M57" s="137"/>
    </row>
    <row r="58" spans="1:14" x14ac:dyDescent="0.2">
      <c r="A58" s="156"/>
      <c r="B58" s="157"/>
      <c r="C58" s="179"/>
      <c r="D58" s="14"/>
      <c r="E58" s="14"/>
      <c r="F58" s="98"/>
      <c r="G58" s="62"/>
      <c r="H58" s="37"/>
      <c r="I58" s="61"/>
      <c r="J58" s="53"/>
      <c r="K58" s="37"/>
      <c r="L58" s="37"/>
      <c r="M58" s="137"/>
    </row>
    <row r="59" spans="1:14" x14ac:dyDescent="0.2">
      <c r="A59" s="164"/>
      <c r="B59" s="165"/>
      <c r="C59" s="28"/>
      <c r="D59" s="7"/>
      <c r="E59" s="7"/>
      <c r="F59" s="97"/>
      <c r="G59" s="12"/>
      <c r="H59" s="11"/>
      <c r="I59" s="61"/>
      <c r="J59" s="48"/>
      <c r="K59" s="11"/>
      <c r="L59" s="11"/>
      <c r="M59" s="137"/>
    </row>
    <row r="60" spans="1:14" x14ac:dyDescent="0.2">
      <c r="A60" s="156"/>
      <c r="B60" s="157"/>
      <c r="C60" s="39" t="s">
        <v>43</v>
      </c>
      <c r="D60" s="15"/>
      <c r="E60" s="15"/>
      <c r="F60" s="98"/>
      <c r="G60" s="91"/>
      <c r="H60" s="63"/>
      <c r="I60" s="59"/>
      <c r="J60" s="51" t="s">
        <v>2</v>
      </c>
      <c r="K60" s="18"/>
      <c r="L60" s="18"/>
      <c r="M60" s="137"/>
    </row>
    <row r="61" spans="1:14" x14ac:dyDescent="0.2">
      <c r="A61" s="159" t="s">
        <v>31</v>
      </c>
      <c r="B61" s="160" t="s">
        <v>8</v>
      </c>
      <c r="C61" s="178" t="s">
        <v>40</v>
      </c>
      <c r="D61" s="14"/>
      <c r="E61" s="14" t="s">
        <v>11</v>
      </c>
      <c r="F61" s="98"/>
      <c r="G61" s="62"/>
      <c r="H61" s="38">
        <v>0</v>
      </c>
      <c r="I61" s="59"/>
      <c r="J61" s="52">
        <v>0</v>
      </c>
      <c r="K61" s="43"/>
      <c r="L61" s="43"/>
      <c r="M61" s="137"/>
    </row>
    <row r="62" spans="1:14" x14ac:dyDescent="0.2">
      <c r="A62" s="156"/>
      <c r="B62" s="157"/>
      <c r="C62" s="178" t="s">
        <v>2</v>
      </c>
      <c r="D62" s="14"/>
      <c r="E62" s="14" t="s">
        <v>12</v>
      </c>
      <c r="F62" s="98" t="s">
        <v>14</v>
      </c>
      <c r="G62" s="62"/>
      <c r="H62" s="35">
        <v>0</v>
      </c>
      <c r="I62" s="60"/>
      <c r="J62" s="65">
        <v>2</v>
      </c>
      <c r="K62" s="64"/>
      <c r="L62" s="64"/>
      <c r="M62" s="137"/>
    </row>
    <row r="63" spans="1:14" x14ac:dyDescent="0.2">
      <c r="A63" s="156"/>
      <c r="B63" s="157"/>
      <c r="C63" s="178"/>
      <c r="D63" s="14"/>
      <c r="E63" s="14"/>
      <c r="F63" s="98"/>
      <c r="G63" s="62"/>
      <c r="H63" s="37">
        <f>IF(H61="NSP","NSP",SUM(H61*H62))</f>
        <v>0</v>
      </c>
      <c r="I63" s="59"/>
      <c r="J63" s="53">
        <f>SUM(J61*J62)</f>
        <v>0</v>
      </c>
      <c r="K63" s="37">
        <f>J63</f>
        <v>0</v>
      </c>
      <c r="L63" s="37"/>
      <c r="M63" s="137"/>
    </row>
    <row r="64" spans="1:14" x14ac:dyDescent="0.2">
      <c r="A64" s="156"/>
      <c r="B64" s="157"/>
      <c r="C64" s="25"/>
      <c r="D64" s="14"/>
      <c r="E64" s="14"/>
      <c r="F64" s="98"/>
      <c r="G64" s="62"/>
      <c r="H64" s="36"/>
      <c r="I64" s="59"/>
      <c r="J64" s="54"/>
      <c r="K64" s="16"/>
      <c r="L64" s="16"/>
      <c r="M64" s="137"/>
    </row>
    <row r="65" spans="1:14" x14ac:dyDescent="0.2">
      <c r="A65" s="159" t="s">
        <v>31</v>
      </c>
      <c r="B65" s="160" t="s">
        <v>10</v>
      </c>
      <c r="C65" s="178" t="s">
        <v>44</v>
      </c>
      <c r="D65" s="14"/>
      <c r="E65" s="14" t="s">
        <v>11</v>
      </c>
      <c r="F65" s="98"/>
      <c r="G65" s="62"/>
      <c r="H65" s="38">
        <v>0</v>
      </c>
      <c r="I65" s="59"/>
      <c r="J65" s="52">
        <v>0</v>
      </c>
      <c r="K65" s="43"/>
      <c r="L65" s="43"/>
      <c r="M65" s="137"/>
    </row>
    <row r="66" spans="1:14" x14ac:dyDescent="0.2">
      <c r="A66" s="156"/>
      <c r="B66" s="157"/>
      <c r="C66" s="178" t="s">
        <v>2</v>
      </c>
      <c r="D66" s="14"/>
      <c r="E66" s="14" t="s">
        <v>12</v>
      </c>
      <c r="F66" s="98" t="s">
        <v>14</v>
      </c>
      <c r="G66" s="62"/>
      <c r="H66" s="35">
        <v>0</v>
      </c>
      <c r="I66" s="60"/>
      <c r="J66" s="65">
        <v>2</v>
      </c>
      <c r="K66" s="64"/>
      <c r="L66" s="64"/>
      <c r="M66" s="137"/>
    </row>
    <row r="67" spans="1:14" x14ac:dyDescent="0.2">
      <c r="A67" s="156"/>
      <c r="B67" s="157"/>
      <c r="C67" s="178"/>
      <c r="D67" s="14"/>
      <c r="E67" s="14"/>
      <c r="F67" s="98"/>
      <c r="G67" s="62"/>
      <c r="H67" s="37">
        <f>IF(H65="NSP","NSP",SUM(H65*H66))</f>
        <v>0</v>
      </c>
      <c r="I67" s="59"/>
      <c r="J67" s="53">
        <f>SUM(J65*J66)</f>
        <v>0</v>
      </c>
      <c r="K67" s="37">
        <f>J67</f>
        <v>0</v>
      </c>
      <c r="L67" s="37"/>
      <c r="M67" s="137"/>
    </row>
    <row r="68" spans="1:14" x14ac:dyDescent="0.2">
      <c r="A68" s="156"/>
      <c r="B68" s="157"/>
      <c r="C68" s="25"/>
      <c r="D68" s="14"/>
      <c r="E68" s="14"/>
      <c r="F68" s="98"/>
      <c r="G68" s="62"/>
      <c r="H68" s="36"/>
      <c r="I68" s="59"/>
      <c r="J68" s="54"/>
      <c r="K68" s="16"/>
      <c r="L68" s="16"/>
      <c r="M68" s="137"/>
    </row>
    <row r="69" spans="1:14" x14ac:dyDescent="0.2">
      <c r="A69" s="156"/>
      <c r="B69" s="157"/>
      <c r="C69" s="39" t="s">
        <v>25</v>
      </c>
      <c r="D69" s="14"/>
      <c r="E69" s="14"/>
      <c r="F69" s="98"/>
      <c r="G69" s="62"/>
      <c r="H69" s="36"/>
      <c r="I69" s="129"/>
      <c r="J69" s="128"/>
      <c r="K69" s="129"/>
      <c r="L69" s="129"/>
      <c r="M69" s="137"/>
    </row>
    <row r="70" spans="1:14" x14ac:dyDescent="0.2">
      <c r="A70" s="159" t="s">
        <v>31</v>
      </c>
      <c r="B70" s="160" t="s">
        <v>18</v>
      </c>
      <c r="C70" s="26" t="s">
        <v>2</v>
      </c>
      <c r="D70" s="14"/>
      <c r="E70" s="14" t="s">
        <v>11</v>
      </c>
      <c r="F70" s="98"/>
      <c r="G70" s="62"/>
      <c r="H70" s="38">
        <v>0</v>
      </c>
      <c r="I70" s="59"/>
      <c r="J70" s="52">
        <v>0</v>
      </c>
      <c r="K70" s="43"/>
      <c r="L70" s="43"/>
      <c r="M70" s="137"/>
      <c r="N70" s="33"/>
    </row>
    <row r="71" spans="1:14" x14ac:dyDescent="0.2">
      <c r="A71" s="156"/>
      <c r="B71" s="157"/>
      <c r="C71" s="26"/>
      <c r="D71" s="14"/>
      <c r="E71" s="14" t="s">
        <v>12</v>
      </c>
      <c r="F71" s="98" t="s">
        <v>14</v>
      </c>
      <c r="G71" s="62"/>
      <c r="H71" s="35">
        <v>0</v>
      </c>
      <c r="I71" s="60"/>
      <c r="J71" s="65">
        <v>0</v>
      </c>
      <c r="K71" s="64"/>
      <c r="L71" s="64"/>
      <c r="M71" s="137"/>
    </row>
    <row r="72" spans="1:14" x14ac:dyDescent="0.2">
      <c r="A72" s="156"/>
      <c r="B72" s="157"/>
      <c r="C72" s="26"/>
      <c r="D72" s="14"/>
      <c r="E72" s="14" t="s">
        <v>15</v>
      </c>
      <c r="F72" s="98"/>
      <c r="G72" s="62"/>
      <c r="H72" s="37">
        <f>SUM(H70*H71)</f>
        <v>0</v>
      </c>
      <c r="I72" s="61"/>
      <c r="J72" s="53">
        <f>SUM(J70*J71)</f>
        <v>0</v>
      </c>
      <c r="K72" s="37"/>
      <c r="L72" s="37">
        <f>J72</f>
        <v>0</v>
      </c>
      <c r="M72" s="137"/>
    </row>
    <row r="73" spans="1:14" x14ac:dyDescent="0.2">
      <c r="A73" s="156"/>
      <c r="B73" s="157"/>
      <c r="C73" s="25"/>
      <c r="D73" s="14"/>
      <c r="E73" s="14"/>
      <c r="F73" s="98"/>
      <c r="G73" s="62"/>
      <c r="H73" s="11"/>
      <c r="I73" s="58"/>
      <c r="J73" s="54"/>
      <c r="K73" s="16"/>
      <c r="L73" s="16"/>
      <c r="M73" s="137"/>
    </row>
    <row r="74" spans="1:14" x14ac:dyDescent="0.2">
      <c r="A74" s="159" t="s">
        <v>31</v>
      </c>
      <c r="B74" s="160" t="s">
        <v>19</v>
      </c>
      <c r="C74" s="26" t="s">
        <v>2</v>
      </c>
      <c r="D74" s="14"/>
      <c r="E74" s="14" t="s">
        <v>11</v>
      </c>
      <c r="F74" s="98"/>
      <c r="G74" s="62"/>
      <c r="H74" s="38">
        <v>0</v>
      </c>
      <c r="I74" s="59"/>
      <c r="J74" s="52">
        <v>0</v>
      </c>
      <c r="K74" s="43"/>
      <c r="L74" s="43"/>
      <c r="M74" s="137"/>
      <c r="N74" s="33"/>
    </row>
    <row r="75" spans="1:14" x14ac:dyDescent="0.2">
      <c r="A75" s="156"/>
      <c r="B75" s="157"/>
      <c r="C75" s="26"/>
      <c r="D75" s="14"/>
      <c r="E75" s="14" t="s">
        <v>12</v>
      </c>
      <c r="F75" s="98" t="s">
        <v>14</v>
      </c>
      <c r="G75" s="62"/>
      <c r="H75" s="35">
        <v>0</v>
      </c>
      <c r="I75" s="60"/>
      <c r="J75" s="65">
        <v>0</v>
      </c>
      <c r="K75" s="64"/>
      <c r="L75" s="64"/>
      <c r="M75" s="137"/>
    </row>
    <row r="76" spans="1:14" x14ac:dyDescent="0.2">
      <c r="A76" s="156"/>
      <c r="B76" s="157"/>
      <c r="C76" s="26"/>
      <c r="D76" s="14"/>
      <c r="E76" s="14" t="s">
        <v>15</v>
      </c>
      <c r="F76" s="98"/>
      <c r="G76" s="62"/>
      <c r="H76" s="37">
        <f>SUM(H74*H75)</f>
        <v>0</v>
      </c>
      <c r="I76" s="61"/>
      <c r="J76" s="53">
        <f>SUM(J74*J75)</f>
        <v>0</v>
      </c>
      <c r="K76" s="37"/>
      <c r="L76" s="37">
        <f>J76</f>
        <v>0</v>
      </c>
      <c r="M76" s="137"/>
    </row>
    <row r="77" spans="1:14" x14ac:dyDescent="0.2">
      <c r="A77" s="156"/>
      <c r="B77" s="157"/>
      <c r="C77" s="25"/>
      <c r="D77" s="14"/>
      <c r="E77" s="14"/>
      <c r="F77" s="98"/>
      <c r="G77" s="62"/>
      <c r="H77" s="11"/>
      <c r="I77" s="58"/>
      <c r="J77" s="54"/>
      <c r="K77" s="16"/>
      <c r="L77" s="16"/>
      <c r="M77" s="137"/>
    </row>
    <row r="78" spans="1:14" x14ac:dyDescent="0.2">
      <c r="A78" s="159" t="s">
        <v>31</v>
      </c>
      <c r="B78" s="160" t="s">
        <v>31</v>
      </c>
      <c r="C78" s="26" t="s">
        <v>2</v>
      </c>
      <c r="D78" s="14"/>
      <c r="E78" s="14" t="s">
        <v>11</v>
      </c>
      <c r="F78" s="98"/>
      <c r="G78" s="62"/>
      <c r="H78" s="38">
        <v>0</v>
      </c>
      <c r="I78" s="59"/>
      <c r="J78" s="52">
        <v>0</v>
      </c>
      <c r="K78" s="43"/>
      <c r="L78" s="43"/>
      <c r="M78" s="137"/>
      <c r="N78" s="33"/>
    </row>
    <row r="79" spans="1:14" x14ac:dyDescent="0.2">
      <c r="A79" s="156"/>
      <c r="B79" s="157"/>
      <c r="C79" s="26"/>
      <c r="D79" s="14"/>
      <c r="E79" s="14" t="s">
        <v>12</v>
      </c>
      <c r="F79" s="98" t="s">
        <v>14</v>
      </c>
      <c r="G79" s="62"/>
      <c r="H79" s="35">
        <v>0</v>
      </c>
      <c r="I79" s="60"/>
      <c r="J79" s="65">
        <v>0</v>
      </c>
      <c r="K79" s="64"/>
      <c r="L79" s="64"/>
      <c r="M79" s="137"/>
    </row>
    <row r="80" spans="1:14" x14ac:dyDescent="0.2">
      <c r="A80" s="156"/>
      <c r="B80" s="157"/>
      <c r="C80" s="26"/>
      <c r="D80" s="14"/>
      <c r="E80" s="14" t="s">
        <v>15</v>
      </c>
      <c r="F80" s="98"/>
      <c r="G80" s="62"/>
      <c r="H80" s="37">
        <f>SUM(H78*H79)</f>
        <v>0</v>
      </c>
      <c r="I80" s="61"/>
      <c r="J80" s="53">
        <f>SUM(J78*J79)</f>
        <v>0</v>
      </c>
      <c r="K80" s="37"/>
      <c r="L80" s="37">
        <f>J80</f>
        <v>0</v>
      </c>
      <c r="M80" s="137"/>
    </row>
    <row r="81" spans="1:14" x14ac:dyDescent="0.2">
      <c r="A81" s="156"/>
      <c r="B81" s="157"/>
      <c r="C81" s="25"/>
      <c r="D81" s="14"/>
      <c r="E81" s="14"/>
      <c r="F81" s="98"/>
      <c r="G81" s="62"/>
      <c r="H81" s="11"/>
      <c r="I81" s="58"/>
      <c r="J81" s="54"/>
      <c r="K81" s="16"/>
      <c r="L81" s="16"/>
      <c r="M81" s="137"/>
    </row>
    <row r="82" spans="1:14" x14ac:dyDescent="0.2">
      <c r="A82" s="159" t="s">
        <v>31</v>
      </c>
      <c r="B82" s="160" t="s">
        <v>29</v>
      </c>
      <c r="C82" s="26" t="s">
        <v>2</v>
      </c>
      <c r="D82" s="14"/>
      <c r="E82" s="14" t="s">
        <v>11</v>
      </c>
      <c r="F82" s="98"/>
      <c r="G82" s="62"/>
      <c r="H82" s="38">
        <v>0</v>
      </c>
      <c r="I82" s="59"/>
      <c r="J82" s="52">
        <v>0</v>
      </c>
      <c r="K82" s="43"/>
      <c r="L82" s="43"/>
      <c r="M82" s="137"/>
      <c r="N82" s="33"/>
    </row>
    <row r="83" spans="1:14" x14ac:dyDescent="0.2">
      <c r="A83" s="156"/>
      <c r="B83" s="157"/>
      <c r="C83" s="26"/>
      <c r="D83" s="14"/>
      <c r="E83" s="14" t="s">
        <v>12</v>
      </c>
      <c r="F83" s="98" t="s">
        <v>14</v>
      </c>
      <c r="G83" s="62"/>
      <c r="H83" s="35">
        <v>0</v>
      </c>
      <c r="I83" s="60"/>
      <c r="J83" s="65">
        <v>0</v>
      </c>
      <c r="K83" s="64"/>
      <c r="L83" s="64"/>
      <c r="M83" s="137"/>
    </row>
    <row r="84" spans="1:14" x14ac:dyDescent="0.2">
      <c r="A84" s="156"/>
      <c r="B84" s="157"/>
      <c r="C84" s="26"/>
      <c r="D84" s="14"/>
      <c r="E84" s="14" t="s">
        <v>15</v>
      </c>
      <c r="F84" s="98"/>
      <c r="G84" s="62"/>
      <c r="H84" s="37">
        <f>SUM(H82*H83)</f>
        <v>0</v>
      </c>
      <c r="I84" s="61"/>
      <c r="J84" s="53">
        <f>SUM(J82*J83)</f>
        <v>0</v>
      </c>
      <c r="K84" s="37"/>
      <c r="L84" s="37">
        <f>J84</f>
        <v>0</v>
      </c>
      <c r="M84" s="137"/>
    </row>
    <row r="85" spans="1:14" x14ac:dyDescent="0.2">
      <c r="A85" s="156"/>
      <c r="B85" s="157"/>
      <c r="C85" s="179"/>
      <c r="D85" s="14"/>
      <c r="E85" s="14"/>
      <c r="F85" s="98"/>
      <c r="G85" s="62"/>
      <c r="H85" s="37"/>
      <c r="I85" s="61"/>
      <c r="J85" s="53"/>
      <c r="K85" s="37"/>
      <c r="L85" s="37"/>
      <c r="M85" s="137"/>
    </row>
    <row r="86" spans="1:14" x14ac:dyDescent="0.2">
      <c r="A86" s="164"/>
      <c r="B86" s="165"/>
      <c r="C86" s="28"/>
      <c r="D86" s="7"/>
      <c r="E86" s="7"/>
      <c r="F86" s="97"/>
      <c r="G86" s="12"/>
      <c r="H86" s="11"/>
      <c r="I86" s="61"/>
      <c r="J86" s="48"/>
      <c r="K86" s="11"/>
      <c r="L86" s="11"/>
      <c r="M86" s="137"/>
    </row>
    <row r="87" spans="1:14" x14ac:dyDescent="0.2">
      <c r="A87" s="156"/>
      <c r="B87" s="157"/>
      <c r="C87" s="39" t="s">
        <v>36</v>
      </c>
      <c r="D87" s="15"/>
      <c r="E87" s="15"/>
      <c r="F87" s="98"/>
      <c r="G87" s="91"/>
      <c r="H87" s="63"/>
      <c r="I87" s="59"/>
      <c r="J87" s="51" t="s">
        <v>2</v>
      </c>
      <c r="K87" s="18"/>
      <c r="L87" s="18"/>
      <c r="M87" s="137"/>
    </row>
    <row r="88" spans="1:14" x14ac:dyDescent="0.2">
      <c r="A88" s="159" t="s">
        <v>29</v>
      </c>
      <c r="B88" s="160" t="s">
        <v>8</v>
      </c>
      <c r="C88" s="178" t="s">
        <v>38</v>
      </c>
      <c r="D88" s="14"/>
      <c r="E88" s="14" t="s">
        <v>11</v>
      </c>
      <c r="F88" s="98"/>
      <c r="G88" s="62"/>
      <c r="H88" s="38">
        <v>0</v>
      </c>
      <c r="I88" s="59"/>
      <c r="J88" s="52">
        <v>0</v>
      </c>
      <c r="K88" s="43"/>
      <c r="L88" s="43"/>
      <c r="M88" s="137"/>
    </row>
    <row r="89" spans="1:14" x14ac:dyDescent="0.2">
      <c r="A89" s="156"/>
      <c r="B89" s="157"/>
      <c r="C89" s="178" t="s">
        <v>2</v>
      </c>
      <c r="D89" s="14"/>
      <c r="E89" s="14" t="s">
        <v>12</v>
      </c>
      <c r="F89" s="98" t="s">
        <v>14</v>
      </c>
      <c r="G89" s="62"/>
      <c r="H89" s="35">
        <v>0</v>
      </c>
      <c r="I89" s="60"/>
      <c r="J89" s="65">
        <v>4</v>
      </c>
      <c r="K89" s="64"/>
      <c r="L89" s="64"/>
      <c r="M89" s="137"/>
    </row>
    <row r="90" spans="1:14" x14ac:dyDescent="0.2">
      <c r="A90" s="156"/>
      <c r="B90" s="157"/>
      <c r="C90" s="178"/>
      <c r="D90" s="14"/>
      <c r="E90" s="14"/>
      <c r="F90" s="98"/>
      <c r="G90" s="62"/>
      <c r="H90" s="37">
        <f>IF(H88="NSP","NSP",SUM(H88*H89))</f>
        <v>0</v>
      </c>
      <c r="I90" s="59"/>
      <c r="J90" s="53">
        <f>SUM(J88*J89)</f>
        <v>0</v>
      </c>
      <c r="K90" s="37">
        <f>J90</f>
        <v>0</v>
      </c>
      <c r="L90" s="37"/>
      <c r="M90" s="137"/>
    </row>
    <row r="91" spans="1:14" x14ac:dyDescent="0.2">
      <c r="A91" s="156"/>
      <c r="B91" s="157"/>
      <c r="C91" s="25"/>
      <c r="D91" s="14"/>
      <c r="E91" s="14"/>
      <c r="F91" s="98"/>
      <c r="G91" s="62"/>
      <c r="H91" s="36"/>
      <c r="I91" s="59"/>
      <c r="J91" s="54"/>
      <c r="K91" s="16"/>
      <c r="L91" s="16"/>
      <c r="M91" s="137"/>
    </row>
    <row r="92" spans="1:14" x14ac:dyDescent="0.2">
      <c r="A92" s="156"/>
      <c r="B92" s="157"/>
      <c r="C92" s="39" t="s">
        <v>25</v>
      </c>
      <c r="D92" s="14"/>
      <c r="E92" s="14"/>
      <c r="F92" s="98"/>
      <c r="G92" s="62"/>
      <c r="H92" s="36"/>
      <c r="I92" s="129"/>
      <c r="J92" s="128"/>
      <c r="K92" s="129"/>
      <c r="L92" s="129"/>
      <c r="M92" s="137"/>
    </row>
    <row r="93" spans="1:14" x14ac:dyDescent="0.2">
      <c r="A93" s="159" t="s">
        <v>29</v>
      </c>
      <c r="B93" s="160" t="s">
        <v>10</v>
      </c>
      <c r="C93" s="26" t="s">
        <v>2</v>
      </c>
      <c r="D93" s="14"/>
      <c r="E93" s="14" t="s">
        <v>11</v>
      </c>
      <c r="F93" s="98"/>
      <c r="G93" s="62"/>
      <c r="H93" s="38">
        <v>0</v>
      </c>
      <c r="I93" s="59"/>
      <c r="J93" s="52">
        <v>0</v>
      </c>
      <c r="K93" s="43"/>
      <c r="L93" s="43"/>
      <c r="M93" s="137"/>
      <c r="N93" s="33"/>
    </row>
    <row r="94" spans="1:14" x14ac:dyDescent="0.2">
      <c r="A94" s="156"/>
      <c r="B94" s="157"/>
      <c r="C94" s="26"/>
      <c r="D94" s="14"/>
      <c r="E94" s="14" t="s">
        <v>12</v>
      </c>
      <c r="F94" s="98" t="s">
        <v>14</v>
      </c>
      <c r="G94" s="62"/>
      <c r="H94" s="35">
        <v>0</v>
      </c>
      <c r="I94" s="60"/>
      <c r="J94" s="65">
        <v>0</v>
      </c>
      <c r="K94" s="64"/>
      <c r="L94" s="64"/>
      <c r="M94" s="137"/>
    </row>
    <row r="95" spans="1:14" x14ac:dyDescent="0.2">
      <c r="A95" s="156"/>
      <c r="B95" s="157"/>
      <c r="C95" s="26"/>
      <c r="D95" s="14"/>
      <c r="E95" s="14" t="s">
        <v>15</v>
      </c>
      <c r="F95" s="98"/>
      <c r="G95" s="62"/>
      <c r="H95" s="37">
        <f>SUM(H93*H94)</f>
        <v>0</v>
      </c>
      <c r="I95" s="61"/>
      <c r="J95" s="53">
        <f>SUM(J93*J94)</f>
        <v>0</v>
      </c>
      <c r="K95" s="37"/>
      <c r="L95" s="37">
        <f>J95</f>
        <v>0</v>
      </c>
      <c r="M95" s="137"/>
    </row>
    <row r="96" spans="1:14" x14ac:dyDescent="0.2">
      <c r="A96" s="156"/>
      <c r="B96" s="157"/>
      <c r="C96" s="25"/>
      <c r="D96" s="14"/>
      <c r="E96" s="14"/>
      <c r="F96" s="98"/>
      <c r="G96" s="62"/>
      <c r="H96" s="11"/>
      <c r="I96" s="58"/>
      <c r="J96" s="54"/>
      <c r="K96" s="16"/>
      <c r="L96" s="16"/>
      <c r="M96" s="137"/>
    </row>
    <row r="97" spans="1:14" x14ac:dyDescent="0.2">
      <c r="A97" s="159" t="s">
        <v>29</v>
      </c>
      <c r="B97" s="160" t="s">
        <v>18</v>
      </c>
      <c r="C97" s="26" t="s">
        <v>2</v>
      </c>
      <c r="D97" s="14"/>
      <c r="E97" s="14" t="s">
        <v>11</v>
      </c>
      <c r="F97" s="98"/>
      <c r="G97" s="62"/>
      <c r="H97" s="38">
        <v>0</v>
      </c>
      <c r="I97" s="59"/>
      <c r="J97" s="52">
        <v>0</v>
      </c>
      <c r="K97" s="43"/>
      <c r="L97" s="43"/>
      <c r="M97" s="137"/>
      <c r="N97" s="33"/>
    </row>
    <row r="98" spans="1:14" x14ac:dyDescent="0.2">
      <c r="A98" s="156"/>
      <c r="B98" s="157"/>
      <c r="C98" s="26"/>
      <c r="D98" s="14"/>
      <c r="E98" s="14" t="s">
        <v>12</v>
      </c>
      <c r="F98" s="98" t="s">
        <v>14</v>
      </c>
      <c r="G98" s="62"/>
      <c r="H98" s="35">
        <v>0</v>
      </c>
      <c r="I98" s="60"/>
      <c r="J98" s="65">
        <v>0</v>
      </c>
      <c r="K98" s="64"/>
      <c r="L98" s="64"/>
      <c r="M98" s="137"/>
    </row>
    <row r="99" spans="1:14" x14ac:dyDescent="0.2">
      <c r="A99" s="156"/>
      <c r="B99" s="157"/>
      <c r="C99" s="26"/>
      <c r="D99" s="14"/>
      <c r="E99" s="14" t="s">
        <v>15</v>
      </c>
      <c r="F99" s="98"/>
      <c r="G99" s="62"/>
      <c r="H99" s="37">
        <f>SUM(H97*H98)</f>
        <v>0</v>
      </c>
      <c r="I99" s="61"/>
      <c r="J99" s="53">
        <f>SUM(J97*J98)</f>
        <v>0</v>
      </c>
      <c r="K99" s="37"/>
      <c r="L99" s="37">
        <f>J99</f>
        <v>0</v>
      </c>
      <c r="M99" s="137"/>
    </row>
    <row r="100" spans="1:14" x14ac:dyDescent="0.2">
      <c r="A100" s="156"/>
      <c r="B100" s="157"/>
      <c r="C100" s="25"/>
      <c r="D100" s="14"/>
      <c r="E100" s="14"/>
      <c r="F100" s="98"/>
      <c r="G100" s="62"/>
      <c r="H100" s="11"/>
      <c r="I100" s="58"/>
      <c r="J100" s="54"/>
      <c r="K100" s="16"/>
      <c r="L100" s="16"/>
      <c r="M100" s="137"/>
    </row>
    <row r="101" spans="1:14" x14ac:dyDescent="0.2">
      <c r="A101" s="159" t="s">
        <v>29</v>
      </c>
      <c r="B101" s="160" t="s">
        <v>19</v>
      </c>
      <c r="C101" s="26" t="s">
        <v>2</v>
      </c>
      <c r="D101" s="14"/>
      <c r="E101" s="14" t="s">
        <v>11</v>
      </c>
      <c r="F101" s="98"/>
      <c r="G101" s="62"/>
      <c r="H101" s="38">
        <v>0</v>
      </c>
      <c r="I101" s="59"/>
      <c r="J101" s="52">
        <v>0</v>
      </c>
      <c r="K101" s="43"/>
      <c r="L101" s="43"/>
      <c r="M101" s="137"/>
      <c r="N101" s="33"/>
    </row>
    <row r="102" spans="1:14" x14ac:dyDescent="0.2">
      <c r="A102" s="156"/>
      <c r="B102" s="157"/>
      <c r="C102" s="26"/>
      <c r="D102" s="14"/>
      <c r="E102" s="14" t="s">
        <v>12</v>
      </c>
      <c r="F102" s="98" t="s">
        <v>14</v>
      </c>
      <c r="G102" s="62"/>
      <c r="H102" s="35">
        <v>0</v>
      </c>
      <c r="I102" s="60"/>
      <c r="J102" s="65">
        <v>0</v>
      </c>
      <c r="K102" s="64"/>
      <c r="L102" s="64"/>
      <c r="M102" s="137"/>
    </row>
    <row r="103" spans="1:14" x14ac:dyDescent="0.2">
      <c r="A103" s="156"/>
      <c r="B103" s="157"/>
      <c r="C103" s="26"/>
      <c r="D103" s="14"/>
      <c r="E103" s="14" t="s">
        <v>15</v>
      </c>
      <c r="F103" s="98"/>
      <c r="G103" s="62"/>
      <c r="H103" s="37">
        <f>SUM(H101*H102)</f>
        <v>0</v>
      </c>
      <c r="I103" s="61"/>
      <c r="J103" s="53">
        <f>SUM(J101*J102)</f>
        <v>0</v>
      </c>
      <c r="K103" s="37"/>
      <c r="L103" s="37">
        <f>J103</f>
        <v>0</v>
      </c>
      <c r="M103" s="137"/>
    </row>
    <row r="104" spans="1:14" x14ac:dyDescent="0.2">
      <c r="A104" s="156"/>
      <c r="B104" s="157"/>
      <c r="C104" s="25"/>
      <c r="D104" s="14"/>
      <c r="E104" s="14"/>
      <c r="F104" s="98"/>
      <c r="G104" s="62"/>
      <c r="H104" s="11"/>
      <c r="I104" s="58"/>
      <c r="J104" s="54"/>
      <c r="K104" s="16"/>
      <c r="L104" s="16"/>
      <c r="M104" s="137"/>
    </row>
    <row r="105" spans="1:14" x14ac:dyDescent="0.2">
      <c r="A105" s="159" t="s">
        <v>29</v>
      </c>
      <c r="B105" s="160" t="s">
        <v>31</v>
      </c>
      <c r="C105" s="26" t="s">
        <v>2</v>
      </c>
      <c r="D105" s="14"/>
      <c r="E105" s="14" t="s">
        <v>11</v>
      </c>
      <c r="F105" s="98"/>
      <c r="G105" s="62"/>
      <c r="H105" s="38">
        <v>0</v>
      </c>
      <c r="I105" s="59"/>
      <c r="J105" s="52">
        <v>0</v>
      </c>
      <c r="K105" s="43"/>
      <c r="L105" s="43"/>
      <c r="M105" s="137"/>
      <c r="N105" s="33"/>
    </row>
    <row r="106" spans="1:14" x14ac:dyDescent="0.2">
      <c r="A106" s="156"/>
      <c r="B106" s="157"/>
      <c r="C106" s="26"/>
      <c r="D106" s="14"/>
      <c r="E106" s="14" t="s">
        <v>12</v>
      </c>
      <c r="F106" s="98" t="s">
        <v>14</v>
      </c>
      <c r="G106" s="62"/>
      <c r="H106" s="35">
        <v>0</v>
      </c>
      <c r="I106" s="60"/>
      <c r="J106" s="65">
        <v>0</v>
      </c>
      <c r="K106" s="64"/>
      <c r="L106" s="64"/>
      <c r="M106" s="137"/>
    </row>
    <row r="107" spans="1:14" x14ac:dyDescent="0.2">
      <c r="A107" s="156"/>
      <c r="B107" s="157"/>
      <c r="C107" s="26"/>
      <c r="D107" s="14"/>
      <c r="E107" s="14" t="s">
        <v>15</v>
      </c>
      <c r="F107" s="98"/>
      <c r="G107" s="62"/>
      <c r="H107" s="37">
        <f>SUM(H105*H106)</f>
        <v>0</v>
      </c>
      <c r="I107" s="61"/>
      <c r="J107" s="53">
        <f>SUM(J105*J106)</f>
        <v>0</v>
      </c>
      <c r="K107" s="37"/>
      <c r="L107" s="37">
        <f>J107</f>
        <v>0</v>
      </c>
      <c r="M107" s="137"/>
    </row>
    <row r="108" spans="1:14" x14ac:dyDescent="0.2">
      <c r="A108" s="164"/>
      <c r="B108" s="165"/>
      <c r="C108" s="28"/>
      <c r="D108" s="7"/>
      <c r="E108" s="7"/>
      <c r="F108" s="97"/>
      <c r="G108" s="12"/>
      <c r="H108" s="11"/>
      <c r="I108" s="116"/>
      <c r="J108" s="48"/>
      <c r="K108" s="11"/>
      <c r="L108" s="11"/>
      <c r="M108" s="137"/>
    </row>
    <row r="109" spans="1:14" x14ac:dyDescent="0.2">
      <c r="A109" s="156"/>
      <c r="B109" s="157"/>
      <c r="C109" s="25"/>
      <c r="D109" s="14"/>
      <c r="E109" s="14"/>
      <c r="F109" s="98"/>
      <c r="G109" s="62"/>
      <c r="H109" s="11"/>
      <c r="I109" s="58"/>
      <c r="J109" s="54"/>
      <c r="K109" s="16"/>
      <c r="L109" s="16"/>
      <c r="M109" s="137"/>
    </row>
    <row r="110" spans="1:14" x14ac:dyDescent="0.2">
      <c r="A110" s="156"/>
      <c r="B110" s="157"/>
      <c r="C110" s="25"/>
      <c r="D110" s="14"/>
      <c r="E110" s="14"/>
      <c r="F110" s="98"/>
      <c r="G110" s="62"/>
      <c r="H110" s="11"/>
      <c r="I110" s="58"/>
      <c r="J110" s="54"/>
      <c r="K110" s="16"/>
      <c r="L110" s="16"/>
      <c r="M110" s="137"/>
    </row>
    <row r="111" spans="1:14" x14ac:dyDescent="0.2">
      <c r="A111" s="156"/>
      <c r="B111" s="157"/>
      <c r="C111" s="39" t="s">
        <v>45</v>
      </c>
      <c r="D111" s="15"/>
      <c r="E111" s="15"/>
      <c r="F111" s="98"/>
      <c r="G111" s="91"/>
      <c r="H111" s="63"/>
      <c r="I111" s="59"/>
      <c r="J111" s="51" t="s">
        <v>2</v>
      </c>
      <c r="K111" s="18"/>
      <c r="L111" s="18"/>
      <c r="M111" s="137"/>
    </row>
    <row r="112" spans="1:14" x14ac:dyDescent="0.2">
      <c r="A112" s="159" t="s">
        <v>37</v>
      </c>
      <c r="B112" s="160" t="s">
        <v>8</v>
      </c>
      <c r="C112" s="26" t="s">
        <v>46</v>
      </c>
      <c r="D112" s="14"/>
      <c r="E112" s="14" t="s">
        <v>11</v>
      </c>
      <c r="F112" s="98"/>
      <c r="G112" s="62"/>
      <c r="H112" s="38">
        <v>0</v>
      </c>
      <c r="I112" s="59"/>
      <c r="J112" s="52">
        <v>0</v>
      </c>
      <c r="K112" s="43"/>
      <c r="L112" s="43"/>
      <c r="M112" s="137"/>
    </row>
    <row r="113" spans="1:14" x14ac:dyDescent="0.2">
      <c r="A113" s="156"/>
      <c r="B113" s="157"/>
      <c r="C113" s="177" t="s">
        <v>47</v>
      </c>
      <c r="D113" s="14"/>
      <c r="E113" s="14" t="s">
        <v>12</v>
      </c>
      <c r="F113" s="98" t="s">
        <v>14</v>
      </c>
      <c r="G113" s="62"/>
      <c r="H113" s="35">
        <v>0</v>
      </c>
      <c r="I113" s="60"/>
      <c r="J113" s="65">
        <v>1</v>
      </c>
      <c r="K113" s="64"/>
      <c r="L113" s="64"/>
      <c r="M113" s="137"/>
    </row>
    <row r="114" spans="1:14" x14ac:dyDescent="0.2">
      <c r="A114" s="156"/>
      <c r="B114" s="157"/>
      <c r="C114" s="26" t="s">
        <v>2</v>
      </c>
      <c r="D114" s="14"/>
      <c r="E114" s="14"/>
      <c r="F114" s="98"/>
      <c r="G114" s="62"/>
      <c r="H114" s="37">
        <f>IF(H112="NSP","NSP",SUM(H112*H113))</f>
        <v>0</v>
      </c>
      <c r="I114" s="59"/>
      <c r="J114" s="53">
        <f>SUM(J112*J113)</f>
        <v>0</v>
      </c>
      <c r="K114" s="37">
        <f>J114</f>
        <v>0</v>
      </c>
      <c r="L114" s="37"/>
      <c r="M114" s="137"/>
    </row>
    <row r="115" spans="1:14" x14ac:dyDescent="0.2">
      <c r="A115" s="156"/>
      <c r="B115" s="157"/>
      <c r="C115" s="25"/>
      <c r="D115" s="14"/>
      <c r="E115" s="14"/>
      <c r="F115" s="98"/>
      <c r="G115" s="62"/>
      <c r="H115" s="36"/>
      <c r="I115" s="59"/>
      <c r="J115" s="54"/>
      <c r="K115" s="16"/>
      <c r="L115" s="16"/>
      <c r="M115" s="137"/>
    </row>
    <row r="116" spans="1:14" x14ac:dyDescent="0.2">
      <c r="A116" s="156"/>
      <c r="B116" s="157"/>
      <c r="C116" s="39" t="s">
        <v>25</v>
      </c>
      <c r="D116" s="14"/>
      <c r="E116" s="14"/>
      <c r="F116" s="98"/>
      <c r="G116" s="62"/>
      <c r="H116" s="36"/>
      <c r="I116" s="129"/>
      <c r="J116" s="128"/>
      <c r="K116" s="129"/>
      <c r="L116" s="129"/>
      <c r="M116" s="137"/>
    </row>
    <row r="117" spans="1:14" x14ac:dyDescent="0.2">
      <c r="A117" s="159" t="s">
        <v>37</v>
      </c>
      <c r="B117" s="160" t="s">
        <v>10</v>
      </c>
      <c r="C117" s="26" t="s">
        <v>2</v>
      </c>
      <c r="D117" s="14"/>
      <c r="E117" s="14" t="s">
        <v>11</v>
      </c>
      <c r="F117" s="98"/>
      <c r="G117" s="62"/>
      <c r="H117" s="38">
        <v>0</v>
      </c>
      <c r="I117" s="59"/>
      <c r="J117" s="52">
        <v>0</v>
      </c>
      <c r="K117" s="43"/>
      <c r="L117" s="43"/>
      <c r="M117" s="137"/>
      <c r="N117" s="33"/>
    </row>
    <row r="118" spans="1:14" x14ac:dyDescent="0.2">
      <c r="A118" s="156"/>
      <c r="B118" s="157"/>
      <c r="C118" s="26"/>
      <c r="D118" s="14"/>
      <c r="E118" s="14" t="s">
        <v>12</v>
      </c>
      <c r="F118" s="98" t="s">
        <v>14</v>
      </c>
      <c r="G118" s="62"/>
      <c r="H118" s="35">
        <v>0</v>
      </c>
      <c r="I118" s="60"/>
      <c r="J118" s="65">
        <v>0</v>
      </c>
      <c r="K118" s="64"/>
      <c r="L118" s="64"/>
      <c r="M118" s="137"/>
    </row>
    <row r="119" spans="1:14" x14ac:dyDescent="0.2">
      <c r="A119" s="156"/>
      <c r="B119" s="157"/>
      <c r="C119" s="26"/>
      <c r="D119" s="14"/>
      <c r="E119" s="14" t="s">
        <v>15</v>
      </c>
      <c r="F119" s="98"/>
      <c r="G119" s="62"/>
      <c r="H119" s="37">
        <f>SUM(H117*H118)</f>
        <v>0</v>
      </c>
      <c r="I119" s="61"/>
      <c r="J119" s="53">
        <f>SUM(J117*J118)</f>
        <v>0</v>
      </c>
      <c r="K119" s="37"/>
      <c r="L119" s="37">
        <f>J119</f>
        <v>0</v>
      </c>
      <c r="M119" s="137"/>
    </row>
    <row r="120" spans="1:14" x14ac:dyDescent="0.2">
      <c r="A120" s="156"/>
      <c r="B120" s="157"/>
      <c r="C120" s="25"/>
      <c r="D120" s="14"/>
      <c r="E120" s="14"/>
      <c r="F120" s="98"/>
      <c r="G120" s="62"/>
      <c r="H120" s="11"/>
      <c r="I120" s="58"/>
      <c r="J120" s="54"/>
      <c r="K120" s="16"/>
      <c r="L120" s="16"/>
      <c r="M120" s="137"/>
    </row>
    <row r="121" spans="1:14" x14ac:dyDescent="0.2">
      <c r="A121" s="159" t="s">
        <v>37</v>
      </c>
      <c r="B121" s="160" t="s">
        <v>18</v>
      </c>
      <c r="C121" s="26" t="s">
        <v>2</v>
      </c>
      <c r="D121" s="14"/>
      <c r="E121" s="14" t="s">
        <v>11</v>
      </c>
      <c r="F121" s="98"/>
      <c r="G121" s="62"/>
      <c r="H121" s="38">
        <v>0</v>
      </c>
      <c r="I121" s="59"/>
      <c r="J121" s="52">
        <v>0</v>
      </c>
      <c r="K121" s="43"/>
      <c r="L121" s="43"/>
      <c r="M121" s="137"/>
      <c r="N121" s="33"/>
    </row>
    <row r="122" spans="1:14" x14ac:dyDescent="0.2">
      <c r="A122" s="156"/>
      <c r="B122" s="157"/>
      <c r="C122" s="26"/>
      <c r="D122" s="14"/>
      <c r="E122" s="14" t="s">
        <v>12</v>
      </c>
      <c r="F122" s="98" t="s">
        <v>14</v>
      </c>
      <c r="G122" s="62"/>
      <c r="H122" s="35">
        <v>0</v>
      </c>
      <c r="I122" s="60"/>
      <c r="J122" s="65">
        <v>0</v>
      </c>
      <c r="K122" s="64"/>
      <c r="L122" s="64"/>
      <c r="M122" s="137"/>
    </row>
    <row r="123" spans="1:14" x14ac:dyDescent="0.2">
      <c r="A123" s="156"/>
      <c r="B123" s="157"/>
      <c r="C123" s="26"/>
      <c r="D123" s="14"/>
      <c r="E123" s="14" t="s">
        <v>15</v>
      </c>
      <c r="F123" s="98"/>
      <c r="G123" s="62"/>
      <c r="H123" s="37">
        <f>SUM(H121*H122)</f>
        <v>0</v>
      </c>
      <c r="I123" s="61"/>
      <c r="J123" s="53">
        <f>SUM(J121*J122)</f>
        <v>0</v>
      </c>
      <c r="K123" s="37"/>
      <c r="L123" s="37">
        <f>J123</f>
        <v>0</v>
      </c>
      <c r="M123" s="137"/>
    </row>
    <row r="124" spans="1:14" x14ac:dyDescent="0.2">
      <c r="A124" s="156"/>
      <c r="B124" s="157"/>
      <c r="C124" s="25"/>
      <c r="D124" s="14"/>
      <c r="E124" s="14"/>
      <c r="F124" s="98"/>
      <c r="G124" s="62"/>
      <c r="H124" s="11"/>
      <c r="I124" s="58"/>
      <c r="J124" s="54"/>
      <c r="K124" s="16"/>
      <c r="L124" s="16"/>
      <c r="M124" s="137"/>
    </row>
    <row r="125" spans="1:14" x14ac:dyDescent="0.2">
      <c r="A125" s="159" t="s">
        <v>37</v>
      </c>
      <c r="B125" s="160" t="s">
        <v>19</v>
      </c>
      <c r="C125" s="26" t="s">
        <v>2</v>
      </c>
      <c r="D125" s="14"/>
      <c r="E125" s="14" t="s">
        <v>11</v>
      </c>
      <c r="F125" s="98"/>
      <c r="G125" s="62"/>
      <c r="H125" s="38">
        <v>0</v>
      </c>
      <c r="I125" s="59"/>
      <c r="J125" s="52">
        <v>0</v>
      </c>
      <c r="K125" s="43"/>
      <c r="L125" s="43"/>
      <c r="M125" s="137"/>
      <c r="N125" s="33"/>
    </row>
    <row r="126" spans="1:14" x14ac:dyDescent="0.2">
      <c r="A126" s="156"/>
      <c r="B126" s="157"/>
      <c r="C126" s="26"/>
      <c r="D126" s="14"/>
      <c r="E126" s="14" t="s">
        <v>12</v>
      </c>
      <c r="F126" s="98" t="s">
        <v>14</v>
      </c>
      <c r="G126" s="62"/>
      <c r="H126" s="35">
        <v>0</v>
      </c>
      <c r="I126" s="60"/>
      <c r="J126" s="65">
        <v>0</v>
      </c>
      <c r="K126" s="64"/>
      <c r="L126" s="64"/>
      <c r="M126" s="137"/>
    </row>
    <row r="127" spans="1:14" x14ac:dyDescent="0.2">
      <c r="A127" s="156"/>
      <c r="B127" s="157"/>
      <c r="C127" s="26"/>
      <c r="D127" s="14"/>
      <c r="E127" s="14" t="s">
        <v>15</v>
      </c>
      <c r="F127" s="98"/>
      <c r="G127" s="62"/>
      <c r="H127" s="37">
        <f>SUM(H125*H126)</f>
        <v>0</v>
      </c>
      <c r="I127" s="61"/>
      <c r="J127" s="53">
        <f>SUM(J125*J126)</f>
        <v>0</v>
      </c>
      <c r="K127" s="37"/>
      <c r="L127" s="37">
        <f>J127</f>
        <v>0</v>
      </c>
      <c r="M127" s="137"/>
    </row>
    <row r="128" spans="1:14" x14ac:dyDescent="0.2">
      <c r="A128" s="156"/>
      <c r="B128" s="157"/>
      <c r="C128" s="25"/>
      <c r="D128" s="14"/>
      <c r="E128" s="14"/>
      <c r="F128" s="98"/>
      <c r="G128" s="62"/>
      <c r="H128" s="11"/>
      <c r="I128" s="58"/>
      <c r="J128" s="54"/>
      <c r="K128" s="16"/>
      <c r="L128" s="16"/>
      <c r="M128" s="137"/>
    </row>
    <row r="129" spans="1:30" x14ac:dyDescent="0.2">
      <c r="A129" s="159" t="s">
        <v>37</v>
      </c>
      <c r="B129" s="160" t="s">
        <v>31</v>
      </c>
      <c r="C129" s="26" t="s">
        <v>2</v>
      </c>
      <c r="D129" s="14"/>
      <c r="E129" s="14" t="s">
        <v>11</v>
      </c>
      <c r="F129" s="98"/>
      <c r="G129" s="62"/>
      <c r="H129" s="38">
        <v>0</v>
      </c>
      <c r="I129" s="59"/>
      <c r="J129" s="52">
        <v>0</v>
      </c>
      <c r="K129" s="43"/>
      <c r="L129" s="43"/>
      <c r="M129" s="137"/>
      <c r="N129" s="33"/>
    </row>
    <row r="130" spans="1:30" x14ac:dyDescent="0.2">
      <c r="A130" s="156"/>
      <c r="B130" s="157"/>
      <c r="C130" s="26"/>
      <c r="D130" s="14"/>
      <c r="E130" s="14" t="s">
        <v>12</v>
      </c>
      <c r="F130" s="98" t="s">
        <v>14</v>
      </c>
      <c r="G130" s="62"/>
      <c r="H130" s="35">
        <v>0</v>
      </c>
      <c r="I130" s="60"/>
      <c r="J130" s="65">
        <v>0</v>
      </c>
      <c r="K130" s="64"/>
      <c r="L130" s="64"/>
      <c r="M130" s="137"/>
    </row>
    <row r="131" spans="1:30" x14ac:dyDescent="0.2">
      <c r="A131" s="156"/>
      <c r="B131" s="157"/>
      <c r="C131" s="26"/>
      <c r="D131" s="14"/>
      <c r="E131" s="14" t="s">
        <v>15</v>
      </c>
      <c r="F131" s="98"/>
      <c r="G131" s="62"/>
      <c r="H131" s="37">
        <f>SUM(H129*H130)</f>
        <v>0</v>
      </c>
      <c r="I131" s="61"/>
      <c r="J131" s="53">
        <f>SUM(J129*J130)</f>
        <v>0</v>
      </c>
      <c r="K131" s="37"/>
      <c r="L131" s="37">
        <f>J131</f>
        <v>0</v>
      </c>
      <c r="M131" s="137"/>
    </row>
    <row r="132" spans="1:30" x14ac:dyDescent="0.2">
      <c r="A132" s="164"/>
      <c r="B132" s="165"/>
      <c r="C132" s="28"/>
      <c r="D132" s="7"/>
      <c r="E132" s="7"/>
      <c r="F132" s="97"/>
      <c r="G132" s="12"/>
      <c r="H132" s="11"/>
      <c r="I132" s="116"/>
      <c r="J132" s="48"/>
      <c r="K132" s="11"/>
      <c r="L132" s="11"/>
      <c r="M132" s="137"/>
    </row>
    <row r="133" spans="1:30" x14ac:dyDescent="0.2">
      <c r="A133" s="156"/>
      <c r="B133" s="157"/>
      <c r="C133" s="25"/>
      <c r="D133" s="14"/>
      <c r="E133" s="14"/>
      <c r="F133" s="98"/>
      <c r="G133" s="62"/>
      <c r="H133" s="11"/>
      <c r="I133" s="58"/>
      <c r="J133" s="54"/>
      <c r="K133" s="16"/>
      <c r="L133" s="16"/>
      <c r="M133" s="137"/>
    </row>
    <row r="134" spans="1:30" x14ac:dyDescent="0.2">
      <c r="A134" s="156"/>
      <c r="B134" s="157"/>
      <c r="C134" s="25"/>
      <c r="D134" s="14"/>
      <c r="E134" s="14"/>
      <c r="F134" s="98"/>
      <c r="G134" s="62"/>
      <c r="H134" s="11"/>
      <c r="I134" s="58"/>
      <c r="J134" s="54"/>
      <c r="K134" s="16"/>
      <c r="L134" s="16"/>
      <c r="M134" s="137"/>
    </row>
    <row r="135" spans="1:30" x14ac:dyDescent="0.2">
      <c r="A135" s="166"/>
      <c r="B135" s="167"/>
      <c r="C135" s="85"/>
      <c r="D135" s="176"/>
      <c r="E135" s="100"/>
      <c r="F135" s="99"/>
      <c r="G135" s="92"/>
      <c r="H135" s="86"/>
      <c r="I135" s="87"/>
      <c r="J135" s="88"/>
      <c r="K135" s="86"/>
      <c r="L135" s="86"/>
      <c r="M135" s="137"/>
    </row>
    <row r="136" spans="1:30" x14ac:dyDescent="0.2">
      <c r="A136" s="156"/>
      <c r="B136" s="180"/>
      <c r="C136" s="181"/>
      <c r="D136" s="182"/>
      <c r="E136" s="19"/>
      <c r="F136" s="19"/>
      <c r="G136" s="91"/>
      <c r="H136" s="18"/>
      <c r="I136" s="61"/>
      <c r="J136" s="183" t="s">
        <v>49</v>
      </c>
      <c r="K136" s="18"/>
      <c r="L136" s="18"/>
      <c r="M136" s="137"/>
    </row>
    <row r="137" spans="1:30" x14ac:dyDescent="0.2">
      <c r="A137" s="156"/>
      <c r="B137" s="180"/>
      <c r="C137" s="181"/>
      <c r="D137" s="182"/>
      <c r="E137" s="19"/>
      <c r="F137" s="19"/>
      <c r="G137" s="91"/>
      <c r="H137" s="18"/>
      <c r="I137" s="61"/>
      <c r="J137" s="51"/>
      <c r="K137" s="18"/>
      <c r="L137" s="18"/>
      <c r="M137" s="137"/>
    </row>
    <row r="138" spans="1:30" s="1" customFormat="1" x14ac:dyDescent="0.2">
      <c r="A138" s="156"/>
      <c r="B138" s="168"/>
      <c r="C138" s="20"/>
      <c r="D138" s="182"/>
      <c r="E138" s="21"/>
      <c r="F138" s="23"/>
      <c r="G138" s="23"/>
      <c r="H138" s="23"/>
      <c r="I138" s="58"/>
      <c r="J138" s="185">
        <f>SUM(K33:K135)</f>
        <v>0</v>
      </c>
      <c r="K138" s="186"/>
      <c r="L138" s="186"/>
      <c r="M138" s="137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/>
      <c r="AA138"/>
      <c r="AB138"/>
      <c r="AC138"/>
      <c r="AD138"/>
    </row>
    <row r="139" spans="1:30" s="1" customFormat="1" x14ac:dyDescent="0.2">
      <c r="A139" s="156"/>
      <c r="B139" s="168"/>
      <c r="C139" s="21"/>
      <c r="D139" s="19"/>
      <c r="E139" s="21"/>
      <c r="F139" s="23"/>
      <c r="G139" s="23"/>
      <c r="H139" s="108"/>
      <c r="I139" s="59"/>
      <c r="J139" s="187" t="s">
        <v>20</v>
      </c>
      <c r="K139" s="188"/>
      <c r="L139" s="188"/>
      <c r="M139" s="137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/>
      <c r="AA139"/>
      <c r="AB139"/>
      <c r="AC139"/>
      <c r="AD139"/>
    </row>
    <row r="140" spans="1:30" s="1" customFormat="1" ht="12" thickBot="1" x14ac:dyDescent="0.25">
      <c r="A140" s="161"/>
      <c r="B140" s="168"/>
      <c r="C140" s="20"/>
      <c r="D140" s="21"/>
      <c r="E140" s="21"/>
      <c r="F140" s="23"/>
      <c r="G140" s="23"/>
      <c r="H140" s="42"/>
      <c r="I140" s="59"/>
      <c r="J140" s="189">
        <f>+J138*12</f>
        <v>0</v>
      </c>
      <c r="K140" s="190"/>
      <c r="L140" s="190"/>
      <c r="M140" s="137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/>
      <c r="AA140"/>
      <c r="AB140"/>
      <c r="AC140"/>
      <c r="AD140"/>
    </row>
    <row r="141" spans="1:30" s="1" customFormat="1" ht="12.75" thickTop="1" thickBot="1" x14ac:dyDescent="0.25">
      <c r="A141" s="161"/>
      <c r="B141" s="168"/>
      <c r="C141" s="20"/>
      <c r="D141" s="21"/>
      <c r="E141" s="202" t="s">
        <v>52</v>
      </c>
      <c r="F141" s="110"/>
      <c r="G141" s="110"/>
      <c r="H141" s="203" t="e">
        <f>SUM(H140,H35,H40,H45,H49,H53,H57,H63,H67,H72,H76,H80,H84,H90,H95,H99,H103,H107,#REF!,#REF!,#REF!,#REF!,#REF!,#REF!,#REF!,H114,H119,H123,H127,H131)</f>
        <v>#REF!</v>
      </c>
      <c r="I141" s="60"/>
      <c r="J141" s="55"/>
      <c r="K141" s="44"/>
      <c r="L141" s="44"/>
      <c r="M141" s="137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/>
      <c r="AA141"/>
      <c r="AB141"/>
      <c r="AC141"/>
      <c r="AD141"/>
    </row>
    <row r="142" spans="1:30" s="1" customFormat="1" ht="12" thickTop="1" x14ac:dyDescent="0.2">
      <c r="A142" s="161"/>
      <c r="B142" s="168"/>
      <c r="C142" s="20"/>
      <c r="D142" s="21"/>
      <c r="E142" s="24"/>
      <c r="F142" s="24"/>
      <c r="G142" s="23"/>
      <c r="H142" s="23"/>
      <c r="I142" s="59"/>
      <c r="J142" s="56"/>
      <c r="K142" s="23"/>
      <c r="L142" s="23"/>
      <c r="M142" s="137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/>
      <c r="AA142"/>
      <c r="AB142"/>
      <c r="AC142"/>
      <c r="AD142"/>
    </row>
    <row r="143" spans="1:30" s="1" customFormat="1" x14ac:dyDescent="0.2">
      <c r="A143" s="164"/>
      <c r="B143" s="169"/>
      <c r="C143" s="29"/>
      <c r="D143" s="21"/>
      <c r="E143" s="19"/>
      <c r="F143" s="19"/>
      <c r="G143" s="12"/>
      <c r="H143" s="11"/>
      <c r="I143" s="59"/>
      <c r="J143" s="184" t="s">
        <v>50</v>
      </c>
      <c r="K143" s="40"/>
      <c r="L143" s="40"/>
      <c r="M143" s="137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/>
      <c r="AA143"/>
      <c r="AB143"/>
      <c r="AC143"/>
      <c r="AD143"/>
    </row>
    <row r="144" spans="1:30" s="1" customFormat="1" x14ac:dyDescent="0.2">
      <c r="A144" s="164"/>
      <c r="B144" s="169"/>
      <c r="C144" s="29"/>
      <c r="D144" s="21"/>
      <c r="E144" s="19"/>
      <c r="F144" s="19"/>
      <c r="G144" s="12"/>
      <c r="H144" s="11"/>
      <c r="I144" s="199"/>
      <c r="J144" s="191"/>
      <c r="K144" s="40"/>
      <c r="L144" s="40"/>
      <c r="M144" s="137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/>
      <c r="AA144"/>
      <c r="AB144"/>
      <c r="AC144"/>
      <c r="AD144"/>
    </row>
    <row r="145" spans="1:30" s="1" customFormat="1" ht="11.25" customHeight="1" x14ac:dyDescent="0.2">
      <c r="A145" s="156"/>
      <c r="B145" s="175"/>
      <c r="C145" s="175"/>
      <c r="D145" s="24"/>
      <c r="E145" s="175"/>
      <c r="F145" s="175"/>
      <c r="G145" s="175"/>
      <c r="H145" s="175"/>
      <c r="I145" s="130"/>
      <c r="J145" s="194">
        <f>SUM(L18:L135)</f>
        <v>0</v>
      </c>
      <c r="K145" s="192"/>
      <c r="L145" s="192"/>
      <c r="M145" s="137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/>
      <c r="AA145"/>
      <c r="AB145"/>
      <c r="AC145"/>
      <c r="AD145"/>
    </row>
    <row r="146" spans="1:30" s="1" customFormat="1" x14ac:dyDescent="0.2">
      <c r="A146" s="156"/>
      <c r="B146" s="175"/>
      <c r="C146" s="175"/>
      <c r="D146" s="175"/>
      <c r="E146" s="175"/>
      <c r="F146" s="175"/>
      <c r="G146" s="175"/>
      <c r="H146" s="175"/>
      <c r="I146" s="59"/>
      <c r="J146" s="195" t="s">
        <v>20</v>
      </c>
      <c r="K146" s="193"/>
      <c r="L146" s="193"/>
      <c r="M146" s="137"/>
      <c r="N146" s="22"/>
      <c r="O146" s="22"/>
      <c r="P146" s="135"/>
      <c r="Q146" s="22"/>
      <c r="R146" s="135"/>
      <c r="S146" s="22"/>
      <c r="T146" s="135"/>
      <c r="U146" s="22"/>
      <c r="V146" s="22"/>
      <c r="W146" s="22"/>
      <c r="X146" s="22"/>
      <c r="Y146" s="22"/>
      <c r="Z146"/>
      <c r="AA146"/>
      <c r="AB146"/>
      <c r="AC146"/>
      <c r="AD146"/>
    </row>
    <row r="147" spans="1:30" s="1" customFormat="1" x14ac:dyDescent="0.2">
      <c r="A147" s="161"/>
      <c r="B147" s="175"/>
      <c r="C147" s="175"/>
      <c r="D147" s="175"/>
      <c r="E147" s="175"/>
      <c r="F147" s="175"/>
      <c r="G147" s="175"/>
      <c r="H147" s="175"/>
      <c r="I147" s="59"/>
      <c r="J147" s="189">
        <f>+J145*12</f>
        <v>0</v>
      </c>
      <c r="K147" s="192"/>
      <c r="L147" s="192"/>
      <c r="M147" s="137"/>
      <c r="N147" s="136"/>
      <c r="O147" s="33"/>
      <c r="P147" s="33"/>
      <c r="Q147" s="33"/>
      <c r="R147" s="33"/>
      <c r="S147" s="33"/>
      <c r="T147" s="33"/>
      <c r="U147" s="22"/>
      <c r="V147" s="22"/>
      <c r="W147" s="22"/>
      <c r="X147" s="22"/>
      <c r="Y147" s="22"/>
      <c r="Z147"/>
      <c r="AA147"/>
      <c r="AB147"/>
      <c r="AC147"/>
      <c r="AD147"/>
    </row>
    <row r="148" spans="1:30" s="1" customFormat="1" x14ac:dyDescent="0.2">
      <c r="A148" s="161"/>
      <c r="B148" s="175"/>
      <c r="C148" s="175"/>
      <c r="D148" s="175"/>
      <c r="E148" s="175"/>
      <c r="F148" s="175"/>
      <c r="G148" s="175"/>
      <c r="H148" s="175"/>
      <c r="I148" s="60"/>
      <c r="J148" s="55"/>
      <c r="K148" s="44"/>
      <c r="L148" s="44"/>
      <c r="M148" s="137"/>
      <c r="N148" s="136"/>
      <c r="O148" s="33"/>
      <c r="P148" s="33"/>
      <c r="Q148" s="33"/>
      <c r="R148" s="33"/>
      <c r="S148" s="33"/>
      <c r="T148" s="33"/>
      <c r="U148" s="22"/>
      <c r="V148" s="22"/>
      <c r="W148" s="22"/>
      <c r="X148" s="22"/>
      <c r="Y148" s="22"/>
      <c r="Z148"/>
      <c r="AA148"/>
      <c r="AB148"/>
      <c r="AC148"/>
      <c r="AD148"/>
    </row>
    <row r="149" spans="1:30" s="1" customFormat="1" x14ac:dyDescent="0.2">
      <c r="A149" s="161"/>
      <c r="B149" s="175"/>
      <c r="C149" s="175"/>
      <c r="D149" s="175"/>
      <c r="E149" s="175"/>
      <c r="F149" s="175"/>
      <c r="G149" s="175"/>
      <c r="H149" s="175"/>
      <c r="I149" s="61"/>
      <c r="J149" s="196" t="s">
        <v>51</v>
      </c>
      <c r="K149" s="23"/>
      <c r="L149" s="23"/>
      <c r="M149" s="137"/>
      <c r="N149" s="136"/>
      <c r="O149" s="33"/>
      <c r="P149" s="33"/>
      <c r="Q149" s="33"/>
      <c r="R149" s="33"/>
      <c r="S149" s="33"/>
      <c r="T149" s="33"/>
      <c r="U149" s="22"/>
      <c r="V149" s="22"/>
      <c r="W149" s="22"/>
      <c r="X149" s="22"/>
      <c r="Y149" s="22"/>
      <c r="Z149"/>
      <c r="AA149"/>
      <c r="AB149"/>
      <c r="AC149"/>
      <c r="AD149"/>
    </row>
    <row r="150" spans="1:30" s="1" customFormat="1" x14ac:dyDescent="0.2">
      <c r="A150" s="161"/>
      <c r="B150" s="175"/>
      <c r="C150" s="175"/>
      <c r="D150" s="175"/>
      <c r="E150" s="175"/>
      <c r="F150" s="175"/>
      <c r="G150" s="175"/>
      <c r="H150" s="175"/>
      <c r="I150" s="58"/>
      <c r="J150" s="197">
        <f>J140+J147</f>
        <v>0</v>
      </c>
      <c r="K150" s="23"/>
      <c r="L150" s="23"/>
      <c r="M150" s="137"/>
      <c r="N150" s="22"/>
      <c r="O150" s="33"/>
      <c r="P150" s="33"/>
      <c r="Q150" s="33"/>
      <c r="R150" s="33"/>
      <c r="S150" s="33"/>
      <c r="T150" s="33"/>
      <c r="U150" s="22"/>
      <c r="V150" s="22"/>
      <c r="W150" s="22"/>
      <c r="X150" s="22"/>
      <c r="Y150" s="22"/>
      <c r="Z150"/>
      <c r="AA150"/>
      <c r="AB150"/>
      <c r="AC150"/>
      <c r="AD150"/>
    </row>
    <row r="151" spans="1:30" s="1" customFormat="1" x14ac:dyDescent="0.2">
      <c r="A151" s="161"/>
      <c r="B151" s="168"/>
      <c r="C151" s="23"/>
      <c r="D151" s="175"/>
      <c r="E151" s="23"/>
      <c r="F151" s="23"/>
      <c r="G151" s="23"/>
      <c r="H151" s="23"/>
      <c r="I151" s="59"/>
      <c r="J151" s="56"/>
      <c r="K151" s="23"/>
      <c r="L151" s="23"/>
      <c r="M151" s="137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/>
      <c r="AA151"/>
      <c r="AB151"/>
      <c r="AC151"/>
      <c r="AD151"/>
    </row>
    <row r="152" spans="1:30" s="1" customFormat="1" x14ac:dyDescent="0.2">
      <c r="A152" s="170"/>
      <c r="B152" s="171"/>
      <c r="C152" s="111"/>
      <c r="D152" s="198"/>
      <c r="E152" s="111"/>
      <c r="F152" s="111"/>
      <c r="G152" s="111"/>
      <c r="H152" s="111"/>
      <c r="I152" s="109"/>
      <c r="J152" s="112"/>
      <c r="K152" s="111"/>
      <c r="L152" s="111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/>
      <c r="AA152"/>
      <c r="AB152"/>
      <c r="AC152"/>
      <c r="AD152"/>
    </row>
    <row r="153" spans="1:30" s="1" customFormat="1" x14ac:dyDescent="0.2">
      <c r="A153" s="172"/>
      <c r="B153" s="172"/>
      <c r="C153" s="23"/>
      <c r="D153" s="23"/>
      <c r="I153" s="60"/>
      <c r="J153" s="23"/>
      <c r="K153" s="23"/>
      <c r="L153" s="23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/>
      <c r="AA153"/>
      <c r="AB153"/>
      <c r="AC153"/>
      <c r="AD153"/>
    </row>
    <row r="154" spans="1:30" x14ac:dyDescent="0.2">
      <c r="A154" s="172"/>
      <c r="B154" s="172"/>
      <c r="C154" s="23"/>
      <c r="D154" s="23"/>
      <c r="E154" s="23"/>
      <c r="F154" s="1"/>
      <c r="G154" s="1"/>
      <c r="H154" s="1"/>
      <c r="I154" s="61"/>
      <c r="J154" s="23"/>
      <c r="K154" s="23"/>
      <c r="L154" s="23"/>
      <c r="V154" s="22"/>
      <c r="W154" s="22"/>
      <c r="X154" s="22"/>
      <c r="Y154" s="22"/>
    </row>
    <row r="155" spans="1:30" x14ac:dyDescent="0.2">
      <c r="A155" s="173"/>
      <c r="B155" s="173"/>
      <c r="C155" s="133"/>
      <c r="D155" s="23"/>
      <c r="E155" s="133"/>
      <c r="F155" s="22"/>
      <c r="G155" s="22"/>
      <c r="H155" s="22"/>
      <c r="I155" s="41"/>
      <c r="J155" s="134"/>
      <c r="K155" s="133"/>
      <c r="L155" s="133"/>
      <c r="V155" s="22"/>
      <c r="W155" s="22"/>
      <c r="X155" s="22"/>
      <c r="Y155" s="22"/>
    </row>
    <row r="156" spans="1:30" s="22" customFormat="1" x14ac:dyDescent="0.2">
      <c r="A156" s="173"/>
      <c r="B156" s="173"/>
      <c r="C156" s="133"/>
      <c r="D156" s="1"/>
      <c r="I156" s="41"/>
      <c r="J156" s="133"/>
      <c r="K156" s="133"/>
      <c r="L156" s="133"/>
    </row>
    <row r="157" spans="1:30" s="22" customFormat="1" x14ac:dyDescent="0.2">
      <c r="A157" s="174"/>
      <c r="B157" s="174"/>
      <c r="C157" s="30"/>
      <c r="E157"/>
      <c r="F157"/>
      <c r="G157"/>
      <c r="H157"/>
      <c r="I157" s="58"/>
      <c r="J157" s="30"/>
      <c r="K157" s="30"/>
      <c r="L157" s="30"/>
    </row>
    <row r="158" spans="1:30" x14ac:dyDescent="0.2">
      <c r="D158" s="22"/>
      <c r="I158" s="60"/>
    </row>
    <row r="159" spans="1:30" x14ac:dyDescent="0.2">
      <c r="I159" s="61"/>
    </row>
    <row r="160" spans="1:30" x14ac:dyDescent="0.2">
      <c r="I160" s="58"/>
    </row>
    <row r="161" spans="9:9" x14ac:dyDescent="0.2">
      <c r="I161" s="58"/>
    </row>
    <row r="162" spans="9:9" x14ac:dyDescent="0.2">
      <c r="I162" s="58"/>
    </row>
    <row r="163" spans="9:9" x14ac:dyDescent="0.2">
      <c r="I163" s="116"/>
    </row>
    <row r="164" spans="9:9" x14ac:dyDescent="0.2">
      <c r="I164" s="116"/>
    </row>
    <row r="165" spans="9:9" x14ac:dyDescent="0.2">
      <c r="I165" s="59"/>
    </row>
    <row r="166" spans="9:9" x14ac:dyDescent="0.2">
      <c r="I166" s="59"/>
    </row>
    <row r="167" spans="9:9" x14ac:dyDescent="0.2">
      <c r="I167" s="60"/>
    </row>
    <row r="168" spans="9:9" x14ac:dyDescent="0.2">
      <c r="I168" s="61"/>
    </row>
    <row r="169" spans="9:9" x14ac:dyDescent="0.2">
      <c r="I169" s="58"/>
    </row>
    <row r="170" spans="9:9" x14ac:dyDescent="0.2">
      <c r="I170" s="59"/>
    </row>
    <row r="171" spans="9:9" x14ac:dyDescent="0.2">
      <c r="I171" s="59"/>
    </row>
    <row r="172" spans="9:9" x14ac:dyDescent="0.2">
      <c r="I172" s="60"/>
    </row>
    <row r="173" spans="9:9" x14ac:dyDescent="0.2">
      <c r="I173" s="61"/>
    </row>
    <row r="174" spans="9:9" x14ac:dyDescent="0.2">
      <c r="I174" s="58"/>
    </row>
    <row r="175" spans="9:9" x14ac:dyDescent="0.2">
      <c r="I175" s="59"/>
    </row>
    <row r="176" spans="9:9" x14ac:dyDescent="0.2">
      <c r="I176" s="59"/>
    </row>
    <row r="177" spans="9:9" x14ac:dyDescent="0.2">
      <c r="I177" s="60"/>
    </row>
    <row r="178" spans="9:9" x14ac:dyDescent="0.2">
      <c r="I178" s="61"/>
    </row>
    <row r="179" spans="9:9" x14ac:dyDescent="0.2">
      <c r="I179" s="58"/>
    </row>
    <row r="180" spans="9:9" x14ac:dyDescent="0.2">
      <c r="I180" s="59"/>
    </row>
    <row r="181" spans="9:9" x14ac:dyDescent="0.2">
      <c r="I181" s="59"/>
    </row>
    <row r="182" spans="9:9" x14ac:dyDescent="0.2">
      <c r="I182" s="60"/>
    </row>
    <row r="183" spans="9:9" x14ac:dyDescent="0.2">
      <c r="I183" s="61"/>
    </row>
    <row r="184" spans="9:9" x14ac:dyDescent="0.2">
      <c r="I184" s="58"/>
    </row>
    <row r="185" spans="9:9" x14ac:dyDescent="0.2">
      <c r="I185" s="59"/>
    </row>
    <row r="186" spans="9:9" x14ac:dyDescent="0.2">
      <c r="I186" s="59"/>
    </row>
    <row r="187" spans="9:9" x14ac:dyDescent="0.2">
      <c r="I187" s="60"/>
    </row>
    <row r="188" spans="9:9" x14ac:dyDescent="0.2">
      <c r="I188" s="61"/>
    </row>
    <row r="189" spans="9:9" x14ac:dyDescent="0.2">
      <c r="I189" s="58"/>
    </row>
    <row r="190" spans="9:9" x14ac:dyDescent="0.2">
      <c r="I190" s="59"/>
    </row>
    <row r="191" spans="9:9" x14ac:dyDescent="0.2">
      <c r="I191" s="59"/>
    </row>
    <row r="192" spans="9:9" x14ac:dyDescent="0.2">
      <c r="I192" s="60"/>
    </row>
    <row r="193" spans="9:9" x14ac:dyDescent="0.2">
      <c r="I193" s="61"/>
    </row>
    <row r="194" spans="9:9" x14ac:dyDescent="0.2">
      <c r="I194" s="58"/>
    </row>
    <row r="195" spans="9:9" x14ac:dyDescent="0.2">
      <c r="I195" s="59"/>
    </row>
    <row r="196" spans="9:9" x14ac:dyDescent="0.2">
      <c r="I196" s="59"/>
    </row>
    <row r="197" spans="9:9" x14ac:dyDescent="0.2">
      <c r="I197" s="60"/>
    </row>
    <row r="198" spans="9:9" x14ac:dyDescent="0.2">
      <c r="I198" s="61"/>
    </row>
    <row r="199" spans="9:9" x14ac:dyDescent="0.2">
      <c r="I199" s="58"/>
    </row>
    <row r="200" spans="9:9" x14ac:dyDescent="0.2">
      <c r="I200" s="59"/>
    </row>
    <row r="201" spans="9:9" x14ac:dyDescent="0.2">
      <c r="I201" s="59"/>
    </row>
    <row r="202" spans="9:9" x14ac:dyDescent="0.2">
      <c r="I202" s="60"/>
    </row>
    <row r="203" spans="9:9" x14ac:dyDescent="0.2">
      <c r="I203" s="61"/>
    </row>
    <row r="204" spans="9:9" x14ac:dyDescent="0.2">
      <c r="I204" s="58"/>
    </row>
    <row r="205" spans="9:9" x14ac:dyDescent="0.2">
      <c r="I205" s="59"/>
    </row>
    <row r="206" spans="9:9" x14ac:dyDescent="0.2">
      <c r="I206" s="59"/>
    </row>
    <row r="207" spans="9:9" x14ac:dyDescent="0.2">
      <c r="I207" s="60"/>
    </row>
    <row r="208" spans="9:9" x14ac:dyDescent="0.2">
      <c r="I208" s="61"/>
    </row>
    <row r="209" spans="9:9" x14ac:dyDescent="0.2">
      <c r="I209" s="58"/>
    </row>
    <row r="210" spans="9:9" x14ac:dyDescent="0.2">
      <c r="I210" s="59"/>
    </row>
    <row r="211" spans="9:9" x14ac:dyDescent="0.2">
      <c r="I211" s="59"/>
    </row>
    <row r="212" spans="9:9" x14ac:dyDescent="0.2">
      <c r="I212" s="60"/>
    </row>
    <row r="213" spans="9:9" x14ac:dyDescent="0.2">
      <c r="I213" s="61"/>
    </row>
    <row r="214" spans="9:9" x14ac:dyDescent="0.2">
      <c r="I214" s="58"/>
    </row>
    <row r="215" spans="9:9" x14ac:dyDescent="0.2">
      <c r="I215" s="59"/>
    </row>
    <row r="216" spans="9:9" x14ac:dyDescent="0.2">
      <c r="I216" s="59"/>
    </row>
    <row r="217" spans="9:9" x14ac:dyDescent="0.2">
      <c r="I217" s="60"/>
    </row>
    <row r="218" spans="9:9" x14ac:dyDescent="0.2">
      <c r="I218" s="61"/>
    </row>
    <row r="219" spans="9:9" x14ac:dyDescent="0.2">
      <c r="I219" s="58"/>
    </row>
    <row r="220" spans="9:9" x14ac:dyDescent="0.2">
      <c r="I220" s="59"/>
    </row>
    <row r="221" spans="9:9" x14ac:dyDescent="0.2">
      <c r="I221" s="59"/>
    </row>
    <row r="222" spans="9:9" x14ac:dyDescent="0.2">
      <c r="I222" s="60"/>
    </row>
    <row r="223" spans="9:9" x14ac:dyDescent="0.2">
      <c r="I223" s="61"/>
    </row>
    <row r="224" spans="9:9" x14ac:dyDescent="0.2">
      <c r="I224" s="58"/>
    </row>
    <row r="225" spans="9:9" x14ac:dyDescent="0.2">
      <c r="I225" s="58"/>
    </row>
    <row r="226" spans="9:9" x14ac:dyDescent="0.2">
      <c r="I226" s="58"/>
    </row>
    <row r="227" spans="9:9" x14ac:dyDescent="0.2">
      <c r="I227" s="116"/>
    </row>
    <row r="228" spans="9:9" x14ac:dyDescent="0.2">
      <c r="I228" s="59"/>
    </row>
    <row r="229" spans="9:9" x14ac:dyDescent="0.2">
      <c r="I229" s="59"/>
    </row>
    <row r="230" spans="9:9" x14ac:dyDescent="0.2">
      <c r="I230" s="59"/>
    </row>
    <row r="231" spans="9:9" x14ac:dyDescent="0.2">
      <c r="I231" s="60"/>
    </row>
    <row r="232" spans="9:9" x14ac:dyDescent="0.2">
      <c r="I232" s="61"/>
    </row>
    <row r="233" spans="9:9" x14ac:dyDescent="0.2">
      <c r="I233" s="58"/>
    </row>
    <row r="234" spans="9:9" x14ac:dyDescent="0.2">
      <c r="I234" s="116"/>
    </row>
    <row r="235" spans="9:9" x14ac:dyDescent="0.2">
      <c r="I235" s="116"/>
    </row>
    <row r="236" spans="9:9" x14ac:dyDescent="0.2">
      <c r="I236" s="59"/>
    </row>
    <row r="237" spans="9:9" x14ac:dyDescent="0.2">
      <c r="I237" s="60"/>
    </row>
    <row r="238" spans="9:9" x14ac:dyDescent="0.2">
      <c r="I238" s="61"/>
    </row>
    <row r="239" spans="9:9" x14ac:dyDescent="0.2">
      <c r="I239" s="58"/>
    </row>
    <row r="240" spans="9:9" x14ac:dyDescent="0.2">
      <c r="I240" s="59"/>
    </row>
    <row r="241" spans="9:9" x14ac:dyDescent="0.2">
      <c r="I241" s="59"/>
    </row>
    <row r="242" spans="9:9" x14ac:dyDescent="0.2">
      <c r="I242" s="60"/>
    </row>
    <row r="243" spans="9:9" x14ac:dyDescent="0.2">
      <c r="I243" s="61"/>
    </row>
    <row r="244" spans="9:9" x14ac:dyDescent="0.2">
      <c r="I244" s="58"/>
    </row>
    <row r="245" spans="9:9" x14ac:dyDescent="0.2">
      <c r="I245" s="59"/>
    </row>
    <row r="246" spans="9:9" x14ac:dyDescent="0.2">
      <c r="I246" s="59"/>
    </row>
    <row r="247" spans="9:9" x14ac:dyDescent="0.2">
      <c r="I247" s="60"/>
    </row>
    <row r="248" spans="9:9" x14ac:dyDescent="0.2">
      <c r="I248" s="61"/>
    </row>
    <row r="249" spans="9:9" x14ac:dyDescent="0.2">
      <c r="I249" s="58"/>
    </row>
    <row r="250" spans="9:9" x14ac:dyDescent="0.2">
      <c r="I250" s="59"/>
    </row>
    <row r="251" spans="9:9" x14ac:dyDescent="0.2">
      <c r="I251" s="59"/>
    </row>
    <row r="252" spans="9:9" x14ac:dyDescent="0.2">
      <c r="I252" s="60"/>
    </row>
    <row r="253" spans="9:9" x14ac:dyDescent="0.2">
      <c r="I253" s="61"/>
    </row>
    <row r="254" spans="9:9" x14ac:dyDescent="0.2">
      <c r="I254" s="58"/>
    </row>
    <row r="255" spans="9:9" x14ac:dyDescent="0.2">
      <c r="I255" s="59"/>
    </row>
    <row r="256" spans="9:9" x14ac:dyDescent="0.2">
      <c r="I256" s="59"/>
    </row>
    <row r="257" spans="9:9" x14ac:dyDescent="0.2">
      <c r="I257" s="60"/>
    </row>
    <row r="258" spans="9:9" x14ac:dyDescent="0.2">
      <c r="I258" s="61"/>
    </row>
    <row r="259" spans="9:9" x14ac:dyDescent="0.2">
      <c r="I259" s="58"/>
    </row>
    <row r="260" spans="9:9" x14ac:dyDescent="0.2">
      <c r="I260" s="58"/>
    </row>
    <row r="261" spans="9:9" x14ac:dyDescent="0.2">
      <c r="I261" s="58"/>
    </row>
    <row r="262" spans="9:9" x14ac:dyDescent="0.2">
      <c r="I262" s="116"/>
    </row>
    <row r="263" spans="9:9" x14ac:dyDescent="0.2">
      <c r="I263" s="116"/>
    </row>
    <row r="264" spans="9:9" x14ac:dyDescent="0.2">
      <c r="I264" s="116"/>
    </row>
    <row r="265" spans="9:9" x14ac:dyDescent="0.2">
      <c r="I265" s="59"/>
    </row>
    <row r="266" spans="9:9" x14ac:dyDescent="0.2">
      <c r="I266" s="60"/>
    </row>
    <row r="267" spans="9:9" x14ac:dyDescent="0.2">
      <c r="I267" s="61"/>
    </row>
    <row r="268" spans="9:9" x14ac:dyDescent="0.2">
      <c r="I268" s="58"/>
    </row>
    <row r="269" spans="9:9" x14ac:dyDescent="0.2">
      <c r="I269" s="59"/>
    </row>
    <row r="270" spans="9:9" x14ac:dyDescent="0.2">
      <c r="I270" s="59"/>
    </row>
    <row r="271" spans="9:9" x14ac:dyDescent="0.2">
      <c r="I271" s="60"/>
    </row>
    <row r="272" spans="9:9" x14ac:dyDescent="0.2">
      <c r="I272" s="61"/>
    </row>
    <row r="273" spans="9:9" x14ac:dyDescent="0.2">
      <c r="I273" s="58"/>
    </row>
    <row r="274" spans="9:9" x14ac:dyDescent="0.2">
      <c r="I274" s="59"/>
    </row>
    <row r="275" spans="9:9" x14ac:dyDescent="0.2">
      <c r="I275" s="59"/>
    </row>
    <row r="276" spans="9:9" x14ac:dyDescent="0.2">
      <c r="I276" s="60"/>
    </row>
    <row r="277" spans="9:9" x14ac:dyDescent="0.2">
      <c r="I277" s="61"/>
    </row>
    <row r="278" spans="9:9" x14ac:dyDescent="0.2">
      <c r="I278" s="58"/>
    </row>
    <row r="279" spans="9:9" x14ac:dyDescent="0.2">
      <c r="I279" s="59"/>
    </row>
    <row r="280" spans="9:9" x14ac:dyDescent="0.2">
      <c r="I280" s="59"/>
    </row>
    <row r="281" spans="9:9" x14ac:dyDescent="0.2">
      <c r="I281" s="60"/>
    </row>
    <row r="282" spans="9:9" x14ac:dyDescent="0.2">
      <c r="I282" s="61"/>
    </row>
    <row r="283" spans="9:9" x14ac:dyDescent="0.2">
      <c r="I283" s="58"/>
    </row>
    <row r="284" spans="9:9" x14ac:dyDescent="0.2">
      <c r="I284" s="59"/>
    </row>
    <row r="285" spans="9:9" x14ac:dyDescent="0.2">
      <c r="I285" s="59"/>
    </row>
    <row r="286" spans="9:9" x14ac:dyDescent="0.2">
      <c r="I286" s="60"/>
    </row>
    <row r="287" spans="9:9" x14ac:dyDescent="0.2">
      <c r="I287" s="61"/>
    </row>
    <row r="288" spans="9:9" x14ac:dyDescent="0.2">
      <c r="I288" s="58"/>
    </row>
    <row r="289" spans="9:9" x14ac:dyDescent="0.2">
      <c r="I289" s="58"/>
    </row>
    <row r="290" spans="9:9" x14ac:dyDescent="0.2">
      <c r="I290" s="58"/>
    </row>
    <row r="291" spans="9:9" x14ac:dyDescent="0.2">
      <c r="I291" s="116"/>
    </row>
    <row r="292" spans="9:9" x14ac:dyDescent="0.2">
      <c r="I292" s="116"/>
    </row>
    <row r="293" spans="9:9" x14ac:dyDescent="0.2">
      <c r="I293" s="116"/>
    </row>
    <row r="294" spans="9:9" x14ac:dyDescent="0.2">
      <c r="I294" s="59"/>
    </row>
    <row r="295" spans="9:9" x14ac:dyDescent="0.2">
      <c r="I295" s="60"/>
    </row>
    <row r="296" spans="9:9" x14ac:dyDescent="0.2">
      <c r="I296" s="61"/>
    </row>
    <row r="297" spans="9:9" x14ac:dyDescent="0.2">
      <c r="I297" s="58"/>
    </row>
    <row r="298" spans="9:9" x14ac:dyDescent="0.2">
      <c r="I298" s="59"/>
    </row>
    <row r="299" spans="9:9" x14ac:dyDescent="0.2">
      <c r="I299" s="59"/>
    </row>
    <row r="300" spans="9:9" x14ac:dyDescent="0.2">
      <c r="I300" s="60"/>
    </row>
    <row r="301" spans="9:9" x14ac:dyDescent="0.2">
      <c r="I301" s="61"/>
    </row>
    <row r="302" spans="9:9" x14ac:dyDescent="0.2">
      <c r="I302" s="58"/>
    </row>
    <row r="303" spans="9:9" x14ac:dyDescent="0.2">
      <c r="I303" s="58"/>
    </row>
    <row r="304" spans="9:9" x14ac:dyDescent="0.2">
      <c r="I304" s="58"/>
    </row>
    <row r="305" spans="9:9" x14ac:dyDescent="0.2">
      <c r="I305" s="116"/>
    </row>
    <row r="306" spans="9:9" x14ac:dyDescent="0.2">
      <c r="I306" s="116"/>
    </row>
    <row r="307" spans="9:9" x14ac:dyDescent="0.2">
      <c r="I307" s="116"/>
    </row>
    <row r="308" spans="9:9" x14ac:dyDescent="0.2">
      <c r="I308" s="59"/>
    </row>
    <row r="309" spans="9:9" x14ac:dyDescent="0.2">
      <c r="I309" s="60"/>
    </row>
    <row r="310" spans="9:9" x14ac:dyDescent="0.2">
      <c r="I310" s="61"/>
    </row>
    <row r="311" spans="9:9" x14ac:dyDescent="0.2">
      <c r="I311" s="58"/>
    </row>
    <row r="312" spans="9:9" x14ac:dyDescent="0.2">
      <c r="I312" s="59"/>
    </row>
    <row r="313" spans="9:9" x14ac:dyDescent="0.2">
      <c r="I313" s="59"/>
    </row>
    <row r="314" spans="9:9" x14ac:dyDescent="0.2">
      <c r="I314" s="60"/>
    </row>
    <row r="315" spans="9:9" x14ac:dyDescent="0.2">
      <c r="I315" s="61"/>
    </row>
    <row r="316" spans="9:9" x14ac:dyDescent="0.2">
      <c r="I316" s="58"/>
    </row>
    <row r="317" spans="9:9" x14ac:dyDescent="0.2">
      <c r="I317" s="59"/>
    </row>
    <row r="318" spans="9:9" x14ac:dyDescent="0.2">
      <c r="I318" s="59"/>
    </row>
    <row r="319" spans="9:9" x14ac:dyDescent="0.2">
      <c r="I319" s="60"/>
    </row>
    <row r="320" spans="9:9" x14ac:dyDescent="0.2">
      <c r="I320" s="61"/>
    </row>
    <row r="321" spans="9:9" x14ac:dyDescent="0.2">
      <c r="I321" s="58"/>
    </row>
    <row r="322" spans="9:9" x14ac:dyDescent="0.2">
      <c r="I322" s="58"/>
    </row>
    <row r="323" spans="9:9" x14ac:dyDescent="0.2">
      <c r="I323" s="58"/>
    </row>
    <row r="324" spans="9:9" x14ac:dyDescent="0.2">
      <c r="I324" s="116"/>
    </row>
    <row r="325" spans="9:9" x14ac:dyDescent="0.2">
      <c r="I325" s="116"/>
    </row>
    <row r="326" spans="9:9" x14ac:dyDescent="0.2">
      <c r="I326" s="116"/>
    </row>
    <row r="327" spans="9:9" x14ac:dyDescent="0.2">
      <c r="I327" s="18"/>
    </row>
    <row r="328" spans="9:9" x14ac:dyDescent="0.2">
      <c r="I328" s="18"/>
    </row>
    <row r="329" spans="9:9" x14ac:dyDescent="0.2">
      <c r="I329" s="18"/>
    </row>
    <row r="330" spans="9:9" x14ac:dyDescent="0.2">
      <c r="I330" s="18"/>
    </row>
    <row r="331" spans="9:9" x14ac:dyDescent="0.2">
      <c r="I331" s="18"/>
    </row>
    <row r="332" spans="9:9" x14ac:dyDescent="0.2">
      <c r="I332" s="18"/>
    </row>
    <row r="333" spans="9:9" x14ac:dyDescent="0.2">
      <c r="I333" s="116"/>
    </row>
    <row r="334" spans="9:9" x14ac:dyDescent="0.2">
      <c r="I334" s="28"/>
    </row>
    <row r="335" spans="9:9" x14ac:dyDescent="0.2">
      <c r="I335" s="24"/>
    </row>
    <row r="336" spans="9:9" x14ac:dyDescent="0.2">
      <c r="I336" s="24"/>
    </row>
    <row r="337" spans="9:9" x14ac:dyDescent="0.2">
      <c r="I337" s="24"/>
    </row>
    <row r="338" spans="9:9" x14ac:dyDescent="0.2">
      <c r="I338" s="24"/>
    </row>
    <row r="339" spans="9:9" x14ac:dyDescent="0.2">
      <c r="I339" s="122"/>
    </row>
    <row r="340" spans="9:9" x14ac:dyDescent="0.2">
      <c r="I340" s="122"/>
    </row>
    <row r="341" spans="9:9" x14ac:dyDescent="0.2">
      <c r="I341" s="122"/>
    </row>
    <row r="342" spans="9:9" x14ac:dyDescent="0.2">
      <c r="I342" s="122"/>
    </row>
    <row r="343" spans="9:9" x14ac:dyDescent="0.2">
      <c r="I343" s="122"/>
    </row>
    <row r="344" spans="9:9" x14ac:dyDescent="0.2">
      <c r="I344" s="122"/>
    </row>
    <row r="345" spans="9:9" x14ac:dyDescent="0.2">
      <c r="I345" s="24"/>
    </row>
    <row r="346" spans="9:9" x14ac:dyDescent="0.2">
      <c r="I346" s="122"/>
    </row>
    <row r="347" spans="9:9" x14ac:dyDescent="0.2">
      <c r="I347" s="24"/>
    </row>
    <row r="348" spans="9:9" x14ac:dyDescent="0.2">
      <c r="I348" s="24"/>
    </row>
    <row r="349" spans="9:9" x14ac:dyDescent="0.2">
      <c r="I349" s="24"/>
    </row>
    <row r="350" spans="9:9" x14ac:dyDescent="0.2">
      <c r="I350" s="24"/>
    </row>
    <row r="351" spans="9:9" x14ac:dyDescent="0.2">
      <c r="I351" s="119"/>
    </row>
    <row r="352" spans="9:9" x14ac:dyDescent="0.2">
      <c r="I352" s="119"/>
    </row>
    <row r="353" spans="9:9" x14ac:dyDescent="0.2">
      <c r="I353" s="28"/>
    </row>
    <row r="354" spans="9:9" x14ac:dyDescent="0.2">
      <c r="I354" s="24"/>
    </row>
    <row r="355" spans="9:9" x14ac:dyDescent="0.2">
      <c r="I355" s="117"/>
    </row>
    <row r="356" spans="9:9" x14ac:dyDescent="0.2">
      <c r="I356" s="118"/>
    </row>
    <row r="357" spans="9:9" x14ac:dyDescent="0.2">
      <c r="I357" s="118"/>
    </row>
    <row r="358" spans="9:9" x14ac:dyDescent="0.2">
      <c r="I358" s="118"/>
    </row>
    <row r="359" spans="9:9" x14ac:dyDescent="0.2">
      <c r="I359" s="118"/>
    </row>
    <row r="360" spans="9:9" x14ac:dyDescent="0.2">
      <c r="I360" s="118"/>
    </row>
    <row r="361" spans="9:9" x14ac:dyDescent="0.2">
      <c r="I361" s="118"/>
    </row>
    <row r="362" spans="9:9" x14ac:dyDescent="0.2">
      <c r="I362" s="118"/>
    </row>
    <row r="363" spans="9:9" x14ac:dyDescent="0.2">
      <c r="I363" s="119"/>
    </row>
    <row r="364" spans="9:9" x14ac:dyDescent="0.2">
      <c r="I364" s="119"/>
    </row>
    <row r="365" spans="9:9" x14ac:dyDescent="0.2">
      <c r="I365" s="28"/>
    </row>
    <row r="366" spans="9:9" x14ac:dyDescent="0.2">
      <c r="I366" s="24"/>
    </row>
    <row r="367" spans="9:9" x14ac:dyDescent="0.2">
      <c r="I367" s="117"/>
    </row>
    <row r="368" spans="9:9" x14ac:dyDescent="0.2">
      <c r="I368" s="118"/>
    </row>
    <row r="369" spans="9:9" x14ac:dyDescent="0.2">
      <c r="I369" s="118"/>
    </row>
    <row r="370" spans="9:9" x14ac:dyDescent="0.2">
      <c r="I370" s="118"/>
    </row>
    <row r="371" spans="9:9" x14ac:dyDescent="0.2">
      <c r="I371" s="118"/>
    </row>
    <row r="372" spans="9:9" x14ac:dyDescent="0.2">
      <c r="I372" s="118"/>
    </row>
    <row r="373" spans="9:9" x14ac:dyDescent="0.2">
      <c r="I373" s="118"/>
    </row>
    <row r="374" spans="9:9" x14ac:dyDescent="0.2">
      <c r="I374" s="119"/>
    </row>
    <row r="375" spans="9:9" x14ac:dyDescent="0.2">
      <c r="I375" s="119"/>
    </row>
    <row r="376" spans="9:9" x14ac:dyDescent="0.2">
      <c r="I376" s="116"/>
    </row>
    <row r="377" spans="9:9" x14ac:dyDescent="0.2">
      <c r="I377" s="120"/>
    </row>
    <row r="378" spans="9:9" x14ac:dyDescent="0.2">
      <c r="I378" s="120"/>
    </row>
    <row r="379" spans="9:9" x14ac:dyDescent="0.2">
      <c r="I379" s="123"/>
    </row>
    <row r="380" spans="9:9" x14ac:dyDescent="0.2">
      <c r="I380" s="116"/>
    </row>
    <row r="381" spans="9:9" x14ac:dyDescent="0.2">
      <c r="I381" s="116"/>
    </row>
    <row r="382" spans="9:9" x14ac:dyDescent="0.2">
      <c r="I382" s="116"/>
    </row>
    <row r="383" spans="9:9" x14ac:dyDescent="0.2">
      <c r="I383" s="116"/>
    </row>
    <row r="384" spans="9:9" x14ac:dyDescent="0.2">
      <c r="I384" s="116"/>
    </row>
    <row r="385" spans="9:9" x14ac:dyDescent="0.2">
      <c r="I385" s="116"/>
    </row>
    <row r="386" spans="9:9" x14ac:dyDescent="0.2">
      <c r="I386" s="116"/>
    </row>
    <row r="387" spans="9:9" x14ac:dyDescent="0.2">
      <c r="I387" s="116"/>
    </row>
    <row r="388" spans="9:9" x14ac:dyDescent="0.2">
      <c r="I388" s="116"/>
    </row>
    <row r="389" spans="9:9" x14ac:dyDescent="0.2">
      <c r="I389" s="116"/>
    </row>
    <row r="390" spans="9:9" x14ac:dyDescent="0.2">
      <c r="I390" s="116"/>
    </row>
    <row r="391" spans="9:9" x14ac:dyDescent="0.2">
      <c r="I391" s="116"/>
    </row>
    <row r="392" spans="9:9" x14ac:dyDescent="0.2">
      <c r="I392" s="116"/>
    </row>
    <row r="393" spans="9:9" x14ac:dyDescent="0.2">
      <c r="I393" s="116"/>
    </row>
    <row r="394" spans="9:9" x14ac:dyDescent="0.2">
      <c r="I394" s="116"/>
    </row>
    <row r="395" spans="9:9" x14ac:dyDescent="0.2">
      <c r="I395" s="116"/>
    </row>
    <row r="396" spans="9:9" x14ac:dyDescent="0.2">
      <c r="I396" s="116"/>
    </row>
    <row r="397" spans="9:9" x14ac:dyDescent="0.2">
      <c r="I397" s="116"/>
    </row>
    <row r="398" spans="9:9" x14ac:dyDescent="0.2">
      <c r="I398" s="116"/>
    </row>
    <row r="399" spans="9:9" x14ac:dyDescent="0.2">
      <c r="I399" s="116"/>
    </row>
    <row r="400" spans="9:9" x14ac:dyDescent="0.2">
      <c r="I400" s="116"/>
    </row>
    <row r="401" spans="9:9" x14ac:dyDescent="0.2">
      <c r="I401" s="116"/>
    </row>
    <row r="402" spans="9:9" x14ac:dyDescent="0.2">
      <c r="I402" s="116"/>
    </row>
    <row r="403" spans="9:9" x14ac:dyDescent="0.2">
      <c r="I403" s="116"/>
    </row>
    <row r="404" spans="9:9" x14ac:dyDescent="0.2">
      <c r="I404" s="116"/>
    </row>
    <row r="405" spans="9:9" x14ac:dyDescent="0.2">
      <c r="I405" s="116"/>
    </row>
    <row r="406" spans="9:9" x14ac:dyDescent="0.2">
      <c r="I406" s="124"/>
    </row>
    <row r="410" spans="9:9" x14ac:dyDescent="0.2">
      <c r="I410" s="58"/>
    </row>
    <row r="412" spans="9:9" x14ac:dyDescent="0.2">
      <c r="I412" s="120"/>
    </row>
    <row r="413" spans="9:9" x14ac:dyDescent="0.2">
      <c r="I413" s="120"/>
    </row>
    <row r="414" spans="9:9" x14ac:dyDescent="0.2">
      <c r="I414" s="125"/>
    </row>
    <row r="415" spans="9:9" x14ac:dyDescent="0.2">
      <c r="I415" s="120"/>
    </row>
    <row r="416" spans="9:9" x14ac:dyDescent="0.2">
      <c r="I416" s="123"/>
    </row>
    <row r="417" spans="9:9" x14ac:dyDescent="0.2">
      <c r="I417" s="126"/>
    </row>
    <row r="418" spans="9:9" x14ac:dyDescent="0.2">
      <c r="I418" s="126"/>
    </row>
    <row r="419" spans="9:9" x14ac:dyDescent="0.2">
      <c r="I419" s="126"/>
    </row>
    <row r="420" spans="9:9" x14ac:dyDescent="0.2">
      <c r="I420" s="126"/>
    </row>
    <row r="421" spans="9:9" x14ac:dyDescent="0.2">
      <c r="I421" s="116"/>
    </row>
    <row r="422" spans="9:9" x14ac:dyDescent="0.2">
      <c r="I422" s="116"/>
    </row>
    <row r="423" spans="9:9" x14ac:dyDescent="0.2">
      <c r="I423" s="116"/>
    </row>
    <row r="424" spans="9:9" x14ac:dyDescent="0.2">
      <c r="I424" s="116"/>
    </row>
    <row r="425" spans="9:9" x14ac:dyDescent="0.2">
      <c r="I425" s="116"/>
    </row>
    <row r="426" spans="9:9" x14ac:dyDescent="0.2">
      <c r="I426" s="116"/>
    </row>
    <row r="427" spans="9:9" x14ac:dyDescent="0.2">
      <c r="I427" s="116"/>
    </row>
    <row r="428" spans="9:9" x14ac:dyDescent="0.2">
      <c r="I428" s="116"/>
    </row>
    <row r="429" spans="9:9" x14ac:dyDescent="0.2">
      <c r="I429" s="116"/>
    </row>
    <row r="430" spans="9:9" x14ac:dyDescent="0.2">
      <c r="I430" s="116"/>
    </row>
    <row r="431" spans="9:9" x14ac:dyDescent="0.2">
      <c r="I431" s="116"/>
    </row>
    <row r="432" spans="9:9" x14ac:dyDescent="0.2">
      <c r="I432" s="116"/>
    </row>
    <row r="433" spans="9:9" x14ac:dyDescent="0.2">
      <c r="I433" s="116"/>
    </row>
    <row r="434" spans="9:9" x14ac:dyDescent="0.2">
      <c r="I434" s="116"/>
    </row>
    <row r="435" spans="9:9" x14ac:dyDescent="0.2">
      <c r="I435" s="116"/>
    </row>
    <row r="436" spans="9:9" x14ac:dyDescent="0.2">
      <c r="I436" s="116"/>
    </row>
    <row r="437" spans="9:9" x14ac:dyDescent="0.2">
      <c r="I437" s="116"/>
    </row>
    <row r="438" spans="9:9" x14ac:dyDescent="0.2">
      <c r="I438" s="116"/>
    </row>
    <row r="439" spans="9:9" x14ac:dyDescent="0.2">
      <c r="I439" s="116"/>
    </row>
    <row r="440" spans="9:9" x14ac:dyDescent="0.2">
      <c r="I440" s="116"/>
    </row>
    <row r="441" spans="9:9" x14ac:dyDescent="0.2">
      <c r="I441" s="116"/>
    </row>
    <row r="442" spans="9:9" x14ac:dyDescent="0.2">
      <c r="I442" s="116"/>
    </row>
    <row r="443" spans="9:9" x14ac:dyDescent="0.2">
      <c r="I443" s="116"/>
    </row>
    <row r="446" spans="9:9" x14ac:dyDescent="0.2">
      <c r="I446" s="120"/>
    </row>
    <row r="447" spans="9:9" x14ac:dyDescent="0.2">
      <c r="I447" s="120"/>
    </row>
    <row r="448" spans="9:9" x14ac:dyDescent="0.2">
      <c r="I448" s="125"/>
    </row>
    <row r="449" spans="9:9" x14ac:dyDescent="0.2">
      <c r="I449" s="120"/>
    </row>
    <row r="450" spans="9:9" x14ac:dyDescent="0.2">
      <c r="I450" s="123"/>
    </row>
    <row r="451" spans="9:9" x14ac:dyDescent="0.2">
      <c r="I451" s="126"/>
    </row>
    <row r="452" spans="9:9" x14ac:dyDescent="0.2">
      <c r="I452" s="126"/>
    </row>
    <row r="453" spans="9:9" x14ac:dyDescent="0.2">
      <c r="I453" s="126"/>
    </row>
    <row r="454" spans="9:9" x14ac:dyDescent="0.2">
      <c r="I454" s="126"/>
    </row>
    <row r="455" spans="9:9" x14ac:dyDescent="0.2">
      <c r="I455" s="116"/>
    </row>
    <row r="456" spans="9:9" x14ac:dyDescent="0.2">
      <c r="I456" s="116"/>
    </row>
    <row r="457" spans="9:9" x14ac:dyDescent="0.2">
      <c r="I457" s="116"/>
    </row>
    <row r="458" spans="9:9" x14ac:dyDescent="0.2">
      <c r="I458" s="116"/>
    </row>
    <row r="459" spans="9:9" x14ac:dyDescent="0.2">
      <c r="I459" s="116"/>
    </row>
    <row r="460" spans="9:9" x14ac:dyDescent="0.2">
      <c r="I460" s="116"/>
    </row>
    <row r="461" spans="9:9" x14ac:dyDescent="0.2">
      <c r="I461" s="116"/>
    </row>
    <row r="462" spans="9:9" x14ac:dyDescent="0.2">
      <c r="I462" s="116"/>
    </row>
    <row r="463" spans="9:9" x14ac:dyDescent="0.2">
      <c r="I463" s="116"/>
    </row>
    <row r="464" spans="9:9" x14ac:dyDescent="0.2">
      <c r="I464" s="116"/>
    </row>
    <row r="465" spans="9:9" x14ac:dyDescent="0.2">
      <c r="I465" s="116"/>
    </row>
    <row r="466" spans="9:9" x14ac:dyDescent="0.2">
      <c r="I466" s="116"/>
    </row>
    <row r="467" spans="9:9" x14ac:dyDescent="0.2">
      <c r="I467" s="116"/>
    </row>
    <row r="468" spans="9:9" x14ac:dyDescent="0.2">
      <c r="I468" s="116"/>
    </row>
    <row r="469" spans="9:9" x14ac:dyDescent="0.2">
      <c r="I469" s="116"/>
    </row>
    <row r="470" spans="9:9" x14ac:dyDescent="0.2">
      <c r="I470" s="116"/>
    </row>
    <row r="471" spans="9:9" x14ac:dyDescent="0.2">
      <c r="I471" s="116"/>
    </row>
    <row r="472" spans="9:9" x14ac:dyDescent="0.2">
      <c r="I472" s="116"/>
    </row>
    <row r="473" spans="9:9" x14ac:dyDescent="0.2">
      <c r="I473" s="116"/>
    </row>
    <row r="474" spans="9:9" x14ac:dyDescent="0.2">
      <c r="I474" s="116"/>
    </row>
    <row r="475" spans="9:9" x14ac:dyDescent="0.2">
      <c r="I475" s="116"/>
    </row>
    <row r="476" spans="9:9" x14ac:dyDescent="0.2">
      <c r="I476" s="116"/>
    </row>
    <row r="477" spans="9:9" x14ac:dyDescent="0.2">
      <c r="I477" s="116"/>
    </row>
    <row r="479" spans="9:9" x14ac:dyDescent="0.2">
      <c r="I479" s="120"/>
    </row>
    <row r="480" spans="9:9" x14ac:dyDescent="0.2">
      <c r="I480" s="120"/>
    </row>
    <row r="481" spans="9:9" x14ac:dyDescent="0.2">
      <c r="I481" s="125"/>
    </row>
    <row r="482" spans="9:9" x14ac:dyDescent="0.2">
      <c r="I482" s="120"/>
    </row>
    <row r="483" spans="9:9" x14ac:dyDescent="0.2">
      <c r="I483" s="123"/>
    </row>
    <row r="484" spans="9:9" x14ac:dyDescent="0.2">
      <c r="I484" s="126"/>
    </row>
    <row r="485" spans="9:9" x14ac:dyDescent="0.2">
      <c r="I485" s="126"/>
    </row>
    <row r="486" spans="9:9" x14ac:dyDescent="0.2">
      <c r="I486" s="126"/>
    </row>
    <row r="487" spans="9:9" x14ac:dyDescent="0.2">
      <c r="I487" s="126"/>
    </row>
    <row r="488" spans="9:9" x14ac:dyDescent="0.2">
      <c r="I488" s="116"/>
    </row>
    <row r="489" spans="9:9" x14ac:dyDescent="0.2">
      <c r="I489" s="116"/>
    </row>
    <row r="490" spans="9:9" x14ac:dyDescent="0.2">
      <c r="I490" s="116"/>
    </row>
    <row r="491" spans="9:9" x14ac:dyDescent="0.2">
      <c r="I491" s="116"/>
    </row>
    <row r="492" spans="9:9" x14ac:dyDescent="0.2">
      <c r="I492" s="116"/>
    </row>
    <row r="493" spans="9:9" x14ac:dyDescent="0.2">
      <c r="I493" s="116"/>
    </row>
    <row r="494" spans="9:9" x14ac:dyDescent="0.2">
      <c r="I494" s="116"/>
    </row>
    <row r="495" spans="9:9" x14ac:dyDescent="0.2">
      <c r="I495" s="116"/>
    </row>
    <row r="496" spans="9:9" x14ac:dyDescent="0.2">
      <c r="I496" s="116"/>
    </row>
    <row r="497" spans="9:9" x14ac:dyDescent="0.2">
      <c r="I497" s="116"/>
    </row>
    <row r="498" spans="9:9" x14ac:dyDescent="0.2">
      <c r="I498" s="116"/>
    </row>
    <row r="499" spans="9:9" x14ac:dyDescent="0.2">
      <c r="I499" s="116"/>
    </row>
    <row r="500" spans="9:9" x14ac:dyDescent="0.2">
      <c r="I500" s="116"/>
    </row>
    <row r="501" spans="9:9" x14ac:dyDescent="0.2">
      <c r="I501" s="116"/>
    </row>
    <row r="502" spans="9:9" x14ac:dyDescent="0.2">
      <c r="I502" s="116"/>
    </row>
    <row r="503" spans="9:9" x14ac:dyDescent="0.2">
      <c r="I503" s="116"/>
    </row>
    <row r="504" spans="9:9" x14ac:dyDescent="0.2">
      <c r="I504" s="116"/>
    </row>
    <row r="505" spans="9:9" x14ac:dyDescent="0.2">
      <c r="I505" s="116"/>
    </row>
    <row r="506" spans="9:9" x14ac:dyDescent="0.2">
      <c r="I506" s="116"/>
    </row>
    <row r="507" spans="9:9" x14ac:dyDescent="0.2">
      <c r="I507" s="116"/>
    </row>
    <row r="508" spans="9:9" x14ac:dyDescent="0.2">
      <c r="I508" s="116"/>
    </row>
    <row r="509" spans="9:9" x14ac:dyDescent="0.2">
      <c r="I509" s="116"/>
    </row>
    <row r="510" spans="9:9" x14ac:dyDescent="0.2">
      <c r="I510" s="116"/>
    </row>
    <row r="512" spans="9:9" x14ac:dyDescent="0.2">
      <c r="I512" s="116"/>
    </row>
    <row r="513" spans="9:9" x14ac:dyDescent="0.2">
      <c r="I513" s="116"/>
    </row>
    <row r="514" spans="9:9" x14ac:dyDescent="0.2">
      <c r="I514" s="18"/>
    </row>
    <row r="515" spans="9:9" x14ac:dyDescent="0.2">
      <c r="I515" s="18"/>
    </row>
    <row r="516" spans="9:9" x14ac:dyDescent="0.2">
      <c r="I516" s="18"/>
    </row>
    <row r="517" spans="9:9" x14ac:dyDescent="0.2">
      <c r="I517" s="18"/>
    </row>
    <row r="518" spans="9:9" x14ac:dyDescent="0.2">
      <c r="I518" s="18"/>
    </row>
    <row r="519" spans="9:9" x14ac:dyDescent="0.2">
      <c r="I519" s="18"/>
    </row>
    <row r="520" spans="9:9" x14ac:dyDescent="0.2">
      <c r="I520" s="116"/>
    </row>
    <row r="521" spans="9:9" x14ac:dyDescent="0.2">
      <c r="I521" s="28"/>
    </row>
    <row r="522" spans="9:9" x14ac:dyDescent="0.2">
      <c r="I522" s="24"/>
    </row>
    <row r="523" spans="9:9" x14ac:dyDescent="0.2">
      <c r="I523" s="24"/>
    </row>
    <row r="524" spans="9:9" x14ac:dyDescent="0.2">
      <c r="I524" s="24"/>
    </row>
    <row r="525" spans="9:9" x14ac:dyDescent="0.2">
      <c r="I525" s="24"/>
    </row>
    <row r="526" spans="9:9" x14ac:dyDescent="0.2">
      <c r="I526" s="122"/>
    </row>
    <row r="527" spans="9:9" x14ac:dyDescent="0.2">
      <c r="I527" s="122"/>
    </row>
    <row r="528" spans="9:9" x14ac:dyDescent="0.2">
      <c r="I528" s="122"/>
    </row>
    <row r="529" spans="9:9" x14ac:dyDescent="0.2">
      <c r="I529" s="122"/>
    </row>
    <row r="530" spans="9:9" x14ac:dyDescent="0.2">
      <c r="I530" s="122"/>
    </row>
    <row r="531" spans="9:9" x14ac:dyDescent="0.2">
      <c r="I531" s="122"/>
    </row>
    <row r="532" spans="9:9" x14ac:dyDescent="0.2">
      <c r="I532" s="24"/>
    </row>
    <row r="533" spans="9:9" x14ac:dyDescent="0.2">
      <c r="I533" s="122"/>
    </row>
    <row r="534" spans="9:9" x14ac:dyDescent="0.2">
      <c r="I534" s="24"/>
    </row>
    <row r="535" spans="9:9" x14ac:dyDescent="0.2">
      <c r="I535" s="24"/>
    </row>
    <row r="536" spans="9:9" x14ac:dyDescent="0.2">
      <c r="I536" s="24"/>
    </row>
    <row r="537" spans="9:9" x14ac:dyDescent="0.2">
      <c r="I537" s="24"/>
    </row>
    <row r="538" spans="9:9" x14ac:dyDescent="0.2">
      <c r="I538" s="119"/>
    </row>
    <row r="539" spans="9:9" x14ac:dyDescent="0.2">
      <c r="I539" s="119"/>
    </row>
    <row r="540" spans="9:9" x14ac:dyDescent="0.2">
      <c r="I540" s="28"/>
    </row>
    <row r="541" spans="9:9" x14ac:dyDescent="0.2">
      <c r="I541" s="24"/>
    </row>
    <row r="542" spans="9:9" x14ac:dyDescent="0.2">
      <c r="I542" s="117"/>
    </row>
    <row r="543" spans="9:9" x14ac:dyDescent="0.2">
      <c r="I543" s="118"/>
    </row>
    <row r="544" spans="9:9" x14ac:dyDescent="0.2">
      <c r="I544" s="118"/>
    </row>
    <row r="545" spans="9:9" x14ac:dyDescent="0.2">
      <c r="I545" s="118"/>
    </row>
    <row r="546" spans="9:9" x14ac:dyDescent="0.2">
      <c r="I546" s="118"/>
    </row>
    <row r="547" spans="9:9" x14ac:dyDescent="0.2">
      <c r="I547" s="118"/>
    </row>
    <row r="548" spans="9:9" x14ac:dyDescent="0.2">
      <c r="I548" s="118"/>
    </row>
    <row r="549" spans="9:9" x14ac:dyDescent="0.2">
      <c r="I549" s="118"/>
    </row>
    <row r="550" spans="9:9" x14ac:dyDescent="0.2">
      <c r="I550" s="119"/>
    </row>
    <row r="551" spans="9:9" x14ac:dyDescent="0.2">
      <c r="I551" s="119"/>
    </row>
    <row r="552" spans="9:9" x14ac:dyDescent="0.2">
      <c r="I552" s="28"/>
    </row>
    <row r="553" spans="9:9" x14ac:dyDescent="0.2">
      <c r="I553" s="24"/>
    </row>
    <row r="554" spans="9:9" x14ac:dyDescent="0.2">
      <c r="I554" s="117"/>
    </row>
    <row r="555" spans="9:9" x14ac:dyDescent="0.2">
      <c r="I555" s="118"/>
    </row>
    <row r="556" spans="9:9" x14ac:dyDescent="0.2">
      <c r="I556" s="118"/>
    </row>
    <row r="557" spans="9:9" x14ac:dyDescent="0.2">
      <c r="I557" s="118"/>
    </row>
    <row r="558" spans="9:9" x14ac:dyDescent="0.2">
      <c r="I558" s="118"/>
    </row>
    <row r="559" spans="9:9" x14ac:dyDescent="0.2">
      <c r="I559" s="118"/>
    </row>
    <row r="560" spans="9:9" x14ac:dyDescent="0.2">
      <c r="I560" s="118"/>
    </row>
    <row r="561" spans="9:9" x14ac:dyDescent="0.2">
      <c r="I561" s="119"/>
    </row>
    <row r="562" spans="9:9" x14ac:dyDescent="0.2">
      <c r="I562" s="119"/>
    </row>
    <row r="563" spans="9:9" x14ac:dyDescent="0.2">
      <c r="I563" s="116"/>
    </row>
    <row r="564" spans="9:9" x14ac:dyDescent="0.2">
      <c r="I564" s="120"/>
    </row>
    <row r="565" spans="9:9" x14ac:dyDescent="0.2">
      <c r="I565" s="120"/>
    </row>
    <row r="566" spans="9:9" x14ac:dyDescent="0.2">
      <c r="I566" s="123"/>
    </row>
    <row r="567" spans="9:9" x14ac:dyDescent="0.2">
      <c r="I567" s="116"/>
    </row>
    <row r="568" spans="9:9" x14ac:dyDescent="0.2">
      <c r="I568" s="116"/>
    </row>
    <row r="569" spans="9:9" x14ac:dyDescent="0.2">
      <c r="I569" s="116"/>
    </row>
    <row r="570" spans="9:9" x14ac:dyDescent="0.2">
      <c r="I570" s="116"/>
    </row>
    <row r="571" spans="9:9" x14ac:dyDescent="0.2">
      <c r="I571" s="116"/>
    </row>
    <row r="572" spans="9:9" x14ac:dyDescent="0.2">
      <c r="I572" s="116"/>
    </row>
    <row r="573" spans="9:9" x14ac:dyDescent="0.2">
      <c r="I573" s="116"/>
    </row>
    <row r="574" spans="9:9" x14ac:dyDescent="0.2">
      <c r="I574" s="116"/>
    </row>
    <row r="575" spans="9:9" x14ac:dyDescent="0.2">
      <c r="I575" s="116"/>
    </row>
    <row r="576" spans="9:9" x14ac:dyDescent="0.2">
      <c r="I576" s="116"/>
    </row>
    <row r="577" spans="9:9" x14ac:dyDescent="0.2">
      <c r="I577" s="116"/>
    </row>
    <row r="578" spans="9:9" x14ac:dyDescent="0.2">
      <c r="I578" s="116"/>
    </row>
    <row r="579" spans="9:9" x14ac:dyDescent="0.2">
      <c r="I579" s="116"/>
    </row>
    <row r="580" spans="9:9" x14ac:dyDescent="0.2">
      <c r="I580" s="116"/>
    </row>
    <row r="581" spans="9:9" x14ac:dyDescent="0.2">
      <c r="I581" s="116"/>
    </row>
    <row r="582" spans="9:9" x14ac:dyDescent="0.2">
      <c r="I582" s="116"/>
    </row>
    <row r="583" spans="9:9" x14ac:dyDescent="0.2">
      <c r="I583" s="116"/>
    </row>
    <row r="584" spans="9:9" x14ac:dyDescent="0.2">
      <c r="I584" s="116"/>
    </row>
    <row r="585" spans="9:9" x14ac:dyDescent="0.2">
      <c r="I585" s="116"/>
    </row>
    <row r="586" spans="9:9" x14ac:dyDescent="0.2">
      <c r="I586" s="116"/>
    </row>
    <row r="587" spans="9:9" x14ac:dyDescent="0.2">
      <c r="I587" s="116"/>
    </row>
    <row r="588" spans="9:9" x14ac:dyDescent="0.2">
      <c r="I588" s="116"/>
    </row>
    <row r="589" spans="9:9" x14ac:dyDescent="0.2">
      <c r="I589" s="116"/>
    </row>
    <row r="590" spans="9:9" x14ac:dyDescent="0.2">
      <c r="I590" s="116"/>
    </row>
    <row r="591" spans="9:9" x14ac:dyDescent="0.2">
      <c r="I591" s="116"/>
    </row>
    <row r="592" spans="9:9" x14ac:dyDescent="0.2">
      <c r="I592" s="116"/>
    </row>
    <row r="593" spans="9:9" x14ac:dyDescent="0.2">
      <c r="I593" s="124"/>
    </row>
    <row r="597" spans="9:9" x14ac:dyDescent="0.2">
      <c r="I597" s="58"/>
    </row>
    <row r="599" spans="9:9" x14ac:dyDescent="0.2">
      <c r="I599" s="120"/>
    </row>
    <row r="600" spans="9:9" x14ac:dyDescent="0.2">
      <c r="I600" s="120"/>
    </row>
    <row r="601" spans="9:9" x14ac:dyDescent="0.2">
      <c r="I601" s="125"/>
    </row>
    <row r="602" spans="9:9" x14ac:dyDescent="0.2">
      <c r="I602" s="120"/>
    </row>
    <row r="603" spans="9:9" x14ac:dyDescent="0.2">
      <c r="I603" s="123"/>
    </row>
    <row r="604" spans="9:9" x14ac:dyDescent="0.2">
      <c r="I604" s="126"/>
    </row>
    <row r="605" spans="9:9" x14ac:dyDescent="0.2">
      <c r="I605" s="126"/>
    </row>
    <row r="606" spans="9:9" x14ac:dyDescent="0.2">
      <c r="I606" s="126"/>
    </row>
    <row r="607" spans="9:9" x14ac:dyDescent="0.2">
      <c r="I607" s="126"/>
    </row>
    <row r="608" spans="9:9" x14ac:dyDescent="0.2">
      <c r="I608" s="116"/>
    </row>
    <row r="609" spans="9:9" x14ac:dyDescent="0.2">
      <c r="I609" s="116"/>
    </row>
    <row r="610" spans="9:9" x14ac:dyDescent="0.2">
      <c r="I610" s="116"/>
    </row>
    <row r="611" spans="9:9" x14ac:dyDescent="0.2">
      <c r="I611" s="116"/>
    </row>
    <row r="612" spans="9:9" x14ac:dyDescent="0.2">
      <c r="I612" s="116"/>
    </row>
    <row r="613" spans="9:9" x14ac:dyDescent="0.2">
      <c r="I613" s="116"/>
    </row>
    <row r="614" spans="9:9" x14ac:dyDescent="0.2">
      <c r="I614" s="116"/>
    </row>
    <row r="615" spans="9:9" x14ac:dyDescent="0.2">
      <c r="I615" s="116"/>
    </row>
    <row r="616" spans="9:9" x14ac:dyDescent="0.2">
      <c r="I616" s="116"/>
    </row>
    <row r="617" spans="9:9" x14ac:dyDescent="0.2">
      <c r="I617" s="116"/>
    </row>
    <row r="618" spans="9:9" x14ac:dyDescent="0.2">
      <c r="I618" s="116"/>
    </row>
    <row r="619" spans="9:9" x14ac:dyDescent="0.2">
      <c r="I619" s="116"/>
    </row>
    <row r="620" spans="9:9" x14ac:dyDescent="0.2">
      <c r="I620" s="116"/>
    </row>
    <row r="621" spans="9:9" x14ac:dyDescent="0.2">
      <c r="I621" s="116"/>
    </row>
    <row r="622" spans="9:9" x14ac:dyDescent="0.2">
      <c r="I622" s="116"/>
    </row>
    <row r="623" spans="9:9" x14ac:dyDescent="0.2">
      <c r="I623" s="116"/>
    </row>
    <row r="624" spans="9:9" x14ac:dyDescent="0.2">
      <c r="I624" s="116"/>
    </row>
    <row r="625" spans="9:9" x14ac:dyDescent="0.2">
      <c r="I625" s="116"/>
    </row>
    <row r="626" spans="9:9" x14ac:dyDescent="0.2">
      <c r="I626" s="116"/>
    </row>
    <row r="627" spans="9:9" x14ac:dyDescent="0.2">
      <c r="I627" s="116"/>
    </row>
    <row r="628" spans="9:9" x14ac:dyDescent="0.2">
      <c r="I628" s="116"/>
    </row>
    <row r="629" spans="9:9" x14ac:dyDescent="0.2">
      <c r="I629" s="116"/>
    </row>
    <row r="630" spans="9:9" x14ac:dyDescent="0.2">
      <c r="I630" s="116"/>
    </row>
    <row r="633" spans="9:9" x14ac:dyDescent="0.2">
      <c r="I633" s="120"/>
    </row>
    <row r="634" spans="9:9" x14ac:dyDescent="0.2">
      <c r="I634" s="120"/>
    </row>
    <row r="635" spans="9:9" x14ac:dyDescent="0.2">
      <c r="I635" s="125"/>
    </row>
    <row r="636" spans="9:9" x14ac:dyDescent="0.2">
      <c r="I636" s="120"/>
    </row>
    <row r="637" spans="9:9" x14ac:dyDescent="0.2">
      <c r="I637" s="123"/>
    </row>
    <row r="638" spans="9:9" x14ac:dyDescent="0.2">
      <c r="I638" s="126"/>
    </row>
    <row r="639" spans="9:9" x14ac:dyDescent="0.2">
      <c r="I639" s="126"/>
    </row>
    <row r="640" spans="9:9" x14ac:dyDescent="0.2">
      <c r="I640" s="126"/>
    </row>
    <row r="641" spans="9:9" x14ac:dyDescent="0.2">
      <c r="I641" s="126"/>
    </row>
    <row r="642" spans="9:9" x14ac:dyDescent="0.2">
      <c r="I642" s="116"/>
    </row>
    <row r="643" spans="9:9" x14ac:dyDescent="0.2">
      <c r="I643" s="116"/>
    </row>
    <row r="644" spans="9:9" x14ac:dyDescent="0.2">
      <c r="I644" s="116"/>
    </row>
    <row r="645" spans="9:9" x14ac:dyDescent="0.2">
      <c r="I645" s="116"/>
    </row>
    <row r="646" spans="9:9" x14ac:dyDescent="0.2">
      <c r="I646" s="116"/>
    </row>
    <row r="647" spans="9:9" x14ac:dyDescent="0.2">
      <c r="I647" s="116"/>
    </row>
    <row r="648" spans="9:9" x14ac:dyDescent="0.2">
      <c r="I648" s="116"/>
    </row>
    <row r="649" spans="9:9" x14ac:dyDescent="0.2">
      <c r="I649" s="116"/>
    </row>
    <row r="650" spans="9:9" x14ac:dyDescent="0.2">
      <c r="I650" s="116"/>
    </row>
    <row r="651" spans="9:9" x14ac:dyDescent="0.2">
      <c r="I651" s="116"/>
    </row>
    <row r="652" spans="9:9" x14ac:dyDescent="0.2">
      <c r="I652" s="116"/>
    </row>
    <row r="653" spans="9:9" x14ac:dyDescent="0.2">
      <c r="I653" s="116"/>
    </row>
    <row r="654" spans="9:9" x14ac:dyDescent="0.2">
      <c r="I654" s="116"/>
    </row>
    <row r="655" spans="9:9" x14ac:dyDescent="0.2">
      <c r="I655" s="116"/>
    </row>
    <row r="656" spans="9:9" x14ac:dyDescent="0.2">
      <c r="I656" s="116"/>
    </row>
    <row r="657" spans="9:9" x14ac:dyDescent="0.2">
      <c r="I657" s="116"/>
    </row>
    <row r="658" spans="9:9" x14ac:dyDescent="0.2">
      <c r="I658" s="116"/>
    </row>
    <row r="659" spans="9:9" x14ac:dyDescent="0.2">
      <c r="I659" s="116"/>
    </row>
    <row r="660" spans="9:9" x14ac:dyDescent="0.2">
      <c r="I660" s="116"/>
    </row>
    <row r="661" spans="9:9" x14ac:dyDescent="0.2">
      <c r="I661" s="116"/>
    </row>
    <row r="662" spans="9:9" x14ac:dyDescent="0.2">
      <c r="I662" s="116"/>
    </row>
    <row r="663" spans="9:9" x14ac:dyDescent="0.2">
      <c r="I663" s="116"/>
    </row>
    <row r="664" spans="9:9" x14ac:dyDescent="0.2">
      <c r="I664" s="116"/>
    </row>
    <row r="666" spans="9:9" x14ac:dyDescent="0.2">
      <c r="I666" s="120"/>
    </row>
    <row r="667" spans="9:9" x14ac:dyDescent="0.2">
      <c r="I667" s="120"/>
    </row>
    <row r="668" spans="9:9" x14ac:dyDescent="0.2">
      <c r="I668" s="125"/>
    </row>
    <row r="669" spans="9:9" x14ac:dyDescent="0.2">
      <c r="I669" s="120"/>
    </row>
    <row r="670" spans="9:9" x14ac:dyDescent="0.2">
      <c r="I670" s="123"/>
    </row>
    <row r="671" spans="9:9" x14ac:dyDescent="0.2">
      <c r="I671" s="126"/>
    </row>
    <row r="672" spans="9:9" x14ac:dyDescent="0.2">
      <c r="I672" s="126"/>
    </row>
    <row r="673" spans="9:9" x14ac:dyDescent="0.2">
      <c r="I673" s="126"/>
    </row>
    <row r="674" spans="9:9" x14ac:dyDescent="0.2">
      <c r="I674" s="126"/>
    </row>
    <row r="675" spans="9:9" x14ac:dyDescent="0.2">
      <c r="I675" s="116"/>
    </row>
    <row r="676" spans="9:9" x14ac:dyDescent="0.2">
      <c r="I676" s="116"/>
    </row>
    <row r="677" spans="9:9" x14ac:dyDescent="0.2">
      <c r="I677" s="116"/>
    </row>
    <row r="678" spans="9:9" x14ac:dyDescent="0.2">
      <c r="I678" s="116"/>
    </row>
    <row r="679" spans="9:9" x14ac:dyDescent="0.2">
      <c r="I679" s="116"/>
    </row>
    <row r="680" spans="9:9" x14ac:dyDescent="0.2">
      <c r="I680" s="116"/>
    </row>
    <row r="681" spans="9:9" x14ac:dyDescent="0.2">
      <c r="I681" s="116"/>
    </row>
    <row r="682" spans="9:9" x14ac:dyDescent="0.2">
      <c r="I682" s="116"/>
    </row>
    <row r="683" spans="9:9" x14ac:dyDescent="0.2">
      <c r="I683" s="116"/>
    </row>
    <row r="684" spans="9:9" x14ac:dyDescent="0.2">
      <c r="I684" s="116"/>
    </row>
    <row r="685" spans="9:9" x14ac:dyDescent="0.2">
      <c r="I685" s="116"/>
    </row>
    <row r="686" spans="9:9" x14ac:dyDescent="0.2">
      <c r="I686" s="116"/>
    </row>
    <row r="687" spans="9:9" x14ac:dyDescent="0.2">
      <c r="I687" s="116"/>
    </row>
    <row r="688" spans="9:9" x14ac:dyDescent="0.2">
      <c r="I688" s="116"/>
    </row>
    <row r="689" spans="9:9" x14ac:dyDescent="0.2">
      <c r="I689" s="116"/>
    </row>
    <row r="690" spans="9:9" x14ac:dyDescent="0.2">
      <c r="I690" s="116"/>
    </row>
    <row r="691" spans="9:9" x14ac:dyDescent="0.2">
      <c r="I691" s="116"/>
    </row>
    <row r="692" spans="9:9" x14ac:dyDescent="0.2">
      <c r="I692" s="116"/>
    </row>
    <row r="693" spans="9:9" x14ac:dyDescent="0.2">
      <c r="I693" s="116"/>
    </row>
    <row r="694" spans="9:9" x14ac:dyDescent="0.2">
      <c r="I694" s="116"/>
    </row>
    <row r="695" spans="9:9" x14ac:dyDescent="0.2">
      <c r="I695" s="116"/>
    </row>
    <row r="696" spans="9:9" x14ac:dyDescent="0.2">
      <c r="I696" s="116"/>
    </row>
    <row r="697" spans="9:9" x14ac:dyDescent="0.2">
      <c r="I697" s="116"/>
    </row>
    <row r="699" spans="9:9" x14ac:dyDescent="0.2">
      <c r="I699" s="24"/>
    </row>
    <row r="700" spans="9:9" x14ac:dyDescent="0.2">
      <c r="I700" s="116"/>
    </row>
    <row r="701" spans="9:9" x14ac:dyDescent="0.2">
      <c r="I701" s="24"/>
    </row>
    <row r="702" spans="9:9" x14ac:dyDescent="0.2">
      <c r="I702" s="24"/>
    </row>
    <row r="703" spans="9:9" x14ac:dyDescent="0.2">
      <c r="I703" s="116"/>
    </row>
    <row r="704" spans="9:9" x14ac:dyDescent="0.2">
      <c r="I704" s="115"/>
    </row>
    <row r="705" spans="9:9" x14ac:dyDescent="0.2">
      <c r="I705" s="59"/>
    </row>
    <row r="709" spans="9:9" x14ac:dyDescent="0.2">
      <c r="I709" s="127"/>
    </row>
    <row r="711" spans="9:9" x14ac:dyDescent="0.2">
      <c r="I711" s="127"/>
    </row>
  </sheetData>
  <phoneticPr fontId="0" type="noConversion"/>
  <printOptions horizontalCentered="1"/>
  <pageMargins left="0" right="0" top="0.38" bottom="0.35" header="0" footer="0"/>
  <pageSetup scale="80" firstPageNumber="2" fitToHeight="17" orientation="landscape" useFirstPageNumber="1" r:id="rId1"/>
  <headerFooter alignWithMargins="0">
    <oddHeader>&amp;CPRICE SCHEDULE</oddHeader>
  </headerFooter>
  <drawing r:id="rId2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Base Year</vt:lpstr>
      <vt:lpstr>'Base Year'!Print_Area</vt:lpstr>
      <vt:lpstr>'Base Year'!Print_Titles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2017-05-11T16:16:59Z</dcterms:created>
  <dcterms:modified xsi:type="dcterms:W3CDTF">2026-03-31T19:49:55Z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4eecc5-e26c-4620-b240-5a8bb326c33d_Enabled">
    <vt:lpwstr>true</vt:lpwstr>
  </property>
  <property fmtid="{D5CDD505-2E9C-101B-9397-08002B2CF9AE}" pid="3" name="MSIP_Label_554eecc5-e26c-4620-b240-5a8bb326c33d_SetDate">
    <vt:lpwstr>2025-03-24T16:04:49Z</vt:lpwstr>
  </property>
  <property fmtid="{D5CDD505-2E9C-101B-9397-08002B2CF9AE}" pid="4" name="MSIP_Label_554eecc5-e26c-4620-b240-5a8bb326c33d_Method">
    <vt:lpwstr>Standard</vt:lpwstr>
  </property>
  <property fmtid="{D5CDD505-2E9C-101B-9397-08002B2CF9AE}" pid="5" name="MSIP_Label_554eecc5-e26c-4620-b240-5a8bb326c33d_Name">
    <vt:lpwstr>Uncontrolled_Child_01</vt:lpwstr>
  </property>
  <property fmtid="{D5CDD505-2E9C-101B-9397-08002B2CF9AE}" pid="6" name="MSIP_Label_554eecc5-e26c-4620-b240-5a8bb326c33d_SiteId">
    <vt:lpwstr>fae6d70f-954b-4811-92b6-0530d6f84c43</vt:lpwstr>
  </property>
  <property fmtid="{D5CDD505-2E9C-101B-9397-08002B2CF9AE}" pid="7" name="MSIP_Label_554eecc5-e26c-4620-b240-5a8bb326c33d_ActionId">
    <vt:lpwstr>935b7b97-3421-4523-898a-089417a1c889</vt:lpwstr>
  </property>
  <property fmtid="{D5CDD505-2E9C-101B-9397-08002B2CF9AE}" pid="8" name="MSIP_Label_554eecc5-e26c-4620-b240-5a8bb326c33d_ContentBits">
    <vt:lpwstr>0</vt:lpwstr>
  </property>
</Properties>
</file>