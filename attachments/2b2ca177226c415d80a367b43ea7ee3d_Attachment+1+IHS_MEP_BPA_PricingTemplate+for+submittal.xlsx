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ruz\Desktop\"/>
    </mc:Choice>
  </mc:AlternateContent>
  <xr:revisionPtr revIDLastSave="0" documentId="13_ncr:1_{E7FF84EE-F0B1-4259-9F65-5E9B4B549077}" xr6:coauthVersionLast="47" xr6:coauthVersionMax="47" xr10:uidLastSave="{00000000-0000-0000-0000-000000000000}"/>
  <bookViews>
    <workbookView xWindow="31005" yWindow="900" windowWidth="19920" windowHeight="13350" firstSheet="1" activeTab="5" xr2:uid="{00000000-000D-0000-FFFF-FFFF00000000}"/>
  </bookViews>
  <sheets>
    <sheet name="Instructions" sheetId="1" r:id="rId1"/>
    <sheet name="Labor Rates" sheetId="2" r:id="rId2"/>
    <sheet name="Fees &amp; Minimums" sheetId="3" r:id="rId3"/>
    <sheet name="Material Markups" sheetId="4" r:id="rId4"/>
    <sheet name="Travel" sheetId="5" r:id="rId5"/>
    <sheet name="Sample Call Ord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" l="1"/>
  <c r="C14" i="6"/>
  <c r="D14" i="6" s="1"/>
  <c r="D13" i="6"/>
  <c r="C11" i="6"/>
  <c r="D11" i="6" s="1"/>
  <c r="C10" i="6"/>
  <c r="D10" i="6" s="1"/>
  <c r="C9" i="6"/>
  <c r="D9" i="6" s="1"/>
  <c r="D12" i="4"/>
  <c r="D11" i="4"/>
  <c r="D10" i="4"/>
  <c r="D9" i="4"/>
  <c r="D13" i="4"/>
  <c r="D23" i="2"/>
  <c r="D22" i="2"/>
  <c r="D21" i="2"/>
  <c r="D20" i="2"/>
  <c r="D19" i="2"/>
  <c r="D18" i="2"/>
  <c r="D17" i="2"/>
  <c r="D16" i="2"/>
  <c r="D14" i="2"/>
  <c r="D13" i="2"/>
  <c r="D12" i="2"/>
  <c r="D11" i="2"/>
  <c r="D10" i="2"/>
  <c r="D9" i="2"/>
  <c r="D15" i="2"/>
  <c r="D24" i="2"/>
  <c r="D16" i="6" l="1"/>
</calcChain>
</file>

<file path=xl/sharedStrings.xml><?xml version="1.0" encoding="utf-8"?>
<sst xmlns="http://schemas.openxmlformats.org/spreadsheetml/2006/main" count="104" uniqueCount="91">
  <si>
    <t>IHS AAO MEP BPA PRICING TEMPLATE</t>
  </si>
  <si>
    <t>Instructions for Completing the MEP BPA Pricing Template</t>
  </si>
  <si>
    <t>Offerors shall complete the Government-provided pricing template to propose pricing for Mechanical, Electrical, and Plumbing (MEP) services under the BPA.</t>
  </si>
  <si>
    <t>General Instructions</t>
  </si>
  <si>
    <t>1. Complete only the cells shaded in gray. Gray cells indicate contractor input fields. Cells that are not shaded are protected and contain formulas, labels, or Government-provided information and shall not be modified.</t>
  </si>
  <si>
    <t>2. All proposed labor rates shall be fully burdened hourly rates, including wages, overhead, profit, insurance, supervision, small tools, and other indirect costs necessary to perform the work.</t>
  </si>
  <si>
    <t>3. Labor rates shall apply to work performed during normal working hours unless otherwise specified.</t>
  </si>
  <si>
    <t>4. If emergency or after-hours work requires a premium, enter the percentage premium in the designated column. Emergency hourly rates will calculate automatically.</t>
  </si>
  <si>
    <t>5. Provide pricing for labor rates, service call or trip charges, emergency mobilization fees, minimum service hours, material markups, and travel rates, if applicable.</t>
  </si>
  <si>
    <t>6. Do not delete rows, columns, worksheets, or formulas within this template.</t>
  </si>
  <si>
    <t>7. The Government may evaluate pricing using sample call-order scenarios included in this workbook.</t>
  </si>
  <si>
    <t>8. If a labor category does not apply to the offeror's organization, enter 0.00 instead of deleting the category.</t>
  </si>
  <si>
    <t>9. Proposed pricing shall remain valid for the period specified in the solicitation.</t>
  </si>
  <si>
    <t>Labor Standards Note</t>
  </si>
  <si>
    <t>Offerors shall comply with any applicable labor standards included in the solicitation. If a specific call order is subject to prevailing wage requirements, the applicable wage determination will be identified at the call-order level.</t>
  </si>
  <si>
    <t>Government Release Note</t>
  </si>
  <si>
    <t>Before release, the Government should confirm labor standards applicability, any markup ceilings, and whether travel is reimbursable at proposed rates or limited to GSA rates or actual cost.</t>
  </si>
  <si>
    <t>Tab Instructions</t>
  </si>
  <si>
    <t>Provide fully burdened hourly labor rates for each labor category listed.</t>
  </si>
  <si>
    <t>Base Hourly Rate: Enter the fully burdened hourly rate.</t>
  </si>
  <si>
    <t>Emergency Premium %: Enter the percentage increase for after-hours or emergency work, if applicable.</t>
  </si>
  <si>
    <t>Emergency Rate: This column calculates automatically.</t>
  </si>
  <si>
    <t>Comments: Use this field to identify equivalent internal labor categories or clarifying assumptions.</t>
  </si>
  <si>
    <t>Labor Category</t>
  </si>
  <si>
    <t>Base Hourly Rate</t>
  </si>
  <si>
    <t>Emergency Premium %</t>
  </si>
  <si>
    <t>Emergency Rate</t>
  </si>
  <si>
    <t>Comments</t>
  </si>
  <si>
    <t>Master Electrician</t>
  </si>
  <si>
    <t>Journeyman Electrician</t>
  </si>
  <si>
    <t>Electrical Engineer – Arc Flash</t>
  </si>
  <si>
    <t>Arc Flash Technician</t>
  </si>
  <si>
    <t>Master Plumber</t>
  </si>
  <si>
    <t>Journeyman Plumber</t>
  </si>
  <si>
    <t>HVAC Technician</t>
  </si>
  <si>
    <t>Mechanical Technician</t>
  </si>
  <si>
    <t>Generator Technician</t>
  </si>
  <si>
    <t>Emergency Power Specialist (ATS/Generators)</t>
  </si>
  <si>
    <t>Load Bank Technician</t>
  </si>
  <si>
    <t>Controls Technician (Non‑Proprietary)</t>
  </si>
  <si>
    <t>Fire Extinguisher Technician</t>
  </si>
  <si>
    <t>General Maintenance Technician</t>
  </si>
  <si>
    <t>Helper / Apprentice</t>
  </si>
  <si>
    <t>Project Manager</t>
  </si>
  <si>
    <t>Provide flat fees for service calls and emergency mobilization, and minimum billable hours where applicable.</t>
  </si>
  <si>
    <t>Trip or Service Call Charge – Regular Hours: Flat fee per visit during normal working hours.</t>
  </si>
  <si>
    <t>Trip or Service Call Charge – After Hours: Flat fee per visit outside normal working hours.</t>
  </si>
  <si>
    <t>Emergency Mobilization Fee: Additional fee for urgent dispatch requiring immediate response.</t>
  </si>
  <si>
    <t>Minimum Service Hours: Enter the minimum hours billed per service visit.</t>
  </si>
  <si>
    <t>Fee Type</t>
  </si>
  <si>
    <t>Proposed Amount</t>
  </si>
  <si>
    <t>Unit</t>
  </si>
  <si>
    <t>Notes</t>
  </si>
  <si>
    <t>Trip / Service Call – Regular Hours</t>
  </si>
  <si>
    <t>Flat Fee</t>
  </si>
  <si>
    <t>Trip / Service Call – After Hours</t>
  </si>
  <si>
    <t>Emergency Mobilization Fee</t>
  </si>
  <si>
    <t>Minimum Service Hours – Regular</t>
  </si>
  <si>
    <t>Hours</t>
  </si>
  <si>
    <t>Minimum Service Hours – Emergency</t>
  </si>
  <si>
    <t>Provide proposed markup percentages for the categories listed.</t>
  </si>
  <si>
    <t>Government Ceiling: Maximum allowable markup established by the Government.</t>
  </si>
  <si>
    <t>Proposed %: Enter the offeror’s proposed markup percentage.</t>
  </si>
  <si>
    <t>Compliance: This column checks whether the proposed markup exceeds the Government ceiling.</t>
  </si>
  <si>
    <t>Markup shall apply to the contractor’s actual acquisition cost unless otherwise stated in the solicitation.</t>
  </si>
  <si>
    <t>Material Category</t>
  </si>
  <si>
    <t>Gov Ceiling %</t>
  </si>
  <si>
    <t>Proposed %</t>
  </si>
  <si>
    <t>Compliance</t>
  </si>
  <si>
    <t>Standard Materials</t>
  </si>
  <si>
    <t>Electrical Components</t>
  </si>
  <si>
    <t>Mechanical / Generator Components</t>
  </si>
  <si>
    <t>Plumbing Materials</t>
  </si>
  <si>
    <t>Emergency Procurement</t>
  </si>
  <si>
    <t>Provide proposed travel rates only if travel is separately reimbursable under the solicitation or call order.</t>
  </si>
  <si>
    <t>Mileage, lodging, per diem, and vehicle rental may be entered where applicable.</t>
  </si>
  <si>
    <t>Travel reimbursement may be limited by GSA rates, actual cost, or call-order terms.</t>
  </si>
  <si>
    <t>Travel Item</t>
  </si>
  <si>
    <t>Proposed Rate</t>
  </si>
  <si>
    <t>Mileage ($/mile)</t>
  </si>
  <si>
    <t>Lodging ($/night if authorized)</t>
  </si>
  <si>
    <t>Per Diem ($/day if authorized)</t>
  </si>
  <si>
    <t>This worksheet contains Government evaluation scenarios used to compare proposed pricing among offerors.</t>
  </si>
  <si>
    <t>Do not modify scenario assumptions, labor hours, or formulas in this tab.</t>
  </si>
  <si>
    <t>Scenario totals may be used for price evaluation purposes.</t>
  </si>
  <si>
    <t>Government Evaluation Scenario (Do Not Edit Assumptions)</t>
  </si>
  <si>
    <t>Rate</t>
  </si>
  <si>
    <t>Extended</t>
  </si>
  <si>
    <t>Trip Charge</t>
  </si>
  <si>
    <t>Emergency Mobilization</t>
  </si>
  <si>
    <t>Scenario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</si>
</sst>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4" fontId="0" fillId="3" borderId="0" xfId="0" applyNumberFormat="1" applyFill="1" applyProtection="1">
      <protection locked="0"/>
    </xf>
    <xf numFmtId="165" fontId="0" fillId="3" borderId="0" xfId="0" applyNumberFormat="1" applyFill="1" applyProtection="1">
      <protection locked="0"/>
    </xf>
    <xf numFmtId="164" fontId="0" fillId="0" borderId="0" xfId="0" applyNumberFormat="1"/>
    <xf numFmtId="0" fontId="0" fillId="3" borderId="0" xfId="0" applyFill="1" applyProtection="1">
      <protection locked="0"/>
    </xf>
    <xf numFmtId="165" fontId="0" fillId="0" borderId="0" xfId="0" applyNumberFormat="1"/>
    <xf numFmtId="0" fontId="4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workbookViewId="0">
      <selection activeCell="A5" sqref="A5"/>
    </sheetView>
  </sheetViews>
  <sheetFormatPr defaultRowHeight="15" x14ac:dyDescent="0.25"/>
  <cols>
    <col min="1" max="1" width="130" customWidth="1"/>
  </cols>
  <sheetData>
    <row r="1" spans="1:1" ht="18.75" x14ac:dyDescent="0.3">
      <c r="A1" s="1" t="s">
        <v>0</v>
      </c>
    </row>
    <row r="3" spans="1:1" ht="15.75" x14ac:dyDescent="0.25">
      <c r="A3" s="9" t="s">
        <v>1</v>
      </c>
    </row>
    <row r="5" spans="1:1" ht="30" x14ac:dyDescent="0.25">
      <c r="A5" s="10" t="s">
        <v>2</v>
      </c>
    </row>
    <row r="6" spans="1:1" x14ac:dyDescent="0.25">
      <c r="A6" s="10"/>
    </row>
    <row r="7" spans="1:1" x14ac:dyDescent="0.25">
      <c r="A7" s="11" t="s">
        <v>3</v>
      </c>
    </row>
    <row r="8" spans="1:1" ht="30" x14ac:dyDescent="0.25">
      <c r="A8" s="10" t="s">
        <v>4</v>
      </c>
    </row>
    <row r="9" spans="1:1" ht="30" x14ac:dyDescent="0.25">
      <c r="A9" s="10" t="s">
        <v>5</v>
      </c>
    </row>
    <row r="10" spans="1:1" x14ac:dyDescent="0.25">
      <c r="A10" s="10" t="s">
        <v>6</v>
      </c>
    </row>
    <row r="11" spans="1:1" ht="30" x14ac:dyDescent="0.25">
      <c r="A11" s="10" t="s">
        <v>7</v>
      </c>
    </row>
    <row r="12" spans="1:1" ht="30" x14ac:dyDescent="0.25">
      <c r="A12" s="10" t="s">
        <v>8</v>
      </c>
    </row>
    <row r="13" spans="1:1" x14ac:dyDescent="0.25">
      <c r="A13" s="10" t="s">
        <v>9</v>
      </c>
    </row>
    <row r="14" spans="1:1" x14ac:dyDescent="0.25">
      <c r="A14" s="10" t="s">
        <v>10</v>
      </c>
    </row>
    <row r="15" spans="1:1" x14ac:dyDescent="0.25">
      <c r="A15" s="10" t="s">
        <v>11</v>
      </c>
    </row>
    <row r="16" spans="1:1" x14ac:dyDescent="0.25">
      <c r="A16" s="10" t="s">
        <v>12</v>
      </c>
    </row>
    <row r="17" spans="1:1" x14ac:dyDescent="0.25">
      <c r="A17" s="10"/>
    </row>
    <row r="18" spans="1:1" x14ac:dyDescent="0.25">
      <c r="A18" s="11" t="s">
        <v>13</v>
      </c>
    </row>
    <row r="19" spans="1:1" ht="30" x14ac:dyDescent="0.25">
      <c r="A19" s="10" t="s">
        <v>14</v>
      </c>
    </row>
    <row r="20" spans="1:1" x14ac:dyDescent="0.25">
      <c r="A20" s="10"/>
    </row>
    <row r="21" spans="1:1" x14ac:dyDescent="0.25">
      <c r="A21" s="11" t="s">
        <v>15</v>
      </c>
    </row>
    <row r="22" spans="1:1" ht="30" x14ac:dyDescent="0.25">
      <c r="A22" s="10" t="s">
        <v>16</v>
      </c>
    </row>
  </sheetData>
  <sheetProtection selectLockedCells="1" selectUnlockedCell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workbookViewId="0">
      <pane ySplit="8" topLeftCell="A18" activePane="bottomLeft" state="frozen"/>
      <selection pane="bottomLeft" activeCell="D21" sqref="D21"/>
    </sheetView>
  </sheetViews>
  <sheetFormatPr defaultRowHeight="15" x14ac:dyDescent="0.25"/>
  <cols>
    <col min="1" max="1" width="40" customWidth="1"/>
    <col min="2" max="4" width="20" customWidth="1"/>
    <col min="5" max="5" width="35" customWidth="1"/>
  </cols>
  <sheetData>
    <row r="1" spans="1:5" ht="21.95" customHeight="1" x14ac:dyDescent="0.25">
      <c r="A1" s="14" t="s">
        <v>17</v>
      </c>
      <c r="B1" s="13"/>
      <c r="C1" s="13"/>
      <c r="D1" s="13"/>
      <c r="E1" s="13"/>
    </row>
    <row r="2" spans="1:5" ht="21.95" customHeight="1" x14ac:dyDescent="0.25">
      <c r="A2" s="12" t="s">
        <v>18</v>
      </c>
      <c r="B2" s="13"/>
      <c r="C2" s="13"/>
      <c r="D2" s="13"/>
      <c r="E2" s="13"/>
    </row>
    <row r="3" spans="1:5" ht="21.95" customHeight="1" x14ac:dyDescent="0.25">
      <c r="A3" s="12" t="s">
        <v>19</v>
      </c>
      <c r="B3" s="13"/>
      <c r="C3" s="13"/>
      <c r="D3" s="13"/>
      <c r="E3" s="13"/>
    </row>
    <row r="4" spans="1:5" ht="21.95" customHeight="1" x14ac:dyDescent="0.25">
      <c r="A4" s="12" t="s">
        <v>20</v>
      </c>
      <c r="B4" s="13"/>
      <c r="C4" s="13"/>
      <c r="D4" s="13"/>
      <c r="E4" s="13"/>
    </row>
    <row r="5" spans="1:5" ht="21.95" customHeight="1" x14ac:dyDescent="0.25">
      <c r="A5" s="12" t="s">
        <v>21</v>
      </c>
      <c r="B5" s="13"/>
      <c r="C5" s="13"/>
      <c r="D5" s="13"/>
      <c r="E5" s="13"/>
    </row>
    <row r="6" spans="1:5" ht="21.95" customHeight="1" x14ac:dyDescent="0.25">
      <c r="A6" s="12" t="s">
        <v>22</v>
      </c>
      <c r="B6" s="13"/>
      <c r="C6" s="13"/>
      <c r="D6" s="13"/>
      <c r="E6" s="13"/>
    </row>
    <row r="8" spans="1:5" ht="30" x14ac:dyDescent="0.25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</row>
    <row r="9" spans="1:5" x14ac:dyDescent="0.25">
      <c r="A9" t="s">
        <v>28</v>
      </c>
      <c r="B9" s="4"/>
      <c r="C9" s="5"/>
      <c r="D9" s="6" t="str">
        <f t="shared" ref="D9:D24" si="0">IF(B9="","",B9*(1+C9))</f>
        <v/>
      </c>
      <c r="E9" s="7"/>
    </row>
    <row r="10" spans="1:5" x14ac:dyDescent="0.25">
      <c r="A10" t="s">
        <v>29</v>
      </c>
      <c r="B10" s="4"/>
      <c r="C10" s="5"/>
      <c r="D10" s="6" t="str">
        <f t="shared" si="0"/>
        <v/>
      </c>
      <c r="E10" s="7"/>
    </row>
    <row r="11" spans="1:5" x14ac:dyDescent="0.25">
      <c r="A11" t="s">
        <v>30</v>
      </c>
      <c r="B11" s="4"/>
      <c r="C11" s="5"/>
      <c r="D11" s="6" t="str">
        <f t="shared" si="0"/>
        <v/>
      </c>
      <c r="E11" s="7"/>
    </row>
    <row r="12" spans="1:5" x14ac:dyDescent="0.25">
      <c r="A12" t="s">
        <v>31</v>
      </c>
      <c r="B12" s="4"/>
      <c r="C12" s="5"/>
      <c r="D12" s="6" t="str">
        <f t="shared" si="0"/>
        <v/>
      </c>
      <c r="E12" s="7"/>
    </row>
    <row r="13" spans="1:5" x14ac:dyDescent="0.25">
      <c r="A13" t="s">
        <v>32</v>
      </c>
      <c r="B13" s="4"/>
      <c r="C13" s="5"/>
      <c r="D13" s="6" t="str">
        <f t="shared" si="0"/>
        <v/>
      </c>
      <c r="E13" s="7"/>
    </row>
    <row r="14" spans="1:5" x14ac:dyDescent="0.25">
      <c r="A14" t="s">
        <v>33</v>
      </c>
      <c r="B14" s="4"/>
      <c r="C14" s="5"/>
      <c r="D14" s="6" t="str">
        <f t="shared" si="0"/>
        <v/>
      </c>
      <c r="E14" s="7"/>
    </row>
    <row r="15" spans="1:5" x14ac:dyDescent="0.25">
      <c r="A15" t="s">
        <v>34</v>
      </c>
      <c r="B15" s="4"/>
      <c r="C15" s="5"/>
      <c r="D15" s="6" t="str">
        <f t="shared" si="0"/>
        <v/>
      </c>
      <c r="E15" s="7"/>
    </row>
    <row r="16" spans="1:5" x14ac:dyDescent="0.25">
      <c r="A16" t="s">
        <v>35</v>
      </c>
      <c r="B16" s="4"/>
      <c r="C16" s="5"/>
      <c r="D16" s="6" t="str">
        <f t="shared" si="0"/>
        <v/>
      </c>
      <c r="E16" s="7"/>
    </row>
    <row r="17" spans="1:5" x14ac:dyDescent="0.25">
      <c r="A17" t="s">
        <v>36</v>
      </c>
      <c r="B17" s="4"/>
      <c r="C17" s="5"/>
      <c r="D17" s="6" t="str">
        <f t="shared" si="0"/>
        <v/>
      </c>
      <c r="E17" s="7"/>
    </row>
    <row r="18" spans="1:5" x14ac:dyDescent="0.25">
      <c r="A18" t="s">
        <v>37</v>
      </c>
      <c r="B18" s="4"/>
      <c r="C18" s="5"/>
      <c r="D18" s="6" t="str">
        <f t="shared" si="0"/>
        <v/>
      </c>
      <c r="E18" s="7"/>
    </row>
    <row r="19" spans="1:5" x14ac:dyDescent="0.25">
      <c r="A19" t="s">
        <v>38</v>
      </c>
      <c r="B19" s="4"/>
      <c r="C19" s="5"/>
      <c r="D19" s="6" t="str">
        <f t="shared" si="0"/>
        <v/>
      </c>
      <c r="E19" s="7"/>
    </row>
    <row r="20" spans="1:5" x14ac:dyDescent="0.25">
      <c r="A20" t="s">
        <v>39</v>
      </c>
      <c r="B20" s="4"/>
      <c r="C20" s="5"/>
      <c r="D20" s="6" t="str">
        <f t="shared" si="0"/>
        <v/>
      </c>
      <c r="E20" s="7"/>
    </row>
    <row r="21" spans="1:5" x14ac:dyDescent="0.25">
      <c r="A21" t="s">
        <v>40</v>
      </c>
      <c r="B21" s="4"/>
      <c r="C21" s="5"/>
      <c r="D21" s="6" t="str">
        <f t="shared" si="0"/>
        <v/>
      </c>
      <c r="E21" s="7"/>
    </row>
    <row r="22" spans="1:5" x14ac:dyDescent="0.25">
      <c r="A22" t="s">
        <v>41</v>
      </c>
      <c r="B22" s="4"/>
      <c r="C22" s="5"/>
      <c r="D22" s="6" t="str">
        <f t="shared" si="0"/>
        <v/>
      </c>
      <c r="E22" s="7"/>
    </row>
    <row r="23" spans="1:5" x14ac:dyDescent="0.25">
      <c r="A23" t="s">
        <v>42</v>
      </c>
      <c r="B23" s="4"/>
      <c r="C23" s="5"/>
      <c r="D23" s="6" t="str">
        <f t="shared" si="0"/>
        <v/>
      </c>
      <c r="E23" s="7"/>
    </row>
    <row r="24" spans="1:5" x14ac:dyDescent="0.25">
      <c r="A24" t="s">
        <v>43</v>
      </c>
      <c r="B24" s="4"/>
      <c r="C24" s="5"/>
      <c r="D24" s="6" t="str">
        <f t="shared" si="0"/>
        <v/>
      </c>
      <c r="E24" s="7"/>
    </row>
  </sheetData>
  <sheetProtection selectLockedCells="1" selectUnlockedCells="1"/>
  <mergeCells count="6">
    <mergeCell ref="A4:E4"/>
    <mergeCell ref="A2:E2"/>
    <mergeCell ref="A1:E1"/>
    <mergeCell ref="A5:E5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pane ySplit="8" topLeftCell="A9" activePane="bottomLeft" state="frozen"/>
      <selection pane="bottomLeft" activeCell="B9" sqref="B9"/>
    </sheetView>
  </sheetViews>
  <sheetFormatPr defaultRowHeight="15" x14ac:dyDescent="0.25"/>
  <cols>
    <col min="1" max="1" width="40" customWidth="1"/>
    <col min="2" max="3" width="20" customWidth="1"/>
    <col min="4" max="4" width="40" customWidth="1"/>
  </cols>
  <sheetData>
    <row r="1" spans="1:5" ht="21.95" customHeight="1" x14ac:dyDescent="0.25">
      <c r="A1" s="14" t="s">
        <v>17</v>
      </c>
      <c r="B1" s="13"/>
      <c r="C1" s="13"/>
      <c r="D1" s="13"/>
      <c r="E1" s="13"/>
    </row>
    <row r="2" spans="1:5" ht="21.95" customHeight="1" x14ac:dyDescent="0.25">
      <c r="A2" s="12" t="s">
        <v>44</v>
      </c>
      <c r="B2" s="13"/>
      <c r="C2" s="13"/>
      <c r="D2" s="13"/>
      <c r="E2" s="13"/>
    </row>
    <row r="3" spans="1:5" ht="21.95" customHeight="1" x14ac:dyDescent="0.25">
      <c r="A3" s="12" t="s">
        <v>45</v>
      </c>
      <c r="B3" s="13"/>
      <c r="C3" s="13"/>
      <c r="D3" s="13"/>
      <c r="E3" s="13"/>
    </row>
    <row r="4" spans="1:5" ht="21.95" customHeight="1" x14ac:dyDescent="0.25">
      <c r="A4" s="12" t="s">
        <v>46</v>
      </c>
      <c r="B4" s="13"/>
      <c r="C4" s="13"/>
      <c r="D4" s="13"/>
      <c r="E4" s="13"/>
    </row>
    <row r="5" spans="1:5" ht="21.95" customHeight="1" x14ac:dyDescent="0.25">
      <c r="A5" s="12" t="s">
        <v>47</v>
      </c>
      <c r="B5" s="13"/>
      <c r="C5" s="13"/>
      <c r="D5" s="13"/>
      <c r="E5" s="13"/>
    </row>
    <row r="6" spans="1:5" ht="21.95" customHeight="1" x14ac:dyDescent="0.25">
      <c r="A6" s="12" t="s">
        <v>48</v>
      </c>
      <c r="B6" s="13"/>
      <c r="C6" s="13"/>
      <c r="D6" s="13"/>
      <c r="E6" s="13"/>
    </row>
    <row r="8" spans="1:5" x14ac:dyDescent="0.25">
      <c r="A8" s="3" t="s">
        <v>49</v>
      </c>
      <c r="B8" s="3" t="s">
        <v>50</v>
      </c>
      <c r="C8" s="3" t="s">
        <v>51</v>
      </c>
      <c r="D8" s="3" t="s">
        <v>52</v>
      </c>
    </row>
    <row r="9" spans="1:5" x14ac:dyDescent="0.25">
      <c r="A9" t="s">
        <v>53</v>
      </c>
      <c r="B9" s="7"/>
      <c r="C9" t="s">
        <v>54</v>
      </c>
      <c r="D9" s="7"/>
    </row>
    <row r="10" spans="1:5" x14ac:dyDescent="0.25">
      <c r="A10" t="s">
        <v>55</v>
      </c>
      <c r="B10" s="7"/>
      <c r="C10" t="s">
        <v>54</v>
      </c>
      <c r="D10" s="7"/>
    </row>
    <row r="11" spans="1:5" x14ac:dyDescent="0.25">
      <c r="A11" t="s">
        <v>56</v>
      </c>
      <c r="B11" s="7"/>
      <c r="C11" t="s">
        <v>54</v>
      </c>
      <c r="D11" s="7"/>
    </row>
    <row r="12" spans="1:5" x14ac:dyDescent="0.25">
      <c r="A12" t="s">
        <v>57</v>
      </c>
      <c r="B12" s="7"/>
      <c r="C12" t="s">
        <v>58</v>
      </c>
      <c r="D12" s="7"/>
    </row>
    <row r="13" spans="1:5" x14ac:dyDescent="0.25">
      <c r="A13" t="s">
        <v>59</v>
      </c>
      <c r="B13" s="7"/>
      <c r="C13" t="s">
        <v>58</v>
      </c>
      <c r="D13" s="7"/>
    </row>
  </sheetData>
  <sheetProtection selectLockedCells="1" selectUnlockedCells="1"/>
  <mergeCells count="6">
    <mergeCell ref="A4:E4"/>
    <mergeCell ref="A2:E2"/>
    <mergeCell ref="A1:E1"/>
    <mergeCell ref="A5:E5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workbookViewId="0">
      <pane ySplit="8" topLeftCell="A9" activePane="bottomLeft" state="frozen"/>
      <selection pane="bottomLeft" activeCell="C9" sqref="C9:C13"/>
    </sheetView>
  </sheetViews>
  <sheetFormatPr defaultRowHeight="15" x14ac:dyDescent="0.25"/>
  <cols>
    <col min="1" max="1" width="40" customWidth="1"/>
    <col min="2" max="3" width="18" customWidth="1"/>
    <col min="4" max="4" width="20" customWidth="1"/>
  </cols>
  <sheetData>
    <row r="1" spans="1:4" ht="21.95" customHeight="1" x14ac:dyDescent="0.25">
      <c r="A1" s="14" t="s">
        <v>17</v>
      </c>
      <c r="B1" s="13"/>
      <c r="C1" s="13"/>
      <c r="D1" s="13"/>
    </row>
    <row r="2" spans="1:4" ht="21.95" customHeight="1" x14ac:dyDescent="0.25">
      <c r="A2" s="12" t="s">
        <v>60</v>
      </c>
      <c r="B2" s="13"/>
      <c r="C2" s="13"/>
      <c r="D2" s="13"/>
    </row>
    <row r="3" spans="1:4" ht="21.95" customHeight="1" x14ac:dyDescent="0.25">
      <c r="A3" s="12" t="s">
        <v>61</v>
      </c>
      <c r="B3" s="13"/>
      <c r="C3" s="13"/>
      <c r="D3" s="13"/>
    </row>
    <row r="4" spans="1:4" ht="21.95" customHeight="1" x14ac:dyDescent="0.25">
      <c r="A4" s="12" t="s">
        <v>62</v>
      </c>
      <c r="B4" s="13"/>
      <c r="C4" s="13"/>
      <c r="D4" s="13"/>
    </row>
    <row r="5" spans="1:4" ht="21.95" customHeight="1" x14ac:dyDescent="0.25">
      <c r="A5" s="12" t="s">
        <v>63</v>
      </c>
      <c r="B5" s="13"/>
      <c r="C5" s="13"/>
      <c r="D5" s="13"/>
    </row>
    <row r="6" spans="1:4" ht="21.95" customHeight="1" x14ac:dyDescent="0.25">
      <c r="A6" s="12" t="s">
        <v>64</v>
      </c>
      <c r="B6" s="13"/>
      <c r="C6" s="13"/>
      <c r="D6" s="13"/>
    </row>
    <row r="8" spans="1:4" x14ac:dyDescent="0.25">
      <c r="A8" s="3" t="s">
        <v>65</v>
      </c>
      <c r="B8" s="3" t="s">
        <v>66</v>
      </c>
      <c r="C8" s="3" t="s">
        <v>67</v>
      </c>
      <c r="D8" s="3" t="s">
        <v>68</v>
      </c>
    </row>
    <row r="9" spans="1:4" x14ac:dyDescent="0.25">
      <c r="A9" t="s">
        <v>69</v>
      </c>
      <c r="B9" s="8">
        <v>0.15</v>
      </c>
      <c r="C9" s="5"/>
      <c r="D9" t="str">
        <f>IF(C9="","",IF(C9&lt;=B9,"OK","EXCEEDS"))</f>
        <v/>
      </c>
    </row>
    <row r="10" spans="1:4" x14ac:dyDescent="0.25">
      <c r="A10" t="s">
        <v>70</v>
      </c>
      <c r="B10" s="8">
        <v>0.2</v>
      </c>
      <c r="C10" s="5"/>
      <c r="D10" t="str">
        <f>IF(C10="","",IF(C10&lt;=B10,"OK","EXCEEDS"))</f>
        <v/>
      </c>
    </row>
    <row r="11" spans="1:4" x14ac:dyDescent="0.25">
      <c r="A11" t="s">
        <v>71</v>
      </c>
      <c r="B11" s="8">
        <v>0.2</v>
      </c>
      <c r="C11" s="5"/>
      <c r="D11" t="str">
        <f>IF(C11="","",IF(C11&lt;=B11,"OK","EXCEEDS"))</f>
        <v/>
      </c>
    </row>
    <row r="12" spans="1:4" x14ac:dyDescent="0.25">
      <c r="A12" t="s">
        <v>72</v>
      </c>
      <c r="B12" s="8">
        <v>0.15</v>
      </c>
      <c r="C12" s="5"/>
      <c r="D12" t="str">
        <f>IF(C12="","",IF(C12&lt;=B12,"OK","EXCEEDS"))</f>
        <v/>
      </c>
    </row>
    <row r="13" spans="1:4" x14ac:dyDescent="0.25">
      <c r="A13" t="s">
        <v>73</v>
      </c>
      <c r="B13" s="8">
        <v>0.25</v>
      </c>
      <c r="C13" s="5"/>
      <c r="D13" t="str">
        <f>IF(C13="","",IF(C613&lt;=B13,"OK","EXCEEDS"))</f>
        <v/>
      </c>
    </row>
  </sheetData>
  <sheetProtection selectLockedCells="1" selectUnlockedCells="1"/>
  <mergeCells count="6">
    <mergeCell ref="A1:D1"/>
    <mergeCell ref="A5:D5"/>
    <mergeCell ref="A6:D6"/>
    <mergeCell ref="A4:D4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>
      <pane ySplit="6" topLeftCell="A7" activePane="bottomLeft" state="frozen"/>
      <selection pane="bottomLeft" activeCell="B7" sqref="B7"/>
    </sheetView>
  </sheetViews>
  <sheetFormatPr defaultRowHeight="15" x14ac:dyDescent="0.25"/>
  <cols>
    <col min="1" max="1" width="35" customWidth="1"/>
    <col min="2" max="2" width="20" customWidth="1"/>
    <col min="3" max="3" width="50" customWidth="1"/>
  </cols>
  <sheetData>
    <row r="1" spans="1:3" ht="21.95" customHeight="1" x14ac:dyDescent="0.25">
      <c r="A1" s="14" t="s">
        <v>17</v>
      </c>
      <c r="B1" s="13"/>
      <c r="C1" s="13"/>
    </row>
    <row r="2" spans="1:3" ht="21.95" customHeight="1" x14ac:dyDescent="0.25">
      <c r="A2" s="12" t="s">
        <v>74</v>
      </c>
      <c r="B2" s="13"/>
      <c r="C2" s="13"/>
    </row>
    <row r="3" spans="1:3" ht="21.95" customHeight="1" x14ac:dyDescent="0.25">
      <c r="A3" s="12" t="s">
        <v>75</v>
      </c>
      <c r="B3" s="13"/>
      <c r="C3" s="13"/>
    </row>
    <row r="4" spans="1:3" ht="21.95" customHeight="1" x14ac:dyDescent="0.25">
      <c r="A4" s="12" t="s">
        <v>76</v>
      </c>
      <c r="B4" s="13"/>
      <c r="C4" s="13"/>
    </row>
    <row r="6" spans="1:3" x14ac:dyDescent="0.25">
      <c r="A6" s="3" t="s">
        <v>77</v>
      </c>
      <c r="B6" s="3" t="s">
        <v>78</v>
      </c>
      <c r="C6" s="3" t="s">
        <v>52</v>
      </c>
    </row>
    <row r="7" spans="1:3" x14ac:dyDescent="0.25">
      <c r="A7" t="s">
        <v>79</v>
      </c>
      <c r="B7" s="7"/>
      <c r="C7" s="7"/>
    </row>
    <row r="8" spans="1:3" x14ac:dyDescent="0.25">
      <c r="A8" t="s">
        <v>80</v>
      </c>
      <c r="B8" s="7"/>
      <c r="C8" s="7"/>
    </row>
    <row r="9" spans="1:3" x14ac:dyDescent="0.25">
      <c r="A9" t="s">
        <v>81</v>
      </c>
      <c r="B9" s="7"/>
      <c r="C9" s="7"/>
    </row>
  </sheetData>
  <sheetProtection selectLockedCells="1" selectUnlockedCells="1"/>
  <mergeCells count="4">
    <mergeCell ref="A1:C1"/>
    <mergeCell ref="A4:C4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tabSelected="1" workbookViewId="0">
      <pane ySplit="6" topLeftCell="A7" activePane="bottomLeft" state="frozen"/>
      <selection pane="bottomLeft" activeCell="D9" sqref="D9"/>
    </sheetView>
  </sheetViews>
  <sheetFormatPr defaultRowHeight="15" x14ac:dyDescent="0.25"/>
  <cols>
    <col min="1" max="1" width="40" customWidth="1"/>
    <col min="2" max="2" width="10" customWidth="1"/>
    <col min="3" max="3" width="15" customWidth="1"/>
    <col min="4" max="4" width="20" customWidth="1"/>
  </cols>
  <sheetData>
    <row r="1" spans="1:6" ht="21.95" customHeight="1" x14ac:dyDescent="0.25">
      <c r="A1" s="14" t="s">
        <v>17</v>
      </c>
      <c r="B1" s="13"/>
      <c r="C1" s="13"/>
      <c r="D1" s="13"/>
      <c r="E1" s="13"/>
      <c r="F1" s="13"/>
    </row>
    <row r="2" spans="1:6" ht="21.95" customHeight="1" x14ac:dyDescent="0.25">
      <c r="A2" s="12" t="s">
        <v>82</v>
      </c>
      <c r="B2" s="13"/>
      <c r="C2" s="13"/>
      <c r="D2" s="13"/>
      <c r="E2" s="13"/>
      <c r="F2" s="13"/>
    </row>
    <row r="3" spans="1:6" ht="21.95" customHeight="1" x14ac:dyDescent="0.25">
      <c r="A3" s="12" t="s">
        <v>83</v>
      </c>
      <c r="B3" s="13"/>
      <c r="C3" s="13"/>
      <c r="D3" s="13"/>
      <c r="E3" s="13"/>
      <c r="F3" s="13"/>
    </row>
    <row r="4" spans="1:6" ht="21.95" customHeight="1" x14ac:dyDescent="0.25">
      <c r="A4" s="12" t="s">
        <v>84</v>
      </c>
      <c r="B4" s="13"/>
      <c r="C4" s="13"/>
      <c r="D4" s="13"/>
      <c r="E4" s="13"/>
      <c r="F4" s="13"/>
    </row>
    <row r="6" spans="1:6" x14ac:dyDescent="0.25">
      <c r="A6" s="2" t="s">
        <v>85</v>
      </c>
    </row>
    <row r="8" spans="1:6" x14ac:dyDescent="0.25">
      <c r="A8" s="3" t="s">
        <v>23</v>
      </c>
      <c r="B8" s="3" t="s">
        <v>58</v>
      </c>
      <c r="C8" s="3" t="s">
        <v>86</v>
      </c>
      <c r="D8" s="3" t="s">
        <v>87</v>
      </c>
    </row>
    <row r="9" spans="1:6" x14ac:dyDescent="0.25">
      <c r="A9" t="s">
        <v>36</v>
      </c>
      <c r="B9">
        <v>6</v>
      </c>
      <c r="C9">
        <f>INDEX('Labor Rates'!B9:B24,MATCH(A9,'Labor Rates'!A9:A24,0))</f>
        <v>0</v>
      </c>
      <c r="D9">
        <f>B9*C9</f>
        <v>0</v>
      </c>
    </row>
    <row r="10" spans="1:6" x14ac:dyDescent="0.25">
      <c r="A10" t="s">
        <v>37</v>
      </c>
      <c r="B10">
        <v>4</v>
      </c>
      <c r="C10">
        <f>INDEX('Labor Rates'!B9:B24,MATCH(A10,'Labor Rates'!A9:A24,0))</f>
        <v>0</v>
      </c>
      <c r="D10">
        <f>B10*C10</f>
        <v>0</v>
      </c>
    </row>
    <row r="11" spans="1:6" x14ac:dyDescent="0.25">
      <c r="A11" t="s">
        <v>29</v>
      </c>
      <c r="B11">
        <v>4</v>
      </c>
      <c r="C11">
        <f>INDEX('Labor Rates'!B9:B24,MATCH(A11,'Labor Rates'!A9:A24,0))</f>
        <v>0</v>
      </c>
      <c r="D11">
        <f>B11*C11</f>
        <v>0</v>
      </c>
    </row>
    <row r="13" spans="1:6" x14ac:dyDescent="0.25">
      <c r="A13" t="s">
        <v>88</v>
      </c>
      <c r="C13">
        <f>'Fees &amp; Minimums'!B9</f>
        <v>0</v>
      </c>
      <c r="D13">
        <f>C13</f>
        <v>0</v>
      </c>
    </row>
    <row r="14" spans="1:6" x14ac:dyDescent="0.25">
      <c r="A14" t="s">
        <v>89</v>
      </c>
      <c r="C14">
        <f>'Fees &amp; Minimums'!B11</f>
        <v>0</v>
      </c>
      <c r="D14">
        <f>C14</f>
        <v>0</v>
      </c>
    </row>
    <row r="16" spans="1:6" x14ac:dyDescent="0.25">
      <c r="A16" t="s">
        <v>90</v>
      </c>
      <c r="D16" s="2">
        <f>SUM(D9:D14)</f>
        <v>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Labor Rates</vt:lpstr>
      <vt:lpstr>Fees &amp; Minimums</vt:lpstr>
      <vt:lpstr>Material Markups</vt:lpstr>
      <vt:lpstr>Travel</vt:lpstr>
      <vt:lpstr>Sample Call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Cruz, Ana (IHS/ALB/AO) [C]</cp:lastModifiedBy>
  <dcterms:created xsi:type="dcterms:W3CDTF">2026-03-13T19:51:30Z</dcterms:created>
  <dcterms:modified xsi:type="dcterms:W3CDTF">2026-05-05T17:25:45Z</dcterms:modified>
</cp:coreProperties>
</file>