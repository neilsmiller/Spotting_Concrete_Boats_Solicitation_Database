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xmlns:mc="http://schemas.openxmlformats.org/markup-compatibility/2006">
    <mc:Choice Requires="x15">
      <x15ac:absPath xmlns:x15ac="http://schemas.microsoft.com/office/spreadsheetml/2010/11/ac" url="https://dvagov-my.sharepoint.com/personal/michael_andrews6_va_gov/Documents/Desktop/Combi Oven RFQ/"/>
    </mc:Choice>
  </mc:AlternateContent>
  <xr:revisionPtr revIDLastSave="583" documentId="8_{E5B52AB5-1CBC-4D46-BC44-9652A71F42FF}" xr6:coauthVersionLast="47" xr6:coauthVersionMax="47" xr10:uidLastSave="{19E5F450-EAAE-4C71-A550-75087F3DE9EE}"/>
  <bookViews>
    <workbookView xWindow="-120" yWindow="-120" windowWidth="29040" windowHeight="15720" xr2:uid="{EF477A32-2647-49D5-BE21-2DDE84E6421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N42" i="1" l="1"/>
  <c r="AN43" i="1"/>
  <c r="AN44" i="1"/>
  <c r="AN45" i="1"/>
  <c r="AN46" i="1"/>
  <c r="AN47" i="1"/>
  <c r="AN48" i="1"/>
  <c r="AN49" i="1"/>
  <c r="AN50" i="1"/>
  <c r="AN51" i="1"/>
  <c r="AN52" i="1"/>
  <c r="AN53" i="1"/>
  <c r="AN54" i="1"/>
  <c r="AN55" i="1"/>
  <c r="AN56" i="1"/>
  <c r="AN57" i="1"/>
  <c r="AN58" i="1"/>
  <c r="AN59" i="1"/>
  <c r="AN60" i="1"/>
  <c r="AN61" i="1"/>
  <c r="AN62" i="1"/>
  <c r="AN63" i="1"/>
  <c r="AG42" i="1"/>
  <c r="AH42" i="1"/>
  <c r="AI42" i="1"/>
  <c r="AJ42" i="1"/>
  <c r="AK42" i="1"/>
  <c r="AL42" i="1"/>
  <c r="AM42" i="1"/>
  <c r="AG43" i="1"/>
  <c r="AH43" i="1" s="1"/>
  <c r="AM43" i="1" s="1"/>
  <c r="AI43" i="1"/>
  <c r="AJ43" i="1"/>
  <c r="AK43" i="1"/>
  <c r="AL43" i="1"/>
  <c r="AG44" i="1"/>
  <c r="AH44" i="1"/>
  <c r="AM44" i="1" s="1"/>
  <c r="AI44" i="1"/>
  <c r="AJ44" i="1"/>
  <c r="AK44" i="1"/>
  <c r="AL44" i="1"/>
  <c r="AG45" i="1"/>
  <c r="AH45" i="1"/>
  <c r="AI45" i="1"/>
  <c r="AJ45" i="1"/>
  <c r="AK45" i="1"/>
  <c r="AL45" i="1"/>
  <c r="AM45" i="1"/>
  <c r="AG46" i="1"/>
  <c r="AH46" i="1"/>
  <c r="AM46" i="1" s="1"/>
  <c r="AI46" i="1"/>
  <c r="AJ46" i="1"/>
  <c r="AK46" i="1"/>
  <c r="AL46" i="1"/>
  <c r="AG47" i="1"/>
  <c r="AH47" i="1"/>
  <c r="AI47" i="1"/>
  <c r="AJ47" i="1"/>
  <c r="AK47" i="1"/>
  <c r="AL47" i="1"/>
  <c r="AM47" i="1"/>
  <c r="AG48" i="1"/>
  <c r="AH48" i="1" s="1"/>
  <c r="AM48" i="1" s="1"/>
  <c r="AI48" i="1"/>
  <c r="AJ48" i="1"/>
  <c r="AK48" i="1"/>
  <c r="AL48" i="1"/>
  <c r="AG49" i="1"/>
  <c r="AH49" i="1"/>
  <c r="AM49" i="1" s="1"/>
  <c r="AI49" i="1"/>
  <c r="AJ49" i="1"/>
  <c r="AK49" i="1"/>
  <c r="AL49" i="1"/>
  <c r="AG50" i="1"/>
  <c r="AH50" i="1"/>
  <c r="AI50" i="1"/>
  <c r="AJ50" i="1"/>
  <c r="AK50" i="1"/>
  <c r="AL50" i="1"/>
  <c r="AM50" i="1"/>
  <c r="AG51" i="1"/>
  <c r="AH51" i="1"/>
  <c r="AM51" i="1" s="1"/>
  <c r="AI51" i="1"/>
  <c r="AJ51" i="1"/>
  <c r="AK51" i="1"/>
  <c r="AL51" i="1"/>
  <c r="AG52" i="1"/>
  <c r="AH52" i="1" s="1"/>
  <c r="AM52" i="1" s="1"/>
  <c r="AI52" i="1"/>
  <c r="AJ52" i="1"/>
  <c r="AK52" i="1"/>
  <c r="AL52" i="1"/>
  <c r="AG53" i="1"/>
  <c r="AH53" i="1"/>
  <c r="AM53" i="1" s="1"/>
  <c r="AI53" i="1"/>
  <c r="AJ53" i="1"/>
  <c r="AK53" i="1"/>
  <c r="AL53" i="1"/>
  <c r="AG54" i="1"/>
  <c r="AH54" i="1"/>
  <c r="AI54" i="1"/>
  <c r="AJ54" i="1"/>
  <c r="AK54" i="1"/>
  <c r="AL54" i="1"/>
  <c r="AM54" i="1"/>
  <c r="AG55" i="1"/>
  <c r="AH55" i="1" s="1"/>
  <c r="AM55" i="1" s="1"/>
  <c r="AI55" i="1"/>
  <c r="AJ55" i="1"/>
  <c r="AK55" i="1"/>
  <c r="AL55" i="1"/>
  <c r="AG56" i="1"/>
  <c r="AH56" i="1"/>
  <c r="AM56" i="1" s="1"/>
  <c r="AI56" i="1"/>
  <c r="AJ56" i="1"/>
  <c r="AK56" i="1"/>
  <c r="AL56" i="1"/>
  <c r="AG57" i="1"/>
  <c r="AH57" i="1"/>
  <c r="AI57" i="1"/>
  <c r="AJ57" i="1"/>
  <c r="AK57" i="1"/>
  <c r="AL57" i="1"/>
  <c r="AM57" i="1"/>
  <c r="AG58" i="1"/>
  <c r="AH58" i="1"/>
  <c r="AM58" i="1" s="1"/>
  <c r="AI58" i="1"/>
  <c r="AJ58" i="1"/>
  <c r="AK58" i="1"/>
  <c r="AL58" i="1"/>
  <c r="AG59" i="1"/>
  <c r="AH59" i="1"/>
  <c r="AI59" i="1"/>
  <c r="AJ59" i="1"/>
  <c r="AK59" i="1"/>
  <c r="AL59" i="1"/>
  <c r="AM59" i="1"/>
  <c r="AG60" i="1"/>
  <c r="AH60" i="1" s="1"/>
  <c r="AM60" i="1" s="1"/>
  <c r="AI60" i="1"/>
  <c r="AJ60" i="1"/>
  <c r="AK60" i="1"/>
  <c r="AL60" i="1"/>
  <c r="AG61" i="1"/>
  <c r="AH61" i="1"/>
  <c r="AM61" i="1" s="1"/>
  <c r="AI61" i="1"/>
  <c r="AJ61" i="1"/>
  <c r="AK61" i="1"/>
  <c r="AL61" i="1"/>
  <c r="AG62" i="1"/>
  <c r="AH62" i="1"/>
  <c r="AI62" i="1"/>
  <c r="AJ62" i="1"/>
  <c r="AK62" i="1"/>
  <c r="AL62" i="1"/>
  <c r="AM62" i="1"/>
  <c r="AG63" i="1"/>
  <c r="AH63" i="1"/>
  <c r="AM63" i="1" s="1"/>
  <c r="AI63" i="1"/>
  <c r="AJ63" i="1"/>
  <c r="AK63" i="1"/>
  <c r="AL63" i="1"/>
  <c r="AD42" i="1"/>
  <c r="AE42" i="1" s="1"/>
  <c r="AD43" i="1"/>
  <c r="AE43" i="1" s="1"/>
  <c r="AD44" i="1"/>
  <c r="AE44" i="1"/>
  <c r="AD45" i="1"/>
  <c r="AE45" i="1"/>
  <c r="AD46" i="1"/>
  <c r="AE46" i="1"/>
  <c r="AD47" i="1"/>
  <c r="AE47" i="1"/>
  <c r="AD48" i="1"/>
  <c r="AE48" i="1" s="1"/>
  <c r="AD49" i="1"/>
  <c r="AE49" i="1" s="1"/>
  <c r="AD50" i="1"/>
  <c r="AE50" i="1"/>
  <c r="AD51" i="1"/>
  <c r="AE51" i="1"/>
  <c r="AD52" i="1"/>
  <c r="AE52" i="1"/>
  <c r="AD53" i="1"/>
  <c r="AE53" i="1"/>
  <c r="AD54" i="1"/>
  <c r="AE54" i="1" s="1"/>
  <c r="AD55" i="1"/>
  <c r="AE55" i="1" s="1"/>
  <c r="AD56" i="1"/>
  <c r="AE56" i="1"/>
  <c r="AD57" i="1"/>
  <c r="AE57" i="1"/>
  <c r="AD58" i="1"/>
  <c r="AE58" i="1"/>
  <c r="AD59" i="1"/>
  <c r="AE59" i="1"/>
  <c r="AD60" i="1"/>
  <c r="AE60" i="1" s="1"/>
  <c r="AD61" i="1"/>
  <c r="AE61" i="1" s="1"/>
  <c r="AD62" i="1"/>
  <c r="AE62" i="1"/>
  <c r="AD63" i="1"/>
  <c r="AE63" i="1"/>
  <c r="AE41" i="1"/>
  <c r="AA42" i="1"/>
  <c r="AB42" i="1"/>
  <c r="AA43" i="1"/>
  <c r="AB43" i="1"/>
  <c r="AA44" i="1"/>
  <c r="AB44" i="1"/>
  <c r="AA45" i="1"/>
  <c r="AB45" i="1" s="1"/>
  <c r="AA46" i="1"/>
  <c r="AB46" i="1"/>
  <c r="AA47" i="1"/>
  <c r="AB47" i="1" s="1"/>
  <c r="AA48" i="1"/>
  <c r="AB48" i="1"/>
  <c r="AA49" i="1"/>
  <c r="AB49" i="1"/>
  <c r="AA50" i="1"/>
  <c r="AB50" i="1"/>
  <c r="AA51" i="1"/>
  <c r="AB51" i="1" s="1"/>
  <c r="AA52" i="1"/>
  <c r="AB52" i="1"/>
  <c r="AA53" i="1"/>
  <c r="AB53" i="1" s="1"/>
  <c r="AA54" i="1"/>
  <c r="AB54" i="1"/>
  <c r="AA55" i="1"/>
  <c r="AB55" i="1"/>
  <c r="AA56" i="1"/>
  <c r="AB56" i="1"/>
  <c r="AA57" i="1"/>
  <c r="AB57" i="1" s="1"/>
  <c r="AA58" i="1"/>
  <c r="AB58" i="1"/>
  <c r="AA59" i="1"/>
  <c r="AB59" i="1" s="1"/>
  <c r="AA60" i="1"/>
  <c r="AB60" i="1"/>
  <c r="AA61" i="1"/>
  <c r="AB61" i="1"/>
  <c r="AA62" i="1"/>
  <c r="AB62" i="1"/>
  <c r="AA63" i="1"/>
  <c r="AB63" i="1" s="1"/>
  <c r="X43" i="1"/>
  <c r="Y43" i="1"/>
  <c r="X44" i="1"/>
  <c r="Y44" i="1"/>
  <c r="X45" i="1"/>
  <c r="Y45" i="1" s="1"/>
  <c r="X46" i="1"/>
  <c r="Y46" i="1" s="1"/>
  <c r="X47" i="1"/>
  <c r="Y47" i="1" s="1"/>
  <c r="X48" i="1"/>
  <c r="Y48" i="1" s="1"/>
  <c r="X49" i="1"/>
  <c r="Y49" i="1"/>
  <c r="X50" i="1"/>
  <c r="Y50" i="1"/>
  <c r="X51" i="1"/>
  <c r="Y51" i="1" s="1"/>
  <c r="X52" i="1"/>
  <c r="Y52" i="1" s="1"/>
  <c r="X53" i="1"/>
  <c r="Y53" i="1"/>
  <c r="X54" i="1"/>
  <c r="Y54" i="1" s="1"/>
  <c r="X55" i="1"/>
  <c r="Y55" i="1"/>
  <c r="X56" i="1"/>
  <c r="Y56" i="1"/>
  <c r="X57" i="1"/>
  <c r="Y57" i="1" s="1"/>
  <c r="X58" i="1"/>
  <c r="Y58" i="1" s="1"/>
  <c r="X59" i="1"/>
  <c r="Y59" i="1" s="1"/>
  <c r="X60" i="1"/>
  <c r="Y60" i="1" s="1"/>
  <c r="X61" i="1"/>
  <c r="Y61" i="1"/>
  <c r="X62" i="1"/>
  <c r="Y62" i="1" s="1"/>
  <c r="X63" i="1"/>
  <c r="Y63" i="1" s="1"/>
  <c r="X42" i="1"/>
  <c r="Y42" i="1"/>
  <c r="U61" i="1"/>
  <c r="V61" i="1" s="1"/>
  <c r="U62" i="1"/>
  <c r="V62" i="1" s="1"/>
  <c r="U63" i="1"/>
  <c r="V42" i="1"/>
  <c r="V43" i="1"/>
  <c r="V44" i="1"/>
  <c r="V45" i="1"/>
  <c r="V46" i="1"/>
  <c r="V47" i="1"/>
  <c r="V48" i="1"/>
  <c r="V49" i="1"/>
  <c r="V50" i="1"/>
  <c r="V51" i="1"/>
  <c r="V52" i="1"/>
  <c r="V53" i="1"/>
  <c r="V54" i="1"/>
  <c r="V55" i="1"/>
  <c r="V56" i="1"/>
  <c r="V57" i="1"/>
  <c r="V58" i="1"/>
  <c r="V59" i="1"/>
  <c r="V60" i="1"/>
  <c r="V63" i="1"/>
  <c r="U43" i="1"/>
  <c r="U44" i="1"/>
  <c r="U45" i="1"/>
  <c r="U46" i="1"/>
  <c r="U47" i="1"/>
  <c r="U48" i="1"/>
  <c r="U49" i="1"/>
  <c r="U50" i="1"/>
  <c r="U51" i="1"/>
  <c r="U52" i="1"/>
  <c r="U53" i="1"/>
  <c r="U54" i="1"/>
  <c r="U55" i="1"/>
  <c r="U56" i="1"/>
  <c r="U57" i="1"/>
  <c r="U58" i="1"/>
  <c r="U59" i="1"/>
  <c r="U60" i="1"/>
  <c r="U42" i="1"/>
  <c r="U2" i="1" l="1"/>
  <c r="V2" i="1" s="1"/>
  <c r="AI2" i="1" s="1"/>
  <c r="X2" i="1"/>
  <c r="Y2" i="1" s="1"/>
  <c r="AJ2" i="1" s="1"/>
  <c r="AA2" i="1"/>
  <c r="AB2" i="1" s="1"/>
  <c r="AK2" i="1" s="1"/>
  <c r="AD2" i="1"/>
  <c r="AE2" i="1" s="1"/>
  <c r="AL2" i="1" s="1"/>
  <c r="AG2" i="1"/>
  <c r="AH2" i="1" s="1"/>
  <c r="AM2" i="1" s="1"/>
  <c r="U3" i="1"/>
  <c r="V3" i="1" s="1"/>
  <c r="AI3" i="1" s="1"/>
  <c r="X3" i="1"/>
  <c r="Y3" i="1" s="1"/>
  <c r="AJ3" i="1" s="1"/>
  <c r="AA3" i="1"/>
  <c r="AB3" i="1" s="1"/>
  <c r="AK3" i="1" s="1"/>
  <c r="AD3" i="1"/>
  <c r="AE3" i="1" s="1"/>
  <c r="AL3" i="1" s="1"/>
  <c r="AG3" i="1"/>
  <c r="AH3" i="1" s="1"/>
  <c r="AM3" i="1" s="1"/>
  <c r="U4" i="1"/>
  <c r="V4" i="1" s="1"/>
  <c r="AI4" i="1" s="1"/>
  <c r="X4" i="1"/>
  <c r="Y4" i="1" s="1"/>
  <c r="AJ4" i="1" s="1"/>
  <c r="AA4" i="1"/>
  <c r="AB4" i="1" s="1"/>
  <c r="AK4" i="1" s="1"/>
  <c r="AD4" i="1"/>
  <c r="AE4" i="1" s="1"/>
  <c r="AL4" i="1" s="1"/>
  <c r="AG4" i="1"/>
  <c r="AH4" i="1" s="1"/>
  <c r="AM4" i="1" s="1"/>
  <c r="U5" i="1"/>
  <c r="V5" i="1" s="1"/>
  <c r="AI5" i="1" s="1"/>
  <c r="X5" i="1"/>
  <c r="Y5" i="1" s="1"/>
  <c r="AJ5" i="1" s="1"/>
  <c r="AA5" i="1"/>
  <c r="AB5" i="1" s="1"/>
  <c r="AK5" i="1" s="1"/>
  <c r="AD5" i="1"/>
  <c r="AE5" i="1" s="1"/>
  <c r="AL5" i="1" s="1"/>
  <c r="AG5" i="1"/>
  <c r="AH5" i="1" s="1"/>
  <c r="AM5" i="1" s="1"/>
  <c r="U6" i="1"/>
  <c r="V6" i="1" s="1"/>
  <c r="AI6" i="1" s="1"/>
  <c r="X6" i="1"/>
  <c r="Y6" i="1" s="1"/>
  <c r="AJ6" i="1" s="1"/>
  <c r="AA6" i="1"/>
  <c r="AB6" i="1" s="1"/>
  <c r="AK6" i="1" s="1"/>
  <c r="AD6" i="1"/>
  <c r="AE6" i="1" s="1"/>
  <c r="AL6" i="1" s="1"/>
  <c r="AG6" i="1"/>
  <c r="AH6" i="1" s="1"/>
  <c r="AM6" i="1" s="1"/>
  <c r="U7" i="1"/>
  <c r="V7" i="1" s="1"/>
  <c r="AI7" i="1" s="1"/>
  <c r="X7" i="1"/>
  <c r="Y7" i="1" s="1"/>
  <c r="AJ7" i="1" s="1"/>
  <c r="AA7" i="1"/>
  <c r="AB7" i="1" s="1"/>
  <c r="AK7" i="1" s="1"/>
  <c r="AD7" i="1"/>
  <c r="AE7" i="1" s="1"/>
  <c r="AL7" i="1" s="1"/>
  <c r="AG7" i="1"/>
  <c r="AH7" i="1" s="1"/>
  <c r="AM7" i="1" s="1"/>
  <c r="U8" i="1"/>
  <c r="V8" i="1" s="1"/>
  <c r="AI8" i="1" s="1"/>
  <c r="X8" i="1"/>
  <c r="Y8" i="1" s="1"/>
  <c r="AJ8" i="1" s="1"/>
  <c r="AA8" i="1"/>
  <c r="AB8" i="1" s="1"/>
  <c r="AK8" i="1" s="1"/>
  <c r="AD8" i="1"/>
  <c r="AE8" i="1" s="1"/>
  <c r="AL8" i="1" s="1"/>
  <c r="AG8" i="1"/>
  <c r="AH8" i="1" s="1"/>
  <c r="AM8" i="1" s="1"/>
  <c r="U9" i="1"/>
  <c r="V9" i="1" s="1"/>
  <c r="AI9" i="1" s="1"/>
  <c r="X9" i="1"/>
  <c r="Y9" i="1" s="1"/>
  <c r="AJ9" i="1" s="1"/>
  <c r="AA9" i="1"/>
  <c r="AB9" i="1" s="1"/>
  <c r="AK9" i="1" s="1"/>
  <c r="AD9" i="1"/>
  <c r="AE9" i="1" s="1"/>
  <c r="AL9" i="1" s="1"/>
  <c r="AG9" i="1"/>
  <c r="AH9" i="1" s="1"/>
  <c r="AM9" i="1" s="1"/>
  <c r="U10" i="1"/>
  <c r="V10" i="1" s="1"/>
  <c r="AI10" i="1" s="1"/>
  <c r="X10" i="1"/>
  <c r="Y10" i="1" s="1"/>
  <c r="AJ10" i="1" s="1"/>
  <c r="AA10" i="1"/>
  <c r="AB10" i="1" s="1"/>
  <c r="AK10" i="1" s="1"/>
  <c r="AD10" i="1"/>
  <c r="AE10" i="1" s="1"/>
  <c r="AL10" i="1" s="1"/>
  <c r="AG10" i="1"/>
  <c r="AH10" i="1" s="1"/>
  <c r="AM10" i="1" s="1"/>
  <c r="U11" i="1"/>
  <c r="V11" i="1" s="1"/>
  <c r="AI11" i="1" s="1"/>
  <c r="X11" i="1"/>
  <c r="Y11" i="1" s="1"/>
  <c r="AJ11" i="1" s="1"/>
  <c r="AA11" i="1"/>
  <c r="AB11" i="1" s="1"/>
  <c r="AK11" i="1" s="1"/>
  <c r="AD11" i="1"/>
  <c r="AE11" i="1" s="1"/>
  <c r="AL11" i="1" s="1"/>
  <c r="AG11" i="1"/>
  <c r="AH11" i="1" s="1"/>
  <c r="AM11" i="1" s="1"/>
  <c r="U12" i="1"/>
  <c r="V12" i="1" s="1"/>
  <c r="AI12" i="1" s="1"/>
  <c r="X12" i="1"/>
  <c r="Y12" i="1" s="1"/>
  <c r="AJ12" i="1" s="1"/>
  <c r="AA12" i="1"/>
  <c r="AB12" i="1" s="1"/>
  <c r="AK12" i="1" s="1"/>
  <c r="AD12" i="1"/>
  <c r="AE12" i="1" s="1"/>
  <c r="AL12" i="1" s="1"/>
  <c r="AG12" i="1"/>
  <c r="AH12" i="1" s="1"/>
  <c r="AM12" i="1" s="1"/>
  <c r="U13" i="1"/>
  <c r="V13" i="1" s="1"/>
  <c r="AI13" i="1" s="1"/>
  <c r="X13" i="1"/>
  <c r="Y13" i="1" s="1"/>
  <c r="AJ13" i="1" s="1"/>
  <c r="AA13" i="1"/>
  <c r="AB13" i="1" s="1"/>
  <c r="AK13" i="1" s="1"/>
  <c r="AD13" i="1"/>
  <c r="AE13" i="1" s="1"/>
  <c r="AL13" i="1" s="1"/>
  <c r="AG13" i="1"/>
  <c r="AH13" i="1" s="1"/>
  <c r="AM13" i="1" s="1"/>
  <c r="U14" i="1"/>
  <c r="V14" i="1" s="1"/>
  <c r="AI14" i="1" s="1"/>
  <c r="X14" i="1"/>
  <c r="Y14" i="1" s="1"/>
  <c r="AJ14" i="1" s="1"/>
  <c r="AA14" i="1"/>
  <c r="AB14" i="1" s="1"/>
  <c r="AK14" i="1" s="1"/>
  <c r="AD14" i="1"/>
  <c r="AE14" i="1" s="1"/>
  <c r="AL14" i="1" s="1"/>
  <c r="AG14" i="1"/>
  <c r="AH14" i="1" s="1"/>
  <c r="AM14" i="1" s="1"/>
  <c r="U15" i="1"/>
  <c r="V15" i="1" s="1"/>
  <c r="AI15" i="1" s="1"/>
  <c r="X15" i="1"/>
  <c r="Y15" i="1" s="1"/>
  <c r="AJ15" i="1" s="1"/>
  <c r="AA15" i="1"/>
  <c r="AB15" i="1" s="1"/>
  <c r="AK15" i="1" s="1"/>
  <c r="AD15" i="1"/>
  <c r="AE15" i="1" s="1"/>
  <c r="AL15" i="1" s="1"/>
  <c r="AG15" i="1"/>
  <c r="AH15" i="1" s="1"/>
  <c r="AM15" i="1" s="1"/>
  <c r="U16" i="1"/>
  <c r="V16" i="1" s="1"/>
  <c r="AI16" i="1" s="1"/>
  <c r="X16" i="1"/>
  <c r="Y16" i="1" s="1"/>
  <c r="AJ16" i="1" s="1"/>
  <c r="AA16" i="1"/>
  <c r="AB16" i="1" s="1"/>
  <c r="AK16" i="1" s="1"/>
  <c r="AD16" i="1"/>
  <c r="AE16" i="1" s="1"/>
  <c r="AL16" i="1" s="1"/>
  <c r="AG16" i="1"/>
  <c r="AH16" i="1" s="1"/>
  <c r="AM16" i="1" s="1"/>
  <c r="U17" i="1"/>
  <c r="V17" i="1" s="1"/>
  <c r="AI17" i="1" s="1"/>
  <c r="X17" i="1"/>
  <c r="Y17" i="1" s="1"/>
  <c r="AJ17" i="1" s="1"/>
  <c r="AA17" i="1"/>
  <c r="AB17" i="1" s="1"/>
  <c r="AK17" i="1" s="1"/>
  <c r="AD17" i="1"/>
  <c r="AE17" i="1" s="1"/>
  <c r="AL17" i="1" s="1"/>
  <c r="AG17" i="1"/>
  <c r="AH17" i="1" s="1"/>
  <c r="AM17" i="1" s="1"/>
  <c r="U18" i="1"/>
  <c r="V18" i="1" s="1"/>
  <c r="AI18" i="1" s="1"/>
  <c r="X18" i="1"/>
  <c r="Y18" i="1" s="1"/>
  <c r="AJ18" i="1" s="1"/>
  <c r="AA18" i="1"/>
  <c r="AB18" i="1" s="1"/>
  <c r="AK18" i="1" s="1"/>
  <c r="AD18" i="1"/>
  <c r="AE18" i="1" s="1"/>
  <c r="AL18" i="1" s="1"/>
  <c r="AG18" i="1"/>
  <c r="AH18" i="1" s="1"/>
  <c r="AM18" i="1" s="1"/>
  <c r="U19" i="1"/>
  <c r="V19" i="1" s="1"/>
  <c r="AI19" i="1" s="1"/>
  <c r="X19" i="1"/>
  <c r="Y19" i="1" s="1"/>
  <c r="AJ19" i="1" s="1"/>
  <c r="AA19" i="1"/>
  <c r="AB19" i="1" s="1"/>
  <c r="AK19" i="1" s="1"/>
  <c r="AD19" i="1"/>
  <c r="AE19" i="1" s="1"/>
  <c r="AL19" i="1" s="1"/>
  <c r="AG19" i="1"/>
  <c r="AH19" i="1" s="1"/>
  <c r="AM19" i="1" s="1"/>
  <c r="U20" i="1"/>
  <c r="V20" i="1" s="1"/>
  <c r="AI20" i="1" s="1"/>
  <c r="X20" i="1"/>
  <c r="Y20" i="1" s="1"/>
  <c r="AJ20" i="1" s="1"/>
  <c r="AA20" i="1"/>
  <c r="AB20" i="1" s="1"/>
  <c r="AK20" i="1" s="1"/>
  <c r="AD20" i="1"/>
  <c r="AE20" i="1" s="1"/>
  <c r="AL20" i="1" s="1"/>
  <c r="AG20" i="1"/>
  <c r="AH20" i="1" s="1"/>
  <c r="AM20" i="1" s="1"/>
  <c r="U21" i="1"/>
  <c r="V21" i="1" s="1"/>
  <c r="AI21" i="1" s="1"/>
  <c r="X21" i="1"/>
  <c r="Y21" i="1" s="1"/>
  <c r="AJ21" i="1" s="1"/>
  <c r="AA21" i="1"/>
  <c r="AB21" i="1" s="1"/>
  <c r="AK21" i="1" s="1"/>
  <c r="AD21" i="1"/>
  <c r="AE21" i="1" s="1"/>
  <c r="AL21" i="1" s="1"/>
  <c r="AG21" i="1"/>
  <c r="AH21" i="1" s="1"/>
  <c r="AM21" i="1" s="1"/>
  <c r="U22" i="1"/>
  <c r="V22" i="1" s="1"/>
  <c r="AI22" i="1" s="1"/>
  <c r="X22" i="1"/>
  <c r="Y22" i="1" s="1"/>
  <c r="AJ22" i="1" s="1"/>
  <c r="AA22" i="1"/>
  <c r="AB22" i="1" s="1"/>
  <c r="AK22" i="1" s="1"/>
  <c r="AD22" i="1"/>
  <c r="AE22" i="1" s="1"/>
  <c r="AL22" i="1" s="1"/>
  <c r="AG22" i="1"/>
  <c r="AH22" i="1" s="1"/>
  <c r="AM22" i="1" s="1"/>
  <c r="U23" i="1"/>
  <c r="V23" i="1" s="1"/>
  <c r="AI23" i="1" s="1"/>
  <c r="X23" i="1"/>
  <c r="Y23" i="1" s="1"/>
  <c r="AJ23" i="1" s="1"/>
  <c r="AA23" i="1"/>
  <c r="AB23" i="1" s="1"/>
  <c r="AK23" i="1" s="1"/>
  <c r="AD23" i="1"/>
  <c r="AE23" i="1" s="1"/>
  <c r="AL23" i="1" s="1"/>
  <c r="AG23" i="1"/>
  <c r="AH23" i="1" s="1"/>
  <c r="AM23" i="1" s="1"/>
  <c r="U24" i="1"/>
  <c r="V24" i="1" s="1"/>
  <c r="AI24" i="1" s="1"/>
  <c r="X24" i="1"/>
  <c r="Y24" i="1" s="1"/>
  <c r="AJ24" i="1" s="1"/>
  <c r="AA24" i="1"/>
  <c r="AB24" i="1" s="1"/>
  <c r="AK24" i="1" s="1"/>
  <c r="AD24" i="1"/>
  <c r="AE24" i="1" s="1"/>
  <c r="AL24" i="1" s="1"/>
  <c r="AG24" i="1"/>
  <c r="AH24" i="1" s="1"/>
  <c r="AM24" i="1" s="1"/>
  <c r="U25" i="1"/>
  <c r="V25" i="1" s="1"/>
  <c r="AI25" i="1" s="1"/>
  <c r="X25" i="1"/>
  <c r="Y25" i="1" s="1"/>
  <c r="AJ25" i="1" s="1"/>
  <c r="AA25" i="1"/>
  <c r="AB25" i="1" s="1"/>
  <c r="AK25" i="1" s="1"/>
  <c r="AD25" i="1"/>
  <c r="AE25" i="1" s="1"/>
  <c r="AL25" i="1" s="1"/>
  <c r="AG25" i="1"/>
  <c r="AH25" i="1" s="1"/>
  <c r="AM25" i="1" s="1"/>
  <c r="U26" i="1"/>
  <c r="V26" i="1" s="1"/>
  <c r="AI26" i="1" s="1"/>
  <c r="X26" i="1"/>
  <c r="Y26" i="1" s="1"/>
  <c r="AJ26" i="1" s="1"/>
  <c r="AA26" i="1"/>
  <c r="AB26" i="1" s="1"/>
  <c r="AK26" i="1" s="1"/>
  <c r="AD26" i="1"/>
  <c r="AE26" i="1" s="1"/>
  <c r="AL26" i="1" s="1"/>
  <c r="AG26" i="1"/>
  <c r="AH26" i="1" s="1"/>
  <c r="AM26" i="1" s="1"/>
  <c r="U27" i="1"/>
  <c r="V27" i="1" s="1"/>
  <c r="AI27" i="1" s="1"/>
  <c r="X27" i="1"/>
  <c r="Y27" i="1" s="1"/>
  <c r="AJ27" i="1" s="1"/>
  <c r="AA27" i="1"/>
  <c r="AB27" i="1" s="1"/>
  <c r="AK27" i="1" s="1"/>
  <c r="AD27" i="1"/>
  <c r="AE27" i="1" s="1"/>
  <c r="AL27" i="1" s="1"/>
  <c r="AG27" i="1"/>
  <c r="AH27" i="1" s="1"/>
  <c r="AM27" i="1" s="1"/>
  <c r="U28" i="1"/>
  <c r="V28" i="1" s="1"/>
  <c r="AI28" i="1" s="1"/>
  <c r="X28" i="1"/>
  <c r="Y28" i="1" s="1"/>
  <c r="AA28" i="1"/>
  <c r="AB28" i="1" s="1"/>
  <c r="AK28" i="1" s="1"/>
  <c r="AD28" i="1"/>
  <c r="AE28" i="1" s="1"/>
  <c r="AL28" i="1" s="1"/>
  <c r="AG28" i="1"/>
  <c r="AH28" i="1" s="1"/>
  <c r="AM28" i="1" s="1"/>
  <c r="U29" i="1"/>
  <c r="V29" i="1" s="1"/>
  <c r="AI29" i="1" s="1"/>
  <c r="X29" i="1"/>
  <c r="Y29" i="1" s="1"/>
  <c r="AJ29" i="1" s="1"/>
  <c r="AA29" i="1"/>
  <c r="AB29" i="1" s="1"/>
  <c r="AK29" i="1" s="1"/>
  <c r="AD29" i="1"/>
  <c r="AE29" i="1" s="1"/>
  <c r="AL29" i="1" s="1"/>
  <c r="AG29" i="1"/>
  <c r="AH29" i="1" s="1"/>
  <c r="AM29" i="1" s="1"/>
  <c r="U30" i="1"/>
  <c r="V30" i="1" s="1"/>
  <c r="AI30" i="1" s="1"/>
  <c r="X30" i="1"/>
  <c r="Y30" i="1" s="1"/>
  <c r="AJ30" i="1" s="1"/>
  <c r="AA30" i="1"/>
  <c r="AB30" i="1" s="1"/>
  <c r="AK30" i="1" s="1"/>
  <c r="AD30" i="1"/>
  <c r="AE30" i="1" s="1"/>
  <c r="AL30" i="1" s="1"/>
  <c r="AG30" i="1"/>
  <c r="AH30" i="1" s="1"/>
  <c r="AM30" i="1" s="1"/>
  <c r="U31" i="1"/>
  <c r="V31" i="1" s="1"/>
  <c r="AI31" i="1" s="1"/>
  <c r="X31" i="1"/>
  <c r="Y31" i="1" s="1"/>
  <c r="AJ31" i="1" s="1"/>
  <c r="AA31" i="1"/>
  <c r="AB31" i="1" s="1"/>
  <c r="AK31" i="1" s="1"/>
  <c r="AD31" i="1"/>
  <c r="AE31" i="1" s="1"/>
  <c r="AL31" i="1" s="1"/>
  <c r="AG31" i="1"/>
  <c r="AH31" i="1" s="1"/>
  <c r="AM31" i="1" s="1"/>
  <c r="U32" i="1"/>
  <c r="V32" i="1" s="1"/>
  <c r="AI32" i="1" s="1"/>
  <c r="X32" i="1"/>
  <c r="Y32" i="1" s="1"/>
  <c r="AJ32" i="1" s="1"/>
  <c r="AA32" i="1"/>
  <c r="AB32" i="1" s="1"/>
  <c r="AK32" i="1" s="1"/>
  <c r="AD32" i="1"/>
  <c r="AE32" i="1" s="1"/>
  <c r="AL32" i="1" s="1"/>
  <c r="AG32" i="1"/>
  <c r="AH32" i="1" s="1"/>
  <c r="AM32" i="1" s="1"/>
  <c r="U33" i="1"/>
  <c r="V33" i="1" s="1"/>
  <c r="AI33" i="1" s="1"/>
  <c r="X33" i="1"/>
  <c r="Y33" i="1" s="1"/>
  <c r="AJ33" i="1" s="1"/>
  <c r="AA33" i="1"/>
  <c r="AB33" i="1" s="1"/>
  <c r="AK33" i="1" s="1"/>
  <c r="AD33" i="1"/>
  <c r="AE33" i="1" s="1"/>
  <c r="AL33" i="1" s="1"/>
  <c r="AG33" i="1"/>
  <c r="AH33" i="1" s="1"/>
  <c r="AM33" i="1" s="1"/>
  <c r="U34" i="1"/>
  <c r="V34" i="1" s="1"/>
  <c r="AI34" i="1" s="1"/>
  <c r="X34" i="1"/>
  <c r="Y34" i="1" s="1"/>
  <c r="AA34" i="1"/>
  <c r="AB34" i="1" s="1"/>
  <c r="AK34" i="1" s="1"/>
  <c r="AD34" i="1"/>
  <c r="AE34" i="1" s="1"/>
  <c r="AL34" i="1" s="1"/>
  <c r="AG34" i="1"/>
  <c r="AH34" i="1" s="1"/>
  <c r="AM34" i="1" s="1"/>
  <c r="U35" i="1"/>
  <c r="V35" i="1" s="1"/>
  <c r="AI35" i="1" s="1"/>
  <c r="X35" i="1"/>
  <c r="Y35" i="1" s="1"/>
  <c r="AJ35" i="1" s="1"/>
  <c r="AA35" i="1"/>
  <c r="AB35" i="1" s="1"/>
  <c r="AK35" i="1" s="1"/>
  <c r="AD35" i="1"/>
  <c r="AE35" i="1" s="1"/>
  <c r="AL35" i="1" s="1"/>
  <c r="AG35" i="1"/>
  <c r="AH35" i="1" s="1"/>
  <c r="AM35" i="1" s="1"/>
  <c r="U36" i="1"/>
  <c r="V36" i="1" s="1"/>
  <c r="AI36" i="1" s="1"/>
  <c r="X36" i="1"/>
  <c r="Y36" i="1" s="1"/>
  <c r="AJ36" i="1" s="1"/>
  <c r="AA36" i="1"/>
  <c r="AB36" i="1" s="1"/>
  <c r="AK36" i="1" s="1"/>
  <c r="AD36" i="1"/>
  <c r="AE36" i="1" s="1"/>
  <c r="AL36" i="1" s="1"/>
  <c r="AG36" i="1"/>
  <c r="AH36" i="1" s="1"/>
  <c r="AM36" i="1" s="1"/>
  <c r="U37" i="1"/>
  <c r="V37" i="1" s="1"/>
  <c r="AI37" i="1" s="1"/>
  <c r="X37" i="1"/>
  <c r="Y37" i="1" s="1"/>
  <c r="AJ37" i="1" s="1"/>
  <c r="AA37" i="1"/>
  <c r="AB37" i="1" s="1"/>
  <c r="AK37" i="1" s="1"/>
  <c r="AD37" i="1"/>
  <c r="AE37" i="1" s="1"/>
  <c r="AL37" i="1" s="1"/>
  <c r="AG37" i="1"/>
  <c r="AH37" i="1" s="1"/>
  <c r="AM37" i="1" s="1"/>
  <c r="U38" i="1"/>
  <c r="V38" i="1" s="1"/>
  <c r="AI38" i="1" s="1"/>
  <c r="X38" i="1"/>
  <c r="Y38" i="1" s="1"/>
  <c r="AJ38" i="1" s="1"/>
  <c r="AA38" i="1"/>
  <c r="AB38" i="1" s="1"/>
  <c r="AK38" i="1" s="1"/>
  <c r="AD38" i="1"/>
  <c r="AE38" i="1" s="1"/>
  <c r="AL38" i="1" s="1"/>
  <c r="AG38" i="1"/>
  <c r="AH38" i="1" s="1"/>
  <c r="AM38" i="1" s="1"/>
  <c r="U39" i="1"/>
  <c r="V39" i="1" s="1"/>
  <c r="AI39" i="1" s="1"/>
  <c r="X39" i="1"/>
  <c r="Y39" i="1" s="1"/>
  <c r="AJ39" i="1" s="1"/>
  <c r="AA39" i="1"/>
  <c r="AB39" i="1" s="1"/>
  <c r="AK39" i="1" s="1"/>
  <c r="AD39" i="1"/>
  <c r="AE39" i="1" s="1"/>
  <c r="AL39" i="1" s="1"/>
  <c r="AG39" i="1"/>
  <c r="AH39" i="1" s="1"/>
  <c r="AM39" i="1" s="1"/>
  <c r="U40" i="1"/>
  <c r="V40" i="1" s="1"/>
  <c r="AI40" i="1" s="1"/>
  <c r="X40" i="1"/>
  <c r="Y40" i="1" s="1"/>
  <c r="AJ40" i="1" s="1"/>
  <c r="AA40" i="1"/>
  <c r="AB40" i="1" s="1"/>
  <c r="AK40" i="1" s="1"/>
  <c r="AD40" i="1"/>
  <c r="AE40" i="1" s="1"/>
  <c r="AL40" i="1" s="1"/>
  <c r="AG40" i="1"/>
  <c r="AH40" i="1" s="1"/>
  <c r="AM40" i="1" s="1"/>
  <c r="U41" i="1"/>
  <c r="V41" i="1" s="1"/>
  <c r="AI41" i="1" s="1"/>
  <c r="X41" i="1"/>
  <c r="Y41" i="1" s="1"/>
  <c r="AJ41" i="1" s="1"/>
  <c r="AA41" i="1"/>
  <c r="AB41" i="1" s="1"/>
  <c r="AK41" i="1" s="1"/>
  <c r="AD41" i="1"/>
  <c r="AL41" i="1" s="1"/>
  <c r="AG41" i="1"/>
  <c r="AH41" i="1" s="1"/>
  <c r="AM41" i="1" s="1"/>
  <c r="AN36" i="1" l="1"/>
  <c r="AN18" i="1"/>
  <c r="AN26" i="1"/>
  <c r="AN5" i="1"/>
  <c r="AJ28" i="1"/>
  <c r="AN28" i="1" s="1"/>
  <c r="AN41" i="1"/>
  <c r="AN23" i="1"/>
  <c r="AJ34" i="1"/>
  <c r="AN34" i="1" s="1"/>
  <c r="AN31" i="1"/>
  <c r="AN9" i="1"/>
  <c r="AN21" i="1"/>
  <c r="AN13" i="1"/>
  <c r="AN29" i="1"/>
  <c r="AN24" i="1"/>
  <c r="AN16" i="1"/>
  <c r="AN19" i="1"/>
  <c r="AN10" i="1"/>
  <c r="AN27" i="1"/>
  <c r="AN14" i="1"/>
  <c r="AN35" i="1"/>
  <c r="AN30" i="1"/>
  <c r="AN17" i="1"/>
  <c r="AN11" i="1"/>
  <c r="AN7" i="1"/>
  <c r="AN37" i="1"/>
  <c r="AN32" i="1"/>
  <c r="AN22" i="1"/>
  <c r="AN25" i="1"/>
  <c r="AN40" i="1"/>
  <c r="AN3" i="1"/>
  <c r="AN38" i="1"/>
  <c r="AN33" i="1"/>
  <c r="AN20" i="1"/>
  <c r="AN15" i="1"/>
  <c r="AN12" i="1"/>
  <c r="AN8" i="1"/>
  <c r="AN4" i="1"/>
  <c r="AN39" i="1"/>
  <c r="AN6" i="1"/>
  <c r="AN2" i="1"/>
  <c r="AN65" i="1" l="1"/>
</calcChain>
</file>

<file path=xl/sharedStrings.xml><?xml version="1.0" encoding="utf-8"?>
<sst xmlns="http://schemas.openxmlformats.org/spreadsheetml/2006/main" count="394" uniqueCount="169">
  <si>
    <t>CLIN</t>
  </si>
  <si>
    <t>Part Number</t>
  </si>
  <si>
    <t xml:space="preserve">Brand Name </t>
  </si>
  <si>
    <t xml:space="preserve">Item Description </t>
  </si>
  <si>
    <t>Unit of Measure (UOM)</t>
  </si>
  <si>
    <t>Quantity Per UOM</t>
  </si>
  <si>
    <t>Estimated Quantity (Base Year)</t>
  </si>
  <si>
    <t>Estimated Quantity (Opt Year 1)</t>
  </si>
  <si>
    <t>Estimated Quantity (Opt Year 2)</t>
  </si>
  <si>
    <t>Estimated Quantity (Opt Year 3)</t>
  </si>
  <si>
    <t>Estimated Quantity (Opt Year 4)</t>
  </si>
  <si>
    <t>Manufacturer Name</t>
  </si>
  <si>
    <t>Manufacturer Part Number</t>
  </si>
  <si>
    <t>Contractor Part Number (if different from OEM)</t>
  </si>
  <si>
    <t>Unit of Measure</t>
  </si>
  <si>
    <t>Quantity per UOM</t>
  </si>
  <si>
    <t>Delivery Days ARO</t>
  </si>
  <si>
    <t xml:space="preserve"> Commercial Price</t>
  </si>
  <si>
    <t>Proposed Unit
Price  (Base Year)</t>
  </si>
  <si>
    <t>SLA (3%)</t>
  </si>
  <si>
    <t>Total Price (Unit Price plus SLA)
Base Year</t>
  </si>
  <si>
    <t>Proposed Unit
Price  (Option Year 1)</t>
  </si>
  <si>
    <t>Total Price (Unit Price plus SLA)
Option Year 1</t>
  </si>
  <si>
    <t>Proposed Unit
Price  (Option Year 2)</t>
  </si>
  <si>
    <t>Total Price (Unit Price plus SLA)
Option Year 2</t>
  </si>
  <si>
    <t>Proposed Unit
Price  (Option Year 3)</t>
  </si>
  <si>
    <t>Total Price (Unit Price plus SLA)
Option Year 3</t>
  </si>
  <si>
    <t>Proposed Unit
Price  (Option Year 4)</t>
  </si>
  <si>
    <t>Total Price (Unit Price plus SLA)
Option Year 4</t>
  </si>
  <si>
    <t>Total Evaluated  Price (with 3% SLA and estimated quantities) - Base Year</t>
  </si>
  <si>
    <t>Total Evaluated  Price (with 3% SLA and estimated quantities) - Opt Year 1</t>
  </si>
  <si>
    <t>Total Evaluated  Price (with 3% SLA and estimated quantities) - Opt Year 2</t>
  </si>
  <si>
    <t>Total Evaluated  Price (with 3% SLA and estimated quantities) - Opt Year 3</t>
  </si>
  <si>
    <t>Total Evaluated  Price (with 3% SLA and estimated quantities) - Opt Year 4</t>
  </si>
  <si>
    <t>Total Evaluated Price</t>
  </si>
  <si>
    <t>Each</t>
  </si>
  <si>
    <t>1</t>
  </si>
  <si>
    <t>Total Price</t>
  </si>
  <si>
    <t>*VENDOR IS TO COMPLETE ALL "YELLOW" HIGHLIGHTED SPACES</t>
  </si>
  <si>
    <t>**ARO = Delivery Days After Receipt of Order</t>
  </si>
  <si>
    <t>0001AA</t>
  </si>
  <si>
    <t>0001AB</t>
  </si>
  <si>
    <t>0001AC</t>
  </si>
  <si>
    <t>0001AD</t>
  </si>
  <si>
    <t>0001AG</t>
  </si>
  <si>
    <t>0001AH</t>
  </si>
  <si>
    <t>0001AI</t>
  </si>
  <si>
    <t>0001AJ</t>
  </si>
  <si>
    <t>0002AA</t>
  </si>
  <si>
    <t>0002AB</t>
  </si>
  <si>
    <t>0002AC</t>
  </si>
  <si>
    <t>0002AD</t>
  </si>
  <si>
    <t>0002AE</t>
  </si>
  <si>
    <t>0002AF</t>
  </si>
  <si>
    <t>0002AG</t>
  </si>
  <si>
    <t>0002AH</t>
  </si>
  <si>
    <t>0002AI</t>
  </si>
  <si>
    <t>0003AA</t>
  </si>
  <si>
    <t>0003AB</t>
  </si>
  <si>
    <t>0003AC</t>
  </si>
  <si>
    <t>0003AD</t>
  </si>
  <si>
    <t>0003AE</t>
  </si>
  <si>
    <t>0003AF</t>
  </si>
  <si>
    <t>0003AG</t>
  </si>
  <si>
    <t>0003AH</t>
  </si>
  <si>
    <t>0003AI</t>
  </si>
  <si>
    <t>0004AA</t>
  </si>
  <si>
    <t>0004AB</t>
  </si>
  <si>
    <t>0004AC</t>
  </si>
  <si>
    <t>0004AD</t>
  </si>
  <si>
    <t>0004AE</t>
  </si>
  <si>
    <t>0004AF</t>
  </si>
  <si>
    <t>0004AG</t>
  </si>
  <si>
    <t>0004AH</t>
  </si>
  <si>
    <t>Rational</t>
  </si>
  <si>
    <t>LM100EE</t>
  </si>
  <si>
    <t>CAP Chef Assistance Program</t>
  </si>
  <si>
    <t>1900.1159US</t>
  </si>
  <si>
    <t>56.01.535</t>
  </si>
  <si>
    <t>56.00.562</t>
  </si>
  <si>
    <t>60.31.090</t>
  </si>
  <si>
    <t>LM100GG</t>
  </si>
  <si>
    <t>8720.1561US</t>
  </si>
  <si>
    <t>LM100GE</t>
  </si>
  <si>
    <t>8720.1564US</t>
  </si>
  <si>
    <t>60.22.490</t>
  </si>
  <si>
    <t>LM100EG</t>
  </si>
  <si>
    <t>RATIONAL Model No. ICP 10‐FULL E 208/240V 3 PH (LM100EE)
(CE1ERRA.0000221) iCombi Pro® 10‐Full Size Combi Oven, electric,
(10) 18" x 26" sheet pan or (20) 12" x 20" steam pan or (10) 2/1 GN
pan capacity, (5) stainless steel grids included, intelligent cooking
system with (4) assistants; iDensityControl, iCookingSuite,
iProductionManager, &amp; iCareSystem, (6) operating modes, (5)
cooking methods, (3) manual operating modes, 85° to 572°F
temperature range, quick clean, care control, eco mode, 6‐point
core temperature probe, retractable hand shower, Ethernet
interface, Wi‐Fi enabled, 208/240v/60Hz/3‐ph, 103.8/90.0 amps,
37.4 kW, CE, IPX5, UL, cULus, NSF, ENERGY STAR ®</t>
  </si>
  <si>
    <t>2 years parts and labor, 5 years steam generator warranty</t>
  </si>
  <si>
    <t>CAP Chef Assistance Program, a RATIONAL certified Chef conducts
4 hours/location specialized application training with personnel,
no charge</t>
  </si>
  <si>
    <t>Pre‐Installation Site Consultation, provides an
installation consultation to ensure the site has proper space and
connections for gas, electric, drain &amp; water, one (1) Consultation is
needed for every four (4) cooking systems, add ‘in one (1)
kitchen’, includes 100 miles (200 miles round trip). (see attached
installation flyer for details) THIS ITEM IS NON‐DISCOUNTABLE,
USA ONLY (NET)</t>
  </si>
  <si>
    <t>RCI RATIONAL Certified Installation, new certified
installation for each individual electric table‐top iCombi on a stand or counter, 100 miles (200 round‐trip) included. (Do not use for Combi‐Duo, See attached installation flyer for details) THIS
ITEM IS NON‐DISCOUNTABLE, USA ONLY (NET)</t>
  </si>
  <si>
    <t>Water Filtration Single Cartridge System, for any
single combi model, or XS &amp; half‐size Combi‐Duos, or iVario
includes: (1) single head with pressure gauge, R95‐CLX filter &amp; (1)
filter installation kit</t>
  </si>
  <si>
    <t>RCI RATIONAL Certified Installation, additional
installation cost for a RATIONAL Water Filter System is available
when purchased with Certified Installation of RATIONAL unit THIS
ITEM IS NON‐DISCOUNTABLE, USA ONLY (NET)   The RATIONAL Water Filtration Systems helps provide
consistent high‐quality water to your RATIONAL cooking systems.
The patented carbon block technology reduces the effects of
sediment, chloramines, and chlorine while delivering the
required flow rates.  All public water systems using surface water and most
ground water systems treat with either chlorine/chloramine or
chlorine dioxide (EPA will allow levels as high as 4ppm safe for
drinking water, exceeding our maximum level of .2ppm.  Chloride concentrations above 80ppm can cause corrision.
RATIONAL Water Filtration does NOT reduce chloride</t>
  </si>
  <si>
    <t>Active Green Cleaner Tabs, for all iCombi Pro/Classic,
150 pieces/bucket (minimum order quantity‐ 2 ea, unless ordered
with a unit) (NET)</t>
  </si>
  <si>
    <t>Care Tabs, bucket of 150 packets for all iCombi
Pro/Classic models and SelfCooking Center® units from 10/2008,
with CareControl ‐ Serial SG, SH or SI series (minimum order
quantity: 2pcs, unless ordered with a unit) (NET)</t>
  </si>
  <si>
    <t>Stand I Stationary Oven Stand, 27‐1/2"H, all sides open,
stainless steel construction, for iCombi 6‐ and 10‐full size
Classic/Pro</t>
  </si>
  <si>
    <t>Gastronorm Grid Shelf, 2/1 size, 25‐5/8" x 20‐7/8",
stainless steel</t>
  </si>
  <si>
    <t>RATIONAL Model No. ICP 20‐FULL NG 208/240V 1 PH (LM100GG)
(CG1GRRA.0000245) iCombi Pro® 20‐Full Size Combi Oven, natural
gas, (20) 18" x 26" sheet pan or (40) 12" x 20" steam pan or (20) 2/1
GN pan capacity, mobile oven rack &amp; (10) stainless steel grids
included, intelligent cooking system with (4) assistants;
iDensityControl, iCookingSuite, iProductionManager, &amp;
iCareSystem, (6) operating modes, (5) cooking methods, (3)
manual operating modes, 85° to 572°F temperature range, quick
clean, care control, eco mode, 6‐point core temperature probe,
retractable hand shower, Ethernet interface, Wi‐Fi enabled,
303,500 BTU, 208/240v/60Hz/1‐ph, 6 ft. cord, 2.2 kW, CE, IPX5,
cCSAus, NSF, ENERGY STAR ®</t>
  </si>
  <si>
    <t>RCI RATIONAL Certified Installation, new certified
installation for each gas floor iCombi, 100 miles (200 round‐trip)
included. (See attached installation flyer for details) THIS ITEM IS
NON‐DISCOUNTABLE, USA ONLY (NET)</t>
  </si>
  <si>
    <t>Installation Kit, for gas iCombi/SCC/CMP 102G (208‐240/60Hz/1ph); gas iCombi/SCC/CMP 201G (120/60Hz/1ph); gas
iCombi/SCC/CMP 202G (208‐240/60Hz/1ph) THIS ITEM IS NONDISCOUNTABLE,
USA ONLY (NET)</t>
  </si>
  <si>
    <t xml:space="preserve">RCI RATIONAL Certified Installation, additional
installation cost for a RATIONAL Water Filter System is available
when purchased with Certified Installation of RATIONAL unit THIS ITEM IS NON-DISCOUNTABLE, USA ONLY (NET)  The RATIONAL Water Filtration Systems helps provide
consistent high‐quality water to your RATIONAL cooking systems.
The patented carbon block technology reduces the effects of
sediment, chloramines, and chlorine while delivering the
required flow rates.   All public water systems using surface water and most
ground water systems treat with either chlorine/chloramine or
chlorine dioxide (EPA will allow levels as high as 4ppm safe for
drinking water, exceeding our maximum level of .2ppm.  Chloride concentrations above 80ppm can cause corrision.
RATIONAL Water Filtration does NOT reduce chloride
</t>
  </si>
  <si>
    <t>Care Tabs, bucket of 150 packets for all iCombi
Pro/Classic models and SelfCooking Center® units from 10/2008,
with CareControl ‐ Serial SG, SH or SI series (minimum order quantity: 2pcs, unless ordered with a unit) (NET)</t>
  </si>
  <si>
    <t>RATIONAL Model No. ICP 20‐FULL E 208/240V 3 PH (LM100GE)
(CG1ERRA.0000227) iCombi Pro® 20‐Full Size Combi Oven, electric,
(20) 18" x 26" sheet pan or (40) 12" x 20" steam pan or (20) 2/1 GN
pan capacity, mobile oven rack &amp; (10) stainless steel grids
included, intelligent cooking system with (4) assistants;
iDensityControl, iCookingSuite, iProductionManager, &amp;
iCareSystem, (6) operating modes, (5) cooking methods, (3)
manual operating modes, 85° to 572°F temperature range, quick
clean, care control, eco mode, 6‐point core temperature probe,
retractable hand shower, Ethernet interface, Wi‐Fi enabled,
208/240v/60Hz/3‐ph, 188.5/163.3 amps, 67.9 kW, IPX5, UL, cULus,
NSF, ENERGY STAR ®</t>
  </si>
  <si>
    <t>RCI RATIONAL Certified Installation, new certified
installation for each electric floor iCombi, 100 miles (200 roundtrip)
included. (See attached installation flyer for details) THIS
ITEM IS NON‐DISCOUNTABLE, USA ONLY (NET)</t>
  </si>
  <si>
    <t>Installation Kit, for electric 20‐full size
(240/60Hz/3ph) THIS ITEM IS NON‐DISCOUNTABLE, USA ONLY (NET)</t>
  </si>
  <si>
    <t>RCI RATIONAL Certified Installation, additional
installation cost for a RATIONAL Water Filter System is available
when purchased with Certified Installation of RATIONAL unit THIS
ITEM IS NON‐DISCOUNTABLE, USA ONLY (NET)  The RATIONAL Water Filtration Systems helps provide
consistent high‐quality water to your RATIONAL cooking systems.
The patented carbon block technology reduces the effects of
sediment, chloramines, and chlorine while delivering the
required flow rates.</t>
  </si>
  <si>
    <t>(Mobile Oven Rack, type 20‐full size Pro/Classic, (20) 24"
x 20" pan capacity, 2‐1/2" spacing (Grid Shelves sold separately)</t>
  </si>
  <si>
    <t>Gastronorm Perforated Steam Pan, 1/1 size, 12‐3/4" x
20‐7/8", 2‐1/2" deep, stainless steel</t>
  </si>
  <si>
    <t>RATIONAL Model No. ICP 10‐FULL NG 208/240V 1 PH (LM100EG)
(CE1GRRA.0000240) iCombi Pro® 10‐Full Size Combi Oven, natural
gas, (10) 18" x 26" sheet pan or (20) 12" x 20" steam pan or (10) 2/1
GN pan capacity, (5) stainless steel grids included, intelligent
cooking system with (4) assistants; iDensityControl,
iCookingSuite, iProductionManager, &amp; iCareSystem, (6) operating
modes, (5) cooking methods, (3) manual operating modes, 85° to
572°F temperature range, quick clean, care control, eco mode, 6‐
point core temperature probe, retractable hand shower, Ethernet
interface, Wi‐Fi enabled, 152,000 BTU, 208/240v/60Hz/1‐ph, 6 ft.
cord, 1.5 kW, CE, IPX5, cCSAus, NSF, ENERGY STAR ®</t>
  </si>
  <si>
    <t>Pre‐Installation Site Consultation, provides an
installation consultation to ensure the site has proper space and connections for gas, electric, drain &amp; water, one (1) Consultation is needed for every four (4) cooking systems, add ‘in one (1) kitchen’, includes 100 miles (200 miles round trip). (see attached installation flyer for details) THIS ITEM IS NON‐DISCOUNTABLE
USA ONLY (NET)</t>
  </si>
  <si>
    <t>RCI RATIONAL Certified Installation, new certified
installation for each individual gas table‐top iCombi on a stand or
counter, 100 miles (200 round‐trip) included. (Do not use for
Combi‐Duo, See attached installation flyer for details) THIS ITEM
IS NON‐DISCOUNTABLE, USA ONLY (NET)</t>
  </si>
  <si>
    <t>Installation Kit, for gas iCombi/SCC/CMP 102G (208‐
240/60Hz/1ph); gas iCombi/SCC/CMP 201G (120/60Hz/1ph); gas
iCombi/SCC/CMP 202G (208‐240/60Hz/1ph) THIS ITEM IS NONDISCOUNTABLE,
USA ONLY (NET)</t>
  </si>
  <si>
    <t>RCI RATIONAL Certified Installation, additional
installation cost for a RATIONAL Water Filter System is available
when purchased with Certified Installation of RATIONAL unit THIS
ITEM IS NON‐DISCOUNTABLE, USA ONLY (NET)  The RATIONAL Water Filtration Systems helps provide consistent high‐quality water to your RATIONAL cooking systems.
The patented carbon block technology reduces the effects of
sediment, chloramines, and chlorine while delivering the
required flow rates.</t>
  </si>
  <si>
    <t>0001AE</t>
  </si>
  <si>
    <t xml:space="preserve"> 0001AF</t>
  </si>
  <si>
    <t>0001AK</t>
  </si>
  <si>
    <t>0002AJ</t>
  </si>
  <si>
    <t>0003AJ</t>
  </si>
  <si>
    <t>0003AK</t>
  </si>
  <si>
    <t>0004AI</t>
  </si>
  <si>
    <t>0004AJ</t>
  </si>
  <si>
    <t>0005AA</t>
  </si>
  <si>
    <t>0005AB</t>
  </si>
  <si>
    <t>0005AC</t>
  </si>
  <si>
    <t>0005AD</t>
  </si>
  <si>
    <t>0005AE</t>
  </si>
  <si>
    <t>0005AF</t>
  </si>
  <si>
    <t>0005AG</t>
  </si>
  <si>
    <t>0005AH</t>
  </si>
  <si>
    <t>0005AI</t>
  </si>
  <si>
    <t>0005AJ</t>
  </si>
  <si>
    <t>0005AK</t>
  </si>
  <si>
    <t>0005AL</t>
  </si>
  <si>
    <t>0005AM</t>
  </si>
  <si>
    <t>0005AN</t>
  </si>
  <si>
    <t>0005AO</t>
  </si>
  <si>
    <t>PartsandLaborWarranty</t>
  </si>
  <si>
    <t>8720.2554US</t>
  </si>
  <si>
    <t>Planned Maintenance Service Plans</t>
  </si>
  <si>
    <t>Level 1- Labor Only Annual Service</t>
  </si>
  <si>
    <t>Level 1- Labor Only Biannual (Semiannual)</t>
  </si>
  <si>
    <t>Level 1- Labor Only Quaterly</t>
  </si>
  <si>
    <t>Level 2- Labor + Parts Annual</t>
  </si>
  <si>
    <t>Level 2- Labor + Parts Biannual</t>
  </si>
  <si>
    <t>Level 2- Labor + Parts Quarterly</t>
  </si>
  <si>
    <t>Level 3- Labor +Parts + Corrective (Unplanned) Visits
Annual</t>
  </si>
  <si>
    <t>Level 3- Labor +Parts + Corrective (Unplanned) Visits
Biannual</t>
  </si>
  <si>
    <t>Level 3- Labor +Parts + Corrective (Unplanned) Visits Quarterly</t>
  </si>
  <si>
    <t>Filters Purchase &amp; Replace Annual</t>
  </si>
  <si>
    <t>Filters Purchase &amp; Replace Biannual</t>
  </si>
  <si>
    <t>Filters Purchase &amp; Replace Quarterly</t>
  </si>
  <si>
    <t>Unplanned Service</t>
  </si>
  <si>
    <t>Software</t>
  </si>
  <si>
    <t>Emergency visits</t>
  </si>
  <si>
    <t>Install Kit</t>
  </si>
  <si>
    <t>Pre‐Installation, Site Consultation, provides an installation consultation to ensure the site has proper space and connections for gas, electric, drain &amp; water, one (1) Consultation is
needed for every four (4) cooking systems, add ‘in one (1) kitchen’, includes 100 miles (200 miles round trip). (see attached installation flyer for details) THIS ITEM IS NON‐DISCOUNTABLE,
USA ONLY (NET)</t>
  </si>
  <si>
    <t>1 planned PM visit/year/unit
PM report after each visit
Parts not included
Vendor will coordinate any warranty issues</t>
  </si>
  <si>
    <t>2 planned PM/ visits/year/unit
(includes 1 annual OEM checklist visit + 1 intermediate PM check)
PM report after each visit
Parts not included
Vendor will coordinate any warranty issues</t>
  </si>
  <si>
    <t>4 planned PM visits/year/unit (includes 1 annual OEM checklist visit + 3 intermediate PM checks)
PM report after each visit
Parts not included
Vendor will coordinate any warranty issues</t>
  </si>
  <si>
    <t>Includes Level 1 plus                         Parts allowance (NTE $3,000 per plan year) for parts required to complete planned maintenance and minor corrective actions identified during service (e.g., hoses, O-rings, gaskets, door seals, and other OEM-recommended wear items as applicable
Vendor will coordinate any warranty issues</t>
  </si>
  <si>
    <t>Includes Level 1 plus                                                     Parts allowance (NTE $3,000 per plan year) for parts required to complete planned maintenance and minor corrective actions identified during service (e.g., hoses, O-rings, gaskets, door seals, and other OEM-recommended wear items as applicable
Vendor will coordinate any warranty issues</t>
  </si>
  <si>
    <t>Includes Level 1 plus                                                Parts allowance (NTE $3,000 per plan year) for parts required to complete planned maintenance and minor corrective actions identified during service (e.g., hoses, O-rings, gaskets, door seals, and other OEM-recommended wear items as applicable
Vendor will coordinate any warranty issues</t>
  </si>
  <si>
    <t>Includes Level 2, plus:
Up to Two (2) corrective/unplanned maintenance visits per plan year, as requested by the VA, to address unexpected issues outside routine PM.
Corrective visits include labor and parts, and draw from the Level 2 NTE parts allowance unless the VA requests a separate CLIN for corrective parts.
Vendor will coordinate any warranty issues</t>
  </si>
  <si>
    <t>1 filter change (labor) with PM</t>
  </si>
  <si>
    <t>2 filter changes (labor) with PM</t>
  </si>
  <si>
    <t>additional unplanned service visits during regular business hours</t>
  </si>
  <si>
    <t>Software update checks/updates</t>
  </si>
  <si>
    <t>Emergency/After-hours/weekend visits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</si>
</sst>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quot;$&quot;* #,##0.00_);_(&quot;$&quot;* \(#,##0.00\);_(&quot;$&quot;* &quot;-&quot;??_);_(@_)"/>
    <numFmt numFmtId="164" formatCode="0000"/>
  </numFmts>
  <fonts count="12" x14ac:knownFonts="1">
    <font>
      <sz val="11"/>
      <color theme="1"/>
      <name val="Calibri"/>
      <family val="2"/>
      <scheme val="minor"/>
    </font>
    <font>
      <sz val="11"/>
      <color theme="1"/>
      <name val="Calibri"/>
      <family val="2"/>
      <scheme val="minor"/>
    </font>
    <font>
      <b/>
      <sz val="11"/>
      <color theme="1"/>
      <name val="Arial"/>
      <family val="2"/>
    </font>
    <font>
      <b/>
      <sz val="12"/>
      <color theme="1"/>
      <name val="Arial"/>
      <family val="2"/>
    </font>
    <font>
      <b/>
      <sz val="8"/>
      <color theme="1"/>
      <name val="Arial"/>
      <family val="2"/>
    </font>
    <font>
      <sz val="8"/>
      <color theme="1"/>
      <name val="Calibri"/>
      <family val="2"/>
      <scheme val="minor"/>
    </font>
    <font>
      <b/>
      <sz val="10"/>
      <color theme="1"/>
      <name val="Calibri"/>
      <family val="2"/>
      <scheme val="minor"/>
    </font>
    <font>
      <sz val="9"/>
      <color theme="1"/>
      <name val="Arial"/>
      <family val="2"/>
    </font>
    <font>
      <sz val="8"/>
      <name val="Calibri"/>
      <family val="2"/>
      <scheme val="minor"/>
    </font>
    <font>
      <b/>
      <sz val="8"/>
      <color theme="1"/>
      <name val="Calibri"/>
      <family val="2"/>
      <scheme val="minor"/>
    </font>
    <font>
      <sz val="11"/>
      <name val="Calibri"/>
      <family val="2"/>
      <scheme val="minor"/>
    </font>
    <font>
      <b/>
      <sz val="9"/>
      <color theme="1"/>
      <name val="Arial"/>
      <family val="2"/>
    </font>
  </fonts>
  <fills count="8">
    <fill>
      <patternFill patternType="none"/>
    </fill>
    <fill>
      <patternFill patternType="gray125"/>
    </fill>
    <fill>
      <patternFill patternType="solid">
        <fgColor rgb="FFFFFF00"/>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0" tint="-0.14999847407452621"/>
        <bgColor indexed="64"/>
      </patternFill>
    </fill>
    <fill>
      <patternFill patternType="solid">
        <fgColor theme="0" tint="-0.14999847407452621"/>
        <bgColor theme="0" tint="-0.14999847407452621"/>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theme="1"/>
      </left>
      <right style="thin">
        <color theme="1"/>
      </right>
      <top style="thin">
        <color theme="1"/>
      </top>
      <bottom style="thin">
        <color theme="1"/>
      </bottom>
      <diagonal/>
    </border>
    <border>
      <left style="thin">
        <color theme="1"/>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theme="1"/>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theme="1"/>
      </left>
      <right/>
      <top style="thin">
        <color theme="1"/>
      </top>
      <bottom style="thin">
        <color theme="1"/>
      </bottom>
      <diagonal/>
    </border>
  </borders>
  <cellStyleXfs count="2">
    <xf numFmtId="0" fontId="0" fillId="0" borderId="0"/>
    <xf numFmtId="44" fontId="1" fillId="0" borderId="0" applyFont="0" applyFill="0" applyBorder="0" applyAlignment="0" applyProtection="0"/>
  </cellStyleXfs>
  <cellXfs count="56">
    <xf numFmtId="0" fontId="0" fillId="0" borderId="0" xfId="0"/>
    <xf numFmtId="0" fontId="5" fillId="0" borderId="0" xfId="0" applyFont="1"/>
    <xf numFmtId="0" fontId="4" fillId="3"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44" fontId="7" fillId="2" borderId="1" xfId="1" applyFont="1" applyFill="1" applyBorder="1" applyAlignment="1" applyProtection="1">
      <alignment horizontal="center" vertical="center" wrapText="1"/>
      <protection locked="0"/>
    </xf>
    <xf numFmtId="44" fontId="7" fillId="0" borderId="1" xfId="1" applyFont="1" applyFill="1" applyBorder="1" applyAlignment="1">
      <alignment horizontal="center" vertical="center" wrapText="1"/>
    </xf>
    <xf numFmtId="44" fontId="7" fillId="2" borderId="2" xfId="1" applyFont="1" applyFill="1" applyBorder="1" applyAlignment="1" applyProtection="1">
      <alignment horizontal="center" vertical="center" wrapText="1"/>
      <protection locked="0"/>
    </xf>
    <xf numFmtId="0" fontId="9" fillId="6" borderId="1" xfId="0" applyFont="1" applyFill="1" applyBorder="1" applyAlignment="1">
      <alignment horizontal="center" vertical="center" wrapText="1"/>
    </xf>
    <xf numFmtId="49" fontId="9" fillId="6" borderId="1" xfId="0" applyNumberFormat="1" applyFont="1" applyFill="1" applyBorder="1" applyAlignment="1">
      <alignment horizontal="center" vertical="center" wrapText="1"/>
    </xf>
    <xf numFmtId="0" fontId="9" fillId="5" borderId="1" xfId="0" applyFont="1" applyFill="1" applyBorder="1" applyAlignment="1">
      <alignment horizontal="center" vertical="center" wrapText="1"/>
    </xf>
    <xf numFmtId="0" fontId="5" fillId="2" borderId="1" xfId="0" applyFont="1" applyFill="1" applyBorder="1" applyAlignment="1" applyProtection="1">
      <alignment horizontal="center" vertical="center" wrapText="1"/>
      <protection locked="0"/>
    </xf>
    <xf numFmtId="0" fontId="5" fillId="2" borderId="2" xfId="0" applyFont="1" applyFill="1" applyBorder="1" applyAlignment="1" applyProtection="1">
      <alignment horizontal="center" vertical="center" wrapText="1"/>
      <protection locked="0"/>
    </xf>
    <xf numFmtId="0" fontId="5" fillId="0" borderId="0" xfId="0" applyFont="1" applyAlignment="1">
      <alignment wrapText="1"/>
    </xf>
    <xf numFmtId="0" fontId="5" fillId="2" borderId="1" xfId="0" applyFont="1" applyFill="1" applyBorder="1" applyAlignment="1">
      <alignment wrapText="1"/>
    </xf>
    <xf numFmtId="0" fontId="6" fillId="0" borderId="0" xfId="0" applyFont="1" applyAlignment="1">
      <alignment horizontal="center" wrapText="1"/>
    </xf>
    <xf numFmtId="49" fontId="0" fillId="0" borderId="1" xfId="0" applyNumberFormat="1" applyBorder="1" applyAlignment="1">
      <alignment horizontal="center" vertical="center" wrapText="1"/>
    </xf>
    <xf numFmtId="49" fontId="0" fillId="0" borderId="2" xfId="0" applyNumberFormat="1" applyBorder="1" applyAlignment="1">
      <alignment horizontal="center" vertical="center" wrapText="1"/>
    </xf>
    <xf numFmtId="0" fontId="5" fillId="2" borderId="0" xfId="0" applyFont="1" applyFill="1"/>
    <xf numFmtId="0" fontId="10" fillId="7" borderId="3" xfId="0" applyFont="1" applyFill="1" applyBorder="1" applyAlignment="1">
      <alignment wrapText="1"/>
    </xf>
    <xf numFmtId="0" fontId="10" fillId="0" borderId="3" xfId="0" applyFont="1" applyBorder="1" applyAlignment="1">
      <alignment wrapText="1"/>
    </xf>
    <xf numFmtId="49" fontId="0" fillId="0" borderId="4" xfId="0" applyNumberFormat="1" applyBorder="1" applyAlignment="1">
      <alignment horizontal="center" vertical="center" wrapText="1"/>
    </xf>
    <xf numFmtId="0" fontId="5" fillId="0" borderId="1" xfId="0" applyFont="1" applyBorder="1"/>
    <xf numFmtId="164" fontId="10" fillId="7" borderId="3" xfId="0" applyNumberFormat="1" applyFont="1" applyFill="1" applyBorder="1" applyAlignment="1">
      <alignment horizontal="right" vertical="center"/>
    </xf>
    <xf numFmtId="0" fontId="10" fillId="7" borderId="3" xfId="0" applyFont="1" applyFill="1" applyBorder="1" applyAlignment="1">
      <alignment horizontal="left" vertical="center" wrapText="1"/>
    </xf>
    <xf numFmtId="0" fontId="10" fillId="0" borderId="3" xfId="0" applyFont="1" applyBorder="1" applyAlignment="1">
      <alignment vertical="center"/>
    </xf>
    <xf numFmtId="164" fontId="10" fillId="0" borderId="3" xfId="0" applyNumberFormat="1" applyFont="1" applyBorder="1" applyAlignment="1">
      <alignment horizontal="right" vertical="center"/>
    </xf>
    <xf numFmtId="0" fontId="10" fillId="0" borderId="3" xfId="0" applyFont="1" applyBorder="1" applyAlignment="1">
      <alignment horizontal="left" vertical="center" wrapText="1"/>
    </xf>
    <xf numFmtId="0" fontId="10" fillId="7" borderId="3" xfId="0" applyFont="1" applyFill="1" applyBorder="1" applyAlignment="1">
      <alignment vertical="center"/>
    </xf>
    <xf numFmtId="0" fontId="10" fillId="7" borderId="3" xfId="0" applyFont="1" applyFill="1" applyBorder="1" applyAlignment="1">
      <alignment vertical="center" wrapText="1"/>
    </xf>
    <xf numFmtId="0" fontId="10" fillId="0" borderId="3" xfId="0" applyFont="1" applyBorder="1" applyAlignment="1">
      <alignment vertical="center" wrapText="1"/>
    </xf>
    <xf numFmtId="0" fontId="3" fillId="2" borderId="0" xfId="0" applyFont="1" applyFill="1" applyAlignment="1">
      <alignment horizontal="center" wrapText="1"/>
    </xf>
    <xf numFmtId="0" fontId="2" fillId="2" borderId="0" xfId="0" applyFont="1" applyFill="1" applyAlignment="1">
      <alignment horizontal="center" wrapText="1"/>
    </xf>
    <xf numFmtId="164" fontId="10" fillId="7" borderId="3" xfId="0" applyNumberFormat="1" applyFont="1" applyFill="1" applyBorder="1" applyAlignment="1">
      <alignment horizontal="right"/>
    </xf>
    <xf numFmtId="164" fontId="10" fillId="0" borderId="3" xfId="0" applyNumberFormat="1" applyFont="1" applyBorder="1" applyAlignment="1">
      <alignment horizontal="right"/>
    </xf>
    <xf numFmtId="164" fontId="10" fillId="0" borderId="0" xfId="0" applyNumberFormat="1" applyFont="1" applyBorder="1" applyAlignment="1">
      <alignment horizontal="right"/>
    </xf>
    <xf numFmtId="0" fontId="10" fillId="7" borderId="3" xfId="0" applyFont="1" applyFill="1" applyBorder="1" applyAlignment="1">
      <alignment horizontal="left"/>
    </xf>
    <xf numFmtId="0" fontId="10" fillId="0" borderId="3" xfId="0" applyFont="1" applyBorder="1" applyAlignment="1">
      <alignment horizontal="left"/>
    </xf>
    <xf numFmtId="0" fontId="10" fillId="7" borderId="3" xfId="0" applyFont="1" applyFill="1" applyBorder="1"/>
    <xf numFmtId="0" fontId="10" fillId="0" borderId="3" xfId="0" applyFont="1" applyBorder="1"/>
    <xf numFmtId="0" fontId="10" fillId="7" borderId="3" xfId="0" applyFont="1" applyFill="1" applyBorder="1" applyAlignment="1">
      <alignment horizontal="left" vertical="center"/>
    </xf>
    <xf numFmtId="0" fontId="10" fillId="0" borderId="3" xfId="0" applyFont="1" applyBorder="1" applyAlignment="1">
      <alignment horizontal="center" vertical="center"/>
    </xf>
    <xf numFmtId="0" fontId="10" fillId="0" borderId="3" xfId="0" applyFont="1" applyBorder="1" applyAlignment="1">
      <alignment horizontal="left" vertical="center"/>
    </xf>
    <xf numFmtId="44" fontId="7" fillId="0" borderId="5" xfId="1" applyFont="1" applyFill="1" applyBorder="1" applyAlignment="1">
      <alignment horizontal="center" vertical="center" wrapText="1"/>
    </xf>
    <xf numFmtId="0" fontId="9" fillId="0" borderId="0" xfId="0" applyFont="1" applyBorder="1"/>
    <xf numFmtId="0" fontId="5" fillId="0" borderId="0" xfId="0" applyFont="1" applyBorder="1"/>
    <xf numFmtId="0" fontId="5" fillId="2" borderId="6" xfId="0" applyFont="1" applyFill="1" applyBorder="1"/>
    <xf numFmtId="0" fontId="5" fillId="2" borderId="7" xfId="0" applyFont="1" applyFill="1" applyBorder="1"/>
    <xf numFmtId="0" fontId="5" fillId="2" borderId="8" xfId="0" applyFont="1" applyFill="1" applyBorder="1"/>
    <xf numFmtId="0" fontId="10" fillId="7" borderId="9" xfId="0" applyFont="1" applyFill="1" applyBorder="1" applyAlignment="1">
      <alignment vertical="center"/>
    </xf>
    <xf numFmtId="0" fontId="10" fillId="0" borderId="9" xfId="0" applyFont="1" applyBorder="1" applyAlignment="1">
      <alignment vertical="center"/>
    </xf>
    <xf numFmtId="0" fontId="10" fillId="0" borderId="9" xfId="0" applyFont="1" applyBorder="1"/>
    <xf numFmtId="0" fontId="10" fillId="7" borderId="9" xfId="0" applyFont="1" applyFill="1" applyBorder="1"/>
    <xf numFmtId="0" fontId="5" fillId="2" borderId="1" xfId="0" applyFont="1" applyFill="1" applyBorder="1"/>
    <xf numFmtId="44" fontId="7" fillId="0" borderId="1" xfId="0" applyNumberFormat="1" applyFont="1" applyBorder="1"/>
    <xf numFmtId="44" fontId="11" fillId="0" borderId="1" xfId="0" applyNumberFormat="1" applyFont="1" applyBorder="1"/>
  </cellXfs>
  <cellStyles count="2">
    <cellStyle name="Currency" xfId="1"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styles" Target="styles.xml"/><Relationship Id="rId7" Type="http://schemas.openxmlformats.org/officeDocument/2006/relationships/customXml" Target="../customXml/item1.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microsoft.com/office/2017/10/relationships/person" Target="persons/person.xml"/><Relationship Id="rId10" Type="http://schemas.openxmlformats.org/officeDocument/2006/relationships/customXml" Target="../customXml/item4.xml"/><Relationship Id="rId4" Type="http://schemas.openxmlformats.org/officeDocument/2006/relationships/sharedStrings" Target="sharedStrings.xml"/><Relationship Id="rId9" Type="http://schemas.openxmlformats.org/officeDocument/2006/relationships/customXml" Target="../customXml/item3.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F23E23-6097-4E94-B0B2-BF80AE439C8A}">
  <dimension ref="A1:AQ99"/>
  <sheetViews>
    <sheetView tabSelected="1" zoomScale="90" zoomScaleNormal="90" workbookViewId="0">
      <selection activeCell="D63" sqref="D63"/>
    </sheetView>
  </sheetViews>
  <sheetFormatPr defaultColWidth="9.140625" defaultRowHeight="11.25" x14ac:dyDescent="0.2"/>
  <cols>
    <col min="1" max="1" width="10.140625" style="1" customWidth="1"/>
    <col min="2" max="2" width="22" style="1" customWidth="1"/>
    <col min="3" max="3" width="13.28515625" style="1" customWidth="1"/>
    <col min="4" max="4" width="67.7109375" style="1" customWidth="1"/>
    <col min="5" max="6" width="9.140625" style="1"/>
    <col min="7" max="7" width="9.85546875" style="1" customWidth="1"/>
    <col min="8" max="8" width="11" style="1" customWidth="1"/>
    <col min="9" max="9" width="10.85546875" style="1" customWidth="1"/>
    <col min="10" max="11" width="9.85546875" style="1" customWidth="1"/>
    <col min="12" max="12" width="15" style="1" customWidth="1"/>
    <col min="13" max="13" width="13.28515625" style="1" customWidth="1"/>
    <col min="14" max="14" width="41.28515625" style="1" customWidth="1"/>
    <col min="15" max="15" width="10.42578125" style="1" customWidth="1"/>
    <col min="16" max="18" width="9.140625" style="1"/>
    <col min="19" max="19" width="13.7109375" style="1" customWidth="1"/>
    <col min="20" max="21" width="14.7109375" style="1" customWidth="1"/>
    <col min="22" max="22" width="14.5703125" style="1" customWidth="1"/>
    <col min="23" max="23" width="16.5703125" style="1" customWidth="1"/>
    <col min="24" max="25" width="14.5703125" style="1" customWidth="1"/>
    <col min="26" max="26" width="17.42578125" style="1" customWidth="1"/>
    <col min="27" max="28" width="14.5703125" style="1" customWidth="1"/>
    <col min="29" max="29" width="16.42578125" style="1" customWidth="1"/>
    <col min="30" max="31" width="14.5703125" style="1" customWidth="1"/>
    <col min="32" max="32" width="17.140625" style="1" customWidth="1"/>
    <col min="33" max="34" width="14.5703125" style="1" customWidth="1"/>
    <col min="35" max="40" width="17" style="1" customWidth="1"/>
    <col min="41" max="16384" width="9.140625" style="1"/>
  </cols>
  <sheetData>
    <row r="1" spans="1:40" ht="75" customHeight="1" x14ac:dyDescent="0.2">
      <c r="A1" s="8" t="s">
        <v>0</v>
      </c>
      <c r="B1" s="8" t="s">
        <v>1</v>
      </c>
      <c r="C1" s="8" t="s">
        <v>2</v>
      </c>
      <c r="D1" s="8" t="s">
        <v>3</v>
      </c>
      <c r="E1" s="9" t="s">
        <v>4</v>
      </c>
      <c r="F1" s="9" t="s">
        <v>5</v>
      </c>
      <c r="G1" s="8" t="s">
        <v>6</v>
      </c>
      <c r="H1" s="8" t="s">
        <v>7</v>
      </c>
      <c r="I1" s="8" t="s">
        <v>8</v>
      </c>
      <c r="J1" s="8" t="s">
        <v>9</v>
      </c>
      <c r="K1" s="8" t="s">
        <v>10</v>
      </c>
      <c r="L1" s="10" t="s">
        <v>11</v>
      </c>
      <c r="M1" s="10" t="s">
        <v>12</v>
      </c>
      <c r="N1" s="10" t="s">
        <v>3</v>
      </c>
      <c r="O1" s="10" t="s">
        <v>13</v>
      </c>
      <c r="P1" s="10" t="s">
        <v>14</v>
      </c>
      <c r="Q1" s="10" t="s">
        <v>15</v>
      </c>
      <c r="R1" s="10" t="s">
        <v>16</v>
      </c>
      <c r="S1" s="10" t="s">
        <v>17</v>
      </c>
      <c r="T1" s="2" t="s">
        <v>18</v>
      </c>
      <c r="U1" s="2" t="s">
        <v>19</v>
      </c>
      <c r="V1" s="2" t="s">
        <v>20</v>
      </c>
      <c r="W1" s="3" t="s">
        <v>21</v>
      </c>
      <c r="X1" s="3" t="s">
        <v>19</v>
      </c>
      <c r="Y1" s="3" t="s">
        <v>22</v>
      </c>
      <c r="Z1" s="2" t="s">
        <v>23</v>
      </c>
      <c r="AA1" s="2" t="s">
        <v>19</v>
      </c>
      <c r="AB1" s="2" t="s">
        <v>24</v>
      </c>
      <c r="AC1" s="3" t="s">
        <v>25</v>
      </c>
      <c r="AD1" s="3" t="s">
        <v>19</v>
      </c>
      <c r="AE1" s="3" t="s">
        <v>26</v>
      </c>
      <c r="AF1" s="2" t="s">
        <v>27</v>
      </c>
      <c r="AG1" s="2" t="s">
        <v>19</v>
      </c>
      <c r="AH1" s="2" t="s">
        <v>28</v>
      </c>
      <c r="AI1" s="4" t="s">
        <v>29</v>
      </c>
      <c r="AJ1" s="4" t="s">
        <v>30</v>
      </c>
      <c r="AK1" s="4" t="s">
        <v>31</v>
      </c>
      <c r="AL1" s="4" t="s">
        <v>32</v>
      </c>
      <c r="AM1" s="4" t="s">
        <v>33</v>
      </c>
      <c r="AN1" s="4" t="s">
        <v>34</v>
      </c>
    </row>
    <row r="2" spans="1:40" ht="180" customHeight="1" x14ac:dyDescent="0.25">
      <c r="A2" s="23">
        <v>1</v>
      </c>
      <c r="B2" s="40" t="s">
        <v>75</v>
      </c>
      <c r="C2" s="41" t="s">
        <v>74</v>
      </c>
      <c r="D2" s="19" t="s">
        <v>87</v>
      </c>
      <c r="E2" s="16" t="s">
        <v>35</v>
      </c>
      <c r="F2" s="16" t="s">
        <v>36</v>
      </c>
      <c r="G2" s="28">
        <v>6</v>
      </c>
      <c r="H2" s="28">
        <v>6</v>
      </c>
      <c r="I2" s="28">
        <v>6</v>
      </c>
      <c r="J2" s="28">
        <v>6</v>
      </c>
      <c r="K2" s="28">
        <v>6</v>
      </c>
      <c r="L2" s="11"/>
      <c r="M2" s="11"/>
      <c r="N2" s="11"/>
      <c r="O2" s="11"/>
      <c r="P2" s="11"/>
      <c r="Q2" s="11"/>
      <c r="R2" s="11"/>
      <c r="S2" s="11"/>
      <c r="T2" s="5"/>
      <c r="U2" s="6">
        <f>ROUND((T2*0.03),2)</f>
        <v>0</v>
      </c>
      <c r="V2" s="6">
        <f>T2+U2</f>
        <v>0</v>
      </c>
      <c r="W2" s="5"/>
      <c r="X2" s="6">
        <f>ROUND((W2*0.03),2)</f>
        <v>0</v>
      </c>
      <c r="Y2" s="6">
        <f>W2+X2</f>
        <v>0</v>
      </c>
      <c r="Z2" s="5"/>
      <c r="AA2" s="6">
        <f>ROUND((Z2*0.03),2)</f>
        <v>0</v>
      </c>
      <c r="AB2" s="6">
        <f>Z2+AA2</f>
        <v>0</v>
      </c>
      <c r="AC2" s="5"/>
      <c r="AD2" s="6">
        <f>ROUND((AC2*0.03),2)</f>
        <v>0</v>
      </c>
      <c r="AE2" s="6">
        <f>AC2+AD2</f>
        <v>0</v>
      </c>
      <c r="AF2" s="5"/>
      <c r="AG2" s="6">
        <f>ROUND((AF2*0.03),2)</f>
        <v>0</v>
      </c>
      <c r="AH2" s="6">
        <f>AF2+AG2</f>
        <v>0</v>
      </c>
      <c r="AI2" s="6">
        <f>G2*V2</f>
        <v>0</v>
      </c>
      <c r="AJ2" s="6">
        <f>H2*Y2</f>
        <v>0</v>
      </c>
      <c r="AK2" s="6">
        <f>I2*AB2</f>
        <v>0</v>
      </c>
      <c r="AL2" s="6">
        <f>J2*AE2</f>
        <v>0</v>
      </c>
      <c r="AM2" s="6">
        <f>K2*AH2</f>
        <v>0</v>
      </c>
      <c r="AN2" s="6">
        <f>SUM(AI2:AM2)</f>
        <v>0</v>
      </c>
    </row>
    <row r="3" spans="1:40" s="13" customFormat="1" ht="48.75" customHeight="1" x14ac:dyDescent="0.2">
      <c r="A3" s="26" t="s">
        <v>40</v>
      </c>
      <c r="B3" s="42" t="s">
        <v>137</v>
      </c>
      <c r="C3" s="41" t="s">
        <v>74</v>
      </c>
      <c r="D3" s="30" t="s">
        <v>88</v>
      </c>
      <c r="E3" s="16" t="s">
        <v>35</v>
      </c>
      <c r="F3" s="16" t="s">
        <v>36</v>
      </c>
      <c r="G3" s="25">
        <v>6</v>
      </c>
      <c r="H3" s="25">
        <v>6</v>
      </c>
      <c r="I3" s="25">
        <v>6</v>
      </c>
      <c r="J3" s="25">
        <v>6</v>
      </c>
      <c r="K3" s="25">
        <v>6</v>
      </c>
      <c r="L3" s="11"/>
      <c r="M3" s="11"/>
      <c r="N3" s="11"/>
      <c r="O3" s="11"/>
      <c r="P3" s="11"/>
      <c r="Q3" s="11"/>
      <c r="R3" s="11"/>
      <c r="S3" s="11"/>
      <c r="T3" s="5"/>
      <c r="U3" s="6">
        <f t="shared" ref="U3:U63" si="0">ROUND((T3*0.03),2)</f>
        <v>0</v>
      </c>
      <c r="V3" s="6">
        <f t="shared" ref="V3:V63" si="1">T3+U3</f>
        <v>0</v>
      </c>
      <c r="W3" s="5"/>
      <c r="X3" s="6">
        <f t="shared" ref="X3:X41" si="2">ROUND((W3*0.03),2)</f>
        <v>0</v>
      </c>
      <c r="Y3" s="6">
        <f t="shared" ref="Y3:Y41" si="3">W3+X3</f>
        <v>0</v>
      </c>
      <c r="Z3" s="5"/>
      <c r="AA3" s="6">
        <f t="shared" ref="AA3:AA41" si="4">ROUND((Z3*0.03),2)</f>
        <v>0</v>
      </c>
      <c r="AB3" s="6">
        <f t="shared" ref="AB3:AB41" si="5">Z3+AA3</f>
        <v>0</v>
      </c>
      <c r="AC3" s="5"/>
      <c r="AD3" s="6">
        <f t="shared" ref="AD3:AD41" si="6">ROUND((AC3*0.03),2)</f>
        <v>0</v>
      </c>
      <c r="AE3" s="6">
        <f t="shared" ref="AE3:AE41" si="7">AC3+AD3</f>
        <v>0</v>
      </c>
      <c r="AF3" s="5"/>
      <c r="AG3" s="6">
        <f t="shared" ref="AG3:AG41" si="8">ROUND((AF3*0.03),2)</f>
        <v>0</v>
      </c>
      <c r="AH3" s="6">
        <f t="shared" ref="AH3:AH41" si="9">AF3+AG3</f>
        <v>0</v>
      </c>
      <c r="AI3" s="6">
        <f t="shared" ref="AI3:AI41" si="10">G3*V3</f>
        <v>0</v>
      </c>
      <c r="AJ3" s="6">
        <f t="shared" ref="AJ3:AJ41" si="11">H3*Y3</f>
        <v>0</v>
      </c>
      <c r="AK3" s="6">
        <f t="shared" ref="AK3:AK41" si="12">I3*AB3</f>
        <v>0</v>
      </c>
      <c r="AL3" s="6">
        <f t="shared" ref="AL3:AL41" si="13">J3*AE3</f>
        <v>0</v>
      </c>
      <c r="AM3" s="6">
        <f t="shared" ref="AM3:AM41" si="14">K3*AH3</f>
        <v>0</v>
      </c>
      <c r="AN3" s="6">
        <f t="shared" ref="AN3:AN63" si="15">SUM(AI3:AM3)</f>
        <v>0</v>
      </c>
    </row>
    <row r="4" spans="1:40" s="13" customFormat="1" ht="75" customHeight="1" x14ac:dyDescent="0.25">
      <c r="A4" s="23" t="s">
        <v>41</v>
      </c>
      <c r="B4" s="24" t="s">
        <v>76</v>
      </c>
      <c r="C4" s="41" t="s">
        <v>74</v>
      </c>
      <c r="D4" s="19" t="s">
        <v>89</v>
      </c>
      <c r="E4" s="16" t="s">
        <v>35</v>
      </c>
      <c r="F4" s="16" t="s">
        <v>36</v>
      </c>
      <c r="G4" s="28">
        <v>6</v>
      </c>
      <c r="H4" s="28">
        <v>6</v>
      </c>
      <c r="I4" s="28">
        <v>6</v>
      </c>
      <c r="J4" s="28">
        <v>6</v>
      </c>
      <c r="K4" s="28">
        <v>6</v>
      </c>
      <c r="L4" s="11"/>
      <c r="M4" s="11"/>
      <c r="N4" s="11"/>
      <c r="O4" s="11"/>
      <c r="P4" s="11"/>
      <c r="Q4" s="11"/>
      <c r="R4" s="11"/>
      <c r="S4" s="11"/>
      <c r="T4" s="5"/>
      <c r="U4" s="6">
        <f t="shared" si="0"/>
        <v>0</v>
      </c>
      <c r="V4" s="6">
        <f t="shared" si="1"/>
        <v>0</v>
      </c>
      <c r="W4" s="5"/>
      <c r="X4" s="6">
        <f t="shared" si="2"/>
        <v>0</v>
      </c>
      <c r="Y4" s="6">
        <f t="shared" si="3"/>
        <v>0</v>
      </c>
      <c r="Z4" s="5"/>
      <c r="AA4" s="6">
        <f t="shared" si="4"/>
        <v>0</v>
      </c>
      <c r="AB4" s="6">
        <f t="shared" si="5"/>
        <v>0</v>
      </c>
      <c r="AC4" s="5"/>
      <c r="AD4" s="6">
        <f t="shared" si="6"/>
        <v>0</v>
      </c>
      <c r="AE4" s="6">
        <f t="shared" si="7"/>
        <v>0</v>
      </c>
      <c r="AF4" s="5"/>
      <c r="AG4" s="6">
        <f t="shared" si="8"/>
        <v>0</v>
      </c>
      <c r="AH4" s="6">
        <f t="shared" si="9"/>
        <v>0</v>
      </c>
      <c r="AI4" s="6">
        <f t="shared" si="10"/>
        <v>0</v>
      </c>
      <c r="AJ4" s="6">
        <f t="shared" si="11"/>
        <v>0</v>
      </c>
      <c r="AK4" s="6">
        <f t="shared" si="12"/>
        <v>0</v>
      </c>
      <c r="AL4" s="6">
        <f t="shared" si="13"/>
        <v>0</v>
      </c>
      <c r="AM4" s="6">
        <f t="shared" si="14"/>
        <v>0</v>
      </c>
      <c r="AN4" s="6">
        <f t="shared" si="15"/>
        <v>0</v>
      </c>
    </row>
    <row r="5" spans="1:40" s="13" customFormat="1" ht="110.1" customHeight="1" x14ac:dyDescent="0.25">
      <c r="A5" s="26" t="s">
        <v>42</v>
      </c>
      <c r="B5" s="42">
        <v>9999.2001999999993</v>
      </c>
      <c r="C5" s="41" t="s">
        <v>74</v>
      </c>
      <c r="D5" s="20" t="s">
        <v>90</v>
      </c>
      <c r="E5" s="16" t="s">
        <v>35</v>
      </c>
      <c r="F5" s="16" t="s">
        <v>36</v>
      </c>
      <c r="G5" s="25">
        <v>6</v>
      </c>
      <c r="H5" s="25">
        <v>6</v>
      </c>
      <c r="I5" s="25">
        <v>6</v>
      </c>
      <c r="J5" s="25">
        <v>6</v>
      </c>
      <c r="K5" s="25">
        <v>6</v>
      </c>
      <c r="L5" s="11"/>
      <c r="M5" s="11"/>
      <c r="N5" s="11"/>
      <c r="O5" s="11"/>
      <c r="P5" s="11"/>
      <c r="Q5" s="11"/>
      <c r="R5" s="11"/>
      <c r="S5" s="11"/>
      <c r="T5" s="5"/>
      <c r="U5" s="6">
        <f t="shared" si="0"/>
        <v>0</v>
      </c>
      <c r="V5" s="6">
        <f t="shared" si="1"/>
        <v>0</v>
      </c>
      <c r="W5" s="5"/>
      <c r="X5" s="6">
        <f t="shared" si="2"/>
        <v>0</v>
      </c>
      <c r="Y5" s="6">
        <f t="shared" si="3"/>
        <v>0</v>
      </c>
      <c r="Z5" s="5"/>
      <c r="AA5" s="6">
        <f t="shared" si="4"/>
        <v>0</v>
      </c>
      <c r="AB5" s="6">
        <f t="shared" si="5"/>
        <v>0</v>
      </c>
      <c r="AC5" s="5"/>
      <c r="AD5" s="6">
        <f t="shared" si="6"/>
        <v>0</v>
      </c>
      <c r="AE5" s="6">
        <f t="shared" si="7"/>
        <v>0</v>
      </c>
      <c r="AF5" s="5"/>
      <c r="AG5" s="6">
        <f t="shared" si="8"/>
        <v>0</v>
      </c>
      <c r="AH5" s="6">
        <f t="shared" si="9"/>
        <v>0</v>
      </c>
      <c r="AI5" s="6">
        <f t="shared" si="10"/>
        <v>0</v>
      </c>
      <c r="AJ5" s="6">
        <f t="shared" si="11"/>
        <v>0</v>
      </c>
      <c r="AK5" s="6">
        <f t="shared" si="12"/>
        <v>0</v>
      </c>
      <c r="AL5" s="6">
        <f t="shared" si="13"/>
        <v>0</v>
      </c>
      <c r="AM5" s="6">
        <f t="shared" si="14"/>
        <v>0</v>
      </c>
      <c r="AN5" s="6">
        <f t="shared" si="15"/>
        <v>0</v>
      </c>
    </row>
    <row r="6" spans="1:40" s="13" customFormat="1" ht="75" customHeight="1" x14ac:dyDescent="0.25">
      <c r="A6" s="23" t="s">
        <v>43</v>
      </c>
      <c r="B6" s="40">
        <v>9999.2201000000005</v>
      </c>
      <c r="C6" s="41" t="s">
        <v>74</v>
      </c>
      <c r="D6" s="19" t="s">
        <v>91</v>
      </c>
      <c r="E6" s="16" t="s">
        <v>35</v>
      </c>
      <c r="F6" s="16" t="s">
        <v>36</v>
      </c>
      <c r="G6" s="28">
        <v>6</v>
      </c>
      <c r="H6" s="28">
        <v>6</v>
      </c>
      <c r="I6" s="28">
        <v>6</v>
      </c>
      <c r="J6" s="28">
        <v>6</v>
      </c>
      <c r="K6" s="28">
        <v>6</v>
      </c>
      <c r="L6" s="11"/>
      <c r="M6" s="11"/>
      <c r="N6" s="11"/>
      <c r="O6" s="11"/>
      <c r="P6" s="11"/>
      <c r="Q6" s="11"/>
      <c r="R6" s="11"/>
      <c r="S6" s="11"/>
      <c r="T6" s="5"/>
      <c r="U6" s="6">
        <f t="shared" si="0"/>
        <v>0</v>
      </c>
      <c r="V6" s="6">
        <f t="shared" si="1"/>
        <v>0</v>
      </c>
      <c r="W6" s="5"/>
      <c r="X6" s="6">
        <f t="shared" si="2"/>
        <v>0</v>
      </c>
      <c r="Y6" s="6">
        <f t="shared" si="3"/>
        <v>0</v>
      </c>
      <c r="Z6" s="5"/>
      <c r="AA6" s="6">
        <f t="shared" si="4"/>
        <v>0</v>
      </c>
      <c r="AB6" s="6">
        <f t="shared" si="5"/>
        <v>0</v>
      </c>
      <c r="AC6" s="5"/>
      <c r="AD6" s="6">
        <f t="shared" si="6"/>
        <v>0</v>
      </c>
      <c r="AE6" s="6">
        <f t="shared" si="7"/>
        <v>0</v>
      </c>
      <c r="AF6" s="5"/>
      <c r="AG6" s="6">
        <f t="shared" si="8"/>
        <v>0</v>
      </c>
      <c r="AH6" s="6">
        <f t="shared" si="9"/>
        <v>0</v>
      </c>
      <c r="AI6" s="6">
        <f t="shared" si="10"/>
        <v>0</v>
      </c>
      <c r="AJ6" s="6">
        <f t="shared" si="11"/>
        <v>0</v>
      </c>
      <c r="AK6" s="6">
        <f t="shared" si="12"/>
        <v>0</v>
      </c>
      <c r="AL6" s="6">
        <f t="shared" si="13"/>
        <v>0</v>
      </c>
      <c r="AM6" s="6">
        <f t="shared" si="14"/>
        <v>0</v>
      </c>
      <c r="AN6" s="6">
        <f t="shared" si="15"/>
        <v>0</v>
      </c>
    </row>
    <row r="7" spans="1:40" s="13" customFormat="1" ht="75" customHeight="1" x14ac:dyDescent="0.2">
      <c r="A7" s="26" t="s">
        <v>114</v>
      </c>
      <c r="B7" s="42" t="s">
        <v>138</v>
      </c>
      <c r="C7" s="41" t="s">
        <v>74</v>
      </c>
      <c r="D7" s="30" t="s">
        <v>155</v>
      </c>
      <c r="E7" s="16" t="s">
        <v>35</v>
      </c>
      <c r="F7" s="16" t="s">
        <v>36</v>
      </c>
      <c r="G7" s="25">
        <v>6</v>
      </c>
      <c r="H7" s="25">
        <v>6</v>
      </c>
      <c r="I7" s="25">
        <v>6</v>
      </c>
      <c r="J7" s="25">
        <v>6</v>
      </c>
      <c r="K7" s="25">
        <v>6</v>
      </c>
      <c r="L7" s="11"/>
      <c r="M7" s="11"/>
      <c r="N7" s="11"/>
      <c r="O7" s="11"/>
      <c r="P7" s="11"/>
      <c r="Q7" s="11"/>
      <c r="R7" s="11"/>
      <c r="S7" s="11"/>
      <c r="T7" s="5"/>
      <c r="U7" s="6">
        <f t="shared" si="0"/>
        <v>0</v>
      </c>
      <c r="V7" s="6">
        <f t="shared" si="1"/>
        <v>0</v>
      </c>
      <c r="W7" s="5"/>
      <c r="X7" s="6">
        <f t="shared" si="2"/>
        <v>0</v>
      </c>
      <c r="Y7" s="6">
        <f t="shared" si="3"/>
        <v>0</v>
      </c>
      <c r="Z7" s="5"/>
      <c r="AA7" s="6">
        <f t="shared" si="4"/>
        <v>0</v>
      </c>
      <c r="AB7" s="6">
        <f t="shared" si="5"/>
        <v>0</v>
      </c>
      <c r="AC7" s="5"/>
      <c r="AD7" s="6">
        <f t="shared" si="6"/>
        <v>0</v>
      </c>
      <c r="AE7" s="6">
        <f t="shared" si="7"/>
        <v>0</v>
      </c>
      <c r="AF7" s="5"/>
      <c r="AG7" s="6">
        <f t="shared" si="8"/>
        <v>0</v>
      </c>
      <c r="AH7" s="6">
        <f t="shared" si="9"/>
        <v>0</v>
      </c>
      <c r="AI7" s="6">
        <f t="shared" si="10"/>
        <v>0</v>
      </c>
      <c r="AJ7" s="6">
        <f t="shared" si="11"/>
        <v>0</v>
      </c>
      <c r="AK7" s="6">
        <f t="shared" si="12"/>
        <v>0</v>
      </c>
      <c r="AL7" s="6">
        <f t="shared" si="13"/>
        <v>0</v>
      </c>
      <c r="AM7" s="6">
        <f t="shared" si="14"/>
        <v>0</v>
      </c>
      <c r="AN7" s="6">
        <f t="shared" si="15"/>
        <v>0</v>
      </c>
    </row>
    <row r="8" spans="1:40" s="13" customFormat="1" ht="85.5" customHeight="1" x14ac:dyDescent="0.25">
      <c r="A8" s="23" t="s">
        <v>115</v>
      </c>
      <c r="B8" s="40" t="s">
        <v>77</v>
      </c>
      <c r="C8" s="41" t="s">
        <v>74</v>
      </c>
      <c r="D8" s="19" t="s">
        <v>92</v>
      </c>
      <c r="E8" s="16" t="s">
        <v>35</v>
      </c>
      <c r="F8" s="16" t="s">
        <v>36</v>
      </c>
      <c r="G8" s="28">
        <v>6</v>
      </c>
      <c r="H8" s="28">
        <v>6</v>
      </c>
      <c r="I8" s="28">
        <v>6</v>
      </c>
      <c r="J8" s="28">
        <v>6</v>
      </c>
      <c r="K8" s="28">
        <v>6</v>
      </c>
      <c r="L8" s="11"/>
      <c r="M8" s="11"/>
      <c r="N8" s="11"/>
      <c r="O8" s="11"/>
      <c r="P8" s="11"/>
      <c r="Q8" s="11"/>
      <c r="R8" s="11"/>
      <c r="S8" s="11"/>
      <c r="T8" s="5"/>
      <c r="U8" s="6">
        <f t="shared" si="0"/>
        <v>0</v>
      </c>
      <c r="V8" s="6">
        <f t="shared" si="1"/>
        <v>0</v>
      </c>
      <c r="W8" s="5"/>
      <c r="X8" s="6">
        <f t="shared" si="2"/>
        <v>0</v>
      </c>
      <c r="Y8" s="6">
        <f t="shared" si="3"/>
        <v>0</v>
      </c>
      <c r="Z8" s="5"/>
      <c r="AA8" s="6">
        <f t="shared" si="4"/>
        <v>0</v>
      </c>
      <c r="AB8" s="6">
        <f t="shared" si="5"/>
        <v>0</v>
      </c>
      <c r="AC8" s="5"/>
      <c r="AD8" s="6">
        <f t="shared" si="6"/>
        <v>0</v>
      </c>
      <c r="AE8" s="6">
        <f t="shared" si="7"/>
        <v>0</v>
      </c>
      <c r="AF8" s="5"/>
      <c r="AG8" s="6">
        <f t="shared" si="8"/>
        <v>0</v>
      </c>
      <c r="AH8" s="6">
        <f t="shared" si="9"/>
        <v>0</v>
      </c>
      <c r="AI8" s="6">
        <f t="shared" si="10"/>
        <v>0</v>
      </c>
      <c r="AJ8" s="6">
        <f t="shared" si="11"/>
        <v>0</v>
      </c>
      <c r="AK8" s="6">
        <f t="shared" si="12"/>
        <v>0</v>
      </c>
      <c r="AL8" s="6">
        <f t="shared" si="13"/>
        <v>0</v>
      </c>
      <c r="AM8" s="6">
        <f t="shared" si="14"/>
        <v>0</v>
      </c>
      <c r="AN8" s="6">
        <f t="shared" si="15"/>
        <v>0</v>
      </c>
    </row>
    <row r="9" spans="1:40" s="13" customFormat="1" ht="184.5" customHeight="1" x14ac:dyDescent="0.25">
      <c r="A9" s="26" t="s">
        <v>44</v>
      </c>
      <c r="B9" s="42">
        <v>9999.2271000000001</v>
      </c>
      <c r="C9" s="41" t="s">
        <v>74</v>
      </c>
      <c r="D9" s="20" t="s">
        <v>93</v>
      </c>
      <c r="E9" s="16" t="s">
        <v>35</v>
      </c>
      <c r="F9" s="16" t="s">
        <v>36</v>
      </c>
      <c r="G9" s="25">
        <v>6</v>
      </c>
      <c r="H9" s="25">
        <v>6</v>
      </c>
      <c r="I9" s="25">
        <v>6</v>
      </c>
      <c r="J9" s="25">
        <v>6</v>
      </c>
      <c r="K9" s="25">
        <v>6</v>
      </c>
      <c r="L9" s="11"/>
      <c r="M9" s="11"/>
      <c r="N9" s="11"/>
      <c r="O9" s="11"/>
      <c r="P9" s="11"/>
      <c r="Q9" s="11"/>
      <c r="R9" s="11"/>
      <c r="S9" s="11"/>
      <c r="T9" s="5"/>
      <c r="U9" s="6">
        <f t="shared" si="0"/>
        <v>0</v>
      </c>
      <c r="V9" s="6">
        <f t="shared" si="1"/>
        <v>0</v>
      </c>
      <c r="W9" s="5"/>
      <c r="X9" s="6">
        <f t="shared" si="2"/>
        <v>0</v>
      </c>
      <c r="Y9" s="6">
        <f t="shared" si="3"/>
        <v>0</v>
      </c>
      <c r="Z9" s="5"/>
      <c r="AA9" s="6">
        <f t="shared" si="4"/>
        <v>0</v>
      </c>
      <c r="AB9" s="6">
        <f t="shared" si="5"/>
        <v>0</v>
      </c>
      <c r="AC9" s="5"/>
      <c r="AD9" s="6">
        <f t="shared" si="6"/>
        <v>0</v>
      </c>
      <c r="AE9" s="6">
        <f t="shared" si="7"/>
        <v>0</v>
      </c>
      <c r="AF9" s="5"/>
      <c r="AG9" s="6">
        <f t="shared" si="8"/>
        <v>0</v>
      </c>
      <c r="AH9" s="6">
        <f t="shared" si="9"/>
        <v>0</v>
      </c>
      <c r="AI9" s="6">
        <f t="shared" si="10"/>
        <v>0</v>
      </c>
      <c r="AJ9" s="6">
        <f t="shared" si="11"/>
        <v>0</v>
      </c>
      <c r="AK9" s="6">
        <f t="shared" si="12"/>
        <v>0</v>
      </c>
      <c r="AL9" s="6">
        <f t="shared" si="13"/>
        <v>0</v>
      </c>
      <c r="AM9" s="6">
        <f t="shared" si="14"/>
        <v>0</v>
      </c>
      <c r="AN9" s="6">
        <f t="shared" si="15"/>
        <v>0</v>
      </c>
    </row>
    <row r="10" spans="1:40" s="13" customFormat="1" ht="75" customHeight="1" x14ac:dyDescent="0.25">
      <c r="A10" s="23" t="s">
        <v>45</v>
      </c>
      <c r="B10" s="40" t="s">
        <v>78</v>
      </c>
      <c r="C10" s="41" t="s">
        <v>74</v>
      </c>
      <c r="D10" s="19" t="s">
        <v>94</v>
      </c>
      <c r="E10" s="16" t="s">
        <v>35</v>
      </c>
      <c r="F10" s="16" t="s">
        <v>36</v>
      </c>
      <c r="G10" s="28">
        <v>12</v>
      </c>
      <c r="H10" s="28">
        <v>12</v>
      </c>
      <c r="I10" s="28">
        <v>12</v>
      </c>
      <c r="J10" s="28">
        <v>12</v>
      </c>
      <c r="K10" s="28">
        <v>12</v>
      </c>
      <c r="L10" s="11"/>
      <c r="M10" s="11"/>
      <c r="N10" s="11"/>
      <c r="O10" s="11"/>
      <c r="P10" s="11"/>
      <c r="Q10" s="11"/>
      <c r="R10" s="11"/>
      <c r="S10" s="11"/>
      <c r="T10" s="5"/>
      <c r="U10" s="6">
        <f t="shared" si="0"/>
        <v>0</v>
      </c>
      <c r="V10" s="6">
        <f t="shared" si="1"/>
        <v>0</v>
      </c>
      <c r="W10" s="5"/>
      <c r="X10" s="6">
        <f t="shared" si="2"/>
        <v>0</v>
      </c>
      <c r="Y10" s="6">
        <f t="shared" si="3"/>
        <v>0</v>
      </c>
      <c r="Z10" s="5"/>
      <c r="AA10" s="6">
        <f t="shared" si="4"/>
        <v>0</v>
      </c>
      <c r="AB10" s="6">
        <f t="shared" si="5"/>
        <v>0</v>
      </c>
      <c r="AC10" s="5"/>
      <c r="AD10" s="6">
        <f t="shared" si="6"/>
        <v>0</v>
      </c>
      <c r="AE10" s="6">
        <f t="shared" si="7"/>
        <v>0</v>
      </c>
      <c r="AF10" s="5"/>
      <c r="AG10" s="6">
        <f t="shared" si="8"/>
        <v>0</v>
      </c>
      <c r="AH10" s="6">
        <f t="shared" si="9"/>
        <v>0</v>
      </c>
      <c r="AI10" s="6">
        <f t="shared" si="10"/>
        <v>0</v>
      </c>
      <c r="AJ10" s="6">
        <f t="shared" si="11"/>
        <v>0</v>
      </c>
      <c r="AK10" s="6">
        <f t="shared" si="12"/>
        <v>0</v>
      </c>
      <c r="AL10" s="6">
        <f t="shared" si="13"/>
        <v>0</v>
      </c>
      <c r="AM10" s="6">
        <f t="shared" si="14"/>
        <v>0</v>
      </c>
      <c r="AN10" s="6">
        <f t="shared" si="15"/>
        <v>0</v>
      </c>
    </row>
    <row r="11" spans="1:40" s="13" customFormat="1" ht="75" customHeight="1" x14ac:dyDescent="0.25">
      <c r="A11" s="26" t="s">
        <v>46</v>
      </c>
      <c r="B11" s="42" t="s">
        <v>79</v>
      </c>
      <c r="C11" s="41" t="s">
        <v>74</v>
      </c>
      <c r="D11" s="20" t="s">
        <v>95</v>
      </c>
      <c r="E11" s="16" t="s">
        <v>35</v>
      </c>
      <c r="F11" s="16" t="s">
        <v>36</v>
      </c>
      <c r="G11" s="25">
        <v>12</v>
      </c>
      <c r="H11" s="25">
        <v>12</v>
      </c>
      <c r="I11" s="25">
        <v>12</v>
      </c>
      <c r="J11" s="25">
        <v>12</v>
      </c>
      <c r="K11" s="25">
        <v>12</v>
      </c>
      <c r="L11" s="11"/>
      <c r="M11" s="11"/>
      <c r="N11" s="11"/>
      <c r="O11" s="11"/>
      <c r="P11" s="11"/>
      <c r="Q11" s="11"/>
      <c r="R11" s="11"/>
      <c r="S11" s="11"/>
      <c r="T11" s="5"/>
      <c r="U11" s="6">
        <f t="shared" si="0"/>
        <v>0</v>
      </c>
      <c r="V11" s="6">
        <f t="shared" si="1"/>
        <v>0</v>
      </c>
      <c r="W11" s="5"/>
      <c r="X11" s="6">
        <f t="shared" si="2"/>
        <v>0</v>
      </c>
      <c r="Y11" s="6">
        <f t="shared" si="3"/>
        <v>0</v>
      </c>
      <c r="Z11" s="5"/>
      <c r="AA11" s="6">
        <f t="shared" si="4"/>
        <v>0</v>
      </c>
      <c r="AB11" s="6">
        <f t="shared" si="5"/>
        <v>0</v>
      </c>
      <c r="AC11" s="5"/>
      <c r="AD11" s="6">
        <f t="shared" si="6"/>
        <v>0</v>
      </c>
      <c r="AE11" s="6">
        <f t="shared" si="7"/>
        <v>0</v>
      </c>
      <c r="AF11" s="5"/>
      <c r="AG11" s="6">
        <f t="shared" si="8"/>
        <v>0</v>
      </c>
      <c r="AH11" s="6">
        <f t="shared" si="9"/>
        <v>0</v>
      </c>
      <c r="AI11" s="6">
        <f t="shared" si="10"/>
        <v>0</v>
      </c>
      <c r="AJ11" s="6">
        <f t="shared" si="11"/>
        <v>0</v>
      </c>
      <c r="AK11" s="6">
        <f t="shared" si="12"/>
        <v>0</v>
      </c>
      <c r="AL11" s="6">
        <f t="shared" si="13"/>
        <v>0</v>
      </c>
      <c r="AM11" s="6">
        <f t="shared" si="14"/>
        <v>0</v>
      </c>
      <c r="AN11" s="6">
        <f t="shared" si="15"/>
        <v>0</v>
      </c>
    </row>
    <row r="12" spans="1:40" s="13" customFormat="1" ht="75" customHeight="1" x14ac:dyDescent="0.25">
      <c r="A12" s="23" t="s">
        <v>47</v>
      </c>
      <c r="B12" s="40" t="s">
        <v>80</v>
      </c>
      <c r="C12" s="41" t="s">
        <v>74</v>
      </c>
      <c r="D12" s="19" t="s">
        <v>96</v>
      </c>
      <c r="E12" s="16" t="s">
        <v>35</v>
      </c>
      <c r="F12" s="16" t="s">
        <v>36</v>
      </c>
      <c r="G12" s="28">
        <v>6</v>
      </c>
      <c r="H12" s="28">
        <v>6</v>
      </c>
      <c r="I12" s="28">
        <v>6</v>
      </c>
      <c r="J12" s="28">
        <v>6</v>
      </c>
      <c r="K12" s="28">
        <v>6</v>
      </c>
      <c r="L12" s="11"/>
      <c r="M12" s="11"/>
      <c r="N12" s="11"/>
      <c r="O12" s="11"/>
      <c r="P12" s="11"/>
      <c r="Q12" s="11"/>
      <c r="R12" s="11"/>
      <c r="S12" s="11"/>
      <c r="T12" s="5"/>
      <c r="U12" s="6">
        <f t="shared" si="0"/>
        <v>0</v>
      </c>
      <c r="V12" s="6">
        <f t="shared" si="1"/>
        <v>0</v>
      </c>
      <c r="W12" s="5"/>
      <c r="X12" s="6">
        <f t="shared" si="2"/>
        <v>0</v>
      </c>
      <c r="Y12" s="6">
        <f t="shared" si="3"/>
        <v>0</v>
      </c>
      <c r="Z12" s="5"/>
      <c r="AA12" s="6">
        <f t="shared" si="4"/>
        <v>0</v>
      </c>
      <c r="AB12" s="6">
        <f t="shared" si="5"/>
        <v>0</v>
      </c>
      <c r="AC12" s="5"/>
      <c r="AD12" s="6">
        <f t="shared" si="6"/>
        <v>0</v>
      </c>
      <c r="AE12" s="6">
        <f t="shared" si="7"/>
        <v>0</v>
      </c>
      <c r="AF12" s="5"/>
      <c r="AG12" s="6">
        <f t="shared" si="8"/>
        <v>0</v>
      </c>
      <c r="AH12" s="6">
        <f t="shared" si="9"/>
        <v>0</v>
      </c>
      <c r="AI12" s="6">
        <f t="shared" si="10"/>
        <v>0</v>
      </c>
      <c r="AJ12" s="6">
        <f t="shared" si="11"/>
        <v>0</v>
      </c>
      <c r="AK12" s="6">
        <f t="shared" si="12"/>
        <v>0</v>
      </c>
      <c r="AL12" s="6">
        <f t="shared" si="13"/>
        <v>0</v>
      </c>
      <c r="AM12" s="6">
        <f t="shared" si="14"/>
        <v>0</v>
      </c>
      <c r="AN12" s="6">
        <f t="shared" si="15"/>
        <v>0</v>
      </c>
    </row>
    <row r="13" spans="1:40" s="13" customFormat="1" ht="75" customHeight="1" x14ac:dyDescent="0.2">
      <c r="A13" s="26" t="s">
        <v>116</v>
      </c>
      <c r="B13" s="42">
        <v>6010.2101000000002</v>
      </c>
      <c r="C13" s="41" t="s">
        <v>74</v>
      </c>
      <c r="D13" s="30" t="s">
        <v>97</v>
      </c>
      <c r="E13" s="16" t="s">
        <v>35</v>
      </c>
      <c r="F13" s="16" t="s">
        <v>36</v>
      </c>
      <c r="G13" s="25">
        <v>30</v>
      </c>
      <c r="H13" s="25">
        <v>30</v>
      </c>
      <c r="I13" s="25">
        <v>30</v>
      </c>
      <c r="J13" s="25">
        <v>30</v>
      </c>
      <c r="K13" s="25">
        <v>30</v>
      </c>
      <c r="L13" s="11"/>
      <c r="M13" s="11"/>
      <c r="N13" s="11"/>
      <c r="O13" s="11"/>
      <c r="P13" s="11"/>
      <c r="Q13" s="11"/>
      <c r="R13" s="11"/>
      <c r="S13" s="11"/>
      <c r="T13" s="5"/>
      <c r="U13" s="6">
        <f t="shared" si="0"/>
        <v>0</v>
      </c>
      <c r="V13" s="6">
        <f t="shared" si="1"/>
        <v>0</v>
      </c>
      <c r="W13" s="5"/>
      <c r="X13" s="6">
        <f t="shared" si="2"/>
        <v>0</v>
      </c>
      <c r="Y13" s="6">
        <f t="shared" si="3"/>
        <v>0</v>
      </c>
      <c r="Z13" s="5"/>
      <c r="AA13" s="6">
        <f t="shared" si="4"/>
        <v>0</v>
      </c>
      <c r="AB13" s="6">
        <f t="shared" si="5"/>
        <v>0</v>
      </c>
      <c r="AC13" s="5"/>
      <c r="AD13" s="6">
        <f t="shared" si="6"/>
        <v>0</v>
      </c>
      <c r="AE13" s="6">
        <f t="shared" si="7"/>
        <v>0</v>
      </c>
      <c r="AF13" s="5"/>
      <c r="AG13" s="6">
        <f t="shared" si="8"/>
        <v>0</v>
      </c>
      <c r="AH13" s="6">
        <f t="shared" si="9"/>
        <v>0</v>
      </c>
      <c r="AI13" s="6">
        <f t="shared" si="10"/>
        <v>0</v>
      </c>
      <c r="AJ13" s="6">
        <f t="shared" si="11"/>
        <v>0</v>
      </c>
      <c r="AK13" s="6">
        <f t="shared" si="12"/>
        <v>0</v>
      </c>
      <c r="AL13" s="6">
        <f t="shared" si="13"/>
        <v>0</v>
      </c>
      <c r="AM13" s="6">
        <f t="shared" si="14"/>
        <v>0</v>
      </c>
      <c r="AN13" s="6">
        <f t="shared" si="15"/>
        <v>0</v>
      </c>
    </row>
    <row r="14" spans="1:40" s="13" customFormat="1" ht="75" customHeight="1" x14ac:dyDescent="0.25">
      <c r="A14" s="23">
        <v>2</v>
      </c>
      <c r="B14" s="40" t="s">
        <v>81</v>
      </c>
      <c r="C14" s="41" t="s">
        <v>74</v>
      </c>
      <c r="D14" s="19" t="s">
        <v>98</v>
      </c>
      <c r="E14" s="16" t="s">
        <v>35</v>
      </c>
      <c r="F14" s="16" t="s">
        <v>36</v>
      </c>
      <c r="G14" s="28">
        <v>12</v>
      </c>
      <c r="H14" s="28">
        <v>12</v>
      </c>
      <c r="I14" s="28">
        <v>12</v>
      </c>
      <c r="J14" s="28">
        <v>12</v>
      </c>
      <c r="K14" s="28">
        <v>12</v>
      </c>
      <c r="L14" s="11"/>
      <c r="M14" s="11"/>
      <c r="N14" s="11"/>
      <c r="O14" s="11"/>
      <c r="P14" s="11"/>
      <c r="Q14" s="11"/>
      <c r="R14" s="11"/>
      <c r="S14" s="11"/>
      <c r="T14" s="5"/>
      <c r="U14" s="6">
        <f t="shared" si="0"/>
        <v>0</v>
      </c>
      <c r="V14" s="6">
        <f t="shared" si="1"/>
        <v>0</v>
      </c>
      <c r="W14" s="5"/>
      <c r="X14" s="6">
        <f t="shared" si="2"/>
        <v>0</v>
      </c>
      <c r="Y14" s="6">
        <f t="shared" si="3"/>
        <v>0</v>
      </c>
      <c r="Z14" s="5"/>
      <c r="AA14" s="6">
        <f t="shared" si="4"/>
        <v>0</v>
      </c>
      <c r="AB14" s="6">
        <f t="shared" si="5"/>
        <v>0</v>
      </c>
      <c r="AC14" s="5"/>
      <c r="AD14" s="6">
        <f t="shared" si="6"/>
        <v>0</v>
      </c>
      <c r="AE14" s="6">
        <f t="shared" si="7"/>
        <v>0</v>
      </c>
      <c r="AF14" s="5"/>
      <c r="AG14" s="6">
        <f t="shared" si="8"/>
        <v>0</v>
      </c>
      <c r="AH14" s="6">
        <f t="shared" si="9"/>
        <v>0</v>
      </c>
      <c r="AI14" s="6">
        <f t="shared" si="10"/>
        <v>0</v>
      </c>
      <c r="AJ14" s="6">
        <f t="shared" si="11"/>
        <v>0</v>
      </c>
      <c r="AK14" s="6">
        <f t="shared" si="12"/>
        <v>0</v>
      </c>
      <c r="AL14" s="6">
        <f t="shared" si="13"/>
        <v>0</v>
      </c>
      <c r="AM14" s="6">
        <f t="shared" si="14"/>
        <v>0</v>
      </c>
      <c r="AN14" s="6">
        <f t="shared" si="15"/>
        <v>0</v>
      </c>
    </row>
    <row r="15" spans="1:40" s="13" customFormat="1" ht="75" customHeight="1" x14ac:dyDescent="0.2">
      <c r="A15" s="26" t="s">
        <v>48</v>
      </c>
      <c r="B15" s="42" t="s">
        <v>137</v>
      </c>
      <c r="C15" s="41" t="s">
        <v>74</v>
      </c>
      <c r="D15" s="30" t="s">
        <v>88</v>
      </c>
      <c r="E15" s="16" t="s">
        <v>35</v>
      </c>
      <c r="F15" s="16" t="s">
        <v>36</v>
      </c>
      <c r="G15" s="25">
        <v>12</v>
      </c>
      <c r="H15" s="25">
        <v>12</v>
      </c>
      <c r="I15" s="25">
        <v>12</v>
      </c>
      <c r="J15" s="25">
        <v>12</v>
      </c>
      <c r="K15" s="25">
        <v>12</v>
      </c>
      <c r="L15" s="11"/>
      <c r="M15" s="11"/>
      <c r="N15" s="11"/>
      <c r="O15" s="11"/>
      <c r="P15" s="11"/>
      <c r="Q15" s="11"/>
      <c r="R15" s="11"/>
      <c r="S15" s="11"/>
      <c r="T15" s="5"/>
      <c r="U15" s="6">
        <f t="shared" si="0"/>
        <v>0</v>
      </c>
      <c r="V15" s="6">
        <f t="shared" si="1"/>
        <v>0</v>
      </c>
      <c r="W15" s="5"/>
      <c r="X15" s="6">
        <f t="shared" si="2"/>
        <v>0</v>
      </c>
      <c r="Y15" s="6">
        <f t="shared" si="3"/>
        <v>0</v>
      </c>
      <c r="Z15" s="5"/>
      <c r="AA15" s="6">
        <f t="shared" si="4"/>
        <v>0</v>
      </c>
      <c r="AB15" s="6">
        <f t="shared" si="5"/>
        <v>0</v>
      </c>
      <c r="AC15" s="5"/>
      <c r="AD15" s="6">
        <f t="shared" si="6"/>
        <v>0</v>
      </c>
      <c r="AE15" s="6">
        <f t="shared" si="7"/>
        <v>0</v>
      </c>
      <c r="AF15" s="5"/>
      <c r="AG15" s="6">
        <f t="shared" si="8"/>
        <v>0</v>
      </c>
      <c r="AH15" s="6">
        <f t="shared" si="9"/>
        <v>0</v>
      </c>
      <c r="AI15" s="6">
        <f t="shared" si="10"/>
        <v>0</v>
      </c>
      <c r="AJ15" s="6">
        <f t="shared" si="11"/>
        <v>0</v>
      </c>
      <c r="AK15" s="6">
        <f t="shared" si="12"/>
        <v>0</v>
      </c>
      <c r="AL15" s="6">
        <f t="shared" si="13"/>
        <v>0</v>
      </c>
      <c r="AM15" s="6">
        <f t="shared" si="14"/>
        <v>0</v>
      </c>
      <c r="AN15" s="6">
        <f t="shared" si="15"/>
        <v>0</v>
      </c>
    </row>
    <row r="16" spans="1:40" s="13" customFormat="1" ht="58.5" customHeight="1" x14ac:dyDescent="0.25">
      <c r="A16" s="23" t="s">
        <v>49</v>
      </c>
      <c r="B16" s="40" t="s">
        <v>76</v>
      </c>
      <c r="C16" s="41" t="s">
        <v>74</v>
      </c>
      <c r="D16" s="19" t="s">
        <v>89</v>
      </c>
      <c r="E16" s="16" t="s">
        <v>35</v>
      </c>
      <c r="F16" s="16" t="s">
        <v>36</v>
      </c>
      <c r="G16" s="28">
        <v>12</v>
      </c>
      <c r="H16" s="28">
        <v>12</v>
      </c>
      <c r="I16" s="28">
        <v>12</v>
      </c>
      <c r="J16" s="28">
        <v>12</v>
      </c>
      <c r="K16" s="28">
        <v>12</v>
      </c>
      <c r="L16" s="11"/>
      <c r="M16" s="11"/>
      <c r="N16" s="11"/>
      <c r="O16" s="11"/>
      <c r="P16" s="11"/>
      <c r="Q16" s="11"/>
      <c r="R16" s="11"/>
      <c r="S16" s="11"/>
      <c r="T16" s="5"/>
      <c r="U16" s="6">
        <f t="shared" si="0"/>
        <v>0</v>
      </c>
      <c r="V16" s="6">
        <f t="shared" si="1"/>
        <v>0</v>
      </c>
      <c r="W16" s="5"/>
      <c r="X16" s="6">
        <f t="shared" si="2"/>
        <v>0</v>
      </c>
      <c r="Y16" s="6">
        <f t="shared" si="3"/>
        <v>0</v>
      </c>
      <c r="Z16" s="5"/>
      <c r="AA16" s="6">
        <f t="shared" si="4"/>
        <v>0</v>
      </c>
      <c r="AB16" s="6">
        <f t="shared" si="5"/>
        <v>0</v>
      </c>
      <c r="AC16" s="5"/>
      <c r="AD16" s="6">
        <f t="shared" si="6"/>
        <v>0</v>
      </c>
      <c r="AE16" s="6">
        <f t="shared" si="7"/>
        <v>0</v>
      </c>
      <c r="AF16" s="5"/>
      <c r="AG16" s="6">
        <f t="shared" si="8"/>
        <v>0</v>
      </c>
      <c r="AH16" s="6">
        <f t="shared" si="9"/>
        <v>0</v>
      </c>
      <c r="AI16" s="6">
        <f t="shared" si="10"/>
        <v>0</v>
      </c>
      <c r="AJ16" s="6">
        <f t="shared" si="11"/>
        <v>0</v>
      </c>
      <c r="AK16" s="6">
        <f t="shared" si="12"/>
        <v>0</v>
      </c>
      <c r="AL16" s="6">
        <f t="shared" si="13"/>
        <v>0</v>
      </c>
      <c r="AM16" s="6">
        <f t="shared" si="14"/>
        <v>0</v>
      </c>
      <c r="AN16" s="6">
        <f t="shared" si="15"/>
        <v>0</v>
      </c>
    </row>
    <row r="17" spans="1:43" s="13" customFormat="1" ht="119.25" customHeight="1" x14ac:dyDescent="0.25">
      <c r="A17" s="26" t="s">
        <v>50</v>
      </c>
      <c r="B17" s="42">
        <v>9999.2001999999993</v>
      </c>
      <c r="C17" s="41" t="s">
        <v>74</v>
      </c>
      <c r="D17" s="20" t="s">
        <v>156</v>
      </c>
      <c r="E17" s="16" t="s">
        <v>35</v>
      </c>
      <c r="F17" s="16" t="s">
        <v>36</v>
      </c>
      <c r="G17" s="25">
        <v>12</v>
      </c>
      <c r="H17" s="25">
        <v>12</v>
      </c>
      <c r="I17" s="25">
        <v>12</v>
      </c>
      <c r="J17" s="25">
        <v>12</v>
      </c>
      <c r="K17" s="25">
        <v>12</v>
      </c>
      <c r="L17" s="11"/>
      <c r="M17" s="11"/>
      <c r="N17" s="11"/>
      <c r="O17" s="11"/>
      <c r="P17" s="11"/>
      <c r="Q17" s="11"/>
      <c r="R17" s="11"/>
      <c r="S17" s="11"/>
      <c r="T17" s="5"/>
      <c r="U17" s="6">
        <f t="shared" si="0"/>
        <v>0</v>
      </c>
      <c r="V17" s="6">
        <f t="shared" si="1"/>
        <v>0</v>
      </c>
      <c r="W17" s="5"/>
      <c r="X17" s="6">
        <f t="shared" si="2"/>
        <v>0</v>
      </c>
      <c r="Y17" s="6">
        <f t="shared" si="3"/>
        <v>0</v>
      </c>
      <c r="Z17" s="5"/>
      <c r="AA17" s="6">
        <f t="shared" si="4"/>
        <v>0</v>
      </c>
      <c r="AB17" s="6">
        <f t="shared" si="5"/>
        <v>0</v>
      </c>
      <c r="AC17" s="5"/>
      <c r="AD17" s="6">
        <f t="shared" si="6"/>
        <v>0</v>
      </c>
      <c r="AE17" s="6">
        <f t="shared" si="7"/>
        <v>0</v>
      </c>
      <c r="AF17" s="5"/>
      <c r="AG17" s="6">
        <f t="shared" si="8"/>
        <v>0</v>
      </c>
      <c r="AH17" s="6">
        <f t="shared" si="9"/>
        <v>0</v>
      </c>
      <c r="AI17" s="6">
        <f t="shared" si="10"/>
        <v>0</v>
      </c>
      <c r="AJ17" s="6">
        <f t="shared" si="11"/>
        <v>0</v>
      </c>
      <c r="AK17" s="6">
        <f t="shared" si="12"/>
        <v>0</v>
      </c>
      <c r="AL17" s="6">
        <f t="shared" si="13"/>
        <v>0</v>
      </c>
      <c r="AM17" s="6">
        <f t="shared" si="14"/>
        <v>0</v>
      </c>
      <c r="AN17" s="6">
        <f t="shared" si="15"/>
        <v>0</v>
      </c>
    </row>
    <row r="18" spans="1:43" s="13" customFormat="1" ht="74.25" customHeight="1" x14ac:dyDescent="0.25">
      <c r="A18" s="23" t="s">
        <v>51</v>
      </c>
      <c r="B18" s="40">
        <v>9999.2212</v>
      </c>
      <c r="C18" s="41" t="s">
        <v>74</v>
      </c>
      <c r="D18" s="19" t="s">
        <v>99</v>
      </c>
      <c r="E18" s="16" t="s">
        <v>35</v>
      </c>
      <c r="F18" s="16" t="s">
        <v>36</v>
      </c>
      <c r="G18" s="28">
        <v>12</v>
      </c>
      <c r="H18" s="28">
        <v>12</v>
      </c>
      <c r="I18" s="28">
        <v>12</v>
      </c>
      <c r="J18" s="28">
        <v>12</v>
      </c>
      <c r="K18" s="28">
        <v>12</v>
      </c>
      <c r="L18" s="11"/>
      <c r="M18" s="11"/>
      <c r="N18" s="11"/>
      <c r="O18" s="11"/>
      <c r="P18" s="11"/>
      <c r="Q18" s="11"/>
      <c r="R18" s="11"/>
      <c r="S18" s="11"/>
      <c r="T18" s="5"/>
      <c r="U18" s="6">
        <f t="shared" si="0"/>
        <v>0</v>
      </c>
      <c r="V18" s="6">
        <f t="shared" si="1"/>
        <v>0</v>
      </c>
      <c r="W18" s="5"/>
      <c r="X18" s="6">
        <f t="shared" si="2"/>
        <v>0</v>
      </c>
      <c r="Y18" s="6">
        <f t="shared" si="3"/>
        <v>0</v>
      </c>
      <c r="Z18" s="5"/>
      <c r="AA18" s="6">
        <f t="shared" si="4"/>
        <v>0</v>
      </c>
      <c r="AB18" s="6">
        <f t="shared" si="5"/>
        <v>0</v>
      </c>
      <c r="AC18" s="5"/>
      <c r="AD18" s="6">
        <f t="shared" si="6"/>
        <v>0</v>
      </c>
      <c r="AE18" s="6">
        <f t="shared" si="7"/>
        <v>0</v>
      </c>
      <c r="AF18" s="5"/>
      <c r="AG18" s="6">
        <f t="shared" si="8"/>
        <v>0</v>
      </c>
      <c r="AH18" s="6">
        <f t="shared" si="9"/>
        <v>0</v>
      </c>
      <c r="AI18" s="6">
        <f t="shared" si="10"/>
        <v>0</v>
      </c>
      <c r="AJ18" s="6">
        <f t="shared" si="11"/>
        <v>0</v>
      </c>
      <c r="AK18" s="6">
        <f t="shared" si="12"/>
        <v>0</v>
      </c>
      <c r="AL18" s="6">
        <f t="shared" si="13"/>
        <v>0</v>
      </c>
      <c r="AM18" s="6">
        <f t="shared" si="14"/>
        <v>0</v>
      </c>
      <c r="AN18" s="6">
        <f t="shared" si="15"/>
        <v>0</v>
      </c>
    </row>
    <row r="19" spans="1:43" s="13" customFormat="1" ht="88.5" customHeight="1" x14ac:dyDescent="0.25">
      <c r="A19" s="26" t="s">
        <v>52</v>
      </c>
      <c r="B19" s="42" t="s">
        <v>82</v>
      </c>
      <c r="C19" s="41" t="s">
        <v>74</v>
      </c>
      <c r="D19" s="20" t="s">
        <v>100</v>
      </c>
      <c r="E19" s="16" t="s">
        <v>35</v>
      </c>
      <c r="F19" s="16" t="s">
        <v>36</v>
      </c>
      <c r="G19" s="25">
        <v>12</v>
      </c>
      <c r="H19" s="25">
        <v>12</v>
      </c>
      <c r="I19" s="25">
        <v>12</v>
      </c>
      <c r="J19" s="25">
        <v>12</v>
      </c>
      <c r="K19" s="25">
        <v>12</v>
      </c>
      <c r="L19" s="11"/>
      <c r="M19" s="11"/>
      <c r="N19" s="11"/>
      <c r="O19" s="11"/>
      <c r="P19" s="11"/>
      <c r="Q19" s="11"/>
      <c r="R19" s="11"/>
      <c r="S19" s="11"/>
      <c r="T19" s="5"/>
      <c r="U19" s="6">
        <f t="shared" si="0"/>
        <v>0</v>
      </c>
      <c r="V19" s="6">
        <f t="shared" si="1"/>
        <v>0</v>
      </c>
      <c r="W19" s="5"/>
      <c r="X19" s="6">
        <f t="shared" si="2"/>
        <v>0</v>
      </c>
      <c r="Y19" s="6">
        <f t="shared" si="3"/>
        <v>0</v>
      </c>
      <c r="Z19" s="5"/>
      <c r="AA19" s="6">
        <f t="shared" si="4"/>
        <v>0</v>
      </c>
      <c r="AB19" s="6">
        <f t="shared" si="5"/>
        <v>0</v>
      </c>
      <c r="AC19" s="5"/>
      <c r="AD19" s="6">
        <f t="shared" si="6"/>
        <v>0</v>
      </c>
      <c r="AE19" s="6">
        <f t="shared" si="7"/>
        <v>0</v>
      </c>
      <c r="AF19" s="5"/>
      <c r="AG19" s="6">
        <f t="shared" si="8"/>
        <v>0</v>
      </c>
      <c r="AH19" s="6">
        <f t="shared" si="9"/>
        <v>0</v>
      </c>
      <c r="AI19" s="6">
        <f t="shared" si="10"/>
        <v>0</v>
      </c>
      <c r="AJ19" s="6">
        <f t="shared" si="11"/>
        <v>0</v>
      </c>
      <c r="AK19" s="6">
        <f t="shared" si="12"/>
        <v>0</v>
      </c>
      <c r="AL19" s="6">
        <f t="shared" si="13"/>
        <v>0</v>
      </c>
      <c r="AM19" s="6">
        <f t="shared" si="14"/>
        <v>0</v>
      </c>
      <c r="AN19" s="6">
        <f t="shared" si="15"/>
        <v>0</v>
      </c>
    </row>
    <row r="20" spans="1:43" s="13" customFormat="1" ht="81.75" customHeight="1" x14ac:dyDescent="0.25">
      <c r="A20" s="23" t="s">
        <v>53</v>
      </c>
      <c r="B20" s="40" t="s">
        <v>77</v>
      </c>
      <c r="C20" s="41" t="s">
        <v>74</v>
      </c>
      <c r="D20" s="19" t="s">
        <v>92</v>
      </c>
      <c r="E20" s="16" t="s">
        <v>35</v>
      </c>
      <c r="F20" s="16" t="s">
        <v>36</v>
      </c>
      <c r="G20" s="28">
        <v>12</v>
      </c>
      <c r="H20" s="28">
        <v>12</v>
      </c>
      <c r="I20" s="28">
        <v>12</v>
      </c>
      <c r="J20" s="28">
        <v>12</v>
      </c>
      <c r="K20" s="28">
        <v>12</v>
      </c>
      <c r="L20" s="11"/>
      <c r="M20" s="11"/>
      <c r="N20" s="11"/>
      <c r="O20" s="11"/>
      <c r="P20" s="11"/>
      <c r="Q20" s="11"/>
      <c r="R20" s="11"/>
      <c r="S20" s="11"/>
      <c r="T20" s="5"/>
      <c r="U20" s="6">
        <f t="shared" si="0"/>
        <v>0</v>
      </c>
      <c r="V20" s="6">
        <f t="shared" si="1"/>
        <v>0</v>
      </c>
      <c r="W20" s="5"/>
      <c r="X20" s="6">
        <f t="shared" si="2"/>
        <v>0</v>
      </c>
      <c r="Y20" s="6">
        <f t="shared" si="3"/>
        <v>0</v>
      </c>
      <c r="Z20" s="5"/>
      <c r="AA20" s="6">
        <f t="shared" si="4"/>
        <v>0</v>
      </c>
      <c r="AB20" s="6">
        <f t="shared" si="5"/>
        <v>0</v>
      </c>
      <c r="AC20" s="5"/>
      <c r="AD20" s="6">
        <f t="shared" si="6"/>
        <v>0</v>
      </c>
      <c r="AE20" s="6">
        <f t="shared" si="7"/>
        <v>0</v>
      </c>
      <c r="AF20" s="5"/>
      <c r="AG20" s="6">
        <f t="shared" si="8"/>
        <v>0</v>
      </c>
      <c r="AH20" s="6">
        <f t="shared" si="9"/>
        <v>0</v>
      </c>
      <c r="AI20" s="6">
        <f t="shared" si="10"/>
        <v>0</v>
      </c>
      <c r="AJ20" s="6">
        <f t="shared" si="11"/>
        <v>0</v>
      </c>
      <c r="AK20" s="6">
        <f t="shared" si="12"/>
        <v>0</v>
      </c>
      <c r="AL20" s="6">
        <f t="shared" si="13"/>
        <v>0</v>
      </c>
      <c r="AM20" s="6">
        <f t="shared" si="14"/>
        <v>0</v>
      </c>
      <c r="AN20" s="6">
        <f t="shared" si="15"/>
        <v>0</v>
      </c>
    </row>
    <row r="21" spans="1:43" s="13" customFormat="1" ht="165" customHeight="1" x14ac:dyDescent="0.25">
      <c r="A21" s="26" t="s">
        <v>54</v>
      </c>
      <c r="B21" s="42">
        <v>9999.2271000000001</v>
      </c>
      <c r="C21" s="41" t="s">
        <v>74</v>
      </c>
      <c r="D21" s="20" t="s">
        <v>101</v>
      </c>
      <c r="E21" s="16" t="s">
        <v>35</v>
      </c>
      <c r="F21" s="16" t="s">
        <v>36</v>
      </c>
      <c r="G21" s="25">
        <v>12</v>
      </c>
      <c r="H21" s="25">
        <v>12</v>
      </c>
      <c r="I21" s="25">
        <v>12</v>
      </c>
      <c r="J21" s="25">
        <v>12</v>
      </c>
      <c r="K21" s="25">
        <v>12</v>
      </c>
      <c r="L21" s="11"/>
      <c r="M21" s="11"/>
      <c r="N21" s="11"/>
      <c r="O21" s="11"/>
      <c r="P21" s="11"/>
      <c r="Q21" s="11"/>
      <c r="R21" s="11"/>
      <c r="S21" s="11"/>
      <c r="T21" s="5"/>
      <c r="U21" s="6">
        <f t="shared" si="0"/>
        <v>0</v>
      </c>
      <c r="V21" s="6">
        <f t="shared" si="1"/>
        <v>0</v>
      </c>
      <c r="W21" s="5"/>
      <c r="X21" s="6">
        <f t="shared" si="2"/>
        <v>0</v>
      </c>
      <c r="Y21" s="6">
        <f t="shared" si="3"/>
        <v>0</v>
      </c>
      <c r="Z21" s="5"/>
      <c r="AA21" s="6">
        <f t="shared" si="4"/>
        <v>0</v>
      </c>
      <c r="AB21" s="6">
        <f t="shared" si="5"/>
        <v>0</v>
      </c>
      <c r="AC21" s="5"/>
      <c r="AD21" s="6">
        <f t="shared" si="6"/>
        <v>0</v>
      </c>
      <c r="AE21" s="6">
        <f t="shared" si="7"/>
        <v>0</v>
      </c>
      <c r="AF21" s="5"/>
      <c r="AG21" s="6">
        <f t="shared" si="8"/>
        <v>0</v>
      </c>
      <c r="AH21" s="6">
        <f t="shared" si="9"/>
        <v>0</v>
      </c>
      <c r="AI21" s="6">
        <f t="shared" si="10"/>
        <v>0</v>
      </c>
      <c r="AJ21" s="6">
        <f t="shared" si="11"/>
        <v>0</v>
      </c>
      <c r="AK21" s="6">
        <f t="shared" si="12"/>
        <v>0</v>
      </c>
      <c r="AL21" s="6">
        <f t="shared" si="13"/>
        <v>0</v>
      </c>
      <c r="AM21" s="6">
        <f t="shared" si="14"/>
        <v>0</v>
      </c>
      <c r="AN21" s="6">
        <f t="shared" si="15"/>
        <v>0</v>
      </c>
    </row>
    <row r="22" spans="1:43" s="13" customFormat="1" ht="66" customHeight="1" x14ac:dyDescent="0.25">
      <c r="A22" s="23" t="s">
        <v>55</v>
      </c>
      <c r="B22" s="40" t="s">
        <v>78</v>
      </c>
      <c r="C22" s="41" t="s">
        <v>74</v>
      </c>
      <c r="D22" s="19" t="s">
        <v>94</v>
      </c>
      <c r="E22" s="16" t="s">
        <v>35</v>
      </c>
      <c r="F22" s="16" t="s">
        <v>36</v>
      </c>
      <c r="G22" s="28">
        <v>24</v>
      </c>
      <c r="H22" s="28">
        <v>24</v>
      </c>
      <c r="I22" s="28">
        <v>24</v>
      </c>
      <c r="J22" s="28">
        <v>24</v>
      </c>
      <c r="K22" s="28">
        <v>24</v>
      </c>
      <c r="L22" s="11"/>
      <c r="M22" s="11"/>
      <c r="N22" s="11"/>
      <c r="O22" s="11"/>
      <c r="P22" s="11"/>
      <c r="Q22" s="11"/>
      <c r="R22" s="11"/>
      <c r="S22" s="11"/>
      <c r="T22" s="5"/>
      <c r="U22" s="6">
        <f t="shared" si="0"/>
        <v>0</v>
      </c>
      <c r="V22" s="6">
        <f t="shared" si="1"/>
        <v>0</v>
      </c>
      <c r="W22" s="5"/>
      <c r="X22" s="6">
        <f t="shared" si="2"/>
        <v>0</v>
      </c>
      <c r="Y22" s="6">
        <f t="shared" si="3"/>
        <v>0</v>
      </c>
      <c r="Z22" s="5"/>
      <c r="AA22" s="6">
        <f t="shared" si="4"/>
        <v>0</v>
      </c>
      <c r="AB22" s="6">
        <f t="shared" si="5"/>
        <v>0</v>
      </c>
      <c r="AC22" s="5"/>
      <c r="AD22" s="6">
        <f t="shared" si="6"/>
        <v>0</v>
      </c>
      <c r="AE22" s="6">
        <f t="shared" si="7"/>
        <v>0</v>
      </c>
      <c r="AF22" s="5"/>
      <c r="AG22" s="6">
        <f t="shared" si="8"/>
        <v>0</v>
      </c>
      <c r="AH22" s="6">
        <f t="shared" si="9"/>
        <v>0</v>
      </c>
      <c r="AI22" s="6">
        <f t="shared" si="10"/>
        <v>0</v>
      </c>
      <c r="AJ22" s="6">
        <f t="shared" si="11"/>
        <v>0</v>
      </c>
      <c r="AK22" s="6">
        <f t="shared" si="12"/>
        <v>0</v>
      </c>
      <c r="AL22" s="6">
        <f t="shared" si="13"/>
        <v>0</v>
      </c>
      <c r="AM22" s="6">
        <f t="shared" si="14"/>
        <v>0</v>
      </c>
      <c r="AN22" s="6">
        <f t="shared" si="15"/>
        <v>0</v>
      </c>
    </row>
    <row r="23" spans="1:43" s="13" customFormat="1" ht="67.5" customHeight="1" x14ac:dyDescent="0.25">
      <c r="A23" s="26" t="s">
        <v>56</v>
      </c>
      <c r="B23" s="42" t="s">
        <v>79</v>
      </c>
      <c r="C23" s="41" t="s">
        <v>74</v>
      </c>
      <c r="D23" s="20" t="s">
        <v>102</v>
      </c>
      <c r="E23" s="16" t="s">
        <v>35</v>
      </c>
      <c r="F23" s="16" t="s">
        <v>36</v>
      </c>
      <c r="G23" s="25">
        <v>24</v>
      </c>
      <c r="H23" s="25">
        <v>24</v>
      </c>
      <c r="I23" s="25">
        <v>24</v>
      </c>
      <c r="J23" s="25">
        <v>24</v>
      </c>
      <c r="K23" s="25">
        <v>24</v>
      </c>
      <c r="L23" s="11"/>
      <c r="M23" s="11"/>
      <c r="N23" s="11"/>
      <c r="O23" s="11"/>
      <c r="P23" s="11"/>
      <c r="Q23" s="11"/>
      <c r="R23" s="11"/>
      <c r="S23" s="11"/>
      <c r="T23" s="5"/>
      <c r="U23" s="6">
        <f t="shared" si="0"/>
        <v>0</v>
      </c>
      <c r="V23" s="6">
        <f t="shared" si="1"/>
        <v>0</v>
      </c>
      <c r="W23" s="5"/>
      <c r="X23" s="6">
        <f t="shared" si="2"/>
        <v>0</v>
      </c>
      <c r="Y23" s="6">
        <f t="shared" si="3"/>
        <v>0</v>
      </c>
      <c r="Z23" s="5"/>
      <c r="AA23" s="6">
        <f t="shared" si="4"/>
        <v>0</v>
      </c>
      <c r="AB23" s="6">
        <f t="shared" si="5"/>
        <v>0</v>
      </c>
      <c r="AC23" s="5"/>
      <c r="AD23" s="6">
        <f t="shared" si="6"/>
        <v>0</v>
      </c>
      <c r="AE23" s="6">
        <f t="shared" si="7"/>
        <v>0</v>
      </c>
      <c r="AF23" s="5"/>
      <c r="AG23" s="6">
        <f t="shared" si="8"/>
        <v>0</v>
      </c>
      <c r="AH23" s="6">
        <f t="shared" si="9"/>
        <v>0</v>
      </c>
      <c r="AI23" s="6">
        <f t="shared" si="10"/>
        <v>0</v>
      </c>
      <c r="AJ23" s="6">
        <f t="shared" si="11"/>
        <v>0</v>
      </c>
      <c r="AK23" s="6">
        <f t="shared" si="12"/>
        <v>0</v>
      </c>
      <c r="AL23" s="6">
        <f t="shared" si="13"/>
        <v>0</v>
      </c>
      <c r="AM23" s="6">
        <f t="shared" si="14"/>
        <v>0</v>
      </c>
      <c r="AN23" s="6">
        <f t="shared" si="15"/>
        <v>0</v>
      </c>
    </row>
    <row r="24" spans="1:43" s="13" customFormat="1" ht="62.25" customHeight="1" x14ac:dyDescent="0.2">
      <c r="A24" s="23" t="s">
        <v>117</v>
      </c>
      <c r="B24" s="40">
        <v>6010.2101000000002</v>
      </c>
      <c r="C24" s="41" t="s">
        <v>74</v>
      </c>
      <c r="D24" s="29" t="s">
        <v>97</v>
      </c>
      <c r="E24" s="16" t="s">
        <v>35</v>
      </c>
      <c r="F24" s="16" t="s">
        <v>36</v>
      </c>
      <c r="G24" s="28">
        <v>120</v>
      </c>
      <c r="H24" s="28">
        <v>120</v>
      </c>
      <c r="I24" s="28">
        <v>120</v>
      </c>
      <c r="J24" s="28">
        <v>120</v>
      </c>
      <c r="K24" s="28">
        <v>120</v>
      </c>
      <c r="L24" s="11"/>
      <c r="M24" s="11"/>
      <c r="N24" s="11"/>
      <c r="O24" s="11"/>
      <c r="P24" s="11"/>
      <c r="Q24" s="11"/>
      <c r="R24" s="11"/>
      <c r="S24" s="11"/>
      <c r="T24" s="5"/>
      <c r="U24" s="6">
        <f t="shared" si="0"/>
        <v>0</v>
      </c>
      <c r="V24" s="6">
        <f t="shared" si="1"/>
        <v>0</v>
      </c>
      <c r="W24" s="5"/>
      <c r="X24" s="6">
        <f t="shared" si="2"/>
        <v>0</v>
      </c>
      <c r="Y24" s="6">
        <f t="shared" si="3"/>
        <v>0</v>
      </c>
      <c r="Z24" s="5"/>
      <c r="AA24" s="6">
        <f t="shared" si="4"/>
        <v>0</v>
      </c>
      <c r="AB24" s="6">
        <f t="shared" si="5"/>
        <v>0</v>
      </c>
      <c r="AC24" s="5"/>
      <c r="AD24" s="6">
        <f t="shared" si="6"/>
        <v>0</v>
      </c>
      <c r="AE24" s="6">
        <f t="shared" si="7"/>
        <v>0</v>
      </c>
      <c r="AF24" s="5"/>
      <c r="AG24" s="6">
        <f t="shared" si="8"/>
        <v>0</v>
      </c>
      <c r="AH24" s="6">
        <f t="shared" si="9"/>
        <v>0</v>
      </c>
      <c r="AI24" s="6">
        <f t="shared" si="10"/>
        <v>0</v>
      </c>
      <c r="AJ24" s="6">
        <f t="shared" si="11"/>
        <v>0</v>
      </c>
      <c r="AK24" s="6">
        <f t="shared" si="12"/>
        <v>0</v>
      </c>
      <c r="AL24" s="6">
        <f t="shared" si="13"/>
        <v>0</v>
      </c>
      <c r="AM24" s="6">
        <f t="shared" si="14"/>
        <v>0</v>
      </c>
      <c r="AN24" s="6">
        <f t="shared" si="15"/>
        <v>0</v>
      </c>
    </row>
    <row r="25" spans="1:43" s="13" customFormat="1" ht="75" customHeight="1" x14ac:dyDescent="0.25">
      <c r="A25" s="26">
        <v>3</v>
      </c>
      <c r="B25" s="42" t="s">
        <v>83</v>
      </c>
      <c r="C25" s="41" t="s">
        <v>74</v>
      </c>
      <c r="D25" s="20" t="s">
        <v>103</v>
      </c>
      <c r="E25" s="16" t="s">
        <v>35</v>
      </c>
      <c r="F25" s="16" t="s">
        <v>36</v>
      </c>
      <c r="G25" s="25">
        <v>12</v>
      </c>
      <c r="H25" s="25">
        <v>12</v>
      </c>
      <c r="I25" s="25">
        <v>12</v>
      </c>
      <c r="J25" s="25">
        <v>12</v>
      </c>
      <c r="K25" s="25">
        <v>12</v>
      </c>
      <c r="L25" s="11"/>
      <c r="M25" s="11"/>
      <c r="N25" s="11"/>
      <c r="O25" s="11"/>
      <c r="P25" s="11"/>
      <c r="Q25" s="11"/>
      <c r="R25" s="11"/>
      <c r="S25" s="11"/>
      <c r="T25" s="5"/>
      <c r="U25" s="6">
        <f t="shared" si="0"/>
        <v>0</v>
      </c>
      <c r="V25" s="6">
        <f t="shared" si="1"/>
        <v>0</v>
      </c>
      <c r="W25" s="5"/>
      <c r="X25" s="6">
        <f t="shared" si="2"/>
        <v>0</v>
      </c>
      <c r="Y25" s="6">
        <f t="shared" si="3"/>
        <v>0</v>
      </c>
      <c r="Z25" s="5"/>
      <c r="AA25" s="6">
        <f t="shared" si="4"/>
        <v>0</v>
      </c>
      <c r="AB25" s="6">
        <f t="shared" si="5"/>
        <v>0</v>
      </c>
      <c r="AC25" s="5"/>
      <c r="AD25" s="6">
        <f t="shared" si="6"/>
        <v>0</v>
      </c>
      <c r="AE25" s="6">
        <f t="shared" si="7"/>
        <v>0</v>
      </c>
      <c r="AF25" s="5"/>
      <c r="AG25" s="6">
        <f t="shared" si="8"/>
        <v>0</v>
      </c>
      <c r="AH25" s="6">
        <f t="shared" si="9"/>
        <v>0</v>
      </c>
      <c r="AI25" s="6">
        <f t="shared" si="10"/>
        <v>0</v>
      </c>
      <c r="AJ25" s="6">
        <f t="shared" si="11"/>
        <v>0</v>
      </c>
      <c r="AK25" s="6">
        <f t="shared" si="12"/>
        <v>0</v>
      </c>
      <c r="AL25" s="6">
        <f t="shared" si="13"/>
        <v>0</v>
      </c>
      <c r="AM25" s="6">
        <f t="shared" si="14"/>
        <v>0</v>
      </c>
      <c r="AN25" s="6">
        <f t="shared" si="15"/>
        <v>0</v>
      </c>
    </row>
    <row r="26" spans="1:43" s="13" customFormat="1" ht="53.25" customHeight="1" x14ac:dyDescent="0.2">
      <c r="A26" s="23" t="s">
        <v>57</v>
      </c>
      <c r="B26" s="40" t="s">
        <v>137</v>
      </c>
      <c r="C26" s="41" t="s">
        <v>74</v>
      </c>
      <c r="D26" s="29" t="s">
        <v>88</v>
      </c>
      <c r="E26" s="17" t="s">
        <v>35</v>
      </c>
      <c r="F26" s="17" t="s">
        <v>36</v>
      </c>
      <c r="G26" s="28">
        <v>12</v>
      </c>
      <c r="H26" s="28">
        <v>12</v>
      </c>
      <c r="I26" s="28">
        <v>12</v>
      </c>
      <c r="J26" s="28">
        <v>12</v>
      </c>
      <c r="K26" s="28">
        <v>12</v>
      </c>
      <c r="L26" s="12"/>
      <c r="M26" s="12"/>
      <c r="N26" s="12"/>
      <c r="O26" s="12"/>
      <c r="P26" s="12"/>
      <c r="Q26" s="12"/>
      <c r="R26" s="12"/>
      <c r="S26" s="12"/>
      <c r="T26" s="7"/>
      <c r="U26" s="6">
        <f t="shared" si="0"/>
        <v>0</v>
      </c>
      <c r="V26" s="6">
        <f t="shared" si="1"/>
        <v>0</v>
      </c>
      <c r="W26" s="7"/>
      <c r="X26" s="6">
        <f t="shared" si="2"/>
        <v>0</v>
      </c>
      <c r="Y26" s="6">
        <f t="shared" si="3"/>
        <v>0</v>
      </c>
      <c r="Z26" s="7"/>
      <c r="AA26" s="6">
        <f t="shared" si="4"/>
        <v>0</v>
      </c>
      <c r="AB26" s="6">
        <f t="shared" si="5"/>
        <v>0</v>
      </c>
      <c r="AC26" s="7"/>
      <c r="AD26" s="6">
        <f t="shared" si="6"/>
        <v>0</v>
      </c>
      <c r="AE26" s="6">
        <f t="shared" si="7"/>
        <v>0</v>
      </c>
      <c r="AF26" s="7"/>
      <c r="AG26" s="6">
        <f t="shared" si="8"/>
        <v>0</v>
      </c>
      <c r="AH26" s="6">
        <f t="shared" si="9"/>
        <v>0</v>
      </c>
      <c r="AI26" s="6">
        <f t="shared" si="10"/>
        <v>0</v>
      </c>
      <c r="AJ26" s="6">
        <f t="shared" si="11"/>
        <v>0</v>
      </c>
      <c r="AK26" s="6">
        <f t="shared" si="12"/>
        <v>0</v>
      </c>
      <c r="AL26" s="6">
        <f t="shared" si="13"/>
        <v>0</v>
      </c>
      <c r="AM26" s="6">
        <f t="shared" si="14"/>
        <v>0</v>
      </c>
      <c r="AN26" s="6">
        <f t="shared" si="15"/>
        <v>0</v>
      </c>
    </row>
    <row r="27" spans="1:43" s="13" customFormat="1" ht="59.25" customHeight="1" x14ac:dyDescent="0.25">
      <c r="A27" s="26" t="s">
        <v>58</v>
      </c>
      <c r="B27" s="42" t="s">
        <v>76</v>
      </c>
      <c r="C27" s="41" t="s">
        <v>74</v>
      </c>
      <c r="D27" s="20" t="s">
        <v>89</v>
      </c>
      <c r="E27" s="17" t="s">
        <v>35</v>
      </c>
      <c r="F27" s="17" t="s">
        <v>36</v>
      </c>
      <c r="G27" s="25">
        <v>12</v>
      </c>
      <c r="H27" s="25">
        <v>12</v>
      </c>
      <c r="I27" s="25">
        <v>12</v>
      </c>
      <c r="J27" s="25">
        <v>12</v>
      </c>
      <c r="K27" s="25">
        <v>12</v>
      </c>
      <c r="L27" s="14"/>
      <c r="M27" s="14"/>
      <c r="N27" s="14"/>
      <c r="O27" s="14"/>
      <c r="P27" s="14"/>
      <c r="Q27" s="14"/>
      <c r="R27" s="14"/>
      <c r="S27" s="14"/>
      <c r="T27" s="14"/>
      <c r="U27" s="6">
        <f t="shared" si="0"/>
        <v>0</v>
      </c>
      <c r="V27" s="6">
        <f t="shared" si="1"/>
        <v>0</v>
      </c>
      <c r="W27" s="14"/>
      <c r="X27" s="6">
        <f t="shared" si="2"/>
        <v>0</v>
      </c>
      <c r="Y27" s="6">
        <f t="shared" si="3"/>
        <v>0</v>
      </c>
      <c r="Z27" s="14"/>
      <c r="AA27" s="6">
        <f t="shared" si="4"/>
        <v>0</v>
      </c>
      <c r="AB27" s="6">
        <f t="shared" si="5"/>
        <v>0</v>
      </c>
      <c r="AC27" s="14"/>
      <c r="AD27" s="6">
        <f t="shared" si="6"/>
        <v>0</v>
      </c>
      <c r="AE27" s="6">
        <f t="shared" si="7"/>
        <v>0</v>
      </c>
      <c r="AF27" s="14"/>
      <c r="AG27" s="6">
        <f t="shared" si="8"/>
        <v>0</v>
      </c>
      <c r="AH27" s="6">
        <f t="shared" si="9"/>
        <v>0</v>
      </c>
      <c r="AI27" s="6">
        <f t="shared" si="10"/>
        <v>0</v>
      </c>
      <c r="AJ27" s="6">
        <f t="shared" si="11"/>
        <v>0</v>
      </c>
      <c r="AK27" s="6">
        <f t="shared" si="12"/>
        <v>0</v>
      </c>
      <c r="AL27" s="6">
        <f t="shared" si="13"/>
        <v>0</v>
      </c>
      <c r="AM27" s="6">
        <f t="shared" si="14"/>
        <v>0</v>
      </c>
      <c r="AN27" s="6">
        <f t="shared" si="15"/>
        <v>0</v>
      </c>
      <c r="AO27" s="15"/>
      <c r="AP27" s="15"/>
      <c r="AQ27" s="15"/>
    </row>
    <row r="28" spans="1:43" s="13" customFormat="1" ht="75" customHeight="1" x14ac:dyDescent="0.25">
      <c r="A28" s="23" t="s">
        <v>59</v>
      </c>
      <c r="B28" s="40">
        <v>9999.2001999999993</v>
      </c>
      <c r="C28" s="41" t="s">
        <v>74</v>
      </c>
      <c r="D28" s="19" t="s">
        <v>90</v>
      </c>
      <c r="E28" s="17" t="s">
        <v>35</v>
      </c>
      <c r="F28" s="17" t="s">
        <v>36</v>
      </c>
      <c r="G28" s="28">
        <v>12</v>
      </c>
      <c r="H28" s="28">
        <v>12</v>
      </c>
      <c r="I28" s="28">
        <v>12</v>
      </c>
      <c r="J28" s="28">
        <v>12</v>
      </c>
      <c r="K28" s="28">
        <v>12</v>
      </c>
      <c r="L28" s="14"/>
      <c r="M28" s="14"/>
      <c r="N28" s="14"/>
      <c r="O28" s="14"/>
      <c r="P28" s="14"/>
      <c r="Q28" s="14"/>
      <c r="R28" s="14"/>
      <c r="S28" s="14"/>
      <c r="T28" s="14"/>
      <c r="U28" s="6">
        <f t="shared" si="0"/>
        <v>0</v>
      </c>
      <c r="V28" s="6">
        <f t="shared" si="1"/>
        <v>0</v>
      </c>
      <c r="W28" s="14"/>
      <c r="X28" s="6">
        <f t="shared" si="2"/>
        <v>0</v>
      </c>
      <c r="Y28" s="6">
        <f t="shared" si="3"/>
        <v>0</v>
      </c>
      <c r="Z28" s="14"/>
      <c r="AA28" s="6">
        <f t="shared" si="4"/>
        <v>0</v>
      </c>
      <c r="AB28" s="6">
        <f t="shared" si="5"/>
        <v>0</v>
      </c>
      <c r="AC28" s="14"/>
      <c r="AD28" s="6">
        <f t="shared" si="6"/>
        <v>0</v>
      </c>
      <c r="AE28" s="6">
        <f t="shared" si="7"/>
        <v>0</v>
      </c>
      <c r="AF28" s="14"/>
      <c r="AG28" s="6">
        <f t="shared" si="8"/>
        <v>0</v>
      </c>
      <c r="AH28" s="6">
        <f t="shared" si="9"/>
        <v>0</v>
      </c>
      <c r="AI28" s="6">
        <f t="shared" si="10"/>
        <v>0</v>
      </c>
      <c r="AJ28" s="6">
        <f t="shared" si="11"/>
        <v>0</v>
      </c>
      <c r="AK28" s="6">
        <f t="shared" si="12"/>
        <v>0</v>
      </c>
      <c r="AL28" s="6">
        <f t="shared" si="13"/>
        <v>0</v>
      </c>
      <c r="AM28" s="6">
        <f t="shared" si="14"/>
        <v>0</v>
      </c>
      <c r="AN28" s="6">
        <f t="shared" si="15"/>
        <v>0</v>
      </c>
    </row>
    <row r="29" spans="1:43" s="13" customFormat="1" ht="75" customHeight="1" x14ac:dyDescent="0.25">
      <c r="A29" s="26" t="s">
        <v>60</v>
      </c>
      <c r="B29" s="42">
        <v>9999.2201999999997</v>
      </c>
      <c r="C29" s="41" t="s">
        <v>74</v>
      </c>
      <c r="D29" s="20" t="s">
        <v>104</v>
      </c>
      <c r="E29" s="17" t="s">
        <v>35</v>
      </c>
      <c r="F29" s="17" t="s">
        <v>36</v>
      </c>
      <c r="G29" s="25">
        <v>12</v>
      </c>
      <c r="H29" s="25">
        <v>12</v>
      </c>
      <c r="I29" s="25">
        <v>12</v>
      </c>
      <c r="J29" s="25">
        <v>12</v>
      </c>
      <c r="K29" s="25">
        <v>12</v>
      </c>
      <c r="L29" s="14"/>
      <c r="M29" s="14"/>
      <c r="N29" s="14"/>
      <c r="O29" s="14"/>
      <c r="P29" s="14"/>
      <c r="Q29" s="14"/>
      <c r="R29" s="14"/>
      <c r="S29" s="14"/>
      <c r="T29" s="14"/>
      <c r="U29" s="6">
        <f t="shared" si="0"/>
        <v>0</v>
      </c>
      <c r="V29" s="6">
        <f t="shared" si="1"/>
        <v>0</v>
      </c>
      <c r="W29" s="14"/>
      <c r="X29" s="6">
        <f t="shared" si="2"/>
        <v>0</v>
      </c>
      <c r="Y29" s="6">
        <f t="shared" si="3"/>
        <v>0</v>
      </c>
      <c r="Z29" s="14"/>
      <c r="AA29" s="6">
        <f t="shared" si="4"/>
        <v>0</v>
      </c>
      <c r="AB29" s="6">
        <f t="shared" si="5"/>
        <v>0</v>
      </c>
      <c r="AC29" s="14"/>
      <c r="AD29" s="6">
        <f t="shared" si="6"/>
        <v>0</v>
      </c>
      <c r="AE29" s="6">
        <f t="shared" si="7"/>
        <v>0</v>
      </c>
      <c r="AF29" s="14"/>
      <c r="AG29" s="6">
        <f t="shared" si="8"/>
        <v>0</v>
      </c>
      <c r="AH29" s="6">
        <f t="shared" si="9"/>
        <v>0</v>
      </c>
      <c r="AI29" s="6">
        <f t="shared" si="10"/>
        <v>0</v>
      </c>
      <c r="AJ29" s="6">
        <f t="shared" si="11"/>
        <v>0</v>
      </c>
      <c r="AK29" s="6">
        <f t="shared" si="12"/>
        <v>0</v>
      </c>
      <c r="AL29" s="6">
        <f t="shared" si="13"/>
        <v>0</v>
      </c>
      <c r="AM29" s="6">
        <f t="shared" si="14"/>
        <v>0</v>
      </c>
      <c r="AN29" s="6">
        <f t="shared" si="15"/>
        <v>0</v>
      </c>
    </row>
    <row r="30" spans="1:43" s="13" customFormat="1" ht="36" customHeight="1" x14ac:dyDescent="0.25">
      <c r="A30" s="23" t="s">
        <v>61</v>
      </c>
      <c r="B30" s="40" t="s">
        <v>84</v>
      </c>
      <c r="C30" s="41" t="s">
        <v>74</v>
      </c>
      <c r="D30" s="19" t="s">
        <v>105</v>
      </c>
      <c r="E30" s="17" t="s">
        <v>35</v>
      </c>
      <c r="F30" s="17" t="s">
        <v>36</v>
      </c>
      <c r="G30" s="28">
        <v>12</v>
      </c>
      <c r="H30" s="28">
        <v>12</v>
      </c>
      <c r="I30" s="28">
        <v>12</v>
      </c>
      <c r="J30" s="28">
        <v>12</v>
      </c>
      <c r="K30" s="28">
        <v>12</v>
      </c>
      <c r="L30" s="14"/>
      <c r="M30" s="14"/>
      <c r="N30" s="14"/>
      <c r="O30" s="14"/>
      <c r="P30" s="14"/>
      <c r="Q30" s="14"/>
      <c r="R30" s="14"/>
      <c r="S30" s="14"/>
      <c r="T30" s="14"/>
      <c r="U30" s="6">
        <f t="shared" si="0"/>
        <v>0</v>
      </c>
      <c r="V30" s="6">
        <f t="shared" si="1"/>
        <v>0</v>
      </c>
      <c r="W30" s="14"/>
      <c r="X30" s="6">
        <f t="shared" si="2"/>
        <v>0</v>
      </c>
      <c r="Y30" s="6">
        <f t="shared" si="3"/>
        <v>0</v>
      </c>
      <c r="Z30" s="14"/>
      <c r="AA30" s="6">
        <f t="shared" si="4"/>
        <v>0</v>
      </c>
      <c r="AB30" s="6">
        <f t="shared" si="5"/>
        <v>0</v>
      </c>
      <c r="AC30" s="14"/>
      <c r="AD30" s="6">
        <f t="shared" si="6"/>
        <v>0</v>
      </c>
      <c r="AE30" s="6">
        <f t="shared" si="7"/>
        <v>0</v>
      </c>
      <c r="AF30" s="14"/>
      <c r="AG30" s="6">
        <f t="shared" si="8"/>
        <v>0</v>
      </c>
      <c r="AH30" s="6">
        <f t="shared" si="9"/>
        <v>0</v>
      </c>
      <c r="AI30" s="6">
        <f t="shared" si="10"/>
        <v>0</v>
      </c>
      <c r="AJ30" s="6">
        <f t="shared" si="11"/>
        <v>0</v>
      </c>
      <c r="AK30" s="6">
        <f t="shared" si="12"/>
        <v>0</v>
      </c>
      <c r="AL30" s="6">
        <f t="shared" si="13"/>
        <v>0</v>
      </c>
      <c r="AM30" s="6">
        <f t="shared" si="14"/>
        <v>0</v>
      </c>
      <c r="AN30" s="6">
        <f t="shared" si="15"/>
        <v>0</v>
      </c>
    </row>
    <row r="31" spans="1:43" s="13" customFormat="1" ht="75" customHeight="1" x14ac:dyDescent="0.25">
      <c r="A31" s="26" t="s">
        <v>62</v>
      </c>
      <c r="B31" s="42" t="s">
        <v>77</v>
      </c>
      <c r="C31" s="41" t="s">
        <v>74</v>
      </c>
      <c r="D31" s="20" t="s">
        <v>92</v>
      </c>
      <c r="E31" s="17" t="s">
        <v>35</v>
      </c>
      <c r="F31" s="17" t="s">
        <v>36</v>
      </c>
      <c r="G31" s="25">
        <v>12</v>
      </c>
      <c r="H31" s="25">
        <v>12</v>
      </c>
      <c r="I31" s="25">
        <v>12</v>
      </c>
      <c r="J31" s="25">
        <v>12</v>
      </c>
      <c r="K31" s="25">
        <v>12</v>
      </c>
      <c r="L31" s="14"/>
      <c r="M31" s="14"/>
      <c r="N31" s="14"/>
      <c r="O31" s="14"/>
      <c r="P31" s="14"/>
      <c r="Q31" s="14"/>
      <c r="R31" s="14"/>
      <c r="S31" s="14"/>
      <c r="T31" s="14"/>
      <c r="U31" s="6">
        <f t="shared" si="0"/>
        <v>0</v>
      </c>
      <c r="V31" s="6">
        <f t="shared" si="1"/>
        <v>0</v>
      </c>
      <c r="W31" s="14"/>
      <c r="X31" s="6">
        <f t="shared" si="2"/>
        <v>0</v>
      </c>
      <c r="Y31" s="6">
        <f t="shared" si="3"/>
        <v>0</v>
      </c>
      <c r="Z31" s="14"/>
      <c r="AA31" s="6">
        <f t="shared" si="4"/>
        <v>0</v>
      </c>
      <c r="AB31" s="6">
        <f t="shared" si="5"/>
        <v>0</v>
      </c>
      <c r="AC31" s="14"/>
      <c r="AD31" s="6">
        <f t="shared" si="6"/>
        <v>0</v>
      </c>
      <c r="AE31" s="6">
        <f t="shared" si="7"/>
        <v>0</v>
      </c>
      <c r="AF31" s="14"/>
      <c r="AG31" s="6">
        <f t="shared" si="8"/>
        <v>0</v>
      </c>
      <c r="AH31" s="6">
        <f t="shared" si="9"/>
        <v>0</v>
      </c>
      <c r="AI31" s="6">
        <f t="shared" si="10"/>
        <v>0</v>
      </c>
      <c r="AJ31" s="6">
        <f t="shared" si="11"/>
        <v>0</v>
      </c>
      <c r="AK31" s="6">
        <f t="shared" si="12"/>
        <v>0</v>
      </c>
      <c r="AL31" s="6">
        <f t="shared" si="13"/>
        <v>0</v>
      </c>
      <c r="AM31" s="6">
        <f t="shared" si="14"/>
        <v>0</v>
      </c>
      <c r="AN31" s="6">
        <f t="shared" si="15"/>
        <v>0</v>
      </c>
    </row>
    <row r="32" spans="1:43" s="13" customFormat="1" ht="75" customHeight="1" x14ac:dyDescent="0.25">
      <c r="A32" s="23" t="s">
        <v>63</v>
      </c>
      <c r="B32" s="40">
        <v>9999.2271000000001</v>
      </c>
      <c r="C32" s="41" t="s">
        <v>74</v>
      </c>
      <c r="D32" s="19" t="s">
        <v>106</v>
      </c>
      <c r="E32" s="17" t="s">
        <v>35</v>
      </c>
      <c r="F32" s="17" t="s">
        <v>36</v>
      </c>
      <c r="G32" s="28">
        <v>12</v>
      </c>
      <c r="H32" s="28">
        <v>12</v>
      </c>
      <c r="I32" s="28">
        <v>12</v>
      </c>
      <c r="J32" s="28">
        <v>12</v>
      </c>
      <c r="K32" s="28">
        <v>12</v>
      </c>
      <c r="L32" s="14"/>
      <c r="M32" s="14"/>
      <c r="N32" s="14"/>
      <c r="O32" s="14"/>
      <c r="P32" s="14"/>
      <c r="Q32" s="14"/>
      <c r="R32" s="14"/>
      <c r="S32" s="14"/>
      <c r="T32" s="14"/>
      <c r="U32" s="6">
        <f t="shared" si="0"/>
        <v>0</v>
      </c>
      <c r="V32" s="6">
        <f t="shared" si="1"/>
        <v>0</v>
      </c>
      <c r="W32" s="14"/>
      <c r="X32" s="6">
        <f t="shared" si="2"/>
        <v>0</v>
      </c>
      <c r="Y32" s="6">
        <f t="shared" si="3"/>
        <v>0</v>
      </c>
      <c r="Z32" s="14"/>
      <c r="AA32" s="6">
        <f t="shared" si="4"/>
        <v>0</v>
      </c>
      <c r="AB32" s="6">
        <f t="shared" si="5"/>
        <v>0</v>
      </c>
      <c r="AC32" s="14"/>
      <c r="AD32" s="6">
        <f t="shared" si="6"/>
        <v>0</v>
      </c>
      <c r="AE32" s="6">
        <f t="shared" si="7"/>
        <v>0</v>
      </c>
      <c r="AF32" s="14"/>
      <c r="AG32" s="6">
        <f t="shared" si="8"/>
        <v>0</v>
      </c>
      <c r="AH32" s="6">
        <f t="shared" si="9"/>
        <v>0</v>
      </c>
      <c r="AI32" s="6">
        <f t="shared" si="10"/>
        <v>0</v>
      </c>
      <c r="AJ32" s="6">
        <f t="shared" si="11"/>
        <v>0</v>
      </c>
      <c r="AK32" s="6">
        <f t="shared" si="12"/>
        <v>0</v>
      </c>
      <c r="AL32" s="6">
        <f t="shared" si="13"/>
        <v>0</v>
      </c>
      <c r="AM32" s="6">
        <f t="shared" si="14"/>
        <v>0</v>
      </c>
      <c r="AN32" s="6">
        <f t="shared" si="15"/>
        <v>0</v>
      </c>
    </row>
    <row r="33" spans="1:40" s="13" customFormat="1" ht="55.5" customHeight="1" x14ac:dyDescent="0.25">
      <c r="A33" s="26" t="s">
        <v>64</v>
      </c>
      <c r="B33" s="42" t="s">
        <v>78</v>
      </c>
      <c r="C33" s="41" t="s">
        <v>74</v>
      </c>
      <c r="D33" s="20" t="s">
        <v>94</v>
      </c>
      <c r="E33" s="17" t="s">
        <v>35</v>
      </c>
      <c r="F33" s="17" t="s">
        <v>36</v>
      </c>
      <c r="G33" s="25">
        <v>24</v>
      </c>
      <c r="H33" s="25">
        <v>24</v>
      </c>
      <c r="I33" s="25">
        <v>24</v>
      </c>
      <c r="J33" s="25">
        <v>24</v>
      </c>
      <c r="K33" s="25">
        <v>24</v>
      </c>
      <c r="L33" s="14"/>
      <c r="M33" s="14"/>
      <c r="N33" s="14"/>
      <c r="O33" s="14"/>
      <c r="P33" s="14"/>
      <c r="Q33" s="14"/>
      <c r="R33" s="14"/>
      <c r="S33" s="14"/>
      <c r="T33" s="14"/>
      <c r="U33" s="6">
        <f t="shared" si="0"/>
        <v>0</v>
      </c>
      <c r="V33" s="6">
        <f t="shared" si="1"/>
        <v>0</v>
      </c>
      <c r="W33" s="14"/>
      <c r="X33" s="6">
        <f t="shared" si="2"/>
        <v>0</v>
      </c>
      <c r="Y33" s="6">
        <f t="shared" si="3"/>
        <v>0</v>
      </c>
      <c r="Z33" s="14"/>
      <c r="AA33" s="6">
        <f t="shared" si="4"/>
        <v>0</v>
      </c>
      <c r="AB33" s="6">
        <f t="shared" si="5"/>
        <v>0</v>
      </c>
      <c r="AC33" s="14"/>
      <c r="AD33" s="6">
        <f t="shared" si="6"/>
        <v>0</v>
      </c>
      <c r="AE33" s="6">
        <f t="shared" si="7"/>
        <v>0</v>
      </c>
      <c r="AF33" s="14"/>
      <c r="AG33" s="6">
        <f t="shared" si="8"/>
        <v>0</v>
      </c>
      <c r="AH33" s="6">
        <f t="shared" si="9"/>
        <v>0</v>
      </c>
      <c r="AI33" s="6">
        <f t="shared" si="10"/>
        <v>0</v>
      </c>
      <c r="AJ33" s="6">
        <f t="shared" si="11"/>
        <v>0</v>
      </c>
      <c r="AK33" s="6">
        <f t="shared" si="12"/>
        <v>0</v>
      </c>
      <c r="AL33" s="6">
        <f t="shared" si="13"/>
        <v>0</v>
      </c>
      <c r="AM33" s="6">
        <f t="shared" si="14"/>
        <v>0</v>
      </c>
      <c r="AN33" s="6">
        <f t="shared" si="15"/>
        <v>0</v>
      </c>
    </row>
    <row r="34" spans="1:40" s="13" customFormat="1" ht="75" customHeight="1" x14ac:dyDescent="0.25">
      <c r="A34" s="23" t="s">
        <v>65</v>
      </c>
      <c r="B34" s="40" t="s">
        <v>79</v>
      </c>
      <c r="C34" s="41" t="s">
        <v>74</v>
      </c>
      <c r="D34" s="19" t="s">
        <v>102</v>
      </c>
      <c r="E34" s="17" t="s">
        <v>35</v>
      </c>
      <c r="F34" s="17" t="s">
        <v>36</v>
      </c>
      <c r="G34" s="28">
        <v>24</v>
      </c>
      <c r="H34" s="28">
        <v>24</v>
      </c>
      <c r="I34" s="28">
        <v>24</v>
      </c>
      <c r="J34" s="28">
        <v>24</v>
      </c>
      <c r="K34" s="28">
        <v>24</v>
      </c>
      <c r="L34" s="14"/>
      <c r="M34" s="14"/>
      <c r="N34" s="14"/>
      <c r="O34" s="14"/>
      <c r="P34" s="14"/>
      <c r="Q34" s="14"/>
      <c r="R34" s="14"/>
      <c r="S34" s="14"/>
      <c r="T34" s="14"/>
      <c r="U34" s="6">
        <f t="shared" si="0"/>
        <v>0</v>
      </c>
      <c r="V34" s="6">
        <f t="shared" si="1"/>
        <v>0</v>
      </c>
      <c r="W34" s="14"/>
      <c r="X34" s="6">
        <f t="shared" si="2"/>
        <v>0</v>
      </c>
      <c r="Y34" s="6">
        <f t="shared" si="3"/>
        <v>0</v>
      </c>
      <c r="Z34" s="14"/>
      <c r="AA34" s="6">
        <f t="shared" si="4"/>
        <v>0</v>
      </c>
      <c r="AB34" s="6">
        <f t="shared" si="5"/>
        <v>0</v>
      </c>
      <c r="AC34" s="14"/>
      <c r="AD34" s="6">
        <f t="shared" si="6"/>
        <v>0</v>
      </c>
      <c r="AE34" s="6">
        <f t="shared" si="7"/>
        <v>0</v>
      </c>
      <c r="AF34" s="14"/>
      <c r="AG34" s="6">
        <f t="shared" si="8"/>
        <v>0</v>
      </c>
      <c r="AH34" s="6">
        <f t="shared" si="9"/>
        <v>0</v>
      </c>
      <c r="AI34" s="6">
        <f t="shared" si="10"/>
        <v>0</v>
      </c>
      <c r="AJ34" s="6">
        <f t="shared" si="11"/>
        <v>0</v>
      </c>
      <c r="AK34" s="6">
        <f t="shared" si="12"/>
        <v>0</v>
      </c>
      <c r="AL34" s="6">
        <f t="shared" si="13"/>
        <v>0</v>
      </c>
      <c r="AM34" s="6">
        <f t="shared" si="14"/>
        <v>0</v>
      </c>
      <c r="AN34" s="6">
        <f t="shared" si="15"/>
        <v>0</v>
      </c>
    </row>
    <row r="35" spans="1:40" s="13" customFormat="1" ht="42.75" customHeight="1" x14ac:dyDescent="0.25">
      <c r="A35" s="26" t="s">
        <v>118</v>
      </c>
      <c r="B35" s="42" t="s">
        <v>85</v>
      </c>
      <c r="C35" s="41" t="s">
        <v>74</v>
      </c>
      <c r="D35" s="20" t="s">
        <v>107</v>
      </c>
      <c r="E35" s="17" t="s">
        <v>35</v>
      </c>
      <c r="F35" s="17" t="s">
        <v>36</v>
      </c>
      <c r="G35" s="25">
        <v>12</v>
      </c>
      <c r="H35" s="25">
        <v>12</v>
      </c>
      <c r="I35" s="25">
        <v>12</v>
      </c>
      <c r="J35" s="25">
        <v>12</v>
      </c>
      <c r="K35" s="25">
        <v>12</v>
      </c>
      <c r="L35" s="14"/>
      <c r="M35" s="14"/>
      <c r="N35" s="14"/>
      <c r="O35" s="14"/>
      <c r="P35" s="14"/>
      <c r="Q35" s="14"/>
      <c r="R35" s="14"/>
      <c r="S35" s="14"/>
      <c r="T35" s="14"/>
      <c r="U35" s="6">
        <f t="shared" si="0"/>
        <v>0</v>
      </c>
      <c r="V35" s="6">
        <f t="shared" si="1"/>
        <v>0</v>
      </c>
      <c r="W35" s="14"/>
      <c r="X35" s="6">
        <f t="shared" si="2"/>
        <v>0</v>
      </c>
      <c r="Y35" s="6">
        <f t="shared" si="3"/>
        <v>0</v>
      </c>
      <c r="Z35" s="14"/>
      <c r="AA35" s="6">
        <f t="shared" si="4"/>
        <v>0</v>
      </c>
      <c r="AB35" s="6">
        <f t="shared" si="5"/>
        <v>0</v>
      </c>
      <c r="AC35" s="14"/>
      <c r="AD35" s="6">
        <f t="shared" si="6"/>
        <v>0</v>
      </c>
      <c r="AE35" s="6">
        <f t="shared" si="7"/>
        <v>0</v>
      </c>
      <c r="AF35" s="14"/>
      <c r="AG35" s="6">
        <f t="shared" si="8"/>
        <v>0</v>
      </c>
      <c r="AH35" s="6">
        <f t="shared" si="9"/>
        <v>0</v>
      </c>
      <c r="AI35" s="6">
        <f t="shared" si="10"/>
        <v>0</v>
      </c>
      <c r="AJ35" s="6">
        <f t="shared" si="11"/>
        <v>0</v>
      </c>
      <c r="AK35" s="6">
        <f t="shared" si="12"/>
        <v>0</v>
      </c>
      <c r="AL35" s="6">
        <f t="shared" si="13"/>
        <v>0</v>
      </c>
      <c r="AM35" s="6">
        <f t="shared" si="14"/>
        <v>0</v>
      </c>
      <c r="AN35" s="6">
        <f t="shared" si="15"/>
        <v>0</v>
      </c>
    </row>
    <row r="36" spans="1:40" s="13" customFormat="1" ht="45.75" customHeight="1" x14ac:dyDescent="0.25">
      <c r="A36" s="23" t="s">
        <v>119</v>
      </c>
      <c r="B36" s="40">
        <v>6015.1165000000001</v>
      </c>
      <c r="C36" s="41" t="s">
        <v>74</v>
      </c>
      <c r="D36" s="19" t="s">
        <v>108</v>
      </c>
      <c r="E36" s="17" t="s">
        <v>35</v>
      </c>
      <c r="F36" s="17" t="s">
        <v>36</v>
      </c>
      <c r="G36" s="28">
        <v>12</v>
      </c>
      <c r="H36" s="28">
        <v>12</v>
      </c>
      <c r="I36" s="28">
        <v>12</v>
      </c>
      <c r="J36" s="28">
        <v>12</v>
      </c>
      <c r="K36" s="28">
        <v>12</v>
      </c>
      <c r="L36" s="14"/>
      <c r="M36" s="14"/>
      <c r="N36" s="14"/>
      <c r="O36" s="14"/>
      <c r="P36" s="14"/>
      <c r="Q36" s="14"/>
      <c r="R36" s="14"/>
      <c r="S36" s="14"/>
      <c r="T36" s="14"/>
      <c r="U36" s="6">
        <f t="shared" si="0"/>
        <v>0</v>
      </c>
      <c r="V36" s="6">
        <f t="shared" si="1"/>
        <v>0</v>
      </c>
      <c r="W36" s="14"/>
      <c r="X36" s="6">
        <f t="shared" si="2"/>
        <v>0</v>
      </c>
      <c r="Y36" s="6">
        <f t="shared" si="3"/>
        <v>0</v>
      </c>
      <c r="Z36" s="14"/>
      <c r="AA36" s="6">
        <f t="shared" si="4"/>
        <v>0</v>
      </c>
      <c r="AB36" s="6">
        <f t="shared" si="5"/>
        <v>0</v>
      </c>
      <c r="AC36" s="14"/>
      <c r="AD36" s="6">
        <f t="shared" si="6"/>
        <v>0</v>
      </c>
      <c r="AE36" s="6">
        <f t="shared" si="7"/>
        <v>0</v>
      </c>
      <c r="AF36" s="14"/>
      <c r="AG36" s="6">
        <f t="shared" si="8"/>
        <v>0</v>
      </c>
      <c r="AH36" s="6">
        <f t="shared" si="9"/>
        <v>0</v>
      </c>
      <c r="AI36" s="6">
        <f t="shared" si="10"/>
        <v>0</v>
      </c>
      <c r="AJ36" s="6">
        <f t="shared" si="11"/>
        <v>0</v>
      </c>
      <c r="AK36" s="6">
        <f t="shared" si="12"/>
        <v>0</v>
      </c>
      <c r="AL36" s="6">
        <f t="shared" si="13"/>
        <v>0</v>
      </c>
      <c r="AM36" s="6">
        <f t="shared" si="14"/>
        <v>0</v>
      </c>
      <c r="AN36" s="6">
        <f t="shared" si="15"/>
        <v>0</v>
      </c>
    </row>
    <row r="37" spans="1:40" s="13" customFormat="1" ht="75" customHeight="1" x14ac:dyDescent="0.25">
      <c r="A37" s="26">
        <v>4</v>
      </c>
      <c r="B37" s="42" t="s">
        <v>86</v>
      </c>
      <c r="C37" s="41" t="s">
        <v>74</v>
      </c>
      <c r="D37" s="20" t="s">
        <v>109</v>
      </c>
      <c r="E37" s="17" t="s">
        <v>35</v>
      </c>
      <c r="F37" s="17" t="s">
        <v>36</v>
      </c>
      <c r="G37" s="25">
        <v>6</v>
      </c>
      <c r="H37" s="25">
        <v>6</v>
      </c>
      <c r="I37" s="25">
        <v>6</v>
      </c>
      <c r="J37" s="25">
        <v>6</v>
      </c>
      <c r="K37" s="25">
        <v>6</v>
      </c>
      <c r="L37" s="14"/>
      <c r="M37" s="14"/>
      <c r="N37" s="14"/>
      <c r="O37" s="14"/>
      <c r="P37" s="14"/>
      <c r="Q37" s="14"/>
      <c r="R37" s="14"/>
      <c r="S37" s="14"/>
      <c r="T37" s="14"/>
      <c r="U37" s="6">
        <f t="shared" si="0"/>
        <v>0</v>
      </c>
      <c r="V37" s="6">
        <f t="shared" si="1"/>
        <v>0</v>
      </c>
      <c r="W37" s="14"/>
      <c r="X37" s="6">
        <f t="shared" si="2"/>
        <v>0</v>
      </c>
      <c r="Y37" s="6">
        <f t="shared" si="3"/>
        <v>0</v>
      </c>
      <c r="Z37" s="14"/>
      <c r="AA37" s="6">
        <f t="shared" si="4"/>
        <v>0</v>
      </c>
      <c r="AB37" s="6">
        <f t="shared" si="5"/>
        <v>0</v>
      </c>
      <c r="AC37" s="14"/>
      <c r="AD37" s="6">
        <f t="shared" si="6"/>
        <v>0</v>
      </c>
      <c r="AE37" s="6">
        <f t="shared" si="7"/>
        <v>0</v>
      </c>
      <c r="AF37" s="14"/>
      <c r="AG37" s="6">
        <f t="shared" si="8"/>
        <v>0</v>
      </c>
      <c r="AH37" s="6">
        <f t="shared" si="9"/>
        <v>0</v>
      </c>
      <c r="AI37" s="6">
        <f t="shared" si="10"/>
        <v>0</v>
      </c>
      <c r="AJ37" s="6">
        <f t="shared" si="11"/>
        <v>0</v>
      </c>
      <c r="AK37" s="6">
        <f t="shared" si="12"/>
        <v>0</v>
      </c>
      <c r="AL37" s="6">
        <f t="shared" si="13"/>
        <v>0</v>
      </c>
      <c r="AM37" s="6">
        <f t="shared" si="14"/>
        <v>0</v>
      </c>
      <c r="AN37" s="6">
        <f t="shared" si="15"/>
        <v>0</v>
      </c>
    </row>
    <row r="38" spans="1:40" s="13" customFormat="1" ht="35.25" customHeight="1" x14ac:dyDescent="0.25">
      <c r="A38" s="23" t="s">
        <v>66</v>
      </c>
      <c r="B38" s="24" t="s">
        <v>137</v>
      </c>
      <c r="C38" s="41" t="s">
        <v>74</v>
      </c>
      <c r="D38" s="19" t="s">
        <v>88</v>
      </c>
      <c r="E38" s="17" t="s">
        <v>35</v>
      </c>
      <c r="F38" s="17" t="s">
        <v>36</v>
      </c>
      <c r="G38" s="28">
        <v>6</v>
      </c>
      <c r="H38" s="28">
        <v>6</v>
      </c>
      <c r="I38" s="28">
        <v>6</v>
      </c>
      <c r="J38" s="28">
        <v>6</v>
      </c>
      <c r="K38" s="28">
        <v>6</v>
      </c>
      <c r="L38" s="14"/>
      <c r="M38" s="14"/>
      <c r="N38" s="14"/>
      <c r="O38" s="14"/>
      <c r="P38" s="14"/>
      <c r="Q38" s="14"/>
      <c r="R38" s="14"/>
      <c r="S38" s="14"/>
      <c r="T38" s="14"/>
      <c r="U38" s="6">
        <f t="shared" si="0"/>
        <v>0</v>
      </c>
      <c r="V38" s="6">
        <f t="shared" si="1"/>
        <v>0</v>
      </c>
      <c r="W38" s="14"/>
      <c r="X38" s="6">
        <f t="shared" si="2"/>
        <v>0</v>
      </c>
      <c r="Y38" s="6">
        <f t="shared" si="3"/>
        <v>0</v>
      </c>
      <c r="Z38" s="14"/>
      <c r="AA38" s="6">
        <f t="shared" si="4"/>
        <v>0</v>
      </c>
      <c r="AB38" s="6">
        <f t="shared" si="5"/>
        <v>0</v>
      </c>
      <c r="AC38" s="14"/>
      <c r="AD38" s="6">
        <f t="shared" si="6"/>
        <v>0</v>
      </c>
      <c r="AE38" s="6">
        <f t="shared" si="7"/>
        <v>0</v>
      </c>
      <c r="AF38" s="14"/>
      <c r="AG38" s="6">
        <f t="shared" si="8"/>
        <v>0</v>
      </c>
      <c r="AH38" s="6">
        <f t="shared" si="9"/>
        <v>0</v>
      </c>
      <c r="AI38" s="6">
        <f t="shared" si="10"/>
        <v>0</v>
      </c>
      <c r="AJ38" s="6">
        <f t="shared" si="11"/>
        <v>0</v>
      </c>
      <c r="AK38" s="6">
        <f t="shared" si="12"/>
        <v>0</v>
      </c>
      <c r="AL38" s="6">
        <f t="shared" si="13"/>
        <v>0</v>
      </c>
      <c r="AM38" s="6">
        <f t="shared" si="14"/>
        <v>0</v>
      </c>
      <c r="AN38" s="6">
        <f t="shared" si="15"/>
        <v>0</v>
      </c>
    </row>
    <row r="39" spans="1:40" s="13" customFormat="1" ht="46.5" customHeight="1" x14ac:dyDescent="0.25">
      <c r="A39" s="26" t="s">
        <v>67</v>
      </c>
      <c r="B39" s="27" t="s">
        <v>76</v>
      </c>
      <c r="C39" s="41" t="s">
        <v>74</v>
      </c>
      <c r="D39" s="20" t="s">
        <v>89</v>
      </c>
      <c r="E39" s="17" t="s">
        <v>35</v>
      </c>
      <c r="F39" s="17" t="s">
        <v>36</v>
      </c>
      <c r="G39" s="25">
        <v>6</v>
      </c>
      <c r="H39" s="25">
        <v>6</v>
      </c>
      <c r="I39" s="25">
        <v>6</v>
      </c>
      <c r="J39" s="25">
        <v>6</v>
      </c>
      <c r="K39" s="25">
        <v>6</v>
      </c>
      <c r="L39" s="14"/>
      <c r="M39" s="14"/>
      <c r="N39" s="14"/>
      <c r="O39" s="14"/>
      <c r="P39" s="14"/>
      <c r="Q39" s="14"/>
      <c r="R39" s="14"/>
      <c r="S39" s="14"/>
      <c r="T39" s="14"/>
      <c r="U39" s="6">
        <f t="shared" si="0"/>
        <v>0</v>
      </c>
      <c r="V39" s="6">
        <f t="shared" si="1"/>
        <v>0</v>
      </c>
      <c r="W39" s="14"/>
      <c r="X39" s="6">
        <f t="shared" si="2"/>
        <v>0</v>
      </c>
      <c r="Y39" s="6">
        <f t="shared" si="3"/>
        <v>0</v>
      </c>
      <c r="Z39" s="14"/>
      <c r="AA39" s="6">
        <f t="shared" si="4"/>
        <v>0</v>
      </c>
      <c r="AB39" s="6">
        <f t="shared" si="5"/>
        <v>0</v>
      </c>
      <c r="AC39" s="14"/>
      <c r="AD39" s="6">
        <f t="shared" si="6"/>
        <v>0</v>
      </c>
      <c r="AE39" s="6">
        <f t="shared" si="7"/>
        <v>0</v>
      </c>
      <c r="AF39" s="14"/>
      <c r="AG39" s="6">
        <f t="shared" si="8"/>
        <v>0</v>
      </c>
      <c r="AH39" s="6">
        <f t="shared" si="9"/>
        <v>0</v>
      </c>
      <c r="AI39" s="6">
        <f t="shared" si="10"/>
        <v>0</v>
      </c>
      <c r="AJ39" s="6">
        <f t="shared" si="11"/>
        <v>0</v>
      </c>
      <c r="AK39" s="6">
        <f t="shared" si="12"/>
        <v>0</v>
      </c>
      <c r="AL39" s="6">
        <f t="shared" si="13"/>
        <v>0</v>
      </c>
      <c r="AM39" s="6">
        <f t="shared" si="14"/>
        <v>0</v>
      </c>
      <c r="AN39" s="6">
        <f t="shared" si="15"/>
        <v>0</v>
      </c>
    </row>
    <row r="40" spans="1:40" s="13" customFormat="1" ht="114.75" customHeight="1" x14ac:dyDescent="0.25">
      <c r="A40" s="23" t="s">
        <v>68</v>
      </c>
      <c r="B40" s="40">
        <v>9999.2001999999993</v>
      </c>
      <c r="C40" s="41" t="s">
        <v>74</v>
      </c>
      <c r="D40" s="19" t="s">
        <v>110</v>
      </c>
      <c r="E40" s="17" t="s">
        <v>35</v>
      </c>
      <c r="F40" s="17" t="s">
        <v>36</v>
      </c>
      <c r="G40" s="28">
        <v>6</v>
      </c>
      <c r="H40" s="28">
        <v>6</v>
      </c>
      <c r="I40" s="28">
        <v>6</v>
      </c>
      <c r="J40" s="28">
        <v>6</v>
      </c>
      <c r="K40" s="28">
        <v>6</v>
      </c>
      <c r="L40" s="14"/>
      <c r="M40" s="14"/>
      <c r="N40" s="14"/>
      <c r="O40" s="14"/>
      <c r="P40" s="14"/>
      <c r="Q40" s="14"/>
      <c r="R40" s="14"/>
      <c r="S40" s="14"/>
      <c r="T40" s="14"/>
      <c r="U40" s="6">
        <f t="shared" si="0"/>
        <v>0</v>
      </c>
      <c r="V40" s="6">
        <f t="shared" si="1"/>
        <v>0</v>
      </c>
      <c r="W40" s="14"/>
      <c r="X40" s="6">
        <f t="shared" si="2"/>
        <v>0</v>
      </c>
      <c r="Y40" s="6">
        <f t="shared" si="3"/>
        <v>0</v>
      </c>
      <c r="Z40" s="14"/>
      <c r="AA40" s="6">
        <f t="shared" si="4"/>
        <v>0</v>
      </c>
      <c r="AB40" s="6">
        <f t="shared" si="5"/>
        <v>0</v>
      </c>
      <c r="AC40" s="14"/>
      <c r="AD40" s="6">
        <f t="shared" si="6"/>
        <v>0</v>
      </c>
      <c r="AE40" s="6">
        <f t="shared" si="7"/>
        <v>0</v>
      </c>
      <c r="AF40" s="14"/>
      <c r="AG40" s="6">
        <f t="shared" si="8"/>
        <v>0</v>
      </c>
      <c r="AH40" s="6">
        <f t="shared" si="9"/>
        <v>0</v>
      </c>
      <c r="AI40" s="6">
        <f t="shared" si="10"/>
        <v>0</v>
      </c>
      <c r="AJ40" s="6">
        <f t="shared" si="11"/>
        <v>0</v>
      </c>
      <c r="AK40" s="6">
        <f t="shared" si="12"/>
        <v>0</v>
      </c>
      <c r="AL40" s="6">
        <f t="shared" si="13"/>
        <v>0</v>
      </c>
      <c r="AM40" s="6">
        <f t="shared" si="14"/>
        <v>0</v>
      </c>
      <c r="AN40" s="6">
        <f t="shared" si="15"/>
        <v>0</v>
      </c>
    </row>
    <row r="41" spans="1:40" s="13" customFormat="1" ht="75" customHeight="1" x14ac:dyDescent="0.25">
      <c r="A41" s="26" t="s">
        <v>69</v>
      </c>
      <c r="B41" s="42">
        <v>9999.2211000000007</v>
      </c>
      <c r="C41" s="41" t="s">
        <v>74</v>
      </c>
      <c r="D41" s="20" t="s">
        <v>111</v>
      </c>
      <c r="E41" s="21" t="s">
        <v>35</v>
      </c>
      <c r="F41" s="16" t="s">
        <v>36</v>
      </c>
      <c r="G41" s="25">
        <v>6</v>
      </c>
      <c r="H41" s="25">
        <v>6</v>
      </c>
      <c r="I41" s="25">
        <v>6</v>
      </c>
      <c r="J41" s="25">
        <v>6</v>
      </c>
      <c r="K41" s="25">
        <v>6</v>
      </c>
      <c r="L41" s="14"/>
      <c r="M41" s="14"/>
      <c r="N41" s="14"/>
      <c r="O41" s="14"/>
      <c r="P41" s="14"/>
      <c r="Q41" s="14"/>
      <c r="R41" s="14"/>
      <c r="S41" s="14"/>
      <c r="T41" s="14"/>
      <c r="U41" s="6">
        <f t="shared" si="0"/>
        <v>0</v>
      </c>
      <c r="V41" s="6">
        <f t="shared" si="1"/>
        <v>0</v>
      </c>
      <c r="W41" s="14"/>
      <c r="X41" s="6">
        <f t="shared" si="2"/>
        <v>0</v>
      </c>
      <c r="Y41" s="6">
        <f t="shared" si="3"/>
        <v>0</v>
      </c>
      <c r="Z41" s="14"/>
      <c r="AA41" s="6">
        <f t="shared" si="4"/>
        <v>0</v>
      </c>
      <c r="AB41" s="6">
        <f t="shared" si="5"/>
        <v>0</v>
      </c>
      <c r="AC41" s="14"/>
      <c r="AD41" s="6">
        <f t="shared" si="6"/>
        <v>0</v>
      </c>
      <c r="AE41" s="6">
        <f>AC41+AD41</f>
        <v>0</v>
      </c>
      <c r="AF41" s="14"/>
      <c r="AG41" s="6">
        <f t="shared" si="8"/>
        <v>0</v>
      </c>
      <c r="AH41" s="6">
        <f t="shared" si="9"/>
        <v>0</v>
      </c>
      <c r="AI41" s="6">
        <f t="shared" si="10"/>
        <v>0</v>
      </c>
      <c r="AJ41" s="6">
        <f t="shared" si="11"/>
        <v>0</v>
      </c>
      <c r="AK41" s="6">
        <f t="shared" si="12"/>
        <v>0</v>
      </c>
      <c r="AL41" s="6">
        <f t="shared" si="13"/>
        <v>0</v>
      </c>
      <c r="AM41" s="6">
        <f t="shared" si="14"/>
        <v>0</v>
      </c>
      <c r="AN41" s="6">
        <f t="shared" si="15"/>
        <v>0</v>
      </c>
    </row>
    <row r="42" spans="1:40" s="13" customFormat="1" ht="75" customHeight="1" x14ac:dyDescent="0.25">
      <c r="A42" s="23" t="s">
        <v>70</v>
      </c>
      <c r="B42" s="40" t="s">
        <v>82</v>
      </c>
      <c r="C42" s="41" t="s">
        <v>74</v>
      </c>
      <c r="D42" s="19" t="s">
        <v>112</v>
      </c>
      <c r="E42" s="21" t="s">
        <v>35</v>
      </c>
      <c r="F42" s="16" t="s">
        <v>36</v>
      </c>
      <c r="G42" s="28">
        <v>6</v>
      </c>
      <c r="H42" s="28">
        <v>6</v>
      </c>
      <c r="I42" s="28">
        <v>6</v>
      </c>
      <c r="J42" s="28">
        <v>6</v>
      </c>
      <c r="K42" s="49">
        <v>6</v>
      </c>
      <c r="L42" s="14"/>
      <c r="M42" s="14"/>
      <c r="N42" s="14"/>
      <c r="O42" s="14"/>
      <c r="P42" s="14"/>
      <c r="Q42" s="14"/>
      <c r="R42" s="14"/>
      <c r="S42" s="14"/>
      <c r="T42" s="14"/>
      <c r="U42" s="6">
        <f t="shared" si="0"/>
        <v>0</v>
      </c>
      <c r="V42" s="6">
        <f t="shared" si="1"/>
        <v>0</v>
      </c>
      <c r="W42" s="14"/>
      <c r="X42" s="6">
        <f t="shared" ref="X42" si="16">ROUND((W42*0.03),2)</f>
        <v>0</v>
      </c>
      <c r="Y42" s="6">
        <f t="shared" ref="Y42" si="17">W42+X42</f>
        <v>0</v>
      </c>
      <c r="Z42" s="14"/>
      <c r="AA42" s="6">
        <f t="shared" ref="AA42:AA63" si="18">ROUND((Z42*0.03),2)</f>
        <v>0</v>
      </c>
      <c r="AB42" s="6">
        <f t="shared" ref="AB42:AB63" si="19">Z42+AA42</f>
        <v>0</v>
      </c>
      <c r="AC42" s="14"/>
      <c r="AD42" s="6">
        <f t="shared" ref="AD42:AD63" si="20">ROUND((AC42*0.03),2)</f>
        <v>0</v>
      </c>
      <c r="AE42" s="6">
        <f t="shared" ref="AE42:AE63" si="21">AC42+AD42</f>
        <v>0</v>
      </c>
      <c r="AF42" s="14"/>
      <c r="AG42" s="6">
        <f t="shared" ref="AG42:AG63" si="22">ROUND((AF42*0.03),2)</f>
        <v>0</v>
      </c>
      <c r="AH42" s="6">
        <f t="shared" ref="AH42:AH63" si="23">AF42+AG42</f>
        <v>0</v>
      </c>
      <c r="AI42" s="6">
        <f t="shared" ref="AI42:AI63" si="24">G42*V42</f>
        <v>0</v>
      </c>
      <c r="AJ42" s="6">
        <f t="shared" ref="AJ42:AJ63" si="25">H42*Y42</f>
        <v>0</v>
      </c>
      <c r="AK42" s="6">
        <f t="shared" ref="AK42:AK63" si="26">I42*AB42</f>
        <v>0</v>
      </c>
      <c r="AL42" s="6">
        <f t="shared" ref="AL42:AL63" si="27">J42*AE42</f>
        <v>0</v>
      </c>
      <c r="AM42" s="6">
        <f t="shared" ref="AM42:AM63" si="28">K42*AH42</f>
        <v>0</v>
      </c>
      <c r="AN42" s="6">
        <f t="shared" si="15"/>
        <v>0</v>
      </c>
    </row>
    <row r="43" spans="1:40" s="13" customFormat="1" ht="59.25" customHeight="1" x14ac:dyDescent="0.25">
      <c r="A43" s="26" t="s">
        <v>71</v>
      </c>
      <c r="B43" s="42" t="s">
        <v>78</v>
      </c>
      <c r="C43" s="41" t="s">
        <v>74</v>
      </c>
      <c r="D43" s="20" t="s">
        <v>94</v>
      </c>
      <c r="E43" s="21" t="s">
        <v>35</v>
      </c>
      <c r="F43" s="16" t="s">
        <v>36</v>
      </c>
      <c r="G43" s="25">
        <v>12</v>
      </c>
      <c r="H43" s="25">
        <v>12</v>
      </c>
      <c r="I43" s="25">
        <v>12</v>
      </c>
      <c r="J43" s="25">
        <v>12</v>
      </c>
      <c r="K43" s="50">
        <v>12</v>
      </c>
      <c r="L43" s="14"/>
      <c r="M43" s="14"/>
      <c r="N43" s="14"/>
      <c r="O43" s="14"/>
      <c r="P43" s="14"/>
      <c r="Q43" s="14"/>
      <c r="R43" s="14"/>
      <c r="S43" s="14"/>
      <c r="T43" s="14"/>
      <c r="U43" s="6">
        <f t="shared" si="0"/>
        <v>0</v>
      </c>
      <c r="V43" s="6">
        <f t="shared" si="1"/>
        <v>0</v>
      </c>
      <c r="W43" s="14"/>
      <c r="X43" s="6">
        <f t="shared" ref="X43:X63" si="29">ROUND((W43*0.03),2)</f>
        <v>0</v>
      </c>
      <c r="Y43" s="6">
        <f t="shared" ref="Y43:Y63" si="30">W43+X43</f>
        <v>0</v>
      </c>
      <c r="Z43" s="14"/>
      <c r="AA43" s="6">
        <f t="shared" si="18"/>
        <v>0</v>
      </c>
      <c r="AB43" s="6">
        <f t="shared" si="19"/>
        <v>0</v>
      </c>
      <c r="AC43" s="14"/>
      <c r="AD43" s="6">
        <f t="shared" si="20"/>
        <v>0</v>
      </c>
      <c r="AE43" s="6">
        <f t="shared" si="21"/>
        <v>0</v>
      </c>
      <c r="AF43" s="14"/>
      <c r="AG43" s="6">
        <f t="shared" si="22"/>
        <v>0</v>
      </c>
      <c r="AH43" s="6">
        <f t="shared" si="23"/>
        <v>0</v>
      </c>
      <c r="AI43" s="6">
        <f t="shared" si="24"/>
        <v>0</v>
      </c>
      <c r="AJ43" s="6">
        <f t="shared" si="25"/>
        <v>0</v>
      </c>
      <c r="AK43" s="6">
        <f t="shared" si="26"/>
        <v>0</v>
      </c>
      <c r="AL43" s="6">
        <f t="shared" si="27"/>
        <v>0</v>
      </c>
      <c r="AM43" s="6">
        <f t="shared" si="28"/>
        <v>0</v>
      </c>
      <c r="AN43" s="6">
        <f t="shared" si="15"/>
        <v>0</v>
      </c>
    </row>
    <row r="44" spans="1:40" s="13" customFormat="1" ht="75" customHeight="1" x14ac:dyDescent="0.25">
      <c r="A44" s="23" t="s">
        <v>72</v>
      </c>
      <c r="B44" s="40" t="s">
        <v>79</v>
      </c>
      <c r="C44" s="41" t="s">
        <v>74</v>
      </c>
      <c r="D44" s="19" t="s">
        <v>102</v>
      </c>
      <c r="E44" s="21" t="s">
        <v>35</v>
      </c>
      <c r="F44" s="16" t="s">
        <v>36</v>
      </c>
      <c r="G44" s="28">
        <v>12</v>
      </c>
      <c r="H44" s="28">
        <v>12</v>
      </c>
      <c r="I44" s="28">
        <v>12</v>
      </c>
      <c r="J44" s="28">
        <v>12</v>
      </c>
      <c r="K44" s="49">
        <v>12</v>
      </c>
      <c r="L44" s="14"/>
      <c r="M44" s="14"/>
      <c r="N44" s="14"/>
      <c r="O44" s="14"/>
      <c r="P44" s="14"/>
      <c r="Q44" s="14"/>
      <c r="R44" s="14"/>
      <c r="S44" s="14"/>
      <c r="T44" s="14"/>
      <c r="U44" s="6">
        <f t="shared" si="0"/>
        <v>0</v>
      </c>
      <c r="V44" s="6">
        <f t="shared" si="1"/>
        <v>0</v>
      </c>
      <c r="W44" s="14"/>
      <c r="X44" s="6">
        <f t="shared" si="29"/>
        <v>0</v>
      </c>
      <c r="Y44" s="6">
        <f t="shared" si="30"/>
        <v>0</v>
      </c>
      <c r="Z44" s="14"/>
      <c r="AA44" s="6">
        <f t="shared" si="18"/>
        <v>0</v>
      </c>
      <c r="AB44" s="6">
        <f t="shared" si="19"/>
        <v>0</v>
      </c>
      <c r="AC44" s="14"/>
      <c r="AD44" s="6">
        <f t="shared" si="20"/>
        <v>0</v>
      </c>
      <c r="AE44" s="6">
        <f t="shared" si="21"/>
        <v>0</v>
      </c>
      <c r="AF44" s="14"/>
      <c r="AG44" s="6">
        <f t="shared" si="22"/>
        <v>0</v>
      </c>
      <c r="AH44" s="6">
        <f t="shared" si="23"/>
        <v>0</v>
      </c>
      <c r="AI44" s="6">
        <f t="shared" si="24"/>
        <v>0</v>
      </c>
      <c r="AJ44" s="6">
        <f t="shared" si="25"/>
        <v>0</v>
      </c>
      <c r="AK44" s="6">
        <f t="shared" si="26"/>
        <v>0</v>
      </c>
      <c r="AL44" s="6">
        <f t="shared" si="27"/>
        <v>0</v>
      </c>
      <c r="AM44" s="6">
        <f t="shared" si="28"/>
        <v>0</v>
      </c>
      <c r="AN44" s="6">
        <f t="shared" si="15"/>
        <v>0</v>
      </c>
    </row>
    <row r="45" spans="1:40" s="13" customFormat="1" ht="75" customHeight="1" x14ac:dyDescent="0.25">
      <c r="A45" s="26" t="s">
        <v>73</v>
      </c>
      <c r="B45" s="42" t="s">
        <v>77</v>
      </c>
      <c r="C45" s="41" t="s">
        <v>74</v>
      </c>
      <c r="D45" s="20" t="s">
        <v>92</v>
      </c>
      <c r="E45" s="21" t="s">
        <v>35</v>
      </c>
      <c r="F45" s="16" t="s">
        <v>36</v>
      </c>
      <c r="G45" s="25">
        <v>6</v>
      </c>
      <c r="H45" s="25">
        <v>6</v>
      </c>
      <c r="I45" s="25">
        <v>6</v>
      </c>
      <c r="J45" s="25">
        <v>6</v>
      </c>
      <c r="K45" s="50">
        <v>6</v>
      </c>
      <c r="L45" s="14"/>
      <c r="M45" s="14"/>
      <c r="N45" s="14"/>
      <c r="O45" s="14"/>
      <c r="P45" s="14"/>
      <c r="Q45" s="14"/>
      <c r="R45" s="14"/>
      <c r="S45" s="14"/>
      <c r="T45" s="14"/>
      <c r="U45" s="6">
        <f t="shared" si="0"/>
        <v>0</v>
      </c>
      <c r="V45" s="6">
        <f t="shared" si="1"/>
        <v>0</v>
      </c>
      <c r="W45" s="14"/>
      <c r="X45" s="6">
        <f t="shared" si="29"/>
        <v>0</v>
      </c>
      <c r="Y45" s="6">
        <f t="shared" si="30"/>
        <v>0</v>
      </c>
      <c r="Z45" s="14"/>
      <c r="AA45" s="6">
        <f t="shared" si="18"/>
        <v>0</v>
      </c>
      <c r="AB45" s="6">
        <f t="shared" si="19"/>
        <v>0</v>
      </c>
      <c r="AC45" s="14"/>
      <c r="AD45" s="6">
        <f t="shared" si="20"/>
        <v>0</v>
      </c>
      <c r="AE45" s="6">
        <f t="shared" si="21"/>
        <v>0</v>
      </c>
      <c r="AF45" s="14"/>
      <c r="AG45" s="6">
        <f t="shared" si="22"/>
        <v>0</v>
      </c>
      <c r="AH45" s="6">
        <f t="shared" si="23"/>
        <v>0</v>
      </c>
      <c r="AI45" s="6">
        <f t="shared" si="24"/>
        <v>0</v>
      </c>
      <c r="AJ45" s="6">
        <f t="shared" si="25"/>
        <v>0</v>
      </c>
      <c r="AK45" s="6">
        <f t="shared" si="26"/>
        <v>0</v>
      </c>
      <c r="AL45" s="6">
        <f t="shared" si="27"/>
        <v>0</v>
      </c>
      <c r="AM45" s="6">
        <f t="shared" si="28"/>
        <v>0</v>
      </c>
      <c r="AN45" s="6">
        <f t="shared" si="15"/>
        <v>0</v>
      </c>
    </row>
    <row r="46" spans="1:40" s="13" customFormat="1" ht="75" customHeight="1" x14ac:dyDescent="0.25">
      <c r="A46" s="23" t="s">
        <v>120</v>
      </c>
      <c r="B46" s="40">
        <v>9999.2271000000001</v>
      </c>
      <c r="C46" s="41" t="s">
        <v>74</v>
      </c>
      <c r="D46" s="19" t="s">
        <v>113</v>
      </c>
      <c r="E46" s="21" t="s">
        <v>35</v>
      </c>
      <c r="F46" s="16" t="s">
        <v>36</v>
      </c>
      <c r="G46" s="28">
        <v>6</v>
      </c>
      <c r="H46" s="28">
        <v>6</v>
      </c>
      <c r="I46" s="28">
        <v>6</v>
      </c>
      <c r="J46" s="28">
        <v>6</v>
      </c>
      <c r="K46" s="49">
        <v>6</v>
      </c>
      <c r="L46" s="14"/>
      <c r="M46" s="14"/>
      <c r="N46" s="14"/>
      <c r="O46" s="14"/>
      <c r="P46" s="14"/>
      <c r="Q46" s="14"/>
      <c r="R46" s="14"/>
      <c r="S46" s="14"/>
      <c r="T46" s="14"/>
      <c r="U46" s="6">
        <f t="shared" si="0"/>
        <v>0</v>
      </c>
      <c r="V46" s="6">
        <f t="shared" si="1"/>
        <v>0</v>
      </c>
      <c r="W46" s="14"/>
      <c r="X46" s="6">
        <f t="shared" si="29"/>
        <v>0</v>
      </c>
      <c r="Y46" s="6">
        <f t="shared" si="30"/>
        <v>0</v>
      </c>
      <c r="Z46" s="14"/>
      <c r="AA46" s="6">
        <f t="shared" si="18"/>
        <v>0</v>
      </c>
      <c r="AB46" s="6">
        <f t="shared" si="19"/>
        <v>0</v>
      </c>
      <c r="AC46" s="14"/>
      <c r="AD46" s="6">
        <f t="shared" si="20"/>
        <v>0</v>
      </c>
      <c r="AE46" s="6">
        <f t="shared" si="21"/>
        <v>0</v>
      </c>
      <c r="AF46" s="14"/>
      <c r="AG46" s="6">
        <f t="shared" si="22"/>
        <v>0</v>
      </c>
      <c r="AH46" s="6">
        <f t="shared" si="23"/>
        <v>0</v>
      </c>
      <c r="AI46" s="6">
        <f t="shared" si="24"/>
        <v>0</v>
      </c>
      <c r="AJ46" s="6">
        <f t="shared" si="25"/>
        <v>0</v>
      </c>
      <c r="AK46" s="6">
        <f t="shared" si="26"/>
        <v>0</v>
      </c>
      <c r="AL46" s="6">
        <f t="shared" si="27"/>
        <v>0</v>
      </c>
      <c r="AM46" s="6">
        <f t="shared" si="28"/>
        <v>0</v>
      </c>
      <c r="AN46" s="6">
        <f t="shared" si="15"/>
        <v>0</v>
      </c>
    </row>
    <row r="47" spans="1:40" s="13" customFormat="1" ht="75" customHeight="1" x14ac:dyDescent="0.25">
      <c r="A47" s="26" t="s">
        <v>121</v>
      </c>
      <c r="B47" s="42" t="s">
        <v>80</v>
      </c>
      <c r="C47" s="41" t="s">
        <v>74</v>
      </c>
      <c r="D47" s="20" t="s">
        <v>96</v>
      </c>
      <c r="E47" s="21" t="s">
        <v>35</v>
      </c>
      <c r="F47" s="16" t="s">
        <v>36</v>
      </c>
      <c r="G47" s="25">
        <v>6</v>
      </c>
      <c r="H47" s="25">
        <v>6</v>
      </c>
      <c r="I47" s="25">
        <v>6</v>
      </c>
      <c r="J47" s="25">
        <v>6</v>
      </c>
      <c r="K47" s="50">
        <v>6</v>
      </c>
      <c r="L47" s="14"/>
      <c r="M47" s="14"/>
      <c r="N47" s="14"/>
      <c r="O47" s="14"/>
      <c r="P47" s="14"/>
      <c r="Q47" s="14"/>
      <c r="R47" s="14"/>
      <c r="S47" s="14"/>
      <c r="T47" s="14"/>
      <c r="U47" s="6">
        <f t="shared" si="0"/>
        <v>0</v>
      </c>
      <c r="V47" s="6">
        <f t="shared" si="1"/>
        <v>0</v>
      </c>
      <c r="W47" s="14"/>
      <c r="X47" s="6">
        <f t="shared" si="29"/>
        <v>0</v>
      </c>
      <c r="Y47" s="6">
        <f t="shared" si="30"/>
        <v>0</v>
      </c>
      <c r="Z47" s="14"/>
      <c r="AA47" s="6">
        <f t="shared" si="18"/>
        <v>0</v>
      </c>
      <c r="AB47" s="6">
        <f t="shared" si="19"/>
        <v>0</v>
      </c>
      <c r="AC47" s="14"/>
      <c r="AD47" s="6">
        <f t="shared" si="20"/>
        <v>0</v>
      </c>
      <c r="AE47" s="6">
        <f t="shared" si="21"/>
        <v>0</v>
      </c>
      <c r="AF47" s="14"/>
      <c r="AG47" s="6">
        <f t="shared" si="22"/>
        <v>0</v>
      </c>
      <c r="AH47" s="6">
        <f t="shared" si="23"/>
        <v>0</v>
      </c>
      <c r="AI47" s="6">
        <f t="shared" si="24"/>
        <v>0</v>
      </c>
      <c r="AJ47" s="6">
        <f t="shared" si="25"/>
        <v>0</v>
      </c>
      <c r="AK47" s="6">
        <f t="shared" si="26"/>
        <v>0</v>
      </c>
      <c r="AL47" s="6">
        <f t="shared" si="27"/>
        <v>0</v>
      </c>
      <c r="AM47" s="6">
        <f t="shared" si="28"/>
        <v>0</v>
      </c>
      <c r="AN47" s="6">
        <f t="shared" si="15"/>
        <v>0</v>
      </c>
    </row>
    <row r="48" spans="1:40" s="13" customFormat="1" ht="75" customHeight="1" x14ac:dyDescent="0.25">
      <c r="A48" s="23">
        <v>5</v>
      </c>
      <c r="B48" s="24" t="s">
        <v>139</v>
      </c>
      <c r="C48" s="41" t="s">
        <v>74</v>
      </c>
      <c r="D48" s="19"/>
      <c r="E48" s="21"/>
      <c r="F48" s="16"/>
      <c r="G48" s="28"/>
      <c r="H48" s="28"/>
      <c r="I48" s="28"/>
      <c r="J48" s="28"/>
      <c r="K48" s="49"/>
      <c r="L48" s="14"/>
      <c r="M48" s="14"/>
      <c r="N48" s="14"/>
      <c r="O48" s="14"/>
      <c r="P48" s="14"/>
      <c r="Q48" s="14"/>
      <c r="R48" s="14"/>
      <c r="S48" s="14"/>
      <c r="T48" s="14"/>
      <c r="U48" s="6">
        <f t="shared" si="0"/>
        <v>0</v>
      </c>
      <c r="V48" s="6">
        <f t="shared" si="1"/>
        <v>0</v>
      </c>
      <c r="W48" s="14"/>
      <c r="X48" s="6">
        <f t="shared" si="29"/>
        <v>0</v>
      </c>
      <c r="Y48" s="6">
        <f t="shared" si="30"/>
        <v>0</v>
      </c>
      <c r="Z48" s="14"/>
      <c r="AA48" s="6">
        <f t="shared" si="18"/>
        <v>0</v>
      </c>
      <c r="AB48" s="6">
        <f t="shared" si="19"/>
        <v>0</v>
      </c>
      <c r="AC48" s="14"/>
      <c r="AD48" s="6">
        <f t="shared" si="20"/>
        <v>0</v>
      </c>
      <c r="AE48" s="6">
        <f t="shared" si="21"/>
        <v>0</v>
      </c>
      <c r="AF48" s="14"/>
      <c r="AG48" s="6">
        <f t="shared" si="22"/>
        <v>0</v>
      </c>
      <c r="AH48" s="6">
        <f t="shared" si="23"/>
        <v>0</v>
      </c>
      <c r="AI48" s="6">
        <f t="shared" si="24"/>
        <v>0</v>
      </c>
      <c r="AJ48" s="6">
        <f t="shared" si="25"/>
        <v>0</v>
      </c>
      <c r="AK48" s="6">
        <f t="shared" si="26"/>
        <v>0</v>
      </c>
      <c r="AL48" s="6">
        <f t="shared" si="27"/>
        <v>0</v>
      </c>
      <c r="AM48" s="6">
        <f t="shared" si="28"/>
        <v>0</v>
      </c>
      <c r="AN48" s="6">
        <f t="shared" si="15"/>
        <v>0</v>
      </c>
    </row>
    <row r="49" spans="1:42" s="13" customFormat="1" ht="75" customHeight="1" x14ac:dyDescent="0.25">
      <c r="A49" s="26" t="s">
        <v>122</v>
      </c>
      <c r="B49" s="27" t="s">
        <v>140</v>
      </c>
      <c r="C49" s="41" t="s">
        <v>74</v>
      </c>
      <c r="D49" s="20" t="s">
        <v>157</v>
      </c>
      <c r="E49" s="21" t="s">
        <v>35</v>
      </c>
      <c r="F49" s="16" t="s">
        <v>36</v>
      </c>
      <c r="G49" s="25">
        <v>4</v>
      </c>
      <c r="H49" s="25">
        <v>4</v>
      </c>
      <c r="I49" s="25">
        <v>4</v>
      </c>
      <c r="J49" s="25">
        <v>4</v>
      </c>
      <c r="K49" s="50">
        <v>4</v>
      </c>
      <c r="L49" s="14"/>
      <c r="M49" s="14"/>
      <c r="N49" s="14"/>
      <c r="O49" s="14"/>
      <c r="P49" s="14"/>
      <c r="Q49" s="14"/>
      <c r="R49" s="14"/>
      <c r="S49" s="14"/>
      <c r="T49" s="14"/>
      <c r="U49" s="6">
        <f t="shared" si="0"/>
        <v>0</v>
      </c>
      <c r="V49" s="6">
        <f t="shared" si="1"/>
        <v>0</v>
      </c>
      <c r="W49" s="14"/>
      <c r="X49" s="6">
        <f t="shared" si="29"/>
        <v>0</v>
      </c>
      <c r="Y49" s="6">
        <f t="shared" si="30"/>
        <v>0</v>
      </c>
      <c r="Z49" s="14"/>
      <c r="AA49" s="6">
        <f t="shared" si="18"/>
        <v>0</v>
      </c>
      <c r="AB49" s="6">
        <f t="shared" si="19"/>
        <v>0</v>
      </c>
      <c r="AC49" s="14"/>
      <c r="AD49" s="6">
        <f t="shared" si="20"/>
        <v>0</v>
      </c>
      <c r="AE49" s="6">
        <f t="shared" si="21"/>
        <v>0</v>
      </c>
      <c r="AF49" s="14"/>
      <c r="AG49" s="6">
        <f t="shared" si="22"/>
        <v>0</v>
      </c>
      <c r="AH49" s="6">
        <f t="shared" si="23"/>
        <v>0</v>
      </c>
      <c r="AI49" s="6">
        <f t="shared" si="24"/>
        <v>0</v>
      </c>
      <c r="AJ49" s="6">
        <f t="shared" si="25"/>
        <v>0</v>
      </c>
      <c r="AK49" s="6">
        <f t="shared" si="26"/>
        <v>0</v>
      </c>
      <c r="AL49" s="6">
        <f t="shared" si="27"/>
        <v>0</v>
      </c>
      <c r="AM49" s="6">
        <f t="shared" si="28"/>
        <v>0</v>
      </c>
      <c r="AN49" s="6">
        <f t="shared" si="15"/>
        <v>0</v>
      </c>
    </row>
    <row r="50" spans="1:42" s="13" customFormat="1" ht="75" customHeight="1" x14ac:dyDescent="0.25">
      <c r="A50" s="23" t="s">
        <v>123</v>
      </c>
      <c r="B50" s="24" t="s">
        <v>141</v>
      </c>
      <c r="C50" s="41" t="s">
        <v>74</v>
      </c>
      <c r="D50" s="19" t="s">
        <v>158</v>
      </c>
      <c r="E50" s="21" t="s">
        <v>35</v>
      </c>
      <c r="F50" s="16" t="s">
        <v>36</v>
      </c>
      <c r="G50" s="28">
        <v>4</v>
      </c>
      <c r="H50" s="28">
        <v>4</v>
      </c>
      <c r="I50" s="28">
        <v>4</v>
      </c>
      <c r="J50" s="28">
        <v>4</v>
      </c>
      <c r="K50" s="49">
        <v>4</v>
      </c>
      <c r="L50" s="14"/>
      <c r="M50" s="14"/>
      <c r="N50" s="14"/>
      <c r="O50" s="14"/>
      <c r="P50" s="14"/>
      <c r="Q50" s="14"/>
      <c r="R50" s="14"/>
      <c r="S50" s="14"/>
      <c r="T50" s="14"/>
      <c r="U50" s="6">
        <f t="shared" si="0"/>
        <v>0</v>
      </c>
      <c r="V50" s="6">
        <f t="shared" si="1"/>
        <v>0</v>
      </c>
      <c r="W50" s="14"/>
      <c r="X50" s="6">
        <f t="shared" si="29"/>
        <v>0</v>
      </c>
      <c r="Y50" s="6">
        <f t="shared" si="30"/>
        <v>0</v>
      </c>
      <c r="Z50" s="14"/>
      <c r="AA50" s="6">
        <f t="shared" si="18"/>
        <v>0</v>
      </c>
      <c r="AB50" s="6">
        <f t="shared" si="19"/>
        <v>0</v>
      </c>
      <c r="AC50" s="14"/>
      <c r="AD50" s="6">
        <f t="shared" si="20"/>
        <v>0</v>
      </c>
      <c r="AE50" s="6">
        <f t="shared" si="21"/>
        <v>0</v>
      </c>
      <c r="AF50" s="14"/>
      <c r="AG50" s="6">
        <f t="shared" si="22"/>
        <v>0</v>
      </c>
      <c r="AH50" s="6">
        <f t="shared" si="23"/>
        <v>0</v>
      </c>
      <c r="AI50" s="6">
        <f t="shared" si="24"/>
        <v>0</v>
      </c>
      <c r="AJ50" s="6">
        <f t="shared" si="25"/>
        <v>0</v>
      </c>
      <c r="AK50" s="6">
        <f t="shared" si="26"/>
        <v>0</v>
      </c>
      <c r="AL50" s="6">
        <f t="shared" si="27"/>
        <v>0</v>
      </c>
      <c r="AM50" s="6">
        <f t="shared" si="28"/>
        <v>0</v>
      </c>
      <c r="AN50" s="6">
        <f t="shared" si="15"/>
        <v>0</v>
      </c>
    </row>
    <row r="51" spans="1:42" s="13" customFormat="1" ht="75" customHeight="1" x14ac:dyDescent="0.25">
      <c r="A51" s="26" t="s">
        <v>124</v>
      </c>
      <c r="B51" s="27" t="s">
        <v>142</v>
      </c>
      <c r="C51" s="41" t="s">
        <v>74</v>
      </c>
      <c r="D51" s="20" t="s">
        <v>159</v>
      </c>
      <c r="E51" s="21" t="s">
        <v>35</v>
      </c>
      <c r="F51" s="16" t="s">
        <v>36</v>
      </c>
      <c r="G51" s="25">
        <v>4</v>
      </c>
      <c r="H51" s="25">
        <v>4</v>
      </c>
      <c r="I51" s="25">
        <v>4</v>
      </c>
      <c r="J51" s="25">
        <v>4</v>
      </c>
      <c r="K51" s="50">
        <v>4</v>
      </c>
      <c r="L51" s="14"/>
      <c r="M51" s="14"/>
      <c r="N51" s="14"/>
      <c r="O51" s="14"/>
      <c r="P51" s="14"/>
      <c r="Q51" s="14"/>
      <c r="R51" s="14"/>
      <c r="S51" s="14"/>
      <c r="T51" s="14"/>
      <c r="U51" s="6">
        <f t="shared" si="0"/>
        <v>0</v>
      </c>
      <c r="V51" s="6">
        <f t="shared" si="1"/>
        <v>0</v>
      </c>
      <c r="W51" s="14"/>
      <c r="X51" s="6">
        <f t="shared" si="29"/>
        <v>0</v>
      </c>
      <c r="Y51" s="6">
        <f t="shared" si="30"/>
        <v>0</v>
      </c>
      <c r="Z51" s="14"/>
      <c r="AA51" s="6">
        <f t="shared" si="18"/>
        <v>0</v>
      </c>
      <c r="AB51" s="6">
        <f t="shared" si="19"/>
        <v>0</v>
      </c>
      <c r="AC51" s="14"/>
      <c r="AD51" s="6">
        <f t="shared" si="20"/>
        <v>0</v>
      </c>
      <c r="AE51" s="6">
        <f t="shared" si="21"/>
        <v>0</v>
      </c>
      <c r="AF51" s="14"/>
      <c r="AG51" s="6">
        <f t="shared" si="22"/>
        <v>0</v>
      </c>
      <c r="AH51" s="6">
        <f t="shared" si="23"/>
        <v>0</v>
      </c>
      <c r="AI51" s="6">
        <f t="shared" si="24"/>
        <v>0</v>
      </c>
      <c r="AJ51" s="6">
        <f t="shared" si="25"/>
        <v>0</v>
      </c>
      <c r="AK51" s="6">
        <f t="shared" si="26"/>
        <v>0</v>
      </c>
      <c r="AL51" s="6">
        <f t="shared" si="27"/>
        <v>0</v>
      </c>
      <c r="AM51" s="6">
        <f t="shared" si="28"/>
        <v>0</v>
      </c>
      <c r="AN51" s="6">
        <f t="shared" si="15"/>
        <v>0</v>
      </c>
    </row>
    <row r="52" spans="1:42" s="13" customFormat="1" ht="75" customHeight="1" x14ac:dyDescent="0.25">
      <c r="A52" s="23" t="s">
        <v>125</v>
      </c>
      <c r="B52" s="24" t="s">
        <v>143</v>
      </c>
      <c r="C52" s="41" t="s">
        <v>74</v>
      </c>
      <c r="D52" s="19" t="s">
        <v>160</v>
      </c>
      <c r="E52" s="21" t="s">
        <v>35</v>
      </c>
      <c r="F52" s="16" t="s">
        <v>36</v>
      </c>
      <c r="G52" s="28">
        <v>4</v>
      </c>
      <c r="H52" s="28">
        <v>4</v>
      </c>
      <c r="I52" s="28">
        <v>4</v>
      </c>
      <c r="J52" s="28">
        <v>4</v>
      </c>
      <c r="K52" s="49">
        <v>4</v>
      </c>
      <c r="L52" s="14"/>
      <c r="M52" s="14"/>
      <c r="N52" s="14"/>
      <c r="O52" s="14"/>
      <c r="P52" s="14"/>
      <c r="Q52" s="14"/>
      <c r="R52" s="14"/>
      <c r="S52" s="14"/>
      <c r="T52" s="14"/>
      <c r="U52" s="6">
        <f t="shared" si="0"/>
        <v>0</v>
      </c>
      <c r="V52" s="6">
        <f t="shared" si="1"/>
        <v>0</v>
      </c>
      <c r="W52" s="14"/>
      <c r="X52" s="6">
        <f t="shared" si="29"/>
        <v>0</v>
      </c>
      <c r="Y52" s="6">
        <f t="shared" si="30"/>
        <v>0</v>
      </c>
      <c r="Z52" s="14"/>
      <c r="AA52" s="6">
        <f t="shared" si="18"/>
        <v>0</v>
      </c>
      <c r="AB52" s="6">
        <f t="shared" si="19"/>
        <v>0</v>
      </c>
      <c r="AC52" s="14"/>
      <c r="AD52" s="6">
        <f t="shared" si="20"/>
        <v>0</v>
      </c>
      <c r="AE52" s="6">
        <f t="shared" si="21"/>
        <v>0</v>
      </c>
      <c r="AF52" s="14"/>
      <c r="AG52" s="6">
        <f t="shared" si="22"/>
        <v>0</v>
      </c>
      <c r="AH52" s="6">
        <f t="shared" si="23"/>
        <v>0</v>
      </c>
      <c r="AI52" s="6">
        <f t="shared" si="24"/>
        <v>0</v>
      </c>
      <c r="AJ52" s="6">
        <f t="shared" si="25"/>
        <v>0</v>
      </c>
      <c r="AK52" s="6">
        <f t="shared" si="26"/>
        <v>0</v>
      </c>
      <c r="AL52" s="6">
        <f t="shared" si="27"/>
        <v>0</v>
      </c>
      <c r="AM52" s="6">
        <f t="shared" si="28"/>
        <v>0</v>
      </c>
      <c r="AN52" s="6">
        <f t="shared" si="15"/>
        <v>0</v>
      </c>
    </row>
    <row r="53" spans="1:42" s="13" customFormat="1" ht="75" customHeight="1" x14ac:dyDescent="0.25">
      <c r="A53" s="26" t="s">
        <v>126</v>
      </c>
      <c r="B53" s="27" t="s">
        <v>144</v>
      </c>
      <c r="C53" s="41" t="s">
        <v>74</v>
      </c>
      <c r="D53" s="20" t="s">
        <v>161</v>
      </c>
      <c r="E53" s="21" t="s">
        <v>35</v>
      </c>
      <c r="F53" s="16" t="s">
        <v>36</v>
      </c>
      <c r="G53" s="25">
        <v>4</v>
      </c>
      <c r="H53" s="25">
        <v>4</v>
      </c>
      <c r="I53" s="25">
        <v>4</v>
      </c>
      <c r="J53" s="25">
        <v>4</v>
      </c>
      <c r="K53" s="50">
        <v>4</v>
      </c>
      <c r="L53" s="14"/>
      <c r="M53" s="14"/>
      <c r="N53" s="14"/>
      <c r="O53" s="14"/>
      <c r="P53" s="14"/>
      <c r="Q53" s="14"/>
      <c r="R53" s="14"/>
      <c r="S53" s="14"/>
      <c r="T53" s="14"/>
      <c r="U53" s="6">
        <f t="shared" si="0"/>
        <v>0</v>
      </c>
      <c r="V53" s="6">
        <f t="shared" si="1"/>
        <v>0</v>
      </c>
      <c r="W53" s="14"/>
      <c r="X53" s="6">
        <f t="shared" si="29"/>
        <v>0</v>
      </c>
      <c r="Y53" s="6">
        <f t="shared" si="30"/>
        <v>0</v>
      </c>
      <c r="Z53" s="14"/>
      <c r="AA53" s="6">
        <f t="shared" si="18"/>
        <v>0</v>
      </c>
      <c r="AB53" s="6">
        <f t="shared" si="19"/>
        <v>0</v>
      </c>
      <c r="AC53" s="14"/>
      <c r="AD53" s="6">
        <f t="shared" si="20"/>
        <v>0</v>
      </c>
      <c r="AE53" s="6">
        <f t="shared" si="21"/>
        <v>0</v>
      </c>
      <c r="AF53" s="14"/>
      <c r="AG53" s="6">
        <f t="shared" si="22"/>
        <v>0</v>
      </c>
      <c r="AH53" s="6">
        <f t="shared" si="23"/>
        <v>0</v>
      </c>
      <c r="AI53" s="6">
        <f t="shared" si="24"/>
        <v>0</v>
      </c>
      <c r="AJ53" s="6">
        <f t="shared" si="25"/>
        <v>0</v>
      </c>
      <c r="AK53" s="6">
        <f t="shared" si="26"/>
        <v>0</v>
      </c>
      <c r="AL53" s="6">
        <f t="shared" si="27"/>
        <v>0</v>
      </c>
      <c r="AM53" s="6">
        <f t="shared" si="28"/>
        <v>0</v>
      </c>
      <c r="AN53" s="6">
        <f t="shared" si="15"/>
        <v>0</v>
      </c>
    </row>
    <row r="54" spans="1:42" s="13" customFormat="1" ht="75" customHeight="1" x14ac:dyDescent="0.25">
      <c r="A54" s="23" t="s">
        <v>127</v>
      </c>
      <c r="B54" s="24" t="s">
        <v>145</v>
      </c>
      <c r="C54" s="41" t="s">
        <v>74</v>
      </c>
      <c r="D54" s="19" t="s">
        <v>162</v>
      </c>
      <c r="E54" s="21" t="s">
        <v>35</v>
      </c>
      <c r="F54" s="16" t="s">
        <v>36</v>
      </c>
      <c r="G54" s="28">
        <v>4</v>
      </c>
      <c r="H54" s="28">
        <v>4</v>
      </c>
      <c r="I54" s="28">
        <v>4</v>
      </c>
      <c r="J54" s="28">
        <v>4</v>
      </c>
      <c r="K54" s="49">
        <v>4</v>
      </c>
      <c r="L54" s="14"/>
      <c r="M54" s="14"/>
      <c r="N54" s="14"/>
      <c r="O54" s="14"/>
      <c r="P54" s="14"/>
      <c r="Q54" s="14"/>
      <c r="R54" s="14"/>
      <c r="S54" s="14"/>
      <c r="T54" s="14"/>
      <c r="U54" s="6">
        <f t="shared" si="0"/>
        <v>0</v>
      </c>
      <c r="V54" s="6">
        <f t="shared" si="1"/>
        <v>0</v>
      </c>
      <c r="W54" s="14"/>
      <c r="X54" s="6">
        <f t="shared" si="29"/>
        <v>0</v>
      </c>
      <c r="Y54" s="6">
        <f t="shared" si="30"/>
        <v>0</v>
      </c>
      <c r="Z54" s="14"/>
      <c r="AA54" s="6">
        <f t="shared" si="18"/>
        <v>0</v>
      </c>
      <c r="AB54" s="6">
        <f t="shared" si="19"/>
        <v>0</v>
      </c>
      <c r="AC54" s="14"/>
      <c r="AD54" s="6">
        <f t="shared" si="20"/>
        <v>0</v>
      </c>
      <c r="AE54" s="6">
        <f t="shared" si="21"/>
        <v>0</v>
      </c>
      <c r="AF54" s="14"/>
      <c r="AG54" s="6">
        <f t="shared" si="22"/>
        <v>0</v>
      </c>
      <c r="AH54" s="6">
        <f t="shared" si="23"/>
        <v>0</v>
      </c>
      <c r="AI54" s="6">
        <f t="shared" si="24"/>
        <v>0</v>
      </c>
      <c r="AJ54" s="6">
        <f t="shared" si="25"/>
        <v>0</v>
      </c>
      <c r="AK54" s="6">
        <f t="shared" si="26"/>
        <v>0</v>
      </c>
      <c r="AL54" s="6">
        <f t="shared" si="27"/>
        <v>0</v>
      </c>
      <c r="AM54" s="6">
        <f t="shared" si="28"/>
        <v>0</v>
      </c>
      <c r="AN54" s="6">
        <f t="shared" si="15"/>
        <v>0</v>
      </c>
    </row>
    <row r="55" spans="1:42" s="13" customFormat="1" ht="75" customHeight="1" x14ac:dyDescent="0.25">
      <c r="A55" s="26" t="s">
        <v>128</v>
      </c>
      <c r="B55" s="27" t="s">
        <v>146</v>
      </c>
      <c r="C55" s="41" t="s">
        <v>74</v>
      </c>
      <c r="D55" s="20" t="s">
        <v>163</v>
      </c>
      <c r="E55" s="21" t="s">
        <v>35</v>
      </c>
      <c r="F55" s="16" t="s">
        <v>36</v>
      </c>
      <c r="G55" s="25">
        <v>4</v>
      </c>
      <c r="H55" s="25">
        <v>4</v>
      </c>
      <c r="I55" s="25">
        <v>4</v>
      </c>
      <c r="J55" s="25">
        <v>4</v>
      </c>
      <c r="K55" s="50">
        <v>4</v>
      </c>
      <c r="L55" s="14"/>
      <c r="M55" s="14"/>
      <c r="N55" s="14"/>
      <c r="O55" s="14"/>
      <c r="P55" s="14"/>
      <c r="Q55" s="14"/>
      <c r="R55" s="14"/>
      <c r="S55" s="14"/>
      <c r="T55" s="14"/>
      <c r="U55" s="6">
        <f t="shared" si="0"/>
        <v>0</v>
      </c>
      <c r="V55" s="6">
        <f t="shared" si="1"/>
        <v>0</v>
      </c>
      <c r="W55" s="14"/>
      <c r="X55" s="6">
        <f t="shared" si="29"/>
        <v>0</v>
      </c>
      <c r="Y55" s="6">
        <f t="shared" si="30"/>
        <v>0</v>
      </c>
      <c r="Z55" s="14"/>
      <c r="AA55" s="6">
        <f t="shared" si="18"/>
        <v>0</v>
      </c>
      <c r="AB55" s="6">
        <f t="shared" si="19"/>
        <v>0</v>
      </c>
      <c r="AC55" s="14"/>
      <c r="AD55" s="6">
        <f t="shared" si="20"/>
        <v>0</v>
      </c>
      <c r="AE55" s="6">
        <f t="shared" si="21"/>
        <v>0</v>
      </c>
      <c r="AF55" s="14"/>
      <c r="AG55" s="6">
        <f t="shared" si="22"/>
        <v>0</v>
      </c>
      <c r="AH55" s="6">
        <f t="shared" si="23"/>
        <v>0</v>
      </c>
      <c r="AI55" s="6">
        <f t="shared" si="24"/>
        <v>0</v>
      </c>
      <c r="AJ55" s="6">
        <f t="shared" si="25"/>
        <v>0</v>
      </c>
      <c r="AK55" s="6">
        <f t="shared" si="26"/>
        <v>0</v>
      </c>
      <c r="AL55" s="6">
        <f t="shared" si="27"/>
        <v>0</v>
      </c>
      <c r="AM55" s="6">
        <f t="shared" si="28"/>
        <v>0</v>
      </c>
      <c r="AN55" s="6">
        <f t="shared" si="15"/>
        <v>0</v>
      </c>
    </row>
    <row r="56" spans="1:42" s="13" customFormat="1" ht="75" customHeight="1" x14ac:dyDescent="0.25">
      <c r="A56" s="23" t="s">
        <v>129</v>
      </c>
      <c r="B56" s="24" t="s">
        <v>147</v>
      </c>
      <c r="C56" s="41" t="s">
        <v>74</v>
      </c>
      <c r="D56" s="19" t="s">
        <v>163</v>
      </c>
      <c r="E56" s="21" t="s">
        <v>35</v>
      </c>
      <c r="F56" s="16" t="s">
        <v>36</v>
      </c>
      <c r="G56" s="28">
        <v>4</v>
      </c>
      <c r="H56" s="28">
        <v>4</v>
      </c>
      <c r="I56" s="28">
        <v>4</v>
      </c>
      <c r="J56" s="28">
        <v>4</v>
      </c>
      <c r="K56" s="49">
        <v>4</v>
      </c>
      <c r="L56" s="14"/>
      <c r="M56" s="14"/>
      <c r="N56" s="14"/>
      <c r="O56" s="14"/>
      <c r="P56" s="14"/>
      <c r="Q56" s="14"/>
      <c r="R56" s="14"/>
      <c r="S56" s="14"/>
      <c r="T56" s="14"/>
      <c r="U56" s="6">
        <f t="shared" si="0"/>
        <v>0</v>
      </c>
      <c r="V56" s="6">
        <f t="shared" si="1"/>
        <v>0</v>
      </c>
      <c r="W56" s="14"/>
      <c r="X56" s="6">
        <f t="shared" si="29"/>
        <v>0</v>
      </c>
      <c r="Y56" s="6">
        <f t="shared" si="30"/>
        <v>0</v>
      </c>
      <c r="Z56" s="14"/>
      <c r="AA56" s="6">
        <f t="shared" si="18"/>
        <v>0</v>
      </c>
      <c r="AB56" s="6">
        <f t="shared" si="19"/>
        <v>0</v>
      </c>
      <c r="AC56" s="14"/>
      <c r="AD56" s="6">
        <f t="shared" si="20"/>
        <v>0</v>
      </c>
      <c r="AE56" s="6">
        <f t="shared" si="21"/>
        <v>0</v>
      </c>
      <c r="AF56" s="14"/>
      <c r="AG56" s="6">
        <f t="shared" si="22"/>
        <v>0</v>
      </c>
      <c r="AH56" s="6">
        <f t="shared" si="23"/>
        <v>0</v>
      </c>
      <c r="AI56" s="6">
        <f t="shared" si="24"/>
        <v>0</v>
      </c>
      <c r="AJ56" s="6">
        <f t="shared" si="25"/>
        <v>0</v>
      </c>
      <c r="AK56" s="6">
        <f t="shared" si="26"/>
        <v>0</v>
      </c>
      <c r="AL56" s="6">
        <f t="shared" si="27"/>
        <v>0</v>
      </c>
      <c r="AM56" s="6">
        <f t="shared" si="28"/>
        <v>0</v>
      </c>
      <c r="AN56" s="6">
        <f t="shared" si="15"/>
        <v>0</v>
      </c>
    </row>
    <row r="57" spans="1:42" s="13" customFormat="1" ht="75" customHeight="1" x14ac:dyDescent="0.25">
      <c r="A57" s="26" t="s">
        <v>130</v>
      </c>
      <c r="B57" s="27" t="s">
        <v>148</v>
      </c>
      <c r="C57" s="41" t="s">
        <v>74</v>
      </c>
      <c r="D57" s="20" t="s">
        <v>163</v>
      </c>
      <c r="E57" s="21" t="s">
        <v>35</v>
      </c>
      <c r="F57" s="16" t="s">
        <v>36</v>
      </c>
      <c r="G57" s="25">
        <v>4</v>
      </c>
      <c r="H57" s="25">
        <v>4</v>
      </c>
      <c r="I57" s="25">
        <v>4</v>
      </c>
      <c r="J57" s="25">
        <v>4</v>
      </c>
      <c r="K57" s="50">
        <v>4</v>
      </c>
      <c r="L57" s="14"/>
      <c r="M57" s="14"/>
      <c r="N57" s="14"/>
      <c r="O57" s="14"/>
      <c r="P57" s="14"/>
      <c r="Q57" s="14"/>
      <c r="R57" s="14"/>
      <c r="S57" s="14"/>
      <c r="T57" s="14"/>
      <c r="U57" s="6">
        <f t="shared" si="0"/>
        <v>0</v>
      </c>
      <c r="V57" s="6">
        <f t="shared" si="1"/>
        <v>0</v>
      </c>
      <c r="W57" s="14"/>
      <c r="X57" s="6">
        <f t="shared" si="29"/>
        <v>0</v>
      </c>
      <c r="Y57" s="6">
        <f t="shared" si="30"/>
        <v>0</v>
      </c>
      <c r="Z57" s="14"/>
      <c r="AA57" s="6">
        <f t="shared" si="18"/>
        <v>0</v>
      </c>
      <c r="AB57" s="6">
        <f t="shared" si="19"/>
        <v>0</v>
      </c>
      <c r="AC57" s="14"/>
      <c r="AD57" s="6">
        <f t="shared" si="20"/>
        <v>0</v>
      </c>
      <c r="AE57" s="6">
        <f t="shared" si="21"/>
        <v>0</v>
      </c>
      <c r="AF57" s="14"/>
      <c r="AG57" s="6">
        <f t="shared" si="22"/>
        <v>0</v>
      </c>
      <c r="AH57" s="6">
        <f t="shared" si="23"/>
        <v>0</v>
      </c>
      <c r="AI57" s="6">
        <f t="shared" si="24"/>
        <v>0</v>
      </c>
      <c r="AJ57" s="6">
        <f t="shared" si="25"/>
        <v>0</v>
      </c>
      <c r="AK57" s="6">
        <f t="shared" si="26"/>
        <v>0</v>
      </c>
      <c r="AL57" s="6">
        <f t="shared" si="27"/>
        <v>0</v>
      </c>
      <c r="AM57" s="6">
        <f t="shared" si="28"/>
        <v>0</v>
      </c>
      <c r="AN57" s="6">
        <f t="shared" si="15"/>
        <v>0</v>
      </c>
    </row>
    <row r="58" spans="1:42" s="13" customFormat="1" ht="75" customHeight="1" x14ac:dyDescent="0.2">
      <c r="A58" s="23" t="s">
        <v>131</v>
      </c>
      <c r="B58" s="24" t="s">
        <v>149</v>
      </c>
      <c r="C58" s="41" t="s">
        <v>74</v>
      </c>
      <c r="D58" s="29" t="s">
        <v>164</v>
      </c>
      <c r="E58" s="21" t="s">
        <v>35</v>
      </c>
      <c r="F58" s="16" t="s">
        <v>36</v>
      </c>
      <c r="G58" s="28">
        <v>12</v>
      </c>
      <c r="H58" s="28">
        <v>12</v>
      </c>
      <c r="I58" s="28">
        <v>12</v>
      </c>
      <c r="J58" s="28">
        <v>12</v>
      </c>
      <c r="K58" s="49">
        <v>12</v>
      </c>
      <c r="L58" s="14"/>
      <c r="M58" s="14"/>
      <c r="N58" s="14"/>
      <c r="O58" s="14"/>
      <c r="P58" s="14"/>
      <c r="Q58" s="14"/>
      <c r="R58" s="14"/>
      <c r="S58" s="14"/>
      <c r="T58" s="14"/>
      <c r="U58" s="6">
        <f t="shared" si="0"/>
        <v>0</v>
      </c>
      <c r="V58" s="6">
        <f t="shared" si="1"/>
        <v>0</v>
      </c>
      <c r="W58" s="14"/>
      <c r="X58" s="6">
        <f t="shared" si="29"/>
        <v>0</v>
      </c>
      <c r="Y58" s="6">
        <f t="shared" si="30"/>
        <v>0</v>
      </c>
      <c r="Z58" s="14"/>
      <c r="AA58" s="6">
        <f t="shared" si="18"/>
        <v>0</v>
      </c>
      <c r="AB58" s="6">
        <f t="shared" si="19"/>
        <v>0</v>
      </c>
      <c r="AC58" s="14"/>
      <c r="AD58" s="6">
        <f t="shared" si="20"/>
        <v>0</v>
      </c>
      <c r="AE58" s="6">
        <f t="shared" si="21"/>
        <v>0</v>
      </c>
      <c r="AF58" s="14"/>
      <c r="AG58" s="6">
        <f t="shared" si="22"/>
        <v>0</v>
      </c>
      <c r="AH58" s="6">
        <f t="shared" si="23"/>
        <v>0</v>
      </c>
      <c r="AI58" s="6">
        <f t="shared" si="24"/>
        <v>0</v>
      </c>
      <c r="AJ58" s="6">
        <f t="shared" si="25"/>
        <v>0</v>
      </c>
      <c r="AK58" s="6">
        <f t="shared" si="26"/>
        <v>0</v>
      </c>
      <c r="AL58" s="6">
        <f t="shared" si="27"/>
        <v>0</v>
      </c>
      <c r="AM58" s="6">
        <f t="shared" si="28"/>
        <v>0</v>
      </c>
      <c r="AN58" s="6">
        <f t="shared" si="15"/>
        <v>0</v>
      </c>
    </row>
    <row r="59" spans="1:42" s="13" customFormat="1" ht="75" customHeight="1" x14ac:dyDescent="0.2">
      <c r="A59" s="26" t="s">
        <v>132</v>
      </c>
      <c r="B59" s="27" t="s">
        <v>150</v>
      </c>
      <c r="C59" s="41" t="s">
        <v>74</v>
      </c>
      <c r="D59" s="30" t="s">
        <v>165</v>
      </c>
      <c r="E59" s="21" t="s">
        <v>35</v>
      </c>
      <c r="F59" s="16" t="s">
        <v>36</v>
      </c>
      <c r="G59" s="25">
        <v>12</v>
      </c>
      <c r="H59" s="25">
        <v>12</v>
      </c>
      <c r="I59" s="25">
        <v>12</v>
      </c>
      <c r="J59" s="25">
        <v>12</v>
      </c>
      <c r="K59" s="50">
        <v>12</v>
      </c>
      <c r="L59" s="14"/>
      <c r="M59" s="14"/>
      <c r="N59" s="14"/>
      <c r="O59" s="14"/>
      <c r="P59" s="14"/>
      <c r="Q59" s="14"/>
      <c r="R59" s="14"/>
      <c r="S59" s="14"/>
      <c r="T59" s="14"/>
      <c r="U59" s="6">
        <f t="shared" si="0"/>
        <v>0</v>
      </c>
      <c r="V59" s="6">
        <f t="shared" si="1"/>
        <v>0</v>
      </c>
      <c r="W59" s="14"/>
      <c r="X59" s="6">
        <f t="shared" si="29"/>
        <v>0</v>
      </c>
      <c r="Y59" s="6">
        <f t="shared" si="30"/>
        <v>0</v>
      </c>
      <c r="Z59" s="14"/>
      <c r="AA59" s="6">
        <f t="shared" si="18"/>
        <v>0</v>
      </c>
      <c r="AB59" s="6">
        <f t="shared" si="19"/>
        <v>0</v>
      </c>
      <c r="AC59" s="14"/>
      <c r="AD59" s="6">
        <f t="shared" si="20"/>
        <v>0</v>
      </c>
      <c r="AE59" s="6">
        <f t="shared" si="21"/>
        <v>0</v>
      </c>
      <c r="AF59" s="14"/>
      <c r="AG59" s="6">
        <f t="shared" si="22"/>
        <v>0</v>
      </c>
      <c r="AH59" s="6">
        <f t="shared" si="23"/>
        <v>0</v>
      </c>
      <c r="AI59" s="6">
        <f t="shared" si="24"/>
        <v>0</v>
      </c>
      <c r="AJ59" s="6">
        <f t="shared" si="25"/>
        <v>0</v>
      </c>
      <c r="AK59" s="6">
        <f t="shared" si="26"/>
        <v>0</v>
      </c>
      <c r="AL59" s="6">
        <f t="shared" si="27"/>
        <v>0</v>
      </c>
      <c r="AM59" s="6">
        <f t="shared" si="28"/>
        <v>0</v>
      </c>
      <c r="AN59" s="6">
        <f t="shared" si="15"/>
        <v>0</v>
      </c>
    </row>
    <row r="60" spans="1:42" s="13" customFormat="1" ht="75" customHeight="1" x14ac:dyDescent="0.2">
      <c r="A60" s="23" t="s">
        <v>133</v>
      </c>
      <c r="B60" s="24" t="s">
        <v>151</v>
      </c>
      <c r="C60" s="41" t="s">
        <v>74</v>
      </c>
      <c r="D60" s="29" t="s">
        <v>165</v>
      </c>
      <c r="E60" s="21" t="s">
        <v>35</v>
      </c>
      <c r="F60" s="16" t="s">
        <v>36</v>
      </c>
      <c r="G60" s="28">
        <v>12</v>
      </c>
      <c r="H60" s="28">
        <v>12</v>
      </c>
      <c r="I60" s="28">
        <v>12</v>
      </c>
      <c r="J60" s="28">
        <v>12</v>
      </c>
      <c r="K60" s="49">
        <v>12</v>
      </c>
      <c r="L60" s="14"/>
      <c r="M60" s="14"/>
      <c r="N60" s="14"/>
      <c r="O60" s="14"/>
      <c r="P60" s="14"/>
      <c r="Q60" s="14"/>
      <c r="R60" s="14"/>
      <c r="S60" s="14"/>
      <c r="T60" s="14"/>
      <c r="U60" s="6">
        <f t="shared" si="0"/>
        <v>0</v>
      </c>
      <c r="V60" s="6">
        <f t="shared" si="1"/>
        <v>0</v>
      </c>
      <c r="W60" s="14"/>
      <c r="X60" s="6">
        <f t="shared" si="29"/>
        <v>0</v>
      </c>
      <c r="Y60" s="6">
        <f t="shared" si="30"/>
        <v>0</v>
      </c>
      <c r="Z60" s="14"/>
      <c r="AA60" s="6">
        <f t="shared" si="18"/>
        <v>0</v>
      </c>
      <c r="AB60" s="6">
        <f t="shared" si="19"/>
        <v>0</v>
      </c>
      <c r="AC60" s="14"/>
      <c r="AD60" s="6">
        <f t="shared" si="20"/>
        <v>0</v>
      </c>
      <c r="AE60" s="6">
        <f t="shared" si="21"/>
        <v>0</v>
      </c>
      <c r="AF60" s="14"/>
      <c r="AG60" s="6">
        <f t="shared" si="22"/>
        <v>0</v>
      </c>
      <c r="AH60" s="6">
        <f t="shared" si="23"/>
        <v>0</v>
      </c>
      <c r="AI60" s="6">
        <f t="shared" si="24"/>
        <v>0</v>
      </c>
      <c r="AJ60" s="6">
        <f t="shared" si="25"/>
        <v>0</v>
      </c>
      <c r="AK60" s="6">
        <f t="shared" si="26"/>
        <v>0</v>
      </c>
      <c r="AL60" s="6">
        <f t="shared" si="27"/>
        <v>0</v>
      </c>
      <c r="AM60" s="6">
        <f t="shared" si="28"/>
        <v>0</v>
      </c>
      <c r="AN60" s="6">
        <f t="shared" si="15"/>
        <v>0</v>
      </c>
    </row>
    <row r="61" spans="1:42" ht="14.25" customHeight="1" x14ac:dyDescent="0.25">
      <c r="A61" s="34" t="s">
        <v>134</v>
      </c>
      <c r="B61" s="37" t="s">
        <v>152</v>
      </c>
      <c r="C61" s="41" t="s">
        <v>74</v>
      </c>
      <c r="D61" s="20" t="s">
        <v>166</v>
      </c>
      <c r="E61" s="21" t="s">
        <v>35</v>
      </c>
      <c r="F61" s="16" t="s">
        <v>36</v>
      </c>
      <c r="G61" s="39">
        <v>12</v>
      </c>
      <c r="H61" s="39">
        <v>12</v>
      </c>
      <c r="I61" s="39">
        <v>12</v>
      </c>
      <c r="J61" s="39">
        <v>12</v>
      </c>
      <c r="K61" s="51">
        <v>12</v>
      </c>
      <c r="L61" s="53"/>
      <c r="M61" s="53"/>
      <c r="N61" s="53"/>
      <c r="O61" s="53"/>
      <c r="P61" s="53"/>
      <c r="Q61" s="53"/>
      <c r="R61" s="53"/>
      <c r="S61" s="53"/>
      <c r="T61" s="53"/>
      <c r="U61" s="6">
        <f t="shared" si="0"/>
        <v>0</v>
      </c>
      <c r="V61" s="6">
        <f t="shared" si="1"/>
        <v>0</v>
      </c>
      <c r="W61" s="53"/>
      <c r="X61" s="6">
        <f t="shared" si="29"/>
        <v>0</v>
      </c>
      <c r="Y61" s="6">
        <f t="shared" si="30"/>
        <v>0</v>
      </c>
      <c r="Z61" s="53"/>
      <c r="AA61" s="6">
        <f t="shared" si="18"/>
        <v>0</v>
      </c>
      <c r="AB61" s="6">
        <f t="shared" si="19"/>
        <v>0</v>
      </c>
      <c r="AC61" s="14"/>
      <c r="AD61" s="6">
        <f t="shared" si="20"/>
        <v>0</v>
      </c>
      <c r="AE61" s="6">
        <f t="shared" si="21"/>
        <v>0</v>
      </c>
      <c r="AF61" s="14"/>
      <c r="AG61" s="6">
        <f t="shared" si="22"/>
        <v>0</v>
      </c>
      <c r="AH61" s="6">
        <f t="shared" si="23"/>
        <v>0</v>
      </c>
      <c r="AI61" s="6">
        <f t="shared" si="24"/>
        <v>0</v>
      </c>
      <c r="AJ61" s="6">
        <f t="shared" si="25"/>
        <v>0</v>
      </c>
      <c r="AK61" s="6">
        <f t="shared" si="26"/>
        <v>0</v>
      </c>
      <c r="AL61" s="6">
        <f t="shared" si="27"/>
        <v>0</v>
      </c>
      <c r="AM61" s="6">
        <f t="shared" si="28"/>
        <v>0</v>
      </c>
      <c r="AN61" s="6">
        <f t="shared" si="15"/>
        <v>0</v>
      </c>
    </row>
    <row r="62" spans="1:42" ht="14.25" customHeight="1" x14ac:dyDescent="0.25">
      <c r="A62" s="33" t="s">
        <v>135</v>
      </c>
      <c r="B62" s="36" t="s">
        <v>153</v>
      </c>
      <c r="C62" s="41" t="s">
        <v>74</v>
      </c>
      <c r="D62" s="19" t="s">
        <v>167</v>
      </c>
      <c r="E62" s="21" t="s">
        <v>35</v>
      </c>
      <c r="F62" s="16" t="s">
        <v>36</v>
      </c>
      <c r="G62" s="38">
        <v>12</v>
      </c>
      <c r="H62" s="38">
        <v>12</v>
      </c>
      <c r="I62" s="38">
        <v>12</v>
      </c>
      <c r="J62" s="38">
        <v>12</v>
      </c>
      <c r="K62" s="52">
        <v>12</v>
      </c>
      <c r="L62" s="53"/>
      <c r="M62" s="53"/>
      <c r="N62" s="53"/>
      <c r="O62" s="53"/>
      <c r="P62" s="53"/>
      <c r="Q62" s="53"/>
      <c r="R62" s="53"/>
      <c r="S62" s="53"/>
      <c r="T62" s="53"/>
      <c r="U62" s="6">
        <f t="shared" si="0"/>
        <v>0</v>
      </c>
      <c r="V62" s="6">
        <f t="shared" si="1"/>
        <v>0</v>
      </c>
      <c r="W62" s="53"/>
      <c r="X62" s="6">
        <f t="shared" si="29"/>
        <v>0</v>
      </c>
      <c r="Y62" s="6">
        <f t="shared" si="30"/>
        <v>0</v>
      </c>
      <c r="Z62" s="53"/>
      <c r="AA62" s="6">
        <f t="shared" si="18"/>
        <v>0</v>
      </c>
      <c r="AB62" s="6">
        <f t="shared" si="19"/>
        <v>0</v>
      </c>
      <c r="AC62" s="14"/>
      <c r="AD62" s="6">
        <f t="shared" si="20"/>
        <v>0</v>
      </c>
      <c r="AE62" s="6">
        <f t="shared" si="21"/>
        <v>0</v>
      </c>
      <c r="AF62" s="14"/>
      <c r="AG62" s="6">
        <f t="shared" si="22"/>
        <v>0</v>
      </c>
      <c r="AH62" s="6">
        <f t="shared" si="23"/>
        <v>0</v>
      </c>
      <c r="AI62" s="6">
        <f t="shared" si="24"/>
        <v>0</v>
      </c>
      <c r="AJ62" s="6">
        <f t="shared" si="25"/>
        <v>0</v>
      </c>
      <c r="AK62" s="6">
        <f t="shared" si="26"/>
        <v>0</v>
      </c>
      <c r="AL62" s="6">
        <f t="shared" si="27"/>
        <v>0</v>
      </c>
      <c r="AM62" s="43">
        <f t="shared" si="28"/>
        <v>0</v>
      </c>
      <c r="AN62" s="6">
        <f t="shared" si="15"/>
        <v>0</v>
      </c>
      <c r="AO62" s="44"/>
      <c r="AP62" s="45"/>
    </row>
    <row r="63" spans="1:42" ht="14.25" customHeight="1" x14ac:dyDescent="0.25">
      <c r="A63" s="34" t="s">
        <v>136</v>
      </c>
      <c r="B63" s="37" t="s">
        <v>154</v>
      </c>
      <c r="C63" s="41" t="s">
        <v>74</v>
      </c>
      <c r="D63" s="20" t="s">
        <v>168</v>
      </c>
      <c r="E63" s="21" t="s">
        <v>35</v>
      </c>
      <c r="F63" s="16" t="s">
        <v>36</v>
      </c>
      <c r="G63" s="39">
        <v>12</v>
      </c>
      <c r="H63" s="39">
        <v>12</v>
      </c>
      <c r="I63" s="39">
        <v>12</v>
      </c>
      <c r="J63" s="39">
        <v>12</v>
      </c>
      <c r="K63" s="39">
        <v>12</v>
      </c>
      <c r="L63" s="46"/>
      <c r="M63" s="47"/>
      <c r="N63" s="47"/>
      <c r="O63" s="47"/>
      <c r="P63" s="47"/>
      <c r="Q63" s="47"/>
      <c r="R63" s="47"/>
      <c r="S63" s="47"/>
      <c r="T63" s="48"/>
      <c r="U63" s="6">
        <f t="shared" si="0"/>
        <v>0</v>
      </c>
      <c r="V63" s="6">
        <f t="shared" si="1"/>
        <v>0</v>
      </c>
      <c r="W63" s="53"/>
      <c r="X63" s="6">
        <f t="shared" si="29"/>
        <v>0</v>
      </c>
      <c r="Y63" s="6">
        <f t="shared" si="30"/>
        <v>0</v>
      </c>
      <c r="Z63" s="53"/>
      <c r="AA63" s="6">
        <f t="shared" si="18"/>
        <v>0</v>
      </c>
      <c r="AB63" s="6">
        <f t="shared" si="19"/>
        <v>0</v>
      </c>
      <c r="AC63" s="14"/>
      <c r="AD63" s="6">
        <f t="shared" si="20"/>
        <v>0</v>
      </c>
      <c r="AE63" s="6">
        <f t="shared" si="21"/>
        <v>0</v>
      </c>
      <c r="AF63" s="14"/>
      <c r="AG63" s="6">
        <f t="shared" si="22"/>
        <v>0</v>
      </c>
      <c r="AH63" s="6">
        <f t="shared" si="23"/>
        <v>0</v>
      </c>
      <c r="AI63" s="6">
        <f t="shared" si="24"/>
        <v>0</v>
      </c>
      <c r="AJ63" s="6">
        <f t="shared" si="25"/>
        <v>0</v>
      </c>
      <c r="AK63" s="6">
        <f t="shared" si="26"/>
        <v>0</v>
      </c>
      <c r="AL63" s="6">
        <f t="shared" si="27"/>
        <v>0</v>
      </c>
      <c r="AM63" s="43">
        <f t="shared" si="28"/>
        <v>0</v>
      </c>
      <c r="AN63" s="6">
        <f t="shared" si="15"/>
        <v>0</v>
      </c>
    </row>
    <row r="64" spans="1:42" ht="14.25" customHeight="1" x14ac:dyDescent="0.25">
      <c r="A64" s="35"/>
      <c r="AN64" s="22"/>
    </row>
    <row r="65" spans="1:42" ht="14.25" customHeight="1" x14ac:dyDescent="0.2">
      <c r="AN65" s="54">
        <f>SUM(AN2:AN63)</f>
        <v>0</v>
      </c>
      <c r="AO65" s="55" t="s">
        <v>37</v>
      </c>
      <c r="AP65" s="22"/>
    </row>
    <row r="66" spans="1:42" ht="15.75" x14ac:dyDescent="0.25">
      <c r="A66" s="31" t="s">
        <v>38</v>
      </c>
      <c r="B66" s="31"/>
      <c r="C66" s="31"/>
      <c r="D66" s="31"/>
      <c r="E66" s="31"/>
      <c r="F66" s="31"/>
      <c r="G66" s="31"/>
      <c r="H66" s="31"/>
      <c r="I66" s="31"/>
      <c r="J66" s="31"/>
      <c r="K66" s="31"/>
      <c r="L66" s="31"/>
      <c r="M66" s="31"/>
      <c r="N66" s="31"/>
      <c r="O66" s="31"/>
      <c r="P66" s="31"/>
      <c r="Q66" s="31"/>
      <c r="R66" s="31"/>
      <c r="S66" s="31"/>
      <c r="T66" s="31" t="s">
        <v>38</v>
      </c>
      <c r="U66" s="31"/>
      <c r="V66" s="31"/>
      <c r="W66" s="31"/>
      <c r="X66" s="31"/>
      <c r="Y66" s="31"/>
      <c r="Z66" s="31"/>
      <c r="AA66" s="31"/>
      <c r="AB66" s="31"/>
      <c r="AC66" s="31"/>
      <c r="AD66" s="31"/>
      <c r="AE66" s="31"/>
      <c r="AF66" s="31"/>
      <c r="AG66" s="31"/>
      <c r="AH66" s="31"/>
      <c r="AI66" s="31"/>
      <c r="AJ66" s="31"/>
      <c r="AK66" s="31"/>
      <c r="AL66" s="31"/>
      <c r="AM66" s="18"/>
    </row>
    <row r="67" spans="1:42" ht="15" x14ac:dyDescent="0.25">
      <c r="A67" s="32" t="s">
        <v>39</v>
      </c>
      <c r="B67" s="32"/>
      <c r="C67" s="32"/>
      <c r="D67" s="32"/>
      <c r="E67" s="32"/>
      <c r="F67" s="32"/>
      <c r="G67" s="32"/>
      <c r="H67" s="32"/>
      <c r="I67" s="32"/>
      <c r="J67" s="32"/>
      <c r="K67" s="32"/>
      <c r="L67" s="32"/>
      <c r="M67" s="32"/>
      <c r="N67" s="32"/>
      <c r="O67" s="32"/>
      <c r="P67" s="32"/>
      <c r="Q67" s="32"/>
      <c r="R67" s="32"/>
      <c r="S67" s="32"/>
      <c r="T67" s="32" t="s">
        <v>39</v>
      </c>
      <c r="U67" s="32"/>
      <c r="V67" s="32"/>
      <c r="W67" s="32"/>
      <c r="X67" s="32"/>
      <c r="Y67" s="32"/>
      <c r="Z67" s="32"/>
      <c r="AA67" s="32"/>
      <c r="AB67" s="32"/>
      <c r="AC67" s="32"/>
      <c r="AD67" s="32"/>
      <c r="AE67" s="32"/>
      <c r="AF67" s="32"/>
      <c r="AG67" s="32"/>
      <c r="AH67" s="32"/>
      <c r="AI67" s="32"/>
      <c r="AJ67" s="32"/>
      <c r="AK67" s="32"/>
      <c r="AL67" s="32"/>
      <c r="AM67" s="18"/>
    </row>
    <row r="68" spans="1:42" ht="14.25" customHeight="1" x14ac:dyDescent="0.2"/>
    <row r="69" spans="1:42" ht="14.25" customHeight="1" x14ac:dyDescent="0.2"/>
    <row r="70" spans="1:42" ht="14.25" customHeight="1" x14ac:dyDescent="0.2"/>
    <row r="71" spans="1:42" ht="14.25" customHeight="1" x14ac:dyDescent="0.2"/>
    <row r="72" spans="1:42" ht="14.25" customHeight="1" x14ac:dyDescent="0.2"/>
    <row r="73" spans="1:42" ht="14.25" customHeight="1" x14ac:dyDescent="0.2"/>
    <row r="74" spans="1:42" ht="14.25" customHeight="1" x14ac:dyDescent="0.2"/>
    <row r="75" spans="1:42" ht="14.25" customHeight="1" x14ac:dyDescent="0.2"/>
    <row r="76" spans="1:42" ht="14.25" customHeight="1" x14ac:dyDescent="0.2"/>
    <row r="77" spans="1:42" ht="14.25" customHeight="1" x14ac:dyDescent="0.2"/>
    <row r="78" spans="1:42" ht="14.25" customHeight="1" x14ac:dyDescent="0.2"/>
    <row r="79" spans="1:42" ht="14.25" customHeight="1" x14ac:dyDescent="0.2"/>
    <row r="80" spans="1:42"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sheetData>
  <sheetProtection selectLockedCells="1"/>
  <mergeCells count="4">
    <mergeCell ref="A66:S66"/>
    <mergeCell ref="T66:AL66"/>
    <mergeCell ref="A67:S67"/>
    <mergeCell ref="T67:AL67"/>
  </mergeCells>
  <phoneticPr fontId="8" type="noConversion"/>
  <pageMargins left="0.7" right="0.7" top="0.75" bottom="0.75" header="0.3" footer="0.3"/>
  <pageSetup orientation="portrait" horizontalDpi="90" verticalDpi="9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dlc_DocId xmlns="dce0646e-66c3-4c0c-93b0-1fa019f3f905">VDT5VWPEUQAP-2008298348-15</_dlc_DocId>
    <_dlc_DocIdUrl xmlns="dce0646e-66c3-4c0c-93b0-1fa019f3f905">
      <Url>https://dvagov.sharepoint.com/sites/VACOOALC/SAC/AS5/_layouts/15/DocIdRedir.aspx?ID=VDT5VWPEUQAP-2008298348-15</Url>
      <Description>VDT5VWPEUQAP-2008298348-15</Description>
    </_dlc_DocIdUrl>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F58CE9A24D31F046A1DF30A21A1BFFF6" ma:contentTypeVersion="15" ma:contentTypeDescription="Create a new document." ma:contentTypeScope="" ma:versionID="42d880da099f423b9d193e21c7f221a2">
  <xsd:schema xmlns:xsd="http://www.w3.org/2001/XMLSchema" xmlns:xs="http://www.w3.org/2001/XMLSchema" xmlns:p="http://schemas.microsoft.com/office/2006/metadata/properties" xmlns:ns3="8373e6a9-f6e0-4a83-b1b2-99e1978e3e02" xmlns:ns4="dce0646e-66c3-4c0c-93b0-1fa019f3f905" targetNamespace="http://schemas.microsoft.com/office/2006/metadata/properties" ma:root="true" ma:fieldsID="2ca4267ea9bd786344a6ced315dc5487" ns3:_="" ns4:_="">
    <xsd:import namespace="8373e6a9-f6e0-4a83-b1b2-99e1978e3e02"/>
    <xsd:import namespace="dce0646e-66c3-4c0c-93b0-1fa019f3f905"/>
    <xsd:element name="properties">
      <xsd:complexType>
        <xsd:sequence>
          <xsd:element name="documentManagement">
            <xsd:complexType>
              <xsd:all>
                <xsd:element ref="ns3:MediaServiceMetadata" minOccurs="0"/>
                <xsd:element ref="ns3:MediaServiceFastMetadata" minOccurs="0"/>
                <xsd:element ref="ns4:_dlc_DocId" minOccurs="0"/>
                <xsd:element ref="ns4:_dlc_DocIdUrl" minOccurs="0"/>
                <xsd:element ref="ns4:_dlc_DocIdPersistId" minOccurs="0"/>
                <xsd:element ref="ns3:MediaServiceObjectDetectorVersions" minOccurs="0"/>
                <xsd:element ref="ns4:SharedWithUsers" minOccurs="0"/>
                <xsd:element ref="ns4: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373e6a9-f6e0-4a83-b1b2-99e1978e3e02" elementFormDefault="qualified">
    <xsd:import namespace="http://schemas.microsoft.com/office/2006/documentManagement/types"/>
    <xsd:import namespace="http://schemas.microsoft.com/office/infopath/2007/PartnerControls"/>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e0646e-66c3-4c0c-93b0-1fa019f3f905" elementFormDefault="qualified">
    <xsd:import namespace="http://schemas.microsoft.com/office/2006/documentManagement/types"/>
    <xsd:import namespace="http://schemas.microsoft.com/office/infopath/2007/PartnerControls"/>
    <xsd:element name="_dlc_DocId" ma:index="11" nillable="true" ma:displayName="Document ID Value" ma:description="The value of the document ID assigned to this item." ma:indexed="true" ma:internalName="_dlc_DocId" ma:readOnly="true">
      <xsd:simpleType>
        <xsd:restriction base="dms:Text"/>
      </xsd:simpleType>
    </xsd:element>
    <xsd:element name="_dlc_DocIdUrl" ma:index="12"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3" nillable="true" ma:displayName="Persist ID" ma:description="Keep ID on add." ma:hidden="true" ma:internalName="_dlc_DocIdPersistId" ma:readOnly="true">
      <xsd:simpleType>
        <xsd:restriction base="dms:Boolean"/>
      </xsd:simpleType>
    </xsd:element>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ma:index="8" ma:displayName="Author"/>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65277DBD-C59A-4959-A7FD-36FD0A30E7BF}">
  <ds:schemaRefs>
    <ds:schemaRef ds:uri="http://schemas.microsoft.com/sharepoint/v3/contenttype/forms"/>
  </ds:schemaRefs>
</ds:datastoreItem>
</file>

<file path=customXml/itemProps2.xml><?xml version="1.0" encoding="utf-8"?>
<ds:datastoreItem xmlns:ds="http://schemas.openxmlformats.org/officeDocument/2006/customXml" ds:itemID="{D40BEBFC-F101-4422-982D-A730CCB79401}">
  <ds:schemaRefs>
    <ds:schemaRef ds:uri="http://schemas.microsoft.com/office/2006/metadata/properties"/>
    <ds:schemaRef ds:uri="http://schemas.microsoft.com/office/infopath/2007/PartnerControls"/>
    <ds:schemaRef ds:uri="dce0646e-66c3-4c0c-93b0-1fa019f3f905"/>
  </ds:schemaRefs>
</ds:datastoreItem>
</file>

<file path=customXml/itemProps3.xml><?xml version="1.0" encoding="utf-8"?>
<ds:datastoreItem xmlns:ds="http://schemas.openxmlformats.org/officeDocument/2006/customXml" ds:itemID="{AA336965-1C9F-4D30-827B-2F1C44ED76B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373e6a9-f6e0-4a83-b1b2-99e1978e3e02"/>
    <ds:schemaRef ds:uri="dce0646e-66c3-4c0c-93b0-1fa019f3f905"/>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8AC7BB16-E3AC-4A83-8AAC-A56B8181CD3D}">
  <ds:schemaRefs>
    <ds:schemaRef ds:uri="http://schemas.microsoft.com/sharepoint/events"/>
  </ds:schemaRefs>
</ds:datastoreItem>
</file>

<file path=docMetadata/LabelInfo.xml><?xml version="1.0" encoding="utf-8"?>
<clbl:labelList xmlns:clbl="http://schemas.microsoft.com/office/2020/mipLabelMetadata">
  <clbl:label id="{40f5b659-45e0-406d-ada9-08e0b284cfc4}" enabled="1" method="Standard" siteId="{e95f1b23-abaf-45ee-821d-b7ab251ab3bf}"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Department of Veterans Affairs</dc:creator>
  <cp:keywords/>
  <dc:description/>
  <cp:lastModifiedBy>Andrews, Michael D. (OALC SAC-F AS3)</cp:lastModifiedBy>
  <cp:revision/>
  <dcterms:created xsi:type="dcterms:W3CDTF">2022-02-01T20:47:35Z</dcterms:created>
  <dcterms:modified xsi:type="dcterms:W3CDTF">2026-03-11T20:19:42Z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0x010100F58CE9A24D31F046A1DF30A21A1BFFF6</vt:lpwstr>
  </property>
  <property fmtid="{D5CDD505-2E9C-101B-9397-08002B2CF9AE}" pid="3" name="_dlc_DocIdItemGuid">
    <vt:lpwstr>08916ee6-a6e9-4b47-9419-a1d2355bfd4a</vt:lpwstr>
  </property>
</Properties>
</file>