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https://armyeitaas.sharepoint-mil.us/teams/ACC-DTA-PII-S3CoECollaborationTeam/AILS Working IPT/"/>
    </mc:Choice>
  </mc:AlternateContent>
  <xr:revisionPtr revIDLastSave="36" documentId="121_{BD4ADE4A-5ABB-45BC-9426-164186A3ACE3}" xr6:coauthVersionLast="47" xr6:coauthVersionMax="47" xr10:uidLastSave="{56F215F3-7EC1-43E3-A587-338AD20258EA}"/>
  <bookViews>
    <workbookView xWindow="-120" yWindow="-90" windowWidth="29040" windowHeight="15690" tabRatio="835" xr2:uid="{00000000-000D-0000-FFFF-FFFF00000000}"/>
  </bookViews>
  <sheets>
    <sheet name="INSTRUCTIONS" sheetId="35" r:id="rId1"/>
    <sheet name="Minimum Qualifications" sheetId="25" r:id="rId2"/>
    <sheet name="Totals" sheetId="8" r:id="rId3"/>
    <sheet name="Ordering Period 1" sheetId="1" r:id="rId4"/>
    <sheet name="Ordering Period 2" sheetId="46" r:id="rId5"/>
    <sheet name="Ordering Period 3" sheetId="47" r:id="rId6"/>
    <sheet name="Ordering Period 4" sheetId="48" r:id="rId7"/>
    <sheet name="Ordering Period 5" sheetId="49" r:id="rId8"/>
    <sheet name="Escalation" sheetId="13" r:id="rId9"/>
    <sheet name="DBA Insurance" sheetId="51" r:id="rId10"/>
    <sheet name="Composite Labor Rates" sheetId="7" r:id="rId11"/>
    <sheet name="Prime Ceiling Rates" sheetId="41" r:id="rId12"/>
    <sheet name="Subcontractor Ceiling Rates" sheetId="50" r:id="rId13"/>
    <sheet name="CLINs" sheetId="3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0" i="8" l="1"/>
  <c r="D71" i="49"/>
  <c r="D73" i="49" s="1"/>
  <c r="D69" i="49"/>
  <c r="N45" i="8" s="1"/>
  <c r="D69" i="48"/>
  <c r="D71" i="48" s="1"/>
  <c r="D73" i="48" s="1"/>
  <c r="D66" i="47"/>
  <c r="J45" i="8" s="1"/>
  <c r="D66" i="46"/>
  <c r="H45" i="8" s="1"/>
  <c r="D66" i="1"/>
  <c r="D68" i="1" s="1"/>
  <c r="D70" i="1" s="1"/>
  <c r="O45" i="8" l="1"/>
  <c r="L45" i="8"/>
  <c r="D68" i="47"/>
  <c r="D70" i="47" s="1"/>
  <c r="D68" i="46"/>
  <c r="D70" i="46" s="1"/>
  <c r="F45" i="8"/>
  <c r="L30" i="1" l="1"/>
  <c r="L29" i="1"/>
  <c r="L27" i="1"/>
  <c r="L22" i="1"/>
  <c r="L21" i="1"/>
  <c r="K34" i="1"/>
  <c r="K33" i="1"/>
  <c r="K32" i="1"/>
  <c r="K31" i="1"/>
  <c r="K30" i="1"/>
  <c r="K29" i="1"/>
  <c r="K28" i="1"/>
  <c r="K27" i="1"/>
  <c r="K26" i="1"/>
  <c r="K25" i="1"/>
  <c r="K24" i="1"/>
  <c r="K23" i="1"/>
  <c r="K22" i="1"/>
  <c r="K21" i="1"/>
  <c r="V52" i="50"/>
  <c r="V51" i="50"/>
  <c r="V50" i="50"/>
  <c r="V49" i="50"/>
  <c r="V48" i="50"/>
  <c r="V47" i="50"/>
  <c r="V46" i="50"/>
  <c r="V45" i="50"/>
  <c r="V41" i="50"/>
  <c r="V38" i="50"/>
  <c r="V37" i="50"/>
  <c r="V35" i="50"/>
  <c r="V34" i="50"/>
  <c r="V33" i="50"/>
  <c r="V32" i="50"/>
  <c r="V31" i="50"/>
  <c r="V30" i="50"/>
  <c r="V29" i="50"/>
  <c r="V28" i="50"/>
  <c r="V27" i="50"/>
  <c r="V26" i="50"/>
  <c r="V25" i="50"/>
  <c r="V24" i="50"/>
  <c r="V23" i="50"/>
  <c r="V22" i="50"/>
  <c r="V20" i="50"/>
  <c r="V19" i="50"/>
  <c r="V18" i="50"/>
  <c r="V17" i="50"/>
  <c r="V16" i="50"/>
  <c r="V15" i="50"/>
  <c r="V14" i="50"/>
  <c r="V13" i="50"/>
  <c r="V12" i="50"/>
  <c r="V11" i="50"/>
  <c r="V10" i="50"/>
  <c r="V9" i="50"/>
  <c r="V8" i="50"/>
  <c r="V7" i="50"/>
  <c r="V6" i="50"/>
  <c r="R52" i="50"/>
  <c r="R51" i="50"/>
  <c r="R50" i="50"/>
  <c r="R49" i="50"/>
  <c r="R48" i="50"/>
  <c r="R47" i="50"/>
  <c r="R46" i="50"/>
  <c r="R45" i="50"/>
  <c r="R41" i="50"/>
  <c r="R38" i="50"/>
  <c r="R37" i="50"/>
  <c r="R35" i="50"/>
  <c r="R34" i="50"/>
  <c r="R33" i="50"/>
  <c r="R32" i="50"/>
  <c r="R31" i="50"/>
  <c r="R30" i="50"/>
  <c r="R29" i="50"/>
  <c r="R28" i="50"/>
  <c r="R27" i="50"/>
  <c r="R26" i="50"/>
  <c r="R25" i="50"/>
  <c r="R24" i="50"/>
  <c r="R23" i="50"/>
  <c r="R22" i="50"/>
  <c r="R20" i="50"/>
  <c r="R19" i="50"/>
  <c r="R18" i="50"/>
  <c r="R17" i="50"/>
  <c r="R16" i="50"/>
  <c r="R15" i="50"/>
  <c r="R14" i="50"/>
  <c r="R13" i="50"/>
  <c r="R12" i="50"/>
  <c r="R11" i="50"/>
  <c r="R10" i="50"/>
  <c r="R9" i="50"/>
  <c r="R8" i="50"/>
  <c r="R7" i="50"/>
  <c r="R6" i="50"/>
  <c r="N44" i="50"/>
  <c r="N43" i="50"/>
  <c r="N42" i="50"/>
  <c r="N41" i="50"/>
  <c r="N40" i="50"/>
  <c r="N39" i="50"/>
  <c r="N38" i="50"/>
  <c r="N37" i="50"/>
  <c r="N35" i="50"/>
  <c r="N34" i="50"/>
  <c r="N33" i="50"/>
  <c r="N32" i="50"/>
  <c r="N31" i="50"/>
  <c r="N30" i="50"/>
  <c r="N29" i="50"/>
  <c r="N28" i="50"/>
  <c r="N27" i="50"/>
  <c r="N26" i="50"/>
  <c r="N25" i="50"/>
  <c r="N24" i="50"/>
  <c r="N23" i="50"/>
  <c r="N22" i="50"/>
  <c r="N20" i="50"/>
  <c r="N19" i="50"/>
  <c r="N18" i="50"/>
  <c r="N17" i="50"/>
  <c r="N16" i="50"/>
  <c r="N15" i="50"/>
  <c r="N14" i="50"/>
  <c r="N13" i="50"/>
  <c r="N12" i="50"/>
  <c r="N11" i="50"/>
  <c r="N10" i="50"/>
  <c r="N9" i="50"/>
  <c r="N8" i="50"/>
  <c r="N7" i="50"/>
  <c r="N6" i="50"/>
  <c r="P52" i="50"/>
  <c r="L52" i="50"/>
  <c r="H52" i="50"/>
  <c r="D52" i="50"/>
  <c r="C52" i="50"/>
  <c r="B52" i="50"/>
  <c r="P51" i="50"/>
  <c r="L51" i="50"/>
  <c r="H51" i="50"/>
  <c r="D51" i="50"/>
  <c r="C51" i="50"/>
  <c r="B51" i="50"/>
  <c r="P50" i="50"/>
  <c r="L50" i="50"/>
  <c r="H50" i="50"/>
  <c r="D50" i="50"/>
  <c r="C50" i="50"/>
  <c r="B50" i="50"/>
  <c r="P49" i="50"/>
  <c r="L49" i="50"/>
  <c r="H49" i="50"/>
  <c r="D49" i="50"/>
  <c r="C49" i="50"/>
  <c r="B49" i="50"/>
  <c r="P48" i="50"/>
  <c r="L48" i="50"/>
  <c r="H48" i="50"/>
  <c r="D48" i="50"/>
  <c r="C48" i="50"/>
  <c r="B48" i="50"/>
  <c r="P47" i="50"/>
  <c r="L47" i="50"/>
  <c r="H47" i="50"/>
  <c r="D47" i="50"/>
  <c r="C47" i="50"/>
  <c r="B47" i="50"/>
  <c r="P46" i="50"/>
  <c r="L46" i="50"/>
  <c r="H46" i="50"/>
  <c r="D46" i="50"/>
  <c r="C46" i="50"/>
  <c r="B46" i="50"/>
  <c r="P45" i="50"/>
  <c r="L45" i="50"/>
  <c r="H45" i="50"/>
  <c r="D45" i="50"/>
  <c r="C45" i="50"/>
  <c r="B45" i="50"/>
  <c r="X44" i="50"/>
  <c r="T44" i="50"/>
  <c r="D44" i="50"/>
  <c r="C44" i="50"/>
  <c r="B44" i="50"/>
  <c r="X43" i="50"/>
  <c r="T43" i="50"/>
  <c r="D43" i="50"/>
  <c r="C43" i="50"/>
  <c r="B43" i="50"/>
  <c r="X42" i="50"/>
  <c r="T42" i="50"/>
  <c r="D42" i="50"/>
  <c r="C42" i="50"/>
  <c r="B42" i="50"/>
  <c r="D41" i="50"/>
  <c r="C41" i="50"/>
  <c r="B41" i="50"/>
  <c r="X40" i="50"/>
  <c r="T40" i="50"/>
  <c r="D40" i="50"/>
  <c r="C40" i="50"/>
  <c r="B40" i="50"/>
  <c r="X39" i="50"/>
  <c r="T39" i="50"/>
  <c r="D39" i="50"/>
  <c r="C39" i="50"/>
  <c r="B39" i="50"/>
  <c r="D38" i="50"/>
  <c r="C38" i="50"/>
  <c r="B38" i="50"/>
  <c r="D37" i="50"/>
  <c r="C37" i="50"/>
  <c r="B37" i="50"/>
  <c r="B27" i="50"/>
  <c r="D20" i="50"/>
  <c r="C20" i="50"/>
  <c r="C35" i="50" s="1"/>
  <c r="B20" i="50"/>
  <c r="B35" i="50" s="1"/>
  <c r="D19" i="50"/>
  <c r="C19" i="50"/>
  <c r="C34" i="50" s="1"/>
  <c r="B19" i="50"/>
  <c r="B34" i="50" s="1"/>
  <c r="D18" i="50"/>
  <c r="C18" i="50"/>
  <c r="C33" i="50" s="1"/>
  <c r="B18" i="50"/>
  <c r="B33" i="50" s="1"/>
  <c r="D17" i="50"/>
  <c r="C17" i="50"/>
  <c r="C32" i="50" s="1"/>
  <c r="B17" i="50"/>
  <c r="B32" i="50" s="1"/>
  <c r="D16" i="50"/>
  <c r="C16" i="50"/>
  <c r="C31" i="50" s="1"/>
  <c r="B16" i="50"/>
  <c r="B31" i="50" s="1"/>
  <c r="D15" i="50"/>
  <c r="C15" i="50"/>
  <c r="C30" i="50" s="1"/>
  <c r="B15" i="50"/>
  <c r="B30" i="50" s="1"/>
  <c r="D14" i="50"/>
  <c r="C14" i="50"/>
  <c r="C29" i="50" s="1"/>
  <c r="B14" i="50"/>
  <c r="B29" i="50" s="1"/>
  <c r="D13" i="50"/>
  <c r="C13" i="50"/>
  <c r="C28" i="50" s="1"/>
  <c r="B13" i="50"/>
  <c r="B28" i="50" s="1"/>
  <c r="D12" i="50"/>
  <c r="C12" i="50"/>
  <c r="C27" i="50" s="1"/>
  <c r="B12" i="50"/>
  <c r="D11" i="50"/>
  <c r="C11" i="50"/>
  <c r="C26" i="50" s="1"/>
  <c r="B11" i="50"/>
  <c r="B26" i="50" s="1"/>
  <c r="D10" i="50"/>
  <c r="C10" i="50"/>
  <c r="C25" i="50" s="1"/>
  <c r="B10" i="50"/>
  <c r="B25" i="50" s="1"/>
  <c r="D9" i="50"/>
  <c r="C9" i="50"/>
  <c r="C24" i="50" s="1"/>
  <c r="B9" i="50"/>
  <c r="B24" i="50" s="1"/>
  <c r="D8" i="50"/>
  <c r="C8" i="50"/>
  <c r="C23" i="50" s="1"/>
  <c r="B8" i="50"/>
  <c r="B23" i="50" s="1"/>
  <c r="D7" i="50"/>
  <c r="C7" i="50"/>
  <c r="C22" i="50" s="1"/>
  <c r="B7" i="50"/>
  <c r="B22" i="50" s="1"/>
  <c r="D6" i="50"/>
  <c r="C6" i="50"/>
  <c r="B6" i="50"/>
  <c r="X39" i="41"/>
  <c r="X40" i="41"/>
  <c r="X42" i="41"/>
  <c r="X43" i="41"/>
  <c r="X44" i="41"/>
  <c r="T39" i="41"/>
  <c r="T40" i="41"/>
  <c r="T42" i="41"/>
  <c r="T43" i="41"/>
  <c r="T44" i="41"/>
  <c r="D52" i="41"/>
  <c r="C52" i="41"/>
  <c r="B52" i="41"/>
  <c r="D51" i="41"/>
  <c r="C51" i="41"/>
  <c r="B51" i="41"/>
  <c r="D50" i="41"/>
  <c r="C50" i="41"/>
  <c r="B50" i="41"/>
  <c r="D49" i="41"/>
  <c r="C49" i="41"/>
  <c r="B49" i="41"/>
  <c r="D48" i="41"/>
  <c r="C48" i="41"/>
  <c r="B48" i="41"/>
  <c r="D47" i="41"/>
  <c r="C47" i="41"/>
  <c r="B47" i="41"/>
  <c r="D46" i="41"/>
  <c r="C46" i="41"/>
  <c r="B46" i="41"/>
  <c r="D45" i="41"/>
  <c r="C45" i="41"/>
  <c r="B45" i="41"/>
  <c r="D44" i="41"/>
  <c r="C44" i="41"/>
  <c r="B44" i="41"/>
  <c r="D43" i="41"/>
  <c r="C43" i="41"/>
  <c r="B43" i="41"/>
  <c r="D42" i="41"/>
  <c r="C42" i="41"/>
  <c r="B42" i="41"/>
  <c r="D41" i="41"/>
  <c r="C41" i="41"/>
  <c r="B41" i="41"/>
  <c r="D40" i="41"/>
  <c r="C40" i="41"/>
  <c r="B40" i="41"/>
  <c r="D39" i="41"/>
  <c r="C39" i="41"/>
  <c r="B39" i="41"/>
  <c r="D38" i="41"/>
  <c r="C38" i="41"/>
  <c r="B38" i="41"/>
  <c r="D37" i="41"/>
  <c r="C37" i="41"/>
  <c r="B37" i="41"/>
  <c r="B30" i="41"/>
  <c r="B22" i="41"/>
  <c r="D20" i="41"/>
  <c r="C20" i="41"/>
  <c r="C35" i="41" s="1"/>
  <c r="B20" i="41"/>
  <c r="B35" i="41" s="1"/>
  <c r="D19" i="41"/>
  <c r="C19" i="41"/>
  <c r="C34" i="41" s="1"/>
  <c r="B19" i="41"/>
  <c r="B34" i="41" s="1"/>
  <c r="D18" i="41"/>
  <c r="C18" i="41"/>
  <c r="C33" i="41" s="1"/>
  <c r="B18" i="41"/>
  <c r="B33" i="41" s="1"/>
  <c r="D17" i="41"/>
  <c r="C17" i="41"/>
  <c r="C32" i="41" s="1"/>
  <c r="B17" i="41"/>
  <c r="B32" i="41" s="1"/>
  <c r="D16" i="41"/>
  <c r="C16" i="41"/>
  <c r="C31" i="41" s="1"/>
  <c r="B16" i="41"/>
  <c r="B31" i="41" s="1"/>
  <c r="D15" i="41"/>
  <c r="C15" i="41"/>
  <c r="C30" i="41" s="1"/>
  <c r="B15" i="41"/>
  <c r="D14" i="41"/>
  <c r="C14" i="41"/>
  <c r="C29" i="41" s="1"/>
  <c r="B14" i="41"/>
  <c r="B29" i="41" s="1"/>
  <c r="D13" i="41"/>
  <c r="C13" i="41"/>
  <c r="C28" i="41" s="1"/>
  <c r="B13" i="41"/>
  <c r="B28" i="41" s="1"/>
  <c r="D12" i="41"/>
  <c r="C12" i="41"/>
  <c r="C27" i="41" s="1"/>
  <c r="B12" i="41"/>
  <c r="B27" i="41" s="1"/>
  <c r="D11" i="41"/>
  <c r="C11" i="41"/>
  <c r="C26" i="41" s="1"/>
  <c r="B11" i="41"/>
  <c r="B26" i="41" s="1"/>
  <c r="D10" i="41"/>
  <c r="C10" i="41"/>
  <c r="C25" i="41" s="1"/>
  <c r="B10" i="41"/>
  <c r="B25" i="41" s="1"/>
  <c r="D9" i="41"/>
  <c r="C9" i="41"/>
  <c r="C24" i="41" s="1"/>
  <c r="B9" i="41"/>
  <c r="B24" i="41" s="1"/>
  <c r="D8" i="41"/>
  <c r="C8" i="41"/>
  <c r="C23" i="41" s="1"/>
  <c r="B8" i="41"/>
  <c r="B23" i="41" s="1"/>
  <c r="D7" i="41"/>
  <c r="C7" i="41"/>
  <c r="C22" i="41" s="1"/>
  <c r="B7" i="41"/>
  <c r="D6" i="41"/>
  <c r="C6" i="41"/>
  <c r="B6" i="41"/>
  <c r="B38" i="7"/>
  <c r="C38" i="7"/>
  <c r="D38" i="7"/>
  <c r="B39" i="7"/>
  <c r="C39" i="7"/>
  <c r="D39" i="7"/>
  <c r="B40" i="7"/>
  <c r="C40" i="7"/>
  <c r="D40" i="7"/>
  <c r="B41" i="7"/>
  <c r="C41" i="7"/>
  <c r="D41" i="7"/>
  <c r="B42" i="7"/>
  <c r="C42" i="7"/>
  <c r="D42" i="7"/>
  <c r="B43" i="7"/>
  <c r="C43" i="7"/>
  <c r="D43" i="7"/>
  <c r="B44" i="7"/>
  <c r="C44" i="7"/>
  <c r="D44" i="7"/>
  <c r="B45" i="7"/>
  <c r="C45" i="7"/>
  <c r="D45" i="7"/>
  <c r="B46" i="7"/>
  <c r="C46" i="7"/>
  <c r="D46" i="7"/>
  <c r="B47" i="7"/>
  <c r="C47" i="7"/>
  <c r="D47" i="7"/>
  <c r="B48" i="7"/>
  <c r="C48" i="7"/>
  <c r="D48" i="7"/>
  <c r="B49" i="7"/>
  <c r="C49" i="7"/>
  <c r="D49" i="7"/>
  <c r="B50" i="7"/>
  <c r="C50" i="7"/>
  <c r="D50" i="7"/>
  <c r="B51" i="7"/>
  <c r="C51" i="7"/>
  <c r="D51" i="7"/>
  <c r="B52" i="7"/>
  <c r="C52" i="7"/>
  <c r="D52" i="7"/>
  <c r="D37" i="7"/>
  <c r="C37" i="7"/>
  <c r="B37" i="7"/>
  <c r="B24" i="7"/>
  <c r="B26" i="7"/>
  <c r="B32" i="7"/>
  <c r="B19" i="7"/>
  <c r="B34" i="7" s="1"/>
  <c r="C19" i="7"/>
  <c r="C34" i="7" s="1"/>
  <c r="D19" i="7"/>
  <c r="B20" i="7"/>
  <c r="B35" i="7" s="1"/>
  <c r="C20" i="7"/>
  <c r="C35" i="7" s="1"/>
  <c r="D20" i="7"/>
  <c r="B7" i="7"/>
  <c r="C7" i="7"/>
  <c r="D7" i="7"/>
  <c r="B8" i="7"/>
  <c r="B23" i="7" s="1"/>
  <c r="C8" i="7"/>
  <c r="C23" i="7" s="1"/>
  <c r="D8" i="7"/>
  <c r="B9" i="7"/>
  <c r="C9" i="7"/>
  <c r="C24" i="7" s="1"/>
  <c r="D9" i="7"/>
  <c r="B10" i="7"/>
  <c r="B25" i="7" s="1"/>
  <c r="C10" i="7"/>
  <c r="C25" i="7" s="1"/>
  <c r="D10" i="7"/>
  <c r="B11" i="7"/>
  <c r="C11" i="7"/>
  <c r="C26" i="7" s="1"/>
  <c r="D11" i="7"/>
  <c r="B12" i="7"/>
  <c r="B27" i="7" s="1"/>
  <c r="C12" i="7"/>
  <c r="C27" i="7" s="1"/>
  <c r="D12" i="7"/>
  <c r="B13" i="7"/>
  <c r="B28" i="7" s="1"/>
  <c r="C13" i="7"/>
  <c r="C28" i="7" s="1"/>
  <c r="D13" i="7"/>
  <c r="B14" i="7"/>
  <c r="B29" i="7" s="1"/>
  <c r="C14" i="7"/>
  <c r="C29" i="7" s="1"/>
  <c r="D14" i="7"/>
  <c r="B15" i="7"/>
  <c r="B30" i="7" s="1"/>
  <c r="C15" i="7"/>
  <c r="C30" i="7" s="1"/>
  <c r="D15" i="7"/>
  <c r="B16" i="7"/>
  <c r="B31" i="7" s="1"/>
  <c r="C16" i="7"/>
  <c r="C31" i="7" s="1"/>
  <c r="D16" i="7"/>
  <c r="B17" i="7"/>
  <c r="C17" i="7"/>
  <c r="C32" i="7" s="1"/>
  <c r="D17" i="7"/>
  <c r="B18" i="7"/>
  <c r="B33" i="7" s="1"/>
  <c r="C18" i="7"/>
  <c r="C33" i="7" s="1"/>
  <c r="D18" i="7"/>
  <c r="E3" i="25"/>
  <c r="E4" i="25"/>
  <c r="E5" i="25"/>
  <c r="E6" i="25"/>
  <c r="E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C3" i="25"/>
  <c r="C4" i="25"/>
  <c r="C5" i="25"/>
  <c r="C6" i="25"/>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D62" i="49"/>
  <c r="D64" i="49" s="1"/>
  <c r="N43" i="8" s="1"/>
  <c r="O43" i="8" s="1"/>
  <c r="C56" i="49"/>
  <c r="C54" i="49"/>
  <c r="C58" i="49" s="1"/>
  <c r="F48" i="49"/>
  <c r="F47" i="49"/>
  <c r="Y46" i="49"/>
  <c r="G46" i="49"/>
  <c r="H46" i="49" s="1"/>
  <c r="Y45" i="49"/>
  <c r="Z45" i="49" s="1"/>
  <c r="AA45" i="49" s="1"/>
  <c r="AD45" i="49" s="1"/>
  <c r="AG45" i="49" s="1"/>
  <c r="G45" i="49"/>
  <c r="Y44" i="49"/>
  <c r="Z44" i="49" s="1"/>
  <c r="AA44" i="49" s="1"/>
  <c r="AC44" i="49" s="1"/>
  <c r="G44" i="49"/>
  <c r="H44" i="49" s="1"/>
  <c r="Y43" i="49"/>
  <c r="G43" i="49"/>
  <c r="Y42" i="49"/>
  <c r="G42" i="49"/>
  <c r="H42" i="49" s="1"/>
  <c r="Z41" i="49"/>
  <c r="Y41" i="49"/>
  <c r="G41" i="49"/>
  <c r="H41" i="49" s="1"/>
  <c r="Y40" i="49"/>
  <c r="G40" i="49"/>
  <c r="H40" i="49" s="1"/>
  <c r="Y39" i="49"/>
  <c r="Z39" i="49" s="1"/>
  <c r="G39" i="49"/>
  <c r="H39" i="49" s="1"/>
  <c r="Y38" i="49"/>
  <c r="G38" i="49"/>
  <c r="H38" i="49" s="1"/>
  <c r="Y37" i="49"/>
  <c r="G37" i="49"/>
  <c r="Y36" i="49"/>
  <c r="Z36" i="49" s="1"/>
  <c r="G36" i="49"/>
  <c r="H36" i="49" s="1"/>
  <c r="Y34" i="49"/>
  <c r="G34" i="49"/>
  <c r="Y33" i="49"/>
  <c r="G33" i="49"/>
  <c r="H33" i="49" s="1"/>
  <c r="Y32" i="49"/>
  <c r="Z32" i="49" s="1"/>
  <c r="G32" i="49"/>
  <c r="H32" i="49" s="1"/>
  <c r="Z31" i="49"/>
  <c r="Y31" i="49"/>
  <c r="G31" i="49"/>
  <c r="H31" i="49" s="1"/>
  <c r="Y30" i="49"/>
  <c r="G30" i="49"/>
  <c r="H30" i="49" s="1"/>
  <c r="Y29" i="49"/>
  <c r="Z29" i="49" s="1"/>
  <c r="G29" i="49"/>
  <c r="Y28" i="49"/>
  <c r="Z28" i="49" s="1"/>
  <c r="G28" i="49"/>
  <c r="Y27" i="49"/>
  <c r="G27" i="49"/>
  <c r="H27" i="49" s="1"/>
  <c r="Y26" i="49"/>
  <c r="Z26" i="49" s="1"/>
  <c r="AA26" i="49" s="1"/>
  <c r="AD26" i="49" s="1"/>
  <c r="AG26" i="49" s="1"/>
  <c r="G26" i="49"/>
  <c r="Y25" i="49"/>
  <c r="G25" i="49"/>
  <c r="H25" i="49" s="1"/>
  <c r="Z24" i="49"/>
  <c r="Y24" i="49"/>
  <c r="G24" i="49"/>
  <c r="H24" i="49" s="1"/>
  <c r="Y23" i="49"/>
  <c r="Z23" i="49" s="1"/>
  <c r="G23" i="49"/>
  <c r="H23" i="49" s="1"/>
  <c r="Z22" i="49"/>
  <c r="AA22" i="49" s="1"/>
  <c r="Y22" i="49"/>
  <c r="G22" i="49"/>
  <c r="H22" i="49" s="1"/>
  <c r="Y21" i="49"/>
  <c r="Z21" i="49" s="1"/>
  <c r="G21" i="49"/>
  <c r="H21" i="49" s="1"/>
  <c r="Z19" i="49"/>
  <c r="Y19" i="49"/>
  <c r="G19" i="49"/>
  <c r="H19" i="49" s="1"/>
  <c r="Y18" i="49"/>
  <c r="G18" i="49"/>
  <c r="H18" i="49" s="1"/>
  <c r="Y17" i="49"/>
  <c r="Z17" i="49" s="1"/>
  <c r="AA17" i="49" s="1"/>
  <c r="AD17" i="49" s="1"/>
  <c r="AG17" i="49" s="1"/>
  <c r="G17" i="49"/>
  <c r="Y16" i="49"/>
  <c r="G16" i="49"/>
  <c r="H16" i="49" s="1"/>
  <c r="Y15" i="49"/>
  <c r="G15" i="49"/>
  <c r="H15" i="49" s="1"/>
  <c r="Y14" i="49"/>
  <c r="G14" i="49"/>
  <c r="H14" i="49" s="1"/>
  <c r="Y13" i="49"/>
  <c r="G13" i="49"/>
  <c r="H13" i="49" s="1"/>
  <c r="Z12" i="49"/>
  <c r="AA12" i="49" s="1"/>
  <c r="AD12" i="49" s="1"/>
  <c r="AG12" i="49" s="1"/>
  <c r="Y12" i="49"/>
  <c r="G12" i="49"/>
  <c r="H12" i="49" s="1"/>
  <c r="Y11" i="49"/>
  <c r="Z11" i="49" s="1"/>
  <c r="AA11" i="49" s="1"/>
  <c r="AC11" i="49" s="1"/>
  <c r="G11" i="49"/>
  <c r="Y10" i="49"/>
  <c r="Z10" i="49" s="1"/>
  <c r="G10" i="49"/>
  <c r="Y9" i="49"/>
  <c r="Z9" i="49" s="1"/>
  <c r="G9" i="49"/>
  <c r="H9" i="49" s="1"/>
  <c r="Y8" i="49"/>
  <c r="G8" i="49"/>
  <c r="H8" i="49" s="1"/>
  <c r="Y7" i="49"/>
  <c r="G7" i="49"/>
  <c r="H7" i="49" s="1"/>
  <c r="Y6" i="49"/>
  <c r="G6" i="49"/>
  <c r="H6" i="49" s="1"/>
  <c r="Y5" i="49"/>
  <c r="Z5" i="49" s="1"/>
  <c r="G5" i="49"/>
  <c r="H5" i="49" s="1"/>
  <c r="M46" i="48"/>
  <c r="M45" i="48"/>
  <c r="M44" i="48"/>
  <c r="M43" i="48"/>
  <c r="M42" i="48"/>
  <c r="M41" i="48"/>
  <c r="M40" i="48"/>
  <c r="N40" i="48" s="1"/>
  <c r="M39" i="48"/>
  <c r="N39" i="48" s="1"/>
  <c r="D56" i="48"/>
  <c r="C56" i="48"/>
  <c r="C54" i="48"/>
  <c r="C58" i="48" s="1"/>
  <c r="F48" i="48"/>
  <c r="F47" i="48"/>
  <c r="AA46" i="48"/>
  <c r="G46" i="48"/>
  <c r="H46" i="48" s="1"/>
  <c r="AA45" i="48"/>
  <c r="AB45" i="48" s="1"/>
  <c r="G45" i="48"/>
  <c r="H45" i="48" s="1"/>
  <c r="AA44" i="48"/>
  <c r="N44" i="48"/>
  <c r="G44" i="48"/>
  <c r="H44" i="48" s="1"/>
  <c r="AA43" i="48"/>
  <c r="N43" i="48"/>
  <c r="O43" i="48" s="1"/>
  <c r="P43" i="48" s="1"/>
  <c r="G43" i="48"/>
  <c r="H43" i="48" s="1"/>
  <c r="AA42" i="48"/>
  <c r="N42" i="48"/>
  <c r="G42" i="48"/>
  <c r="H42" i="48" s="1"/>
  <c r="AA41" i="48"/>
  <c r="AB41" i="48" s="1"/>
  <c r="G41" i="48"/>
  <c r="H41" i="48" s="1"/>
  <c r="AA40" i="48"/>
  <c r="G40" i="48"/>
  <c r="H40" i="48" s="1"/>
  <c r="AA39" i="48"/>
  <c r="G39" i="48"/>
  <c r="H39" i="48" s="1"/>
  <c r="D62" i="48"/>
  <c r="D64" i="48" s="1"/>
  <c r="L43" i="8" s="1"/>
  <c r="AA38" i="48"/>
  <c r="G38" i="48"/>
  <c r="H38" i="48" s="1"/>
  <c r="AA37" i="48"/>
  <c r="AB37" i="48" s="1"/>
  <c r="G37" i="48"/>
  <c r="H37" i="48" s="1"/>
  <c r="AA36" i="48"/>
  <c r="G36" i="48"/>
  <c r="H36" i="48" s="1"/>
  <c r="H48" i="48" s="1"/>
  <c r="AA34" i="48"/>
  <c r="G34" i="48"/>
  <c r="H34" i="48" s="1"/>
  <c r="AA33" i="48"/>
  <c r="G33" i="48"/>
  <c r="AA32" i="48"/>
  <c r="G32" i="48"/>
  <c r="AA31" i="48"/>
  <c r="AB31" i="48" s="1"/>
  <c r="AC31" i="48" s="1"/>
  <c r="AF31" i="48" s="1"/>
  <c r="AI31" i="48" s="1"/>
  <c r="G31" i="48"/>
  <c r="AA30" i="48"/>
  <c r="AB30" i="48" s="1"/>
  <c r="G30" i="48"/>
  <c r="AA29" i="48"/>
  <c r="AB29" i="48" s="1"/>
  <c r="G29" i="48"/>
  <c r="AA28" i="48"/>
  <c r="AB28" i="48" s="1"/>
  <c r="G28" i="48"/>
  <c r="H28" i="48" s="1"/>
  <c r="AA27" i="48"/>
  <c r="G27" i="48"/>
  <c r="H27" i="48" s="1"/>
  <c r="AA26" i="48"/>
  <c r="G26" i="48"/>
  <c r="H26" i="48" s="1"/>
  <c r="AA25" i="48"/>
  <c r="G25" i="48"/>
  <c r="H25" i="48" s="1"/>
  <c r="AA24" i="48"/>
  <c r="G24" i="48"/>
  <c r="AA23" i="48"/>
  <c r="G23" i="48"/>
  <c r="AA22" i="48"/>
  <c r="AB22" i="48" s="1"/>
  <c r="G22" i="48"/>
  <c r="AA21" i="48"/>
  <c r="AB21" i="48" s="1"/>
  <c r="G21" i="48"/>
  <c r="AA19" i="48"/>
  <c r="AB19" i="48" s="1"/>
  <c r="AC19" i="48" s="1"/>
  <c r="AF19" i="48" s="1"/>
  <c r="AI19" i="48" s="1"/>
  <c r="G19" i="48"/>
  <c r="H19" i="48" s="1"/>
  <c r="AA18" i="48"/>
  <c r="G18" i="48"/>
  <c r="AA17" i="48"/>
  <c r="AB17" i="48" s="1"/>
  <c r="G17" i="48"/>
  <c r="H17" i="48" s="1"/>
  <c r="AA16" i="48"/>
  <c r="G16" i="48"/>
  <c r="H16" i="48" s="1"/>
  <c r="AA15" i="48"/>
  <c r="G15" i="48"/>
  <c r="AA14" i="48"/>
  <c r="AB14" i="48" s="1"/>
  <c r="AC14" i="48" s="1"/>
  <c r="AF14" i="48" s="1"/>
  <c r="AI14" i="48" s="1"/>
  <c r="G14" i="48"/>
  <c r="H14" i="48" s="1"/>
  <c r="AA13" i="48"/>
  <c r="AB13" i="48" s="1"/>
  <c r="G13" i="48"/>
  <c r="AA12" i="48"/>
  <c r="G12" i="48"/>
  <c r="H12" i="48" s="1"/>
  <c r="AA11" i="48"/>
  <c r="AB11" i="48" s="1"/>
  <c r="G11" i="48"/>
  <c r="H11" i="48" s="1"/>
  <c r="AA10" i="48"/>
  <c r="AB10" i="48" s="1"/>
  <c r="G10" i="48"/>
  <c r="H10" i="48" s="1"/>
  <c r="AA9" i="48"/>
  <c r="G9" i="48"/>
  <c r="AA8" i="48"/>
  <c r="AB8" i="48" s="1"/>
  <c r="G8" i="48"/>
  <c r="H8" i="48" s="1"/>
  <c r="AA7" i="48"/>
  <c r="G7" i="48"/>
  <c r="H7" i="48" s="1"/>
  <c r="AA6" i="48"/>
  <c r="G6" i="48"/>
  <c r="H6" i="48" s="1"/>
  <c r="AA5" i="48"/>
  <c r="G5" i="48"/>
  <c r="H5" i="48" s="1"/>
  <c r="D59" i="47"/>
  <c r="D61" i="47" s="1"/>
  <c r="J43" i="8" s="1"/>
  <c r="C53" i="47"/>
  <c r="C51" i="47"/>
  <c r="C55" i="47" s="1"/>
  <c r="F45" i="47"/>
  <c r="F44" i="47"/>
  <c r="Y43" i="47"/>
  <c r="G43" i="47"/>
  <c r="H43" i="47" s="1"/>
  <c r="Z42" i="47"/>
  <c r="AA42" i="47" s="1"/>
  <c r="AD42" i="47" s="1"/>
  <c r="AG42" i="47" s="1"/>
  <c r="Y42" i="47"/>
  <c r="G42" i="47"/>
  <c r="AA41" i="47"/>
  <c r="AC41" i="47" s="1"/>
  <c r="Z41" i="47"/>
  <c r="Y41" i="47"/>
  <c r="G41" i="47"/>
  <c r="H41" i="47" s="1"/>
  <c r="Y40" i="47"/>
  <c r="G40" i="47"/>
  <c r="Z39" i="47"/>
  <c r="Y39" i="47"/>
  <c r="G39" i="47"/>
  <c r="H39" i="47" s="1"/>
  <c r="AA38" i="47"/>
  <c r="AD38" i="47" s="1"/>
  <c r="AG38" i="47" s="1"/>
  <c r="Z38" i="47"/>
  <c r="Y38" i="47"/>
  <c r="AC38" i="47" s="1"/>
  <c r="AF38" i="47" s="1"/>
  <c r="G38" i="47"/>
  <c r="H38" i="47" s="1"/>
  <c r="Y37" i="47"/>
  <c r="G37" i="47"/>
  <c r="H37" i="47" s="1"/>
  <c r="Z36" i="47"/>
  <c r="Y36" i="47"/>
  <c r="AA36" i="47" s="1"/>
  <c r="AD36" i="47" s="1"/>
  <c r="AG36" i="47" s="1"/>
  <c r="G36" i="47"/>
  <c r="H36" i="47" s="1"/>
  <c r="Y34" i="47"/>
  <c r="G34" i="47"/>
  <c r="H34" i="47" s="1"/>
  <c r="AC33" i="47"/>
  <c r="Z33" i="47"/>
  <c r="AA33" i="47" s="1"/>
  <c r="AD33" i="47" s="1"/>
  <c r="AG33" i="47" s="1"/>
  <c r="Y33" i="47"/>
  <c r="G33" i="47"/>
  <c r="AA32" i="47"/>
  <c r="AC32" i="47" s="1"/>
  <c r="Z32" i="47"/>
  <c r="Y32" i="47"/>
  <c r="G32" i="47"/>
  <c r="H32" i="47" s="1"/>
  <c r="Y31" i="47"/>
  <c r="G31" i="47"/>
  <c r="Z30" i="47"/>
  <c r="Y30" i="47"/>
  <c r="G30" i="47"/>
  <c r="H30" i="47" s="1"/>
  <c r="AG29" i="47"/>
  <c r="AA29" i="47"/>
  <c r="AD29" i="47" s="1"/>
  <c r="Z29" i="47"/>
  <c r="Y29" i="47"/>
  <c r="AC29" i="47" s="1"/>
  <c r="AF29" i="47" s="1"/>
  <c r="G29" i="47"/>
  <c r="H29" i="47" s="1"/>
  <c r="Y28" i="47"/>
  <c r="G28" i="47"/>
  <c r="H28" i="47" s="1"/>
  <c r="Z27" i="47"/>
  <c r="Y27" i="47"/>
  <c r="AA27" i="47" s="1"/>
  <c r="AD27" i="47" s="1"/>
  <c r="AG27" i="47" s="1"/>
  <c r="G27" i="47"/>
  <c r="H27" i="47" s="1"/>
  <c r="Y26" i="47"/>
  <c r="G26" i="47"/>
  <c r="H26" i="47" s="1"/>
  <c r="Z25" i="47"/>
  <c r="AA25" i="47" s="1"/>
  <c r="AD25" i="47" s="1"/>
  <c r="AG25" i="47" s="1"/>
  <c r="Y25" i="47"/>
  <c r="G25" i="47"/>
  <c r="AD24" i="47"/>
  <c r="AG24" i="47" s="1"/>
  <c r="AA24" i="47"/>
  <c r="AC24" i="47" s="1"/>
  <c r="Z24" i="47"/>
  <c r="Y24" i="47"/>
  <c r="G24" i="47"/>
  <c r="H24" i="47" s="1"/>
  <c r="Y23" i="47"/>
  <c r="G23" i="47"/>
  <c r="Z22" i="47"/>
  <c r="Y22" i="47"/>
  <c r="G22" i="47"/>
  <c r="H22" i="47" s="1"/>
  <c r="AG21" i="47"/>
  <c r="AE21" i="47"/>
  <c r="AH21" i="47" s="1"/>
  <c r="AA21" i="47"/>
  <c r="AD21" i="47" s="1"/>
  <c r="Z21" i="47"/>
  <c r="Y21" i="47"/>
  <c r="AC21" i="47" s="1"/>
  <c r="AF21" i="47" s="1"/>
  <c r="G21" i="47"/>
  <c r="H21" i="47" s="1"/>
  <c r="Y19" i="47"/>
  <c r="G19" i="47"/>
  <c r="H19" i="47" s="1"/>
  <c r="Z18" i="47"/>
  <c r="Y18" i="47"/>
  <c r="G18" i="47"/>
  <c r="H18" i="47" s="1"/>
  <c r="Y17" i="47"/>
  <c r="G17" i="47"/>
  <c r="H17" i="47" s="1"/>
  <c r="Z16" i="47"/>
  <c r="AA16" i="47" s="1"/>
  <c r="AD16" i="47" s="1"/>
  <c r="AG16" i="47" s="1"/>
  <c r="Y16" i="47"/>
  <c r="G16" i="47"/>
  <c r="Y15" i="47"/>
  <c r="Z15" i="47" s="1"/>
  <c r="G15" i="47"/>
  <c r="H15" i="47" s="1"/>
  <c r="Y14" i="47"/>
  <c r="G14" i="47"/>
  <c r="Z13" i="47"/>
  <c r="Y13" i="47"/>
  <c r="G13" i="47"/>
  <c r="H13" i="47" s="1"/>
  <c r="AG12" i="47"/>
  <c r="AF12" i="47"/>
  <c r="AE12" i="47"/>
  <c r="AH12" i="47" s="1"/>
  <c r="AA12" i="47"/>
  <c r="AD12" i="47" s="1"/>
  <c r="Z12" i="47"/>
  <c r="Y12" i="47"/>
  <c r="AC12" i="47" s="1"/>
  <c r="G12" i="47"/>
  <c r="Z11" i="47"/>
  <c r="AA11" i="47" s="1"/>
  <c r="AD11" i="47" s="1"/>
  <c r="AG11" i="47" s="1"/>
  <c r="Y11" i="47"/>
  <c r="AC11" i="47" s="1"/>
  <c r="G11" i="47"/>
  <c r="H11" i="47" s="1"/>
  <c r="AA10" i="47"/>
  <c r="Z10" i="47"/>
  <c r="Y10" i="47"/>
  <c r="G10" i="47"/>
  <c r="Y9" i="47"/>
  <c r="Z9" i="47" s="1"/>
  <c r="AA9" i="47" s="1"/>
  <c r="AD9" i="47" s="1"/>
  <c r="AG9" i="47" s="1"/>
  <c r="G9" i="47"/>
  <c r="AD8" i="47"/>
  <c r="AG8" i="47" s="1"/>
  <c r="Z8" i="47"/>
  <c r="Y8" i="47"/>
  <c r="AA8" i="47" s="1"/>
  <c r="AC8" i="47" s="1"/>
  <c r="G8" i="47"/>
  <c r="H8" i="47" s="1"/>
  <c r="Y7" i="47"/>
  <c r="G7" i="47"/>
  <c r="H7" i="47" s="1"/>
  <c r="Y6" i="47"/>
  <c r="G6" i="47"/>
  <c r="H6" i="47" s="1"/>
  <c r="Y5" i="47"/>
  <c r="H5" i="47"/>
  <c r="G5" i="47"/>
  <c r="D59" i="46"/>
  <c r="D61" i="46" s="1"/>
  <c r="H43" i="8" s="1"/>
  <c r="C53" i="46"/>
  <c r="C51" i="46"/>
  <c r="F45" i="46"/>
  <c r="F44" i="46"/>
  <c r="Y43" i="46"/>
  <c r="G43" i="46"/>
  <c r="H43" i="46" s="1"/>
  <c r="Y42" i="46"/>
  <c r="G42" i="46"/>
  <c r="Y41" i="46"/>
  <c r="G41" i="46"/>
  <c r="H41" i="46" s="1"/>
  <c r="Y40" i="46"/>
  <c r="G40" i="46"/>
  <c r="H40" i="46" s="1"/>
  <c r="Y39" i="46"/>
  <c r="G39" i="46"/>
  <c r="H39" i="46" s="1"/>
  <c r="Y38" i="46"/>
  <c r="Z38" i="46" s="1"/>
  <c r="AA38" i="46" s="1"/>
  <c r="AD38" i="46" s="1"/>
  <c r="AG38" i="46" s="1"/>
  <c r="G38" i="46"/>
  <c r="Y37" i="46"/>
  <c r="G37" i="46"/>
  <c r="H37" i="46" s="1"/>
  <c r="Y36" i="46"/>
  <c r="G36" i="46"/>
  <c r="H36" i="46" s="1"/>
  <c r="Y34" i="46"/>
  <c r="G34" i="46"/>
  <c r="Y33" i="46"/>
  <c r="G33" i="46"/>
  <c r="H33" i="46" s="1"/>
  <c r="Y32" i="46"/>
  <c r="G32" i="46"/>
  <c r="H32" i="46" s="1"/>
  <c r="Y31" i="46"/>
  <c r="Z31" i="46" s="1"/>
  <c r="G31" i="46"/>
  <c r="Y30" i="46"/>
  <c r="G30" i="46"/>
  <c r="Y29" i="46"/>
  <c r="G29" i="46"/>
  <c r="Y28" i="46"/>
  <c r="G28" i="46"/>
  <c r="H28" i="46" s="1"/>
  <c r="Y27" i="46"/>
  <c r="Z27" i="46" s="1"/>
  <c r="G27" i="46"/>
  <c r="Y26" i="46"/>
  <c r="G26" i="46"/>
  <c r="Y25" i="46"/>
  <c r="G25" i="46"/>
  <c r="H25" i="46" s="1"/>
  <c r="Y24" i="46"/>
  <c r="G24" i="46"/>
  <c r="H24" i="46" s="1"/>
  <c r="Y23" i="46"/>
  <c r="Z23" i="46" s="1"/>
  <c r="G23" i="46"/>
  <c r="Y22" i="46"/>
  <c r="G22" i="46"/>
  <c r="Y21" i="46"/>
  <c r="G21" i="46"/>
  <c r="Y19" i="46"/>
  <c r="Z19" i="46" s="1"/>
  <c r="AA19" i="46" s="1"/>
  <c r="AD19" i="46" s="1"/>
  <c r="AG19" i="46" s="1"/>
  <c r="G19" i="46"/>
  <c r="H19" i="46" s="1"/>
  <c r="Y18" i="46"/>
  <c r="Z18" i="46" s="1"/>
  <c r="G18" i="46"/>
  <c r="Y17" i="46"/>
  <c r="G17" i="46"/>
  <c r="H17" i="46" s="1"/>
  <c r="Y16" i="46"/>
  <c r="G16" i="46"/>
  <c r="H16" i="46" s="1"/>
  <c r="Y15" i="46"/>
  <c r="G15" i="46"/>
  <c r="H15" i="46" s="1"/>
  <c r="Y14" i="46"/>
  <c r="G14" i="46"/>
  <c r="H14" i="46" s="1"/>
  <c r="Y13" i="46"/>
  <c r="G13" i="46"/>
  <c r="Y12" i="46"/>
  <c r="G12" i="46"/>
  <c r="H12" i="46" s="1"/>
  <c r="Y11" i="46"/>
  <c r="G11" i="46"/>
  <c r="H11" i="46" s="1"/>
  <c r="Y10" i="46"/>
  <c r="Z10" i="46" s="1"/>
  <c r="G10" i="46"/>
  <c r="H10" i="46" s="1"/>
  <c r="Y9" i="46"/>
  <c r="Z9" i="46" s="1"/>
  <c r="G9" i="46"/>
  <c r="Y8" i="46"/>
  <c r="G8" i="46"/>
  <c r="Y7" i="46"/>
  <c r="G7" i="46"/>
  <c r="H7" i="46" s="1"/>
  <c r="Y6" i="46"/>
  <c r="Z6" i="46" s="1"/>
  <c r="AA6" i="46" s="1"/>
  <c r="AD6" i="46" s="1"/>
  <c r="AG6" i="46" s="1"/>
  <c r="G6" i="46"/>
  <c r="H6" i="46" s="1"/>
  <c r="Y5" i="46"/>
  <c r="G5" i="46"/>
  <c r="AA24" i="1"/>
  <c r="AA21" i="1"/>
  <c r="AA30" i="1"/>
  <c r="AB30" i="1" s="1"/>
  <c r="AC30" i="1" s="1"/>
  <c r="AF30" i="1" s="1"/>
  <c r="AI30" i="1" s="1"/>
  <c r="AA31" i="1"/>
  <c r="AB31" i="1" s="1"/>
  <c r="AA32" i="1"/>
  <c r="AB32" i="1" s="1"/>
  <c r="AA33" i="1"/>
  <c r="AB33" i="1" s="1"/>
  <c r="D59" i="1"/>
  <c r="D61" i="1" s="1"/>
  <c r="F43" i="8" s="1"/>
  <c r="C51" i="1"/>
  <c r="F45" i="1"/>
  <c r="F44" i="1"/>
  <c r="AA40" i="1"/>
  <c r="AB40" i="1" s="1"/>
  <c r="M40" i="1"/>
  <c r="G40" i="1"/>
  <c r="H40" i="1" s="1"/>
  <c r="G34" i="1"/>
  <c r="H34" i="1" s="1"/>
  <c r="G33" i="1"/>
  <c r="H33" i="1" s="1"/>
  <c r="G32" i="1"/>
  <c r="H32" i="1" s="1"/>
  <c r="G31" i="1"/>
  <c r="H31" i="1" s="1"/>
  <c r="G30" i="1"/>
  <c r="H30" i="1" s="1"/>
  <c r="AA15" i="1"/>
  <c r="M15" i="1"/>
  <c r="G15" i="1"/>
  <c r="H15" i="1" s="1"/>
  <c r="AA12" i="1"/>
  <c r="M12" i="1"/>
  <c r="G12" i="1"/>
  <c r="H12" i="1" s="1"/>
  <c r="AA10" i="1"/>
  <c r="M10" i="1"/>
  <c r="G10" i="1"/>
  <c r="H10" i="1" s="1"/>
  <c r="AA9" i="1"/>
  <c r="M9" i="1"/>
  <c r="G9" i="1"/>
  <c r="H9" i="1" s="1"/>
  <c r="AA8" i="1"/>
  <c r="M8" i="1"/>
  <c r="G8" i="1"/>
  <c r="H8" i="1" s="1"/>
  <c r="C55" i="46" l="1"/>
  <c r="AC33" i="1"/>
  <c r="AE33" i="1" s="1"/>
  <c r="F34" i="50" s="1"/>
  <c r="G48" i="48"/>
  <c r="G47" i="48"/>
  <c r="AA36" i="49"/>
  <c r="AD36" i="49" s="1"/>
  <c r="AG36" i="49" s="1"/>
  <c r="AA10" i="49"/>
  <c r="AD10" i="49" s="1"/>
  <c r="AG10" i="49" s="1"/>
  <c r="AC10" i="49"/>
  <c r="AF10" i="49" s="1"/>
  <c r="Z27" i="49"/>
  <c r="Z7" i="49"/>
  <c r="AA7" i="49" s="1"/>
  <c r="AD7" i="49" s="1"/>
  <c r="AG7" i="49" s="1"/>
  <c r="Z8" i="49"/>
  <c r="AA19" i="49"/>
  <c r="AD19" i="49" s="1"/>
  <c r="AG19" i="49" s="1"/>
  <c r="F49" i="49"/>
  <c r="G48" i="49"/>
  <c r="Z18" i="49"/>
  <c r="AA18" i="49" s="1"/>
  <c r="Z30" i="49"/>
  <c r="AA30" i="49" s="1"/>
  <c r="AD30" i="49" s="1"/>
  <c r="AG30" i="49" s="1"/>
  <c r="AC26" i="49"/>
  <c r="AA29" i="49"/>
  <c r="Z37" i="49"/>
  <c r="AD22" i="49"/>
  <c r="AG22" i="49" s="1"/>
  <c r="AC22" i="49"/>
  <c r="AF11" i="49"/>
  <c r="AC9" i="49"/>
  <c r="AA9" i="49"/>
  <c r="AD9" i="49" s="1"/>
  <c r="AG9" i="49" s="1"/>
  <c r="AC12" i="49"/>
  <c r="Z13" i="49"/>
  <c r="AA13" i="49" s="1"/>
  <c r="AD13" i="49" s="1"/>
  <c r="AG13" i="49" s="1"/>
  <c r="AA5" i="49"/>
  <c r="AD5" i="49" s="1"/>
  <c r="AG5" i="49" s="1"/>
  <c r="Z6" i="49"/>
  <c r="H11" i="49"/>
  <c r="AD11" i="49"/>
  <c r="AG11" i="49" s="1"/>
  <c r="Z14" i="49"/>
  <c r="AA14" i="49" s="1"/>
  <c r="AA23" i="49"/>
  <c r="AD23" i="49" s="1"/>
  <c r="AG23" i="49" s="1"/>
  <c r="Z38" i="49"/>
  <c r="AA38" i="49" s="1"/>
  <c r="AD38" i="49" s="1"/>
  <c r="AG38" i="49" s="1"/>
  <c r="AF44" i="49"/>
  <c r="Z46" i="49"/>
  <c r="AA46" i="49" s="1"/>
  <c r="AD46" i="49" s="1"/>
  <c r="AG46" i="49" s="1"/>
  <c r="H17" i="49"/>
  <c r="G47" i="49"/>
  <c r="AA6" i="49"/>
  <c r="AD6" i="49" s="1"/>
  <c r="AG6" i="49" s="1"/>
  <c r="AA21" i="49"/>
  <c r="H26" i="49"/>
  <c r="H43" i="49"/>
  <c r="AD44" i="49"/>
  <c r="AG44" i="49" s="1"/>
  <c r="AC45" i="49"/>
  <c r="H37" i="49"/>
  <c r="H10" i="49"/>
  <c r="Z16" i="49"/>
  <c r="AA31" i="49"/>
  <c r="AD31" i="49" s="1"/>
  <c r="AG31" i="49" s="1"/>
  <c r="AA39" i="49"/>
  <c r="AD39" i="49" s="1"/>
  <c r="AG39" i="49" s="1"/>
  <c r="Z40" i="49"/>
  <c r="H45" i="49"/>
  <c r="H28" i="49"/>
  <c r="Z25" i="49"/>
  <c r="Z15" i="49"/>
  <c r="AA15" i="49" s="1"/>
  <c r="AD15" i="49" s="1"/>
  <c r="AG15" i="49" s="1"/>
  <c r="AC17" i="49"/>
  <c r="H34" i="49"/>
  <c r="AA24" i="49"/>
  <c r="AD24" i="49" s="1"/>
  <c r="AG24" i="49" s="1"/>
  <c r="AA28" i="49"/>
  <c r="AD28" i="49" s="1"/>
  <c r="AG28" i="49" s="1"/>
  <c r="H29" i="49"/>
  <c r="AA32" i="49"/>
  <c r="AD32" i="49" s="1"/>
  <c r="AG32" i="49" s="1"/>
  <c r="Z33" i="49"/>
  <c r="AC33" i="49" s="1"/>
  <c r="AA41" i="49"/>
  <c r="AD41" i="49" s="1"/>
  <c r="AG41" i="49" s="1"/>
  <c r="Z42" i="49"/>
  <c r="AA33" i="49"/>
  <c r="AD33" i="49" s="1"/>
  <c r="AG33" i="49" s="1"/>
  <c r="Z34" i="49"/>
  <c r="AA34" i="49" s="1"/>
  <c r="AD34" i="49" s="1"/>
  <c r="AG34" i="49" s="1"/>
  <c r="Z43" i="49"/>
  <c r="AB44" i="48"/>
  <c r="AC44" i="48" s="1"/>
  <c r="Q43" i="48"/>
  <c r="R43" i="48" s="1"/>
  <c r="R49" i="41" s="1"/>
  <c r="AB43" i="48"/>
  <c r="N46" i="48"/>
  <c r="O44" i="48"/>
  <c r="N45" i="48"/>
  <c r="AC45" i="48"/>
  <c r="AF45" i="48" s="1"/>
  <c r="AI45" i="48" s="1"/>
  <c r="AB46" i="48"/>
  <c r="AC46" i="48"/>
  <c r="AF46" i="48" s="1"/>
  <c r="AI46" i="48" s="1"/>
  <c r="AC41" i="48"/>
  <c r="AF41" i="48" s="1"/>
  <c r="AI41" i="48" s="1"/>
  <c r="N41" i="48"/>
  <c r="O42" i="48"/>
  <c r="P42" i="48" s="1"/>
  <c r="AB42" i="48"/>
  <c r="AC42" i="48" s="1"/>
  <c r="AF42" i="48" s="1"/>
  <c r="AI42" i="48" s="1"/>
  <c r="O40" i="48"/>
  <c r="P40" i="48" s="1"/>
  <c r="Q40" i="48" s="1"/>
  <c r="AB40" i="48"/>
  <c r="AC40" i="48" s="1"/>
  <c r="AF40" i="48" s="1"/>
  <c r="AI40" i="48" s="1"/>
  <c r="O39" i="48"/>
  <c r="AB39" i="48"/>
  <c r="AC39" i="48" s="1"/>
  <c r="AF39" i="48" s="1"/>
  <c r="AI39" i="48" s="1"/>
  <c r="AE31" i="48"/>
  <c r="AG31" i="48" s="1"/>
  <c r="AJ31" i="48" s="1"/>
  <c r="AB5" i="48"/>
  <c r="AC5" i="48" s="1"/>
  <c r="AF5" i="48" s="1"/>
  <c r="AI5" i="48" s="1"/>
  <c r="AB23" i="48"/>
  <c r="AC28" i="48"/>
  <c r="AF28" i="48" s="1"/>
  <c r="AI28" i="48" s="1"/>
  <c r="F49" i="48"/>
  <c r="AC10" i="48"/>
  <c r="AF10" i="48" s="1"/>
  <c r="AI10" i="48" s="1"/>
  <c r="H9" i="48"/>
  <c r="AC11" i="48"/>
  <c r="AF11" i="48" s="1"/>
  <c r="AI11" i="48" s="1"/>
  <c r="AB12" i="48"/>
  <c r="AC12" i="48" s="1"/>
  <c r="AF12" i="48" s="1"/>
  <c r="AI12" i="48" s="1"/>
  <c r="H18" i="48"/>
  <c r="H31" i="48"/>
  <c r="AB32" i="48"/>
  <c r="AB6" i="48"/>
  <c r="AC6" i="48" s="1"/>
  <c r="AF6" i="48" s="1"/>
  <c r="AI6" i="48" s="1"/>
  <c r="H21" i="48"/>
  <c r="AE14" i="48"/>
  <c r="AB7" i="48"/>
  <c r="H13" i="48"/>
  <c r="AB26" i="48"/>
  <c r="AC26" i="48" s="1"/>
  <c r="AF26" i="48" s="1"/>
  <c r="AI26" i="48" s="1"/>
  <c r="AC29" i="48"/>
  <c r="AF29" i="48" s="1"/>
  <c r="AI29" i="48" s="1"/>
  <c r="H29" i="48"/>
  <c r="AB34" i="48"/>
  <c r="AC8" i="48"/>
  <c r="AF8" i="48" s="1"/>
  <c r="AI8" i="48" s="1"/>
  <c r="AB9" i="48"/>
  <c r="AC9" i="48" s="1"/>
  <c r="AF9" i="48" s="1"/>
  <c r="AI9" i="48" s="1"/>
  <c r="H15" i="48"/>
  <c r="AB15" i="48"/>
  <c r="AC15" i="48" s="1"/>
  <c r="AF15" i="48" s="1"/>
  <c r="AI15" i="48" s="1"/>
  <c r="AE19" i="48"/>
  <c r="AC21" i="48"/>
  <c r="AF21" i="48" s="1"/>
  <c r="AI21" i="48" s="1"/>
  <c r="AB38" i="48"/>
  <c r="AC38" i="48" s="1"/>
  <c r="AC13" i="48"/>
  <c r="H23" i="48"/>
  <c r="AB24" i="48"/>
  <c r="AC24" i="48" s="1"/>
  <c r="AF24" i="48" s="1"/>
  <c r="AI24" i="48" s="1"/>
  <c r="AB36" i="48"/>
  <c r="AB16" i="48"/>
  <c r="AC16" i="48" s="1"/>
  <c r="AF16" i="48" s="1"/>
  <c r="AI16" i="48" s="1"/>
  <c r="H24" i="48"/>
  <c r="AB27" i="48"/>
  <c r="AC27" i="48" s="1"/>
  <c r="AF27" i="48" s="1"/>
  <c r="AI27" i="48" s="1"/>
  <c r="H32" i="48"/>
  <c r="AC17" i="48"/>
  <c r="AF17" i="48" s="1"/>
  <c r="AI17" i="48" s="1"/>
  <c r="AB18" i="48"/>
  <c r="AC18" i="48" s="1"/>
  <c r="AF18" i="48" s="1"/>
  <c r="AI18" i="48" s="1"/>
  <c r="H22" i="48"/>
  <c r="AC22" i="48"/>
  <c r="AF22" i="48" s="1"/>
  <c r="AI22" i="48" s="1"/>
  <c r="AB25" i="48"/>
  <c r="AC25" i="48" s="1"/>
  <c r="AF25" i="48" s="1"/>
  <c r="AI25" i="48" s="1"/>
  <c r="H30" i="48"/>
  <c r="AC30" i="48"/>
  <c r="AF30" i="48" s="1"/>
  <c r="AI30" i="48" s="1"/>
  <c r="AB33" i="48"/>
  <c r="AC33" i="48" s="1"/>
  <c r="AF33" i="48" s="1"/>
  <c r="AI33" i="48" s="1"/>
  <c r="AC37" i="48"/>
  <c r="AF37" i="48" s="1"/>
  <c r="AI37" i="48" s="1"/>
  <c r="H33" i="48"/>
  <c r="F46" i="47"/>
  <c r="H9" i="47"/>
  <c r="AC10" i="47"/>
  <c r="AD10" i="47"/>
  <c r="AG10" i="47" s="1"/>
  <c r="AC9" i="47"/>
  <c r="AF11" i="47"/>
  <c r="AE11" i="47"/>
  <c r="AH11" i="47" s="1"/>
  <c r="AF8" i="47"/>
  <c r="AE8" i="47"/>
  <c r="AH8" i="47" s="1"/>
  <c r="AC15" i="47"/>
  <c r="AC36" i="47"/>
  <c r="Z28" i="47"/>
  <c r="AA28" i="47" s="1"/>
  <c r="AD28" i="47" s="1"/>
  <c r="AG28" i="47" s="1"/>
  <c r="H31" i="47"/>
  <c r="AF41" i="47"/>
  <c r="AE41" i="47"/>
  <c r="AH41" i="47" s="1"/>
  <c r="Z6" i="47"/>
  <c r="H12" i="47"/>
  <c r="Z19" i="47"/>
  <c r="AA19" i="47" s="1"/>
  <c r="H23" i="47"/>
  <c r="AF32" i="47"/>
  <c r="AD41" i="47"/>
  <c r="AG41" i="47" s="1"/>
  <c r="Z43" i="47"/>
  <c r="AC43" i="47" s="1"/>
  <c r="AA37" i="47"/>
  <c r="AD37" i="47" s="1"/>
  <c r="AG37" i="47" s="1"/>
  <c r="Z37" i="47"/>
  <c r="H40" i="47"/>
  <c r="G45" i="47"/>
  <c r="Z5" i="47"/>
  <c r="AA5" i="47" s="1"/>
  <c r="AD5" i="47" s="1"/>
  <c r="AG5" i="47" s="1"/>
  <c r="H10" i="47"/>
  <c r="AA15" i="47"/>
  <c r="AD15" i="47" s="1"/>
  <c r="AG15" i="47" s="1"/>
  <c r="AC27" i="47"/>
  <c r="G44" i="47"/>
  <c r="Z7" i="47"/>
  <c r="AA7" i="47" s="1"/>
  <c r="AD7" i="47" s="1"/>
  <c r="AG7" i="47" s="1"/>
  <c r="Z14" i="47"/>
  <c r="AF24" i="47"/>
  <c r="AE24" i="47"/>
  <c r="AH24" i="47" s="1"/>
  <c r="AD32" i="47"/>
  <c r="AG32" i="47" s="1"/>
  <c r="AC42" i="47"/>
  <c r="AA43" i="47"/>
  <c r="AD43" i="47" s="1"/>
  <c r="AG43" i="47" s="1"/>
  <c r="Z34" i="47"/>
  <c r="H42" i="47"/>
  <c r="AF33" i="47"/>
  <c r="AE33" i="47"/>
  <c r="AH33" i="47" s="1"/>
  <c r="AE38" i="47"/>
  <c r="AH38" i="47" s="1"/>
  <c r="H16" i="47"/>
  <c r="AC16" i="47"/>
  <c r="AC25" i="47"/>
  <c r="Z26" i="47"/>
  <c r="AA26" i="47" s="1"/>
  <c r="AD26" i="47" s="1"/>
  <c r="AG26" i="47" s="1"/>
  <c r="AE29" i="47"/>
  <c r="AH29" i="47" s="1"/>
  <c r="H33" i="47"/>
  <c r="AA34" i="47"/>
  <c r="AD34" i="47" s="1"/>
  <c r="AG34" i="47" s="1"/>
  <c r="H14" i="47"/>
  <c r="AC17" i="47"/>
  <c r="Z17" i="47"/>
  <c r="AA17" i="47" s="1"/>
  <c r="AD17" i="47" s="1"/>
  <c r="AG17" i="47" s="1"/>
  <c r="AA23" i="47"/>
  <c r="AD23" i="47" s="1"/>
  <c r="AG23" i="47" s="1"/>
  <c r="H25" i="47"/>
  <c r="AA18" i="47"/>
  <c r="AD18" i="47" s="1"/>
  <c r="AG18" i="47" s="1"/>
  <c r="AA13" i="47"/>
  <c r="AD13" i="47" s="1"/>
  <c r="AG13" i="47" s="1"/>
  <c r="AA22" i="47"/>
  <c r="AD22" i="47" s="1"/>
  <c r="AG22" i="47" s="1"/>
  <c r="Z23" i="47"/>
  <c r="AA30" i="47"/>
  <c r="AD30" i="47" s="1"/>
  <c r="AG30" i="47" s="1"/>
  <c r="Z31" i="47"/>
  <c r="AA39" i="47"/>
  <c r="AD39" i="47" s="1"/>
  <c r="AG39" i="47" s="1"/>
  <c r="Z40" i="47"/>
  <c r="AA40" i="47" s="1"/>
  <c r="AD40" i="47" s="1"/>
  <c r="AG40" i="47" s="1"/>
  <c r="F46" i="46"/>
  <c r="AA18" i="46"/>
  <c r="AD18" i="46" s="1"/>
  <c r="AG18" i="46" s="1"/>
  <c r="Z25" i="46"/>
  <c r="AA25" i="46" s="1"/>
  <c r="AD25" i="46" s="1"/>
  <c r="AG25" i="46" s="1"/>
  <c r="Z33" i="46"/>
  <c r="Z16" i="46"/>
  <c r="AA16" i="46" s="1"/>
  <c r="AD16" i="46" s="1"/>
  <c r="AG16" i="46" s="1"/>
  <c r="Z42" i="46"/>
  <c r="AA42" i="46" s="1"/>
  <c r="AD42" i="46" s="1"/>
  <c r="AG42" i="46" s="1"/>
  <c r="Z28" i="46"/>
  <c r="AA28" i="46" s="1"/>
  <c r="AD28" i="46" s="1"/>
  <c r="AG28" i="46" s="1"/>
  <c r="G45" i="46"/>
  <c r="AA9" i="46"/>
  <c r="AD9" i="46" s="1"/>
  <c r="AG9" i="46" s="1"/>
  <c r="AC6" i="46"/>
  <c r="J7" i="50" s="1"/>
  <c r="AA10" i="46"/>
  <c r="AD10" i="46" s="1"/>
  <c r="AG10" i="46" s="1"/>
  <c r="Z11" i="46"/>
  <c r="H9" i="46"/>
  <c r="Z12" i="46"/>
  <c r="H18" i="46"/>
  <c r="Z5" i="46"/>
  <c r="AA5" i="46" s="1"/>
  <c r="AD5" i="46" s="1"/>
  <c r="AG5" i="46" s="1"/>
  <c r="Z13" i="46"/>
  <c r="H8" i="46"/>
  <c r="H38" i="46"/>
  <c r="G44" i="46"/>
  <c r="Z7" i="46"/>
  <c r="AA7" i="46" s="1"/>
  <c r="AD7" i="46" s="1"/>
  <c r="AG7" i="46" s="1"/>
  <c r="H13" i="46"/>
  <c r="Z34" i="46"/>
  <c r="AA34" i="46" s="1"/>
  <c r="AD34" i="46" s="1"/>
  <c r="AG34" i="46" s="1"/>
  <c r="H42" i="46"/>
  <c r="H5" i="46"/>
  <c r="Z8" i="46"/>
  <c r="AC19" i="46"/>
  <c r="J20" i="50" s="1"/>
  <c r="Z26" i="46"/>
  <c r="AA26" i="46" s="1"/>
  <c r="AD26" i="46" s="1"/>
  <c r="AG26" i="46" s="1"/>
  <c r="H31" i="46"/>
  <c r="Z39" i="46"/>
  <c r="AA39" i="46" s="1"/>
  <c r="AD39" i="46" s="1"/>
  <c r="AG39" i="46" s="1"/>
  <c r="H23" i="46"/>
  <c r="AC38" i="46"/>
  <c r="J39" i="50" s="1"/>
  <c r="Z43" i="46"/>
  <c r="AA23" i="46"/>
  <c r="AD23" i="46" s="1"/>
  <c r="AG23" i="46" s="1"/>
  <c r="AA31" i="46"/>
  <c r="AD31" i="46" s="1"/>
  <c r="AG31" i="46" s="1"/>
  <c r="Z14" i="46"/>
  <c r="AA14" i="46" s="1"/>
  <c r="AD14" i="46" s="1"/>
  <c r="AG14" i="46" s="1"/>
  <c r="Z21" i="46"/>
  <c r="H26" i="46"/>
  <c r="Z29" i="46"/>
  <c r="H34" i="46"/>
  <c r="Z15" i="46"/>
  <c r="AA15" i="46" s="1"/>
  <c r="AD15" i="46" s="1"/>
  <c r="AG15" i="46" s="1"/>
  <c r="H21" i="46"/>
  <c r="Z24" i="46"/>
  <c r="AA24" i="46" s="1"/>
  <c r="AD24" i="46" s="1"/>
  <c r="AG24" i="46" s="1"/>
  <c r="H29" i="46"/>
  <c r="Z32" i="46"/>
  <c r="AA32" i="46" s="1"/>
  <c r="AD32" i="46" s="1"/>
  <c r="AG32" i="46" s="1"/>
  <c r="Z36" i="46"/>
  <c r="AA36" i="46" s="1"/>
  <c r="AD36" i="46" s="1"/>
  <c r="AG36" i="46" s="1"/>
  <c r="Z40" i="46"/>
  <c r="AA40" i="46" s="1"/>
  <c r="AD40" i="46" s="1"/>
  <c r="AG40" i="46" s="1"/>
  <c r="Z17" i="46"/>
  <c r="AA17" i="46" s="1"/>
  <c r="AD17" i="46" s="1"/>
  <c r="AG17" i="46" s="1"/>
  <c r="Z22" i="46"/>
  <c r="H27" i="46"/>
  <c r="AA27" i="46"/>
  <c r="AD27" i="46" s="1"/>
  <c r="AG27" i="46" s="1"/>
  <c r="Z30" i="46"/>
  <c r="AA30" i="46" s="1"/>
  <c r="AD30" i="46" s="1"/>
  <c r="AG30" i="46" s="1"/>
  <c r="Z37" i="46"/>
  <c r="AA37" i="46" s="1"/>
  <c r="AD37" i="46" s="1"/>
  <c r="AG37" i="46" s="1"/>
  <c r="Z41" i="46"/>
  <c r="H22" i="46"/>
  <c r="H30" i="46"/>
  <c r="AC32" i="1"/>
  <c r="AF32" i="1" s="1"/>
  <c r="AI32" i="1" s="1"/>
  <c r="AC31" i="1"/>
  <c r="AF31" i="1" s="1"/>
  <c r="AI31" i="1" s="1"/>
  <c r="AE30" i="1"/>
  <c r="F31" i="50" s="1"/>
  <c r="N40" i="1"/>
  <c r="AC40" i="1"/>
  <c r="AF40" i="1" s="1"/>
  <c r="AI40" i="1" s="1"/>
  <c r="M30" i="1"/>
  <c r="L23" i="1"/>
  <c r="L24" i="1"/>
  <c r="L25" i="1"/>
  <c r="N15" i="1"/>
  <c r="AB15" i="1"/>
  <c r="AC15" i="1" s="1"/>
  <c r="AF15" i="1" s="1"/>
  <c r="AI15" i="1" s="1"/>
  <c r="N12" i="1"/>
  <c r="AB12" i="1"/>
  <c r="AC12" i="1" s="1"/>
  <c r="AF12" i="1" s="1"/>
  <c r="AI12" i="1" s="1"/>
  <c r="N10" i="1"/>
  <c r="AB10" i="1"/>
  <c r="N9" i="1"/>
  <c r="AB8" i="1"/>
  <c r="AB9" i="1"/>
  <c r="AC9" i="1" s="1"/>
  <c r="AF9" i="1" s="1"/>
  <c r="AI9" i="1" s="1"/>
  <c r="N8" i="1"/>
  <c r="L34" i="1"/>
  <c r="M34" i="1" s="1"/>
  <c r="L33" i="1"/>
  <c r="M33" i="1" s="1"/>
  <c r="L26" i="1"/>
  <c r="L32" i="1"/>
  <c r="M32" i="1" s="1"/>
  <c r="L31" i="1"/>
  <c r="M31" i="1" s="1"/>
  <c r="L28" i="1"/>
  <c r="AC23" i="46" l="1"/>
  <c r="J24" i="50" s="1"/>
  <c r="AC32" i="46"/>
  <c r="J33" i="50" s="1"/>
  <c r="AC15" i="46"/>
  <c r="J16" i="50" s="1"/>
  <c r="AE32" i="1"/>
  <c r="F33" i="50" s="1"/>
  <c r="AF33" i="1"/>
  <c r="AI33" i="1" s="1"/>
  <c r="AE31" i="1"/>
  <c r="F32" i="50" s="1"/>
  <c r="H47" i="48"/>
  <c r="G46" i="46"/>
  <c r="AC42" i="46"/>
  <c r="G49" i="49"/>
  <c r="H48" i="49"/>
  <c r="AC8" i="49"/>
  <c r="AF8" i="49" s="1"/>
  <c r="AD18" i="49"/>
  <c r="AG18" i="49" s="1"/>
  <c r="AC18" i="49"/>
  <c r="AC30" i="49"/>
  <c r="AC15" i="49"/>
  <c r="AE10" i="49"/>
  <c r="AH10" i="49" s="1"/>
  <c r="AC5" i="49"/>
  <c r="AE26" i="49"/>
  <c r="AH26" i="49" s="1"/>
  <c r="AF26" i="49"/>
  <c r="AC19" i="49"/>
  <c r="AC36" i="49"/>
  <c r="H47" i="49"/>
  <c r="AC40" i="49"/>
  <c r="AE40" i="49" s="1"/>
  <c r="AH40" i="49" s="1"/>
  <c r="AC32" i="49"/>
  <c r="AC37" i="49"/>
  <c r="AA8" i="49"/>
  <c r="AD8" i="49" s="1"/>
  <c r="AG8" i="49" s="1"/>
  <c r="AA40" i="49"/>
  <c r="AD40" i="49" s="1"/>
  <c r="AG40" i="49" s="1"/>
  <c r="AA37" i="49"/>
  <c r="AD37" i="49" s="1"/>
  <c r="AG37" i="49" s="1"/>
  <c r="AC7" i="49"/>
  <c r="AC38" i="49"/>
  <c r="AA27" i="49"/>
  <c r="AD27" i="49" s="1"/>
  <c r="AG27" i="49" s="1"/>
  <c r="AE11" i="49"/>
  <c r="AH11" i="49" s="1"/>
  <c r="AC29" i="49"/>
  <c r="AD29" i="49"/>
  <c r="AG29" i="49" s="1"/>
  <c r="AF40" i="49"/>
  <c r="AD14" i="49"/>
  <c r="AG14" i="49" s="1"/>
  <c r="AC14" i="49"/>
  <c r="AF15" i="49"/>
  <c r="AE15" i="49"/>
  <c r="AH15" i="49" s="1"/>
  <c r="AF38" i="49"/>
  <c r="AE38" i="49"/>
  <c r="AH38" i="49" s="1"/>
  <c r="AC6" i="49"/>
  <c r="AF17" i="49"/>
  <c r="AE17" i="49"/>
  <c r="AH17" i="49" s="1"/>
  <c r="AF45" i="49"/>
  <c r="AE45" i="49"/>
  <c r="AH45" i="49" s="1"/>
  <c r="AF5" i="49"/>
  <c r="AE5" i="49"/>
  <c r="AH5" i="49" s="1"/>
  <c r="AC46" i="49"/>
  <c r="AC43" i="49"/>
  <c r="AC39" i="49"/>
  <c r="AA16" i="49"/>
  <c r="AD16" i="49" s="1"/>
  <c r="AG16" i="49" s="1"/>
  <c r="AC31" i="49"/>
  <c r="AE44" i="49"/>
  <c r="AH44" i="49" s="1"/>
  <c r="AC13" i="49"/>
  <c r="AA42" i="49"/>
  <c r="AD42" i="49" s="1"/>
  <c r="AG42" i="49" s="1"/>
  <c r="AA43" i="49"/>
  <c r="AD43" i="49" s="1"/>
  <c r="AG43" i="49" s="1"/>
  <c r="AC24" i="49"/>
  <c r="AA25" i="49"/>
  <c r="AD25" i="49" s="1"/>
  <c r="AG25" i="49" s="1"/>
  <c r="AF12" i="49"/>
  <c r="AE12" i="49"/>
  <c r="AH12" i="49" s="1"/>
  <c r="AE33" i="49"/>
  <c r="AH33" i="49" s="1"/>
  <c r="AF33" i="49"/>
  <c r="AC34" i="49"/>
  <c r="AC28" i="49"/>
  <c r="AF22" i="49"/>
  <c r="AE22" i="49"/>
  <c r="AH22" i="49" s="1"/>
  <c r="AD21" i="49"/>
  <c r="AG21" i="49" s="1"/>
  <c r="AC21" i="49"/>
  <c r="AF32" i="49"/>
  <c r="AE32" i="49"/>
  <c r="AH32" i="49" s="1"/>
  <c r="AC23" i="49"/>
  <c r="AC41" i="49"/>
  <c r="AF18" i="49"/>
  <c r="AE18" i="49"/>
  <c r="AH18" i="49" s="1"/>
  <c r="AF9" i="49"/>
  <c r="AE9" i="49"/>
  <c r="AH9" i="49" s="1"/>
  <c r="AF44" i="48"/>
  <c r="AI44" i="48" s="1"/>
  <c r="AE44" i="48"/>
  <c r="AG44" i="48" s="1"/>
  <c r="AJ44" i="48" s="1"/>
  <c r="AE46" i="48"/>
  <c r="AH46" i="48" s="1"/>
  <c r="AE29" i="48"/>
  <c r="AG29" i="48" s="1"/>
  <c r="AJ29" i="48" s="1"/>
  <c r="AH44" i="48"/>
  <c r="AH31" i="48"/>
  <c r="AE41" i="48"/>
  <c r="AH41" i="48" s="1"/>
  <c r="AG46" i="48"/>
  <c r="AJ46" i="48" s="1"/>
  <c r="AC43" i="48"/>
  <c r="AF43" i="48" s="1"/>
  <c r="AI43" i="48" s="1"/>
  <c r="U43" i="48"/>
  <c r="S43" i="48"/>
  <c r="V43" i="48" s="1"/>
  <c r="O46" i="48"/>
  <c r="P46" i="48" s="1"/>
  <c r="AE45" i="48"/>
  <c r="O45" i="48"/>
  <c r="P45" i="48" s="1"/>
  <c r="P44" i="48"/>
  <c r="Q44" i="48" s="1"/>
  <c r="R44" i="48" s="1"/>
  <c r="R50" i="41" s="1"/>
  <c r="Q42" i="48"/>
  <c r="R42" i="48" s="1"/>
  <c r="R48" i="41" s="1"/>
  <c r="O41" i="48"/>
  <c r="AE42" i="48"/>
  <c r="R40" i="48"/>
  <c r="AE40" i="48"/>
  <c r="AE11" i="48"/>
  <c r="AH11" i="48" s="1"/>
  <c r="AE39" i="48"/>
  <c r="AC7" i="48"/>
  <c r="AF7" i="48" s="1"/>
  <c r="AI7" i="48" s="1"/>
  <c r="P39" i="48"/>
  <c r="Q39" i="48" s="1"/>
  <c r="AC34" i="48"/>
  <c r="AF34" i="48" s="1"/>
  <c r="AI34" i="48" s="1"/>
  <c r="G49" i="48"/>
  <c r="AE28" i="48"/>
  <c r="AH28" i="48" s="1"/>
  <c r="AC23" i="48"/>
  <c r="AF23" i="48" s="1"/>
  <c r="AI23" i="48" s="1"/>
  <c r="AE26" i="48"/>
  <c r="AG26" i="48" s="1"/>
  <c r="AJ26" i="48" s="1"/>
  <c r="AE16" i="48"/>
  <c r="AH16" i="48" s="1"/>
  <c r="AE5" i="48"/>
  <c r="AF38" i="48"/>
  <c r="AI38" i="48" s="1"/>
  <c r="AE38" i="48"/>
  <c r="AE6" i="48"/>
  <c r="AE18" i="48"/>
  <c r="AE37" i="48"/>
  <c r="AE27" i="48"/>
  <c r="AC36" i="48"/>
  <c r="AF36" i="48" s="1"/>
  <c r="AI36" i="48" s="1"/>
  <c r="AE21" i="48"/>
  <c r="AE15" i="48"/>
  <c r="AE17" i="48"/>
  <c r="AF13" i="48"/>
  <c r="AI13" i="48" s="1"/>
  <c r="AE13" i="48"/>
  <c r="AE12" i="48"/>
  <c r="AE10" i="48"/>
  <c r="AE33" i="48"/>
  <c r="AH29" i="48"/>
  <c r="AE24" i="48"/>
  <c r="AE30" i="48"/>
  <c r="AE25" i="48"/>
  <c r="AC32" i="48"/>
  <c r="AF32" i="48" s="1"/>
  <c r="AI32" i="48" s="1"/>
  <c r="AH19" i="48"/>
  <c r="AG19" i="48"/>
  <c r="AJ19" i="48" s="1"/>
  <c r="AE9" i="48"/>
  <c r="AH14" i="48"/>
  <c r="AG14" i="48"/>
  <c r="AJ14" i="48" s="1"/>
  <c r="AE22" i="48"/>
  <c r="AE8" i="48"/>
  <c r="H45" i="47"/>
  <c r="G46" i="47"/>
  <c r="H44" i="47"/>
  <c r="AF43" i="47"/>
  <c r="AE43" i="47"/>
  <c r="AH43" i="47" s="1"/>
  <c r="AD19" i="47"/>
  <c r="AG19" i="47" s="1"/>
  <c r="AC19" i="47"/>
  <c r="AF36" i="47"/>
  <c r="AE36" i="47"/>
  <c r="AH36" i="47" s="1"/>
  <c r="AE32" i="47"/>
  <c r="AH32" i="47" s="1"/>
  <c r="AC39" i="47"/>
  <c r="AF15" i="47"/>
  <c r="AE15" i="47"/>
  <c r="AH15" i="47" s="1"/>
  <c r="AC5" i="47"/>
  <c r="AA6" i="47"/>
  <c r="AD6" i="47" s="1"/>
  <c r="AG6" i="47" s="1"/>
  <c r="AC37" i="47"/>
  <c r="AF25" i="47"/>
  <c r="AE25" i="47"/>
  <c r="AH25" i="47" s="1"/>
  <c r="AC28" i="47"/>
  <c r="AC31" i="47"/>
  <c r="AA31" i="47"/>
  <c r="AD31" i="47" s="1"/>
  <c r="AG31" i="47" s="1"/>
  <c r="AE16" i="47"/>
  <c r="AH16" i="47" s="1"/>
  <c r="AF16" i="47"/>
  <c r="AC18" i="47"/>
  <c r="AC34" i="47"/>
  <c r="AC22" i="47"/>
  <c r="AF17" i="47"/>
  <c r="AE17" i="47"/>
  <c r="AH17" i="47" s="1"/>
  <c r="AC30" i="47"/>
  <c r="AC13" i="47"/>
  <c r="AC26" i="47"/>
  <c r="AE9" i="47"/>
  <c r="AH9" i="47" s="1"/>
  <c r="AF9" i="47"/>
  <c r="AF10" i="47"/>
  <c r="AE10" i="47"/>
  <c r="AH10" i="47" s="1"/>
  <c r="AF42" i="47"/>
  <c r="AE42" i="47"/>
  <c r="AH42" i="47" s="1"/>
  <c r="AA14" i="47"/>
  <c r="AD14" i="47" s="1"/>
  <c r="AG14" i="47" s="1"/>
  <c r="AF27" i="47"/>
  <c r="AE27" i="47"/>
  <c r="AH27" i="47" s="1"/>
  <c r="AC40" i="47"/>
  <c r="AC23" i="47"/>
  <c r="AC7" i="47"/>
  <c r="H45" i="46"/>
  <c r="AC28" i="46"/>
  <c r="J29" i="50" s="1"/>
  <c r="AC16" i="46"/>
  <c r="J17" i="50" s="1"/>
  <c r="AC17" i="46"/>
  <c r="AA11" i="46"/>
  <c r="AD11" i="46" s="1"/>
  <c r="AG11" i="46" s="1"/>
  <c r="AA33" i="46"/>
  <c r="AD33" i="46" s="1"/>
  <c r="AG33" i="46" s="1"/>
  <c r="AC7" i="46"/>
  <c r="AA12" i="46"/>
  <c r="AD12" i="46" s="1"/>
  <c r="AG12" i="46" s="1"/>
  <c r="AC25" i="46"/>
  <c r="J26" i="50" s="1"/>
  <c r="AA41" i="46"/>
  <c r="AD41" i="46" s="1"/>
  <c r="AG41" i="46" s="1"/>
  <c r="AC39" i="46"/>
  <c r="AC34" i="46"/>
  <c r="J35" i="50" s="1"/>
  <c r="AC18" i="46"/>
  <c r="J19" i="50" s="1"/>
  <c r="AE15" i="46"/>
  <c r="AH15" i="46" s="1"/>
  <c r="AF15" i="46"/>
  <c r="AA43" i="46"/>
  <c r="AD43" i="46" s="1"/>
  <c r="AG43" i="46" s="1"/>
  <c r="AC26" i="46"/>
  <c r="J27" i="50" s="1"/>
  <c r="AC24" i="46"/>
  <c r="J25" i="50" s="1"/>
  <c r="AC40" i="46"/>
  <c r="J41" i="50" s="1"/>
  <c r="AF23" i="46"/>
  <c r="AE23" i="46"/>
  <c r="AH23" i="46" s="1"/>
  <c r="AC9" i="46"/>
  <c r="J10" i="50" s="1"/>
  <c r="AC37" i="46"/>
  <c r="J38" i="50" s="1"/>
  <c r="AF19" i="46"/>
  <c r="AE19" i="46"/>
  <c r="AH19" i="46" s="1"/>
  <c r="AC27" i="46"/>
  <c r="J28" i="50" s="1"/>
  <c r="AA8" i="46"/>
  <c r="AD8" i="46" s="1"/>
  <c r="AG8" i="46" s="1"/>
  <c r="AF38" i="46"/>
  <c r="AE38" i="46"/>
  <c r="AH38" i="46" s="1"/>
  <c r="AA21" i="46"/>
  <c r="AD21" i="46" s="1"/>
  <c r="AG21" i="46" s="1"/>
  <c r="H44" i="46"/>
  <c r="AA22" i="46"/>
  <c r="AD22" i="46" s="1"/>
  <c r="AG22" i="46" s="1"/>
  <c r="AA13" i="46"/>
  <c r="AD13" i="46" s="1"/>
  <c r="AG13" i="46" s="1"/>
  <c r="AE6" i="46"/>
  <c r="AH6" i="46" s="1"/>
  <c r="AF6" i="46"/>
  <c r="AC30" i="46"/>
  <c r="J31" i="50" s="1"/>
  <c r="AC14" i="46"/>
  <c r="J15" i="50" s="1"/>
  <c r="AC36" i="46"/>
  <c r="J37" i="50" s="1"/>
  <c r="AE32" i="46"/>
  <c r="AH32" i="46" s="1"/>
  <c r="AF32" i="46"/>
  <c r="AA29" i="46"/>
  <c r="AD29" i="46" s="1"/>
  <c r="AG29" i="46" s="1"/>
  <c r="AC31" i="46"/>
  <c r="J32" i="50" s="1"/>
  <c r="AC10" i="46"/>
  <c r="J11" i="50" s="1"/>
  <c r="AC5" i="46"/>
  <c r="J6" i="50" s="1"/>
  <c r="AH30" i="1"/>
  <c r="AG30" i="1"/>
  <c r="AJ30" i="1" s="1"/>
  <c r="AH32" i="1"/>
  <c r="AG32" i="1"/>
  <c r="AJ32" i="1" s="1"/>
  <c r="AG33" i="1"/>
  <c r="AJ33" i="1" s="1"/>
  <c r="AH33" i="1"/>
  <c r="N30" i="1"/>
  <c r="O30" i="1" s="1"/>
  <c r="P30" i="1" s="1"/>
  <c r="N34" i="1"/>
  <c r="O34" i="1" s="1"/>
  <c r="P34" i="1" s="1"/>
  <c r="N32" i="1"/>
  <c r="O32" i="1" s="1"/>
  <c r="P32" i="1" s="1"/>
  <c r="N33" i="1"/>
  <c r="N31" i="1"/>
  <c r="AE40" i="1"/>
  <c r="F41" i="50" s="1"/>
  <c r="O40" i="1"/>
  <c r="P40" i="1" s="1"/>
  <c r="AE15" i="1"/>
  <c r="O15" i="1"/>
  <c r="P15" i="1" s="1"/>
  <c r="Q15" i="1" s="1"/>
  <c r="AE12" i="1"/>
  <c r="F13" i="50" s="1"/>
  <c r="O12" i="1"/>
  <c r="P12" i="1" s="1"/>
  <c r="AC10" i="1"/>
  <c r="AF10" i="1" s="1"/>
  <c r="AI10" i="1" s="1"/>
  <c r="O10" i="1"/>
  <c r="P10" i="1" s="1"/>
  <c r="AC8" i="1"/>
  <c r="AF8" i="1" s="1"/>
  <c r="AI8" i="1" s="1"/>
  <c r="AE9" i="1"/>
  <c r="F10" i="50" s="1"/>
  <c r="O9" i="1"/>
  <c r="P9" i="1" s="1"/>
  <c r="O8" i="1"/>
  <c r="P8" i="1" s="1"/>
  <c r="B22" i="7"/>
  <c r="C22" i="7"/>
  <c r="B6" i="7"/>
  <c r="AF34" i="46" l="1"/>
  <c r="AE34" i="46"/>
  <c r="AH34" i="46" s="1"/>
  <c r="AH15" i="1"/>
  <c r="F16" i="50"/>
  <c r="Q30" i="1"/>
  <c r="R30" i="1" s="1"/>
  <c r="F31" i="41" s="1"/>
  <c r="S40" i="48"/>
  <c r="T40" i="48" s="1"/>
  <c r="W40" i="48" s="1"/>
  <c r="L30" i="8" s="1"/>
  <c r="R46" i="41"/>
  <c r="AF7" i="46"/>
  <c r="J8" i="50"/>
  <c r="AF42" i="46"/>
  <c r="J43" i="50"/>
  <c r="AE42" i="46"/>
  <c r="AH42" i="46" s="1"/>
  <c r="AC33" i="46"/>
  <c r="J34" i="50" s="1"/>
  <c r="AF39" i="46"/>
  <c r="J40" i="50"/>
  <c r="AC12" i="46"/>
  <c r="AE7" i="46"/>
  <c r="AH7" i="46" s="1"/>
  <c r="AF17" i="46"/>
  <c r="J18" i="50"/>
  <c r="H49" i="49"/>
  <c r="AF19" i="49"/>
  <c r="AE19" i="49"/>
  <c r="AH19" i="49" s="1"/>
  <c r="AE8" i="49"/>
  <c r="AH8" i="49" s="1"/>
  <c r="AF30" i="49"/>
  <c r="AE30" i="49"/>
  <c r="AH30" i="49" s="1"/>
  <c r="AE37" i="49"/>
  <c r="AH37" i="49" s="1"/>
  <c r="AF37" i="49"/>
  <c r="AE7" i="49"/>
  <c r="AH7" i="49" s="1"/>
  <c r="AF7" i="49"/>
  <c r="AF29" i="49"/>
  <c r="AE29" i="49"/>
  <c r="AH29" i="49" s="1"/>
  <c r="AC27" i="49"/>
  <c r="AC25" i="49"/>
  <c r="AE36" i="49"/>
  <c r="AH36" i="49" s="1"/>
  <c r="AF36" i="49"/>
  <c r="AE31" i="49"/>
  <c r="AH31" i="49" s="1"/>
  <c r="AF31" i="49"/>
  <c r="AE25" i="49"/>
  <c r="AH25" i="49" s="1"/>
  <c r="AF25" i="49"/>
  <c r="AF21" i="49"/>
  <c r="AE21" i="49"/>
  <c r="AH21" i="49" s="1"/>
  <c r="AC16" i="49"/>
  <c r="AF41" i="49"/>
  <c r="AE41" i="49"/>
  <c r="AH41" i="49" s="1"/>
  <c r="AF34" i="49"/>
  <c r="AE34" i="49"/>
  <c r="AH34" i="49" s="1"/>
  <c r="AF6" i="49"/>
  <c r="AE6" i="49"/>
  <c r="AH6" i="49" s="1"/>
  <c r="AE23" i="49"/>
  <c r="AH23" i="49" s="1"/>
  <c r="AF23" i="49"/>
  <c r="AF28" i="49"/>
  <c r="AE28" i="49"/>
  <c r="AH28" i="49" s="1"/>
  <c r="AF13" i="49"/>
  <c r="AE13" i="49"/>
  <c r="AH13" i="49" s="1"/>
  <c r="AF39" i="49"/>
  <c r="AE39" i="49"/>
  <c r="AH39" i="49" s="1"/>
  <c r="AF43" i="49"/>
  <c r="AE43" i="49"/>
  <c r="AH43" i="49" s="1"/>
  <c r="AF24" i="49"/>
  <c r="AE24" i="49"/>
  <c r="AH24" i="49" s="1"/>
  <c r="AF46" i="49"/>
  <c r="AE46" i="49"/>
  <c r="AH46" i="49" s="1"/>
  <c r="AC42" i="49"/>
  <c r="AF14" i="49"/>
  <c r="AE14" i="49"/>
  <c r="AH14" i="49" s="1"/>
  <c r="AG41" i="48"/>
  <c r="AJ41" i="48" s="1"/>
  <c r="T43" i="48"/>
  <c r="W43" i="48" s="1"/>
  <c r="L33" i="8" s="1"/>
  <c r="U44" i="48"/>
  <c r="AO44" i="48" s="1"/>
  <c r="R50" i="7" s="1"/>
  <c r="S44" i="48"/>
  <c r="V44" i="48" s="1"/>
  <c r="AP44" i="48" s="1"/>
  <c r="AG45" i="48"/>
  <c r="AJ45" i="48" s="1"/>
  <c r="AH45" i="48"/>
  <c r="Q46" i="48"/>
  <c r="R46" i="48" s="1"/>
  <c r="R52" i="41" s="1"/>
  <c r="Q45" i="48"/>
  <c r="R45" i="48" s="1"/>
  <c r="R51" i="41" s="1"/>
  <c r="AE43" i="48"/>
  <c r="AP43" i="48"/>
  <c r="AG11" i="48"/>
  <c r="AJ11" i="48" s="1"/>
  <c r="S42" i="48"/>
  <c r="V42" i="48" s="1"/>
  <c r="AP42" i="48" s="1"/>
  <c r="U42" i="48"/>
  <c r="U40" i="48"/>
  <c r="AO40" i="48" s="1"/>
  <c r="AH42" i="48"/>
  <c r="AG42" i="48"/>
  <c r="AJ42" i="48" s="1"/>
  <c r="P41" i="48"/>
  <c r="Q41" i="48" s="1"/>
  <c r="R41" i="48" s="1"/>
  <c r="R47" i="41" s="1"/>
  <c r="AH26" i="48"/>
  <c r="AG16" i="48"/>
  <c r="AJ16" i="48" s="1"/>
  <c r="AH40" i="48"/>
  <c r="AG40" i="48"/>
  <c r="AJ40" i="48" s="1"/>
  <c r="AH39" i="48"/>
  <c r="AG39" i="48"/>
  <c r="AJ39" i="48" s="1"/>
  <c r="AE7" i="48"/>
  <c r="R39" i="48"/>
  <c r="R45" i="41" s="1"/>
  <c r="AE32" i="48"/>
  <c r="AG32" i="48" s="1"/>
  <c r="AJ32" i="48" s="1"/>
  <c r="AG28" i="48"/>
  <c r="AJ28" i="48" s="1"/>
  <c r="AH5" i="48"/>
  <c r="AG5" i="48"/>
  <c r="AJ5" i="48" s="1"/>
  <c r="AE23" i="48"/>
  <c r="AE34" i="48"/>
  <c r="H49" i="48"/>
  <c r="AG38" i="48"/>
  <c r="AJ38" i="48" s="1"/>
  <c r="AH38" i="48"/>
  <c r="AG22" i="48"/>
  <c r="AJ22" i="48" s="1"/>
  <c r="AH22" i="48"/>
  <c r="AG30" i="48"/>
  <c r="AJ30" i="48" s="1"/>
  <c r="AH30" i="48"/>
  <c r="AH18" i="48"/>
  <c r="AG18" i="48"/>
  <c r="AJ18" i="48" s="1"/>
  <c r="AG15" i="48"/>
  <c r="AJ15" i="48" s="1"/>
  <c r="AH15" i="48"/>
  <c r="AG24" i="48"/>
  <c r="AJ24" i="48" s="1"/>
  <c r="AH24" i="48"/>
  <c r="AH8" i="48"/>
  <c r="AG8" i="48"/>
  <c r="AJ8" i="48" s="1"/>
  <c r="AH25" i="48"/>
  <c r="AG25" i="48"/>
  <c r="AJ25" i="48" s="1"/>
  <c r="AG9" i="48"/>
  <c r="AJ9" i="48" s="1"/>
  <c r="AH9" i="48"/>
  <c r="AH10" i="48"/>
  <c r="AG10" i="48"/>
  <c r="AJ10" i="48" s="1"/>
  <c r="AG17" i="48"/>
  <c r="AJ17" i="48" s="1"/>
  <c r="AH17" i="48"/>
  <c r="AH33" i="48"/>
  <c r="AG33" i="48"/>
  <c r="AJ33" i="48" s="1"/>
  <c r="AG37" i="48"/>
  <c r="AJ37" i="48" s="1"/>
  <c r="AH37" i="48"/>
  <c r="AH12" i="48"/>
  <c r="AG12" i="48"/>
  <c r="AJ12" i="48" s="1"/>
  <c r="AH13" i="48"/>
  <c r="AG13" i="48"/>
  <c r="AJ13" i="48" s="1"/>
  <c r="AH21" i="48"/>
  <c r="AG21" i="48"/>
  <c r="AJ21" i="48" s="1"/>
  <c r="AG6" i="48"/>
  <c r="AJ6" i="48" s="1"/>
  <c r="AH6" i="48"/>
  <c r="AH27" i="48"/>
  <c r="AG27" i="48"/>
  <c r="AJ27" i="48" s="1"/>
  <c r="AE36" i="48"/>
  <c r="H46" i="47"/>
  <c r="AF23" i="47"/>
  <c r="AE23" i="47"/>
  <c r="AH23" i="47" s="1"/>
  <c r="AE30" i="47"/>
  <c r="AH30" i="47" s="1"/>
  <c r="AF30" i="47"/>
  <c r="AF18" i="47"/>
  <c r="AE18" i="47"/>
  <c r="AH18" i="47" s="1"/>
  <c r="AE28" i="47"/>
  <c r="AH28" i="47" s="1"/>
  <c r="AF28" i="47"/>
  <c r="AF5" i="47"/>
  <c r="AE5" i="47"/>
  <c r="AH5" i="47" s="1"/>
  <c r="AE39" i="47"/>
  <c r="AH39" i="47" s="1"/>
  <c r="AF39" i="47"/>
  <c r="AF31" i="47"/>
  <c r="AE31" i="47"/>
  <c r="AH31" i="47" s="1"/>
  <c r="AE19" i="47"/>
  <c r="AH19" i="47" s="1"/>
  <c r="AF19" i="47"/>
  <c r="AE22" i="47"/>
  <c r="AH22" i="47" s="1"/>
  <c r="AF22" i="47"/>
  <c r="AF7" i="47"/>
  <c r="AE7" i="47"/>
  <c r="AH7" i="47" s="1"/>
  <c r="AF26" i="47"/>
  <c r="AE26" i="47"/>
  <c r="AH26" i="47" s="1"/>
  <c r="AC14" i="47"/>
  <c r="AF34" i="47"/>
  <c r="AE34" i="47"/>
  <c r="AH34" i="47" s="1"/>
  <c r="AC6" i="47"/>
  <c r="AE13" i="47"/>
  <c r="AH13" i="47" s="1"/>
  <c r="AF13" i="47"/>
  <c r="AE37" i="47"/>
  <c r="AH37" i="47" s="1"/>
  <c r="AF37" i="47"/>
  <c r="AF40" i="47"/>
  <c r="AE40" i="47"/>
  <c r="AH40" i="47" s="1"/>
  <c r="H46" i="46"/>
  <c r="AE25" i="46"/>
  <c r="AH25" i="46" s="1"/>
  <c r="AF25" i="46"/>
  <c r="AF16" i="46"/>
  <c r="AE16" i="46"/>
  <c r="AH16" i="46" s="1"/>
  <c r="AC11" i="46"/>
  <c r="J12" i="50" s="1"/>
  <c r="AE17" i="46"/>
  <c r="AH17" i="46" s="1"/>
  <c r="AC41" i="46"/>
  <c r="J42" i="50" s="1"/>
  <c r="AC13" i="46"/>
  <c r="J14" i="50" s="1"/>
  <c r="AE39" i="46"/>
  <c r="AH39" i="46" s="1"/>
  <c r="AF18" i="46"/>
  <c r="AE18" i="46"/>
  <c r="AH18" i="46" s="1"/>
  <c r="AF33" i="46"/>
  <c r="AE28" i="46"/>
  <c r="AH28" i="46" s="1"/>
  <c r="AF28" i="46"/>
  <c r="AE5" i="46"/>
  <c r="AH5" i="46" s="1"/>
  <c r="AF5" i="46"/>
  <c r="AC22" i="46"/>
  <c r="J23" i="50" s="1"/>
  <c r="AE10" i="46"/>
  <c r="AH10" i="46" s="1"/>
  <c r="AF10" i="46"/>
  <c r="AF30" i="46"/>
  <c r="AE30" i="46"/>
  <c r="AH30" i="46" s="1"/>
  <c r="AF9" i="46"/>
  <c r="AE9" i="46"/>
  <c r="AH9" i="46" s="1"/>
  <c r="AC43" i="46"/>
  <c r="J44" i="50" s="1"/>
  <c r="AF27" i="46"/>
  <c r="AE27" i="46"/>
  <c r="AH27" i="46" s="1"/>
  <c r="AE40" i="46"/>
  <c r="AH40" i="46" s="1"/>
  <c r="AF40" i="46"/>
  <c r="AF14" i="46"/>
  <c r="AE14" i="46"/>
  <c r="AH14" i="46" s="1"/>
  <c r="AF31" i="46"/>
  <c r="AE31" i="46"/>
  <c r="AH31" i="46" s="1"/>
  <c r="AE24" i="46"/>
  <c r="AH24" i="46" s="1"/>
  <c r="AF24" i="46"/>
  <c r="AE36" i="46"/>
  <c r="AH36" i="46" s="1"/>
  <c r="AF36" i="46"/>
  <c r="AC29" i="46"/>
  <c r="J30" i="50" s="1"/>
  <c r="AC8" i="46"/>
  <c r="J9" i="50" s="1"/>
  <c r="AF37" i="46"/>
  <c r="AE37" i="46"/>
  <c r="AH37" i="46" s="1"/>
  <c r="AC21" i="46"/>
  <c r="J22" i="50" s="1"/>
  <c r="AF26" i="46"/>
  <c r="AE26" i="46"/>
  <c r="AH26" i="46" s="1"/>
  <c r="AH31" i="1"/>
  <c r="AG31" i="1"/>
  <c r="AJ31" i="1" s="1"/>
  <c r="O33" i="1"/>
  <c r="O31" i="1"/>
  <c r="P31" i="1" s="1"/>
  <c r="Q31" i="1" s="1"/>
  <c r="R31" i="1" s="1"/>
  <c r="F32" i="41" s="1"/>
  <c r="Q32" i="1"/>
  <c r="R32" i="1" s="1"/>
  <c r="F33" i="41" s="1"/>
  <c r="Q40" i="1"/>
  <c r="R40" i="1" s="1"/>
  <c r="F41" i="41" s="1"/>
  <c r="AG40" i="1"/>
  <c r="AJ40" i="1" s="1"/>
  <c r="AH40" i="1"/>
  <c r="S30" i="1"/>
  <c r="V30" i="1" s="1"/>
  <c r="AP30" i="1" s="1"/>
  <c r="Q34" i="1"/>
  <c r="R34" i="1" s="1"/>
  <c r="F35" i="41" s="1"/>
  <c r="AG15" i="1"/>
  <c r="AJ15" i="1" s="1"/>
  <c r="R15" i="1"/>
  <c r="F16" i="41" s="1"/>
  <c r="Q12" i="1"/>
  <c r="R12" i="1" s="1"/>
  <c r="F13" i="41" s="1"/>
  <c r="AH12" i="1"/>
  <c r="AG12" i="1"/>
  <c r="AJ12" i="1" s="1"/>
  <c r="Q10" i="1"/>
  <c r="R10" i="1" s="1"/>
  <c r="F11" i="41" s="1"/>
  <c r="AE10" i="1"/>
  <c r="F11" i="50" s="1"/>
  <c r="Q9" i="1"/>
  <c r="R9" i="1" s="1"/>
  <c r="F10" i="41" s="1"/>
  <c r="AG9" i="1"/>
  <c r="AJ9" i="1" s="1"/>
  <c r="AH9" i="1"/>
  <c r="Q8" i="1"/>
  <c r="R8" i="1" s="1"/>
  <c r="F9" i="41" s="1"/>
  <c r="AE8" i="1"/>
  <c r="F9" i="50" s="1"/>
  <c r="AE13" i="46" l="1"/>
  <c r="AH13" i="46" s="1"/>
  <c r="AF13" i="46"/>
  <c r="U30" i="1"/>
  <c r="AO30" i="1" s="1"/>
  <c r="F31" i="7" s="1"/>
  <c r="V40" i="48"/>
  <c r="AP40" i="48" s="1"/>
  <c r="S46" i="7" s="1"/>
  <c r="R46" i="7"/>
  <c r="S49" i="41"/>
  <c r="T49" i="41" s="1"/>
  <c r="S49" i="7"/>
  <c r="S49" i="50"/>
  <c r="T49" i="50" s="1"/>
  <c r="S48" i="41"/>
  <c r="T48" i="41" s="1"/>
  <c r="S48" i="7"/>
  <c r="S48" i="50"/>
  <c r="T48" i="50" s="1"/>
  <c r="S50" i="7"/>
  <c r="T50" i="7" s="1"/>
  <c r="S50" i="50"/>
  <c r="T50" i="50" s="1"/>
  <c r="S50" i="41"/>
  <c r="T50" i="41" s="1"/>
  <c r="S46" i="41"/>
  <c r="T46" i="41" s="1"/>
  <c r="S32" i="1"/>
  <c r="V32" i="1" s="1"/>
  <c r="AP32" i="1" s="1"/>
  <c r="G33" i="41" s="1"/>
  <c r="H33" i="41" s="1"/>
  <c r="U32" i="1"/>
  <c r="AO32" i="1" s="1"/>
  <c r="F33" i="7" s="1"/>
  <c r="G31" i="7"/>
  <c r="G31" i="50"/>
  <c r="H31" i="50" s="1"/>
  <c r="G31" i="41"/>
  <c r="H31" i="41" s="1"/>
  <c r="AE33" i="46"/>
  <c r="AH33" i="46" s="1"/>
  <c r="AF12" i="46"/>
  <c r="J13" i="50"/>
  <c r="AE12" i="46"/>
  <c r="AH12" i="46" s="1"/>
  <c r="AF27" i="49"/>
  <c r="AE27" i="49"/>
  <c r="AH27" i="49" s="1"/>
  <c r="AE42" i="49"/>
  <c r="AH42" i="49" s="1"/>
  <c r="AF42" i="49"/>
  <c r="AE16" i="49"/>
  <c r="AH16" i="49" s="1"/>
  <c r="AF16" i="49"/>
  <c r="S45" i="48"/>
  <c r="V45" i="48" s="1"/>
  <c r="AP45" i="48" s="1"/>
  <c r="U45" i="48"/>
  <c r="AO45" i="48" s="1"/>
  <c r="R51" i="7" s="1"/>
  <c r="AH43" i="48"/>
  <c r="AO43" i="48" s="1"/>
  <c r="AG43" i="48"/>
  <c r="AJ43" i="48" s="1"/>
  <c r="T44" i="48"/>
  <c r="W44" i="48" s="1"/>
  <c r="L34" i="8" s="1"/>
  <c r="S46" i="48"/>
  <c r="V46" i="48" s="1"/>
  <c r="AP46" i="48" s="1"/>
  <c r="U46" i="48"/>
  <c r="AO46" i="48" s="1"/>
  <c r="R52" i="7" s="1"/>
  <c r="AQ44" i="48"/>
  <c r="T42" i="48"/>
  <c r="W42" i="48" s="1"/>
  <c r="L32" i="8" s="1"/>
  <c r="S41" i="48"/>
  <c r="V41" i="48" s="1"/>
  <c r="AP41" i="48" s="1"/>
  <c r="U41" i="48"/>
  <c r="AO41" i="48" s="1"/>
  <c r="R47" i="7" s="1"/>
  <c r="AO42" i="48"/>
  <c r="AH32" i="48"/>
  <c r="S39" i="48"/>
  <c r="V39" i="48" s="1"/>
  <c r="AP39" i="48" s="1"/>
  <c r="U39" i="48"/>
  <c r="AO39" i="48" s="1"/>
  <c r="R45" i="7" s="1"/>
  <c r="AH7" i="48"/>
  <c r="AG7" i="48"/>
  <c r="AJ7" i="48" s="1"/>
  <c r="AH23" i="48"/>
  <c r="AG23" i="48"/>
  <c r="AJ23" i="48" s="1"/>
  <c r="AH34" i="48"/>
  <c r="AG34" i="48"/>
  <c r="AJ34" i="48" s="1"/>
  <c r="AG36" i="48"/>
  <c r="AJ36" i="48" s="1"/>
  <c r="AH36" i="48"/>
  <c r="AE6" i="47"/>
  <c r="AH6" i="47" s="1"/>
  <c r="AF6" i="47"/>
  <c r="D53" i="47"/>
  <c r="AF14" i="47"/>
  <c r="AE14" i="47"/>
  <c r="AH14" i="47" s="1"/>
  <c r="AE11" i="46"/>
  <c r="AH11" i="46" s="1"/>
  <c r="AF11" i="46"/>
  <c r="AE41" i="46"/>
  <c r="AH41" i="46" s="1"/>
  <c r="AF41" i="46"/>
  <c r="AF43" i="46"/>
  <c r="AE43" i="46"/>
  <c r="AH43" i="46" s="1"/>
  <c r="AF22" i="46"/>
  <c r="AE22" i="46"/>
  <c r="AH22" i="46" s="1"/>
  <c r="AF29" i="46"/>
  <c r="AE29" i="46"/>
  <c r="AH29" i="46" s="1"/>
  <c r="AF21" i="46"/>
  <c r="AE21" i="46"/>
  <c r="AH21" i="46" s="1"/>
  <c r="AF8" i="46"/>
  <c r="AE8" i="46"/>
  <c r="AH8" i="46" s="1"/>
  <c r="U31" i="1"/>
  <c r="AO31" i="1" s="1"/>
  <c r="S31" i="1"/>
  <c r="V31" i="1" s="1"/>
  <c r="AP31" i="1" s="1"/>
  <c r="P33" i="1"/>
  <c r="Q33" i="1" s="1"/>
  <c r="R33" i="1" s="1"/>
  <c r="F34" i="41" s="1"/>
  <c r="S40" i="1"/>
  <c r="V40" i="1" s="1"/>
  <c r="AP40" i="1" s="1"/>
  <c r="U40" i="1"/>
  <c r="AO40" i="1" s="1"/>
  <c r="F41" i="7" s="1"/>
  <c r="T30" i="1"/>
  <c r="W30" i="1" s="1"/>
  <c r="S34" i="1"/>
  <c r="V34" i="1" s="1"/>
  <c r="U34" i="1"/>
  <c r="S15" i="1"/>
  <c r="V15" i="1" s="1"/>
  <c r="AP15" i="1" s="1"/>
  <c r="U15" i="1"/>
  <c r="AO15" i="1" s="1"/>
  <c r="F16" i="7" s="1"/>
  <c r="S12" i="1"/>
  <c r="V12" i="1" s="1"/>
  <c r="AP12" i="1" s="1"/>
  <c r="U12" i="1"/>
  <c r="AO12" i="1" s="1"/>
  <c r="F13" i="7" s="1"/>
  <c r="S10" i="1"/>
  <c r="V10" i="1" s="1"/>
  <c r="AP10" i="1" s="1"/>
  <c r="U10" i="1"/>
  <c r="AH10" i="1"/>
  <c r="AG10" i="1"/>
  <c r="AJ10" i="1" s="1"/>
  <c r="U8" i="1"/>
  <c r="S8" i="1"/>
  <c r="V8" i="1" s="1"/>
  <c r="AP8" i="1" s="1"/>
  <c r="S9" i="1"/>
  <c r="V9" i="1" s="1"/>
  <c r="AP9" i="1" s="1"/>
  <c r="U9" i="1"/>
  <c r="AO9" i="1" s="1"/>
  <c r="F10" i="7" s="1"/>
  <c r="AH8" i="1"/>
  <c r="AG8" i="1"/>
  <c r="AJ8" i="1" s="1"/>
  <c r="AA37" i="1"/>
  <c r="AB37" i="1" s="1"/>
  <c r="AC37" i="1" s="1"/>
  <c r="AF37" i="1" s="1"/>
  <c r="AI37" i="1" s="1"/>
  <c r="AA38" i="1"/>
  <c r="AB38" i="1" s="1"/>
  <c r="AA39" i="1"/>
  <c r="AB39" i="1" s="1"/>
  <c r="AA41" i="1"/>
  <c r="AB41" i="1" s="1"/>
  <c r="AA42" i="1"/>
  <c r="AB42" i="1" s="1"/>
  <c r="AA43" i="1"/>
  <c r="AB43" i="1" s="1"/>
  <c r="AA22" i="1"/>
  <c r="AB22" i="1" s="1"/>
  <c r="AA23" i="1"/>
  <c r="AB23" i="1" s="1"/>
  <c r="AC23" i="1" s="1"/>
  <c r="AF23" i="1" s="1"/>
  <c r="AI23" i="1" s="1"/>
  <c r="AB24" i="1"/>
  <c r="AC24" i="1" s="1"/>
  <c r="AF24" i="1" s="1"/>
  <c r="AI24" i="1" s="1"/>
  <c r="AA25" i="1"/>
  <c r="AB25" i="1" s="1"/>
  <c r="AA26" i="1"/>
  <c r="AA27" i="1"/>
  <c r="AB27" i="1" s="1"/>
  <c r="AA28" i="1"/>
  <c r="AB28" i="1" s="1"/>
  <c r="AA29" i="1"/>
  <c r="AB29" i="1" s="1"/>
  <c r="AA34" i="1"/>
  <c r="AB34" i="1" s="1"/>
  <c r="AA6" i="1"/>
  <c r="AB6" i="1" s="1"/>
  <c r="AC6" i="1" s="1"/>
  <c r="AF6" i="1" s="1"/>
  <c r="AI6" i="1" s="1"/>
  <c r="AA7" i="1"/>
  <c r="AB7" i="1" s="1"/>
  <c r="AA13" i="1"/>
  <c r="AA14" i="1"/>
  <c r="AB14" i="1" s="1"/>
  <c r="AA16" i="1"/>
  <c r="AB16" i="1" s="1"/>
  <c r="AA17" i="1"/>
  <c r="AB17" i="1" s="1"/>
  <c r="AA11" i="1"/>
  <c r="AB11" i="1" s="1"/>
  <c r="AA18" i="1"/>
  <c r="AB18" i="1" s="1"/>
  <c r="AA19" i="1"/>
  <c r="AB19" i="1" s="1"/>
  <c r="C53" i="1"/>
  <c r="C55" i="1" s="1"/>
  <c r="M43" i="1"/>
  <c r="M42" i="1"/>
  <c r="M41" i="1"/>
  <c r="M39" i="1"/>
  <c r="M38" i="1"/>
  <c r="M37" i="1"/>
  <c r="M36" i="1"/>
  <c r="M5" i="1"/>
  <c r="G28" i="1"/>
  <c r="H28" i="1" s="1"/>
  <c r="C6" i="7"/>
  <c r="D6" i="7"/>
  <c r="B3" i="25"/>
  <c r="B4" i="25"/>
  <c r="B5" i="25"/>
  <c r="B6" i="25"/>
  <c r="AQ30" i="1" l="1"/>
  <c r="AB26" i="1"/>
  <c r="AC26" i="1" s="1"/>
  <c r="AF26" i="1" s="1"/>
  <c r="AI26" i="1" s="1"/>
  <c r="S46" i="50"/>
  <c r="T46" i="50" s="1"/>
  <c r="T46" i="7"/>
  <c r="T46" i="48"/>
  <c r="W46" i="48" s="1"/>
  <c r="L36" i="8" s="1"/>
  <c r="AQ40" i="48"/>
  <c r="S45" i="50"/>
  <c r="T45" i="50" s="1"/>
  <c r="S45" i="7"/>
  <c r="T45" i="7" s="1"/>
  <c r="S45" i="41"/>
  <c r="T45" i="41" s="1"/>
  <c r="AQ42" i="48"/>
  <c r="R48" i="7"/>
  <c r="T48" i="7" s="1"/>
  <c r="S51" i="50"/>
  <c r="T51" i="50" s="1"/>
  <c r="S51" i="41"/>
  <c r="T51" i="41" s="1"/>
  <c r="S51" i="7"/>
  <c r="T51" i="7" s="1"/>
  <c r="S52" i="41"/>
  <c r="T52" i="41" s="1"/>
  <c r="S52" i="50"/>
  <c r="T52" i="50" s="1"/>
  <c r="S52" i="7"/>
  <c r="T52" i="7" s="1"/>
  <c r="S47" i="50"/>
  <c r="T47" i="50" s="1"/>
  <c r="S47" i="41"/>
  <c r="T47" i="41" s="1"/>
  <c r="S47" i="7"/>
  <c r="T47" i="7" s="1"/>
  <c r="AQ43" i="48"/>
  <c r="R49" i="7"/>
  <c r="T49" i="7" s="1"/>
  <c r="T31" i="1"/>
  <c r="W31" i="1" s="1"/>
  <c r="T32" i="1"/>
  <c r="W32" i="1" s="1"/>
  <c r="H31" i="7"/>
  <c r="G33" i="7"/>
  <c r="H33" i="7" s="1"/>
  <c r="G33" i="50"/>
  <c r="H33" i="50" s="1"/>
  <c r="G41" i="41"/>
  <c r="G41" i="50"/>
  <c r="H41" i="50" s="1"/>
  <c r="G41" i="7"/>
  <c r="H41" i="7" s="1"/>
  <c r="AQ32" i="1"/>
  <c r="G32" i="50"/>
  <c r="H32" i="50" s="1"/>
  <c r="G32" i="41"/>
  <c r="H32" i="41" s="1"/>
  <c r="G32" i="7"/>
  <c r="AQ31" i="1"/>
  <c r="F32" i="7"/>
  <c r="G9" i="7"/>
  <c r="G9" i="50"/>
  <c r="H9" i="50" s="1"/>
  <c r="G9" i="41"/>
  <c r="G10" i="50"/>
  <c r="H10" i="50" s="1"/>
  <c r="G10" i="41"/>
  <c r="G10" i="7"/>
  <c r="H10" i="7" s="1"/>
  <c r="G16" i="50"/>
  <c r="H16" i="50" s="1"/>
  <c r="G16" i="41"/>
  <c r="H16" i="41" s="1"/>
  <c r="G16" i="7"/>
  <c r="H16" i="7" s="1"/>
  <c r="G11" i="7"/>
  <c r="G11" i="50"/>
  <c r="H11" i="50" s="1"/>
  <c r="G11" i="41"/>
  <c r="G13" i="7"/>
  <c r="H13" i="7" s="1"/>
  <c r="G13" i="41"/>
  <c r="G13" i="50"/>
  <c r="H13" i="50" s="1"/>
  <c r="D56" i="49"/>
  <c r="AQ40" i="1"/>
  <c r="AQ45" i="48"/>
  <c r="AQ46" i="48"/>
  <c r="T45" i="48"/>
  <c r="W45" i="48" s="1"/>
  <c r="L35" i="8" s="1"/>
  <c r="AQ41" i="48"/>
  <c r="T39" i="48"/>
  <c r="W39" i="48" s="1"/>
  <c r="L29" i="8" s="1"/>
  <c r="T41" i="48"/>
  <c r="W41" i="48" s="1"/>
  <c r="L31" i="8" s="1"/>
  <c r="AQ39" i="48"/>
  <c r="D53" i="46"/>
  <c r="S33" i="1"/>
  <c r="V33" i="1" s="1"/>
  <c r="AP33" i="1" s="1"/>
  <c r="U33" i="1"/>
  <c r="AO33" i="1" s="1"/>
  <c r="T40" i="1"/>
  <c r="W40" i="1" s="1"/>
  <c r="F25" i="8" s="1"/>
  <c r="T34" i="1"/>
  <c r="W34" i="1" s="1"/>
  <c r="T12" i="1"/>
  <c r="W12" i="1" s="1"/>
  <c r="T15" i="1"/>
  <c r="W15" i="1" s="1"/>
  <c r="F16" i="8" s="1"/>
  <c r="AQ15" i="1"/>
  <c r="AQ12" i="1"/>
  <c r="T10" i="1"/>
  <c r="W10" i="1" s="1"/>
  <c r="AO10" i="1"/>
  <c r="AQ9" i="1"/>
  <c r="T9" i="1"/>
  <c r="W9" i="1" s="1"/>
  <c r="T8" i="1"/>
  <c r="W8" i="1" s="1"/>
  <c r="AO8" i="1"/>
  <c r="F46" i="1"/>
  <c r="M21" i="1"/>
  <c r="AC11" i="1"/>
  <c r="AF11" i="1" s="1"/>
  <c r="AI11" i="1" s="1"/>
  <c r="AC27" i="1"/>
  <c r="AF27" i="1" s="1"/>
  <c r="AI27" i="1" s="1"/>
  <c r="AC17" i="1"/>
  <c r="AF17" i="1" s="1"/>
  <c r="AI17" i="1" s="1"/>
  <c r="AC41" i="1"/>
  <c r="AF41" i="1" s="1"/>
  <c r="AI41" i="1" s="1"/>
  <c r="AC19" i="1"/>
  <c r="AF19" i="1" s="1"/>
  <c r="AI19" i="1" s="1"/>
  <c r="AC7" i="1"/>
  <c r="AF7" i="1" s="1"/>
  <c r="AI7" i="1" s="1"/>
  <c r="AC18" i="1"/>
  <c r="AF18" i="1" s="1"/>
  <c r="AI18" i="1" s="1"/>
  <c r="AC29" i="1"/>
  <c r="AC43" i="1"/>
  <c r="AF43" i="1" s="1"/>
  <c r="AI43" i="1" s="1"/>
  <c r="AC28" i="1"/>
  <c r="AF28" i="1" s="1"/>
  <c r="AI28" i="1" s="1"/>
  <c r="AC42" i="1"/>
  <c r="AF42" i="1" s="1"/>
  <c r="AI42" i="1" s="1"/>
  <c r="AC25" i="1"/>
  <c r="AF25" i="1" s="1"/>
  <c r="AI25" i="1" s="1"/>
  <c r="AC38" i="1"/>
  <c r="AF38" i="1" s="1"/>
  <c r="AI38" i="1" s="1"/>
  <c r="AC14" i="1"/>
  <c r="AF14" i="1" s="1"/>
  <c r="AI14" i="1" s="1"/>
  <c r="AB13" i="1"/>
  <c r="AE37" i="1"/>
  <c r="N36" i="1"/>
  <c r="AC39" i="1"/>
  <c r="AF39" i="1" s="1"/>
  <c r="AI39" i="1" s="1"/>
  <c r="AE24" i="1"/>
  <c r="F25" i="50" s="1"/>
  <c r="AE23" i="1"/>
  <c r="F24" i="50" s="1"/>
  <c r="AC34" i="1"/>
  <c r="AF34" i="1" s="1"/>
  <c r="AI34" i="1" s="1"/>
  <c r="AP34" i="1" s="1"/>
  <c r="AC22" i="1"/>
  <c r="AF22" i="1" s="1"/>
  <c r="AI22" i="1" s="1"/>
  <c r="AC16" i="1"/>
  <c r="AF16" i="1" s="1"/>
  <c r="AI16" i="1" s="1"/>
  <c r="AE6" i="1"/>
  <c r="F7" i="50" s="1"/>
  <c r="G35" i="41" l="1"/>
  <c r="H35" i="41" s="1"/>
  <c r="G35" i="7"/>
  <c r="G35" i="50"/>
  <c r="AH37" i="1"/>
  <c r="F38" i="50"/>
  <c r="AF29" i="1"/>
  <c r="AI29" i="1" s="1"/>
  <c r="H32" i="7"/>
  <c r="G34" i="50"/>
  <c r="H34" i="50" s="1"/>
  <c r="G34" i="7"/>
  <c r="G34" i="41"/>
  <c r="H34" i="41" s="1"/>
  <c r="AQ33" i="1"/>
  <c r="F34" i="7"/>
  <c r="AQ8" i="1"/>
  <c r="F9" i="7"/>
  <c r="H9" i="7" s="1"/>
  <c r="AQ10" i="1"/>
  <c r="F11" i="7"/>
  <c r="H11" i="7" s="1"/>
  <c r="T33" i="1"/>
  <c r="W33" i="1" s="1"/>
  <c r="AH23" i="1"/>
  <c r="AH24" i="1"/>
  <c r="AH6" i="1"/>
  <c r="AG37" i="1"/>
  <c r="AJ37" i="1" s="1"/>
  <c r="AE19" i="1"/>
  <c r="F20" i="50" s="1"/>
  <c r="AE16" i="1"/>
  <c r="AE28" i="1"/>
  <c r="AE43" i="1"/>
  <c r="AE27" i="1"/>
  <c r="AE17" i="1"/>
  <c r="AE11" i="1"/>
  <c r="F12" i="50" s="1"/>
  <c r="AE41" i="1"/>
  <c r="AE25" i="1"/>
  <c r="AE29" i="1"/>
  <c r="AE38" i="1"/>
  <c r="AC13" i="1"/>
  <c r="AF13" i="1" s="1"/>
  <c r="AI13" i="1" s="1"/>
  <c r="AE7" i="1"/>
  <c r="F8" i="50" s="1"/>
  <c r="AE14" i="1"/>
  <c r="AE42" i="1"/>
  <c r="F43" i="50" s="1"/>
  <c r="AE18" i="1"/>
  <c r="F19" i="50" s="1"/>
  <c r="AE39" i="1"/>
  <c r="F40" i="50" s="1"/>
  <c r="AG23" i="1"/>
  <c r="AJ23" i="1" s="1"/>
  <c r="AG24" i="1"/>
  <c r="AJ24" i="1" s="1"/>
  <c r="AE22" i="1"/>
  <c r="F23" i="50" s="1"/>
  <c r="AE34" i="1"/>
  <c r="AE26" i="1"/>
  <c r="F27" i="50" s="1"/>
  <c r="AG6" i="1"/>
  <c r="AJ6" i="1" s="1"/>
  <c r="AH25" i="1" l="1"/>
  <c r="F26" i="50"/>
  <c r="AH14" i="1"/>
  <c r="F15" i="50"/>
  <c r="AH17" i="1"/>
  <c r="F18" i="50"/>
  <c r="AH34" i="1"/>
  <c r="AO34" i="1" s="1"/>
  <c r="F35" i="50"/>
  <c r="H35" i="50" s="1"/>
  <c r="AH27" i="1"/>
  <c r="F28" i="50"/>
  <c r="AH43" i="1"/>
  <c r="F44" i="50"/>
  <c r="AH28" i="1"/>
  <c r="F29" i="50"/>
  <c r="AH41" i="1"/>
  <c r="F42" i="50"/>
  <c r="AH38" i="1"/>
  <c r="F39" i="50"/>
  <c r="AH29" i="1"/>
  <c r="F30" i="50"/>
  <c r="AH16" i="1"/>
  <c r="F17" i="50"/>
  <c r="H34" i="7"/>
  <c r="AH18" i="1"/>
  <c r="AH39" i="1"/>
  <c r="AH42" i="1"/>
  <c r="AG19" i="1"/>
  <c r="AJ19" i="1" s="1"/>
  <c r="AH19" i="1"/>
  <c r="AH11" i="1"/>
  <c r="AH7" i="1"/>
  <c r="AH26" i="1"/>
  <c r="AH22" i="1"/>
  <c r="AG25" i="1"/>
  <c r="AJ25" i="1" s="1"/>
  <c r="AG41" i="1"/>
  <c r="AJ41" i="1" s="1"/>
  <c r="AG16" i="1"/>
  <c r="AJ16" i="1" s="1"/>
  <c r="AG38" i="1"/>
  <c r="AJ38" i="1" s="1"/>
  <c r="AG29" i="1"/>
  <c r="AJ29" i="1" s="1"/>
  <c r="AG17" i="1"/>
  <c r="AJ17" i="1" s="1"/>
  <c r="AG27" i="1"/>
  <c r="AJ27" i="1" s="1"/>
  <c r="AG43" i="1"/>
  <c r="AJ43" i="1" s="1"/>
  <c r="AG28" i="1"/>
  <c r="AJ28" i="1" s="1"/>
  <c r="AG11" i="1"/>
  <c r="AJ11" i="1" s="1"/>
  <c r="AG14" i="1"/>
  <c r="AJ14" i="1" s="1"/>
  <c r="AG7" i="1"/>
  <c r="AJ7" i="1" s="1"/>
  <c r="AG18" i="1"/>
  <c r="AJ18" i="1" s="1"/>
  <c r="AG42" i="1"/>
  <c r="AJ42" i="1" s="1"/>
  <c r="AE13" i="1"/>
  <c r="F14" i="50" s="1"/>
  <c r="AG39" i="1"/>
  <c r="AJ39" i="1" s="1"/>
  <c r="AG22" i="1"/>
  <c r="AJ22" i="1" s="1"/>
  <c r="AG26" i="1"/>
  <c r="AJ26" i="1" s="1"/>
  <c r="AG34" i="1"/>
  <c r="AJ34" i="1" s="1"/>
  <c r="F35" i="7" l="1"/>
  <c r="H35" i="7" s="1"/>
  <c r="AQ34" i="1"/>
  <c r="AH13" i="1"/>
  <c r="AG13" i="1"/>
  <c r="AJ13" i="1" s="1"/>
  <c r="M28" i="1" l="1"/>
  <c r="N28" i="1" l="1"/>
  <c r="O28" i="1" s="1"/>
  <c r="G29" i="1"/>
  <c r="G27" i="1"/>
  <c r="G26" i="1"/>
  <c r="G25" i="1"/>
  <c r="G24" i="1"/>
  <c r="G23" i="1"/>
  <c r="G22" i="1"/>
  <c r="G21" i="1"/>
  <c r="AA5" i="1"/>
  <c r="M7" i="1"/>
  <c r="N37" i="1"/>
  <c r="AA36" i="1"/>
  <c r="M29" i="1"/>
  <c r="M27" i="1"/>
  <c r="M26" i="1"/>
  <c r="M25" i="1"/>
  <c r="M24" i="1"/>
  <c r="M23" i="1"/>
  <c r="M22" i="1"/>
  <c r="M19" i="1"/>
  <c r="M18" i="1"/>
  <c r="M17" i="1"/>
  <c r="M16" i="1"/>
  <c r="M14" i="1"/>
  <c r="M13" i="1"/>
  <c r="M6" i="1"/>
  <c r="M11" i="1"/>
  <c r="P28" i="1" l="1"/>
  <c r="Q28" i="1" s="1"/>
  <c r="R28" i="1" s="1"/>
  <c r="F29" i="41" s="1"/>
  <c r="N19" i="1"/>
  <c r="O19" i="1" s="1"/>
  <c r="N7" i="1"/>
  <c r="O7" i="1" s="1"/>
  <c r="P7" i="1" s="1"/>
  <c r="H21" i="1"/>
  <c r="H25" i="1"/>
  <c r="H26" i="1"/>
  <c r="H27" i="1"/>
  <c r="H29" i="1"/>
  <c r="H22" i="1"/>
  <c r="H23" i="1"/>
  <c r="H24" i="1"/>
  <c r="AB5" i="1"/>
  <c r="AC5" i="1" s="1"/>
  <c r="AF5" i="1" s="1"/>
  <c r="AI5" i="1" s="1"/>
  <c r="AB21" i="1"/>
  <c r="AC21" i="1" s="1"/>
  <c r="AF21" i="1" s="1"/>
  <c r="AI21" i="1" s="1"/>
  <c r="O37" i="1"/>
  <c r="N22" i="1"/>
  <c r="N5" i="1"/>
  <c r="U28" i="1" l="1"/>
  <c r="AO28" i="1" s="1"/>
  <c r="F29" i="7" s="1"/>
  <c r="S28" i="1"/>
  <c r="T28" i="1" s="1"/>
  <c r="W28" i="1" s="1"/>
  <c r="AE21" i="1"/>
  <c r="AE5" i="1"/>
  <c r="F6" i="50" s="1"/>
  <c r="P37" i="1"/>
  <c r="Q37" i="1" s="1"/>
  <c r="P19" i="1"/>
  <c r="O22" i="1"/>
  <c r="P22" i="1" s="1"/>
  <c r="Q22" i="1" s="1"/>
  <c r="Q7" i="1"/>
  <c r="O5" i="1"/>
  <c r="P5" i="1" s="1"/>
  <c r="AH21" i="1" l="1"/>
  <c r="F22" i="50"/>
  <c r="AH5" i="1"/>
  <c r="V28" i="1"/>
  <c r="AP28" i="1" s="1"/>
  <c r="Q5" i="1"/>
  <c r="R5" i="1" s="1"/>
  <c r="F6" i="41" s="1"/>
  <c r="AG21" i="1"/>
  <c r="AJ21" i="1" s="1"/>
  <c r="R37" i="1"/>
  <c r="Q19" i="1"/>
  <c r="R19" i="1" s="1"/>
  <c r="R22" i="1"/>
  <c r="U37" i="1" l="1"/>
  <c r="F38" i="41"/>
  <c r="AQ28" i="1"/>
  <c r="G29" i="41"/>
  <c r="H29" i="41" s="1"/>
  <c r="G29" i="7"/>
  <c r="H29" i="7" s="1"/>
  <c r="G29" i="50"/>
  <c r="H29" i="50" s="1"/>
  <c r="U22" i="1"/>
  <c r="F23" i="41"/>
  <c r="U19" i="1"/>
  <c r="F20" i="41"/>
  <c r="S5" i="1"/>
  <c r="V5" i="1" s="1"/>
  <c r="U5" i="1"/>
  <c r="S37" i="1"/>
  <c r="S22" i="1"/>
  <c r="S19" i="1"/>
  <c r="V19" i="1" l="1"/>
  <c r="V22" i="1"/>
  <c r="V37" i="1"/>
  <c r="N43" i="1" l="1"/>
  <c r="N42" i="1"/>
  <c r="N41" i="1"/>
  <c r="N39" i="1"/>
  <c r="N38" i="1"/>
  <c r="N21" i="1"/>
  <c r="O41" i="1" l="1"/>
  <c r="P41" i="1" s="1"/>
  <c r="Q41" i="1" s="1"/>
  <c r="O43" i="1"/>
  <c r="P43" i="1" s="1"/>
  <c r="O42" i="1"/>
  <c r="P42" i="1" s="1"/>
  <c r="O38" i="1"/>
  <c r="P38" i="1" s="1"/>
  <c r="O39" i="1"/>
  <c r="P39" i="1" s="1"/>
  <c r="O36" i="1"/>
  <c r="N29" i="1"/>
  <c r="N27" i="1"/>
  <c r="N26" i="1"/>
  <c r="N25" i="1"/>
  <c r="N24" i="1"/>
  <c r="N23" i="1"/>
  <c r="N18" i="1"/>
  <c r="N17" i="1"/>
  <c r="N16" i="1"/>
  <c r="N14" i="1"/>
  <c r="N13" i="1"/>
  <c r="N6" i="1"/>
  <c r="N11" i="1"/>
  <c r="Q42" i="1" l="1"/>
  <c r="Q43" i="1"/>
  <c r="Q38" i="1"/>
  <c r="Q39" i="1"/>
  <c r="P36" i="1"/>
  <c r="O18" i="1"/>
  <c r="P18" i="1" s="1"/>
  <c r="O26" i="1"/>
  <c r="P26" i="1" s="1"/>
  <c r="O27" i="1"/>
  <c r="P27" i="1" s="1"/>
  <c r="O16" i="1"/>
  <c r="P16" i="1" s="1"/>
  <c r="O24" i="1"/>
  <c r="P24" i="1" s="1"/>
  <c r="O6" i="1"/>
  <c r="P6" i="1" s="1"/>
  <c r="O21" i="1"/>
  <c r="O14" i="1"/>
  <c r="P14" i="1" s="1"/>
  <c r="O29" i="1"/>
  <c r="P29" i="1" s="1"/>
  <c r="O23" i="1"/>
  <c r="P23" i="1" s="1"/>
  <c r="O25" i="1"/>
  <c r="P25" i="1" s="1"/>
  <c r="Q14" i="1" l="1"/>
  <c r="R14" i="1" s="1"/>
  <c r="Q36" i="1"/>
  <c r="R36" i="1" s="1"/>
  <c r="Q29" i="1"/>
  <c r="R29" i="1" s="1"/>
  <c r="Q18" i="1"/>
  <c r="R18" i="1" s="1"/>
  <c r="F19" i="41" s="1"/>
  <c r="Q26" i="1"/>
  <c r="R26" i="1" s="1"/>
  <c r="F27" i="41" s="1"/>
  <c r="Q16" i="1"/>
  <c r="Q24" i="1"/>
  <c r="R24" i="1" s="1"/>
  <c r="Q23" i="1"/>
  <c r="R23" i="1" s="1"/>
  <c r="F24" i="41" s="1"/>
  <c r="Q27" i="1"/>
  <c r="R27" i="1" s="1"/>
  <c r="F28" i="41" s="1"/>
  <c r="Q25" i="1"/>
  <c r="R25" i="1" s="1"/>
  <c r="F26" i="41" s="1"/>
  <c r="P21" i="1"/>
  <c r="Q21" i="1" s="1"/>
  <c r="Q6" i="1"/>
  <c r="U36" i="1" l="1"/>
  <c r="F37" i="41"/>
  <c r="U24" i="1"/>
  <c r="AO24" i="1" s="1"/>
  <c r="F25" i="7" s="1"/>
  <c r="F25" i="41"/>
  <c r="U29" i="1"/>
  <c r="AO29" i="1" s="1"/>
  <c r="F30" i="7" s="1"/>
  <c r="F30" i="41"/>
  <c r="U14" i="1"/>
  <c r="F15" i="41"/>
  <c r="U26" i="1"/>
  <c r="AO26" i="1" s="1"/>
  <c r="F27" i="7" s="1"/>
  <c r="U18" i="1"/>
  <c r="U25" i="1"/>
  <c r="U27" i="1"/>
  <c r="U23" i="1"/>
  <c r="S29" i="1"/>
  <c r="V29" i="1" s="1"/>
  <c r="S14" i="1"/>
  <c r="S36" i="1"/>
  <c r="V36" i="1" s="1"/>
  <c r="S26" i="1"/>
  <c r="V26" i="1" s="1"/>
  <c r="S27" i="1"/>
  <c r="V27" i="1" s="1"/>
  <c r="S24" i="1"/>
  <c r="V24" i="1" s="1"/>
  <c r="S25" i="1"/>
  <c r="V25" i="1" s="1"/>
  <c r="S23" i="1"/>
  <c r="V23" i="1" s="1"/>
  <c r="AP22" i="1"/>
  <c r="R21" i="1"/>
  <c r="F22" i="41" s="1"/>
  <c r="G23" i="7" l="1"/>
  <c r="G23" i="50"/>
  <c r="H23" i="50" s="1"/>
  <c r="G23" i="41"/>
  <c r="H23" i="41" s="1"/>
  <c r="T29" i="1"/>
  <c r="W29" i="1" s="1"/>
  <c r="U21" i="1"/>
  <c r="H10" i="41"/>
  <c r="V14" i="1"/>
  <c r="AP27" i="1"/>
  <c r="AP24" i="1"/>
  <c r="AP29" i="1"/>
  <c r="AP23" i="1"/>
  <c r="AP25" i="1"/>
  <c r="AP26" i="1"/>
  <c r="T36" i="1"/>
  <c r="W36" i="1" s="1"/>
  <c r="AO25" i="1"/>
  <c r="F26" i="7" s="1"/>
  <c r="AO27" i="1"/>
  <c r="F28" i="7" s="1"/>
  <c r="AO22" i="1"/>
  <c r="F23" i="7" s="1"/>
  <c r="H23" i="7" s="1"/>
  <c r="AO23" i="1"/>
  <c r="F24" i="7" s="1"/>
  <c r="T26" i="1"/>
  <c r="W26" i="1" s="1"/>
  <c r="T25" i="1"/>
  <c r="W25" i="1" s="1"/>
  <c r="F11" i="8" s="1"/>
  <c r="T23" i="1"/>
  <c r="W23" i="1" s="1"/>
  <c r="F9" i="8" s="1"/>
  <c r="T27" i="1"/>
  <c r="W27" i="1" s="1"/>
  <c r="F13" i="8" s="1"/>
  <c r="T22" i="1"/>
  <c r="W22" i="1" s="1"/>
  <c r="T24" i="1"/>
  <c r="W24" i="1" s="1"/>
  <c r="F10" i="8" s="1"/>
  <c r="S21" i="1"/>
  <c r="G30" i="7" l="1"/>
  <c r="H30" i="7" s="1"/>
  <c r="G30" i="41"/>
  <c r="H30" i="41" s="1"/>
  <c r="G30" i="50"/>
  <c r="H30" i="50" s="1"/>
  <c r="G25" i="50"/>
  <c r="H25" i="50" s="1"/>
  <c r="G25" i="41"/>
  <c r="H25" i="41" s="1"/>
  <c r="G25" i="7"/>
  <c r="H25" i="7" s="1"/>
  <c r="G26" i="50"/>
  <c r="H26" i="50" s="1"/>
  <c r="G26" i="7"/>
  <c r="H26" i="7" s="1"/>
  <c r="G26" i="41"/>
  <c r="H26" i="41" s="1"/>
  <c r="G27" i="50"/>
  <c r="H27" i="50" s="1"/>
  <c r="G27" i="7"/>
  <c r="H27" i="7" s="1"/>
  <c r="G27" i="41"/>
  <c r="H27" i="41" s="1"/>
  <c r="G28" i="41"/>
  <c r="H28" i="41" s="1"/>
  <c r="G28" i="50"/>
  <c r="H28" i="50" s="1"/>
  <c r="G28" i="7"/>
  <c r="H28" i="7" s="1"/>
  <c r="G24" i="50"/>
  <c r="H24" i="50" s="1"/>
  <c r="G24" i="41"/>
  <c r="H24" i="41" s="1"/>
  <c r="G24" i="7"/>
  <c r="H24" i="7" s="1"/>
  <c r="V21" i="1"/>
  <c r="AP21" i="1" s="1"/>
  <c r="AQ29" i="1"/>
  <c r="AQ24" i="1"/>
  <c r="AQ26" i="1"/>
  <c r="AQ25" i="1"/>
  <c r="AQ23" i="1"/>
  <c r="AQ22" i="1"/>
  <c r="AQ27" i="1"/>
  <c r="AO21" i="1"/>
  <c r="F22" i="7" s="1"/>
  <c r="T21" i="1"/>
  <c r="W21" i="1" s="1"/>
  <c r="G22" i="7" l="1"/>
  <c r="H22" i="7" s="1"/>
  <c r="G22" i="41"/>
  <c r="H22" i="41" s="1"/>
  <c r="G22" i="50"/>
  <c r="H22" i="50" s="1"/>
  <c r="AQ21" i="1"/>
  <c r="E2" i="25"/>
  <c r="C2" i="25"/>
  <c r="B2" i="25"/>
  <c r="O13" i="1"/>
  <c r="P13" i="1" l="1"/>
  <c r="Q13" i="1" s="1"/>
  <c r="O11" i="1" l="1"/>
  <c r="O17" i="1"/>
  <c r="P17" i="1" l="1"/>
  <c r="Q17" i="1" s="1"/>
  <c r="P11" i="1"/>
  <c r="Q11" i="1" s="1"/>
  <c r="R11" i="1" s="1"/>
  <c r="F12" i="41" s="1"/>
  <c r="U11" i="1" l="1"/>
  <c r="S11" i="1"/>
  <c r="V11" i="1" s="1"/>
  <c r="G36" i="1"/>
  <c r="G6" i="1"/>
  <c r="G7" i="1"/>
  <c r="G13" i="1"/>
  <c r="G14" i="1"/>
  <c r="G16" i="1"/>
  <c r="G17" i="1"/>
  <c r="G18" i="1"/>
  <c r="G19" i="1"/>
  <c r="H19" i="1" s="1"/>
  <c r="G37" i="1"/>
  <c r="G38" i="1"/>
  <c r="G39" i="1"/>
  <c r="G41" i="1"/>
  <c r="G42" i="1"/>
  <c r="G43" i="1"/>
  <c r="G11" i="1"/>
  <c r="G5" i="1"/>
  <c r="G45" i="1" l="1"/>
  <c r="G44" i="1"/>
  <c r="AP5" i="1"/>
  <c r="AO5" i="1"/>
  <c r="T11" i="1"/>
  <c r="W11" i="1" s="1"/>
  <c r="F12" i="8" s="1"/>
  <c r="H16" i="1"/>
  <c r="H18" i="1"/>
  <c r="H37" i="1"/>
  <c r="H5" i="1"/>
  <c r="H43" i="1"/>
  <c r="H42" i="1"/>
  <c r="H41" i="1"/>
  <c r="H39" i="1"/>
  <c r="H38" i="1"/>
  <c r="H36" i="1"/>
  <c r="H14" i="1"/>
  <c r="H6" i="1"/>
  <c r="H13" i="1"/>
  <c r="H7" i="1"/>
  <c r="H11" i="1"/>
  <c r="H17" i="1"/>
  <c r="AB36" i="1"/>
  <c r="AC36" i="1" s="1"/>
  <c r="AF36" i="1" s="1"/>
  <c r="AI36" i="1" s="1"/>
  <c r="G6" i="50" l="1"/>
  <c r="H6" i="50" s="1"/>
  <c r="G6" i="41"/>
  <c r="H6" i="41" s="1"/>
  <c r="G6" i="7"/>
  <c r="AQ5" i="1"/>
  <c r="F6" i="7"/>
  <c r="H44" i="1"/>
  <c r="H45" i="1"/>
  <c r="G46" i="1"/>
  <c r="R38" i="1"/>
  <c r="F39" i="41" s="1"/>
  <c r="R39" i="1"/>
  <c r="F40" i="41" s="1"/>
  <c r="AE36" i="1"/>
  <c r="S18" i="1"/>
  <c r="V18" i="1" s="1"/>
  <c r="AH36" i="1" l="1"/>
  <c r="F37" i="50"/>
  <c r="H6" i="7"/>
  <c r="U39" i="1"/>
  <c r="U38" i="1"/>
  <c r="H46" i="1"/>
  <c r="S39" i="1"/>
  <c r="V39" i="1" s="1"/>
  <c r="S38" i="1"/>
  <c r="V38" i="1" s="1"/>
  <c r="AP18" i="1"/>
  <c r="AP36" i="1"/>
  <c r="R43" i="1"/>
  <c r="F44" i="41" s="1"/>
  <c r="AG36" i="1"/>
  <c r="R41" i="1"/>
  <c r="F42" i="41" s="1"/>
  <c r="R42" i="1"/>
  <c r="T18" i="1"/>
  <c r="G37" i="50" l="1"/>
  <c r="H37" i="50" s="1"/>
  <c r="G37" i="7"/>
  <c r="G37" i="41"/>
  <c r="H37" i="41" s="1"/>
  <c r="U42" i="1"/>
  <c r="F43" i="41"/>
  <c r="G19" i="7"/>
  <c r="G19" i="50"/>
  <c r="H19" i="50" s="1"/>
  <c r="G19" i="41"/>
  <c r="H19" i="41" s="1"/>
  <c r="AJ36" i="1"/>
  <c r="F21" i="8" s="1"/>
  <c r="W18" i="1"/>
  <c r="F19" i="8" s="1"/>
  <c r="U43" i="1"/>
  <c r="AO43" i="1" s="1"/>
  <c r="F44" i="7" s="1"/>
  <c r="U41" i="1"/>
  <c r="AO38" i="1"/>
  <c r="F39" i="7" s="1"/>
  <c r="AP37" i="1"/>
  <c r="S42" i="1"/>
  <c r="AP39" i="1"/>
  <c r="T39" i="1"/>
  <c r="T38" i="1"/>
  <c r="S41" i="1"/>
  <c r="V41" i="1" s="1"/>
  <c r="S43" i="1"/>
  <c r="V43" i="1" s="1"/>
  <c r="AO19" i="1"/>
  <c r="F20" i="7" s="1"/>
  <c r="AP19" i="1"/>
  <c r="AO39" i="1"/>
  <c r="F40" i="7" s="1"/>
  <c r="AO37" i="1"/>
  <c r="F38" i="7" s="1"/>
  <c r="AO18" i="1"/>
  <c r="F19" i="7" s="1"/>
  <c r="T37" i="1"/>
  <c r="AO42" i="1"/>
  <c r="F43" i="7" s="1"/>
  <c r="H19" i="7" l="1"/>
  <c r="G38" i="7"/>
  <c r="G38" i="41"/>
  <c r="H38" i="41" s="1"/>
  <c r="G38" i="50"/>
  <c r="H38" i="50" s="1"/>
  <c r="H38" i="7"/>
  <c r="G40" i="41"/>
  <c r="H40" i="41" s="1"/>
  <c r="G40" i="50"/>
  <c r="H40" i="50" s="1"/>
  <c r="G40" i="7"/>
  <c r="H40" i="7" s="1"/>
  <c r="G20" i="7"/>
  <c r="H20" i="7" s="1"/>
  <c r="G20" i="50"/>
  <c r="H20" i="50" s="1"/>
  <c r="G20" i="41"/>
  <c r="H20" i="41" s="1"/>
  <c r="T42" i="1"/>
  <c r="V42" i="1"/>
  <c r="AP42" i="1" s="1"/>
  <c r="W39" i="1"/>
  <c r="F24" i="8" s="1"/>
  <c r="W38" i="1"/>
  <c r="F23" i="8" s="1"/>
  <c r="W37" i="1"/>
  <c r="F22" i="8" s="1"/>
  <c r="AP38" i="1"/>
  <c r="AP43" i="1"/>
  <c r="T41" i="1"/>
  <c r="H41" i="41"/>
  <c r="AQ37" i="1"/>
  <c r="AQ18" i="1"/>
  <c r="T19" i="1"/>
  <c r="T43" i="1"/>
  <c r="AQ39" i="1"/>
  <c r="AQ19" i="1"/>
  <c r="AO36" i="1"/>
  <c r="F37" i="7" s="1"/>
  <c r="H37" i="7" s="1"/>
  <c r="AO41" i="1"/>
  <c r="F42" i="7" s="1"/>
  <c r="AQ42" i="1" l="1"/>
  <c r="G43" i="7"/>
  <c r="H43" i="7" s="1"/>
  <c r="G43" i="50"/>
  <c r="H43" i="50" s="1"/>
  <c r="G43" i="41"/>
  <c r="H43" i="41" s="1"/>
  <c r="AQ43" i="1"/>
  <c r="G44" i="50"/>
  <c r="H44" i="50" s="1"/>
  <c r="G44" i="41"/>
  <c r="H44" i="41" s="1"/>
  <c r="G44" i="7"/>
  <c r="H44" i="7" s="1"/>
  <c r="AQ38" i="1"/>
  <c r="G39" i="41"/>
  <c r="H39" i="41" s="1"/>
  <c r="G39" i="7"/>
  <c r="H39" i="7" s="1"/>
  <c r="G39" i="50"/>
  <c r="H39" i="50" s="1"/>
  <c r="W19" i="1"/>
  <c r="F20" i="8" s="1"/>
  <c r="W43" i="1"/>
  <c r="F28" i="8" s="1"/>
  <c r="W42" i="1"/>
  <c r="F27" i="8" s="1"/>
  <c r="W41" i="1"/>
  <c r="F26" i="8" s="1"/>
  <c r="AP41" i="1"/>
  <c r="AQ36" i="1"/>
  <c r="AQ41" i="1" l="1"/>
  <c r="G42" i="7"/>
  <c r="H42" i="7" s="1"/>
  <c r="G42" i="50"/>
  <c r="H42" i="50" s="1"/>
  <c r="G42" i="41"/>
  <c r="H42" i="41" s="1"/>
  <c r="AP14" i="1"/>
  <c r="G15" i="50" l="1"/>
  <c r="H15" i="50" s="1"/>
  <c r="G15" i="41"/>
  <c r="H15" i="41" s="1"/>
  <c r="G15" i="7"/>
  <c r="T14" i="1"/>
  <c r="W14" i="1" s="1"/>
  <c r="F15" i="8" s="1"/>
  <c r="F38" i="8"/>
  <c r="AO14" i="1" l="1"/>
  <c r="F15" i="7" s="1"/>
  <c r="H15" i="7" s="1"/>
  <c r="AQ14" i="1" l="1"/>
  <c r="AG5" i="1" l="1"/>
  <c r="AJ5" i="1" l="1"/>
  <c r="D53" i="1" s="1"/>
  <c r="D4" i="13" l="1"/>
  <c r="D5" i="13"/>
  <c r="O38" i="8"/>
  <c r="N38" i="8"/>
  <c r="L38" i="8"/>
  <c r="J38" i="8"/>
  <c r="H38" i="8"/>
  <c r="K46" i="49" l="1"/>
  <c r="L46" i="49" s="1"/>
  <c r="K43" i="49"/>
  <c r="K39" i="49"/>
  <c r="K44" i="49"/>
  <c r="K45" i="49"/>
  <c r="K40" i="49"/>
  <c r="K41" i="49"/>
  <c r="K42" i="49"/>
  <c r="D3" i="13"/>
  <c r="L42" i="49" l="1"/>
  <c r="L40" i="49"/>
  <c r="M40" i="49" s="1"/>
  <c r="N40" i="49" s="1"/>
  <c r="O40" i="49"/>
  <c r="P40" i="49" s="1"/>
  <c r="L41" i="49"/>
  <c r="L45" i="49"/>
  <c r="M45" i="49" s="1"/>
  <c r="N45" i="49" s="1"/>
  <c r="L44" i="49"/>
  <c r="M44" i="49" s="1"/>
  <c r="N44" i="49" s="1"/>
  <c r="O44" i="49" s="1"/>
  <c r="L39" i="49"/>
  <c r="L43" i="49"/>
  <c r="M46" i="49"/>
  <c r="N46" i="49"/>
  <c r="O46" i="49" s="1"/>
  <c r="P46" i="49" s="1"/>
  <c r="D2" i="13"/>
  <c r="V46" i="41" l="1"/>
  <c r="S40" i="49"/>
  <c r="AM40" i="49" s="1"/>
  <c r="Q40" i="49"/>
  <c r="T40" i="49" s="1"/>
  <c r="AN40" i="49" s="1"/>
  <c r="R40" i="49"/>
  <c r="U40" i="49" s="1"/>
  <c r="N30" i="8" s="1"/>
  <c r="O30" i="8" s="1"/>
  <c r="V52" i="41"/>
  <c r="S46" i="49"/>
  <c r="AM46" i="49" s="1"/>
  <c r="Q46" i="49"/>
  <c r="T46" i="49" s="1"/>
  <c r="AN46" i="49" s="1"/>
  <c r="O45" i="49"/>
  <c r="P45" i="49" s="1"/>
  <c r="M43" i="49"/>
  <c r="N43" i="49"/>
  <c r="O43" i="49" s="1"/>
  <c r="M41" i="49"/>
  <c r="N41" i="49" s="1"/>
  <c r="M39" i="49"/>
  <c r="N39" i="49"/>
  <c r="P44" i="49"/>
  <c r="K9" i="46"/>
  <c r="K40" i="46"/>
  <c r="K12" i="46"/>
  <c r="K10" i="46"/>
  <c r="K8" i="46"/>
  <c r="K15" i="46"/>
  <c r="K32" i="46"/>
  <c r="K33" i="46"/>
  <c r="K30" i="46"/>
  <c r="K34" i="46"/>
  <c r="K31" i="46"/>
  <c r="K41" i="46"/>
  <c r="K39" i="46"/>
  <c r="K42" i="46"/>
  <c r="K43" i="46"/>
  <c r="K38" i="46"/>
  <c r="K5" i="46"/>
  <c r="K36" i="46"/>
  <c r="K37" i="46"/>
  <c r="K21" i="46"/>
  <c r="K28" i="46"/>
  <c r="K6" i="46"/>
  <c r="K18" i="46"/>
  <c r="K14" i="46"/>
  <c r="K29" i="46"/>
  <c r="K25" i="46"/>
  <c r="K7" i="46"/>
  <c r="K24" i="46"/>
  <c r="K13" i="46"/>
  <c r="K16" i="46"/>
  <c r="K19" i="46"/>
  <c r="K26" i="46"/>
  <c r="K23" i="46"/>
  <c r="K17" i="46"/>
  <c r="K11" i="46"/>
  <c r="K22" i="46"/>
  <c r="K27" i="46"/>
  <c r="M42" i="49"/>
  <c r="O42" i="49" s="1"/>
  <c r="P42" i="49" s="1"/>
  <c r="N42" i="49"/>
  <c r="AP11" i="1"/>
  <c r="AO11" i="1"/>
  <c r="F12" i="7" s="1"/>
  <c r="R6" i="1"/>
  <c r="R17" i="1"/>
  <c r="F18" i="41" s="1"/>
  <c r="R7" i="1"/>
  <c r="F8" i="41" s="1"/>
  <c r="Q42" i="49" l="1"/>
  <c r="T42" i="49" s="1"/>
  <c r="AN42" i="49" s="1"/>
  <c r="S42" i="49"/>
  <c r="AM42" i="49" s="1"/>
  <c r="V48" i="41"/>
  <c r="R42" i="49"/>
  <c r="U42" i="49" s="1"/>
  <c r="N32" i="8" s="1"/>
  <c r="O32" i="8" s="1"/>
  <c r="K15" i="47"/>
  <c r="L15" i="46"/>
  <c r="O39" i="49"/>
  <c r="P39" i="49" s="1"/>
  <c r="AO46" i="49"/>
  <c r="V52" i="7"/>
  <c r="W52" i="41"/>
  <c r="X52" i="41" s="1"/>
  <c r="W52" i="7"/>
  <c r="W52" i="50"/>
  <c r="X52" i="50" s="1"/>
  <c r="K27" i="47"/>
  <c r="L27" i="46"/>
  <c r="L13" i="46"/>
  <c r="M13" i="46" s="1"/>
  <c r="N13" i="46" s="1"/>
  <c r="O13" i="46" s="1"/>
  <c r="P13" i="46" s="1"/>
  <c r="K13" i="47"/>
  <c r="K28" i="47"/>
  <c r="L28" i="46"/>
  <c r="L39" i="46"/>
  <c r="K39" i="47"/>
  <c r="K8" i="47"/>
  <c r="L8" i="46"/>
  <c r="M8" i="46" s="1"/>
  <c r="N8" i="46" s="1"/>
  <c r="L43" i="46"/>
  <c r="M43" i="46" s="1"/>
  <c r="N43" i="46" s="1"/>
  <c r="O43" i="46" s="1"/>
  <c r="P43" i="46" s="1"/>
  <c r="K43" i="47"/>
  <c r="L43" i="47" s="1"/>
  <c r="M43" i="47" s="1"/>
  <c r="N43" i="47" s="1"/>
  <c r="O43" i="47" s="1"/>
  <c r="P43" i="47" s="1"/>
  <c r="O41" i="49"/>
  <c r="P41" i="49" s="1"/>
  <c r="L31" i="46"/>
  <c r="M31" i="46" s="1"/>
  <c r="N31" i="46" s="1"/>
  <c r="K31" i="47"/>
  <c r="W46" i="50"/>
  <c r="X46" i="50" s="1"/>
  <c r="W46" i="7"/>
  <c r="W46" i="41"/>
  <c r="X46" i="41" s="1"/>
  <c r="K19" i="47"/>
  <c r="L19" i="46"/>
  <c r="M19" i="46" s="1"/>
  <c r="N19" i="46" s="1"/>
  <c r="K6" i="47"/>
  <c r="L6" i="46"/>
  <c r="M6" i="46" s="1"/>
  <c r="N6" i="46" s="1"/>
  <c r="K21" i="47"/>
  <c r="L21" i="46"/>
  <c r="M21" i="46" s="1"/>
  <c r="N21" i="46" s="1"/>
  <c r="L17" i="46"/>
  <c r="M17" i="46" s="1"/>
  <c r="N17" i="46" s="1"/>
  <c r="O17" i="46" s="1"/>
  <c r="P17" i="46" s="1"/>
  <c r="K17" i="47"/>
  <c r="V46" i="7"/>
  <c r="AO40" i="49"/>
  <c r="L42" i="46"/>
  <c r="K42" i="47"/>
  <c r="K24" i="47"/>
  <c r="L24" i="46"/>
  <c r="M24" i="46" s="1"/>
  <c r="N24" i="46" s="1"/>
  <c r="O24" i="46" s="1"/>
  <c r="L10" i="46"/>
  <c r="K10" i="47"/>
  <c r="K37" i="47"/>
  <c r="L37" i="46"/>
  <c r="M37" i="46" s="1"/>
  <c r="N37" i="46" s="1"/>
  <c r="L12" i="46"/>
  <c r="K12" i="47"/>
  <c r="K25" i="47"/>
  <c r="L25" i="46"/>
  <c r="M25" i="46" s="1"/>
  <c r="N25" i="46" s="1"/>
  <c r="K36" i="47"/>
  <c r="L36" i="46"/>
  <c r="M36" i="46" s="1"/>
  <c r="N36" i="46" s="1"/>
  <c r="O36" i="46" s="1"/>
  <c r="K40" i="47"/>
  <c r="L40" i="46"/>
  <c r="K29" i="47"/>
  <c r="L29" i="46"/>
  <c r="M29" i="46" s="1"/>
  <c r="N29" i="46" s="1"/>
  <c r="K30" i="47"/>
  <c r="L30" i="46"/>
  <c r="K9" i="47"/>
  <c r="L9" i="46"/>
  <c r="V51" i="41"/>
  <c r="S45" i="49"/>
  <c r="AM45" i="49" s="1"/>
  <c r="Q45" i="49"/>
  <c r="T45" i="49" s="1"/>
  <c r="AN45" i="49" s="1"/>
  <c r="R45" i="49"/>
  <c r="U45" i="49" s="1"/>
  <c r="N35" i="8" s="1"/>
  <c r="O35" i="8" s="1"/>
  <c r="K18" i="47"/>
  <c r="L18" i="46"/>
  <c r="M18" i="46" s="1"/>
  <c r="N18" i="46" s="1"/>
  <c r="O18" i="46" s="1"/>
  <c r="P18" i="46" s="1"/>
  <c r="L32" i="46"/>
  <c r="M32" i="46" s="1"/>
  <c r="N32" i="46" s="1"/>
  <c r="K32" i="47"/>
  <c r="K16" i="47"/>
  <c r="L16" i="46"/>
  <c r="M16" i="46" s="1"/>
  <c r="N16" i="46" s="1"/>
  <c r="O16" i="46" s="1"/>
  <c r="K22" i="47"/>
  <c r="L22" i="46"/>
  <c r="M22" i="46" s="1"/>
  <c r="N22" i="46" s="1"/>
  <c r="K41" i="47"/>
  <c r="L41" i="47" s="1"/>
  <c r="L41" i="46"/>
  <c r="M41" i="46" s="1"/>
  <c r="N41" i="46" s="1"/>
  <c r="O41" i="46" s="1"/>
  <c r="P41" i="46" s="1"/>
  <c r="L11" i="46"/>
  <c r="M11" i="46" s="1"/>
  <c r="N11" i="46" s="1"/>
  <c r="O11" i="46" s="1"/>
  <c r="K11" i="47"/>
  <c r="K7" i="47"/>
  <c r="L7" i="46"/>
  <c r="K34" i="47"/>
  <c r="L34" i="46"/>
  <c r="P43" i="49"/>
  <c r="K23" i="47"/>
  <c r="L23" i="46"/>
  <c r="L5" i="46"/>
  <c r="M5" i="46" s="1"/>
  <c r="N5" i="46" s="1"/>
  <c r="O5" i="46" s="1"/>
  <c r="P5" i="46" s="1"/>
  <c r="K5" i="47"/>
  <c r="K26" i="47"/>
  <c r="L26" i="46"/>
  <c r="M26" i="46" s="1"/>
  <c r="N26" i="46" s="1"/>
  <c r="O26" i="46" s="1"/>
  <c r="K14" i="47"/>
  <c r="L14" i="46"/>
  <c r="M14" i="46" s="1"/>
  <c r="N14" i="46" s="1"/>
  <c r="K38" i="47"/>
  <c r="L38" i="46"/>
  <c r="K33" i="47"/>
  <c r="L33" i="46"/>
  <c r="V50" i="41"/>
  <c r="S44" i="49"/>
  <c r="AM44" i="49" s="1"/>
  <c r="Q44" i="49"/>
  <c r="T44" i="49" s="1"/>
  <c r="AN44" i="49" s="1"/>
  <c r="R44" i="49"/>
  <c r="U44" i="49" s="1"/>
  <c r="N34" i="8" s="1"/>
  <c r="O34" i="8" s="1"/>
  <c r="R46" i="49"/>
  <c r="U46" i="49" s="1"/>
  <c r="N36" i="8" s="1"/>
  <c r="O36" i="8" s="1"/>
  <c r="U6" i="1"/>
  <c r="F7" i="41"/>
  <c r="G12" i="7"/>
  <c r="H12" i="7" s="1"/>
  <c r="G12" i="50"/>
  <c r="H12" i="50" s="1"/>
  <c r="G12" i="41"/>
  <c r="U7" i="1"/>
  <c r="U17" i="1"/>
  <c r="AO17" i="1" s="1"/>
  <c r="F18" i="7" s="1"/>
  <c r="S6" i="1"/>
  <c r="S7" i="1"/>
  <c r="V7" i="1" s="1"/>
  <c r="S17" i="1"/>
  <c r="V17" i="1" s="1"/>
  <c r="AQ11" i="1"/>
  <c r="O14" i="46" l="1"/>
  <c r="P14" i="46" s="1"/>
  <c r="S14" i="46" s="1"/>
  <c r="AM14" i="46" s="1"/>
  <c r="O31" i="46"/>
  <c r="P31" i="46" s="1"/>
  <c r="Q31" i="46" s="1"/>
  <c r="T31" i="46" s="1"/>
  <c r="AN31" i="46" s="1"/>
  <c r="O25" i="46"/>
  <c r="P25" i="46" s="1"/>
  <c r="Q25" i="46" s="1"/>
  <c r="T25" i="46" s="1"/>
  <c r="AN25" i="46" s="1"/>
  <c r="P36" i="46"/>
  <c r="O29" i="46"/>
  <c r="P29" i="46" s="1"/>
  <c r="J30" i="41" s="1"/>
  <c r="P16" i="46"/>
  <c r="Q16" i="46" s="1"/>
  <c r="T16" i="46" s="1"/>
  <c r="AN16" i="46" s="1"/>
  <c r="O6" i="46"/>
  <c r="P6" i="46" s="1"/>
  <c r="J7" i="41" s="1"/>
  <c r="O22" i="46"/>
  <c r="P22" i="46" s="1"/>
  <c r="J23" i="41" s="1"/>
  <c r="M41" i="47"/>
  <c r="N41" i="47" s="1"/>
  <c r="O41" i="47" s="1"/>
  <c r="P41" i="47" s="1"/>
  <c r="M33" i="48"/>
  <c r="L33" i="47"/>
  <c r="M9" i="46"/>
  <c r="N9" i="46" s="1"/>
  <c r="M10" i="48"/>
  <c r="L10" i="47"/>
  <c r="M10" i="47" s="1"/>
  <c r="N10" i="47" s="1"/>
  <c r="M31" i="48"/>
  <c r="L31" i="47"/>
  <c r="M31" i="47" s="1"/>
  <c r="N31" i="47" s="1"/>
  <c r="M8" i="48"/>
  <c r="L8" i="47"/>
  <c r="V45" i="41"/>
  <c r="Q39" i="49"/>
  <c r="T39" i="49" s="1"/>
  <c r="AN39" i="49" s="1"/>
  <c r="S39" i="49"/>
  <c r="AM39" i="49" s="1"/>
  <c r="M9" i="48"/>
  <c r="L9" i="47"/>
  <c r="M40" i="46"/>
  <c r="N40" i="46" s="1"/>
  <c r="M10" i="46"/>
  <c r="N10" i="46" s="1"/>
  <c r="M6" i="48"/>
  <c r="L6" i="47"/>
  <c r="J32" i="41"/>
  <c r="S31" i="46"/>
  <c r="AM31" i="46" s="1"/>
  <c r="L39" i="47"/>
  <c r="M39" i="47" s="1"/>
  <c r="N39" i="47" s="1"/>
  <c r="O39" i="47" s="1"/>
  <c r="M27" i="46"/>
  <c r="M15" i="46"/>
  <c r="N15" i="46" s="1"/>
  <c r="O15" i="46" s="1"/>
  <c r="P15" i="46" s="1"/>
  <c r="J14" i="41"/>
  <c r="Q13" i="46"/>
  <c r="T13" i="46" s="1"/>
  <c r="AN13" i="46" s="1"/>
  <c r="S13" i="46"/>
  <c r="AM13" i="46" s="1"/>
  <c r="M38" i="46"/>
  <c r="N38" i="46" s="1"/>
  <c r="O38" i="46" s="1"/>
  <c r="P38" i="46" s="1"/>
  <c r="M5" i="48"/>
  <c r="L5" i="47"/>
  <c r="M5" i="47" s="1"/>
  <c r="N5" i="47" s="1"/>
  <c r="O5" i="47" s="1"/>
  <c r="P5" i="47" s="1"/>
  <c r="M7" i="46"/>
  <c r="N7" i="46" s="1"/>
  <c r="O7" i="46" s="1"/>
  <c r="J19" i="41"/>
  <c r="S18" i="46"/>
  <c r="AM18" i="46" s="1"/>
  <c r="Q18" i="46"/>
  <c r="T18" i="46" s="1"/>
  <c r="AN18" i="46" s="1"/>
  <c r="L38" i="47"/>
  <c r="M38" i="47" s="1"/>
  <c r="N38" i="47" s="1"/>
  <c r="O38" i="47" s="1"/>
  <c r="Q5" i="46"/>
  <c r="T5" i="46" s="1"/>
  <c r="AN5" i="46" s="1"/>
  <c r="S5" i="46"/>
  <c r="AM5" i="46" s="1"/>
  <c r="J6" i="41"/>
  <c r="M7" i="48"/>
  <c r="L7" i="47"/>
  <c r="M7" i="47" s="1"/>
  <c r="N7" i="47" s="1"/>
  <c r="O7" i="47" s="1"/>
  <c r="P7" i="47" s="1"/>
  <c r="L22" i="47"/>
  <c r="M22" i="48"/>
  <c r="M18" i="48"/>
  <c r="L18" i="47"/>
  <c r="M18" i="47" s="1"/>
  <c r="N18" i="47" s="1"/>
  <c r="M38" i="48"/>
  <c r="L40" i="47"/>
  <c r="M40" i="47" s="1"/>
  <c r="N40" i="47" s="1"/>
  <c r="O40" i="47" s="1"/>
  <c r="L12" i="47"/>
  <c r="M12" i="48"/>
  <c r="P24" i="46"/>
  <c r="L17" i="47"/>
  <c r="M17" i="47" s="1"/>
  <c r="N17" i="47" s="1"/>
  <c r="M17" i="48"/>
  <c r="O19" i="46"/>
  <c r="P19" i="46" s="1"/>
  <c r="M39" i="46"/>
  <c r="N39" i="46" s="1"/>
  <c r="O39" i="46" s="1"/>
  <c r="P39" i="46" s="1"/>
  <c r="L27" i="47"/>
  <c r="M27" i="47" s="1"/>
  <c r="N27" i="47" s="1"/>
  <c r="M27" i="48"/>
  <c r="L15" i="47"/>
  <c r="M15" i="47" s="1"/>
  <c r="N15" i="47" s="1"/>
  <c r="M15" i="48"/>
  <c r="L34" i="47"/>
  <c r="M34" i="47" s="1"/>
  <c r="N34" i="47" s="1"/>
  <c r="O34" i="47" s="1"/>
  <c r="P34" i="47" s="1"/>
  <c r="M34" i="48"/>
  <c r="Q14" i="46"/>
  <c r="T14" i="46" s="1"/>
  <c r="AN14" i="46" s="1"/>
  <c r="M23" i="46"/>
  <c r="N23" i="46" s="1"/>
  <c r="O23" i="46" s="1"/>
  <c r="P23" i="46" s="1"/>
  <c r="P11" i="46"/>
  <c r="M30" i="46"/>
  <c r="J37" i="41"/>
  <c r="S36" i="46"/>
  <c r="AM36" i="46" s="1"/>
  <c r="Q36" i="46"/>
  <c r="T36" i="46" s="1"/>
  <c r="AN36" i="46" s="1"/>
  <c r="M12" i="46"/>
  <c r="N12" i="46" s="1"/>
  <c r="J18" i="41"/>
  <c r="Q17" i="46"/>
  <c r="T17" i="46" s="1"/>
  <c r="AN17" i="46" s="1"/>
  <c r="S17" i="46"/>
  <c r="AM17" i="46" s="1"/>
  <c r="V47" i="41"/>
  <c r="Q41" i="49"/>
  <c r="T41" i="49" s="1"/>
  <c r="AN41" i="49" s="1"/>
  <c r="S41" i="49"/>
  <c r="AM41" i="49" s="1"/>
  <c r="R41" i="49"/>
  <c r="U41" i="49" s="1"/>
  <c r="N31" i="8" s="1"/>
  <c r="O31" i="8" s="1"/>
  <c r="M25" i="48"/>
  <c r="L25" i="47"/>
  <c r="M25" i="47" s="1"/>
  <c r="N25" i="47" s="1"/>
  <c r="M42" i="46"/>
  <c r="N42" i="46" s="1"/>
  <c r="O42" i="46" s="1"/>
  <c r="M26" i="48"/>
  <c r="L26" i="47"/>
  <c r="M26" i="47" s="1"/>
  <c r="N26" i="47" s="1"/>
  <c r="O26" i="47" s="1"/>
  <c r="W50" i="41"/>
  <c r="X50" i="41" s="1"/>
  <c r="W50" i="50"/>
  <c r="X50" i="50" s="1"/>
  <c r="W50" i="7"/>
  <c r="L23" i="47"/>
  <c r="M23" i="47" s="1"/>
  <c r="N23" i="47" s="1"/>
  <c r="M23" i="48"/>
  <c r="L11" i="47"/>
  <c r="M11" i="48"/>
  <c r="W51" i="50"/>
  <c r="X51" i="50" s="1"/>
  <c r="W51" i="41"/>
  <c r="X51" i="41" s="1"/>
  <c r="W51" i="7"/>
  <c r="L30" i="47"/>
  <c r="M30" i="48"/>
  <c r="O37" i="46"/>
  <c r="P37" i="46" s="1"/>
  <c r="M24" i="48"/>
  <c r="L24" i="47"/>
  <c r="M24" i="47" s="1"/>
  <c r="N24" i="47" s="1"/>
  <c r="O24" i="47" s="1"/>
  <c r="O21" i="46"/>
  <c r="P21" i="46" s="1"/>
  <c r="L19" i="47"/>
  <c r="M19" i="47" s="1"/>
  <c r="N19" i="47" s="1"/>
  <c r="M19" i="48"/>
  <c r="N44" i="41"/>
  <c r="S43" i="47"/>
  <c r="AM43" i="47" s="1"/>
  <c r="Q43" i="47"/>
  <c r="T43" i="47" s="1"/>
  <c r="AN43" i="47" s="1"/>
  <c r="M28" i="46"/>
  <c r="M33" i="46"/>
  <c r="N33" i="46" s="1"/>
  <c r="O33" i="46" s="1"/>
  <c r="P33" i="46" s="1"/>
  <c r="L32" i="47"/>
  <c r="M32" i="48"/>
  <c r="L14" i="47"/>
  <c r="M14" i="47" s="1"/>
  <c r="N14" i="47" s="1"/>
  <c r="M14" i="48"/>
  <c r="V49" i="41"/>
  <c r="Q43" i="49"/>
  <c r="T43" i="49" s="1"/>
  <c r="AN43" i="49" s="1"/>
  <c r="S43" i="49"/>
  <c r="AM43" i="49" s="1"/>
  <c r="V51" i="7"/>
  <c r="AO45" i="49"/>
  <c r="S29" i="46"/>
  <c r="AM29" i="46" s="1"/>
  <c r="Q29" i="46"/>
  <c r="T29" i="46" s="1"/>
  <c r="AN29" i="46" s="1"/>
  <c r="M36" i="48"/>
  <c r="L36" i="47"/>
  <c r="M36" i="47" s="1"/>
  <c r="N36" i="47" s="1"/>
  <c r="J44" i="41"/>
  <c r="Q43" i="46"/>
  <c r="T43" i="46" s="1"/>
  <c r="AN43" i="46" s="1"/>
  <c r="S43" i="46"/>
  <c r="AM43" i="46" s="1"/>
  <c r="M28" i="48"/>
  <c r="L28" i="47"/>
  <c r="M28" i="47" s="1"/>
  <c r="N28" i="47" s="1"/>
  <c r="O28" i="47" s="1"/>
  <c r="P28" i="47" s="1"/>
  <c r="V48" i="7"/>
  <c r="AO42" i="49"/>
  <c r="M29" i="48"/>
  <c r="L29" i="47"/>
  <c r="M29" i="47" s="1"/>
  <c r="N29" i="47" s="1"/>
  <c r="V50" i="7"/>
  <c r="AO44" i="49"/>
  <c r="M16" i="48"/>
  <c r="L16" i="47"/>
  <c r="M16" i="47" s="1"/>
  <c r="N16" i="47" s="1"/>
  <c r="P26" i="46"/>
  <c r="M34" i="46"/>
  <c r="N34" i="46" s="1"/>
  <c r="O34" i="46" s="1"/>
  <c r="P34" i="46" s="1"/>
  <c r="J42" i="41"/>
  <c r="Q41" i="46"/>
  <c r="T41" i="46" s="1"/>
  <c r="AN41" i="46" s="1"/>
  <c r="S41" i="46"/>
  <c r="AM41" i="46" s="1"/>
  <c r="O32" i="46"/>
  <c r="P32" i="46" s="1"/>
  <c r="M37" i="48"/>
  <c r="L37" i="47"/>
  <c r="M37" i="47" s="1"/>
  <c r="N37" i="47" s="1"/>
  <c r="L42" i="47"/>
  <c r="M42" i="47" s="1"/>
  <c r="N42" i="47" s="1"/>
  <c r="L21" i="47"/>
  <c r="M21" i="47" s="1"/>
  <c r="N21" i="47" s="1"/>
  <c r="O21" i="47" s="1"/>
  <c r="P21" i="47" s="1"/>
  <c r="M21" i="48"/>
  <c r="X46" i="7"/>
  <c r="O8" i="46"/>
  <c r="P8" i="46" s="1"/>
  <c r="M13" i="48"/>
  <c r="L13" i="47"/>
  <c r="M13" i="47" s="1"/>
  <c r="N13" i="47" s="1"/>
  <c r="O13" i="47" s="1"/>
  <c r="X52" i="7"/>
  <c r="W48" i="41"/>
  <c r="X48" i="41" s="1"/>
  <c r="W48" i="7"/>
  <c r="X48" i="7" s="1"/>
  <c r="W48" i="50"/>
  <c r="X48" i="50" s="1"/>
  <c r="V6" i="1"/>
  <c r="AP6" i="1" s="1"/>
  <c r="AO7" i="1"/>
  <c r="F8" i="7" s="1"/>
  <c r="AP17" i="1"/>
  <c r="H13" i="41"/>
  <c r="AO6" i="1"/>
  <c r="F7" i="7" s="1"/>
  <c r="T17" i="1"/>
  <c r="T6" i="1"/>
  <c r="T7" i="1"/>
  <c r="J15" i="41" l="1"/>
  <c r="S25" i="46"/>
  <c r="AM25" i="46" s="1"/>
  <c r="P26" i="47"/>
  <c r="J17" i="41"/>
  <c r="S16" i="46"/>
  <c r="AM16" i="46" s="1"/>
  <c r="O15" i="47"/>
  <c r="P15" i="47" s="1"/>
  <c r="N16" i="41" s="1"/>
  <c r="R18" i="46"/>
  <c r="U18" i="46" s="1"/>
  <c r="S22" i="46"/>
  <c r="AM22" i="46" s="1"/>
  <c r="J23" i="7" s="1"/>
  <c r="J26" i="41"/>
  <c r="Q22" i="46"/>
  <c r="T22" i="46" s="1"/>
  <c r="AN22" i="46" s="1"/>
  <c r="O36" i="47"/>
  <c r="P36" i="47" s="1"/>
  <c r="O42" i="47"/>
  <c r="P42" i="47" s="1"/>
  <c r="Q42" i="47" s="1"/>
  <c r="T42" i="47" s="1"/>
  <c r="AN42" i="47" s="1"/>
  <c r="R16" i="46"/>
  <c r="U16" i="46" s="1"/>
  <c r="R5" i="46"/>
  <c r="U5" i="46" s="1"/>
  <c r="H6" i="8" s="1"/>
  <c r="Q6" i="46"/>
  <c r="T6" i="46" s="1"/>
  <c r="AN6" i="46" s="1"/>
  <c r="K7" i="7" s="1"/>
  <c r="O18" i="47"/>
  <c r="P18" i="47" s="1"/>
  <c r="Q18" i="47" s="1"/>
  <c r="T18" i="47" s="1"/>
  <c r="AN18" i="47" s="1"/>
  <c r="R25" i="46"/>
  <c r="U25" i="46" s="1"/>
  <c r="S6" i="46"/>
  <c r="AM6" i="46" s="1"/>
  <c r="R13" i="46"/>
  <c r="U13" i="46" s="1"/>
  <c r="O10" i="47"/>
  <c r="P10" i="47" s="1"/>
  <c r="P13" i="47"/>
  <c r="R29" i="46"/>
  <c r="U29" i="46" s="1"/>
  <c r="R6" i="46"/>
  <c r="U6" i="46" s="1"/>
  <c r="O14" i="47"/>
  <c r="P14" i="47" s="1"/>
  <c r="Q14" i="47" s="1"/>
  <c r="N30" i="46"/>
  <c r="O30" i="46" s="1"/>
  <c r="O27" i="47"/>
  <c r="P27" i="47" s="1"/>
  <c r="S27" i="47" s="1"/>
  <c r="AM27" i="47" s="1"/>
  <c r="Q23" i="46"/>
  <c r="T23" i="46" s="1"/>
  <c r="AN23" i="46" s="1"/>
  <c r="J24" i="41"/>
  <c r="S23" i="46"/>
  <c r="AM23" i="46" s="1"/>
  <c r="Q34" i="46"/>
  <c r="T34" i="46" s="1"/>
  <c r="AN34" i="46" s="1"/>
  <c r="J35" i="41"/>
  <c r="S34" i="46"/>
  <c r="AM34" i="46" s="1"/>
  <c r="N28" i="48"/>
  <c r="O28" i="48" s="1"/>
  <c r="P28" i="48" s="1"/>
  <c r="Q28" i="48" s="1"/>
  <c r="K28" i="49"/>
  <c r="J38" i="41"/>
  <c r="S37" i="46"/>
  <c r="AM37" i="46" s="1"/>
  <c r="Q37" i="46"/>
  <c r="T37" i="46" s="1"/>
  <c r="AN37" i="46" s="1"/>
  <c r="K15" i="7"/>
  <c r="K15" i="41"/>
  <c r="L15" i="41" s="1"/>
  <c r="K15" i="50"/>
  <c r="L15" i="50" s="1"/>
  <c r="J19" i="7"/>
  <c r="AO18" i="46"/>
  <c r="P39" i="47"/>
  <c r="V45" i="7"/>
  <c r="AO39" i="49"/>
  <c r="N31" i="48"/>
  <c r="K31" i="49"/>
  <c r="L31" i="49" s="1"/>
  <c r="K33" i="49"/>
  <c r="L33" i="49" s="1"/>
  <c r="N33" i="48"/>
  <c r="K42" i="50"/>
  <c r="L42" i="50" s="1"/>
  <c r="K42" i="41"/>
  <c r="L42" i="41" s="1"/>
  <c r="K42" i="7"/>
  <c r="K36" i="49"/>
  <c r="L36" i="49" s="1"/>
  <c r="M36" i="49" s="1"/>
  <c r="N36" i="49" s="1"/>
  <c r="O36" i="49" s="1"/>
  <c r="P36" i="49" s="1"/>
  <c r="N36" i="48"/>
  <c r="O36" i="48" s="1"/>
  <c r="P36" i="48" s="1"/>
  <c r="V49" i="7"/>
  <c r="AO43" i="49"/>
  <c r="M32" i="47"/>
  <c r="N32" i="47" s="1"/>
  <c r="N11" i="48"/>
  <c r="K11" i="49"/>
  <c r="L11" i="49" s="1"/>
  <c r="M11" i="49" s="1"/>
  <c r="N11" i="49" s="1"/>
  <c r="O11" i="49" s="1"/>
  <c r="P11" i="49" s="1"/>
  <c r="N27" i="41"/>
  <c r="Q26" i="47"/>
  <c r="T26" i="47" s="1"/>
  <c r="AN26" i="47" s="1"/>
  <c r="S26" i="47"/>
  <c r="AM26" i="47" s="1"/>
  <c r="R43" i="46"/>
  <c r="U43" i="46" s="1"/>
  <c r="H28" i="8" s="1"/>
  <c r="J34" i="41"/>
  <c r="S33" i="46"/>
  <c r="AM33" i="46" s="1"/>
  <c r="Q33" i="46"/>
  <c r="T33" i="46" s="1"/>
  <c r="AN33" i="46" s="1"/>
  <c r="M11" i="47"/>
  <c r="N11" i="47" s="1"/>
  <c r="V47" i="7"/>
  <c r="AO41" i="49"/>
  <c r="O12" i="46"/>
  <c r="P12" i="46" s="1"/>
  <c r="K17" i="7"/>
  <c r="K17" i="50"/>
  <c r="L17" i="50" s="1"/>
  <c r="K17" i="41"/>
  <c r="L17" i="41" s="1"/>
  <c r="N27" i="48"/>
  <c r="O27" i="48" s="1"/>
  <c r="P27" i="48" s="1"/>
  <c r="K27" i="49"/>
  <c r="L27" i="49" s="1"/>
  <c r="M27" i="49" s="1"/>
  <c r="N27" i="49" s="1"/>
  <c r="O27" i="49" s="1"/>
  <c r="P27" i="49" s="1"/>
  <c r="J25" i="41"/>
  <c r="S24" i="46"/>
  <c r="AM24" i="46" s="1"/>
  <c r="Q24" i="46"/>
  <c r="T24" i="46" s="1"/>
  <c r="AN24" i="46" s="1"/>
  <c r="J14" i="7"/>
  <c r="AO13" i="46"/>
  <c r="O10" i="46"/>
  <c r="P10" i="46" s="1"/>
  <c r="W45" i="50"/>
  <c r="X45" i="50" s="1"/>
  <c r="W45" i="7"/>
  <c r="X45" i="7" s="1"/>
  <c r="W45" i="41"/>
  <c r="X45" i="41" s="1"/>
  <c r="N11" i="41"/>
  <c r="S10" i="47"/>
  <c r="AM10" i="47" s="1"/>
  <c r="Q10" i="47"/>
  <c r="T10" i="47" s="1"/>
  <c r="AN10" i="47" s="1"/>
  <c r="O9" i="46"/>
  <c r="P9" i="46" s="1"/>
  <c r="N14" i="41"/>
  <c r="Q13" i="47"/>
  <c r="T13" i="47" s="1"/>
  <c r="AN13" i="47" s="1"/>
  <c r="S13" i="47"/>
  <c r="AM13" i="47" s="1"/>
  <c r="W49" i="41"/>
  <c r="X49" i="41" s="1"/>
  <c r="W49" i="7"/>
  <c r="W49" i="50"/>
  <c r="X49" i="50" s="1"/>
  <c r="O19" i="47"/>
  <c r="P19" i="47" s="1"/>
  <c r="O37" i="47"/>
  <c r="P37" i="47" s="1"/>
  <c r="O29" i="47"/>
  <c r="P29" i="47" s="1"/>
  <c r="J44" i="7"/>
  <c r="AO43" i="46"/>
  <c r="K30" i="41"/>
  <c r="L30" i="41" s="1"/>
  <c r="K30" i="7"/>
  <c r="K30" i="50"/>
  <c r="L30" i="50" s="1"/>
  <c r="N19" i="48"/>
  <c r="O19" i="48" s="1"/>
  <c r="P19" i="48" s="1"/>
  <c r="Q19" i="48" s="1"/>
  <c r="R19" i="48" s="1"/>
  <c r="K19" i="49"/>
  <c r="K30" i="49"/>
  <c r="N30" i="48"/>
  <c r="O30" i="48" s="1"/>
  <c r="P30" i="48" s="1"/>
  <c r="Q30" i="48" s="1"/>
  <c r="R30" i="48" s="1"/>
  <c r="O23" i="47"/>
  <c r="P23" i="47" s="1"/>
  <c r="N26" i="48"/>
  <c r="O26" i="48" s="1"/>
  <c r="P26" i="48" s="1"/>
  <c r="Q26" i="48" s="1"/>
  <c r="R26" i="48" s="1"/>
  <c r="K26" i="49"/>
  <c r="W47" i="50"/>
  <c r="X47" i="50" s="1"/>
  <c r="W47" i="41"/>
  <c r="X47" i="41" s="1"/>
  <c r="W47" i="7"/>
  <c r="X47" i="7" s="1"/>
  <c r="R36" i="46"/>
  <c r="U36" i="46" s="1"/>
  <c r="H21" i="8" s="1"/>
  <c r="AO14" i="46"/>
  <c r="J15" i="7"/>
  <c r="N18" i="48"/>
  <c r="O18" i="48" s="1"/>
  <c r="P18" i="48" s="1"/>
  <c r="Q18" i="48" s="1"/>
  <c r="R18" i="48" s="1"/>
  <c r="K18" i="49"/>
  <c r="J6" i="7"/>
  <c r="AO5" i="46"/>
  <c r="K14" i="50"/>
  <c r="L14" i="50" s="1"/>
  <c r="K14" i="41"/>
  <c r="L14" i="41" s="1"/>
  <c r="K14" i="7"/>
  <c r="R31" i="46"/>
  <c r="U31" i="46" s="1"/>
  <c r="H17" i="8" s="1"/>
  <c r="R22" i="46"/>
  <c r="U22" i="46" s="1"/>
  <c r="J30" i="7"/>
  <c r="L30" i="7" s="1"/>
  <c r="AO29" i="46"/>
  <c r="M30" i="47"/>
  <c r="K23" i="49"/>
  <c r="L23" i="49" s="1"/>
  <c r="M23" i="49" s="1"/>
  <c r="N23" i="49" s="1"/>
  <c r="O23" i="49" s="1"/>
  <c r="P23" i="49" s="1"/>
  <c r="N23" i="48"/>
  <c r="K37" i="7"/>
  <c r="K37" i="50"/>
  <c r="L37" i="50" s="1"/>
  <c r="K37" i="41"/>
  <c r="L37" i="41" s="1"/>
  <c r="AO16" i="46"/>
  <c r="J17" i="7"/>
  <c r="N34" i="48"/>
  <c r="O34" i="48" s="1"/>
  <c r="P34" i="48" s="1"/>
  <c r="Q34" i="48" s="1"/>
  <c r="R34" i="48" s="1"/>
  <c r="K34" i="49"/>
  <c r="L34" i="49" s="1"/>
  <c r="J40" i="41"/>
  <c r="Q39" i="46"/>
  <c r="T39" i="46" s="1"/>
  <c r="AN39" i="46" s="1"/>
  <c r="S39" i="46"/>
  <c r="AM39" i="46" s="1"/>
  <c r="N12" i="48"/>
  <c r="O12" i="48" s="1"/>
  <c r="P12" i="48" s="1"/>
  <c r="K12" i="49"/>
  <c r="K6" i="41"/>
  <c r="L6" i="41" s="1"/>
  <c r="K6" i="7"/>
  <c r="K6" i="50"/>
  <c r="L6" i="50" s="1"/>
  <c r="P7" i="46"/>
  <c r="K32" i="41"/>
  <c r="L32" i="41" s="1"/>
  <c r="K32" i="50"/>
  <c r="L32" i="50" s="1"/>
  <c r="K32" i="7"/>
  <c r="O40" i="46"/>
  <c r="P40" i="46" s="1"/>
  <c r="K10" i="49"/>
  <c r="N10" i="48"/>
  <c r="J7" i="7"/>
  <c r="N13" i="48"/>
  <c r="K13" i="49"/>
  <c r="L13" i="49" s="1"/>
  <c r="M13" i="49" s="1"/>
  <c r="N13" i="49" s="1"/>
  <c r="O13" i="49" s="1"/>
  <c r="P13" i="49" s="1"/>
  <c r="K44" i="41"/>
  <c r="L44" i="41" s="1"/>
  <c r="K44" i="7"/>
  <c r="K44" i="50"/>
  <c r="L44" i="50" s="1"/>
  <c r="J9" i="41"/>
  <c r="Q8" i="46"/>
  <c r="T8" i="46" s="1"/>
  <c r="AN8" i="46" s="1"/>
  <c r="S8" i="46"/>
  <c r="AM8" i="46" s="1"/>
  <c r="K37" i="49"/>
  <c r="N37" i="48"/>
  <c r="O37" i="48" s="1"/>
  <c r="P37" i="48" s="1"/>
  <c r="Q37" i="48" s="1"/>
  <c r="J27" i="41"/>
  <c r="S26" i="46"/>
  <c r="AM26" i="46" s="1"/>
  <c r="Q26" i="46"/>
  <c r="T26" i="46" s="1"/>
  <c r="AN26" i="46" s="1"/>
  <c r="N29" i="48"/>
  <c r="O29" i="48" s="1"/>
  <c r="P29" i="48" s="1"/>
  <c r="K29" i="49"/>
  <c r="N14" i="48"/>
  <c r="O14" i="48" s="1"/>
  <c r="P14" i="48" s="1"/>
  <c r="Q14" i="48" s="1"/>
  <c r="R14" i="48" s="1"/>
  <c r="K14" i="49"/>
  <c r="N28" i="46"/>
  <c r="O28" i="46" s="1"/>
  <c r="J22" i="41"/>
  <c r="Q21" i="46"/>
  <c r="T21" i="46" s="1"/>
  <c r="AN21" i="46" s="1"/>
  <c r="S21" i="46"/>
  <c r="AM21" i="46" s="1"/>
  <c r="X51" i="7"/>
  <c r="R17" i="46"/>
  <c r="U17" i="46" s="1"/>
  <c r="AO36" i="46"/>
  <c r="J37" i="7"/>
  <c r="S11" i="46"/>
  <c r="AM11" i="46" s="1"/>
  <c r="Q11" i="46"/>
  <c r="T11" i="46" s="1"/>
  <c r="AN11" i="46" s="1"/>
  <c r="J12" i="41"/>
  <c r="N35" i="41"/>
  <c r="S34" i="47"/>
  <c r="AM34" i="47" s="1"/>
  <c r="Q34" i="47"/>
  <c r="T34" i="47" s="1"/>
  <c r="AN34" i="47" s="1"/>
  <c r="M12" i="47"/>
  <c r="N12" i="47" s="1"/>
  <c r="N22" i="48"/>
  <c r="O22" i="48" s="1"/>
  <c r="P22" i="48" s="1"/>
  <c r="Q22" i="48" s="1"/>
  <c r="K22" i="49"/>
  <c r="P38" i="47"/>
  <c r="N6" i="41"/>
  <c r="S5" i="47"/>
  <c r="AM5" i="47" s="1"/>
  <c r="Q5" i="47"/>
  <c r="T5" i="47" s="1"/>
  <c r="AN5" i="47" s="1"/>
  <c r="AO31" i="46"/>
  <c r="J32" i="7"/>
  <c r="M8" i="47"/>
  <c r="N8" i="47" s="1"/>
  <c r="K23" i="50"/>
  <c r="L23" i="50" s="1"/>
  <c r="K23" i="7"/>
  <c r="K23" i="41"/>
  <c r="L23" i="41" s="1"/>
  <c r="J33" i="41"/>
  <c r="Q32" i="46"/>
  <c r="T32" i="46" s="1"/>
  <c r="AN32" i="46" s="1"/>
  <c r="S32" i="46"/>
  <c r="AM32" i="46" s="1"/>
  <c r="O16" i="47"/>
  <c r="P16" i="47" s="1"/>
  <c r="P42" i="46"/>
  <c r="R43" i="47"/>
  <c r="U43" i="47" s="1"/>
  <c r="J28" i="8" s="1"/>
  <c r="P24" i="47"/>
  <c r="X50" i="7"/>
  <c r="O25" i="47"/>
  <c r="P25" i="47" s="1"/>
  <c r="J18" i="7"/>
  <c r="AO17" i="46"/>
  <c r="S15" i="47"/>
  <c r="AM15" i="47" s="1"/>
  <c r="Q19" i="46"/>
  <c r="T19" i="46" s="1"/>
  <c r="AN19" i="46" s="1"/>
  <c r="S19" i="46"/>
  <c r="AM19" i="46" s="1"/>
  <c r="J20" i="41"/>
  <c r="P40" i="47"/>
  <c r="M22" i="47"/>
  <c r="N22" i="47" s="1"/>
  <c r="O22" i="47" s="1"/>
  <c r="N5" i="48"/>
  <c r="K5" i="49"/>
  <c r="J16" i="41"/>
  <c r="S15" i="46"/>
  <c r="AM15" i="46" s="1"/>
  <c r="Q15" i="46"/>
  <c r="T15" i="46" s="1"/>
  <c r="AN15" i="46" s="1"/>
  <c r="M9" i="47"/>
  <c r="N8" i="48"/>
  <c r="O8" i="48" s="1"/>
  <c r="P8" i="48" s="1"/>
  <c r="K8" i="49"/>
  <c r="J26" i="7"/>
  <c r="AO25" i="46"/>
  <c r="N42" i="41"/>
  <c r="Q41" i="47"/>
  <c r="T41" i="47" s="1"/>
  <c r="AN41" i="47" s="1"/>
  <c r="S41" i="47"/>
  <c r="AM41" i="47" s="1"/>
  <c r="O44" i="50"/>
  <c r="P44" i="50" s="1"/>
  <c r="O44" i="7"/>
  <c r="O44" i="41"/>
  <c r="P44" i="41" s="1"/>
  <c r="K18" i="50"/>
  <c r="L18" i="50" s="1"/>
  <c r="K18" i="7"/>
  <c r="K18" i="41"/>
  <c r="L18" i="41" s="1"/>
  <c r="N15" i="48"/>
  <c r="O15" i="48" s="1"/>
  <c r="P15" i="48" s="1"/>
  <c r="K15" i="49"/>
  <c r="O17" i="47"/>
  <c r="P17" i="47" s="1"/>
  <c r="N8" i="41"/>
  <c r="Q7" i="47"/>
  <c r="T7" i="47" s="1"/>
  <c r="AN7" i="47" s="1"/>
  <c r="S7" i="47"/>
  <c r="AM7" i="47" s="1"/>
  <c r="R7" i="47"/>
  <c r="U7" i="47" s="1"/>
  <c r="J39" i="41"/>
  <c r="S38" i="46"/>
  <c r="AM38" i="46" s="1"/>
  <c r="Q38" i="46"/>
  <c r="T38" i="46" s="1"/>
  <c r="AN38" i="46" s="1"/>
  <c r="M6" i="47"/>
  <c r="N6" i="47" s="1"/>
  <c r="O6" i="47" s="1"/>
  <c r="P6" i="47" s="1"/>
  <c r="K9" i="49"/>
  <c r="N9" i="48"/>
  <c r="O9" i="48" s="1"/>
  <c r="P9" i="48" s="1"/>
  <c r="O31" i="47"/>
  <c r="P31" i="47" s="1"/>
  <c r="K21" i="49"/>
  <c r="L21" i="49" s="1"/>
  <c r="M21" i="49" s="1"/>
  <c r="N21" i="49" s="1"/>
  <c r="O21" i="49" s="1"/>
  <c r="P21" i="49" s="1"/>
  <c r="N21" i="48"/>
  <c r="O21" i="48" s="1"/>
  <c r="P21" i="48" s="1"/>
  <c r="Q21" i="48" s="1"/>
  <c r="R21" i="48" s="1"/>
  <c r="R41" i="46"/>
  <c r="U41" i="46" s="1"/>
  <c r="H26" i="8" s="1"/>
  <c r="N37" i="41"/>
  <c r="S36" i="47"/>
  <c r="AM36" i="47" s="1"/>
  <c r="Q36" i="47"/>
  <c r="T36" i="47" s="1"/>
  <c r="AN36" i="47" s="1"/>
  <c r="Q21" i="47"/>
  <c r="T21" i="47" s="1"/>
  <c r="AN21" i="47" s="1"/>
  <c r="N22" i="41"/>
  <c r="S21" i="47"/>
  <c r="AM21" i="47" s="1"/>
  <c r="J42" i="7"/>
  <c r="AO41" i="46"/>
  <c r="K16" i="49"/>
  <c r="N16" i="48"/>
  <c r="N29" i="41"/>
  <c r="S28" i="47"/>
  <c r="AM28" i="47" s="1"/>
  <c r="Q28" i="47"/>
  <c r="T28" i="47" s="1"/>
  <c r="AN28" i="47" s="1"/>
  <c r="R43" i="49"/>
  <c r="U43" i="49" s="1"/>
  <c r="N33" i="8" s="1"/>
  <c r="O33" i="8" s="1"/>
  <c r="K32" i="49"/>
  <c r="L32" i="49" s="1"/>
  <c r="M32" i="49" s="1"/>
  <c r="N32" i="49" s="1"/>
  <c r="O32" i="49" s="1"/>
  <c r="P32" i="49" s="1"/>
  <c r="N32" i="48"/>
  <c r="O32" i="48" s="1"/>
  <c r="P32" i="48" s="1"/>
  <c r="N44" i="7"/>
  <c r="AO43" i="47"/>
  <c r="N24" i="48"/>
  <c r="O24" i="48" s="1"/>
  <c r="P24" i="48" s="1"/>
  <c r="K24" i="49"/>
  <c r="K25" i="49"/>
  <c r="N25" i="48"/>
  <c r="O25" i="48" s="1"/>
  <c r="P25" i="48" s="1"/>
  <c r="R14" i="46"/>
  <c r="U14" i="46" s="1"/>
  <c r="N17" i="48"/>
  <c r="O17" i="48" s="1"/>
  <c r="P17" i="48" s="1"/>
  <c r="K17" i="49"/>
  <c r="K38" i="49"/>
  <c r="L38" i="49" s="1"/>
  <c r="N38" i="48"/>
  <c r="O38" i="48" s="1"/>
  <c r="P38" i="48" s="1"/>
  <c r="K7" i="49"/>
  <c r="L7" i="49" s="1"/>
  <c r="N7" i="48"/>
  <c r="O7" i="48" s="1"/>
  <c r="P7" i="48" s="1"/>
  <c r="K19" i="7"/>
  <c r="K19" i="41"/>
  <c r="L19" i="41" s="1"/>
  <c r="K19" i="50"/>
  <c r="L19" i="50" s="1"/>
  <c r="N27" i="46"/>
  <c r="O27" i="46" s="1"/>
  <c r="K6" i="49"/>
  <c r="N6" i="48"/>
  <c r="O6" i="48" s="1"/>
  <c r="P6" i="48" s="1"/>
  <c r="R39" i="49"/>
  <c r="U39" i="49" s="1"/>
  <c r="N29" i="8" s="1"/>
  <c r="O29" i="8" s="1"/>
  <c r="K26" i="50"/>
  <c r="L26" i="50" s="1"/>
  <c r="K26" i="41"/>
  <c r="L26" i="41" s="1"/>
  <c r="K26" i="7"/>
  <c r="M33" i="47"/>
  <c r="N33" i="47" s="1"/>
  <c r="O33" i="47" s="1"/>
  <c r="G18" i="50"/>
  <c r="H18" i="50" s="1"/>
  <c r="G18" i="41"/>
  <c r="H18" i="41" s="1"/>
  <c r="G18" i="7"/>
  <c r="H18" i="7" s="1"/>
  <c r="G7" i="50"/>
  <c r="H7" i="50" s="1"/>
  <c r="G7" i="41"/>
  <c r="H7" i="41" s="1"/>
  <c r="G7" i="7"/>
  <c r="H7" i="7" s="1"/>
  <c r="W7" i="1"/>
  <c r="F8" i="8" s="1"/>
  <c r="W6" i="1"/>
  <c r="F7" i="8" s="1"/>
  <c r="W17" i="1"/>
  <c r="F18" i="8" s="1"/>
  <c r="AQ17" i="1"/>
  <c r="AP7" i="1"/>
  <c r="AQ6" i="1"/>
  <c r="AO22" i="46" l="1"/>
  <c r="N19" i="41"/>
  <c r="S18" i="47"/>
  <c r="AM18" i="47" s="1"/>
  <c r="Q9" i="48"/>
  <c r="R9" i="48" s="1"/>
  <c r="L15" i="7"/>
  <c r="N43" i="41"/>
  <c r="H19" i="8"/>
  <c r="H15" i="8"/>
  <c r="Q15" i="47"/>
  <c r="T15" i="47" s="1"/>
  <c r="AN15" i="47" s="1"/>
  <c r="O16" i="7" s="1"/>
  <c r="S42" i="47"/>
  <c r="AM42" i="47" s="1"/>
  <c r="AO42" i="47" s="1"/>
  <c r="R5" i="47"/>
  <c r="U5" i="47" s="1"/>
  <c r="R33" i="46"/>
  <c r="U33" i="46" s="1"/>
  <c r="L42" i="7"/>
  <c r="R37" i="48"/>
  <c r="R38" i="41" s="1"/>
  <c r="L17" i="7"/>
  <c r="R24" i="46"/>
  <c r="U24" i="46" s="1"/>
  <c r="K7" i="41"/>
  <c r="L7" i="41" s="1"/>
  <c r="K7" i="50"/>
  <c r="L7" i="50" s="1"/>
  <c r="AO6" i="46"/>
  <c r="R19" i="46"/>
  <c r="U19" i="46" s="1"/>
  <c r="Q27" i="48"/>
  <c r="R27" i="48" s="1"/>
  <c r="R28" i="41" s="1"/>
  <c r="L37" i="7"/>
  <c r="Q27" i="47"/>
  <c r="T27" i="47" s="1"/>
  <c r="AN27" i="47" s="1"/>
  <c r="AO27" i="47" s="1"/>
  <c r="N28" i="41"/>
  <c r="R23" i="46"/>
  <c r="U23" i="46" s="1"/>
  <c r="R8" i="46"/>
  <c r="U8" i="46" s="1"/>
  <c r="R39" i="46"/>
  <c r="U39" i="46" s="1"/>
  <c r="H24" i="8" s="1"/>
  <c r="O11" i="47"/>
  <c r="P11" i="47" s="1"/>
  <c r="T14" i="47"/>
  <c r="AN14" i="47" s="1"/>
  <c r="R14" i="47"/>
  <c r="U14" i="47" s="1"/>
  <c r="R41" i="47"/>
  <c r="U41" i="47" s="1"/>
  <c r="J26" i="8" s="1"/>
  <c r="R34" i="47"/>
  <c r="U34" i="47" s="1"/>
  <c r="R37" i="46"/>
  <c r="U37" i="46" s="1"/>
  <c r="H22" i="8" s="1"/>
  <c r="Q7" i="48"/>
  <c r="R7" i="48" s="1"/>
  <c r="Q25" i="48"/>
  <c r="R25" i="48" s="1"/>
  <c r="R26" i="41" s="1"/>
  <c r="L18" i="7"/>
  <c r="R32" i="46"/>
  <c r="U32" i="46" s="1"/>
  <c r="R26" i="46"/>
  <c r="U26" i="46" s="1"/>
  <c r="S14" i="47"/>
  <c r="AM14" i="47" s="1"/>
  <c r="L7" i="7"/>
  <c r="N15" i="41"/>
  <c r="R28" i="48"/>
  <c r="R29" i="41" s="1"/>
  <c r="R10" i="47"/>
  <c r="U10" i="47" s="1"/>
  <c r="R26" i="47"/>
  <c r="U26" i="47" s="1"/>
  <c r="R18" i="47"/>
  <c r="U18" i="47" s="1"/>
  <c r="P30" i="46"/>
  <c r="R28" i="47"/>
  <c r="U28" i="47" s="1"/>
  <c r="R21" i="47"/>
  <c r="U21" i="47" s="1"/>
  <c r="L23" i="7"/>
  <c r="Q15" i="48"/>
  <c r="R15" i="48" s="1"/>
  <c r="U15" i="48" s="1"/>
  <c r="AO15" i="48" s="1"/>
  <c r="O12" i="47"/>
  <c r="P12" i="47" s="1"/>
  <c r="S12" i="47" s="1"/>
  <c r="AM12" i="47" s="1"/>
  <c r="L44" i="7"/>
  <c r="R42" i="47"/>
  <c r="U42" i="47" s="1"/>
  <c r="J27" i="8" s="1"/>
  <c r="R34" i="46"/>
  <c r="U34" i="46" s="1"/>
  <c r="O32" i="47"/>
  <c r="P32" i="47" s="1"/>
  <c r="N7" i="41"/>
  <c r="Q6" i="47"/>
  <c r="T6" i="47" s="1"/>
  <c r="AN6" i="47" s="1"/>
  <c r="S6" i="47"/>
  <c r="AM6" i="47" s="1"/>
  <c r="J16" i="7"/>
  <c r="AO15" i="46"/>
  <c r="J6" i="8"/>
  <c r="L5" i="49"/>
  <c r="K33" i="7"/>
  <c r="K33" i="41"/>
  <c r="L33" i="41" s="1"/>
  <c r="K33" i="50"/>
  <c r="L33" i="50" s="1"/>
  <c r="L14" i="49"/>
  <c r="M14" i="49" s="1"/>
  <c r="N14" i="49" s="1"/>
  <c r="L6" i="49"/>
  <c r="M6" i="49" s="1"/>
  <c r="N6" i="49" s="1"/>
  <c r="Q38" i="48"/>
  <c r="R38" i="48" s="1"/>
  <c r="Q32" i="48"/>
  <c r="R32" i="48" s="1"/>
  <c r="O22" i="41"/>
  <c r="O22" i="50"/>
  <c r="P22" i="50" s="1"/>
  <c r="O22" i="7"/>
  <c r="R38" i="46"/>
  <c r="U38" i="46" s="1"/>
  <c r="H23" i="8" s="1"/>
  <c r="R15" i="46"/>
  <c r="U15" i="46" s="1"/>
  <c r="P22" i="47"/>
  <c r="L32" i="7"/>
  <c r="L22" i="49"/>
  <c r="M22" i="49" s="1"/>
  <c r="N22" i="49" s="1"/>
  <c r="O22" i="49" s="1"/>
  <c r="R11" i="46"/>
  <c r="U11" i="46" s="1"/>
  <c r="R21" i="46"/>
  <c r="U21" i="46" s="1"/>
  <c r="H7" i="8" s="1"/>
  <c r="L29" i="49"/>
  <c r="L37" i="49"/>
  <c r="M37" i="49" s="1"/>
  <c r="N37" i="49" s="1"/>
  <c r="K40" i="7"/>
  <c r="K40" i="50"/>
  <c r="L40" i="50" s="1"/>
  <c r="K40" i="41"/>
  <c r="L40" i="41" s="1"/>
  <c r="S19" i="48"/>
  <c r="V19" i="48" s="1"/>
  <c r="AP19" i="48" s="1"/>
  <c r="U19" i="48"/>
  <c r="AO19" i="48" s="1"/>
  <c r="R20" i="41"/>
  <c r="N38" i="41"/>
  <c r="S37" i="47"/>
  <c r="AM37" i="47" s="1"/>
  <c r="Q37" i="47"/>
  <c r="T37" i="47" s="1"/>
  <c r="AN37" i="47" s="1"/>
  <c r="O14" i="41"/>
  <c r="P14" i="41" s="1"/>
  <c r="O14" i="50"/>
  <c r="P14" i="50" s="1"/>
  <c r="O14" i="7"/>
  <c r="J25" i="7"/>
  <c r="AO24" i="46"/>
  <c r="J34" i="7"/>
  <c r="AO33" i="46"/>
  <c r="M31" i="49"/>
  <c r="N31" i="49" s="1"/>
  <c r="O31" i="49" s="1"/>
  <c r="P31" i="49" s="1"/>
  <c r="J38" i="7"/>
  <c r="AO37" i="46"/>
  <c r="K20" i="7"/>
  <c r="K20" i="50"/>
  <c r="L20" i="50" s="1"/>
  <c r="K20" i="41"/>
  <c r="L20" i="41" s="1"/>
  <c r="Q25" i="47"/>
  <c r="T25" i="47" s="1"/>
  <c r="AN25" i="47" s="1"/>
  <c r="S25" i="47"/>
  <c r="AM25" i="47" s="1"/>
  <c r="N26" i="41"/>
  <c r="P33" i="47"/>
  <c r="L25" i="49"/>
  <c r="M25" i="49" s="1"/>
  <c r="N25" i="49" s="1"/>
  <c r="O16" i="48"/>
  <c r="R36" i="47"/>
  <c r="U36" i="47" s="1"/>
  <c r="J21" i="8" s="1"/>
  <c r="N32" i="41"/>
  <c r="S31" i="47"/>
  <c r="AM31" i="47" s="1"/>
  <c r="Q31" i="47"/>
  <c r="T31" i="47" s="1"/>
  <c r="AN31" i="47" s="1"/>
  <c r="K39" i="50"/>
  <c r="L39" i="50" s="1"/>
  <c r="K39" i="7"/>
  <c r="K39" i="41"/>
  <c r="L39" i="41" s="1"/>
  <c r="S17" i="47"/>
  <c r="AM17" i="47" s="1"/>
  <c r="N18" i="41"/>
  <c r="Q17" i="47"/>
  <c r="T17" i="47" s="1"/>
  <c r="AN17" i="47" s="1"/>
  <c r="P44" i="7"/>
  <c r="K16" i="50"/>
  <c r="L16" i="50" s="1"/>
  <c r="K16" i="41"/>
  <c r="L16" i="41" s="1"/>
  <c r="K16" i="7"/>
  <c r="N41" i="41"/>
  <c r="S40" i="47"/>
  <c r="AM40" i="47" s="1"/>
  <c r="Q40" i="47"/>
  <c r="T40" i="47" s="1"/>
  <c r="AN40" i="47" s="1"/>
  <c r="J43" i="41"/>
  <c r="Q42" i="46"/>
  <c r="T42" i="46" s="1"/>
  <c r="AN42" i="46" s="1"/>
  <c r="S42" i="46"/>
  <c r="AM42" i="46" s="1"/>
  <c r="AO21" i="46"/>
  <c r="J22" i="7"/>
  <c r="O10" i="48"/>
  <c r="O23" i="48"/>
  <c r="P23" i="48" s="1"/>
  <c r="Q23" i="48" s="1"/>
  <c r="R23" i="48" s="1"/>
  <c r="N20" i="41"/>
  <c r="Q19" i="47"/>
  <c r="T19" i="47" s="1"/>
  <c r="AN19" i="47" s="1"/>
  <c r="S19" i="47"/>
  <c r="AM19" i="47" s="1"/>
  <c r="J13" i="41"/>
  <c r="S12" i="46"/>
  <c r="AM12" i="46" s="1"/>
  <c r="Q12" i="46"/>
  <c r="T12" i="46" s="1"/>
  <c r="AN12" i="46" s="1"/>
  <c r="V12" i="41"/>
  <c r="Q11" i="49"/>
  <c r="T11" i="49" s="1"/>
  <c r="AN11" i="49" s="1"/>
  <c r="S11" i="49"/>
  <c r="AM11" i="49" s="1"/>
  <c r="V37" i="41"/>
  <c r="S36" i="49"/>
  <c r="AM36" i="49" s="1"/>
  <c r="Q36" i="49"/>
  <c r="T36" i="49" s="1"/>
  <c r="AN36" i="49" s="1"/>
  <c r="O31" i="48"/>
  <c r="P31" i="48" s="1"/>
  <c r="N28" i="7"/>
  <c r="AO34" i="46"/>
  <c r="J35" i="7"/>
  <c r="R10" i="41"/>
  <c r="S9" i="48"/>
  <c r="V9" i="48" s="1"/>
  <c r="AP9" i="48" s="1"/>
  <c r="U9" i="48"/>
  <c r="AO9" i="48" s="1"/>
  <c r="K12" i="41"/>
  <c r="L12" i="41" s="1"/>
  <c r="K12" i="7"/>
  <c r="K12" i="50"/>
  <c r="L12" i="50" s="1"/>
  <c r="K22" i="7"/>
  <c r="K22" i="41"/>
  <c r="L22" i="41" s="1"/>
  <c r="K22" i="50"/>
  <c r="L22" i="50" s="1"/>
  <c r="J9" i="7"/>
  <c r="AO8" i="46"/>
  <c r="V24" i="41"/>
  <c r="S23" i="49"/>
  <c r="AM23" i="49" s="1"/>
  <c r="Q23" i="49"/>
  <c r="T23" i="49" s="1"/>
  <c r="AN23" i="49" s="1"/>
  <c r="L18" i="49"/>
  <c r="M18" i="49" s="1"/>
  <c r="N18" i="49" s="1"/>
  <c r="O18" i="49" s="1"/>
  <c r="L26" i="49"/>
  <c r="M26" i="49" s="1"/>
  <c r="N26" i="49" s="1"/>
  <c r="U27" i="48"/>
  <c r="AO27" i="48" s="1"/>
  <c r="V14" i="41"/>
  <c r="S13" i="49"/>
  <c r="AM13" i="49" s="1"/>
  <c r="Q13" i="49"/>
  <c r="T13" i="49" s="1"/>
  <c r="AN13" i="49" s="1"/>
  <c r="L10" i="49"/>
  <c r="M10" i="49" s="1"/>
  <c r="N10" i="49" s="1"/>
  <c r="O10" i="49" s="1"/>
  <c r="M34" i="49"/>
  <c r="N34" i="49" s="1"/>
  <c r="O34" i="49" s="1"/>
  <c r="P34" i="49" s="1"/>
  <c r="O11" i="48"/>
  <c r="P11" i="48" s="1"/>
  <c r="Q11" i="48" s="1"/>
  <c r="Q17" i="48"/>
  <c r="R17" i="48" s="1"/>
  <c r="Q24" i="48"/>
  <c r="R24" i="48" s="1"/>
  <c r="AO36" i="47"/>
  <c r="N37" i="7"/>
  <c r="L15" i="49"/>
  <c r="M15" i="49" s="1"/>
  <c r="N15" i="49" s="1"/>
  <c r="Q8" i="48"/>
  <c r="R8" i="48" s="1"/>
  <c r="J33" i="7"/>
  <c r="AO32" i="46"/>
  <c r="O6" i="50"/>
  <c r="P6" i="50" s="1"/>
  <c r="O6" i="7"/>
  <c r="O6" i="41"/>
  <c r="P6" i="41" s="1"/>
  <c r="J12" i="7"/>
  <c r="AO11" i="46"/>
  <c r="K27" i="41"/>
  <c r="L27" i="41" s="1"/>
  <c r="K27" i="50"/>
  <c r="L27" i="50" s="1"/>
  <c r="K27" i="7"/>
  <c r="K9" i="41"/>
  <c r="L9" i="41" s="1"/>
  <c r="K9" i="50"/>
  <c r="L9" i="50" s="1"/>
  <c r="K9" i="7"/>
  <c r="O13" i="48"/>
  <c r="P13" i="48" s="1"/>
  <c r="Q13" i="48" s="1"/>
  <c r="J41" i="41"/>
  <c r="Q40" i="46"/>
  <c r="T40" i="46" s="1"/>
  <c r="AN40" i="46" s="1"/>
  <c r="S40" i="46"/>
  <c r="AM40" i="46" s="1"/>
  <c r="Q12" i="48"/>
  <c r="R12" i="48" s="1"/>
  <c r="R35" i="41"/>
  <c r="U34" i="48"/>
  <c r="AO34" i="48" s="1"/>
  <c r="S34" i="48"/>
  <c r="V34" i="48" s="1"/>
  <c r="AP34" i="48" s="1"/>
  <c r="N30" i="47"/>
  <c r="O30" i="47" s="1"/>
  <c r="P30" i="47" s="1"/>
  <c r="R19" i="41"/>
  <c r="U18" i="48"/>
  <c r="AO18" i="48" s="1"/>
  <c r="S18" i="48"/>
  <c r="V18" i="48" s="1"/>
  <c r="AP18" i="48" s="1"/>
  <c r="R27" i="41"/>
  <c r="U26" i="48"/>
  <c r="AO26" i="48" s="1"/>
  <c r="S26" i="48"/>
  <c r="V26" i="48" s="1"/>
  <c r="AP26" i="48" s="1"/>
  <c r="J10" i="41"/>
  <c r="Q9" i="46"/>
  <c r="T9" i="46" s="1"/>
  <c r="AN9" i="46" s="1"/>
  <c r="S9" i="46"/>
  <c r="AM9" i="46" s="1"/>
  <c r="J10" i="7" s="1"/>
  <c r="J11" i="41"/>
  <c r="Q10" i="46"/>
  <c r="T10" i="46" s="1"/>
  <c r="AN10" i="46" s="1"/>
  <c r="S10" i="46"/>
  <c r="AM10" i="46" s="1"/>
  <c r="V28" i="41"/>
  <c r="Q27" i="49"/>
  <c r="T27" i="49" s="1"/>
  <c r="AN27" i="49" s="1"/>
  <c r="S27" i="49"/>
  <c r="AM27" i="49" s="1"/>
  <c r="L28" i="49"/>
  <c r="M28" i="49" s="1"/>
  <c r="N28" i="49" s="1"/>
  <c r="O28" i="49" s="1"/>
  <c r="K35" i="50"/>
  <c r="L35" i="50" s="1"/>
  <c r="K35" i="41"/>
  <c r="L35" i="41" s="1"/>
  <c r="K35" i="7"/>
  <c r="Q32" i="49"/>
  <c r="T32" i="49" s="1"/>
  <c r="AN32" i="49" s="1"/>
  <c r="S32" i="49"/>
  <c r="AM32" i="49" s="1"/>
  <c r="V33" i="41"/>
  <c r="O37" i="7"/>
  <c r="O37" i="50"/>
  <c r="P37" i="50" s="1"/>
  <c r="O37" i="41"/>
  <c r="P37" i="41" s="1"/>
  <c r="J39" i="7"/>
  <c r="AO38" i="46"/>
  <c r="S16" i="47"/>
  <c r="AM16" i="47" s="1"/>
  <c r="Q16" i="47"/>
  <c r="T16" i="47" s="1"/>
  <c r="AN16" i="47" s="1"/>
  <c r="N17" i="41"/>
  <c r="AO5" i="47"/>
  <c r="N6" i="7"/>
  <c r="J27" i="7"/>
  <c r="AO26" i="46"/>
  <c r="L12" i="49"/>
  <c r="M12" i="49" s="1"/>
  <c r="N12" i="49" s="1"/>
  <c r="N24" i="41"/>
  <c r="S23" i="47"/>
  <c r="AM23" i="47" s="1"/>
  <c r="Q23" i="47"/>
  <c r="T23" i="47" s="1"/>
  <c r="AN23" i="47" s="1"/>
  <c r="N40" i="41"/>
  <c r="Q39" i="47"/>
  <c r="T39" i="47" s="1"/>
  <c r="AN39" i="47" s="1"/>
  <c r="S39" i="47"/>
  <c r="AM39" i="47" s="1"/>
  <c r="AO18" i="47"/>
  <c r="N19" i="7"/>
  <c r="P28" i="46"/>
  <c r="R31" i="41"/>
  <c r="U30" i="48"/>
  <c r="AO30" i="48" s="1"/>
  <c r="S30" i="48"/>
  <c r="V30" i="48" s="1"/>
  <c r="AP30" i="48" s="1"/>
  <c r="O11" i="7"/>
  <c r="O11" i="50"/>
  <c r="P11" i="50" s="1"/>
  <c r="O11" i="41"/>
  <c r="P11" i="41" s="1"/>
  <c r="L14" i="7"/>
  <c r="N27" i="7"/>
  <c r="AO26" i="47"/>
  <c r="O33" i="48"/>
  <c r="P33" i="48" s="1"/>
  <c r="Q33" i="48" s="1"/>
  <c r="R33" i="48" s="1"/>
  <c r="O19" i="50"/>
  <c r="P19" i="50" s="1"/>
  <c r="O19" i="41"/>
  <c r="P19" i="41" s="1"/>
  <c r="O19" i="7"/>
  <c r="J24" i="7"/>
  <c r="AO23" i="46"/>
  <c r="L16" i="49"/>
  <c r="M16" i="49" s="1"/>
  <c r="N16" i="49" s="1"/>
  <c r="L26" i="7"/>
  <c r="L17" i="49"/>
  <c r="L24" i="49"/>
  <c r="M24" i="49" s="1"/>
  <c r="N24" i="49" s="1"/>
  <c r="O24" i="49" s="1"/>
  <c r="L9" i="49"/>
  <c r="M9" i="49" s="1"/>
  <c r="N9" i="49" s="1"/>
  <c r="L8" i="49"/>
  <c r="M8" i="49" s="1"/>
  <c r="N8" i="49" s="1"/>
  <c r="Q6" i="48"/>
  <c r="R6" i="48" s="1"/>
  <c r="AO28" i="47"/>
  <c r="N29" i="7"/>
  <c r="N22" i="7"/>
  <c r="AO21" i="47"/>
  <c r="R22" i="41"/>
  <c r="U21" i="48"/>
  <c r="AO21" i="48" s="1"/>
  <c r="S21" i="48"/>
  <c r="V21" i="48" s="1"/>
  <c r="AP21" i="48" s="1"/>
  <c r="N8" i="7"/>
  <c r="AO7" i="47"/>
  <c r="O42" i="7"/>
  <c r="O42" i="41"/>
  <c r="P42" i="41" s="1"/>
  <c r="O42" i="50"/>
  <c r="P42" i="50" s="1"/>
  <c r="N9" i="47"/>
  <c r="O9" i="47" s="1"/>
  <c r="O5" i="48"/>
  <c r="P5" i="48" s="1"/>
  <c r="N39" i="41"/>
  <c r="S38" i="47"/>
  <c r="AM38" i="47" s="1"/>
  <c r="Q38" i="47"/>
  <c r="T38" i="47" s="1"/>
  <c r="AN38" i="47" s="1"/>
  <c r="AO34" i="47"/>
  <c r="N35" i="7"/>
  <c r="H18" i="8"/>
  <c r="U14" i="48"/>
  <c r="AO14" i="48" s="1"/>
  <c r="S14" i="48"/>
  <c r="V14" i="48" s="1"/>
  <c r="AP14" i="48" s="1"/>
  <c r="R15" i="41"/>
  <c r="O15" i="7"/>
  <c r="O15" i="41"/>
  <c r="O15" i="50"/>
  <c r="P15" i="50" s="1"/>
  <c r="L30" i="49"/>
  <c r="M30" i="49" s="1"/>
  <c r="N30" i="49" s="1"/>
  <c r="R13" i="47"/>
  <c r="U13" i="47" s="1"/>
  <c r="N11" i="7"/>
  <c r="AO10" i="47"/>
  <c r="O27" i="41"/>
  <c r="P27" i="41" s="1"/>
  <c r="O27" i="7"/>
  <c r="O27" i="50"/>
  <c r="P27" i="50" s="1"/>
  <c r="X49" i="7"/>
  <c r="M33" i="49"/>
  <c r="N33" i="49" s="1"/>
  <c r="O33" i="49" s="1"/>
  <c r="P33" i="49" s="1"/>
  <c r="M38" i="49"/>
  <c r="N38" i="49" s="1"/>
  <c r="O38" i="49" s="1"/>
  <c r="P38" i="49" s="1"/>
  <c r="AO19" i="46"/>
  <c r="J20" i="7"/>
  <c r="L20" i="7" s="1"/>
  <c r="U7" i="48"/>
  <c r="AO7" i="48" s="1"/>
  <c r="O29" i="50"/>
  <c r="P29" i="50" s="1"/>
  <c r="O29" i="41"/>
  <c r="P29" i="41" s="1"/>
  <c r="O29" i="7"/>
  <c r="AO41" i="47"/>
  <c r="N42" i="7"/>
  <c r="O35" i="7"/>
  <c r="O35" i="41"/>
  <c r="P35" i="41" s="1"/>
  <c r="O35" i="50"/>
  <c r="P35" i="50" s="1"/>
  <c r="M7" i="49"/>
  <c r="N7" i="49" s="1"/>
  <c r="O7" i="49" s="1"/>
  <c r="P7" i="49" s="1"/>
  <c r="P22" i="41"/>
  <c r="Q21" i="49"/>
  <c r="T21" i="49" s="1"/>
  <c r="AN21" i="49" s="1"/>
  <c r="S21" i="49"/>
  <c r="AM21" i="49" s="1"/>
  <c r="V22" i="41"/>
  <c r="P27" i="46"/>
  <c r="O8" i="7"/>
  <c r="O8" i="50"/>
  <c r="P8" i="50" s="1"/>
  <c r="O8" i="41"/>
  <c r="P8" i="41" s="1"/>
  <c r="N16" i="7"/>
  <c r="N25" i="41"/>
  <c r="S24" i="47"/>
  <c r="AM24" i="47" s="1"/>
  <c r="Q24" i="47"/>
  <c r="T24" i="47" s="1"/>
  <c r="AN24" i="47" s="1"/>
  <c r="O8" i="47"/>
  <c r="P8" i="47" s="1"/>
  <c r="R22" i="48"/>
  <c r="Q29" i="48"/>
  <c r="R29" i="48" s="1"/>
  <c r="J8" i="41"/>
  <c r="Q7" i="46"/>
  <c r="T7" i="46" s="1"/>
  <c r="AN7" i="46" s="1"/>
  <c r="S7" i="46"/>
  <c r="AM7" i="46" s="1"/>
  <c r="AO39" i="46"/>
  <c r="J40" i="7"/>
  <c r="L40" i="7" s="1"/>
  <c r="N15" i="7"/>
  <c r="AO14" i="47"/>
  <c r="L19" i="49"/>
  <c r="M19" i="49" s="1"/>
  <c r="N19" i="49" s="1"/>
  <c r="Q29" i="47"/>
  <c r="T29" i="47" s="1"/>
  <c r="AN29" i="47" s="1"/>
  <c r="N30" i="41"/>
  <c r="S29" i="47"/>
  <c r="AM29" i="47" s="1"/>
  <c r="N14" i="7"/>
  <c r="AO13" i="47"/>
  <c r="K25" i="50"/>
  <c r="L25" i="50" s="1"/>
  <c r="K25" i="41"/>
  <c r="L25" i="41" s="1"/>
  <c r="K25" i="7"/>
  <c r="K34" i="50"/>
  <c r="L34" i="50" s="1"/>
  <c r="K34" i="41"/>
  <c r="L34" i="41" s="1"/>
  <c r="K34" i="7"/>
  <c r="L34" i="7" s="1"/>
  <c r="Q36" i="48"/>
  <c r="R36" i="48" s="1"/>
  <c r="L19" i="7"/>
  <c r="O28" i="41"/>
  <c r="P28" i="41" s="1"/>
  <c r="O28" i="7"/>
  <c r="O28" i="50"/>
  <c r="P28" i="50" s="1"/>
  <c r="K38" i="50"/>
  <c r="L38" i="50" s="1"/>
  <c r="K38" i="41"/>
  <c r="L38" i="41" s="1"/>
  <c r="K38" i="7"/>
  <c r="O43" i="7"/>
  <c r="O43" i="50"/>
  <c r="P43" i="50" s="1"/>
  <c r="O43" i="41"/>
  <c r="P43" i="41" s="1"/>
  <c r="K24" i="7"/>
  <c r="K24" i="41"/>
  <c r="L24" i="41" s="1"/>
  <c r="K24" i="50"/>
  <c r="L24" i="50" s="1"/>
  <c r="G8" i="50"/>
  <c r="H8" i="50" s="1"/>
  <c r="G8" i="41"/>
  <c r="H8" i="41" s="1"/>
  <c r="G8" i="7"/>
  <c r="H8" i="7" s="1"/>
  <c r="AQ7" i="1"/>
  <c r="AO15" i="47" l="1"/>
  <c r="P15" i="41"/>
  <c r="O16" i="41"/>
  <c r="P16" i="41" s="1"/>
  <c r="O16" i="50"/>
  <c r="P16" i="50" s="1"/>
  <c r="H9" i="8"/>
  <c r="N43" i="7"/>
  <c r="S15" i="48"/>
  <c r="V15" i="48" s="1"/>
  <c r="AP15" i="48" s="1"/>
  <c r="AQ15" i="48" s="1"/>
  <c r="R27" i="49"/>
  <c r="U27" i="49" s="1"/>
  <c r="U37" i="48"/>
  <c r="AO37" i="48" s="1"/>
  <c r="S27" i="48"/>
  <c r="V27" i="48" s="1"/>
  <c r="AP27" i="48" s="1"/>
  <c r="S37" i="48"/>
  <c r="V37" i="48" s="1"/>
  <c r="AP37" i="48" s="1"/>
  <c r="S38" i="41" s="1"/>
  <c r="T38" i="41" s="1"/>
  <c r="P16" i="7"/>
  <c r="R15" i="47"/>
  <c r="U15" i="47" s="1"/>
  <c r="H12" i="8"/>
  <c r="R16" i="41"/>
  <c r="O15" i="49"/>
  <c r="P15" i="49" s="1"/>
  <c r="V16" i="41" s="1"/>
  <c r="R13" i="49"/>
  <c r="U13" i="49" s="1"/>
  <c r="U25" i="48"/>
  <c r="AO25" i="48" s="1"/>
  <c r="R26" i="7" s="1"/>
  <c r="O37" i="49"/>
  <c r="P37" i="49" s="1"/>
  <c r="R9" i="46"/>
  <c r="U9" i="46" s="1"/>
  <c r="H10" i="8" s="1"/>
  <c r="N12" i="41"/>
  <c r="S11" i="47"/>
  <c r="AM11" i="47" s="1"/>
  <c r="N12" i="7" s="1"/>
  <c r="Q11" i="47"/>
  <c r="T11" i="47" s="1"/>
  <c r="AN11" i="47" s="1"/>
  <c r="O12" i="7" s="1"/>
  <c r="P14" i="7"/>
  <c r="O25" i="49"/>
  <c r="P25" i="49" s="1"/>
  <c r="R19" i="47"/>
  <c r="U19" i="47" s="1"/>
  <c r="J20" i="8" s="1"/>
  <c r="N13" i="41"/>
  <c r="S25" i="48"/>
  <c r="V25" i="48" s="1"/>
  <c r="AP25" i="48" s="1"/>
  <c r="S26" i="7" s="1"/>
  <c r="P24" i="49"/>
  <c r="T34" i="48"/>
  <c r="W34" i="48" s="1"/>
  <c r="R11" i="49"/>
  <c r="U11" i="49" s="1"/>
  <c r="H20" i="8"/>
  <c r="R38" i="47"/>
  <c r="U38" i="47" s="1"/>
  <c r="J23" i="8" s="1"/>
  <c r="L39" i="7"/>
  <c r="R8" i="41"/>
  <c r="R37" i="47"/>
  <c r="U37" i="47" s="1"/>
  <c r="J22" i="8" s="1"/>
  <c r="S28" i="48"/>
  <c r="V28" i="48" s="1"/>
  <c r="AP28" i="48" s="1"/>
  <c r="P15" i="7"/>
  <c r="O30" i="49"/>
  <c r="P30" i="49" s="1"/>
  <c r="V31" i="41" s="1"/>
  <c r="P22" i="7"/>
  <c r="P19" i="7"/>
  <c r="R10" i="46"/>
  <c r="U10" i="46" s="1"/>
  <c r="H11" i="8" s="1"/>
  <c r="U28" i="48"/>
  <c r="AO28" i="48" s="1"/>
  <c r="R24" i="47"/>
  <c r="U24" i="47" s="1"/>
  <c r="R27" i="47"/>
  <c r="U27" i="47" s="1"/>
  <c r="S7" i="48"/>
  <c r="V7" i="48" s="1"/>
  <c r="AP7" i="48" s="1"/>
  <c r="S8" i="41" s="1"/>
  <c r="T21" i="48"/>
  <c r="W21" i="48" s="1"/>
  <c r="T18" i="48"/>
  <c r="W18" i="48" s="1"/>
  <c r="P37" i="7"/>
  <c r="Q31" i="48"/>
  <c r="R31" i="48" s="1"/>
  <c r="T30" i="48"/>
  <c r="W30" i="48" s="1"/>
  <c r="R31" i="47"/>
  <c r="U31" i="47" s="1"/>
  <c r="O6" i="49"/>
  <c r="P6" i="49" s="1"/>
  <c r="S6" i="49" s="1"/>
  <c r="AM6" i="49" s="1"/>
  <c r="R11" i="48"/>
  <c r="S11" i="48" s="1"/>
  <c r="V11" i="48" s="1"/>
  <c r="AP11" i="48" s="1"/>
  <c r="P22" i="49"/>
  <c r="V23" i="41" s="1"/>
  <c r="J31" i="41"/>
  <c r="Q30" i="46"/>
  <c r="T30" i="46" s="1"/>
  <c r="AN30" i="46" s="1"/>
  <c r="S30" i="46"/>
  <c r="AM30" i="46" s="1"/>
  <c r="R21" i="49"/>
  <c r="U21" i="49" s="1"/>
  <c r="P28" i="7"/>
  <c r="J14" i="8"/>
  <c r="P10" i="49"/>
  <c r="V11" i="41" s="1"/>
  <c r="T9" i="48"/>
  <c r="W9" i="48" s="1"/>
  <c r="R6" i="47"/>
  <c r="U6" i="47" s="1"/>
  <c r="J7" i="8" s="1"/>
  <c r="O19" i="49"/>
  <c r="P19" i="49" s="1"/>
  <c r="S19" i="49" s="1"/>
  <c r="AM19" i="49" s="1"/>
  <c r="P8" i="7"/>
  <c r="T26" i="48"/>
  <c r="W26" i="48" s="1"/>
  <c r="T28" i="48"/>
  <c r="W28" i="48" s="1"/>
  <c r="O26" i="49"/>
  <c r="P26" i="49" s="1"/>
  <c r="S26" i="49" s="1"/>
  <c r="AM26" i="49" s="1"/>
  <c r="L25" i="7"/>
  <c r="T19" i="48"/>
  <c r="W19" i="48" s="1"/>
  <c r="Q12" i="47"/>
  <c r="T12" i="47" s="1"/>
  <c r="AN12" i="47" s="1"/>
  <c r="P42" i="7"/>
  <c r="O8" i="49"/>
  <c r="P8" i="49" s="1"/>
  <c r="S8" i="49" s="1"/>
  <c r="AM8" i="49" s="1"/>
  <c r="R16" i="47"/>
  <c r="U16" i="47" s="1"/>
  <c r="L12" i="7"/>
  <c r="P18" i="49"/>
  <c r="Q18" i="49" s="1"/>
  <c r="T18" i="49" s="1"/>
  <c r="AN18" i="49" s="1"/>
  <c r="V32" i="41"/>
  <c r="Q31" i="49"/>
  <c r="T31" i="49" s="1"/>
  <c r="AN31" i="49" s="1"/>
  <c r="S31" i="49"/>
  <c r="AM31" i="49" s="1"/>
  <c r="V35" i="41"/>
  <c r="S34" i="49"/>
  <c r="AM34" i="49" s="1"/>
  <c r="Q34" i="49"/>
  <c r="T34" i="49" s="1"/>
  <c r="AN34" i="49" s="1"/>
  <c r="R24" i="41"/>
  <c r="U23" i="48"/>
  <c r="AO23" i="48" s="1"/>
  <c r="S23" i="48"/>
  <c r="V23" i="48" s="1"/>
  <c r="AP23" i="48" s="1"/>
  <c r="Q7" i="49"/>
  <c r="T7" i="49" s="1"/>
  <c r="AN7" i="49" s="1"/>
  <c r="S7" i="49"/>
  <c r="AM7" i="49" s="1"/>
  <c r="V8" i="41"/>
  <c r="V34" i="41"/>
  <c r="Q33" i="49"/>
  <c r="T33" i="49" s="1"/>
  <c r="AN33" i="49" s="1"/>
  <c r="S33" i="49"/>
  <c r="AM33" i="49" s="1"/>
  <c r="N31" i="41"/>
  <c r="S30" i="47"/>
  <c r="AM30" i="47" s="1"/>
  <c r="Q30" i="47"/>
  <c r="T30" i="47" s="1"/>
  <c r="AN30" i="47" s="1"/>
  <c r="S32" i="47"/>
  <c r="AM32" i="47" s="1"/>
  <c r="N33" i="7" s="1"/>
  <c r="N33" i="41"/>
  <c r="Q32" i="47"/>
  <c r="T32" i="47" s="1"/>
  <c r="AN32" i="47" s="1"/>
  <c r="W22" i="41"/>
  <c r="X22" i="41" s="1"/>
  <c r="W22" i="50"/>
  <c r="X22" i="50" s="1"/>
  <c r="W22" i="7"/>
  <c r="AQ30" i="48"/>
  <c r="R31" i="7"/>
  <c r="J41" i="7"/>
  <c r="AO40" i="46"/>
  <c r="N32" i="7"/>
  <c r="AO31" i="47"/>
  <c r="P43" i="7"/>
  <c r="AQ14" i="48"/>
  <c r="R15" i="7"/>
  <c r="U6" i="48"/>
  <c r="AO6" i="48" s="1"/>
  <c r="R7" i="41"/>
  <c r="S6" i="48"/>
  <c r="V6" i="48" s="1"/>
  <c r="AP6" i="48" s="1"/>
  <c r="M17" i="49"/>
  <c r="N17" i="49" s="1"/>
  <c r="O17" i="49" s="1"/>
  <c r="P27" i="7"/>
  <c r="N24" i="7"/>
  <c r="AO23" i="47"/>
  <c r="K41" i="50"/>
  <c r="L41" i="50" s="1"/>
  <c r="K41" i="41"/>
  <c r="L41" i="41" s="1"/>
  <c r="K41" i="7"/>
  <c r="W14" i="7"/>
  <c r="W14" i="50"/>
  <c r="X14" i="50" s="1"/>
  <c r="W14" i="41"/>
  <c r="X14" i="41" s="1"/>
  <c r="L9" i="7"/>
  <c r="R10" i="7"/>
  <c r="AQ9" i="48"/>
  <c r="V12" i="7"/>
  <c r="AO11" i="49"/>
  <c r="N20" i="7"/>
  <c r="AO19" i="47"/>
  <c r="L22" i="7"/>
  <c r="N41" i="7"/>
  <c r="AO40" i="47"/>
  <c r="R25" i="47"/>
  <c r="U25" i="47" s="1"/>
  <c r="J11" i="8" s="1"/>
  <c r="L16" i="7"/>
  <c r="N13" i="7"/>
  <c r="AO12" i="47"/>
  <c r="S15" i="50"/>
  <c r="T15" i="50" s="1"/>
  <c r="S15" i="41"/>
  <c r="T15" i="41" s="1"/>
  <c r="S15" i="7"/>
  <c r="O41" i="7"/>
  <c r="O41" i="41"/>
  <c r="P41" i="41" s="1"/>
  <c r="O41" i="50"/>
  <c r="P41" i="50" s="1"/>
  <c r="R29" i="47"/>
  <c r="U29" i="47" s="1"/>
  <c r="J15" i="8" s="1"/>
  <c r="N9" i="41"/>
  <c r="S8" i="47"/>
  <c r="AM8" i="47" s="1"/>
  <c r="Q8" i="47"/>
  <c r="T8" i="47" s="1"/>
  <c r="AN8" i="47" s="1"/>
  <c r="S16" i="41"/>
  <c r="T16" i="41" s="1"/>
  <c r="Q5" i="48"/>
  <c r="R5" i="48" s="1"/>
  <c r="S22" i="50"/>
  <c r="T22" i="50" s="1"/>
  <c r="S22" i="41"/>
  <c r="S22" i="7"/>
  <c r="L24" i="7"/>
  <c r="R32" i="49"/>
  <c r="U32" i="49" s="1"/>
  <c r="J11" i="7"/>
  <c r="AO10" i="46"/>
  <c r="S27" i="7"/>
  <c r="S27" i="50"/>
  <c r="T27" i="50" s="1"/>
  <c r="S27" i="41"/>
  <c r="T27" i="41" s="1"/>
  <c r="S24" i="48"/>
  <c r="V24" i="48" s="1"/>
  <c r="AP24" i="48" s="1"/>
  <c r="R25" i="41"/>
  <c r="U24" i="48"/>
  <c r="AO24" i="48" s="1"/>
  <c r="V14" i="7"/>
  <c r="AO13" i="49"/>
  <c r="S10" i="7"/>
  <c r="S10" i="50"/>
  <c r="T10" i="50" s="1"/>
  <c r="S10" i="41"/>
  <c r="T10" i="41" s="1"/>
  <c r="W12" i="50"/>
  <c r="X12" i="50" s="1"/>
  <c r="W12" i="7"/>
  <c r="W12" i="41"/>
  <c r="X12" i="41" s="1"/>
  <c r="O20" i="41"/>
  <c r="P20" i="41" s="1"/>
  <c r="O20" i="50"/>
  <c r="P20" i="50" s="1"/>
  <c r="O20" i="7"/>
  <c r="N18" i="7"/>
  <c r="AO17" i="47"/>
  <c r="L38" i="7"/>
  <c r="R20" i="7"/>
  <c r="AQ19" i="48"/>
  <c r="AO6" i="47"/>
  <c r="N7" i="7"/>
  <c r="Q19" i="49"/>
  <c r="T19" i="49" s="1"/>
  <c r="AN19" i="49" s="1"/>
  <c r="S28" i="50"/>
  <c r="T28" i="50" s="1"/>
  <c r="S28" i="41"/>
  <c r="T28" i="41" s="1"/>
  <c r="S28" i="7"/>
  <c r="R23" i="41"/>
  <c r="S22" i="48"/>
  <c r="V22" i="48" s="1"/>
  <c r="AP22" i="48" s="1"/>
  <c r="U22" i="48"/>
  <c r="AO22" i="48" s="1"/>
  <c r="O18" i="50"/>
  <c r="P18" i="50" s="1"/>
  <c r="O18" i="7"/>
  <c r="O18" i="41"/>
  <c r="P18" i="41" s="1"/>
  <c r="N30" i="7"/>
  <c r="AO29" i="47"/>
  <c r="R7" i="46"/>
  <c r="U7" i="46" s="1"/>
  <c r="O25" i="50"/>
  <c r="P25" i="50" s="1"/>
  <c r="O25" i="7"/>
  <c r="O25" i="41"/>
  <c r="P25" i="41" s="1"/>
  <c r="R16" i="7"/>
  <c r="P11" i="7"/>
  <c r="S38" i="50"/>
  <c r="T38" i="50" s="1"/>
  <c r="S38" i="7"/>
  <c r="P35" i="7"/>
  <c r="R22" i="7"/>
  <c r="AQ21" i="48"/>
  <c r="O16" i="49"/>
  <c r="P16" i="49" s="1"/>
  <c r="Q28" i="46"/>
  <c r="T28" i="46" s="1"/>
  <c r="AN28" i="46" s="1"/>
  <c r="J29" i="41"/>
  <c r="S28" i="46"/>
  <c r="AM28" i="46" s="1"/>
  <c r="R39" i="47"/>
  <c r="U39" i="47" s="1"/>
  <c r="J24" i="8" s="1"/>
  <c r="O12" i="49"/>
  <c r="P12" i="49" s="1"/>
  <c r="O17" i="7"/>
  <c r="O17" i="41"/>
  <c r="P17" i="41" s="1"/>
  <c r="O17" i="50"/>
  <c r="P17" i="50" s="1"/>
  <c r="P28" i="49"/>
  <c r="K11" i="7"/>
  <c r="K11" i="50"/>
  <c r="L11" i="50" s="1"/>
  <c r="K11" i="41"/>
  <c r="L11" i="41" s="1"/>
  <c r="AQ26" i="48"/>
  <c r="R27" i="7"/>
  <c r="S35" i="41"/>
  <c r="T35" i="41" s="1"/>
  <c r="S35" i="50"/>
  <c r="T35" i="50" s="1"/>
  <c r="S35" i="7"/>
  <c r="S17" i="48"/>
  <c r="V17" i="48" s="1"/>
  <c r="AP17" i="48" s="1"/>
  <c r="R18" i="41"/>
  <c r="U17" i="48"/>
  <c r="AO17" i="48" s="1"/>
  <c r="J43" i="7"/>
  <c r="AO42" i="46"/>
  <c r="P16" i="48"/>
  <c r="Q16" i="48" s="1"/>
  <c r="R16" i="48" s="1"/>
  <c r="AO25" i="47"/>
  <c r="N26" i="7"/>
  <c r="S20" i="50"/>
  <c r="T20" i="50" s="1"/>
  <c r="S20" i="41"/>
  <c r="T20" i="41" s="1"/>
  <c r="S20" i="7"/>
  <c r="M29" i="49"/>
  <c r="N29" i="49" s="1"/>
  <c r="O29" i="49" s="1"/>
  <c r="R33" i="41"/>
  <c r="S32" i="48"/>
  <c r="U32" i="48"/>
  <c r="AO32" i="48" s="1"/>
  <c r="L33" i="7"/>
  <c r="O7" i="41"/>
  <c r="P7" i="41" s="1"/>
  <c r="O7" i="50"/>
  <c r="P7" i="50" s="1"/>
  <c r="O7" i="7"/>
  <c r="O24" i="7"/>
  <c r="O24" i="41"/>
  <c r="P24" i="41" s="1"/>
  <c r="O24" i="50"/>
  <c r="P24" i="50" s="1"/>
  <c r="O30" i="7"/>
  <c r="O30" i="50"/>
  <c r="P30" i="50" s="1"/>
  <c r="O30" i="41"/>
  <c r="P30" i="41" s="1"/>
  <c r="AO7" i="46"/>
  <c r="J8" i="7"/>
  <c r="N25" i="7"/>
  <c r="AO24" i="47"/>
  <c r="J28" i="41"/>
  <c r="Q27" i="46"/>
  <c r="T27" i="46" s="1"/>
  <c r="AN27" i="46" s="1"/>
  <c r="S27" i="46"/>
  <c r="AM27" i="46" s="1"/>
  <c r="R8" i="7"/>
  <c r="R38" i="7"/>
  <c r="T22" i="41"/>
  <c r="O9" i="49"/>
  <c r="P9" i="49" s="1"/>
  <c r="N40" i="7"/>
  <c r="AO39" i="47"/>
  <c r="N17" i="7"/>
  <c r="AO16" i="47"/>
  <c r="V33" i="7"/>
  <c r="AO32" i="49"/>
  <c r="R35" i="7"/>
  <c r="AQ34" i="48"/>
  <c r="R13" i="48"/>
  <c r="R9" i="41"/>
  <c r="S8" i="48"/>
  <c r="V8" i="48" s="1"/>
  <c r="AP8" i="48" s="1"/>
  <c r="U8" i="48"/>
  <c r="AO8" i="48" s="1"/>
  <c r="T27" i="48"/>
  <c r="W27" i="48" s="1"/>
  <c r="R23" i="49"/>
  <c r="U23" i="49" s="1"/>
  <c r="L35" i="7"/>
  <c r="R36" i="49"/>
  <c r="U36" i="49" s="1"/>
  <c r="N21" i="8" s="1"/>
  <c r="O21" i="8" s="1"/>
  <c r="R12" i="46"/>
  <c r="U12" i="46" s="1"/>
  <c r="R42" i="46"/>
  <c r="U42" i="46" s="1"/>
  <c r="H27" i="8" s="1"/>
  <c r="O26" i="41"/>
  <c r="P26" i="41" s="1"/>
  <c r="O26" i="7"/>
  <c r="O26" i="50"/>
  <c r="P26" i="50" s="1"/>
  <c r="O38" i="50"/>
  <c r="P38" i="50" s="1"/>
  <c r="O38" i="41"/>
  <c r="P38" i="41" s="1"/>
  <c r="O38" i="7"/>
  <c r="N23" i="41"/>
  <c r="Q22" i="47"/>
  <c r="T22" i="47" s="1"/>
  <c r="AN22" i="47" s="1"/>
  <c r="S22" i="47"/>
  <c r="AM22" i="47" s="1"/>
  <c r="R41" i="41"/>
  <c r="S38" i="48"/>
  <c r="V38" i="48" s="1"/>
  <c r="AP38" i="48" s="1"/>
  <c r="U38" i="48"/>
  <c r="AO38" i="48" s="1"/>
  <c r="P9" i="47"/>
  <c r="O40" i="50"/>
  <c r="P40" i="50" s="1"/>
  <c r="O40" i="41"/>
  <c r="P40" i="41" s="1"/>
  <c r="O40" i="7"/>
  <c r="W24" i="50"/>
  <c r="X24" i="50" s="1"/>
  <c r="W24" i="41"/>
  <c r="X24" i="41" s="1"/>
  <c r="W24" i="7"/>
  <c r="W37" i="50"/>
  <c r="X37" i="50" s="1"/>
  <c r="W37" i="7"/>
  <c r="W37" i="41"/>
  <c r="X37" i="41" s="1"/>
  <c r="K43" i="50"/>
  <c r="L43" i="50" s="1"/>
  <c r="K43" i="41"/>
  <c r="L43" i="41" s="1"/>
  <c r="K43" i="7"/>
  <c r="V7" i="41"/>
  <c r="Q6" i="49"/>
  <c r="T6" i="49" s="1"/>
  <c r="AN6" i="49" s="1"/>
  <c r="T14" i="48"/>
  <c r="W14" i="48" s="1"/>
  <c r="O39" i="50"/>
  <c r="P39" i="50" s="1"/>
  <c r="O39" i="41"/>
  <c r="P39" i="41" s="1"/>
  <c r="O39" i="7"/>
  <c r="S24" i="49"/>
  <c r="AM24" i="49" s="1"/>
  <c r="V25" i="41"/>
  <c r="Q24" i="49"/>
  <c r="T24" i="49" s="1"/>
  <c r="AN24" i="49" s="1"/>
  <c r="R34" i="41"/>
  <c r="U33" i="48"/>
  <c r="AO33" i="48" s="1"/>
  <c r="S33" i="48"/>
  <c r="V33" i="48" s="1"/>
  <c r="AP33" i="48" s="1"/>
  <c r="L27" i="7"/>
  <c r="V28" i="7"/>
  <c r="AO27" i="49"/>
  <c r="S19" i="41"/>
  <c r="T19" i="41" s="1"/>
  <c r="S19" i="7"/>
  <c r="S19" i="50"/>
  <c r="T19" i="50" s="1"/>
  <c r="R13" i="41"/>
  <c r="U12" i="48"/>
  <c r="AO12" i="48" s="1"/>
  <c r="S12" i="48"/>
  <c r="V12" i="48" s="1"/>
  <c r="AP12" i="48" s="1"/>
  <c r="S29" i="7"/>
  <c r="S29" i="41"/>
  <c r="T29" i="41" s="1"/>
  <c r="S29" i="50"/>
  <c r="T29" i="50" s="1"/>
  <c r="V24" i="7"/>
  <c r="AO23" i="49"/>
  <c r="V37" i="7"/>
  <c r="AO36" i="49"/>
  <c r="J13" i="7"/>
  <c r="AO12" i="46"/>
  <c r="N38" i="7"/>
  <c r="AO37" i="47"/>
  <c r="S22" i="49"/>
  <c r="AM22" i="49" s="1"/>
  <c r="K8" i="7"/>
  <c r="K8" i="50"/>
  <c r="L8" i="50" s="1"/>
  <c r="K8" i="41"/>
  <c r="L8" i="41" s="1"/>
  <c r="V41" i="41"/>
  <c r="S38" i="49"/>
  <c r="AM38" i="49" s="1"/>
  <c r="Q38" i="49"/>
  <c r="T38" i="49" s="1"/>
  <c r="AN38" i="49" s="1"/>
  <c r="W33" i="50"/>
  <c r="X33" i="50" s="1"/>
  <c r="W33" i="41"/>
  <c r="X33" i="41" s="1"/>
  <c r="W33" i="7"/>
  <c r="K13" i="41"/>
  <c r="L13" i="41" s="1"/>
  <c r="K13" i="7"/>
  <c r="K13" i="50"/>
  <c r="L13" i="50" s="1"/>
  <c r="Q25" i="49"/>
  <c r="T25" i="49" s="1"/>
  <c r="AN25" i="49" s="1"/>
  <c r="S25" i="49"/>
  <c r="AM25" i="49" s="1"/>
  <c r="V26" i="41"/>
  <c r="M5" i="49"/>
  <c r="N5" i="49" s="1"/>
  <c r="O5" i="49" s="1"/>
  <c r="R37" i="41"/>
  <c r="U36" i="48"/>
  <c r="AO36" i="48" s="1"/>
  <c r="S36" i="48"/>
  <c r="V36" i="48" s="1"/>
  <c r="AP36" i="48" s="1"/>
  <c r="S29" i="48"/>
  <c r="V29" i="48" s="1"/>
  <c r="AP29" i="48" s="1"/>
  <c r="R30" i="41"/>
  <c r="U29" i="48"/>
  <c r="AO29" i="48" s="1"/>
  <c r="AO21" i="49"/>
  <c r="V22" i="7"/>
  <c r="N39" i="7"/>
  <c r="AO38" i="47"/>
  <c r="P29" i="7"/>
  <c r="S31" i="50"/>
  <c r="T31" i="50" s="1"/>
  <c r="S31" i="41"/>
  <c r="T31" i="41" s="1"/>
  <c r="S31" i="7"/>
  <c r="R23" i="47"/>
  <c r="U23" i="47" s="1"/>
  <c r="W28" i="50"/>
  <c r="X28" i="50" s="1"/>
  <c r="W28" i="41"/>
  <c r="X28" i="41" s="1"/>
  <c r="W28" i="7"/>
  <c r="AO9" i="46"/>
  <c r="K10" i="50"/>
  <c r="L10" i="50" s="1"/>
  <c r="K10" i="41"/>
  <c r="L10" i="41" s="1"/>
  <c r="K10" i="7"/>
  <c r="L10" i="7" s="1"/>
  <c r="AQ18" i="48"/>
  <c r="R19" i="7"/>
  <c r="R40" i="46"/>
  <c r="U40" i="46" s="1"/>
  <c r="H25" i="8" s="1"/>
  <c r="AQ28" i="48"/>
  <c r="R29" i="7"/>
  <c r="R28" i="7"/>
  <c r="AQ27" i="48"/>
  <c r="P10" i="48"/>
  <c r="Q10" i="48" s="1"/>
  <c r="R10" i="48" s="1"/>
  <c r="R40" i="47"/>
  <c r="U40" i="47" s="1"/>
  <c r="J25" i="8" s="1"/>
  <c r="R17" i="47"/>
  <c r="U17" i="47" s="1"/>
  <c r="O32" i="7"/>
  <c r="O32" i="41"/>
  <c r="P32" i="41" s="1"/>
  <c r="O32" i="50"/>
  <c r="P32" i="50" s="1"/>
  <c r="N34" i="41"/>
  <c r="S33" i="47"/>
  <c r="AM33" i="47" s="1"/>
  <c r="Q33" i="47"/>
  <c r="T33" i="47" s="1"/>
  <c r="AN33" i="47" s="1"/>
  <c r="O14" i="49"/>
  <c r="P14" i="49" s="1"/>
  <c r="R12" i="47"/>
  <c r="U12" i="47" s="1"/>
  <c r="J13" i="8" s="1"/>
  <c r="V38" i="41"/>
  <c r="S37" i="49"/>
  <c r="AM37" i="49" s="1"/>
  <c r="Q37" i="49"/>
  <c r="T37" i="49" s="1"/>
  <c r="AN37" i="49" s="1"/>
  <c r="O13" i="41"/>
  <c r="P13" i="41" s="1"/>
  <c r="O13" i="7"/>
  <c r="O13" i="50"/>
  <c r="P13" i="50" s="1"/>
  <c r="S16" i="7" l="1"/>
  <c r="S16" i="50"/>
  <c r="T16" i="50" s="1"/>
  <c r="T15" i="48"/>
  <c r="W15" i="48" s="1"/>
  <c r="V27" i="41"/>
  <c r="Q8" i="49"/>
  <c r="T8" i="49" s="1"/>
  <c r="AN8" i="49" s="1"/>
  <c r="S15" i="49"/>
  <c r="AM15" i="49" s="1"/>
  <c r="V9" i="41"/>
  <c r="Q15" i="49"/>
  <c r="T15" i="49" s="1"/>
  <c r="AN15" i="49" s="1"/>
  <c r="J17" i="8"/>
  <c r="AQ37" i="48"/>
  <c r="T8" i="41"/>
  <c r="T37" i="48"/>
  <c r="W37" i="48" s="1"/>
  <c r="L22" i="8" s="1"/>
  <c r="S8" i="50"/>
  <c r="T8" i="50" s="1"/>
  <c r="S8" i="7"/>
  <c r="T8" i="7" s="1"/>
  <c r="S30" i="49"/>
  <c r="AM30" i="49" s="1"/>
  <c r="V31" i="7" s="1"/>
  <c r="R11" i="47"/>
  <c r="U11" i="47" s="1"/>
  <c r="J12" i="8" s="1"/>
  <c r="T28" i="7"/>
  <c r="O12" i="41"/>
  <c r="P12" i="41" s="1"/>
  <c r="AQ7" i="48"/>
  <c r="Q30" i="49"/>
  <c r="T30" i="49" s="1"/>
  <c r="AN30" i="49" s="1"/>
  <c r="S10" i="49"/>
  <c r="AM10" i="49" s="1"/>
  <c r="AO11" i="47"/>
  <c r="O12" i="50"/>
  <c r="P12" i="50" s="1"/>
  <c r="V20" i="41"/>
  <c r="U11" i="48"/>
  <c r="AO11" i="48" s="1"/>
  <c r="T29" i="48"/>
  <c r="W29" i="48" s="1"/>
  <c r="L15" i="8" s="1"/>
  <c r="S18" i="49"/>
  <c r="AM18" i="49" s="1"/>
  <c r="AO18" i="49" s="1"/>
  <c r="R12" i="41"/>
  <c r="T27" i="7"/>
  <c r="V19" i="41"/>
  <c r="R24" i="49"/>
  <c r="U24" i="49" s="1"/>
  <c r="S26" i="50"/>
  <c r="T26" i="50" s="1"/>
  <c r="L20" i="8"/>
  <c r="R27" i="46"/>
  <c r="U27" i="46" s="1"/>
  <c r="H13" i="8" s="1"/>
  <c r="T25" i="48"/>
  <c r="W25" i="48" s="1"/>
  <c r="AQ25" i="48"/>
  <c r="S26" i="41"/>
  <c r="T26" i="41" s="1"/>
  <c r="L16" i="8"/>
  <c r="X24" i="7"/>
  <c r="T22" i="7"/>
  <c r="P38" i="7"/>
  <c r="R28" i="46"/>
  <c r="U28" i="46" s="1"/>
  <c r="H14" i="8" s="1"/>
  <c r="L41" i="7"/>
  <c r="R33" i="47"/>
  <c r="U33" i="47" s="1"/>
  <c r="J19" i="8" s="1"/>
  <c r="P26" i="7"/>
  <c r="T23" i="48"/>
  <c r="W23" i="48" s="1"/>
  <c r="R6" i="49"/>
  <c r="U6" i="49" s="1"/>
  <c r="N7" i="8" s="1"/>
  <c r="O7" i="8" s="1"/>
  <c r="P17" i="7"/>
  <c r="P25" i="7"/>
  <c r="T16" i="7"/>
  <c r="T24" i="48"/>
  <c r="W24" i="48" s="1"/>
  <c r="L10" i="8" s="1"/>
  <c r="T7" i="48"/>
  <c r="W7" i="48" s="1"/>
  <c r="R32" i="41"/>
  <c r="S31" i="48"/>
  <c r="V31" i="48" s="1"/>
  <c r="AP31" i="48" s="1"/>
  <c r="S32" i="41" s="1"/>
  <c r="T32" i="41" s="1"/>
  <c r="U31" i="48"/>
  <c r="AO31" i="48" s="1"/>
  <c r="R32" i="7" s="1"/>
  <c r="T29" i="7"/>
  <c r="X33" i="7"/>
  <c r="Q26" i="49"/>
  <c r="T26" i="49" s="1"/>
  <c r="AN26" i="49" s="1"/>
  <c r="W27" i="41" s="1"/>
  <c r="X27" i="41" s="1"/>
  <c r="R31" i="49"/>
  <c r="U31" i="49" s="1"/>
  <c r="P5" i="49"/>
  <c r="Q5" i="49" s="1"/>
  <c r="Q22" i="49"/>
  <c r="T22" i="49" s="1"/>
  <c r="AN22" i="49" s="1"/>
  <c r="W23" i="41" s="1"/>
  <c r="X23" i="41" s="1"/>
  <c r="P40" i="7"/>
  <c r="L8" i="7"/>
  <c r="T22" i="48"/>
  <c r="W22" i="48" s="1"/>
  <c r="T11" i="48"/>
  <c r="W11" i="48" s="1"/>
  <c r="L12" i="8" s="1"/>
  <c r="P32" i="7"/>
  <c r="P29" i="49"/>
  <c r="V30" i="41" s="1"/>
  <c r="R7" i="49"/>
  <c r="U7" i="49" s="1"/>
  <c r="Q10" i="49"/>
  <c r="T10" i="49" s="1"/>
  <c r="AN10" i="49" s="1"/>
  <c r="W11" i="50" s="1"/>
  <c r="X11" i="50" s="1"/>
  <c r="T10" i="7"/>
  <c r="R30" i="46"/>
  <c r="U30" i="46" s="1"/>
  <c r="H16" i="8" s="1"/>
  <c r="R37" i="49"/>
  <c r="U37" i="49" s="1"/>
  <c r="N22" i="8" s="1"/>
  <c r="O22" i="8" s="1"/>
  <c r="X14" i="7"/>
  <c r="J31" i="7"/>
  <c r="AO30" i="46"/>
  <c r="X22" i="7"/>
  <c r="P39" i="7"/>
  <c r="P30" i="7"/>
  <c r="K31" i="41"/>
  <c r="L31" i="41" s="1"/>
  <c r="K31" i="50"/>
  <c r="L31" i="50" s="1"/>
  <c r="K31" i="7"/>
  <c r="R11" i="41"/>
  <c r="U10" i="48"/>
  <c r="AO10" i="48" s="1"/>
  <c r="S10" i="48"/>
  <c r="V10" i="48" s="1"/>
  <c r="AP10" i="48" s="1"/>
  <c r="R17" i="41"/>
  <c r="S16" i="48"/>
  <c r="V16" i="48" s="1"/>
  <c r="AP16" i="48" s="1"/>
  <c r="U16" i="48"/>
  <c r="AO16" i="48" s="1"/>
  <c r="W16" i="50"/>
  <c r="X16" i="50" s="1"/>
  <c r="W16" i="41"/>
  <c r="X16" i="41" s="1"/>
  <c r="W16" i="7"/>
  <c r="AO37" i="49"/>
  <c r="V38" i="7"/>
  <c r="T36" i="48"/>
  <c r="W36" i="48" s="1"/>
  <c r="L21" i="8" s="1"/>
  <c r="V26" i="7"/>
  <c r="AO25" i="49"/>
  <c r="R38" i="49"/>
  <c r="U38" i="49" s="1"/>
  <c r="N25" i="8" s="1"/>
  <c r="O25" i="8" s="1"/>
  <c r="L13" i="7"/>
  <c r="T33" i="48"/>
  <c r="W33" i="48" s="1"/>
  <c r="L19" i="8" s="1"/>
  <c r="O23" i="41"/>
  <c r="P23" i="41" s="1"/>
  <c r="O23" i="50"/>
  <c r="P23" i="50" s="1"/>
  <c r="O23" i="7"/>
  <c r="S9" i="50"/>
  <c r="T9" i="50" s="1"/>
  <c r="S9" i="7"/>
  <c r="S9" i="41"/>
  <c r="T9" i="41" s="1"/>
  <c r="R33" i="7"/>
  <c r="T17" i="48"/>
  <c r="W17" i="48" s="1"/>
  <c r="R19" i="49"/>
  <c r="U19" i="49" s="1"/>
  <c r="T20" i="7"/>
  <c r="W19" i="41"/>
  <c r="W19" i="7"/>
  <c r="W19" i="50"/>
  <c r="X19" i="50" s="1"/>
  <c r="S25" i="41"/>
  <c r="S25" i="7"/>
  <c r="S25" i="50"/>
  <c r="T25" i="50" s="1"/>
  <c r="N9" i="7"/>
  <c r="AO8" i="47"/>
  <c r="R30" i="47"/>
  <c r="U30" i="47" s="1"/>
  <c r="J16" i="8" s="1"/>
  <c r="R33" i="49"/>
  <c r="U33" i="49" s="1"/>
  <c r="AO31" i="49"/>
  <c r="V32" i="7"/>
  <c r="S37" i="41"/>
  <c r="T37" i="41" s="1"/>
  <c r="S37" i="50"/>
  <c r="T37" i="50" s="1"/>
  <c r="S37" i="7"/>
  <c r="W26" i="41"/>
  <c r="X26" i="41" s="1"/>
  <c r="W26" i="7"/>
  <c r="W26" i="50"/>
  <c r="X26" i="50" s="1"/>
  <c r="W41" i="7"/>
  <c r="W41" i="50"/>
  <c r="X41" i="50" s="1"/>
  <c r="W41" i="41"/>
  <c r="X41" i="41" s="1"/>
  <c r="S34" i="41"/>
  <c r="T34" i="41" s="1"/>
  <c r="S34" i="7"/>
  <c r="S34" i="50"/>
  <c r="T34" i="50" s="1"/>
  <c r="V25" i="7"/>
  <c r="AO24" i="49"/>
  <c r="R15" i="49"/>
  <c r="U15" i="49" s="1"/>
  <c r="S9" i="47"/>
  <c r="AM9" i="47" s="1"/>
  <c r="Q9" i="47"/>
  <c r="T9" i="47" s="1"/>
  <c r="AN9" i="47" s="1"/>
  <c r="N10" i="41"/>
  <c r="T32" i="48"/>
  <c r="W32" i="48" s="1"/>
  <c r="V32" i="48"/>
  <c r="AP32" i="48" s="1"/>
  <c r="W20" i="50"/>
  <c r="X20" i="50" s="1"/>
  <c r="W20" i="7"/>
  <c r="W20" i="41"/>
  <c r="U5" i="48"/>
  <c r="AO5" i="48" s="1"/>
  <c r="R6" i="7" s="1"/>
  <c r="R6" i="41"/>
  <c r="S5" i="48"/>
  <c r="V5" i="48" s="1"/>
  <c r="AP5" i="48" s="1"/>
  <c r="R7" i="7"/>
  <c r="AQ6" i="48"/>
  <c r="O31" i="7"/>
  <c r="O31" i="41"/>
  <c r="P31" i="41" s="1"/>
  <c r="O31" i="50"/>
  <c r="P31" i="50" s="1"/>
  <c r="W34" i="41"/>
  <c r="X34" i="41" s="1"/>
  <c r="W34" i="7"/>
  <c r="W34" i="50"/>
  <c r="X34" i="50" s="1"/>
  <c r="S24" i="41"/>
  <c r="T24" i="41" s="1"/>
  <c r="S24" i="7"/>
  <c r="S24" i="50"/>
  <c r="T24" i="50" s="1"/>
  <c r="W32" i="50"/>
  <c r="X32" i="50" s="1"/>
  <c r="W32" i="7"/>
  <c r="W32" i="41"/>
  <c r="X32" i="41" s="1"/>
  <c r="R37" i="7"/>
  <c r="AQ36" i="48"/>
  <c r="V41" i="7"/>
  <c r="X41" i="7" s="1"/>
  <c r="AO38" i="49"/>
  <c r="X37" i="7"/>
  <c r="R34" i="7"/>
  <c r="AQ33" i="48"/>
  <c r="V16" i="7"/>
  <c r="X16" i="7" s="1"/>
  <c r="AO15" i="49"/>
  <c r="T38" i="48"/>
  <c r="W38" i="48" s="1"/>
  <c r="L25" i="8" s="1"/>
  <c r="R14" i="41"/>
  <c r="S13" i="48"/>
  <c r="V13" i="48" s="1"/>
  <c r="AP13" i="48" s="1"/>
  <c r="U13" i="48"/>
  <c r="AO13" i="48" s="1"/>
  <c r="S18" i="7"/>
  <c r="S18" i="50"/>
  <c r="T18" i="50" s="1"/>
  <c r="S18" i="41"/>
  <c r="T18" i="41" s="1"/>
  <c r="J29" i="7"/>
  <c r="AO28" i="46"/>
  <c r="AO19" i="49"/>
  <c r="V20" i="7"/>
  <c r="R8" i="49"/>
  <c r="U8" i="49" s="1"/>
  <c r="N9" i="8" s="1"/>
  <c r="O9" i="8" s="1"/>
  <c r="P41" i="7"/>
  <c r="P24" i="7"/>
  <c r="T15" i="7"/>
  <c r="N31" i="7"/>
  <c r="AO30" i="47"/>
  <c r="R24" i="7"/>
  <c r="AQ23" i="48"/>
  <c r="S14" i="49"/>
  <c r="AM14" i="49" s="1"/>
  <c r="V15" i="41"/>
  <c r="Q14" i="49"/>
  <c r="T14" i="49" s="1"/>
  <c r="AN14" i="49" s="1"/>
  <c r="R41" i="7"/>
  <c r="AQ38" i="48"/>
  <c r="V29" i="41"/>
  <c r="Q28" i="49"/>
  <c r="T28" i="49" s="1"/>
  <c r="AN28" i="49" s="1"/>
  <c r="S28" i="49"/>
  <c r="AM28" i="49" s="1"/>
  <c r="X20" i="41"/>
  <c r="W9" i="50"/>
  <c r="X9" i="50" s="1"/>
  <c r="W9" i="41"/>
  <c r="W9" i="7"/>
  <c r="V27" i="7"/>
  <c r="T12" i="48"/>
  <c r="W12" i="48" s="1"/>
  <c r="L13" i="8" s="1"/>
  <c r="S41" i="7"/>
  <c r="S41" i="50"/>
  <c r="T41" i="50" s="1"/>
  <c r="S41" i="41"/>
  <c r="T41" i="41" s="1"/>
  <c r="T35" i="7"/>
  <c r="V10" i="41"/>
  <c r="S9" i="49"/>
  <c r="AM9" i="49" s="1"/>
  <c r="Q9" i="49"/>
  <c r="T9" i="49" s="1"/>
  <c r="AN9" i="49" s="1"/>
  <c r="L43" i="7"/>
  <c r="K29" i="7"/>
  <c r="K29" i="41"/>
  <c r="L29" i="41" s="1"/>
  <c r="K29" i="50"/>
  <c r="L29" i="50" s="1"/>
  <c r="P18" i="7"/>
  <c r="V9" i="7"/>
  <c r="AO8" i="49"/>
  <c r="T26" i="7"/>
  <c r="R32" i="47"/>
  <c r="U32" i="47" s="1"/>
  <c r="J18" i="8" s="1"/>
  <c r="R34" i="49"/>
  <c r="U34" i="49" s="1"/>
  <c r="R30" i="7"/>
  <c r="AQ29" i="48"/>
  <c r="P12" i="7"/>
  <c r="V17" i="41"/>
  <c r="Q16" i="49"/>
  <c r="T16" i="49" s="1"/>
  <c r="AN16" i="49" s="1"/>
  <c r="S16" i="49"/>
  <c r="AM16" i="49" s="1"/>
  <c r="P7" i="7"/>
  <c r="P20" i="7"/>
  <c r="P17" i="49"/>
  <c r="AO32" i="47"/>
  <c r="O33" i="7"/>
  <c r="P33" i="7" s="1"/>
  <c r="O33" i="41"/>
  <c r="P33" i="41" s="1"/>
  <c r="O33" i="50"/>
  <c r="P33" i="50" s="1"/>
  <c r="W35" i="50"/>
  <c r="X35" i="50" s="1"/>
  <c r="W35" i="7"/>
  <c r="W35" i="41"/>
  <c r="X35" i="41" s="1"/>
  <c r="R12" i="7"/>
  <c r="AQ11" i="48"/>
  <c r="V23" i="7"/>
  <c r="V7" i="7"/>
  <c r="AO6" i="49"/>
  <c r="T19" i="7"/>
  <c r="R25" i="49"/>
  <c r="U25" i="49" s="1"/>
  <c r="AQ12" i="48"/>
  <c r="R13" i="7"/>
  <c r="W7" i="7"/>
  <c r="W7" i="41"/>
  <c r="X7" i="41" s="1"/>
  <c r="W7" i="50"/>
  <c r="X7" i="50" s="1"/>
  <c r="R22" i="47"/>
  <c r="U22" i="47" s="1"/>
  <c r="J8" i="8" s="1"/>
  <c r="T8" i="48"/>
  <c r="W8" i="48" s="1"/>
  <c r="L9" i="8" s="1"/>
  <c r="J28" i="7"/>
  <c r="AO27" i="46"/>
  <c r="H8" i="8"/>
  <c r="AQ22" i="48"/>
  <c r="R23" i="7"/>
  <c r="AQ24" i="48"/>
  <c r="R25" i="7"/>
  <c r="L11" i="7"/>
  <c r="R8" i="47"/>
  <c r="U8" i="47" s="1"/>
  <c r="J9" i="8" s="1"/>
  <c r="P13" i="7"/>
  <c r="T6" i="48"/>
  <c r="W6" i="48" s="1"/>
  <c r="L7" i="8" s="1"/>
  <c r="T31" i="7"/>
  <c r="V8" i="7"/>
  <c r="AO7" i="49"/>
  <c r="V35" i="7"/>
  <c r="AO34" i="49"/>
  <c r="S13" i="7"/>
  <c r="S13" i="50"/>
  <c r="T13" i="50" s="1"/>
  <c r="S13" i="41"/>
  <c r="T13" i="41" s="1"/>
  <c r="X28" i="7"/>
  <c r="O34" i="50"/>
  <c r="P34" i="50" s="1"/>
  <c r="O34" i="7"/>
  <c r="O34" i="41"/>
  <c r="P34" i="41" s="1"/>
  <c r="W38" i="50"/>
  <c r="X38" i="50" s="1"/>
  <c r="W38" i="7"/>
  <c r="W38" i="41"/>
  <c r="X38" i="41" s="1"/>
  <c r="N34" i="7"/>
  <c r="AO33" i="47"/>
  <c r="S30" i="50"/>
  <c r="T30" i="50" s="1"/>
  <c r="S30" i="7"/>
  <c r="S30" i="41"/>
  <c r="T30" i="41" s="1"/>
  <c r="V11" i="7"/>
  <c r="W25" i="7"/>
  <c r="W25" i="50"/>
  <c r="X25" i="50" s="1"/>
  <c r="W25" i="41"/>
  <c r="X25" i="41" s="1"/>
  <c r="AO22" i="47"/>
  <c r="N23" i="7"/>
  <c r="P23" i="7" s="1"/>
  <c r="R9" i="7"/>
  <c r="AQ8" i="48"/>
  <c r="T38" i="7"/>
  <c r="K28" i="7"/>
  <c r="K28" i="50"/>
  <c r="L28" i="50" s="1"/>
  <c r="K28" i="41"/>
  <c r="L28" i="41" s="1"/>
  <c r="AQ17" i="48"/>
  <c r="R18" i="7"/>
  <c r="V13" i="41"/>
  <c r="Q12" i="49"/>
  <c r="T12" i="49" s="1"/>
  <c r="AN12" i="49" s="1"/>
  <c r="S12" i="49"/>
  <c r="AM12" i="49" s="1"/>
  <c r="S23" i="41"/>
  <c r="T23" i="41" s="1"/>
  <c r="S23" i="7"/>
  <c r="S23" i="50"/>
  <c r="T23" i="50" s="1"/>
  <c r="R18" i="49"/>
  <c r="U18" i="49" s="1"/>
  <c r="T25" i="41"/>
  <c r="O9" i="50"/>
  <c r="P9" i="50" s="1"/>
  <c r="O9" i="41"/>
  <c r="P9" i="41" s="1"/>
  <c r="O9" i="7"/>
  <c r="X12" i="7"/>
  <c r="S7" i="7"/>
  <c r="S7" i="50"/>
  <c r="T7" i="50" s="1"/>
  <c r="S7" i="41"/>
  <c r="T7" i="41" s="1"/>
  <c r="V34" i="7"/>
  <c r="AO33" i="49"/>
  <c r="W8" i="50"/>
  <c r="X8" i="50" s="1"/>
  <c r="W8" i="41"/>
  <c r="X8" i="41" s="1"/>
  <c r="W8" i="7"/>
  <c r="S12" i="7"/>
  <c r="S12" i="50"/>
  <c r="T12" i="50" s="1"/>
  <c r="S12" i="41"/>
  <c r="R13" i="1"/>
  <c r="H41" i="8" l="1"/>
  <c r="H47" i="8" s="1"/>
  <c r="S32" i="50"/>
  <c r="T32" i="50" s="1"/>
  <c r="AO30" i="49"/>
  <c r="X9" i="41"/>
  <c r="S32" i="7"/>
  <c r="T12" i="41"/>
  <c r="X34" i="7"/>
  <c r="AQ31" i="48"/>
  <c r="W31" i="50"/>
  <c r="X31" i="50" s="1"/>
  <c r="W31" i="41"/>
  <c r="X31" i="41" s="1"/>
  <c r="V19" i="7"/>
  <c r="X19" i="7" s="1"/>
  <c r="T25" i="7"/>
  <c r="W31" i="7"/>
  <c r="AO26" i="49"/>
  <c r="R30" i="49"/>
  <c r="U30" i="49" s="1"/>
  <c r="L31" i="7"/>
  <c r="D51" i="46"/>
  <c r="D55" i="46" s="1"/>
  <c r="W23" i="7"/>
  <c r="X23" i="7" s="1"/>
  <c r="T31" i="48"/>
  <c r="W31" i="48" s="1"/>
  <c r="AO22" i="49"/>
  <c r="X31" i="7"/>
  <c r="AO10" i="49"/>
  <c r="T37" i="7"/>
  <c r="X19" i="41"/>
  <c r="X20" i="7"/>
  <c r="W23" i="50"/>
  <c r="X23" i="50" s="1"/>
  <c r="T18" i="7"/>
  <c r="X9" i="7"/>
  <c r="W11" i="7"/>
  <c r="X11" i="7" s="1"/>
  <c r="R22" i="49"/>
  <c r="U22" i="49" s="1"/>
  <c r="N8" i="8" s="1"/>
  <c r="O8" i="8" s="1"/>
  <c r="R10" i="49"/>
  <c r="U10" i="49" s="1"/>
  <c r="N11" i="8" s="1"/>
  <c r="O11" i="8" s="1"/>
  <c r="N19" i="8"/>
  <c r="O19" i="8" s="1"/>
  <c r="L8" i="8"/>
  <c r="T5" i="49"/>
  <c r="AN5" i="49" s="1"/>
  <c r="R5" i="49"/>
  <c r="U5" i="49" s="1"/>
  <c r="N6" i="8" s="1"/>
  <c r="S5" i="49"/>
  <c r="AM5" i="49" s="1"/>
  <c r="T12" i="7"/>
  <c r="V6" i="41"/>
  <c r="X38" i="7"/>
  <c r="N16" i="8"/>
  <c r="O16" i="8" s="1"/>
  <c r="R12" i="49"/>
  <c r="U12" i="49" s="1"/>
  <c r="N13" i="8" s="1"/>
  <c r="O13" i="8" s="1"/>
  <c r="X8" i="7"/>
  <c r="T23" i="7"/>
  <c r="W27" i="50"/>
  <c r="X27" i="50" s="1"/>
  <c r="S29" i="49"/>
  <c r="AM29" i="49" s="1"/>
  <c r="V30" i="7" s="1"/>
  <c r="W27" i="7"/>
  <c r="X27" i="7" s="1"/>
  <c r="T13" i="48"/>
  <c r="W13" i="48" s="1"/>
  <c r="L14" i="8" s="1"/>
  <c r="Q29" i="49"/>
  <c r="T29" i="49" s="1"/>
  <c r="AN29" i="49" s="1"/>
  <c r="W30" i="41" s="1"/>
  <c r="X30" i="41" s="1"/>
  <c r="R16" i="49"/>
  <c r="U16" i="49" s="1"/>
  <c r="N17" i="8" s="1"/>
  <c r="O17" i="8" s="1"/>
  <c r="W11" i="41"/>
  <c r="X11" i="41" s="1"/>
  <c r="T10" i="48"/>
  <c r="W10" i="48" s="1"/>
  <c r="L11" i="8" s="1"/>
  <c r="T32" i="7"/>
  <c r="R26" i="49"/>
  <c r="U26" i="49" s="1"/>
  <c r="N12" i="8" s="1"/>
  <c r="O12" i="8" s="1"/>
  <c r="X26" i="7"/>
  <c r="T16" i="48"/>
  <c r="W16" i="48" s="1"/>
  <c r="S33" i="50"/>
  <c r="T33" i="50" s="1"/>
  <c r="S33" i="41"/>
  <c r="T33" i="41" s="1"/>
  <c r="S33" i="7"/>
  <c r="T33" i="7" s="1"/>
  <c r="V13" i="7"/>
  <c r="AO12" i="49"/>
  <c r="P34" i="7"/>
  <c r="V18" i="41"/>
  <c r="S17" i="49"/>
  <c r="AM17" i="49" s="1"/>
  <c r="Q17" i="49"/>
  <c r="T17" i="49" s="1"/>
  <c r="AN17" i="49" s="1"/>
  <c r="W17" i="50"/>
  <c r="X17" i="50" s="1"/>
  <c r="W17" i="41"/>
  <c r="X17" i="41" s="1"/>
  <c r="W17" i="7"/>
  <c r="R14" i="49"/>
  <c r="U14" i="49" s="1"/>
  <c r="T5" i="48"/>
  <c r="W5" i="48" s="1"/>
  <c r="L6" i="8" s="1"/>
  <c r="AQ16" i="48"/>
  <c r="R17" i="7"/>
  <c r="AO16" i="49"/>
  <c r="V17" i="7"/>
  <c r="W13" i="41"/>
  <c r="X13" i="41" s="1"/>
  <c r="W13" i="7"/>
  <c r="W13" i="50"/>
  <c r="X13" i="50" s="1"/>
  <c r="W15" i="41"/>
  <c r="X15" i="41" s="1"/>
  <c r="W15" i="7"/>
  <c r="W15" i="50"/>
  <c r="X15" i="50" s="1"/>
  <c r="AQ5" i="48"/>
  <c r="S6" i="7"/>
  <c r="S6" i="41"/>
  <c r="T6" i="41" s="1"/>
  <c r="S6" i="50"/>
  <c r="T6" i="50" s="1"/>
  <c r="S17" i="7"/>
  <c r="S17" i="41"/>
  <c r="T17" i="41" s="1"/>
  <c r="S17" i="50"/>
  <c r="T17" i="50" s="1"/>
  <c r="T9" i="7"/>
  <c r="X35" i="7"/>
  <c r="R9" i="49"/>
  <c r="U9" i="49" s="1"/>
  <c r="N10" i="8" s="1"/>
  <c r="O10" i="8" s="1"/>
  <c r="T41" i="7"/>
  <c r="R28" i="49"/>
  <c r="U28" i="49" s="1"/>
  <c r="N14" i="8" s="1"/>
  <c r="O14" i="8" s="1"/>
  <c r="R14" i="7"/>
  <c r="AQ13" i="48"/>
  <c r="R9" i="47"/>
  <c r="U9" i="47" s="1"/>
  <c r="J10" i="8" s="1"/>
  <c r="J41" i="8" s="1"/>
  <c r="J47" i="8" s="1"/>
  <c r="W10" i="41"/>
  <c r="X10" i="41" s="1"/>
  <c r="W10" i="7"/>
  <c r="W10" i="50"/>
  <c r="X10" i="50" s="1"/>
  <c r="V29" i="7"/>
  <c r="AO28" i="49"/>
  <c r="V15" i="7"/>
  <c r="AO14" i="49"/>
  <c r="S14" i="50"/>
  <c r="T14" i="50" s="1"/>
  <c r="S14" i="7"/>
  <c r="S14" i="41"/>
  <c r="T14" i="41" s="1"/>
  <c r="P31" i="7"/>
  <c r="X25" i="7"/>
  <c r="X7" i="7"/>
  <c r="T30" i="7"/>
  <c r="V10" i="7"/>
  <c r="AO9" i="49"/>
  <c r="W29" i="7"/>
  <c r="W29" i="41"/>
  <c r="X29" i="41" s="1"/>
  <c r="W29" i="50"/>
  <c r="X29" i="50" s="1"/>
  <c r="O10" i="7"/>
  <c r="O10" i="50"/>
  <c r="P10" i="50" s="1"/>
  <c r="O10" i="41"/>
  <c r="P10" i="41" s="1"/>
  <c r="X32" i="7"/>
  <c r="P9" i="7"/>
  <c r="N20" i="8"/>
  <c r="O20" i="8" s="1"/>
  <c r="V6" i="7"/>
  <c r="S11" i="41"/>
  <c r="T11" i="41" s="1"/>
  <c r="S11" i="7"/>
  <c r="S11" i="50"/>
  <c r="T11" i="50" s="1"/>
  <c r="T13" i="7"/>
  <c r="T24" i="7"/>
  <c r="L29" i="7"/>
  <c r="N10" i="7"/>
  <c r="AO9" i="47"/>
  <c r="T34" i="7"/>
  <c r="L18" i="8"/>
  <c r="R11" i="7"/>
  <c r="AQ10" i="48"/>
  <c r="L28" i="7"/>
  <c r="T7" i="7"/>
  <c r="AQ32" i="48"/>
  <c r="U13" i="1"/>
  <c r="F14" i="41"/>
  <c r="S13" i="1"/>
  <c r="R16" i="1"/>
  <c r="F17" i="41" s="1"/>
  <c r="L17" i="8" l="1"/>
  <c r="L41" i="8" s="1"/>
  <c r="L47" i="8" s="1"/>
  <c r="X10" i="7"/>
  <c r="W30" i="7"/>
  <c r="AO29" i="49"/>
  <c r="D51" i="47"/>
  <c r="D55" i="47" s="1"/>
  <c r="AO5" i="49"/>
  <c r="W6" i="41"/>
  <c r="X6" i="41" s="1"/>
  <c r="W6" i="50"/>
  <c r="X6" i="50" s="1"/>
  <c r="W6" i="7"/>
  <c r="W30" i="50"/>
  <c r="X30" i="50" s="1"/>
  <c r="R29" i="49"/>
  <c r="U29" i="49" s="1"/>
  <c r="N15" i="8" s="1"/>
  <c r="T14" i="7"/>
  <c r="X17" i="7"/>
  <c r="X15" i="7"/>
  <c r="T11" i="7"/>
  <c r="T17" i="7"/>
  <c r="R17" i="49"/>
  <c r="U17" i="49" s="1"/>
  <c r="N18" i="8" s="1"/>
  <c r="O18" i="8" s="1"/>
  <c r="X13" i="7"/>
  <c r="X30" i="7"/>
  <c r="W18" i="7"/>
  <c r="W18" i="41"/>
  <c r="X18" i="41" s="1"/>
  <c r="W18" i="50"/>
  <c r="X18" i="50" s="1"/>
  <c r="O6" i="8"/>
  <c r="X29" i="7"/>
  <c r="V18" i="7"/>
  <c r="AO17" i="49"/>
  <c r="P10" i="7"/>
  <c r="D54" i="48"/>
  <c r="D58" i="48" s="1"/>
  <c r="U16" i="1"/>
  <c r="T13" i="1"/>
  <c r="W13" i="1" s="1"/>
  <c r="F14" i="8" s="1"/>
  <c r="V13" i="1"/>
  <c r="AO13" i="1"/>
  <c r="F14" i="7" s="1"/>
  <c r="H9" i="41"/>
  <c r="S16" i="1"/>
  <c r="V16" i="1" s="1"/>
  <c r="D54" i="49" l="1"/>
  <c r="D58" i="49" s="1"/>
  <c r="O15" i="8"/>
  <c r="O41" i="8" s="1"/>
  <c r="O47" i="8" s="1"/>
  <c r="N41" i="8"/>
  <c r="N47" i="8" s="1"/>
  <c r="X18" i="7"/>
  <c r="AO16" i="1"/>
  <c r="F17" i="7" s="1"/>
  <c r="AP13" i="1"/>
  <c r="H12" i="41"/>
  <c r="H11" i="41"/>
  <c r="T16" i="1"/>
  <c r="G14" i="50" l="1"/>
  <c r="H14" i="50" s="1"/>
  <c r="G14" i="41"/>
  <c r="H14" i="41" s="1"/>
  <c r="G14" i="7"/>
  <c r="H14" i="7" s="1"/>
  <c r="W16" i="1"/>
  <c r="F17" i="8" s="1"/>
  <c r="AP16" i="1"/>
  <c r="AQ13" i="1"/>
  <c r="G17" i="7" l="1"/>
  <c r="H17" i="7" s="1"/>
  <c r="G17" i="41"/>
  <c r="H17" i="41" s="1"/>
  <c r="G17" i="50"/>
  <c r="H17" i="50" s="1"/>
  <c r="AQ16" i="1"/>
  <c r="P6" i="7"/>
  <c r="T6" i="7"/>
  <c r="X6" i="7"/>
  <c r="L6" i="7" l="1"/>
  <c r="T5" i="1" l="1"/>
  <c r="W5" i="1" s="1"/>
  <c r="F6" i="8" s="1"/>
  <c r="F41" i="8" s="1"/>
  <c r="F47" i="8" s="1"/>
  <c r="F49" i="8" s="1"/>
  <c r="F51" i="8" s="1"/>
  <c r="D51" i="1" l="1"/>
  <c r="D55" i="1" s="1"/>
</calcChain>
</file>

<file path=xl/sharedStrings.xml><?xml version="1.0" encoding="utf-8"?>
<sst xmlns="http://schemas.openxmlformats.org/spreadsheetml/2006/main" count="1597" uniqueCount="242">
  <si>
    <t>INSTRUCTIONS TO OFFERORS</t>
  </si>
  <si>
    <t>General</t>
  </si>
  <si>
    <t>1</t>
  </si>
  <si>
    <t>The Prime Offeror shall complete this Government Format Pricing Model (GFPM).</t>
  </si>
  <si>
    <t>2</t>
  </si>
  <si>
    <t xml:space="preserve">All proposed direct labor rates shall be in line with justifying data (historical/incurred costs, salary survey, BLS OES etc.) for each identified locality. </t>
  </si>
  <si>
    <t>3</t>
  </si>
  <si>
    <t>Subcontractor offerors shall complete the subcontractor GFPM (GFPM-Subs).</t>
  </si>
  <si>
    <t>3a</t>
  </si>
  <si>
    <t>The Government has included a separate subcontractor GFPM attachment (GFPM-Subs) for the prime offeror to provide each subcontractor. The subcontractor GFPM shall be utilized for each subcontractor to show its compliance with providing a full labor buildup, per labor category and to ensure compliance with the Government provided floor rates.</t>
  </si>
  <si>
    <t>3b</t>
  </si>
  <si>
    <t>All subcontractors must provide the subcontractor GFPM (GFPM-Subs) to the prime offeror for submittal to the Government as part of its prime offeror proposal OR each subcontractor must submit this file directly to the Government.</t>
  </si>
  <si>
    <t>3c</t>
  </si>
  <si>
    <t xml:space="preserve">To promote consistency between subcontractor files and prime offeror files, the Government has provided a "Sub - FBLR Summary" tab within the GFPM-Subs for the subcontractor to be able to more easily transfer its proposed FBLRs, for its provided labor categories, to the prime offeror for the prime offeror to include in its proposal.  </t>
  </si>
  <si>
    <t>"Minimum Qualifications" Tab:</t>
  </si>
  <si>
    <t>This tab is for offerors to certify that the provided employees meet or exceed the minimum education/experience requirements identified by the USG and to provide an offeror specific labor category name for each labor category identified in the SOW.</t>
  </si>
  <si>
    <t>In Column F, a person legally authorized to bind the offeror shall enter their name for certification. This person is certifying that the offerors (prime &amp; subcontractor) will provide personnel that meet the minimum qualifications in accordance with the SOW throughout the entire performance period of this effort.  In Column G the same person shall enter the date of certification.</t>
  </si>
  <si>
    <t>"Totals" Tab</t>
  </si>
  <si>
    <r>
      <t xml:space="preserve">Offerors shall input offeror name into cell </t>
    </r>
    <r>
      <rPr>
        <sz val="11"/>
        <color rgb="FFFF0000"/>
        <rFont val="Calibri"/>
        <family val="2"/>
        <scheme val="minor"/>
      </rPr>
      <t>C2</t>
    </r>
    <r>
      <rPr>
        <sz val="11"/>
        <rFont val="Calibri"/>
        <family val="2"/>
        <scheme val="minor"/>
      </rPr>
      <t>.</t>
    </r>
  </si>
  <si>
    <r>
      <t xml:space="preserve">Offerors shall input its Phase-In FFP into cell </t>
    </r>
    <r>
      <rPr>
        <sz val="11"/>
        <color rgb="FFFF0000"/>
        <rFont val="Calibri"/>
        <family val="2"/>
        <scheme val="minor"/>
      </rPr>
      <t>C3</t>
    </r>
    <r>
      <rPr>
        <sz val="11"/>
        <rFont val="Calibri"/>
        <family val="2"/>
        <scheme val="minor"/>
      </rPr>
      <t>.</t>
    </r>
  </si>
  <si>
    <t xml:space="preserve">The FAR 52.217-8 6-Month "Option to Extend Services" is automatically calculated by multiplying the total "Ordering Period 5" prices by 50.00%. </t>
  </si>
  <si>
    <t>4</t>
  </si>
  <si>
    <r>
      <t xml:space="preserve">The total proposed price is calculated in cell </t>
    </r>
    <r>
      <rPr>
        <sz val="11"/>
        <color rgb="FFFF0000"/>
        <rFont val="Calibri"/>
        <family val="2"/>
        <scheme val="minor"/>
      </rPr>
      <t>F49</t>
    </r>
    <r>
      <rPr>
        <sz val="11"/>
        <rFont val="Calibri"/>
        <family val="2"/>
        <scheme val="minor"/>
      </rPr>
      <t>.</t>
    </r>
  </si>
  <si>
    <t>5</t>
  </si>
  <si>
    <r>
      <t xml:space="preserve">The total evaluated price is equal to the total proposed price less DBA Insurance, and is calculated in cell </t>
    </r>
    <r>
      <rPr>
        <sz val="11"/>
        <color rgb="FFFF0000"/>
        <rFont val="Calibri"/>
        <family val="2"/>
        <scheme val="minor"/>
      </rPr>
      <t>F51</t>
    </r>
    <r>
      <rPr>
        <sz val="11"/>
        <rFont val="Calibri"/>
        <family val="2"/>
        <scheme val="minor"/>
      </rPr>
      <t>.</t>
    </r>
  </si>
  <si>
    <t>6</t>
  </si>
  <si>
    <t>No other offeror input necessary, all totals will auto-populate from the "Ordering Period 1", "Ordering Period 2", "Ordering Period 3", "Ordering Period 4", "Ordering Period 5" tabs. The USG may utilize this tab while evaluating the Most Probable Cost to the Government.</t>
  </si>
  <si>
    <t>"Ordering Period 1", "Ordering Period 2",  "Ordering Period 3", "Ordering Period 4", and "Ordering Period 5" Tabs</t>
  </si>
  <si>
    <t>Offeror input is required in all applicable cells highlighted in yellow.</t>
  </si>
  <si>
    <t>The "Ordering Period Labor Categories &amp; Hours" (columns A - H) contain all of the performance locations and labor categories that the USG anticipates to be necessary for completion of this effort.   The "Req. Hours" column (Column F) contains the total number of hours to be proposed for each of the USG identified labor categories. The hours may be allocated to the prime contractor and/or subcontractors. All Proposed (prime &amp; subcontractor) labor hours must be equal to the total number of hours identified in the "Req. Hours" column.</t>
  </si>
  <si>
    <t>2a</t>
  </si>
  <si>
    <t>In the "Prime Contractor CPFF Labor" table (columns J - W in the Ordering Period 1 and Ordering Period 4 tabs and columns J - U in the Ordering Period 2, Ordering Period 3, and Ordering Period 5 tabs), offerors shall input the proposed number of hours that will be completed by the prime contractor for each of the USG identified labor categories. Offerors are required to submit fully burdened labor rates for each of the USG identified labor categories (column T in the Ordering Period 1 and Ordering Period 4 tabs and column R in the Ordering Period 2, Ordering Period 3, and Ordering Period 5 tabs). Offerors shall insert all of the cost elements (direct labor, fringe benefit costs, labor overhead costs, general &amp; administrative cost, fee etc.) that make up all of the fully burdened labor rates proposed for each of the USG identified labor categories (columns L - S in the Ordering Period 1 and Ordering Period 4 tabs and columns K - Q in the Ordering Period 2, Ordering Period 3, and Ordering Period 5 tabs). Columns U - W in the Ordering Period 1 and Ordering Period 4 tabs and columns S - U in the Ordering Period 2, Ordering Period 3, and Ordering Period 5 tabs automatically calculate based on the offeror's inputs.</t>
  </si>
  <si>
    <t>2b</t>
  </si>
  <si>
    <r>
      <t xml:space="preserve"> Offerors shall insert direct labor rates in the Ordering Period 1 tab for the applicable labor categories (</t>
    </r>
    <r>
      <rPr>
        <sz val="11"/>
        <color rgb="FFFF0000"/>
        <rFont val="Calibri"/>
        <family val="2"/>
        <scheme val="minor"/>
      </rPr>
      <t>L5 - L19 and L36 - L43</t>
    </r>
    <r>
      <rPr>
        <sz val="11"/>
        <rFont val="Calibri"/>
        <family val="2"/>
        <scheme val="minor"/>
      </rPr>
      <t>) and in the Ordering Period 4 tab for the applicable labor categories (</t>
    </r>
    <r>
      <rPr>
        <sz val="11"/>
        <color rgb="FFFF0000"/>
        <rFont val="Calibri"/>
        <family val="2"/>
        <scheme val="minor"/>
      </rPr>
      <t>L39 - L46</t>
    </r>
    <r>
      <rPr>
        <sz val="11"/>
        <rFont val="Calibri"/>
        <family val="2"/>
        <scheme val="minor"/>
      </rPr>
      <t>).  Note: Per section L of the RFP, the proposed direct labor must meet or exceed the USG floor rates referenced in the Ordering Period 1 tab (</t>
    </r>
    <r>
      <rPr>
        <sz val="11"/>
        <color rgb="FFFF0000"/>
        <rFont val="Calibri"/>
        <family val="2"/>
        <scheme val="minor"/>
      </rPr>
      <t>K5 - K43</t>
    </r>
    <r>
      <rPr>
        <sz val="11"/>
        <rFont val="Calibri"/>
        <family val="2"/>
        <scheme val="minor"/>
      </rPr>
      <t>) and in the Ordering Period 4 tab (</t>
    </r>
    <r>
      <rPr>
        <sz val="11"/>
        <color rgb="FFFF0000"/>
        <rFont val="Calibri"/>
        <family val="2"/>
        <scheme val="minor"/>
      </rPr>
      <t>K39 - K46</t>
    </r>
    <r>
      <rPr>
        <sz val="11"/>
        <rFont val="Calibri"/>
        <family val="2"/>
        <scheme val="minor"/>
      </rPr>
      <t xml:space="preserve">). </t>
    </r>
  </si>
  <si>
    <t>In the "Subcontractor Labor" table (columns Y - AM in the Ordering Period 1 and Ordering Period 4 tabs and columns W - AK in the Ordering Period 2, Ordering Period 3, and Ordering Period 5 tabs), offerors shall input the proposed number of hours that will be completed by the subcontractor for each of the USG identified labor categories. Offerors are required to submit fully burdened labor rates for each of the USG identified labor categories (column AG in the Ordering Period 1 and Ordering Period 4 tabs and column AE in the Ordering Period 2, Ordering Period 3, and Ordering Period 5 tabs). Offerors shall insert all of the cost elements (FBLRs, prime overhead costs, prime general &amp; administrative cost, prime fee etc.) that make up all of the fully burdened labor rates proposed for each of the USG identified labor categories (columns Z - AF in the Ordering Period 1 and Ordering Period 4 tabs and columns X - AD in the Ordering Period 2, Ordering Period 3, and Ordering Period 5 tabs). Columns AH - AJ in the Ordering Period 1 and Ordering Period 4 tabs and Columns AF - AH in the Ordering Period 2, Ordering Period 3, and Ordering Period 5 tabs automatically calculate based on the offeror's inputs. If necessary, subcontractors may submit additional cost data in it's own format to further justify the proposed single elements of the subcontractor labor costs.</t>
  </si>
  <si>
    <t>In column AK in the Ordering Period 1 and Ordering Period 4 tabs and AI in the Ordering Period 2, Ordering Period 3, and Ordering Period 5 tabs, the prime offeror shall enter the name of the subcontractor(s) proposed to complete the hours associated with each labor category. If the prime offeror proposes more than one subcontractor for a single labor category a single FBLR (inclusive of prime contractor indirect adders and fee) shall be proposed. The proposed FBLR (inclusive of prime contractor indirect adders and fee) shall be a blend of each subcontractor’s proposed FBLR. In column AL in the Ordering Period 1 and Ordering Period 4 tabs and AJ in the Ordering Period 2, Ordering Period 3, and Ordering Period 5 tabs the prime offeror shall indicate if the proposed subcontractor FBLR is a "blended" FBLR.  In column AM in the Ordering Period 1 and Ordering Period 4 tabs and AK in the Ordering Period 2, Ordering Period 3, and Ordering Period 5 tabs the prime offeror shall enter the billing nomenclature for each of the subcontracted labor categories, all subcontracted labor categories shall be differentiated from prime labor categories.</t>
  </si>
  <si>
    <t>Columns AO-AQ in the Ordering Period 1 and Ordering Period 4 tabs and Columns AM-AO in the Ordering Period 2, Ordering Period 3, and Ordering Period 5 tabs calculate a single composite fully burdened labor rate (prime and subcontractor) for each of the USG identified labor categories.</t>
  </si>
  <si>
    <t>4a</t>
  </si>
  <si>
    <t>All values populate based on the offerors input in the "Prime Labor" and "Subcontractor Labor" tables. No offeror input is necessary.</t>
  </si>
  <si>
    <r>
      <t xml:space="preserve">The Travel/ODC Plug Figure in cell </t>
    </r>
    <r>
      <rPr>
        <sz val="11"/>
        <color rgb="FFFF0000"/>
        <rFont val="Calibri"/>
        <family val="2"/>
        <scheme val="minor"/>
      </rPr>
      <t>D58</t>
    </r>
    <r>
      <rPr>
        <sz val="11"/>
        <rFont val="Calibri"/>
        <family val="2"/>
        <scheme val="minor"/>
      </rPr>
      <t xml:space="preserve"> in all Ordering Period tabs are pre-populated plug figures.</t>
    </r>
  </si>
  <si>
    <t>5a</t>
  </si>
  <si>
    <r>
      <t xml:space="preserve">Offerors may input an indirect ceiling rate that may apply to the USG provided Plug Figure costs in cell </t>
    </r>
    <r>
      <rPr>
        <sz val="11"/>
        <color rgb="FFFF0000"/>
        <rFont val="Calibri"/>
        <family val="2"/>
        <scheme val="minor"/>
      </rPr>
      <t>C59</t>
    </r>
    <r>
      <rPr>
        <sz val="11"/>
        <rFont val="Calibri"/>
        <family val="2"/>
        <scheme val="minor"/>
      </rPr>
      <t xml:space="preserve"> in all Ordering Period tabs.  No fee shall be applied to the USG provided plug figures.</t>
    </r>
  </si>
  <si>
    <t>5b</t>
  </si>
  <si>
    <r>
      <t xml:space="preserve">The total Travel/ODC amount will be the sum of the USG plug figures and proposed indirect costs. (Cell </t>
    </r>
    <r>
      <rPr>
        <sz val="11"/>
        <color rgb="FFFF0000"/>
        <rFont val="Calibri"/>
        <family val="2"/>
        <scheme val="minor"/>
      </rPr>
      <t>D61</t>
    </r>
    <r>
      <rPr>
        <sz val="11"/>
        <rFont val="Calibri"/>
        <family val="2"/>
        <scheme val="minor"/>
      </rPr>
      <t>)</t>
    </r>
  </si>
  <si>
    <r>
      <t xml:space="preserve">Offerors shall input its estimated DBA Insurance Amount in cell </t>
    </r>
    <r>
      <rPr>
        <sz val="11"/>
        <color rgb="FFFF0000"/>
        <rFont val="Calibri"/>
        <family val="2"/>
        <scheme val="minor"/>
      </rPr>
      <t>D64</t>
    </r>
    <r>
      <rPr>
        <sz val="11"/>
        <rFont val="Calibri"/>
        <family val="2"/>
        <scheme val="minor"/>
      </rPr>
      <t xml:space="preserve"> in all Ordering Period tabs.  No indirect expense or fee shall be applied to DBA Insurance. Note that the DBA Insurance Amount should include DBA costs for both the Prime and any applicable subcontractor.</t>
    </r>
  </si>
  <si>
    <t>7</t>
  </si>
  <si>
    <r>
      <t xml:space="preserve">The Total Price for each ordering period is equal to the sum of all prime contractor labor costs, subcontractor labor costs, ODC/Travel cost, DBA Insurance cost, and any applicable indirect costs. The total price for each ordering period is identified in cell </t>
    </r>
    <r>
      <rPr>
        <sz val="11"/>
        <color rgb="FFFF0000"/>
        <rFont val="Calibri"/>
        <family val="2"/>
        <scheme val="minor"/>
      </rPr>
      <t>D68</t>
    </r>
    <r>
      <rPr>
        <sz val="11"/>
        <rFont val="Calibri"/>
        <family val="2"/>
        <scheme val="minor"/>
      </rPr>
      <t>.</t>
    </r>
  </si>
  <si>
    <t>7a</t>
  </si>
  <si>
    <r>
      <t xml:space="preserve">The total in cell </t>
    </r>
    <r>
      <rPr>
        <sz val="11"/>
        <color rgb="FFFF0000"/>
        <rFont val="Calibri"/>
        <family val="2"/>
        <scheme val="minor"/>
      </rPr>
      <t>D70</t>
    </r>
    <r>
      <rPr>
        <sz val="11"/>
        <rFont val="Calibri"/>
        <family val="2"/>
        <scheme val="minor"/>
      </rPr>
      <t xml:space="preserve"> is equal to the Total Price less DBA Insurance.</t>
    </r>
  </si>
  <si>
    <t>8</t>
  </si>
  <si>
    <t xml:space="preserve">The Fringe Benefit, Labor OH, G&amp;A, and FCCOM columns are unlocked and editable. </t>
  </si>
  <si>
    <t>"Escalation" Tab</t>
  </si>
  <si>
    <t xml:space="preserve">This tab provides the data for the labor escalation rates which apply to all option periods of performance tabs.  </t>
  </si>
  <si>
    <t xml:space="preserve">Per section L, for evaluation purposes only, this solicitation has set a minimum escalation for each period of performance. Offerors may choose to increase this rate in column C of the escalation tab, but shall not propose an escalation rate which is below the USG minimum. </t>
  </si>
  <si>
    <t>"DBA Insurance" Tab</t>
  </si>
  <si>
    <t>Offerors may use this tab to demonstrate how the estimated DBA Insurance amount was calculated.</t>
  </si>
  <si>
    <t>"Composite Labor Rates" Tab</t>
  </si>
  <si>
    <t xml:space="preserve">This tab organizes all proposed composite (prime and subcontractor) costs, fees and fully burdened labor rates. All values automatically populate based on offerors input on the "Base Period" and all "Option Period" tabs.  </t>
  </si>
  <si>
    <t>No offeror input is necessary.</t>
  </si>
  <si>
    <t>"Prime Ceiling Rates" Tab:</t>
  </si>
  <si>
    <t>The Government is requiring prime contractors to propose a cost ceiling on their fully burdened labor rates (FBLRS) (less fee), where the ceiling is equal to the proposed FBLR (less fee) for each labor category plus 10% for CONUS or 20% for OCONUS. This tab includes a formula that auto-calculates these ceiling rates for each period.</t>
  </si>
  <si>
    <t>"Subcontractor Ceiling Rates" Tab:</t>
  </si>
  <si>
    <t>The Government is requiring prime contractors to propose a cost ceiling on their subcontractor fully burdened labor rates (FBLRS) (less fee), where the ceiling is equal to the proposed subcontractor FBLR (less fee) for each labor category plus 10% for CONUS or 20% for OCONUS.  This tab includes a formula that auto-calculates these ceiling rates for each period. Subcontractors bid as “Fixed Rates”, including but not limited to FFP-LOE, Labor-Hours, Time and Material (T&amp;M), are expected to be fixed over the life of the contract and proposed Subcontractor “Fixed Rates” will be added to Section H, “Special Instructions,” of the resulting task order.  However, in the event of unforeseen circumstances related to subcontractors, this tab shows the ceiling rates per labor category for any subcontractor who performs work under the proposed subcontractor allotted labor categories.</t>
  </si>
  <si>
    <t>"CLINs" Tab:</t>
  </si>
  <si>
    <t>This tab organizes all proposed costs and fee in a format aligned with the planned CLIN structure.</t>
  </si>
  <si>
    <t>Service</t>
  </si>
  <si>
    <t>ID</t>
  </si>
  <si>
    <t>Labor Category</t>
  </si>
  <si>
    <t>Offeror Labor Category</t>
  </si>
  <si>
    <t>Location</t>
  </si>
  <si>
    <t>Offeror Certification</t>
  </si>
  <si>
    <t>Date of Certification</t>
  </si>
  <si>
    <t>Program Management</t>
  </si>
  <si>
    <t>Field Service Representative (FSR)</t>
  </si>
  <si>
    <t>General Maintenance</t>
  </si>
  <si>
    <t>Modified Work Orders (MWO)</t>
  </si>
  <si>
    <t>New Equipment Training (NET)</t>
  </si>
  <si>
    <t>Total Package Fielding (TPF)
and De-processing</t>
  </si>
  <si>
    <t>OFFEROR NAME:</t>
  </si>
  <si>
    <t>PHASE-IN (FFP):</t>
  </si>
  <si>
    <t>Total Proposed Price</t>
  </si>
  <si>
    <t>Required Labor - Labor Category</t>
  </si>
  <si>
    <t xml:space="preserve">Location </t>
  </si>
  <si>
    <t>Ordering Period 1</t>
  </si>
  <si>
    <t>Ordering Period 2</t>
  </si>
  <si>
    <t>Ordering Period 3</t>
  </si>
  <si>
    <t>Ordering Period 4</t>
  </si>
  <si>
    <t>Ordering Period 5</t>
  </si>
  <si>
    <t>FAR 52.217-8 Option</t>
  </si>
  <si>
    <t>001</t>
  </si>
  <si>
    <t>Project Management Specialist</t>
  </si>
  <si>
    <t>CONUS</t>
  </si>
  <si>
    <t>002</t>
  </si>
  <si>
    <t>Field Service Representative</t>
  </si>
  <si>
    <t>003</t>
  </si>
  <si>
    <t>Heavy Equipment Mechanic</t>
  </si>
  <si>
    <t>004</t>
  </si>
  <si>
    <t>005</t>
  </si>
  <si>
    <t>006</t>
  </si>
  <si>
    <t>Quality Assurance</t>
  </si>
  <si>
    <t>007</t>
  </si>
  <si>
    <t>Software</t>
  </si>
  <si>
    <t>008</t>
  </si>
  <si>
    <t>Welder</t>
  </si>
  <si>
    <t>009</t>
  </si>
  <si>
    <t>Instructor Supervisor</t>
  </si>
  <si>
    <t>010</t>
  </si>
  <si>
    <t xml:space="preserve">Instructor  </t>
  </si>
  <si>
    <t>011</t>
  </si>
  <si>
    <t>012</t>
  </si>
  <si>
    <t>Material Handling Specialist</t>
  </si>
  <si>
    <t>013</t>
  </si>
  <si>
    <t>014</t>
  </si>
  <si>
    <t>Supply/Procurement Specialist</t>
  </si>
  <si>
    <t>015</t>
  </si>
  <si>
    <t>016</t>
  </si>
  <si>
    <t>OCONUS</t>
  </si>
  <si>
    <t>017</t>
  </si>
  <si>
    <t>018</t>
  </si>
  <si>
    <t>019</t>
  </si>
  <si>
    <t xml:space="preserve">Instructor </t>
  </si>
  <si>
    <t>020</t>
  </si>
  <si>
    <t>021</t>
  </si>
  <si>
    <t>022</t>
  </si>
  <si>
    <t>023</t>
  </si>
  <si>
    <t>024</t>
  </si>
  <si>
    <t>OCONUS - IRAQ</t>
  </si>
  <si>
    <t>025</t>
  </si>
  <si>
    <t>026</t>
  </si>
  <si>
    <t>027</t>
  </si>
  <si>
    <t>028</t>
  </si>
  <si>
    <t>029</t>
  </si>
  <si>
    <t>030</t>
  </si>
  <si>
    <t>031</t>
  </si>
  <si>
    <t>Description:</t>
  </si>
  <si>
    <t>Total Labor</t>
  </si>
  <si>
    <t>Travel / ODC Price</t>
  </si>
  <si>
    <t>DBA Insurance</t>
  </si>
  <si>
    <t xml:space="preserve">Subtotal (Per Period of Performance)                                       </t>
  </si>
  <si>
    <t>Total Proposed Price less DBA Insurance</t>
  </si>
  <si>
    <t>Ordering Period 1:</t>
  </si>
  <si>
    <t>Ordering Period 1 Labor Categories &amp; Hours</t>
  </si>
  <si>
    <t>Prime Contractor CPFF Labor</t>
  </si>
  <si>
    <t>Subcontractor Labor</t>
  </si>
  <si>
    <t>Composite FBLR (Prime &amp; Sub)</t>
  </si>
  <si>
    <t>Reference</t>
  </si>
  <si>
    <t>Req. Hours</t>
  </si>
  <si>
    <t>Prop Hours.</t>
  </si>
  <si>
    <t>Delta 
(Req. - Prop.)</t>
  </si>
  <si>
    <t>Prime Hours</t>
  </si>
  <si>
    <t>(Floor Rate)</t>
  </si>
  <si>
    <t>Direct Labor
(Proposed)</t>
  </si>
  <si>
    <t>Direct Labor
(Calculation)</t>
  </si>
  <si>
    <t>Fringe Benefit</t>
  </si>
  <si>
    <t>Labor OH</t>
  </si>
  <si>
    <t>G&amp;A</t>
  </si>
  <si>
    <t>FCCOM</t>
  </si>
  <si>
    <t>Cost</t>
  </si>
  <si>
    <t>Fee</t>
  </si>
  <si>
    <t>FBLR</t>
  </si>
  <si>
    <t>Total Cost</t>
  </si>
  <si>
    <t>Total Fee</t>
  </si>
  <si>
    <t>Total Price</t>
  </si>
  <si>
    <t>Sub Hours</t>
  </si>
  <si>
    <t>Sub FBLR</t>
  </si>
  <si>
    <t>Sub FBLR (Calculation)</t>
  </si>
  <si>
    <t>Prime OH</t>
  </si>
  <si>
    <t>Prime G&amp;A</t>
  </si>
  <si>
    <t>Prime FCCOM</t>
  </si>
  <si>
    <t>Prime Fee</t>
  </si>
  <si>
    <t>FBLR (Inclusive of All Prime Adders)</t>
  </si>
  <si>
    <t>Name of Subcontractor(s)</t>
  </si>
  <si>
    <t>Blended Sub FBLR (Y/N)</t>
  </si>
  <si>
    <t>Billing Nomenclature</t>
  </si>
  <si>
    <t>CPFF</t>
  </si>
  <si>
    <t xml:space="preserve">CONUS </t>
  </si>
  <si>
    <t>Total</t>
  </si>
  <si>
    <t>Section H.3.1.11</t>
  </si>
  <si>
    <t>Section H.3.1.9</t>
  </si>
  <si>
    <t>Section H.3.1.3</t>
  </si>
  <si>
    <t>Section H.3.1.6</t>
  </si>
  <si>
    <t>Section H.3.1.10</t>
  </si>
  <si>
    <t>Section H.3.1.5</t>
  </si>
  <si>
    <t>Section H.3.1.4</t>
  </si>
  <si>
    <t>Section H.3.1.7</t>
  </si>
  <si>
    <t>Section H.3.1.8</t>
  </si>
  <si>
    <t>Section H.3.1.2</t>
  </si>
  <si>
    <t>Section H.3.1.1</t>
  </si>
  <si>
    <t>CONUS - Overtime (OT)</t>
  </si>
  <si>
    <t>CONUS - OT</t>
  </si>
  <si>
    <t>CONUS HOURS</t>
  </si>
  <si>
    <t>OCONUS HOURS</t>
  </si>
  <si>
    <t>TOTAL HOURS</t>
  </si>
  <si>
    <t>OP1 LABOR</t>
  </si>
  <si>
    <t>OP1 Hours</t>
  </si>
  <si>
    <t>OP1 Price</t>
  </si>
  <si>
    <t>Prime Contractor</t>
  </si>
  <si>
    <t xml:space="preserve">CPFF Labor </t>
  </si>
  <si>
    <t>Subcontractor</t>
  </si>
  <si>
    <t>TOTAL LABOR</t>
  </si>
  <si>
    <t>Travel/ODC</t>
  </si>
  <si>
    <t>Rate</t>
  </si>
  <si>
    <t>Indirect Rate</t>
  </si>
  <si>
    <t>TOTAL Travel / ODC</t>
  </si>
  <si>
    <t>Defense Base Act (DBA) Insurance</t>
  </si>
  <si>
    <t>DBA Insurance (Cost Only)</t>
  </si>
  <si>
    <t>Total DBA Insurance</t>
  </si>
  <si>
    <t>TOTAL PRICE</t>
  </si>
  <si>
    <t>TOTAL PRICE less DBA Insurance</t>
  </si>
  <si>
    <t>Ordering Period 2:</t>
  </si>
  <si>
    <t>Ordering Period 2 Labor Categories &amp; Hours</t>
  </si>
  <si>
    <t>OP2 LABOR</t>
  </si>
  <si>
    <t>OP2 Hours</t>
  </si>
  <si>
    <t>OP2 Price</t>
  </si>
  <si>
    <t>Ordering Period 3:</t>
  </si>
  <si>
    <t>Ordering Period 3 Labor Categories &amp; Hours</t>
  </si>
  <si>
    <t>OP3 LABOR</t>
  </si>
  <si>
    <t>OP3 Hours</t>
  </si>
  <si>
    <t>OP3 Price</t>
  </si>
  <si>
    <t>Ordering Period 4:</t>
  </si>
  <si>
    <t>Ordering Period 4 Labor Categories &amp; Hours</t>
  </si>
  <si>
    <t>OP4 LABOR</t>
  </si>
  <si>
    <t>OP4 Hours</t>
  </si>
  <si>
    <t>OP4 Price</t>
  </si>
  <si>
    <t>Ordering Period 5:</t>
  </si>
  <si>
    <t>Ordering Period 5 Labor Categories &amp; Hours</t>
  </si>
  <si>
    <t>OP5 LABOR</t>
  </si>
  <si>
    <t>OP5 Hours</t>
  </si>
  <si>
    <t>OP5 Price</t>
  </si>
  <si>
    <t>Ordering Period</t>
  </si>
  <si>
    <t>Minimum 
Escalation</t>
  </si>
  <si>
    <t>Proposed
 Escalation</t>
  </si>
  <si>
    <t>Calculated 
Escalation</t>
  </si>
  <si>
    <t>CPFF FBLR</t>
  </si>
  <si>
    <t xml:space="preserve">Fee </t>
  </si>
  <si>
    <t>Prime Contractor Labor Ceilings</t>
  </si>
  <si>
    <t>Cost Ceiling</t>
  </si>
  <si>
    <t>FBLR 
Ceiling</t>
  </si>
  <si>
    <t>Subcontractor Labor Ceilings</t>
  </si>
  <si>
    <t>Subcontractor offerors shall submit a detailed cost build up for each proposed fully burdened labor rate utilizing Attachment 0016 (GFPM-Subs). Subcontractors may choose to submit the cost build up data as part of the prime contractor's cost submission or as a separate submission directly to the Government.  If reconciliation differences exist between the prime contractor's pricing submission and the subcontractor cost build up spreadsheets, the Government will rely on the data entered into the prime contractor's Government format spreadsheets to make any reasonableness/realism determinations.</t>
  </si>
  <si>
    <r>
      <rPr>
        <b/>
        <sz val="10"/>
        <color theme="1"/>
        <rFont val="Calibri"/>
        <family val="2"/>
        <scheme val="minor"/>
      </rPr>
      <t>SMALL BUSINESS PARTICIPATION FACTOR CROSS REFRENCE ONLY</t>
    </r>
    <r>
      <rPr>
        <sz val="10"/>
        <color theme="1"/>
        <rFont val="Calibri"/>
        <family val="2"/>
        <scheme val="minor"/>
      </rPr>
      <t xml:space="preserve">
As defined in the Small Business Participation Factor, Section L..4.3.2(c), the sum of "Total Labor" Only for Ordering Periods 1-5 plus the calculated 'Option To Extend Services FAR 52.217-8' (excluding DBA Insurance and ODC/Travel) is defined as the 'Total Contract Amount'.  
This amount should correspond to the Offeror's proposed Small Business Participation Workbook (</t>
    </r>
    <r>
      <rPr>
        <sz val="10"/>
        <color rgb="FFFF0000"/>
        <rFont val="Calibri"/>
        <family val="2"/>
        <scheme val="minor"/>
      </rPr>
      <t>Attachment 00XX</t>
    </r>
    <r>
      <rPr>
        <sz val="10"/>
        <color theme="1"/>
        <rFont val="Calibri"/>
        <family val="2"/>
        <scheme val="minor"/>
      </rPr>
      <t>), 'Roll up' Tab, 'Total Contract Amount'</t>
    </r>
  </si>
  <si>
    <r>
      <t xml:space="preserve">In cell </t>
    </r>
    <r>
      <rPr>
        <sz val="11"/>
        <color rgb="FFFF0000"/>
        <rFont val="Calibri"/>
        <family val="2"/>
        <scheme val="minor"/>
      </rPr>
      <t>F60</t>
    </r>
    <r>
      <rPr>
        <sz val="11"/>
        <rFont val="Calibri"/>
        <family val="2"/>
        <scheme val="minor"/>
      </rPr>
      <t>, Offerors shall input the amount that corresponds to the Offeror's proposed Small Business Participation Workbook (</t>
    </r>
    <r>
      <rPr>
        <sz val="11"/>
        <color rgb="FFFF0000"/>
        <rFont val="Calibri"/>
        <family val="2"/>
        <scheme val="minor"/>
      </rPr>
      <t>Attachment 00XX</t>
    </r>
    <r>
      <rPr>
        <sz val="11"/>
        <rFont val="Calibri"/>
        <family val="2"/>
        <scheme val="minor"/>
      </rPr>
      <t>), Roll Up' tab, 'Total Contract Amount'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</si>
</sst>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7" formatCode="&quot;$&quot;#,##0.00_);\(&quot;$&quot;#,##0.00\)"/>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409]mmm\-yy;@"/>
    <numFmt numFmtId="167" formatCode="[$-409]dd\-mmm\-yy;@"/>
  </numFmts>
  <fonts count="30"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1"/>
      <color indexed="8"/>
      <name val="Calibri"/>
      <family val="2"/>
      <scheme val="minor"/>
    </font>
    <font>
      <u/>
      <sz val="11"/>
      <color theme="1"/>
      <name val="Calibri"/>
      <family val="2"/>
      <scheme val="minor"/>
    </font>
    <font>
      <sz val="12"/>
      <color theme="1"/>
      <name val="Times New Roman"/>
      <family val="1"/>
    </font>
    <font>
      <b/>
      <sz val="12"/>
      <color theme="1"/>
      <name val="Calibri"/>
      <family val="2"/>
      <scheme val="minor"/>
    </font>
    <font>
      <b/>
      <sz val="18"/>
      <color theme="1"/>
      <name val="Calibri"/>
      <family val="2"/>
      <scheme val="minor"/>
    </font>
    <font>
      <b/>
      <sz val="26"/>
      <color theme="1"/>
      <name val="Calibri"/>
      <family val="2"/>
      <scheme val="minor"/>
    </font>
    <font>
      <sz val="12"/>
      <color theme="1"/>
      <name val="Calibri"/>
      <family val="2"/>
      <scheme val="minor"/>
    </font>
    <font>
      <sz val="18"/>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4"/>
      <name val="Calibri"/>
      <family val="2"/>
      <scheme val="minor"/>
    </font>
    <font>
      <b/>
      <u val="doubleAccounting"/>
      <sz val="16"/>
      <color theme="1"/>
      <name val="Calibri"/>
      <family val="2"/>
      <scheme val="minor"/>
    </font>
    <font>
      <sz val="10"/>
      <name val="Arial"/>
      <family val="2"/>
    </font>
    <font>
      <b/>
      <sz val="16"/>
      <color theme="1"/>
      <name val="Calibri"/>
      <family val="2"/>
      <scheme val="minor"/>
    </font>
    <font>
      <i/>
      <sz val="11"/>
      <color theme="0" tint="-0.499984740745262"/>
      <name val="Calibri"/>
      <family val="2"/>
      <scheme val="minor"/>
    </font>
    <font>
      <sz val="11"/>
      <color rgb="FFFF0000"/>
      <name val="Calibri"/>
      <family val="2"/>
      <scheme val="minor"/>
    </font>
    <font>
      <sz val="8"/>
      <name val="Calibri"/>
      <family val="2"/>
      <scheme val="minor"/>
    </font>
    <font>
      <i/>
      <sz val="10"/>
      <color theme="0" tint="-0.499984740745262"/>
      <name val="Calibri"/>
      <family val="2"/>
      <scheme val="minor"/>
    </font>
    <font>
      <b/>
      <sz val="20"/>
      <color theme="1"/>
      <name val="Calibri"/>
      <family val="2"/>
      <scheme val="minor"/>
    </font>
    <font>
      <b/>
      <u val="double"/>
      <sz val="16"/>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sz val="16"/>
      <color theme="1"/>
      <name val="Calibri"/>
      <family val="2"/>
      <scheme val="minor"/>
    </font>
    <font>
      <sz val="10"/>
      <color rgb="FFFF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s>
  <borders count="6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diagonal/>
    </border>
    <border>
      <left style="thin">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6" fontId="1" fillId="0" borderId="0"/>
    <xf numFmtId="167" fontId="17" fillId="0" borderId="0"/>
    <xf numFmtId="0" fontId="1" fillId="0" borderId="0"/>
    <xf numFmtId="166" fontId="1" fillId="0" borderId="0"/>
  </cellStyleXfs>
  <cellXfs count="566">
    <xf numFmtId="0" fontId="0" fillId="0" borderId="0" xfId="0"/>
    <xf numFmtId="0" fontId="0" fillId="0" borderId="0" xfId="3" applyNumberFormat="1" applyFont="1"/>
    <xf numFmtId="10" fontId="0" fillId="2" borderId="4" xfId="0" applyNumberFormat="1" applyFill="1" applyBorder="1" applyProtection="1">
      <protection locked="0"/>
    </xf>
    <xf numFmtId="164" fontId="0" fillId="2" borderId="19" xfId="1" applyNumberFormat="1" applyFont="1" applyFill="1" applyBorder="1" applyProtection="1">
      <protection locked="0"/>
    </xf>
    <xf numFmtId="44" fontId="0" fillId="2" borderId="16" xfId="2" applyFont="1" applyFill="1" applyBorder="1" applyProtection="1">
      <protection locked="0"/>
    </xf>
    <xf numFmtId="44" fontId="0" fillId="2" borderId="4" xfId="2" applyFont="1" applyFill="1" applyBorder="1" applyProtection="1">
      <protection locked="0"/>
    </xf>
    <xf numFmtId="0" fontId="0" fillId="2" borderId="17" xfId="0" applyFill="1" applyBorder="1" applyProtection="1">
      <protection locked="0"/>
    </xf>
    <xf numFmtId="0" fontId="0" fillId="2" borderId="20" xfId="0" applyFill="1" applyBorder="1" applyProtection="1">
      <protection locked="0"/>
    </xf>
    <xf numFmtId="0" fontId="0" fillId="2" borderId="7" xfId="0" applyFill="1" applyBorder="1" applyProtection="1">
      <protection locked="0"/>
    </xf>
    <xf numFmtId="0" fontId="0" fillId="0" borderId="0" xfId="0" applyAlignment="1"/>
    <xf numFmtId="0" fontId="0" fillId="0" borderId="0" xfId="0" applyProtection="1"/>
    <xf numFmtId="0" fontId="0" fillId="2" borderId="4" xfId="0" applyFill="1" applyBorder="1" applyProtection="1">
      <protection locked="0"/>
    </xf>
    <xf numFmtId="0" fontId="0" fillId="0" borderId="0" xfId="0" applyBorder="1" applyProtection="1"/>
    <xf numFmtId="165" fontId="0" fillId="0" borderId="0" xfId="2" applyNumberFormat="1" applyFont="1" applyProtection="1"/>
    <xf numFmtId="165" fontId="0" fillId="0" borderId="0" xfId="2" applyNumberFormat="1" applyFont="1" applyFill="1" applyProtection="1"/>
    <xf numFmtId="165" fontId="0" fillId="0" borderId="0" xfId="2" applyNumberFormat="1" applyFont="1" applyFill="1" applyBorder="1" applyProtection="1"/>
    <xf numFmtId="0" fontId="0" fillId="0" borderId="0" xfId="0" applyFill="1" applyProtection="1"/>
    <xf numFmtId="0" fontId="2" fillId="0" borderId="0" xfId="0" applyFont="1" applyBorder="1" applyAlignment="1" applyProtection="1"/>
    <xf numFmtId="0" fontId="0" fillId="0" borderId="0" xfId="0" applyFill="1" applyBorder="1" applyProtection="1"/>
    <xf numFmtId="0" fontId="7" fillId="9" borderId="25" xfId="0" applyFont="1" applyFill="1" applyBorder="1" applyAlignment="1" applyProtection="1">
      <alignment horizontal="center" vertical="center"/>
    </xf>
    <xf numFmtId="0" fontId="7" fillId="0" borderId="0" xfId="0" applyFont="1" applyFill="1" applyBorder="1" applyAlignment="1" applyProtection="1">
      <alignment horizontal="center" vertical="center"/>
    </xf>
    <xf numFmtId="165" fontId="7" fillId="9" borderId="25" xfId="2" applyNumberFormat="1" applyFont="1" applyFill="1" applyBorder="1" applyAlignment="1" applyProtection="1">
      <alignment horizontal="center" vertical="center"/>
    </xf>
    <xf numFmtId="165" fontId="0" fillId="7" borderId="32" xfId="2" applyNumberFormat="1" applyFont="1" applyFill="1" applyBorder="1" applyProtection="1"/>
    <xf numFmtId="49" fontId="0" fillId="0" borderId="0" xfId="0" applyNumberFormat="1" applyFill="1" applyBorder="1" applyProtection="1"/>
    <xf numFmtId="0" fontId="10" fillId="0" borderId="0" xfId="0" applyFont="1" applyFill="1" applyBorder="1" applyProtection="1"/>
    <xf numFmtId="165" fontId="10" fillId="0" borderId="0" xfId="2" applyNumberFormat="1" applyFont="1" applyFill="1" applyBorder="1" applyProtection="1"/>
    <xf numFmtId="0" fontId="10" fillId="0" borderId="0" xfId="0" applyFont="1" applyFill="1" applyProtection="1"/>
    <xf numFmtId="0" fontId="10" fillId="0" borderId="0" xfId="0" applyFont="1" applyBorder="1" applyProtection="1"/>
    <xf numFmtId="0" fontId="10" fillId="0" borderId="0" xfId="0" applyFont="1" applyProtection="1"/>
    <xf numFmtId="165" fontId="10" fillId="0" borderId="0" xfId="2" applyNumberFormat="1" applyFont="1" applyFill="1" applyProtection="1"/>
    <xf numFmtId="165" fontId="7" fillId="0" borderId="0" xfId="2" applyNumberFormat="1" applyFont="1" applyFill="1" applyBorder="1" applyProtection="1"/>
    <xf numFmtId="0" fontId="7" fillId="0" borderId="0" xfId="0" applyFont="1" applyAlignment="1" applyProtection="1">
      <alignment vertical="center"/>
    </xf>
    <xf numFmtId="165" fontId="10" fillId="0" borderId="0" xfId="2" applyNumberFormat="1" applyFont="1" applyProtection="1"/>
    <xf numFmtId="165" fontId="16" fillId="7" borderId="25" xfId="2" applyNumberFormat="1" applyFont="1" applyFill="1" applyBorder="1" applyAlignment="1" applyProtection="1">
      <alignment vertical="center"/>
    </xf>
    <xf numFmtId="165" fontId="10" fillId="7" borderId="25" xfId="2" applyNumberFormat="1" applyFont="1" applyFill="1" applyBorder="1" applyProtection="1"/>
    <xf numFmtId="0" fontId="2" fillId="0" borderId="2" xfId="0" applyFont="1" applyFill="1" applyBorder="1" applyAlignment="1" applyProtection="1">
      <alignment horizontal="center"/>
    </xf>
    <xf numFmtId="164" fontId="0" fillId="0" borderId="0" xfId="1" applyNumberFormat="1" applyFont="1" applyFill="1" applyBorder="1" applyAlignment="1" applyProtection="1">
      <alignment horizontal="center" wrapText="1"/>
    </xf>
    <xf numFmtId="0" fontId="0" fillId="0" borderId="0" xfId="0" applyBorder="1" applyAlignment="1" applyProtection="1">
      <alignment horizontal="center" wrapText="1"/>
    </xf>
    <xf numFmtId="164" fontId="0" fillId="3" borderId="33" xfId="1" applyNumberFormat="1" applyFont="1" applyFill="1" applyBorder="1" applyProtection="1"/>
    <xf numFmtId="164" fontId="0" fillId="3" borderId="35" xfId="1" applyNumberFormat="1" applyFont="1" applyFill="1" applyBorder="1" applyProtection="1"/>
    <xf numFmtId="44" fontId="0" fillId="3" borderId="16" xfId="2" applyFont="1" applyFill="1" applyBorder="1" applyProtection="1"/>
    <xf numFmtId="44" fontId="0" fillId="3" borderId="17" xfId="2" applyFont="1" applyFill="1" applyBorder="1" applyProtection="1"/>
    <xf numFmtId="164" fontId="0" fillId="3" borderId="4" xfId="1" applyNumberFormat="1" applyFont="1" applyFill="1" applyBorder="1" applyProtection="1"/>
    <xf numFmtId="164" fontId="0" fillId="3" borderId="7" xfId="1" applyNumberFormat="1" applyFont="1" applyFill="1" applyBorder="1" applyProtection="1"/>
    <xf numFmtId="44" fontId="0" fillId="3" borderId="4" xfId="2" applyFont="1" applyFill="1" applyBorder="1" applyProtection="1"/>
    <xf numFmtId="44" fontId="0" fillId="3" borderId="4" xfId="2" applyNumberFormat="1" applyFont="1" applyFill="1" applyBorder="1" applyProtection="1"/>
    <xf numFmtId="164" fontId="0" fillId="0" borderId="0" xfId="1" applyNumberFormat="1" applyFont="1" applyFill="1" applyBorder="1" applyProtection="1"/>
    <xf numFmtId="0" fontId="6" fillId="0" borderId="0" xfId="0" applyFont="1" applyFill="1" applyBorder="1" applyAlignment="1" applyProtection="1">
      <alignment vertical="center" wrapText="1"/>
    </xf>
    <xf numFmtId="44" fontId="0" fillId="0" borderId="0" xfId="2" applyFont="1" applyFill="1" applyBorder="1" applyProtection="1"/>
    <xf numFmtId="44" fontId="0" fillId="0" borderId="0" xfId="2" applyNumberFormat="1" applyFont="1" applyFill="1" applyBorder="1" applyProtection="1"/>
    <xf numFmtId="164" fontId="0" fillId="0" borderId="0" xfId="1" applyNumberFormat="1" applyFont="1" applyProtection="1"/>
    <xf numFmtId="164" fontId="0" fillId="0" borderId="0" xfId="1" applyNumberFormat="1" applyFont="1" applyFill="1" applyProtection="1"/>
    <xf numFmtId="44" fontId="0" fillId="0" borderId="0" xfId="2" applyFont="1" applyProtection="1"/>
    <xf numFmtId="0" fontId="2" fillId="0" borderId="12" xfId="0" applyFont="1" applyBorder="1" applyProtection="1"/>
    <xf numFmtId="164" fontId="2" fillId="0" borderId="13" xfId="1" applyNumberFormat="1" applyFont="1" applyBorder="1" applyProtection="1"/>
    <xf numFmtId="164" fontId="2" fillId="0" borderId="18" xfId="1" applyNumberFormat="1" applyFont="1" applyBorder="1" applyProtection="1"/>
    <xf numFmtId="165" fontId="0" fillId="0" borderId="0" xfId="0" applyNumberFormat="1" applyBorder="1" applyProtection="1"/>
    <xf numFmtId="0" fontId="5" fillId="0" borderId="5" xfId="0" applyFont="1" applyBorder="1" applyProtection="1"/>
    <xf numFmtId="164" fontId="0" fillId="0" borderId="0" xfId="1" applyNumberFormat="1" applyFont="1" applyBorder="1" applyProtection="1"/>
    <xf numFmtId="0" fontId="0" fillId="0" borderId="5" xfId="0" applyBorder="1" applyProtection="1"/>
    <xf numFmtId="0" fontId="2" fillId="0" borderId="8" xfId="0" applyFont="1" applyBorder="1" applyProtection="1"/>
    <xf numFmtId="164" fontId="2" fillId="0" borderId="9" xfId="1" applyNumberFormat="1" applyFont="1" applyBorder="1" applyProtection="1"/>
    <xf numFmtId="164" fontId="0" fillId="0" borderId="13" xfId="1" applyNumberFormat="1" applyFont="1" applyBorder="1" applyProtection="1"/>
    <xf numFmtId="10" fontId="0" fillId="0" borderId="0" xfId="3" applyNumberFormat="1" applyFont="1" applyFill="1" applyBorder="1" applyProtection="1"/>
    <xf numFmtId="0" fontId="2" fillId="0" borderId="0" xfId="0" applyFont="1" applyBorder="1" applyProtection="1"/>
    <xf numFmtId="164" fontId="2" fillId="0" borderId="0" xfId="1" applyNumberFormat="1" applyFont="1" applyBorder="1" applyProtection="1"/>
    <xf numFmtId="0" fontId="2" fillId="0" borderId="1" xfId="0" applyFont="1" applyBorder="1" applyProtection="1"/>
    <xf numFmtId="0" fontId="0" fillId="8" borderId="4" xfId="0" applyFill="1" applyBorder="1" applyAlignment="1" applyProtection="1">
      <alignment horizontal="left" vertical="center"/>
    </xf>
    <xf numFmtId="0" fontId="0" fillId="8" borderId="4" xfId="0" applyFill="1" applyBorder="1" applyAlignment="1" applyProtection="1">
      <alignment horizontal="center" vertical="center" wrapText="1"/>
    </xf>
    <xf numFmtId="0" fontId="0" fillId="11" borderId="4" xfId="0" applyFill="1" applyBorder="1" applyProtection="1"/>
    <xf numFmtId="10" fontId="0" fillId="11" borderId="4" xfId="0" applyNumberFormat="1" applyFill="1" applyBorder="1" applyProtection="1"/>
    <xf numFmtId="44" fontId="0" fillId="0" borderId="0" xfId="0" applyNumberFormat="1" applyProtection="1"/>
    <xf numFmtId="44" fontId="0" fillId="0" borderId="0" xfId="2" applyFont="1" applyFill="1" applyProtection="1"/>
    <xf numFmtId="44" fontId="10" fillId="0" borderId="0" xfId="0" applyNumberFormat="1" applyFont="1" applyFill="1" applyProtection="1"/>
    <xf numFmtId="0" fontId="10" fillId="0" borderId="0" xfId="0" applyFont="1" applyFill="1" applyAlignment="1" applyProtection="1">
      <alignment wrapText="1"/>
    </xf>
    <xf numFmtId="165" fontId="10" fillId="7" borderId="25" xfId="2" quotePrefix="1" applyNumberFormat="1" applyFont="1" applyFill="1" applyBorder="1" applyProtection="1"/>
    <xf numFmtId="165" fontId="7" fillId="0" borderId="6" xfId="2" applyNumberFormat="1" applyFont="1" applyFill="1" applyBorder="1" applyProtection="1"/>
    <xf numFmtId="165" fontId="7" fillId="7" borderId="26" xfId="2" applyNumberFormat="1" applyFont="1" applyFill="1" applyBorder="1" applyProtection="1"/>
    <xf numFmtId="10" fontId="10" fillId="0" borderId="0" xfId="3" applyNumberFormat="1" applyFont="1" applyProtection="1"/>
    <xf numFmtId="10" fontId="10" fillId="0" borderId="0" xfId="3" applyNumberFormat="1" applyFont="1" applyFill="1" applyProtection="1"/>
    <xf numFmtId="165" fontId="18" fillId="0" borderId="0" xfId="2" applyNumberFormat="1" applyFont="1" applyAlignment="1" applyProtection="1">
      <alignment vertical="center"/>
    </xf>
    <xf numFmtId="165" fontId="10" fillId="0" borderId="0" xfId="2" applyNumberFormat="1" applyFont="1" applyFill="1" applyBorder="1" applyAlignment="1" applyProtection="1">
      <alignment vertical="center"/>
    </xf>
    <xf numFmtId="165" fontId="18" fillId="0" borderId="0" xfId="2" applyNumberFormat="1" applyFont="1" applyFill="1" applyBorder="1" applyAlignment="1" applyProtection="1">
      <alignment vertical="center"/>
    </xf>
    <xf numFmtId="165" fontId="0" fillId="0" borderId="6" xfId="1" applyNumberFormat="1" applyFont="1" applyBorder="1" applyProtection="1"/>
    <xf numFmtId="165" fontId="0" fillId="0" borderId="6" xfId="2" applyNumberFormat="1" applyFont="1" applyBorder="1" applyProtection="1"/>
    <xf numFmtId="165" fontId="0" fillId="0" borderId="6" xfId="2" applyNumberFormat="1" applyFont="1" applyFill="1" applyBorder="1" applyProtection="1"/>
    <xf numFmtId="165" fontId="2" fillId="0" borderId="21" xfId="2" applyNumberFormat="1" applyFont="1" applyBorder="1" applyProtection="1"/>
    <xf numFmtId="165" fontId="2" fillId="0" borderId="0" xfId="2" applyNumberFormat="1" applyFont="1" applyBorder="1" applyProtection="1"/>
    <xf numFmtId="165" fontId="0" fillId="0" borderId="0" xfId="1" applyNumberFormat="1" applyFont="1" applyProtection="1"/>
    <xf numFmtId="165" fontId="2" fillId="0" borderId="25" xfId="2" applyNumberFormat="1" applyFont="1" applyBorder="1" applyProtection="1"/>
    <xf numFmtId="49" fontId="15" fillId="0" borderId="0" xfId="4" applyNumberFormat="1" applyFont="1" applyAlignment="1">
      <alignment horizontal="center"/>
    </xf>
    <xf numFmtId="166" fontId="15" fillId="0" borderId="0" xfId="4" applyFont="1" applyAlignment="1">
      <alignment horizontal="center"/>
    </xf>
    <xf numFmtId="49" fontId="14" fillId="0" borderId="1" xfId="1" quotePrefix="1" applyNumberFormat="1" applyFont="1" applyBorder="1" applyAlignment="1" applyProtection="1">
      <alignment horizontal="center"/>
    </xf>
    <xf numFmtId="0" fontId="13" fillId="0" borderId="3" xfId="0" applyFont="1" applyBorder="1" applyAlignment="1">
      <alignment wrapText="1"/>
    </xf>
    <xf numFmtId="49" fontId="14" fillId="0" borderId="1" xfId="4" quotePrefix="1" applyNumberFormat="1" applyFont="1" applyBorder="1" applyAlignment="1">
      <alignment horizontal="center"/>
    </xf>
    <xf numFmtId="49" fontId="14" fillId="0" borderId="8" xfId="4" quotePrefix="1" applyNumberFormat="1" applyFont="1" applyBorder="1" applyAlignment="1">
      <alignment horizontal="center"/>
    </xf>
    <xf numFmtId="166" fontId="13" fillId="0" borderId="21" xfId="4" applyFont="1" applyBorder="1" applyAlignment="1">
      <alignment wrapText="1"/>
    </xf>
    <xf numFmtId="0" fontId="13" fillId="0" borderId="3" xfId="4" applyNumberFormat="1" applyFont="1" applyBorder="1" applyAlignment="1">
      <alignment wrapText="1"/>
    </xf>
    <xf numFmtId="166" fontId="13" fillId="0" borderId="3" xfId="4" applyFont="1" applyBorder="1" applyAlignment="1">
      <alignment horizontal="left" wrapText="1"/>
    </xf>
    <xf numFmtId="0" fontId="13" fillId="0" borderId="21" xfId="0" applyFont="1" applyBorder="1" applyAlignment="1">
      <alignment wrapText="1"/>
    </xf>
    <xf numFmtId="166" fontId="13" fillId="0" borderId="3" xfId="4" applyFont="1" applyBorder="1" applyAlignment="1">
      <alignment wrapText="1"/>
    </xf>
    <xf numFmtId="0" fontId="13" fillId="0" borderId="21" xfId="0" applyFont="1" applyBorder="1" applyAlignment="1">
      <alignment horizontal="left" wrapText="1"/>
    </xf>
    <xf numFmtId="49" fontId="14" fillId="0" borderId="12" xfId="4" quotePrefix="1" applyNumberFormat="1" applyFont="1" applyBorder="1" applyAlignment="1">
      <alignment horizontal="center"/>
    </xf>
    <xf numFmtId="166" fontId="13" fillId="0" borderId="18" xfId="4" applyFont="1" applyBorder="1" applyAlignment="1">
      <alignment wrapText="1"/>
    </xf>
    <xf numFmtId="49" fontId="14" fillId="0" borderId="5" xfId="4" quotePrefix="1" applyNumberFormat="1" applyFont="1" applyBorder="1" applyAlignment="1">
      <alignment horizontal="center"/>
    </xf>
    <xf numFmtId="166" fontId="13" fillId="0" borderId="6" xfId="4" applyFont="1" applyBorder="1" applyAlignment="1">
      <alignment wrapText="1"/>
    </xf>
    <xf numFmtId="0" fontId="0" fillId="0" borderId="0" xfId="0" applyAlignment="1">
      <alignment horizontal="center"/>
    </xf>
    <xf numFmtId="164" fontId="0" fillId="0" borderId="6" xfId="1" applyNumberFormat="1" applyFont="1" applyFill="1" applyBorder="1" applyProtection="1"/>
    <xf numFmtId="0" fontId="13" fillId="0" borderId="4" xfId="0" applyFont="1" applyFill="1" applyBorder="1" applyAlignment="1" applyProtection="1"/>
    <xf numFmtId="0" fontId="13" fillId="0" borderId="33" xfId="0" applyFont="1" applyFill="1" applyBorder="1" applyAlignment="1" applyProtection="1"/>
    <xf numFmtId="0" fontId="0" fillId="0" borderId="33" xfId="0" applyFont="1" applyFill="1" applyBorder="1" applyAlignment="1">
      <alignment wrapText="1"/>
    </xf>
    <xf numFmtId="0" fontId="0" fillId="0" borderId="0" xfId="0" applyFont="1"/>
    <xf numFmtId="44" fontId="0" fillId="3" borderId="15" xfId="0" applyNumberFormat="1" applyFont="1" applyFill="1" applyBorder="1"/>
    <xf numFmtId="0" fontId="0" fillId="0" borderId="4" xfId="0" applyFont="1" applyFill="1" applyBorder="1" applyAlignment="1">
      <alignment wrapText="1"/>
    </xf>
    <xf numFmtId="44" fontId="0" fillId="3" borderId="14" xfId="0" applyNumberFormat="1" applyFont="1" applyFill="1" applyBorder="1"/>
    <xf numFmtId="49" fontId="8" fillId="0" borderId="0" xfId="0" applyNumberFormat="1" applyFont="1" applyFill="1" applyBorder="1" applyAlignment="1"/>
    <xf numFmtId="0" fontId="0" fillId="0" borderId="0" xfId="0" applyFill="1" applyAlignment="1"/>
    <xf numFmtId="0" fontId="0" fillId="0" borderId="35" xfId="0" applyFont="1" applyFill="1" applyBorder="1" applyAlignment="1">
      <alignment wrapText="1"/>
    </xf>
    <xf numFmtId="0" fontId="0" fillId="0" borderId="7" xfId="0" applyFont="1" applyFill="1" applyBorder="1" applyAlignment="1">
      <alignment wrapText="1"/>
    </xf>
    <xf numFmtId="49" fontId="14" fillId="0" borderId="12" xfId="1" quotePrefix="1" applyNumberFormat="1" applyFont="1" applyBorder="1" applyAlignment="1" applyProtection="1">
      <alignment horizontal="center"/>
    </xf>
    <xf numFmtId="0" fontId="13" fillId="0" borderId="18" xfId="0" applyFont="1" applyBorder="1" applyAlignment="1">
      <alignment wrapText="1"/>
    </xf>
    <xf numFmtId="164" fontId="0" fillId="2" borderId="15" xfId="1" applyNumberFormat="1" applyFont="1" applyFill="1" applyBorder="1" applyProtection="1">
      <protection locked="0"/>
    </xf>
    <xf numFmtId="44" fontId="0" fillId="3" borderId="33" xfId="2" applyFont="1" applyFill="1" applyBorder="1" applyProtection="1"/>
    <xf numFmtId="44" fontId="0" fillId="2" borderId="33" xfId="2" applyFont="1" applyFill="1" applyBorder="1" applyProtection="1">
      <protection locked="0"/>
    </xf>
    <xf numFmtId="44" fontId="0" fillId="3" borderId="35" xfId="2" applyFont="1" applyFill="1" applyBorder="1" applyProtection="1"/>
    <xf numFmtId="44" fontId="0" fillId="3" borderId="33" xfId="2" applyNumberFormat="1" applyFont="1" applyFill="1" applyBorder="1" applyProtection="1"/>
    <xf numFmtId="0" fontId="0" fillId="2" borderId="39" xfId="0" applyFill="1" applyBorder="1" applyProtection="1">
      <protection locked="0"/>
    </xf>
    <xf numFmtId="0" fontId="0" fillId="2" borderId="35" xfId="0" applyFill="1" applyBorder="1" applyProtection="1">
      <protection locked="0"/>
    </xf>
    <xf numFmtId="44" fontId="0" fillId="3" borderId="7" xfId="2" applyFont="1" applyFill="1" applyBorder="1" applyProtection="1"/>
    <xf numFmtId="7" fontId="0" fillId="0" borderId="0" xfId="2" applyNumberFormat="1" applyFont="1" applyProtection="1"/>
    <xf numFmtId="165" fontId="0" fillId="0" borderId="18" xfId="1" applyNumberFormat="1" applyFont="1" applyBorder="1" applyProtection="1"/>
    <xf numFmtId="165" fontId="0" fillId="7" borderId="34" xfId="2" applyNumberFormat="1" applyFont="1" applyFill="1" applyBorder="1" applyProtection="1"/>
    <xf numFmtId="0" fontId="0" fillId="0" borderId="0" xfId="0" applyFont="1" applyBorder="1" applyProtection="1"/>
    <xf numFmtId="0" fontId="0" fillId="0" borderId="0" xfId="0" applyFont="1" applyFill="1" applyProtection="1"/>
    <xf numFmtId="0" fontId="0" fillId="0" borderId="0" xfId="0" applyFont="1" applyProtection="1"/>
    <xf numFmtId="0" fontId="0" fillId="0" borderId="0" xfId="0" applyFont="1" applyFill="1" applyBorder="1" applyProtection="1"/>
    <xf numFmtId="0" fontId="0" fillId="0" borderId="0" xfId="0" applyFont="1" applyBorder="1" applyAlignment="1" applyProtection="1">
      <alignment horizontal="left"/>
    </xf>
    <xf numFmtId="0" fontId="0" fillId="0" borderId="0" xfId="0" applyFont="1" applyBorder="1" applyAlignment="1" applyProtection="1">
      <alignment horizontal="left" vertical="center"/>
    </xf>
    <xf numFmtId="0" fontId="0" fillId="0" borderId="0" xfId="0" applyFont="1" applyFill="1" applyAlignment="1" applyProtection="1">
      <alignment horizontal="left" vertical="center"/>
    </xf>
    <xf numFmtId="0" fontId="0" fillId="0" borderId="0" xfId="0" applyFont="1" applyAlignment="1" applyProtection="1">
      <alignment horizontal="left" vertical="center"/>
    </xf>
    <xf numFmtId="44" fontId="0" fillId="3" borderId="15" xfId="2" applyFont="1" applyFill="1" applyBorder="1" applyProtection="1"/>
    <xf numFmtId="2" fontId="0" fillId="0" borderId="4" xfId="0" applyNumberFormat="1" applyBorder="1" applyProtection="1"/>
    <xf numFmtId="0" fontId="0" fillId="0" borderId="4" xfId="0" applyNumberFormat="1" applyBorder="1" applyProtection="1"/>
    <xf numFmtId="0" fontId="13" fillId="0" borderId="4" xfId="0" applyFont="1" applyFill="1" applyBorder="1" applyProtection="1"/>
    <xf numFmtId="0" fontId="13" fillId="0" borderId="33" xfId="0" applyFont="1" applyFill="1" applyBorder="1" applyProtection="1"/>
    <xf numFmtId="0" fontId="0" fillId="0" borderId="7" xfId="0" applyFont="1" applyFill="1" applyBorder="1" applyProtection="1"/>
    <xf numFmtId="0" fontId="2" fillId="9" borderId="27" xfId="0" applyFont="1" applyFill="1" applyBorder="1" applyAlignment="1" applyProtection="1">
      <alignment horizontal="left" vertical="center"/>
    </xf>
    <xf numFmtId="0" fontId="13" fillId="0" borderId="10" xfId="0" applyFont="1" applyFill="1" applyBorder="1" applyAlignment="1" applyProtection="1"/>
    <xf numFmtId="164" fontId="0" fillId="3" borderId="10" xfId="1" applyNumberFormat="1" applyFont="1" applyFill="1" applyBorder="1" applyProtection="1"/>
    <xf numFmtId="164" fontId="0" fillId="3" borderId="11" xfId="1" applyNumberFormat="1" applyFont="1" applyFill="1" applyBorder="1" applyProtection="1"/>
    <xf numFmtId="44" fontId="0" fillId="3" borderId="37" xfId="0" applyNumberFormat="1" applyFont="1" applyFill="1" applyBorder="1"/>
    <xf numFmtId="44" fontId="3" fillId="0" borderId="0" xfId="2" applyFont="1" applyProtection="1"/>
    <xf numFmtId="44" fontId="3" fillId="0" borderId="0" xfId="0" applyNumberFormat="1" applyFont="1" applyFill="1" applyProtection="1"/>
    <xf numFmtId="165" fontId="3" fillId="0" borderId="0" xfId="2" applyNumberFormat="1" applyFont="1" applyProtection="1"/>
    <xf numFmtId="0" fontId="10" fillId="0" borderId="3" xfId="0" applyFont="1" applyBorder="1" applyAlignment="1" applyProtection="1">
      <alignment horizontal="left" vertical="center" wrapText="1"/>
    </xf>
    <xf numFmtId="164" fontId="0" fillId="0" borderId="12" xfId="1" applyNumberFormat="1" applyFont="1" applyBorder="1" applyAlignment="1" applyProtection="1">
      <alignment horizontal="center" wrapText="1"/>
    </xf>
    <xf numFmtId="44" fontId="0" fillId="0" borderId="13" xfId="2" applyFont="1" applyBorder="1" applyAlignment="1" applyProtection="1">
      <alignment horizontal="center" wrapText="1"/>
    </xf>
    <xf numFmtId="10" fontId="0" fillId="2" borderId="40" xfId="2" applyNumberFormat="1" applyFont="1" applyFill="1" applyBorder="1" applyAlignment="1" applyProtection="1">
      <alignment horizontal="center" wrapText="1"/>
      <protection locked="0"/>
    </xf>
    <xf numFmtId="44" fontId="0" fillId="0" borderId="13" xfId="2" applyFont="1" applyBorder="1" applyProtection="1"/>
    <xf numFmtId="0" fontId="0" fillId="2" borderId="42" xfId="0" applyFill="1" applyBorder="1" applyProtection="1">
      <protection locked="0"/>
    </xf>
    <xf numFmtId="0" fontId="0" fillId="2" borderId="43" xfId="0" applyFill="1" applyBorder="1" applyProtection="1">
      <protection locked="0"/>
    </xf>
    <xf numFmtId="164" fontId="0" fillId="2" borderId="14" xfId="1" applyNumberFormat="1" applyFont="1" applyFill="1" applyBorder="1" applyProtection="1">
      <protection locked="0"/>
    </xf>
    <xf numFmtId="44" fontId="0" fillId="3" borderId="14" xfId="2" applyFont="1" applyFill="1" applyBorder="1" applyProtection="1"/>
    <xf numFmtId="0" fontId="0" fillId="0" borderId="10" xfId="0" applyFont="1" applyFill="1" applyBorder="1" applyAlignment="1">
      <alignment wrapText="1"/>
    </xf>
    <xf numFmtId="0" fontId="0" fillId="0" borderId="11" xfId="0" applyFont="1" applyFill="1" applyBorder="1" applyAlignment="1">
      <alignment wrapText="1"/>
    </xf>
    <xf numFmtId="0" fontId="3" fillId="9" borderId="5" xfId="0" applyFont="1" applyFill="1" applyBorder="1" applyAlignment="1">
      <alignment horizontal="center"/>
    </xf>
    <xf numFmtId="0" fontId="3" fillId="9" borderId="0" xfId="0" applyFont="1" applyFill="1" applyBorder="1" applyAlignment="1">
      <alignment horizontal="center"/>
    </xf>
    <xf numFmtId="0" fontId="3" fillId="9" borderId="6" xfId="0" applyFont="1" applyFill="1" applyBorder="1" applyAlignment="1">
      <alignment horizontal="center"/>
    </xf>
    <xf numFmtId="44" fontId="0" fillId="3" borderId="4" xfId="0" applyNumberFormat="1" applyFont="1" applyFill="1" applyBorder="1"/>
    <xf numFmtId="44" fontId="0" fillId="3" borderId="33" xfId="0" applyNumberFormat="1" applyFont="1" applyFill="1" applyBorder="1"/>
    <xf numFmtId="44" fontId="0" fillId="3" borderId="35" xfId="0" applyNumberFormat="1" applyFont="1" applyFill="1" applyBorder="1"/>
    <xf numFmtId="44" fontId="0" fillId="3" borderId="7" xfId="0" applyNumberFormat="1" applyFont="1" applyFill="1" applyBorder="1"/>
    <xf numFmtId="44" fontId="0" fillId="3" borderId="10" xfId="0" applyNumberFormat="1" applyFont="1" applyFill="1" applyBorder="1"/>
    <xf numFmtId="44" fontId="0" fillId="3" borderId="11" xfId="0" applyNumberFormat="1" applyFont="1" applyFill="1" applyBorder="1"/>
    <xf numFmtId="165" fontId="0" fillId="7" borderId="26" xfId="2" applyNumberFormat="1" applyFont="1" applyFill="1" applyBorder="1" applyProtection="1"/>
    <xf numFmtId="9" fontId="0" fillId="2" borderId="4" xfId="3" applyFont="1" applyFill="1" applyBorder="1" applyProtection="1">
      <protection locked="0"/>
    </xf>
    <xf numFmtId="164" fontId="0" fillId="2" borderId="44" xfId="1" applyNumberFormat="1" applyFont="1" applyFill="1" applyBorder="1" applyProtection="1">
      <protection locked="0"/>
    </xf>
    <xf numFmtId="0" fontId="0" fillId="2" borderId="45" xfId="0" applyFill="1" applyBorder="1" applyProtection="1">
      <protection locked="0"/>
    </xf>
    <xf numFmtId="44" fontId="0" fillId="3" borderId="10" xfId="2" applyFont="1" applyFill="1" applyBorder="1" applyProtection="1"/>
    <xf numFmtId="44" fontId="0" fillId="2" borderId="10" xfId="2" applyFont="1" applyFill="1" applyBorder="1" applyProtection="1">
      <protection locked="0"/>
    </xf>
    <xf numFmtId="44" fontId="0" fillId="3" borderId="11" xfId="2" applyFont="1" applyFill="1" applyBorder="1" applyProtection="1"/>
    <xf numFmtId="164" fontId="0" fillId="2" borderId="37" xfId="1" applyNumberFormat="1" applyFont="1" applyFill="1" applyBorder="1" applyProtection="1">
      <protection locked="0"/>
    </xf>
    <xf numFmtId="0" fontId="0" fillId="2" borderId="11" xfId="0" applyFill="1" applyBorder="1" applyProtection="1">
      <protection locked="0"/>
    </xf>
    <xf numFmtId="44" fontId="0" fillId="3" borderId="37" xfId="2" applyFont="1" applyFill="1" applyBorder="1" applyProtection="1"/>
    <xf numFmtId="44" fontId="0" fillId="3" borderId="10" xfId="2" applyNumberFormat="1" applyFont="1" applyFill="1" applyBorder="1" applyProtection="1"/>
    <xf numFmtId="0" fontId="22" fillId="0" borderId="0" xfId="0" applyFont="1"/>
    <xf numFmtId="9" fontId="22" fillId="0" borderId="0" xfId="3" applyFont="1" applyAlignment="1">
      <alignment horizontal="left"/>
    </xf>
    <xf numFmtId="165" fontId="0" fillId="0" borderId="13" xfId="2" applyNumberFormat="1" applyFont="1" applyBorder="1" applyProtection="1"/>
    <xf numFmtId="44" fontId="0" fillId="0" borderId="18" xfId="2" applyFont="1" applyBorder="1" applyProtection="1"/>
    <xf numFmtId="0" fontId="0" fillId="2" borderId="46" xfId="0" applyFill="1" applyBorder="1" applyProtection="1">
      <protection locked="0"/>
    </xf>
    <xf numFmtId="0" fontId="0" fillId="0" borderId="12" xfId="0" applyBorder="1" applyAlignment="1" applyProtection="1">
      <alignment horizontal="center"/>
    </xf>
    <xf numFmtId="0" fontId="0" fillId="0" borderId="13" xfId="0" applyBorder="1" applyAlignment="1" applyProtection="1">
      <alignment horizontal="center"/>
    </xf>
    <xf numFmtId="0" fontId="0" fillId="0" borderId="18" xfId="0" applyBorder="1" applyAlignment="1" applyProtection="1">
      <alignment horizontal="center"/>
    </xf>
    <xf numFmtId="9" fontId="0" fillId="0" borderId="0" xfId="3" applyFont="1" applyProtection="1"/>
    <xf numFmtId="164" fontId="20" fillId="0" borderId="0" xfId="1" applyNumberFormat="1" applyFont="1" applyProtection="1"/>
    <xf numFmtId="0" fontId="0" fillId="0" borderId="0" xfId="3" applyNumberFormat="1" applyFont="1" applyProtection="1"/>
    <xf numFmtId="44" fontId="20" fillId="0" borderId="0" xfId="2" applyFont="1" applyProtection="1"/>
    <xf numFmtId="0" fontId="13" fillId="0" borderId="16" xfId="0" applyFont="1" applyFill="1" applyBorder="1" applyAlignment="1" applyProtection="1"/>
    <xf numFmtId="164" fontId="0" fillId="3" borderId="16" xfId="1" applyNumberFormat="1" applyFont="1" applyFill="1" applyBorder="1" applyProtection="1"/>
    <xf numFmtId="164" fontId="0" fillId="3" borderId="17" xfId="1" applyNumberFormat="1" applyFont="1" applyFill="1" applyBorder="1" applyProtection="1"/>
    <xf numFmtId="0" fontId="0" fillId="0" borderId="2" xfId="0" applyBorder="1" applyProtection="1"/>
    <xf numFmtId="164" fontId="0" fillId="0" borderId="2" xfId="1" applyNumberFormat="1" applyFont="1" applyBorder="1" applyAlignment="1" applyProtection="1">
      <alignment vertical="center"/>
    </xf>
    <xf numFmtId="164" fontId="0" fillId="0" borderId="3" xfId="1" applyNumberFormat="1" applyFont="1" applyBorder="1" applyAlignment="1" applyProtection="1">
      <alignment horizontal="center" wrapText="1"/>
    </xf>
    <xf numFmtId="0" fontId="4" fillId="0" borderId="47" xfId="0" applyFont="1" applyBorder="1" applyProtection="1"/>
    <xf numFmtId="44" fontId="2" fillId="0" borderId="13" xfId="2" applyFont="1" applyBorder="1" applyAlignment="1" applyProtection="1">
      <alignment horizontal="right"/>
    </xf>
    <xf numFmtId="164" fontId="0" fillId="2" borderId="48" xfId="1" applyNumberFormat="1" applyFont="1" applyFill="1" applyBorder="1" applyProtection="1">
      <protection locked="0"/>
    </xf>
    <xf numFmtId="44" fontId="0" fillId="3" borderId="49" xfId="2" applyFont="1" applyFill="1" applyBorder="1" applyProtection="1"/>
    <xf numFmtId="44" fontId="13" fillId="12" borderId="2" xfId="2" applyFont="1" applyFill="1" applyBorder="1" applyProtection="1"/>
    <xf numFmtId="44" fontId="0" fillId="12" borderId="2" xfId="2" applyFont="1" applyFill="1" applyBorder="1" applyProtection="1"/>
    <xf numFmtId="44" fontId="0" fillId="12" borderId="3" xfId="2" applyFont="1" applyFill="1" applyBorder="1" applyProtection="1"/>
    <xf numFmtId="0" fontId="0" fillId="2" borderId="51" xfId="0" applyFill="1" applyBorder="1" applyProtection="1">
      <protection locked="0"/>
    </xf>
    <xf numFmtId="44" fontId="0" fillId="3" borderId="50" xfId="2" applyFont="1" applyFill="1" applyBorder="1" applyProtection="1"/>
    <xf numFmtId="44" fontId="0" fillId="3" borderId="38" xfId="2" applyNumberFormat="1" applyFont="1" applyFill="1" applyBorder="1" applyProtection="1"/>
    <xf numFmtId="0" fontId="0" fillId="2" borderId="52" xfId="0" applyFill="1" applyBorder="1" applyProtection="1">
      <protection locked="0"/>
    </xf>
    <xf numFmtId="44" fontId="0" fillId="3" borderId="19" xfId="2" applyFont="1" applyFill="1" applyBorder="1" applyProtection="1"/>
    <xf numFmtId="44" fontId="0" fillId="3" borderId="16" xfId="2" applyNumberFormat="1" applyFont="1" applyFill="1" applyBorder="1" applyProtection="1"/>
    <xf numFmtId="0" fontId="13" fillId="0" borderId="35" xfId="0" applyFont="1" applyFill="1" applyBorder="1" applyProtection="1"/>
    <xf numFmtId="0" fontId="13" fillId="0" borderId="7" xfId="0" applyFont="1" applyFill="1" applyBorder="1" applyProtection="1"/>
    <xf numFmtId="0" fontId="0" fillId="0" borderId="11" xfId="0" applyFont="1" applyFill="1" applyBorder="1" applyProtection="1"/>
    <xf numFmtId="164" fontId="0" fillId="0" borderId="13" xfId="1" applyNumberFormat="1" applyFont="1" applyBorder="1" applyAlignment="1" applyProtection="1">
      <alignment horizontal="center" wrapText="1"/>
    </xf>
    <xf numFmtId="0" fontId="0" fillId="0" borderId="0" xfId="0" applyFill="1"/>
    <xf numFmtId="0" fontId="3" fillId="0" borderId="1" xfId="0" applyFont="1" applyFill="1" applyBorder="1" applyAlignment="1">
      <alignment horizontal="center"/>
    </xf>
    <xf numFmtId="0" fontId="3" fillId="0" borderId="2" xfId="0" applyFont="1" applyFill="1" applyBorder="1" applyAlignment="1">
      <alignment horizontal="center"/>
    </xf>
    <xf numFmtId="0" fontId="3" fillId="0" borderId="3" xfId="0" applyFont="1" applyFill="1" applyBorder="1" applyAlignment="1">
      <alignment horizontal="center"/>
    </xf>
    <xf numFmtId="44" fontId="0" fillId="3" borderId="19" xfId="0" applyNumberFormat="1" applyFont="1" applyFill="1" applyBorder="1"/>
    <xf numFmtId="44" fontId="0" fillId="3" borderId="16" xfId="0" applyNumberFormat="1" applyFont="1" applyFill="1" applyBorder="1"/>
    <xf numFmtId="44" fontId="13" fillId="3" borderId="4" xfId="2" applyFont="1" applyFill="1" applyBorder="1" applyProtection="1"/>
    <xf numFmtId="9" fontId="0" fillId="0" borderId="0" xfId="3" applyFont="1" applyFill="1" applyProtection="1"/>
    <xf numFmtId="44" fontId="1" fillId="3" borderId="4" xfId="2" applyFont="1" applyFill="1" applyBorder="1" applyProtection="1"/>
    <xf numFmtId="44" fontId="1" fillId="3" borderId="16" xfId="2" applyFont="1" applyFill="1" applyBorder="1" applyProtection="1"/>
    <xf numFmtId="44" fontId="1" fillId="3" borderId="33" xfId="2" applyFont="1" applyFill="1" applyBorder="1" applyProtection="1"/>
    <xf numFmtId="0" fontId="2" fillId="0" borderId="19" xfId="0" applyFont="1" applyFill="1" applyBorder="1" applyProtection="1"/>
    <xf numFmtId="164" fontId="2" fillId="0" borderId="16" xfId="1" applyNumberFormat="1" applyFont="1" applyFill="1" applyBorder="1" applyProtection="1"/>
    <xf numFmtId="164" fontId="2" fillId="0" borderId="17" xfId="1" applyNumberFormat="1" applyFont="1" applyFill="1" applyBorder="1" applyProtection="1"/>
    <xf numFmtId="44" fontId="0" fillId="3" borderId="29" xfId="2" applyFont="1" applyFill="1" applyBorder="1" applyProtection="1"/>
    <xf numFmtId="0" fontId="0" fillId="0" borderId="4" xfId="0" applyNumberFormat="1" applyFont="1" applyBorder="1" applyAlignment="1"/>
    <xf numFmtId="0" fontId="0" fillId="0" borderId="33" xfId="0" applyNumberFormat="1" applyFont="1" applyBorder="1" applyAlignment="1"/>
    <xf numFmtId="0" fontId="0" fillId="0" borderId="35" xfId="0" applyNumberFormat="1" applyFont="1" applyBorder="1" applyAlignment="1"/>
    <xf numFmtId="0" fontId="0" fillId="0" borderId="7" xfId="0" applyNumberFormat="1" applyFont="1" applyBorder="1" applyAlignment="1"/>
    <xf numFmtId="0" fontId="0" fillId="0" borderId="10" xfId="0" applyNumberFormat="1" applyFont="1" applyBorder="1" applyAlignment="1"/>
    <xf numFmtId="0" fontId="0" fillId="0" borderId="11" xfId="0" applyNumberFormat="1" applyFont="1" applyBorder="1" applyAlignment="1"/>
    <xf numFmtId="44" fontId="0" fillId="12" borderId="8" xfId="2" applyFont="1" applyFill="1" applyBorder="1" applyProtection="1"/>
    <xf numFmtId="44" fontId="0" fillId="12" borderId="9" xfId="2" applyNumberFormat="1" applyFont="1" applyFill="1" applyBorder="1" applyProtection="1"/>
    <xf numFmtId="44" fontId="0" fillId="12" borderId="21" xfId="2" applyFont="1" applyFill="1" applyBorder="1" applyProtection="1"/>
    <xf numFmtId="44" fontId="0" fillId="12" borderId="9" xfId="2" applyFont="1" applyFill="1" applyBorder="1" applyProtection="1"/>
    <xf numFmtId="0" fontId="0" fillId="0" borderId="13" xfId="0" applyBorder="1" applyAlignment="1" applyProtection="1">
      <alignment horizontal="center" wrapText="1"/>
    </xf>
    <xf numFmtId="0" fontId="0" fillId="0" borderId="18" xfId="0" applyBorder="1" applyAlignment="1" applyProtection="1">
      <alignment horizontal="center" wrapText="1"/>
    </xf>
    <xf numFmtId="44" fontId="0" fillId="12" borderId="13" xfId="2" applyFont="1" applyFill="1" applyBorder="1" applyProtection="1"/>
    <xf numFmtId="0" fontId="3" fillId="0" borderId="9" xfId="0" applyFont="1" applyFill="1" applyBorder="1" applyAlignment="1">
      <alignment horizontal="center"/>
    </xf>
    <xf numFmtId="0" fontId="3" fillId="9" borderId="37" xfId="0" applyFont="1" applyFill="1" applyBorder="1" applyAlignment="1">
      <alignment horizontal="center"/>
    </xf>
    <xf numFmtId="0" fontId="3" fillId="9" borderId="10" xfId="0" applyFont="1" applyFill="1" applyBorder="1" applyAlignment="1">
      <alignment horizontal="center"/>
    </xf>
    <xf numFmtId="0" fontId="25" fillId="9" borderId="11" xfId="0" applyFont="1" applyFill="1" applyBorder="1" applyAlignment="1">
      <alignment horizontal="center" wrapText="1"/>
    </xf>
    <xf numFmtId="0" fontId="25" fillId="0" borderId="21" xfId="0" applyFont="1" applyFill="1" applyBorder="1" applyAlignment="1">
      <alignment horizontal="center"/>
    </xf>
    <xf numFmtId="0" fontId="24" fillId="5" borderId="1" xfId="0" applyFont="1" applyFill="1" applyBorder="1" applyAlignment="1">
      <alignment horizontal="centerContinuous"/>
    </xf>
    <xf numFmtId="0" fontId="22" fillId="5" borderId="2" xfId="0" applyFont="1" applyFill="1" applyBorder="1" applyAlignment="1">
      <alignment horizontal="centerContinuous"/>
    </xf>
    <xf numFmtId="9" fontId="22" fillId="5" borderId="2" xfId="3" applyFont="1" applyFill="1" applyBorder="1" applyAlignment="1">
      <alignment horizontal="centerContinuous"/>
    </xf>
    <xf numFmtId="0" fontId="0" fillId="5" borderId="2" xfId="0" applyFill="1" applyBorder="1" applyAlignment="1">
      <alignment horizontal="centerContinuous"/>
    </xf>
    <xf numFmtId="0" fontId="0" fillId="5" borderId="3" xfId="0" applyFill="1" applyBorder="1" applyAlignment="1">
      <alignment horizontal="centerContinuous"/>
    </xf>
    <xf numFmtId="0" fontId="24" fillId="6" borderId="1" xfId="0" applyFont="1" applyFill="1" applyBorder="1" applyAlignment="1">
      <alignment horizontal="centerContinuous"/>
    </xf>
    <xf numFmtId="0" fontId="22" fillId="6" borderId="2" xfId="0" applyFont="1" applyFill="1" applyBorder="1" applyAlignment="1">
      <alignment horizontal="centerContinuous"/>
    </xf>
    <xf numFmtId="9" fontId="22" fillId="6" borderId="2" xfId="3" applyFont="1" applyFill="1" applyBorder="1" applyAlignment="1">
      <alignment horizontal="centerContinuous"/>
    </xf>
    <xf numFmtId="0" fontId="0" fillId="6" borderId="2" xfId="0" applyFill="1" applyBorder="1" applyAlignment="1">
      <alignment horizontal="centerContinuous"/>
    </xf>
    <xf numFmtId="0" fontId="0" fillId="6" borderId="3" xfId="0" applyFill="1" applyBorder="1" applyAlignment="1">
      <alignment horizontal="centerContinuous"/>
    </xf>
    <xf numFmtId="0" fontId="19" fillId="0" borderId="8" xfId="0" applyFont="1" applyFill="1" applyBorder="1" applyAlignment="1">
      <alignment horizontal="center"/>
    </xf>
    <xf numFmtId="0" fontId="3" fillId="0" borderId="13" xfId="0" applyFont="1" applyFill="1" applyBorder="1" applyAlignment="1">
      <alignment horizontal="center"/>
    </xf>
    <xf numFmtId="44" fontId="0" fillId="3" borderId="44" xfId="0" applyNumberFormat="1" applyFont="1" applyFill="1" applyBorder="1"/>
    <xf numFmtId="44" fontId="0" fillId="3" borderId="29" xfId="0" applyNumberFormat="1" applyFont="1" applyFill="1" applyBorder="1"/>
    <xf numFmtId="44" fontId="0" fillId="0" borderId="0" xfId="0" applyNumberFormat="1" applyFill="1" applyProtection="1"/>
    <xf numFmtId="164" fontId="0" fillId="0" borderId="0" xfId="1" applyNumberFormat="1" applyFont="1" applyAlignment="1" applyProtection="1">
      <alignment horizontal="center"/>
    </xf>
    <xf numFmtId="0" fontId="11" fillId="2" borderId="4" xfId="0" applyFont="1" applyFill="1" applyBorder="1" applyAlignment="1" applyProtection="1">
      <alignment wrapText="1"/>
      <protection locked="0"/>
    </xf>
    <xf numFmtId="44" fontId="8" fillId="2" borderId="4" xfId="2" applyNumberFormat="1" applyFont="1" applyFill="1" applyBorder="1" applyAlignment="1" applyProtection="1">
      <alignment wrapText="1"/>
      <protection locked="0"/>
    </xf>
    <xf numFmtId="0" fontId="0" fillId="0" borderId="0" xfId="0" applyAlignment="1">
      <alignment wrapText="1"/>
    </xf>
    <xf numFmtId="0" fontId="13" fillId="0" borderId="20" xfId="0" applyFont="1" applyFill="1" applyBorder="1" applyAlignment="1" applyProtection="1"/>
    <xf numFmtId="0" fontId="13" fillId="0" borderId="45" xfId="0" applyFont="1" applyFill="1" applyBorder="1" applyAlignment="1" applyProtection="1"/>
    <xf numFmtId="44" fontId="0" fillId="13" borderId="7" xfId="0" applyNumberFormat="1" applyFont="1" applyFill="1" applyBorder="1"/>
    <xf numFmtId="44" fontId="0" fillId="13" borderId="11" xfId="0" applyNumberFormat="1" applyFont="1" applyFill="1" applyBorder="1"/>
    <xf numFmtId="49" fontId="14" fillId="0" borderId="8" xfId="4" applyNumberFormat="1" applyFont="1" applyBorder="1" applyAlignment="1">
      <alignment horizontal="center"/>
    </xf>
    <xf numFmtId="0" fontId="4" fillId="0" borderId="55" xfId="0" applyFont="1" applyBorder="1" applyProtection="1"/>
    <xf numFmtId="0" fontId="2" fillId="0" borderId="2" xfId="0" applyFont="1" applyBorder="1" applyProtection="1"/>
    <xf numFmtId="0" fontId="13" fillId="0" borderId="42" xfId="0" quotePrefix="1" applyFont="1" applyFill="1" applyBorder="1" applyAlignment="1" applyProtection="1"/>
    <xf numFmtId="0" fontId="13" fillId="0" borderId="56" xfId="0" quotePrefix="1" applyFont="1" applyFill="1" applyBorder="1" applyAlignment="1" applyProtection="1"/>
    <xf numFmtId="0" fontId="13" fillId="0" borderId="43" xfId="0" quotePrefix="1" applyFont="1" applyFill="1" applyBorder="1" applyAlignment="1" applyProtection="1"/>
    <xf numFmtId="0" fontId="13" fillId="0" borderId="57" xfId="0" quotePrefix="1" applyFont="1" applyFill="1" applyBorder="1" applyAlignment="1" applyProtection="1"/>
    <xf numFmtId="0" fontId="13" fillId="0" borderId="53" xfId="0" quotePrefix="1" applyFont="1" applyFill="1" applyBorder="1" applyAlignment="1" applyProtection="1"/>
    <xf numFmtId="0" fontId="13" fillId="0" borderId="23" xfId="0" applyFont="1" applyFill="1" applyBorder="1" applyAlignment="1" applyProtection="1"/>
    <xf numFmtId="164" fontId="0" fillId="3" borderId="23" xfId="1" applyNumberFormat="1" applyFont="1" applyFill="1" applyBorder="1" applyProtection="1"/>
    <xf numFmtId="164" fontId="0" fillId="3" borderId="24" xfId="1" applyNumberFormat="1" applyFont="1" applyFill="1" applyBorder="1" applyProtection="1"/>
    <xf numFmtId="44" fontId="1" fillId="3" borderId="10" xfId="2" applyFont="1" applyFill="1" applyBorder="1" applyProtection="1"/>
    <xf numFmtId="164" fontId="0" fillId="2" borderId="22" xfId="1" applyNumberFormat="1" applyFont="1" applyFill="1" applyBorder="1" applyProtection="1">
      <protection locked="0"/>
    </xf>
    <xf numFmtId="44" fontId="1" fillId="3" borderId="23" xfId="2" applyFont="1" applyFill="1" applyBorder="1" applyProtection="1"/>
    <xf numFmtId="44" fontId="0" fillId="3" borderId="23" xfId="2" applyFont="1" applyFill="1" applyBorder="1" applyProtection="1"/>
    <xf numFmtId="44" fontId="0" fillId="3" borderId="24" xfId="2" applyFont="1" applyFill="1" applyBorder="1" applyProtection="1"/>
    <xf numFmtId="164" fontId="0" fillId="2" borderId="47" xfId="1" applyNumberFormat="1" applyFont="1" applyFill="1" applyBorder="1" applyProtection="1">
      <protection locked="0"/>
    </xf>
    <xf numFmtId="44" fontId="13" fillId="3" borderId="40" xfId="2" applyFont="1" applyFill="1" applyBorder="1" applyProtection="1"/>
    <xf numFmtId="44" fontId="0" fillId="3" borderId="40" xfId="2" applyFont="1" applyFill="1" applyBorder="1" applyProtection="1"/>
    <xf numFmtId="44" fontId="0" fillId="3" borderId="40" xfId="2" applyNumberFormat="1" applyFont="1" applyFill="1" applyBorder="1" applyProtection="1"/>
    <xf numFmtId="44" fontId="0" fillId="3" borderId="41" xfId="2" applyFont="1" applyFill="1" applyBorder="1" applyProtection="1"/>
    <xf numFmtId="0" fontId="13" fillId="0" borderId="22" xfId="0" quotePrefix="1" applyFont="1" applyFill="1" applyBorder="1" applyAlignment="1" applyProtection="1">
      <alignment horizontal="center"/>
    </xf>
    <xf numFmtId="0" fontId="2" fillId="0" borderId="40" xfId="0" applyFont="1" applyBorder="1" applyProtection="1"/>
    <xf numFmtId="164" fontId="2" fillId="0" borderId="40" xfId="1" applyNumberFormat="1" applyFont="1" applyBorder="1" applyAlignment="1" applyProtection="1">
      <alignment horizontal="center" wrapText="1"/>
    </xf>
    <xf numFmtId="164" fontId="2" fillId="0" borderId="41" xfId="1" applyNumberFormat="1" applyFont="1" applyBorder="1" applyAlignment="1" applyProtection="1">
      <alignment horizontal="center" wrapText="1"/>
    </xf>
    <xf numFmtId="164" fontId="2" fillId="0" borderId="0" xfId="1" applyNumberFormat="1" applyFont="1" applyFill="1" applyBorder="1" applyAlignment="1" applyProtection="1">
      <alignment horizontal="center" wrapText="1"/>
    </xf>
    <xf numFmtId="164" fontId="2" fillId="0" borderId="22" xfId="1" applyNumberFormat="1" applyFont="1" applyBorder="1" applyAlignment="1" applyProtection="1">
      <alignment horizontal="center" wrapText="1"/>
    </xf>
    <xf numFmtId="164" fontId="2" fillId="0" borderId="53" xfId="1" applyNumberFormat="1" applyFont="1" applyBorder="1" applyAlignment="1" applyProtection="1">
      <alignment horizontal="center" wrapText="1"/>
    </xf>
    <xf numFmtId="44" fontId="2" fillId="0" borderId="23" xfId="2" applyFont="1" applyBorder="1" applyAlignment="1" applyProtection="1">
      <alignment horizontal="center" wrapText="1"/>
    </xf>
    <xf numFmtId="44" fontId="2" fillId="0" borderId="23" xfId="2" applyFont="1" applyBorder="1" applyAlignment="1" applyProtection="1">
      <alignment horizontal="center"/>
    </xf>
    <xf numFmtId="165" fontId="2" fillId="0" borderId="23" xfId="2" applyNumberFormat="1" applyFont="1" applyBorder="1" applyProtection="1"/>
    <xf numFmtId="44" fontId="2" fillId="0" borderId="23" xfId="2" applyFont="1" applyBorder="1" applyProtection="1"/>
    <xf numFmtId="44" fontId="2" fillId="0" borderId="24" xfId="2" applyFont="1" applyBorder="1" applyProtection="1"/>
    <xf numFmtId="0" fontId="2" fillId="0" borderId="0" xfId="0" applyFont="1" applyProtection="1"/>
    <xf numFmtId="0" fontId="2" fillId="0" borderId="23" xfId="0" applyFont="1" applyBorder="1" applyAlignment="1" applyProtection="1">
      <alignment horizontal="center" wrapText="1"/>
    </xf>
    <xf numFmtId="0" fontId="2" fillId="0" borderId="24" xfId="0" applyFont="1" applyBorder="1" applyAlignment="1" applyProtection="1">
      <alignment horizontal="center" wrapText="1"/>
    </xf>
    <xf numFmtId="0" fontId="13" fillId="0" borderId="44" xfId="0" quotePrefix="1" applyFont="1" applyFill="1" applyBorder="1" applyAlignment="1" applyProtection="1">
      <alignment horizontal="center"/>
    </xf>
    <xf numFmtId="0" fontId="13" fillId="0" borderId="29" xfId="0" applyFont="1" applyFill="1" applyBorder="1" applyAlignment="1" applyProtection="1"/>
    <xf numFmtId="0" fontId="13" fillId="0" borderId="46" xfId="0" quotePrefix="1" applyFont="1" applyFill="1" applyBorder="1" applyAlignment="1" applyProtection="1"/>
    <xf numFmtId="44" fontId="1" fillId="3" borderId="58" xfId="2" applyFont="1" applyFill="1" applyBorder="1" applyProtection="1"/>
    <xf numFmtId="44" fontId="0" fillId="3" borderId="58" xfId="2" applyFont="1" applyFill="1" applyBorder="1" applyProtection="1"/>
    <xf numFmtId="44" fontId="0" fillId="3" borderId="59" xfId="2" applyFont="1" applyFill="1" applyBorder="1" applyProtection="1"/>
    <xf numFmtId="44" fontId="1" fillId="3" borderId="29" xfId="2" applyFont="1" applyFill="1" applyBorder="1" applyProtection="1"/>
    <xf numFmtId="0" fontId="0" fillId="0" borderId="13" xfId="0" applyBorder="1" applyProtection="1"/>
    <xf numFmtId="0" fontId="0" fillId="0" borderId="9" xfId="0" applyBorder="1" applyProtection="1"/>
    <xf numFmtId="0" fontId="13" fillId="0" borderId="60" xfId="0" quotePrefix="1" applyFont="1" applyFill="1" applyBorder="1" applyAlignment="1" applyProtection="1"/>
    <xf numFmtId="0" fontId="13" fillId="0" borderId="38" xfId="0" applyFont="1" applyFill="1" applyBorder="1" applyAlignment="1" applyProtection="1"/>
    <xf numFmtId="164" fontId="0" fillId="3" borderId="38" xfId="1" applyNumberFormat="1" applyFont="1" applyFill="1" applyBorder="1" applyProtection="1"/>
    <xf numFmtId="164" fontId="0" fillId="3" borderId="49" xfId="1" applyNumberFormat="1" applyFont="1" applyFill="1" applyBorder="1" applyProtection="1"/>
    <xf numFmtId="0" fontId="13" fillId="0" borderId="4" xfId="0" quotePrefix="1" applyFont="1" applyFill="1" applyBorder="1" applyAlignment="1" applyProtection="1"/>
    <xf numFmtId="0" fontId="13" fillId="0" borderId="33" xfId="0" quotePrefix="1" applyFont="1" applyFill="1" applyBorder="1" applyAlignment="1" applyProtection="1"/>
    <xf numFmtId="0" fontId="13" fillId="0" borderId="10" xfId="0" quotePrefix="1" applyFont="1" applyFill="1" applyBorder="1" applyAlignment="1" applyProtection="1"/>
    <xf numFmtId="0" fontId="2" fillId="0" borderId="50" xfId="0" applyFont="1" applyFill="1" applyBorder="1" applyProtection="1"/>
    <xf numFmtId="164" fontId="2" fillId="0" borderId="38" xfId="1" applyNumberFormat="1" applyFont="1" applyFill="1" applyBorder="1" applyProtection="1"/>
    <xf numFmtId="164" fontId="2" fillId="0" borderId="49" xfId="1" applyNumberFormat="1" applyFont="1" applyFill="1" applyBorder="1" applyProtection="1"/>
    <xf numFmtId="0" fontId="2" fillId="0" borderId="22" xfId="0" applyFont="1" applyFill="1" applyBorder="1" applyProtection="1"/>
    <xf numFmtId="164" fontId="2" fillId="0" borderId="23" xfId="1" applyNumberFormat="1" applyFont="1" applyFill="1" applyBorder="1" applyProtection="1"/>
    <xf numFmtId="164" fontId="2" fillId="0" borderId="24" xfId="1" applyNumberFormat="1" applyFont="1" applyFill="1" applyBorder="1" applyProtection="1"/>
    <xf numFmtId="44" fontId="0" fillId="2" borderId="23" xfId="2" applyFont="1" applyFill="1" applyBorder="1" applyProtection="1">
      <protection locked="0"/>
    </xf>
    <xf numFmtId="0" fontId="0" fillId="2" borderId="53" xfId="0" applyFill="1" applyBorder="1" applyProtection="1">
      <protection locked="0"/>
    </xf>
    <xf numFmtId="0" fontId="0" fillId="2" borderId="61" xfId="0" applyFill="1" applyBorder="1" applyProtection="1">
      <protection locked="0"/>
    </xf>
    <xf numFmtId="0" fontId="0" fillId="2" borderId="24" xfId="0" applyFill="1" applyBorder="1" applyProtection="1">
      <protection locked="0"/>
    </xf>
    <xf numFmtId="44" fontId="0" fillId="3" borderId="47" xfId="2" applyFont="1" applyFill="1" applyBorder="1" applyProtection="1"/>
    <xf numFmtId="44" fontId="0" fillId="3" borderId="22" xfId="2" applyFont="1" applyFill="1" applyBorder="1" applyProtection="1"/>
    <xf numFmtId="44" fontId="0" fillId="3" borderId="23" xfId="2" applyNumberFormat="1" applyFont="1" applyFill="1" applyBorder="1" applyProtection="1"/>
    <xf numFmtId="44" fontId="0" fillId="2" borderId="58" xfId="2" applyFont="1" applyFill="1" applyBorder="1" applyProtection="1">
      <protection locked="0"/>
    </xf>
    <xf numFmtId="44" fontId="0" fillId="2" borderId="29" xfId="2" applyFont="1" applyFill="1" applyBorder="1" applyProtection="1">
      <protection locked="0"/>
    </xf>
    <xf numFmtId="44" fontId="0" fillId="3" borderId="30" xfId="2" applyFont="1" applyFill="1" applyBorder="1" applyProtection="1"/>
    <xf numFmtId="0" fontId="0" fillId="2" borderId="62" xfId="0" applyFill="1" applyBorder="1" applyProtection="1">
      <protection locked="0"/>
    </xf>
    <xf numFmtId="0" fontId="0" fillId="2" borderId="59" xfId="0" applyFill="1" applyBorder="1" applyProtection="1">
      <protection locked="0"/>
    </xf>
    <xf numFmtId="44" fontId="0" fillId="12" borderId="5" xfId="2" applyFont="1" applyFill="1" applyBorder="1" applyProtection="1"/>
    <xf numFmtId="44" fontId="0" fillId="12" borderId="0" xfId="2" applyNumberFormat="1" applyFont="1" applyFill="1" applyBorder="1" applyProtection="1"/>
    <xf numFmtId="44" fontId="0" fillId="12" borderId="6" xfId="2" applyFont="1" applyFill="1" applyBorder="1" applyProtection="1"/>
    <xf numFmtId="44" fontId="0" fillId="2" borderId="40" xfId="2" applyFont="1" applyFill="1" applyBorder="1" applyProtection="1">
      <protection locked="0"/>
    </xf>
    <xf numFmtId="0" fontId="0" fillId="2" borderId="55" xfId="0" applyFill="1" applyBorder="1" applyProtection="1">
      <protection locked="0"/>
    </xf>
    <xf numFmtId="0" fontId="0" fillId="2" borderId="63" xfId="0" applyFill="1" applyBorder="1" applyProtection="1">
      <protection locked="0"/>
    </xf>
    <xf numFmtId="0" fontId="0" fillId="2" borderId="41" xfId="0" applyFill="1" applyBorder="1" applyProtection="1">
      <protection locked="0"/>
    </xf>
    <xf numFmtId="44" fontId="1" fillId="13" borderId="58" xfId="2" applyFont="1" applyFill="1" applyBorder="1" applyProtection="1"/>
    <xf numFmtId="44" fontId="1" fillId="13" borderId="23" xfId="2" applyFont="1" applyFill="1" applyBorder="1" applyProtection="1"/>
    <xf numFmtId="44" fontId="1" fillId="13" borderId="33" xfId="2" applyFont="1" applyFill="1" applyBorder="1" applyProtection="1"/>
    <xf numFmtId="44" fontId="1" fillId="13" borderId="16" xfId="2" applyFont="1" applyFill="1" applyBorder="1" applyProtection="1"/>
    <xf numFmtId="44" fontId="1" fillId="13" borderId="29" xfId="2" applyFont="1" applyFill="1" applyBorder="1" applyProtection="1"/>
    <xf numFmtId="44" fontId="13" fillId="13" borderId="40" xfId="2" applyFont="1" applyFill="1" applyBorder="1" applyProtection="1"/>
    <xf numFmtId="44" fontId="13" fillId="13" borderId="23" xfId="2" applyFont="1" applyFill="1" applyBorder="1" applyProtection="1"/>
    <xf numFmtId="44" fontId="13" fillId="13" borderId="33" xfId="2" applyFont="1" applyFill="1" applyBorder="1" applyProtection="1"/>
    <xf numFmtId="44" fontId="1" fillId="13" borderId="4" xfId="2" applyFont="1" applyFill="1" applyBorder="1" applyProtection="1"/>
    <xf numFmtId="44" fontId="13" fillId="13" borderId="4" xfId="2" applyFont="1" applyFill="1" applyBorder="1" applyProtection="1"/>
    <xf numFmtId="44" fontId="1" fillId="13" borderId="10" xfId="2" applyFont="1" applyFill="1" applyBorder="1" applyProtection="1"/>
    <xf numFmtId="44" fontId="13" fillId="13" borderId="10" xfId="2" applyFont="1" applyFill="1" applyBorder="1" applyProtection="1"/>
    <xf numFmtId="44" fontId="0" fillId="13" borderId="23" xfId="2" applyFont="1" applyFill="1" applyBorder="1" applyProtection="1"/>
    <xf numFmtId="0" fontId="13" fillId="0" borderId="47" xfId="0" quotePrefix="1" applyFont="1" applyFill="1" applyBorder="1" applyAlignment="1" applyProtection="1">
      <alignment horizontal="center"/>
    </xf>
    <xf numFmtId="0" fontId="13" fillId="0" borderId="55" xfId="0" quotePrefix="1" applyFont="1" applyFill="1" applyBorder="1" applyAlignment="1" applyProtection="1"/>
    <xf numFmtId="0" fontId="13" fillId="0" borderId="40" xfId="0" applyFont="1" applyFill="1" applyBorder="1" applyAlignment="1" applyProtection="1"/>
    <xf numFmtId="164" fontId="0" fillId="3" borderId="40" xfId="1" applyNumberFormat="1" applyFont="1" applyFill="1" applyBorder="1" applyProtection="1"/>
    <xf numFmtId="164" fontId="0" fillId="3" borderId="41" xfId="1" applyNumberFormat="1" applyFont="1" applyFill="1" applyBorder="1" applyProtection="1"/>
    <xf numFmtId="0" fontId="13" fillId="0" borderId="29" xfId="0" quotePrefix="1" applyFont="1" applyFill="1" applyBorder="1" applyAlignment="1" applyProtection="1"/>
    <xf numFmtId="164" fontId="0" fillId="3" borderId="29" xfId="1" applyNumberFormat="1" applyFont="1" applyFill="1" applyBorder="1" applyProtection="1"/>
    <xf numFmtId="164" fontId="0" fillId="3" borderId="30" xfId="1" applyNumberFormat="1" applyFont="1" applyFill="1" applyBorder="1" applyProtection="1"/>
    <xf numFmtId="0" fontId="13" fillId="0" borderId="22" xfId="0" quotePrefix="1" applyFont="1" applyFill="1" applyBorder="1" applyAlignment="1" applyProtection="1">
      <alignment horizontal="center" vertical="center" wrapText="1"/>
    </xf>
    <xf numFmtId="0" fontId="13" fillId="0" borderId="23" xfId="0" quotePrefix="1" applyFont="1" applyFill="1" applyBorder="1" applyAlignment="1" applyProtection="1"/>
    <xf numFmtId="44" fontId="0" fillId="12" borderId="0" xfId="2" applyFont="1" applyFill="1" applyBorder="1" applyProtection="1"/>
    <xf numFmtId="0" fontId="0" fillId="2" borderId="54" xfId="0" applyFill="1" applyBorder="1" applyProtection="1">
      <protection locked="0"/>
    </xf>
    <xf numFmtId="0" fontId="0" fillId="2" borderId="30" xfId="0" applyFill="1" applyBorder="1" applyProtection="1">
      <protection locked="0"/>
    </xf>
    <xf numFmtId="0" fontId="0" fillId="2" borderId="33" xfId="0" applyFill="1" applyBorder="1" applyProtection="1">
      <protection locked="0"/>
    </xf>
    <xf numFmtId="0" fontId="0" fillId="2" borderId="10" xfId="0" applyFill="1" applyBorder="1" applyProtection="1">
      <protection locked="0"/>
    </xf>
    <xf numFmtId="0" fontId="0" fillId="0" borderId="49" xfId="0" applyFont="1" applyFill="1" applyBorder="1" applyProtection="1"/>
    <xf numFmtId="165" fontId="0" fillId="7" borderId="36" xfId="2" applyNumberFormat="1" applyFont="1" applyFill="1" applyBorder="1" applyProtection="1"/>
    <xf numFmtId="0" fontId="13" fillId="0" borderId="4" xfId="0" quotePrefix="1" applyFont="1" applyFill="1" applyBorder="1" applyProtection="1"/>
    <xf numFmtId="0" fontId="13" fillId="0" borderId="33" xfId="0" quotePrefix="1" applyFont="1" applyFill="1" applyBorder="1" applyProtection="1"/>
    <xf numFmtId="0" fontId="13" fillId="0" borderId="10" xfId="0" quotePrefix="1" applyFont="1" applyFill="1" applyBorder="1" applyProtection="1"/>
    <xf numFmtId="0" fontId="0" fillId="0" borderId="20" xfId="0" applyFont="1" applyFill="1" applyBorder="1" applyAlignment="1" applyProtection="1">
      <alignment wrapText="1"/>
    </xf>
    <xf numFmtId="0" fontId="13" fillId="0" borderId="20" xfId="0" applyFont="1" applyFill="1" applyBorder="1" applyProtection="1"/>
    <xf numFmtId="0" fontId="13" fillId="0" borderId="38" xfId="0" quotePrefix="1" applyFont="1" applyFill="1" applyBorder="1" applyProtection="1"/>
    <xf numFmtId="0" fontId="0" fillId="0" borderId="38" xfId="0" applyFont="1" applyFill="1" applyBorder="1" applyAlignment="1" applyProtection="1">
      <alignment wrapText="1"/>
    </xf>
    <xf numFmtId="0" fontId="13" fillId="0" borderId="23" xfId="0" quotePrefix="1" applyFont="1" applyFill="1" applyBorder="1" applyProtection="1"/>
    <xf numFmtId="0" fontId="13" fillId="0" borderId="23" xfId="0" applyFont="1" applyFill="1" applyBorder="1" applyProtection="1"/>
    <xf numFmtId="0" fontId="13" fillId="0" borderId="24" xfId="0" applyFont="1" applyFill="1" applyBorder="1" applyProtection="1"/>
    <xf numFmtId="0" fontId="0" fillId="0" borderId="61" xfId="0" applyFont="1" applyFill="1" applyBorder="1" applyAlignment="1" applyProtection="1">
      <alignment wrapText="1"/>
    </xf>
    <xf numFmtId="0" fontId="13" fillId="0" borderId="61" xfId="0" applyFont="1" applyFill="1" applyBorder="1" applyProtection="1"/>
    <xf numFmtId="0" fontId="13" fillId="0" borderId="39" xfId="0" applyFont="1" applyFill="1" applyBorder="1" applyProtection="1"/>
    <xf numFmtId="0" fontId="13" fillId="0" borderId="45" xfId="0" applyFont="1" applyFill="1" applyBorder="1" applyProtection="1"/>
    <xf numFmtId="0" fontId="13" fillId="0" borderId="11" xfId="0" applyFont="1" applyFill="1" applyBorder="1" applyProtection="1"/>
    <xf numFmtId="0" fontId="0" fillId="0" borderId="39" xfId="0" applyFont="1" applyFill="1" applyBorder="1" applyAlignment="1" applyProtection="1">
      <alignment wrapText="1"/>
    </xf>
    <xf numFmtId="0" fontId="0" fillId="0" borderId="24" xfId="0" applyFont="1" applyFill="1" applyBorder="1" applyProtection="1"/>
    <xf numFmtId="0" fontId="0" fillId="0" borderId="35" xfId="0" applyFont="1" applyFill="1" applyBorder="1" applyProtection="1"/>
    <xf numFmtId="0" fontId="0" fillId="0" borderId="10" xfId="0" applyFont="1" applyFill="1" applyBorder="1" applyAlignment="1" applyProtection="1">
      <alignment wrapText="1"/>
    </xf>
    <xf numFmtId="0" fontId="13" fillId="0" borderId="10" xfId="0" applyFont="1" applyFill="1" applyBorder="1" applyProtection="1"/>
    <xf numFmtId="165" fontId="0" fillId="7" borderId="27" xfId="2" applyNumberFormat="1" applyFont="1" applyFill="1" applyBorder="1" applyProtection="1"/>
    <xf numFmtId="165" fontId="0" fillId="7" borderId="31" xfId="2" applyNumberFormat="1" applyFont="1" applyFill="1" applyBorder="1" applyProtection="1"/>
    <xf numFmtId="165" fontId="0" fillId="7" borderId="25" xfId="2" applyNumberFormat="1" applyFont="1" applyFill="1" applyBorder="1" applyProtection="1"/>
    <xf numFmtId="165" fontId="0" fillId="7" borderId="64" xfId="2" applyNumberFormat="1" applyFont="1" applyFill="1" applyBorder="1" applyProtection="1"/>
    <xf numFmtId="165" fontId="0" fillId="13" borderId="25" xfId="2" applyNumberFormat="1" applyFont="1" applyFill="1" applyBorder="1" applyProtection="1"/>
    <xf numFmtId="165" fontId="0" fillId="13" borderId="31" xfId="2" applyNumberFormat="1" applyFont="1" applyFill="1" applyBorder="1" applyProtection="1"/>
    <xf numFmtId="165" fontId="0" fillId="13" borderId="26" xfId="2" applyNumberFormat="1" applyFont="1" applyFill="1" applyBorder="1" applyProtection="1"/>
    <xf numFmtId="165" fontId="0" fillId="13" borderId="27" xfId="2" applyNumberFormat="1" applyFont="1" applyFill="1" applyBorder="1" applyProtection="1"/>
    <xf numFmtId="165" fontId="0" fillId="13" borderId="36" xfId="2" applyNumberFormat="1" applyFont="1" applyFill="1" applyBorder="1" applyProtection="1"/>
    <xf numFmtId="165" fontId="0" fillId="13" borderId="34" xfId="2" applyNumberFormat="1" applyFont="1" applyFill="1" applyBorder="1" applyProtection="1"/>
    <xf numFmtId="165" fontId="0" fillId="13" borderId="32" xfId="2" applyNumberFormat="1" applyFont="1" applyFill="1" applyBorder="1" applyProtection="1"/>
    <xf numFmtId="0" fontId="13" fillId="0" borderId="1" xfId="0" quotePrefix="1" applyFont="1" applyFill="1" applyBorder="1" applyAlignment="1" applyProtection="1">
      <alignment horizontal="center"/>
    </xf>
    <xf numFmtId="0" fontId="0" fillId="0" borderId="23" xfId="0" applyNumberFormat="1" applyFont="1" applyBorder="1" applyAlignment="1"/>
    <xf numFmtId="0" fontId="0" fillId="0" borderId="24" xfId="0" applyNumberFormat="1" applyFont="1" applyBorder="1" applyAlignment="1"/>
    <xf numFmtId="0" fontId="3" fillId="0" borderId="12" xfId="0" applyFont="1" applyFill="1" applyBorder="1" applyAlignment="1">
      <alignment horizontal="center"/>
    </xf>
    <xf numFmtId="0" fontId="3" fillId="0" borderId="18" xfId="0" applyFont="1" applyFill="1" applyBorder="1" applyAlignment="1">
      <alignment horizontal="center"/>
    </xf>
    <xf numFmtId="44" fontId="0" fillId="3" borderId="22" xfId="0" applyNumberFormat="1" applyFont="1" applyFill="1" applyBorder="1"/>
    <xf numFmtId="44" fontId="0" fillId="3" borderId="23" xfId="0" applyNumberFormat="1" applyFont="1" applyFill="1" applyBorder="1"/>
    <xf numFmtId="44" fontId="0" fillId="3" borderId="24" xfId="0" applyNumberFormat="1" applyFont="1" applyFill="1" applyBorder="1"/>
    <xf numFmtId="0" fontId="2" fillId="0" borderId="1" xfId="0" applyFont="1" applyFill="1" applyBorder="1" applyAlignment="1">
      <alignment vertical="center"/>
    </xf>
    <xf numFmtId="0" fontId="0" fillId="0" borderId="2" xfId="0" applyBorder="1" applyAlignment="1"/>
    <xf numFmtId="0" fontId="0" fillId="0" borderId="2" xfId="0" applyFont="1" applyFill="1" applyBorder="1" applyAlignment="1">
      <alignment vertical="center"/>
    </xf>
    <xf numFmtId="0" fontId="0" fillId="0" borderId="3" xfId="0" applyFont="1" applyFill="1" applyBorder="1" applyAlignment="1">
      <alignment vertical="center"/>
    </xf>
    <xf numFmtId="0" fontId="0" fillId="0" borderId="23" xfId="0" applyFont="1" applyFill="1" applyBorder="1" applyAlignment="1">
      <alignment wrapText="1"/>
    </xf>
    <xf numFmtId="0" fontId="0" fillId="0" borderId="24" xfId="0" applyFont="1" applyFill="1" applyBorder="1" applyAlignment="1">
      <alignment wrapText="1"/>
    </xf>
    <xf numFmtId="44" fontId="0" fillId="13" borderId="22" xfId="0" applyNumberFormat="1" applyFont="1" applyFill="1" applyBorder="1"/>
    <xf numFmtId="44" fontId="0" fillId="13" borderId="23" xfId="0" applyNumberFormat="1" applyFont="1" applyFill="1" applyBorder="1"/>
    <xf numFmtId="44" fontId="0" fillId="13" borderId="24" xfId="0" applyNumberFormat="1" applyFont="1" applyFill="1" applyBorder="1"/>
    <xf numFmtId="44" fontId="0" fillId="13" borderId="15" xfId="0" applyNumberFormat="1" applyFont="1" applyFill="1" applyBorder="1"/>
    <xf numFmtId="44" fontId="0" fillId="13" borderId="33" xfId="0" applyNumberFormat="1" applyFont="1" applyFill="1" applyBorder="1"/>
    <xf numFmtId="44" fontId="0" fillId="13" borderId="35" xfId="0" applyNumberFormat="1" applyFont="1" applyFill="1" applyBorder="1"/>
    <xf numFmtId="44" fontId="0" fillId="13" borderId="44" xfId="0" applyNumberFormat="1" applyFont="1" applyFill="1" applyBorder="1"/>
    <xf numFmtId="44" fontId="0" fillId="13" borderId="29" xfId="0" applyNumberFormat="1" applyFont="1" applyFill="1" applyBorder="1"/>
    <xf numFmtId="44" fontId="0" fillId="13" borderId="19" xfId="0" applyNumberFormat="1" applyFont="1" applyFill="1" applyBorder="1"/>
    <xf numFmtId="44" fontId="0" fillId="13" borderId="16" xfId="0" applyNumberFormat="1" applyFont="1" applyFill="1" applyBorder="1"/>
    <xf numFmtId="2" fontId="0" fillId="0" borderId="0" xfId="0" applyNumberFormat="1" applyProtection="1"/>
    <xf numFmtId="0" fontId="3" fillId="0" borderId="5" xfId="0" applyFont="1" applyBorder="1" applyAlignment="1">
      <alignment wrapText="1"/>
    </xf>
    <xf numFmtId="0" fontId="3" fillId="0" borderId="0" xfId="0" applyFont="1" applyBorder="1" applyAlignment="1">
      <alignment wrapText="1"/>
    </xf>
    <xf numFmtId="0" fontId="11" fillId="0" borderId="0" xfId="0" applyFont="1" applyFill="1" applyBorder="1" applyAlignment="1" applyProtection="1">
      <alignment wrapText="1"/>
    </xf>
    <xf numFmtId="44" fontId="8" fillId="0" borderId="0" xfId="2" applyNumberFormat="1" applyFont="1" applyFill="1" applyBorder="1" applyAlignment="1" applyProtection="1">
      <alignment wrapText="1"/>
    </xf>
    <xf numFmtId="164" fontId="0" fillId="12" borderId="1" xfId="1" applyNumberFormat="1" applyFont="1" applyFill="1" applyBorder="1" applyProtection="1"/>
    <xf numFmtId="164" fontId="1" fillId="12" borderId="2" xfId="1" applyNumberFormat="1" applyFont="1" applyFill="1" applyBorder="1" applyProtection="1"/>
    <xf numFmtId="164" fontId="0" fillId="12" borderId="2" xfId="1" applyNumberFormat="1" applyFont="1" applyFill="1" applyBorder="1" applyProtection="1"/>
    <xf numFmtId="164" fontId="0" fillId="12" borderId="8" xfId="1" applyNumberFormat="1" applyFont="1" applyFill="1" applyBorder="1" applyProtection="1"/>
    <xf numFmtId="0" fontId="0" fillId="12" borderId="9" xfId="0" applyFill="1" applyBorder="1" applyProtection="1"/>
    <xf numFmtId="0" fontId="0" fillId="12" borderId="21" xfId="0" applyFill="1" applyBorder="1" applyProtection="1"/>
    <xf numFmtId="164" fontId="0" fillId="12" borderId="9" xfId="1" applyNumberFormat="1" applyFont="1" applyFill="1" applyBorder="1" applyProtection="1"/>
    <xf numFmtId="164" fontId="0" fillId="12" borderId="12" xfId="1" applyNumberFormat="1" applyFont="1" applyFill="1" applyBorder="1" applyProtection="1"/>
    <xf numFmtId="0" fontId="0" fillId="12" borderId="13" xfId="0" applyFill="1" applyBorder="1" applyProtection="1"/>
    <xf numFmtId="0" fontId="0" fillId="12" borderId="18" xfId="0" applyFill="1" applyBorder="1" applyProtection="1"/>
    <xf numFmtId="44" fontId="13" fillId="2" borderId="40" xfId="2" applyFont="1" applyFill="1" applyBorder="1" applyProtection="1">
      <protection locked="0"/>
    </xf>
    <xf numFmtId="44" fontId="13" fillId="2" borderId="23" xfId="2" applyFont="1" applyFill="1" applyBorder="1" applyProtection="1">
      <protection locked="0"/>
    </xf>
    <xf numFmtId="44" fontId="13" fillId="2" borderId="33" xfId="2" applyFont="1" applyFill="1" applyBorder="1" applyProtection="1">
      <protection locked="0"/>
    </xf>
    <xf numFmtId="44" fontId="13" fillId="2" borderId="4" xfId="2" applyFont="1" applyFill="1" applyBorder="1" applyProtection="1">
      <protection locked="0"/>
    </xf>
    <xf numFmtId="44" fontId="13" fillId="2" borderId="10" xfId="2" applyFont="1" applyFill="1" applyBorder="1" applyProtection="1">
      <protection locked="0"/>
    </xf>
    <xf numFmtId="164" fontId="0" fillId="12" borderId="5" xfId="1" applyNumberFormat="1" applyFont="1" applyFill="1" applyBorder="1" applyProtection="1"/>
    <xf numFmtId="164" fontId="0" fillId="12" borderId="0" xfId="1" applyNumberFormat="1" applyFont="1" applyFill="1" applyBorder="1" applyProtection="1"/>
    <xf numFmtId="44" fontId="13" fillId="2" borderId="29" xfId="2" applyFont="1" applyFill="1" applyBorder="1" applyProtection="1">
      <protection locked="0"/>
    </xf>
    <xf numFmtId="0" fontId="2" fillId="0" borderId="12" xfId="0" applyFont="1" applyBorder="1"/>
    <xf numFmtId="0" fontId="2" fillId="0" borderId="13" xfId="0" applyFont="1" applyBorder="1"/>
    <xf numFmtId="165" fontId="2" fillId="0" borderId="18" xfId="2" applyNumberFormat="1" applyFont="1" applyBorder="1" applyProtection="1"/>
    <xf numFmtId="0" fontId="0" fillId="0" borderId="5" xfId="0" applyBorder="1"/>
    <xf numFmtId="0" fontId="2" fillId="0" borderId="0" xfId="0" applyFont="1"/>
    <xf numFmtId="165" fontId="0" fillId="2" borderId="7" xfId="2" applyNumberFormat="1" applyFont="1" applyFill="1" applyBorder="1" applyProtection="1">
      <protection locked="0"/>
    </xf>
    <xf numFmtId="165" fontId="0" fillId="0" borderId="6" xfId="0" applyNumberFormat="1" applyBorder="1"/>
    <xf numFmtId="0" fontId="2" fillId="0" borderId="8" xfId="0" applyFont="1" applyBorder="1"/>
    <xf numFmtId="0" fontId="2" fillId="0" borderId="9" xfId="0" applyFont="1" applyBorder="1"/>
    <xf numFmtId="43" fontId="0" fillId="0" borderId="0" xfId="1" applyFont="1" applyProtection="1"/>
    <xf numFmtId="0" fontId="2" fillId="0" borderId="0" xfId="0" applyFont="1" applyBorder="1"/>
    <xf numFmtId="166" fontId="13" fillId="0" borderId="21" xfId="4" applyFont="1" applyBorder="1" applyAlignment="1">
      <alignment vertical="top" wrapText="1"/>
    </xf>
    <xf numFmtId="49" fontId="14" fillId="0" borderId="8" xfId="4" quotePrefix="1" applyNumberFormat="1" applyFont="1" applyBorder="1" applyAlignment="1">
      <alignment horizontal="center" vertical="top"/>
    </xf>
    <xf numFmtId="49" fontId="14" fillId="0" borderId="12" xfId="4" quotePrefix="1" applyNumberFormat="1" applyFont="1" applyBorder="1" applyAlignment="1">
      <alignment horizontal="center" vertical="top"/>
    </xf>
    <xf numFmtId="166" fontId="13" fillId="0" borderId="18" xfId="4" applyFont="1" applyBorder="1" applyAlignment="1">
      <alignment vertical="top" wrapText="1"/>
    </xf>
    <xf numFmtId="0" fontId="13" fillId="0" borderId="3" xfId="4" applyNumberFormat="1" applyFont="1" applyBorder="1" applyAlignment="1"/>
    <xf numFmtId="0" fontId="7" fillId="0" borderId="1" xfId="0" applyFont="1" applyBorder="1" applyAlignment="1" applyProtection="1">
      <alignment vertical="center"/>
    </xf>
    <xf numFmtId="0" fontId="7" fillId="9" borderId="27" xfId="0" applyFont="1" applyFill="1" applyBorder="1" applyAlignment="1" applyProtection="1">
      <alignment horizontal="center" vertical="center"/>
    </xf>
    <xf numFmtId="166" fontId="14" fillId="5" borderId="1" xfId="4" applyFont="1" applyFill="1" applyBorder="1" applyAlignment="1">
      <alignment horizontal="center" vertical="top"/>
    </xf>
    <xf numFmtId="166" fontId="14" fillId="5" borderId="3" xfId="4" applyFont="1" applyFill="1" applyBorder="1" applyAlignment="1">
      <alignment horizontal="center" vertical="top"/>
    </xf>
    <xf numFmtId="49" fontId="14" fillId="5" borderId="1" xfId="4" quotePrefix="1" applyNumberFormat="1" applyFont="1" applyFill="1" applyBorder="1" applyAlignment="1">
      <alignment horizontal="center" vertical="top"/>
    </xf>
    <xf numFmtId="49" fontId="14" fillId="5" borderId="3" xfId="4" quotePrefix="1" applyNumberFormat="1" applyFont="1" applyFill="1" applyBorder="1" applyAlignment="1">
      <alignment horizontal="center" vertical="top"/>
    </xf>
    <xf numFmtId="166" fontId="14" fillId="5" borderId="12" xfId="4" applyFont="1" applyFill="1" applyBorder="1" applyAlignment="1">
      <alignment horizontal="center" vertical="top"/>
    </xf>
    <xf numFmtId="166" fontId="14" fillId="5" borderId="18" xfId="4" applyFont="1" applyFill="1" applyBorder="1" applyAlignment="1">
      <alignment horizontal="center" vertical="top"/>
    </xf>
    <xf numFmtId="166" fontId="15" fillId="5" borderId="1" xfId="4" applyFont="1" applyFill="1" applyBorder="1" applyAlignment="1">
      <alignment horizontal="center" vertical="top"/>
    </xf>
    <xf numFmtId="166" fontId="15" fillId="5" borderId="3" xfId="4" applyFont="1" applyFill="1" applyBorder="1" applyAlignment="1">
      <alignment horizontal="center" vertical="top"/>
    </xf>
    <xf numFmtId="166" fontId="14" fillId="5" borderId="8" xfId="4" applyFont="1" applyFill="1" applyBorder="1" applyAlignment="1">
      <alignment horizontal="center" vertical="top"/>
    </xf>
    <xf numFmtId="166" fontId="14" fillId="5" borderId="21" xfId="4" applyFont="1" applyFill="1" applyBorder="1" applyAlignment="1">
      <alignment horizontal="center" vertical="top"/>
    </xf>
    <xf numFmtId="0" fontId="14" fillId="5" borderId="8" xfId="4" applyNumberFormat="1" applyFont="1" applyFill="1" applyBorder="1" applyAlignment="1">
      <alignment horizontal="center" vertical="top"/>
    </xf>
    <xf numFmtId="0" fontId="14" fillId="5" borderId="21" xfId="4" applyNumberFormat="1" applyFont="1" applyFill="1" applyBorder="1" applyAlignment="1">
      <alignment horizontal="center" vertical="top"/>
    </xf>
    <xf numFmtId="166" fontId="14" fillId="5" borderId="12" xfId="4" quotePrefix="1" applyFont="1" applyFill="1" applyBorder="1" applyAlignment="1">
      <alignment horizontal="center" vertical="top"/>
    </xf>
    <xf numFmtId="166" fontId="14" fillId="5" borderId="18" xfId="4" quotePrefix="1" applyFont="1" applyFill="1" applyBorder="1" applyAlignment="1">
      <alignment horizontal="center" vertical="top"/>
    </xf>
    <xf numFmtId="0" fontId="13" fillId="0" borderId="15" xfId="0" quotePrefix="1" applyFont="1" applyFill="1" applyBorder="1" applyAlignment="1" applyProtection="1">
      <alignment horizontal="center" vertical="center" wrapText="1"/>
    </xf>
    <xf numFmtId="0" fontId="13" fillId="0" borderId="14" xfId="0" quotePrefix="1" applyFont="1" applyFill="1" applyBorder="1" applyAlignment="1" applyProtection="1">
      <alignment horizontal="center" vertical="center"/>
    </xf>
    <xf numFmtId="0" fontId="13" fillId="0" borderId="37" xfId="0" quotePrefix="1" applyFont="1" applyFill="1" applyBorder="1" applyAlignment="1" applyProtection="1">
      <alignment horizontal="center" vertical="center"/>
    </xf>
    <xf numFmtId="0" fontId="13" fillId="0" borderId="47" xfId="0" quotePrefix="1" applyFont="1" applyFill="1" applyBorder="1" applyAlignment="1" applyProtection="1">
      <alignment horizontal="center" vertical="center" wrapText="1"/>
    </xf>
    <xf numFmtId="0" fontId="13" fillId="0" borderId="48" xfId="0" quotePrefix="1" applyFont="1" applyFill="1" applyBorder="1" applyAlignment="1" applyProtection="1">
      <alignment horizontal="center" vertical="center" wrapText="1"/>
    </xf>
    <xf numFmtId="0" fontId="13" fillId="0" borderId="44" xfId="0" quotePrefix="1" applyFont="1" applyFill="1" applyBorder="1" applyAlignment="1" applyProtection="1">
      <alignment horizontal="center" vertical="center" wrapText="1"/>
    </xf>
    <xf numFmtId="0" fontId="13" fillId="0" borderId="50" xfId="0" quotePrefix="1" applyFont="1" applyFill="1" applyBorder="1" applyAlignment="1" applyProtection="1">
      <alignment horizontal="center" vertical="center"/>
    </xf>
    <xf numFmtId="0" fontId="13" fillId="0" borderId="37" xfId="0" quotePrefix="1" applyFont="1" applyFill="1" applyBorder="1" applyAlignment="1" applyProtection="1">
      <alignment horizontal="center" vertical="center" wrapText="1"/>
    </xf>
    <xf numFmtId="0" fontId="7" fillId="0" borderId="1" xfId="0" applyFont="1" applyBorder="1" applyAlignment="1" applyProtection="1">
      <alignment vertical="center"/>
    </xf>
    <xf numFmtId="0" fontId="10" fillId="0" borderId="3" xfId="0" applyFont="1" applyBorder="1" applyAlignment="1" applyProtection="1">
      <alignment vertical="center"/>
    </xf>
    <xf numFmtId="0" fontId="7" fillId="9" borderId="12" xfId="0" applyFont="1" applyFill="1" applyBorder="1" applyAlignment="1" applyProtection="1">
      <alignment vertical="center" wrapText="1"/>
    </xf>
    <xf numFmtId="0" fontId="7" fillId="9" borderId="18" xfId="0" applyFont="1" applyFill="1" applyBorder="1" applyAlignment="1" applyProtection="1"/>
    <xf numFmtId="0" fontId="7" fillId="9" borderId="5" xfId="0" applyFont="1" applyFill="1" applyBorder="1" applyAlignment="1" applyProtection="1"/>
    <xf numFmtId="0" fontId="7" fillId="9" borderId="6" xfId="0" applyFont="1" applyFill="1" applyBorder="1" applyAlignment="1" applyProtection="1"/>
    <xf numFmtId="0" fontId="7" fillId="9" borderId="8" xfId="0" applyFont="1" applyFill="1" applyBorder="1" applyAlignment="1" applyProtection="1"/>
    <xf numFmtId="0" fontId="7" fillId="9" borderId="21" xfId="0" applyFont="1" applyFill="1" applyBorder="1" applyAlignment="1" applyProtection="1"/>
    <xf numFmtId="0" fontId="7" fillId="9" borderId="27" xfId="0" applyFont="1" applyFill="1" applyBorder="1" applyAlignment="1" applyProtection="1">
      <alignment horizontal="center" vertical="center"/>
    </xf>
    <xf numFmtId="0" fontId="10" fillId="9" borderId="31" xfId="0" applyFont="1" applyFill="1" applyBorder="1" applyAlignment="1" applyProtection="1">
      <alignment horizontal="center" vertical="center"/>
    </xf>
    <xf numFmtId="0" fontId="10" fillId="9" borderId="28" xfId="0" applyFont="1" applyFill="1" applyBorder="1" applyAlignment="1" applyProtection="1">
      <alignment horizontal="center" vertical="center"/>
    </xf>
    <xf numFmtId="0" fontId="7" fillId="0" borderId="3" xfId="0" applyFont="1" applyBorder="1" applyAlignment="1" applyProtection="1">
      <alignment vertical="center"/>
    </xf>
    <xf numFmtId="0" fontId="23" fillId="0" borderId="0" xfId="0" applyFont="1" applyBorder="1" applyAlignment="1" applyProtection="1">
      <alignment horizontal="center" vertical="center"/>
    </xf>
    <xf numFmtId="165" fontId="7" fillId="9" borderId="27" xfId="0" applyNumberFormat="1" applyFont="1" applyFill="1" applyBorder="1" applyAlignment="1" applyProtection="1">
      <alignment horizontal="center" vertical="center"/>
    </xf>
    <xf numFmtId="0" fontId="11" fillId="0" borderId="4" xfId="0" applyFont="1" applyBorder="1" applyAlignment="1" applyProtection="1">
      <alignment horizontal="center"/>
    </xf>
    <xf numFmtId="49" fontId="9" fillId="10" borderId="1" xfId="0" applyNumberFormat="1" applyFont="1" applyFill="1" applyBorder="1" applyAlignment="1" applyProtection="1"/>
    <xf numFmtId="49" fontId="9" fillId="10" borderId="2" xfId="0" applyNumberFormat="1" applyFont="1" applyFill="1" applyBorder="1" applyAlignment="1" applyProtection="1"/>
    <xf numFmtId="0" fontId="0" fillId="0" borderId="2" xfId="0" applyBorder="1" applyAlignment="1" applyProtection="1"/>
    <xf numFmtId="0" fontId="0" fillId="0" borderId="3" xfId="0" applyBorder="1" applyAlignment="1" applyProtection="1"/>
    <xf numFmtId="0" fontId="2" fillId="0" borderId="1" xfId="0" applyFont="1" applyBorder="1" applyAlignment="1" applyProtection="1">
      <alignment horizontal="center"/>
    </xf>
    <xf numFmtId="0" fontId="2" fillId="0" borderId="2" xfId="0" applyFont="1" applyBorder="1" applyAlignment="1" applyProtection="1">
      <alignment horizontal="center"/>
    </xf>
    <xf numFmtId="0" fontId="2" fillId="0" borderId="3" xfId="0" applyFont="1" applyBorder="1" applyAlignment="1" applyProtection="1">
      <alignment horizontal="center"/>
    </xf>
    <xf numFmtId="0" fontId="12" fillId="5" borderId="1" xfId="0" applyFont="1" applyFill="1" applyBorder="1" applyAlignment="1" applyProtection="1">
      <alignment horizontal="center"/>
    </xf>
    <xf numFmtId="0" fontId="12" fillId="5" borderId="2" xfId="0" applyFont="1" applyFill="1" applyBorder="1" applyAlignment="1" applyProtection="1">
      <alignment horizontal="center"/>
    </xf>
    <xf numFmtId="0" fontId="12" fillId="5" borderId="3" xfId="0" applyFont="1" applyFill="1" applyBorder="1" applyAlignment="1" applyProtection="1">
      <alignment horizontal="center"/>
    </xf>
    <xf numFmtId="0" fontId="2" fillId="4" borderId="1" xfId="0" applyFont="1" applyFill="1" applyBorder="1" applyAlignment="1" applyProtection="1">
      <alignment horizontal="center"/>
    </xf>
    <xf numFmtId="0" fontId="2" fillId="4" borderId="2" xfId="0" applyFont="1" applyFill="1" applyBorder="1" applyAlignment="1" applyProtection="1">
      <alignment horizontal="center"/>
    </xf>
    <xf numFmtId="0" fontId="2" fillId="4" borderId="3" xfId="0" applyFont="1" applyFill="1" applyBorder="1" applyAlignment="1" applyProtection="1">
      <alignment horizontal="center"/>
    </xf>
    <xf numFmtId="0" fontId="12" fillId="6" borderId="1" xfId="0" applyFont="1" applyFill="1" applyBorder="1" applyAlignment="1" applyProtection="1">
      <alignment horizontal="center"/>
    </xf>
    <xf numFmtId="0" fontId="12" fillId="6" borderId="2" xfId="0" applyFont="1" applyFill="1" applyBorder="1" applyAlignment="1" applyProtection="1">
      <alignment horizontal="center"/>
    </xf>
    <xf numFmtId="0" fontId="12" fillId="6" borderId="3" xfId="0" applyFont="1" applyFill="1" applyBorder="1" applyAlignment="1" applyProtection="1">
      <alignment horizontal="center"/>
    </xf>
    <xf numFmtId="0" fontId="2" fillId="9" borderId="1" xfId="0" applyFont="1" applyFill="1" applyBorder="1" applyAlignment="1">
      <alignment horizontal="center"/>
    </xf>
    <xf numFmtId="0" fontId="2" fillId="9" borderId="2" xfId="0" applyFont="1" applyFill="1" applyBorder="1" applyAlignment="1">
      <alignment horizontal="center"/>
    </xf>
    <xf numFmtId="0" fontId="2" fillId="9" borderId="3" xfId="0" applyFont="1" applyFill="1" applyBorder="1" applyAlignment="1">
      <alignment horizontal="center"/>
    </xf>
    <xf numFmtId="0" fontId="2" fillId="9" borderId="12" xfId="0" applyFont="1" applyFill="1" applyBorder="1" applyAlignment="1">
      <alignment horizontal="center"/>
    </xf>
    <xf numFmtId="0" fontId="2" fillId="9" borderId="13" xfId="0" applyFont="1" applyFill="1" applyBorder="1" applyAlignment="1">
      <alignment horizontal="center"/>
    </xf>
    <xf numFmtId="0" fontId="2" fillId="9" borderId="18" xfId="0" applyFont="1" applyFill="1" applyBorder="1" applyAlignment="1">
      <alignment horizontal="center"/>
    </xf>
    <xf numFmtId="0" fontId="2" fillId="9" borderId="27" xfId="0" applyFont="1" applyFill="1" applyBorder="1" applyAlignment="1">
      <alignment vertical="center"/>
    </xf>
    <xf numFmtId="0" fontId="0" fillId="9" borderId="31" xfId="0" applyFont="1" applyFill="1" applyBorder="1" applyAlignment="1">
      <alignment vertical="center"/>
    </xf>
    <xf numFmtId="0" fontId="0" fillId="9" borderId="28" xfId="0" applyFont="1" applyFill="1" applyBorder="1" applyAlignment="1">
      <alignment vertical="center"/>
    </xf>
    <xf numFmtId="0" fontId="13" fillId="0" borderId="12" xfId="0" quotePrefix="1" applyFont="1" applyFill="1" applyBorder="1" applyAlignment="1" applyProtection="1">
      <alignment horizontal="center" vertical="center" wrapText="1"/>
    </xf>
    <xf numFmtId="0" fontId="13" fillId="0" borderId="5" xfId="0" quotePrefix="1" applyFont="1" applyFill="1" applyBorder="1" applyAlignment="1" applyProtection="1">
      <alignment horizontal="center" vertical="center" wrapText="1"/>
    </xf>
    <xf numFmtId="0" fontId="13" fillId="0" borderId="8" xfId="0" quotePrefix="1" applyFont="1" applyFill="1" applyBorder="1" applyAlignment="1" applyProtection="1">
      <alignment horizontal="center" vertical="center" wrapText="1"/>
    </xf>
    <xf numFmtId="0" fontId="13" fillId="0" borderId="65" xfId="0" quotePrefix="1" applyFont="1" applyFill="1" applyBorder="1" applyAlignment="1" applyProtection="1">
      <alignment horizontal="center" vertical="center" wrapText="1"/>
    </xf>
    <xf numFmtId="0" fontId="13" fillId="0" borderId="66" xfId="0" quotePrefix="1" applyFont="1" applyFill="1" applyBorder="1" applyAlignment="1" applyProtection="1">
      <alignment horizontal="center" vertical="center"/>
    </xf>
    <xf numFmtId="0" fontId="13" fillId="0" borderId="67" xfId="0" quotePrefix="1" applyFont="1" applyFill="1" applyBorder="1" applyAlignment="1" applyProtection="1">
      <alignment horizontal="center" vertical="center"/>
    </xf>
    <xf numFmtId="0" fontId="13" fillId="0" borderId="67" xfId="0" quotePrefix="1" applyFont="1" applyFill="1" applyBorder="1" applyAlignment="1" applyProtection="1">
      <alignment horizontal="center" vertical="center" wrapText="1"/>
    </xf>
    <xf numFmtId="0" fontId="2" fillId="9" borderId="5" xfId="0" applyFont="1" applyFill="1" applyBorder="1" applyAlignment="1">
      <alignment horizontal="center"/>
    </xf>
    <xf numFmtId="0" fontId="2" fillId="9" borderId="0" xfId="0" applyFont="1" applyFill="1" applyBorder="1" applyAlignment="1">
      <alignment horizontal="center"/>
    </xf>
    <xf numFmtId="0" fontId="2" fillId="9" borderId="6" xfId="0" applyFont="1" applyFill="1" applyBorder="1" applyAlignment="1">
      <alignment horizontal="center"/>
    </xf>
    <xf numFmtId="0" fontId="2" fillId="9" borderId="14" xfId="0" applyFont="1" applyFill="1" applyBorder="1" applyAlignment="1">
      <alignment horizontal="center"/>
    </xf>
    <xf numFmtId="0" fontId="2" fillId="9" borderId="4" xfId="0" applyFont="1" applyFill="1" applyBorder="1" applyAlignment="1">
      <alignment horizontal="center"/>
    </xf>
    <xf numFmtId="0" fontId="2" fillId="9" borderId="7" xfId="0" applyFont="1" applyFill="1" applyBorder="1" applyAlignment="1">
      <alignment horizontal="center"/>
    </xf>
    <xf numFmtId="0" fontId="27" fillId="0" borderId="3" xfId="0" applyFont="1" applyBorder="1" applyAlignment="1" applyProtection="1">
      <alignment vertical="center"/>
    </xf>
    <xf numFmtId="165" fontId="28" fillId="2" borderId="25" xfId="2" applyNumberFormat="1" applyFont="1" applyFill="1" applyBorder="1" applyProtection="1"/>
    <xf numFmtId="0" fontId="27" fillId="0" borderId="1" xfId="0" applyFont="1" applyBorder="1" applyAlignment="1" applyProtection="1">
      <alignment vertical="center" wrapText="1"/>
    </xf>
    <xf numFmtId="0" fontId="2" fillId="9" borderId="38" xfId="0" applyFont="1" applyFill="1" applyBorder="1" applyAlignment="1" applyProtection="1">
      <alignment horizontal="left" vertical="center"/>
    </xf>
    <xf numFmtId="0" fontId="2" fillId="9" borderId="38" xfId="0" applyFont="1" applyFill="1" applyBorder="1" applyAlignment="1" applyProtection="1">
      <alignment horizontal="left"/>
    </xf>
    <xf numFmtId="2" fontId="0" fillId="0" borderId="23" xfId="0" applyNumberFormat="1" applyBorder="1" applyProtection="1"/>
    <xf numFmtId="0" fontId="0" fillId="0" borderId="23" xfId="0" applyNumberFormat="1" applyBorder="1" applyProtection="1"/>
    <xf numFmtId="0" fontId="0" fillId="2" borderId="23" xfId="0" applyFill="1" applyBorder="1" applyProtection="1">
      <protection locked="0"/>
    </xf>
    <xf numFmtId="2" fontId="0" fillId="0" borderId="33" xfId="0" applyNumberFormat="1" applyBorder="1" applyProtection="1"/>
    <xf numFmtId="0" fontId="0" fillId="0" borderId="33" xfId="0" applyNumberFormat="1" applyBorder="1" applyProtection="1"/>
    <xf numFmtId="2" fontId="0" fillId="0" borderId="10" xfId="0" applyNumberFormat="1" applyBorder="1" applyProtection="1"/>
    <xf numFmtId="0" fontId="0" fillId="0" borderId="10" xfId="0" applyNumberFormat="1" applyBorder="1" applyProtection="1"/>
  </cellXfs>
  <cellStyles count="8">
    <cellStyle name="Comma" xfId="1" builtinId="3"/>
    <cellStyle name="Currency" xfId="2" builtinId="4"/>
    <cellStyle name="Normal" xfId="0" builtinId="0"/>
    <cellStyle name="Normal 10 2 2" xfId="5" xr:uid="{00000000-0005-0000-0000-000003000000}"/>
    <cellStyle name="Normal 2 2 2" xfId="6" xr:uid="{00000000-0005-0000-0000-000004000000}"/>
    <cellStyle name="Normal 7" xfId="4" xr:uid="{00000000-0005-0000-0000-000005000000}"/>
    <cellStyle name="Normal 7 2 2 2" xfId="7" xr:uid="{00000000-0005-0000-0000-000006000000}"/>
    <cellStyle name="Percent" xfId="3" builtinId="5"/>
  </cellStyles>
  <dxfs count="1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C620E-C3CA-4D1E-ACBC-06CF6F28BC83}">
  <sheetPr codeName="Sheet1"/>
  <dimension ref="A1:L54"/>
  <sheetViews>
    <sheetView tabSelected="1" workbookViewId="0">
      <selection sqref="A1:B1"/>
    </sheetView>
  </sheetViews>
  <sheetFormatPr defaultRowHeight="15" x14ac:dyDescent="0.25"/>
  <cols>
    <col min="1" max="1" width="9.140625" style="106"/>
    <col min="2" max="2" width="141.85546875" customWidth="1"/>
  </cols>
  <sheetData>
    <row r="1" spans="1:2" ht="19.5" thickBot="1" x14ac:dyDescent="0.3">
      <c r="A1" s="485" t="s">
        <v>0</v>
      </c>
      <c r="B1" s="486"/>
    </row>
    <row r="2" spans="1:2" ht="19.5" thickBot="1" x14ac:dyDescent="0.35">
      <c r="A2" s="90"/>
      <c r="B2" s="91"/>
    </row>
    <row r="3" spans="1:2" ht="15.75" thickBot="1" x14ac:dyDescent="0.3">
      <c r="A3" s="483" t="s">
        <v>1</v>
      </c>
      <c r="B3" s="484"/>
    </row>
    <row r="4" spans="1:2" ht="15.75" thickBot="1" x14ac:dyDescent="0.3">
      <c r="A4" s="92" t="s">
        <v>2</v>
      </c>
      <c r="B4" s="93" t="s">
        <v>3</v>
      </c>
    </row>
    <row r="5" spans="1:2" ht="15.75" thickBot="1" x14ac:dyDescent="0.3">
      <c r="A5" s="104" t="s">
        <v>4</v>
      </c>
      <c r="B5" s="105" t="s">
        <v>5</v>
      </c>
    </row>
    <row r="6" spans="1:2" x14ac:dyDescent="0.25">
      <c r="A6" s="119" t="s">
        <v>6</v>
      </c>
      <c r="B6" s="120" t="s">
        <v>7</v>
      </c>
    </row>
    <row r="7" spans="1:2" ht="45" x14ac:dyDescent="0.25">
      <c r="A7" s="104" t="s">
        <v>8</v>
      </c>
      <c r="B7" s="105" t="s">
        <v>9</v>
      </c>
    </row>
    <row r="8" spans="1:2" ht="30" x14ac:dyDescent="0.25">
      <c r="A8" s="104" t="s">
        <v>10</v>
      </c>
      <c r="B8" s="105" t="s">
        <v>11</v>
      </c>
    </row>
    <row r="9" spans="1:2" ht="45.75" thickBot="1" x14ac:dyDescent="0.3">
      <c r="A9" s="95" t="s">
        <v>12</v>
      </c>
      <c r="B9" s="96" t="s">
        <v>13</v>
      </c>
    </row>
    <row r="10" spans="1:2" ht="15.75" thickBot="1" x14ac:dyDescent="0.3">
      <c r="A10" s="487" t="s">
        <v>14</v>
      </c>
      <c r="B10" s="488"/>
    </row>
    <row r="11" spans="1:2" ht="30.75" thickBot="1" x14ac:dyDescent="0.3">
      <c r="A11" s="94" t="s">
        <v>2</v>
      </c>
      <c r="B11" s="97" t="s">
        <v>15</v>
      </c>
    </row>
    <row r="12" spans="1:2" ht="45.75" thickBot="1" x14ac:dyDescent="0.3">
      <c r="A12" s="94" t="s">
        <v>4</v>
      </c>
      <c r="B12" s="98" t="s">
        <v>16</v>
      </c>
    </row>
    <row r="13" spans="1:2" ht="15.75" thickBot="1" x14ac:dyDescent="0.3">
      <c r="A13" s="489" t="s">
        <v>17</v>
      </c>
      <c r="B13" s="490"/>
    </row>
    <row r="14" spans="1:2" ht="15.75" thickBot="1" x14ac:dyDescent="0.3">
      <c r="A14" s="94" t="s">
        <v>2</v>
      </c>
      <c r="B14" s="99" t="s">
        <v>18</v>
      </c>
    </row>
    <row r="15" spans="1:2" ht="15.75" thickBot="1" x14ac:dyDescent="0.3">
      <c r="A15" s="94" t="s">
        <v>4</v>
      </c>
      <c r="B15" s="99" t="s">
        <v>19</v>
      </c>
    </row>
    <row r="16" spans="1:2" ht="15.75" thickBot="1" x14ac:dyDescent="0.3">
      <c r="A16" s="94" t="s">
        <v>6</v>
      </c>
      <c r="B16" s="99" t="s">
        <v>20</v>
      </c>
    </row>
    <row r="17" spans="1:12" ht="15.75" thickBot="1" x14ac:dyDescent="0.3">
      <c r="A17" s="94" t="s">
        <v>21</v>
      </c>
      <c r="B17" s="100" t="s">
        <v>22</v>
      </c>
    </row>
    <row r="18" spans="1:12" ht="15.75" thickBot="1" x14ac:dyDescent="0.3">
      <c r="A18" s="94" t="s">
        <v>23</v>
      </c>
      <c r="B18" s="472" t="s">
        <v>24</v>
      </c>
    </row>
    <row r="19" spans="1:12" ht="30.75" thickBot="1" x14ac:dyDescent="0.3">
      <c r="A19" s="94" t="s">
        <v>25</v>
      </c>
      <c r="B19" s="472" t="s">
        <v>241</v>
      </c>
    </row>
    <row r="20" spans="1:12" ht="30.75" thickBot="1" x14ac:dyDescent="0.3">
      <c r="A20" s="94" t="s">
        <v>45</v>
      </c>
      <c r="B20" s="101" t="s">
        <v>26</v>
      </c>
    </row>
    <row r="21" spans="1:12" ht="15.75" thickBot="1" x14ac:dyDescent="0.3">
      <c r="A21" s="491" t="s">
        <v>27</v>
      </c>
      <c r="B21" s="492"/>
    </row>
    <row r="22" spans="1:12" ht="15.75" thickBot="1" x14ac:dyDescent="0.3">
      <c r="A22" s="94">
        <v>1</v>
      </c>
      <c r="B22" s="100" t="s">
        <v>28</v>
      </c>
    </row>
    <row r="23" spans="1:12" ht="60" x14ac:dyDescent="0.25">
      <c r="A23" s="102" t="s">
        <v>4</v>
      </c>
      <c r="B23" s="103" t="s">
        <v>29</v>
      </c>
      <c r="C23" s="439"/>
      <c r="D23" s="440"/>
      <c r="E23" s="440"/>
      <c r="F23" s="440"/>
      <c r="G23" s="440"/>
      <c r="H23" s="440"/>
      <c r="I23" s="440"/>
      <c r="J23" s="440"/>
      <c r="K23" s="271"/>
      <c r="L23" s="271"/>
    </row>
    <row r="24" spans="1:12" ht="120" x14ac:dyDescent="0.25">
      <c r="A24" s="104" t="s">
        <v>30</v>
      </c>
      <c r="B24" s="105" t="s">
        <v>31</v>
      </c>
    </row>
    <row r="25" spans="1:12" ht="45.75" thickBot="1" x14ac:dyDescent="0.3">
      <c r="A25" s="276" t="s">
        <v>32</v>
      </c>
      <c r="B25" s="96" t="s">
        <v>33</v>
      </c>
    </row>
    <row r="26" spans="1:12" ht="60.75" customHeight="1" x14ac:dyDescent="0.25">
      <c r="A26" s="104" t="s">
        <v>6</v>
      </c>
      <c r="B26" s="105" t="s">
        <v>239</v>
      </c>
    </row>
    <row r="27" spans="1:12" ht="135" x14ac:dyDescent="0.25">
      <c r="A27" s="104" t="s">
        <v>8</v>
      </c>
      <c r="B27" s="105" t="s">
        <v>34</v>
      </c>
    </row>
    <row r="28" spans="1:12" ht="120.75" thickBot="1" x14ac:dyDescent="0.3">
      <c r="A28" s="95" t="s">
        <v>10</v>
      </c>
      <c r="B28" s="96" t="s">
        <v>35</v>
      </c>
    </row>
    <row r="29" spans="1:12" ht="30" x14ac:dyDescent="0.25">
      <c r="A29" s="104" t="s">
        <v>21</v>
      </c>
      <c r="B29" s="105" t="s">
        <v>36</v>
      </c>
    </row>
    <row r="30" spans="1:12" ht="15.75" thickBot="1" x14ac:dyDescent="0.3">
      <c r="A30" s="95" t="s">
        <v>37</v>
      </c>
      <c r="B30" s="96" t="s">
        <v>38</v>
      </c>
    </row>
    <row r="31" spans="1:12" x14ac:dyDescent="0.25">
      <c r="A31" s="102" t="s">
        <v>23</v>
      </c>
      <c r="B31" s="103" t="s">
        <v>39</v>
      </c>
    </row>
    <row r="32" spans="1:12" ht="30" x14ac:dyDescent="0.25">
      <c r="A32" s="104" t="s">
        <v>40</v>
      </c>
      <c r="B32" s="105" t="s">
        <v>41</v>
      </c>
    </row>
    <row r="33" spans="1:2" ht="15.75" thickBot="1" x14ac:dyDescent="0.3">
      <c r="A33" s="95" t="s">
        <v>42</v>
      </c>
      <c r="B33" s="96" t="s">
        <v>43</v>
      </c>
    </row>
    <row r="34" spans="1:2" ht="30.75" thickBot="1" x14ac:dyDescent="0.3">
      <c r="A34" s="104" t="s">
        <v>25</v>
      </c>
      <c r="B34" s="105" t="s">
        <v>44</v>
      </c>
    </row>
    <row r="35" spans="1:2" ht="30" x14ac:dyDescent="0.25">
      <c r="A35" s="474" t="s">
        <v>45</v>
      </c>
      <c r="B35" s="475" t="s">
        <v>46</v>
      </c>
    </row>
    <row r="36" spans="1:2" ht="15.75" thickBot="1" x14ac:dyDescent="0.3">
      <c r="A36" s="473" t="s">
        <v>47</v>
      </c>
      <c r="B36" s="472" t="s">
        <v>48</v>
      </c>
    </row>
    <row r="37" spans="1:2" ht="15.75" thickBot="1" x14ac:dyDescent="0.3">
      <c r="A37" s="95" t="s">
        <v>49</v>
      </c>
      <c r="B37" s="96" t="s">
        <v>50</v>
      </c>
    </row>
    <row r="38" spans="1:2" ht="15.75" thickBot="1" x14ac:dyDescent="0.3">
      <c r="A38" s="479" t="s">
        <v>51</v>
      </c>
      <c r="B38" s="480"/>
    </row>
    <row r="39" spans="1:2" ht="15.75" thickBot="1" x14ac:dyDescent="0.3">
      <c r="A39" s="94" t="s">
        <v>2</v>
      </c>
      <c r="B39" s="97" t="s">
        <v>52</v>
      </c>
    </row>
    <row r="40" spans="1:2" ht="30.75" thickBot="1" x14ac:dyDescent="0.3">
      <c r="A40" s="94" t="s">
        <v>4</v>
      </c>
      <c r="B40" s="100" t="s">
        <v>53</v>
      </c>
    </row>
    <row r="41" spans="1:2" ht="15.75" thickBot="1" x14ac:dyDescent="0.3">
      <c r="A41" s="479" t="s">
        <v>54</v>
      </c>
      <c r="B41" s="480"/>
    </row>
    <row r="42" spans="1:2" ht="15.75" thickBot="1" x14ac:dyDescent="0.3">
      <c r="A42" s="94" t="s">
        <v>2</v>
      </c>
      <c r="B42" s="97" t="s">
        <v>55</v>
      </c>
    </row>
    <row r="43" spans="1:2" ht="15.75" thickBot="1" x14ac:dyDescent="0.3">
      <c r="A43" s="481" t="s">
        <v>56</v>
      </c>
      <c r="B43" s="482"/>
    </row>
    <row r="44" spans="1:2" ht="30.75" thickBot="1" x14ac:dyDescent="0.3">
      <c r="A44" s="94" t="s">
        <v>2</v>
      </c>
      <c r="B44" s="100" t="s">
        <v>57</v>
      </c>
    </row>
    <row r="45" spans="1:2" ht="15.75" thickBot="1" x14ac:dyDescent="0.3">
      <c r="A45" s="95" t="s">
        <v>4</v>
      </c>
      <c r="B45" s="96" t="s">
        <v>58</v>
      </c>
    </row>
    <row r="46" spans="1:2" ht="15.75" thickBot="1" x14ac:dyDescent="0.3">
      <c r="A46" s="483" t="s">
        <v>59</v>
      </c>
      <c r="B46" s="484"/>
    </row>
    <row r="47" spans="1:2" ht="45.75" thickBot="1" x14ac:dyDescent="0.3">
      <c r="A47" s="94" t="s">
        <v>2</v>
      </c>
      <c r="B47" s="97" t="s">
        <v>60</v>
      </c>
    </row>
    <row r="48" spans="1:2" ht="15.75" thickBot="1" x14ac:dyDescent="0.3">
      <c r="A48" s="95" t="s">
        <v>4</v>
      </c>
      <c r="B48" s="96" t="s">
        <v>58</v>
      </c>
    </row>
    <row r="49" spans="1:2" ht="15.75" thickBot="1" x14ac:dyDescent="0.3">
      <c r="A49" s="479" t="s">
        <v>61</v>
      </c>
      <c r="B49" s="480"/>
    </row>
    <row r="50" spans="1:2" ht="90.75" thickBot="1" x14ac:dyDescent="0.3">
      <c r="A50" s="94" t="s">
        <v>2</v>
      </c>
      <c r="B50" s="97" t="s">
        <v>62</v>
      </c>
    </row>
    <row r="51" spans="1:2" ht="15.75" thickBot="1" x14ac:dyDescent="0.3">
      <c r="A51" s="95" t="s">
        <v>4</v>
      </c>
      <c r="B51" s="96" t="s">
        <v>58</v>
      </c>
    </row>
    <row r="52" spans="1:2" ht="15.75" thickBot="1" x14ac:dyDescent="0.3">
      <c r="A52" s="479" t="s">
        <v>63</v>
      </c>
      <c r="B52" s="480"/>
    </row>
    <row r="53" spans="1:2" ht="15.75" thickBot="1" x14ac:dyDescent="0.3">
      <c r="A53" s="94" t="s">
        <v>2</v>
      </c>
      <c r="B53" s="100" t="s">
        <v>64</v>
      </c>
    </row>
    <row r="54" spans="1:2" ht="15.75" thickBot="1" x14ac:dyDescent="0.3">
      <c r="A54" s="95" t="s">
        <v>4</v>
      </c>
      <c r="B54" s="96" t="s">
        <v>58</v>
      </c>
    </row>
  </sheetData>
  <sheetProtection algorithmName="SHA-512" hashValue="WdwYnIPLCEV75YiEOEZNrQRffez4X7udi2HoDJNvKxBD+DODiZWhK036yma+JgTdYxCnI6BhM5rIXBxb3LykYw==" saltValue="YY1yjmW5ygUyqISG5CtB/g==" spinCount="100000" sheet="1" objects="1" scenarios="1"/>
  <mergeCells count="11">
    <mergeCell ref="A1:B1"/>
    <mergeCell ref="A3:B3"/>
    <mergeCell ref="A10:B10"/>
    <mergeCell ref="A13:B13"/>
    <mergeCell ref="A21:B21"/>
    <mergeCell ref="A52:B52"/>
    <mergeCell ref="A38:B38"/>
    <mergeCell ref="A43:B43"/>
    <mergeCell ref="A46:B46"/>
    <mergeCell ref="A49:B49"/>
    <mergeCell ref="A41:B4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32"/>
  <sheetViews>
    <sheetView zoomScaleNormal="100" workbookViewId="0"/>
  </sheetViews>
  <sheetFormatPr defaultColWidth="9.140625" defaultRowHeight="15" x14ac:dyDescent="0.25"/>
  <cols>
    <col min="1" max="1" width="32.5703125" style="10" bestFit="1" customWidth="1"/>
    <col min="2" max="2" width="5.7109375" style="10" customWidth="1"/>
    <col min="3" max="3" width="32.5703125" style="10" bestFit="1" customWidth="1"/>
    <col min="4" max="4" width="56.7109375" style="10" customWidth="1"/>
    <col min="5" max="5" width="16.7109375" style="10" customWidth="1"/>
    <col min="6" max="6" width="40.7109375" style="10" customWidth="1"/>
    <col min="7" max="7" width="25.7109375" style="10" customWidth="1"/>
    <col min="8" max="16384" width="9.140625" style="10"/>
  </cols>
  <sheetData>
    <row r="1" spans="1:7" ht="15.75" thickBot="1" x14ac:dyDescent="0.3">
      <c r="A1" s="557" t="s">
        <v>65</v>
      </c>
      <c r="B1" s="557" t="s">
        <v>66</v>
      </c>
      <c r="C1" s="557" t="s">
        <v>67</v>
      </c>
      <c r="D1" s="557" t="s">
        <v>68</v>
      </c>
      <c r="E1" s="557" t="s">
        <v>69</v>
      </c>
      <c r="F1" s="558" t="s">
        <v>70</v>
      </c>
      <c r="G1" s="558" t="s">
        <v>71</v>
      </c>
    </row>
    <row r="2" spans="1:7" ht="15.75" thickBot="1" x14ac:dyDescent="0.3">
      <c r="A2" s="297" t="s">
        <v>72</v>
      </c>
      <c r="B2" s="559" t="str">
        <f>Totals!B6</f>
        <v>001</v>
      </c>
      <c r="C2" s="560" t="str">
        <f>Totals!C6</f>
        <v>Project Management Specialist</v>
      </c>
      <c r="D2" s="561"/>
      <c r="E2" s="560" t="str">
        <f>Totals!D6</f>
        <v>CONUS</v>
      </c>
      <c r="F2" s="561"/>
      <c r="G2" s="337"/>
    </row>
    <row r="3" spans="1:7" ht="15.75" thickBot="1" x14ac:dyDescent="0.3">
      <c r="A3" s="297" t="s">
        <v>73</v>
      </c>
      <c r="B3" s="559" t="str">
        <f>Totals!B7</f>
        <v>002</v>
      </c>
      <c r="C3" s="560" t="str">
        <f>Totals!C7</f>
        <v>Field Service Representative</v>
      </c>
      <c r="D3" s="561"/>
      <c r="E3" s="560" t="str">
        <f>Totals!D7</f>
        <v>CONUS</v>
      </c>
      <c r="F3" s="561"/>
      <c r="G3" s="337"/>
    </row>
    <row r="4" spans="1:7" ht="15.75" thickBot="1" x14ac:dyDescent="0.3">
      <c r="A4" s="297" t="s">
        <v>74</v>
      </c>
      <c r="B4" s="559" t="str">
        <f>Totals!B8</f>
        <v>003</v>
      </c>
      <c r="C4" s="560" t="str">
        <f>Totals!C8</f>
        <v>Heavy Equipment Mechanic</v>
      </c>
      <c r="D4" s="561"/>
      <c r="E4" s="560" t="str">
        <f>Totals!D8</f>
        <v>CONUS</v>
      </c>
      <c r="F4" s="561"/>
      <c r="G4" s="337"/>
    </row>
    <row r="5" spans="1:7" x14ac:dyDescent="0.25">
      <c r="A5" s="496" t="s">
        <v>75</v>
      </c>
      <c r="B5" s="562" t="str">
        <f>Totals!B9</f>
        <v>004</v>
      </c>
      <c r="C5" s="563" t="str">
        <f>Totals!C9</f>
        <v>Field Service Representative</v>
      </c>
      <c r="D5" s="379"/>
      <c r="E5" s="563" t="str">
        <f>Totals!D9</f>
        <v>CONUS</v>
      </c>
      <c r="F5" s="379"/>
      <c r="G5" s="127"/>
    </row>
    <row r="6" spans="1:7" x14ac:dyDescent="0.25">
      <c r="A6" s="497"/>
      <c r="B6" s="141" t="str">
        <f>Totals!B10</f>
        <v>005</v>
      </c>
      <c r="C6" s="142" t="str">
        <f>Totals!C10</f>
        <v>Modified Work Orders (MWO)</v>
      </c>
      <c r="D6" s="11"/>
      <c r="E6" s="142" t="str">
        <f>Totals!D10</f>
        <v>CONUS</v>
      </c>
      <c r="F6" s="11"/>
      <c r="G6" s="8"/>
    </row>
    <row r="7" spans="1:7" x14ac:dyDescent="0.25">
      <c r="A7" s="497"/>
      <c r="B7" s="141" t="str">
        <f>Totals!B11</f>
        <v>006</v>
      </c>
      <c r="C7" s="142" t="str">
        <f>Totals!C11</f>
        <v>Quality Assurance</v>
      </c>
      <c r="D7" s="11"/>
      <c r="E7" s="142" t="str">
        <f>Totals!D11</f>
        <v>CONUS</v>
      </c>
      <c r="F7" s="11"/>
      <c r="G7" s="8"/>
    </row>
    <row r="8" spans="1:7" x14ac:dyDescent="0.25">
      <c r="A8" s="497"/>
      <c r="B8" s="141" t="str">
        <f>Totals!B12</f>
        <v>007</v>
      </c>
      <c r="C8" s="142" t="str">
        <f>Totals!C12</f>
        <v>Software</v>
      </c>
      <c r="D8" s="11"/>
      <c r="E8" s="142" t="str">
        <f>Totals!D12</f>
        <v>CONUS</v>
      </c>
      <c r="F8" s="11"/>
      <c r="G8" s="8"/>
    </row>
    <row r="9" spans="1:7" ht="15.75" thickBot="1" x14ac:dyDescent="0.3">
      <c r="A9" s="498"/>
      <c r="B9" s="564" t="str">
        <f>Totals!B13</f>
        <v>008</v>
      </c>
      <c r="C9" s="565" t="str">
        <f>Totals!C13</f>
        <v>Welder</v>
      </c>
      <c r="D9" s="380"/>
      <c r="E9" s="565" t="str">
        <f>Totals!D13</f>
        <v>CONUS</v>
      </c>
      <c r="F9" s="380"/>
      <c r="G9" s="182"/>
    </row>
    <row r="10" spans="1:7" x14ac:dyDescent="0.25">
      <c r="A10" s="496" t="s">
        <v>76</v>
      </c>
      <c r="B10" s="562" t="str">
        <f>Totals!B14</f>
        <v>009</v>
      </c>
      <c r="C10" s="563" t="str">
        <f>Totals!C14</f>
        <v>Instructor Supervisor</v>
      </c>
      <c r="D10" s="379"/>
      <c r="E10" s="563" t="str">
        <f>Totals!D14</f>
        <v>CONUS</v>
      </c>
      <c r="F10" s="379"/>
      <c r="G10" s="127"/>
    </row>
    <row r="11" spans="1:7" ht="15.75" thickBot="1" x14ac:dyDescent="0.3">
      <c r="A11" s="498"/>
      <c r="B11" s="564" t="str">
        <f>Totals!B15</f>
        <v>010</v>
      </c>
      <c r="C11" s="565" t="str">
        <f>Totals!C15</f>
        <v xml:space="preserve">Instructor  </v>
      </c>
      <c r="D11" s="380"/>
      <c r="E11" s="565" t="str">
        <f>Totals!D15</f>
        <v>CONUS</v>
      </c>
      <c r="F11" s="380"/>
      <c r="G11" s="182"/>
    </row>
    <row r="12" spans="1:7" x14ac:dyDescent="0.25">
      <c r="A12" s="496" t="s">
        <v>77</v>
      </c>
      <c r="B12" s="562" t="str">
        <f>Totals!B16</f>
        <v>011</v>
      </c>
      <c r="C12" s="563" t="str">
        <f>Totals!C16</f>
        <v>Heavy Equipment Mechanic</v>
      </c>
      <c r="D12" s="379"/>
      <c r="E12" s="563" t="str">
        <f>Totals!D16</f>
        <v>CONUS</v>
      </c>
      <c r="F12" s="379"/>
      <c r="G12" s="127"/>
    </row>
    <row r="13" spans="1:7" x14ac:dyDescent="0.25">
      <c r="A13" s="497"/>
      <c r="B13" s="141" t="str">
        <f>Totals!B17</f>
        <v>012</v>
      </c>
      <c r="C13" s="142" t="str">
        <f>Totals!C17</f>
        <v>Material Handling Specialist</v>
      </c>
      <c r="D13" s="11"/>
      <c r="E13" s="142" t="str">
        <f>Totals!D17</f>
        <v>CONUS</v>
      </c>
      <c r="F13" s="11"/>
      <c r="G13" s="8"/>
    </row>
    <row r="14" spans="1:7" x14ac:dyDescent="0.25">
      <c r="A14" s="497"/>
      <c r="B14" s="141" t="str">
        <f>Totals!B18</f>
        <v>013</v>
      </c>
      <c r="C14" s="142" t="str">
        <f>Totals!C18</f>
        <v>Quality Assurance</v>
      </c>
      <c r="D14" s="11"/>
      <c r="E14" s="142" t="str">
        <f>Totals!D18</f>
        <v>CONUS</v>
      </c>
      <c r="F14" s="11"/>
      <c r="G14" s="8"/>
    </row>
    <row r="15" spans="1:7" x14ac:dyDescent="0.25">
      <c r="A15" s="497"/>
      <c r="B15" s="141" t="str">
        <f>Totals!B19</f>
        <v>014</v>
      </c>
      <c r="C15" s="142" t="str">
        <f>Totals!C19</f>
        <v>Supply/Procurement Specialist</v>
      </c>
      <c r="D15" s="11"/>
      <c r="E15" s="142" t="str">
        <f>Totals!D19</f>
        <v>CONUS</v>
      </c>
      <c r="F15" s="11"/>
      <c r="G15" s="8"/>
    </row>
    <row r="16" spans="1:7" ht="15.75" thickBot="1" x14ac:dyDescent="0.3">
      <c r="A16" s="498"/>
      <c r="B16" s="564" t="str">
        <f>Totals!B20</f>
        <v>015</v>
      </c>
      <c r="C16" s="565" t="str">
        <f>Totals!C20</f>
        <v>Welder</v>
      </c>
      <c r="D16" s="380"/>
      <c r="E16" s="565" t="str">
        <f>Totals!D20</f>
        <v>CONUS</v>
      </c>
      <c r="F16" s="380"/>
      <c r="G16" s="182"/>
    </row>
    <row r="17" spans="1:7" ht="15.75" thickBot="1" x14ac:dyDescent="0.3">
      <c r="A17" s="297" t="s">
        <v>73</v>
      </c>
      <c r="B17" s="559" t="str">
        <f>Totals!B21</f>
        <v>016</v>
      </c>
      <c r="C17" s="560" t="str">
        <f>Totals!C21</f>
        <v>Field Service Representative</v>
      </c>
      <c r="D17" s="561"/>
      <c r="E17" s="560" t="str">
        <f>Totals!D21</f>
        <v>OCONUS</v>
      </c>
      <c r="F17" s="561"/>
      <c r="G17" s="337"/>
    </row>
    <row r="18" spans="1:7" ht="15.75" thickBot="1" x14ac:dyDescent="0.3">
      <c r="A18" s="297" t="s">
        <v>74</v>
      </c>
      <c r="B18" s="559" t="str">
        <f>Totals!B22</f>
        <v>017</v>
      </c>
      <c r="C18" s="560" t="str">
        <f>Totals!C22</f>
        <v>Heavy Equipment Mechanic</v>
      </c>
      <c r="D18" s="561"/>
      <c r="E18" s="560" t="str">
        <f>Totals!D22</f>
        <v>OCONUS</v>
      </c>
      <c r="F18" s="561"/>
      <c r="G18" s="337"/>
    </row>
    <row r="19" spans="1:7" x14ac:dyDescent="0.25">
      <c r="A19" s="496" t="s">
        <v>76</v>
      </c>
      <c r="B19" s="562" t="str">
        <f>Totals!B23</f>
        <v>018</v>
      </c>
      <c r="C19" s="563" t="str">
        <f>Totals!C23</f>
        <v>Instructor Supervisor</v>
      </c>
      <c r="D19" s="379"/>
      <c r="E19" s="563" t="str">
        <f>Totals!D23</f>
        <v>OCONUS</v>
      </c>
      <c r="F19" s="379"/>
      <c r="G19" s="127"/>
    </row>
    <row r="20" spans="1:7" ht="15.75" thickBot="1" x14ac:dyDescent="0.3">
      <c r="A20" s="498"/>
      <c r="B20" s="564" t="str">
        <f>Totals!B24</f>
        <v>019</v>
      </c>
      <c r="C20" s="565" t="str">
        <f>Totals!C24</f>
        <v xml:space="preserve">Instructor </v>
      </c>
      <c r="D20" s="380"/>
      <c r="E20" s="565" t="str">
        <f>Totals!D24</f>
        <v>OCONUS</v>
      </c>
      <c r="F20" s="380"/>
      <c r="G20" s="182"/>
    </row>
    <row r="21" spans="1:7" x14ac:dyDescent="0.25">
      <c r="A21" s="493" t="s">
        <v>77</v>
      </c>
      <c r="B21" s="562" t="str">
        <f>Totals!B25</f>
        <v>020</v>
      </c>
      <c r="C21" s="563" t="str">
        <f>Totals!C25</f>
        <v>Heavy Equipment Mechanic</v>
      </c>
      <c r="D21" s="379"/>
      <c r="E21" s="563" t="str">
        <f>Totals!D25</f>
        <v>OCONUS</v>
      </c>
      <c r="F21" s="379"/>
      <c r="G21" s="127"/>
    </row>
    <row r="22" spans="1:7" x14ac:dyDescent="0.25">
      <c r="A22" s="494"/>
      <c r="B22" s="141" t="str">
        <f>Totals!B26</f>
        <v>021</v>
      </c>
      <c r="C22" s="142" t="str">
        <f>Totals!C26</f>
        <v>Material Handling Specialist</v>
      </c>
      <c r="D22" s="11"/>
      <c r="E22" s="142" t="str">
        <f>Totals!D26</f>
        <v>OCONUS</v>
      </c>
      <c r="F22" s="11"/>
      <c r="G22" s="8"/>
    </row>
    <row r="23" spans="1:7" x14ac:dyDescent="0.25">
      <c r="A23" s="494"/>
      <c r="B23" s="141" t="str">
        <f>Totals!B27</f>
        <v>022</v>
      </c>
      <c r="C23" s="142" t="str">
        <f>Totals!C27</f>
        <v>Quality Assurance</v>
      </c>
      <c r="D23" s="11"/>
      <c r="E23" s="142" t="str">
        <f>Totals!D27</f>
        <v>OCONUS</v>
      </c>
      <c r="F23" s="11"/>
      <c r="G23" s="8"/>
    </row>
    <row r="24" spans="1:7" ht="15.75" thickBot="1" x14ac:dyDescent="0.3">
      <c r="A24" s="495"/>
      <c r="B24" s="564" t="str">
        <f>Totals!B28</f>
        <v>023</v>
      </c>
      <c r="C24" s="565" t="str">
        <f>Totals!C28</f>
        <v>Supply/Procurement Specialist</v>
      </c>
      <c r="D24" s="380"/>
      <c r="E24" s="565" t="str">
        <f>Totals!D28</f>
        <v>OCONUS</v>
      </c>
      <c r="F24" s="380"/>
      <c r="G24" s="182"/>
    </row>
    <row r="25" spans="1:7" ht="15.75" thickBot="1" x14ac:dyDescent="0.3">
      <c r="A25" s="297" t="s">
        <v>73</v>
      </c>
      <c r="B25" s="559" t="str">
        <f>Totals!B29</f>
        <v>024</v>
      </c>
      <c r="C25" s="560" t="str">
        <f>Totals!C29</f>
        <v>Field Service Representative</v>
      </c>
      <c r="D25" s="561"/>
      <c r="E25" s="560" t="str">
        <f>Totals!D29</f>
        <v>OCONUS - IRAQ</v>
      </c>
      <c r="F25" s="561"/>
      <c r="G25" s="337"/>
    </row>
    <row r="26" spans="1:7" ht="15.75" thickBot="1" x14ac:dyDescent="0.3">
      <c r="A26" s="297" t="s">
        <v>74</v>
      </c>
      <c r="B26" s="559" t="str">
        <f>Totals!B30</f>
        <v>025</v>
      </c>
      <c r="C26" s="560" t="str">
        <f>Totals!C30</f>
        <v>Heavy Equipment Mechanic</v>
      </c>
      <c r="D26" s="561"/>
      <c r="E26" s="560" t="str">
        <f>Totals!D30</f>
        <v>OCONUS - IRAQ</v>
      </c>
      <c r="F26" s="561"/>
      <c r="G26" s="337"/>
    </row>
    <row r="27" spans="1:7" x14ac:dyDescent="0.25">
      <c r="A27" s="493" t="s">
        <v>76</v>
      </c>
      <c r="B27" s="562" t="str">
        <f>Totals!B31</f>
        <v>026</v>
      </c>
      <c r="C27" s="563" t="str">
        <f>Totals!C31</f>
        <v>Instructor Supervisor</v>
      </c>
      <c r="D27" s="379"/>
      <c r="E27" s="563" t="str">
        <f>Totals!D31</f>
        <v>OCONUS - IRAQ</v>
      </c>
      <c r="F27" s="379"/>
      <c r="G27" s="127"/>
    </row>
    <row r="28" spans="1:7" ht="15.75" thickBot="1" x14ac:dyDescent="0.3">
      <c r="A28" s="500"/>
      <c r="B28" s="564" t="str">
        <f>Totals!B32</f>
        <v>027</v>
      </c>
      <c r="C28" s="565" t="str">
        <f>Totals!C32</f>
        <v xml:space="preserve">Instructor </v>
      </c>
      <c r="D28" s="380"/>
      <c r="E28" s="565" t="str">
        <f>Totals!D32</f>
        <v>OCONUS - IRAQ</v>
      </c>
      <c r="F28" s="380"/>
      <c r="G28" s="182"/>
    </row>
    <row r="29" spans="1:7" x14ac:dyDescent="0.25">
      <c r="A29" s="493" t="s">
        <v>77</v>
      </c>
      <c r="B29" s="562" t="str">
        <f>Totals!B33</f>
        <v>028</v>
      </c>
      <c r="C29" s="563" t="str">
        <f>Totals!C33</f>
        <v>Heavy Equipment Mechanic</v>
      </c>
      <c r="D29" s="379"/>
      <c r="E29" s="563" t="str">
        <f>Totals!D33</f>
        <v>OCONUS - IRAQ</v>
      </c>
      <c r="F29" s="379"/>
      <c r="G29" s="127"/>
    </row>
    <row r="30" spans="1:7" x14ac:dyDescent="0.25">
      <c r="A30" s="494"/>
      <c r="B30" s="141" t="str">
        <f>Totals!B34</f>
        <v>029</v>
      </c>
      <c r="C30" s="142" t="str">
        <f>Totals!C34</f>
        <v>Material Handling Specialist</v>
      </c>
      <c r="D30" s="11"/>
      <c r="E30" s="142" t="str">
        <f>Totals!D34</f>
        <v>OCONUS - IRAQ</v>
      </c>
      <c r="F30" s="11"/>
      <c r="G30" s="8"/>
    </row>
    <row r="31" spans="1:7" x14ac:dyDescent="0.25">
      <c r="A31" s="494"/>
      <c r="B31" s="141" t="str">
        <f>Totals!B35</f>
        <v>030</v>
      </c>
      <c r="C31" s="142" t="str">
        <f>Totals!C35</f>
        <v>Quality Assurance</v>
      </c>
      <c r="D31" s="11"/>
      <c r="E31" s="142" t="str">
        <f>Totals!D35</f>
        <v>OCONUS - IRAQ</v>
      </c>
      <c r="F31" s="11"/>
      <c r="G31" s="8"/>
    </row>
    <row r="32" spans="1:7" ht="15.75" thickBot="1" x14ac:dyDescent="0.3">
      <c r="A32" s="495"/>
      <c r="B32" s="564" t="str">
        <f>Totals!B36</f>
        <v>031</v>
      </c>
      <c r="C32" s="565" t="str">
        <f>Totals!C36</f>
        <v>Supply/Procurement Specialist</v>
      </c>
      <c r="D32" s="380"/>
      <c r="E32" s="565" t="str">
        <f>Totals!D36</f>
        <v>OCONUS - IRAQ</v>
      </c>
      <c r="F32" s="380"/>
      <c r="G32" s="182"/>
    </row>
  </sheetData>
  <sheetProtection algorithmName="SHA-512" hashValue="lXELzNAq52hjWQ8L4qHKEiNP6cUnQrTt9Qu87QdYdPcPQCd6L90TMYmdRouLZkTwM6c4QF0UPNHCP2eVJSvJlA==" saltValue="Fi/ZKDogFYLjiVv6up2SYg==" spinCount="100000" sheet="1" objects="1" scenarios="1"/>
  <mergeCells count="7">
    <mergeCell ref="A29:A32"/>
    <mergeCell ref="A5:A9"/>
    <mergeCell ref="A10:A11"/>
    <mergeCell ref="A12:A16"/>
    <mergeCell ref="A19:A20"/>
    <mergeCell ref="A21:A24"/>
    <mergeCell ref="A27:A28"/>
  </mergeCells>
  <phoneticPr fontId="21"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X60"/>
  <sheetViews>
    <sheetView showGridLines="0" topLeftCell="A48" zoomScaleNormal="100" workbookViewId="0">
      <selection activeCell="F60" sqref="F60"/>
    </sheetView>
  </sheetViews>
  <sheetFormatPr defaultColWidth="9.140625" defaultRowHeight="15" x14ac:dyDescent="0.25"/>
  <cols>
    <col min="1" max="1" width="31.5703125" style="134" customWidth="1"/>
    <col min="2" max="2" width="4" style="132" bestFit="1" customWidth="1"/>
    <col min="3" max="3" width="39.7109375" style="134" customWidth="1"/>
    <col min="4" max="4" width="16.5703125" style="134" customWidth="1"/>
    <col min="5" max="5" width="1.7109375" style="132" customWidth="1"/>
    <col min="6" max="6" width="27.7109375" style="13" customWidth="1"/>
    <col min="7" max="7" width="1.7109375" style="14" customWidth="1"/>
    <col min="8" max="8" width="27.7109375" style="13" customWidth="1"/>
    <col min="9" max="9" width="1.7109375" style="15" customWidth="1"/>
    <col min="10" max="10" width="27.7109375" style="15" customWidth="1"/>
    <col min="11" max="11" width="1.7109375" style="15" customWidth="1"/>
    <col min="12" max="12" width="27.7109375" style="13" customWidth="1"/>
    <col min="13" max="13" width="1.7109375" style="15" customWidth="1"/>
    <col min="14" max="14" width="27.7109375" style="15" customWidth="1"/>
    <col min="15" max="15" width="27.7109375" style="13" customWidth="1"/>
    <col min="16" max="16" width="1.7109375" style="133" customWidth="1"/>
    <col min="17" max="17" width="19.7109375" style="134" customWidth="1"/>
    <col min="18" max="18" width="17" style="134" bestFit="1" customWidth="1"/>
    <col min="19" max="19" width="21.85546875" style="134" bestFit="1" customWidth="1"/>
    <col min="20" max="20" width="16.140625" style="134" bestFit="1" customWidth="1"/>
    <col min="21" max="16384" width="9.140625" style="134"/>
  </cols>
  <sheetData>
    <row r="2" spans="1:16" ht="63" customHeight="1" x14ac:dyDescent="0.35">
      <c r="A2" s="515" t="s">
        <v>78</v>
      </c>
      <c r="B2" s="515"/>
      <c r="C2" s="269"/>
      <c r="E2" s="441"/>
      <c r="F2" s="441"/>
    </row>
    <row r="3" spans="1:16" ht="57.75" customHeight="1" x14ac:dyDescent="0.35">
      <c r="A3" s="515" t="s">
        <v>79</v>
      </c>
      <c r="B3" s="515"/>
      <c r="C3" s="270"/>
      <c r="E3" s="442"/>
      <c r="F3" s="442"/>
    </row>
    <row r="4" spans="1:16" s="132" customFormat="1" ht="49.5" customHeight="1" thickBot="1" x14ac:dyDescent="0.3">
      <c r="C4" s="136"/>
      <c r="D4" s="136"/>
      <c r="E4" s="17"/>
      <c r="F4" s="513" t="s">
        <v>80</v>
      </c>
      <c r="G4" s="513"/>
      <c r="H4" s="513"/>
      <c r="I4" s="513"/>
      <c r="J4" s="513"/>
      <c r="K4" s="513"/>
      <c r="L4" s="513"/>
      <c r="M4" s="513"/>
      <c r="N4" s="513"/>
      <c r="O4" s="513"/>
      <c r="P4" s="135"/>
    </row>
    <row r="5" spans="1:16" s="139" customFormat="1" ht="47.25" customHeight="1" thickBot="1" x14ac:dyDescent="0.3">
      <c r="A5" s="146" t="s">
        <v>65</v>
      </c>
      <c r="B5" s="146" t="s">
        <v>66</v>
      </c>
      <c r="C5" s="146" t="s">
        <v>81</v>
      </c>
      <c r="D5" s="146" t="s">
        <v>82</v>
      </c>
      <c r="E5" s="137"/>
      <c r="F5" s="478" t="s">
        <v>83</v>
      </c>
      <c r="G5" s="20"/>
      <c r="H5" s="478" t="s">
        <v>84</v>
      </c>
      <c r="I5" s="20"/>
      <c r="J5" s="478" t="s">
        <v>85</v>
      </c>
      <c r="K5" s="20"/>
      <c r="L5" s="478" t="s">
        <v>86</v>
      </c>
      <c r="M5" s="20"/>
      <c r="N5" s="19" t="s">
        <v>87</v>
      </c>
      <c r="O5" s="21" t="s">
        <v>88</v>
      </c>
      <c r="P5" s="138"/>
    </row>
    <row r="6" spans="1:16" ht="15.75" thickBot="1" x14ac:dyDescent="0.3">
      <c r="A6" s="297" t="s">
        <v>72</v>
      </c>
      <c r="B6" s="390" t="s">
        <v>89</v>
      </c>
      <c r="C6" s="391" t="s">
        <v>90</v>
      </c>
      <c r="D6" s="392" t="s">
        <v>91</v>
      </c>
      <c r="F6" s="405">
        <f>'Ordering Period 1'!W5+'Ordering Period 1'!AJ5</f>
        <v>0</v>
      </c>
      <c r="G6" s="15"/>
      <c r="H6" s="405">
        <f>'Ordering Period 2'!U5+'Ordering Period 2'!AH5</f>
        <v>0</v>
      </c>
      <c r="J6" s="405">
        <f>'Ordering Period 3'!U5+'Ordering Period 3'!AH5</f>
        <v>0</v>
      </c>
      <c r="L6" s="405">
        <f>'Ordering Period 4'!W5+'Ordering Period 4'!AJ5</f>
        <v>0</v>
      </c>
      <c r="N6" s="405">
        <f>'Ordering Period 5'!U5+'Ordering Period 5'!AH5</f>
        <v>0</v>
      </c>
      <c r="O6" s="405">
        <f>ROUND(N6*0.5,0)</f>
        <v>0</v>
      </c>
    </row>
    <row r="7" spans="1:16" ht="15.75" thickBot="1" x14ac:dyDescent="0.3">
      <c r="A7" s="297" t="s">
        <v>73</v>
      </c>
      <c r="B7" s="390" t="s">
        <v>92</v>
      </c>
      <c r="C7" s="393" t="s">
        <v>93</v>
      </c>
      <c r="D7" s="392" t="s">
        <v>91</v>
      </c>
      <c r="F7" s="405">
        <f>'Ordering Period 1'!W6+'Ordering Period 1'!W21+'Ordering Period 1'!AJ6+'Ordering Period 1'!AJ21</f>
        <v>0</v>
      </c>
      <c r="G7" s="15"/>
      <c r="H7" s="405">
        <f>'Ordering Period 2'!U6+'Ordering Period 2'!U21+'Ordering Period 2'!AH6+'Ordering Period 2'!AH21</f>
        <v>0</v>
      </c>
      <c r="J7" s="405">
        <f>'Ordering Period 3'!U6+'Ordering Period 3'!U21+'Ordering Period 3'!AH6+'Ordering Period 3'!AH21</f>
        <v>0</v>
      </c>
      <c r="L7" s="405">
        <f>'Ordering Period 4'!W6+'Ordering Period 4'!W21+'Ordering Period 4'!AJ6+'Ordering Period 4'!AJ21</f>
        <v>0</v>
      </c>
      <c r="N7" s="405">
        <f>'Ordering Period 5'!U6+'Ordering Period 5'!U21+'Ordering Period 5'!AH6+'Ordering Period 5'!AH21</f>
        <v>0</v>
      </c>
      <c r="O7" s="405">
        <f t="shared" ref="O7:O36" si="0">ROUND(N7*0.5,0)</f>
        <v>0</v>
      </c>
    </row>
    <row r="8" spans="1:16" ht="15.75" thickBot="1" x14ac:dyDescent="0.3">
      <c r="A8" s="297" t="s">
        <v>74</v>
      </c>
      <c r="B8" s="390" t="s">
        <v>94</v>
      </c>
      <c r="C8" s="394" t="s">
        <v>95</v>
      </c>
      <c r="D8" s="392" t="s">
        <v>91</v>
      </c>
      <c r="F8" s="405">
        <f>'Ordering Period 1'!W7+'Ordering Period 1'!W22+'Ordering Period 1'!AJ7+'Ordering Period 1'!AJ22</f>
        <v>0</v>
      </c>
      <c r="G8" s="15"/>
      <c r="H8" s="405">
        <f>'Ordering Period 2'!U7+'Ordering Period 2'!U22+'Ordering Period 2'!AH7+'Ordering Period 2'!AH22</f>
        <v>0</v>
      </c>
      <c r="J8" s="405">
        <f>'Ordering Period 3'!U7+'Ordering Period 3'!U22+'Ordering Period 3'!AH7+'Ordering Period 3'!AH22</f>
        <v>0</v>
      </c>
      <c r="L8" s="405">
        <f>'Ordering Period 4'!W7+'Ordering Period 4'!W22+'Ordering Period 4'!AJ7+'Ordering Period 4'!AJ22</f>
        <v>0</v>
      </c>
      <c r="N8" s="405">
        <f>'Ordering Period 5'!U7+'Ordering Period 5'!U22+'Ordering Period 5'!AH7+'Ordering Period 5'!AH22</f>
        <v>0</v>
      </c>
      <c r="O8" s="405">
        <f t="shared" si="0"/>
        <v>0</v>
      </c>
    </row>
    <row r="9" spans="1:16" x14ac:dyDescent="0.25">
      <c r="A9" s="496" t="s">
        <v>75</v>
      </c>
      <c r="B9" s="384" t="s">
        <v>96</v>
      </c>
      <c r="C9" s="395" t="s">
        <v>93</v>
      </c>
      <c r="D9" s="216" t="s">
        <v>91</v>
      </c>
      <c r="F9" s="406">
        <f>'Ordering Period 1'!W8+'Ordering Period 1'!W23+'Ordering Period 1'!AJ8+'Ordering Period 1'!AJ23</f>
        <v>0</v>
      </c>
      <c r="G9" s="15"/>
      <c r="H9" s="406">
        <f>'Ordering Period 2'!U8+'Ordering Period 2'!U23+'Ordering Period 2'!AH8+'Ordering Period 2'!AH23</f>
        <v>0</v>
      </c>
      <c r="J9" s="406">
        <f>'Ordering Period 3'!U8+'Ordering Period 3'!U23+'Ordering Period 3'!AH8+'Ordering Period 3'!AH23</f>
        <v>0</v>
      </c>
      <c r="L9" s="406">
        <f>'Ordering Period 4'!W8+'Ordering Period 4'!W23+'Ordering Period 4'!AJ8+'Ordering Period 4'!AJ23</f>
        <v>0</v>
      </c>
      <c r="N9" s="406">
        <f>'Ordering Period 5'!U8+'Ordering Period 5'!U23+'Ordering Period 5'!AH8+'Ordering Period 5'!AH23</f>
        <v>0</v>
      </c>
      <c r="O9" s="406">
        <f t="shared" si="0"/>
        <v>0</v>
      </c>
    </row>
    <row r="10" spans="1:16" x14ac:dyDescent="0.25">
      <c r="A10" s="497"/>
      <c r="B10" s="383" t="s">
        <v>97</v>
      </c>
      <c r="C10" s="387" t="s">
        <v>75</v>
      </c>
      <c r="D10" s="217" t="s">
        <v>91</v>
      </c>
      <c r="F10" s="22">
        <f>'Ordering Period 1'!W9+'Ordering Period 1'!W24+'Ordering Period 1'!AJ9+'Ordering Period 1'!AJ24</f>
        <v>0</v>
      </c>
      <c r="G10" s="15"/>
      <c r="H10" s="22">
        <f>'Ordering Period 2'!U9+'Ordering Period 2'!U24+'Ordering Period 2'!AH9+'Ordering Period 2'!AH24</f>
        <v>0</v>
      </c>
      <c r="J10" s="22">
        <f>'Ordering Period 3'!U9+'Ordering Period 3'!U24+'Ordering Period 3'!AH9+'Ordering Period 3'!AH24</f>
        <v>0</v>
      </c>
      <c r="L10" s="22">
        <f>'Ordering Period 4'!W9+'Ordering Period 4'!W24+'Ordering Period 4'!AJ9+'Ordering Period 4'!AJ24</f>
        <v>0</v>
      </c>
      <c r="N10" s="22">
        <f>'Ordering Period 5'!U9+'Ordering Period 5'!U24+'Ordering Period 5'!AH9+'Ordering Period 5'!AH24</f>
        <v>0</v>
      </c>
      <c r="O10" s="22">
        <f t="shared" si="0"/>
        <v>0</v>
      </c>
    </row>
    <row r="11" spans="1:16" x14ac:dyDescent="0.25">
      <c r="A11" s="497"/>
      <c r="B11" s="383" t="s">
        <v>98</v>
      </c>
      <c r="C11" s="272" t="s">
        <v>99</v>
      </c>
      <c r="D11" s="217" t="s">
        <v>91</v>
      </c>
      <c r="F11" s="22">
        <f>'Ordering Period 1'!W10+'Ordering Period 1'!W25+'Ordering Period 1'!AJ10+'Ordering Period 1'!AJ25</f>
        <v>0</v>
      </c>
      <c r="G11" s="15"/>
      <c r="H11" s="22">
        <f>'Ordering Period 2'!U10+'Ordering Period 2'!U25+'Ordering Period 2'!AH10+'Ordering Period 2'!AH25</f>
        <v>0</v>
      </c>
      <c r="J11" s="22">
        <f>'Ordering Period 3'!U10+'Ordering Period 3'!U25+'Ordering Period 3'!AH10+'Ordering Period 3'!AH25</f>
        <v>0</v>
      </c>
      <c r="L11" s="22">
        <f>'Ordering Period 4'!W10+'Ordering Period 4'!W25+'Ordering Period 4'!AJ10+'Ordering Period 4'!AJ25</f>
        <v>0</v>
      </c>
      <c r="N11" s="22">
        <f>'Ordering Period 5'!U10+'Ordering Period 5'!U25+'Ordering Period 5'!AH10+'Ordering Period 5'!AH25</f>
        <v>0</v>
      </c>
      <c r="O11" s="22">
        <f t="shared" si="0"/>
        <v>0</v>
      </c>
    </row>
    <row r="12" spans="1:16" x14ac:dyDescent="0.25">
      <c r="A12" s="497"/>
      <c r="B12" s="383" t="s">
        <v>100</v>
      </c>
      <c r="C12" s="272" t="s">
        <v>101</v>
      </c>
      <c r="D12" s="217" t="s">
        <v>91</v>
      </c>
      <c r="F12" s="22">
        <f>'Ordering Period 1'!W11+'Ordering Period 1'!W26+'Ordering Period 1'!AJ11+'Ordering Period 1'!AJ26</f>
        <v>0</v>
      </c>
      <c r="G12" s="15"/>
      <c r="H12" s="22">
        <f>'Ordering Period 2'!U11+'Ordering Period 2'!U26+'Ordering Period 2'!AH11+'Ordering Period 2'!AH26</f>
        <v>0</v>
      </c>
      <c r="J12" s="22">
        <f>'Ordering Period 3'!U11+'Ordering Period 3'!U26+'Ordering Period 3'!AH11+'Ordering Period 3'!AH26</f>
        <v>0</v>
      </c>
      <c r="L12" s="22">
        <f>'Ordering Period 4'!W11+'Ordering Period 4'!W26+'Ordering Period 4'!AJ11+'Ordering Period 4'!AJ26</f>
        <v>0</v>
      </c>
      <c r="N12" s="22">
        <f>'Ordering Period 5'!U11+'Ordering Period 5'!U26+'Ordering Period 5'!AH11+'Ordering Period 5'!AH26</f>
        <v>0</v>
      </c>
      <c r="O12" s="22">
        <f t="shared" si="0"/>
        <v>0</v>
      </c>
    </row>
    <row r="13" spans="1:16" ht="15.75" thickBot="1" x14ac:dyDescent="0.3">
      <c r="A13" s="498"/>
      <c r="B13" s="385" t="s">
        <v>102</v>
      </c>
      <c r="C13" s="396" t="s">
        <v>103</v>
      </c>
      <c r="D13" s="397" t="s">
        <v>91</v>
      </c>
      <c r="F13" s="174">
        <f>'Ordering Period 1'!W12+'Ordering Period 1'!W27+'Ordering Period 1'!AJ12+'Ordering Period 1'!AJ27</f>
        <v>0</v>
      </c>
      <c r="G13" s="15"/>
      <c r="H13" s="174">
        <f>'Ordering Period 2'!U12+'Ordering Period 2'!U27+'Ordering Period 2'!AH12+'Ordering Period 2'!AH27</f>
        <v>0</v>
      </c>
      <c r="J13" s="174">
        <f>'Ordering Period 3'!U12+'Ordering Period 3'!U27+'Ordering Period 3'!AH12+'Ordering Period 3'!AH27</f>
        <v>0</v>
      </c>
      <c r="L13" s="174">
        <f>'Ordering Period 4'!W12+'Ordering Period 4'!W27+'Ordering Period 4'!AJ12+'Ordering Period 4'!AJ27</f>
        <v>0</v>
      </c>
      <c r="N13" s="174">
        <f>'Ordering Period 5'!U12+'Ordering Period 5'!U27+'Ordering Period 5'!AH12+'Ordering Period 5'!AH27</f>
        <v>0</v>
      </c>
      <c r="O13" s="174">
        <f t="shared" si="0"/>
        <v>0</v>
      </c>
    </row>
    <row r="14" spans="1:16" x14ac:dyDescent="0.25">
      <c r="A14" s="496" t="s">
        <v>76</v>
      </c>
      <c r="B14" s="384" t="s">
        <v>104</v>
      </c>
      <c r="C14" s="398" t="s">
        <v>105</v>
      </c>
      <c r="D14" s="216" t="s">
        <v>91</v>
      </c>
      <c r="F14" s="131">
        <f>'Ordering Period 1'!W13+'Ordering Period 1'!W28+'Ordering Period 1'!AJ13+'Ordering Period 1'!AJ28</f>
        <v>0</v>
      </c>
      <c r="G14" s="15"/>
      <c r="H14" s="131">
        <f>'Ordering Period 2'!U13+'Ordering Period 2'!U28+'Ordering Period 2'!AH13+'Ordering Period 2'!AH28</f>
        <v>0</v>
      </c>
      <c r="J14" s="131">
        <f>'Ordering Period 3'!U13+'Ordering Period 3'!U28+'Ordering Period 3'!AH13+'Ordering Period 3'!AH28</f>
        <v>0</v>
      </c>
      <c r="L14" s="131">
        <f>'Ordering Period 4'!W13+'Ordering Period 4'!W28+'Ordering Period 4'!AJ13+'Ordering Period 4'!AJ28</f>
        <v>0</v>
      </c>
      <c r="N14" s="131">
        <f>'Ordering Period 5'!U13+'Ordering Period 5'!U28+'Ordering Period 5'!AH13+'Ordering Period 5'!AH28</f>
        <v>0</v>
      </c>
      <c r="O14" s="131">
        <f t="shared" si="0"/>
        <v>0</v>
      </c>
    </row>
    <row r="15" spans="1:16" ht="15.75" thickBot="1" x14ac:dyDescent="0.3">
      <c r="A15" s="498"/>
      <c r="B15" s="385" t="s">
        <v>106</v>
      </c>
      <c r="C15" s="273" t="s">
        <v>107</v>
      </c>
      <c r="D15" s="397" t="s">
        <v>91</v>
      </c>
      <c r="F15" s="174">
        <f>'Ordering Period 1'!W14+'Ordering Period 1'!W29+'Ordering Period 1'!AJ14+'Ordering Period 1'!AJ29</f>
        <v>0</v>
      </c>
      <c r="G15" s="15"/>
      <c r="H15" s="174">
        <f>'Ordering Period 2'!U14+'Ordering Period 2'!U29+'Ordering Period 2'!AH14+'Ordering Period 2'!AH29</f>
        <v>0</v>
      </c>
      <c r="J15" s="174">
        <f>'Ordering Period 3'!U14+'Ordering Period 3'!U29+'Ordering Period 3'!AH14+'Ordering Period 3'!AH29</f>
        <v>0</v>
      </c>
      <c r="L15" s="174">
        <f>'Ordering Period 4'!W14+'Ordering Period 4'!W29+'Ordering Period 4'!AJ14+'Ordering Period 4'!AJ29</f>
        <v>0</v>
      </c>
      <c r="N15" s="174">
        <f>'Ordering Period 5'!U14+'Ordering Period 5'!U29+'Ordering Period 5'!AH14+'Ordering Period 5'!AH29</f>
        <v>0</v>
      </c>
      <c r="O15" s="174">
        <f t="shared" si="0"/>
        <v>0</v>
      </c>
    </row>
    <row r="16" spans="1:16" ht="15" customHeight="1" x14ac:dyDescent="0.25">
      <c r="A16" s="496" t="s">
        <v>77</v>
      </c>
      <c r="B16" s="384" t="s">
        <v>108</v>
      </c>
      <c r="C16" s="395" t="s">
        <v>95</v>
      </c>
      <c r="D16" s="216" t="s">
        <v>91</v>
      </c>
      <c r="F16" s="131">
        <f>'Ordering Period 1'!W15+'Ordering Period 1'!W30+'Ordering Period 1'!AJ15+'Ordering Period 1'!AJ30</f>
        <v>0</v>
      </c>
      <c r="G16" s="15"/>
      <c r="H16" s="131">
        <f>'Ordering Period 2'!U15+'Ordering Period 2'!U30+'Ordering Period 2'!AH15+'Ordering Period 2'!AH30</f>
        <v>0</v>
      </c>
      <c r="J16" s="131">
        <f>'Ordering Period 3'!U15+'Ordering Period 3'!U30+'Ordering Period 3'!AH15+'Ordering Period 3'!AH30</f>
        <v>0</v>
      </c>
      <c r="L16" s="131">
        <f>'Ordering Period 4'!W15+'Ordering Period 4'!W30+'Ordering Period 4'!AJ15+'Ordering Period 4'!AJ30</f>
        <v>0</v>
      </c>
      <c r="N16" s="131">
        <f>'Ordering Period 5'!U15+'Ordering Period 5'!U30+'Ordering Period 5'!AH15+'Ordering Period 5'!AH30</f>
        <v>0</v>
      </c>
      <c r="O16" s="131">
        <f t="shared" si="0"/>
        <v>0</v>
      </c>
    </row>
    <row r="17" spans="1:15" x14ac:dyDescent="0.25">
      <c r="A17" s="497"/>
      <c r="B17" s="383" t="s">
        <v>109</v>
      </c>
      <c r="C17" s="386" t="s">
        <v>110</v>
      </c>
      <c r="D17" s="217" t="s">
        <v>91</v>
      </c>
      <c r="F17" s="22">
        <f>'Ordering Period 1'!W16+'Ordering Period 1'!W31+'Ordering Period 1'!AJ16+'Ordering Period 1'!AJ31</f>
        <v>0</v>
      </c>
      <c r="G17" s="15"/>
      <c r="H17" s="22">
        <f>'Ordering Period 2'!U16+'Ordering Period 2'!U31+'Ordering Period 2'!AH16+'Ordering Period 2'!AH31</f>
        <v>0</v>
      </c>
      <c r="J17" s="22">
        <f>'Ordering Period 3'!U16+'Ordering Period 3'!U31+'Ordering Period 3'!AH16+'Ordering Period 3'!AH31</f>
        <v>0</v>
      </c>
      <c r="L17" s="22">
        <f>'Ordering Period 4'!W16+'Ordering Period 4'!W31+'Ordering Period 4'!AJ16+'Ordering Period 4'!AJ31</f>
        <v>0</v>
      </c>
      <c r="N17" s="22">
        <f>'Ordering Period 5'!U16+'Ordering Period 5'!U31+'Ordering Period 5'!AH16+'Ordering Period 5'!AH31</f>
        <v>0</v>
      </c>
      <c r="O17" s="22">
        <f t="shared" si="0"/>
        <v>0</v>
      </c>
    </row>
    <row r="18" spans="1:15" x14ac:dyDescent="0.25">
      <c r="A18" s="497"/>
      <c r="B18" s="383" t="s">
        <v>111</v>
      </c>
      <c r="C18" s="387" t="s">
        <v>99</v>
      </c>
      <c r="D18" s="217" t="s">
        <v>91</v>
      </c>
      <c r="F18" s="22">
        <f>'Ordering Period 1'!W17+'Ordering Period 1'!W32+'Ordering Period 1'!AJ17+'Ordering Period 1'!AJ32</f>
        <v>0</v>
      </c>
      <c r="G18" s="15"/>
      <c r="H18" s="22">
        <f>'Ordering Period 2'!U17+'Ordering Period 2'!U32+'Ordering Period 2'!AH17+'Ordering Period 2'!AH32</f>
        <v>0</v>
      </c>
      <c r="J18" s="22">
        <f>'Ordering Period 3'!U17+'Ordering Period 3'!U32+'Ordering Period 3'!AH17+'Ordering Period 3'!AH32</f>
        <v>0</v>
      </c>
      <c r="L18" s="22">
        <f>'Ordering Period 4'!W17+'Ordering Period 4'!W32+'Ordering Period 4'!AJ17+'Ordering Period 4'!AJ32</f>
        <v>0</v>
      </c>
      <c r="N18" s="22">
        <f>'Ordering Period 5'!U17+'Ordering Period 5'!U32+'Ordering Period 5'!AH17+'Ordering Period 5'!AH32</f>
        <v>0</v>
      </c>
      <c r="O18" s="22">
        <f t="shared" si="0"/>
        <v>0</v>
      </c>
    </row>
    <row r="19" spans="1:15" x14ac:dyDescent="0.25">
      <c r="A19" s="497"/>
      <c r="B19" s="383" t="s">
        <v>112</v>
      </c>
      <c r="C19" s="387" t="s">
        <v>113</v>
      </c>
      <c r="D19" s="217" t="s">
        <v>91</v>
      </c>
      <c r="F19" s="22">
        <f>'Ordering Period 1'!W18+'Ordering Period 1'!W33+'Ordering Period 1'!AJ18+'Ordering Period 1'!AJ33</f>
        <v>0</v>
      </c>
      <c r="G19" s="15"/>
      <c r="H19" s="22">
        <f>'Ordering Period 2'!U18+'Ordering Period 2'!U33+'Ordering Period 2'!AH18+'Ordering Period 2'!AH33</f>
        <v>0</v>
      </c>
      <c r="J19" s="22">
        <f>'Ordering Period 3'!U18+'Ordering Period 3'!U33+'Ordering Period 3'!AH18+'Ordering Period 3'!AH33</f>
        <v>0</v>
      </c>
      <c r="L19" s="22">
        <f>'Ordering Period 4'!W18+'Ordering Period 4'!W33+'Ordering Period 4'!AJ18+'Ordering Period 4'!AJ33</f>
        <v>0</v>
      </c>
      <c r="N19" s="22">
        <f>'Ordering Period 5'!U18+'Ordering Period 5'!U33+'Ordering Period 5'!AH18+'Ordering Period 5'!AH33</f>
        <v>0</v>
      </c>
      <c r="O19" s="22">
        <f t="shared" si="0"/>
        <v>0</v>
      </c>
    </row>
    <row r="20" spans="1:15" ht="15.75" thickBot="1" x14ac:dyDescent="0.3">
      <c r="A20" s="498"/>
      <c r="B20" s="385" t="s">
        <v>114</v>
      </c>
      <c r="C20" s="396" t="s">
        <v>103</v>
      </c>
      <c r="D20" s="397" t="s">
        <v>91</v>
      </c>
      <c r="F20" s="174">
        <f>'Ordering Period 1'!W19+'Ordering Period 1'!W34+'Ordering Period 1'!AJ19+'Ordering Period 1'!AJ34</f>
        <v>0</v>
      </c>
      <c r="G20" s="15"/>
      <c r="H20" s="174">
        <f>'Ordering Period 2'!U19+'Ordering Period 2'!U34+'Ordering Period 2'!AH19+'Ordering Period 2'!AH34</f>
        <v>0</v>
      </c>
      <c r="J20" s="174">
        <f>'Ordering Period 3'!U19+'Ordering Period 3'!U34+'Ordering Period 3'!AH19+'Ordering Period 3'!AH34</f>
        <v>0</v>
      </c>
      <c r="L20" s="174">
        <f>'Ordering Period 4'!W19+'Ordering Period 4'!W34+'Ordering Period 4'!AJ19+'Ordering Period 4'!AJ34</f>
        <v>0</v>
      </c>
      <c r="N20" s="174">
        <f>'Ordering Period 5'!U19+'Ordering Period 5'!U34+'Ordering Period 5'!AH19+'Ordering Period 5'!AH34</f>
        <v>0</v>
      </c>
      <c r="O20" s="174">
        <f t="shared" si="0"/>
        <v>0</v>
      </c>
    </row>
    <row r="21" spans="1:15" ht="15.75" thickBot="1" x14ac:dyDescent="0.3">
      <c r="A21" s="297" t="s">
        <v>73</v>
      </c>
      <c r="B21" s="390" t="s">
        <v>115</v>
      </c>
      <c r="C21" s="284" t="s">
        <v>93</v>
      </c>
      <c r="D21" s="399" t="s">
        <v>116</v>
      </c>
      <c r="F21" s="405">
        <f>'Ordering Period 1'!W36+'Ordering Period 1'!AJ36</f>
        <v>0</v>
      </c>
      <c r="G21" s="15"/>
      <c r="H21" s="405">
        <f>'Ordering Period 2'!U36+'Ordering Period 2'!AH36</f>
        <v>0</v>
      </c>
      <c r="J21" s="405">
        <f>'Ordering Period 3'!U36+'Ordering Period 3'!AH36</f>
        <v>0</v>
      </c>
      <c r="L21" s="405">
        <f>'Ordering Period 4'!W36+'Ordering Period 4'!AJ36</f>
        <v>0</v>
      </c>
      <c r="N21" s="405">
        <f>'Ordering Period 5'!U36+'Ordering Period 5'!AH36</f>
        <v>0</v>
      </c>
      <c r="O21" s="405">
        <f t="shared" si="0"/>
        <v>0</v>
      </c>
    </row>
    <row r="22" spans="1:15" ht="15.75" thickBot="1" x14ac:dyDescent="0.3">
      <c r="A22" s="297" t="s">
        <v>74</v>
      </c>
      <c r="B22" s="390" t="s">
        <v>117</v>
      </c>
      <c r="C22" s="391" t="s">
        <v>95</v>
      </c>
      <c r="D22" s="399" t="s">
        <v>116</v>
      </c>
      <c r="F22" s="405">
        <f>'Ordering Period 1'!W37+'Ordering Period 1'!AJ37</f>
        <v>0</v>
      </c>
      <c r="G22" s="15"/>
      <c r="H22" s="405">
        <f>'Ordering Period 2'!U37+'Ordering Period 2'!AH37</f>
        <v>0</v>
      </c>
      <c r="J22" s="405">
        <f>'Ordering Period 3'!U37+'Ordering Period 3'!AH37</f>
        <v>0</v>
      </c>
      <c r="L22" s="405">
        <f>'Ordering Period 4'!W37+'Ordering Period 4'!AJ37</f>
        <v>0</v>
      </c>
      <c r="N22" s="405">
        <f>'Ordering Period 5'!U37+'Ordering Period 5'!AH37</f>
        <v>0</v>
      </c>
      <c r="O22" s="405">
        <f t="shared" si="0"/>
        <v>0</v>
      </c>
    </row>
    <row r="23" spans="1:15" x14ac:dyDescent="0.25">
      <c r="A23" s="496" t="s">
        <v>76</v>
      </c>
      <c r="B23" s="384" t="s">
        <v>118</v>
      </c>
      <c r="C23" s="109" t="s">
        <v>105</v>
      </c>
      <c r="D23" s="400" t="s">
        <v>116</v>
      </c>
      <c r="F23" s="131">
        <f>'Ordering Period 1'!W38+'Ordering Period 1'!AJ38</f>
        <v>0</v>
      </c>
      <c r="G23" s="15"/>
      <c r="H23" s="131">
        <f>'Ordering Period 2'!U38+'Ordering Period 2'!AH38</f>
        <v>0</v>
      </c>
      <c r="J23" s="131">
        <f>'Ordering Period 3'!U38+'Ordering Period 3'!AH38</f>
        <v>0</v>
      </c>
      <c r="L23" s="412"/>
      <c r="N23" s="412"/>
      <c r="O23" s="412"/>
    </row>
    <row r="24" spans="1:15" ht="15.75" thickBot="1" x14ac:dyDescent="0.3">
      <c r="A24" s="498"/>
      <c r="B24" s="385" t="s">
        <v>119</v>
      </c>
      <c r="C24" s="401" t="s">
        <v>120</v>
      </c>
      <c r="D24" s="218" t="s">
        <v>116</v>
      </c>
      <c r="F24" s="174">
        <f>'Ordering Period 1'!W39+'Ordering Period 1'!AJ39</f>
        <v>0</v>
      </c>
      <c r="G24" s="15"/>
      <c r="H24" s="174">
        <f>'Ordering Period 2'!U39+'Ordering Period 2'!AH39</f>
        <v>0</v>
      </c>
      <c r="J24" s="174">
        <f>'Ordering Period 3'!U39+'Ordering Period 3'!AH39</f>
        <v>0</v>
      </c>
      <c r="L24" s="409"/>
      <c r="N24" s="409"/>
      <c r="O24" s="409"/>
    </row>
    <row r="25" spans="1:15" x14ac:dyDescent="0.25">
      <c r="A25" s="493" t="s">
        <v>77</v>
      </c>
      <c r="B25" s="384" t="s">
        <v>121</v>
      </c>
      <c r="C25" s="144" t="s">
        <v>95</v>
      </c>
      <c r="D25" s="400" t="s">
        <v>116</v>
      </c>
      <c r="F25" s="406">
        <f>'Ordering Period 1'!W40+'Ordering Period 1'!AJ40</f>
        <v>0</v>
      </c>
      <c r="G25" s="15"/>
      <c r="H25" s="406">
        <f>'Ordering Period 2'!U40+'Ordering Period 2'!AH40</f>
        <v>0</v>
      </c>
      <c r="J25" s="406">
        <f>'Ordering Period 3'!U40+'Ordering Period 3'!AH40</f>
        <v>0</v>
      </c>
      <c r="L25" s="404">
        <f>'Ordering Period 4'!W38+'Ordering Period 4'!AJ38</f>
        <v>0</v>
      </c>
      <c r="N25" s="406">
        <f>'Ordering Period 5'!U38+'Ordering Period 5'!AH38</f>
        <v>0</v>
      </c>
      <c r="O25" s="406">
        <f t="shared" si="0"/>
        <v>0</v>
      </c>
    </row>
    <row r="26" spans="1:15" x14ac:dyDescent="0.25">
      <c r="A26" s="494"/>
      <c r="B26" s="383" t="s">
        <v>122</v>
      </c>
      <c r="C26" s="108" t="s">
        <v>110</v>
      </c>
      <c r="D26" s="145" t="s">
        <v>116</v>
      </c>
      <c r="F26" s="22">
        <f>'Ordering Period 1'!W41+'Ordering Period 1'!AJ41</f>
        <v>0</v>
      </c>
      <c r="G26" s="15"/>
      <c r="H26" s="22">
        <f>'Ordering Period 2'!U41+'Ordering Period 2'!AH41</f>
        <v>0</v>
      </c>
      <c r="J26" s="22">
        <f>'Ordering Period 3'!U41+'Ordering Period 3'!AH41</f>
        <v>0</v>
      </c>
      <c r="L26" s="413"/>
      <c r="N26" s="413"/>
      <c r="O26" s="413"/>
    </row>
    <row r="27" spans="1:15" x14ac:dyDescent="0.25">
      <c r="A27" s="494"/>
      <c r="B27" s="383" t="s">
        <v>123</v>
      </c>
      <c r="C27" s="143" t="s">
        <v>99</v>
      </c>
      <c r="D27" s="145" t="s">
        <v>116</v>
      </c>
      <c r="F27" s="22">
        <f>'Ordering Period 1'!W42+'Ordering Period 1'!AJ42</f>
        <v>0</v>
      </c>
      <c r="G27" s="15"/>
      <c r="H27" s="22">
        <f>'Ordering Period 2'!U42+'Ordering Period 2'!AH42</f>
        <v>0</v>
      </c>
      <c r="J27" s="22">
        <f>'Ordering Period 3'!U42+'Ordering Period 3'!AH42</f>
        <v>0</v>
      </c>
      <c r="L27" s="413"/>
      <c r="N27" s="413"/>
      <c r="O27" s="413"/>
    </row>
    <row r="28" spans="1:15" ht="15.75" thickBot="1" x14ac:dyDescent="0.3">
      <c r="A28" s="499"/>
      <c r="B28" s="388" t="s">
        <v>124</v>
      </c>
      <c r="C28" s="389" t="s">
        <v>113</v>
      </c>
      <c r="D28" s="381" t="s">
        <v>116</v>
      </c>
      <c r="F28" s="174">
        <f>'Ordering Period 1'!W43+'Ordering Period 1'!AJ43</f>
        <v>0</v>
      </c>
      <c r="G28" s="15"/>
      <c r="H28" s="174">
        <f>'Ordering Period 2'!U43+'Ordering Period 2'!AH43</f>
        <v>0</v>
      </c>
      <c r="J28" s="174">
        <f>'Ordering Period 3'!U43+'Ordering Period 3'!AH43</f>
        <v>0</v>
      </c>
      <c r="L28" s="409"/>
      <c r="N28" s="409"/>
      <c r="O28" s="409"/>
    </row>
    <row r="29" spans="1:15" ht="15.75" thickBot="1" x14ac:dyDescent="0.3">
      <c r="A29" s="297" t="s">
        <v>73</v>
      </c>
      <c r="B29" s="390" t="s">
        <v>125</v>
      </c>
      <c r="C29" s="391" t="s">
        <v>93</v>
      </c>
      <c r="D29" s="399" t="s">
        <v>126</v>
      </c>
      <c r="F29" s="407"/>
      <c r="G29" s="15"/>
      <c r="H29" s="407"/>
      <c r="J29" s="407"/>
      <c r="L29" s="405">
        <f>'Ordering Period 4'!W39+'Ordering Period 4'!AJ39</f>
        <v>0</v>
      </c>
      <c r="N29" s="405">
        <f>'Ordering Period 5'!U39+'Ordering Period 5'!AH39</f>
        <v>0</v>
      </c>
      <c r="O29" s="405">
        <f t="shared" si="0"/>
        <v>0</v>
      </c>
    </row>
    <row r="30" spans="1:15" ht="15.75" thickBot="1" x14ac:dyDescent="0.3">
      <c r="A30" s="297" t="s">
        <v>74</v>
      </c>
      <c r="B30" s="390" t="s">
        <v>127</v>
      </c>
      <c r="C30" s="391" t="s">
        <v>95</v>
      </c>
      <c r="D30" s="399" t="s">
        <v>126</v>
      </c>
      <c r="F30" s="407"/>
      <c r="G30" s="15"/>
      <c r="H30" s="407"/>
      <c r="J30" s="407"/>
      <c r="L30" s="405">
        <f>'Ordering Period 4'!W40+'Ordering Period 4'!AJ40</f>
        <v>0</v>
      </c>
      <c r="N30" s="405">
        <f>'Ordering Period 5'!U40+'Ordering Period 5'!AH40</f>
        <v>0</v>
      </c>
      <c r="O30" s="405">
        <f t="shared" si="0"/>
        <v>0</v>
      </c>
    </row>
    <row r="31" spans="1:15" x14ac:dyDescent="0.25">
      <c r="A31" s="493" t="s">
        <v>76</v>
      </c>
      <c r="B31" s="384" t="s">
        <v>128</v>
      </c>
      <c r="C31" s="144" t="s">
        <v>105</v>
      </c>
      <c r="D31" s="400" t="s">
        <v>126</v>
      </c>
      <c r="F31" s="408"/>
      <c r="G31" s="15"/>
      <c r="H31" s="408"/>
      <c r="J31" s="408"/>
      <c r="L31" s="404">
        <f>'Ordering Period 4'!W41+'Ordering Period 4'!AJ41</f>
        <v>0</v>
      </c>
      <c r="N31" s="404">
        <f>'Ordering Period 5'!U41+'Ordering Period 5'!AH41</f>
        <v>0</v>
      </c>
      <c r="O31" s="404">
        <f t="shared" si="0"/>
        <v>0</v>
      </c>
    </row>
    <row r="32" spans="1:15" ht="15.75" thickBot="1" x14ac:dyDescent="0.3">
      <c r="A32" s="500"/>
      <c r="B32" s="385" t="s">
        <v>129</v>
      </c>
      <c r="C32" s="402" t="s">
        <v>120</v>
      </c>
      <c r="D32" s="218" t="s">
        <v>126</v>
      </c>
      <c r="F32" s="409"/>
      <c r="G32" s="15"/>
      <c r="H32" s="409"/>
      <c r="J32" s="409"/>
      <c r="L32" s="174">
        <f>'Ordering Period 4'!W42+'Ordering Period 4'!AJ42</f>
        <v>0</v>
      </c>
      <c r="N32" s="174">
        <f>'Ordering Period 5'!U42+'Ordering Period 5'!AH42</f>
        <v>0</v>
      </c>
      <c r="O32" s="174">
        <f t="shared" si="0"/>
        <v>0</v>
      </c>
    </row>
    <row r="33" spans="1:24" x14ac:dyDescent="0.25">
      <c r="A33" s="493" t="s">
        <v>77</v>
      </c>
      <c r="B33" s="384" t="s">
        <v>130</v>
      </c>
      <c r="C33" s="144" t="s">
        <v>95</v>
      </c>
      <c r="D33" s="400" t="s">
        <v>126</v>
      </c>
      <c r="F33" s="410"/>
      <c r="G33" s="15"/>
      <c r="H33" s="410"/>
      <c r="J33" s="410"/>
      <c r="L33" s="403">
        <f>'Ordering Period 4'!W43+'Ordering Period 4'!AJ43</f>
        <v>0</v>
      </c>
      <c r="N33" s="403">
        <f>'Ordering Period 5'!U43+'Ordering Period 5'!AH43</f>
        <v>0</v>
      </c>
      <c r="O33" s="403">
        <f t="shared" si="0"/>
        <v>0</v>
      </c>
    </row>
    <row r="34" spans="1:24" x14ac:dyDescent="0.25">
      <c r="A34" s="494"/>
      <c r="B34" s="383" t="s">
        <v>131</v>
      </c>
      <c r="C34" s="143" t="s">
        <v>110</v>
      </c>
      <c r="D34" s="145" t="s">
        <v>126</v>
      </c>
      <c r="F34" s="411"/>
      <c r="G34" s="15"/>
      <c r="H34" s="411"/>
      <c r="J34" s="411"/>
      <c r="L34" s="382">
        <f>'Ordering Period 4'!W44+'Ordering Period 4'!AJ44</f>
        <v>0</v>
      </c>
      <c r="N34" s="382">
        <f>'Ordering Period 5'!U44+'Ordering Period 5'!AH44</f>
        <v>0</v>
      </c>
      <c r="O34" s="382">
        <f t="shared" si="0"/>
        <v>0</v>
      </c>
    </row>
    <row r="35" spans="1:24" x14ac:dyDescent="0.25">
      <c r="A35" s="494"/>
      <c r="B35" s="383" t="s">
        <v>132</v>
      </c>
      <c r="C35" s="143" t="s">
        <v>99</v>
      </c>
      <c r="D35" s="145" t="s">
        <v>126</v>
      </c>
      <c r="F35" s="411"/>
      <c r="G35" s="15"/>
      <c r="H35" s="411"/>
      <c r="J35" s="411"/>
      <c r="L35" s="382">
        <f>'Ordering Period 4'!W45+'Ordering Period 4'!AJ45</f>
        <v>0</v>
      </c>
      <c r="N35" s="382">
        <f>'Ordering Period 5'!U45+'Ordering Period 5'!AH45</f>
        <v>0</v>
      </c>
      <c r="O35" s="382">
        <f t="shared" si="0"/>
        <v>0</v>
      </c>
    </row>
    <row r="36" spans="1:24" ht="15.75" thickBot="1" x14ac:dyDescent="0.3">
      <c r="A36" s="495"/>
      <c r="B36" s="385" t="s">
        <v>133</v>
      </c>
      <c r="C36" s="147" t="s">
        <v>113</v>
      </c>
      <c r="D36" s="218" t="s">
        <v>126</v>
      </c>
      <c r="F36" s="409"/>
      <c r="G36" s="15"/>
      <c r="H36" s="409"/>
      <c r="J36" s="409"/>
      <c r="L36" s="174">
        <f>'Ordering Period 4'!W46+'Ordering Period 4'!AJ46</f>
        <v>0</v>
      </c>
      <c r="N36" s="174">
        <f>'Ordering Period 5'!U46+'Ordering Period 5'!AH46</f>
        <v>0</v>
      </c>
      <c r="O36" s="174">
        <f t="shared" si="0"/>
        <v>0</v>
      </c>
    </row>
    <row r="37" spans="1:24" s="135" customFormat="1" ht="30.75" customHeight="1" thickBot="1" x14ac:dyDescent="0.3">
      <c r="C37" s="24"/>
      <c r="D37" s="24"/>
      <c r="F37" s="15"/>
      <c r="G37" s="15"/>
      <c r="H37" s="15"/>
      <c r="I37" s="15"/>
      <c r="J37" s="15"/>
      <c r="K37" s="15"/>
      <c r="L37" s="15"/>
      <c r="M37" s="15"/>
      <c r="N37" s="15"/>
      <c r="O37" s="15"/>
    </row>
    <row r="38" spans="1:24" s="26" customFormat="1" ht="15.75" x14ac:dyDescent="0.25">
      <c r="B38" s="24"/>
      <c r="C38" s="503" t="s">
        <v>134</v>
      </c>
      <c r="D38" s="504"/>
      <c r="E38" s="24"/>
      <c r="F38" s="509" t="str">
        <f>F5</f>
        <v>Ordering Period 1</v>
      </c>
      <c r="G38" s="25"/>
      <c r="H38" s="509" t="str">
        <f>H5</f>
        <v>Ordering Period 2</v>
      </c>
      <c r="I38" s="25"/>
      <c r="J38" s="509" t="str">
        <f>J5</f>
        <v>Ordering Period 3</v>
      </c>
      <c r="K38" s="25"/>
      <c r="L38" s="509" t="str">
        <f>L5</f>
        <v>Ordering Period 4</v>
      </c>
      <c r="M38" s="25"/>
      <c r="N38" s="509" t="str">
        <f>N5</f>
        <v>Ordering Period 5</v>
      </c>
      <c r="O38" s="514" t="str">
        <f>O5</f>
        <v>FAR 52.217-8 Option</v>
      </c>
    </row>
    <row r="39" spans="1:24" s="26" customFormat="1" ht="15.75" x14ac:dyDescent="0.25">
      <c r="B39" s="24"/>
      <c r="C39" s="505"/>
      <c r="D39" s="506"/>
      <c r="E39" s="24"/>
      <c r="F39" s="510"/>
      <c r="G39" s="25"/>
      <c r="H39" s="510"/>
      <c r="I39" s="25"/>
      <c r="J39" s="510"/>
      <c r="K39" s="25"/>
      <c r="L39" s="510"/>
      <c r="M39" s="25"/>
      <c r="N39" s="510"/>
      <c r="O39" s="510"/>
    </row>
    <row r="40" spans="1:24" s="28" customFormat="1" ht="30.75" customHeight="1" thickBot="1" x14ac:dyDescent="0.3">
      <c r="B40" s="27"/>
      <c r="C40" s="507"/>
      <c r="D40" s="508"/>
      <c r="E40" s="27"/>
      <c r="F40" s="511"/>
      <c r="G40" s="29"/>
      <c r="H40" s="511"/>
      <c r="I40" s="25"/>
      <c r="J40" s="511"/>
      <c r="K40" s="25"/>
      <c r="L40" s="511"/>
      <c r="M40" s="25"/>
      <c r="N40" s="510"/>
      <c r="O40" s="510"/>
      <c r="P40" s="26"/>
      <c r="Q40" s="26"/>
      <c r="R40" s="26"/>
      <c r="S40" s="26"/>
      <c r="T40" s="26"/>
      <c r="U40" s="27"/>
      <c r="V40" s="20"/>
      <c r="W40" s="27"/>
      <c r="X40" s="20"/>
    </row>
    <row r="41" spans="1:24" s="28" customFormat="1" ht="30.75" customHeight="1" thickBot="1" x14ac:dyDescent="0.3">
      <c r="B41" s="27"/>
      <c r="C41" s="501" t="s">
        <v>135</v>
      </c>
      <c r="D41" s="512"/>
      <c r="E41" s="27"/>
      <c r="F41" s="77">
        <f>SUM(F6:F36)</f>
        <v>0</v>
      </c>
      <c r="G41" s="76"/>
      <c r="H41" s="77">
        <f>SUM(H6:H36)</f>
        <v>0</v>
      </c>
      <c r="I41" s="30"/>
      <c r="J41" s="77">
        <f>SUM(J6:J36)</f>
        <v>0</v>
      </c>
      <c r="K41" s="30"/>
      <c r="L41" s="77">
        <f>SUM(L6:L36)</f>
        <v>0</v>
      </c>
      <c r="M41" s="30"/>
      <c r="N41" s="77">
        <f>SUM(N6:N36)</f>
        <v>0</v>
      </c>
      <c r="O41" s="77">
        <f>SUM(O6:O36)</f>
        <v>0</v>
      </c>
      <c r="P41" s="26"/>
      <c r="Q41" s="73"/>
      <c r="R41" s="26"/>
      <c r="S41" s="26"/>
      <c r="T41" s="26"/>
    </row>
    <row r="42" spans="1:24" s="28" customFormat="1" ht="30.75" customHeight="1" thickBot="1" x14ac:dyDescent="0.3">
      <c r="B42" s="27"/>
      <c r="C42" s="31"/>
      <c r="D42" s="31"/>
      <c r="E42" s="27"/>
      <c r="F42" s="32"/>
      <c r="G42" s="29"/>
      <c r="H42" s="78"/>
      <c r="I42" s="78"/>
      <c r="J42" s="78"/>
      <c r="K42" s="78"/>
      <c r="L42" s="78"/>
      <c r="M42" s="78"/>
      <c r="N42" s="78"/>
      <c r="O42" s="32"/>
      <c r="P42" s="26"/>
      <c r="Q42" s="74"/>
      <c r="R42" s="74"/>
      <c r="S42" s="74"/>
      <c r="T42" s="74"/>
    </row>
    <row r="43" spans="1:24" s="28" customFormat="1" ht="30.75" customHeight="1" thickBot="1" x14ac:dyDescent="0.3">
      <c r="B43" s="27"/>
      <c r="C43" s="501" t="s">
        <v>136</v>
      </c>
      <c r="D43" s="512"/>
      <c r="E43" s="27"/>
      <c r="F43" s="34">
        <f>'Ordering Period 1'!D61</f>
        <v>24658327</v>
      </c>
      <c r="G43" s="25"/>
      <c r="H43" s="34">
        <f>'Ordering Period 2'!D61</f>
        <v>25176152</v>
      </c>
      <c r="I43" s="25"/>
      <c r="J43" s="34">
        <f>'Ordering Period 3'!D61</f>
        <v>25704851</v>
      </c>
      <c r="K43" s="25"/>
      <c r="L43" s="75">
        <f>'Ordering Period 4'!D64</f>
        <v>26244653</v>
      </c>
      <c r="M43" s="25"/>
      <c r="N43" s="34">
        <f>'Ordering Period 5'!D64</f>
        <v>26795791</v>
      </c>
      <c r="O43" s="34">
        <f>ROUND(N43*0.5,0)</f>
        <v>13397896</v>
      </c>
      <c r="P43" s="26"/>
      <c r="Q43" s="73"/>
      <c r="R43" s="79"/>
      <c r="S43" s="73"/>
      <c r="T43" s="73"/>
    </row>
    <row r="44" spans="1:24" s="28" customFormat="1" ht="30.75" customHeight="1" thickBot="1" x14ac:dyDescent="0.3">
      <c r="B44" s="27"/>
      <c r="C44" s="31"/>
      <c r="D44" s="31"/>
      <c r="E44" s="27"/>
      <c r="F44" s="32"/>
      <c r="G44" s="29"/>
      <c r="H44" s="78"/>
      <c r="I44" s="78"/>
      <c r="J44" s="78"/>
      <c r="K44" s="78"/>
      <c r="L44" s="78"/>
      <c r="M44" s="78"/>
      <c r="N44" s="78"/>
      <c r="O44" s="32"/>
      <c r="P44" s="26"/>
      <c r="Q44" s="73"/>
      <c r="R44" s="79"/>
      <c r="S44" s="73"/>
      <c r="T44" s="73"/>
    </row>
    <row r="45" spans="1:24" s="28" customFormat="1" ht="30.75" customHeight="1" thickBot="1" x14ac:dyDescent="0.3">
      <c r="B45" s="27"/>
      <c r="C45" s="501" t="s">
        <v>137</v>
      </c>
      <c r="D45" s="512"/>
      <c r="E45" s="27"/>
      <c r="F45" s="34">
        <f>'Ordering Period 1'!D66</f>
        <v>0</v>
      </c>
      <c r="G45" s="25"/>
      <c r="H45" s="34">
        <f>'Ordering Period 2'!D66</f>
        <v>0</v>
      </c>
      <c r="I45" s="25"/>
      <c r="J45" s="34">
        <f>'Ordering Period 3'!D66</f>
        <v>0</v>
      </c>
      <c r="K45" s="25"/>
      <c r="L45" s="75">
        <f>'Ordering Period 4'!D69</f>
        <v>0</v>
      </c>
      <c r="M45" s="25"/>
      <c r="N45" s="34">
        <f>'Ordering Period 5'!D69</f>
        <v>0</v>
      </c>
      <c r="O45" s="34">
        <f>ROUND(N45*0.5,0)</f>
        <v>0</v>
      </c>
      <c r="P45" s="26"/>
      <c r="Q45" s="73"/>
      <c r="R45" s="79"/>
      <c r="S45" s="73"/>
      <c r="T45" s="73"/>
    </row>
    <row r="46" spans="1:24" s="28" customFormat="1" ht="30.75" customHeight="1" thickBot="1" x14ac:dyDescent="0.3">
      <c r="B46" s="27"/>
      <c r="C46" s="31"/>
      <c r="D46" s="31"/>
      <c r="E46" s="27"/>
      <c r="F46" s="32"/>
      <c r="G46" s="29"/>
      <c r="H46" s="78"/>
      <c r="I46" s="78"/>
      <c r="J46" s="78"/>
      <c r="K46" s="78"/>
      <c r="L46" s="78"/>
      <c r="M46" s="78"/>
      <c r="N46" s="78"/>
      <c r="O46" s="32"/>
      <c r="P46" s="26"/>
      <c r="Q46" s="73"/>
      <c r="R46" s="79"/>
      <c r="S46" s="73"/>
      <c r="T46" s="73"/>
    </row>
    <row r="47" spans="1:24" s="28" customFormat="1" ht="30.75" customHeight="1" thickBot="1" x14ac:dyDescent="0.3">
      <c r="B47" s="27"/>
      <c r="C47" s="477" t="s">
        <v>138</v>
      </c>
      <c r="D47" s="154"/>
      <c r="E47" s="27"/>
      <c r="F47" s="34">
        <f>SUM(C3,F41,F43,F45)</f>
        <v>24658327</v>
      </c>
      <c r="G47" s="25"/>
      <c r="H47" s="34">
        <f>H41+H43+H45</f>
        <v>25176152</v>
      </c>
      <c r="I47" s="25"/>
      <c r="J47" s="34">
        <f>J41+J43+J45</f>
        <v>25704851</v>
      </c>
      <c r="K47" s="25"/>
      <c r="L47" s="34">
        <f>L41+L43+L45</f>
        <v>26244653</v>
      </c>
      <c r="M47" s="25"/>
      <c r="N47" s="34">
        <f>N41+N43+N45</f>
        <v>26795791</v>
      </c>
      <c r="O47" s="34">
        <f>O41+O43+O45</f>
        <v>13397896</v>
      </c>
      <c r="P47" s="26"/>
      <c r="R47" s="78"/>
    </row>
    <row r="48" spans="1:24" s="28" customFormat="1" ht="30.75" customHeight="1" thickBot="1" x14ac:dyDescent="0.3">
      <c r="B48" s="27"/>
      <c r="C48" s="31"/>
      <c r="D48" s="31"/>
      <c r="E48" s="27"/>
      <c r="F48" s="32"/>
      <c r="G48" s="29"/>
      <c r="H48" s="32"/>
      <c r="I48" s="25"/>
      <c r="J48" s="25"/>
      <c r="K48" s="25"/>
      <c r="L48" s="32"/>
      <c r="M48" s="25"/>
      <c r="N48" s="25"/>
      <c r="O48" s="32"/>
      <c r="P48" s="26"/>
      <c r="R48" s="78"/>
    </row>
    <row r="49" spans="2:18" s="28" customFormat="1" ht="47.25" customHeight="1" thickBot="1" x14ac:dyDescent="0.3">
      <c r="B49" s="27"/>
      <c r="C49" s="501" t="s">
        <v>80</v>
      </c>
      <c r="D49" s="502"/>
      <c r="E49" s="27"/>
      <c r="F49" s="33">
        <f>F47+H47+J47+L47+N47+O47</f>
        <v>141977670</v>
      </c>
      <c r="G49" s="29"/>
      <c r="H49" s="80"/>
      <c r="I49" s="81"/>
      <c r="J49" s="82"/>
      <c r="K49" s="25"/>
      <c r="L49" s="32"/>
      <c r="M49" s="25"/>
      <c r="N49" s="25"/>
      <c r="O49" s="32"/>
      <c r="P49" s="26"/>
      <c r="R49" s="78"/>
    </row>
    <row r="50" spans="2:18" ht="30.75" customHeight="1" thickBot="1" x14ac:dyDescent="0.3">
      <c r="C50" s="31"/>
      <c r="D50" s="31"/>
      <c r="E50" s="27"/>
      <c r="F50" s="32"/>
      <c r="I50" s="13"/>
      <c r="J50" s="13"/>
    </row>
    <row r="51" spans="2:18" s="28" customFormat="1" ht="47.25" customHeight="1" thickBot="1" x14ac:dyDescent="0.3">
      <c r="B51" s="27"/>
      <c r="C51" s="501" t="s">
        <v>139</v>
      </c>
      <c r="D51" s="502"/>
      <c r="E51" s="27"/>
      <c r="F51" s="33">
        <f>F49-(F45+H45+J45+L45+N45+O45)</f>
        <v>141977670</v>
      </c>
      <c r="G51" s="29"/>
      <c r="H51" s="80"/>
      <c r="I51" s="81"/>
      <c r="J51" s="82"/>
      <c r="K51" s="25"/>
      <c r="L51" s="32"/>
      <c r="M51" s="25"/>
      <c r="N51" s="25"/>
      <c r="O51" s="32"/>
      <c r="P51" s="26"/>
      <c r="R51" s="78"/>
    </row>
    <row r="54" spans="2:18" x14ac:dyDescent="0.25">
      <c r="F54" s="129"/>
    </row>
    <row r="59" spans="2:18" ht="15.75" thickBot="1" x14ac:dyDescent="0.3"/>
    <row r="60" spans="2:18" s="28" customFormat="1" ht="123" customHeight="1" thickBot="1" x14ac:dyDescent="0.4">
      <c r="B60" s="27"/>
      <c r="C60" s="556" t="s">
        <v>240</v>
      </c>
      <c r="D60" s="554"/>
      <c r="E60" s="27"/>
      <c r="F60" s="555">
        <f>F58-(F54+H54+J54+L54+N54+O54)</f>
        <v>0</v>
      </c>
      <c r="G60" s="29"/>
      <c r="H60" s="80"/>
      <c r="I60" s="81"/>
      <c r="J60" s="82"/>
      <c r="K60" s="25"/>
      <c r="L60" s="32"/>
      <c r="M60" s="25"/>
      <c r="N60" s="25"/>
      <c r="O60" s="32"/>
      <c r="P60" s="26"/>
      <c r="R60" s="78"/>
    </row>
  </sheetData>
  <mergeCells count="23">
    <mergeCell ref="C60:D60"/>
    <mergeCell ref="A31:A32"/>
    <mergeCell ref="A33:A36"/>
    <mergeCell ref="A2:B2"/>
    <mergeCell ref="A3:B3"/>
    <mergeCell ref="A9:A13"/>
    <mergeCell ref="A14:A15"/>
    <mergeCell ref="A16:A20"/>
    <mergeCell ref="A23:A24"/>
    <mergeCell ref="A25:A28"/>
    <mergeCell ref="F4:O4"/>
    <mergeCell ref="J38:J40"/>
    <mergeCell ref="O38:O40"/>
    <mergeCell ref="L38:L40"/>
    <mergeCell ref="N38:N40"/>
    <mergeCell ref="H38:H40"/>
    <mergeCell ref="C51:D51"/>
    <mergeCell ref="C38:D40"/>
    <mergeCell ref="F38:F40"/>
    <mergeCell ref="C49:D49"/>
    <mergeCell ref="C41:D41"/>
    <mergeCell ref="C43:D43"/>
    <mergeCell ref="C45:D45"/>
  </mergeCells>
  <phoneticPr fontId="21" type="noConversion"/>
  <pageMargins left="0.7" right="0.7" top="0.75" bottom="0.75" header="0.3" footer="0.3"/>
  <pageSetup orientation="portrait" verticalDpi="597"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S73"/>
  <sheetViews>
    <sheetView showGridLines="0" zoomScaleNormal="100" workbookViewId="0">
      <pane ySplit="4" topLeftCell="A5" activePane="bottomLeft" state="frozen"/>
      <selection pane="bottomLeft" sqref="A1:AQ1"/>
    </sheetView>
  </sheetViews>
  <sheetFormatPr defaultColWidth="9.140625" defaultRowHeight="15" x14ac:dyDescent="0.25"/>
  <cols>
    <col min="1" max="1" width="31.140625" style="10" customWidth="1"/>
    <col min="2" max="2" width="4" style="10" bestFit="1" customWidth="1"/>
    <col min="3" max="3" width="28.7109375" style="10" customWidth="1"/>
    <col min="4" max="4" width="20.85546875" style="10" customWidth="1"/>
    <col min="5" max="5" width="15.7109375" style="10" bestFit="1" customWidth="1"/>
    <col min="6" max="8" width="14.7109375" style="50" customWidth="1"/>
    <col min="9" max="9" width="1.7109375" style="51" customWidth="1"/>
    <col min="10" max="10" width="14.7109375" style="50" customWidth="1"/>
    <col min="11" max="11" width="14.85546875" style="50" customWidth="1"/>
    <col min="12" max="12" width="14.7109375" style="50" customWidth="1"/>
    <col min="13" max="20" width="14.7109375" style="52" customWidth="1"/>
    <col min="21" max="21" width="23.7109375" style="13" customWidth="1"/>
    <col min="22" max="23" width="23.7109375" style="52" customWidth="1"/>
    <col min="24" max="24" width="1.7109375" style="10" customWidth="1"/>
    <col min="25" max="33" width="14.7109375" style="10" customWidth="1"/>
    <col min="34" max="36" width="23.7109375" style="10" customWidth="1"/>
    <col min="37" max="37" width="36.7109375" style="10" customWidth="1"/>
    <col min="38" max="38" width="12.7109375" style="12" customWidth="1"/>
    <col min="39" max="39" width="24.7109375" style="12" customWidth="1"/>
    <col min="40" max="40" width="1.7109375" style="10" customWidth="1"/>
    <col min="41" max="43" width="16.7109375" style="10" customWidth="1"/>
    <col min="44" max="44" width="9.140625" style="10"/>
    <col min="45" max="45" width="9.5703125" style="10" bestFit="1" customWidth="1"/>
    <col min="46" max="16384" width="9.140625" style="10"/>
  </cols>
  <sheetData>
    <row r="1" spans="1:45" s="16" customFormat="1" ht="34.5" thickBot="1" x14ac:dyDescent="0.55000000000000004">
      <c r="A1" s="516" t="s">
        <v>140</v>
      </c>
      <c r="B1" s="517"/>
      <c r="C1" s="518"/>
      <c r="D1" s="518"/>
      <c r="E1" s="518"/>
      <c r="F1" s="518"/>
      <c r="G1" s="518"/>
      <c r="H1" s="518"/>
      <c r="I1" s="518"/>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8"/>
      <c r="AK1" s="518"/>
      <c r="AL1" s="518"/>
      <c r="AM1" s="518"/>
      <c r="AN1" s="518"/>
      <c r="AO1" s="518"/>
      <c r="AP1" s="518"/>
      <c r="AQ1" s="519"/>
    </row>
    <row r="2" spans="1:45" ht="15.75" thickBot="1" x14ac:dyDescent="0.3">
      <c r="A2" s="526" t="s">
        <v>141</v>
      </c>
      <c r="B2" s="527"/>
      <c r="C2" s="527"/>
      <c r="D2" s="527"/>
      <c r="E2" s="527"/>
      <c r="F2" s="527"/>
      <c r="G2" s="527"/>
      <c r="H2" s="528"/>
      <c r="I2" s="35"/>
      <c r="J2" s="523" t="s">
        <v>142</v>
      </c>
      <c r="K2" s="524"/>
      <c r="L2" s="524"/>
      <c r="M2" s="524"/>
      <c r="N2" s="524"/>
      <c r="O2" s="524"/>
      <c r="P2" s="524"/>
      <c r="Q2" s="524"/>
      <c r="R2" s="524"/>
      <c r="S2" s="524"/>
      <c r="T2" s="524"/>
      <c r="U2" s="524"/>
      <c r="V2" s="524"/>
      <c r="W2" s="525"/>
      <c r="Y2" s="529" t="s">
        <v>143</v>
      </c>
      <c r="Z2" s="530"/>
      <c r="AA2" s="530"/>
      <c r="AB2" s="530"/>
      <c r="AC2" s="530"/>
      <c r="AD2" s="530"/>
      <c r="AE2" s="530"/>
      <c r="AF2" s="530"/>
      <c r="AG2" s="530"/>
      <c r="AH2" s="530"/>
      <c r="AI2" s="530"/>
      <c r="AJ2" s="530"/>
      <c r="AK2" s="530"/>
      <c r="AL2" s="530"/>
      <c r="AM2" s="531"/>
      <c r="AO2" s="526" t="s">
        <v>144</v>
      </c>
      <c r="AP2" s="527"/>
      <c r="AQ2" s="528"/>
    </row>
    <row r="3" spans="1:45" s="309" customFormat="1" ht="45.95" customHeight="1" thickBot="1" x14ac:dyDescent="0.3">
      <c r="A3" s="203" t="s">
        <v>65</v>
      </c>
      <c r="B3" s="277" t="s">
        <v>66</v>
      </c>
      <c r="C3" s="298" t="s">
        <v>67</v>
      </c>
      <c r="D3" s="298" t="s">
        <v>145</v>
      </c>
      <c r="E3" s="298" t="s">
        <v>82</v>
      </c>
      <c r="F3" s="299" t="s">
        <v>146</v>
      </c>
      <c r="G3" s="299" t="s">
        <v>147</v>
      </c>
      <c r="H3" s="300" t="s">
        <v>148</v>
      </c>
      <c r="I3" s="301"/>
      <c r="J3" s="302" t="s">
        <v>149</v>
      </c>
      <c r="K3" s="303" t="s">
        <v>150</v>
      </c>
      <c r="L3" s="303" t="s">
        <v>151</v>
      </c>
      <c r="M3" s="304" t="s">
        <v>152</v>
      </c>
      <c r="N3" s="304" t="s">
        <v>153</v>
      </c>
      <c r="O3" s="305" t="s">
        <v>154</v>
      </c>
      <c r="P3" s="305" t="s">
        <v>155</v>
      </c>
      <c r="Q3" s="305" t="s">
        <v>156</v>
      </c>
      <c r="R3" s="305" t="s">
        <v>157</v>
      </c>
      <c r="S3" s="305" t="s">
        <v>158</v>
      </c>
      <c r="T3" s="305" t="s">
        <v>159</v>
      </c>
      <c r="U3" s="306" t="s">
        <v>160</v>
      </c>
      <c r="V3" s="307" t="s">
        <v>161</v>
      </c>
      <c r="W3" s="308" t="s">
        <v>162</v>
      </c>
      <c r="Y3" s="302" t="s">
        <v>163</v>
      </c>
      <c r="Z3" s="304" t="s">
        <v>164</v>
      </c>
      <c r="AA3" s="304" t="s">
        <v>165</v>
      </c>
      <c r="AB3" s="304" t="s">
        <v>166</v>
      </c>
      <c r="AC3" s="304" t="s">
        <v>167</v>
      </c>
      <c r="AD3" s="304" t="s">
        <v>168</v>
      </c>
      <c r="AE3" s="307" t="s">
        <v>157</v>
      </c>
      <c r="AF3" s="304" t="s">
        <v>169</v>
      </c>
      <c r="AG3" s="304" t="s">
        <v>170</v>
      </c>
      <c r="AH3" s="304" t="s">
        <v>160</v>
      </c>
      <c r="AI3" s="304" t="s">
        <v>161</v>
      </c>
      <c r="AJ3" s="304" t="s">
        <v>162</v>
      </c>
      <c r="AK3" s="310" t="s">
        <v>171</v>
      </c>
      <c r="AL3" s="310" t="s">
        <v>172</v>
      </c>
      <c r="AM3" s="311" t="s">
        <v>173</v>
      </c>
      <c r="AO3" s="520" t="s">
        <v>174</v>
      </c>
      <c r="AP3" s="521"/>
      <c r="AQ3" s="522"/>
    </row>
    <row r="4" spans="1:45" ht="31.5" customHeight="1" thickBot="1" x14ac:dyDescent="0.3">
      <c r="A4" s="66" t="s">
        <v>175</v>
      </c>
      <c r="B4" s="278"/>
      <c r="C4" s="200"/>
      <c r="D4" s="200"/>
      <c r="E4" s="200"/>
      <c r="F4" s="201"/>
      <c r="G4" s="201"/>
      <c r="H4" s="202"/>
      <c r="I4" s="36"/>
      <c r="J4" s="155"/>
      <c r="K4" s="219"/>
      <c r="L4" s="219"/>
      <c r="M4" s="204"/>
      <c r="N4" s="157"/>
      <c r="O4" s="157"/>
      <c r="P4" s="157"/>
      <c r="Q4" s="157"/>
      <c r="R4" s="158"/>
      <c r="S4" s="157"/>
      <c r="T4" s="158"/>
      <c r="U4" s="158"/>
      <c r="V4" s="187"/>
      <c r="W4" s="188"/>
      <c r="Y4" s="155"/>
      <c r="Z4" s="156"/>
      <c r="AA4" s="156"/>
      <c r="AB4" s="157"/>
      <c r="AC4" s="157"/>
      <c r="AD4" s="157"/>
      <c r="AE4" s="158"/>
      <c r="AF4" s="157"/>
      <c r="AG4" s="156"/>
      <c r="AH4" s="156"/>
      <c r="AI4" s="156"/>
      <c r="AJ4" s="156"/>
      <c r="AK4" s="245"/>
      <c r="AL4" s="245"/>
      <c r="AM4" s="246"/>
      <c r="AN4" s="37"/>
      <c r="AO4" s="190" t="s">
        <v>157</v>
      </c>
      <c r="AP4" s="191" t="s">
        <v>158</v>
      </c>
      <c r="AQ4" s="192" t="s">
        <v>176</v>
      </c>
    </row>
    <row r="5" spans="1:45" ht="15.75" thickBot="1" x14ac:dyDescent="0.3">
      <c r="A5" s="297" t="s">
        <v>72</v>
      </c>
      <c r="B5" s="283" t="s">
        <v>89</v>
      </c>
      <c r="C5" s="284" t="s">
        <v>90</v>
      </c>
      <c r="D5" s="284" t="s">
        <v>177</v>
      </c>
      <c r="E5" s="284" t="s">
        <v>91</v>
      </c>
      <c r="F5" s="285">
        <v>18541</v>
      </c>
      <c r="G5" s="285">
        <f t="shared" ref="G5:G19" si="0">SUM(J5,Y5)</f>
        <v>0</v>
      </c>
      <c r="H5" s="286">
        <f>F5-G5</f>
        <v>18541</v>
      </c>
      <c r="I5" s="107"/>
      <c r="J5" s="292"/>
      <c r="K5" s="293">
        <v>42.46</v>
      </c>
      <c r="L5" s="453"/>
      <c r="M5" s="294">
        <f>IF($J5&gt;0,IF($L5&lt;$K5,$K5,$L5),0)</f>
        <v>0</v>
      </c>
      <c r="N5" s="349">
        <f t="shared" ref="N5:N19" si="1">(M5*$N$4)</f>
        <v>0</v>
      </c>
      <c r="O5" s="349">
        <f t="shared" ref="O5:O19" si="2">(N5+M5)*$O$4</f>
        <v>0</v>
      </c>
      <c r="P5" s="349">
        <f>(N5+M5+O5)*$P$4</f>
        <v>0</v>
      </c>
      <c r="Q5" s="349">
        <f>(M5+N5+O5+P5)*$Q$4</f>
        <v>0</v>
      </c>
      <c r="R5" s="294">
        <f>SUM(M5:Q5)</f>
        <v>0</v>
      </c>
      <c r="S5" s="294">
        <f>(R5-Q5)*$S$4</f>
        <v>0</v>
      </c>
      <c r="T5" s="294">
        <f>SUM(R5:S5)</f>
        <v>0</v>
      </c>
      <c r="U5" s="295">
        <f>R5*J5</f>
        <v>0</v>
      </c>
      <c r="V5" s="294">
        <f>S5*J5</f>
        <v>0</v>
      </c>
      <c r="W5" s="296">
        <f>T5*J5</f>
        <v>0</v>
      </c>
      <c r="Y5" s="288"/>
      <c r="Z5" s="334"/>
      <c r="AA5" s="290">
        <f>IF($Y5&gt;0,$Z5,0)</f>
        <v>0</v>
      </c>
      <c r="AB5" s="334">
        <f>(AA5*$AB$4)</f>
        <v>0</v>
      </c>
      <c r="AC5" s="334">
        <f>(AA5+AB5)*$AC$4</f>
        <v>0</v>
      </c>
      <c r="AD5" s="334"/>
      <c r="AE5" s="290">
        <f>SUM(AA5:AD5)</f>
        <v>0</v>
      </c>
      <c r="AF5" s="290">
        <f>$AF$4*(AC5+AA5+AB5)</f>
        <v>0</v>
      </c>
      <c r="AG5" s="290">
        <f>SUM(AE5:AF5)</f>
        <v>0</v>
      </c>
      <c r="AH5" s="290">
        <f>AE5*Y5</f>
        <v>0</v>
      </c>
      <c r="AI5" s="290">
        <f>AF5*Y5</f>
        <v>0</v>
      </c>
      <c r="AJ5" s="290">
        <f>AG5*Y5</f>
        <v>0</v>
      </c>
      <c r="AK5" s="335"/>
      <c r="AL5" s="336"/>
      <c r="AM5" s="337"/>
      <c r="AO5" s="339" t="str">
        <f>IFERROR(SUM(U5,AH5)/G5,"")</f>
        <v/>
      </c>
      <c r="AP5" s="340" t="str">
        <f>IFERROR(SUM(V5,AI5)/G5,"")</f>
        <v/>
      </c>
      <c r="AQ5" s="291">
        <f>SUM(AO5:AP5)</f>
        <v>0</v>
      </c>
      <c r="AS5" s="438"/>
    </row>
    <row r="6" spans="1:45" ht="15.75" thickBot="1" x14ac:dyDescent="0.3">
      <c r="A6" s="297" t="s">
        <v>73</v>
      </c>
      <c r="B6" s="283" t="s">
        <v>92</v>
      </c>
      <c r="C6" s="284" t="s">
        <v>93</v>
      </c>
      <c r="D6" s="284" t="s">
        <v>178</v>
      </c>
      <c r="E6" s="284" t="s">
        <v>91</v>
      </c>
      <c r="F6" s="285">
        <v>57507</v>
      </c>
      <c r="G6" s="285">
        <f t="shared" si="0"/>
        <v>0</v>
      </c>
      <c r="H6" s="286">
        <f t="shared" ref="H6:H43" si="3">F6-G6</f>
        <v>57507</v>
      </c>
      <c r="I6" s="107"/>
      <c r="J6" s="288"/>
      <c r="K6" s="289">
        <v>29.76</v>
      </c>
      <c r="L6" s="454"/>
      <c r="M6" s="290">
        <f t="shared" ref="M6:M19" si="4">IF($J6&gt;0,IF($L6&lt;$K6,$K6,$L6),0)</f>
        <v>0</v>
      </c>
      <c r="N6" s="334">
        <f t="shared" si="1"/>
        <v>0</v>
      </c>
      <c r="O6" s="334">
        <f t="shared" si="2"/>
        <v>0</v>
      </c>
      <c r="P6" s="334">
        <f t="shared" ref="P6:P19" si="5">(N6+M6+O6)*$P$4</f>
        <v>0</v>
      </c>
      <c r="Q6" s="334">
        <f t="shared" ref="Q6:Q18" si="6">(M6+N6+O6+P6)*$Q$4</f>
        <v>0</v>
      </c>
      <c r="R6" s="290">
        <f t="shared" ref="R6:R19" si="7">SUM(M6:Q6)</f>
        <v>0</v>
      </c>
      <c r="S6" s="290">
        <f>(R6-Q6)*$S$4</f>
        <v>0</v>
      </c>
      <c r="T6" s="290">
        <f t="shared" ref="T6:T13" si="8">SUM(R6:S6)</f>
        <v>0</v>
      </c>
      <c r="U6" s="290">
        <f t="shared" ref="U6:U19" si="9">R6*J6</f>
        <v>0</v>
      </c>
      <c r="V6" s="290">
        <f t="shared" ref="V6:V19" si="10">S6*J6</f>
        <v>0</v>
      </c>
      <c r="W6" s="291">
        <f t="shared" ref="W6:W19" si="11">T6*J6</f>
        <v>0</v>
      </c>
      <c r="Y6" s="288"/>
      <c r="Z6" s="334"/>
      <c r="AA6" s="290">
        <f t="shared" ref="AA6:AA19" si="12">IF($Y6&gt;0,$Z6,0)</f>
        <v>0</v>
      </c>
      <c r="AB6" s="334">
        <f t="shared" ref="AB6:AB19" si="13">(AA6*$AB$4)</f>
        <v>0</v>
      </c>
      <c r="AC6" s="334">
        <f t="shared" ref="AC6:AC19" si="14">(AA6+AB6)*$AC$4</f>
        <v>0</v>
      </c>
      <c r="AD6" s="334"/>
      <c r="AE6" s="290">
        <f t="shared" ref="AE6:AE19" si="15">SUM(AA6:AD6)</f>
        <v>0</v>
      </c>
      <c r="AF6" s="290">
        <f t="shared" ref="AF6:AF19" si="16">$AF$4*(AC6+AA6+AB6)</f>
        <v>0</v>
      </c>
      <c r="AG6" s="290">
        <f t="shared" ref="AG6:AG19" si="17">SUM(AE6:AF6)</f>
        <v>0</v>
      </c>
      <c r="AH6" s="290">
        <f t="shared" ref="AH6:AH19" si="18">AE6*Y6</f>
        <v>0</v>
      </c>
      <c r="AI6" s="290">
        <f t="shared" ref="AI6:AI19" si="19">AF6*Y6</f>
        <v>0</v>
      </c>
      <c r="AJ6" s="290">
        <f t="shared" ref="AJ6:AJ19" si="20">AG6*Y6</f>
        <v>0</v>
      </c>
      <c r="AK6" s="335"/>
      <c r="AL6" s="336"/>
      <c r="AM6" s="337"/>
      <c r="AO6" s="339" t="str">
        <f>IFERROR(SUM(U6,AH6)/G6,"")</f>
        <v/>
      </c>
      <c r="AP6" s="340" t="str">
        <f>IFERROR(SUM(V6,AI6)/G6,"")</f>
        <v/>
      </c>
      <c r="AQ6" s="291">
        <f>SUM(AO6:AP6)</f>
        <v>0</v>
      </c>
      <c r="AS6" s="438"/>
    </row>
    <row r="7" spans="1:45" ht="15.75" thickBot="1" x14ac:dyDescent="0.3">
      <c r="A7" s="297" t="s">
        <v>74</v>
      </c>
      <c r="B7" s="283" t="s">
        <v>94</v>
      </c>
      <c r="C7" s="284" t="s">
        <v>95</v>
      </c>
      <c r="D7" s="284" t="s">
        <v>179</v>
      </c>
      <c r="E7" s="284" t="s">
        <v>91</v>
      </c>
      <c r="F7" s="285">
        <v>129710</v>
      </c>
      <c r="G7" s="285">
        <f t="shared" si="0"/>
        <v>0</v>
      </c>
      <c r="H7" s="286">
        <f t="shared" si="3"/>
        <v>129710</v>
      </c>
      <c r="I7" s="107"/>
      <c r="J7" s="288"/>
      <c r="K7" s="289">
        <v>29.76</v>
      </c>
      <c r="L7" s="454"/>
      <c r="M7" s="290">
        <f>IF($J7&gt;0,IF($L7&lt;$K7,$K7,$L7),0)</f>
        <v>0</v>
      </c>
      <c r="N7" s="334">
        <f t="shared" si="1"/>
        <v>0</v>
      </c>
      <c r="O7" s="334">
        <f t="shared" si="2"/>
        <v>0</v>
      </c>
      <c r="P7" s="334">
        <f t="shared" si="5"/>
        <v>0</v>
      </c>
      <c r="Q7" s="334">
        <f>(M7+N7+O7+P7)*$Q$4</f>
        <v>0</v>
      </c>
      <c r="R7" s="290">
        <f t="shared" si="7"/>
        <v>0</v>
      </c>
      <c r="S7" s="290">
        <f t="shared" ref="S7:S18" si="21">(R7-Q7)*$S$4</f>
        <v>0</v>
      </c>
      <c r="T7" s="290">
        <f>SUM(R7:S7)</f>
        <v>0</v>
      </c>
      <c r="U7" s="290">
        <f t="shared" si="9"/>
        <v>0</v>
      </c>
      <c r="V7" s="290">
        <f t="shared" si="10"/>
        <v>0</v>
      </c>
      <c r="W7" s="291">
        <f t="shared" si="11"/>
        <v>0</v>
      </c>
      <c r="Y7" s="288"/>
      <c r="Z7" s="334"/>
      <c r="AA7" s="290">
        <f t="shared" si="12"/>
        <v>0</v>
      </c>
      <c r="AB7" s="334">
        <f t="shared" si="13"/>
        <v>0</v>
      </c>
      <c r="AC7" s="334">
        <f t="shared" si="14"/>
        <v>0</v>
      </c>
      <c r="AD7" s="334"/>
      <c r="AE7" s="290">
        <f t="shared" si="15"/>
        <v>0</v>
      </c>
      <c r="AF7" s="290">
        <f t="shared" si="16"/>
        <v>0</v>
      </c>
      <c r="AG7" s="290">
        <f t="shared" si="17"/>
        <v>0</v>
      </c>
      <c r="AH7" s="290">
        <f t="shared" si="18"/>
        <v>0</v>
      </c>
      <c r="AI7" s="290">
        <f t="shared" si="19"/>
        <v>0</v>
      </c>
      <c r="AJ7" s="290">
        <f t="shared" si="20"/>
        <v>0</v>
      </c>
      <c r="AK7" s="335"/>
      <c r="AL7" s="336"/>
      <c r="AM7" s="337"/>
      <c r="AO7" s="339" t="str">
        <f t="shared" ref="AO7:AO19" si="22">IFERROR(SUM(U7,AH7)/G7,"")</f>
        <v/>
      </c>
      <c r="AP7" s="340" t="str">
        <f t="shared" ref="AP7:AP19" si="23">IFERROR(SUM(V7,AI7)/G7,"")</f>
        <v/>
      </c>
      <c r="AQ7" s="291">
        <f t="shared" ref="AQ7:AQ43" si="24">SUM(AO7:AP7)</f>
        <v>0</v>
      </c>
      <c r="AS7" s="438"/>
    </row>
    <row r="8" spans="1:45" x14ac:dyDescent="0.25">
      <c r="A8" s="496" t="s">
        <v>75</v>
      </c>
      <c r="B8" s="279" t="s">
        <v>96</v>
      </c>
      <c r="C8" s="109" t="s">
        <v>93</v>
      </c>
      <c r="D8" s="109" t="s">
        <v>178</v>
      </c>
      <c r="E8" s="109" t="s">
        <v>91</v>
      </c>
      <c r="F8" s="38">
        <v>10953</v>
      </c>
      <c r="G8" s="38">
        <f t="shared" ref="G8:G10" si="25">SUM(J8,Y8)</f>
        <v>0</v>
      </c>
      <c r="H8" s="39">
        <f t="shared" ref="H8:H10" si="26">F8-G8</f>
        <v>10953</v>
      </c>
      <c r="I8" s="107"/>
      <c r="J8" s="121"/>
      <c r="K8" s="230">
        <v>29.76</v>
      </c>
      <c r="L8" s="455"/>
      <c r="M8" s="122">
        <f t="shared" si="4"/>
        <v>0</v>
      </c>
      <c r="N8" s="123">
        <f t="shared" ref="N8:N10" si="27">(M8*$N$4)</f>
        <v>0</v>
      </c>
      <c r="O8" s="123">
        <f t="shared" ref="O8:O10" si="28">(N8+M8)*$O$4</f>
        <v>0</v>
      </c>
      <c r="P8" s="123">
        <f t="shared" ref="P8:P10" si="29">(N8+M8+O8)*$P$4</f>
        <v>0</v>
      </c>
      <c r="Q8" s="123">
        <f t="shared" ref="Q8:Q10" si="30">(M8+N8+O8+P8)*$Q$4</f>
        <v>0</v>
      </c>
      <c r="R8" s="122">
        <f t="shared" ref="R8:R10" si="31">SUM(M8:Q8)</f>
        <v>0</v>
      </c>
      <c r="S8" s="122">
        <f>(R8-Q8)*$S$4</f>
        <v>0</v>
      </c>
      <c r="T8" s="122">
        <f t="shared" ref="T8:T9" si="32">SUM(R8:S8)</f>
        <v>0</v>
      </c>
      <c r="U8" s="122">
        <f t="shared" ref="U8:U10" si="33">R8*J8</f>
        <v>0</v>
      </c>
      <c r="V8" s="122">
        <f t="shared" ref="V8:V10" si="34">S8*J8</f>
        <v>0</v>
      </c>
      <c r="W8" s="124">
        <f t="shared" ref="W8:W10" si="35">T8*J8</f>
        <v>0</v>
      </c>
      <c r="Y8" s="3"/>
      <c r="Z8" s="4"/>
      <c r="AA8" s="40">
        <f t="shared" si="12"/>
        <v>0</v>
      </c>
      <c r="AB8" s="4">
        <f t="shared" ref="AB8:AB10" si="36">(AA8*$AB$4)</f>
        <v>0</v>
      </c>
      <c r="AC8" s="4">
        <f t="shared" ref="AC8:AC10" si="37">(AA8+AB8)*$AC$4</f>
        <v>0</v>
      </c>
      <c r="AD8" s="4"/>
      <c r="AE8" s="40">
        <f t="shared" ref="AE8:AE10" si="38">SUM(AA8:AD8)</f>
        <v>0</v>
      </c>
      <c r="AF8" s="40">
        <f t="shared" ref="AF8:AF10" si="39">$AF$4*(AC8+AA8+AB8)</f>
        <v>0</v>
      </c>
      <c r="AG8" s="40">
        <f t="shared" ref="AG8:AG10" si="40">SUM(AE8:AF8)</f>
        <v>0</v>
      </c>
      <c r="AH8" s="40">
        <f t="shared" ref="AH8:AH10" si="41">AE8*Y8</f>
        <v>0</v>
      </c>
      <c r="AI8" s="40">
        <f t="shared" ref="AI8:AI10" si="42">AF8*Y8</f>
        <v>0</v>
      </c>
      <c r="AJ8" s="40">
        <f t="shared" ref="AJ8:AJ10" si="43">AG8*Y8</f>
        <v>0</v>
      </c>
      <c r="AK8" s="160"/>
      <c r="AL8" s="213"/>
      <c r="AM8" s="6"/>
      <c r="AO8" s="140" t="str">
        <f>IFERROR(SUM(U8,AH8)/G8,"")</f>
        <v/>
      </c>
      <c r="AP8" s="125" t="str">
        <f>IFERROR(SUM(V8,AI8)/G8,"")</f>
        <v/>
      </c>
      <c r="AQ8" s="124">
        <f>SUM(AO8:AP8)</f>
        <v>0</v>
      </c>
      <c r="AS8" s="438"/>
    </row>
    <row r="9" spans="1:45" x14ac:dyDescent="0.25">
      <c r="A9" s="497"/>
      <c r="B9" s="280" t="s">
        <v>97</v>
      </c>
      <c r="C9" s="108" t="s">
        <v>75</v>
      </c>
      <c r="D9" s="108" t="s">
        <v>180</v>
      </c>
      <c r="E9" s="108" t="s">
        <v>91</v>
      </c>
      <c r="F9" s="42">
        <v>194682</v>
      </c>
      <c r="G9" s="42">
        <f t="shared" si="25"/>
        <v>0</v>
      </c>
      <c r="H9" s="43">
        <f t="shared" si="26"/>
        <v>194682</v>
      </c>
      <c r="I9" s="107"/>
      <c r="J9" s="3"/>
      <c r="K9" s="228">
        <v>29.76</v>
      </c>
      <c r="L9" s="456"/>
      <c r="M9" s="44">
        <f t="shared" si="4"/>
        <v>0</v>
      </c>
      <c r="N9" s="5">
        <f t="shared" si="27"/>
        <v>0</v>
      </c>
      <c r="O9" s="5">
        <f t="shared" si="28"/>
        <v>0</v>
      </c>
      <c r="P9" s="5">
        <f t="shared" si="29"/>
        <v>0</v>
      </c>
      <c r="Q9" s="5">
        <f t="shared" si="30"/>
        <v>0</v>
      </c>
      <c r="R9" s="44">
        <f t="shared" si="31"/>
        <v>0</v>
      </c>
      <c r="S9" s="44">
        <f t="shared" ref="S9:S10" si="44">(R9-Q9)*$S$4</f>
        <v>0</v>
      </c>
      <c r="T9" s="44">
        <f t="shared" si="32"/>
        <v>0</v>
      </c>
      <c r="U9" s="44">
        <f t="shared" si="33"/>
        <v>0</v>
      </c>
      <c r="V9" s="44">
        <f t="shared" si="34"/>
        <v>0</v>
      </c>
      <c r="W9" s="128">
        <f t="shared" si="35"/>
        <v>0</v>
      </c>
      <c r="Y9" s="161"/>
      <c r="Z9" s="5"/>
      <c r="AA9" s="44">
        <f t="shared" si="12"/>
        <v>0</v>
      </c>
      <c r="AB9" s="5">
        <f t="shared" si="36"/>
        <v>0</v>
      </c>
      <c r="AC9" s="5">
        <f t="shared" si="37"/>
        <v>0</v>
      </c>
      <c r="AD9" s="5"/>
      <c r="AE9" s="44">
        <f t="shared" si="38"/>
        <v>0</v>
      </c>
      <c r="AF9" s="44">
        <f t="shared" si="39"/>
        <v>0</v>
      </c>
      <c r="AG9" s="44">
        <f t="shared" si="40"/>
        <v>0</v>
      </c>
      <c r="AH9" s="44">
        <f t="shared" si="41"/>
        <v>0</v>
      </c>
      <c r="AI9" s="44">
        <f t="shared" si="42"/>
        <v>0</v>
      </c>
      <c r="AJ9" s="44">
        <f t="shared" si="43"/>
        <v>0</v>
      </c>
      <c r="AK9" s="160"/>
      <c r="AL9" s="7"/>
      <c r="AM9" s="8"/>
      <c r="AO9" s="162" t="str">
        <f t="shared" ref="AO9:AO10" si="45">IFERROR(SUM(U9,AH9)/G9,"")</f>
        <v/>
      </c>
      <c r="AP9" s="45" t="str">
        <f t="shared" ref="AP9:AP10" si="46">IFERROR(SUM(V9,AI9)/G9,"")</f>
        <v/>
      </c>
      <c r="AQ9" s="128">
        <f t="shared" ref="AQ9:AQ10" si="47">SUM(AO9:AP9)</f>
        <v>0</v>
      </c>
      <c r="AS9" s="438"/>
    </row>
    <row r="10" spans="1:45" x14ac:dyDescent="0.25">
      <c r="A10" s="497"/>
      <c r="B10" s="280" t="s">
        <v>98</v>
      </c>
      <c r="C10" s="108" t="s">
        <v>99</v>
      </c>
      <c r="D10" s="108" t="s">
        <v>181</v>
      </c>
      <c r="E10" s="108" t="s">
        <v>91</v>
      </c>
      <c r="F10" s="42">
        <v>15018</v>
      </c>
      <c r="G10" s="42">
        <f t="shared" si="25"/>
        <v>0</v>
      </c>
      <c r="H10" s="43">
        <f t="shared" si="26"/>
        <v>15018</v>
      </c>
      <c r="I10" s="107"/>
      <c r="J10" s="3"/>
      <c r="K10" s="228">
        <v>29.76</v>
      </c>
      <c r="L10" s="456"/>
      <c r="M10" s="44">
        <f t="shared" si="4"/>
        <v>0</v>
      </c>
      <c r="N10" s="5">
        <f t="shared" si="27"/>
        <v>0</v>
      </c>
      <c r="O10" s="5">
        <f t="shared" si="28"/>
        <v>0</v>
      </c>
      <c r="P10" s="5">
        <f t="shared" si="29"/>
        <v>0</v>
      </c>
      <c r="Q10" s="5">
        <f t="shared" si="30"/>
        <v>0</v>
      </c>
      <c r="R10" s="44">
        <f t="shared" si="31"/>
        <v>0</v>
      </c>
      <c r="S10" s="44">
        <f t="shared" si="44"/>
        <v>0</v>
      </c>
      <c r="T10" s="44">
        <f>SUM(R10:S10)</f>
        <v>0</v>
      </c>
      <c r="U10" s="44">
        <f t="shared" si="33"/>
        <v>0</v>
      </c>
      <c r="V10" s="44">
        <f t="shared" si="34"/>
        <v>0</v>
      </c>
      <c r="W10" s="128">
        <f t="shared" si="35"/>
        <v>0</v>
      </c>
      <c r="Y10" s="161"/>
      <c r="Z10" s="5"/>
      <c r="AA10" s="44">
        <f t="shared" si="12"/>
        <v>0</v>
      </c>
      <c r="AB10" s="5">
        <f t="shared" si="36"/>
        <v>0</v>
      </c>
      <c r="AC10" s="5">
        <f t="shared" si="37"/>
        <v>0</v>
      </c>
      <c r="AD10" s="5"/>
      <c r="AE10" s="44">
        <f t="shared" si="38"/>
        <v>0</v>
      </c>
      <c r="AF10" s="44">
        <f t="shared" si="39"/>
        <v>0</v>
      </c>
      <c r="AG10" s="44">
        <f t="shared" si="40"/>
        <v>0</v>
      </c>
      <c r="AH10" s="44">
        <f t="shared" si="41"/>
        <v>0</v>
      </c>
      <c r="AI10" s="44">
        <f t="shared" si="42"/>
        <v>0</v>
      </c>
      <c r="AJ10" s="44">
        <f t="shared" si="43"/>
        <v>0</v>
      </c>
      <c r="AK10" s="160"/>
      <c r="AL10" s="7"/>
      <c r="AM10" s="8"/>
      <c r="AO10" s="162" t="str">
        <f t="shared" si="45"/>
        <v/>
      </c>
      <c r="AP10" s="45" t="str">
        <f t="shared" si="46"/>
        <v/>
      </c>
      <c r="AQ10" s="128">
        <f t="shared" si="47"/>
        <v>0</v>
      </c>
      <c r="AS10" s="438"/>
    </row>
    <row r="11" spans="1:45" x14ac:dyDescent="0.25">
      <c r="A11" s="497"/>
      <c r="B11" s="280" t="s">
        <v>100</v>
      </c>
      <c r="C11" s="108" t="s">
        <v>101</v>
      </c>
      <c r="D11" s="108" t="s">
        <v>182</v>
      </c>
      <c r="E11" s="108" t="s">
        <v>91</v>
      </c>
      <c r="F11" s="42">
        <v>17115</v>
      </c>
      <c r="G11" s="42">
        <f>SUM(J11,Y11)</f>
        <v>0</v>
      </c>
      <c r="H11" s="43">
        <f>F11-G11</f>
        <v>17115</v>
      </c>
      <c r="I11" s="107"/>
      <c r="J11" s="3"/>
      <c r="K11" s="226">
        <v>29.76</v>
      </c>
      <c r="L11" s="456"/>
      <c r="M11" s="44">
        <f>IF($J11&gt;0,IF($L11&lt;$K11,$K11,$L11),0)</f>
        <v>0</v>
      </c>
      <c r="N11" s="5">
        <f>(M11*$N$4)</f>
        <v>0</v>
      </c>
      <c r="O11" s="5">
        <f>(N11+M11)*$O$4</f>
        <v>0</v>
      </c>
      <c r="P11" s="5">
        <f>(N11+M11+O11)*$P$4</f>
        <v>0</v>
      </c>
      <c r="Q11" s="5">
        <f>(M11+N11+O11+P11)*$Q$4</f>
        <v>0</v>
      </c>
      <c r="R11" s="44">
        <f>SUM(M11:Q11)</f>
        <v>0</v>
      </c>
      <c r="S11" s="44">
        <f>(R11-Q11)*$S$4</f>
        <v>0</v>
      </c>
      <c r="T11" s="44">
        <f>SUM(R11:S11)</f>
        <v>0</v>
      </c>
      <c r="U11" s="44">
        <f>R11*J11</f>
        <v>0</v>
      </c>
      <c r="V11" s="44">
        <f>S11*J11</f>
        <v>0</v>
      </c>
      <c r="W11" s="128">
        <f>T11*J11</f>
        <v>0</v>
      </c>
      <c r="Y11" s="161"/>
      <c r="Z11" s="5"/>
      <c r="AA11" s="44">
        <f>IF($Y11&gt;0,$Z11,0)</f>
        <v>0</v>
      </c>
      <c r="AB11" s="5">
        <f>(AA11*$AB$4)</f>
        <v>0</v>
      </c>
      <c r="AC11" s="5">
        <f>(AA11+AB11)*$AC$4</f>
        <v>0</v>
      </c>
      <c r="AD11" s="5"/>
      <c r="AE11" s="44">
        <f>SUM(AA11:AD11)</f>
        <v>0</v>
      </c>
      <c r="AF11" s="44">
        <f>$AF$4*(AC11+AA11+AB11)</f>
        <v>0</v>
      </c>
      <c r="AG11" s="44">
        <f>SUM(AE11:AF11)</f>
        <v>0</v>
      </c>
      <c r="AH11" s="44">
        <f>AE11*Y11</f>
        <v>0</v>
      </c>
      <c r="AI11" s="44">
        <f>AF11*Y11</f>
        <v>0</v>
      </c>
      <c r="AJ11" s="44">
        <f>AG11*Y11</f>
        <v>0</v>
      </c>
      <c r="AK11" s="160"/>
      <c r="AL11" s="7"/>
      <c r="AM11" s="8"/>
      <c r="AO11" s="162" t="str">
        <f>IFERROR(SUM(U11,AH11)/G11,"")</f>
        <v/>
      </c>
      <c r="AP11" s="45" t="str">
        <f>IFERROR(SUM(V11,AI11)/G11,"")</f>
        <v/>
      </c>
      <c r="AQ11" s="128">
        <f>SUM(AO11:AP11)</f>
        <v>0</v>
      </c>
      <c r="AS11" s="438"/>
    </row>
    <row r="12" spans="1:45" ht="15.75" thickBot="1" x14ac:dyDescent="0.3">
      <c r="A12" s="498"/>
      <c r="B12" s="282" t="s">
        <v>102</v>
      </c>
      <c r="C12" s="147" t="s">
        <v>103</v>
      </c>
      <c r="D12" s="147" t="s">
        <v>183</v>
      </c>
      <c r="E12" s="147" t="s">
        <v>91</v>
      </c>
      <c r="F12" s="148">
        <v>25822</v>
      </c>
      <c r="G12" s="148">
        <f t="shared" ref="G12" si="48">SUM(J12,Y12)</f>
        <v>0</v>
      </c>
      <c r="H12" s="149">
        <f>F12-G12</f>
        <v>25822</v>
      </c>
      <c r="I12" s="107"/>
      <c r="J12" s="176"/>
      <c r="K12" s="287">
        <v>23.57</v>
      </c>
      <c r="L12" s="457"/>
      <c r="M12" s="178">
        <f t="shared" si="4"/>
        <v>0</v>
      </c>
      <c r="N12" s="179">
        <f t="shared" ref="N12" si="49">(M12*$N$4)</f>
        <v>0</v>
      </c>
      <c r="O12" s="179">
        <f t="shared" ref="O12" si="50">(N12+M12)*$O$4</f>
        <v>0</v>
      </c>
      <c r="P12" s="179">
        <f t="shared" ref="P12" si="51">(N12+M12+O12)*$P$4</f>
        <v>0</v>
      </c>
      <c r="Q12" s="179">
        <f>(M12+N12+O12+P12)*$Q$4</f>
        <v>0</v>
      </c>
      <c r="R12" s="178">
        <f t="shared" ref="R12" si="52">SUM(M12:Q12)</f>
        <v>0</v>
      </c>
      <c r="S12" s="178">
        <f>(R12-Q12)*$S$4</f>
        <v>0</v>
      </c>
      <c r="T12" s="178">
        <f t="shared" ref="T12" si="53">SUM(R12:S12)</f>
        <v>0</v>
      </c>
      <c r="U12" s="178">
        <f t="shared" ref="U12" si="54">R12*J12</f>
        <v>0</v>
      </c>
      <c r="V12" s="178">
        <f t="shared" ref="V12" si="55">S12*J12</f>
        <v>0</v>
      </c>
      <c r="W12" s="180">
        <f t="shared" ref="W12" si="56">T12*J12</f>
        <v>0</v>
      </c>
      <c r="Y12" s="181"/>
      <c r="Z12" s="179"/>
      <c r="AA12" s="178">
        <f t="shared" si="12"/>
        <v>0</v>
      </c>
      <c r="AB12" s="179">
        <f t="shared" ref="AB12" si="57">(AA12*$AB$4)</f>
        <v>0</v>
      </c>
      <c r="AC12" s="179">
        <f t="shared" ref="AC12" si="58">(AA12+AB12)*$AC$4</f>
        <v>0</v>
      </c>
      <c r="AD12" s="179"/>
      <c r="AE12" s="178">
        <f t="shared" ref="AE12" si="59">SUM(AA12:AD12)</f>
        <v>0</v>
      </c>
      <c r="AF12" s="178">
        <f t="shared" ref="AF12" si="60">$AF$4*(AC12+AA12+AB12)</f>
        <v>0</v>
      </c>
      <c r="AG12" s="178">
        <f t="shared" ref="AG12" si="61">SUM(AE12:AF12)</f>
        <v>0</v>
      </c>
      <c r="AH12" s="178">
        <f t="shared" ref="AH12" si="62">AE12*Y12</f>
        <v>0</v>
      </c>
      <c r="AI12" s="178">
        <f t="shared" ref="AI12" si="63">AF12*Y12</f>
        <v>0</v>
      </c>
      <c r="AJ12" s="178">
        <f t="shared" ref="AJ12" si="64">AG12*Y12</f>
        <v>0</v>
      </c>
      <c r="AK12" s="189"/>
      <c r="AL12" s="177"/>
      <c r="AM12" s="182"/>
      <c r="AO12" s="183" t="str">
        <f t="shared" ref="AO12" si="65">IFERROR(SUM(U12,AH12)/G12,"")</f>
        <v/>
      </c>
      <c r="AP12" s="184" t="str">
        <f t="shared" ref="AP12" si="66">IFERROR(SUM(V12,AI12)/G12,"")</f>
        <v/>
      </c>
      <c r="AQ12" s="180">
        <f t="shared" ref="AQ12" si="67">SUM(AO12:AP12)</f>
        <v>0</v>
      </c>
      <c r="AS12" s="438"/>
    </row>
    <row r="13" spans="1:45" x14ac:dyDescent="0.25">
      <c r="A13" s="496" t="s">
        <v>76</v>
      </c>
      <c r="B13" s="279" t="s">
        <v>104</v>
      </c>
      <c r="C13" s="109" t="s">
        <v>105</v>
      </c>
      <c r="D13" s="109" t="s">
        <v>184</v>
      </c>
      <c r="E13" s="109" t="s">
        <v>91</v>
      </c>
      <c r="F13" s="38">
        <v>14976</v>
      </c>
      <c r="G13" s="38">
        <f t="shared" si="0"/>
        <v>0</v>
      </c>
      <c r="H13" s="39">
        <f t="shared" si="3"/>
        <v>14976</v>
      </c>
      <c r="I13" s="107"/>
      <c r="J13" s="121"/>
      <c r="K13" s="230">
        <v>25.3</v>
      </c>
      <c r="L13" s="455"/>
      <c r="M13" s="122">
        <f t="shared" si="4"/>
        <v>0</v>
      </c>
      <c r="N13" s="123">
        <f t="shared" si="1"/>
        <v>0</v>
      </c>
      <c r="O13" s="123">
        <f t="shared" si="2"/>
        <v>0</v>
      </c>
      <c r="P13" s="123">
        <f t="shared" si="5"/>
        <v>0</v>
      </c>
      <c r="Q13" s="123">
        <f t="shared" si="6"/>
        <v>0</v>
      </c>
      <c r="R13" s="122">
        <f t="shared" si="7"/>
        <v>0</v>
      </c>
      <c r="S13" s="122">
        <f t="shared" si="21"/>
        <v>0</v>
      </c>
      <c r="T13" s="122">
        <f t="shared" si="8"/>
        <v>0</v>
      </c>
      <c r="U13" s="122">
        <f t="shared" si="9"/>
        <v>0</v>
      </c>
      <c r="V13" s="122">
        <f t="shared" si="10"/>
        <v>0</v>
      </c>
      <c r="W13" s="124">
        <f t="shared" si="11"/>
        <v>0</v>
      </c>
      <c r="Y13" s="121"/>
      <c r="Z13" s="123"/>
      <c r="AA13" s="122">
        <f t="shared" si="12"/>
        <v>0</v>
      </c>
      <c r="AB13" s="123">
        <f t="shared" si="13"/>
        <v>0</v>
      </c>
      <c r="AC13" s="123">
        <f t="shared" si="14"/>
        <v>0</v>
      </c>
      <c r="AD13" s="123"/>
      <c r="AE13" s="122">
        <f t="shared" si="15"/>
        <v>0</v>
      </c>
      <c r="AF13" s="122">
        <f t="shared" si="16"/>
        <v>0</v>
      </c>
      <c r="AG13" s="122">
        <f t="shared" si="17"/>
        <v>0</v>
      </c>
      <c r="AH13" s="122">
        <f t="shared" si="18"/>
        <v>0</v>
      </c>
      <c r="AI13" s="122">
        <f t="shared" si="19"/>
        <v>0</v>
      </c>
      <c r="AJ13" s="122">
        <f t="shared" si="20"/>
        <v>0</v>
      </c>
      <c r="AK13" s="159"/>
      <c r="AL13" s="126"/>
      <c r="AM13" s="127"/>
      <c r="AO13" s="140" t="str">
        <f t="shared" si="22"/>
        <v/>
      </c>
      <c r="AP13" s="125" t="str">
        <f t="shared" si="23"/>
        <v/>
      </c>
      <c r="AQ13" s="124">
        <f t="shared" si="24"/>
        <v>0</v>
      </c>
      <c r="AS13" s="438"/>
    </row>
    <row r="14" spans="1:45" ht="15.75" thickBot="1" x14ac:dyDescent="0.3">
      <c r="A14" s="498"/>
      <c r="B14" s="282" t="s">
        <v>106</v>
      </c>
      <c r="C14" s="147" t="s">
        <v>107</v>
      </c>
      <c r="D14" s="147" t="s">
        <v>185</v>
      </c>
      <c r="E14" s="147" t="s">
        <v>91</v>
      </c>
      <c r="F14" s="148">
        <v>124084</v>
      </c>
      <c r="G14" s="148">
        <f t="shared" si="0"/>
        <v>0</v>
      </c>
      <c r="H14" s="149">
        <f t="shared" si="3"/>
        <v>124084</v>
      </c>
      <c r="I14" s="107"/>
      <c r="J14" s="176"/>
      <c r="K14" s="287">
        <v>25.3</v>
      </c>
      <c r="L14" s="457"/>
      <c r="M14" s="178">
        <f t="shared" si="4"/>
        <v>0</v>
      </c>
      <c r="N14" s="179">
        <f t="shared" si="1"/>
        <v>0</v>
      </c>
      <c r="O14" s="179">
        <f t="shared" si="2"/>
        <v>0</v>
      </c>
      <c r="P14" s="179">
        <f t="shared" si="5"/>
        <v>0</v>
      </c>
      <c r="Q14" s="179">
        <f t="shared" si="6"/>
        <v>0</v>
      </c>
      <c r="R14" s="178">
        <f t="shared" si="7"/>
        <v>0</v>
      </c>
      <c r="S14" s="178">
        <f t="shared" si="21"/>
        <v>0</v>
      </c>
      <c r="T14" s="178">
        <f t="shared" ref="T14" si="68">SUM(R14:S14)</f>
        <v>0</v>
      </c>
      <c r="U14" s="178">
        <f t="shared" si="9"/>
        <v>0</v>
      </c>
      <c r="V14" s="178">
        <f t="shared" si="10"/>
        <v>0</v>
      </c>
      <c r="W14" s="180">
        <f t="shared" si="11"/>
        <v>0</v>
      </c>
      <c r="Y14" s="181"/>
      <c r="Z14" s="179"/>
      <c r="AA14" s="178">
        <f t="shared" si="12"/>
        <v>0</v>
      </c>
      <c r="AB14" s="179">
        <f t="shared" si="13"/>
        <v>0</v>
      </c>
      <c r="AC14" s="179">
        <f t="shared" si="14"/>
        <v>0</v>
      </c>
      <c r="AD14" s="179"/>
      <c r="AE14" s="178">
        <f t="shared" si="15"/>
        <v>0</v>
      </c>
      <c r="AF14" s="178">
        <f t="shared" si="16"/>
        <v>0</v>
      </c>
      <c r="AG14" s="178">
        <f t="shared" si="17"/>
        <v>0</v>
      </c>
      <c r="AH14" s="178">
        <f t="shared" si="18"/>
        <v>0</v>
      </c>
      <c r="AI14" s="178">
        <f t="shared" si="19"/>
        <v>0</v>
      </c>
      <c r="AJ14" s="178">
        <f t="shared" si="20"/>
        <v>0</v>
      </c>
      <c r="AK14" s="189"/>
      <c r="AL14" s="177"/>
      <c r="AM14" s="182"/>
      <c r="AO14" s="183" t="str">
        <f t="shared" si="22"/>
        <v/>
      </c>
      <c r="AP14" s="184" t="str">
        <f t="shared" si="23"/>
        <v/>
      </c>
      <c r="AQ14" s="180">
        <f t="shared" si="24"/>
        <v>0</v>
      </c>
      <c r="AS14" s="438"/>
    </row>
    <row r="15" spans="1:45" x14ac:dyDescent="0.25">
      <c r="A15" s="496" t="s">
        <v>77</v>
      </c>
      <c r="B15" s="281" t="s">
        <v>108</v>
      </c>
      <c r="C15" s="197" t="s">
        <v>95</v>
      </c>
      <c r="D15" s="197" t="s">
        <v>179</v>
      </c>
      <c r="E15" s="197" t="s">
        <v>91</v>
      </c>
      <c r="F15" s="198">
        <v>146269</v>
      </c>
      <c r="G15" s="198">
        <f t="shared" ref="G15" si="69">SUM(J15,Y15)</f>
        <v>0</v>
      </c>
      <c r="H15" s="199">
        <f t="shared" ref="H15" si="70">F15-G15</f>
        <v>146269</v>
      </c>
      <c r="I15" s="107"/>
      <c r="J15" s="121"/>
      <c r="K15" s="230">
        <v>29.76</v>
      </c>
      <c r="L15" s="455"/>
      <c r="M15" s="122">
        <f>IF($J15&gt;0,IF($L15&lt;$K15,$K15,$L15),0)</f>
        <v>0</v>
      </c>
      <c r="N15" s="123">
        <f t="shared" ref="N15" si="71">(M15*$N$4)</f>
        <v>0</v>
      </c>
      <c r="O15" s="123">
        <f t="shared" ref="O15" si="72">(N15+M15)*$O$4</f>
        <v>0</v>
      </c>
      <c r="P15" s="123">
        <f t="shared" ref="P15" si="73">(N15+M15+O15)*$P$4</f>
        <v>0</v>
      </c>
      <c r="Q15" s="123">
        <f>(M15+N15+O15+P15)*$Q$4</f>
        <v>0</v>
      </c>
      <c r="R15" s="122">
        <f t="shared" ref="R15" si="74">SUM(M15:Q15)</f>
        <v>0</v>
      </c>
      <c r="S15" s="122">
        <f t="shared" ref="S15" si="75">(R15-Q15)*$S$4</f>
        <v>0</v>
      </c>
      <c r="T15" s="122">
        <f>SUM(R15:S15)</f>
        <v>0</v>
      </c>
      <c r="U15" s="122">
        <f t="shared" ref="U15" si="76">R15*J15</f>
        <v>0</v>
      </c>
      <c r="V15" s="122">
        <f t="shared" ref="V15" si="77">S15*J15</f>
        <v>0</v>
      </c>
      <c r="W15" s="124">
        <f t="shared" ref="W15" si="78">T15*J15</f>
        <v>0</v>
      </c>
      <c r="Y15" s="3"/>
      <c r="Z15" s="4"/>
      <c r="AA15" s="40">
        <f t="shared" si="12"/>
        <v>0</v>
      </c>
      <c r="AB15" s="4">
        <f t="shared" ref="AB15" si="79">(AA15*$AB$4)</f>
        <v>0</v>
      </c>
      <c r="AC15" s="4">
        <f t="shared" ref="AC15" si="80">(AA15+AB15)*$AC$4</f>
        <v>0</v>
      </c>
      <c r="AD15" s="4"/>
      <c r="AE15" s="40">
        <f t="shared" ref="AE15" si="81">SUM(AA15:AD15)</f>
        <v>0</v>
      </c>
      <c r="AF15" s="40">
        <f t="shared" ref="AF15" si="82">$AF$4*(AC15+AA15+AB15)</f>
        <v>0</v>
      </c>
      <c r="AG15" s="40">
        <f t="shared" ref="AG15" si="83">SUM(AE15:AF15)</f>
        <v>0</v>
      </c>
      <c r="AH15" s="40">
        <f t="shared" ref="AH15" si="84">AE15*Y15</f>
        <v>0</v>
      </c>
      <c r="AI15" s="40">
        <f t="shared" ref="AI15" si="85">AF15*Y15</f>
        <v>0</v>
      </c>
      <c r="AJ15" s="40">
        <f t="shared" ref="AJ15" si="86">AG15*Y15</f>
        <v>0</v>
      </c>
      <c r="AK15" s="160"/>
      <c r="AL15" s="213"/>
      <c r="AM15" s="6"/>
      <c r="AO15" s="140" t="str">
        <f t="shared" ref="AO15" si="87">IFERROR(SUM(U15,AH15)/G15,"")</f>
        <v/>
      </c>
      <c r="AP15" s="125" t="str">
        <f t="shared" ref="AP15" si="88">IFERROR(SUM(V15,AI15)/G15,"")</f>
        <v/>
      </c>
      <c r="AQ15" s="124">
        <f t="shared" ref="AQ15" si="89">SUM(AO15:AP15)</f>
        <v>0</v>
      </c>
      <c r="AS15" s="438"/>
    </row>
    <row r="16" spans="1:45" x14ac:dyDescent="0.25">
      <c r="A16" s="497"/>
      <c r="B16" s="280" t="s">
        <v>109</v>
      </c>
      <c r="C16" s="108" t="s">
        <v>110</v>
      </c>
      <c r="D16" s="108" t="s">
        <v>186</v>
      </c>
      <c r="E16" s="108" t="s">
        <v>91</v>
      </c>
      <c r="F16" s="42">
        <v>14976</v>
      </c>
      <c r="G16" s="42">
        <f>SUM(J16,Y16)</f>
        <v>0</v>
      </c>
      <c r="H16" s="43">
        <f>F16-G16</f>
        <v>14976</v>
      </c>
      <c r="I16" s="107"/>
      <c r="J16" s="3"/>
      <c r="K16" s="228">
        <v>25.91</v>
      </c>
      <c r="L16" s="456"/>
      <c r="M16" s="44">
        <f>IF($J16&gt;0,IF($L16&lt;$K16,$K16,$L16),0)</f>
        <v>0</v>
      </c>
      <c r="N16" s="5">
        <f>(M16*$N$4)</f>
        <v>0</v>
      </c>
      <c r="O16" s="5">
        <f>(N16+M16)*$O$4</f>
        <v>0</v>
      </c>
      <c r="P16" s="5">
        <f>(N16+M16+O16)*$P$4</f>
        <v>0</v>
      </c>
      <c r="Q16" s="5">
        <f>(M16+N16+O16+P16)*$Q$4</f>
        <v>0</v>
      </c>
      <c r="R16" s="44">
        <f>SUM(M16:Q16)</f>
        <v>0</v>
      </c>
      <c r="S16" s="44">
        <f>(R16-Q16)*$S$4</f>
        <v>0</v>
      </c>
      <c r="T16" s="44">
        <f>SUM(R16:S16)</f>
        <v>0</v>
      </c>
      <c r="U16" s="44">
        <f>R16*J16</f>
        <v>0</v>
      </c>
      <c r="V16" s="44">
        <f>S16*J16</f>
        <v>0</v>
      </c>
      <c r="W16" s="128">
        <f>T16*J16</f>
        <v>0</v>
      </c>
      <c r="Y16" s="161"/>
      <c r="Z16" s="5"/>
      <c r="AA16" s="44">
        <f>IF($Y16&gt;0,$Z16,0)</f>
        <v>0</v>
      </c>
      <c r="AB16" s="5">
        <f>(AA16*$AB$4)</f>
        <v>0</v>
      </c>
      <c r="AC16" s="5">
        <f>(AA16+AB16)*$AC$4</f>
        <v>0</v>
      </c>
      <c r="AD16" s="5"/>
      <c r="AE16" s="44">
        <f>SUM(AA16:AD16)</f>
        <v>0</v>
      </c>
      <c r="AF16" s="44">
        <f>$AF$4*(AC16+AA16+AB16)</f>
        <v>0</v>
      </c>
      <c r="AG16" s="44">
        <f>SUM(AE16:AF16)</f>
        <v>0</v>
      </c>
      <c r="AH16" s="44">
        <f>AE16*Y16</f>
        <v>0</v>
      </c>
      <c r="AI16" s="44">
        <f>AF16*Y16</f>
        <v>0</v>
      </c>
      <c r="AJ16" s="44">
        <f>AG16*Y16</f>
        <v>0</v>
      </c>
      <c r="AK16" s="160"/>
      <c r="AL16" s="7"/>
      <c r="AM16" s="8"/>
      <c r="AO16" s="162" t="str">
        <f>IFERROR(SUM(U16,AH16)/G16,"")</f>
        <v/>
      </c>
      <c r="AP16" s="45" t="str">
        <f>IFERROR(SUM(V16,AI16)/G16,"")</f>
        <v/>
      </c>
      <c r="AQ16" s="128">
        <f>SUM(AO16:AP16)</f>
        <v>0</v>
      </c>
      <c r="AS16" s="438"/>
    </row>
    <row r="17" spans="1:45" x14ac:dyDescent="0.25">
      <c r="A17" s="497"/>
      <c r="B17" s="280" t="s">
        <v>111</v>
      </c>
      <c r="C17" s="108" t="s">
        <v>99</v>
      </c>
      <c r="D17" s="108" t="s">
        <v>181</v>
      </c>
      <c r="E17" s="108" t="s">
        <v>91</v>
      </c>
      <c r="F17" s="42">
        <v>4236</v>
      </c>
      <c r="G17" s="42">
        <f t="shared" si="0"/>
        <v>0</v>
      </c>
      <c r="H17" s="43">
        <f t="shared" si="3"/>
        <v>4236</v>
      </c>
      <c r="I17" s="107"/>
      <c r="J17" s="3"/>
      <c r="K17" s="228">
        <v>29.76</v>
      </c>
      <c r="L17" s="456"/>
      <c r="M17" s="44">
        <f t="shared" si="4"/>
        <v>0</v>
      </c>
      <c r="N17" s="5">
        <f t="shared" si="1"/>
        <v>0</v>
      </c>
      <c r="O17" s="5">
        <f t="shared" si="2"/>
        <v>0</v>
      </c>
      <c r="P17" s="5">
        <f t="shared" si="5"/>
        <v>0</v>
      </c>
      <c r="Q17" s="5">
        <f t="shared" si="6"/>
        <v>0</v>
      </c>
      <c r="R17" s="44">
        <f t="shared" si="7"/>
        <v>0</v>
      </c>
      <c r="S17" s="44">
        <f t="shared" si="21"/>
        <v>0</v>
      </c>
      <c r="T17" s="44">
        <f>SUM(R17:S17)</f>
        <v>0</v>
      </c>
      <c r="U17" s="44">
        <f t="shared" si="9"/>
        <v>0</v>
      </c>
      <c r="V17" s="44">
        <f t="shared" si="10"/>
        <v>0</v>
      </c>
      <c r="W17" s="128">
        <f t="shared" si="11"/>
        <v>0</v>
      </c>
      <c r="Y17" s="161"/>
      <c r="Z17" s="5"/>
      <c r="AA17" s="44">
        <f t="shared" si="12"/>
        <v>0</v>
      </c>
      <c r="AB17" s="5">
        <f t="shared" si="13"/>
        <v>0</v>
      </c>
      <c r="AC17" s="5">
        <f t="shared" si="14"/>
        <v>0</v>
      </c>
      <c r="AD17" s="5"/>
      <c r="AE17" s="44">
        <f t="shared" si="15"/>
        <v>0</v>
      </c>
      <c r="AF17" s="44">
        <f t="shared" si="16"/>
        <v>0</v>
      </c>
      <c r="AG17" s="44">
        <f t="shared" si="17"/>
        <v>0</v>
      </c>
      <c r="AH17" s="44">
        <f t="shared" si="18"/>
        <v>0</v>
      </c>
      <c r="AI17" s="44">
        <f t="shared" si="19"/>
        <v>0</v>
      </c>
      <c r="AJ17" s="44">
        <f t="shared" si="20"/>
        <v>0</v>
      </c>
      <c r="AK17" s="160"/>
      <c r="AL17" s="7"/>
      <c r="AM17" s="8"/>
      <c r="AO17" s="162" t="str">
        <f t="shared" si="22"/>
        <v/>
      </c>
      <c r="AP17" s="45" t="str">
        <f t="shared" si="23"/>
        <v/>
      </c>
      <c r="AQ17" s="128">
        <f t="shared" si="24"/>
        <v>0</v>
      </c>
      <c r="AS17" s="438"/>
    </row>
    <row r="18" spans="1:45" x14ac:dyDescent="0.25">
      <c r="A18" s="497"/>
      <c r="B18" s="280" t="s">
        <v>112</v>
      </c>
      <c r="C18" s="108" t="s">
        <v>113</v>
      </c>
      <c r="D18" s="108" t="s">
        <v>187</v>
      </c>
      <c r="E18" s="108" t="s">
        <v>91</v>
      </c>
      <c r="F18" s="42">
        <v>29951</v>
      </c>
      <c r="G18" s="42">
        <f t="shared" si="0"/>
        <v>0</v>
      </c>
      <c r="H18" s="43">
        <f t="shared" si="3"/>
        <v>29951</v>
      </c>
      <c r="I18" s="107"/>
      <c r="J18" s="3"/>
      <c r="K18" s="228">
        <v>33.799999999999997</v>
      </c>
      <c r="L18" s="456"/>
      <c r="M18" s="44">
        <f t="shared" si="4"/>
        <v>0</v>
      </c>
      <c r="N18" s="5">
        <f t="shared" si="1"/>
        <v>0</v>
      </c>
      <c r="O18" s="5">
        <f t="shared" si="2"/>
        <v>0</v>
      </c>
      <c r="P18" s="5">
        <f t="shared" si="5"/>
        <v>0</v>
      </c>
      <c r="Q18" s="5">
        <f t="shared" si="6"/>
        <v>0</v>
      </c>
      <c r="R18" s="44">
        <f t="shared" si="7"/>
        <v>0</v>
      </c>
      <c r="S18" s="44">
        <f t="shared" si="21"/>
        <v>0</v>
      </c>
      <c r="T18" s="44">
        <f t="shared" ref="T18:T43" si="90">SUM(R18:S18)</f>
        <v>0</v>
      </c>
      <c r="U18" s="44">
        <f t="shared" si="9"/>
        <v>0</v>
      </c>
      <c r="V18" s="44">
        <f t="shared" si="10"/>
        <v>0</v>
      </c>
      <c r="W18" s="128">
        <f t="shared" si="11"/>
        <v>0</v>
      </c>
      <c r="Y18" s="161"/>
      <c r="Z18" s="5"/>
      <c r="AA18" s="44">
        <f t="shared" si="12"/>
        <v>0</v>
      </c>
      <c r="AB18" s="5">
        <f t="shared" si="13"/>
        <v>0</v>
      </c>
      <c r="AC18" s="5">
        <f t="shared" si="14"/>
        <v>0</v>
      </c>
      <c r="AD18" s="5"/>
      <c r="AE18" s="44">
        <f t="shared" si="15"/>
        <v>0</v>
      </c>
      <c r="AF18" s="44">
        <f t="shared" si="16"/>
        <v>0</v>
      </c>
      <c r="AG18" s="44">
        <f t="shared" si="17"/>
        <v>0</v>
      </c>
      <c r="AH18" s="44">
        <f t="shared" si="18"/>
        <v>0</v>
      </c>
      <c r="AI18" s="44">
        <f t="shared" si="19"/>
        <v>0</v>
      </c>
      <c r="AJ18" s="44">
        <f t="shared" si="20"/>
        <v>0</v>
      </c>
      <c r="AK18" s="160"/>
      <c r="AL18" s="7"/>
      <c r="AM18" s="8"/>
      <c r="AO18" s="162" t="str">
        <f t="shared" si="22"/>
        <v/>
      </c>
      <c r="AP18" s="45" t="str">
        <f t="shared" si="23"/>
        <v/>
      </c>
      <c r="AQ18" s="128">
        <f t="shared" si="24"/>
        <v>0</v>
      </c>
      <c r="AS18" s="438"/>
    </row>
    <row r="19" spans="1:45" ht="15.75" thickBot="1" x14ac:dyDescent="0.3">
      <c r="A19" s="498"/>
      <c r="B19" s="280" t="s">
        <v>114</v>
      </c>
      <c r="C19" s="108" t="s">
        <v>103</v>
      </c>
      <c r="D19" s="108" t="s">
        <v>183</v>
      </c>
      <c r="E19" s="108" t="s">
        <v>91</v>
      </c>
      <c r="F19" s="42">
        <v>10547</v>
      </c>
      <c r="G19" s="42">
        <f t="shared" si="0"/>
        <v>0</v>
      </c>
      <c r="H19" s="43">
        <f>F19-G19</f>
        <v>10547</v>
      </c>
      <c r="I19" s="107"/>
      <c r="J19" s="176"/>
      <c r="K19" s="287">
        <v>23.57</v>
      </c>
      <c r="L19" s="457"/>
      <c r="M19" s="178">
        <f t="shared" si="4"/>
        <v>0</v>
      </c>
      <c r="N19" s="179">
        <f t="shared" si="1"/>
        <v>0</v>
      </c>
      <c r="O19" s="179">
        <f t="shared" si="2"/>
        <v>0</v>
      </c>
      <c r="P19" s="179">
        <f t="shared" si="5"/>
        <v>0</v>
      </c>
      <c r="Q19" s="179">
        <f>(M19+N19+O19+P19)*$Q$4</f>
        <v>0</v>
      </c>
      <c r="R19" s="178">
        <f t="shared" si="7"/>
        <v>0</v>
      </c>
      <c r="S19" s="178">
        <f>(R19-Q19)*$S$4</f>
        <v>0</v>
      </c>
      <c r="T19" s="178">
        <f t="shared" si="90"/>
        <v>0</v>
      </c>
      <c r="U19" s="178">
        <f t="shared" si="9"/>
        <v>0</v>
      </c>
      <c r="V19" s="178">
        <f t="shared" si="10"/>
        <v>0</v>
      </c>
      <c r="W19" s="180">
        <f t="shared" si="11"/>
        <v>0</v>
      </c>
      <c r="Y19" s="181"/>
      <c r="Z19" s="179"/>
      <c r="AA19" s="178">
        <f t="shared" si="12"/>
        <v>0</v>
      </c>
      <c r="AB19" s="179">
        <f t="shared" si="13"/>
        <v>0</v>
      </c>
      <c r="AC19" s="179">
        <f t="shared" si="14"/>
        <v>0</v>
      </c>
      <c r="AD19" s="179"/>
      <c r="AE19" s="178">
        <f t="shared" si="15"/>
        <v>0</v>
      </c>
      <c r="AF19" s="178">
        <f t="shared" si="16"/>
        <v>0</v>
      </c>
      <c r="AG19" s="178">
        <f t="shared" si="17"/>
        <v>0</v>
      </c>
      <c r="AH19" s="178">
        <f t="shared" si="18"/>
        <v>0</v>
      </c>
      <c r="AI19" s="178">
        <f t="shared" si="19"/>
        <v>0</v>
      </c>
      <c r="AJ19" s="178">
        <f t="shared" si="20"/>
        <v>0</v>
      </c>
      <c r="AK19" s="189"/>
      <c r="AL19" s="177"/>
      <c r="AM19" s="182"/>
      <c r="AO19" s="183" t="str">
        <f t="shared" si="22"/>
        <v/>
      </c>
      <c r="AP19" s="184" t="str">
        <f t="shared" si="23"/>
        <v/>
      </c>
      <c r="AQ19" s="180">
        <f t="shared" si="24"/>
        <v>0</v>
      </c>
      <c r="AS19" s="438"/>
    </row>
    <row r="20" spans="1:45" ht="15.75" thickBot="1" x14ac:dyDescent="0.3">
      <c r="A20" s="66" t="s">
        <v>188</v>
      </c>
      <c r="B20" s="278"/>
      <c r="C20" s="200"/>
      <c r="D20" s="200"/>
      <c r="E20" s="200"/>
      <c r="F20" s="201"/>
      <c r="G20" s="201"/>
      <c r="H20" s="202"/>
      <c r="I20" s="46"/>
      <c r="J20" s="443"/>
      <c r="K20" s="444"/>
      <c r="L20" s="207"/>
      <c r="M20" s="445"/>
      <c r="N20" s="208"/>
      <c r="O20" s="208"/>
      <c r="P20" s="208"/>
      <c r="Q20" s="208"/>
      <c r="R20" s="208"/>
      <c r="S20" s="208"/>
      <c r="T20" s="208"/>
      <c r="U20" s="208"/>
      <c r="V20" s="208"/>
      <c r="W20" s="209"/>
      <c r="Y20" s="446"/>
      <c r="Z20" s="244"/>
      <c r="AA20" s="244"/>
      <c r="AB20" s="244"/>
      <c r="AC20" s="244"/>
      <c r="AD20" s="244"/>
      <c r="AE20" s="244"/>
      <c r="AF20" s="244"/>
      <c r="AG20" s="244"/>
      <c r="AH20" s="244"/>
      <c r="AI20" s="244"/>
      <c r="AJ20" s="244"/>
      <c r="AK20" s="447"/>
      <c r="AL20" s="447"/>
      <c r="AM20" s="448"/>
      <c r="AO20" s="346"/>
      <c r="AP20" s="347"/>
      <c r="AQ20" s="348"/>
      <c r="AS20" s="438"/>
    </row>
    <row r="21" spans="1:45" ht="15.75" thickBot="1" x14ac:dyDescent="0.3">
      <c r="A21" s="297" t="s">
        <v>73</v>
      </c>
      <c r="B21" s="283" t="s">
        <v>92</v>
      </c>
      <c r="C21" s="284" t="s">
        <v>93</v>
      </c>
      <c r="D21" s="284" t="s">
        <v>178</v>
      </c>
      <c r="E21" s="284" t="s">
        <v>189</v>
      </c>
      <c r="F21" s="285">
        <v>4792</v>
      </c>
      <c r="G21" s="285">
        <f t="shared" ref="G21:G29" si="91">SUM(J21,Y21)</f>
        <v>0</v>
      </c>
      <c r="H21" s="286">
        <f>F21-G21</f>
        <v>4792</v>
      </c>
      <c r="I21" s="107"/>
      <c r="J21" s="205"/>
      <c r="K21" s="315">
        <f>K6*1.5</f>
        <v>44.64</v>
      </c>
      <c r="L21" s="315">
        <f>L6*1.5</f>
        <v>0</v>
      </c>
      <c r="M21" s="316">
        <f>IF($J21&gt;0,IF($L21&lt;$K21,$K21,$L21),0)</f>
        <v>0</v>
      </c>
      <c r="N21" s="341">
        <f t="shared" ref="N21:N29" si="92">(M21*$N$4)</f>
        <v>0</v>
      </c>
      <c r="O21" s="341">
        <f t="shared" ref="O21:O29" si="93">(N21+M21)*$O$4</f>
        <v>0</v>
      </c>
      <c r="P21" s="341">
        <f t="shared" ref="P21:P29" si="94">(N21+M21+O21)*$P$4</f>
        <v>0</v>
      </c>
      <c r="Q21" s="341">
        <f t="shared" ref="Q21:Q29" si="95">(M21+N21+O21+P21)*$Q$4</f>
        <v>0</v>
      </c>
      <c r="R21" s="316">
        <f t="shared" ref="R21:R29" si="96">SUM(M21:Q21)</f>
        <v>0</v>
      </c>
      <c r="S21" s="316">
        <f t="shared" ref="S21:S29" si="97">(R21-Q21)*$S$4</f>
        <v>0</v>
      </c>
      <c r="T21" s="316">
        <f>SUM(R21:S21)</f>
        <v>0</v>
      </c>
      <c r="U21" s="316">
        <f t="shared" ref="U21:U29" si="98">R21*J21</f>
        <v>0</v>
      </c>
      <c r="V21" s="316">
        <f t="shared" ref="V21:V29" si="99">S21*J21</f>
        <v>0</v>
      </c>
      <c r="W21" s="317">
        <f t="shared" ref="W21:W29" si="100">T21*J21</f>
        <v>0</v>
      </c>
      <c r="Y21" s="205"/>
      <c r="Z21" s="341"/>
      <c r="AA21" s="316">
        <f>IF($Y21&gt;0,$Z21,0)</f>
        <v>0</v>
      </c>
      <c r="AB21" s="341">
        <f t="shared" ref="AB21" si="101">(AA21*$AB$4)</f>
        <v>0</v>
      </c>
      <c r="AC21" s="341">
        <f t="shared" ref="AC21" si="102">(AA21+AB21)*$AC$4</f>
        <v>0</v>
      </c>
      <c r="AD21" s="341"/>
      <c r="AE21" s="316">
        <f t="shared" ref="AE21" si="103">SUM(AA21:AD21)</f>
        <v>0</v>
      </c>
      <c r="AF21" s="316">
        <f t="shared" ref="AF21:AF36" si="104">$AF$4*(AC21+AA21+AB21)</f>
        <v>0</v>
      </c>
      <c r="AG21" s="316">
        <f t="shared" ref="AG21" si="105">SUM(AE21:AF21)</f>
        <v>0</v>
      </c>
      <c r="AH21" s="316">
        <f t="shared" ref="AH21:AH29" si="106">AE21*Y21</f>
        <v>0</v>
      </c>
      <c r="AI21" s="316">
        <f t="shared" ref="AI21:AI34" si="107">AF21*Y21</f>
        <v>0</v>
      </c>
      <c r="AJ21" s="317">
        <f t="shared" ref="AJ21:AJ34" si="108">AG21*Y21</f>
        <v>0</v>
      </c>
      <c r="AK21" s="210"/>
      <c r="AL21" s="344"/>
      <c r="AM21" s="345"/>
      <c r="AO21" s="339" t="str">
        <f t="shared" ref="AO21:AO27" si="109">IFERROR(SUM(U21,AH21)/G21,"")</f>
        <v/>
      </c>
      <c r="AP21" s="340" t="str">
        <f t="shared" ref="AP21:AP27" si="110">IFERROR(SUM(V21,AI21)/G21,"")</f>
        <v/>
      </c>
      <c r="AQ21" s="291">
        <f t="shared" ref="AQ21:AQ27" si="111">SUM(AO21:AP21)</f>
        <v>0</v>
      </c>
      <c r="AS21" s="438"/>
    </row>
    <row r="22" spans="1:45" ht="15.75" thickBot="1" x14ac:dyDescent="0.3">
      <c r="A22" s="297" t="s">
        <v>74</v>
      </c>
      <c r="B22" s="283" t="s">
        <v>94</v>
      </c>
      <c r="C22" s="284" t="s">
        <v>95</v>
      </c>
      <c r="D22" s="284" t="s">
        <v>179</v>
      </c>
      <c r="E22" s="284" t="s">
        <v>189</v>
      </c>
      <c r="F22" s="285">
        <v>10809</v>
      </c>
      <c r="G22" s="285">
        <f t="shared" si="91"/>
        <v>0</v>
      </c>
      <c r="H22" s="286">
        <f t="shared" ref="H22:H29" si="112">F22-G22</f>
        <v>10809</v>
      </c>
      <c r="I22" s="107"/>
      <c r="J22" s="288"/>
      <c r="K22" s="289">
        <f>K7*1.5</f>
        <v>44.64</v>
      </c>
      <c r="L22" s="289">
        <f>L7*1.5</f>
        <v>0</v>
      </c>
      <c r="M22" s="290">
        <f t="shared" ref="M22:M43" si="113">IF($J22&gt;0,IF($L22&lt;$K22,$K22,$L22),0)</f>
        <v>0</v>
      </c>
      <c r="N22" s="334">
        <f t="shared" si="92"/>
        <v>0</v>
      </c>
      <c r="O22" s="334">
        <f t="shared" si="93"/>
        <v>0</v>
      </c>
      <c r="P22" s="334">
        <f t="shared" si="94"/>
        <v>0</v>
      </c>
      <c r="Q22" s="334">
        <f>(M22+N22+O22+P22)*$Q$4</f>
        <v>0</v>
      </c>
      <c r="R22" s="290">
        <f t="shared" si="96"/>
        <v>0</v>
      </c>
      <c r="S22" s="290">
        <f>(R22-Q22)*$S$4</f>
        <v>0</v>
      </c>
      <c r="T22" s="290">
        <f>SUM(R22:S22)</f>
        <v>0</v>
      </c>
      <c r="U22" s="290">
        <f t="shared" si="98"/>
        <v>0</v>
      </c>
      <c r="V22" s="290">
        <f t="shared" si="99"/>
        <v>0</v>
      </c>
      <c r="W22" s="291">
        <f t="shared" si="100"/>
        <v>0</v>
      </c>
      <c r="Y22" s="288"/>
      <c r="Z22" s="334"/>
      <c r="AA22" s="290">
        <f t="shared" ref="AA22:AA34" si="114">IF($Y22&gt;0,$Z22,0)</f>
        <v>0</v>
      </c>
      <c r="AB22" s="334">
        <f t="shared" ref="AB22:AB34" si="115">(AA22*$AB$4)</f>
        <v>0</v>
      </c>
      <c r="AC22" s="334">
        <f t="shared" ref="AC22:AC34" si="116">(AA22+AB22)*$AC$4</f>
        <v>0</v>
      </c>
      <c r="AD22" s="334"/>
      <c r="AE22" s="290">
        <f t="shared" ref="AE22:AE34" si="117">SUM(AA22:AD22)</f>
        <v>0</v>
      </c>
      <c r="AF22" s="290">
        <f t="shared" ref="AF22:AF34" si="118">$AF$4*(AC22+AA22+AB22)</f>
        <v>0</v>
      </c>
      <c r="AG22" s="290">
        <f t="shared" ref="AG22:AG34" si="119">SUM(AE22:AF22)</f>
        <v>0</v>
      </c>
      <c r="AH22" s="290">
        <f t="shared" si="106"/>
        <v>0</v>
      </c>
      <c r="AI22" s="290">
        <f t="shared" si="107"/>
        <v>0</v>
      </c>
      <c r="AJ22" s="291">
        <f t="shared" si="108"/>
        <v>0</v>
      </c>
      <c r="AK22" s="335"/>
      <c r="AL22" s="336"/>
      <c r="AM22" s="337"/>
      <c r="AO22" s="339" t="str">
        <f t="shared" si="109"/>
        <v/>
      </c>
      <c r="AP22" s="340" t="str">
        <f t="shared" si="110"/>
        <v/>
      </c>
      <c r="AQ22" s="291">
        <f t="shared" si="111"/>
        <v>0</v>
      </c>
      <c r="AS22" s="438"/>
    </row>
    <row r="23" spans="1:45" x14ac:dyDescent="0.25">
      <c r="A23" s="496" t="s">
        <v>75</v>
      </c>
      <c r="B23" s="279" t="s">
        <v>96</v>
      </c>
      <c r="C23" s="109" t="s">
        <v>93</v>
      </c>
      <c r="D23" s="109" t="s">
        <v>178</v>
      </c>
      <c r="E23" s="109" t="s">
        <v>189</v>
      </c>
      <c r="F23" s="38">
        <v>913</v>
      </c>
      <c r="G23" s="38">
        <f t="shared" si="91"/>
        <v>0</v>
      </c>
      <c r="H23" s="39">
        <f t="shared" si="112"/>
        <v>913</v>
      </c>
      <c r="I23" s="107"/>
      <c r="J23" s="121"/>
      <c r="K23" s="230">
        <f t="shared" ref="K23:K34" si="120">K8*1.5</f>
        <v>44.64</v>
      </c>
      <c r="L23" s="230">
        <f t="shared" ref="L23:L34" si="121">L8*1.5</f>
        <v>0</v>
      </c>
      <c r="M23" s="122">
        <f t="shared" si="113"/>
        <v>0</v>
      </c>
      <c r="N23" s="123">
        <f t="shared" si="92"/>
        <v>0</v>
      </c>
      <c r="O23" s="123">
        <f t="shared" si="93"/>
        <v>0</v>
      </c>
      <c r="P23" s="123">
        <f t="shared" si="94"/>
        <v>0</v>
      </c>
      <c r="Q23" s="123">
        <f t="shared" si="95"/>
        <v>0</v>
      </c>
      <c r="R23" s="122">
        <f t="shared" si="96"/>
        <v>0</v>
      </c>
      <c r="S23" s="122">
        <f t="shared" si="97"/>
        <v>0</v>
      </c>
      <c r="T23" s="122">
        <f t="shared" ref="T23:T29" si="122">SUM(R23:S23)</f>
        <v>0</v>
      </c>
      <c r="U23" s="122">
        <f t="shared" si="98"/>
        <v>0</v>
      </c>
      <c r="V23" s="122">
        <f t="shared" si="99"/>
        <v>0</v>
      </c>
      <c r="W23" s="124">
        <f t="shared" si="100"/>
        <v>0</v>
      </c>
      <c r="Y23" s="121"/>
      <c r="Z23" s="123"/>
      <c r="AA23" s="122">
        <f t="shared" si="114"/>
        <v>0</v>
      </c>
      <c r="AB23" s="123">
        <f t="shared" si="115"/>
        <v>0</v>
      </c>
      <c r="AC23" s="123">
        <f t="shared" si="116"/>
        <v>0</v>
      </c>
      <c r="AD23" s="123"/>
      <c r="AE23" s="122">
        <f t="shared" si="117"/>
        <v>0</v>
      </c>
      <c r="AF23" s="122">
        <f t="shared" si="118"/>
        <v>0</v>
      </c>
      <c r="AG23" s="122">
        <f t="shared" si="119"/>
        <v>0</v>
      </c>
      <c r="AH23" s="122">
        <f t="shared" si="106"/>
        <v>0</v>
      </c>
      <c r="AI23" s="122">
        <f t="shared" si="107"/>
        <v>0</v>
      </c>
      <c r="AJ23" s="124">
        <f t="shared" si="108"/>
        <v>0</v>
      </c>
      <c r="AK23" s="159"/>
      <c r="AL23" s="126"/>
      <c r="AM23" s="127"/>
      <c r="AO23" s="140" t="str">
        <f t="shared" si="109"/>
        <v/>
      </c>
      <c r="AP23" s="125" t="str">
        <f t="shared" si="110"/>
        <v/>
      </c>
      <c r="AQ23" s="124">
        <f t="shared" si="111"/>
        <v>0</v>
      </c>
      <c r="AS23" s="438"/>
    </row>
    <row r="24" spans="1:45" x14ac:dyDescent="0.25">
      <c r="A24" s="497"/>
      <c r="B24" s="280" t="s">
        <v>97</v>
      </c>
      <c r="C24" s="108" t="s">
        <v>75</v>
      </c>
      <c r="D24" s="108" t="s">
        <v>180</v>
      </c>
      <c r="E24" s="108" t="s">
        <v>189</v>
      </c>
      <c r="F24" s="42">
        <v>16223</v>
      </c>
      <c r="G24" s="42">
        <f t="shared" si="91"/>
        <v>0</v>
      </c>
      <c r="H24" s="43">
        <f t="shared" si="112"/>
        <v>16223</v>
      </c>
      <c r="I24" s="107"/>
      <c r="J24" s="3"/>
      <c r="K24" s="229">
        <f t="shared" si="120"/>
        <v>44.64</v>
      </c>
      <c r="L24" s="229">
        <f t="shared" si="121"/>
        <v>0</v>
      </c>
      <c r="M24" s="40">
        <f t="shared" si="113"/>
        <v>0</v>
      </c>
      <c r="N24" s="4">
        <f t="shared" si="92"/>
        <v>0</v>
      </c>
      <c r="O24" s="4">
        <f t="shared" si="93"/>
        <v>0</v>
      </c>
      <c r="P24" s="5">
        <f t="shared" si="94"/>
        <v>0</v>
      </c>
      <c r="Q24" s="5">
        <f t="shared" si="95"/>
        <v>0</v>
      </c>
      <c r="R24" s="44">
        <f t="shared" si="96"/>
        <v>0</v>
      </c>
      <c r="S24" s="44">
        <f t="shared" si="97"/>
        <v>0</v>
      </c>
      <c r="T24" s="44">
        <f>SUM(R24:S24)</f>
        <v>0</v>
      </c>
      <c r="U24" s="44">
        <f t="shared" si="98"/>
        <v>0</v>
      </c>
      <c r="V24" s="44">
        <f t="shared" si="99"/>
        <v>0</v>
      </c>
      <c r="W24" s="128">
        <f t="shared" si="100"/>
        <v>0</v>
      </c>
      <c r="Y24" s="161"/>
      <c r="Z24" s="5"/>
      <c r="AA24" s="40">
        <f>IF($Y24&gt;0,$Z24,0)</f>
        <v>0</v>
      </c>
      <c r="AB24" s="4">
        <f t="shared" si="115"/>
        <v>0</v>
      </c>
      <c r="AC24" s="4">
        <f t="shared" si="116"/>
        <v>0</v>
      </c>
      <c r="AD24" s="4"/>
      <c r="AE24" s="40">
        <f t="shared" si="117"/>
        <v>0</v>
      </c>
      <c r="AF24" s="40">
        <f t="shared" si="118"/>
        <v>0</v>
      </c>
      <c r="AG24" s="40">
        <f t="shared" si="119"/>
        <v>0</v>
      </c>
      <c r="AH24" s="40">
        <f t="shared" si="106"/>
        <v>0</v>
      </c>
      <c r="AI24" s="40">
        <f t="shared" si="107"/>
        <v>0</v>
      </c>
      <c r="AJ24" s="41">
        <f t="shared" si="108"/>
        <v>0</v>
      </c>
      <c r="AK24" s="160"/>
      <c r="AL24" s="7"/>
      <c r="AM24" s="8"/>
      <c r="AO24" s="162" t="str">
        <f t="shared" si="109"/>
        <v/>
      </c>
      <c r="AP24" s="45" t="str">
        <f t="shared" si="110"/>
        <v/>
      </c>
      <c r="AQ24" s="128">
        <f t="shared" si="111"/>
        <v>0</v>
      </c>
      <c r="AS24" s="438"/>
    </row>
    <row r="25" spans="1:45" x14ac:dyDescent="0.25">
      <c r="A25" s="497"/>
      <c r="B25" s="281" t="s">
        <v>98</v>
      </c>
      <c r="C25" s="108" t="s">
        <v>99</v>
      </c>
      <c r="D25" s="108" t="s">
        <v>181</v>
      </c>
      <c r="E25" s="108" t="s">
        <v>189</v>
      </c>
      <c r="F25" s="42">
        <v>1252</v>
      </c>
      <c r="G25" s="42">
        <f t="shared" si="91"/>
        <v>0</v>
      </c>
      <c r="H25" s="43">
        <f t="shared" si="112"/>
        <v>1252</v>
      </c>
      <c r="I25" s="107"/>
      <c r="J25" s="3"/>
      <c r="K25" s="229">
        <f t="shared" si="120"/>
        <v>44.64</v>
      </c>
      <c r="L25" s="229">
        <f t="shared" si="121"/>
        <v>0</v>
      </c>
      <c r="M25" s="40">
        <f t="shared" si="113"/>
        <v>0</v>
      </c>
      <c r="N25" s="4">
        <f t="shared" si="92"/>
        <v>0</v>
      </c>
      <c r="O25" s="4">
        <f t="shared" si="93"/>
        <v>0</v>
      </c>
      <c r="P25" s="5">
        <f t="shared" si="94"/>
        <v>0</v>
      </c>
      <c r="Q25" s="5">
        <f t="shared" si="95"/>
        <v>0</v>
      </c>
      <c r="R25" s="44">
        <f t="shared" si="96"/>
        <v>0</v>
      </c>
      <c r="S25" s="44">
        <f t="shared" si="97"/>
        <v>0</v>
      </c>
      <c r="T25" s="44">
        <f t="shared" si="122"/>
        <v>0</v>
      </c>
      <c r="U25" s="44">
        <f t="shared" si="98"/>
        <v>0</v>
      </c>
      <c r="V25" s="44">
        <f t="shared" si="99"/>
        <v>0</v>
      </c>
      <c r="W25" s="128">
        <f t="shared" si="100"/>
        <v>0</v>
      </c>
      <c r="Y25" s="161"/>
      <c r="Z25" s="5"/>
      <c r="AA25" s="40">
        <f t="shared" si="114"/>
        <v>0</v>
      </c>
      <c r="AB25" s="4">
        <f t="shared" si="115"/>
        <v>0</v>
      </c>
      <c r="AC25" s="4">
        <f t="shared" si="116"/>
        <v>0</v>
      </c>
      <c r="AD25" s="4"/>
      <c r="AE25" s="40">
        <f t="shared" si="117"/>
        <v>0</v>
      </c>
      <c r="AF25" s="40">
        <f t="shared" si="118"/>
        <v>0</v>
      </c>
      <c r="AG25" s="40">
        <f t="shared" si="119"/>
        <v>0</v>
      </c>
      <c r="AH25" s="40">
        <f t="shared" si="106"/>
        <v>0</v>
      </c>
      <c r="AI25" s="40">
        <f t="shared" si="107"/>
        <v>0</v>
      </c>
      <c r="AJ25" s="41">
        <f t="shared" si="108"/>
        <v>0</v>
      </c>
      <c r="AK25" s="160"/>
      <c r="AL25" s="7"/>
      <c r="AM25" s="8"/>
      <c r="AO25" s="162" t="str">
        <f t="shared" si="109"/>
        <v/>
      </c>
      <c r="AP25" s="45" t="str">
        <f t="shared" si="110"/>
        <v/>
      </c>
      <c r="AQ25" s="128">
        <f t="shared" si="111"/>
        <v>0</v>
      </c>
      <c r="AS25" s="438"/>
    </row>
    <row r="26" spans="1:45" x14ac:dyDescent="0.25">
      <c r="A26" s="497"/>
      <c r="B26" s="280" t="s">
        <v>100</v>
      </c>
      <c r="C26" s="108" t="s">
        <v>101</v>
      </c>
      <c r="D26" s="108" t="s">
        <v>182</v>
      </c>
      <c r="E26" s="108" t="s">
        <v>189</v>
      </c>
      <c r="F26" s="42">
        <v>1426</v>
      </c>
      <c r="G26" s="42">
        <f t="shared" si="91"/>
        <v>0</v>
      </c>
      <c r="H26" s="43">
        <f t="shared" si="112"/>
        <v>1426</v>
      </c>
      <c r="I26" s="107"/>
      <c r="J26" s="3"/>
      <c r="K26" s="229">
        <f t="shared" si="120"/>
        <v>44.64</v>
      </c>
      <c r="L26" s="229">
        <f t="shared" si="121"/>
        <v>0</v>
      </c>
      <c r="M26" s="40">
        <f t="shared" si="113"/>
        <v>0</v>
      </c>
      <c r="N26" s="4">
        <f t="shared" si="92"/>
        <v>0</v>
      </c>
      <c r="O26" s="4">
        <f t="shared" si="93"/>
        <v>0</v>
      </c>
      <c r="P26" s="5">
        <f t="shared" si="94"/>
        <v>0</v>
      </c>
      <c r="Q26" s="5">
        <f t="shared" si="95"/>
        <v>0</v>
      </c>
      <c r="R26" s="44">
        <f t="shared" si="96"/>
        <v>0</v>
      </c>
      <c r="S26" s="44">
        <f>(R26-Q26)*$S$4</f>
        <v>0</v>
      </c>
      <c r="T26" s="44">
        <f>SUM(R26:S26)</f>
        <v>0</v>
      </c>
      <c r="U26" s="44">
        <f t="shared" si="98"/>
        <v>0</v>
      </c>
      <c r="V26" s="44">
        <f t="shared" si="99"/>
        <v>0</v>
      </c>
      <c r="W26" s="128">
        <f t="shared" si="100"/>
        <v>0</v>
      </c>
      <c r="Y26" s="161"/>
      <c r="Z26" s="5"/>
      <c r="AA26" s="40">
        <f t="shared" si="114"/>
        <v>0</v>
      </c>
      <c r="AB26" s="4">
        <f t="shared" si="115"/>
        <v>0</v>
      </c>
      <c r="AC26" s="4">
        <f>(AA26+AB26)*$AC$4</f>
        <v>0</v>
      </c>
      <c r="AD26" s="4"/>
      <c r="AE26" s="40">
        <f t="shared" si="117"/>
        <v>0</v>
      </c>
      <c r="AF26" s="40">
        <f t="shared" si="118"/>
        <v>0</v>
      </c>
      <c r="AG26" s="40">
        <f t="shared" si="119"/>
        <v>0</v>
      </c>
      <c r="AH26" s="40">
        <f t="shared" si="106"/>
        <v>0</v>
      </c>
      <c r="AI26" s="40">
        <f t="shared" si="107"/>
        <v>0</v>
      </c>
      <c r="AJ26" s="41">
        <f t="shared" si="108"/>
        <v>0</v>
      </c>
      <c r="AK26" s="160"/>
      <c r="AL26" s="7"/>
      <c r="AM26" s="8"/>
      <c r="AO26" s="162" t="str">
        <f t="shared" si="109"/>
        <v/>
      </c>
      <c r="AP26" s="45" t="str">
        <f t="shared" si="110"/>
        <v/>
      </c>
      <c r="AQ26" s="128">
        <f t="shared" si="111"/>
        <v>0</v>
      </c>
      <c r="AS26" s="438"/>
    </row>
    <row r="27" spans="1:45" ht="15.75" thickBot="1" x14ac:dyDescent="0.3">
      <c r="A27" s="498"/>
      <c r="B27" s="282" t="s">
        <v>102</v>
      </c>
      <c r="C27" s="147" t="s">
        <v>103</v>
      </c>
      <c r="D27" s="147" t="s">
        <v>183</v>
      </c>
      <c r="E27" s="147" t="s">
        <v>189</v>
      </c>
      <c r="F27" s="148">
        <v>2152</v>
      </c>
      <c r="G27" s="148">
        <f t="shared" si="91"/>
        <v>0</v>
      </c>
      <c r="H27" s="149">
        <f t="shared" si="112"/>
        <v>2152</v>
      </c>
      <c r="I27" s="107"/>
      <c r="J27" s="176"/>
      <c r="K27" s="318">
        <f t="shared" si="120"/>
        <v>35.355000000000004</v>
      </c>
      <c r="L27" s="318">
        <f>L12*1.5</f>
        <v>0</v>
      </c>
      <c r="M27" s="234">
        <f t="shared" si="113"/>
        <v>0</v>
      </c>
      <c r="N27" s="342">
        <f t="shared" si="92"/>
        <v>0</v>
      </c>
      <c r="O27" s="342">
        <f t="shared" si="93"/>
        <v>0</v>
      </c>
      <c r="P27" s="179">
        <f t="shared" si="94"/>
        <v>0</v>
      </c>
      <c r="Q27" s="179">
        <f t="shared" si="95"/>
        <v>0</v>
      </c>
      <c r="R27" s="178">
        <f t="shared" si="96"/>
        <v>0</v>
      </c>
      <c r="S27" s="178">
        <f t="shared" si="97"/>
        <v>0</v>
      </c>
      <c r="T27" s="178">
        <f t="shared" si="122"/>
        <v>0</v>
      </c>
      <c r="U27" s="178">
        <f t="shared" si="98"/>
        <v>0</v>
      </c>
      <c r="V27" s="178">
        <f t="shared" si="99"/>
        <v>0</v>
      </c>
      <c r="W27" s="180">
        <f t="shared" si="100"/>
        <v>0</v>
      </c>
      <c r="Y27" s="181"/>
      <c r="Z27" s="179"/>
      <c r="AA27" s="234">
        <f t="shared" si="114"/>
        <v>0</v>
      </c>
      <c r="AB27" s="342">
        <f t="shared" si="115"/>
        <v>0</v>
      </c>
      <c r="AC27" s="342">
        <f t="shared" si="116"/>
        <v>0</v>
      </c>
      <c r="AD27" s="342"/>
      <c r="AE27" s="234">
        <f t="shared" si="117"/>
        <v>0</v>
      </c>
      <c r="AF27" s="234">
        <f t="shared" si="118"/>
        <v>0</v>
      </c>
      <c r="AG27" s="234">
        <f t="shared" si="119"/>
        <v>0</v>
      </c>
      <c r="AH27" s="234">
        <f t="shared" si="106"/>
        <v>0</v>
      </c>
      <c r="AI27" s="234">
        <f t="shared" si="107"/>
        <v>0</v>
      </c>
      <c r="AJ27" s="343">
        <f t="shared" si="108"/>
        <v>0</v>
      </c>
      <c r="AK27" s="189"/>
      <c r="AL27" s="177"/>
      <c r="AM27" s="182"/>
      <c r="AO27" s="211" t="str">
        <f t="shared" si="109"/>
        <v/>
      </c>
      <c r="AP27" s="212" t="str">
        <f t="shared" si="110"/>
        <v/>
      </c>
      <c r="AQ27" s="206">
        <f t="shared" si="111"/>
        <v>0</v>
      </c>
      <c r="AS27" s="438"/>
    </row>
    <row r="28" spans="1:45" x14ac:dyDescent="0.25">
      <c r="A28" s="496" t="s">
        <v>76</v>
      </c>
      <c r="B28" s="279" t="s">
        <v>104</v>
      </c>
      <c r="C28" s="109" t="s">
        <v>105</v>
      </c>
      <c r="D28" s="109" t="s">
        <v>184</v>
      </c>
      <c r="E28" s="109" t="s">
        <v>189</v>
      </c>
      <c r="F28" s="38">
        <v>1248</v>
      </c>
      <c r="G28" s="38">
        <f t="shared" ref="G28" si="123">SUM(J28,Y28)</f>
        <v>0</v>
      </c>
      <c r="H28" s="39">
        <f t="shared" ref="H28" si="124">F28-G28</f>
        <v>1248</v>
      </c>
      <c r="I28" s="107"/>
      <c r="J28" s="121"/>
      <c r="K28" s="230">
        <f t="shared" si="120"/>
        <v>37.950000000000003</v>
      </c>
      <c r="L28" s="230">
        <f t="shared" si="121"/>
        <v>0</v>
      </c>
      <c r="M28" s="122">
        <f t="shared" si="113"/>
        <v>0</v>
      </c>
      <c r="N28" s="123">
        <f t="shared" ref="N28" si="125">(M28*$N$4)</f>
        <v>0</v>
      </c>
      <c r="O28" s="123">
        <f t="shared" ref="O28" si="126">(N28+M28)*$O$4</f>
        <v>0</v>
      </c>
      <c r="P28" s="123">
        <f t="shared" ref="P28" si="127">(N28+M28+O28)*$P$4</f>
        <v>0</v>
      </c>
      <c r="Q28" s="123">
        <f t="shared" ref="Q28" si="128">(M28+N28+O28+P28)*$Q$4</f>
        <v>0</v>
      </c>
      <c r="R28" s="122">
        <f t="shared" ref="R28" si="129">SUM(M28:Q28)</f>
        <v>0</v>
      </c>
      <c r="S28" s="122">
        <f t="shared" ref="S28" si="130">(R28-Q28)*$S$4</f>
        <v>0</v>
      </c>
      <c r="T28" s="122">
        <f t="shared" ref="T28" si="131">SUM(R28:S28)</f>
        <v>0</v>
      </c>
      <c r="U28" s="122">
        <f t="shared" si="98"/>
        <v>0</v>
      </c>
      <c r="V28" s="122">
        <f t="shared" si="99"/>
        <v>0</v>
      </c>
      <c r="W28" s="124">
        <f t="shared" si="100"/>
        <v>0</v>
      </c>
      <c r="Y28" s="121"/>
      <c r="Z28" s="123"/>
      <c r="AA28" s="122">
        <f t="shared" si="114"/>
        <v>0</v>
      </c>
      <c r="AB28" s="123">
        <f t="shared" si="115"/>
        <v>0</v>
      </c>
      <c r="AC28" s="123">
        <f t="shared" si="116"/>
        <v>0</v>
      </c>
      <c r="AD28" s="123"/>
      <c r="AE28" s="122">
        <f t="shared" si="117"/>
        <v>0</v>
      </c>
      <c r="AF28" s="122">
        <f t="shared" si="118"/>
        <v>0</v>
      </c>
      <c r="AG28" s="122">
        <f t="shared" si="119"/>
        <v>0</v>
      </c>
      <c r="AH28" s="122">
        <f t="shared" si="106"/>
        <v>0</v>
      </c>
      <c r="AI28" s="122">
        <f t="shared" si="107"/>
        <v>0</v>
      </c>
      <c r="AJ28" s="124">
        <f t="shared" si="108"/>
        <v>0</v>
      </c>
      <c r="AK28" s="159"/>
      <c r="AL28" s="126"/>
      <c r="AM28" s="127"/>
      <c r="AO28" s="140" t="str">
        <f t="shared" ref="AO28:AO29" si="132">IFERROR(SUM(U28,AH28)/G28,"")</f>
        <v/>
      </c>
      <c r="AP28" s="125" t="str">
        <f t="shared" ref="AP28:AP29" si="133">IFERROR(SUM(V28,AI28)/G28,"")</f>
        <v/>
      </c>
      <c r="AQ28" s="124">
        <f t="shared" ref="AQ28:AQ29" si="134">SUM(AO28:AP28)</f>
        <v>0</v>
      </c>
      <c r="AS28" s="438"/>
    </row>
    <row r="29" spans="1:45" ht="15.75" thickBot="1" x14ac:dyDescent="0.3">
      <c r="A29" s="498"/>
      <c r="B29" s="314" t="s">
        <v>106</v>
      </c>
      <c r="C29" s="147" t="s">
        <v>107</v>
      </c>
      <c r="D29" s="147" t="s">
        <v>185</v>
      </c>
      <c r="E29" s="147" t="s">
        <v>189</v>
      </c>
      <c r="F29" s="148">
        <v>10340</v>
      </c>
      <c r="G29" s="148">
        <f t="shared" si="91"/>
        <v>0</v>
      </c>
      <c r="H29" s="149">
        <f t="shared" si="112"/>
        <v>10340</v>
      </c>
      <c r="I29" s="107"/>
      <c r="J29" s="176"/>
      <c r="K29" s="318">
        <f t="shared" si="120"/>
        <v>37.950000000000003</v>
      </c>
      <c r="L29" s="318">
        <f>L14*1.5</f>
        <v>0</v>
      </c>
      <c r="M29" s="178">
        <f t="shared" si="113"/>
        <v>0</v>
      </c>
      <c r="N29" s="179">
        <f t="shared" si="92"/>
        <v>0</v>
      </c>
      <c r="O29" s="179">
        <f t="shared" si="93"/>
        <v>0</v>
      </c>
      <c r="P29" s="179">
        <f t="shared" si="94"/>
        <v>0</v>
      </c>
      <c r="Q29" s="179">
        <f t="shared" si="95"/>
        <v>0</v>
      </c>
      <c r="R29" s="178">
        <f t="shared" si="96"/>
        <v>0</v>
      </c>
      <c r="S29" s="178">
        <f t="shared" si="97"/>
        <v>0</v>
      </c>
      <c r="T29" s="178">
        <f t="shared" si="122"/>
        <v>0</v>
      </c>
      <c r="U29" s="178">
        <f t="shared" si="98"/>
        <v>0</v>
      </c>
      <c r="V29" s="178">
        <f t="shared" si="99"/>
        <v>0</v>
      </c>
      <c r="W29" s="180">
        <f t="shared" si="100"/>
        <v>0</v>
      </c>
      <c r="Y29" s="181"/>
      <c r="Z29" s="179"/>
      <c r="AA29" s="234">
        <f t="shared" si="114"/>
        <v>0</v>
      </c>
      <c r="AB29" s="342">
        <f t="shared" si="115"/>
        <v>0</v>
      </c>
      <c r="AC29" s="342">
        <f t="shared" si="116"/>
        <v>0</v>
      </c>
      <c r="AD29" s="342"/>
      <c r="AE29" s="234">
        <f t="shared" si="117"/>
        <v>0</v>
      </c>
      <c r="AF29" s="234">
        <f>$AF$4*(AC29+AA29+AB29)</f>
        <v>0</v>
      </c>
      <c r="AG29" s="234">
        <f t="shared" si="119"/>
        <v>0</v>
      </c>
      <c r="AH29" s="234">
        <f t="shared" si="106"/>
        <v>0</v>
      </c>
      <c r="AI29" s="234">
        <f t="shared" si="107"/>
        <v>0</v>
      </c>
      <c r="AJ29" s="343">
        <f t="shared" si="108"/>
        <v>0</v>
      </c>
      <c r="AK29" s="189"/>
      <c r="AL29" s="177"/>
      <c r="AM29" s="182"/>
      <c r="AO29" s="183" t="str">
        <f t="shared" si="132"/>
        <v/>
      </c>
      <c r="AP29" s="184" t="str">
        <f t="shared" si="133"/>
        <v/>
      </c>
      <c r="AQ29" s="180">
        <f t="shared" si="134"/>
        <v>0</v>
      </c>
      <c r="AS29" s="438"/>
    </row>
    <row r="30" spans="1:45" x14ac:dyDescent="0.25">
      <c r="A30" s="496" t="s">
        <v>77</v>
      </c>
      <c r="B30" s="279" t="s">
        <v>108</v>
      </c>
      <c r="C30" s="109" t="s">
        <v>95</v>
      </c>
      <c r="D30" s="109" t="s">
        <v>179</v>
      </c>
      <c r="E30" s="109" t="s">
        <v>189</v>
      </c>
      <c r="F30" s="38">
        <v>12189</v>
      </c>
      <c r="G30" s="38">
        <f t="shared" ref="G30:G34" si="135">SUM(J30,Y30)</f>
        <v>0</v>
      </c>
      <c r="H30" s="39">
        <f t="shared" ref="H30:H34" si="136">F30-G30</f>
        <v>12189</v>
      </c>
      <c r="I30" s="107"/>
      <c r="J30" s="121"/>
      <c r="K30" s="230">
        <f t="shared" si="120"/>
        <v>44.64</v>
      </c>
      <c r="L30" s="230">
        <f>L15*1.5</f>
        <v>0</v>
      </c>
      <c r="M30" s="122">
        <f t="shared" si="113"/>
        <v>0</v>
      </c>
      <c r="N30" s="123">
        <f t="shared" ref="N30:N34" si="137">(M30*$N$4)</f>
        <v>0</v>
      </c>
      <c r="O30" s="123">
        <f t="shared" ref="O30:O34" si="138">(N30+M30)*$O$4</f>
        <v>0</v>
      </c>
      <c r="P30" s="123">
        <f t="shared" ref="P30:P34" si="139">(N30+M30+O30)*$P$4</f>
        <v>0</v>
      </c>
      <c r="Q30" s="123">
        <f t="shared" ref="Q30:Q34" si="140">(M30+N30+O30+P30)*$Q$4</f>
        <v>0</v>
      </c>
      <c r="R30" s="122">
        <f t="shared" ref="R30:R34" si="141">SUM(M30:Q30)</f>
        <v>0</v>
      </c>
      <c r="S30" s="122">
        <f t="shared" ref="S30:S34" si="142">(R30-Q30)*$S$4</f>
        <v>0</v>
      </c>
      <c r="T30" s="122">
        <f t="shared" ref="T30:T34" si="143">SUM(R30:S30)</f>
        <v>0</v>
      </c>
      <c r="U30" s="122">
        <f t="shared" ref="U30:U34" si="144">R30*J30</f>
        <v>0</v>
      </c>
      <c r="V30" s="122">
        <f t="shared" ref="V30:V34" si="145">S30*J30</f>
        <v>0</v>
      </c>
      <c r="W30" s="124">
        <f t="shared" ref="W30:W34" si="146">T30*J30</f>
        <v>0</v>
      </c>
      <c r="Y30" s="121"/>
      <c r="Z30" s="123"/>
      <c r="AA30" s="122">
        <f t="shared" si="114"/>
        <v>0</v>
      </c>
      <c r="AB30" s="123">
        <f t="shared" ref="AB30:AB33" si="147">(AA30*$AB$4)</f>
        <v>0</v>
      </c>
      <c r="AC30" s="123">
        <f t="shared" ref="AC30:AC33" si="148">(AA30+AB30)*$AC$4</f>
        <v>0</v>
      </c>
      <c r="AD30" s="123"/>
      <c r="AE30" s="122">
        <f t="shared" ref="AE30:AE32" si="149">SUM(AA30:AD30)</f>
        <v>0</v>
      </c>
      <c r="AF30" s="122">
        <f t="shared" ref="AF30:AF33" si="150">$AF$4*(AC30+AA30+AB30)</f>
        <v>0</v>
      </c>
      <c r="AG30" s="122">
        <f t="shared" ref="AG30:AG33" si="151">SUM(AE30:AF30)</f>
        <v>0</v>
      </c>
      <c r="AH30" s="122">
        <f t="shared" ref="AH30:AH33" si="152">AE30*Y30</f>
        <v>0</v>
      </c>
      <c r="AI30" s="122">
        <f t="shared" ref="AI30:AI32" si="153">AF30*Y30</f>
        <v>0</v>
      </c>
      <c r="AJ30" s="124">
        <f t="shared" ref="AJ30:AJ33" si="154">AG30*Y30</f>
        <v>0</v>
      </c>
      <c r="AK30" s="159"/>
      <c r="AL30" s="126"/>
      <c r="AM30" s="127"/>
      <c r="AO30" s="140" t="str">
        <f t="shared" ref="AO30:AO34" si="155">IFERROR(SUM(U30,AH30)/G30,"")</f>
        <v/>
      </c>
      <c r="AP30" s="125" t="str">
        <f t="shared" ref="AP30:AP34" si="156">IFERROR(SUM(V30,AI30)/G30,"")</f>
        <v/>
      </c>
      <c r="AQ30" s="124">
        <f t="shared" ref="AQ30:AQ34" si="157">SUM(AO30:AP30)</f>
        <v>0</v>
      </c>
      <c r="AS30" s="438"/>
    </row>
    <row r="31" spans="1:45" x14ac:dyDescent="0.25">
      <c r="A31" s="497"/>
      <c r="B31" s="280" t="s">
        <v>109</v>
      </c>
      <c r="C31" s="108" t="s">
        <v>110</v>
      </c>
      <c r="D31" s="108" t="s">
        <v>186</v>
      </c>
      <c r="E31" s="108" t="s">
        <v>189</v>
      </c>
      <c r="F31" s="42">
        <v>1248</v>
      </c>
      <c r="G31" s="42">
        <f t="shared" si="135"/>
        <v>0</v>
      </c>
      <c r="H31" s="43">
        <f t="shared" si="136"/>
        <v>1248</v>
      </c>
      <c r="I31" s="107"/>
      <c r="J31" s="3"/>
      <c r="K31" s="229">
        <f t="shared" si="120"/>
        <v>38.865000000000002</v>
      </c>
      <c r="L31" s="229">
        <f t="shared" si="121"/>
        <v>0</v>
      </c>
      <c r="M31" s="44">
        <f t="shared" si="113"/>
        <v>0</v>
      </c>
      <c r="N31" s="5">
        <f t="shared" si="137"/>
        <v>0</v>
      </c>
      <c r="O31" s="5">
        <f t="shared" si="138"/>
        <v>0</v>
      </c>
      <c r="P31" s="5">
        <f t="shared" si="139"/>
        <v>0</v>
      </c>
      <c r="Q31" s="5">
        <f t="shared" si="140"/>
        <v>0</v>
      </c>
      <c r="R31" s="44">
        <f t="shared" si="141"/>
        <v>0</v>
      </c>
      <c r="S31" s="44">
        <f t="shared" si="142"/>
        <v>0</v>
      </c>
      <c r="T31" s="44">
        <f t="shared" si="143"/>
        <v>0</v>
      </c>
      <c r="U31" s="44">
        <f t="shared" si="144"/>
        <v>0</v>
      </c>
      <c r="V31" s="44">
        <f t="shared" si="145"/>
        <v>0</v>
      </c>
      <c r="W31" s="128">
        <f t="shared" si="146"/>
        <v>0</v>
      </c>
      <c r="Y31" s="161"/>
      <c r="Z31" s="5"/>
      <c r="AA31" s="40">
        <f t="shared" si="114"/>
        <v>0</v>
      </c>
      <c r="AB31" s="4">
        <f t="shared" si="147"/>
        <v>0</v>
      </c>
      <c r="AC31" s="4">
        <f t="shared" si="148"/>
        <v>0</v>
      </c>
      <c r="AD31" s="4"/>
      <c r="AE31" s="40">
        <f>SUM(AA31:AD31)</f>
        <v>0</v>
      </c>
      <c r="AF31" s="40">
        <f t="shared" si="150"/>
        <v>0</v>
      </c>
      <c r="AG31" s="40">
        <f t="shared" si="151"/>
        <v>0</v>
      </c>
      <c r="AH31" s="40">
        <f t="shared" si="152"/>
        <v>0</v>
      </c>
      <c r="AI31" s="40">
        <f t="shared" si="153"/>
        <v>0</v>
      </c>
      <c r="AJ31" s="41">
        <f t="shared" si="154"/>
        <v>0</v>
      </c>
      <c r="AK31" s="160"/>
      <c r="AL31" s="7"/>
      <c r="AM31" s="8"/>
      <c r="AO31" s="162" t="str">
        <f t="shared" si="155"/>
        <v/>
      </c>
      <c r="AP31" s="45" t="str">
        <f t="shared" si="156"/>
        <v/>
      </c>
      <c r="AQ31" s="128">
        <f t="shared" si="157"/>
        <v>0</v>
      </c>
      <c r="AS31" s="438"/>
    </row>
    <row r="32" spans="1:45" x14ac:dyDescent="0.25">
      <c r="A32" s="497"/>
      <c r="B32" s="281" t="s">
        <v>111</v>
      </c>
      <c r="C32" s="108" t="s">
        <v>99</v>
      </c>
      <c r="D32" s="108" t="s">
        <v>181</v>
      </c>
      <c r="E32" s="108" t="s">
        <v>189</v>
      </c>
      <c r="F32" s="42">
        <v>353</v>
      </c>
      <c r="G32" s="42">
        <f t="shared" si="135"/>
        <v>0</v>
      </c>
      <c r="H32" s="43">
        <f t="shared" si="136"/>
        <v>353</v>
      </c>
      <c r="I32" s="107"/>
      <c r="J32" s="3"/>
      <c r="K32" s="229">
        <f t="shared" si="120"/>
        <v>44.64</v>
      </c>
      <c r="L32" s="229">
        <f t="shared" si="121"/>
        <v>0</v>
      </c>
      <c r="M32" s="44">
        <f t="shared" si="113"/>
        <v>0</v>
      </c>
      <c r="N32" s="5">
        <f t="shared" si="137"/>
        <v>0</v>
      </c>
      <c r="O32" s="5">
        <f t="shared" si="138"/>
        <v>0</v>
      </c>
      <c r="P32" s="5">
        <f t="shared" si="139"/>
        <v>0</v>
      </c>
      <c r="Q32" s="5">
        <f t="shared" si="140"/>
        <v>0</v>
      </c>
      <c r="R32" s="44">
        <f t="shared" si="141"/>
        <v>0</v>
      </c>
      <c r="S32" s="44">
        <f t="shared" si="142"/>
        <v>0</v>
      </c>
      <c r="T32" s="44">
        <f t="shared" si="143"/>
        <v>0</v>
      </c>
      <c r="U32" s="44">
        <f t="shared" si="144"/>
        <v>0</v>
      </c>
      <c r="V32" s="44">
        <f t="shared" si="145"/>
        <v>0</v>
      </c>
      <c r="W32" s="128">
        <f t="shared" si="146"/>
        <v>0</v>
      </c>
      <c r="Y32" s="161"/>
      <c r="Z32" s="5"/>
      <c r="AA32" s="40">
        <f t="shared" si="114"/>
        <v>0</v>
      </c>
      <c r="AB32" s="4">
        <f t="shared" si="147"/>
        <v>0</v>
      </c>
      <c r="AC32" s="4">
        <f t="shared" si="148"/>
        <v>0</v>
      </c>
      <c r="AD32" s="4"/>
      <c r="AE32" s="40">
        <f t="shared" si="149"/>
        <v>0</v>
      </c>
      <c r="AF32" s="40">
        <f t="shared" si="150"/>
        <v>0</v>
      </c>
      <c r="AG32" s="40">
        <f t="shared" si="151"/>
        <v>0</v>
      </c>
      <c r="AH32" s="40">
        <f t="shared" si="152"/>
        <v>0</v>
      </c>
      <c r="AI32" s="40">
        <f t="shared" si="153"/>
        <v>0</v>
      </c>
      <c r="AJ32" s="41">
        <f t="shared" si="154"/>
        <v>0</v>
      </c>
      <c r="AK32" s="160"/>
      <c r="AL32" s="7"/>
      <c r="AM32" s="8"/>
      <c r="AO32" s="162" t="str">
        <f t="shared" si="155"/>
        <v/>
      </c>
      <c r="AP32" s="45" t="str">
        <f t="shared" si="156"/>
        <v/>
      </c>
      <c r="AQ32" s="128">
        <f t="shared" si="157"/>
        <v>0</v>
      </c>
      <c r="AS32" s="438"/>
    </row>
    <row r="33" spans="1:45" x14ac:dyDescent="0.25">
      <c r="A33" s="497"/>
      <c r="B33" s="281" t="s">
        <v>112</v>
      </c>
      <c r="C33" s="108" t="s">
        <v>113</v>
      </c>
      <c r="D33" s="108" t="s">
        <v>187</v>
      </c>
      <c r="E33" s="108" t="s">
        <v>189</v>
      </c>
      <c r="F33" s="42">
        <v>2496</v>
      </c>
      <c r="G33" s="42">
        <f t="shared" si="135"/>
        <v>0</v>
      </c>
      <c r="H33" s="43">
        <f t="shared" si="136"/>
        <v>2496</v>
      </c>
      <c r="I33" s="107"/>
      <c r="J33" s="3"/>
      <c r="K33" s="229">
        <f t="shared" si="120"/>
        <v>50.699999999999996</v>
      </c>
      <c r="L33" s="229">
        <f t="shared" si="121"/>
        <v>0</v>
      </c>
      <c r="M33" s="44">
        <f t="shared" si="113"/>
        <v>0</v>
      </c>
      <c r="N33" s="5">
        <f t="shared" si="137"/>
        <v>0</v>
      </c>
      <c r="O33" s="5">
        <f t="shared" si="138"/>
        <v>0</v>
      </c>
      <c r="P33" s="5">
        <f t="shared" si="139"/>
        <v>0</v>
      </c>
      <c r="Q33" s="5">
        <f t="shared" si="140"/>
        <v>0</v>
      </c>
      <c r="R33" s="44">
        <f t="shared" si="141"/>
        <v>0</v>
      </c>
      <c r="S33" s="44">
        <f t="shared" si="142"/>
        <v>0</v>
      </c>
      <c r="T33" s="44">
        <f t="shared" si="143"/>
        <v>0</v>
      </c>
      <c r="U33" s="44">
        <f t="shared" si="144"/>
        <v>0</v>
      </c>
      <c r="V33" s="44">
        <f t="shared" si="145"/>
        <v>0</v>
      </c>
      <c r="W33" s="128">
        <f t="shared" si="146"/>
        <v>0</v>
      </c>
      <c r="Y33" s="161"/>
      <c r="Z33" s="5"/>
      <c r="AA33" s="40">
        <f t="shared" si="114"/>
        <v>0</v>
      </c>
      <c r="AB33" s="4">
        <f t="shared" si="147"/>
        <v>0</v>
      </c>
      <c r="AC33" s="4">
        <f t="shared" si="148"/>
        <v>0</v>
      </c>
      <c r="AD33" s="4"/>
      <c r="AE33" s="40">
        <f>SUM(AA33:AD33)</f>
        <v>0</v>
      </c>
      <c r="AF33" s="40">
        <f t="shared" si="150"/>
        <v>0</v>
      </c>
      <c r="AG33" s="40">
        <f t="shared" si="151"/>
        <v>0</v>
      </c>
      <c r="AH33" s="40">
        <f t="shared" si="152"/>
        <v>0</v>
      </c>
      <c r="AI33" s="40">
        <f>AF33*Y33</f>
        <v>0</v>
      </c>
      <c r="AJ33" s="41">
        <f t="shared" si="154"/>
        <v>0</v>
      </c>
      <c r="AK33" s="160"/>
      <c r="AL33" s="7"/>
      <c r="AM33" s="8"/>
      <c r="AO33" s="162" t="str">
        <f t="shared" si="155"/>
        <v/>
      </c>
      <c r="AP33" s="45" t="str">
        <f t="shared" si="156"/>
        <v/>
      </c>
      <c r="AQ33" s="128">
        <f t="shared" si="157"/>
        <v>0</v>
      </c>
      <c r="AS33" s="438"/>
    </row>
    <row r="34" spans="1:45" ht="15.75" thickBot="1" x14ac:dyDescent="0.3">
      <c r="A34" s="498"/>
      <c r="B34" s="314" t="s">
        <v>114</v>
      </c>
      <c r="C34" s="147" t="s">
        <v>103</v>
      </c>
      <c r="D34" s="147" t="s">
        <v>183</v>
      </c>
      <c r="E34" s="147" t="s">
        <v>189</v>
      </c>
      <c r="F34" s="148">
        <v>879</v>
      </c>
      <c r="G34" s="148">
        <f t="shared" si="135"/>
        <v>0</v>
      </c>
      <c r="H34" s="149">
        <f t="shared" si="136"/>
        <v>879</v>
      </c>
      <c r="I34" s="107"/>
      <c r="J34" s="176"/>
      <c r="K34" s="318">
        <f t="shared" si="120"/>
        <v>35.355000000000004</v>
      </c>
      <c r="L34" s="318">
        <f t="shared" si="121"/>
        <v>0</v>
      </c>
      <c r="M34" s="178">
        <f t="shared" si="113"/>
        <v>0</v>
      </c>
      <c r="N34" s="179">
        <f t="shared" si="137"/>
        <v>0</v>
      </c>
      <c r="O34" s="179">
        <f t="shared" si="138"/>
        <v>0</v>
      </c>
      <c r="P34" s="179">
        <f t="shared" si="139"/>
        <v>0</v>
      </c>
      <c r="Q34" s="179">
        <f t="shared" si="140"/>
        <v>0</v>
      </c>
      <c r="R34" s="178">
        <f t="shared" si="141"/>
        <v>0</v>
      </c>
      <c r="S34" s="178">
        <f t="shared" si="142"/>
        <v>0</v>
      </c>
      <c r="T34" s="178">
        <f t="shared" si="143"/>
        <v>0</v>
      </c>
      <c r="U34" s="178">
        <f t="shared" si="144"/>
        <v>0</v>
      </c>
      <c r="V34" s="178">
        <f t="shared" si="145"/>
        <v>0</v>
      </c>
      <c r="W34" s="180">
        <f t="shared" si="146"/>
        <v>0</v>
      </c>
      <c r="Y34" s="181"/>
      <c r="Z34" s="179"/>
      <c r="AA34" s="234">
        <f t="shared" si="114"/>
        <v>0</v>
      </c>
      <c r="AB34" s="342">
        <f t="shared" si="115"/>
        <v>0</v>
      </c>
      <c r="AC34" s="342">
        <f t="shared" si="116"/>
        <v>0</v>
      </c>
      <c r="AD34" s="342"/>
      <c r="AE34" s="234">
        <f t="shared" si="117"/>
        <v>0</v>
      </c>
      <c r="AF34" s="234">
        <f t="shared" si="118"/>
        <v>0</v>
      </c>
      <c r="AG34" s="234">
        <f t="shared" si="119"/>
        <v>0</v>
      </c>
      <c r="AH34" s="234">
        <f>AE34*Y34</f>
        <v>0</v>
      </c>
      <c r="AI34" s="234">
        <f t="shared" si="107"/>
        <v>0</v>
      </c>
      <c r="AJ34" s="343">
        <f t="shared" si="108"/>
        <v>0</v>
      </c>
      <c r="AK34" s="189"/>
      <c r="AL34" s="177"/>
      <c r="AM34" s="182"/>
      <c r="AO34" s="183" t="str">
        <f t="shared" si="155"/>
        <v/>
      </c>
      <c r="AP34" s="184" t="str">
        <f t="shared" si="156"/>
        <v/>
      </c>
      <c r="AQ34" s="180">
        <f t="shared" si="157"/>
        <v>0</v>
      </c>
      <c r="AS34" s="438"/>
    </row>
    <row r="35" spans="1:45" ht="15.75" thickBot="1" x14ac:dyDescent="0.3">
      <c r="A35" s="66" t="s">
        <v>116</v>
      </c>
      <c r="B35" s="278"/>
      <c r="C35" s="200"/>
      <c r="D35" s="200"/>
      <c r="E35" s="200"/>
      <c r="F35" s="201"/>
      <c r="G35" s="201"/>
      <c r="H35" s="202"/>
      <c r="I35" s="107"/>
      <c r="J35" s="446"/>
      <c r="K35" s="449"/>
      <c r="L35" s="449"/>
      <c r="M35" s="449"/>
      <c r="N35" s="244"/>
      <c r="O35" s="244"/>
      <c r="P35" s="244"/>
      <c r="Q35" s="244"/>
      <c r="R35" s="244"/>
      <c r="S35" s="244"/>
      <c r="T35" s="244"/>
      <c r="U35" s="244"/>
      <c r="V35" s="244"/>
      <c r="W35" s="243"/>
      <c r="Y35" s="450"/>
      <c r="Z35" s="247"/>
      <c r="AA35" s="247"/>
      <c r="AB35" s="247"/>
      <c r="AC35" s="247"/>
      <c r="AD35" s="247"/>
      <c r="AE35" s="247"/>
      <c r="AF35" s="247"/>
      <c r="AG35" s="247"/>
      <c r="AH35" s="247"/>
      <c r="AI35" s="247"/>
      <c r="AJ35" s="247"/>
      <c r="AK35" s="451"/>
      <c r="AL35" s="451"/>
      <c r="AM35" s="452"/>
      <c r="AO35" s="241"/>
      <c r="AP35" s="242"/>
      <c r="AQ35" s="243"/>
      <c r="AS35" s="438"/>
    </row>
    <row r="36" spans="1:45" ht="15.75" thickBot="1" x14ac:dyDescent="0.3">
      <c r="A36" s="297" t="s">
        <v>73</v>
      </c>
      <c r="B36" s="283" t="s">
        <v>115</v>
      </c>
      <c r="C36" s="284" t="s">
        <v>93</v>
      </c>
      <c r="D36" s="284"/>
      <c r="E36" s="284" t="s">
        <v>116</v>
      </c>
      <c r="F36" s="285">
        <v>37440</v>
      </c>
      <c r="G36" s="285">
        <f t="shared" ref="G36:G43" si="158">SUM(J36,Y36)</f>
        <v>0</v>
      </c>
      <c r="H36" s="286">
        <f t="shared" si="3"/>
        <v>37440</v>
      </c>
      <c r="I36" s="107"/>
      <c r="J36" s="292"/>
      <c r="K36" s="294">
        <v>31.25</v>
      </c>
      <c r="L36" s="453"/>
      <c r="M36" s="294">
        <f t="shared" si="113"/>
        <v>0</v>
      </c>
      <c r="N36" s="349">
        <f>(M36*$N$4)</f>
        <v>0</v>
      </c>
      <c r="O36" s="349">
        <f t="shared" ref="O36:O43" si="159">(N36+M36)*$O$4</f>
        <v>0</v>
      </c>
      <c r="P36" s="349">
        <f t="shared" ref="P36:P43" si="160">(N36+M36+O36)*$P$4</f>
        <v>0</v>
      </c>
      <c r="Q36" s="349">
        <f t="shared" ref="Q36:Q43" si="161">(M36+N36+O36+P36)*$Q$4</f>
        <v>0</v>
      </c>
      <c r="R36" s="294">
        <f t="shared" ref="R36:R43" si="162">SUM(M36:Q36)</f>
        <v>0</v>
      </c>
      <c r="S36" s="294">
        <f>(R36-Q36)*$S$4</f>
        <v>0</v>
      </c>
      <c r="T36" s="294">
        <f>SUM(R36:S36)</f>
        <v>0</v>
      </c>
      <c r="U36" s="294">
        <f t="shared" ref="U36:U43" si="163">R36*J36</f>
        <v>0</v>
      </c>
      <c r="V36" s="294">
        <f t="shared" ref="V36:V43" si="164">S36*J36</f>
        <v>0</v>
      </c>
      <c r="W36" s="296">
        <f t="shared" ref="W36:W43" si="165">T36*J36</f>
        <v>0</v>
      </c>
      <c r="Y36" s="292"/>
      <c r="Z36" s="349"/>
      <c r="AA36" s="294">
        <f t="shared" ref="AA36:AA43" si="166">IF($Y36&gt;0,$Z36,0)</f>
        <v>0</v>
      </c>
      <c r="AB36" s="349">
        <f t="shared" ref="AB36" si="167">(AA36*$AB$4)</f>
        <v>0</v>
      </c>
      <c r="AC36" s="349">
        <f t="shared" ref="AC36" si="168">(AA36+AB36)*$AC$4</f>
        <v>0</v>
      </c>
      <c r="AD36" s="349"/>
      <c r="AE36" s="294">
        <f t="shared" ref="AE36" si="169">SUM(AA36:AD36)</f>
        <v>0</v>
      </c>
      <c r="AF36" s="294">
        <f t="shared" si="104"/>
        <v>0</v>
      </c>
      <c r="AG36" s="294">
        <f t="shared" ref="AG36" si="170">SUM(AE36:AF36)</f>
        <v>0</v>
      </c>
      <c r="AH36" s="294">
        <f t="shared" ref="AH36:AH43" si="171">AE36*Y36</f>
        <v>0</v>
      </c>
      <c r="AI36" s="294">
        <f t="shared" ref="AI36:AI43" si="172">AF36*Y36</f>
        <v>0</v>
      </c>
      <c r="AJ36" s="294">
        <f t="shared" ref="AJ36:AJ43" si="173">AG36*Y36</f>
        <v>0</v>
      </c>
      <c r="AK36" s="350"/>
      <c r="AL36" s="351"/>
      <c r="AM36" s="352"/>
      <c r="AO36" s="339" t="str">
        <f t="shared" ref="AO36:AO43" si="174">IFERROR(SUM(U36,AH36)/G36,"")</f>
        <v/>
      </c>
      <c r="AP36" s="340" t="str">
        <f t="shared" ref="AP36:AP43" si="175">IFERROR(SUM(V36,AI36)/G36,"")</f>
        <v/>
      </c>
      <c r="AQ36" s="291">
        <f t="shared" si="24"/>
        <v>0</v>
      </c>
      <c r="AS36" s="438"/>
    </row>
    <row r="37" spans="1:45" ht="15.75" thickBot="1" x14ac:dyDescent="0.3">
      <c r="A37" s="297" t="s">
        <v>74</v>
      </c>
      <c r="B37" s="283" t="s">
        <v>117</v>
      </c>
      <c r="C37" s="284" t="s">
        <v>95</v>
      </c>
      <c r="D37" s="284"/>
      <c r="E37" s="284" t="s">
        <v>116</v>
      </c>
      <c r="F37" s="285">
        <v>113069</v>
      </c>
      <c r="G37" s="285">
        <f t="shared" si="158"/>
        <v>0</v>
      </c>
      <c r="H37" s="286">
        <f t="shared" si="3"/>
        <v>113069</v>
      </c>
      <c r="I37" s="107"/>
      <c r="J37" s="288"/>
      <c r="K37" s="290">
        <v>31.25</v>
      </c>
      <c r="L37" s="454"/>
      <c r="M37" s="290">
        <f t="shared" si="113"/>
        <v>0</v>
      </c>
      <c r="N37" s="334">
        <f t="shared" ref="N37:N43" si="176">(M37*$N$4)</f>
        <v>0</v>
      </c>
      <c r="O37" s="334">
        <f t="shared" si="159"/>
        <v>0</v>
      </c>
      <c r="P37" s="334">
        <f t="shared" si="160"/>
        <v>0</v>
      </c>
      <c r="Q37" s="334">
        <f>(M37+N37+O37+P37)*$Q$4</f>
        <v>0</v>
      </c>
      <c r="R37" s="290">
        <f t="shared" si="162"/>
        <v>0</v>
      </c>
      <c r="S37" s="290">
        <f>(R37-Q37)*$S$4</f>
        <v>0</v>
      </c>
      <c r="T37" s="290">
        <f t="shared" si="90"/>
        <v>0</v>
      </c>
      <c r="U37" s="290">
        <f t="shared" si="163"/>
        <v>0</v>
      </c>
      <c r="V37" s="290">
        <f t="shared" si="164"/>
        <v>0</v>
      </c>
      <c r="W37" s="291">
        <f t="shared" si="165"/>
        <v>0</v>
      </c>
      <c r="Y37" s="288"/>
      <c r="Z37" s="334"/>
      <c r="AA37" s="290">
        <f t="shared" si="166"/>
        <v>0</v>
      </c>
      <c r="AB37" s="334">
        <f t="shared" ref="AB37:AB43" si="177">(AA37*$AB$4)</f>
        <v>0</v>
      </c>
      <c r="AC37" s="334">
        <f t="shared" ref="AC37:AC43" si="178">(AA37+AB37)*$AC$4</f>
        <v>0</v>
      </c>
      <c r="AD37" s="334"/>
      <c r="AE37" s="290">
        <f t="shared" ref="AE37:AE43" si="179">SUM(AA37:AD37)</f>
        <v>0</v>
      </c>
      <c r="AF37" s="290">
        <f t="shared" ref="AF37:AF43" si="180">$AF$4*(AC37+AA37+AB37)</f>
        <v>0</v>
      </c>
      <c r="AG37" s="290">
        <f t="shared" ref="AG37:AG43" si="181">SUM(AE37:AF37)</f>
        <v>0</v>
      </c>
      <c r="AH37" s="290">
        <f t="shared" si="171"/>
        <v>0</v>
      </c>
      <c r="AI37" s="290">
        <f t="shared" si="172"/>
        <v>0</v>
      </c>
      <c r="AJ37" s="290">
        <f t="shared" si="173"/>
        <v>0</v>
      </c>
      <c r="AK37" s="335"/>
      <c r="AL37" s="336"/>
      <c r="AM37" s="337"/>
      <c r="AO37" s="339" t="str">
        <f t="shared" si="174"/>
        <v/>
      </c>
      <c r="AP37" s="340" t="str">
        <f t="shared" si="175"/>
        <v/>
      </c>
      <c r="AQ37" s="291">
        <f t="shared" si="24"/>
        <v>0</v>
      </c>
      <c r="AS37" s="438"/>
    </row>
    <row r="38" spans="1:45" x14ac:dyDescent="0.25">
      <c r="A38" s="496" t="s">
        <v>76</v>
      </c>
      <c r="B38" s="279" t="s">
        <v>118</v>
      </c>
      <c r="C38" s="109" t="s">
        <v>105</v>
      </c>
      <c r="D38" s="109"/>
      <c r="E38" s="109" t="s">
        <v>116</v>
      </c>
      <c r="F38" s="38">
        <v>18720</v>
      </c>
      <c r="G38" s="38">
        <f t="shared" si="158"/>
        <v>0</v>
      </c>
      <c r="H38" s="39">
        <f t="shared" si="3"/>
        <v>18720</v>
      </c>
      <c r="I38" s="107"/>
      <c r="J38" s="121"/>
      <c r="K38" s="122">
        <v>26.57</v>
      </c>
      <c r="L38" s="455"/>
      <c r="M38" s="122">
        <f t="shared" si="113"/>
        <v>0</v>
      </c>
      <c r="N38" s="123">
        <f t="shared" si="176"/>
        <v>0</v>
      </c>
      <c r="O38" s="123">
        <f t="shared" si="159"/>
        <v>0</v>
      </c>
      <c r="P38" s="123">
        <f t="shared" si="160"/>
        <v>0</v>
      </c>
      <c r="Q38" s="123">
        <f t="shared" si="161"/>
        <v>0</v>
      </c>
      <c r="R38" s="122">
        <f t="shared" si="162"/>
        <v>0</v>
      </c>
      <c r="S38" s="122">
        <f t="shared" ref="S38:S43" si="182">(R38-Q38)*$S$4</f>
        <v>0</v>
      </c>
      <c r="T38" s="122">
        <f t="shared" si="90"/>
        <v>0</v>
      </c>
      <c r="U38" s="122">
        <f t="shared" si="163"/>
        <v>0</v>
      </c>
      <c r="V38" s="122">
        <f t="shared" si="164"/>
        <v>0</v>
      </c>
      <c r="W38" s="124">
        <f t="shared" si="165"/>
        <v>0</v>
      </c>
      <c r="Y38" s="121"/>
      <c r="Z38" s="123"/>
      <c r="AA38" s="122">
        <f t="shared" si="166"/>
        <v>0</v>
      </c>
      <c r="AB38" s="123">
        <f t="shared" si="177"/>
        <v>0</v>
      </c>
      <c r="AC38" s="123">
        <f t="shared" si="178"/>
        <v>0</v>
      </c>
      <c r="AD38" s="123"/>
      <c r="AE38" s="122">
        <f t="shared" si="179"/>
        <v>0</v>
      </c>
      <c r="AF38" s="122">
        <f t="shared" si="180"/>
        <v>0</v>
      </c>
      <c r="AG38" s="122">
        <f t="shared" si="181"/>
        <v>0</v>
      </c>
      <c r="AH38" s="122">
        <f t="shared" si="171"/>
        <v>0</v>
      </c>
      <c r="AI38" s="122">
        <f t="shared" si="172"/>
        <v>0</v>
      </c>
      <c r="AJ38" s="122">
        <f t="shared" si="173"/>
        <v>0</v>
      </c>
      <c r="AK38" s="159"/>
      <c r="AL38" s="126"/>
      <c r="AM38" s="127"/>
      <c r="AO38" s="214" t="str">
        <f t="shared" si="174"/>
        <v/>
      </c>
      <c r="AP38" s="215" t="str">
        <f t="shared" si="175"/>
        <v/>
      </c>
      <c r="AQ38" s="41">
        <f t="shared" si="24"/>
        <v>0</v>
      </c>
      <c r="AS38" s="438"/>
    </row>
    <row r="39" spans="1:45" ht="15.75" thickBot="1" x14ac:dyDescent="0.3">
      <c r="A39" s="497"/>
      <c r="B39" s="321" t="s">
        <v>119</v>
      </c>
      <c r="C39" s="322" t="s">
        <v>120</v>
      </c>
      <c r="D39" s="322"/>
      <c r="E39" s="322" t="s">
        <v>116</v>
      </c>
      <c r="F39" s="323">
        <v>176800</v>
      </c>
      <c r="G39" s="323">
        <f t="shared" si="158"/>
        <v>0</v>
      </c>
      <c r="H39" s="324">
        <f t="shared" si="3"/>
        <v>176800</v>
      </c>
      <c r="I39" s="107"/>
      <c r="J39" s="176"/>
      <c r="K39" s="234">
        <v>26.57</v>
      </c>
      <c r="L39" s="457"/>
      <c r="M39" s="234">
        <f t="shared" si="113"/>
        <v>0</v>
      </c>
      <c r="N39" s="179">
        <f t="shared" si="176"/>
        <v>0</v>
      </c>
      <c r="O39" s="179">
        <f t="shared" si="159"/>
        <v>0</v>
      </c>
      <c r="P39" s="179">
        <f t="shared" si="160"/>
        <v>0</v>
      </c>
      <c r="Q39" s="179">
        <f t="shared" si="161"/>
        <v>0</v>
      </c>
      <c r="R39" s="178">
        <f t="shared" si="162"/>
        <v>0</v>
      </c>
      <c r="S39" s="178">
        <f>(R39-Q39)*$S$4</f>
        <v>0</v>
      </c>
      <c r="T39" s="178">
        <f t="shared" si="90"/>
        <v>0</v>
      </c>
      <c r="U39" s="178">
        <f t="shared" si="163"/>
        <v>0</v>
      </c>
      <c r="V39" s="178">
        <f t="shared" si="164"/>
        <v>0</v>
      </c>
      <c r="W39" s="180">
        <f t="shared" si="165"/>
        <v>0</v>
      </c>
      <c r="Y39" s="181"/>
      <c r="Z39" s="179"/>
      <c r="AA39" s="178">
        <f t="shared" si="166"/>
        <v>0</v>
      </c>
      <c r="AB39" s="179">
        <f t="shared" si="177"/>
        <v>0</v>
      </c>
      <c r="AC39" s="179">
        <f t="shared" si="178"/>
        <v>0</v>
      </c>
      <c r="AD39" s="179"/>
      <c r="AE39" s="178">
        <f t="shared" si="179"/>
        <v>0</v>
      </c>
      <c r="AF39" s="178">
        <f t="shared" si="180"/>
        <v>0</v>
      </c>
      <c r="AG39" s="178">
        <f t="shared" si="181"/>
        <v>0</v>
      </c>
      <c r="AH39" s="178">
        <f t="shared" si="171"/>
        <v>0</v>
      </c>
      <c r="AI39" s="178">
        <f t="shared" si="172"/>
        <v>0</v>
      </c>
      <c r="AJ39" s="178">
        <f t="shared" si="173"/>
        <v>0</v>
      </c>
      <c r="AK39" s="189"/>
      <c r="AL39" s="177"/>
      <c r="AM39" s="182"/>
      <c r="AO39" s="162" t="str">
        <f t="shared" si="174"/>
        <v/>
      </c>
      <c r="AP39" s="45" t="str">
        <f t="shared" si="175"/>
        <v/>
      </c>
      <c r="AQ39" s="128">
        <f t="shared" si="24"/>
        <v>0</v>
      </c>
      <c r="AS39" s="438"/>
    </row>
    <row r="40" spans="1:45" x14ac:dyDescent="0.25">
      <c r="A40" s="493" t="s">
        <v>77</v>
      </c>
      <c r="B40" s="326" t="s">
        <v>121</v>
      </c>
      <c r="C40" s="109" t="s">
        <v>95</v>
      </c>
      <c r="D40" s="109"/>
      <c r="E40" s="109" t="s">
        <v>116</v>
      </c>
      <c r="F40" s="38">
        <v>201011</v>
      </c>
      <c r="G40" s="38">
        <f t="shared" ref="G40" si="183">SUM(J40,Y40)</f>
        <v>0</v>
      </c>
      <c r="H40" s="39">
        <f t="shared" ref="H40" si="184">F40-G40</f>
        <v>201011</v>
      </c>
      <c r="I40" s="107"/>
      <c r="J40" s="121"/>
      <c r="K40" s="122">
        <v>31.25</v>
      </c>
      <c r="L40" s="455"/>
      <c r="M40" s="122">
        <f t="shared" si="113"/>
        <v>0</v>
      </c>
      <c r="N40" s="123">
        <f>(M40*$N$4)</f>
        <v>0</v>
      </c>
      <c r="O40" s="123">
        <f t="shared" ref="O40" si="185">(N40+M40)*$O$4</f>
        <v>0</v>
      </c>
      <c r="P40" s="123">
        <f t="shared" ref="P40" si="186">(N40+M40+O40)*$P$4</f>
        <v>0</v>
      </c>
      <c r="Q40" s="123">
        <f t="shared" ref="Q40" si="187">(M40+N40+O40+P40)*$Q$4</f>
        <v>0</v>
      </c>
      <c r="R40" s="122">
        <f t="shared" ref="R40" si="188">SUM(M40:Q40)</f>
        <v>0</v>
      </c>
      <c r="S40" s="122">
        <f>(R40-Q40)*$S$4</f>
        <v>0</v>
      </c>
      <c r="T40" s="122">
        <f>SUM(R40:S40)</f>
        <v>0</v>
      </c>
      <c r="U40" s="122">
        <f t="shared" ref="U40" si="189">R40*J40</f>
        <v>0</v>
      </c>
      <c r="V40" s="122">
        <f t="shared" ref="V40" si="190">S40*J40</f>
        <v>0</v>
      </c>
      <c r="W40" s="124">
        <f t="shared" ref="W40" si="191">T40*J40</f>
        <v>0</v>
      </c>
      <c r="Y40" s="121"/>
      <c r="Z40" s="123"/>
      <c r="AA40" s="122">
        <f t="shared" si="166"/>
        <v>0</v>
      </c>
      <c r="AB40" s="123">
        <f t="shared" si="177"/>
        <v>0</v>
      </c>
      <c r="AC40" s="123">
        <f t="shared" si="178"/>
        <v>0</v>
      </c>
      <c r="AD40" s="123"/>
      <c r="AE40" s="122">
        <f t="shared" si="179"/>
        <v>0</v>
      </c>
      <c r="AF40" s="122">
        <f t="shared" si="180"/>
        <v>0</v>
      </c>
      <c r="AG40" s="122">
        <f t="shared" ref="AG40" si="192">SUM(AE40:AF40)</f>
        <v>0</v>
      </c>
      <c r="AH40" s="122">
        <f t="shared" ref="AH40" si="193">AE40*Y40</f>
        <v>0</v>
      </c>
      <c r="AI40" s="122">
        <f t="shared" ref="AI40" si="194">AF40*Y40</f>
        <v>0</v>
      </c>
      <c r="AJ40" s="122">
        <f t="shared" ref="AJ40" si="195">AG40*Y40</f>
        <v>0</v>
      </c>
      <c r="AK40" s="159"/>
      <c r="AL40" s="126"/>
      <c r="AM40" s="127"/>
      <c r="AO40" s="140" t="str">
        <f t="shared" ref="AO40" si="196">IFERROR(SUM(U40,AH40)/G40,"")</f>
        <v/>
      </c>
      <c r="AP40" s="125" t="str">
        <f t="shared" ref="AP40" si="197">IFERROR(SUM(V40,AI40)/G40,"")</f>
        <v/>
      </c>
      <c r="AQ40" s="124">
        <f t="shared" ref="AQ40" si="198">SUM(AO40:AP40)</f>
        <v>0</v>
      </c>
      <c r="AS40" s="438"/>
    </row>
    <row r="41" spans="1:45" x14ac:dyDescent="0.25">
      <c r="A41" s="494"/>
      <c r="B41" s="325" t="s">
        <v>122</v>
      </c>
      <c r="C41" s="108" t="s">
        <v>110</v>
      </c>
      <c r="D41" s="108"/>
      <c r="E41" s="108" t="s">
        <v>116</v>
      </c>
      <c r="F41" s="42">
        <v>4160</v>
      </c>
      <c r="G41" s="42">
        <f t="shared" si="158"/>
        <v>0</v>
      </c>
      <c r="H41" s="43">
        <f t="shared" si="3"/>
        <v>4160</v>
      </c>
      <c r="I41" s="107"/>
      <c r="J41" s="3"/>
      <c r="K41" s="40">
        <v>27.21</v>
      </c>
      <c r="L41" s="456"/>
      <c r="M41" s="40">
        <f t="shared" si="113"/>
        <v>0</v>
      </c>
      <c r="N41" s="5">
        <f t="shared" si="176"/>
        <v>0</v>
      </c>
      <c r="O41" s="5">
        <f t="shared" si="159"/>
        <v>0</v>
      </c>
      <c r="P41" s="5">
        <f t="shared" si="160"/>
        <v>0</v>
      </c>
      <c r="Q41" s="5">
        <f t="shared" si="161"/>
        <v>0</v>
      </c>
      <c r="R41" s="44">
        <f t="shared" si="162"/>
        <v>0</v>
      </c>
      <c r="S41" s="44">
        <f t="shared" si="182"/>
        <v>0</v>
      </c>
      <c r="T41" s="44">
        <f>SUM(R41:S41)</f>
        <v>0</v>
      </c>
      <c r="U41" s="44">
        <f t="shared" si="163"/>
        <v>0</v>
      </c>
      <c r="V41" s="44">
        <f t="shared" si="164"/>
        <v>0</v>
      </c>
      <c r="W41" s="128">
        <f t="shared" si="165"/>
        <v>0</v>
      </c>
      <c r="Y41" s="161"/>
      <c r="Z41" s="5"/>
      <c r="AA41" s="44">
        <f t="shared" si="166"/>
        <v>0</v>
      </c>
      <c r="AB41" s="5">
        <f t="shared" si="177"/>
        <v>0</v>
      </c>
      <c r="AC41" s="5">
        <f t="shared" si="178"/>
        <v>0</v>
      </c>
      <c r="AD41" s="5"/>
      <c r="AE41" s="44">
        <f t="shared" si="179"/>
        <v>0</v>
      </c>
      <c r="AF41" s="44">
        <f t="shared" si="180"/>
        <v>0</v>
      </c>
      <c r="AG41" s="44">
        <f t="shared" si="181"/>
        <v>0</v>
      </c>
      <c r="AH41" s="44">
        <f t="shared" si="171"/>
        <v>0</v>
      </c>
      <c r="AI41" s="44">
        <f t="shared" si="172"/>
        <v>0</v>
      </c>
      <c r="AJ41" s="44">
        <f t="shared" si="173"/>
        <v>0</v>
      </c>
      <c r="AK41" s="160"/>
      <c r="AL41" s="7"/>
      <c r="AM41" s="8"/>
      <c r="AO41" s="162" t="str">
        <f t="shared" si="174"/>
        <v/>
      </c>
      <c r="AP41" s="45" t="str">
        <f t="shared" si="175"/>
        <v/>
      </c>
      <c r="AQ41" s="128">
        <f t="shared" si="24"/>
        <v>0</v>
      </c>
      <c r="AS41" s="438"/>
    </row>
    <row r="42" spans="1:45" x14ac:dyDescent="0.25">
      <c r="A42" s="494"/>
      <c r="B42" s="325" t="s">
        <v>123</v>
      </c>
      <c r="C42" s="108" t="s">
        <v>99</v>
      </c>
      <c r="D42" s="108"/>
      <c r="E42" s="108" t="s">
        <v>116</v>
      </c>
      <c r="F42" s="42">
        <v>8320</v>
      </c>
      <c r="G42" s="42">
        <f t="shared" si="158"/>
        <v>0</v>
      </c>
      <c r="H42" s="43">
        <f t="shared" si="3"/>
        <v>8320</v>
      </c>
      <c r="I42" s="107"/>
      <c r="J42" s="3"/>
      <c r="K42" s="40">
        <v>31.25</v>
      </c>
      <c r="L42" s="456"/>
      <c r="M42" s="40">
        <f t="shared" si="113"/>
        <v>0</v>
      </c>
      <c r="N42" s="5">
        <f t="shared" si="176"/>
        <v>0</v>
      </c>
      <c r="O42" s="5">
        <f t="shared" si="159"/>
        <v>0</v>
      </c>
      <c r="P42" s="5">
        <f t="shared" si="160"/>
        <v>0</v>
      </c>
      <c r="Q42" s="5">
        <f t="shared" si="161"/>
        <v>0</v>
      </c>
      <c r="R42" s="44">
        <f t="shared" si="162"/>
        <v>0</v>
      </c>
      <c r="S42" s="44">
        <f t="shared" si="182"/>
        <v>0</v>
      </c>
      <c r="T42" s="44">
        <f t="shared" si="90"/>
        <v>0</v>
      </c>
      <c r="U42" s="44">
        <f t="shared" si="163"/>
        <v>0</v>
      </c>
      <c r="V42" s="44">
        <f t="shared" si="164"/>
        <v>0</v>
      </c>
      <c r="W42" s="128">
        <f t="shared" si="165"/>
        <v>0</v>
      </c>
      <c r="Y42" s="161"/>
      <c r="Z42" s="5"/>
      <c r="AA42" s="44">
        <f t="shared" si="166"/>
        <v>0</v>
      </c>
      <c r="AB42" s="5">
        <f t="shared" si="177"/>
        <v>0</v>
      </c>
      <c r="AC42" s="5">
        <f t="shared" si="178"/>
        <v>0</v>
      </c>
      <c r="AD42" s="5"/>
      <c r="AE42" s="44">
        <f t="shared" si="179"/>
        <v>0</v>
      </c>
      <c r="AF42" s="44">
        <f t="shared" si="180"/>
        <v>0</v>
      </c>
      <c r="AG42" s="44">
        <f t="shared" si="181"/>
        <v>0</v>
      </c>
      <c r="AH42" s="44">
        <f t="shared" si="171"/>
        <v>0</v>
      </c>
      <c r="AI42" s="44">
        <f t="shared" si="172"/>
        <v>0</v>
      </c>
      <c r="AJ42" s="44">
        <f t="shared" si="173"/>
        <v>0</v>
      </c>
      <c r="AK42" s="160"/>
      <c r="AL42" s="7"/>
      <c r="AM42" s="8"/>
      <c r="AO42" s="162" t="str">
        <f t="shared" si="174"/>
        <v/>
      </c>
      <c r="AP42" s="45" t="str">
        <f t="shared" si="175"/>
        <v/>
      </c>
      <c r="AQ42" s="128">
        <f t="shared" si="24"/>
        <v>0</v>
      </c>
      <c r="AS42" s="438"/>
    </row>
    <row r="43" spans="1:45" ht="15.75" thickBot="1" x14ac:dyDescent="0.3">
      <c r="A43" s="495"/>
      <c r="B43" s="327" t="s">
        <v>124</v>
      </c>
      <c r="C43" s="147" t="s">
        <v>113</v>
      </c>
      <c r="D43" s="147"/>
      <c r="E43" s="147" t="s">
        <v>116</v>
      </c>
      <c r="F43" s="148">
        <v>8320</v>
      </c>
      <c r="G43" s="148">
        <f t="shared" si="158"/>
        <v>0</v>
      </c>
      <c r="H43" s="149">
        <f t="shared" si="3"/>
        <v>8320</v>
      </c>
      <c r="I43" s="107"/>
      <c r="J43" s="176"/>
      <c r="K43" s="234">
        <v>35.49</v>
      </c>
      <c r="L43" s="457"/>
      <c r="M43" s="234">
        <f t="shared" si="113"/>
        <v>0</v>
      </c>
      <c r="N43" s="179">
        <f t="shared" si="176"/>
        <v>0</v>
      </c>
      <c r="O43" s="179">
        <f t="shared" si="159"/>
        <v>0</v>
      </c>
      <c r="P43" s="179">
        <f t="shared" si="160"/>
        <v>0</v>
      </c>
      <c r="Q43" s="179">
        <f t="shared" si="161"/>
        <v>0</v>
      </c>
      <c r="R43" s="178">
        <f t="shared" si="162"/>
        <v>0</v>
      </c>
      <c r="S43" s="178">
        <f t="shared" si="182"/>
        <v>0</v>
      </c>
      <c r="T43" s="178">
        <f t="shared" si="90"/>
        <v>0</v>
      </c>
      <c r="U43" s="178">
        <f t="shared" si="163"/>
        <v>0</v>
      </c>
      <c r="V43" s="178">
        <f t="shared" si="164"/>
        <v>0</v>
      </c>
      <c r="W43" s="180">
        <f t="shared" si="165"/>
        <v>0</v>
      </c>
      <c r="Y43" s="181"/>
      <c r="Z43" s="179"/>
      <c r="AA43" s="178">
        <f t="shared" si="166"/>
        <v>0</v>
      </c>
      <c r="AB43" s="179">
        <f t="shared" si="177"/>
        <v>0</v>
      </c>
      <c r="AC43" s="179">
        <f t="shared" si="178"/>
        <v>0</v>
      </c>
      <c r="AD43" s="179"/>
      <c r="AE43" s="178">
        <f t="shared" si="179"/>
        <v>0</v>
      </c>
      <c r="AF43" s="178">
        <f t="shared" si="180"/>
        <v>0</v>
      </c>
      <c r="AG43" s="178">
        <f t="shared" si="181"/>
        <v>0</v>
      </c>
      <c r="AH43" s="178">
        <f t="shared" si="171"/>
        <v>0</v>
      </c>
      <c r="AI43" s="178">
        <f t="shared" si="172"/>
        <v>0</v>
      </c>
      <c r="AJ43" s="178">
        <f t="shared" si="173"/>
        <v>0</v>
      </c>
      <c r="AK43" s="189"/>
      <c r="AL43" s="177"/>
      <c r="AM43" s="182"/>
      <c r="AO43" s="183" t="str">
        <f t="shared" si="174"/>
        <v/>
      </c>
      <c r="AP43" s="184" t="str">
        <f t="shared" si="175"/>
        <v/>
      </c>
      <c r="AQ43" s="180">
        <f t="shared" si="24"/>
        <v>0</v>
      </c>
      <c r="AS43" s="438"/>
    </row>
    <row r="44" spans="1:45" s="16" customFormat="1" ht="15.75" x14ac:dyDescent="0.25">
      <c r="A44" s="23"/>
      <c r="B44" s="23"/>
      <c r="C44" s="47"/>
      <c r="D44" s="47"/>
      <c r="E44" s="231" t="s">
        <v>190</v>
      </c>
      <c r="F44" s="232">
        <f>SUM(F5:F34)</f>
        <v>880707</v>
      </c>
      <c r="G44" s="232">
        <f>SUM(G5:G34)</f>
        <v>0</v>
      </c>
      <c r="H44" s="233">
        <f>SUM(H5:H34)</f>
        <v>880707</v>
      </c>
      <c r="I44" s="46"/>
      <c r="J44" s="46"/>
      <c r="K44" s="46"/>
      <c r="L44" s="46"/>
      <c r="M44" s="48"/>
      <c r="N44" s="48"/>
      <c r="O44" s="48"/>
      <c r="P44" s="48"/>
      <c r="Q44" s="48"/>
      <c r="W44" s="48"/>
      <c r="Y44" s="46"/>
      <c r="Z44" s="48"/>
      <c r="AA44" s="48"/>
      <c r="AB44" s="48"/>
      <c r="AC44" s="48"/>
      <c r="AD44" s="48"/>
      <c r="AE44" s="48"/>
      <c r="AF44" s="48"/>
      <c r="AG44" s="48"/>
      <c r="AH44" s="49"/>
      <c r="AI44" s="49"/>
      <c r="AJ44" s="49"/>
      <c r="AK44" s="18"/>
      <c r="AL44" s="18"/>
      <c r="AM44" s="18"/>
      <c r="AO44" s="48"/>
      <c r="AP44" s="49"/>
      <c r="AQ44" s="48"/>
    </row>
    <row r="45" spans="1:45" s="16" customFormat="1" ht="16.5" thickBot="1" x14ac:dyDescent="0.3">
      <c r="A45" s="23"/>
      <c r="B45" s="23"/>
      <c r="C45" s="47"/>
      <c r="D45" s="47"/>
      <c r="E45" s="328" t="s">
        <v>191</v>
      </c>
      <c r="F45" s="329">
        <f>SUM(F36:F43)</f>
        <v>567840</v>
      </c>
      <c r="G45" s="329">
        <f>SUM(G36:G43)</f>
        <v>0</v>
      </c>
      <c r="H45" s="330">
        <f>SUM(H36:H43)</f>
        <v>567840</v>
      </c>
      <c r="I45" s="46"/>
      <c r="J45" s="46"/>
      <c r="K45" s="46"/>
      <c r="L45" s="46"/>
      <c r="M45" s="48"/>
      <c r="N45" s="48"/>
      <c r="O45" s="48"/>
      <c r="P45" s="48"/>
      <c r="Q45" s="48"/>
      <c r="U45" s="267"/>
      <c r="V45" s="267"/>
      <c r="W45" s="48"/>
      <c r="Y45" s="46"/>
      <c r="Z45" s="48"/>
      <c r="AA45" s="48"/>
      <c r="AB45" s="48"/>
      <c r="AC45" s="48"/>
      <c r="AD45" s="48"/>
      <c r="AE45" s="48"/>
      <c r="AF45" s="48"/>
      <c r="AG45" s="48"/>
      <c r="AH45" s="49"/>
      <c r="AI45" s="49"/>
      <c r="AJ45" s="49"/>
      <c r="AK45" s="18"/>
      <c r="AL45" s="18"/>
      <c r="AM45" s="18"/>
      <c r="AO45" s="48"/>
      <c r="AP45" s="49"/>
      <c r="AQ45" s="48"/>
    </row>
    <row r="46" spans="1:45" s="16" customFormat="1" ht="16.5" thickBot="1" x14ac:dyDescent="0.3">
      <c r="A46" s="23"/>
      <c r="B46" s="23"/>
      <c r="C46" s="47"/>
      <c r="D46" s="47"/>
      <c r="E46" s="331" t="s">
        <v>192</v>
      </c>
      <c r="F46" s="332">
        <f>F44+F45</f>
        <v>1448547</v>
      </c>
      <c r="G46" s="332">
        <f>G44+G45</f>
        <v>0</v>
      </c>
      <c r="H46" s="333">
        <f>H44+H45</f>
        <v>1448547</v>
      </c>
      <c r="I46" s="46"/>
      <c r="J46" s="46"/>
      <c r="K46" s="46"/>
      <c r="L46" s="46"/>
      <c r="M46" s="48"/>
      <c r="N46" s="48"/>
      <c r="O46" s="48"/>
      <c r="P46" s="48"/>
      <c r="Q46" s="48"/>
      <c r="W46" s="48"/>
      <c r="Y46" s="46"/>
      <c r="Z46" s="48"/>
      <c r="AA46" s="48"/>
      <c r="AB46" s="48"/>
      <c r="AC46" s="48"/>
      <c r="AD46" s="48"/>
      <c r="AE46" s="48"/>
      <c r="AF46" s="48"/>
      <c r="AG46" s="48"/>
      <c r="AH46" s="49"/>
      <c r="AI46" s="49"/>
      <c r="AJ46" s="49"/>
      <c r="AK46" s="18"/>
      <c r="AL46" s="18"/>
      <c r="AM46" s="18"/>
      <c r="AO46" s="48"/>
      <c r="AP46" s="49"/>
      <c r="AQ46" s="48"/>
    </row>
    <row r="47" spans="1:45" x14ac:dyDescent="0.25">
      <c r="F47" s="10"/>
      <c r="G47" s="10"/>
      <c r="H47" s="10"/>
      <c r="T47" s="151"/>
      <c r="U47" s="152"/>
      <c r="V47" s="152"/>
      <c r="AH47" s="151"/>
      <c r="AI47" s="152"/>
      <c r="AJ47" s="152"/>
    </row>
    <row r="48" spans="1:45" ht="15.75" thickBot="1" x14ac:dyDescent="0.3">
      <c r="M48" s="195"/>
      <c r="T48" s="151"/>
      <c r="W48" s="71"/>
      <c r="AH48" s="151"/>
      <c r="AI48" s="153"/>
      <c r="AJ48" s="151"/>
    </row>
    <row r="49" spans="1:39" x14ac:dyDescent="0.25">
      <c r="A49" s="53" t="s">
        <v>193</v>
      </c>
      <c r="B49" s="319"/>
      <c r="C49" s="54" t="s">
        <v>194</v>
      </c>
      <c r="D49" s="55" t="s">
        <v>195</v>
      </c>
      <c r="H49" s="51"/>
      <c r="J49" s="52"/>
      <c r="K49" s="52"/>
      <c r="L49" s="52"/>
      <c r="M49" s="193"/>
      <c r="O49" s="48"/>
      <c r="P49" s="48"/>
      <c r="Q49" s="48"/>
      <c r="V49" s="10"/>
      <c r="W49" s="71"/>
      <c r="AK49" s="56"/>
    </row>
    <row r="50" spans="1:39" x14ac:dyDescent="0.25">
      <c r="A50" s="57" t="s">
        <v>196</v>
      </c>
      <c r="B50" s="12"/>
      <c r="C50" s="58"/>
      <c r="D50" s="83"/>
      <c r="G50" s="194"/>
      <c r="H50" s="51"/>
      <c r="J50" s="52"/>
      <c r="K50" s="52"/>
      <c r="L50" s="52"/>
      <c r="M50" s="196"/>
      <c r="O50" s="48"/>
      <c r="P50" s="48"/>
      <c r="Q50" s="48"/>
      <c r="V50" s="71"/>
      <c r="W50" s="71"/>
      <c r="AK50" s="12"/>
      <c r="AM50" s="10"/>
    </row>
    <row r="51" spans="1:39" x14ac:dyDescent="0.25">
      <c r="A51" s="59" t="s">
        <v>197</v>
      </c>
      <c r="B51" s="12"/>
      <c r="C51" s="58">
        <f>SUM(J5:J43)</f>
        <v>0</v>
      </c>
      <c r="D51" s="84">
        <f>ROUND(SUM(W5:W43),2)</f>
        <v>0</v>
      </c>
      <c r="G51" s="194"/>
      <c r="H51" s="52"/>
      <c r="J51" s="227"/>
      <c r="K51" s="51"/>
      <c r="L51" s="51"/>
      <c r="M51" s="196"/>
      <c r="V51" s="10"/>
      <c r="W51" s="71"/>
      <c r="AK51" s="12"/>
      <c r="AM51" s="10"/>
    </row>
    <row r="52" spans="1:39" x14ac:dyDescent="0.25">
      <c r="A52" s="57" t="s">
        <v>198</v>
      </c>
      <c r="B52" s="12"/>
      <c r="C52" s="58"/>
      <c r="D52" s="83"/>
      <c r="G52" s="194"/>
      <c r="J52" s="227"/>
      <c r="K52" s="72"/>
      <c r="L52" s="72"/>
      <c r="V52" s="10"/>
      <c r="W52" s="71"/>
      <c r="AK52" s="12"/>
      <c r="AM52" s="10"/>
    </row>
    <row r="53" spans="1:39" x14ac:dyDescent="0.25">
      <c r="A53" s="59" t="s">
        <v>197</v>
      </c>
      <c r="B53" s="12"/>
      <c r="C53" s="58">
        <f>SUM(Y5:Y43)</f>
        <v>0</v>
      </c>
      <c r="D53" s="84">
        <f>ROUND(SUM(AJ5:AJ43),2)</f>
        <v>0</v>
      </c>
      <c r="J53" s="51"/>
      <c r="K53" s="51"/>
      <c r="L53" s="51"/>
      <c r="V53" s="10"/>
      <c r="W53" s="71"/>
      <c r="AK53" s="12"/>
      <c r="AM53" s="10"/>
    </row>
    <row r="54" spans="1:39" x14ac:dyDescent="0.25">
      <c r="A54" s="59"/>
      <c r="B54" s="12"/>
      <c r="C54" s="58"/>
      <c r="D54" s="84"/>
      <c r="H54" s="51"/>
      <c r="J54" s="51"/>
      <c r="K54" s="51"/>
      <c r="L54" s="51"/>
      <c r="V54" s="10"/>
      <c r="W54" s="71"/>
      <c r="AK54" s="12"/>
      <c r="AM54" s="10"/>
    </row>
    <row r="55" spans="1:39" ht="15.75" thickBot="1" x14ac:dyDescent="0.3">
      <c r="A55" s="60" t="s">
        <v>199</v>
      </c>
      <c r="B55" s="320"/>
      <c r="C55" s="61">
        <f>SUM(C51:C54)</f>
        <v>0</v>
      </c>
      <c r="D55" s="86">
        <f>SUM(D51:D54)</f>
        <v>0</v>
      </c>
      <c r="F55" s="13"/>
      <c r="H55" s="51"/>
      <c r="J55" s="51"/>
      <c r="K55" s="51"/>
      <c r="L55" s="51"/>
      <c r="T55" s="13"/>
      <c r="V55" s="10"/>
      <c r="W55" s="71"/>
      <c r="AK55" s="12"/>
      <c r="AM55" s="10"/>
    </row>
    <row r="56" spans="1:39" ht="15.75" thickBot="1" x14ac:dyDescent="0.3">
      <c r="C56" s="50"/>
      <c r="D56" s="88"/>
      <c r="H56" s="51"/>
      <c r="J56" s="52"/>
      <c r="K56" s="52"/>
      <c r="L56" s="52"/>
      <c r="T56" s="13"/>
      <c r="V56" s="10"/>
      <c r="W56" s="71"/>
      <c r="AK56" s="12"/>
      <c r="AM56" s="10"/>
    </row>
    <row r="57" spans="1:39" x14ac:dyDescent="0.25">
      <c r="A57" s="53" t="s">
        <v>200</v>
      </c>
      <c r="B57" s="319"/>
      <c r="C57" s="62" t="s">
        <v>201</v>
      </c>
      <c r="D57" s="130" t="s">
        <v>157</v>
      </c>
      <c r="F57" s="268"/>
      <c r="G57" s="268"/>
      <c r="H57" s="51"/>
      <c r="J57" s="13"/>
      <c r="K57" s="13"/>
      <c r="L57" s="13"/>
      <c r="T57" s="13"/>
      <c r="V57" s="10"/>
      <c r="W57" s="71"/>
      <c r="AK57" s="12"/>
      <c r="AM57" s="10"/>
    </row>
    <row r="58" spans="1:39" x14ac:dyDescent="0.25">
      <c r="A58" s="59" t="s">
        <v>200</v>
      </c>
      <c r="B58" s="12"/>
      <c r="C58" s="63"/>
      <c r="D58" s="85">
        <v>24658327</v>
      </c>
      <c r="F58" s="13"/>
      <c r="G58" s="13"/>
      <c r="H58" s="194"/>
      <c r="J58" s="52"/>
      <c r="K58" s="52"/>
      <c r="L58" s="52"/>
      <c r="T58" s="13"/>
      <c r="V58" s="10"/>
      <c r="W58" s="71"/>
      <c r="AK58" s="12"/>
      <c r="AM58" s="10"/>
    </row>
    <row r="59" spans="1:39" x14ac:dyDescent="0.25">
      <c r="A59" s="59" t="s">
        <v>202</v>
      </c>
      <c r="B59" s="12"/>
      <c r="C59" s="175"/>
      <c r="D59" s="84">
        <f>ROUND(D58*C59,2)</f>
        <v>0</v>
      </c>
      <c r="H59" s="51"/>
      <c r="J59" s="52"/>
      <c r="K59" s="52"/>
      <c r="L59" s="52"/>
      <c r="T59" s="13"/>
      <c r="V59" s="10"/>
      <c r="W59" s="71"/>
      <c r="AK59" s="12"/>
      <c r="AM59" s="10"/>
    </row>
    <row r="60" spans="1:39" x14ac:dyDescent="0.25">
      <c r="A60" s="59"/>
      <c r="B60" s="12"/>
      <c r="C60" s="63"/>
      <c r="D60" s="84"/>
      <c r="H60" s="51"/>
      <c r="J60" s="52"/>
      <c r="K60" s="52"/>
      <c r="L60" s="52"/>
      <c r="T60" s="13"/>
      <c r="V60" s="10"/>
      <c r="W60" s="10"/>
      <c r="AK60" s="12"/>
      <c r="AM60" s="10"/>
    </row>
    <row r="61" spans="1:39" ht="15.75" thickBot="1" x14ac:dyDescent="0.3">
      <c r="A61" s="60" t="s">
        <v>203</v>
      </c>
      <c r="B61" s="320"/>
      <c r="C61" s="61"/>
      <c r="D61" s="86">
        <f>SUM(D58:D60)</f>
        <v>24658327</v>
      </c>
      <c r="E61" s="50"/>
      <c r="G61" s="194"/>
      <c r="H61" s="51"/>
      <c r="J61" s="52"/>
      <c r="K61" s="52"/>
      <c r="L61" s="52"/>
      <c r="T61" s="13"/>
      <c r="V61" s="10"/>
      <c r="W61" s="10"/>
      <c r="AK61" s="12"/>
      <c r="AM61" s="10"/>
    </row>
    <row r="62" spans="1:39" ht="15.75" thickBot="1" x14ac:dyDescent="0.3">
      <c r="A62" s="64"/>
      <c r="B62" s="12"/>
      <c r="C62" s="65"/>
      <c r="D62" s="87"/>
      <c r="E62" s="50"/>
      <c r="G62" s="194"/>
      <c r="H62" s="51"/>
      <c r="J62" s="52"/>
      <c r="K62" s="52"/>
      <c r="L62" s="52"/>
      <c r="T62" s="13"/>
      <c r="V62" s="10"/>
      <c r="W62" s="10"/>
      <c r="AK62" s="12"/>
      <c r="AM62" s="10"/>
    </row>
    <row r="63" spans="1:39" customFormat="1" x14ac:dyDescent="0.25">
      <c r="A63" s="461" t="s">
        <v>204</v>
      </c>
      <c r="B63" s="319"/>
      <c r="C63" s="462"/>
      <c r="D63" s="463"/>
      <c r="E63" s="50"/>
      <c r="F63" s="50"/>
      <c r="G63" s="50"/>
      <c r="H63" s="50"/>
      <c r="I63" s="51"/>
      <c r="J63" s="51"/>
      <c r="K63" s="52"/>
      <c r="L63" s="52"/>
      <c r="M63" s="52"/>
      <c r="N63" s="52"/>
      <c r="O63" s="52"/>
      <c r="P63" s="52"/>
      <c r="Q63" s="52"/>
      <c r="R63" s="52"/>
      <c r="S63" s="52"/>
      <c r="T63" s="52"/>
      <c r="U63" s="13"/>
      <c r="V63" s="52"/>
      <c r="W63" s="52"/>
    </row>
    <row r="64" spans="1:39" customFormat="1" x14ac:dyDescent="0.25">
      <c r="A64" s="464" t="s">
        <v>205</v>
      </c>
      <c r="B64" s="12"/>
      <c r="C64" s="471"/>
      <c r="D64" s="466"/>
      <c r="E64" s="50"/>
      <c r="F64" s="50"/>
      <c r="G64" s="50"/>
      <c r="H64" s="50"/>
      <c r="I64" s="51"/>
      <c r="J64" s="51"/>
      <c r="K64" s="52"/>
      <c r="L64" s="52"/>
      <c r="M64" s="52"/>
      <c r="N64" s="52"/>
      <c r="O64" s="52"/>
      <c r="P64" s="52"/>
      <c r="Q64" s="52"/>
      <c r="R64" s="52"/>
      <c r="S64" s="52"/>
      <c r="T64" s="52"/>
      <c r="U64" s="13"/>
      <c r="V64" s="52"/>
      <c r="W64" s="52"/>
    </row>
    <row r="65" spans="1:39" customFormat="1" x14ac:dyDescent="0.25">
      <c r="A65" s="464"/>
      <c r="B65" s="12"/>
      <c r="C65" s="471"/>
      <c r="D65" s="467"/>
      <c r="E65" s="50"/>
      <c r="F65" s="50"/>
      <c r="G65" s="50"/>
      <c r="H65" s="50"/>
      <c r="I65" s="51"/>
      <c r="J65" s="51"/>
      <c r="K65" s="52"/>
      <c r="L65" s="52"/>
      <c r="M65" s="52"/>
      <c r="N65" s="52"/>
      <c r="O65" s="52"/>
      <c r="P65" s="52"/>
      <c r="Q65" s="52"/>
      <c r="R65" s="52"/>
      <c r="S65" s="52"/>
      <c r="T65" s="52"/>
      <c r="U65" s="13"/>
      <c r="V65" s="52"/>
      <c r="W65" s="52"/>
    </row>
    <row r="66" spans="1:39" customFormat="1" ht="15.75" thickBot="1" x14ac:dyDescent="0.3">
      <c r="A66" s="468" t="s">
        <v>206</v>
      </c>
      <c r="B66" s="320"/>
      <c r="C66" s="469"/>
      <c r="D66" s="86">
        <f>ROUND(D64,2)</f>
        <v>0</v>
      </c>
      <c r="E66" s="50"/>
      <c r="F66" s="50"/>
      <c r="G66" s="470"/>
      <c r="H66" s="50"/>
      <c r="I66" s="51"/>
      <c r="J66" s="51"/>
      <c r="K66" s="52"/>
      <c r="L66" s="52"/>
      <c r="M66" s="52"/>
      <c r="N66" s="52"/>
      <c r="O66" s="52"/>
      <c r="P66" s="52"/>
      <c r="Q66" s="52"/>
      <c r="R66" s="52"/>
      <c r="S66" s="52"/>
      <c r="T66" s="52"/>
      <c r="U66" s="13"/>
      <c r="V66" s="52"/>
      <c r="W66" s="52"/>
    </row>
    <row r="67" spans="1:39" customFormat="1" ht="15.75" thickBot="1" x14ac:dyDescent="0.3">
      <c r="B67" s="465"/>
      <c r="C67" s="465"/>
      <c r="D67" s="465"/>
      <c r="E67" s="50"/>
      <c r="F67" s="87"/>
      <c r="G67" s="470"/>
      <c r="H67" s="50"/>
      <c r="I67" s="51"/>
      <c r="J67" s="51"/>
      <c r="K67" s="52"/>
      <c r="L67" s="52"/>
      <c r="M67" s="52"/>
      <c r="N67" s="52"/>
      <c r="O67" s="52"/>
      <c r="P67" s="52"/>
      <c r="Q67" s="52"/>
      <c r="R67" s="52"/>
      <c r="S67" s="52"/>
      <c r="T67" s="52"/>
      <c r="U67" s="13"/>
      <c r="V67" s="52"/>
      <c r="W67" s="52"/>
    </row>
    <row r="68" spans="1:39" ht="15.75" thickBot="1" x14ac:dyDescent="0.3">
      <c r="A68" s="66" t="s">
        <v>207</v>
      </c>
      <c r="B68" s="200"/>
      <c r="C68" s="200"/>
      <c r="D68" s="89">
        <f>D55+D61+D66</f>
        <v>24658327</v>
      </c>
      <c r="E68" s="50"/>
      <c r="AM68" s="10"/>
    </row>
    <row r="69" spans="1:39" ht="15.75" thickBot="1" x14ac:dyDescent="0.3">
      <c r="H69" s="51"/>
      <c r="J69" s="52"/>
      <c r="K69" s="52"/>
      <c r="L69" s="52"/>
      <c r="T69" s="13"/>
      <c r="V69" s="10"/>
      <c r="W69" s="10"/>
      <c r="AK69" s="12"/>
      <c r="AM69" s="10"/>
    </row>
    <row r="70" spans="1:39" ht="15.75" thickBot="1" x14ac:dyDescent="0.3">
      <c r="A70" s="66" t="s">
        <v>208</v>
      </c>
      <c r="B70" s="200"/>
      <c r="C70" s="200"/>
      <c r="D70" s="89">
        <f>D68-D66</f>
        <v>24658327</v>
      </c>
      <c r="E70" s="50"/>
      <c r="AM70" s="10"/>
    </row>
    <row r="71" spans="1:39" x14ac:dyDescent="0.25">
      <c r="G71" s="51"/>
    </row>
    <row r="72" spans="1:39" x14ac:dyDescent="0.25">
      <c r="G72" s="51"/>
    </row>
    <row r="73" spans="1:39" x14ac:dyDescent="0.25">
      <c r="G73" s="51"/>
    </row>
  </sheetData>
  <sheetProtection algorithmName="SHA-512" hashValue="k97RcucHcvkAzUcP24Ghch0uD3G9vE5cozKEth1RreezB4AUdA97ccQxJFFE3TGzwhduZicwht4FVdd36CdHSA==" saltValue="7jGT+cIPXAbCy2aeOTvH2w==" spinCount="100000" sheet="1" objects="1" scenarios="1"/>
  <mergeCells count="14">
    <mergeCell ref="A30:A34"/>
    <mergeCell ref="A38:A39"/>
    <mergeCell ref="A40:A43"/>
    <mergeCell ref="A8:A12"/>
    <mergeCell ref="A13:A14"/>
    <mergeCell ref="A15:A19"/>
    <mergeCell ref="A23:A27"/>
    <mergeCell ref="A28:A29"/>
    <mergeCell ref="A1:AQ1"/>
    <mergeCell ref="AO3:AQ3"/>
    <mergeCell ref="J2:W2"/>
    <mergeCell ref="A2:H2"/>
    <mergeCell ref="AO2:AQ2"/>
    <mergeCell ref="Y2:AM2"/>
  </mergeCells>
  <phoneticPr fontId="21" type="noConversion"/>
  <conditionalFormatting sqref="H5:H19 H21:H34 H36:H46">
    <cfRule type="cellIs" dxfId="15" priority="119" operator="lessThan">
      <formula>0</formula>
    </cfRule>
    <cfRule type="cellIs" dxfId="14" priority="120" operator="greaterThan">
      <formula>0</formula>
    </cfRule>
    <cfRule type="cellIs" dxfId="13" priority="121" operator="equal">
      <formula>0</formula>
    </cfRule>
  </conditionalFormatting>
  <pageMargins left="0.7" right="0.7" top="0.75" bottom="0.75" header="0.3" footer="0.3"/>
  <pageSetup orientation="portrait" verticalDpi="597"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E7E38-E57D-414B-B1CE-371362C35D48}">
  <dimension ref="A1:AO75"/>
  <sheetViews>
    <sheetView showGridLines="0" zoomScaleNormal="100" workbookViewId="0">
      <pane ySplit="4" topLeftCell="A5" activePane="bottomLeft" state="frozen"/>
      <selection pane="bottomLeft" sqref="A1:AO1"/>
    </sheetView>
  </sheetViews>
  <sheetFormatPr defaultColWidth="9.140625" defaultRowHeight="15" x14ac:dyDescent="0.25"/>
  <cols>
    <col min="1" max="1" width="31.140625" style="10" customWidth="1"/>
    <col min="2" max="2" width="4" style="10" bestFit="1" customWidth="1"/>
    <col min="3" max="3" width="28.7109375" style="10" customWidth="1"/>
    <col min="4" max="4" width="20.85546875" style="10" customWidth="1"/>
    <col min="5" max="5" width="15.7109375" style="10" bestFit="1" customWidth="1"/>
    <col min="6" max="8" width="14.7109375" style="50" customWidth="1"/>
    <col min="9" max="9" width="1.7109375" style="51" customWidth="1"/>
    <col min="10" max="10" width="14.7109375" style="50" customWidth="1"/>
    <col min="11" max="18" width="14.7109375" style="52" customWidth="1"/>
    <col min="19" max="19" width="23.7109375" style="13" customWidth="1"/>
    <col min="20" max="21" width="23.7109375" style="52" customWidth="1"/>
    <col min="22" max="22" width="1.7109375" style="10" customWidth="1"/>
    <col min="23" max="31" width="14.7109375" style="10" customWidth="1"/>
    <col min="32" max="34" width="23.7109375" style="10" customWidth="1"/>
    <col min="35" max="35" width="36.7109375" style="10" customWidth="1"/>
    <col min="36" max="36" width="12.7109375" style="12" customWidth="1"/>
    <col min="37" max="37" width="24.7109375" style="12" customWidth="1"/>
    <col min="38" max="38" width="1.7109375" style="10" customWidth="1"/>
    <col min="39" max="41" width="16.7109375" style="10" customWidth="1"/>
    <col min="42" max="16384" width="9.140625" style="10"/>
  </cols>
  <sheetData>
    <row r="1" spans="1:41" s="16" customFormat="1" ht="34.5" thickBot="1" x14ac:dyDescent="0.55000000000000004">
      <c r="A1" s="516" t="s">
        <v>209</v>
      </c>
      <c r="B1" s="517"/>
      <c r="C1" s="518"/>
      <c r="D1" s="518"/>
      <c r="E1" s="518"/>
      <c r="F1" s="518"/>
      <c r="G1" s="518"/>
      <c r="H1" s="518"/>
      <c r="I1" s="518"/>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8"/>
      <c r="AK1" s="518"/>
      <c r="AL1" s="518"/>
      <c r="AM1" s="518"/>
      <c r="AN1" s="518"/>
      <c r="AO1" s="519"/>
    </row>
    <row r="2" spans="1:41" ht="15.75" thickBot="1" x14ac:dyDescent="0.3">
      <c r="A2" s="526" t="s">
        <v>210</v>
      </c>
      <c r="B2" s="527"/>
      <c r="C2" s="527"/>
      <c r="D2" s="527"/>
      <c r="E2" s="527"/>
      <c r="F2" s="527"/>
      <c r="G2" s="527"/>
      <c r="H2" s="528"/>
      <c r="I2" s="35"/>
      <c r="J2" s="523" t="s">
        <v>142</v>
      </c>
      <c r="K2" s="524"/>
      <c r="L2" s="524"/>
      <c r="M2" s="524"/>
      <c r="N2" s="524"/>
      <c r="O2" s="524"/>
      <c r="P2" s="524"/>
      <c r="Q2" s="524"/>
      <c r="R2" s="524"/>
      <c r="S2" s="524"/>
      <c r="T2" s="524"/>
      <c r="U2" s="525"/>
      <c r="W2" s="529" t="s">
        <v>143</v>
      </c>
      <c r="X2" s="530"/>
      <c r="Y2" s="530"/>
      <c r="Z2" s="530"/>
      <c r="AA2" s="530"/>
      <c r="AB2" s="530"/>
      <c r="AC2" s="530"/>
      <c r="AD2" s="530"/>
      <c r="AE2" s="530"/>
      <c r="AF2" s="530"/>
      <c r="AG2" s="530"/>
      <c r="AH2" s="530"/>
      <c r="AI2" s="530"/>
      <c r="AJ2" s="530"/>
      <c r="AK2" s="531"/>
      <c r="AM2" s="526" t="s">
        <v>144</v>
      </c>
      <c r="AN2" s="527"/>
      <c r="AO2" s="528"/>
    </row>
    <row r="3" spans="1:41" s="309" customFormat="1" ht="45.95" customHeight="1" thickBot="1" x14ac:dyDescent="0.3">
      <c r="A3" s="203" t="s">
        <v>65</v>
      </c>
      <c r="B3" s="277" t="s">
        <v>66</v>
      </c>
      <c r="C3" s="298" t="s">
        <v>67</v>
      </c>
      <c r="D3" s="298" t="s">
        <v>145</v>
      </c>
      <c r="E3" s="298" t="s">
        <v>82</v>
      </c>
      <c r="F3" s="299" t="s">
        <v>146</v>
      </c>
      <c r="G3" s="299" t="s">
        <v>147</v>
      </c>
      <c r="H3" s="300" t="s">
        <v>148</v>
      </c>
      <c r="I3" s="301"/>
      <c r="J3" s="302" t="s">
        <v>149</v>
      </c>
      <c r="K3" s="304" t="s">
        <v>152</v>
      </c>
      <c r="L3" s="304" t="s">
        <v>153</v>
      </c>
      <c r="M3" s="305" t="s">
        <v>154</v>
      </c>
      <c r="N3" s="305" t="s">
        <v>155</v>
      </c>
      <c r="O3" s="305" t="s">
        <v>156</v>
      </c>
      <c r="P3" s="305" t="s">
        <v>157</v>
      </c>
      <c r="Q3" s="305" t="s">
        <v>158</v>
      </c>
      <c r="R3" s="305" t="s">
        <v>159</v>
      </c>
      <c r="S3" s="306" t="s">
        <v>160</v>
      </c>
      <c r="T3" s="307" t="s">
        <v>161</v>
      </c>
      <c r="U3" s="308" t="s">
        <v>162</v>
      </c>
      <c r="W3" s="302" t="s">
        <v>163</v>
      </c>
      <c r="X3" s="304" t="s">
        <v>164</v>
      </c>
      <c r="Y3" s="304" t="s">
        <v>165</v>
      </c>
      <c r="Z3" s="304" t="s">
        <v>166</v>
      </c>
      <c r="AA3" s="304" t="s">
        <v>167</v>
      </c>
      <c r="AB3" s="304" t="s">
        <v>168</v>
      </c>
      <c r="AC3" s="307" t="s">
        <v>157</v>
      </c>
      <c r="AD3" s="304" t="s">
        <v>169</v>
      </c>
      <c r="AE3" s="304" t="s">
        <v>170</v>
      </c>
      <c r="AF3" s="304" t="s">
        <v>160</v>
      </c>
      <c r="AG3" s="304" t="s">
        <v>161</v>
      </c>
      <c r="AH3" s="304" t="s">
        <v>162</v>
      </c>
      <c r="AI3" s="310" t="s">
        <v>171</v>
      </c>
      <c r="AJ3" s="310" t="s">
        <v>172</v>
      </c>
      <c r="AK3" s="311" t="s">
        <v>173</v>
      </c>
      <c r="AM3" s="520" t="s">
        <v>174</v>
      </c>
      <c r="AN3" s="521"/>
      <c r="AO3" s="522"/>
    </row>
    <row r="4" spans="1:41" ht="31.5" customHeight="1" thickBot="1" x14ac:dyDescent="0.3">
      <c r="A4" s="66" t="s">
        <v>175</v>
      </c>
      <c r="B4" s="278"/>
      <c r="C4" s="200"/>
      <c r="D4" s="200"/>
      <c r="E4" s="200"/>
      <c r="F4" s="201"/>
      <c r="G4" s="201"/>
      <c r="H4" s="202"/>
      <c r="I4" s="36"/>
      <c r="J4" s="155"/>
      <c r="K4" s="204"/>
      <c r="L4" s="157"/>
      <c r="M4" s="157"/>
      <c r="N4" s="157"/>
      <c r="O4" s="157"/>
      <c r="P4" s="158"/>
      <c r="Q4" s="157"/>
      <c r="R4" s="158"/>
      <c r="S4" s="158"/>
      <c r="T4" s="187"/>
      <c r="U4" s="188"/>
      <c r="W4" s="155"/>
      <c r="X4" s="156"/>
      <c r="Y4" s="156"/>
      <c r="Z4" s="157"/>
      <c r="AA4" s="157"/>
      <c r="AB4" s="157"/>
      <c r="AC4" s="158"/>
      <c r="AD4" s="157"/>
      <c r="AE4" s="156"/>
      <c r="AF4" s="156"/>
      <c r="AG4" s="156"/>
      <c r="AH4" s="156"/>
      <c r="AI4" s="245"/>
      <c r="AJ4" s="245"/>
      <c r="AK4" s="246"/>
      <c r="AL4" s="37"/>
      <c r="AM4" s="190" t="s">
        <v>157</v>
      </c>
      <c r="AN4" s="191" t="s">
        <v>158</v>
      </c>
      <c r="AO4" s="192" t="s">
        <v>176</v>
      </c>
    </row>
    <row r="5" spans="1:41" ht="15.75" thickBot="1" x14ac:dyDescent="0.3">
      <c r="A5" s="297" t="s">
        <v>72</v>
      </c>
      <c r="B5" s="283" t="s">
        <v>89</v>
      </c>
      <c r="C5" s="284" t="s">
        <v>90</v>
      </c>
      <c r="D5" s="284" t="s">
        <v>177</v>
      </c>
      <c r="E5" s="284" t="s">
        <v>91</v>
      </c>
      <c r="F5" s="285">
        <v>18541</v>
      </c>
      <c r="G5" s="285">
        <f t="shared" ref="G5:G19" si="0">SUM(J5,W5)</f>
        <v>0</v>
      </c>
      <c r="H5" s="286">
        <f>F5-G5</f>
        <v>18541</v>
      </c>
      <c r="I5" s="107"/>
      <c r="J5" s="292"/>
      <c r="K5" s="294">
        <f>'Ordering Period 1'!M5+('Ordering Period 1'!M5*Escalation!$D$2)</f>
        <v>0</v>
      </c>
      <c r="L5" s="349">
        <f t="shared" ref="L5:L19" si="1">(K5*$L$4)</f>
        <v>0</v>
      </c>
      <c r="M5" s="349">
        <f t="shared" ref="M5:M19" si="2">(L5+K5)*$M$4</f>
        <v>0</v>
      </c>
      <c r="N5" s="349">
        <f>(L5+K5+M5)*$N$4</f>
        <v>0</v>
      </c>
      <c r="O5" s="349">
        <f>(K5+L5+M5+N5)*$O$4</f>
        <v>0</v>
      </c>
      <c r="P5" s="294">
        <f>SUM(K5:O5)</f>
        <v>0</v>
      </c>
      <c r="Q5" s="294">
        <f>(P5-O5)*$Q$4</f>
        <v>0</v>
      </c>
      <c r="R5" s="294">
        <f>SUM(P5:Q5)</f>
        <v>0</v>
      </c>
      <c r="S5" s="295">
        <f t="shared" ref="S5:S19" si="3">P5*J5</f>
        <v>0</v>
      </c>
      <c r="T5" s="294">
        <f t="shared" ref="T5:T19" si="4">Q5*J5</f>
        <v>0</v>
      </c>
      <c r="U5" s="296">
        <f t="shared" ref="U5:U19" si="5">R5*J5</f>
        <v>0</v>
      </c>
      <c r="W5" s="288"/>
      <c r="X5" s="334"/>
      <c r="Y5" s="290">
        <f>IF($W5&gt;0,$X5,0)</f>
        <v>0</v>
      </c>
      <c r="Z5" s="334">
        <f>(Y5*$Z$4)</f>
        <v>0</v>
      </c>
      <c r="AA5" s="334">
        <f>(Y5+Z5)*$AA$4</f>
        <v>0</v>
      </c>
      <c r="AB5" s="334"/>
      <c r="AC5" s="290">
        <f>SUM(Y5:AB5)</f>
        <v>0</v>
      </c>
      <c r="AD5" s="290">
        <f>$AD$4*(AA5+Y5+Z5)</f>
        <v>0</v>
      </c>
      <c r="AE5" s="290">
        <f>SUM(AC5:AD5)</f>
        <v>0</v>
      </c>
      <c r="AF5" s="290">
        <f>AC5*W5</f>
        <v>0</v>
      </c>
      <c r="AG5" s="290">
        <f>AD5*W5</f>
        <v>0</v>
      </c>
      <c r="AH5" s="290">
        <f>AE5*W5</f>
        <v>0</v>
      </c>
      <c r="AI5" s="335"/>
      <c r="AJ5" s="336"/>
      <c r="AK5" s="337"/>
      <c r="AM5" s="339" t="str">
        <f t="shared" ref="AM5:AM19" si="6">IFERROR(SUM(S5,AF5)/G5,"")</f>
        <v/>
      </c>
      <c r="AN5" s="340" t="str">
        <f t="shared" ref="AN5:AN19" si="7">IFERROR(SUM(T5,AG5)/G5,"")</f>
        <v/>
      </c>
      <c r="AO5" s="291">
        <f>SUM(AM5:AN5)</f>
        <v>0</v>
      </c>
    </row>
    <row r="6" spans="1:41" ht="15.75" thickBot="1" x14ac:dyDescent="0.3">
      <c r="A6" s="297" t="s">
        <v>73</v>
      </c>
      <c r="B6" s="283" t="s">
        <v>92</v>
      </c>
      <c r="C6" s="284" t="s">
        <v>93</v>
      </c>
      <c r="D6" s="284" t="s">
        <v>178</v>
      </c>
      <c r="E6" s="284" t="s">
        <v>91</v>
      </c>
      <c r="F6" s="285">
        <v>57507</v>
      </c>
      <c r="G6" s="285">
        <f t="shared" si="0"/>
        <v>0</v>
      </c>
      <c r="H6" s="286">
        <f t="shared" ref="H6:H43" si="8">F6-G6</f>
        <v>57507</v>
      </c>
      <c r="I6" s="107"/>
      <c r="J6" s="288"/>
      <c r="K6" s="290">
        <f>'Ordering Period 1'!M6+('Ordering Period 1'!M6*Escalation!$D$2)</f>
        <v>0</v>
      </c>
      <c r="L6" s="334">
        <f t="shared" si="1"/>
        <v>0</v>
      </c>
      <c r="M6" s="334">
        <f t="shared" si="2"/>
        <v>0</v>
      </c>
      <c r="N6" s="334">
        <f t="shared" ref="N6:N19" si="9">(L6+K6+M6)*$N$4</f>
        <v>0</v>
      </c>
      <c r="O6" s="334">
        <f t="shared" ref="O6:O18" si="10">(K6+L6+M6+N6)*$O$4</f>
        <v>0</v>
      </c>
      <c r="P6" s="290">
        <f t="shared" ref="P6:P19" si="11">SUM(K6:O6)</f>
        <v>0</v>
      </c>
      <c r="Q6" s="290">
        <f>(P6-O6)*$Q$4</f>
        <v>0</v>
      </c>
      <c r="R6" s="290">
        <f t="shared" ref="R6:R13" si="12">SUM(P6:Q6)</f>
        <v>0</v>
      </c>
      <c r="S6" s="290">
        <f t="shared" si="3"/>
        <v>0</v>
      </c>
      <c r="T6" s="290">
        <f t="shared" si="4"/>
        <v>0</v>
      </c>
      <c r="U6" s="291">
        <f t="shared" si="5"/>
        <v>0</v>
      </c>
      <c r="W6" s="288"/>
      <c r="X6" s="334"/>
      <c r="Y6" s="290">
        <f t="shared" ref="Y6:Y19" si="13">IF($W6&gt;0,$X6,0)</f>
        <v>0</v>
      </c>
      <c r="Z6" s="334">
        <f t="shared" ref="Z6:Z19" si="14">(Y6*$Z$4)</f>
        <v>0</v>
      </c>
      <c r="AA6" s="334">
        <f t="shared" ref="AA6:AA19" si="15">(Y6+Z6)*$AA$4</f>
        <v>0</v>
      </c>
      <c r="AB6" s="334"/>
      <c r="AC6" s="290">
        <f t="shared" ref="AC6:AC19" si="16">SUM(Y6:AB6)</f>
        <v>0</v>
      </c>
      <c r="AD6" s="290">
        <f t="shared" ref="AD6:AD19" si="17">$AD$4*(AA6+Y6+Z6)</f>
        <v>0</v>
      </c>
      <c r="AE6" s="290">
        <f t="shared" ref="AE6:AE19" si="18">SUM(AC6:AD6)</f>
        <v>0</v>
      </c>
      <c r="AF6" s="290">
        <f t="shared" ref="AF6:AF19" si="19">AC6*W6</f>
        <v>0</v>
      </c>
      <c r="AG6" s="290">
        <f t="shared" ref="AG6:AG19" si="20">AD6*W6</f>
        <v>0</v>
      </c>
      <c r="AH6" s="290">
        <f t="shared" ref="AH6:AH19" si="21">AE6*W6</f>
        <v>0</v>
      </c>
      <c r="AI6" s="335"/>
      <c r="AJ6" s="336"/>
      <c r="AK6" s="337"/>
      <c r="AM6" s="339" t="str">
        <f t="shared" si="6"/>
        <v/>
      </c>
      <c r="AN6" s="340" t="str">
        <f t="shared" si="7"/>
        <v/>
      </c>
      <c r="AO6" s="291">
        <f>SUM(AM6:AN6)</f>
        <v>0</v>
      </c>
    </row>
    <row r="7" spans="1:41" ht="15.75" thickBot="1" x14ac:dyDescent="0.3">
      <c r="A7" s="297" t="s">
        <v>74</v>
      </c>
      <c r="B7" s="283" t="s">
        <v>94</v>
      </c>
      <c r="C7" s="284" t="s">
        <v>95</v>
      </c>
      <c r="D7" s="284" t="s">
        <v>179</v>
      </c>
      <c r="E7" s="284" t="s">
        <v>91</v>
      </c>
      <c r="F7" s="285">
        <v>129710</v>
      </c>
      <c r="G7" s="285">
        <f t="shared" si="0"/>
        <v>0</v>
      </c>
      <c r="H7" s="286">
        <f t="shared" si="8"/>
        <v>129710</v>
      </c>
      <c r="I7" s="107"/>
      <c r="J7" s="288"/>
      <c r="K7" s="290">
        <f>'Ordering Period 1'!M7+('Ordering Period 1'!M7*Escalation!$D$2)</f>
        <v>0</v>
      </c>
      <c r="L7" s="334">
        <f t="shared" si="1"/>
        <v>0</v>
      </c>
      <c r="M7" s="334">
        <f t="shared" si="2"/>
        <v>0</v>
      </c>
      <c r="N7" s="334">
        <f t="shared" si="9"/>
        <v>0</v>
      </c>
      <c r="O7" s="334">
        <f>(K7+L7+M7+N7)*$O$4</f>
        <v>0</v>
      </c>
      <c r="P7" s="290">
        <f t="shared" si="11"/>
        <v>0</v>
      </c>
      <c r="Q7" s="290">
        <f t="shared" ref="Q7:Q18" si="22">(P7-O7)*$Q$4</f>
        <v>0</v>
      </c>
      <c r="R7" s="290">
        <f>SUM(P7:Q7)</f>
        <v>0</v>
      </c>
      <c r="S7" s="290">
        <f t="shared" si="3"/>
        <v>0</v>
      </c>
      <c r="T7" s="290">
        <f t="shared" si="4"/>
        <v>0</v>
      </c>
      <c r="U7" s="291">
        <f t="shared" si="5"/>
        <v>0</v>
      </c>
      <c r="W7" s="288"/>
      <c r="X7" s="334"/>
      <c r="Y7" s="290">
        <f t="shared" si="13"/>
        <v>0</v>
      </c>
      <c r="Z7" s="334">
        <f t="shared" si="14"/>
        <v>0</v>
      </c>
      <c r="AA7" s="334">
        <f t="shared" si="15"/>
        <v>0</v>
      </c>
      <c r="AB7" s="334"/>
      <c r="AC7" s="290">
        <f t="shared" si="16"/>
        <v>0</v>
      </c>
      <c r="AD7" s="290">
        <f t="shared" si="17"/>
        <v>0</v>
      </c>
      <c r="AE7" s="290">
        <f t="shared" si="18"/>
        <v>0</v>
      </c>
      <c r="AF7" s="290">
        <f t="shared" si="19"/>
        <v>0</v>
      </c>
      <c r="AG7" s="290">
        <f t="shared" si="20"/>
        <v>0</v>
      </c>
      <c r="AH7" s="290">
        <f t="shared" si="21"/>
        <v>0</v>
      </c>
      <c r="AI7" s="335"/>
      <c r="AJ7" s="336"/>
      <c r="AK7" s="337"/>
      <c r="AM7" s="339" t="str">
        <f t="shared" si="6"/>
        <v/>
      </c>
      <c r="AN7" s="340" t="str">
        <f t="shared" si="7"/>
        <v/>
      </c>
      <c r="AO7" s="291">
        <f t="shared" ref="AO7:AO43" si="23">SUM(AM7:AN7)</f>
        <v>0</v>
      </c>
    </row>
    <row r="8" spans="1:41" x14ac:dyDescent="0.25">
      <c r="A8" s="496" t="s">
        <v>75</v>
      </c>
      <c r="B8" s="279" t="s">
        <v>96</v>
      </c>
      <c r="C8" s="109" t="s">
        <v>93</v>
      </c>
      <c r="D8" s="109" t="s">
        <v>178</v>
      </c>
      <c r="E8" s="109" t="s">
        <v>91</v>
      </c>
      <c r="F8" s="38">
        <v>10953</v>
      </c>
      <c r="G8" s="38">
        <f t="shared" si="0"/>
        <v>0</v>
      </c>
      <c r="H8" s="39">
        <f t="shared" si="8"/>
        <v>10953</v>
      </c>
      <c r="I8" s="107"/>
      <c r="J8" s="121"/>
      <c r="K8" s="122">
        <f>'Ordering Period 1'!M8+('Ordering Period 1'!M8*Escalation!$D$2)</f>
        <v>0</v>
      </c>
      <c r="L8" s="123">
        <f t="shared" si="1"/>
        <v>0</v>
      </c>
      <c r="M8" s="123">
        <f t="shared" si="2"/>
        <v>0</v>
      </c>
      <c r="N8" s="123">
        <f t="shared" si="9"/>
        <v>0</v>
      </c>
      <c r="O8" s="123">
        <f t="shared" ref="O8:O10" si="24">(K8+L8+M8+N8)*$O$4</f>
        <v>0</v>
      </c>
      <c r="P8" s="122">
        <f t="shared" si="11"/>
        <v>0</v>
      </c>
      <c r="Q8" s="122">
        <f>(P8-O8)*$Q$4</f>
        <v>0</v>
      </c>
      <c r="R8" s="122">
        <f t="shared" ref="R8:R9" si="25">SUM(P8:Q8)</f>
        <v>0</v>
      </c>
      <c r="S8" s="122">
        <f t="shared" si="3"/>
        <v>0</v>
      </c>
      <c r="T8" s="122">
        <f t="shared" si="4"/>
        <v>0</v>
      </c>
      <c r="U8" s="124">
        <f t="shared" si="5"/>
        <v>0</v>
      </c>
      <c r="W8" s="3"/>
      <c r="X8" s="4"/>
      <c r="Y8" s="40">
        <f t="shared" si="13"/>
        <v>0</v>
      </c>
      <c r="Z8" s="4">
        <f t="shared" si="14"/>
        <v>0</v>
      </c>
      <c r="AA8" s="4">
        <f t="shared" si="15"/>
        <v>0</v>
      </c>
      <c r="AB8" s="4"/>
      <c r="AC8" s="40">
        <f t="shared" si="16"/>
        <v>0</v>
      </c>
      <c r="AD8" s="40">
        <f t="shared" si="17"/>
        <v>0</v>
      </c>
      <c r="AE8" s="40">
        <f t="shared" si="18"/>
        <v>0</v>
      </c>
      <c r="AF8" s="40">
        <f t="shared" si="19"/>
        <v>0</v>
      </c>
      <c r="AG8" s="40">
        <f t="shared" si="20"/>
        <v>0</v>
      </c>
      <c r="AH8" s="40">
        <f t="shared" si="21"/>
        <v>0</v>
      </c>
      <c r="AI8" s="160"/>
      <c r="AJ8" s="213"/>
      <c r="AK8" s="6"/>
      <c r="AM8" s="140" t="str">
        <f t="shared" si="6"/>
        <v/>
      </c>
      <c r="AN8" s="125" t="str">
        <f t="shared" si="7"/>
        <v/>
      </c>
      <c r="AO8" s="124">
        <f>SUM(AM8:AN8)</f>
        <v>0</v>
      </c>
    </row>
    <row r="9" spans="1:41" x14ac:dyDescent="0.25">
      <c r="A9" s="497"/>
      <c r="B9" s="280" t="s">
        <v>97</v>
      </c>
      <c r="C9" s="108" t="s">
        <v>75</v>
      </c>
      <c r="D9" s="108" t="s">
        <v>180</v>
      </c>
      <c r="E9" s="108" t="s">
        <v>91</v>
      </c>
      <c r="F9" s="42">
        <v>194682</v>
      </c>
      <c r="G9" s="42">
        <f t="shared" si="0"/>
        <v>0</v>
      </c>
      <c r="H9" s="43">
        <f t="shared" si="8"/>
        <v>194682</v>
      </c>
      <c r="I9" s="107"/>
      <c r="J9" s="3"/>
      <c r="K9" s="44">
        <f>'Ordering Period 1'!M9+('Ordering Period 1'!M9*Escalation!$D$2)</f>
        <v>0</v>
      </c>
      <c r="L9" s="5">
        <f t="shared" si="1"/>
        <v>0</v>
      </c>
      <c r="M9" s="5">
        <f t="shared" si="2"/>
        <v>0</v>
      </c>
      <c r="N9" s="5">
        <f t="shared" si="9"/>
        <v>0</v>
      </c>
      <c r="O9" s="5">
        <f t="shared" si="24"/>
        <v>0</v>
      </c>
      <c r="P9" s="44">
        <f t="shared" si="11"/>
        <v>0</v>
      </c>
      <c r="Q9" s="44">
        <f t="shared" ref="Q9:Q10" si="26">(P9-O9)*$Q$4</f>
        <v>0</v>
      </c>
      <c r="R9" s="44">
        <f t="shared" si="25"/>
        <v>0</v>
      </c>
      <c r="S9" s="44">
        <f t="shared" si="3"/>
        <v>0</v>
      </c>
      <c r="T9" s="44">
        <f t="shared" si="4"/>
        <v>0</v>
      </c>
      <c r="U9" s="128">
        <f t="shared" si="5"/>
        <v>0</v>
      </c>
      <c r="W9" s="161"/>
      <c r="X9" s="5"/>
      <c r="Y9" s="44">
        <f t="shared" si="13"/>
        <v>0</v>
      </c>
      <c r="Z9" s="5">
        <f t="shared" si="14"/>
        <v>0</v>
      </c>
      <c r="AA9" s="5">
        <f t="shared" si="15"/>
        <v>0</v>
      </c>
      <c r="AB9" s="5"/>
      <c r="AC9" s="44">
        <f t="shared" si="16"/>
        <v>0</v>
      </c>
      <c r="AD9" s="44">
        <f t="shared" si="17"/>
        <v>0</v>
      </c>
      <c r="AE9" s="44">
        <f t="shared" si="18"/>
        <v>0</v>
      </c>
      <c r="AF9" s="44">
        <f t="shared" si="19"/>
        <v>0</v>
      </c>
      <c r="AG9" s="44">
        <f t="shared" si="20"/>
        <v>0</v>
      </c>
      <c r="AH9" s="44">
        <f t="shared" si="21"/>
        <v>0</v>
      </c>
      <c r="AI9" s="160"/>
      <c r="AJ9" s="7"/>
      <c r="AK9" s="8"/>
      <c r="AM9" s="162" t="str">
        <f t="shared" si="6"/>
        <v/>
      </c>
      <c r="AN9" s="45" t="str">
        <f t="shared" si="7"/>
        <v/>
      </c>
      <c r="AO9" s="128">
        <f t="shared" ref="AO9:AO10" si="27">SUM(AM9:AN9)</f>
        <v>0</v>
      </c>
    </row>
    <row r="10" spans="1:41" x14ac:dyDescent="0.25">
      <c r="A10" s="497"/>
      <c r="B10" s="280" t="s">
        <v>98</v>
      </c>
      <c r="C10" s="108" t="s">
        <v>99</v>
      </c>
      <c r="D10" s="108" t="s">
        <v>181</v>
      </c>
      <c r="E10" s="108" t="s">
        <v>91</v>
      </c>
      <c r="F10" s="42">
        <v>15018</v>
      </c>
      <c r="G10" s="42">
        <f t="shared" si="0"/>
        <v>0</v>
      </c>
      <c r="H10" s="43">
        <f t="shared" si="8"/>
        <v>15018</v>
      </c>
      <c r="I10" s="107"/>
      <c r="J10" s="3"/>
      <c r="K10" s="44">
        <f>'Ordering Period 1'!M10+('Ordering Period 1'!M10*Escalation!$D$2)</f>
        <v>0</v>
      </c>
      <c r="L10" s="5">
        <f t="shared" si="1"/>
        <v>0</v>
      </c>
      <c r="M10" s="5">
        <f t="shared" si="2"/>
        <v>0</v>
      </c>
      <c r="N10" s="5">
        <f t="shared" si="9"/>
        <v>0</v>
      </c>
      <c r="O10" s="5">
        <f t="shared" si="24"/>
        <v>0</v>
      </c>
      <c r="P10" s="44">
        <f t="shared" si="11"/>
        <v>0</v>
      </c>
      <c r="Q10" s="44">
        <f t="shared" si="26"/>
        <v>0</v>
      </c>
      <c r="R10" s="44">
        <f>SUM(P10:Q10)</f>
        <v>0</v>
      </c>
      <c r="S10" s="44">
        <f t="shared" si="3"/>
        <v>0</v>
      </c>
      <c r="T10" s="44">
        <f t="shared" si="4"/>
        <v>0</v>
      </c>
      <c r="U10" s="128">
        <f t="shared" si="5"/>
        <v>0</v>
      </c>
      <c r="W10" s="161"/>
      <c r="X10" s="5"/>
      <c r="Y10" s="44">
        <f t="shared" si="13"/>
        <v>0</v>
      </c>
      <c r="Z10" s="5">
        <f t="shared" si="14"/>
        <v>0</v>
      </c>
      <c r="AA10" s="5">
        <f t="shared" si="15"/>
        <v>0</v>
      </c>
      <c r="AB10" s="5"/>
      <c r="AC10" s="44">
        <f t="shared" si="16"/>
        <v>0</v>
      </c>
      <c r="AD10" s="44">
        <f t="shared" si="17"/>
        <v>0</v>
      </c>
      <c r="AE10" s="44">
        <f t="shared" si="18"/>
        <v>0</v>
      </c>
      <c r="AF10" s="44">
        <f t="shared" si="19"/>
        <v>0</v>
      </c>
      <c r="AG10" s="44">
        <f t="shared" si="20"/>
        <v>0</v>
      </c>
      <c r="AH10" s="44">
        <f t="shared" si="21"/>
        <v>0</v>
      </c>
      <c r="AI10" s="160"/>
      <c r="AJ10" s="7"/>
      <c r="AK10" s="8"/>
      <c r="AM10" s="162" t="str">
        <f t="shared" si="6"/>
        <v/>
      </c>
      <c r="AN10" s="45" t="str">
        <f t="shared" si="7"/>
        <v/>
      </c>
      <c r="AO10" s="128">
        <f t="shared" si="27"/>
        <v>0</v>
      </c>
    </row>
    <row r="11" spans="1:41" x14ac:dyDescent="0.25">
      <c r="A11" s="497"/>
      <c r="B11" s="280" t="s">
        <v>100</v>
      </c>
      <c r="C11" s="108" t="s">
        <v>101</v>
      </c>
      <c r="D11" s="108" t="s">
        <v>182</v>
      </c>
      <c r="E11" s="108" t="s">
        <v>91</v>
      </c>
      <c r="F11" s="42">
        <v>17115</v>
      </c>
      <c r="G11" s="42">
        <f t="shared" si="0"/>
        <v>0</v>
      </c>
      <c r="H11" s="43">
        <f>F11-G11</f>
        <v>17115</v>
      </c>
      <c r="I11" s="107"/>
      <c r="J11" s="3"/>
      <c r="K11" s="44">
        <f>'Ordering Period 1'!M11+('Ordering Period 1'!M11*Escalation!$D$2)</f>
        <v>0</v>
      </c>
      <c r="L11" s="5">
        <f>(K11*$L$4)</f>
        <v>0</v>
      </c>
      <c r="M11" s="5">
        <f>(L11+K11)*$M$4</f>
        <v>0</v>
      </c>
      <c r="N11" s="5">
        <f>(L11+K11+M11)*$N$4</f>
        <v>0</v>
      </c>
      <c r="O11" s="5">
        <f>(K11+L11+M11+N11)*$O$4</f>
        <v>0</v>
      </c>
      <c r="P11" s="44">
        <f>SUM(K11:O11)</f>
        <v>0</v>
      </c>
      <c r="Q11" s="44">
        <f>(P11-O11)*$Q$4</f>
        <v>0</v>
      </c>
      <c r="R11" s="44">
        <f>SUM(P11:Q11)</f>
        <v>0</v>
      </c>
      <c r="S11" s="44">
        <f t="shared" si="3"/>
        <v>0</v>
      </c>
      <c r="T11" s="44">
        <f t="shared" si="4"/>
        <v>0</v>
      </c>
      <c r="U11" s="128">
        <f t="shared" si="5"/>
        <v>0</v>
      </c>
      <c r="W11" s="161"/>
      <c r="X11" s="5"/>
      <c r="Y11" s="44">
        <f>IF($W11&gt;0,$X11,0)</f>
        <v>0</v>
      </c>
      <c r="Z11" s="5">
        <f>(Y11*$Z$4)</f>
        <v>0</v>
      </c>
      <c r="AA11" s="5">
        <f>(Y11+Z11)*$AA$4</f>
        <v>0</v>
      </c>
      <c r="AB11" s="5"/>
      <c r="AC11" s="44">
        <f>SUM(Y11:AB11)</f>
        <v>0</v>
      </c>
      <c r="AD11" s="44">
        <f>$AD$4*(AA11+Y11+Z11)</f>
        <v>0</v>
      </c>
      <c r="AE11" s="44">
        <f>SUM(AC11:AD11)</f>
        <v>0</v>
      </c>
      <c r="AF11" s="44">
        <f>AC11*W11</f>
        <v>0</v>
      </c>
      <c r="AG11" s="44">
        <f>AD11*W11</f>
        <v>0</v>
      </c>
      <c r="AH11" s="44">
        <f>AE11*W11</f>
        <v>0</v>
      </c>
      <c r="AI11" s="160"/>
      <c r="AJ11" s="7"/>
      <c r="AK11" s="8"/>
      <c r="AM11" s="162" t="str">
        <f t="shared" si="6"/>
        <v/>
      </c>
      <c r="AN11" s="45" t="str">
        <f t="shared" si="7"/>
        <v/>
      </c>
      <c r="AO11" s="128">
        <f>SUM(AM11:AN11)</f>
        <v>0</v>
      </c>
    </row>
    <row r="12" spans="1:41" ht="15.75" thickBot="1" x14ac:dyDescent="0.3">
      <c r="A12" s="498"/>
      <c r="B12" s="282" t="s">
        <v>102</v>
      </c>
      <c r="C12" s="147" t="s">
        <v>103</v>
      </c>
      <c r="D12" s="147" t="s">
        <v>183</v>
      </c>
      <c r="E12" s="147" t="s">
        <v>91</v>
      </c>
      <c r="F12" s="148">
        <v>23276</v>
      </c>
      <c r="G12" s="148">
        <f t="shared" si="0"/>
        <v>0</v>
      </c>
      <c r="H12" s="149">
        <f>F12-G12</f>
        <v>23276</v>
      </c>
      <c r="I12" s="107"/>
      <c r="J12" s="176"/>
      <c r="K12" s="178">
        <f>'Ordering Period 1'!M12+('Ordering Period 1'!M12*Escalation!$D$2)</f>
        <v>0</v>
      </c>
      <c r="L12" s="179">
        <f t="shared" ref="L12" si="28">(K12*$L$4)</f>
        <v>0</v>
      </c>
      <c r="M12" s="179">
        <f t="shared" ref="M12" si="29">(L12+K12)*$M$4</f>
        <v>0</v>
      </c>
      <c r="N12" s="179">
        <f t="shared" ref="N12" si="30">(L12+K12+M12)*$N$4</f>
        <v>0</v>
      </c>
      <c r="O12" s="179">
        <f>(K12+L12+M12+N12)*$O$4</f>
        <v>0</v>
      </c>
      <c r="P12" s="178">
        <f t="shared" ref="P12" si="31">SUM(K12:O12)</f>
        <v>0</v>
      </c>
      <c r="Q12" s="178">
        <f>(P12-O12)*$Q$4</f>
        <v>0</v>
      </c>
      <c r="R12" s="178">
        <f t="shared" ref="R12" si="32">SUM(P12:Q12)</f>
        <v>0</v>
      </c>
      <c r="S12" s="178">
        <f t="shared" si="3"/>
        <v>0</v>
      </c>
      <c r="T12" s="178">
        <f t="shared" si="4"/>
        <v>0</v>
      </c>
      <c r="U12" s="180">
        <f t="shared" si="5"/>
        <v>0</v>
      </c>
      <c r="W12" s="181"/>
      <c r="X12" s="179"/>
      <c r="Y12" s="178">
        <f t="shared" si="13"/>
        <v>0</v>
      </c>
      <c r="Z12" s="179">
        <f t="shared" ref="Z12" si="33">(Y12*$Z$4)</f>
        <v>0</v>
      </c>
      <c r="AA12" s="179">
        <f t="shared" ref="AA12" si="34">(Y12+Z12)*$AA$4</f>
        <v>0</v>
      </c>
      <c r="AB12" s="179"/>
      <c r="AC12" s="178">
        <f t="shared" ref="AC12" si="35">SUM(Y12:AB12)</f>
        <v>0</v>
      </c>
      <c r="AD12" s="178">
        <f t="shared" ref="AD12" si="36">$AD$4*(AA12+Y12+Z12)</f>
        <v>0</v>
      </c>
      <c r="AE12" s="178">
        <f t="shared" ref="AE12" si="37">SUM(AC12:AD12)</f>
        <v>0</v>
      </c>
      <c r="AF12" s="178">
        <f t="shared" ref="AF12" si="38">AC12*W12</f>
        <v>0</v>
      </c>
      <c r="AG12" s="178">
        <f t="shared" ref="AG12" si="39">AD12*W12</f>
        <v>0</v>
      </c>
      <c r="AH12" s="178">
        <f t="shared" ref="AH12" si="40">AE12*W12</f>
        <v>0</v>
      </c>
      <c r="AI12" s="189"/>
      <c r="AJ12" s="177"/>
      <c r="AK12" s="182"/>
      <c r="AM12" s="183" t="str">
        <f t="shared" si="6"/>
        <v/>
      </c>
      <c r="AN12" s="184" t="str">
        <f t="shared" si="7"/>
        <v/>
      </c>
      <c r="AO12" s="180">
        <f t="shared" ref="AO12" si="41">SUM(AM12:AN12)</f>
        <v>0</v>
      </c>
    </row>
    <row r="13" spans="1:41" x14ac:dyDescent="0.25">
      <c r="A13" s="496" t="s">
        <v>76</v>
      </c>
      <c r="B13" s="279" t="s">
        <v>104</v>
      </c>
      <c r="C13" s="109" t="s">
        <v>105</v>
      </c>
      <c r="D13" s="109" t="s">
        <v>184</v>
      </c>
      <c r="E13" s="109" t="s">
        <v>91</v>
      </c>
      <c r="F13" s="38">
        <v>14976</v>
      </c>
      <c r="G13" s="38">
        <f t="shared" si="0"/>
        <v>0</v>
      </c>
      <c r="H13" s="39">
        <f t="shared" si="8"/>
        <v>14976</v>
      </c>
      <c r="I13" s="107"/>
      <c r="J13" s="121"/>
      <c r="K13" s="122">
        <f>'Ordering Period 1'!M13+('Ordering Period 1'!M13*Escalation!$D$2)</f>
        <v>0</v>
      </c>
      <c r="L13" s="123">
        <f t="shared" si="1"/>
        <v>0</v>
      </c>
      <c r="M13" s="123">
        <f t="shared" si="2"/>
        <v>0</v>
      </c>
      <c r="N13" s="123">
        <f t="shared" si="9"/>
        <v>0</v>
      </c>
      <c r="O13" s="123">
        <f t="shared" si="10"/>
        <v>0</v>
      </c>
      <c r="P13" s="122">
        <f t="shared" si="11"/>
        <v>0</v>
      </c>
      <c r="Q13" s="122">
        <f t="shared" si="22"/>
        <v>0</v>
      </c>
      <c r="R13" s="122">
        <f t="shared" si="12"/>
        <v>0</v>
      </c>
      <c r="S13" s="122">
        <f t="shared" si="3"/>
        <v>0</v>
      </c>
      <c r="T13" s="122">
        <f t="shared" si="4"/>
        <v>0</v>
      </c>
      <c r="U13" s="124">
        <f t="shared" si="5"/>
        <v>0</v>
      </c>
      <c r="W13" s="121"/>
      <c r="X13" s="123"/>
      <c r="Y13" s="122">
        <f t="shared" si="13"/>
        <v>0</v>
      </c>
      <c r="Z13" s="123">
        <f t="shared" si="14"/>
        <v>0</v>
      </c>
      <c r="AA13" s="123">
        <f t="shared" si="15"/>
        <v>0</v>
      </c>
      <c r="AB13" s="123"/>
      <c r="AC13" s="122">
        <f t="shared" si="16"/>
        <v>0</v>
      </c>
      <c r="AD13" s="122">
        <f t="shared" si="17"/>
        <v>0</v>
      </c>
      <c r="AE13" s="122">
        <f t="shared" si="18"/>
        <v>0</v>
      </c>
      <c r="AF13" s="122">
        <f t="shared" si="19"/>
        <v>0</v>
      </c>
      <c r="AG13" s="122">
        <f t="shared" si="20"/>
        <v>0</v>
      </c>
      <c r="AH13" s="122">
        <f t="shared" si="21"/>
        <v>0</v>
      </c>
      <c r="AI13" s="159"/>
      <c r="AJ13" s="126"/>
      <c r="AK13" s="127"/>
      <c r="AM13" s="140" t="str">
        <f t="shared" si="6"/>
        <v/>
      </c>
      <c r="AN13" s="125" t="str">
        <f t="shared" si="7"/>
        <v/>
      </c>
      <c r="AO13" s="124">
        <f t="shared" si="23"/>
        <v>0</v>
      </c>
    </row>
    <row r="14" spans="1:41" ht="15.75" thickBot="1" x14ac:dyDescent="0.3">
      <c r="A14" s="498"/>
      <c r="B14" s="282" t="s">
        <v>106</v>
      </c>
      <c r="C14" s="147" t="s">
        <v>107</v>
      </c>
      <c r="D14" s="147" t="s">
        <v>185</v>
      </c>
      <c r="E14" s="147" t="s">
        <v>91</v>
      </c>
      <c r="F14" s="148">
        <v>124084</v>
      </c>
      <c r="G14" s="148">
        <f t="shared" si="0"/>
        <v>0</v>
      </c>
      <c r="H14" s="149">
        <f t="shared" si="8"/>
        <v>124084</v>
      </c>
      <c r="I14" s="107"/>
      <c r="J14" s="176"/>
      <c r="K14" s="178">
        <f>'Ordering Period 1'!M14+('Ordering Period 1'!M14*Escalation!$D$2)</f>
        <v>0</v>
      </c>
      <c r="L14" s="179">
        <f t="shared" si="1"/>
        <v>0</v>
      </c>
      <c r="M14" s="179">
        <f t="shared" si="2"/>
        <v>0</v>
      </c>
      <c r="N14" s="179">
        <f t="shared" si="9"/>
        <v>0</v>
      </c>
      <c r="O14" s="179">
        <f t="shared" si="10"/>
        <v>0</v>
      </c>
      <c r="P14" s="178">
        <f t="shared" si="11"/>
        <v>0</v>
      </c>
      <c r="Q14" s="178">
        <f t="shared" si="22"/>
        <v>0</v>
      </c>
      <c r="R14" s="178">
        <f t="shared" ref="R14" si="42">SUM(P14:Q14)</f>
        <v>0</v>
      </c>
      <c r="S14" s="178">
        <f t="shared" si="3"/>
        <v>0</v>
      </c>
      <c r="T14" s="178">
        <f t="shared" si="4"/>
        <v>0</v>
      </c>
      <c r="U14" s="180">
        <f t="shared" si="5"/>
        <v>0</v>
      </c>
      <c r="W14" s="181"/>
      <c r="X14" s="179"/>
      <c r="Y14" s="178">
        <f t="shared" si="13"/>
        <v>0</v>
      </c>
      <c r="Z14" s="179">
        <f t="shared" si="14"/>
        <v>0</v>
      </c>
      <c r="AA14" s="179">
        <f t="shared" si="15"/>
        <v>0</v>
      </c>
      <c r="AB14" s="179"/>
      <c r="AC14" s="178">
        <f t="shared" si="16"/>
        <v>0</v>
      </c>
      <c r="AD14" s="178">
        <f t="shared" si="17"/>
        <v>0</v>
      </c>
      <c r="AE14" s="178">
        <f t="shared" si="18"/>
        <v>0</v>
      </c>
      <c r="AF14" s="178">
        <f t="shared" si="19"/>
        <v>0</v>
      </c>
      <c r="AG14" s="178">
        <f t="shared" si="20"/>
        <v>0</v>
      </c>
      <c r="AH14" s="178">
        <f t="shared" si="21"/>
        <v>0</v>
      </c>
      <c r="AI14" s="189"/>
      <c r="AJ14" s="177"/>
      <c r="AK14" s="182"/>
      <c r="AM14" s="183" t="str">
        <f t="shared" si="6"/>
        <v/>
      </c>
      <c r="AN14" s="184" t="str">
        <f t="shared" si="7"/>
        <v/>
      </c>
      <c r="AO14" s="180">
        <f t="shared" si="23"/>
        <v>0</v>
      </c>
    </row>
    <row r="15" spans="1:41" x14ac:dyDescent="0.25">
      <c r="A15" s="496" t="s">
        <v>77</v>
      </c>
      <c r="B15" s="281" t="s">
        <v>108</v>
      </c>
      <c r="C15" s="197" t="s">
        <v>95</v>
      </c>
      <c r="D15" s="197" t="s">
        <v>179</v>
      </c>
      <c r="E15" s="197" t="s">
        <v>91</v>
      </c>
      <c r="F15" s="198">
        <v>146269</v>
      </c>
      <c r="G15" s="198">
        <f t="shared" si="0"/>
        <v>0</v>
      </c>
      <c r="H15" s="199">
        <f t="shared" si="8"/>
        <v>146269</v>
      </c>
      <c r="I15" s="107"/>
      <c r="J15" s="121"/>
      <c r="K15" s="122">
        <f>'Ordering Period 1'!M15+('Ordering Period 1'!M15*Escalation!$D$2)</f>
        <v>0</v>
      </c>
      <c r="L15" s="123">
        <f t="shared" si="1"/>
        <v>0</v>
      </c>
      <c r="M15" s="123">
        <f t="shared" si="2"/>
        <v>0</v>
      </c>
      <c r="N15" s="123">
        <f t="shared" si="9"/>
        <v>0</v>
      </c>
      <c r="O15" s="123">
        <f>(K15+L15+M15+N15)*$O$4</f>
        <v>0</v>
      </c>
      <c r="P15" s="122">
        <f t="shared" si="11"/>
        <v>0</v>
      </c>
      <c r="Q15" s="122">
        <f t="shared" si="22"/>
        <v>0</v>
      </c>
      <c r="R15" s="122">
        <f>SUM(P15:Q15)</f>
        <v>0</v>
      </c>
      <c r="S15" s="122">
        <f t="shared" si="3"/>
        <v>0</v>
      </c>
      <c r="T15" s="122">
        <f t="shared" si="4"/>
        <v>0</v>
      </c>
      <c r="U15" s="124">
        <f t="shared" si="5"/>
        <v>0</v>
      </c>
      <c r="W15" s="3"/>
      <c r="X15" s="4"/>
      <c r="Y15" s="40">
        <f t="shared" si="13"/>
        <v>0</v>
      </c>
      <c r="Z15" s="4">
        <f t="shared" si="14"/>
        <v>0</v>
      </c>
      <c r="AA15" s="4">
        <f t="shared" si="15"/>
        <v>0</v>
      </c>
      <c r="AB15" s="4"/>
      <c r="AC15" s="40">
        <f t="shared" si="16"/>
        <v>0</v>
      </c>
      <c r="AD15" s="40">
        <f t="shared" si="17"/>
        <v>0</v>
      </c>
      <c r="AE15" s="40">
        <f t="shared" si="18"/>
        <v>0</v>
      </c>
      <c r="AF15" s="40">
        <f t="shared" si="19"/>
        <v>0</v>
      </c>
      <c r="AG15" s="40">
        <f t="shared" si="20"/>
        <v>0</v>
      </c>
      <c r="AH15" s="40">
        <f t="shared" si="21"/>
        <v>0</v>
      </c>
      <c r="AI15" s="160"/>
      <c r="AJ15" s="213"/>
      <c r="AK15" s="6"/>
      <c r="AM15" s="140" t="str">
        <f t="shared" si="6"/>
        <v/>
      </c>
      <c r="AN15" s="125" t="str">
        <f t="shared" si="7"/>
        <v/>
      </c>
      <c r="AO15" s="124">
        <f t="shared" si="23"/>
        <v>0</v>
      </c>
    </row>
    <row r="16" spans="1:41" x14ac:dyDescent="0.25">
      <c r="A16" s="497"/>
      <c r="B16" s="280" t="s">
        <v>109</v>
      </c>
      <c r="C16" s="108" t="s">
        <v>110</v>
      </c>
      <c r="D16" s="108" t="s">
        <v>186</v>
      </c>
      <c r="E16" s="108" t="s">
        <v>91</v>
      </c>
      <c r="F16" s="42">
        <v>14976</v>
      </c>
      <c r="G16" s="42">
        <f t="shared" si="0"/>
        <v>0</v>
      </c>
      <c r="H16" s="43">
        <f>F16-G16</f>
        <v>14976</v>
      </c>
      <c r="I16" s="107"/>
      <c r="J16" s="3"/>
      <c r="K16" s="44">
        <f>'Ordering Period 1'!M16+('Ordering Period 1'!M16*Escalation!$D$2)</f>
        <v>0</v>
      </c>
      <c r="L16" s="5">
        <f>(K16*$L$4)</f>
        <v>0</v>
      </c>
      <c r="M16" s="5">
        <f>(L16+K16)*$M$4</f>
        <v>0</v>
      </c>
      <c r="N16" s="5">
        <f>(L16+K16+M16)*$N$4</f>
        <v>0</v>
      </c>
      <c r="O16" s="5">
        <f>(K16+L16+M16+N16)*$O$4</f>
        <v>0</v>
      </c>
      <c r="P16" s="44">
        <f>SUM(K16:O16)</f>
        <v>0</v>
      </c>
      <c r="Q16" s="44">
        <f>(P16-O16)*$Q$4</f>
        <v>0</v>
      </c>
      <c r="R16" s="44">
        <f>SUM(P16:Q16)</f>
        <v>0</v>
      </c>
      <c r="S16" s="44">
        <f t="shared" si="3"/>
        <v>0</v>
      </c>
      <c r="T16" s="44">
        <f t="shared" si="4"/>
        <v>0</v>
      </c>
      <c r="U16" s="128">
        <f t="shared" si="5"/>
        <v>0</v>
      </c>
      <c r="W16" s="161"/>
      <c r="X16" s="5"/>
      <c r="Y16" s="44">
        <f>IF($W16&gt;0,$X16,0)</f>
        <v>0</v>
      </c>
      <c r="Z16" s="5">
        <f>(Y16*$Z$4)</f>
        <v>0</v>
      </c>
      <c r="AA16" s="5">
        <f>(Y16+Z16)*$AA$4</f>
        <v>0</v>
      </c>
      <c r="AB16" s="5"/>
      <c r="AC16" s="44">
        <f>SUM(Y16:AB16)</f>
        <v>0</v>
      </c>
      <c r="AD16" s="44">
        <f>$AD$4*(AA16+Y16+Z16)</f>
        <v>0</v>
      </c>
      <c r="AE16" s="44">
        <f>SUM(AC16:AD16)</f>
        <v>0</v>
      </c>
      <c r="AF16" s="44">
        <f>AC16*W16</f>
        <v>0</v>
      </c>
      <c r="AG16" s="44">
        <f>AD16*W16</f>
        <v>0</v>
      </c>
      <c r="AH16" s="44">
        <f>AE16*W16</f>
        <v>0</v>
      </c>
      <c r="AI16" s="160"/>
      <c r="AJ16" s="7"/>
      <c r="AK16" s="8"/>
      <c r="AM16" s="162" t="str">
        <f t="shared" si="6"/>
        <v/>
      </c>
      <c r="AN16" s="45" t="str">
        <f t="shared" si="7"/>
        <v/>
      </c>
      <c r="AO16" s="128">
        <f>SUM(AM16:AN16)</f>
        <v>0</v>
      </c>
    </row>
    <row r="17" spans="1:41" x14ac:dyDescent="0.25">
      <c r="A17" s="497"/>
      <c r="B17" s="280" t="s">
        <v>111</v>
      </c>
      <c r="C17" s="108" t="s">
        <v>99</v>
      </c>
      <c r="D17" s="108" t="s">
        <v>181</v>
      </c>
      <c r="E17" s="108" t="s">
        <v>91</v>
      </c>
      <c r="F17" s="42">
        <v>4236</v>
      </c>
      <c r="G17" s="42">
        <f t="shared" si="0"/>
        <v>0</v>
      </c>
      <c r="H17" s="43">
        <f t="shared" si="8"/>
        <v>4236</v>
      </c>
      <c r="I17" s="107"/>
      <c r="J17" s="3"/>
      <c r="K17" s="44">
        <f>'Ordering Period 1'!M17+('Ordering Period 1'!M17*Escalation!$D$2)</f>
        <v>0</v>
      </c>
      <c r="L17" s="5">
        <f t="shared" si="1"/>
        <v>0</v>
      </c>
      <c r="M17" s="5">
        <f t="shared" si="2"/>
        <v>0</v>
      </c>
      <c r="N17" s="5">
        <f t="shared" si="9"/>
        <v>0</v>
      </c>
      <c r="O17" s="5">
        <f t="shared" si="10"/>
        <v>0</v>
      </c>
      <c r="P17" s="44">
        <f t="shared" si="11"/>
        <v>0</v>
      </c>
      <c r="Q17" s="44">
        <f t="shared" si="22"/>
        <v>0</v>
      </c>
      <c r="R17" s="44">
        <f>SUM(P17:Q17)</f>
        <v>0</v>
      </c>
      <c r="S17" s="44">
        <f t="shared" si="3"/>
        <v>0</v>
      </c>
      <c r="T17" s="44">
        <f t="shared" si="4"/>
        <v>0</v>
      </c>
      <c r="U17" s="128">
        <f t="shared" si="5"/>
        <v>0</v>
      </c>
      <c r="W17" s="161"/>
      <c r="X17" s="5"/>
      <c r="Y17" s="44">
        <f t="shared" si="13"/>
        <v>0</v>
      </c>
      <c r="Z17" s="5">
        <f t="shared" si="14"/>
        <v>0</v>
      </c>
      <c r="AA17" s="5">
        <f t="shared" si="15"/>
        <v>0</v>
      </c>
      <c r="AB17" s="5"/>
      <c r="AC17" s="44">
        <f t="shared" si="16"/>
        <v>0</v>
      </c>
      <c r="AD17" s="44">
        <f t="shared" si="17"/>
        <v>0</v>
      </c>
      <c r="AE17" s="44">
        <f t="shared" si="18"/>
        <v>0</v>
      </c>
      <c r="AF17" s="44">
        <f t="shared" si="19"/>
        <v>0</v>
      </c>
      <c r="AG17" s="44">
        <f t="shared" si="20"/>
        <v>0</v>
      </c>
      <c r="AH17" s="44">
        <f t="shared" si="21"/>
        <v>0</v>
      </c>
      <c r="AI17" s="160"/>
      <c r="AJ17" s="7"/>
      <c r="AK17" s="8"/>
      <c r="AM17" s="162" t="str">
        <f t="shared" si="6"/>
        <v/>
      </c>
      <c r="AN17" s="45" t="str">
        <f t="shared" si="7"/>
        <v/>
      </c>
      <c r="AO17" s="128">
        <f t="shared" si="23"/>
        <v>0</v>
      </c>
    </row>
    <row r="18" spans="1:41" x14ac:dyDescent="0.25">
      <c r="A18" s="497"/>
      <c r="B18" s="280" t="s">
        <v>112</v>
      </c>
      <c r="C18" s="108" t="s">
        <v>113</v>
      </c>
      <c r="D18" s="108" t="s">
        <v>187</v>
      </c>
      <c r="E18" s="108" t="s">
        <v>91</v>
      </c>
      <c r="F18" s="42">
        <v>29951</v>
      </c>
      <c r="G18" s="42">
        <f t="shared" si="0"/>
        <v>0</v>
      </c>
      <c r="H18" s="43">
        <f t="shared" si="8"/>
        <v>29951</v>
      </c>
      <c r="I18" s="107"/>
      <c r="J18" s="3"/>
      <c r="K18" s="44">
        <f>'Ordering Period 1'!M18+('Ordering Period 1'!M18*Escalation!$D$2)</f>
        <v>0</v>
      </c>
      <c r="L18" s="5">
        <f t="shared" si="1"/>
        <v>0</v>
      </c>
      <c r="M18" s="5">
        <f t="shared" si="2"/>
        <v>0</v>
      </c>
      <c r="N18" s="5">
        <f t="shared" si="9"/>
        <v>0</v>
      </c>
      <c r="O18" s="5">
        <f t="shared" si="10"/>
        <v>0</v>
      </c>
      <c r="P18" s="44">
        <f t="shared" si="11"/>
        <v>0</v>
      </c>
      <c r="Q18" s="44">
        <f t="shared" si="22"/>
        <v>0</v>
      </c>
      <c r="R18" s="44">
        <f t="shared" ref="R18:R43" si="43">SUM(P18:Q18)</f>
        <v>0</v>
      </c>
      <c r="S18" s="44">
        <f t="shared" si="3"/>
        <v>0</v>
      </c>
      <c r="T18" s="44">
        <f t="shared" si="4"/>
        <v>0</v>
      </c>
      <c r="U18" s="128">
        <f t="shared" si="5"/>
        <v>0</v>
      </c>
      <c r="W18" s="161"/>
      <c r="X18" s="5"/>
      <c r="Y18" s="44">
        <f t="shared" si="13"/>
        <v>0</v>
      </c>
      <c r="Z18" s="5">
        <f t="shared" si="14"/>
        <v>0</v>
      </c>
      <c r="AA18" s="5">
        <f t="shared" si="15"/>
        <v>0</v>
      </c>
      <c r="AB18" s="5"/>
      <c r="AC18" s="44">
        <f t="shared" si="16"/>
        <v>0</v>
      </c>
      <c r="AD18" s="44">
        <f t="shared" si="17"/>
        <v>0</v>
      </c>
      <c r="AE18" s="44">
        <f t="shared" si="18"/>
        <v>0</v>
      </c>
      <c r="AF18" s="44">
        <f t="shared" si="19"/>
        <v>0</v>
      </c>
      <c r="AG18" s="44">
        <f t="shared" si="20"/>
        <v>0</v>
      </c>
      <c r="AH18" s="44">
        <f t="shared" si="21"/>
        <v>0</v>
      </c>
      <c r="AI18" s="160"/>
      <c r="AJ18" s="7"/>
      <c r="AK18" s="8"/>
      <c r="AM18" s="162" t="str">
        <f t="shared" si="6"/>
        <v/>
      </c>
      <c r="AN18" s="45" t="str">
        <f t="shared" si="7"/>
        <v/>
      </c>
      <c r="AO18" s="128">
        <f t="shared" si="23"/>
        <v>0</v>
      </c>
    </row>
    <row r="19" spans="1:41" ht="15.75" thickBot="1" x14ac:dyDescent="0.3">
      <c r="A19" s="498"/>
      <c r="B19" s="280" t="s">
        <v>114</v>
      </c>
      <c r="C19" s="108" t="s">
        <v>103</v>
      </c>
      <c r="D19" s="108" t="s">
        <v>183</v>
      </c>
      <c r="E19" s="108" t="s">
        <v>91</v>
      </c>
      <c r="F19" s="42">
        <v>13093</v>
      </c>
      <c r="G19" s="42">
        <f t="shared" si="0"/>
        <v>0</v>
      </c>
      <c r="H19" s="43">
        <f>F19-G19</f>
        <v>13093</v>
      </c>
      <c r="I19" s="107"/>
      <c r="J19" s="176"/>
      <c r="K19" s="178">
        <f>'Ordering Period 1'!M19+('Ordering Period 1'!M19*Escalation!$D$2)</f>
        <v>0</v>
      </c>
      <c r="L19" s="179">
        <f t="shared" si="1"/>
        <v>0</v>
      </c>
      <c r="M19" s="179">
        <f t="shared" si="2"/>
        <v>0</v>
      </c>
      <c r="N19" s="179">
        <f t="shared" si="9"/>
        <v>0</v>
      </c>
      <c r="O19" s="179">
        <f>(K19+L19+M19+N19)*$O$4</f>
        <v>0</v>
      </c>
      <c r="P19" s="178">
        <f t="shared" si="11"/>
        <v>0</v>
      </c>
      <c r="Q19" s="178">
        <f>(P19-O19)*$Q$4</f>
        <v>0</v>
      </c>
      <c r="R19" s="178">
        <f t="shared" si="43"/>
        <v>0</v>
      </c>
      <c r="S19" s="178">
        <f t="shared" si="3"/>
        <v>0</v>
      </c>
      <c r="T19" s="178">
        <f t="shared" si="4"/>
        <v>0</v>
      </c>
      <c r="U19" s="180">
        <f t="shared" si="5"/>
        <v>0</v>
      </c>
      <c r="W19" s="181"/>
      <c r="X19" s="179"/>
      <c r="Y19" s="178">
        <f t="shared" si="13"/>
        <v>0</v>
      </c>
      <c r="Z19" s="179">
        <f t="shared" si="14"/>
        <v>0</v>
      </c>
      <c r="AA19" s="179">
        <f t="shared" si="15"/>
        <v>0</v>
      </c>
      <c r="AB19" s="179"/>
      <c r="AC19" s="178">
        <f t="shared" si="16"/>
        <v>0</v>
      </c>
      <c r="AD19" s="178">
        <f t="shared" si="17"/>
        <v>0</v>
      </c>
      <c r="AE19" s="178">
        <f t="shared" si="18"/>
        <v>0</v>
      </c>
      <c r="AF19" s="178">
        <f t="shared" si="19"/>
        <v>0</v>
      </c>
      <c r="AG19" s="178">
        <f t="shared" si="20"/>
        <v>0</v>
      </c>
      <c r="AH19" s="178">
        <f t="shared" si="21"/>
        <v>0</v>
      </c>
      <c r="AI19" s="189"/>
      <c r="AJ19" s="177"/>
      <c r="AK19" s="182"/>
      <c r="AM19" s="183" t="str">
        <f t="shared" si="6"/>
        <v/>
      </c>
      <c r="AN19" s="184" t="str">
        <f t="shared" si="7"/>
        <v/>
      </c>
      <c r="AO19" s="180">
        <f t="shared" si="23"/>
        <v>0</v>
      </c>
    </row>
    <row r="20" spans="1:41" ht="15.75" thickBot="1" x14ac:dyDescent="0.3">
      <c r="A20" s="66" t="s">
        <v>188</v>
      </c>
      <c r="B20" s="278"/>
      <c r="C20" s="200"/>
      <c r="D20" s="200"/>
      <c r="E20" s="200"/>
      <c r="F20" s="201"/>
      <c r="G20" s="201"/>
      <c r="H20" s="202"/>
      <c r="I20" s="46"/>
      <c r="J20" s="443"/>
      <c r="K20" s="445"/>
      <c r="L20" s="208"/>
      <c r="M20" s="208"/>
      <c r="N20" s="208"/>
      <c r="O20" s="208"/>
      <c r="P20" s="208"/>
      <c r="Q20" s="208"/>
      <c r="R20" s="208"/>
      <c r="S20" s="208"/>
      <c r="T20" s="208"/>
      <c r="U20" s="209"/>
      <c r="W20" s="446"/>
      <c r="X20" s="244"/>
      <c r="Y20" s="244"/>
      <c r="Z20" s="244"/>
      <c r="AA20" s="244"/>
      <c r="AB20" s="244"/>
      <c r="AC20" s="244"/>
      <c r="AD20" s="244"/>
      <c r="AE20" s="244"/>
      <c r="AF20" s="244"/>
      <c r="AG20" s="244"/>
      <c r="AH20" s="244"/>
      <c r="AI20" s="447"/>
      <c r="AJ20" s="447"/>
      <c r="AK20" s="448"/>
      <c r="AM20" s="346"/>
      <c r="AN20" s="347"/>
      <c r="AO20" s="348"/>
    </row>
    <row r="21" spans="1:41" ht="15.75" thickBot="1" x14ac:dyDescent="0.3">
      <c r="A21" s="297" t="s">
        <v>73</v>
      </c>
      <c r="B21" s="283" t="s">
        <v>92</v>
      </c>
      <c r="C21" s="284" t="s">
        <v>93</v>
      </c>
      <c r="D21" s="284" t="s">
        <v>178</v>
      </c>
      <c r="E21" s="284" t="s">
        <v>189</v>
      </c>
      <c r="F21" s="285">
        <v>4792</v>
      </c>
      <c r="G21" s="285">
        <f t="shared" ref="G21:G34" si="44">SUM(J21,W21)</f>
        <v>0</v>
      </c>
      <c r="H21" s="286">
        <f>F21-G21</f>
        <v>4792</v>
      </c>
      <c r="I21" s="107"/>
      <c r="J21" s="205"/>
      <c r="K21" s="316">
        <f>'Ordering Period 1'!M21+('Ordering Period 1'!M21*Escalation!$D$2)</f>
        <v>0</v>
      </c>
      <c r="L21" s="341">
        <f t="shared" ref="L21:L34" si="45">(K21*$L$4)</f>
        <v>0</v>
      </c>
      <c r="M21" s="341">
        <f t="shared" ref="M21:M34" si="46">(L21+K21)*$M$4</f>
        <v>0</v>
      </c>
      <c r="N21" s="341">
        <f t="shared" ref="N21:N34" si="47">(L21+K21+M21)*$N$4</f>
        <v>0</v>
      </c>
      <c r="O21" s="341">
        <f t="shared" ref="O21:O34" si="48">(K21+L21+M21+N21)*$O$4</f>
        <v>0</v>
      </c>
      <c r="P21" s="316">
        <f t="shared" ref="P21:P34" si="49">SUM(K21:O21)</f>
        <v>0</v>
      </c>
      <c r="Q21" s="316">
        <f t="shared" ref="Q21:Q34" si="50">(P21-O21)*$Q$4</f>
        <v>0</v>
      </c>
      <c r="R21" s="316">
        <f>SUM(P21:Q21)</f>
        <v>0</v>
      </c>
      <c r="S21" s="316">
        <f t="shared" ref="S21:S34" si="51">P21*J21</f>
        <v>0</v>
      </c>
      <c r="T21" s="316">
        <f t="shared" ref="T21:T34" si="52">Q21*J21</f>
        <v>0</v>
      </c>
      <c r="U21" s="317">
        <f t="shared" ref="U21:U34" si="53">R21*J21</f>
        <v>0</v>
      </c>
      <c r="W21" s="205"/>
      <c r="X21" s="341"/>
      <c r="Y21" s="316">
        <f>IF($W21&gt;0,$X21,0)</f>
        <v>0</v>
      </c>
      <c r="Z21" s="341">
        <f t="shared" ref="Z21:Z34" si="54">(Y21*$Z$4)</f>
        <v>0</v>
      </c>
      <c r="AA21" s="341">
        <f t="shared" ref="AA21:AA34" si="55">(Y21+Z21)*$AA$4</f>
        <v>0</v>
      </c>
      <c r="AB21" s="341"/>
      <c r="AC21" s="316">
        <f t="shared" ref="AC21:AC34" si="56">SUM(Y21:AB21)</f>
        <v>0</v>
      </c>
      <c r="AD21" s="316">
        <f t="shared" ref="AD21:AD43" si="57">$AD$4*(AA21+Y21+Z21)</f>
        <v>0</v>
      </c>
      <c r="AE21" s="316">
        <f t="shared" ref="AE21:AE34" si="58">SUM(AC21:AD21)</f>
        <v>0</v>
      </c>
      <c r="AF21" s="316">
        <f t="shared" ref="AF21:AF33" si="59">AC21*W21</f>
        <v>0</v>
      </c>
      <c r="AG21" s="316">
        <f t="shared" ref="AG21:AG34" si="60">AD21*W21</f>
        <v>0</v>
      </c>
      <c r="AH21" s="317">
        <f t="shared" ref="AH21:AH34" si="61">AE21*W21</f>
        <v>0</v>
      </c>
      <c r="AI21" s="210"/>
      <c r="AJ21" s="344"/>
      <c r="AK21" s="345"/>
      <c r="AM21" s="339" t="str">
        <f t="shared" ref="AM21:AM34" si="62">IFERROR(SUM(S21,AF21)/G21,"")</f>
        <v/>
      </c>
      <c r="AN21" s="340" t="str">
        <f t="shared" ref="AN21:AN34" si="63">IFERROR(SUM(T21,AG21)/G21,"")</f>
        <v/>
      </c>
      <c r="AO21" s="291">
        <f t="shared" ref="AO21:AO34" si="64">SUM(AM21:AN21)</f>
        <v>0</v>
      </c>
    </row>
    <row r="22" spans="1:41" ht="15.75" thickBot="1" x14ac:dyDescent="0.3">
      <c r="A22" s="297" t="s">
        <v>74</v>
      </c>
      <c r="B22" s="283" t="s">
        <v>94</v>
      </c>
      <c r="C22" s="284" t="s">
        <v>95</v>
      </c>
      <c r="D22" s="284" t="s">
        <v>179</v>
      </c>
      <c r="E22" s="284" t="s">
        <v>189</v>
      </c>
      <c r="F22" s="285">
        <v>10809</v>
      </c>
      <c r="G22" s="285">
        <f t="shared" si="44"/>
        <v>0</v>
      </c>
      <c r="H22" s="286">
        <f t="shared" ref="H22:H34" si="65">F22-G22</f>
        <v>10809</v>
      </c>
      <c r="I22" s="107"/>
      <c r="J22" s="288"/>
      <c r="K22" s="290">
        <f>'Ordering Period 1'!M22+('Ordering Period 1'!M22*Escalation!$D$2)</f>
        <v>0</v>
      </c>
      <c r="L22" s="334">
        <f t="shared" si="45"/>
        <v>0</v>
      </c>
      <c r="M22" s="334">
        <f t="shared" si="46"/>
        <v>0</v>
      </c>
      <c r="N22" s="334">
        <f t="shared" si="47"/>
        <v>0</v>
      </c>
      <c r="O22" s="334">
        <f>(K22+L22+M22+N22)*$O$4</f>
        <v>0</v>
      </c>
      <c r="P22" s="290">
        <f t="shared" si="49"/>
        <v>0</v>
      </c>
      <c r="Q22" s="290">
        <f>(P22-O22)*$Q$4</f>
        <v>0</v>
      </c>
      <c r="R22" s="290">
        <f>SUM(P22:Q22)</f>
        <v>0</v>
      </c>
      <c r="S22" s="290">
        <f t="shared" si="51"/>
        <v>0</v>
      </c>
      <c r="T22" s="290">
        <f t="shared" si="52"/>
        <v>0</v>
      </c>
      <c r="U22" s="291">
        <f t="shared" si="53"/>
        <v>0</v>
      </c>
      <c r="W22" s="288"/>
      <c r="X22" s="334"/>
      <c r="Y22" s="290">
        <f t="shared" ref="Y22:Y34" si="66">IF($W22&gt;0,$X22,0)</f>
        <v>0</v>
      </c>
      <c r="Z22" s="334">
        <f t="shared" si="54"/>
        <v>0</v>
      </c>
      <c r="AA22" s="334">
        <f t="shared" si="55"/>
        <v>0</v>
      </c>
      <c r="AB22" s="334"/>
      <c r="AC22" s="290">
        <f t="shared" si="56"/>
        <v>0</v>
      </c>
      <c r="AD22" s="290">
        <f t="shared" si="57"/>
        <v>0</v>
      </c>
      <c r="AE22" s="290">
        <f t="shared" si="58"/>
        <v>0</v>
      </c>
      <c r="AF22" s="290">
        <f t="shared" si="59"/>
        <v>0</v>
      </c>
      <c r="AG22" s="290">
        <f t="shared" si="60"/>
        <v>0</v>
      </c>
      <c r="AH22" s="291">
        <f t="shared" si="61"/>
        <v>0</v>
      </c>
      <c r="AI22" s="335"/>
      <c r="AJ22" s="336"/>
      <c r="AK22" s="337"/>
      <c r="AM22" s="339" t="str">
        <f t="shared" si="62"/>
        <v/>
      </c>
      <c r="AN22" s="340" t="str">
        <f t="shared" si="63"/>
        <v/>
      </c>
      <c r="AO22" s="291">
        <f t="shared" si="64"/>
        <v>0</v>
      </c>
    </row>
    <row r="23" spans="1:41" x14ac:dyDescent="0.25">
      <c r="A23" s="496" t="s">
        <v>75</v>
      </c>
      <c r="B23" s="279" t="s">
        <v>96</v>
      </c>
      <c r="C23" s="109" t="s">
        <v>93</v>
      </c>
      <c r="D23" s="109" t="s">
        <v>178</v>
      </c>
      <c r="E23" s="109" t="s">
        <v>189</v>
      </c>
      <c r="F23" s="38">
        <v>913</v>
      </c>
      <c r="G23" s="38">
        <f t="shared" si="44"/>
        <v>0</v>
      </c>
      <c r="H23" s="39">
        <f t="shared" si="65"/>
        <v>913</v>
      </c>
      <c r="I23" s="107"/>
      <c r="J23" s="121"/>
      <c r="K23" s="122">
        <f>'Ordering Period 1'!M23+('Ordering Period 1'!M23*Escalation!$D$2)</f>
        <v>0</v>
      </c>
      <c r="L23" s="123">
        <f t="shared" si="45"/>
        <v>0</v>
      </c>
      <c r="M23" s="123">
        <f t="shared" si="46"/>
        <v>0</v>
      </c>
      <c r="N23" s="123">
        <f t="shared" si="47"/>
        <v>0</v>
      </c>
      <c r="O23" s="123">
        <f t="shared" si="48"/>
        <v>0</v>
      </c>
      <c r="P23" s="122">
        <f t="shared" si="49"/>
        <v>0</v>
      </c>
      <c r="Q23" s="122">
        <f t="shared" si="50"/>
        <v>0</v>
      </c>
      <c r="R23" s="122">
        <f t="shared" ref="R23:R34" si="67">SUM(P23:Q23)</f>
        <v>0</v>
      </c>
      <c r="S23" s="122">
        <f t="shared" si="51"/>
        <v>0</v>
      </c>
      <c r="T23" s="122">
        <f t="shared" si="52"/>
        <v>0</v>
      </c>
      <c r="U23" s="124">
        <f t="shared" si="53"/>
        <v>0</v>
      </c>
      <c r="W23" s="121"/>
      <c r="X23" s="123"/>
      <c r="Y23" s="122">
        <f t="shared" si="66"/>
        <v>0</v>
      </c>
      <c r="Z23" s="123">
        <f t="shared" si="54"/>
        <v>0</v>
      </c>
      <c r="AA23" s="123">
        <f t="shared" si="55"/>
        <v>0</v>
      </c>
      <c r="AB23" s="123"/>
      <c r="AC23" s="122">
        <f t="shared" si="56"/>
        <v>0</v>
      </c>
      <c r="AD23" s="122">
        <f t="shared" si="57"/>
        <v>0</v>
      </c>
      <c r="AE23" s="122">
        <f t="shared" si="58"/>
        <v>0</v>
      </c>
      <c r="AF23" s="122">
        <f t="shared" si="59"/>
        <v>0</v>
      </c>
      <c r="AG23" s="122">
        <f t="shared" si="60"/>
        <v>0</v>
      </c>
      <c r="AH23" s="124">
        <f t="shared" si="61"/>
        <v>0</v>
      </c>
      <c r="AI23" s="159"/>
      <c r="AJ23" s="126"/>
      <c r="AK23" s="127"/>
      <c r="AM23" s="140" t="str">
        <f t="shared" si="62"/>
        <v/>
      </c>
      <c r="AN23" s="125" t="str">
        <f t="shared" si="63"/>
        <v/>
      </c>
      <c r="AO23" s="124">
        <f t="shared" si="64"/>
        <v>0</v>
      </c>
    </row>
    <row r="24" spans="1:41" x14ac:dyDescent="0.25">
      <c r="A24" s="497"/>
      <c r="B24" s="280" t="s">
        <v>97</v>
      </c>
      <c r="C24" s="108" t="s">
        <v>75</v>
      </c>
      <c r="D24" s="108" t="s">
        <v>180</v>
      </c>
      <c r="E24" s="108" t="s">
        <v>189</v>
      </c>
      <c r="F24" s="42">
        <v>16223</v>
      </c>
      <c r="G24" s="42">
        <f t="shared" si="44"/>
        <v>0</v>
      </c>
      <c r="H24" s="43">
        <f t="shared" si="65"/>
        <v>16223</v>
      </c>
      <c r="I24" s="107"/>
      <c r="J24" s="3"/>
      <c r="K24" s="40">
        <f>'Ordering Period 1'!M24+('Ordering Period 1'!M24*Escalation!$D$2)</f>
        <v>0</v>
      </c>
      <c r="L24" s="4">
        <f t="shared" si="45"/>
        <v>0</v>
      </c>
      <c r="M24" s="4">
        <f t="shared" si="46"/>
        <v>0</v>
      </c>
      <c r="N24" s="5">
        <f t="shared" si="47"/>
        <v>0</v>
      </c>
      <c r="O24" s="5">
        <f t="shared" si="48"/>
        <v>0</v>
      </c>
      <c r="P24" s="44">
        <f t="shared" si="49"/>
        <v>0</v>
      </c>
      <c r="Q24" s="44">
        <f t="shared" si="50"/>
        <v>0</v>
      </c>
      <c r="R24" s="44">
        <f>SUM(P24:Q24)</f>
        <v>0</v>
      </c>
      <c r="S24" s="44">
        <f t="shared" si="51"/>
        <v>0</v>
      </c>
      <c r="T24" s="44">
        <f t="shared" si="52"/>
        <v>0</v>
      </c>
      <c r="U24" s="128">
        <f t="shared" si="53"/>
        <v>0</v>
      </c>
      <c r="W24" s="161"/>
      <c r="X24" s="5"/>
      <c r="Y24" s="40">
        <f>IF($W24&gt;0,$X24,0)</f>
        <v>0</v>
      </c>
      <c r="Z24" s="4">
        <f t="shared" si="54"/>
        <v>0</v>
      </c>
      <c r="AA24" s="4">
        <f t="shared" si="55"/>
        <v>0</v>
      </c>
      <c r="AB24" s="4"/>
      <c r="AC24" s="40">
        <f t="shared" si="56"/>
        <v>0</v>
      </c>
      <c r="AD24" s="40">
        <f t="shared" si="57"/>
        <v>0</v>
      </c>
      <c r="AE24" s="40">
        <f t="shared" si="58"/>
        <v>0</v>
      </c>
      <c r="AF24" s="40">
        <f t="shared" si="59"/>
        <v>0</v>
      </c>
      <c r="AG24" s="40">
        <f t="shared" si="60"/>
        <v>0</v>
      </c>
      <c r="AH24" s="41">
        <f t="shared" si="61"/>
        <v>0</v>
      </c>
      <c r="AI24" s="160"/>
      <c r="AJ24" s="7"/>
      <c r="AK24" s="8"/>
      <c r="AM24" s="162" t="str">
        <f t="shared" si="62"/>
        <v/>
      </c>
      <c r="AN24" s="45" t="str">
        <f t="shared" si="63"/>
        <v/>
      </c>
      <c r="AO24" s="128">
        <f t="shared" si="64"/>
        <v>0</v>
      </c>
    </row>
    <row r="25" spans="1:41" x14ac:dyDescent="0.25">
      <c r="A25" s="497"/>
      <c r="B25" s="281" t="s">
        <v>98</v>
      </c>
      <c r="C25" s="108" t="s">
        <v>99</v>
      </c>
      <c r="D25" s="108" t="s">
        <v>181</v>
      </c>
      <c r="E25" s="108" t="s">
        <v>189</v>
      </c>
      <c r="F25" s="42">
        <v>1252</v>
      </c>
      <c r="G25" s="42">
        <f t="shared" si="44"/>
        <v>0</v>
      </c>
      <c r="H25" s="43">
        <f t="shared" si="65"/>
        <v>1252</v>
      </c>
      <c r="I25" s="107"/>
      <c r="J25" s="3"/>
      <c r="K25" s="40">
        <f>'Ordering Period 1'!M25+('Ordering Period 1'!M25*Escalation!$D$2)</f>
        <v>0</v>
      </c>
      <c r="L25" s="4">
        <f t="shared" si="45"/>
        <v>0</v>
      </c>
      <c r="M25" s="4">
        <f t="shared" si="46"/>
        <v>0</v>
      </c>
      <c r="N25" s="5">
        <f t="shared" si="47"/>
        <v>0</v>
      </c>
      <c r="O25" s="5">
        <f t="shared" si="48"/>
        <v>0</v>
      </c>
      <c r="P25" s="44">
        <f t="shared" si="49"/>
        <v>0</v>
      </c>
      <c r="Q25" s="44">
        <f t="shared" si="50"/>
        <v>0</v>
      </c>
      <c r="R25" s="44">
        <f t="shared" si="67"/>
        <v>0</v>
      </c>
      <c r="S25" s="44">
        <f t="shared" si="51"/>
        <v>0</v>
      </c>
      <c r="T25" s="44">
        <f t="shared" si="52"/>
        <v>0</v>
      </c>
      <c r="U25" s="128">
        <f t="shared" si="53"/>
        <v>0</v>
      </c>
      <c r="W25" s="161"/>
      <c r="X25" s="5"/>
      <c r="Y25" s="40">
        <f t="shared" si="66"/>
        <v>0</v>
      </c>
      <c r="Z25" s="4">
        <f t="shared" si="54"/>
        <v>0</v>
      </c>
      <c r="AA25" s="4">
        <f t="shared" si="55"/>
        <v>0</v>
      </c>
      <c r="AB25" s="4"/>
      <c r="AC25" s="40">
        <f t="shared" si="56"/>
        <v>0</v>
      </c>
      <c r="AD25" s="40">
        <f t="shared" si="57"/>
        <v>0</v>
      </c>
      <c r="AE25" s="40">
        <f t="shared" si="58"/>
        <v>0</v>
      </c>
      <c r="AF25" s="40">
        <f t="shared" si="59"/>
        <v>0</v>
      </c>
      <c r="AG25" s="40">
        <f t="shared" si="60"/>
        <v>0</v>
      </c>
      <c r="AH25" s="41">
        <f t="shared" si="61"/>
        <v>0</v>
      </c>
      <c r="AI25" s="160"/>
      <c r="AJ25" s="7"/>
      <c r="AK25" s="8"/>
      <c r="AM25" s="162" t="str">
        <f t="shared" si="62"/>
        <v/>
      </c>
      <c r="AN25" s="45" t="str">
        <f t="shared" si="63"/>
        <v/>
      </c>
      <c r="AO25" s="128">
        <f t="shared" si="64"/>
        <v>0</v>
      </c>
    </row>
    <row r="26" spans="1:41" x14ac:dyDescent="0.25">
      <c r="A26" s="497"/>
      <c r="B26" s="280" t="s">
        <v>100</v>
      </c>
      <c r="C26" s="108" t="s">
        <v>101</v>
      </c>
      <c r="D26" s="108" t="s">
        <v>182</v>
      </c>
      <c r="E26" s="108" t="s">
        <v>189</v>
      </c>
      <c r="F26" s="42">
        <v>1426</v>
      </c>
      <c r="G26" s="42">
        <f t="shared" si="44"/>
        <v>0</v>
      </c>
      <c r="H26" s="43">
        <f t="shared" si="65"/>
        <v>1426</v>
      </c>
      <c r="I26" s="107"/>
      <c r="J26" s="3"/>
      <c r="K26" s="40">
        <f>'Ordering Period 1'!M26+('Ordering Period 1'!M26*Escalation!$D$2)</f>
        <v>0</v>
      </c>
      <c r="L26" s="4">
        <f t="shared" si="45"/>
        <v>0</v>
      </c>
      <c r="M26" s="4">
        <f t="shared" si="46"/>
        <v>0</v>
      </c>
      <c r="N26" s="5">
        <f t="shared" si="47"/>
        <v>0</v>
      </c>
      <c r="O26" s="5">
        <f t="shared" si="48"/>
        <v>0</v>
      </c>
      <c r="P26" s="44">
        <f t="shared" si="49"/>
        <v>0</v>
      </c>
      <c r="Q26" s="44">
        <f>(P26-O26)*$Q$4</f>
        <v>0</v>
      </c>
      <c r="R26" s="44">
        <f>SUM(P26:Q26)</f>
        <v>0</v>
      </c>
      <c r="S26" s="44">
        <f t="shared" si="51"/>
        <v>0</v>
      </c>
      <c r="T26" s="44">
        <f t="shared" si="52"/>
        <v>0</v>
      </c>
      <c r="U26" s="128">
        <f t="shared" si="53"/>
        <v>0</v>
      </c>
      <c r="W26" s="161"/>
      <c r="X26" s="5"/>
      <c r="Y26" s="40">
        <f t="shared" si="66"/>
        <v>0</v>
      </c>
      <c r="Z26" s="4">
        <f t="shared" si="54"/>
        <v>0</v>
      </c>
      <c r="AA26" s="4">
        <f>(Y26+Z26)*$AA$4</f>
        <v>0</v>
      </c>
      <c r="AB26" s="4"/>
      <c r="AC26" s="40">
        <f t="shared" si="56"/>
        <v>0</v>
      </c>
      <c r="AD26" s="40">
        <f t="shared" si="57"/>
        <v>0</v>
      </c>
      <c r="AE26" s="40">
        <f t="shared" si="58"/>
        <v>0</v>
      </c>
      <c r="AF26" s="40">
        <f t="shared" si="59"/>
        <v>0</v>
      </c>
      <c r="AG26" s="40">
        <f t="shared" si="60"/>
        <v>0</v>
      </c>
      <c r="AH26" s="41">
        <f t="shared" si="61"/>
        <v>0</v>
      </c>
      <c r="AI26" s="160"/>
      <c r="AJ26" s="7"/>
      <c r="AK26" s="8"/>
      <c r="AM26" s="162" t="str">
        <f t="shared" si="62"/>
        <v/>
      </c>
      <c r="AN26" s="45" t="str">
        <f t="shared" si="63"/>
        <v/>
      </c>
      <c r="AO26" s="128">
        <f t="shared" si="64"/>
        <v>0</v>
      </c>
    </row>
    <row r="27" spans="1:41" ht="15.75" thickBot="1" x14ac:dyDescent="0.3">
      <c r="A27" s="498"/>
      <c r="B27" s="282" t="s">
        <v>102</v>
      </c>
      <c r="C27" s="147" t="s">
        <v>103</v>
      </c>
      <c r="D27" s="147" t="s">
        <v>183</v>
      </c>
      <c r="E27" s="147" t="s">
        <v>189</v>
      </c>
      <c r="F27" s="148">
        <v>1940</v>
      </c>
      <c r="G27" s="148">
        <f t="shared" si="44"/>
        <v>0</v>
      </c>
      <c r="H27" s="149">
        <f t="shared" si="65"/>
        <v>1940</v>
      </c>
      <c r="I27" s="107"/>
      <c r="J27" s="176"/>
      <c r="K27" s="234">
        <f>'Ordering Period 1'!M27+('Ordering Period 1'!M27*Escalation!$D$2)</f>
        <v>0</v>
      </c>
      <c r="L27" s="342">
        <f t="shared" si="45"/>
        <v>0</v>
      </c>
      <c r="M27" s="342">
        <f t="shared" si="46"/>
        <v>0</v>
      </c>
      <c r="N27" s="179">
        <f t="shared" si="47"/>
        <v>0</v>
      </c>
      <c r="O27" s="179">
        <f t="shared" si="48"/>
        <v>0</v>
      </c>
      <c r="P27" s="178">
        <f t="shared" si="49"/>
        <v>0</v>
      </c>
      <c r="Q27" s="178">
        <f t="shared" si="50"/>
        <v>0</v>
      </c>
      <c r="R27" s="178">
        <f t="shared" si="67"/>
        <v>0</v>
      </c>
      <c r="S27" s="178">
        <f t="shared" si="51"/>
        <v>0</v>
      </c>
      <c r="T27" s="178">
        <f t="shared" si="52"/>
        <v>0</v>
      </c>
      <c r="U27" s="180">
        <f t="shared" si="53"/>
        <v>0</v>
      </c>
      <c r="W27" s="181"/>
      <c r="X27" s="179"/>
      <c r="Y27" s="234">
        <f t="shared" si="66"/>
        <v>0</v>
      </c>
      <c r="Z27" s="342">
        <f t="shared" si="54"/>
        <v>0</v>
      </c>
      <c r="AA27" s="342">
        <f t="shared" si="55"/>
        <v>0</v>
      </c>
      <c r="AB27" s="342"/>
      <c r="AC27" s="234">
        <f t="shared" si="56"/>
        <v>0</v>
      </c>
      <c r="AD27" s="234">
        <f t="shared" si="57"/>
        <v>0</v>
      </c>
      <c r="AE27" s="234">
        <f t="shared" si="58"/>
        <v>0</v>
      </c>
      <c r="AF27" s="234">
        <f t="shared" si="59"/>
        <v>0</v>
      </c>
      <c r="AG27" s="234">
        <f t="shared" si="60"/>
        <v>0</v>
      </c>
      <c r="AH27" s="343">
        <f t="shared" si="61"/>
        <v>0</v>
      </c>
      <c r="AI27" s="189"/>
      <c r="AJ27" s="177"/>
      <c r="AK27" s="182"/>
      <c r="AM27" s="211" t="str">
        <f t="shared" si="62"/>
        <v/>
      </c>
      <c r="AN27" s="212" t="str">
        <f t="shared" si="63"/>
        <v/>
      </c>
      <c r="AO27" s="206">
        <f t="shared" si="64"/>
        <v>0</v>
      </c>
    </row>
    <row r="28" spans="1:41" x14ac:dyDescent="0.25">
      <c r="A28" s="496" t="s">
        <v>76</v>
      </c>
      <c r="B28" s="279" t="s">
        <v>104</v>
      </c>
      <c r="C28" s="109" t="s">
        <v>105</v>
      </c>
      <c r="D28" s="109" t="s">
        <v>184</v>
      </c>
      <c r="E28" s="109" t="s">
        <v>189</v>
      </c>
      <c r="F28" s="38">
        <v>1248</v>
      </c>
      <c r="G28" s="38">
        <f t="shared" si="44"/>
        <v>0</v>
      </c>
      <c r="H28" s="39">
        <f t="shared" si="65"/>
        <v>1248</v>
      </c>
      <c r="I28" s="107"/>
      <c r="J28" s="121"/>
      <c r="K28" s="122">
        <f>'Ordering Period 1'!M28+('Ordering Period 1'!M28*Escalation!$D$2)</f>
        <v>0</v>
      </c>
      <c r="L28" s="123">
        <f t="shared" si="45"/>
        <v>0</v>
      </c>
      <c r="M28" s="123">
        <f t="shared" si="46"/>
        <v>0</v>
      </c>
      <c r="N28" s="123">
        <f t="shared" si="47"/>
        <v>0</v>
      </c>
      <c r="O28" s="123">
        <f t="shared" si="48"/>
        <v>0</v>
      </c>
      <c r="P28" s="122">
        <f t="shared" si="49"/>
        <v>0</v>
      </c>
      <c r="Q28" s="122">
        <f t="shared" si="50"/>
        <v>0</v>
      </c>
      <c r="R28" s="122">
        <f t="shared" ref="R28" si="68">SUM(P28:Q28)</f>
        <v>0</v>
      </c>
      <c r="S28" s="122">
        <f t="shared" si="51"/>
        <v>0</v>
      </c>
      <c r="T28" s="122">
        <f t="shared" si="52"/>
        <v>0</v>
      </c>
      <c r="U28" s="124">
        <f t="shared" si="53"/>
        <v>0</v>
      </c>
      <c r="W28" s="121"/>
      <c r="X28" s="123"/>
      <c r="Y28" s="122">
        <f t="shared" si="66"/>
        <v>0</v>
      </c>
      <c r="Z28" s="123">
        <f t="shared" si="54"/>
        <v>0</v>
      </c>
      <c r="AA28" s="123">
        <f t="shared" si="55"/>
        <v>0</v>
      </c>
      <c r="AB28" s="123"/>
      <c r="AC28" s="122">
        <f t="shared" si="56"/>
        <v>0</v>
      </c>
      <c r="AD28" s="122">
        <f t="shared" si="57"/>
        <v>0</v>
      </c>
      <c r="AE28" s="122">
        <f t="shared" si="58"/>
        <v>0</v>
      </c>
      <c r="AF28" s="122">
        <f t="shared" si="59"/>
        <v>0</v>
      </c>
      <c r="AG28" s="122">
        <f t="shared" si="60"/>
        <v>0</v>
      </c>
      <c r="AH28" s="124">
        <f t="shared" si="61"/>
        <v>0</v>
      </c>
      <c r="AI28" s="159"/>
      <c r="AJ28" s="126"/>
      <c r="AK28" s="127"/>
      <c r="AM28" s="140" t="str">
        <f t="shared" si="62"/>
        <v/>
      </c>
      <c r="AN28" s="125" t="str">
        <f t="shared" si="63"/>
        <v/>
      </c>
      <c r="AO28" s="124">
        <f t="shared" si="64"/>
        <v>0</v>
      </c>
    </row>
    <row r="29" spans="1:41" ht="15.75" thickBot="1" x14ac:dyDescent="0.3">
      <c r="A29" s="498"/>
      <c r="B29" s="314" t="s">
        <v>106</v>
      </c>
      <c r="C29" s="147" t="s">
        <v>107</v>
      </c>
      <c r="D29" s="147" t="s">
        <v>185</v>
      </c>
      <c r="E29" s="147" t="s">
        <v>189</v>
      </c>
      <c r="F29" s="148">
        <v>10340</v>
      </c>
      <c r="G29" s="148">
        <f t="shared" si="44"/>
        <v>0</v>
      </c>
      <c r="H29" s="149">
        <f t="shared" si="65"/>
        <v>10340</v>
      </c>
      <c r="I29" s="107"/>
      <c r="J29" s="176"/>
      <c r="K29" s="178">
        <f>'Ordering Period 1'!M29+('Ordering Period 1'!M29*Escalation!$D$2)</f>
        <v>0</v>
      </c>
      <c r="L29" s="179">
        <f t="shared" si="45"/>
        <v>0</v>
      </c>
      <c r="M29" s="179">
        <f t="shared" si="46"/>
        <v>0</v>
      </c>
      <c r="N29" s="179">
        <f t="shared" si="47"/>
        <v>0</v>
      </c>
      <c r="O29" s="179">
        <f t="shared" si="48"/>
        <v>0</v>
      </c>
      <c r="P29" s="178">
        <f t="shared" si="49"/>
        <v>0</v>
      </c>
      <c r="Q29" s="178">
        <f t="shared" si="50"/>
        <v>0</v>
      </c>
      <c r="R29" s="178">
        <f t="shared" si="67"/>
        <v>0</v>
      </c>
      <c r="S29" s="178">
        <f t="shared" si="51"/>
        <v>0</v>
      </c>
      <c r="T29" s="178">
        <f t="shared" si="52"/>
        <v>0</v>
      </c>
      <c r="U29" s="180">
        <f t="shared" si="53"/>
        <v>0</v>
      </c>
      <c r="W29" s="181"/>
      <c r="X29" s="179"/>
      <c r="Y29" s="234">
        <f t="shared" si="66"/>
        <v>0</v>
      </c>
      <c r="Z29" s="342">
        <f t="shared" si="54"/>
        <v>0</v>
      </c>
      <c r="AA29" s="342">
        <f t="shared" si="55"/>
        <v>0</v>
      </c>
      <c r="AB29" s="342"/>
      <c r="AC29" s="234">
        <f t="shared" si="56"/>
        <v>0</v>
      </c>
      <c r="AD29" s="234">
        <f>$AD$4*(AA29+Y29+Z29)</f>
        <v>0</v>
      </c>
      <c r="AE29" s="234">
        <f t="shared" si="58"/>
        <v>0</v>
      </c>
      <c r="AF29" s="234">
        <f t="shared" si="59"/>
        <v>0</v>
      </c>
      <c r="AG29" s="234">
        <f t="shared" si="60"/>
        <v>0</v>
      </c>
      <c r="AH29" s="343">
        <f t="shared" si="61"/>
        <v>0</v>
      </c>
      <c r="AI29" s="189"/>
      <c r="AJ29" s="177"/>
      <c r="AK29" s="182"/>
      <c r="AM29" s="183" t="str">
        <f t="shared" si="62"/>
        <v/>
      </c>
      <c r="AN29" s="184" t="str">
        <f t="shared" si="63"/>
        <v/>
      </c>
      <c r="AO29" s="180">
        <f t="shared" si="64"/>
        <v>0</v>
      </c>
    </row>
    <row r="30" spans="1:41" x14ac:dyDescent="0.25">
      <c r="A30" s="496" t="s">
        <v>77</v>
      </c>
      <c r="B30" s="279" t="s">
        <v>108</v>
      </c>
      <c r="C30" s="109" t="s">
        <v>95</v>
      </c>
      <c r="D30" s="109" t="s">
        <v>179</v>
      </c>
      <c r="E30" s="109" t="s">
        <v>189</v>
      </c>
      <c r="F30" s="38">
        <v>12189</v>
      </c>
      <c r="G30" s="38">
        <f t="shared" si="44"/>
        <v>0</v>
      </c>
      <c r="H30" s="39">
        <f t="shared" si="65"/>
        <v>12189</v>
      </c>
      <c r="I30" s="107"/>
      <c r="J30" s="121"/>
      <c r="K30" s="122">
        <f>'Ordering Period 1'!M30+('Ordering Period 1'!M30*Escalation!$D$2)</f>
        <v>0</v>
      </c>
      <c r="L30" s="123">
        <f t="shared" si="45"/>
        <v>0</v>
      </c>
      <c r="M30" s="123">
        <f t="shared" si="46"/>
        <v>0</v>
      </c>
      <c r="N30" s="123">
        <f t="shared" si="47"/>
        <v>0</v>
      </c>
      <c r="O30" s="123">
        <f t="shared" si="48"/>
        <v>0</v>
      </c>
      <c r="P30" s="122">
        <f t="shared" si="49"/>
        <v>0</v>
      </c>
      <c r="Q30" s="122">
        <f t="shared" si="50"/>
        <v>0</v>
      </c>
      <c r="R30" s="122">
        <f t="shared" si="67"/>
        <v>0</v>
      </c>
      <c r="S30" s="122">
        <f t="shared" si="51"/>
        <v>0</v>
      </c>
      <c r="T30" s="122">
        <f t="shared" si="52"/>
        <v>0</v>
      </c>
      <c r="U30" s="124">
        <f t="shared" si="53"/>
        <v>0</v>
      </c>
      <c r="W30" s="121"/>
      <c r="X30" s="123"/>
      <c r="Y30" s="122">
        <f t="shared" si="66"/>
        <v>0</v>
      </c>
      <c r="Z30" s="123">
        <f t="shared" si="54"/>
        <v>0</v>
      </c>
      <c r="AA30" s="123">
        <f t="shared" si="55"/>
        <v>0</v>
      </c>
      <c r="AB30" s="123"/>
      <c r="AC30" s="122">
        <f t="shared" si="56"/>
        <v>0</v>
      </c>
      <c r="AD30" s="122">
        <f t="shared" ref="AD30:AD33" si="69">$AD$4*(AA30+Y30+Z30)</f>
        <v>0</v>
      </c>
      <c r="AE30" s="122">
        <f t="shared" si="58"/>
        <v>0</v>
      </c>
      <c r="AF30" s="122">
        <f t="shared" si="59"/>
        <v>0</v>
      </c>
      <c r="AG30" s="122">
        <f t="shared" si="60"/>
        <v>0</v>
      </c>
      <c r="AH30" s="124">
        <f t="shared" si="61"/>
        <v>0</v>
      </c>
      <c r="AI30" s="159"/>
      <c r="AJ30" s="126"/>
      <c r="AK30" s="127"/>
      <c r="AM30" s="140" t="str">
        <f t="shared" si="62"/>
        <v/>
      </c>
      <c r="AN30" s="125" t="str">
        <f t="shared" si="63"/>
        <v/>
      </c>
      <c r="AO30" s="124">
        <f t="shared" si="64"/>
        <v>0</v>
      </c>
    </row>
    <row r="31" spans="1:41" x14ac:dyDescent="0.25">
      <c r="A31" s="497"/>
      <c r="B31" s="280" t="s">
        <v>109</v>
      </c>
      <c r="C31" s="108" t="s">
        <v>110</v>
      </c>
      <c r="D31" s="108" t="s">
        <v>186</v>
      </c>
      <c r="E31" s="108" t="s">
        <v>189</v>
      </c>
      <c r="F31" s="42">
        <v>1248</v>
      </c>
      <c r="G31" s="42">
        <f t="shared" si="44"/>
        <v>0</v>
      </c>
      <c r="H31" s="43">
        <f t="shared" si="65"/>
        <v>1248</v>
      </c>
      <c r="I31" s="107"/>
      <c r="J31" s="3"/>
      <c r="K31" s="44">
        <f>'Ordering Period 1'!M31+('Ordering Period 1'!M31*Escalation!$D$2)</f>
        <v>0</v>
      </c>
      <c r="L31" s="5">
        <f t="shared" si="45"/>
        <v>0</v>
      </c>
      <c r="M31" s="5">
        <f t="shared" si="46"/>
        <v>0</v>
      </c>
      <c r="N31" s="5">
        <f t="shared" si="47"/>
        <v>0</v>
      </c>
      <c r="O31" s="5">
        <f t="shared" si="48"/>
        <v>0</v>
      </c>
      <c r="P31" s="44">
        <f t="shared" si="49"/>
        <v>0</v>
      </c>
      <c r="Q31" s="44">
        <f t="shared" si="50"/>
        <v>0</v>
      </c>
      <c r="R31" s="44">
        <f t="shared" si="67"/>
        <v>0</v>
      </c>
      <c r="S31" s="44">
        <f t="shared" si="51"/>
        <v>0</v>
      </c>
      <c r="T31" s="44">
        <f t="shared" si="52"/>
        <v>0</v>
      </c>
      <c r="U31" s="128">
        <f t="shared" si="53"/>
        <v>0</v>
      </c>
      <c r="W31" s="161"/>
      <c r="X31" s="5"/>
      <c r="Y31" s="40">
        <f t="shared" si="66"/>
        <v>0</v>
      </c>
      <c r="Z31" s="4">
        <f t="shared" si="54"/>
        <v>0</v>
      </c>
      <c r="AA31" s="4">
        <f t="shared" si="55"/>
        <v>0</v>
      </c>
      <c r="AB31" s="4"/>
      <c r="AC31" s="40">
        <f>SUM(Y31:AB31)</f>
        <v>0</v>
      </c>
      <c r="AD31" s="40">
        <f t="shared" si="69"/>
        <v>0</v>
      </c>
      <c r="AE31" s="40">
        <f t="shared" si="58"/>
        <v>0</v>
      </c>
      <c r="AF31" s="40">
        <f t="shared" si="59"/>
        <v>0</v>
      </c>
      <c r="AG31" s="40">
        <f t="shared" si="60"/>
        <v>0</v>
      </c>
      <c r="AH31" s="41">
        <f t="shared" si="61"/>
        <v>0</v>
      </c>
      <c r="AI31" s="160"/>
      <c r="AJ31" s="7"/>
      <c r="AK31" s="8"/>
      <c r="AM31" s="162" t="str">
        <f t="shared" si="62"/>
        <v/>
      </c>
      <c r="AN31" s="45" t="str">
        <f t="shared" si="63"/>
        <v/>
      </c>
      <c r="AO31" s="128">
        <f t="shared" si="64"/>
        <v>0</v>
      </c>
    </row>
    <row r="32" spans="1:41" x14ac:dyDescent="0.25">
      <c r="A32" s="497"/>
      <c r="B32" s="281" t="s">
        <v>111</v>
      </c>
      <c r="C32" s="108" t="s">
        <v>99</v>
      </c>
      <c r="D32" s="108" t="s">
        <v>181</v>
      </c>
      <c r="E32" s="108" t="s">
        <v>189</v>
      </c>
      <c r="F32" s="42">
        <v>353</v>
      </c>
      <c r="G32" s="42">
        <f t="shared" si="44"/>
        <v>0</v>
      </c>
      <c r="H32" s="43">
        <f t="shared" si="65"/>
        <v>353</v>
      </c>
      <c r="I32" s="107"/>
      <c r="J32" s="3"/>
      <c r="K32" s="44">
        <f>'Ordering Period 1'!M32+('Ordering Period 1'!M32*Escalation!$D$2)</f>
        <v>0</v>
      </c>
      <c r="L32" s="5">
        <f t="shared" si="45"/>
        <v>0</v>
      </c>
      <c r="M32" s="5">
        <f t="shared" si="46"/>
        <v>0</v>
      </c>
      <c r="N32" s="5">
        <f t="shared" si="47"/>
        <v>0</v>
      </c>
      <c r="O32" s="5">
        <f t="shared" si="48"/>
        <v>0</v>
      </c>
      <c r="P32" s="44">
        <f t="shared" si="49"/>
        <v>0</v>
      </c>
      <c r="Q32" s="44">
        <f t="shared" si="50"/>
        <v>0</v>
      </c>
      <c r="R32" s="44">
        <f t="shared" si="67"/>
        <v>0</v>
      </c>
      <c r="S32" s="44">
        <f t="shared" si="51"/>
        <v>0</v>
      </c>
      <c r="T32" s="44">
        <f t="shared" si="52"/>
        <v>0</v>
      </c>
      <c r="U32" s="128">
        <f t="shared" si="53"/>
        <v>0</v>
      </c>
      <c r="W32" s="161"/>
      <c r="X32" s="5"/>
      <c r="Y32" s="40">
        <f t="shared" si="66"/>
        <v>0</v>
      </c>
      <c r="Z32" s="4">
        <f t="shared" si="54"/>
        <v>0</v>
      </c>
      <c r="AA32" s="4">
        <f t="shared" si="55"/>
        <v>0</v>
      </c>
      <c r="AB32" s="4"/>
      <c r="AC32" s="40">
        <f t="shared" si="56"/>
        <v>0</v>
      </c>
      <c r="AD32" s="40">
        <f t="shared" si="69"/>
        <v>0</v>
      </c>
      <c r="AE32" s="40">
        <f t="shared" si="58"/>
        <v>0</v>
      </c>
      <c r="AF32" s="40">
        <f t="shared" si="59"/>
        <v>0</v>
      </c>
      <c r="AG32" s="40">
        <f t="shared" si="60"/>
        <v>0</v>
      </c>
      <c r="AH32" s="41">
        <f t="shared" si="61"/>
        <v>0</v>
      </c>
      <c r="AI32" s="160"/>
      <c r="AJ32" s="7"/>
      <c r="AK32" s="8"/>
      <c r="AM32" s="162" t="str">
        <f t="shared" si="62"/>
        <v/>
      </c>
      <c r="AN32" s="45" t="str">
        <f t="shared" si="63"/>
        <v/>
      </c>
      <c r="AO32" s="128">
        <f t="shared" si="64"/>
        <v>0</v>
      </c>
    </row>
    <row r="33" spans="1:41" x14ac:dyDescent="0.25">
      <c r="A33" s="497"/>
      <c r="B33" s="281" t="s">
        <v>112</v>
      </c>
      <c r="C33" s="108" t="s">
        <v>113</v>
      </c>
      <c r="D33" s="108" t="s">
        <v>187</v>
      </c>
      <c r="E33" s="108" t="s">
        <v>189</v>
      </c>
      <c r="F33" s="42">
        <v>2496</v>
      </c>
      <c r="G33" s="42">
        <f t="shared" si="44"/>
        <v>0</v>
      </c>
      <c r="H33" s="43">
        <f t="shared" si="65"/>
        <v>2496</v>
      </c>
      <c r="I33" s="107"/>
      <c r="J33" s="3"/>
      <c r="K33" s="44">
        <f>'Ordering Period 1'!M33+('Ordering Period 1'!M33*Escalation!$D$2)</f>
        <v>0</v>
      </c>
      <c r="L33" s="5">
        <f t="shared" si="45"/>
        <v>0</v>
      </c>
      <c r="M33" s="5">
        <f t="shared" si="46"/>
        <v>0</v>
      </c>
      <c r="N33" s="5">
        <f t="shared" si="47"/>
        <v>0</v>
      </c>
      <c r="O33" s="5">
        <f t="shared" si="48"/>
        <v>0</v>
      </c>
      <c r="P33" s="44">
        <f t="shared" si="49"/>
        <v>0</v>
      </c>
      <c r="Q33" s="44">
        <f t="shared" si="50"/>
        <v>0</v>
      </c>
      <c r="R33" s="44">
        <f t="shared" si="67"/>
        <v>0</v>
      </c>
      <c r="S33" s="44">
        <f t="shared" si="51"/>
        <v>0</v>
      </c>
      <c r="T33" s="44">
        <f t="shared" si="52"/>
        <v>0</v>
      </c>
      <c r="U33" s="128">
        <f t="shared" si="53"/>
        <v>0</v>
      </c>
      <c r="W33" s="161"/>
      <c r="X33" s="5"/>
      <c r="Y33" s="40">
        <f t="shared" si="66"/>
        <v>0</v>
      </c>
      <c r="Z33" s="4">
        <f t="shared" si="54"/>
        <v>0</v>
      </c>
      <c r="AA33" s="4">
        <f t="shared" si="55"/>
        <v>0</v>
      </c>
      <c r="AB33" s="4"/>
      <c r="AC33" s="40">
        <f>SUM(Y33:AB33)</f>
        <v>0</v>
      </c>
      <c r="AD33" s="40">
        <f t="shared" si="69"/>
        <v>0</v>
      </c>
      <c r="AE33" s="40">
        <f t="shared" si="58"/>
        <v>0</v>
      </c>
      <c r="AF33" s="40">
        <f t="shared" si="59"/>
        <v>0</v>
      </c>
      <c r="AG33" s="40">
        <f>AD33*W33</f>
        <v>0</v>
      </c>
      <c r="AH33" s="41">
        <f t="shared" si="61"/>
        <v>0</v>
      </c>
      <c r="AI33" s="160"/>
      <c r="AJ33" s="7"/>
      <c r="AK33" s="8"/>
      <c r="AM33" s="162" t="str">
        <f t="shared" si="62"/>
        <v/>
      </c>
      <c r="AN33" s="45" t="str">
        <f t="shared" si="63"/>
        <v/>
      </c>
      <c r="AO33" s="128">
        <f t="shared" si="64"/>
        <v>0</v>
      </c>
    </row>
    <row r="34" spans="1:41" ht="15.75" thickBot="1" x14ac:dyDescent="0.3">
      <c r="A34" s="498"/>
      <c r="B34" s="314" t="s">
        <v>114</v>
      </c>
      <c r="C34" s="147" t="s">
        <v>103</v>
      </c>
      <c r="D34" s="147" t="s">
        <v>183</v>
      </c>
      <c r="E34" s="147" t="s">
        <v>189</v>
      </c>
      <c r="F34" s="148">
        <v>1091</v>
      </c>
      <c r="G34" s="148">
        <f t="shared" si="44"/>
        <v>0</v>
      </c>
      <c r="H34" s="149">
        <f t="shared" si="65"/>
        <v>1091</v>
      </c>
      <c r="I34" s="107"/>
      <c r="J34" s="176"/>
      <c r="K34" s="178">
        <f>'Ordering Period 1'!M34+('Ordering Period 1'!M34*Escalation!$D$2)</f>
        <v>0</v>
      </c>
      <c r="L34" s="179">
        <f t="shared" si="45"/>
        <v>0</v>
      </c>
      <c r="M34" s="179">
        <f t="shared" si="46"/>
        <v>0</v>
      </c>
      <c r="N34" s="179">
        <f t="shared" si="47"/>
        <v>0</v>
      </c>
      <c r="O34" s="179">
        <f t="shared" si="48"/>
        <v>0</v>
      </c>
      <c r="P34" s="178">
        <f t="shared" si="49"/>
        <v>0</v>
      </c>
      <c r="Q34" s="178">
        <f t="shared" si="50"/>
        <v>0</v>
      </c>
      <c r="R34" s="178">
        <f t="shared" si="67"/>
        <v>0</v>
      </c>
      <c r="S34" s="178">
        <f t="shared" si="51"/>
        <v>0</v>
      </c>
      <c r="T34" s="178">
        <f t="shared" si="52"/>
        <v>0</v>
      </c>
      <c r="U34" s="180">
        <f t="shared" si="53"/>
        <v>0</v>
      </c>
      <c r="W34" s="181"/>
      <c r="X34" s="179"/>
      <c r="Y34" s="234">
        <f t="shared" si="66"/>
        <v>0</v>
      </c>
      <c r="Z34" s="342">
        <f t="shared" si="54"/>
        <v>0</v>
      </c>
      <c r="AA34" s="342">
        <f t="shared" si="55"/>
        <v>0</v>
      </c>
      <c r="AB34" s="342"/>
      <c r="AC34" s="234">
        <f t="shared" si="56"/>
        <v>0</v>
      </c>
      <c r="AD34" s="234">
        <f t="shared" si="57"/>
        <v>0</v>
      </c>
      <c r="AE34" s="234">
        <f t="shared" si="58"/>
        <v>0</v>
      </c>
      <c r="AF34" s="234">
        <f>AC34*W34</f>
        <v>0</v>
      </c>
      <c r="AG34" s="234">
        <f t="shared" si="60"/>
        <v>0</v>
      </c>
      <c r="AH34" s="343">
        <f t="shared" si="61"/>
        <v>0</v>
      </c>
      <c r="AI34" s="189"/>
      <c r="AJ34" s="177"/>
      <c r="AK34" s="182"/>
      <c r="AM34" s="183" t="str">
        <f t="shared" si="62"/>
        <v/>
      </c>
      <c r="AN34" s="184" t="str">
        <f t="shared" si="63"/>
        <v/>
      </c>
      <c r="AO34" s="180">
        <f t="shared" si="64"/>
        <v>0</v>
      </c>
    </row>
    <row r="35" spans="1:41" ht="15.75" thickBot="1" x14ac:dyDescent="0.3">
      <c r="A35" s="66" t="s">
        <v>116</v>
      </c>
      <c r="B35" s="278"/>
      <c r="C35" s="200"/>
      <c r="D35" s="200"/>
      <c r="E35" s="200"/>
      <c r="F35" s="201"/>
      <c r="G35" s="201"/>
      <c r="H35" s="202"/>
      <c r="I35" s="107"/>
      <c r="J35" s="446"/>
      <c r="K35" s="449"/>
      <c r="L35" s="244"/>
      <c r="M35" s="244"/>
      <c r="N35" s="244"/>
      <c r="O35" s="244"/>
      <c r="P35" s="244"/>
      <c r="Q35" s="244"/>
      <c r="R35" s="244"/>
      <c r="S35" s="244"/>
      <c r="T35" s="244"/>
      <c r="U35" s="243"/>
      <c r="W35" s="450"/>
      <c r="X35" s="247"/>
      <c r="Y35" s="247"/>
      <c r="Z35" s="247"/>
      <c r="AA35" s="247"/>
      <c r="AB35" s="247"/>
      <c r="AC35" s="247"/>
      <c r="AD35" s="247"/>
      <c r="AE35" s="247"/>
      <c r="AF35" s="247"/>
      <c r="AG35" s="247"/>
      <c r="AH35" s="247"/>
      <c r="AI35" s="451"/>
      <c r="AJ35" s="451"/>
      <c r="AK35" s="452"/>
      <c r="AM35" s="241"/>
      <c r="AN35" s="242"/>
      <c r="AO35" s="243"/>
    </row>
    <row r="36" spans="1:41" ht="15.75" thickBot="1" x14ac:dyDescent="0.3">
      <c r="A36" s="297" t="s">
        <v>73</v>
      </c>
      <c r="B36" s="283" t="s">
        <v>115</v>
      </c>
      <c r="C36" s="284" t="s">
        <v>93</v>
      </c>
      <c r="D36" s="284"/>
      <c r="E36" s="284" t="s">
        <v>116</v>
      </c>
      <c r="F36" s="285">
        <v>37440</v>
      </c>
      <c r="G36" s="285">
        <f t="shared" ref="G36:G43" si="70">SUM(J36,W36)</f>
        <v>0</v>
      </c>
      <c r="H36" s="286">
        <f t="shared" si="8"/>
        <v>37440</v>
      </c>
      <c r="I36" s="107"/>
      <c r="J36" s="292"/>
      <c r="K36" s="294">
        <f>'Ordering Period 1'!M36+('Ordering Period 1'!M36*Escalation!$D$2)</f>
        <v>0</v>
      </c>
      <c r="L36" s="349">
        <f>(K36*$L$4)</f>
        <v>0</v>
      </c>
      <c r="M36" s="349">
        <f t="shared" ref="M36:M43" si="71">(L36+K36)*$M$4</f>
        <v>0</v>
      </c>
      <c r="N36" s="349">
        <f t="shared" ref="N36:N43" si="72">(L36+K36+M36)*$N$4</f>
        <v>0</v>
      </c>
      <c r="O36" s="349">
        <f t="shared" ref="O36:O43" si="73">(K36+L36+M36+N36)*$O$4</f>
        <v>0</v>
      </c>
      <c r="P36" s="294">
        <f t="shared" ref="P36:P43" si="74">SUM(K36:O36)</f>
        <v>0</v>
      </c>
      <c r="Q36" s="294">
        <f>(P36-O36)*$Q$4</f>
        <v>0</v>
      </c>
      <c r="R36" s="294">
        <f>SUM(P36:Q36)</f>
        <v>0</v>
      </c>
      <c r="S36" s="294">
        <f t="shared" ref="S36:S43" si="75">P36*J36</f>
        <v>0</v>
      </c>
      <c r="T36" s="294">
        <f t="shared" ref="T36:T43" si="76">Q36*J36</f>
        <v>0</v>
      </c>
      <c r="U36" s="296">
        <f t="shared" ref="U36:U43" si="77">R36*J36</f>
        <v>0</v>
      </c>
      <c r="W36" s="292"/>
      <c r="X36" s="349"/>
      <c r="Y36" s="294">
        <f t="shared" ref="Y36:Y43" si="78">IF($W36&gt;0,$X36,0)</f>
        <v>0</v>
      </c>
      <c r="Z36" s="349">
        <f t="shared" ref="Z36:Z43" si="79">(Y36*$Z$4)</f>
        <v>0</v>
      </c>
      <c r="AA36" s="349">
        <f t="shared" ref="AA36:AA43" si="80">(Y36+Z36)*$AA$4</f>
        <v>0</v>
      </c>
      <c r="AB36" s="349"/>
      <c r="AC36" s="294">
        <f t="shared" ref="AC36:AC43" si="81">SUM(Y36:AB36)</f>
        <v>0</v>
      </c>
      <c r="AD36" s="294">
        <f t="shared" si="57"/>
        <v>0</v>
      </c>
      <c r="AE36" s="294">
        <f t="shared" ref="AE36" si="82">SUM(AC36:AD36)</f>
        <v>0</v>
      </c>
      <c r="AF36" s="294">
        <f t="shared" ref="AF36:AF43" si="83">AC36*W36</f>
        <v>0</v>
      </c>
      <c r="AG36" s="294">
        <f t="shared" ref="AG36:AG43" si="84">AD36*W36</f>
        <v>0</v>
      </c>
      <c r="AH36" s="294">
        <f t="shared" ref="AH36:AH43" si="85">AE36*W36</f>
        <v>0</v>
      </c>
      <c r="AI36" s="350"/>
      <c r="AJ36" s="351"/>
      <c r="AK36" s="352"/>
      <c r="AM36" s="339" t="str">
        <f t="shared" ref="AM36:AM43" si="86">IFERROR(SUM(S36,AF36)/G36,"")</f>
        <v/>
      </c>
      <c r="AN36" s="340" t="str">
        <f t="shared" ref="AN36:AN43" si="87">IFERROR(SUM(T36,AG36)/G36,"")</f>
        <v/>
      </c>
      <c r="AO36" s="291">
        <f t="shared" si="23"/>
        <v>0</v>
      </c>
    </row>
    <row r="37" spans="1:41" ht="15.75" thickBot="1" x14ac:dyDescent="0.3">
      <c r="A37" s="297" t="s">
        <v>74</v>
      </c>
      <c r="B37" s="283" t="s">
        <v>117</v>
      </c>
      <c r="C37" s="284" t="s">
        <v>95</v>
      </c>
      <c r="D37" s="284"/>
      <c r="E37" s="284" t="s">
        <v>116</v>
      </c>
      <c r="F37" s="285">
        <v>113069</v>
      </c>
      <c r="G37" s="285">
        <f t="shared" si="70"/>
        <v>0</v>
      </c>
      <c r="H37" s="286">
        <f t="shared" si="8"/>
        <v>113069</v>
      </c>
      <c r="I37" s="107"/>
      <c r="J37" s="288"/>
      <c r="K37" s="290">
        <f>'Ordering Period 1'!M37+('Ordering Period 1'!M37*Escalation!$D$2)</f>
        <v>0</v>
      </c>
      <c r="L37" s="334">
        <f t="shared" ref="L37:L43" si="88">(K37*$L$4)</f>
        <v>0</v>
      </c>
      <c r="M37" s="334">
        <f t="shared" si="71"/>
        <v>0</v>
      </c>
      <c r="N37" s="334">
        <f t="shared" si="72"/>
        <v>0</v>
      </c>
      <c r="O37" s="334">
        <f>(K37+L37+M37+N37)*$O$4</f>
        <v>0</v>
      </c>
      <c r="P37" s="290">
        <f t="shared" si="74"/>
        <v>0</v>
      </c>
      <c r="Q37" s="290">
        <f>(P37-O37)*$Q$4</f>
        <v>0</v>
      </c>
      <c r="R37" s="290">
        <f t="shared" si="43"/>
        <v>0</v>
      </c>
      <c r="S37" s="290">
        <f t="shared" si="75"/>
        <v>0</v>
      </c>
      <c r="T37" s="290">
        <f t="shared" si="76"/>
        <v>0</v>
      </c>
      <c r="U37" s="291">
        <f t="shared" si="77"/>
        <v>0</v>
      </c>
      <c r="W37" s="288"/>
      <c r="X37" s="334"/>
      <c r="Y37" s="290">
        <f t="shared" si="78"/>
        <v>0</v>
      </c>
      <c r="Z37" s="334">
        <f t="shared" si="79"/>
        <v>0</v>
      </c>
      <c r="AA37" s="334">
        <f t="shared" si="80"/>
        <v>0</v>
      </c>
      <c r="AB37" s="334"/>
      <c r="AC37" s="290">
        <f t="shared" si="81"/>
        <v>0</v>
      </c>
      <c r="AD37" s="290">
        <f t="shared" si="57"/>
        <v>0</v>
      </c>
      <c r="AE37" s="290">
        <f t="shared" ref="AE37:AE43" si="89">SUM(AC37:AD37)</f>
        <v>0</v>
      </c>
      <c r="AF37" s="290">
        <f t="shared" si="83"/>
        <v>0</v>
      </c>
      <c r="AG37" s="290">
        <f t="shared" si="84"/>
        <v>0</v>
      </c>
      <c r="AH37" s="290">
        <f t="shared" si="85"/>
        <v>0</v>
      </c>
      <c r="AI37" s="335"/>
      <c r="AJ37" s="336"/>
      <c r="AK37" s="337"/>
      <c r="AM37" s="339" t="str">
        <f t="shared" si="86"/>
        <v/>
      </c>
      <c r="AN37" s="340" t="str">
        <f t="shared" si="87"/>
        <v/>
      </c>
      <c r="AO37" s="291">
        <f t="shared" si="23"/>
        <v>0</v>
      </c>
    </row>
    <row r="38" spans="1:41" x14ac:dyDescent="0.25">
      <c r="A38" s="496" t="s">
        <v>76</v>
      </c>
      <c r="B38" s="279" t="s">
        <v>118</v>
      </c>
      <c r="C38" s="109" t="s">
        <v>105</v>
      </c>
      <c r="D38" s="109"/>
      <c r="E38" s="109" t="s">
        <v>116</v>
      </c>
      <c r="F38" s="38">
        <v>18720</v>
      </c>
      <c r="G38" s="38">
        <f t="shared" si="70"/>
        <v>0</v>
      </c>
      <c r="H38" s="39">
        <f t="shared" si="8"/>
        <v>18720</v>
      </c>
      <c r="I38" s="107"/>
      <c r="J38" s="121"/>
      <c r="K38" s="122">
        <f>'Ordering Period 1'!M38+('Ordering Period 1'!M38*Escalation!$D$2)</f>
        <v>0</v>
      </c>
      <c r="L38" s="123">
        <f t="shared" si="88"/>
        <v>0</v>
      </c>
      <c r="M38" s="123">
        <f t="shared" si="71"/>
        <v>0</v>
      </c>
      <c r="N38" s="123">
        <f t="shared" si="72"/>
        <v>0</v>
      </c>
      <c r="O38" s="123">
        <f t="shared" si="73"/>
        <v>0</v>
      </c>
      <c r="P38" s="122">
        <f t="shared" si="74"/>
        <v>0</v>
      </c>
      <c r="Q38" s="122">
        <f t="shared" ref="Q38:Q43" si="90">(P38-O38)*$Q$4</f>
        <v>0</v>
      </c>
      <c r="R38" s="122">
        <f t="shared" si="43"/>
        <v>0</v>
      </c>
      <c r="S38" s="122">
        <f t="shared" si="75"/>
        <v>0</v>
      </c>
      <c r="T38" s="122">
        <f t="shared" si="76"/>
        <v>0</v>
      </c>
      <c r="U38" s="124">
        <f t="shared" si="77"/>
        <v>0</v>
      </c>
      <c r="W38" s="121"/>
      <c r="X38" s="123"/>
      <c r="Y38" s="122">
        <f t="shared" si="78"/>
        <v>0</v>
      </c>
      <c r="Z38" s="123">
        <f t="shared" si="79"/>
        <v>0</v>
      </c>
      <c r="AA38" s="123">
        <f t="shared" si="80"/>
        <v>0</v>
      </c>
      <c r="AB38" s="123"/>
      <c r="AC38" s="122">
        <f t="shared" si="81"/>
        <v>0</v>
      </c>
      <c r="AD38" s="122">
        <f t="shared" si="57"/>
        <v>0</v>
      </c>
      <c r="AE38" s="122">
        <f t="shared" si="89"/>
        <v>0</v>
      </c>
      <c r="AF38" s="122">
        <f t="shared" si="83"/>
        <v>0</v>
      </c>
      <c r="AG38" s="122">
        <f t="shared" si="84"/>
        <v>0</v>
      </c>
      <c r="AH38" s="122">
        <f t="shared" si="85"/>
        <v>0</v>
      </c>
      <c r="AI38" s="159"/>
      <c r="AJ38" s="126"/>
      <c r="AK38" s="127"/>
      <c r="AM38" s="214" t="str">
        <f t="shared" si="86"/>
        <v/>
      </c>
      <c r="AN38" s="215" t="str">
        <f t="shared" si="87"/>
        <v/>
      </c>
      <c r="AO38" s="41">
        <f t="shared" si="23"/>
        <v>0</v>
      </c>
    </row>
    <row r="39" spans="1:41" ht="15.75" thickBot="1" x14ac:dyDescent="0.3">
      <c r="A39" s="497"/>
      <c r="B39" s="321" t="s">
        <v>119</v>
      </c>
      <c r="C39" s="322" t="s">
        <v>120</v>
      </c>
      <c r="D39" s="322"/>
      <c r="E39" s="322" t="s">
        <v>116</v>
      </c>
      <c r="F39" s="323">
        <v>176800</v>
      </c>
      <c r="G39" s="323">
        <f t="shared" si="70"/>
        <v>0</v>
      </c>
      <c r="H39" s="324">
        <f t="shared" si="8"/>
        <v>176800</v>
      </c>
      <c r="I39" s="107"/>
      <c r="J39" s="176"/>
      <c r="K39" s="234">
        <f>'Ordering Period 1'!M39+('Ordering Period 1'!M39*Escalation!$D$2)</f>
        <v>0</v>
      </c>
      <c r="L39" s="179">
        <f t="shared" si="88"/>
        <v>0</v>
      </c>
      <c r="M39" s="179">
        <f t="shared" si="71"/>
        <v>0</v>
      </c>
      <c r="N39" s="179">
        <f t="shared" si="72"/>
        <v>0</v>
      </c>
      <c r="O39" s="179">
        <f t="shared" si="73"/>
        <v>0</v>
      </c>
      <c r="P39" s="178">
        <f t="shared" si="74"/>
        <v>0</v>
      </c>
      <c r="Q39" s="178">
        <f>(P39-O39)*$Q$4</f>
        <v>0</v>
      </c>
      <c r="R39" s="178">
        <f t="shared" si="43"/>
        <v>0</v>
      </c>
      <c r="S39" s="178">
        <f t="shared" si="75"/>
        <v>0</v>
      </c>
      <c r="T39" s="178">
        <f t="shared" si="76"/>
        <v>0</v>
      </c>
      <c r="U39" s="180">
        <f t="shared" si="77"/>
        <v>0</v>
      </c>
      <c r="W39" s="181"/>
      <c r="X39" s="179"/>
      <c r="Y39" s="178">
        <f t="shared" si="78"/>
        <v>0</v>
      </c>
      <c r="Z39" s="179">
        <f t="shared" si="79"/>
        <v>0</v>
      </c>
      <c r="AA39" s="179">
        <f t="shared" si="80"/>
        <v>0</v>
      </c>
      <c r="AB39" s="179"/>
      <c r="AC39" s="178">
        <f t="shared" si="81"/>
        <v>0</v>
      </c>
      <c r="AD39" s="178">
        <f t="shared" si="57"/>
        <v>0</v>
      </c>
      <c r="AE39" s="178">
        <f t="shared" si="89"/>
        <v>0</v>
      </c>
      <c r="AF39" s="178">
        <f t="shared" si="83"/>
        <v>0</v>
      </c>
      <c r="AG39" s="178">
        <f t="shared" si="84"/>
        <v>0</v>
      </c>
      <c r="AH39" s="178">
        <f t="shared" si="85"/>
        <v>0</v>
      </c>
      <c r="AI39" s="189"/>
      <c r="AJ39" s="177"/>
      <c r="AK39" s="182"/>
      <c r="AM39" s="162" t="str">
        <f t="shared" si="86"/>
        <v/>
      </c>
      <c r="AN39" s="45" t="str">
        <f t="shared" si="87"/>
        <v/>
      </c>
      <c r="AO39" s="128">
        <f t="shared" si="23"/>
        <v>0</v>
      </c>
    </row>
    <row r="40" spans="1:41" x14ac:dyDescent="0.25">
      <c r="A40" s="493" t="s">
        <v>77</v>
      </c>
      <c r="B40" s="326" t="s">
        <v>121</v>
      </c>
      <c r="C40" s="109" t="s">
        <v>95</v>
      </c>
      <c r="D40" s="109"/>
      <c r="E40" s="109" t="s">
        <v>116</v>
      </c>
      <c r="F40" s="38">
        <v>201011</v>
      </c>
      <c r="G40" s="38">
        <f t="shared" si="70"/>
        <v>0</v>
      </c>
      <c r="H40" s="39">
        <f t="shared" si="8"/>
        <v>201011</v>
      </c>
      <c r="I40" s="107"/>
      <c r="J40" s="121"/>
      <c r="K40" s="122">
        <f>'Ordering Period 1'!M40+('Ordering Period 1'!M40*Escalation!$D$2)</f>
        <v>0</v>
      </c>
      <c r="L40" s="123">
        <f>(K40*$L$4)</f>
        <v>0</v>
      </c>
      <c r="M40" s="123">
        <f t="shared" si="71"/>
        <v>0</v>
      </c>
      <c r="N40" s="123">
        <f t="shared" si="72"/>
        <v>0</v>
      </c>
      <c r="O40" s="123">
        <f t="shared" si="73"/>
        <v>0</v>
      </c>
      <c r="P40" s="122">
        <f t="shared" si="74"/>
        <v>0</v>
      </c>
      <c r="Q40" s="122">
        <f>(P40-O40)*$Q$4</f>
        <v>0</v>
      </c>
      <c r="R40" s="122">
        <f>SUM(P40:Q40)</f>
        <v>0</v>
      </c>
      <c r="S40" s="122">
        <f t="shared" si="75"/>
        <v>0</v>
      </c>
      <c r="T40" s="122">
        <f t="shared" si="76"/>
        <v>0</v>
      </c>
      <c r="U40" s="124">
        <f t="shared" si="77"/>
        <v>0</v>
      </c>
      <c r="W40" s="121"/>
      <c r="X40" s="123"/>
      <c r="Y40" s="122">
        <f t="shared" si="78"/>
        <v>0</v>
      </c>
      <c r="Z40" s="123">
        <f t="shared" si="79"/>
        <v>0</v>
      </c>
      <c r="AA40" s="123">
        <f t="shared" si="80"/>
        <v>0</v>
      </c>
      <c r="AB40" s="123"/>
      <c r="AC40" s="122">
        <f t="shared" si="81"/>
        <v>0</v>
      </c>
      <c r="AD40" s="122">
        <f t="shared" si="57"/>
        <v>0</v>
      </c>
      <c r="AE40" s="122">
        <f t="shared" ref="AE40" si="91">SUM(AC40:AD40)</f>
        <v>0</v>
      </c>
      <c r="AF40" s="122">
        <f t="shared" si="83"/>
        <v>0</v>
      </c>
      <c r="AG40" s="122">
        <f t="shared" si="84"/>
        <v>0</v>
      </c>
      <c r="AH40" s="122">
        <f t="shared" si="85"/>
        <v>0</v>
      </c>
      <c r="AI40" s="159"/>
      <c r="AJ40" s="126"/>
      <c r="AK40" s="127"/>
      <c r="AM40" s="140" t="str">
        <f t="shared" si="86"/>
        <v/>
      </c>
      <c r="AN40" s="125" t="str">
        <f t="shared" si="87"/>
        <v/>
      </c>
      <c r="AO40" s="124">
        <f t="shared" si="23"/>
        <v>0</v>
      </c>
    </row>
    <row r="41" spans="1:41" x14ac:dyDescent="0.25">
      <c r="A41" s="494"/>
      <c r="B41" s="325" t="s">
        <v>122</v>
      </c>
      <c r="C41" s="108" t="s">
        <v>110</v>
      </c>
      <c r="D41" s="108"/>
      <c r="E41" s="108" t="s">
        <v>116</v>
      </c>
      <c r="F41" s="42">
        <v>4160</v>
      </c>
      <c r="G41" s="42">
        <f t="shared" si="70"/>
        <v>0</v>
      </c>
      <c r="H41" s="43">
        <f t="shared" si="8"/>
        <v>4160</v>
      </c>
      <c r="I41" s="107"/>
      <c r="J41" s="3"/>
      <c r="K41" s="40">
        <f>'Ordering Period 1'!M41+('Ordering Period 1'!M41*Escalation!$D$2)</f>
        <v>0</v>
      </c>
      <c r="L41" s="5">
        <f t="shared" si="88"/>
        <v>0</v>
      </c>
      <c r="M41" s="5">
        <f t="shared" si="71"/>
        <v>0</v>
      </c>
      <c r="N41" s="5">
        <f t="shared" si="72"/>
        <v>0</v>
      </c>
      <c r="O41" s="5">
        <f t="shared" si="73"/>
        <v>0</v>
      </c>
      <c r="P41" s="44">
        <f t="shared" si="74"/>
        <v>0</v>
      </c>
      <c r="Q41" s="44">
        <f t="shared" si="90"/>
        <v>0</v>
      </c>
      <c r="R41" s="44">
        <f>SUM(P41:Q41)</f>
        <v>0</v>
      </c>
      <c r="S41" s="44">
        <f t="shared" si="75"/>
        <v>0</v>
      </c>
      <c r="T41" s="44">
        <f t="shared" si="76"/>
        <v>0</v>
      </c>
      <c r="U41" s="128">
        <f t="shared" si="77"/>
        <v>0</v>
      </c>
      <c r="W41" s="161"/>
      <c r="X41" s="5"/>
      <c r="Y41" s="44">
        <f t="shared" si="78"/>
        <v>0</v>
      </c>
      <c r="Z41" s="5">
        <f t="shared" si="79"/>
        <v>0</v>
      </c>
      <c r="AA41" s="5">
        <f t="shared" si="80"/>
        <v>0</v>
      </c>
      <c r="AB41" s="5"/>
      <c r="AC41" s="44">
        <f t="shared" si="81"/>
        <v>0</v>
      </c>
      <c r="AD41" s="44">
        <f t="shared" si="57"/>
        <v>0</v>
      </c>
      <c r="AE41" s="44">
        <f t="shared" si="89"/>
        <v>0</v>
      </c>
      <c r="AF41" s="44">
        <f t="shared" si="83"/>
        <v>0</v>
      </c>
      <c r="AG41" s="44">
        <f t="shared" si="84"/>
        <v>0</v>
      </c>
      <c r="AH41" s="44">
        <f t="shared" si="85"/>
        <v>0</v>
      </c>
      <c r="AI41" s="160"/>
      <c r="AJ41" s="7"/>
      <c r="AK41" s="8"/>
      <c r="AM41" s="162" t="str">
        <f t="shared" si="86"/>
        <v/>
      </c>
      <c r="AN41" s="45" t="str">
        <f t="shared" si="87"/>
        <v/>
      </c>
      <c r="AO41" s="128">
        <f t="shared" si="23"/>
        <v>0</v>
      </c>
    </row>
    <row r="42" spans="1:41" x14ac:dyDescent="0.25">
      <c r="A42" s="494"/>
      <c r="B42" s="325" t="s">
        <v>123</v>
      </c>
      <c r="C42" s="108" t="s">
        <v>99</v>
      </c>
      <c r="D42" s="108"/>
      <c r="E42" s="108" t="s">
        <v>116</v>
      </c>
      <c r="F42" s="42">
        <v>8320</v>
      </c>
      <c r="G42" s="42">
        <f t="shared" si="70"/>
        <v>0</v>
      </c>
      <c r="H42" s="43">
        <f t="shared" si="8"/>
        <v>8320</v>
      </c>
      <c r="I42" s="107"/>
      <c r="J42" s="3"/>
      <c r="K42" s="40">
        <f>'Ordering Period 1'!M42+('Ordering Period 1'!M42*Escalation!$D$2)</f>
        <v>0</v>
      </c>
      <c r="L42" s="5">
        <f t="shared" si="88"/>
        <v>0</v>
      </c>
      <c r="M42" s="5">
        <f t="shared" si="71"/>
        <v>0</v>
      </c>
      <c r="N42" s="5">
        <f t="shared" si="72"/>
        <v>0</v>
      </c>
      <c r="O42" s="5">
        <f t="shared" si="73"/>
        <v>0</v>
      </c>
      <c r="P42" s="44">
        <f t="shared" si="74"/>
        <v>0</v>
      </c>
      <c r="Q42" s="44">
        <f t="shared" si="90"/>
        <v>0</v>
      </c>
      <c r="R42" s="44">
        <f t="shared" si="43"/>
        <v>0</v>
      </c>
      <c r="S42" s="44">
        <f t="shared" si="75"/>
        <v>0</v>
      </c>
      <c r="T42" s="44">
        <f t="shared" si="76"/>
        <v>0</v>
      </c>
      <c r="U42" s="128">
        <f t="shared" si="77"/>
        <v>0</v>
      </c>
      <c r="W42" s="161"/>
      <c r="X42" s="5"/>
      <c r="Y42" s="44">
        <f t="shared" si="78"/>
        <v>0</v>
      </c>
      <c r="Z42" s="5">
        <f t="shared" si="79"/>
        <v>0</v>
      </c>
      <c r="AA42" s="5">
        <f t="shared" si="80"/>
        <v>0</v>
      </c>
      <c r="AB42" s="5"/>
      <c r="AC42" s="44">
        <f t="shared" si="81"/>
        <v>0</v>
      </c>
      <c r="AD42" s="44">
        <f t="shared" si="57"/>
        <v>0</v>
      </c>
      <c r="AE42" s="44">
        <f t="shared" si="89"/>
        <v>0</v>
      </c>
      <c r="AF42" s="44">
        <f t="shared" si="83"/>
        <v>0</v>
      </c>
      <c r="AG42" s="44">
        <f t="shared" si="84"/>
        <v>0</v>
      </c>
      <c r="AH42" s="44">
        <f t="shared" si="85"/>
        <v>0</v>
      </c>
      <c r="AI42" s="160"/>
      <c r="AJ42" s="7"/>
      <c r="AK42" s="8"/>
      <c r="AM42" s="162" t="str">
        <f t="shared" si="86"/>
        <v/>
      </c>
      <c r="AN42" s="45" t="str">
        <f t="shared" si="87"/>
        <v/>
      </c>
      <c r="AO42" s="128">
        <f t="shared" si="23"/>
        <v>0</v>
      </c>
    </row>
    <row r="43" spans="1:41" ht="15.75" thickBot="1" x14ac:dyDescent="0.3">
      <c r="A43" s="495"/>
      <c r="B43" s="327" t="s">
        <v>124</v>
      </c>
      <c r="C43" s="147" t="s">
        <v>113</v>
      </c>
      <c r="D43" s="147"/>
      <c r="E43" s="147" t="s">
        <v>116</v>
      </c>
      <c r="F43" s="148">
        <v>8320</v>
      </c>
      <c r="G43" s="148">
        <f t="shared" si="70"/>
        <v>0</v>
      </c>
      <c r="H43" s="149">
        <f t="shared" si="8"/>
        <v>8320</v>
      </c>
      <c r="I43" s="107"/>
      <c r="J43" s="176"/>
      <c r="K43" s="234">
        <f>'Ordering Period 1'!M43+('Ordering Period 1'!M43*Escalation!$D$2)</f>
        <v>0</v>
      </c>
      <c r="L43" s="179">
        <f t="shared" si="88"/>
        <v>0</v>
      </c>
      <c r="M43" s="179">
        <f t="shared" si="71"/>
        <v>0</v>
      </c>
      <c r="N43" s="179">
        <f t="shared" si="72"/>
        <v>0</v>
      </c>
      <c r="O43" s="179">
        <f t="shared" si="73"/>
        <v>0</v>
      </c>
      <c r="P43" s="178">
        <f t="shared" si="74"/>
        <v>0</v>
      </c>
      <c r="Q43" s="178">
        <f t="shared" si="90"/>
        <v>0</v>
      </c>
      <c r="R43" s="178">
        <f t="shared" si="43"/>
        <v>0</v>
      </c>
      <c r="S43" s="178">
        <f t="shared" si="75"/>
        <v>0</v>
      </c>
      <c r="T43" s="178">
        <f t="shared" si="76"/>
        <v>0</v>
      </c>
      <c r="U43" s="180">
        <f t="shared" si="77"/>
        <v>0</v>
      </c>
      <c r="W43" s="181"/>
      <c r="X43" s="179"/>
      <c r="Y43" s="178">
        <f t="shared" si="78"/>
        <v>0</v>
      </c>
      <c r="Z43" s="179">
        <f t="shared" si="79"/>
        <v>0</v>
      </c>
      <c r="AA43" s="179">
        <f t="shared" si="80"/>
        <v>0</v>
      </c>
      <c r="AB43" s="179"/>
      <c r="AC43" s="178">
        <f t="shared" si="81"/>
        <v>0</v>
      </c>
      <c r="AD43" s="178">
        <f t="shared" si="57"/>
        <v>0</v>
      </c>
      <c r="AE43" s="178">
        <f t="shared" si="89"/>
        <v>0</v>
      </c>
      <c r="AF43" s="178">
        <f t="shared" si="83"/>
        <v>0</v>
      </c>
      <c r="AG43" s="178">
        <f t="shared" si="84"/>
        <v>0</v>
      </c>
      <c r="AH43" s="178">
        <f t="shared" si="85"/>
        <v>0</v>
      </c>
      <c r="AI43" s="189"/>
      <c r="AJ43" s="177"/>
      <c r="AK43" s="182"/>
      <c r="AM43" s="183" t="str">
        <f t="shared" si="86"/>
        <v/>
      </c>
      <c r="AN43" s="184" t="str">
        <f t="shared" si="87"/>
        <v/>
      </c>
      <c r="AO43" s="180">
        <f t="shared" si="23"/>
        <v>0</v>
      </c>
    </row>
    <row r="44" spans="1:41" s="16" customFormat="1" ht="15.75" x14ac:dyDescent="0.25">
      <c r="A44" s="23"/>
      <c r="B44" s="23"/>
      <c r="C44" s="47"/>
      <c r="D44" s="47"/>
      <c r="E44" s="231" t="s">
        <v>190</v>
      </c>
      <c r="F44" s="232">
        <f>SUM(F5:F34)</f>
        <v>880707</v>
      </c>
      <c r="G44" s="232">
        <f>SUM(G5:G34)</f>
        <v>0</v>
      </c>
      <c r="H44" s="233">
        <f>SUM(H5:H34)</f>
        <v>880707</v>
      </c>
      <c r="I44" s="46"/>
      <c r="J44" s="46"/>
      <c r="K44" s="48"/>
      <c r="L44" s="48"/>
      <c r="M44" s="48"/>
      <c r="N44" s="48"/>
      <c r="O44" s="48"/>
      <c r="U44" s="48"/>
      <c r="W44" s="46"/>
      <c r="X44" s="48"/>
      <c r="Y44" s="48"/>
      <c r="Z44" s="48"/>
      <c r="AA44" s="48"/>
      <c r="AB44" s="48"/>
      <c r="AC44" s="48"/>
      <c r="AD44" s="48"/>
      <c r="AE44" s="48"/>
      <c r="AF44" s="49"/>
      <c r="AG44" s="49"/>
      <c r="AH44" s="49"/>
      <c r="AI44" s="18"/>
      <c r="AJ44" s="18"/>
      <c r="AK44" s="18"/>
      <c r="AM44" s="48"/>
      <c r="AN44" s="49"/>
      <c r="AO44" s="48"/>
    </row>
    <row r="45" spans="1:41" s="16" customFormat="1" ht="16.5" thickBot="1" x14ac:dyDescent="0.3">
      <c r="A45" s="23"/>
      <c r="B45" s="23"/>
      <c r="C45" s="47"/>
      <c r="D45" s="47"/>
      <c r="E45" s="328" t="s">
        <v>191</v>
      </c>
      <c r="F45" s="329">
        <f>SUM(F36:F43)</f>
        <v>567840</v>
      </c>
      <c r="G45" s="329">
        <f>SUM(G36:G43)</f>
        <v>0</v>
      </c>
      <c r="H45" s="330">
        <f>SUM(H36:H43)</f>
        <v>567840</v>
      </c>
      <c r="I45" s="46"/>
      <c r="J45" s="46"/>
      <c r="K45" s="48"/>
      <c r="L45" s="48"/>
      <c r="M45" s="48"/>
      <c r="N45" s="48"/>
      <c r="O45" s="48"/>
      <c r="S45" s="267"/>
      <c r="T45" s="267"/>
      <c r="U45" s="48"/>
      <c r="W45" s="46"/>
      <c r="X45" s="48"/>
      <c r="Y45" s="48"/>
      <c r="Z45" s="48"/>
      <c r="AA45" s="48"/>
      <c r="AB45" s="48"/>
      <c r="AC45" s="48"/>
      <c r="AD45" s="48"/>
      <c r="AE45" s="48"/>
      <c r="AF45" s="49"/>
      <c r="AG45" s="49"/>
      <c r="AH45" s="49"/>
      <c r="AI45" s="18"/>
      <c r="AJ45" s="18"/>
      <c r="AK45" s="18"/>
      <c r="AM45" s="48"/>
      <c r="AN45" s="49"/>
      <c r="AO45" s="48"/>
    </row>
    <row r="46" spans="1:41" s="16" customFormat="1" ht="16.5" thickBot="1" x14ac:dyDescent="0.3">
      <c r="A46" s="23"/>
      <c r="B46" s="23"/>
      <c r="C46" s="47"/>
      <c r="D46" s="47"/>
      <c r="E46" s="331" t="s">
        <v>192</v>
      </c>
      <c r="F46" s="332">
        <f>F44+F45</f>
        <v>1448547</v>
      </c>
      <c r="G46" s="332">
        <f>G44+G45</f>
        <v>0</v>
      </c>
      <c r="H46" s="333">
        <f>H44+H45</f>
        <v>1448547</v>
      </c>
      <c r="I46" s="46"/>
      <c r="J46" s="46"/>
      <c r="K46" s="48"/>
      <c r="L46" s="48"/>
      <c r="M46" s="48"/>
      <c r="N46" s="48"/>
      <c r="O46" s="48"/>
      <c r="U46" s="48"/>
      <c r="W46" s="46"/>
      <c r="X46" s="48"/>
      <c r="Y46" s="48"/>
      <c r="Z46" s="48"/>
      <c r="AA46" s="48"/>
      <c r="AB46" s="48"/>
      <c r="AC46" s="48"/>
      <c r="AD46" s="48"/>
      <c r="AE46" s="48"/>
      <c r="AF46" s="49"/>
      <c r="AG46" s="49"/>
      <c r="AH46" s="49"/>
      <c r="AI46" s="18"/>
      <c r="AJ46" s="18"/>
      <c r="AK46" s="18"/>
      <c r="AM46" s="48"/>
      <c r="AN46" s="49"/>
      <c r="AO46" s="48"/>
    </row>
    <row r="47" spans="1:41" x14ac:dyDescent="0.25">
      <c r="F47" s="10"/>
      <c r="G47" s="10"/>
      <c r="H47" s="10"/>
      <c r="R47" s="151"/>
      <c r="S47" s="152"/>
      <c r="T47" s="152"/>
      <c r="AF47" s="151"/>
      <c r="AG47" s="152"/>
      <c r="AH47" s="152"/>
    </row>
    <row r="48" spans="1:41" ht="15.75" thickBot="1" x14ac:dyDescent="0.3">
      <c r="K48" s="195"/>
      <c r="R48" s="151"/>
      <c r="U48" s="71"/>
      <c r="AF48" s="151"/>
      <c r="AG48" s="153"/>
      <c r="AH48" s="151"/>
    </row>
    <row r="49" spans="1:37" x14ac:dyDescent="0.25">
      <c r="A49" s="53" t="s">
        <v>211</v>
      </c>
      <c r="B49" s="319"/>
      <c r="C49" s="54" t="s">
        <v>212</v>
      </c>
      <c r="D49" s="55" t="s">
        <v>213</v>
      </c>
      <c r="H49" s="51"/>
      <c r="J49" s="52"/>
      <c r="K49" s="193"/>
      <c r="M49" s="48"/>
      <c r="N49" s="48"/>
      <c r="O49" s="48"/>
      <c r="T49" s="10"/>
      <c r="U49" s="71"/>
      <c r="AI49" s="56"/>
    </row>
    <row r="50" spans="1:37" x14ac:dyDescent="0.25">
      <c r="A50" s="57" t="s">
        <v>196</v>
      </c>
      <c r="B50" s="12"/>
      <c r="C50" s="58"/>
      <c r="D50" s="83"/>
      <c r="G50" s="194"/>
      <c r="H50" s="51"/>
      <c r="J50" s="52"/>
      <c r="K50" s="196"/>
      <c r="M50" s="48"/>
      <c r="N50" s="48"/>
      <c r="O50" s="48"/>
      <c r="T50" s="71"/>
      <c r="U50" s="71"/>
      <c r="AI50" s="12"/>
      <c r="AK50" s="10"/>
    </row>
    <row r="51" spans="1:37" x14ac:dyDescent="0.25">
      <c r="A51" s="59" t="s">
        <v>197</v>
      </c>
      <c r="B51" s="12"/>
      <c r="C51" s="58">
        <f>SUM(J5:J43)</f>
        <v>0</v>
      </c>
      <c r="D51" s="84">
        <f>ROUND(SUM(U5:U43),2)</f>
        <v>0</v>
      </c>
      <c r="G51" s="194"/>
      <c r="H51" s="52"/>
      <c r="J51" s="227"/>
      <c r="K51" s="196"/>
      <c r="T51" s="10"/>
      <c r="U51" s="71"/>
      <c r="AI51" s="12"/>
      <c r="AK51" s="10"/>
    </row>
    <row r="52" spans="1:37" x14ac:dyDescent="0.25">
      <c r="A52" s="57" t="s">
        <v>198</v>
      </c>
      <c r="B52" s="12"/>
      <c r="C52" s="58"/>
      <c r="D52" s="83"/>
      <c r="G52" s="194"/>
      <c r="J52" s="227"/>
      <c r="T52" s="10"/>
      <c r="U52" s="71"/>
      <c r="AI52" s="12"/>
      <c r="AK52" s="10"/>
    </row>
    <row r="53" spans="1:37" x14ac:dyDescent="0.25">
      <c r="A53" s="59" t="s">
        <v>197</v>
      </c>
      <c r="B53" s="12"/>
      <c r="C53" s="58">
        <f>SUM(W5:W43)</f>
        <v>0</v>
      </c>
      <c r="D53" s="84">
        <f>ROUND(SUM(AH5:AH43),2)</f>
        <v>0</v>
      </c>
      <c r="J53" s="51"/>
      <c r="T53" s="10"/>
      <c r="U53" s="71"/>
      <c r="AI53" s="12"/>
      <c r="AK53" s="10"/>
    </row>
    <row r="54" spans="1:37" x14ac:dyDescent="0.25">
      <c r="A54" s="59"/>
      <c r="B54" s="12"/>
      <c r="C54" s="58"/>
      <c r="D54" s="84"/>
      <c r="H54" s="51"/>
      <c r="J54" s="51"/>
      <c r="T54" s="10"/>
      <c r="U54" s="71"/>
      <c r="AI54" s="12"/>
      <c r="AK54" s="10"/>
    </row>
    <row r="55" spans="1:37" ht="15.75" thickBot="1" x14ac:dyDescent="0.3">
      <c r="A55" s="60" t="s">
        <v>199</v>
      </c>
      <c r="B55" s="320"/>
      <c r="C55" s="61">
        <f>SUM(C51:C54)</f>
        <v>0</v>
      </c>
      <c r="D55" s="86">
        <f>SUM(D51:D54)</f>
        <v>0</v>
      </c>
      <c r="F55" s="13"/>
      <c r="H55" s="51"/>
      <c r="J55" s="51"/>
      <c r="R55" s="13"/>
      <c r="T55" s="10"/>
      <c r="U55" s="71"/>
      <c r="AI55" s="12"/>
      <c r="AK55" s="10"/>
    </row>
    <row r="56" spans="1:37" ht="15.75" thickBot="1" x14ac:dyDescent="0.3">
      <c r="C56" s="50"/>
      <c r="D56" s="88"/>
      <c r="H56" s="51"/>
      <c r="J56" s="52"/>
      <c r="R56" s="13"/>
      <c r="T56" s="10"/>
      <c r="U56" s="71"/>
      <c r="AI56" s="12"/>
      <c r="AK56" s="10"/>
    </row>
    <row r="57" spans="1:37" x14ac:dyDescent="0.25">
      <c r="A57" s="53" t="s">
        <v>200</v>
      </c>
      <c r="B57" s="319"/>
      <c r="C57" s="62" t="s">
        <v>201</v>
      </c>
      <c r="D57" s="130" t="s">
        <v>157</v>
      </c>
      <c r="F57" s="268"/>
      <c r="G57" s="268"/>
      <c r="H57" s="51"/>
      <c r="J57" s="13"/>
      <c r="R57" s="13"/>
      <c r="T57" s="10"/>
      <c r="U57" s="71"/>
      <c r="AI57" s="12"/>
      <c r="AK57" s="10"/>
    </row>
    <row r="58" spans="1:37" x14ac:dyDescent="0.25">
      <c r="A58" s="59" t="s">
        <v>200</v>
      </c>
      <c r="B58" s="12"/>
      <c r="C58" s="63"/>
      <c r="D58" s="85">
        <v>25176152</v>
      </c>
      <c r="F58" s="13"/>
      <c r="G58" s="13"/>
      <c r="H58" s="194"/>
      <c r="J58" s="52"/>
      <c r="R58" s="13"/>
      <c r="T58" s="10"/>
      <c r="U58" s="71"/>
      <c r="AI58" s="12"/>
      <c r="AK58" s="10"/>
    </row>
    <row r="59" spans="1:37" x14ac:dyDescent="0.25">
      <c r="A59" s="59" t="s">
        <v>202</v>
      </c>
      <c r="B59" s="12"/>
      <c r="C59" s="175"/>
      <c r="D59" s="84">
        <f>ROUND(D58*C59,2)</f>
        <v>0</v>
      </c>
      <c r="H59" s="51"/>
      <c r="J59" s="52"/>
      <c r="R59" s="13"/>
      <c r="T59" s="10"/>
      <c r="U59" s="71"/>
      <c r="AI59" s="12"/>
      <c r="AK59" s="10"/>
    </row>
    <row r="60" spans="1:37" x14ac:dyDescent="0.25">
      <c r="A60" s="59"/>
      <c r="B60" s="12"/>
      <c r="C60" s="63"/>
      <c r="D60" s="84"/>
      <c r="H60" s="51"/>
      <c r="J60" s="52"/>
      <c r="R60" s="13"/>
      <c r="T60" s="10"/>
      <c r="U60" s="10"/>
      <c r="AI60" s="12"/>
      <c r="AK60" s="10"/>
    </row>
    <row r="61" spans="1:37" ht="15.75" thickBot="1" x14ac:dyDescent="0.3">
      <c r="A61" s="60" t="s">
        <v>203</v>
      </c>
      <c r="B61" s="320"/>
      <c r="C61" s="61"/>
      <c r="D61" s="86">
        <f>SUM(D58:D60)</f>
        <v>25176152</v>
      </c>
      <c r="G61" s="194"/>
      <c r="H61" s="51"/>
      <c r="J61" s="52"/>
      <c r="R61" s="13"/>
      <c r="T61" s="10"/>
      <c r="U61" s="10"/>
      <c r="AI61" s="12"/>
      <c r="AK61" s="10"/>
    </row>
    <row r="62" spans="1:37" ht="15.75" thickBot="1" x14ac:dyDescent="0.3">
      <c r="A62" s="64"/>
      <c r="B62" s="12"/>
      <c r="C62" s="65"/>
      <c r="D62" s="87"/>
      <c r="G62" s="194"/>
      <c r="H62" s="51"/>
      <c r="J62" s="52"/>
      <c r="R62" s="13"/>
      <c r="T62" s="10"/>
      <c r="U62" s="10"/>
      <c r="AI62" s="12"/>
      <c r="AK62" s="10"/>
    </row>
    <row r="63" spans="1:37" customFormat="1" x14ac:dyDescent="0.25">
      <c r="A63" s="461" t="s">
        <v>204</v>
      </c>
      <c r="B63" s="319"/>
      <c r="C63" s="462"/>
      <c r="D63" s="463"/>
      <c r="E63" s="50"/>
      <c r="F63" s="50"/>
      <c r="G63" s="50"/>
      <c r="H63" s="50"/>
      <c r="I63" s="51"/>
      <c r="J63" s="51"/>
      <c r="K63" s="52"/>
      <c r="L63" s="52"/>
      <c r="M63" s="52"/>
      <c r="N63" s="52"/>
      <c r="O63" s="52"/>
      <c r="P63" s="52"/>
      <c r="Q63" s="52"/>
      <c r="R63" s="52"/>
      <c r="S63" s="52"/>
      <c r="T63" s="52"/>
      <c r="U63" s="13"/>
      <c r="V63" s="52"/>
      <c r="W63" s="52"/>
    </row>
    <row r="64" spans="1:37" customFormat="1" x14ac:dyDescent="0.25">
      <c r="A64" s="464" t="s">
        <v>205</v>
      </c>
      <c r="B64" s="12"/>
      <c r="C64" s="471"/>
      <c r="D64" s="466"/>
      <c r="E64" s="50"/>
      <c r="F64" s="50"/>
      <c r="G64" s="50"/>
      <c r="H64" s="50"/>
      <c r="I64" s="51"/>
      <c r="J64" s="51"/>
      <c r="K64" s="52"/>
      <c r="L64" s="52"/>
      <c r="M64" s="52"/>
      <c r="N64" s="52"/>
      <c r="O64" s="52"/>
      <c r="P64" s="52"/>
      <c r="Q64" s="52"/>
      <c r="R64" s="52"/>
      <c r="S64" s="52"/>
      <c r="T64" s="52"/>
      <c r="U64" s="13"/>
      <c r="V64" s="52"/>
      <c r="W64" s="52"/>
    </row>
    <row r="65" spans="1:38" customFormat="1" x14ac:dyDescent="0.25">
      <c r="A65" s="464"/>
      <c r="B65" s="12"/>
      <c r="C65" s="471"/>
      <c r="D65" s="467"/>
      <c r="E65" s="50"/>
      <c r="F65" s="50"/>
      <c r="G65" s="50"/>
      <c r="H65" s="50"/>
      <c r="I65" s="51"/>
      <c r="J65" s="51"/>
      <c r="K65" s="52"/>
      <c r="L65" s="52"/>
      <c r="M65" s="52"/>
      <c r="N65" s="52"/>
      <c r="O65" s="52"/>
      <c r="P65" s="52"/>
      <c r="Q65" s="52"/>
      <c r="R65" s="52"/>
      <c r="S65" s="52"/>
      <c r="T65" s="52"/>
      <c r="U65" s="13"/>
      <c r="V65" s="52"/>
      <c r="W65" s="52"/>
    </row>
    <row r="66" spans="1:38" customFormat="1" ht="15.75" thickBot="1" x14ac:dyDescent="0.3">
      <c r="A66" s="468" t="s">
        <v>206</v>
      </c>
      <c r="B66" s="320"/>
      <c r="C66" s="469"/>
      <c r="D66" s="86">
        <f>ROUND(D64,2)</f>
        <v>0</v>
      </c>
      <c r="E66" s="50"/>
      <c r="F66" s="50"/>
      <c r="G66" s="470"/>
      <c r="H66" s="50"/>
      <c r="I66" s="51"/>
      <c r="J66" s="51"/>
      <c r="K66" s="52"/>
      <c r="L66" s="52"/>
      <c r="M66" s="52"/>
      <c r="N66" s="52"/>
      <c r="O66" s="52"/>
      <c r="P66" s="52"/>
      <c r="Q66" s="52"/>
      <c r="R66" s="52"/>
      <c r="S66" s="52"/>
      <c r="T66" s="52"/>
      <c r="U66" s="13"/>
      <c r="V66" s="52"/>
      <c r="W66" s="52"/>
    </row>
    <row r="67" spans="1:38" customFormat="1" ht="15.75" thickBot="1" x14ac:dyDescent="0.3">
      <c r="B67" s="465"/>
      <c r="C67" s="465"/>
      <c r="D67" s="465"/>
      <c r="E67" s="50"/>
      <c r="F67" s="87"/>
      <c r="G67" s="470"/>
      <c r="H67" s="50"/>
      <c r="I67" s="51"/>
      <c r="J67" s="51"/>
      <c r="K67" s="52"/>
      <c r="L67" s="52"/>
      <c r="M67" s="52"/>
      <c r="N67" s="52"/>
      <c r="O67" s="52"/>
      <c r="P67" s="52"/>
      <c r="Q67" s="52"/>
      <c r="R67" s="52"/>
      <c r="S67" s="52"/>
      <c r="T67" s="52"/>
      <c r="U67" s="13"/>
      <c r="V67" s="52"/>
      <c r="W67" s="52"/>
    </row>
    <row r="68" spans="1:38" ht="15.75" thickBot="1" x14ac:dyDescent="0.3">
      <c r="A68" s="66" t="s">
        <v>207</v>
      </c>
      <c r="B68" s="200"/>
      <c r="C68" s="200"/>
      <c r="D68" s="89">
        <f>D55+D61+D66</f>
        <v>25176152</v>
      </c>
      <c r="E68" s="50"/>
      <c r="K68" s="50"/>
      <c r="L68" s="50"/>
      <c r="S68" s="52"/>
      <c r="U68" s="13"/>
      <c r="V68" s="52"/>
      <c r="W68" s="52"/>
      <c r="AJ68" s="10"/>
      <c r="AK68" s="10"/>
      <c r="AL68" s="12"/>
    </row>
    <row r="69" spans="1:38" ht="15.75" thickBot="1" x14ac:dyDescent="0.3">
      <c r="H69" s="51"/>
      <c r="J69" s="52"/>
      <c r="S69" s="52"/>
      <c r="T69" s="13"/>
      <c r="U69" s="13"/>
      <c r="AJ69" s="10"/>
      <c r="AL69" s="12"/>
    </row>
    <row r="70" spans="1:38" ht="15.75" thickBot="1" x14ac:dyDescent="0.3">
      <c r="A70" s="66" t="s">
        <v>208</v>
      </c>
      <c r="B70" s="200"/>
      <c r="C70" s="200"/>
      <c r="D70" s="89">
        <f>D68-D66</f>
        <v>25176152</v>
      </c>
      <c r="E70" s="50"/>
      <c r="K70" s="50"/>
      <c r="L70" s="50"/>
      <c r="S70" s="52"/>
      <c r="U70" s="13"/>
      <c r="V70" s="52"/>
      <c r="W70" s="52"/>
      <c r="AJ70" s="10"/>
      <c r="AK70" s="10"/>
      <c r="AL70" s="12"/>
    </row>
    <row r="71" spans="1:38" x14ac:dyDescent="0.25">
      <c r="H71" s="51"/>
      <c r="J71" s="52"/>
      <c r="R71" s="13"/>
      <c r="T71" s="10"/>
      <c r="U71" s="10"/>
      <c r="AI71" s="12"/>
      <c r="AK71" s="10"/>
    </row>
    <row r="72" spans="1:38" x14ac:dyDescent="0.25">
      <c r="F72" s="194"/>
      <c r="H72" s="51"/>
      <c r="J72" s="52"/>
      <c r="R72" s="13"/>
      <c r="T72" s="10"/>
      <c r="U72" s="10"/>
      <c r="AI72" s="12"/>
      <c r="AK72" s="10"/>
    </row>
    <row r="73" spans="1:38" x14ac:dyDescent="0.25">
      <c r="G73" s="51"/>
    </row>
    <row r="74" spans="1:38" x14ac:dyDescent="0.25">
      <c r="G74" s="51"/>
    </row>
    <row r="75" spans="1:38" x14ac:dyDescent="0.25">
      <c r="G75" s="51"/>
    </row>
  </sheetData>
  <sheetProtection algorithmName="SHA-512" hashValue="SKrgygaLTaTha/H+HJU7Vm4NDD0wGLEf3ZWOHyZN+cu8fGK3SvdEMLOphACYnTy6oGVvSlctRFss0dX5DyV7PQ==" saltValue="VRwGZ0AKmXvMah/3i4/FSw==" spinCount="100000" sheet="1" objects="1" scenarios="1"/>
  <mergeCells count="14">
    <mergeCell ref="A38:A39"/>
    <mergeCell ref="A40:A43"/>
    <mergeCell ref="A8:A12"/>
    <mergeCell ref="A13:A14"/>
    <mergeCell ref="A15:A19"/>
    <mergeCell ref="A23:A27"/>
    <mergeCell ref="A28:A29"/>
    <mergeCell ref="A30:A34"/>
    <mergeCell ref="AM3:AO3"/>
    <mergeCell ref="A1:AO1"/>
    <mergeCell ref="A2:H2"/>
    <mergeCell ref="J2:U2"/>
    <mergeCell ref="W2:AK2"/>
    <mergeCell ref="AM2:AO2"/>
  </mergeCells>
  <conditionalFormatting sqref="H5:H19 H21:H34 H36:H46">
    <cfRule type="cellIs" dxfId="12" priority="1" operator="lessThan">
      <formula>0</formula>
    </cfRule>
    <cfRule type="cellIs" dxfId="11" priority="2" operator="greaterThan">
      <formula>0</formula>
    </cfRule>
    <cfRule type="cellIs" dxfId="10" priority="3" operator="equal">
      <formula>0</formula>
    </cfRule>
  </conditionalFormatting>
  <pageMargins left="0.7" right="0.7" top="0.75" bottom="0.75" header="0.3" footer="0.3"/>
  <pageSetup orientation="portrait" verticalDpi="597"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59F6-80C3-480A-B21D-FDBD8E4461BD}">
  <dimension ref="A1:AO70"/>
  <sheetViews>
    <sheetView showGridLines="0" zoomScaleNormal="100" workbookViewId="0">
      <pane ySplit="4" topLeftCell="A5" activePane="bottomLeft" state="frozen"/>
      <selection pane="bottomLeft" activeCell="D64" sqref="D64"/>
    </sheetView>
  </sheetViews>
  <sheetFormatPr defaultColWidth="9.140625" defaultRowHeight="15" x14ac:dyDescent="0.25"/>
  <cols>
    <col min="1" max="1" width="31.140625" style="10" customWidth="1"/>
    <col min="2" max="2" width="4" style="10" bestFit="1" customWidth="1"/>
    <col min="3" max="3" width="28.7109375" style="10" customWidth="1"/>
    <col min="4" max="4" width="20.85546875" style="10" customWidth="1"/>
    <col min="5" max="5" width="15.7109375" style="10" bestFit="1" customWidth="1"/>
    <col min="6" max="8" width="14.7109375" style="50" customWidth="1"/>
    <col min="9" max="9" width="1.7109375" style="51" customWidth="1"/>
    <col min="10" max="10" width="14.7109375" style="50" customWidth="1"/>
    <col min="11" max="18" width="14.7109375" style="52" customWidth="1"/>
    <col min="19" max="19" width="23.7109375" style="13" customWidth="1"/>
    <col min="20" max="21" width="23.7109375" style="52" customWidth="1"/>
    <col min="22" max="22" width="1.7109375" style="10" customWidth="1"/>
    <col min="23" max="31" width="14.7109375" style="10" customWidth="1"/>
    <col min="32" max="34" width="23.7109375" style="10" customWidth="1"/>
    <col min="35" max="35" width="36.7109375" style="10" customWidth="1"/>
    <col min="36" max="36" width="12.7109375" style="12" customWidth="1"/>
    <col min="37" max="37" width="24.7109375" style="12" customWidth="1"/>
    <col min="38" max="38" width="1.7109375" style="10" customWidth="1"/>
    <col min="39" max="41" width="16.7109375" style="10" customWidth="1"/>
    <col min="42" max="16384" width="9.140625" style="10"/>
  </cols>
  <sheetData>
    <row r="1" spans="1:41" s="16" customFormat="1" ht="34.5" thickBot="1" x14ac:dyDescent="0.55000000000000004">
      <c r="A1" s="516" t="s">
        <v>214</v>
      </c>
      <c r="B1" s="517"/>
      <c r="C1" s="518"/>
      <c r="D1" s="518"/>
      <c r="E1" s="518"/>
      <c r="F1" s="518"/>
      <c r="G1" s="518"/>
      <c r="H1" s="518"/>
      <c r="I1" s="518"/>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8"/>
      <c r="AK1" s="518"/>
      <c r="AL1" s="518"/>
      <c r="AM1" s="518"/>
      <c r="AN1" s="518"/>
      <c r="AO1" s="519"/>
    </row>
    <row r="2" spans="1:41" ht="15.75" thickBot="1" x14ac:dyDescent="0.3">
      <c r="A2" s="526" t="s">
        <v>215</v>
      </c>
      <c r="B2" s="527"/>
      <c r="C2" s="527"/>
      <c r="D2" s="527"/>
      <c r="E2" s="527"/>
      <c r="F2" s="527"/>
      <c r="G2" s="527"/>
      <c r="H2" s="528"/>
      <c r="I2" s="35"/>
      <c r="J2" s="523" t="s">
        <v>142</v>
      </c>
      <c r="K2" s="524"/>
      <c r="L2" s="524"/>
      <c r="M2" s="524"/>
      <c r="N2" s="524"/>
      <c r="O2" s="524"/>
      <c r="P2" s="524"/>
      <c r="Q2" s="524"/>
      <c r="R2" s="524"/>
      <c r="S2" s="524"/>
      <c r="T2" s="524"/>
      <c r="U2" s="525"/>
      <c r="W2" s="529" t="s">
        <v>143</v>
      </c>
      <c r="X2" s="530"/>
      <c r="Y2" s="530"/>
      <c r="Z2" s="530"/>
      <c r="AA2" s="530"/>
      <c r="AB2" s="530"/>
      <c r="AC2" s="530"/>
      <c r="AD2" s="530"/>
      <c r="AE2" s="530"/>
      <c r="AF2" s="530"/>
      <c r="AG2" s="530"/>
      <c r="AH2" s="530"/>
      <c r="AI2" s="530"/>
      <c r="AJ2" s="530"/>
      <c r="AK2" s="531"/>
      <c r="AM2" s="526" t="s">
        <v>144</v>
      </c>
      <c r="AN2" s="527"/>
      <c r="AO2" s="528"/>
    </row>
    <row r="3" spans="1:41" s="309" customFormat="1" ht="45.95" customHeight="1" thickBot="1" x14ac:dyDescent="0.3">
      <c r="A3" s="203" t="s">
        <v>65</v>
      </c>
      <c r="B3" s="277" t="s">
        <v>66</v>
      </c>
      <c r="C3" s="298" t="s">
        <v>67</v>
      </c>
      <c r="D3" s="298" t="s">
        <v>145</v>
      </c>
      <c r="E3" s="298" t="s">
        <v>82</v>
      </c>
      <c r="F3" s="299" t="s">
        <v>146</v>
      </c>
      <c r="G3" s="299" t="s">
        <v>147</v>
      </c>
      <c r="H3" s="300" t="s">
        <v>148</v>
      </c>
      <c r="I3" s="301"/>
      <c r="J3" s="302" t="s">
        <v>149</v>
      </c>
      <c r="K3" s="304" t="s">
        <v>152</v>
      </c>
      <c r="L3" s="304" t="s">
        <v>153</v>
      </c>
      <c r="M3" s="305" t="s">
        <v>154</v>
      </c>
      <c r="N3" s="305" t="s">
        <v>155</v>
      </c>
      <c r="O3" s="305" t="s">
        <v>156</v>
      </c>
      <c r="P3" s="305" t="s">
        <v>157</v>
      </c>
      <c r="Q3" s="305" t="s">
        <v>158</v>
      </c>
      <c r="R3" s="305" t="s">
        <v>159</v>
      </c>
      <c r="S3" s="306" t="s">
        <v>160</v>
      </c>
      <c r="T3" s="307" t="s">
        <v>161</v>
      </c>
      <c r="U3" s="308" t="s">
        <v>162</v>
      </c>
      <c r="W3" s="302" t="s">
        <v>163</v>
      </c>
      <c r="X3" s="304" t="s">
        <v>164</v>
      </c>
      <c r="Y3" s="304" t="s">
        <v>165</v>
      </c>
      <c r="Z3" s="304" t="s">
        <v>166</v>
      </c>
      <c r="AA3" s="304" t="s">
        <v>167</v>
      </c>
      <c r="AB3" s="304" t="s">
        <v>168</v>
      </c>
      <c r="AC3" s="307" t="s">
        <v>157</v>
      </c>
      <c r="AD3" s="304" t="s">
        <v>169</v>
      </c>
      <c r="AE3" s="304" t="s">
        <v>170</v>
      </c>
      <c r="AF3" s="304" t="s">
        <v>160</v>
      </c>
      <c r="AG3" s="304" t="s">
        <v>161</v>
      </c>
      <c r="AH3" s="304" t="s">
        <v>162</v>
      </c>
      <c r="AI3" s="310" t="s">
        <v>171</v>
      </c>
      <c r="AJ3" s="310" t="s">
        <v>172</v>
      </c>
      <c r="AK3" s="311" t="s">
        <v>173</v>
      </c>
      <c r="AM3" s="520" t="s">
        <v>174</v>
      </c>
      <c r="AN3" s="521"/>
      <c r="AO3" s="522"/>
    </row>
    <row r="4" spans="1:41" ht="31.5" customHeight="1" thickBot="1" x14ac:dyDescent="0.3">
      <c r="A4" s="66" t="s">
        <v>175</v>
      </c>
      <c r="B4" s="278"/>
      <c r="C4" s="200"/>
      <c r="D4" s="200"/>
      <c r="E4" s="200"/>
      <c r="F4" s="201"/>
      <c r="G4" s="201"/>
      <c r="H4" s="202"/>
      <c r="I4" s="36"/>
      <c r="J4" s="155"/>
      <c r="K4" s="204"/>
      <c r="L4" s="157"/>
      <c r="M4" s="157"/>
      <c r="N4" s="157"/>
      <c r="O4" s="157"/>
      <c r="P4" s="158"/>
      <c r="Q4" s="157"/>
      <c r="R4" s="158"/>
      <c r="S4" s="158"/>
      <c r="T4" s="187"/>
      <c r="U4" s="188"/>
      <c r="W4" s="155"/>
      <c r="X4" s="156"/>
      <c r="Y4" s="156"/>
      <c r="Z4" s="157"/>
      <c r="AA4" s="157"/>
      <c r="AB4" s="157"/>
      <c r="AC4" s="158"/>
      <c r="AD4" s="157"/>
      <c r="AE4" s="156"/>
      <c r="AF4" s="156"/>
      <c r="AG4" s="156"/>
      <c r="AH4" s="156"/>
      <c r="AI4" s="245"/>
      <c r="AJ4" s="245"/>
      <c r="AK4" s="246"/>
      <c r="AL4" s="37"/>
      <c r="AM4" s="190" t="s">
        <v>157</v>
      </c>
      <c r="AN4" s="191" t="s">
        <v>158</v>
      </c>
      <c r="AO4" s="192" t="s">
        <v>176</v>
      </c>
    </row>
    <row r="5" spans="1:41" ht="15.75" thickBot="1" x14ac:dyDescent="0.3">
      <c r="A5" s="297" t="s">
        <v>72</v>
      </c>
      <c r="B5" s="283" t="s">
        <v>89</v>
      </c>
      <c r="C5" s="284" t="s">
        <v>90</v>
      </c>
      <c r="D5" s="284" t="s">
        <v>177</v>
      </c>
      <c r="E5" s="284" t="s">
        <v>91</v>
      </c>
      <c r="F5" s="285">
        <v>21344</v>
      </c>
      <c r="G5" s="285">
        <f t="shared" ref="G5:G19" si="0">SUM(J5,W5)</f>
        <v>0</v>
      </c>
      <c r="H5" s="286">
        <f>F5-G5</f>
        <v>21344</v>
      </c>
      <c r="I5" s="107"/>
      <c r="J5" s="292"/>
      <c r="K5" s="294">
        <f>'Ordering Period 2'!K5+('Ordering Period 2'!K5*Escalation!$D$3)</f>
        <v>0</v>
      </c>
      <c r="L5" s="349">
        <f t="shared" ref="L5:L19" si="1">(K5*$L$4)</f>
        <v>0</v>
      </c>
      <c r="M5" s="349">
        <f t="shared" ref="M5:M19" si="2">(L5+K5)*$M$4</f>
        <v>0</v>
      </c>
      <c r="N5" s="349">
        <f>(L5+K5+M5)*$N$4</f>
        <v>0</v>
      </c>
      <c r="O5" s="349">
        <f>(K5+L5+M5+N5)*$O$4</f>
        <v>0</v>
      </c>
      <c r="P5" s="294">
        <f>SUM(K5:O5)</f>
        <v>0</v>
      </c>
      <c r="Q5" s="294">
        <f>(P5-O5)*$Q$4</f>
        <v>0</v>
      </c>
      <c r="R5" s="294">
        <f>SUM(P5:Q5)</f>
        <v>0</v>
      </c>
      <c r="S5" s="295">
        <f t="shared" ref="S5:S19" si="3">P5*J5</f>
        <v>0</v>
      </c>
      <c r="T5" s="294">
        <f t="shared" ref="T5:T19" si="4">Q5*J5</f>
        <v>0</v>
      </c>
      <c r="U5" s="296">
        <f t="shared" ref="U5:U19" si="5">R5*J5</f>
        <v>0</v>
      </c>
      <c r="W5" s="288"/>
      <c r="X5" s="334"/>
      <c r="Y5" s="290">
        <f>IF($W5&gt;0,$X5,0)</f>
        <v>0</v>
      </c>
      <c r="Z5" s="334">
        <f>(Y5*$Z$4)</f>
        <v>0</v>
      </c>
      <c r="AA5" s="334">
        <f>(Y5+Z5)*$AA$4</f>
        <v>0</v>
      </c>
      <c r="AB5" s="334"/>
      <c r="AC5" s="290">
        <f>SUM(Y5:AB5)</f>
        <v>0</v>
      </c>
      <c r="AD5" s="290">
        <f>$AD$4*(AA5+Y5+Z5)</f>
        <v>0</v>
      </c>
      <c r="AE5" s="290">
        <f>SUM(AC5:AD5)</f>
        <v>0</v>
      </c>
      <c r="AF5" s="290">
        <f>AC5*W5</f>
        <v>0</v>
      </c>
      <c r="AG5" s="290">
        <f>AD5*W5</f>
        <v>0</v>
      </c>
      <c r="AH5" s="290">
        <f>AE5*W5</f>
        <v>0</v>
      </c>
      <c r="AI5" s="335"/>
      <c r="AJ5" s="336"/>
      <c r="AK5" s="337"/>
      <c r="AM5" s="339" t="str">
        <f t="shared" ref="AM5:AM19" si="6">IFERROR(SUM(S5,AF5)/G5,"")</f>
        <v/>
      </c>
      <c r="AN5" s="340" t="str">
        <f t="shared" ref="AN5:AN19" si="7">IFERROR(SUM(T5,AG5)/G5,"")</f>
        <v/>
      </c>
      <c r="AO5" s="291">
        <f>SUM(AM5:AN5)</f>
        <v>0</v>
      </c>
    </row>
    <row r="6" spans="1:41" ht="15.75" thickBot="1" x14ac:dyDescent="0.3">
      <c r="A6" s="297" t="s">
        <v>73</v>
      </c>
      <c r="B6" s="283" t="s">
        <v>92</v>
      </c>
      <c r="C6" s="284" t="s">
        <v>93</v>
      </c>
      <c r="D6" s="284" t="s">
        <v>178</v>
      </c>
      <c r="E6" s="284" t="s">
        <v>91</v>
      </c>
      <c r="F6" s="285">
        <v>65410</v>
      </c>
      <c r="G6" s="285">
        <f t="shared" si="0"/>
        <v>0</v>
      </c>
      <c r="H6" s="286">
        <f t="shared" ref="H6:H43" si="8">F6-G6</f>
        <v>65410</v>
      </c>
      <c r="I6" s="107"/>
      <c r="J6" s="288"/>
      <c r="K6" s="290">
        <f>'Ordering Period 2'!K6+('Ordering Period 2'!K6*Escalation!$D$3)</f>
        <v>0</v>
      </c>
      <c r="L6" s="334">
        <f t="shared" si="1"/>
        <v>0</v>
      </c>
      <c r="M6" s="334">
        <f t="shared" si="2"/>
        <v>0</v>
      </c>
      <c r="N6" s="334">
        <f t="shared" ref="N6:N19" si="9">(L6+K6+M6)*$N$4</f>
        <v>0</v>
      </c>
      <c r="O6" s="334">
        <f t="shared" ref="O6:O18" si="10">(K6+L6+M6+N6)*$O$4</f>
        <v>0</v>
      </c>
      <c r="P6" s="290">
        <f t="shared" ref="P6:P19" si="11">SUM(K6:O6)</f>
        <v>0</v>
      </c>
      <c r="Q6" s="290">
        <f>(P6-O6)*$Q$4</f>
        <v>0</v>
      </c>
      <c r="R6" s="290">
        <f t="shared" ref="R6:R13" si="12">SUM(P6:Q6)</f>
        <v>0</v>
      </c>
      <c r="S6" s="290">
        <f t="shared" si="3"/>
        <v>0</v>
      </c>
      <c r="T6" s="290">
        <f t="shared" si="4"/>
        <v>0</v>
      </c>
      <c r="U6" s="291">
        <f t="shared" si="5"/>
        <v>0</v>
      </c>
      <c r="W6" s="288"/>
      <c r="X6" s="334"/>
      <c r="Y6" s="290">
        <f t="shared" ref="Y6:Y19" si="13">IF($W6&gt;0,$X6,0)</f>
        <v>0</v>
      </c>
      <c r="Z6" s="334">
        <f t="shared" ref="Z6:Z19" si="14">(Y6*$Z$4)</f>
        <v>0</v>
      </c>
      <c r="AA6" s="334">
        <f t="shared" ref="AA6:AA19" si="15">(Y6+Z6)*$AA$4</f>
        <v>0</v>
      </c>
      <c r="AB6" s="334"/>
      <c r="AC6" s="290">
        <f t="shared" ref="AC6:AC19" si="16">SUM(Y6:AB6)</f>
        <v>0</v>
      </c>
      <c r="AD6" s="290">
        <f t="shared" ref="AD6:AD19" si="17">$AD$4*(AA6+Y6+Z6)</f>
        <v>0</v>
      </c>
      <c r="AE6" s="290">
        <f t="shared" ref="AE6:AE19" si="18">SUM(AC6:AD6)</f>
        <v>0</v>
      </c>
      <c r="AF6" s="290">
        <f t="shared" ref="AF6:AF19" si="19">AC6*W6</f>
        <v>0</v>
      </c>
      <c r="AG6" s="290">
        <f t="shared" ref="AG6:AG19" si="20">AD6*W6</f>
        <v>0</v>
      </c>
      <c r="AH6" s="290">
        <f t="shared" ref="AH6:AH19" si="21">AE6*W6</f>
        <v>0</v>
      </c>
      <c r="AI6" s="335"/>
      <c r="AJ6" s="336"/>
      <c r="AK6" s="337"/>
      <c r="AM6" s="339" t="str">
        <f t="shared" si="6"/>
        <v/>
      </c>
      <c r="AN6" s="340" t="str">
        <f t="shared" si="7"/>
        <v/>
      </c>
      <c r="AO6" s="291">
        <f>SUM(AM6:AN6)</f>
        <v>0</v>
      </c>
    </row>
    <row r="7" spans="1:41" ht="15.75" thickBot="1" x14ac:dyDescent="0.3">
      <c r="A7" s="297" t="s">
        <v>74</v>
      </c>
      <c r="B7" s="283" t="s">
        <v>94</v>
      </c>
      <c r="C7" s="284" t="s">
        <v>95</v>
      </c>
      <c r="D7" s="284" t="s">
        <v>179</v>
      </c>
      <c r="E7" s="284" t="s">
        <v>91</v>
      </c>
      <c r="F7" s="285">
        <v>168377</v>
      </c>
      <c r="G7" s="285">
        <f t="shared" si="0"/>
        <v>0</v>
      </c>
      <c r="H7" s="286">
        <f t="shared" si="8"/>
        <v>168377</v>
      </c>
      <c r="I7" s="107"/>
      <c r="J7" s="288"/>
      <c r="K7" s="290">
        <f>'Ordering Period 2'!K7+('Ordering Period 2'!K7*Escalation!$D$3)</f>
        <v>0</v>
      </c>
      <c r="L7" s="334">
        <f t="shared" si="1"/>
        <v>0</v>
      </c>
      <c r="M7" s="334">
        <f t="shared" si="2"/>
        <v>0</v>
      </c>
      <c r="N7" s="334">
        <f t="shared" si="9"/>
        <v>0</v>
      </c>
      <c r="O7" s="334">
        <f>(K7+L7+M7+N7)*$O$4</f>
        <v>0</v>
      </c>
      <c r="P7" s="290">
        <f t="shared" si="11"/>
        <v>0</v>
      </c>
      <c r="Q7" s="290">
        <f t="shared" ref="Q7:Q18" si="22">(P7-O7)*$Q$4</f>
        <v>0</v>
      </c>
      <c r="R7" s="290">
        <f>SUM(P7:Q7)</f>
        <v>0</v>
      </c>
      <c r="S7" s="290">
        <f t="shared" si="3"/>
        <v>0</v>
      </c>
      <c r="T7" s="290">
        <f t="shared" si="4"/>
        <v>0</v>
      </c>
      <c r="U7" s="291">
        <f t="shared" si="5"/>
        <v>0</v>
      </c>
      <c r="W7" s="288"/>
      <c r="X7" s="334"/>
      <c r="Y7" s="290">
        <f t="shared" si="13"/>
        <v>0</v>
      </c>
      <c r="Z7" s="334">
        <f t="shared" si="14"/>
        <v>0</v>
      </c>
      <c r="AA7" s="334">
        <f t="shared" si="15"/>
        <v>0</v>
      </c>
      <c r="AB7" s="334"/>
      <c r="AC7" s="290">
        <f t="shared" si="16"/>
        <v>0</v>
      </c>
      <c r="AD7" s="290">
        <f t="shared" si="17"/>
        <v>0</v>
      </c>
      <c r="AE7" s="290">
        <f t="shared" si="18"/>
        <v>0</v>
      </c>
      <c r="AF7" s="290">
        <f t="shared" si="19"/>
        <v>0</v>
      </c>
      <c r="AG7" s="290">
        <f t="shared" si="20"/>
        <v>0</v>
      </c>
      <c r="AH7" s="290">
        <f t="shared" si="21"/>
        <v>0</v>
      </c>
      <c r="AI7" s="335"/>
      <c r="AJ7" s="336"/>
      <c r="AK7" s="337"/>
      <c r="AM7" s="339" t="str">
        <f t="shared" si="6"/>
        <v/>
      </c>
      <c r="AN7" s="340" t="str">
        <f t="shared" si="7"/>
        <v/>
      </c>
      <c r="AO7" s="291">
        <f t="shared" ref="AO7:AO43" si="23">SUM(AM7:AN7)</f>
        <v>0</v>
      </c>
    </row>
    <row r="8" spans="1:41" x14ac:dyDescent="0.25">
      <c r="A8" s="496" t="s">
        <v>75</v>
      </c>
      <c r="B8" s="279" t="s">
        <v>96</v>
      </c>
      <c r="C8" s="109" t="s">
        <v>93</v>
      </c>
      <c r="D8" s="109" t="s">
        <v>178</v>
      </c>
      <c r="E8" s="109" t="s">
        <v>91</v>
      </c>
      <c r="F8" s="38">
        <v>13398</v>
      </c>
      <c r="G8" s="38">
        <f t="shared" si="0"/>
        <v>0</v>
      </c>
      <c r="H8" s="39">
        <f t="shared" si="8"/>
        <v>13398</v>
      </c>
      <c r="I8" s="107"/>
      <c r="J8" s="121"/>
      <c r="K8" s="122">
        <f>'Ordering Period 2'!K8+('Ordering Period 2'!K8*Escalation!$D$3)</f>
        <v>0</v>
      </c>
      <c r="L8" s="123">
        <f t="shared" si="1"/>
        <v>0</v>
      </c>
      <c r="M8" s="123">
        <f t="shared" si="2"/>
        <v>0</v>
      </c>
      <c r="N8" s="123">
        <f t="shared" si="9"/>
        <v>0</v>
      </c>
      <c r="O8" s="123">
        <f t="shared" ref="O8:O10" si="24">(K8+L8+M8+N8)*$O$4</f>
        <v>0</v>
      </c>
      <c r="P8" s="122">
        <f t="shared" si="11"/>
        <v>0</v>
      </c>
      <c r="Q8" s="122">
        <f>(P8-O8)*$Q$4</f>
        <v>0</v>
      </c>
      <c r="R8" s="122">
        <f t="shared" ref="R8:R9" si="25">SUM(P8:Q8)</f>
        <v>0</v>
      </c>
      <c r="S8" s="122">
        <f t="shared" si="3"/>
        <v>0</v>
      </c>
      <c r="T8" s="122">
        <f t="shared" si="4"/>
        <v>0</v>
      </c>
      <c r="U8" s="124">
        <f t="shared" si="5"/>
        <v>0</v>
      </c>
      <c r="W8" s="3"/>
      <c r="X8" s="4"/>
      <c r="Y8" s="40">
        <f t="shared" si="13"/>
        <v>0</v>
      </c>
      <c r="Z8" s="4">
        <f t="shared" si="14"/>
        <v>0</v>
      </c>
      <c r="AA8" s="4">
        <f t="shared" si="15"/>
        <v>0</v>
      </c>
      <c r="AB8" s="4"/>
      <c r="AC8" s="40">
        <f t="shared" si="16"/>
        <v>0</v>
      </c>
      <c r="AD8" s="40">
        <f t="shared" si="17"/>
        <v>0</v>
      </c>
      <c r="AE8" s="40">
        <f t="shared" si="18"/>
        <v>0</v>
      </c>
      <c r="AF8" s="40">
        <f t="shared" si="19"/>
        <v>0</v>
      </c>
      <c r="AG8" s="40">
        <f t="shared" si="20"/>
        <v>0</v>
      </c>
      <c r="AH8" s="40">
        <f t="shared" si="21"/>
        <v>0</v>
      </c>
      <c r="AI8" s="160"/>
      <c r="AJ8" s="213"/>
      <c r="AK8" s="6"/>
      <c r="AM8" s="140" t="str">
        <f t="shared" si="6"/>
        <v/>
      </c>
      <c r="AN8" s="125" t="str">
        <f t="shared" si="7"/>
        <v/>
      </c>
      <c r="AO8" s="124">
        <f>SUM(AM8:AN8)</f>
        <v>0</v>
      </c>
    </row>
    <row r="9" spans="1:41" x14ac:dyDescent="0.25">
      <c r="A9" s="497"/>
      <c r="B9" s="280" t="s">
        <v>97</v>
      </c>
      <c r="C9" s="108" t="s">
        <v>75</v>
      </c>
      <c r="D9" s="108" t="s">
        <v>180</v>
      </c>
      <c r="E9" s="108" t="s">
        <v>91</v>
      </c>
      <c r="F9" s="42">
        <v>224110</v>
      </c>
      <c r="G9" s="42">
        <f t="shared" si="0"/>
        <v>0</v>
      </c>
      <c r="H9" s="43">
        <f t="shared" si="8"/>
        <v>224110</v>
      </c>
      <c r="I9" s="107"/>
      <c r="J9" s="3"/>
      <c r="K9" s="44">
        <f>'Ordering Period 2'!K9+('Ordering Period 2'!K9*Escalation!$D$3)</f>
        <v>0</v>
      </c>
      <c r="L9" s="5">
        <f t="shared" si="1"/>
        <v>0</v>
      </c>
      <c r="M9" s="5">
        <f t="shared" si="2"/>
        <v>0</v>
      </c>
      <c r="N9" s="5">
        <f t="shared" si="9"/>
        <v>0</v>
      </c>
      <c r="O9" s="5">
        <f t="shared" si="24"/>
        <v>0</v>
      </c>
      <c r="P9" s="44">
        <f t="shared" si="11"/>
        <v>0</v>
      </c>
      <c r="Q9" s="44">
        <f t="shared" ref="Q9:Q10" si="26">(P9-O9)*$Q$4</f>
        <v>0</v>
      </c>
      <c r="R9" s="44">
        <f t="shared" si="25"/>
        <v>0</v>
      </c>
      <c r="S9" s="44">
        <f t="shared" si="3"/>
        <v>0</v>
      </c>
      <c r="T9" s="44">
        <f t="shared" si="4"/>
        <v>0</v>
      </c>
      <c r="U9" s="128">
        <f t="shared" si="5"/>
        <v>0</v>
      </c>
      <c r="W9" s="161"/>
      <c r="X9" s="5"/>
      <c r="Y9" s="44">
        <f t="shared" si="13"/>
        <v>0</v>
      </c>
      <c r="Z9" s="5">
        <f t="shared" si="14"/>
        <v>0</v>
      </c>
      <c r="AA9" s="5">
        <f t="shared" si="15"/>
        <v>0</v>
      </c>
      <c r="AB9" s="5"/>
      <c r="AC9" s="44">
        <f t="shared" si="16"/>
        <v>0</v>
      </c>
      <c r="AD9" s="44">
        <f t="shared" si="17"/>
        <v>0</v>
      </c>
      <c r="AE9" s="44">
        <f t="shared" si="18"/>
        <v>0</v>
      </c>
      <c r="AF9" s="44">
        <f t="shared" si="19"/>
        <v>0</v>
      </c>
      <c r="AG9" s="44">
        <f t="shared" si="20"/>
        <v>0</v>
      </c>
      <c r="AH9" s="44">
        <f t="shared" si="21"/>
        <v>0</v>
      </c>
      <c r="AI9" s="160"/>
      <c r="AJ9" s="7"/>
      <c r="AK9" s="8"/>
      <c r="AM9" s="162" t="str">
        <f t="shared" si="6"/>
        <v/>
      </c>
      <c r="AN9" s="45" t="str">
        <f t="shared" si="7"/>
        <v/>
      </c>
      <c r="AO9" s="128">
        <f t="shared" ref="AO9:AO10" si="27">SUM(AM9:AN9)</f>
        <v>0</v>
      </c>
    </row>
    <row r="10" spans="1:41" x14ac:dyDescent="0.25">
      <c r="A10" s="497"/>
      <c r="B10" s="280" t="s">
        <v>98</v>
      </c>
      <c r="C10" s="108" t="s">
        <v>99</v>
      </c>
      <c r="D10" s="108" t="s">
        <v>181</v>
      </c>
      <c r="E10" s="108" t="s">
        <v>91</v>
      </c>
      <c r="F10" s="42">
        <v>19283</v>
      </c>
      <c r="G10" s="42">
        <f t="shared" si="0"/>
        <v>0</v>
      </c>
      <c r="H10" s="43">
        <f t="shared" si="8"/>
        <v>19283</v>
      </c>
      <c r="I10" s="107"/>
      <c r="J10" s="3"/>
      <c r="K10" s="44">
        <f>'Ordering Period 2'!K10+('Ordering Period 2'!K10*Escalation!$D$3)</f>
        <v>0</v>
      </c>
      <c r="L10" s="5">
        <f t="shared" si="1"/>
        <v>0</v>
      </c>
      <c r="M10" s="5">
        <f t="shared" si="2"/>
        <v>0</v>
      </c>
      <c r="N10" s="5">
        <f t="shared" si="9"/>
        <v>0</v>
      </c>
      <c r="O10" s="5">
        <f t="shared" si="24"/>
        <v>0</v>
      </c>
      <c r="P10" s="44">
        <f t="shared" si="11"/>
        <v>0</v>
      </c>
      <c r="Q10" s="44">
        <f t="shared" si="26"/>
        <v>0</v>
      </c>
      <c r="R10" s="44">
        <f>SUM(P10:Q10)</f>
        <v>0</v>
      </c>
      <c r="S10" s="44">
        <f t="shared" si="3"/>
        <v>0</v>
      </c>
      <c r="T10" s="44">
        <f t="shared" si="4"/>
        <v>0</v>
      </c>
      <c r="U10" s="128">
        <f t="shared" si="5"/>
        <v>0</v>
      </c>
      <c r="W10" s="161"/>
      <c r="X10" s="5"/>
      <c r="Y10" s="44">
        <f t="shared" si="13"/>
        <v>0</v>
      </c>
      <c r="Z10" s="5">
        <f t="shared" si="14"/>
        <v>0</v>
      </c>
      <c r="AA10" s="5">
        <f t="shared" si="15"/>
        <v>0</v>
      </c>
      <c r="AB10" s="5"/>
      <c r="AC10" s="44">
        <f t="shared" si="16"/>
        <v>0</v>
      </c>
      <c r="AD10" s="44">
        <f t="shared" si="17"/>
        <v>0</v>
      </c>
      <c r="AE10" s="44">
        <f t="shared" si="18"/>
        <v>0</v>
      </c>
      <c r="AF10" s="44">
        <f t="shared" si="19"/>
        <v>0</v>
      </c>
      <c r="AG10" s="44">
        <f t="shared" si="20"/>
        <v>0</v>
      </c>
      <c r="AH10" s="44">
        <f t="shared" si="21"/>
        <v>0</v>
      </c>
      <c r="AI10" s="160"/>
      <c r="AJ10" s="7"/>
      <c r="AK10" s="8"/>
      <c r="AM10" s="162" t="str">
        <f t="shared" si="6"/>
        <v/>
      </c>
      <c r="AN10" s="45" t="str">
        <f t="shared" si="7"/>
        <v/>
      </c>
      <c r="AO10" s="128">
        <f t="shared" si="27"/>
        <v>0</v>
      </c>
    </row>
    <row r="11" spans="1:41" x14ac:dyDescent="0.25">
      <c r="A11" s="497"/>
      <c r="B11" s="280" t="s">
        <v>100</v>
      </c>
      <c r="C11" s="108" t="s">
        <v>101</v>
      </c>
      <c r="D11" s="108" t="s">
        <v>182</v>
      </c>
      <c r="E11" s="108" t="s">
        <v>91</v>
      </c>
      <c r="F11" s="42">
        <v>19702</v>
      </c>
      <c r="G11" s="42">
        <f t="shared" si="0"/>
        <v>0</v>
      </c>
      <c r="H11" s="43">
        <f>F11-G11</f>
        <v>19702</v>
      </c>
      <c r="I11" s="107"/>
      <c r="J11" s="3"/>
      <c r="K11" s="44">
        <f>'Ordering Period 2'!K11+('Ordering Period 2'!K11*Escalation!$D$3)</f>
        <v>0</v>
      </c>
      <c r="L11" s="5">
        <f>(K11*$L$4)</f>
        <v>0</v>
      </c>
      <c r="M11" s="5">
        <f>(L11+K11)*$M$4</f>
        <v>0</v>
      </c>
      <c r="N11" s="5">
        <f>(L11+K11+M11)*$N$4</f>
        <v>0</v>
      </c>
      <c r="O11" s="5">
        <f>(K11+L11+M11+N11)*$O$4</f>
        <v>0</v>
      </c>
      <c r="P11" s="44">
        <f>SUM(K11:O11)</f>
        <v>0</v>
      </c>
      <c r="Q11" s="44">
        <f>(P11-O11)*$Q$4</f>
        <v>0</v>
      </c>
      <c r="R11" s="44">
        <f>SUM(P11:Q11)</f>
        <v>0</v>
      </c>
      <c r="S11" s="44">
        <f t="shared" si="3"/>
        <v>0</v>
      </c>
      <c r="T11" s="44">
        <f t="shared" si="4"/>
        <v>0</v>
      </c>
      <c r="U11" s="128">
        <f t="shared" si="5"/>
        <v>0</v>
      </c>
      <c r="W11" s="161"/>
      <c r="X11" s="5"/>
      <c r="Y11" s="44">
        <f>IF($W11&gt;0,$X11,0)</f>
        <v>0</v>
      </c>
      <c r="Z11" s="5">
        <f>(Y11*$Z$4)</f>
        <v>0</v>
      </c>
      <c r="AA11" s="5">
        <f>(Y11+Z11)*$AA$4</f>
        <v>0</v>
      </c>
      <c r="AB11" s="5"/>
      <c r="AC11" s="44">
        <f>SUM(Y11:AB11)</f>
        <v>0</v>
      </c>
      <c r="AD11" s="44">
        <f>$AD$4*(AA11+Y11+Z11)</f>
        <v>0</v>
      </c>
      <c r="AE11" s="44">
        <f>SUM(AC11:AD11)</f>
        <v>0</v>
      </c>
      <c r="AF11" s="44">
        <f>AC11*W11</f>
        <v>0</v>
      </c>
      <c r="AG11" s="44">
        <f>AD11*W11</f>
        <v>0</v>
      </c>
      <c r="AH11" s="44">
        <f>AE11*W11</f>
        <v>0</v>
      </c>
      <c r="AI11" s="160"/>
      <c r="AJ11" s="7"/>
      <c r="AK11" s="8"/>
      <c r="AM11" s="162" t="str">
        <f t="shared" si="6"/>
        <v/>
      </c>
      <c r="AN11" s="45" t="str">
        <f t="shared" si="7"/>
        <v/>
      </c>
      <c r="AO11" s="128">
        <f>SUM(AM11:AN11)</f>
        <v>0</v>
      </c>
    </row>
    <row r="12" spans="1:41" ht="15.75" thickBot="1" x14ac:dyDescent="0.3">
      <c r="A12" s="498"/>
      <c r="B12" s="282" t="s">
        <v>102</v>
      </c>
      <c r="C12" s="147" t="s">
        <v>103</v>
      </c>
      <c r="D12" s="147" t="s">
        <v>183</v>
      </c>
      <c r="E12" s="147" t="s">
        <v>91</v>
      </c>
      <c r="F12" s="148">
        <v>26794</v>
      </c>
      <c r="G12" s="148">
        <f t="shared" si="0"/>
        <v>0</v>
      </c>
      <c r="H12" s="149">
        <f>F12-G12</f>
        <v>26794</v>
      </c>
      <c r="I12" s="107"/>
      <c r="J12" s="176"/>
      <c r="K12" s="178">
        <f>'Ordering Period 2'!K12+('Ordering Period 2'!K12*Escalation!$D$3)</f>
        <v>0</v>
      </c>
      <c r="L12" s="179">
        <f t="shared" ref="L12" si="28">(K12*$L$4)</f>
        <v>0</v>
      </c>
      <c r="M12" s="179">
        <f t="shared" ref="M12" si="29">(L12+K12)*$M$4</f>
        <v>0</v>
      </c>
      <c r="N12" s="179">
        <f t="shared" ref="N12" si="30">(L12+K12+M12)*$N$4</f>
        <v>0</v>
      </c>
      <c r="O12" s="179">
        <f>(K12+L12+M12+N12)*$O$4</f>
        <v>0</v>
      </c>
      <c r="P12" s="178">
        <f t="shared" ref="P12" si="31">SUM(K12:O12)</f>
        <v>0</v>
      </c>
      <c r="Q12" s="178">
        <f>(P12-O12)*$Q$4</f>
        <v>0</v>
      </c>
      <c r="R12" s="178">
        <f t="shared" ref="R12" si="32">SUM(P12:Q12)</f>
        <v>0</v>
      </c>
      <c r="S12" s="178">
        <f t="shared" si="3"/>
        <v>0</v>
      </c>
      <c r="T12" s="178">
        <f t="shared" si="4"/>
        <v>0</v>
      </c>
      <c r="U12" s="180">
        <f t="shared" si="5"/>
        <v>0</v>
      </c>
      <c r="W12" s="181"/>
      <c r="X12" s="179"/>
      <c r="Y12" s="178">
        <f t="shared" si="13"/>
        <v>0</v>
      </c>
      <c r="Z12" s="179">
        <f t="shared" ref="Z12" si="33">(Y12*$Z$4)</f>
        <v>0</v>
      </c>
      <c r="AA12" s="179">
        <f t="shared" ref="AA12" si="34">(Y12+Z12)*$AA$4</f>
        <v>0</v>
      </c>
      <c r="AB12" s="179"/>
      <c r="AC12" s="178">
        <f t="shared" ref="AC12" si="35">SUM(Y12:AB12)</f>
        <v>0</v>
      </c>
      <c r="AD12" s="178">
        <f t="shared" ref="AD12" si="36">$AD$4*(AA12+Y12+Z12)</f>
        <v>0</v>
      </c>
      <c r="AE12" s="178">
        <f t="shared" ref="AE12" si="37">SUM(AC12:AD12)</f>
        <v>0</v>
      </c>
      <c r="AF12" s="178">
        <f t="shared" ref="AF12" si="38">AC12*W12</f>
        <v>0</v>
      </c>
      <c r="AG12" s="178">
        <f t="shared" ref="AG12" si="39">AD12*W12</f>
        <v>0</v>
      </c>
      <c r="AH12" s="178">
        <f t="shared" ref="AH12" si="40">AE12*W12</f>
        <v>0</v>
      </c>
      <c r="AI12" s="189"/>
      <c r="AJ12" s="177"/>
      <c r="AK12" s="182"/>
      <c r="AM12" s="183" t="str">
        <f t="shared" si="6"/>
        <v/>
      </c>
      <c r="AN12" s="184" t="str">
        <f t="shared" si="7"/>
        <v/>
      </c>
      <c r="AO12" s="180">
        <f t="shared" ref="AO12" si="41">SUM(AM12:AN12)</f>
        <v>0</v>
      </c>
    </row>
    <row r="13" spans="1:41" x14ac:dyDescent="0.25">
      <c r="A13" s="496" t="s">
        <v>76</v>
      </c>
      <c r="B13" s="279" t="s">
        <v>104</v>
      </c>
      <c r="C13" s="109" t="s">
        <v>105</v>
      </c>
      <c r="D13" s="109" t="s">
        <v>184</v>
      </c>
      <c r="E13" s="109" t="s">
        <v>91</v>
      </c>
      <c r="F13" s="38">
        <v>17239</v>
      </c>
      <c r="G13" s="38">
        <f t="shared" si="0"/>
        <v>0</v>
      </c>
      <c r="H13" s="39">
        <f t="shared" si="8"/>
        <v>17239</v>
      </c>
      <c r="I13" s="107"/>
      <c r="J13" s="121"/>
      <c r="K13" s="122">
        <f>'Ordering Period 2'!K13+('Ordering Period 2'!K13*Escalation!$D$3)</f>
        <v>0</v>
      </c>
      <c r="L13" s="123">
        <f t="shared" si="1"/>
        <v>0</v>
      </c>
      <c r="M13" s="123">
        <f t="shared" si="2"/>
        <v>0</v>
      </c>
      <c r="N13" s="123">
        <f t="shared" si="9"/>
        <v>0</v>
      </c>
      <c r="O13" s="123">
        <f t="shared" si="10"/>
        <v>0</v>
      </c>
      <c r="P13" s="122">
        <f t="shared" si="11"/>
        <v>0</v>
      </c>
      <c r="Q13" s="122">
        <f t="shared" si="22"/>
        <v>0</v>
      </c>
      <c r="R13" s="122">
        <f t="shared" si="12"/>
        <v>0</v>
      </c>
      <c r="S13" s="122">
        <f t="shared" si="3"/>
        <v>0</v>
      </c>
      <c r="T13" s="122">
        <f t="shared" si="4"/>
        <v>0</v>
      </c>
      <c r="U13" s="124">
        <f t="shared" si="5"/>
        <v>0</v>
      </c>
      <c r="W13" s="121"/>
      <c r="X13" s="123"/>
      <c r="Y13" s="122">
        <f t="shared" si="13"/>
        <v>0</v>
      </c>
      <c r="Z13" s="123">
        <f t="shared" si="14"/>
        <v>0</v>
      </c>
      <c r="AA13" s="123">
        <f t="shared" si="15"/>
        <v>0</v>
      </c>
      <c r="AB13" s="123"/>
      <c r="AC13" s="122">
        <f t="shared" si="16"/>
        <v>0</v>
      </c>
      <c r="AD13" s="122">
        <f t="shared" si="17"/>
        <v>0</v>
      </c>
      <c r="AE13" s="122">
        <f t="shared" si="18"/>
        <v>0</v>
      </c>
      <c r="AF13" s="122">
        <f t="shared" si="19"/>
        <v>0</v>
      </c>
      <c r="AG13" s="122">
        <f t="shared" si="20"/>
        <v>0</v>
      </c>
      <c r="AH13" s="122">
        <f t="shared" si="21"/>
        <v>0</v>
      </c>
      <c r="AI13" s="159"/>
      <c r="AJ13" s="126"/>
      <c r="AK13" s="127"/>
      <c r="AM13" s="140" t="str">
        <f t="shared" si="6"/>
        <v/>
      </c>
      <c r="AN13" s="125" t="str">
        <f t="shared" si="7"/>
        <v/>
      </c>
      <c r="AO13" s="124">
        <f t="shared" si="23"/>
        <v>0</v>
      </c>
    </row>
    <row r="14" spans="1:41" ht="15.75" thickBot="1" x14ac:dyDescent="0.3">
      <c r="A14" s="498"/>
      <c r="B14" s="282" t="s">
        <v>106</v>
      </c>
      <c r="C14" s="147" t="s">
        <v>107</v>
      </c>
      <c r="D14" s="147" t="s">
        <v>185</v>
      </c>
      <c r="E14" s="147" t="s">
        <v>91</v>
      </c>
      <c r="F14" s="148">
        <v>142839</v>
      </c>
      <c r="G14" s="148">
        <f t="shared" si="0"/>
        <v>0</v>
      </c>
      <c r="H14" s="149">
        <f t="shared" si="8"/>
        <v>142839</v>
      </c>
      <c r="I14" s="107"/>
      <c r="J14" s="176"/>
      <c r="K14" s="178">
        <f>'Ordering Period 2'!K14+('Ordering Period 2'!K14*Escalation!$D$3)</f>
        <v>0</v>
      </c>
      <c r="L14" s="179">
        <f t="shared" si="1"/>
        <v>0</v>
      </c>
      <c r="M14" s="179">
        <f t="shared" si="2"/>
        <v>0</v>
      </c>
      <c r="N14" s="179">
        <f t="shared" si="9"/>
        <v>0</v>
      </c>
      <c r="O14" s="179">
        <f t="shared" si="10"/>
        <v>0</v>
      </c>
      <c r="P14" s="178">
        <f t="shared" si="11"/>
        <v>0</v>
      </c>
      <c r="Q14" s="178">
        <f t="shared" si="22"/>
        <v>0</v>
      </c>
      <c r="R14" s="178">
        <f t="shared" ref="R14" si="42">SUM(P14:Q14)</f>
        <v>0</v>
      </c>
      <c r="S14" s="178">
        <f t="shared" si="3"/>
        <v>0</v>
      </c>
      <c r="T14" s="178">
        <f t="shared" si="4"/>
        <v>0</v>
      </c>
      <c r="U14" s="180">
        <f t="shared" si="5"/>
        <v>0</v>
      </c>
      <c r="W14" s="181"/>
      <c r="X14" s="179"/>
      <c r="Y14" s="178">
        <f t="shared" si="13"/>
        <v>0</v>
      </c>
      <c r="Z14" s="179">
        <f t="shared" si="14"/>
        <v>0</v>
      </c>
      <c r="AA14" s="179">
        <f t="shared" si="15"/>
        <v>0</v>
      </c>
      <c r="AB14" s="179"/>
      <c r="AC14" s="178">
        <f t="shared" si="16"/>
        <v>0</v>
      </c>
      <c r="AD14" s="178">
        <f t="shared" si="17"/>
        <v>0</v>
      </c>
      <c r="AE14" s="178">
        <f t="shared" si="18"/>
        <v>0</v>
      </c>
      <c r="AF14" s="178">
        <f t="shared" si="19"/>
        <v>0</v>
      </c>
      <c r="AG14" s="178">
        <f t="shared" si="20"/>
        <v>0</v>
      </c>
      <c r="AH14" s="178">
        <f t="shared" si="21"/>
        <v>0</v>
      </c>
      <c r="AI14" s="189"/>
      <c r="AJ14" s="177"/>
      <c r="AK14" s="182"/>
      <c r="AM14" s="183" t="str">
        <f t="shared" si="6"/>
        <v/>
      </c>
      <c r="AN14" s="184" t="str">
        <f t="shared" si="7"/>
        <v/>
      </c>
      <c r="AO14" s="180">
        <f t="shared" si="23"/>
        <v>0</v>
      </c>
    </row>
    <row r="15" spans="1:41" x14ac:dyDescent="0.25">
      <c r="A15" s="496" t="s">
        <v>77</v>
      </c>
      <c r="B15" s="281" t="s">
        <v>108</v>
      </c>
      <c r="C15" s="197" t="s">
        <v>95</v>
      </c>
      <c r="D15" s="197" t="s">
        <v>179</v>
      </c>
      <c r="E15" s="197" t="s">
        <v>91</v>
      </c>
      <c r="F15" s="198">
        <v>149315</v>
      </c>
      <c r="G15" s="198">
        <f t="shared" si="0"/>
        <v>0</v>
      </c>
      <c r="H15" s="199">
        <f t="shared" si="8"/>
        <v>149315</v>
      </c>
      <c r="I15" s="107"/>
      <c r="J15" s="121"/>
      <c r="K15" s="122">
        <f>'Ordering Period 2'!K15+('Ordering Period 2'!K15*Escalation!$D$3)</f>
        <v>0</v>
      </c>
      <c r="L15" s="123">
        <f t="shared" si="1"/>
        <v>0</v>
      </c>
      <c r="M15" s="123">
        <f t="shared" si="2"/>
        <v>0</v>
      </c>
      <c r="N15" s="123">
        <f t="shared" si="9"/>
        <v>0</v>
      </c>
      <c r="O15" s="123">
        <f>(K15+L15+M15+N15)*$O$4</f>
        <v>0</v>
      </c>
      <c r="P15" s="122">
        <f t="shared" si="11"/>
        <v>0</v>
      </c>
      <c r="Q15" s="122">
        <f t="shared" si="22"/>
        <v>0</v>
      </c>
      <c r="R15" s="122">
        <f>SUM(P15:Q15)</f>
        <v>0</v>
      </c>
      <c r="S15" s="122">
        <f t="shared" si="3"/>
        <v>0</v>
      </c>
      <c r="T15" s="122">
        <f t="shared" si="4"/>
        <v>0</v>
      </c>
      <c r="U15" s="124">
        <f t="shared" si="5"/>
        <v>0</v>
      </c>
      <c r="W15" s="3"/>
      <c r="X15" s="4"/>
      <c r="Y15" s="40">
        <f t="shared" si="13"/>
        <v>0</v>
      </c>
      <c r="Z15" s="4">
        <f t="shared" si="14"/>
        <v>0</v>
      </c>
      <c r="AA15" s="4">
        <f t="shared" si="15"/>
        <v>0</v>
      </c>
      <c r="AB15" s="4"/>
      <c r="AC15" s="40">
        <f t="shared" si="16"/>
        <v>0</v>
      </c>
      <c r="AD15" s="40">
        <f t="shared" si="17"/>
        <v>0</v>
      </c>
      <c r="AE15" s="40">
        <f t="shared" si="18"/>
        <v>0</v>
      </c>
      <c r="AF15" s="40">
        <f t="shared" si="19"/>
        <v>0</v>
      </c>
      <c r="AG15" s="40">
        <f t="shared" si="20"/>
        <v>0</v>
      </c>
      <c r="AH15" s="40">
        <f t="shared" si="21"/>
        <v>0</v>
      </c>
      <c r="AI15" s="160"/>
      <c r="AJ15" s="213"/>
      <c r="AK15" s="6"/>
      <c r="AM15" s="140" t="str">
        <f t="shared" si="6"/>
        <v/>
      </c>
      <c r="AN15" s="125" t="str">
        <f t="shared" si="7"/>
        <v/>
      </c>
      <c r="AO15" s="124">
        <f t="shared" si="23"/>
        <v>0</v>
      </c>
    </row>
    <row r="16" spans="1:41" x14ac:dyDescent="0.25">
      <c r="A16" s="497"/>
      <c r="B16" s="280" t="s">
        <v>109</v>
      </c>
      <c r="C16" s="108" t="s">
        <v>110</v>
      </c>
      <c r="D16" s="108" t="s">
        <v>186</v>
      </c>
      <c r="E16" s="108" t="s">
        <v>91</v>
      </c>
      <c r="F16" s="42">
        <v>17239</v>
      </c>
      <c r="G16" s="42">
        <f t="shared" si="0"/>
        <v>0</v>
      </c>
      <c r="H16" s="43">
        <f>F16-G16</f>
        <v>17239</v>
      </c>
      <c r="I16" s="107"/>
      <c r="J16" s="3"/>
      <c r="K16" s="44">
        <f>'Ordering Period 2'!K16+('Ordering Period 2'!K16*Escalation!$D$3)</f>
        <v>0</v>
      </c>
      <c r="L16" s="5">
        <f>(K16*$L$4)</f>
        <v>0</v>
      </c>
      <c r="M16" s="5">
        <f>(L16+K16)*$M$4</f>
        <v>0</v>
      </c>
      <c r="N16" s="5">
        <f>(L16+K16+M16)*$N$4</f>
        <v>0</v>
      </c>
      <c r="O16" s="5">
        <f>(K16+L16+M16+N16)*$O$4</f>
        <v>0</v>
      </c>
      <c r="P16" s="44">
        <f>SUM(K16:O16)</f>
        <v>0</v>
      </c>
      <c r="Q16" s="44">
        <f>(P16-O16)*$Q$4</f>
        <v>0</v>
      </c>
      <c r="R16" s="44">
        <f>SUM(P16:Q16)</f>
        <v>0</v>
      </c>
      <c r="S16" s="44">
        <f t="shared" si="3"/>
        <v>0</v>
      </c>
      <c r="T16" s="44">
        <f t="shared" si="4"/>
        <v>0</v>
      </c>
      <c r="U16" s="128">
        <f t="shared" si="5"/>
        <v>0</v>
      </c>
      <c r="W16" s="161"/>
      <c r="X16" s="5"/>
      <c r="Y16" s="44">
        <f>IF($W16&gt;0,$X16,0)</f>
        <v>0</v>
      </c>
      <c r="Z16" s="5">
        <f>(Y16*$Z$4)</f>
        <v>0</v>
      </c>
      <c r="AA16" s="5">
        <f>(Y16+Z16)*$AA$4</f>
        <v>0</v>
      </c>
      <c r="AB16" s="5"/>
      <c r="AC16" s="44">
        <f>SUM(Y16:AB16)</f>
        <v>0</v>
      </c>
      <c r="AD16" s="44">
        <f>$AD$4*(AA16+Y16+Z16)</f>
        <v>0</v>
      </c>
      <c r="AE16" s="44">
        <f>SUM(AC16:AD16)</f>
        <v>0</v>
      </c>
      <c r="AF16" s="44">
        <f>AC16*W16</f>
        <v>0</v>
      </c>
      <c r="AG16" s="44">
        <f>AD16*W16</f>
        <v>0</v>
      </c>
      <c r="AH16" s="44">
        <f>AE16*W16</f>
        <v>0</v>
      </c>
      <c r="AI16" s="160"/>
      <c r="AJ16" s="7"/>
      <c r="AK16" s="8"/>
      <c r="AM16" s="162" t="str">
        <f t="shared" si="6"/>
        <v/>
      </c>
      <c r="AN16" s="45" t="str">
        <f t="shared" si="7"/>
        <v/>
      </c>
      <c r="AO16" s="128">
        <f>SUM(AM16:AN16)</f>
        <v>0</v>
      </c>
    </row>
    <row r="17" spans="1:41" x14ac:dyDescent="0.25">
      <c r="A17" s="497"/>
      <c r="B17" s="280" t="s">
        <v>111</v>
      </c>
      <c r="C17" s="108" t="s">
        <v>99</v>
      </c>
      <c r="D17" s="108" t="s">
        <v>181</v>
      </c>
      <c r="E17" s="108" t="s">
        <v>91</v>
      </c>
      <c r="F17" s="42">
        <v>2882</v>
      </c>
      <c r="G17" s="42">
        <f t="shared" si="0"/>
        <v>0</v>
      </c>
      <c r="H17" s="43">
        <f t="shared" si="8"/>
        <v>2882</v>
      </c>
      <c r="I17" s="107"/>
      <c r="J17" s="3"/>
      <c r="K17" s="44">
        <f>'Ordering Period 2'!K17+('Ordering Period 2'!K17*Escalation!$D$3)</f>
        <v>0</v>
      </c>
      <c r="L17" s="5">
        <f t="shared" si="1"/>
        <v>0</v>
      </c>
      <c r="M17" s="5">
        <f t="shared" si="2"/>
        <v>0</v>
      </c>
      <c r="N17" s="5">
        <f t="shared" si="9"/>
        <v>0</v>
      </c>
      <c r="O17" s="5">
        <f t="shared" si="10"/>
        <v>0</v>
      </c>
      <c r="P17" s="44">
        <f t="shared" si="11"/>
        <v>0</v>
      </c>
      <c r="Q17" s="44">
        <f t="shared" si="22"/>
        <v>0</v>
      </c>
      <c r="R17" s="44">
        <f>SUM(P17:Q17)</f>
        <v>0</v>
      </c>
      <c r="S17" s="44">
        <f t="shared" si="3"/>
        <v>0</v>
      </c>
      <c r="T17" s="44">
        <f t="shared" si="4"/>
        <v>0</v>
      </c>
      <c r="U17" s="128">
        <f t="shared" si="5"/>
        <v>0</v>
      </c>
      <c r="W17" s="161"/>
      <c r="X17" s="5"/>
      <c r="Y17" s="44">
        <f t="shared" si="13"/>
        <v>0</v>
      </c>
      <c r="Z17" s="5">
        <f t="shared" si="14"/>
        <v>0</v>
      </c>
      <c r="AA17" s="5">
        <f t="shared" si="15"/>
        <v>0</v>
      </c>
      <c r="AB17" s="5"/>
      <c r="AC17" s="44">
        <f t="shared" si="16"/>
        <v>0</v>
      </c>
      <c r="AD17" s="44">
        <f t="shared" si="17"/>
        <v>0</v>
      </c>
      <c r="AE17" s="44">
        <f t="shared" si="18"/>
        <v>0</v>
      </c>
      <c r="AF17" s="44">
        <f t="shared" si="19"/>
        <v>0</v>
      </c>
      <c r="AG17" s="44">
        <f t="shared" si="20"/>
        <v>0</v>
      </c>
      <c r="AH17" s="44">
        <f t="shared" si="21"/>
        <v>0</v>
      </c>
      <c r="AI17" s="160"/>
      <c r="AJ17" s="7"/>
      <c r="AK17" s="8"/>
      <c r="AM17" s="162" t="str">
        <f t="shared" si="6"/>
        <v/>
      </c>
      <c r="AN17" s="45" t="str">
        <f t="shared" si="7"/>
        <v/>
      </c>
      <c r="AO17" s="128">
        <f t="shared" si="23"/>
        <v>0</v>
      </c>
    </row>
    <row r="18" spans="1:41" x14ac:dyDescent="0.25">
      <c r="A18" s="497"/>
      <c r="B18" s="280" t="s">
        <v>112</v>
      </c>
      <c r="C18" s="108" t="s">
        <v>113</v>
      </c>
      <c r="D18" s="108" t="s">
        <v>187</v>
      </c>
      <c r="E18" s="108" t="s">
        <v>91</v>
      </c>
      <c r="F18" s="42">
        <v>34478</v>
      </c>
      <c r="G18" s="42">
        <f t="shared" si="0"/>
        <v>0</v>
      </c>
      <c r="H18" s="43">
        <f t="shared" si="8"/>
        <v>34478</v>
      </c>
      <c r="I18" s="107"/>
      <c r="J18" s="3"/>
      <c r="K18" s="44">
        <f>'Ordering Period 2'!K18+('Ordering Period 2'!K18*Escalation!$D$3)</f>
        <v>0</v>
      </c>
      <c r="L18" s="5">
        <f t="shared" si="1"/>
        <v>0</v>
      </c>
      <c r="M18" s="5">
        <f t="shared" si="2"/>
        <v>0</v>
      </c>
      <c r="N18" s="5">
        <f t="shared" si="9"/>
        <v>0</v>
      </c>
      <c r="O18" s="5">
        <f t="shared" si="10"/>
        <v>0</v>
      </c>
      <c r="P18" s="44">
        <f t="shared" si="11"/>
        <v>0</v>
      </c>
      <c r="Q18" s="44">
        <f t="shared" si="22"/>
        <v>0</v>
      </c>
      <c r="R18" s="44">
        <f t="shared" ref="R18:R43" si="43">SUM(P18:Q18)</f>
        <v>0</v>
      </c>
      <c r="S18" s="44">
        <f t="shared" si="3"/>
        <v>0</v>
      </c>
      <c r="T18" s="44">
        <f t="shared" si="4"/>
        <v>0</v>
      </c>
      <c r="U18" s="128">
        <f t="shared" si="5"/>
        <v>0</v>
      </c>
      <c r="W18" s="161"/>
      <c r="X18" s="5"/>
      <c r="Y18" s="44">
        <f t="shared" si="13"/>
        <v>0</v>
      </c>
      <c r="Z18" s="5">
        <f t="shared" si="14"/>
        <v>0</v>
      </c>
      <c r="AA18" s="5">
        <f t="shared" si="15"/>
        <v>0</v>
      </c>
      <c r="AB18" s="5"/>
      <c r="AC18" s="44">
        <f t="shared" si="16"/>
        <v>0</v>
      </c>
      <c r="AD18" s="44">
        <f t="shared" si="17"/>
        <v>0</v>
      </c>
      <c r="AE18" s="44">
        <f t="shared" si="18"/>
        <v>0</v>
      </c>
      <c r="AF18" s="44">
        <f t="shared" si="19"/>
        <v>0</v>
      </c>
      <c r="AG18" s="44">
        <f t="shared" si="20"/>
        <v>0</v>
      </c>
      <c r="AH18" s="44">
        <f t="shared" si="21"/>
        <v>0</v>
      </c>
      <c r="AI18" s="160"/>
      <c r="AJ18" s="7"/>
      <c r="AK18" s="8"/>
      <c r="AM18" s="162" t="str">
        <f t="shared" si="6"/>
        <v/>
      </c>
      <c r="AN18" s="45" t="str">
        <f t="shared" si="7"/>
        <v/>
      </c>
      <c r="AO18" s="128">
        <f t="shared" si="23"/>
        <v>0</v>
      </c>
    </row>
    <row r="19" spans="1:41" ht="15.75" thickBot="1" x14ac:dyDescent="0.3">
      <c r="A19" s="498"/>
      <c r="B19" s="280" t="s">
        <v>114</v>
      </c>
      <c r="C19" s="108" t="s">
        <v>103</v>
      </c>
      <c r="D19" s="108" t="s">
        <v>183</v>
      </c>
      <c r="E19" s="108" t="s">
        <v>91</v>
      </c>
      <c r="F19" s="42">
        <v>15072</v>
      </c>
      <c r="G19" s="42">
        <f t="shared" si="0"/>
        <v>0</v>
      </c>
      <c r="H19" s="43">
        <f>F19-G19</f>
        <v>15072</v>
      </c>
      <c r="I19" s="107"/>
      <c r="J19" s="176"/>
      <c r="K19" s="178">
        <f>'Ordering Period 2'!K19+('Ordering Period 2'!K19*Escalation!$D$3)</f>
        <v>0</v>
      </c>
      <c r="L19" s="179">
        <f t="shared" si="1"/>
        <v>0</v>
      </c>
      <c r="M19" s="179">
        <f t="shared" si="2"/>
        <v>0</v>
      </c>
      <c r="N19" s="179">
        <f t="shared" si="9"/>
        <v>0</v>
      </c>
      <c r="O19" s="179">
        <f>(K19+L19+M19+N19)*$O$4</f>
        <v>0</v>
      </c>
      <c r="P19" s="178">
        <f t="shared" si="11"/>
        <v>0</v>
      </c>
      <c r="Q19" s="178">
        <f>(P19-O19)*$Q$4</f>
        <v>0</v>
      </c>
      <c r="R19" s="178">
        <f t="shared" si="43"/>
        <v>0</v>
      </c>
      <c r="S19" s="178">
        <f t="shared" si="3"/>
        <v>0</v>
      </c>
      <c r="T19" s="178">
        <f t="shared" si="4"/>
        <v>0</v>
      </c>
      <c r="U19" s="180">
        <f t="shared" si="5"/>
        <v>0</v>
      </c>
      <c r="W19" s="181"/>
      <c r="X19" s="179"/>
      <c r="Y19" s="178">
        <f t="shared" si="13"/>
        <v>0</v>
      </c>
      <c r="Z19" s="179">
        <f t="shared" si="14"/>
        <v>0</v>
      </c>
      <c r="AA19" s="179">
        <f t="shared" si="15"/>
        <v>0</v>
      </c>
      <c r="AB19" s="179"/>
      <c r="AC19" s="178">
        <f t="shared" si="16"/>
        <v>0</v>
      </c>
      <c r="AD19" s="178">
        <f t="shared" si="17"/>
        <v>0</v>
      </c>
      <c r="AE19" s="178">
        <f t="shared" si="18"/>
        <v>0</v>
      </c>
      <c r="AF19" s="178">
        <f t="shared" si="19"/>
        <v>0</v>
      </c>
      <c r="AG19" s="178">
        <f t="shared" si="20"/>
        <v>0</v>
      </c>
      <c r="AH19" s="178">
        <f t="shared" si="21"/>
        <v>0</v>
      </c>
      <c r="AI19" s="189"/>
      <c r="AJ19" s="177"/>
      <c r="AK19" s="182"/>
      <c r="AM19" s="183" t="str">
        <f t="shared" si="6"/>
        <v/>
      </c>
      <c r="AN19" s="184" t="str">
        <f t="shared" si="7"/>
        <v/>
      </c>
      <c r="AO19" s="180">
        <f t="shared" si="23"/>
        <v>0</v>
      </c>
    </row>
    <row r="20" spans="1:41" ht="15.75" thickBot="1" x14ac:dyDescent="0.3">
      <c r="A20" s="66" t="s">
        <v>188</v>
      </c>
      <c r="B20" s="278"/>
      <c r="C20" s="200"/>
      <c r="D20" s="200"/>
      <c r="E20" s="200"/>
      <c r="F20" s="201"/>
      <c r="G20" s="201"/>
      <c r="H20" s="202"/>
      <c r="I20" s="46"/>
      <c r="J20" s="443"/>
      <c r="K20" s="445"/>
      <c r="L20" s="208"/>
      <c r="M20" s="208"/>
      <c r="N20" s="208"/>
      <c r="O20" s="208"/>
      <c r="P20" s="208"/>
      <c r="Q20" s="208"/>
      <c r="R20" s="208"/>
      <c r="S20" s="208"/>
      <c r="T20" s="208"/>
      <c r="U20" s="209"/>
      <c r="W20" s="446"/>
      <c r="X20" s="244"/>
      <c r="Y20" s="244"/>
      <c r="Z20" s="244"/>
      <c r="AA20" s="244"/>
      <c r="AB20" s="244"/>
      <c r="AC20" s="244"/>
      <c r="AD20" s="244"/>
      <c r="AE20" s="244"/>
      <c r="AF20" s="244"/>
      <c r="AG20" s="244"/>
      <c r="AH20" s="244"/>
      <c r="AI20" s="447"/>
      <c r="AJ20" s="447"/>
      <c r="AK20" s="448"/>
      <c r="AM20" s="346"/>
      <c r="AN20" s="347"/>
      <c r="AO20" s="348"/>
    </row>
    <row r="21" spans="1:41" ht="15.75" thickBot="1" x14ac:dyDescent="0.3">
      <c r="A21" s="297" t="s">
        <v>73</v>
      </c>
      <c r="B21" s="283" t="s">
        <v>92</v>
      </c>
      <c r="C21" s="284" t="s">
        <v>93</v>
      </c>
      <c r="D21" s="284" t="s">
        <v>178</v>
      </c>
      <c r="E21" s="284" t="s">
        <v>189</v>
      </c>
      <c r="F21" s="285">
        <v>5451</v>
      </c>
      <c r="G21" s="285">
        <f t="shared" ref="G21:G34" si="44">SUM(J21,W21)</f>
        <v>0</v>
      </c>
      <c r="H21" s="286">
        <f>F21-G21</f>
        <v>5451</v>
      </c>
      <c r="I21" s="107"/>
      <c r="J21" s="205"/>
      <c r="K21" s="316">
        <f>'Ordering Period 2'!K21+('Ordering Period 2'!K21*Escalation!$D$3)</f>
        <v>0</v>
      </c>
      <c r="L21" s="341">
        <f t="shared" ref="L21:L34" si="45">(K21*$L$4)</f>
        <v>0</v>
      </c>
      <c r="M21" s="341">
        <f t="shared" ref="M21:M34" si="46">(L21+K21)*$M$4</f>
        <v>0</v>
      </c>
      <c r="N21" s="341">
        <f t="shared" ref="N21:N34" si="47">(L21+K21+M21)*$N$4</f>
        <v>0</v>
      </c>
      <c r="O21" s="341">
        <f t="shared" ref="O21:O34" si="48">(K21+L21+M21+N21)*$O$4</f>
        <v>0</v>
      </c>
      <c r="P21" s="316">
        <f t="shared" ref="P21:P34" si="49">SUM(K21:O21)</f>
        <v>0</v>
      </c>
      <c r="Q21" s="316">
        <f t="shared" ref="Q21:Q34" si="50">(P21-O21)*$Q$4</f>
        <v>0</v>
      </c>
      <c r="R21" s="316">
        <f>SUM(P21:Q21)</f>
        <v>0</v>
      </c>
      <c r="S21" s="316">
        <f t="shared" ref="S21:S34" si="51">P21*J21</f>
        <v>0</v>
      </c>
      <c r="T21" s="316">
        <f t="shared" ref="T21:T34" si="52">Q21*J21</f>
        <v>0</v>
      </c>
      <c r="U21" s="317">
        <f t="shared" ref="U21:U34" si="53">R21*J21</f>
        <v>0</v>
      </c>
      <c r="W21" s="205"/>
      <c r="X21" s="341"/>
      <c r="Y21" s="316">
        <f>IF($W21&gt;0,$X21,0)</f>
        <v>0</v>
      </c>
      <c r="Z21" s="341">
        <f t="shared" ref="Z21:Z34" si="54">(Y21*$Z$4)</f>
        <v>0</v>
      </c>
      <c r="AA21" s="341">
        <f t="shared" ref="AA21:AA34" si="55">(Y21+Z21)*$AA$4</f>
        <v>0</v>
      </c>
      <c r="AB21" s="341"/>
      <c r="AC21" s="316">
        <f t="shared" ref="AC21:AC34" si="56">SUM(Y21:AB21)</f>
        <v>0</v>
      </c>
      <c r="AD21" s="316">
        <f t="shared" ref="AD21:AD43" si="57">$AD$4*(AA21+Y21+Z21)</f>
        <v>0</v>
      </c>
      <c r="AE21" s="316">
        <f t="shared" ref="AE21:AE34" si="58">SUM(AC21:AD21)</f>
        <v>0</v>
      </c>
      <c r="AF21" s="316">
        <f t="shared" ref="AF21:AF33" si="59">AC21*W21</f>
        <v>0</v>
      </c>
      <c r="AG21" s="316">
        <f t="shared" ref="AG21:AG34" si="60">AD21*W21</f>
        <v>0</v>
      </c>
      <c r="AH21" s="317">
        <f t="shared" ref="AH21:AH34" si="61">AE21*W21</f>
        <v>0</v>
      </c>
      <c r="AI21" s="210"/>
      <c r="AJ21" s="344"/>
      <c r="AK21" s="345"/>
      <c r="AM21" s="339" t="str">
        <f t="shared" ref="AM21:AM34" si="62">IFERROR(SUM(S21,AF21)/G21,"")</f>
        <v/>
      </c>
      <c r="AN21" s="340" t="str">
        <f t="shared" ref="AN21:AN34" si="63">IFERROR(SUM(T21,AG21)/G21,"")</f>
        <v/>
      </c>
      <c r="AO21" s="291">
        <f t="shared" ref="AO21:AO34" si="64">SUM(AM21:AN21)</f>
        <v>0</v>
      </c>
    </row>
    <row r="22" spans="1:41" ht="15.75" thickBot="1" x14ac:dyDescent="0.3">
      <c r="A22" s="297" t="s">
        <v>74</v>
      </c>
      <c r="B22" s="283" t="s">
        <v>94</v>
      </c>
      <c r="C22" s="284" t="s">
        <v>95</v>
      </c>
      <c r="D22" s="284" t="s">
        <v>179</v>
      </c>
      <c r="E22" s="284" t="s">
        <v>189</v>
      </c>
      <c r="F22" s="285">
        <v>14031</v>
      </c>
      <c r="G22" s="285">
        <f t="shared" si="44"/>
        <v>0</v>
      </c>
      <c r="H22" s="286">
        <f t="shared" ref="H22:H34" si="65">F22-G22</f>
        <v>14031</v>
      </c>
      <c r="I22" s="107"/>
      <c r="J22" s="288"/>
      <c r="K22" s="290">
        <f>'Ordering Period 2'!K22+('Ordering Period 2'!K22*Escalation!$D$3)</f>
        <v>0</v>
      </c>
      <c r="L22" s="334">
        <f t="shared" si="45"/>
        <v>0</v>
      </c>
      <c r="M22" s="334">
        <f t="shared" si="46"/>
        <v>0</v>
      </c>
      <c r="N22" s="334">
        <f t="shared" si="47"/>
        <v>0</v>
      </c>
      <c r="O22" s="334">
        <f>(K22+L22+M22+N22)*$O$4</f>
        <v>0</v>
      </c>
      <c r="P22" s="290">
        <f t="shared" si="49"/>
        <v>0</v>
      </c>
      <c r="Q22" s="290">
        <f>(P22-O22)*$Q$4</f>
        <v>0</v>
      </c>
      <c r="R22" s="290">
        <f>SUM(P22:Q22)</f>
        <v>0</v>
      </c>
      <c r="S22" s="290">
        <f t="shared" si="51"/>
        <v>0</v>
      </c>
      <c r="T22" s="290">
        <f t="shared" si="52"/>
        <v>0</v>
      </c>
      <c r="U22" s="291">
        <f t="shared" si="53"/>
        <v>0</v>
      </c>
      <c r="W22" s="288"/>
      <c r="X22" s="334"/>
      <c r="Y22" s="290">
        <f t="shared" ref="Y22:Y34" si="66">IF($W22&gt;0,$X22,0)</f>
        <v>0</v>
      </c>
      <c r="Z22" s="334">
        <f t="shared" si="54"/>
        <v>0</v>
      </c>
      <c r="AA22" s="334">
        <f t="shared" si="55"/>
        <v>0</v>
      </c>
      <c r="AB22" s="334"/>
      <c r="AC22" s="290">
        <f t="shared" si="56"/>
        <v>0</v>
      </c>
      <c r="AD22" s="290">
        <f t="shared" si="57"/>
        <v>0</v>
      </c>
      <c r="AE22" s="290">
        <f t="shared" si="58"/>
        <v>0</v>
      </c>
      <c r="AF22" s="290">
        <f t="shared" si="59"/>
        <v>0</v>
      </c>
      <c r="AG22" s="290">
        <f t="shared" si="60"/>
        <v>0</v>
      </c>
      <c r="AH22" s="291">
        <f t="shared" si="61"/>
        <v>0</v>
      </c>
      <c r="AI22" s="335"/>
      <c r="AJ22" s="336"/>
      <c r="AK22" s="337"/>
      <c r="AM22" s="339" t="str">
        <f t="shared" si="62"/>
        <v/>
      </c>
      <c r="AN22" s="340" t="str">
        <f t="shared" si="63"/>
        <v/>
      </c>
      <c r="AO22" s="291">
        <f t="shared" si="64"/>
        <v>0</v>
      </c>
    </row>
    <row r="23" spans="1:41" x14ac:dyDescent="0.25">
      <c r="A23" s="496" t="s">
        <v>75</v>
      </c>
      <c r="B23" s="279" t="s">
        <v>96</v>
      </c>
      <c r="C23" s="109" t="s">
        <v>93</v>
      </c>
      <c r="D23" s="109" t="s">
        <v>178</v>
      </c>
      <c r="E23" s="109" t="s">
        <v>189</v>
      </c>
      <c r="F23" s="38">
        <v>1116</v>
      </c>
      <c r="G23" s="38">
        <f t="shared" si="44"/>
        <v>0</v>
      </c>
      <c r="H23" s="39">
        <f t="shared" si="65"/>
        <v>1116</v>
      </c>
      <c r="I23" s="107"/>
      <c r="J23" s="121"/>
      <c r="K23" s="122">
        <f>'Ordering Period 2'!K23+('Ordering Period 2'!K23*Escalation!$D$3)</f>
        <v>0</v>
      </c>
      <c r="L23" s="123">
        <f t="shared" si="45"/>
        <v>0</v>
      </c>
      <c r="M23" s="123">
        <f t="shared" si="46"/>
        <v>0</v>
      </c>
      <c r="N23" s="123">
        <f t="shared" si="47"/>
        <v>0</v>
      </c>
      <c r="O23" s="123">
        <f t="shared" si="48"/>
        <v>0</v>
      </c>
      <c r="P23" s="122">
        <f t="shared" si="49"/>
        <v>0</v>
      </c>
      <c r="Q23" s="122">
        <f t="shared" si="50"/>
        <v>0</v>
      </c>
      <c r="R23" s="122">
        <f t="shared" ref="R23:R34" si="67">SUM(P23:Q23)</f>
        <v>0</v>
      </c>
      <c r="S23" s="122">
        <f t="shared" si="51"/>
        <v>0</v>
      </c>
      <c r="T23" s="122">
        <f t="shared" si="52"/>
        <v>0</v>
      </c>
      <c r="U23" s="124">
        <f t="shared" si="53"/>
        <v>0</v>
      </c>
      <c r="W23" s="121"/>
      <c r="X23" s="123"/>
      <c r="Y23" s="122">
        <f t="shared" si="66"/>
        <v>0</v>
      </c>
      <c r="Z23" s="123">
        <f t="shared" si="54"/>
        <v>0</v>
      </c>
      <c r="AA23" s="123">
        <f t="shared" si="55"/>
        <v>0</v>
      </c>
      <c r="AB23" s="123"/>
      <c r="AC23" s="122">
        <f t="shared" si="56"/>
        <v>0</v>
      </c>
      <c r="AD23" s="122">
        <f t="shared" si="57"/>
        <v>0</v>
      </c>
      <c r="AE23" s="122">
        <f t="shared" si="58"/>
        <v>0</v>
      </c>
      <c r="AF23" s="122">
        <f t="shared" si="59"/>
        <v>0</v>
      </c>
      <c r="AG23" s="122">
        <f t="shared" si="60"/>
        <v>0</v>
      </c>
      <c r="AH23" s="124">
        <f t="shared" si="61"/>
        <v>0</v>
      </c>
      <c r="AI23" s="159"/>
      <c r="AJ23" s="126"/>
      <c r="AK23" s="127"/>
      <c r="AM23" s="140" t="str">
        <f t="shared" si="62"/>
        <v/>
      </c>
      <c r="AN23" s="125" t="str">
        <f t="shared" si="63"/>
        <v/>
      </c>
      <c r="AO23" s="124">
        <f t="shared" si="64"/>
        <v>0</v>
      </c>
    </row>
    <row r="24" spans="1:41" x14ac:dyDescent="0.25">
      <c r="A24" s="497"/>
      <c r="B24" s="280" t="s">
        <v>97</v>
      </c>
      <c r="C24" s="108" t="s">
        <v>75</v>
      </c>
      <c r="D24" s="108" t="s">
        <v>180</v>
      </c>
      <c r="E24" s="108" t="s">
        <v>189</v>
      </c>
      <c r="F24" s="42">
        <v>18676</v>
      </c>
      <c r="G24" s="42">
        <f t="shared" si="44"/>
        <v>0</v>
      </c>
      <c r="H24" s="43">
        <f t="shared" si="65"/>
        <v>18676</v>
      </c>
      <c r="I24" s="107"/>
      <c r="J24" s="3"/>
      <c r="K24" s="40">
        <f>'Ordering Period 2'!K24+('Ordering Period 2'!K24*Escalation!$D$3)</f>
        <v>0</v>
      </c>
      <c r="L24" s="4">
        <f t="shared" si="45"/>
        <v>0</v>
      </c>
      <c r="M24" s="4">
        <f t="shared" si="46"/>
        <v>0</v>
      </c>
      <c r="N24" s="5">
        <f t="shared" si="47"/>
        <v>0</v>
      </c>
      <c r="O24" s="5">
        <f t="shared" si="48"/>
        <v>0</v>
      </c>
      <c r="P24" s="44">
        <f t="shared" si="49"/>
        <v>0</v>
      </c>
      <c r="Q24" s="44">
        <f t="shared" si="50"/>
        <v>0</v>
      </c>
      <c r="R24" s="44">
        <f>SUM(P24:Q24)</f>
        <v>0</v>
      </c>
      <c r="S24" s="44">
        <f t="shared" si="51"/>
        <v>0</v>
      </c>
      <c r="T24" s="44">
        <f t="shared" si="52"/>
        <v>0</v>
      </c>
      <c r="U24" s="128">
        <f t="shared" si="53"/>
        <v>0</v>
      </c>
      <c r="W24" s="161"/>
      <c r="X24" s="5"/>
      <c r="Y24" s="40">
        <f>IF($W24&gt;0,$X24,0)</f>
        <v>0</v>
      </c>
      <c r="Z24" s="4">
        <f t="shared" si="54"/>
        <v>0</v>
      </c>
      <c r="AA24" s="4">
        <f t="shared" si="55"/>
        <v>0</v>
      </c>
      <c r="AB24" s="4"/>
      <c r="AC24" s="40">
        <f t="shared" si="56"/>
        <v>0</v>
      </c>
      <c r="AD24" s="40">
        <f t="shared" si="57"/>
        <v>0</v>
      </c>
      <c r="AE24" s="40">
        <f t="shared" si="58"/>
        <v>0</v>
      </c>
      <c r="AF24" s="40">
        <f t="shared" si="59"/>
        <v>0</v>
      </c>
      <c r="AG24" s="40">
        <f t="shared" si="60"/>
        <v>0</v>
      </c>
      <c r="AH24" s="41">
        <f t="shared" si="61"/>
        <v>0</v>
      </c>
      <c r="AI24" s="160"/>
      <c r="AJ24" s="7"/>
      <c r="AK24" s="8"/>
      <c r="AM24" s="162" t="str">
        <f t="shared" si="62"/>
        <v/>
      </c>
      <c r="AN24" s="45" t="str">
        <f t="shared" si="63"/>
        <v/>
      </c>
      <c r="AO24" s="128">
        <f t="shared" si="64"/>
        <v>0</v>
      </c>
    </row>
    <row r="25" spans="1:41" x14ac:dyDescent="0.25">
      <c r="A25" s="497"/>
      <c r="B25" s="281" t="s">
        <v>98</v>
      </c>
      <c r="C25" s="108" t="s">
        <v>99</v>
      </c>
      <c r="D25" s="108" t="s">
        <v>181</v>
      </c>
      <c r="E25" s="108" t="s">
        <v>189</v>
      </c>
      <c r="F25" s="42">
        <v>1607</v>
      </c>
      <c r="G25" s="42">
        <f t="shared" si="44"/>
        <v>0</v>
      </c>
      <c r="H25" s="43">
        <f t="shared" si="65"/>
        <v>1607</v>
      </c>
      <c r="I25" s="107"/>
      <c r="J25" s="3"/>
      <c r="K25" s="40">
        <f>'Ordering Period 2'!K25+('Ordering Period 2'!K25*Escalation!$D$3)</f>
        <v>0</v>
      </c>
      <c r="L25" s="4">
        <f t="shared" si="45"/>
        <v>0</v>
      </c>
      <c r="M25" s="4">
        <f t="shared" si="46"/>
        <v>0</v>
      </c>
      <c r="N25" s="5">
        <f t="shared" si="47"/>
        <v>0</v>
      </c>
      <c r="O25" s="5">
        <f t="shared" si="48"/>
        <v>0</v>
      </c>
      <c r="P25" s="44">
        <f t="shared" si="49"/>
        <v>0</v>
      </c>
      <c r="Q25" s="44">
        <f t="shared" si="50"/>
        <v>0</v>
      </c>
      <c r="R25" s="44">
        <f t="shared" si="67"/>
        <v>0</v>
      </c>
      <c r="S25" s="44">
        <f t="shared" si="51"/>
        <v>0</v>
      </c>
      <c r="T25" s="44">
        <f t="shared" si="52"/>
        <v>0</v>
      </c>
      <c r="U25" s="128">
        <f t="shared" si="53"/>
        <v>0</v>
      </c>
      <c r="W25" s="161"/>
      <c r="X25" s="5"/>
      <c r="Y25" s="40">
        <f t="shared" si="66"/>
        <v>0</v>
      </c>
      <c r="Z25" s="4">
        <f t="shared" si="54"/>
        <v>0</v>
      </c>
      <c r="AA25" s="4">
        <f t="shared" si="55"/>
        <v>0</v>
      </c>
      <c r="AB25" s="4"/>
      <c r="AC25" s="40">
        <f t="shared" si="56"/>
        <v>0</v>
      </c>
      <c r="AD25" s="40">
        <f t="shared" si="57"/>
        <v>0</v>
      </c>
      <c r="AE25" s="40">
        <f t="shared" si="58"/>
        <v>0</v>
      </c>
      <c r="AF25" s="40">
        <f t="shared" si="59"/>
        <v>0</v>
      </c>
      <c r="AG25" s="40">
        <f t="shared" si="60"/>
        <v>0</v>
      </c>
      <c r="AH25" s="41">
        <f t="shared" si="61"/>
        <v>0</v>
      </c>
      <c r="AI25" s="160"/>
      <c r="AJ25" s="7"/>
      <c r="AK25" s="8"/>
      <c r="AM25" s="162" t="str">
        <f t="shared" si="62"/>
        <v/>
      </c>
      <c r="AN25" s="45" t="str">
        <f t="shared" si="63"/>
        <v/>
      </c>
      <c r="AO25" s="128">
        <f t="shared" si="64"/>
        <v>0</v>
      </c>
    </row>
    <row r="26" spans="1:41" x14ac:dyDescent="0.25">
      <c r="A26" s="497"/>
      <c r="B26" s="280" t="s">
        <v>100</v>
      </c>
      <c r="C26" s="108" t="s">
        <v>101</v>
      </c>
      <c r="D26" s="108" t="s">
        <v>182</v>
      </c>
      <c r="E26" s="108" t="s">
        <v>189</v>
      </c>
      <c r="F26" s="42">
        <v>1642</v>
      </c>
      <c r="G26" s="42">
        <f t="shared" si="44"/>
        <v>0</v>
      </c>
      <c r="H26" s="43">
        <f t="shared" si="65"/>
        <v>1642</v>
      </c>
      <c r="I26" s="107"/>
      <c r="J26" s="3"/>
      <c r="K26" s="40">
        <f>'Ordering Period 2'!K26+('Ordering Period 2'!K26*Escalation!$D$3)</f>
        <v>0</v>
      </c>
      <c r="L26" s="4">
        <f t="shared" si="45"/>
        <v>0</v>
      </c>
      <c r="M26" s="4">
        <f t="shared" si="46"/>
        <v>0</v>
      </c>
      <c r="N26" s="5">
        <f t="shared" si="47"/>
        <v>0</v>
      </c>
      <c r="O26" s="5">
        <f t="shared" si="48"/>
        <v>0</v>
      </c>
      <c r="P26" s="44">
        <f t="shared" si="49"/>
        <v>0</v>
      </c>
      <c r="Q26" s="44">
        <f>(P26-O26)*$Q$4</f>
        <v>0</v>
      </c>
      <c r="R26" s="44">
        <f>SUM(P26:Q26)</f>
        <v>0</v>
      </c>
      <c r="S26" s="44">
        <f t="shared" si="51"/>
        <v>0</v>
      </c>
      <c r="T26" s="44">
        <f t="shared" si="52"/>
        <v>0</v>
      </c>
      <c r="U26" s="128">
        <f t="shared" si="53"/>
        <v>0</v>
      </c>
      <c r="W26" s="161"/>
      <c r="X26" s="5"/>
      <c r="Y26" s="40">
        <f t="shared" si="66"/>
        <v>0</v>
      </c>
      <c r="Z26" s="4">
        <f t="shared" si="54"/>
        <v>0</v>
      </c>
      <c r="AA26" s="4">
        <f>(Y26+Z26)*$AA$4</f>
        <v>0</v>
      </c>
      <c r="AB26" s="4"/>
      <c r="AC26" s="40">
        <f t="shared" si="56"/>
        <v>0</v>
      </c>
      <c r="AD26" s="40">
        <f t="shared" si="57"/>
        <v>0</v>
      </c>
      <c r="AE26" s="40">
        <f t="shared" si="58"/>
        <v>0</v>
      </c>
      <c r="AF26" s="40">
        <f t="shared" si="59"/>
        <v>0</v>
      </c>
      <c r="AG26" s="40">
        <f t="shared" si="60"/>
        <v>0</v>
      </c>
      <c r="AH26" s="41">
        <f t="shared" si="61"/>
        <v>0</v>
      </c>
      <c r="AI26" s="160"/>
      <c r="AJ26" s="7"/>
      <c r="AK26" s="8"/>
      <c r="AM26" s="162" t="str">
        <f t="shared" si="62"/>
        <v/>
      </c>
      <c r="AN26" s="45" t="str">
        <f t="shared" si="63"/>
        <v/>
      </c>
      <c r="AO26" s="128">
        <f t="shared" si="64"/>
        <v>0</v>
      </c>
    </row>
    <row r="27" spans="1:41" ht="15.75" thickBot="1" x14ac:dyDescent="0.3">
      <c r="A27" s="498"/>
      <c r="B27" s="282" t="s">
        <v>102</v>
      </c>
      <c r="C27" s="147" t="s">
        <v>103</v>
      </c>
      <c r="D27" s="147" t="s">
        <v>183</v>
      </c>
      <c r="E27" s="147" t="s">
        <v>189</v>
      </c>
      <c r="F27" s="148">
        <v>2233</v>
      </c>
      <c r="G27" s="148">
        <f t="shared" si="44"/>
        <v>0</v>
      </c>
      <c r="H27" s="149">
        <f t="shared" si="65"/>
        <v>2233</v>
      </c>
      <c r="I27" s="107"/>
      <c r="J27" s="176"/>
      <c r="K27" s="234">
        <f>'Ordering Period 2'!K27+('Ordering Period 2'!K27*Escalation!$D$3)</f>
        <v>0</v>
      </c>
      <c r="L27" s="342">
        <f t="shared" si="45"/>
        <v>0</v>
      </c>
      <c r="M27" s="342">
        <f t="shared" si="46"/>
        <v>0</v>
      </c>
      <c r="N27" s="179">
        <f t="shared" si="47"/>
        <v>0</v>
      </c>
      <c r="O27" s="179">
        <f t="shared" si="48"/>
        <v>0</v>
      </c>
      <c r="P27" s="178">
        <f t="shared" si="49"/>
        <v>0</v>
      </c>
      <c r="Q27" s="178">
        <f t="shared" si="50"/>
        <v>0</v>
      </c>
      <c r="R27" s="178">
        <f t="shared" si="67"/>
        <v>0</v>
      </c>
      <c r="S27" s="178">
        <f t="shared" si="51"/>
        <v>0</v>
      </c>
      <c r="T27" s="178">
        <f t="shared" si="52"/>
        <v>0</v>
      </c>
      <c r="U27" s="180">
        <f t="shared" si="53"/>
        <v>0</v>
      </c>
      <c r="W27" s="181"/>
      <c r="X27" s="179"/>
      <c r="Y27" s="234">
        <f t="shared" si="66"/>
        <v>0</v>
      </c>
      <c r="Z27" s="342">
        <f t="shared" si="54"/>
        <v>0</v>
      </c>
      <c r="AA27" s="342">
        <f t="shared" si="55"/>
        <v>0</v>
      </c>
      <c r="AB27" s="342"/>
      <c r="AC27" s="234">
        <f t="shared" si="56"/>
        <v>0</v>
      </c>
      <c r="AD27" s="234">
        <f t="shared" si="57"/>
        <v>0</v>
      </c>
      <c r="AE27" s="234">
        <f t="shared" si="58"/>
        <v>0</v>
      </c>
      <c r="AF27" s="234">
        <f t="shared" si="59"/>
        <v>0</v>
      </c>
      <c r="AG27" s="234">
        <f t="shared" si="60"/>
        <v>0</v>
      </c>
      <c r="AH27" s="343">
        <f t="shared" si="61"/>
        <v>0</v>
      </c>
      <c r="AI27" s="189"/>
      <c r="AJ27" s="177"/>
      <c r="AK27" s="182"/>
      <c r="AM27" s="211" t="str">
        <f t="shared" si="62"/>
        <v/>
      </c>
      <c r="AN27" s="212" t="str">
        <f t="shared" si="63"/>
        <v/>
      </c>
      <c r="AO27" s="206">
        <f t="shared" si="64"/>
        <v>0</v>
      </c>
    </row>
    <row r="28" spans="1:41" x14ac:dyDescent="0.25">
      <c r="A28" s="496" t="s">
        <v>76</v>
      </c>
      <c r="B28" s="279" t="s">
        <v>104</v>
      </c>
      <c r="C28" s="109" t="s">
        <v>105</v>
      </c>
      <c r="D28" s="109" t="s">
        <v>184</v>
      </c>
      <c r="E28" s="109" t="s">
        <v>189</v>
      </c>
      <c r="F28" s="38">
        <v>1437</v>
      </c>
      <c r="G28" s="38">
        <f t="shared" si="44"/>
        <v>0</v>
      </c>
      <c r="H28" s="39">
        <f t="shared" si="65"/>
        <v>1437</v>
      </c>
      <c r="I28" s="107"/>
      <c r="J28" s="121"/>
      <c r="K28" s="122">
        <f>'Ordering Period 2'!K28+('Ordering Period 2'!K28*Escalation!$D$3)</f>
        <v>0</v>
      </c>
      <c r="L28" s="123">
        <f t="shared" si="45"/>
        <v>0</v>
      </c>
      <c r="M28" s="123">
        <f t="shared" si="46"/>
        <v>0</v>
      </c>
      <c r="N28" s="123">
        <f t="shared" si="47"/>
        <v>0</v>
      </c>
      <c r="O28" s="123">
        <f t="shared" si="48"/>
        <v>0</v>
      </c>
      <c r="P28" s="122">
        <f t="shared" si="49"/>
        <v>0</v>
      </c>
      <c r="Q28" s="122">
        <f t="shared" si="50"/>
        <v>0</v>
      </c>
      <c r="R28" s="122">
        <f t="shared" ref="R28" si="68">SUM(P28:Q28)</f>
        <v>0</v>
      </c>
      <c r="S28" s="122">
        <f t="shared" si="51"/>
        <v>0</v>
      </c>
      <c r="T28" s="122">
        <f t="shared" si="52"/>
        <v>0</v>
      </c>
      <c r="U28" s="124">
        <f t="shared" si="53"/>
        <v>0</v>
      </c>
      <c r="W28" s="121"/>
      <c r="X28" s="123"/>
      <c r="Y28" s="122">
        <f t="shared" si="66"/>
        <v>0</v>
      </c>
      <c r="Z28" s="123">
        <f t="shared" si="54"/>
        <v>0</v>
      </c>
      <c r="AA28" s="123">
        <f t="shared" si="55"/>
        <v>0</v>
      </c>
      <c r="AB28" s="123"/>
      <c r="AC28" s="122">
        <f t="shared" si="56"/>
        <v>0</v>
      </c>
      <c r="AD28" s="122">
        <f t="shared" si="57"/>
        <v>0</v>
      </c>
      <c r="AE28" s="122">
        <f t="shared" si="58"/>
        <v>0</v>
      </c>
      <c r="AF28" s="122">
        <f t="shared" si="59"/>
        <v>0</v>
      </c>
      <c r="AG28" s="122">
        <f t="shared" si="60"/>
        <v>0</v>
      </c>
      <c r="AH28" s="124">
        <f t="shared" si="61"/>
        <v>0</v>
      </c>
      <c r="AI28" s="159"/>
      <c r="AJ28" s="126"/>
      <c r="AK28" s="127"/>
      <c r="AM28" s="140" t="str">
        <f t="shared" si="62"/>
        <v/>
      </c>
      <c r="AN28" s="125" t="str">
        <f t="shared" si="63"/>
        <v/>
      </c>
      <c r="AO28" s="124">
        <f t="shared" si="64"/>
        <v>0</v>
      </c>
    </row>
    <row r="29" spans="1:41" ht="15.75" thickBot="1" x14ac:dyDescent="0.3">
      <c r="A29" s="498"/>
      <c r="B29" s="314" t="s">
        <v>106</v>
      </c>
      <c r="C29" s="147" t="s">
        <v>107</v>
      </c>
      <c r="D29" s="147" t="s">
        <v>185</v>
      </c>
      <c r="E29" s="147" t="s">
        <v>189</v>
      </c>
      <c r="F29" s="148">
        <v>11903</v>
      </c>
      <c r="G29" s="148">
        <f t="shared" si="44"/>
        <v>0</v>
      </c>
      <c r="H29" s="149">
        <f t="shared" si="65"/>
        <v>11903</v>
      </c>
      <c r="I29" s="107"/>
      <c r="J29" s="176"/>
      <c r="K29" s="178">
        <f>'Ordering Period 2'!K29+('Ordering Period 2'!K29*Escalation!$D$3)</f>
        <v>0</v>
      </c>
      <c r="L29" s="179">
        <f t="shared" si="45"/>
        <v>0</v>
      </c>
      <c r="M29" s="179">
        <f t="shared" si="46"/>
        <v>0</v>
      </c>
      <c r="N29" s="179">
        <f t="shared" si="47"/>
        <v>0</v>
      </c>
      <c r="O29" s="179">
        <f t="shared" si="48"/>
        <v>0</v>
      </c>
      <c r="P29" s="178">
        <f t="shared" si="49"/>
        <v>0</v>
      </c>
      <c r="Q29" s="178">
        <f t="shared" si="50"/>
        <v>0</v>
      </c>
      <c r="R29" s="178">
        <f t="shared" si="67"/>
        <v>0</v>
      </c>
      <c r="S29" s="178">
        <f t="shared" si="51"/>
        <v>0</v>
      </c>
      <c r="T29" s="178">
        <f t="shared" si="52"/>
        <v>0</v>
      </c>
      <c r="U29" s="180">
        <f t="shared" si="53"/>
        <v>0</v>
      </c>
      <c r="W29" s="181"/>
      <c r="X29" s="179"/>
      <c r="Y29" s="234">
        <f t="shared" si="66"/>
        <v>0</v>
      </c>
      <c r="Z29" s="342">
        <f t="shared" si="54"/>
        <v>0</v>
      </c>
      <c r="AA29" s="342">
        <f t="shared" si="55"/>
        <v>0</v>
      </c>
      <c r="AB29" s="342"/>
      <c r="AC29" s="234">
        <f t="shared" si="56"/>
        <v>0</v>
      </c>
      <c r="AD29" s="234">
        <f>$AD$4*(AA29+Y29+Z29)</f>
        <v>0</v>
      </c>
      <c r="AE29" s="234">
        <f t="shared" si="58"/>
        <v>0</v>
      </c>
      <c r="AF29" s="234">
        <f t="shared" si="59"/>
        <v>0</v>
      </c>
      <c r="AG29" s="234">
        <f t="shared" si="60"/>
        <v>0</v>
      </c>
      <c r="AH29" s="343">
        <f t="shared" si="61"/>
        <v>0</v>
      </c>
      <c r="AI29" s="189"/>
      <c r="AJ29" s="177"/>
      <c r="AK29" s="182"/>
      <c r="AM29" s="183" t="str">
        <f t="shared" si="62"/>
        <v/>
      </c>
      <c r="AN29" s="184" t="str">
        <f t="shared" si="63"/>
        <v/>
      </c>
      <c r="AO29" s="180">
        <f t="shared" si="64"/>
        <v>0</v>
      </c>
    </row>
    <row r="30" spans="1:41" x14ac:dyDescent="0.25">
      <c r="A30" s="496" t="s">
        <v>77</v>
      </c>
      <c r="B30" s="279" t="s">
        <v>108</v>
      </c>
      <c r="C30" s="109" t="s">
        <v>95</v>
      </c>
      <c r="D30" s="109" t="s">
        <v>179</v>
      </c>
      <c r="E30" s="109" t="s">
        <v>189</v>
      </c>
      <c r="F30" s="38">
        <v>12443</v>
      </c>
      <c r="G30" s="38">
        <f t="shared" si="44"/>
        <v>0</v>
      </c>
      <c r="H30" s="39">
        <f t="shared" si="65"/>
        <v>12443</v>
      </c>
      <c r="I30" s="107"/>
      <c r="J30" s="121"/>
      <c r="K30" s="122">
        <f>'Ordering Period 2'!K30+('Ordering Period 2'!K30*Escalation!$D$3)</f>
        <v>0</v>
      </c>
      <c r="L30" s="123">
        <f t="shared" si="45"/>
        <v>0</v>
      </c>
      <c r="M30" s="123">
        <f t="shared" si="46"/>
        <v>0</v>
      </c>
      <c r="N30" s="123">
        <f t="shared" si="47"/>
        <v>0</v>
      </c>
      <c r="O30" s="123">
        <f t="shared" si="48"/>
        <v>0</v>
      </c>
      <c r="P30" s="122">
        <f t="shared" si="49"/>
        <v>0</v>
      </c>
      <c r="Q30" s="122">
        <f t="shared" si="50"/>
        <v>0</v>
      </c>
      <c r="R30" s="122">
        <f t="shared" si="67"/>
        <v>0</v>
      </c>
      <c r="S30" s="122">
        <f t="shared" si="51"/>
        <v>0</v>
      </c>
      <c r="T30" s="122">
        <f t="shared" si="52"/>
        <v>0</v>
      </c>
      <c r="U30" s="124">
        <f t="shared" si="53"/>
        <v>0</v>
      </c>
      <c r="W30" s="121"/>
      <c r="X30" s="123"/>
      <c r="Y30" s="122">
        <f t="shared" si="66"/>
        <v>0</v>
      </c>
      <c r="Z30" s="123">
        <f t="shared" si="54"/>
        <v>0</v>
      </c>
      <c r="AA30" s="123">
        <f t="shared" si="55"/>
        <v>0</v>
      </c>
      <c r="AB30" s="123"/>
      <c r="AC30" s="122">
        <f t="shared" si="56"/>
        <v>0</v>
      </c>
      <c r="AD30" s="122">
        <f t="shared" ref="AD30:AD33" si="69">$AD$4*(AA30+Y30+Z30)</f>
        <v>0</v>
      </c>
      <c r="AE30" s="122">
        <f t="shared" si="58"/>
        <v>0</v>
      </c>
      <c r="AF30" s="122">
        <f t="shared" si="59"/>
        <v>0</v>
      </c>
      <c r="AG30" s="122">
        <f t="shared" si="60"/>
        <v>0</v>
      </c>
      <c r="AH30" s="124">
        <f t="shared" si="61"/>
        <v>0</v>
      </c>
      <c r="AI30" s="159"/>
      <c r="AJ30" s="126"/>
      <c r="AK30" s="127"/>
      <c r="AM30" s="140" t="str">
        <f t="shared" si="62"/>
        <v/>
      </c>
      <c r="AN30" s="125" t="str">
        <f t="shared" si="63"/>
        <v/>
      </c>
      <c r="AO30" s="124">
        <f t="shared" si="64"/>
        <v>0</v>
      </c>
    </row>
    <row r="31" spans="1:41" x14ac:dyDescent="0.25">
      <c r="A31" s="497"/>
      <c r="B31" s="280" t="s">
        <v>109</v>
      </c>
      <c r="C31" s="108" t="s">
        <v>110</v>
      </c>
      <c r="D31" s="108" t="s">
        <v>186</v>
      </c>
      <c r="E31" s="108" t="s">
        <v>189</v>
      </c>
      <c r="F31" s="42">
        <v>1437</v>
      </c>
      <c r="G31" s="42">
        <f t="shared" si="44"/>
        <v>0</v>
      </c>
      <c r="H31" s="43">
        <f t="shared" si="65"/>
        <v>1437</v>
      </c>
      <c r="I31" s="107"/>
      <c r="J31" s="3"/>
      <c r="K31" s="44">
        <f>'Ordering Period 2'!K31+('Ordering Period 2'!K31*Escalation!$D$3)</f>
        <v>0</v>
      </c>
      <c r="L31" s="5">
        <f t="shared" si="45"/>
        <v>0</v>
      </c>
      <c r="M31" s="5">
        <f t="shared" si="46"/>
        <v>0</v>
      </c>
      <c r="N31" s="5">
        <f t="shared" si="47"/>
        <v>0</v>
      </c>
      <c r="O31" s="5">
        <f t="shared" si="48"/>
        <v>0</v>
      </c>
      <c r="P31" s="44">
        <f t="shared" si="49"/>
        <v>0</v>
      </c>
      <c r="Q31" s="44">
        <f t="shared" si="50"/>
        <v>0</v>
      </c>
      <c r="R31" s="44">
        <f t="shared" si="67"/>
        <v>0</v>
      </c>
      <c r="S31" s="44">
        <f t="shared" si="51"/>
        <v>0</v>
      </c>
      <c r="T31" s="44">
        <f t="shared" si="52"/>
        <v>0</v>
      </c>
      <c r="U31" s="128">
        <f t="shared" si="53"/>
        <v>0</v>
      </c>
      <c r="W31" s="161"/>
      <c r="X31" s="5"/>
      <c r="Y31" s="40">
        <f t="shared" si="66"/>
        <v>0</v>
      </c>
      <c r="Z31" s="4">
        <f t="shared" si="54"/>
        <v>0</v>
      </c>
      <c r="AA31" s="4">
        <f t="shared" si="55"/>
        <v>0</v>
      </c>
      <c r="AB31" s="4"/>
      <c r="AC31" s="40">
        <f>SUM(Y31:AB31)</f>
        <v>0</v>
      </c>
      <c r="AD31" s="40">
        <f t="shared" si="69"/>
        <v>0</v>
      </c>
      <c r="AE31" s="40">
        <f t="shared" si="58"/>
        <v>0</v>
      </c>
      <c r="AF31" s="40">
        <f t="shared" si="59"/>
        <v>0</v>
      </c>
      <c r="AG31" s="40">
        <f t="shared" si="60"/>
        <v>0</v>
      </c>
      <c r="AH31" s="41">
        <f t="shared" si="61"/>
        <v>0</v>
      </c>
      <c r="AI31" s="160"/>
      <c r="AJ31" s="7"/>
      <c r="AK31" s="8"/>
      <c r="AM31" s="162" t="str">
        <f t="shared" si="62"/>
        <v/>
      </c>
      <c r="AN31" s="45" t="str">
        <f t="shared" si="63"/>
        <v/>
      </c>
      <c r="AO31" s="128">
        <f t="shared" si="64"/>
        <v>0</v>
      </c>
    </row>
    <row r="32" spans="1:41" x14ac:dyDescent="0.25">
      <c r="A32" s="497"/>
      <c r="B32" s="281" t="s">
        <v>111</v>
      </c>
      <c r="C32" s="108" t="s">
        <v>99</v>
      </c>
      <c r="D32" s="108" t="s">
        <v>181</v>
      </c>
      <c r="E32" s="108" t="s">
        <v>189</v>
      </c>
      <c r="F32" s="42">
        <v>240</v>
      </c>
      <c r="G32" s="42">
        <f t="shared" si="44"/>
        <v>0</v>
      </c>
      <c r="H32" s="43">
        <f t="shared" si="65"/>
        <v>240</v>
      </c>
      <c r="I32" s="107"/>
      <c r="J32" s="3"/>
      <c r="K32" s="44">
        <f>'Ordering Period 2'!K32+('Ordering Period 2'!K32*Escalation!$D$3)</f>
        <v>0</v>
      </c>
      <c r="L32" s="5">
        <f t="shared" si="45"/>
        <v>0</v>
      </c>
      <c r="M32" s="5">
        <f t="shared" si="46"/>
        <v>0</v>
      </c>
      <c r="N32" s="5">
        <f t="shared" si="47"/>
        <v>0</v>
      </c>
      <c r="O32" s="5">
        <f t="shared" si="48"/>
        <v>0</v>
      </c>
      <c r="P32" s="44">
        <f t="shared" si="49"/>
        <v>0</v>
      </c>
      <c r="Q32" s="44">
        <f t="shared" si="50"/>
        <v>0</v>
      </c>
      <c r="R32" s="44">
        <f t="shared" si="67"/>
        <v>0</v>
      </c>
      <c r="S32" s="44">
        <f t="shared" si="51"/>
        <v>0</v>
      </c>
      <c r="T32" s="44">
        <f t="shared" si="52"/>
        <v>0</v>
      </c>
      <c r="U32" s="128">
        <f t="shared" si="53"/>
        <v>0</v>
      </c>
      <c r="W32" s="161"/>
      <c r="X32" s="5"/>
      <c r="Y32" s="40">
        <f t="shared" si="66"/>
        <v>0</v>
      </c>
      <c r="Z32" s="4">
        <f t="shared" si="54"/>
        <v>0</v>
      </c>
      <c r="AA32" s="4">
        <f t="shared" si="55"/>
        <v>0</v>
      </c>
      <c r="AB32" s="4"/>
      <c r="AC32" s="40">
        <f t="shared" si="56"/>
        <v>0</v>
      </c>
      <c r="AD32" s="40">
        <f t="shared" si="69"/>
        <v>0</v>
      </c>
      <c r="AE32" s="40">
        <f t="shared" si="58"/>
        <v>0</v>
      </c>
      <c r="AF32" s="40">
        <f t="shared" si="59"/>
        <v>0</v>
      </c>
      <c r="AG32" s="40">
        <f t="shared" si="60"/>
        <v>0</v>
      </c>
      <c r="AH32" s="41">
        <f t="shared" si="61"/>
        <v>0</v>
      </c>
      <c r="AI32" s="160"/>
      <c r="AJ32" s="7"/>
      <c r="AK32" s="8"/>
      <c r="AM32" s="162" t="str">
        <f t="shared" si="62"/>
        <v/>
      </c>
      <c r="AN32" s="45" t="str">
        <f t="shared" si="63"/>
        <v/>
      </c>
      <c r="AO32" s="128">
        <f t="shared" si="64"/>
        <v>0</v>
      </c>
    </row>
    <row r="33" spans="1:41" x14ac:dyDescent="0.25">
      <c r="A33" s="497"/>
      <c r="B33" s="281" t="s">
        <v>112</v>
      </c>
      <c r="C33" s="108" t="s">
        <v>113</v>
      </c>
      <c r="D33" s="108" t="s">
        <v>187</v>
      </c>
      <c r="E33" s="108" t="s">
        <v>189</v>
      </c>
      <c r="F33" s="42">
        <v>2873</v>
      </c>
      <c r="G33" s="42">
        <f t="shared" si="44"/>
        <v>0</v>
      </c>
      <c r="H33" s="43">
        <f t="shared" si="65"/>
        <v>2873</v>
      </c>
      <c r="I33" s="107"/>
      <c r="J33" s="3"/>
      <c r="K33" s="44">
        <f>'Ordering Period 2'!K33+('Ordering Period 2'!K33*Escalation!$D$3)</f>
        <v>0</v>
      </c>
      <c r="L33" s="5">
        <f t="shared" si="45"/>
        <v>0</v>
      </c>
      <c r="M33" s="5">
        <f t="shared" si="46"/>
        <v>0</v>
      </c>
      <c r="N33" s="5">
        <f t="shared" si="47"/>
        <v>0</v>
      </c>
      <c r="O33" s="5">
        <f t="shared" si="48"/>
        <v>0</v>
      </c>
      <c r="P33" s="44">
        <f t="shared" si="49"/>
        <v>0</v>
      </c>
      <c r="Q33" s="44">
        <f t="shared" si="50"/>
        <v>0</v>
      </c>
      <c r="R33" s="44">
        <f t="shared" si="67"/>
        <v>0</v>
      </c>
      <c r="S33" s="44">
        <f t="shared" si="51"/>
        <v>0</v>
      </c>
      <c r="T33" s="44">
        <f t="shared" si="52"/>
        <v>0</v>
      </c>
      <c r="U33" s="128">
        <f t="shared" si="53"/>
        <v>0</v>
      </c>
      <c r="W33" s="161"/>
      <c r="X33" s="5"/>
      <c r="Y33" s="40">
        <f t="shared" si="66"/>
        <v>0</v>
      </c>
      <c r="Z33" s="4">
        <f t="shared" si="54"/>
        <v>0</v>
      </c>
      <c r="AA33" s="4">
        <f t="shared" si="55"/>
        <v>0</v>
      </c>
      <c r="AB33" s="4"/>
      <c r="AC33" s="40">
        <f>SUM(Y33:AB33)</f>
        <v>0</v>
      </c>
      <c r="AD33" s="40">
        <f t="shared" si="69"/>
        <v>0</v>
      </c>
      <c r="AE33" s="40">
        <f t="shared" si="58"/>
        <v>0</v>
      </c>
      <c r="AF33" s="40">
        <f t="shared" si="59"/>
        <v>0</v>
      </c>
      <c r="AG33" s="40">
        <f>AD33*W33</f>
        <v>0</v>
      </c>
      <c r="AH33" s="41">
        <f t="shared" si="61"/>
        <v>0</v>
      </c>
      <c r="AI33" s="160"/>
      <c r="AJ33" s="7"/>
      <c r="AK33" s="8"/>
      <c r="AM33" s="162" t="str">
        <f t="shared" si="62"/>
        <v/>
      </c>
      <c r="AN33" s="45" t="str">
        <f t="shared" si="63"/>
        <v/>
      </c>
      <c r="AO33" s="128">
        <f t="shared" si="64"/>
        <v>0</v>
      </c>
    </row>
    <row r="34" spans="1:41" ht="15.75" thickBot="1" x14ac:dyDescent="0.3">
      <c r="A34" s="498"/>
      <c r="B34" s="314" t="s">
        <v>114</v>
      </c>
      <c r="C34" s="147" t="s">
        <v>103</v>
      </c>
      <c r="D34" s="147" t="s">
        <v>183</v>
      </c>
      <c r="E34" s="147" t="s">
        <v>189</v>
      </c>
      <c r="F34" s="148">
        <v>1256</v>
      </c>
      <c r="G34" s="148">
        <f t="shared" si="44"/>
        <v>0</v>
      </c>
      <c r="H34" s="149">
        <f t="shared" si="65"/>
        <v>1256</v>
      </c>
      <c r="I34" s="107"/>
      <c r="J34" s="176"/>
      <c r="K34" s="178">
        <f>'Ordering Period 2'!K34+('Ordering Period 2'!K34*Escalation!$D$3)</f>
        <v>0</v>
      </c>
      <c r="L34" s="179">
        <f t="shared" si="45"/>
        <v>0</v>
      </c>
      <c r="M34" s="179">
        <f t="shared" si="46"/>
        <v>0</v>
      </c>
      <c r="N34" s="179">
        <f t="shared" si="47"/>
        <v>0</v>
      </c>
      <c r="O34" s="179">
        <f t="shared" si="48"/>
        <v>0</v>
      </c>
      <c r="P34" s="178">
        <f t="shared" si="49"/>
        <v>0</v>
      </c>
      <c r="Q34" s="178">
        <f t="shared" si="50"/>
        <v>0</v>
      </c>
      <c r="R34" s="178">
        <f t="shared" si="67"/>
        <v>0</v>
      </c>
      <c r="S34" s="178">
        <f t="shared" si="51"/>
        <v>0</v>
      </c>
      <c r="T34" s="178">
        <f t="shared" si="52"/>
        <v>0</v>
      </c>
      <c r="U34" s="180">
        <f t="shared" si="53"/>
        <v>0</v>
      </c>
      <c r="W34" s="181"/>
      <c r="X34" s="179"/>
      <c r="Y34" s="234">
        <f t="shared" si="66"/>
        <v>0</v>
      </c>
      <c r="Z34" s="342">
        <f t="shared" si="54"/>
        <v>0</v>
      </c>
      <c r="AA34" s="342">
        <f t="shared" si="55"/>
        <v>0</v>
      </c>
      <c r="AB34" s="342"/>
      <c r="AC34" s="234">
        <f t="shared" si="56"/>
        <v>0</v>
      </c>
      <c r="AD34" s="234">
        <f t="shared" si="57"/>
        <v>0</v>
      </c>
      <c r="AE34" s="234">
        <f t="shared" si="58"/>
        <v>0</v>
      </c>
      <c r="AF34" s="234">
        <f>AC34*W34</f>
        <v>0</v>
      </c>
      <c r="AG34" s="234">
        <f t="shared" si="60"/>
        <v>0</v>
      </c>
      <c r="AH34" s="343">
        <f t="shared" si="61"/>
        <v>0</v>
      </c>
      <c r="AI34" s="189"/>
      <c r="AJ34" s="177"/>
      <c r="AK34" s="182"/>
      <c r="AM34" s="183" t="str">
        <f t="shared" si="62"/>
        <v/>
      </c>
      <c r="AN34" s="184" t="str">
        <f t="shared" si="63"/>
        <v/>
      </c>
      <c r="AO34" s="180">
        <f t="shared" si="64"/>
        <v>0</v>
      </c>
    </row>
    <row r="35" spans="1:41" ht="15.75" thickBot="1" x14ac:dyDescent="0.3">
      <c r="A35" s="66" t="s">
        <v>116</v>
      </c>
      <c r="B35" s="278"/>
      <c r="C35" s="200"/>
      <c r="D35" s="200"/>
      <c r="E35" s="200"/>
      <c r="F35" s="201"/>
      <c r="G35" s="201"/>
      <c r="H35" s="202"/>
      <c r="I35" s="107"/>
      <c r="J35" s="446"/>
      <c r="K35" s="449"/>
      <c r="L35" s="244"/>
      <c r="M35" s="244"/>
      <c r="N35" s="244"/>
      <c r="O35" s="244"/>
      <c r="P35" s="244"/>
      <c r="Q35" s="244"/>
      <c r="R35" s="244"/>
      <c r="S35" s="244"/>
      <c r="T35" s="244"/>
      <c r="U35" s="243"/>
      <c r="W35" s="450"/>
      <c r="X35" s="247"/>
      <c r="Y35" s="247"/>
      <c r="Z35" s="247"/>
      <c r="AA35" s="247"/>
      <c r="AB35" s="247"/>
      <c r="AC35" s="247"/>
      <c r="AD35" s="247"/>
      <c r="AE35" s="247"/>
      <c r="AF35" s="247"/>
      <c r="AG35" s="247"/>
      <c r="AH35" s="247"/>
      <c r="AI35" s="451"/>
      <c r="AJ35" s="451"/>
      <c r="AK35" s="452"/>
      <c r="AM35" s="241"/>
      <c r="AN35" s="242"/>
      <c r="AO35" s="243"/>
    </row>
    <row r="36" spans="1:41" ht="15.75" thickBot="1" x14ac:dyDescent="0.3">
      <c r="A36" s="297" t="s">
        <v>73</v>
      </c>
      <c r="B36" s="283" t="s">
        <v>115</v>
      </c>
      <c r="C36" s="284" t="s">
        <v>93</v>
      </c>
      <c r="D36" s="284"/>
      <c r="E36" s="284" t="s">
        <v>116</v>
      </c>
      <c r="F36" s="285">
        <v>33280</v>
      </c>
      <c r="G36" s="285">
        <f t="shared" ref="G36:G43" si="70">SUM(J36,W36)</f>
        <v>0</v>
      </c>
      <c r="H36" s="286">
        <f t="shared" si="8"/>
        <v>33280</v>
      </c>
      <c r="I36" s="107"/>
      <c r="J36" s="292"/>
      <c r="K36" s="294">
        <f>'Ordering Period 2'!K36+('Ordering Period 2'!K36*Escalation!$D$3)</f>
        <v>0</v>
      </c>
      <c r="L36" s="349">
        <f>(K36*$L$4)</f>
        <v>0</v>
      </c>
      <c r="M36" s="349">
        <f t="shared" ref="M36:M43" si="71">(L36+K36)*$M$4</f>
        <v>0</v>
      </c>
      <c r="N36" s="349">
        <f t="shared" ref="N36:N43" si="72">(L36+K36+M36)*$N$4</f>
        <v>0</v>
      </c>
      <c r="O36" s="349">
        <f t="shared" ref="O36:O43" si="73">(K36+L36+M36+N36)*$O$4</f>
        <v>0</v>
      </c>
      <c r="P36" s="294">
        <f t="shared" ref="P36:P43" si="74">SUM(K36:O36)</f>
        <v>0</v>
      </c>
      <c r="Q36" s="294">
        <f>(P36-O36)*$Q$4</f>
        <v>0</v>
      </c>
      <c r="R36" s="294">
        <f>SUM(P36:Q36)</f>
        <v>0</v>
      </c>
      <c r="S36" s="294">
        <f t="shared" ref="S36:S43" si="75">P36*J36</f>
        <v>0</v>
      </c>
      <c r="T36" s="294">
        <f t="shared" ref="T36:T43" si="76">Q36*J36</f>
        <v>0</v>
      </c>
      <c r="U36" s="296">
        <f t="shared" ref="U36:U43" si="77">R36*J36</f>
        <v>0</v>
      </c>
      <c r="W36" s="292"/>
      <c r="X36" s="349"/>
      <c r="Y36" s="294">
        <f t="shared" ref="Y36:Y43" si="78">IF($W36&gt;0,$X36,0)</f>
        <v>0</v>
      </c>
      <c r="Z36" s="349">
        <f t="shared" ref="Z36:Z43" si="79">(Y36*$Z$4)</f>
        <v>0</v>
      </c>
      <c r="AA36" s="349">
        <f t="shared" ref="AA36:AA43" si="80">(Y36+Z36)*$AA$4</f>
        <v>0</v>
      </c>
      <c r="AB36" s="349"/>
      <c r="AC36" s="294">
        <f t="shared" ref="AC36:AC43" si="81">SUM(Y36:AB36)</f>
        <v>0</v>
      </c>
      <c r="AD36" s="294">
        <f t="shared" si="57"/>
        <v>0</v>
      </c>
      <c r="AE36" s="294">
        <f t="shared" ref="AE36" si="82">SUM(AC36:AD36)</f>
        <v>0</v>
      </c>
      <c r="AF36" s="294">
        <f t="shared" ref="AF36:AF43" si="83">AC36*W36</f>
        <v>0</v>
      </c>
      <c r="AG36" s="294">
        <f t="shared" ref="AG36:AG43" si="84">AD36*W36</f>
        <v>0</v>
      </c>
      <c r="AH36" s="294">
        <f t="shared" ref="AH36:AH43" si="85">AE36*W36</f>
        <v>0</v>
      </c>
      <c r="AI36" s="350"/>
      <c r="AJ36" s="351"/>
      <c r="AK36" s="352"/>
      <c r="AM36" s="339" t="str">
        <f t="shared" ref="AM36:AM43" si="86">IFERROR(SUM(S36,AF36)/G36,"")</f>
        <v/>
      </c>
      <c r="AN36" s="340" t="str">
        <f t="shared" ref="AN36:AN43" si="87">IFERROR(SUM(T36,AG36)/G36,"")</f>
        <v/>
      </c>
      <c r="AO36" s="291">
        <f t="shared" si="23"/>
        <v>0</v>
      </c>
    </row>
    <row r="37" spans="1:41" ht="15.75" thickBot="1" x14ac:dyDescent="0.3">
      <c r="A37" s="297" t="s">
        <v>74</v>
      </c>
      <c r="B37" s="283" t="s">
        <v>117</v>
      </c>
      <c r="C37" s="284" t="s">
        <v>95</v>
      </c>
      <c r="D37" s="284"/>
      <c r="E37" s="284" t="s">
        <v>116</v>
      </c>
      <c r="F37" s="285">
        <v>113859</v>
      </c>
      <c r="G37" s="285">
        <f t="shared" si="70"/>
        <v>0</v>
      </c>
      <c r="H37" s="286">
        <f t="shared" si="8"/>
        <v>113859</v>
      </c>
      <c r="I37" s="107"/>
      <c r="J37" s="288"/>
      <c r="K37" s="290">
        <f>'Ordering Period 2'!K37+('Ordering Period 2'!K37*Escalation!$D$3)</f>
        <v>0</v>
      </c>
      <c r="L37" s="334">
        <f t="shared" ref="L37:L43" si="88">(K37*$L$4)</f>
        <v>0</v>
      </c>
      <c r="M37" s="334">
        <f t="shared" si="71"/>
        <v>0</v>
      </c>
      <c r="N37" s="334">
        <f t="shared" si="72"/>
        <v>0</v>
      </c>
      <c r="O37" s="334">
        <f>(K37+L37+M37+N37)*$O$4</f>
        <v>0</v>
      </c>
      <c r="P37" s="290">
        <f t="shared" si="74"/>
        <v>0</v>
      </c>
      <c r="Q37" s="290">
        <f>(P37-O37)*$Q$4</f>
        <v>0</v>
      </c>
      <c r="R37" s="290">
        <f t="shared" si="43"/>
        <v>0</v>
      </c>
      <c r="S37" s="290">
        <f t="shared" si="75"/>
        <v>0</v>
      </c>
      <c r="T37" s="290">
        <f t="shared" si="76"/>
        <v>0</v>
      </c>
      <c r="U37" s="291">
        <f t="shared" si="77"/>
        <v>0</v>
      </c>
      <c r="W37" s="288"/>
      <c r="X37" s="334"/>
      <c r="Y37" s="290">
        <f t="shared" si="78"/>
        <v>0</v>
      </c>
      <c r="Z37" s="334">
        <f t="shared" si="79"/>
        <v>0</v>
      </c>
      <c r="AA37" s="334">
        <f t="shared" si="80"/>
        <v>0</v>
      </c>
      <c r="AB37" s="334"/>
      <c r="AC37" s="290">
        <f t="shared" si="81"/>
        <v>0</v>
      </c>
      <c r="AD37" s="290">
        <f t="shared" si="57"/>
        <v>0</v>
      </c>
      <c r="AE37" s="290">
        <f t="shared" ref="AE37:AE43" si="89">SUM(AC37:AD37)</f>
        <v>0</v>
      </c>
      <c r="AF37" s="290">
        <f t="shared" si="83"/>
        <v>0</v>
      </c>
      <c r="AG37" s="290">
        <f t="shared" si="84"/>
        <v>0</v>
      </c>
      <c r="AH37" s="290">
        <f t="shared" si="85"/>
        <v>0</v>
      </c>
      <c r="AI37" s="335"/>
      <c r="AJ37" s="336"/>
      <c r="AK37" s="337"/>
      <c r="AM37" s="339" t="str">
        <f t="shared" si="86"/>
        <v/>
      </c>
      <c r="AN37" s="340" t="str">
        <f t="shared" si="87"/>
        <v/>
      </c>
      <c r="AO37" s="291">
        <f t="shared" si="23"/>
        <v>0</v>
      </c>
    </row>
    <row r="38" spans="1:41" x14ac:dyDescent="0.25">
      <c r="A38" s="496" t="s">
        <v>76</v>
      </c>
      <c r="B38" s="279" t="s">
        <v>118</v>
      </c>
      <c r="C38" s="109" t="s">
        <v>105</v>
      </c>
      <c r="D38" s="109"/>
      <c r="E38" s="109" t="s">
        <v>116</v>
      </c>
      <c r="F38" s="38">
        <v>12480</v>
      </c>
      <c r="G38" s="38">
        <f t="shared" si="70"/>
        <v>0</v>
      </c>
      <c r="H38" s="39">
        <f t="shared" si="8"/>
        <v>12480</v>
      </c>
      <c r="I38" s="107"/>
      <c r="J38" s="121"/>
      <c r="K38" s="122">
        <f>'Ordering Period 2'!K38+('Ordering Period 2'!K38*Escalation!$D$3)</f>
        <v>0</v>
      </c>
      <c r="L38" s="123">
        <f t="shared" si="88"/>
        <v>0</v>
      </c>
      <c r="M38" s="123">
        <f t="shared" si="71"/>
        <v>0</v>
      </c>
      <c r="N38" s="123">
        <f t="shared" si="72"/>
        <v>0</v>
      </c>
      <c r="O38" s="123">
        <f t="shared" si="73"/>
        <v>0</v>
      </c>
      <c r="P38" s="122">
        <f t="shared" si="74"/>
        <v>0</v>
      </c>
      <c r="Q38" s="122">
        <f t="shared" ref="Q38:Q43" si="90">(P38-O38)*$Q$4</f>
        <v>0</v>
      </c>
      <c r="R38" s="122">
        <f t="shared" si="43"/>
        <v>0</v>
      </c>
      <c r="S38" s="122">
        <f t="shared" si="75"/>
        <v>0</v>
      </c>
      <c r="T38" s="122">
        <f t="shared" si="76"/>
        <v>0</v>
      </c>
      <c r="U38" s="124">
        <f t="shared" si="77"/>
        <v>0</v>
      </c>
      <c r="W38" s="121"/>
      <c r="X38" s="123"/>
      <c r="Y38" s="122">
        <f t="shared" si="78"/>
        <v>0</v>
      </c>
      <c r="Z38" s="123">
        <f t="shared" si="79"/>
        <v>0</v>
      </c>
      <c r="AA38" s="123">
        <f t="shared" si="80"/>
        <v>0</v>
      </c>
      <c r="AB38" s="123"/>
      <c r="AC38" s="122">
        <f t="shared" si="81"/>
        <v>0</v>
      </c>
      <c r="AD38" s="122">
        <f t="shared" si="57"/>
        <v>0</v>
      </c>
      <c r="AE38" s="122">
        <f t="shared" si="89"/>
        <v>0</v>
      </c>
      <c r="AF38" s="122">
        <f t="shared" si="83"/>
        <v>0</v>
      </c>
      <c r="AG38" s="122">
        <f t="shared" si="84"/>
        <v>0</v>
      </c>
      <c r="AH38" s="122">
        <f t="shared" si="85"/>
        <v>0</v>
      </c>
      <c r="AI38" s="159"/>
      <c r="AJ38" s="126"/>
      <c r="AK38" s="127"/>
      <c r="AM38" s="214" t="str">
        <f t="shared" si="86"/>
        <v/>
      </c>
      <c r="AN38" s="215" t="str">
        <f t="shared" si="87"/>
        <v/>
      </c>
      <c r="AO38" s="41">
        <f t="shared" si="23"/>
        <v>0</v>
      </c>
    </row>
    <row r="39" spans="1:41" ht="15.75" thickBot="1" x14ac:dyDescent="0.3">
      <c r="A39" s="497"/>
      <c r="B39" s="321" t="s">
        <v>119</v>
      </c>
      <c r="C39" s="322" t="s">
        <v>120</v>
      </c>
      <c r="D39" s="322"/>
      <c r="E39" s="322" t="s">
        <v>116</v>
      </c>
      <c r="F39" s="323">
        <v>131040</v>
      </c>
      <c r="G39" s="323">
        <f t="shared" si="70"/>
        <v>0</v>
      </c>
      <c r="H39" s="324">
        <f t="shared" si="8"/>
        <v>131040</v>
      </c>
      <c r="I39" s="107"/>
      <c r="J39" s="176"/>
      <c r="K39" s="234">
        <f>'Ordering Period 2'!K39+('Ordering Period 2'!K39*Escalation!$D$3)</f>
        <v>0</v>
      </c>
      <c r="L39" s="179">
        <f t="shared" si="88"/>
        <v>0</v>
      </c>
      <c r="M39" s="179">
        <f t="shared" si="71"/>
        <v>0</v>
      </c>
      <c r="N39" s="179">
        <f t="shared" si="72"/>
        <v>0</v>
      </c>
      <c r="O39" s="179">
        <f t="shared" si="73"/>
        <v>0</v>
      </c>
      <c r="P39" s="178">
        <f t="shared" si="74"/>
        <v>0</v>
      </c>
      <c r="Q39" s="178">
        <f>(P39-O39)*$Q$4</f>
        <v>0</v>
      </c>
      <c r="R39" s="178">
        <f t="shared" si="43"/>
        <v>0</v>
      </c>
      <c r="S39" s="178">
        <f t="shared" si="75"/>
        <v>0</v>
      </c>
      <c r="T39" s="178">
        <f t="shared" si="76"/>
        <v>0</v>
      </c>
      <c r="U39" s="180">
        <f t="shared" si="77"/>
        <v>0</v>
      </c>
      <c r="W39" s="181"/>
      <c r="X39" s="179"/>
      <c r="Y39" s="178">
        <f t="shared" si="78"/>
        <v>0</v>
      </c>
      <c r="Z39" s="179">
        <f t="shared" si="79"/>
        <v>0</v>
      </c>
      <c r="AA39" s="179">
        <f t="shared" si="80"/>
        <v>0</v>
      </c>
      <c r="AB39" s="179"/>
      <c r="AC39" s="178">
        <f t="shared" si="81"/>
        <v>0</v>
      </c>
      <c r="AD39" s="178">
        <f t="shared" si="57"/>
        <v>0</v>
      </c>
      <c r="AE39" s="178">
        <f t="shared" si="89"/>
        <v>0</v>
      </c>
      <c r="AF39" s="178">
        <f t="shared" si="83"/>
        <v>0</v>
      </c>
      <c r="AG39" s="178">
        <f t="shared" si="84"/>
        <v>0</v>
      </c>
      <c r="AH39" s="178">
        <f t="shared" si="85"/>
        <v>0</v>
      </c>
      <c r="AI39" s="189"/>
      <c r="AJ39" s="177"/>
      <c r="AK39" s="182"/>
      <c r="AM39" s="162" t="str">
        <f t="shared" si="86"/>
        <v/>
      </c>
      <c r="AN39" s="45" t="str">
        <f t="shared" si="87"/>
        <v/>
      </c>
      <c r="AO39" s="128">
        <f t="shared" si="23"/>
        <v>0</v>
      </c>
    </row>
    <row r="40" spans="1:41" x14ac:dyDescent="0.25">
      <c r="A40" s="493" t="s">
        <v>77</v>
      </c>
      <c r="B40" s="326" t="s">
        <v>121</v>
      </c>
      <c r="C40" s="109" t="s">
        <v>95</v>
      </c>
      <c r="D40" s="109"/>
      <c r="E40" s="109" t="s">
        <v>116</v>
      </c>
      <c r="F40" s="38">
        <v>133661</v>
      </c>
      <c r="G40" s="38">
        <f t="shared" si="70"/>
        <v>0</v>
      </c>
      <c r="H40" s="39">
        <f t="shared" si="8"/>
        <v>133661</v>
      </c>
      <c r="I40" s="107"/>
      <c r="J40" s="121"/>
      <c r="K40" s="122">
        <f>'Ordering Period 2'!K40+('Ordering Period 2'!K40*Escalation!$D$3)</f>
        <v>0</v>
      </c>
      <c r="L40" s="123">
        <f>(K40*$L$4)</f>
        <v>0</v>
      </c>
      <c r="M40" s="123">
        <f t="shared" si="71"/>
        <v>0</v>
      </c>
      <c r="N40" s="123">
        <f t="shared" si="72"/>
        <v>0</v>
      </c>
      <c r="O40" s="123">
        <f t="shared" si="73"/>
        <v>0</v>
      </c>
      <c r="P40" s="122">
        <f t="shared" si="74"/>
        <v>0</v>
      </c>
      <c r="Q40" s="122">
        <f>(P40-O40)*$Q$4</f>
        <v>0</v>
      </c>
      <c r="R40" s="122">
        <f>SUM(P40:Q40)</f>
        <v>0</v>
      </c>
      <c r="S40" s="122">
        <f t="shared" si="75"/>
        <v>0</v>
      </c>
      <c r="T40" s="122">
        <f t="shared" si="76"/>
        <v>0</v>
      </c>
      <c r="U40" s="124">
        <f t="shared" si="77"/>
        <v>0</v>
      </c>
      <c r="W40" s="121"/>
      <c r="X40" s="123"/>
      <c r="Y40" s="122">
        <f t="shared" si="78"/>
        <v>0</v>
      </c>
      <c r="Z40" s="123">
        <f t="shared" si="79"/>
        <v>0</v>
      </c>
      <c r="AA40" s="123">
        <f t="shared" si="80"/>
        <v>0</v>
      </c>
      <c r="AB40" s="123"/>
      <c r="AC40" s="122">
        <f t="shared" si="81"/>
        <v>0</v>
      </c>
      <c r="AD40" s="122">
        <f t="shared" si="57"/>
        <v>0</v>
      </c>
      <c r="AE40" s="122">
        <f t="shared" ref="AE40" si="91">SUM(AC40:AD40)</f>
        <v>0</v>
      </c>
      <c r="AF40" s="122">
        <f t="shared" si="83"/>
        <v>0</v>
      </c>
      <c r="AG40" s="122">
        <f t="shared" si="84"/>
        <v>0</v>
      </c>
      <c r="AH40" s="122">
        <f t="shared" si="85"/>
        <v>0</v>
      </c>
      <c r="AI40" s="159"/>
      <c r="AJ40" s="126"/>
      <c r="AK40" s="127"/>
      <c r="AM40" s="140" t="str">
        <f t="shared" si="86"/>
        <v/>
      </c>
      <c r="AN40" s="125" t="str">
        <f t="shared" si="87"/>
        <v/>
      </c>
      <c r="AO40" s="124">
        <f t="shared" si="23"/>
        <v>0</v>
      </c>
    </row>
    <row r="41" spans="1:41" x14ac:dyDescent="0.25">
      <c r="A41" s="494"/>
      <c r="B41" s="325" t="s">
        <v>122</v>
      </c>
      <c r="C41" s="108" t="s">
        <v>110</v>
      </c>
      <c r="D41" s="108"/>
      <c r="E41" s="108" t="s">
        <v>116</v>
      </c>
      <c r="F41" s="42">
        <v>2080</v>
      </c>
      <c r="G41" s="42">
        <f t="shared" si="70"/>
        <v>0</v>
      </c>
      <c r="H41" s="43">
        <f t="shared" si="8"/>
        <v>2080</v>
      </c>
      <c r="I41" s="107"/>
      <c r="J41" s="3"/>
      <c r="K41" s="40">
        <f>'Ordering Period 2'!K41+('Ordering Period 2'!K41*Escalation!$D$3)</f>
        <v>0</v>
      </c>
      <c r="L41" s="5">
        <f t="shared" si="88"/>
        <v>0</v>
      </c>
      <c r="M41" s="5">
        <f t="shared" si="71"/>
        <v>0</v>
      </c>
      <c r="N41" s="5">
        <f t="shared" si="72"/>
        <v>0</v>
      </c>
      <c r="O41" s="5">
        <f t="shared" si="73"/>
        <v>0</v>
      </c>
      <c r="P41" s="44">
        <f t="shared" si="74"/>
        <v>0</v>
      </c>
      <c r="Q41" s="44">
        <f t="shared" si="90"/>
        <v>0</v>
      </c>
      <c r="R41" s="44">
        <f>SUM(P41:Q41)</f>
        <v>0</v>
      </c>
      <c r="S41" s="44">
        <f t="shared" si="75"/>
        <v>0</v>
      </c>
      <c r="T41" s="44">
        <f t="shared" si="76"/>
        <v>0</v>
      </c>
      <c r="U41" s="128">
        <f t="shared" si="77"/>
        <v>0</v>
      </c>
      <c r="W41" s="161"/>
      <c r="X41" s="5"/>
      <c r="Y41" s="44">
        <f t="shared" si="78"/>
        <v>0</v>
      </c>
      <c r="Z41" s="5">
        <f t="shared" si="79"/>
        <v>0</v>
      </c>
      <c r="AA41" s="5">
        <f t="shared" si="80"/>
        <v>0</v>
      </c>
      <c r="AB41" s="5"/>
      <c r="AC41" s="44">
        <f t="shared" si="81"/>
        <v>0</v>
      </c>
      <c r="AD41" s="44">
        <f t="shared" si="57"/>
        <v>0</v>
      </c>
      <c r="AE41" s="44">
        <f t="shared" si="89"/>
        <v>0</v>
      </c>
      <c r="AF41" s="44">
        <f t="shared" si="83"/>
        <v>0</v>
      </c>
      <c r="AG41" s="44">
        <f t="shared" si="84"/>
        <v>0</v>
      </c>
      <c r="AH41" s="44">
        <f t="shared" si="85"/>
        <v>0</v>
      </c>
      <c r="AI41" s="160"/>
      <c r="AJ41" s="7"/>
      <c r="AK41" s="8"/>
      <c r="AM41" s="162" t="str">
        <f t="shared" si="86"/>
        <v/>
      </c>
      <c r="AN41" s="45" t="str">
        <f t="shared" si="87"/>
        <v/>
      </c>
      <c r="AO41" s="128">
        <f t="shared" si="23"/>
        <v>0</v>
      </c>
    </row>
    <row r="42" spans="1:41" x14ac:dyDescent="0.25">
      <c r="A42" s="494"/>
      <c r="B42" s="325" t="s">
        <v>123</v>
      </c>
      <c r="C42" s="108" t="s">
        <v>99</v>
      </c>
      <c r="D42" s="108"/>
      <c r="E42" s="108" t="s">
        <v>116</v>
      </c>
      <c r="F42" s="42">
        <v>4160</v>
      </c>
      <c r="G42" s="42">
        <f t="shared" si="70"/>
        <v>0</v>
      </c>
      <c r="H42" s="43">
        <f t="shared" si="8"/>
        <v>4160</v>
      </c>
      <c r="I42" s="107"/>
      <c r="J42" s="3"/>
      <c r="K42" s="40">
        <f>'Ordering Period 2'!K42+('Ordering Period 2'!K42*Escalation!$D$3)</f>
        <v>0</v>
      </c>
      <c r="L42" s="5">
        <f t="shared" si="88"/>
        <v>0</v>
      </c>
      <c r="M42" s="5">
        <f t="shared" si="71"/>
        <v>0</v>
      </c>
      <c r="N42" s="5">
        <f t="shared" si="72"/>
        <v>0</v>
      </c>
      <c r="O42" s="5">
        <f t="shared" si="73"/>
        <v>0</v>
      </c>
      <c r="P42" s="44">
        <f t="shared" si="74"/>
        <v>0</v>
      </c>
      <c r="Q42" s="44">
        <f t="shared" si="90"/>
        <v>0</v>
      </c>
      <c r="R42" s="44">
        <f t="shared" si="43"/>
        <v>0</v>
      </c>
      <c r="S42" s="44">
        <f t="shared" si="75"/>
        <v>0</v>
      </c>
      <c r="T42" s="44">
        <f t="shared" si="76"/>
        <v>0</v>
      </c>
      <c r="U42" s="128">
        <f t="shared" si="77"/>
        <v>0</v>
      </c>
      <c r="W42" s="161"/>
      <c r="X42" s="5"/>
      <c r="Y42" s="44">
        <f t="shared" si="78"/>
        <v>0</v>
      </c>
      <c r="Z42" s="5">
        <f t="shared" si="79"/>
        <v>0</v>
      </c>
      <c r="AA42" s="5">
        <f t="shared" si="80"/>
        <v>0</v>
      </c>
      <c r="AB42" s="5"/>
      <c r="AC42" s="44">
        <f t="shared" si="81"/>
        <v>0</v>
      </c>
      <c r="AD42" s="44">
        <f t="shared" si="57"/>
        <v>0</v>
      </c>
      <c r="AE42" s="44">
        <f t="shared" si="89"/>
        <v>0</v>
      </c>
      <c r="AF42" s="44">
        <f t="shared" si="83"/>
        <v>0</v>
      </c>
      <c r="AG42" s="44">
        <f t="shared" si="84"/>
        <v>0</v>
      </c>
      <c r="AH42" s="44">
        <f t="shared" si="85"/>
        <v>0</v>
      </c>
      <c r="AI42" s="160"/>
      <c r="AJ42" s="7"/>
      <c r="AK42" s="8"/>
      <c r="AM42" s="162" t="str">
        <f t="shared" si="86"/>
        <v/>
      </c>
      <c r="AN42" s="45" t="str">
        <f t="shared" si="87"/>
        <v/>
      </c>
      <c r="AO42" s="128">
        <f t="shared" si="23"/>
        <v>0</v>
      </c>
    </row>
    <row r="43" spans="1:41" ht="15.75" thickBot="1" x14ac:dyDescent="0.3">
      <c r="A43" s="495"/>
      <c r="B43" s="327" t="s">
        <v>124</v>
      </c>
      <c r="C43" s="147" t="s">
        <v>113</v>
      </c>
      <c r="D43" s="147"/>
      <c r="E43" s="147" t="s">
        <v>116</v>
      </c>
      <c r="F43" s="148">
        <v>4160</v>
      </c>
      <c r="G43" s="148">
        <f t="shared" si="70"/>
        <v>0</v>
      </c>
      <c r="H43" s="149">
        <f t="shared" si="8"/>
        <v>4160</v>
      </c>
      <c r="I43" s="107"/>
      <c r="J43" s="176"/>
      <c r="K43" s="234">
        <f>'Ordering Period 2'!K43+('Ordering Period 2'!K43*Escalation!$D$3)</f>
        <v>0</v>
      </c>
      <c r="L43" s="179">
        <f t="shared" si="88"/>
        <v>0</v>
      </c>
      <c r="M43" s="179">
        <f t="shared" si="71"/>
        <v>0</v>
      </c>
      <c r="N43" s="179">
        <f t="shared" si="72"/>
        <v>0</v>
      </c>
      <c r="O43" s="179">
        <f t="shared" si="73"/>
        <v>0</v>
      </c>
      <c r="P43" s="178">
        <f t="shared" si="74"/>
        <v>0</v>
      </c>
      <c r="Q43" s="178">
        <f t="shared" si="90"/>
        <v>0</v>
      </c>
      <c r="R43" s="178">
        <f t="shared" si="43"/>
        <v>0</v>
      </c>
      <c r="S43" s="178">
        <f t="shared" si="75"/>
        <v>0</v>
      </c>
      <c r="T43" s="178">
        <f t="shared" si="76"/>
        <v>0</v>
      </c>
      <c r="U43" s="180">
        <f t="shared" si="77"/>
        <v>0</v>
      </c>
      <c r="W43" s="181"/>
      <c r="X43" s="179"/>
      <c r="Y43" s="178">
        <f t="shared" si="78"/>
        <v>0</v>
      </c>
      <c r="Z43" s="179">
        <f t="shared" si="79"/>
        <v>0</v>
      </c>
      <c r="AA43" s="179">
        <f t="shared" si="80"/>
        <v>0</v>
      </c>
      <c r="AB43" s="179"/>
      <c r="AC43" s="178">
        <f t="shared" si="81"/>
        <v>0</v>
      </c>
      <c r="AD43" s="178">
        <f t="shared" si="57"/>
        <v>0</v>
      </c>
      <c r="AE43" s="178">
        <f t="shared" si="89"/>
        <v>0</v>
      </c>
      <c r="AF43" s="178">
        <f t="shared" si="83"/>
        <v>0</v>
      </c>
      <c r="AG43" s="178">
        <f t="shared" si="84"/>
        <v>0</v>
      </c>
      <c r="AH43" s="178">
        <f t="shared" si="85"/>
        <v>0</v>
      </c>
      <c r="AI43" s="189"/>
      <c r="AJ43" s="177"/>
      <c r="AK43" s="182"/>
      <c r="AM43" s="183" t="str">
        <f t="shared" si="86"/>
        <v/>
      </c>
      <c r="AN43" s="184" t="str">
        <f t="shared" si="87"/>
        <v/>
      </c>
      <c r="AO43" s="180">
        <f t="shared" si="23"/>
        <v>0</v>
      </c>
    </row>
    <row r="44" spans="1:41" s="16" customFormat="1" ht="15.75" x14ac:dyDescent="0.25">
      <c r="A44" s="23"/>
      <c r="B44" s="23"/>
      <c r="C44" s="47"/>
      <c r="D44" s="47"/>
      <c r="E44" s="231" t="s">
        <v>190</v>
      </c>
      <c r="F44" s="232">
        <f>SUM(F5:F34)</f>
        <v>1013827</v>
      </c>
      <c r="G44" s="232">
        <f>SUM(G5:G34)</f>
        <v>0</v>
      </c>
      <c r="H44" s="233">
        <f>SUM(H5:H34)</f>
        <v>1013827</v>
      </c>
      <c r="I44" s="46"/>
      <c r="J44" s="46"/>
      <c r="K44" s="48"/>
      <c r="L44" s="48"/>
      <c r="M44" s="48"/>
      <c r="N44" s="48"/>
      <c r="O44" s="48"/>
      <c r="U44" s="48"/>
      <c r="W44" s="46"/>
      <c r="X44" s="48"/>
      <c r="Y44" s="48"/>
      <c r="Z44" s="48"/>
      <c r="AA44" s="48"/>
      <c r="AB44" s="48"/>
      <c r="AC44" s="48"/>
      <c r="AD44" s="48"/>
      <c r="AE44" s="48"/>
      <c r="AF44" s="49"/>
      <c r="AG44" s="49"/>
      <c r="AH44" s="49"/>
      <c r="AI44" s="18"/>
      <c r="AJ44" s="18"/>
      <c r="AK44" s="18"/>
      <c r="AM44" s="48"/>
      <c r="AN44" s="49"/>
      <c r="AO44" s="48"/>
    </row>
    <row r="45" spans="1:41" s="16" customFormat="1" ht="16.5" thickBot="1" x14ac:dyDescent="0.3">
      <c r="A45" s="23"/>
      <c r="B45" s="23"/>
      <c r="C45" s="47"/>
      <c r="D45" s="47"/>
      <c r="E45" s="328" t="s">
        <v>191</v>
      </c>
      <c r="F45" s="329">
        <f>SUM(F36:F43)</f>
        <v>434720</v>
      </c>
      <c r="G45" s="329">
        <f>SUM(G36:G43)</f>
        <v>0</v>
      </c>
      <c r="H45" s="330">
        <f>SUM(H36:H43)</f>
        <v>434720</v>
      </c>
      <c r="I45" s="46"/>
      <c r="J45" s="46"/>
      <c r="K45" s="48"/>
      <c r="L45" s="48"/>
      <c r="M45" s="48"/>
      <c r="N45" s="48"/>
      <c r="O45" s="48"/>
      <c r="S45" s="267"/>
      <c r="T45" s="267"/>
      <c r="U45" s="48"/>
      <c r="W45" s="46"/>
      <c r="X45" s="48"/>
      <c r="Y45" s="48"/>
      <c r="Z45" s="48"/>
      <c r="AA45" s="48"/>
      <c r="AB45" s="48"/>
      <c r="AC45" s="48"/>
      <c r="AD45" s="48"/>
      <c r="AE45" s="48"/>
      <c r="AF45" s="49"/>
      <c r="AG45" s="49"/>
      <c r="AH45" s="49"/>
      <c r="AI45" s="18"/>
      <c r="AJ45" s="18"/>
      <c r="AK45" s="18"/>
      <c r="AM45" s="48"/>
      <c r="AN45" s="49"/>
      <c r="AO45" s="48"/>
    </row>
    <row r="46" spans="1:41" s="16" customFormat="1" ht="16.5" thickBot="1" x14ac:dyDescent="0.3">
      <c r="A46" s="23"/>
      <c r="B46" s="23"/>
      <c r="C46" s="47"/>
      <c r="D46" s="47"/>
      <c r="E46" s="331" t="s">
        <v>192</v>
      </c>
      <c r="F46" s="332">
        <f>F44+F45</f>
        <v>1448547</v>
      </c>
      <c r="G46" s="332">
        <f>G44+G45</f>
        <v>0</v>
      </c>
      <c r="H46" s="333">
        <f>H44+H45</f>
        <v>1448547</v>
      </c>
      <c r="I46" s="46"/>
      <c r="J46" s="46"/>
      <c r="K46" s="48"/>
      <c r="L46" s="48"/>
      <c r="M46" s="48"/>
      <c r="N46" s="48"/>
      <c r="O46" s="48"/>
      <c r="U46" s="48"/>
      <c r="W46" s="46"/>
      <c r="X46" s="48"/>
      <c r="Y46" s="48"/>
      <c r="Z46" s="48"/>
      <c r="AA46" s="48"/>
      <c r="AB46" s="48"/>
      <c r="AC46" s="48"/>
      <c r="AD46" s="48"/>
      <c r="AE46" s="48"/>
      <c r="AF46" s="49"/>
      <c r="AG46" s="49"/>
      <c r="AH46" s="49"/>
      <c r="AI46" s="18"/>
      <c r="AJ46" s="18"/>
      <c r="AK46" s="18"/>
      <c r="AM46" s="48"/>
      <c r="AN46" s="49"/>
      <c r="AO46" s="48"/>
    </row>
    <row r="47" spans="1:41" x14ac:dyDescent="0.25">
      <c r="F47" s="10"/>
      <c r="G47" s="10"/>
      <c r="H47" s="10"/>
      <c r="R47" s="151"/>
      <c r="S47" s="152"/>
      <c r="T47" s="152"/>
      <c r="AF47" s="151"/>
      <c r="AG47" s="152"/>
      <c r="AH47" s="152"/>
    </row>
    <row r="48" spans="1:41" ht="15.75" thickBot="1" x14ac:dyDescent="0.3">
      <c r="K48" s="195"/>
      <c r="R48" s="151"/>
      <c r="U48" s="71"/>
      <c r="AF48" s="151"/>
      <c r="AG48" s="153"/>
      <c r="AH48" s="151"/>
    </row>
    <row r="49" spans="1:37" x14ac:dyDescent="0.25">
      <c r="A49" s="53" t="s">
        <v>216</v>
      </c>
      <c r="B49" s="319"/>
      <c r="C49" s="54" t="s">
        <v>217</v>
      </c>
      <c r="D49" s="55" t="s">
        <v>218</v>
      </c>
      <c r="H49" s="51"/>
      <c r="J49" s="52"/>
      <c r="K49" s="193"/>
      <c r="M49" s="48"/>
      <c r="N49" s="48"/>
      <c r="O49" s="48"/>
      <c r="T49" s="10"/>
      <c r="U49" s="71"/>
      <c r="AI49" s="56"/>
    </row>
    <row r="50" spans="1:37" x14ac:dyDescent="0.25">
      <c r="A50" s="57" t="s">
        <v>196</v>
      </c>
      <c r="B50" s="12"/>
      <c r="C50" s="58"/>
      <c r="D50" s="83"/>
      <c r="G50" s="194"/>
      <c r="H50" s="51"/>
      <c r="J50" s="52"/>
      <c r="K50" s="196"/>
      <c r="M50" s="48"/>
      <c r="N50" s="48"/>
      <c r="O50" s="48"/>
      <c r="T50" s="71"/>
      <c r="U50" s="71"/>
      <c r="AI50" s="12"/>
      <c r="AK50" s="10"/>
    </row>
    <row r="51" spans="1:37" x14ac:dyDescent="0.25">
      <c r="A51" s="59" t="s">
        <v>197</v>
      </c>
      <c r="B51" s="12"/>
      <c r="C51" s="58">
        <f>SUM(J5:J43)</f>
        <v>0</v>
      </c>
      <c r="D51" s="84">
        <f>ROUND(SUM(U5:U43),2)</f>
        <v>0</v>
      </c>
      <c r="G51" s="194"/>
      <c r="H51" s="52"/>
      <c r="J51" s="227"/>
      <c r="K51" s="196"/>
      <c r="T51" s="10"/>
      <c r="U51" s="71"/>
      <c r="AI51" s="12"/>
      <c r="AK51" s="10"/>
    </row>
    <row r="52" spans="1:37" x14ac:dyDescent="0.25">
      <c r="A52" s="57" t="s">
        <v>198</v>
      </c>
      <c r="B52" s="12"/>
      <c r="C52" s="58"/>
      <c r="D52" s="83"/>
      <c r="G52" s="194"/>
      <c r="J52" s="227"/>
      <c r="T52" s="10"/>
      <c r="U52" s="71"/>
      <c r="AI52" s="12"/>
      <c r="AK52" s="10"/>
    </row>
    <row r="53" spans="1:37" x14ac:dyDescent="0.25">
      <c r="A53" s="59" t="s">
        <v>197</v>
      </c>
      <c r="B53" s="12"/>
      <c r="C53" s="58">
        <f>SUM(W5:W43)</f>
        <v>0</v>
      </c>
      <c r="D53" s="84">
        <f>ROUND(SUM(AH5:AH43),2)</f>
        <v>0</v>
      </c>
      <c r="J53" s="51"/>
      <c r="T53" s="10"/>
      <c r="U53" s="71"/>
      <c r="AI53" s="12"/>
      <c r="AK53" s="10"/>
    </row>
    <row r="54" spans="1:37" x14ac:dyDescent="0.25">
      <c r="A54" s="59"/>
      <c r="B54" s="12"/>
      <c r="C54" s="58"/>
      <c r="D54" s="84"/>
      <c r="H54" s="51"/>
      <c r="J54" s="51"/>
      <c r="T54" s="10"/>
      <c r="U54" s="71"/>
      <c r="AI54" s="12"/>
      <c r="AK54" s="10"/>
    </row>
    <row r="55" spans="1:37" ht="15.75" thickBot="1" x14ac:dyDescent="0.3">
      <c r="A55" s="60" t="s">
        <v>199</v>
      </c>
      <c r="B55" s="320"/>
      <c r="C55" s="61">
        <f>SUM(C51:C54)</f>
        <v>0</v>
      </c>
      <c r="D55" s="86">
        <f>SUM(D51:D54)</f>
        <v>0</v>
      </c>
      <c r="F55" s="13"/>
      <c r="H55" s="51"/>
      <c r="J55" s="51"/>
      <c r="R55" s="13"/>
      <c r="T55" s="10"/>
      <c r="U55" s="71"/>
      <c r="AI55" s="12"/>
      <c r="AK55" s="10"/>
    </row>
    <row r="56" spans="1:37" ht="15.75" thickBot="1" x14ac:dyDescent="0.3">
      <c r="C56" s="50"/>
      <c r="D56" s="88"/>
      <c r="H56" s="51"/>
      <c r="J56" s="52"/>
      <c r="R56" s="13"/>
      <c r="T56" s="10"/>
      <c r="U56" s="71"/>
      <c r="AI56" s="12"/>
      <c r="AK56" s="10"/>
    </row>
    <row r="57" spans="1:37" x14ac:dyDescent="0.25">
      <c r="A57" s="53" t="s">
        <v>200</v>
      </c>
      <c r="B57" s="319"/>
      <c r="C57" s="62" t="s">
        <v>201</v>
      </c>
      <c r="D57" s="130" t="s">
        <v>157</v>
      </c>
      <c r="F57" s="268"/>
      <c r="G57" s="268"/>
      <c r="H57" s="51"/>
      <c r="J57" s="13"/>
      <c r="R57" s="13"/>
      <c r="T57" s="10"/>
      <c r="U57" s="71"/>
      <c r="AI57" s="12"/>
      <c r="AK57" s="10"/>
    </row>
    <row r="58" spans="1:37" x14ac:dyDescent="0.25">
      <c r="A58" s="59" t="s">
        <v>200</v>
      </c>
      <c r="B58" s="12"/>
      <c r="C58" s="63"/>
      <c r="D58" s="85">
        <v>25704851</v>
      </c>
      <c r="F58" s="13"/>
      <c r="G58" s="13"/>
      <c r="H58" s="194"/>
      <c r="J58" s="52"/>
      <c r="R58" s="13"/>
      <c r="T58" s="10"/>
      <c r="U58" s="71"/>
      <c r="AI58" s="12"/>
      <c r="AK58" s="10"/>
    </row>
    <row r="59" spans="1:37" x14ac:dyDescent="0.25">
      <c r="A59" s="59" t="s">
        <v>202</v>
      </c>
      <c r="B59" s="12"/>
      <c r="C59" s="175"/>
      <c r="D59" s="84">
        <f>ROUND(D58*C59,2)</f>
        <v>0</v>
      </c>
      <c r="H59" s="51"/>
      <c r="J59" s="52"/>
      <c r="R59" s="13"/>
      <c r="T59" s="10"/>
      <c r="U59" s="71"/>
      <c r="AI59" s="12"/>
      <c r="AK59" s="10"/>
    </row>
    <row r="60" spans="1:37" x14ac:dyDescent="0.25">
      <c r="A60" s="59"/>
      <c r="B60" s="12"/>
      <c r="C60" s="63"/>
      <c r="D60" s="84"/>
      <c r="H60" s="51"/>
      <c r="J60" s="52"/>
      <c r="R60" s="13"/>
      <c r="T60" s="10"/>
      <c r="U60" s="10"/>
      <c r="AI60" s="12"/>
      <c r="AK60" s="10"/>
    </row>
    <row r="61" spans="1:37" ht="15.75" thickBot="1" x14ac:dyDescent="0.3">
      <c r="A61" s="60" t="s">
        <v>203</v>
      </c>
      <c r="B61" s="320"/>
      <c r="C61" s="61"/>
      <c r="D61" s="86">
        <f>SUM(D58:D60)</f>
        <v>25704851</v>
      </c>
      <c r="G61" s="194"/>
      <c r="H61" s="51"/>
      <c r="J61" s="52"/>
      <c r="R61" s="13"/>
      <c r="T61" s="10"/>
      <c r="U61" s="10"/>
      <c r="AI61" s="12"/>
      <c r="AK61" s="10"/>
    </row>
    <row r="62" spans="1:37" ht="15.75" thickBot="1" x14ac:dyDescent="0.3">
      <c r="A62" s="64"/>
      <c r="B62" s="12"/>
      <c r="C62" s="65"/>
      <c r="D62" s="87"/>
      <c r="G62" s="194"/>
      <c r="H62" s="51"/>
      <c r="J62" s="52"/>
      <c r="R62" s="13"/>
      <c r="T62" s="10"/>
      <c r="U62" s="10"/>
      <c r="AI62" s="12"/>
      <c r="AK62" s="10"/>
    </row>
    <row r="63" spans="1:37" customFormat="1" x14ac:dyDescent="0.25">
      <c r="A63" s="461" t="s">
        <v>204</v>
      </c>
      <c r="B63" s="319"/>
      <c r="C63" s="462"/>
      <c r="D63" s="463"/>
      <c r="E63" s="50"/>
      <c r="F63" s="50"/>
      <c r="G63" s="50"/>
      <c r="H63" s="50"/>
      <c r="I63" s="51"/>
      <c r="J63" s="51"/>
      <c r="K63" s="52"/>
      <c r="L63" s="52"/>
      <c r="M63" s="52"/>
      <c r="N63" s="52"/>
      <c r="O63" s="52"/>
      <c r="P63" s="52"/>
      <c r="Q63" s="52"/>
      <c r="R63" s="52"/>
      <c r="S63" s="52"/>
      <c r="T63" s="52"/>
      <c r="U63" s="13"/>
      <c r="V63" s="52"/>
      <c r="W63" s="52"/>
    </row>
    <row r="64" spans="1:37" customFormat="1" x14ac:dyDescent="0.25">
      <c r="A64" s="464" t="s">
        <v>205</v>
      </c>
      <c r="B64" s="12"/>
      <c r="C64" s="471"/>
      <c r="D64" s="466"/>
      <c r="E64" s="50"/>
      <c r="F64" s="50"/>
      <c r="G64" s="50"/>
      <c r="H64" s="50"/>
      <c r="I64" s="51"/>
      <c r="J64" s="51"/>
      <c r="K64" s="52"/>
      <c r="L64" s="52"/>
      <c r="M64" s="52"/>
      <c r="N64" s="52"/>
      <c r="O64" s="52"/>
      <c r="P64" s="52"/>
      <c r="Q64" s="52"/>
      <c r="R64" s="52"/>
      <c r="S64" s="52"/>
      <c r="T64" s="52"/>
      <c r="U64" s="13"/>
      <c r="V64" s="52"/>
      <c r="W64" s="52"/>
    </row>
    <row r="65" spans="1:38" customFormat="1" x14ac:dyDescent="0.25">
      <c r="A65" s="464"/>
      <c r="B65" s="12"/>
      <c r="C65" s="471"/>
      <c r="D65" s="467"/>
      <c r="E65" s="50"/>
      <c r="F65" s="50"/>
      <c r="G65" s="50"/>
      <c r="H65" s="50"/>
      <c r="I65" s="51"/>
      <c r="J65" s="51"/>
      <c r="K65" s="52"/>
      <c r="L65" s="52"/>
      <c r="M65" s="52"/>
      <c r="N65" s="52"/>
      <c r="O65" s="52"/>
      <c r="P65" s="52"/>
      <c r="Q65" s="52"/>
      <c r="R65" s="52"/>
      <c r="S65" s="52"/>
      <c r="T65" s="52"/>
      <c r="U65" s="13"/>
      <c r="V65" s="52"/>
      <c r="W65" s="52"/>
    </row>
    <row r="66" spans="1:38" customFormat="1" ht="15.75" thickBot="1" x14ac:dyDescent="0.3">
      <c r="A66" s="468" t="s">
        <v>206</v>
      </c>
      <c r="B66" s="320"/>
      <c r="C66" s="469"/>
      <c r="D66" s="86">
        <f>ROUND(D64,2)</f>
        <v>0</v>
      </c>
      <c r="E66" s="50"/>
      <c r="F66" s="50"/>
      <c r="G66" s="470"/>
      <c r="H66" s="50"/>
      <c r="I66" s="51"/>
      <c r="J66" s="51"/>
      <c r="K66" s="52"/>
      <c r="L66" s="52"/>
      <c r="M66" s="52"/>
      <c r="N66" s="52"/>
      <c r="O66" s="52"/>
      <c r="P66" s="52"/>
      <c r="Q66" s="52"/>
      <c r="R66" s="52"/>
      <c r="S66" s="52"/>
      <c r="T66" s="52"/>
      <c r="U66" s="13"/>
      <c r="V66" s="52"/>
      <c r="W66" s="52"/>
    </row>
    <row r="67" spans="1:38" customFormat="1" ht="15.75" thickBot="1" x14ac:dyDescent="0.3">
      <c r="B67" s="465"/>
      <c r="C67" s="465"/>
      <c r="D67" s="465"/>
      <c r="E67" s="50"/>
      <c r="F67" s="87"/>
      <c r="G67" s="470"/>
      <c r="H67" s="50"/>
      <c r="I67" s="51"/>
      <c r="J67" s="51"/>
      <c r="K67" s="52"/>
      <c r="L67" s="52"/>
      <c r="M67" s="52"/>
      <c r="N67" s="52"/>
      <c r="O67" s="52"/>
      <c r="P67" s="52"/>
      <c r="Q67" s="52"/>
      <c r="R67" s="52"/>
      <c r="S67" s="52"/>
      <c r="T67" s="52"/>
      <c r="U67" s="13"/>
      <c r="V67" s="52"/>
      <c r="W67" s="52"/>
    </row>
    <row r="68" spans="1:38" ht="15.75" thickBot="1" x14ac:dyDescent="0.3">
      <c r="A68" s="66" t="s">
        <v>207</v>
      </c>
      <c r="B68" s="200"/>
      <c r="C68" s="200"/>
      <c r="D68" s="89">
        <f>D55+D61+D66</f>
        <v>25704851</v>
      </c>
      <c r="E68" s="50"/>
      <c r="K68" s="50"/>
      <c r="L68" s="50"/>
      <c r="S68" s="52"/>
      <c r="U68" s="13"/>
      <c r="V68" s="52"/>
      <c r="W68" s="52"/>
      <c r="AJ68" s="10"/>
      <c r="AK68" s="10"/>
      <c r="AL68" s="12"/>
    </row>
    <row r="69" spans="1:38" ht="15.75" thickBot="1" x14ac:dyDescent="0.3">
      <c r="H69" s="51"/>
      <c r="J69" s="52"/>
      <c r="S69" s="52"/>
      <c r="T69" s="13"/>
      <c r="U69" s="13"/>
      <c r="AJ69" s="10"/>
      <c r="AL69" s="12"/>
    </row>
    <row r="70" spans="1:38" ht="15.75" thickBot="1" x14ac:dyDescent="0.3">
      <c r="A70" s="66" t="s">
        <v>208</v>
      </c>
      <c r="B70" s="200"/>
      <c r="C70" s="200"/>
      <c r="D70" s="89">
        <f>D68-D66</f>
        <v>25704851</v>
      </c>
      <c r="E70" s="50"/>
      <c r="K70" s="50"/>
      <c r="L70" s="50"/>
      <c r="S70" s="52"/>
      <c r="U70" s="13"/>
      <c r="V70" s="52"/>
      <c r="W70" s="52"/>
      <c r="AJ70" s="10"/>
      <c r="AK70" s="10"/>
      <c r="AL70" s="12"/>
    </row>
  </sheetData>
  <sheetProtection algorithmName="SHA-512" hashValue="V5JGY24m2zHfwLyZs4veV2UhNdQuVvABKYNZhtq4R6n6nkG+5cFz6Blb2WvmkU/xulvcA5uJItpzhzOjuGrd3A==" saltValue="mrVVpP+rQ0oPlrZByinChA==" spinCount="100000" sheet="1" objects="1" scenarios="1"/>
  <mergeCells count="14">
    <mergeCell ref="A38:A39"/>
    <mergeCell ref="A40:A43"/>
    <mergeCell ref="A8:A12"/>
    <mergeCell ref="A13:A14"/>
    <mergeCell ref="A15:A19"/>
    <mergeCell ref="A23:A27"/>
    <mergeCell ref="A28:A29"/>
    <mergeCell ref="A30:A34"/>
    <mergeCell ref="AM3:AO3"/>
    <mergeCell ref="A1:AO1"/>
    <mergeCell ref="A2:H2"/>
    <mergeCell ref="J2:U2"/>
    <mergeCell ref="W2:AK2"/>
    <mergeCell ref="AM2:AO2"/>
  </mergeCells>
  <conditionalFormatting sqref="H5:H19 H21:H34 H36:H46">
    <cfRule type="cellIs" dxfId="9" priority="1" operator="lessThan">
      <formula>0</formula>
    </cfRule>
    <cfRule type="cellIs" dxfId="8" priority="2" operator="greaterThan">
      <formula>0</formula>
    </cfRule>
    <cfRule type="cellIs" dxfId="7" priority="3" operator="equal">
      <formula>0</formula>
    </cfRule>
  </conditionalFormatting>
  <pageMargins left="0.7" right="0.7" top="0.75" bottom="0.75" header="0.3" footer="0.3"/>
  <pageSetup orientation="portrait" verticalDpi="597"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47A9E-734D-4642-9330-DAFE42E41193}">
  <dimension ref="A1:AQ73"/>
  <sheetViews>
    <sheetView showGridLines="0" zoomScaleNormal="100" workbookViewId="0">
      <pane ySplit="4" topLeftCell="A5" activePane="bottomLeft" state="frozen"/>
      <selection pane="bottomLeft" activeCell="D67" sqref="D67"/>
    </sheetView>
  </sheetViews>
  <sheetFormatPr defaultColWidth="9.140625" defaultRowHeight="15" x14ac:dyDescent="0.25"/>
  <cols>
    <col min="1" max="1" width="31.7109375" style="10" customWidth="1"/>
    <col min="2" max="2" width="4" style="10" bestFit="1" customWidth="1"/>
    <col min="3" max="3" width="28.7109375" style="10" customWidth="1"/>
    <col min="4" max="4" width="20.85546875" style="10" customWidth="1"/>
    <col min="5" max="5" width="16.7109375" style="10" customWidth="1"/>
    <col min="6" max="8" width="14.7109375" style="50" customWidth="1"/>
    <col min="9" max="9" width="1.7109375" style="51" customWidth="1"/>
    <col min="10" max="10" width="14.7109375" style="50" customWidth="1"/>
    <col min="11" max="11" width="14.85546875" style="50" customWidth="1"/>
    <col min="12" max="12" width="14.7109375" style="50" customWidth="1"/>
    <col min="13" max="20" width="14.7109375" style="52" customWidth="1"/>
    <col min="21" max="21" width="23.7109375" style="13" customWidth="1"/>
    <col min="22" max="23" width="23.7109375" style="52" customWidth="1"/>
    <col min="24" max="24" width="1.7109375" style="10" customWidth="1"/>
    <col min="25" max="33" width="14.7109375" style="10" customWidth="1"/>
    <col min="34" max="36" width="23.7109375" style="10" customWidth="1"/>
    <col min="37" max="37" width="36.7109375" style="10" customWidth="1"/>
    <col min="38" max="38" width="12.7109375" style="12" customWidth="1"/>
    <col min="39" max="39" width="24.7109375" style="12" customWidth="1"/>
    <col min="40" max="40" width="1.7109375" style="10" customWidth="1"/>
    <col min="41" max="43" width="16.7109375" style="10" customWidth="1"/>
    <col min="44" max="16384" width="9.140625" style="10"/>
  </cols>
  <sheetData>
    <row r="1" spans="1:43" s="16" customFormat="1" ht="34.5" thickBot="1" x14ac:dyDescent="0.55000000000000004">
      <c r="A1" s="516" t="s">
        <v>219</v>
      </c>
      <c r="B1" s="517"/>
      <c r="C1" s="518"/>
      <c r="D1" s="518"/>
      <c r="E1" s="518"/>
      <c r="F1" s="518"/>
      <c r="G1" s="518"/>
      <c r="H1" s="518"/>
      <c r="I1" s="518"/>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8"/>
      <c r="AK1" s="518"/>
      <c r="AL1" s="518"/>
      <c r="AM1" s="518"/>
      <c r="AN1" s="518"/>
      <c r="AO1" s="518"/>
      <c r="AP1" s="518"/>
      <c r="AQ1" s="519"/>
    </row>
    <row r="2" spans="1:43" ht="15.75" thickBot="1" x14ac:dyDescent="0.3">
      <c r="A2" s="526" t="s">
        <v>220</v>
      </c>
      <c r="B2" s="527"/>
      <c r="C2" s="527"/>
      <c r="D2" s="527"/>
      <c r="E2" s="527"/>
      <c r="F2" s="527"/>
      <c r="G2" s="527"/>
      <c r="H2" s="528"/>
      <c r="I2" s="35"/>
      <c r="J2" s="523" t="s">
        <v>142</v>
      </c>
      <c r="K2" s="524"/>
      <c r="L2" s="524"/>
      <c r="M2" s="524"/>
      <c r="N2" s="524"/>
      <c r="O2" s="524"/>
      <c r="P2" s="524"/>
      <c r="Q2" s="524"/>
      <c r="R2" s="524"/>
      <c r="S2" s="524"/>
      <c r="T2" s="524"/>
      <c r="U2" s="524"/>
      <c r="V2" s="524"/>
      <c r="W2" s="525"/>
      <c r="Y2" s="529" t="s">
        <v>143</v>
      </c>
      <c r="Z2" s="530"/>
      <c r="AA2" s="530"/>
      <c r="AB2" s="530"/>
      <c r="AC2" s="530"/>
      <c r="AD2" s="530"/>
      <c r="AE2" s="530"/>
      <c r="AF2" s="530"/>
      <c r="AG2" s="530"/>
      <c r="AH2" s="530"/>
      <c r="AI2" s="530"/>
      <c r="AJ2" s="530"/>
      <c r="AK2" s="530"/>
      <c r="AL2" s="530"/>
      <c r="AM2" s="531"/>
      <c r="AO2" s="526" t="s">
        <v>144</v>
      </c>
      <c r="AP2" s="527"/>
      <c r="AQ2" s="528"/>
    </row>
    <row r="3" spans="1:43" s="309" customFormat="1" ht="45.95" customHeight="1" thickBot="1" x14ac:dyDescent="0.3">
      <c r="A3" s="203" t="s">
        <v>65</v>
      </c>
      <c r="B3" s="277" t="s">
        <v>66</v>
      </c>
      <c r="C3" s="298" t="s">
        <v>67</v>
      </c>
      <c r="D3" s="298" t="s">
        <v>145</v>
      </c>
      <c r="E3" s="298" t="s">
        <v>82</v>
      </c>
      <c r="F3" s="299" t="s">
        <v>146</v>
      </c>
      <c r="G3" s="299" t="s">
        <v>147</v>
      </c>
      <c r="H3" s="300" t="s">
        <v>148</v>
      </c>
      <c r="I3" s="301"/>
      <c r="J3" s="302" t="s">
        <v>149</v>
      </c>
      <c r="K3" s="303" t="s">
        <v>150</v>
      </c>
      <c r="L3" s="303" t="s">
        <v>151</v>
      </c>
      <c r="M3" s="304" t="s">
        <v>152</v>
      </c>
      <c r="N3" s="304" t="s">
        <v>153</v>
      </c>
      <c r="O3" s="305" t="s">
        <v>154</v>
      </c>
      <c r="P3" s="305" t="s">
        <v>155</v>
      </c>
      <c r="Q3" s="305" t="s">
        <v>156</v>
      </c>
      <c r="R3" s="305" t="s">
        <v>157</v>
      </c>
      <c r="S3" s="305" t="s">
        <v>158</v>
      </c>
      <c r="T3" s="305" t="s">
        <v>159</v>
      </c>
      <c r="U3" s="306" t="s">
        <v>160</v>
      </c>
      <c r="V3" s="307" t="s">
        <v>161</v>
      </c>
      <c r="W3" s="308" t="s">
        <v>162</v>
      </c>
      <c r="Y3" s="302" t="s">
        <v>163</v>
      </c>
      <c r="Z3" s="304" t="s">
        <v>164</v>
      </c>
      <c r="AA3" s="304" t="s">
        <v>165</v>
      </c>
      <c r="AB3" s="304" t="s">
        <v>166</v>
      </c>
      <c r="AC3" s="304" t="s">
        <v>167</v>
      </c>
      <c r="AD3" s="304" t="s">
        <v>168</v>
      </c>
      <c r="AE3" s="307" t="s">
        <v>157</v>
      </c>
      <c r="AF3" s="304" t="s">
        <v>169</v>
      </c>
      <c r="AG3" s="304" t="s">
        <v>170</v>
      </c>
      <c r="AH3" s="304" t="s">
        <v>160</v>
      </c>
      <c r="AI3" s="304" t="s">
        <v>161</v>
      </c>
      <c r="AJ3" s="304" t="s">
        <v>162</v>
      </c>
      <c r="AK3" s="310" t="s">
        <v>171</v>
      </c>
      <c r="AL3" s="310" t="s">
        <v>172</v>
      </c>
      <c r="AM3" s="311" t="s">
        <v>173</v>
      </c>
      <c r="AO3" s="520" t="s">
        <v>174</v>
      </c>
      <c r="AP3" s="521"/>
      <c r="AQ3" s="522"/>
    </row>
    <row r="4" spans="1:43" ht="31.5" customHeight="1" thickBot="1" x14ac:dyDescent="0.3">
      <c r="A4" s="66" t="s">
        <v>175</v>
      </c>
      <c r="B4" s="278"/>
      <c r="C4" s="200"/>
      <c r="D4" s="200"/>
      <c r="E4" s="200"/>
      <c r="F4" s="201"/>
      <c r="G4" s="201"/>
      <c r="H4" s="202"/>
      <c r="I4" s="36"/>
      <c r="J4" s="155"/>
      <c r="K4" s="219"/>
      <c r="L4" s="219"/>
      <c r="M4" s="204"/>
      <c r="N4" s="157"/>
      <c r="O4" s="157"/>
      <c r="P4" s="157"/>
      <c r="Q4" s="157"/>
      <c r="R4" s="158"/>
      <c r="S4" s="157"/>
      <c r="T4" s="158"/>
      <c r="U4" s="158"/>
      <c r="V4" s="187"/>
      <c r="W4" s="188"/>
      <c r="Y4" s="155"/>
      <c r="Z4" s="156"/>
      <c r="AA4" s="156"/>
      <c r="AB4" s="157"/>
      <c r="AC4" s="157"/>
      <c r="AD4" s="157"/>
      <c r="AE4" s="158"/>
      <c r="AF4" s="157"/>
      <c r="AG4" s="156"/>
      <c r="AH4" s="156"/>
      <c r="AI4" s="156"/>
      <c r="AJ4" s="156"/>
      <c r="AK4" s="245"/>
      <c r="AL4" s="245"/>
      <c r="AM4" s="246"/>
      <c r="AN4" s="37"/>
      <c r="AO4" s="190" t="s">
        <v>157</v>
      </c>
      <c r="AP4" s="191" t="s">
        <v>158</v>
      </c>
      <c r="AQ4" s="192" t="s">
        <v>176</v>
      </c>
    </row>
    <row r="5" spans="1:43" ht="15.75" thickBot="1" x14ac:dyDescent="0.3">
      <c r="A5" s="297" t="s">
        <v>72</v>
      </c>
      <c r="B5" s="283" t="s">
        <v>89</v>
      </c>
      <c r="C5" s="284" t="s">
        <v>90</v>
      </c>
      <c r="D5" s="284" t="s">
        <v>177</v>
      </c>
      <c r="E5" s="284" t="s">
        <v>91</v>
      </c>
      <c r="F5" s="285">
        <v>25381</v>
      </c>
      <c r="G5" s="285">
        <f t="shared" ref="G5:G19" si="0">SUM(J5,Y5)</f>
        <v>0</v>
      </c>
      <c r="H5" s="286">
        <f>F5-G5</f>
        <v>25381</v>
      </c>
      <c r="I5" s="107"/>
      <c r="J5" s="292"/>
      <c r="K5" s="358"/>
      <c r="L5" s="358"/>
      <c r="M5" s="294">
        <f>'Ordering Period 3'!K5+('Ordering Period 3'!K5*Escalation!$D$4)</f>
        <v>0</v>
      </c>
      <c r="N5" s="349">
        <f t="shared" ref="N5:N19" si="1">(M5*$N$4)</f>
        <v>0</v>
      </c>
      <c r="O5" s="349">
        <f t="shared" ref="O5:O19" si="2">(N5+M5)*$O$4</f>
        <v>0</v>
      </c>
      <c r="P5" s="349">
        <f>(N5+M5+O5)*$P$4</f>
        <v>0</v>
      </c>
      <c r="Q5" s="349">
        <f>(M5+N5+O5+P5)*$Q$4</f>
        <v>0</v>
      </c>
      <c r="R5" s="294">
        <f>SUM(M5:Q5)</f>
        <v>0</v>
      </c>
      <c r="S5" s="294">
        <f>(R5-Q5)*$S$4</f>
        <v>0</v>
      </c>
      <c r="T5" s="294">
        <f>SUM(R5:S5)</f>
        <v>0</v>
      </c>
      <c r="U5" s="295">
        <f>R5*J5</f>
        <v>0</v>
      </c>
      <c r="V5" s="294">
        <f>S5*J5</f>
        <v>0</v>
      </c>
      <c r="W5" s="296">
        <f>T5*J5</f>
        <v>0</v>
      </c>
      <c r="Y5" s="288"/>
      <c r="Z5" s="334"/>
      <c r="AA5" s="290">
        <f>IF($Y5&gt;0,$Z5,0)</f>
        <v>0</v>
      </c>
      <c r="AB5" s="334">
        <f>(AA5*$AB$4)</f>
        <v>0</v>
      </c>
      <c r="AC5" s="334">
        <f>(AA5+AB5)*$AC$4</f>
        <v>0</v>
      </c>
      <c r="AD5" s="334"/>
      <c r="AE5" s="290">
        <f>SUM(AA5:AD5)</f>
        <v>0</v>
      </c>
      <c r="AF5" s="290">
        <f>$AF$4*(AC5+AA5+AB5)</f>
        <v>0</v>
      </c>
      <c r="AG5" s="290">
        <f>SUM(AE5:AF5)</f>
        <v>0</v>
      </c>
      <c r="AH5" s="290">
        <f>AE5*Y5</f>
        <v>0</v>
      </c>
      <c r="AI5" s="290">
        <f>AF5*Y5</f>
        <v>0</v>
      </c>
      <c r="AJ5" s="290">
        <f>AG5*Y5</f>
        <v>0</v>
      </c>
      <c r="AK5" s="335"/>
      <c r="AL5" s="336"/>
      <c r="AM5" s="337"/>
      <c r="AO5" s="339" t="str">
        <f>IFERROR(SUM(U5,AH5)/G5,"")</f>
        <v/>
      </c>
      <c r="AP5" s="340" t="str">
        <f>IFERROR(SUM(V5,AI5)/G5,"")</f>
        <v/>
      </c>
      <c r="AQ5" s="291">
        <f>SUM(AO5:AP5)</f>
        <v>0</v>
      </c>
    </row>
    <row r="6" spans="1:43" ht="15.75" thickBot="1" x14ac:dyDescent="0.3">
      <c r="A6" s="297" t="s">
        <v>73</v>
      </c>
      <c r="B6" s="283" t="s">
        <v>92</v>
      </c>
      <c r="C6" s="284" t="s">
        <v>93</v>
      </c>
      <c r="D6" s="284" t="s">
        <v>178</v>
      </c>
      <c r="E6" s="284" t="s">
        <v>91</v>
      </c>
      <c r="F6" s="285">
        <v>78721</v>
      </c>
      <c r="G6" s="285">
        <f t="shared" si="0"/>
        <v>0</v>
      </c>
      <c r="H6" s="286">
        <f t="shared" ref="H6:H38" si="3">F6-G6</f>
        <v>78721</v>
      </c>
      <c r="I6" s="107"/>
      <c r="J6" s="288"/>
      <c r="K6" s="354"/>
      <c r="L6" s="359"/>
      <c r="M6" s="290">
        <f>'Ordering Period 3'!K6+('Ordering Period 3'!K6*Escalation!$D$4)</f>
        <v>0</v>
      </c>
      <c r="N6" s="334">
        <f t="shared" si="1"/>
        <v>0</v>
      </c>
      <c r="O6" s="334">
        <f t="shared" si="2"/>
        <v>0</v>
      </c>
      <c r="P6" s="334">
        <f t="shared" ref="P6:P19" si="4">(N6+M6+O6)*$P$4</f>
        <v>0</v>
      </c>
      <c r="Q6" s="334">
        <f t="shared" ref="Q6:Q18" si="5">(M6+N6+O6+P6)*$Q$4</f>
        <v>0</v>
      </c>
      <c r="R6" s="290">
        <f t="shared" ref="R6:R19" si="6">SUM(M6:Q6)</f>
        <v>0</v>
      </c>
      <c r="S6" s="290">
        <f>(R6-Q6)*$S$4</f>
        <v>0</v>
      </c>
      <c r="T6" s="290">
        <f t="shared" ref="T6:T13" si="7">SUM(R6:S6)</f>
        <v>0</v>
      </c>
      <c r="U6" s="290">
        <f t="shared" ref="U6:U19" si="8">R6*J6</f>
        <v>0</v>
      </c>
      <c r="V6" s="290">
        <f t="shared" ref="V6:V19" si="9">S6*J6</f>
        <v>0</v>
      </c>
      <c r="W6" s="291">
        <f t="shared" ref="W6:W19" si="10">T6*J6</f>
        <v>0</v>
      </c>
      <c r="Y6" s="288"/>
      <c r="Z6" s="334"/>
      <c r="AA6" s="290">
        <f t="shared" ref="AA6:AA19" si="11">IF($Y6&gt;0,$Z6,0)</f>
        <v>0</v>
      </c>
      <c r="AB6" s="334">
        <f t="shared" ref="AB6:AB19" si="12">(AA6*$AB$4)</f>
        <v>0</v>
      </c>
      <c r="AC6" s="334">
        <f t="shared" ref="AC6:AC19" si="13">(AA6+AB6)*$AC$4</f>
        <v>0</v>
      </c>
      <c r="AD6" s="334"/>
      <c r="AE6" s="290">
        <f t="shared" ref="AE6:AE19" si="14">SUM(AA6:AD6)</f>
        <v>0</v>
      </c>
      <c r="AF6" s="290">
        <f t="shared" ref="AF6:AF19" si="15">$AF$4*(AC6+AA6+AB6)</f>
        <v>0</v>
      </c>
      <c r="AG6" s="290">
        <f t="shared" ref="AG6:AG19" si="16">SUM(AE6:AF6)</f>
        <v>0</v>
      </c>
      <c r="AH6" s="290">
        <f t="shared" ref="AH6:AH19" si="17">AE6*Y6</f>
        <v>0</v>
      </c>
      <c r="AI6" s="290">
        <f t="shared" ref="AI6:AI19" si="18">AF6*Y6</f>
        <v>0</v>
      </c>
      <c r="AJ6" s="290">
        <f t="shared" ref="AJ6:AJ19" si="19">AG6*Y6</f>
        <v>0</v>
      </c>
      <c r="AK6" s="335"/>
      <c r="AL6" s="336"/>
      <c r="AM6" s="337"/>
      <c r="AO6" s="339" t="str">
        <f>IFERROR(SUM(U6,AH6)/G6,"")</f>
        <v/>
      </c>
      <c r="AP6" s="340" t="str">
        <f>IFERROR(SUM(V6,AI6)/G6,"")</f>
        <v/>
      </c>
      <c r="AQ6" s="291">
        <f>SUM(AO6:AP6)</f>
        <v>0</v>
      </c>
    </row>
    <row r="7" spans="1:43" ht="15.75" thickBot="1" x14ac:dyDescent="0.3">
      <c r="A7" s="297" t="s">
        <v>74</v>
      </c>
      <c r="B7" s="283" t="s">
        <v>94</v>
      </c>
      <c r="C7" s="284" t="s">
        <v>95</v>
      </c>
      <c r="D7" s="284" t="s">
        <v>179</v>
      </c>
      <c r="E7" s="284" t="s">
        <v>91</v>
      </c>
      <c r="F7" s="285">
        <v>188895</v>
      </c>
      <c r="G7" s="285">
        <f t="shared" si="0"/>
        <v>0</v>
      </c>
      <c r="H7" s="286">
        <f t="shared" si="3"/>
        <v>188895</v>
      </c>
      <c r="I7" s="107"/>
      <c r="J7" s="288"/>
      <c r="K7" s="354"/>
      <c r="L7" s="359"/>
      <c r="M7" s="290">
        <f>'Ordering Period 3'!K7+('Ordering Period 3'!K7*Escalation!$D$4)</f>
        <v>0</v>
      </c>
      <c r="N7" s="334">
        <f t="shared" si="1"/>
        <v>0</v>
      </c>
      <c r="O7" s="334">
        <f t="shared" si="2"/>
        <v>0</v>
      </c>
      <c r="P7" s="334">
        <f t="shared" si="4"/>
        <v>0</v>
      </c>
      <c r="Q7" s="334">
        <f>(M7+N7+O7+P7)*$Q$4</f>
        <v>0</v>
      </c>
      <c r="R7" s="290">
        <f t="shared" si="6"/>
        <v>0</v>
      </c>
      <c r="S7" s="290">
        <f t="shared" ref="S7:S18" si="20">(R7-Q7)*$S$4</f>
        <v>0</v>
      </c>
      <c r="T7" s="290">
        <f>SUM(R7:S7)</f>
        <v>0</v>
      </c>
      <c r="U7" s="290">
        <f t="shared" si="8"/>
        <v>0</v>
      </c>
      <c r="V7" s="290">
        <f t="shared" si="9"/>
        <v>0</v>
      </c>
      <c r="W7" s="291">
        <f t="shared" si="10"/>
        <v>0</v>
      </c>
      <c r="Y7" s="288"/>
      <c r="Z7" s="334"/>
      <c r="AA7" s="290">
        <f t="shared" si="11"/>
        <v>0</v>
      </c>
      <c r="AB7" s="334">
        <f t="shared" si="12"/>
        <v>0</v>
      </c>
      <c r="AC7" s="334">
        <f t="shared" si="13"/>
        <v>0</v>
      </c>
      <c r="AD7" s="334"/>
      <c r="AE7" s="290">
        <f t="shared" si="14"/>
        <v>0</v>
      </c>
      <c r="AF7" s="290">
        <f t="shared" si="15"/>
        <v>0</v>
      </c>
      <c r="AG7" s="290">
        <f t="shared" si="16"/>
        <v>0</v>
      </c>
      <c r="AH7" s="290">
        <f t="shared" si="17"/>
        <v>0</v>
      </c>
      <c r="AI7" s="290">
        <f t="shared" si="18"/>
        <v>0</v>
      </c>
      <c r="AJ7" s="290">
        <f t="shared" si="19"/>
        <v>0</v>
      </c>
      <c r="AK7" s="335"/>
      <c r="AL7" s="336"/>
      <c r="AM7" s="337"/>
      <c r="AO7" s="339" t="str">
        <f t="shared" ref="AO7:AO19" si="21">IFERROR(SUM(U7,AH7)/G7,"")</f>
        <v/>
      </c>
      <c r="AP7" s="340" t="str">
        <f t="shared" ref="AP7:AP19" si="22">IFERROR(SUM(V7,AI7)/G7,"")</f>
        <v/>
      </c>
      <c r="AQ7" s="291">
        <f t="shared" ref="AQ7:AQ38" si="23">SUM(AO7:AP7)</f>
        <v>0</v>
      </c>
    </row>
    <row r="8" spans="1:43" x14ac:dyDescent="0.25">
      <c r="A8" s="496" t="s">
        <v>75</v>
      </c>
      <c r="B8" s="279" t="s">
        <v>96</v>
      </c>
      <c r="C8" s="109" t="s">
        <v>93</v>
      </c>
      <c r="D8" s="109" t="s">
        <v>178</v>
      </c>
      <c r="E8" s="109" t="s">
        <v>91</v>
      </c>
      <c r="F8" s="38">
        <v>14994</v>
      </c>
      <c r="G8" s="38">
        <f t="shared" si="0"/>
        <v>0</v>
      </c>
      <c r="H8" s="39">
        <f t="shared" si="3"/>
        <v>14994</v>
      </c>
      <c r="I8" s="107"/>
      <c r="J8" s="121"/>
      <c r="K8" s="355"/>
      <c r="L8" s="360"/>
      <c r="M8" s="122">
        <f>'Ordering Period 3'!K8+('Ordering Period 3'!K8*Escalation!$D$4)</f>
        <v>0</v>
      </c>
      <c r="N8" s="123">
        <f t="shared" si="1"/>
        <v>0</v>
      </c>
      <c r="O8" s="123">
        <f t="shared" si="2"/>
        <v>0</v>
      </c>
      <c r="P8" s="123">
        <f t="shared" si="4"/>
        <v>0</v>
      </c>
      <c r="Q8" s="123">
        <f t="shared" ref="Q8:Q10" si="24">(M8+N8+O8+P8)*$Q$4</f>
        <v>0</v>
      </c>
      <c r="R8" s="122">
        <f t="shared" si="6"/>
        <v>0</v>
      </c>
      <c r="S8" s="122">
        <f>(R8-Q8)*$S$4</f>
        <v>0</v>
      </c>
      <c r="T8" s="122">
        <f t="shared" ref="T8:T9" si="25">SUM(R8:S8)</f>
        <v>0</v>
      </c>
      <c r="U8" s="122">
        <f t="shared" si="8"/>
        <v>0</v>
      </c>
      <c r="V8" s="122">
        <f t="shared" si="9"/>
        <v>0</v>
      </c>
      <c r="W8" s="124">
        <f t="shared" si="10"/>
        <v>0</v>
      </c>
      <c r="Y8" s="3"/>
      <c r="Z8" s="4"/>
      <c r="AA8" s="40">
        <f t="shared" si="11"/>
        <v>0</v>
      </c>
      <c r="AB8" s="4">
        <f t="shared" si="12"/>
        <v>0</v>
      </c>
      <c r="AC8" s="4">
        <f t="shared" si="13"/>
        <v>0</v>
      </c>
      <c r="AD8" s="4"/>
      <c r="AE8" s="40">
        <f t="shared" si="14"/>
        <v>0</v>
      </c>
      <c r="AF8" s="40">
        <f t="shared" si="15"/>
        <v>0</v>
      </c>
      <c r="AG8" s="40">
        <f t="shared" si="16"/>
        <v>0</v>
      </c>
      <c r="AH8" s="40">
        <f t="shared" si="17"/>
        <v>0</v>
      </c>
      <c r="AI8" s="40">
        <f t="shared" si="18"/>
        <v>0</v>
      </c>
      <c r="AJ8" s="40">
        <f t="shared" si="19"/>
        <v>0</v>
      </c>
      <c r="AK8" s="160"/>
      <c r="AL8" s="213"/>
      <c r="AM8" s="6"/>
      <c r="AO8" s="140" t="str">
        <f>IFERROR(SUM(U8,AH8)/G8,"")</f>
        <v/>
      </c>
      <c r="AP8" s="125" t="str">
        <f>IFERROR(SUM(V8,AI8)/G8,"")</f>
        <v/>
      </c>
      <c r="AQ8" s="124">
        <f>SUM(AO8:AP8)</f>
        <v>0</v>
      </c>
    </row>
    <row r="9" spans="1:43" x14ac:dyDescent="0.25">
      <c r="A9" s="497"/>
      <c r="B9" s="280" t="s">
        <v>97</v>
      </c>
      <c r="C9" s="108" t="s">
        <v>75</v>
      </c>
      <c r="D9" s="108" t="s">
        <v>180</v>
      </c>
      <c r="E9" s="108" t="s">
        <v>91</v>
      </c>
      <c r="F9" s="42">
        <v>266502</v>
      </c>
      <c r="G9" s="42">
        <f t="shared" si="0"/>
        <v>0</v>
      </c>
      <c r="H9" s="43">
        <f t="shared" si="3"/>
        <v>266502</v>
      </c>
      <c r="I9" s="107"/>
      <c r="J9" s="3"/>
      <c r="K9" s="361"/>
      <c r="L9" s="362"/>
      <c r="M9" s="44">
        <f>'Ordering Period 3'!K9+('Ordering Period 3'!K9*Escalation!$D$4)</f>
        <v>0</v>
      </c>
      <c r="N9" s="5">
        <f t="shared" si="1"/>
        <v>0</v>
      </c>
      <c r="O9" s="5">
        <f t="shared" si="2"/>
        <v>0</v>
      </c>
      <c r="P9" s="5">
        <f t="shared" si="4"/>
        <v>0</v>
      </c>
      <c r="Q9" s="5">
        <f t="shared" si="24"/>
        <v>0</v>
      </c>
      <c r="R9" s="44">
        <f t="shared" si="6"/>
        <v>0</v>
      </c>
      <c r="S9" s="44">
        <f t="shared" ref="S9:S10" si="26">(R9-Q9)*$S$4</f>
        <v>0</v>
      </c>
      <c r="T9" s="44">
        <f t="shared" si="25"/>
        <v>0</v>
      </c>
      <c r="U9" s="44">
        <f t="shared" si="8"/>
        <v>0</v>
      </c>
      <c r="V9" s="44">
        <f t="shared" si="9"/>
        <v>0</v>
      </c>
      <c r="W9" s="128">
        <f t="shared" si="10"/>
        <v>0</v>
      </c>
      <c r="Y9" s="161"/>
      <c r="Z9" s="5"/>
      <c r="AA9" s="44">
        <f t="shared" si="11"/>
        <v>0</v>
      </c>
      <c r="AB9" s="5">
        <f t="shared" si="12"/>
        <v>0</v>
      </c>
      <c r="AC9" s="5">
        <f t="shared" si="13"/>
        <v>0</v>
      </c>
      <c r="AD9" s="5"/>
      <c r="AE9" s="44">
        <f t="shared" si="14"/>
        <v>0</v>
      </c>
      <c r="AF9" s="44">
        <f t="shared" si="15"/>
        <v>0</v>
      </c>
      <c r="AG9" s="44">
        <f t="shared" si="16"/>
        <v>0</v>
      </c>
      <c r="AH9" s="44">
        <f t="shared" si="17"/>
        <v>0</v>
      </c>
      <c r="AI9" s="44">
        <f t="shared" si="18"/>
        <v>0</v>
      </c>
      <c r="AJ9" s="44">
        <f t="shared" si="19"/>
        <v>0</v>
      </c>
      <c r="AK9" s="160"/>
      <c r="AL9" s="7"/>
      <c r="AM9" s="8"/>
      <c r="AO9" s="162" t="str">
        <f t="shared" ref="AO9:AO10" si="27">IFERROR(SUM(U9,AH9)/G9,"")</f>
        <v/>
      </c>
      <c r="AP9" s="45" t="str">
        <f t="shared" ref="AP9:AP10" si="28">IFERROR(SUM(V9,AI9)/G9,"")</f>
        <v/>
      </c>
      <c r="AQ9" s="128">
        <f t="shared" ref="AQ9:AQ10" si="29">SUM(AO9:AP9)</f>
        <v>0</v>
      </c>
    </row>
    <row r="10" spans="1:43" x14ac:dyDescent="0.25">
      <c r="A10" s="497"/>
      <c r="B10" s="280" t="s">
        <v>98</v>
      </c>
      <c r="C10" s="108" t="s">
        <v>99</v>
      </c>
      <c r="D10" s="108" t="s">
        <v>181</v>
      </c>
      <c r="E10" s="108" t="s">
        <v>91</v>
      </c>
      <c r="F10" s="42">
        <v>22931</v>
      </c>
      <c r="G10" s="42">
        <f t="shared" si="0"/>
        <v>0</v>
      </c>
      <c r="H10" s="43">
        <f t="shared" si="3"/>
        <v>22931</v>
      </c>
      <c r="I10" s="107"/>
      <c r="J10" s="3"/>
      <c r="K10" s="361"/>
      <c r="L10" s="362"/>
      <c r="M10" s="44">
        <f>'Ordering Period 3'!K10+('Ordering Period 3'!K10*Escalation!$D$4)</f>
        <v>0</v>
      </c>
      <c r="N10" s="5">
        <f t="shared" si="1"/>
        <v>0</v>
      </c>
      <c r="O10" s="5">
        <f t="shared" si="2"/>
        <v>0</v>
      </c>
      <c r="P10" s="5">
        <f t="shared" si="4"/>
        <v>0</v>
      </c>
      <c r="Q10" s="5">
        <f t="shared" si="24"/>
        <v>0</v>
      </c>
      <c r="R10" s="44">
        <f t="shared" si="6"/>
        <v>0</v>
      </c>
      <c r="S10" s="44">
        <f t="shared" si="26"/>
        <v>0</v>
      </c>
      <c r="T10" s="44">
        <f>SUM(R10:S10)</f>
        <v>0</v>
      </c>
      <c r="U10" s="44">
        <f t="shared" si="8"/>
        <v>0</v>
      </c>
      <c r="V10" s="44">
        <f t="shared" si="9"/>
        <v>0</v>
      </c>
      <c r="W10" s="128">
        <f t="shared" si="10"/>
        <v>0</v>
      </c>
      <c r="Y10" s="161"/>
      <c r="Z10" s="5"/>
      <c r="AA10" s="44">
        <f t="shared" si="11"/>
        <v>0</v>
      </c>
      <c r="AB10" s="5">
        <f t="shared" si="12"/>
        <v>0</v>
      </c>
      <c r="AC10" s="5">
        <f t="shared" si="13"/>
        <v>0</v>
      </c>
      <c r="AD10" s="5"/>
      <c r="AE10" s="44">
        <f t="shared" si="14"/>
        <v>0</v>
      </c>
      <c r="AF10" s="44">
        <f t="shared" si="15"/>
        <v>0</v>
      </c>
      <c r="AG10" s="44">
        <f t="shared" si="16"/>
        <v>0</v>
      </c>
      <c r="AH10" s="44">
        <f t="shared" si="17"/>
        <v>0</v>
      </c>
      <c r="AI10" s="44">
        <f t="shared" si="18"/>
        <v>0</v>
      </c>
      <c r="AJ10" s="44">
        <f t="shared" si="19"/>
        <v>0</v>
      </c>
      <c r="AK10" s="160"/>
      <c r="AL10" s="7"/>
      <c r="AM10" s="8"/>
      <c r="AO10" s="162" t="str">
        <f t="shared" si="27"/>
        <v/>
      </c>
      <c r="AP10" s="45" t="str">
        <f t="shared" si="28"/>
        <v/>
      </c>
      <c r="AQ10" s="128">
        <f t="shared" si="29"/>
        <v>0</v>
      </c>
    </row>
    <row r="11" spans="1:43" x14ac:dyDescent="0.25">
      <c r="A11" s="497"/>
      <c r="B11" s="280" t="s">
        <v>100</v>
      </c>
      <c r="C11" s="108" t="s">
        <v>101</v>
      </c>
      <c r="D11" s="108" t="s">
        <v>182</v>
      </c>
      <c r="E11" s="108" t="s">
        <v>91</v>
      </c>
      <c r="F11" s="42">
        <v>34560</v>
      </c>
      <c r="G11" s="42">
        <f>SUM(J11,Y11)</f>
        <v>0</v>
      </c>
      <c r="H11" s="43">
        <f>F11-G11</f>
        <v>34560</v>
      </c>
      <c r="I11" s="107"/>
      <c r="J11" s="3"/>
      <c r="K11" s="362"/>
      <c r="L11" s="362"/>
      <c r="M11" s="44">
        <f>'Ordering Period 3'!K11+('Ordering Period 3'!K11*Escalation!$D$4)</f>
        <v>0</v>
      </c>
      <c r="N11" s="5">
        <f>(M11*$N$4)</f>
        <v>0</v>
      </c>
      <c r="O11" s="5">
        <f>(N11+M11)*$O$4</f>
        <v>0</v>
      </c>
      <c r="P11" s="5">
        <f>(N11+M11+O11)*$P$4</f>
        <v>0</v>
      </c>
      <c r="Q11" s="5">
        <f>(M11+N11+O11+P11)*$Q$4</f>
        <v>0</v>
      </c>
      <c r="R11" s="44">
        <f>SUM(M11:Q11)</f>
        <v>0</v>
      </c>
      <c r="S11" s="44">
        <f>(R11-Q11)*$S$4</f>
        <v>0</v>
      </c>
      <c r="T11" s="44">
        <f>SUM(R11:S11)</f>
        <v>0</v>
      </c>
      <c r="U11" s="44">
        <f>R11*J11</f>
        <v>0</v>
      </c>
      <c r="V11" s="44">
        <f>S11*J11</f>
        <v>0</v>
      </c>
      <c r="W11" s="128">
        <f>T11*J11</f>
        <v>0</v>
      </c>
      <c r="Y11" s="161"/>
      <c r="Z11" s="5"/>
      <c r="AA11" s="44">
        <f>IF($Y11&gt;0,$Z11,0)</f>
        <v>0</v>
      </c>
      <c r="AB11" s="5">
        <f>(AA11*$AB$4)</f>
        <v>0</v>
      </c>
      <c r="AC11" s="5">
        <f>(AA11+AB11)*$AC$4</f>
        <v>0</v>
      </c>
      <c r="AD11" s="5"/>
      <c r="AE11" s="44">
        <f>SUM(AA11:AD11)</f>
        <v>0</v>
      </c>
      <c r="AF11" s="44">
        <f>$AF$4*(AC11+AA11+AB11)</f>
        <v>0</v>
      </c>
      <c r="AG11" s="44">
        <f>SUM(AE11:AF11)</f>
        <v>0</v>
      </c>
      <c r="AH11" s="44">
        <f>AE11*Y11</f>
        <v>0</v>
      </c>
      <c r="AI11" s="44">
        <f>AF11*Y11</f>
        <v>0</v>
      </c>
      <c r="AJ11" s="44">
        <f>AG11*Y11</f>
        <v>0</v>
      </c>
      <c r="AK11" s="160"/>
      <c r="AL11" s="7"/>
      <c r="AM11" s="8"/>
      <c r="AO11" s="162" t="str">
        <f>IFERROR(SUM(U11,AH11)/G11,"")</f>
        <v/>
      </c>
      <c r="AP11" s="45" t="str">
        <f>IFERROR(SUM(V11,AI11)/G11,"")</f>
        <v/>
      </c>
      <c r="AQ11" s="128">
        <f>SUM(AO11:AP11)</f>
        <v>0</v>
      </c>
    </row>
    <row r="12" spans="1:43" ht="15.75" thickBot="1" x14ac:dyDescent="0.3">
      <c r="A12" s="498"/>
      <c r="B12" s="282" t="s">
        <v>102</v>
      </c>
      <c r="C12" s="147" t="s">
        <v>103</v>
      </c>
      <c r="D12" s="147" t="s">
        <v>183</v>
      </c>
      <c r="E12" s="147" t="s">
        <v>91</v>
      </c>
      <c r="F12" s="148">
        <v>35846</v>
      </c>
      <c r="G12" s="148">
        <f t="shared" ref="G12" si="30">SUM(J12,Y12)</f>
        <v>0</v>
      </c>
      <c r="H12" s="149">
        <f>F12-G12</f>
        <v>35846</v>
      </c>
      <c r="I12" s="107"/>
      <c r="J12" s="176"/>
      <c r="K12" s="363"/>
      <c r="L12" s="364"/>
      <c r="M12" s="178">
        <f>'Ordering Period 3'!K12+('Ordering Period 3'!K12*Escalation!$D$4)</f>
        <v>0</v>
      </c>
      <c r="N12" s="179">
        <f t="shared" ref="N12" si="31">(M12*$N$4)</f>
        <v>0</v>
      </c>
      <c r="O12" s="179">
        <f t="shared" ref="O12" si="32">(N12+M12)*$O$4</f>
        <v>0</v>
      </c>
      <c r="P12" s="179">
        <f t="shared" ref="P12" si="33">(N12+M12+O12)*$P$4</f>
        <v>0</v>
      </c>
      <c r="Q12" s="179">
        <f>(M12+N12+O12+P12)*$Q$4</f>
        <v>0</v>
      </c>
      <c r="R12" s="178">
        <f t="shared" ref="R12" si="34">SUM(M12:Q12)</f>
        <v>0</v>
      </c>
      <c r="S12" s="178">
        <f>(R12-Q12)*$S$4</f>
        <v>0</v>
      </c>
      <c r="T12" s="178">
        <f t="shared" ref="T12" si="35">SUM(R12:S12)</f>
        <v>0</v>
      </c>
      <c r="U12" s="178">
        <f t="shared" ref="U12" si="36">R12*J12</f>
        <v>0</v>
      </c>
      <c r="V12" s="178">
        <f t="shared" ref="V12" si="37">S12*J12</f>
        <v>0</v>
      </c>
      <c r="W12" s="180">
        <f t="shared" ref="W12" si="38">T12*J12</f>
        <v>0</v>
      </c>
      <c r="Y12" s="181"/>
      <c r="Z12" s="179"/>
      <c r="AA12" s="178">
        <f t="shared" si="11"/>
        <v>0</v>
      </c>
      <c r="AB12" s="179">
        <f t="shared" ref="AB12" si="39">(AA12*$AB$4)</f>
        <v>0</v>
      </c>
      <c r="AC12" s="179">
        <f t="shared" ref="AC12" si="40">(AA12+AB12)*$AC$4</f>
        <v>0</v>
      </c>
      <c r="AD12" s="179"/>
      <c r="AE12" s="178">
        <f t="shared" ref="AE12" si="41">SUM(AA12:AD12)</f>
        <v>0</v>
      </c>
      <c r="AF12" s="178">
        <f t="shared" ref="AF12" si="42">$AF$4*(AC12+AA12+AB12)</f>
        <v>0</v>
      </c>
      <c r="AG12" s="178">
        <f t="shared" ref="AG12" si="43">SUM(AE12:AF12)</f>
        <v>0</v>
      </c>
      <c r="AH12" s="178">
        <f t="shared" ref="AH12" si="44">AE12*Y12</f>
        <v>0</v>
      </c>
      <c r="AI12" s="178">
        <f t="shared" ref="AI12" si="45">AF12*Y12</f>
        <v>0</v>
      </c>
      <c r="AJ12" s="178">
        <f t="shared" ref="AJ12" si="46">AG12*Y12</f>
        <v>0</v>
      </c>
      <c r="AK12" s="189"/>
      <c r="AL12" s="177"/>
      <c r="AM12" s="182"/>
      <c r="AO12" s="183" t="str">
        <f t="shared" ref="AO12" si="47">IFERROR(SUM(U12,AH12)/G12,"")</f>
        <v/>
      </c>
      <c r="AP12" s="184" t="str">
        <f t="shared" ref="AP12" si="48">IFERROR(SUM(V12,AI12)/G12,"")</f>
        <v/>
      </c>
      <c r="AQ12" s="180">
        <f t="shared" ref="AQ12" si="49">SUM(AO12:AP12)</f>
        <v>0</v>
      </c>
    </row>
    <row r="13" spans="1:43" x14ac:dyDescent="0.25">
      <c r="A13" s="496" t="s">
        <v>76</v>
      </c>
      <c r="B13" s="279" t="s">
        <v>104</v>
      </c>
      <c r="C13" s="109" t="s">
        <v>105</v>
      </c>
      <c r="D13" s="109" t="s">
        <v>184</v>
      </c>
      <c r="E13" s="109" t="s">
        <v>91</v>
      </c>
      <c r="F13" s="38">
        <v>20501</v>
      </c>
      <c r="G13" s="38">
        <f t="shared" si="0"/>
        <v>0</v>
      </c>
      <c r="H13" s="39">
        <f t="shared" si="3"/>
        <v>20501</v>
      </c>
      <c r="I13" s="107"/>
      <c r="J13" s="121"/>
      <c r="K13" s="355"/>
      <c r="L13" s="360"/>
      <c r="M13" s="122">
        <f>'Ordering Period 3'!K13+('Ordering Period 3'!K13*Escalation!$D$4)</f>
        <v>0</v>
      </c>
      <c r="N13" s="123">
        <f t="shared" si="1"/>
        <v>0</v>
      </c>
      <c r="O13" s="123">
        <f t="shared" si="2"/>
        <v>0</v>
      </c>
      <c r="P13" s="123">
        <f t="shared" si="4"/>
        <v>0</v>
      </c>
      <c r="Q13" s="123">
        <f t="shared" si="5"/>
        <v>0</v>
      </c>
      <c r="R13" s="122">
        <f t="shared" si="6"/>
        <v>0</v>
      </c>
      <c r="S13" s="122">
        <f t="shared" si="20"/>
        <v>0</v>
      </c>
      <c r="T13" s="122">
        <f t="shared" si="7"/>
        <v>0</v>
      </c>
      <c r="U13" s="122">
        <f t="shared" si="8"/>
        <v>0</v>
      </c>
      <c r="V13" s="122">
        <f t="shared" si="9"/>
        <v>0</v>
      </c>
      <c r="W13" s="124">
        <f t="shared" si="10"/>
        <v>0</v>
      </c>
      <c r="Y13" s="121"/>
      <c r="Z13" s="123"/>
      <c r="AA13" s="122">
        <f t="shared" si="11"/>
        <v>0</v>
      </c>
      <c r="AB13" s="123">
        <f t="shared" si="12"/>
        <v>0</v>
      </c>
      <c r="AC13" s="123">
        <f t="shared" si="13"/>
        <v>0</v>
      </c>
      <c r="AD13" s="123"/>
      <c r="AE13" s="122">
        <f t="shared" si="14"/>
        <v>0</v>
      </c>
      <c r="AF13" s="122">
        <f t="shared" si="15"/>
        <v>0</v>
      </c>
      <c r="AG13" s="122">
        <f t="shared" si="16"/>
        <v>0</v>
      </c>
      <c r="AH13" s="122">
        <f t="shared" si="17"/>
        <v>0</v>
      </c>
      <c r="AI13" s="122">
        <f t="shared" si="18"/>
        <v>0</v>
      </c>
      <c r="AJ13" s="122">
        <f t="shared" si="19"/>
        <v>0</v>
      </c>
      <c r="AK13" s="159"/>
      <c r="AL13" s="126"/>
      <c r="AM13" s="127"/>
      <c r="AO13" s="140" t="str">
        <f t="shared" si="21"/>
        <v/>
      </c>
      <c r="AP13" s="125" t="str">
        <f t="shared" si="22"/>
        <v/>
      </c>
      <c r="AQ13" s="124">
        <f t="shared" si="23"/>
        <v>0</v>
      </c>
    </row>
    <row r="14" spans="1:43" ht="15.75" thickBot="1" x14ac:dyDescent="0.3">
      <c r="A14" s="498"/>
      <c r="B14" s="282" t="s">
        <v>106</v>
      </c>
      <c r="C14" s="147" t="s">
        <v>107</v>
      </c>
      <c r="D14" s="147" t="s">
        <v>185</v>
      </c>
      <c r="E14" s="147" t="s">
        <v>91</v>
      </c>
      <c r="F14" s="148">
        <v>169859</v>
      </c>
      <c r="G14" s="148">
        <f t="shared" si="0"/>
        <v>0</v>
      </c>
      <c r="H14" s="149">
        <f t="shared" si="3"/>
        <v>169859</v>
      </c>
      <c r="I14" s="107"/>
      <c r="J14" s="176"/>
      <c r="K14" s="363"/>
      <c r="L14" s="364"/>
      <c r="M14" s="178">
        <f>'Ordering Period 3'!K14+('Ordering Period 3'!K14*Escalation!$D$4)</f>
        <v>0</v>
      </c>
      <c r="N14" s="179">
        <f t="shared" si="1"/>
        <v>0</v>
      </c>
      <c r="O14" s="179">
        <f t="shared" si="2"/>
        <v>0</v>
      </c>
      <c r="P14" s="179">
        <f t="shared" si="4"/>
        <v>0</v>
      </c>
      <c r="Q14" s="179">
        <f t="shared" si="5"/>
        <v>0</v>
      </c>
      <c r="R14" s="178">
        <f t="shared" si="6"/>
        <v>0</v>
      </c>
      <c r="S14" s="178">
        <f t="shared" si="20"/>
        <v>0</v>
      </c>
      <c r="T14" s="178">
        <f t="shared" ref="T14" si="50">SUM(R14:S14)</f>
        <v>0</v>
      </c>
      <c r="U14" s="178">
        <f t="shared" si="8"/>
        <v>0</v>
      </c>
      <c r="V14" s="178">
        <f t="shared" si="9"/>
        <v>0</v>
      </c>
      <c r="W14" s="180">
        <f t="shared" si="10"/>
        <v>0</v>
      </c>
      <c r="Y14" s="181"/>
      <c r="Z14" s="179"/>
      <c r="AA14" s="178">
        <f t="shared" si="11"/>
        <v>0</v>
      </c>
      <c r="AB14" s="179">
        <f t="shared" si="12"/>
        <v>0</v>
      </c>
      <c r="AC14" s="179">
        <f t="shared" si="13"/>
        <v>0</v>
      </c>
      <c r="AD14" s="179"/>
      <c r="AE14" s="178">
        <f t="shared" si="14"/>
        <v>0</v>
      </c>
      <c r="AF14" s="178">
        <f t="shared" si="15"/>
        <v>0</v>
      </c>
      <c r="AG14" s="178">
        <f t="shared" si="16"/>
        <v>0</v>
      </c>
      <c r="AH14" s="178">
        <f t="shared" si="17"/>
        <v>0</v>
      </c>
      <c r="AI14" s="178">
        <f t="shared" si="18"/>
        <v>0</v>
      </c>
      <c r="AJ14" s="178">
        <f t="shared" si="19"/>
        <v>0</v>
      </c>
      <c r="AK14" s="189"/>
      <c r="AL14" s="177"/>
      <c r="AM14" s="182"/>
      <c r="AO14" s="183" t="str">
        <f t="shared" si="21"/>
        <v/>
      </c>
      <c r="AP14" s="184" t="str">
        <f t="shared" si="22"/>
        <v/>
      </c>
      <c r="AQ14" s="180">
        <f t="shared" si="23"/>
        <v>0</v>
      </c>
    </row>
    <row r="15" spans="1:43" x14ac:dyDescent="0.25">
      <c r="A15" s="496" t="s">
        <v>77</v>
      </c>
      <c r="B15" s="281" t="s">
        <v>108</v>
      </c>
      <c r="C15" s="197" t="s">
        <v>95</v>
      </c>
      <c r="D15" s="197" t="s">
        <v>179</v>
      </c>
      <c r="E15" s="197" t="s">
        <v>91</v>
      </c>
      <c r="F15" s="198">
        <v>188895</v>
      </c>
      <c r="G15" s="198">
        <f t="shared" si="0"/>
        <v>0</v>
      </c>
      <c r="H15" s="199">
        <f t="shared" si="3"/>
        <v>188895</v>
      </c>
      <c r="I15" s="107"/>
      <c r="J15" s="121"/>
      <c r="K15" s="355"/>
      <c r="L15" s="360"/>
      <c r="M15" s="122">
        <f>'Ordering Period 3'!K15+('Ordering Period 3'!K15*Escalation!$D$4)</f>
        <v>0</v>
      </c>
      <c r="N15" s="123">
        <f t="shared" si="1"/>
        <v>0</v>
      </c>
      <c r="O15" s="123">
        <f t="shared" si="2"/>
        <v>0</v>
      </c>
      <c r="P15" s="123">
        <f t="shared" si="4"/>
        <v>0</v>
      </c>
      <c r="Q15" s="123">
        <f>(M15+N15+O15+P15)*$Q$4</f>
        <v>0</v>
      </c>
      <c r="R15" s="122">
        <f t="shared" si="6"/>
        <v>0</v>
      </c>
      <c r="S15" s="122">
        <f t="shared" si="20"/>
        <v>0</v>
      </c>
      <c r="T15" s="122">
        <f>SUM(R15:S15)</f>
        <v>0</v>
      </c>
      <c r="U15" s="122">
        <f t="shared" si="8"/>
        <v>0</v>
      </c>
      <c r="V15" s="122">
        <f t="shared" si="9"/>
        <v>0</v>
      </c>
      <c r="W15" s="124">
        <f t="shared" si="10"/>
        <v>0</v>
      </c>
      <c r="Y15" s="3"/>
      <c r="Z15" s="4"/>
      <c r="AA15" s="40">
        <f t="shared" si="11"/>
        <v>0</v>
      </c>
      <c r="AB15" s="4">
        <f t="shared" si="12"/>
        <v>0</v>
      </c>
      <c r="AC15" s="4">
        <f t="shared" si="13"/>
        <v>0</v>
      </c>
      <c r="AD15" s="4"/>
      <c r="AE15" s="40">
        <f t="shared" si="14"/>
        <v>0</v>
      </c>
      <c r="AF15" s="40">
        <f t="shared" si="15"/>
        <v>0</v>
      </c>
      <c r="AG15" s="40">
        <f t="shared" si="16"/>
        <v>0</v>
      </c>
      <c r="AH15" s="40">
        <f t="shared" si="17"/>
        <v>0</v>
      </c>
      <c r="AI15" s="40">
        <f t="shared" si="18"/>
        <v>0</v>
      </c>
      <c r="AJ15" s="40">
        <f t="shared" si="19"/>
        <v>0</v>
      </c>
      <c r="AK15" s="160"/>
      <c r="AL15" s="213"/>
      <c r="AM15" s="6"/>
      <c r="AO15" s="140" t="str">
        <f t="shared" si="21"/>
        <v/>
      </c>
      <c r="AP15" s="125" t="str">
        <f t="shared" si="22"/>
        <v/>
      </c>
      <c r="AQ15" s="124">
        <f t="shared" si="23"/>
        <v>0</v>
      </c>
    </row>
    <row r="16" spans="1:43" x14ac:dyDescent="0.25">
      <c r="A16" s="497"/>
      <c r="B16" s="280" t="s">
        <v>109</v>
      </c>
      <c r="C16" s="108" t="s">
        <v>110</v>
      </c>
      <c r="D16" s="108" t="s">
        <v>186</v>
      </c>
      <c r="E16" s="108" t="s">
        <v>91</v>
      </c>
      <c r="F16" s="42">
        <v>20501</v>
      </c>
      <c r="G16" s="42">
        <f>SUM(J16,Y16)</f>
        <v>0</v>
      </c>
      <c r="H16" s="43">
        <f>F16-G16</f>
        <v>20501</v>
      </c>
      <c r="I16" s="107"/>
      <c r="J16" s="3"/>
      <c r="K16" s="361"/>
      <c r="L16" s="362"/>
      <c r="M16" s="44">
        <f>'Ordering Period 3'!K16+('Ordering Period 3'!K16*Escalation!$D$4)</f>
        <v>0</v>
      </c>
      <c r="N16" s="5">
        <f>(M16*$N$4)</f>
        <v>0</v>
      </c>
      <c r="O16" s="5">
        <f>(N16+M16)*$O$4</f>
        <v>0</v>
      </c>
      <c r="P16" s="5">
        <f>(N16+M16+O16)*$P$4</f>
        <v>0</v>
      </c>
      <c r="Q16" s="5">
        <f>(M16+N16+O16+P16)*$Q$4</f>
        <v>0</v>
      </c>
      <c r="R16" s="44">
        <f>SUM(M16:Q16)</f>
        <v>0</v>
      </c>
      <c r="S16" s="44">
        <f>(R16-Q16)*$S$4</f>
        <v>0</v>
      </c>
      <c r="T16" s="44">
        <f>SUM(R16:S16)</f>
        <v>0</v>
      </c>
      <c r="U16" s="44">
        <f>R16*J16</f>
        <v>0</v>
      </c>
      <c r="V16" s="44">
        <f>S16*J16</f>
        <v>0</v>
      </c>
      <c r="W16" s="128">
        <f>T16*J16</f>
        <v>0</v>
      </c>
      <c r="Y16" s="161"/>
      <c r="Z16" s="5"/>
      <c r="AA16" s="44">
        <f>IF($Y16&gt;0,$Z16,0)</f>
        <v>0</v>
      </c>
      <c r="AB16" s="5">
        <f>(AA16*$AB$4)</f>
        <v>0</v>
      </c>
      <c r="AC16" s="5">
        <f>(AA16+AB16)*$AC$4</f>
        <v>0</v>
      </c>
      <c r="AD16" s="5"/>
      <c r="AE16" s="44">
        <f>SUM(AA16:AD16)</f>
        <v>0</v>
      </c>
      <c r="AF16" s="44">
        <f>$AF$4*(AC16+AA16+AB16)</f>
        <v>0</v>
      </c>
      <c r="AG16" s="44">
        <f>SUM(AE16:AF16)</f>
        <v>0</v>
      </c>
      <c r="AH16" s="44">
        <f>AE16*Y16</f>
        <v>0</v>
      </c>
      <c r="AI16" s="44">
        <f>AF16*Y16</f>
        <v>0</v>
      </c>
      <c r="AJ16" s="44">
        <f>AG16*Y16</f>
        <v>0</v>
      </c>
      <c r="AK16" s="160"/>
      <c r="AL16" s="7"/>
      <c r="AM16" s="8"/>
      <c r="AO16" s="162" t="str">
        <f>IFERROR(SUM(U16,AH16)/G16,"")</f>
        <v/>
      </c>
      <c r="AP16" s="45" t="str">
        <f>IFERROR(SUM(V16,AI16)/G16,"")</f>
        <v/>
      </c>
      <c r="AQ16" s="128">
        <f>SUM(AO16:AP16)</f>
        <v>0</v>
      </c>
    </row>
    <row r="17" spans="1:43" x14ac:dyDescent="0.25">
      <c r="A17" s="497"/>
      <c r="B17" s="280" t="s">
        <v>111</v>
      </c>
      <c r="C17" s="108" t="s">
        <v>99</v>
      </c>
      <c r="D17" s="108" t="s">
        <v>181</v>
      </c>
      <c r="E17" s="108" t="s">
        <v>91</v>
      </c>
      <c r="F17" s="42">
        <v>3426</v>
      </c>
      <c r="G17" s="42">
        <f t="shared" si="0"/>
        <v>0</v>
      </c>
      <c r="H17" s="43">
        <f t="shared" si="3"/>
        <v>3426</v>
      </c>
      <c r="I17" s="107"/>
      <c r="J17" s="3"/>
      <c r="K17" s="361"/>
      <c r="L17" s="362"/>
      <c r="M17" s="44">
        <f>'Ordering Period 3'!K17+('Ordering Period 3'!K17*Escalation!$D$4)</f>
        <v>0</v>
      </c>
      <c r="N17" s="5">
        <f t="shared" si="1"/>
        <v>0</v>
      </c>
      <c r="O17" s="5">
        <f t="shared" si="2"/>
        <v>0</v>
      </c>
      <c r="P17" s="5">
        <f t="shared" si="4"/>
        <v>0</v>
      </c>
      <c r="Q17" s="5">
        <f t="shared" si="5"/>
        <v>0</v>
      </c>
      <c r="R17" s="44">
        <f t="shared" si="6"/>
        <v>0</v>
      </c>
      <c r="S17" s="44">
        <f t="shared" si="20"/>
        <v>0</v>
      </c>
      <c r="T17" s="44">
        <f>SUM(R17:S17)</f>
        <v>0</v>
      </c>
      <c r="U17" s="44">
        <f t="shared" si="8"/>
        <v>0</v>
      </c>
      <c r="V17" s="44">
        <f t="shared" si="9"/>
        <v>0</v>
      </c>
      <c r="W17" s="128">
        <f t="shared" si="10"/>
        <v>0</v>
      </c>
      <c r="Y17" s="161"/>
      <c r="Z17" s="5"/>
      <c r="AA17" s="44">
        <f t="shared" si="11"/>
        <v>0</v>
      </c>
      <c r="AB17" s="5">
        <f t="shared" si="12"/>
        <v>0</v>
      </c>
      <c r="AC17" s="5">
        <f t="shared" si="13"/>
        <v>0</v>
      </c>
      <c r="AD17" s="5"/>
      <c r="AE17" s="44">
        <f t="shared" si="14"/>
        <v>0</v>
      </c>
      <c r="AF17" s="44">
        <f t="shared" si="15"/>
        <v>0</v>
      </c>
      <c r="AG17" s="44">
        <f t="shared" si="16"/>
        <v>0</v>
      </c>
      <c r="AH17" s="44">
        <f t="shared" si="17"/>
        <v>0</v>
      </c>
      <c r="AI17" s="44">
        <f t="shared" si="18"/>
        <v>0</v>
      </c>
      <c r="AJ17" s="44">
        <f t="shared" si="19"/>
        <v>0</v>
      </c>
      <c r="AK17" s="160"/>
      <c r="AL17" s="7"/>
      <c r="AM17" s="8"/>
      <c r="AO17" s="162" t="str">
        <f t="shared" si="21"/>
        <v/>
      </c>
      <c r="AP17" s="45" t="str">
        <f t="shared" si="22"/>
        <v/>
      </c>
      <c r="AQ17" s="128">
        <f t="shared" si="23"/>
        <v>0</v>
      </c>
    </row>
    <row r="18" spans="1:43" x14ac:dyDescent="0.25">
      <c r="A18" s="497"/>
      <c r="B18" s="280" t="s">
        <v>112</v>
      </c>
      <c r="C18" s="108" t="s">
        <v>113</v>
      </c>
      <c r="D18" s="108" t="s">
        <v>187</v>
      </c>
      <c r="E18" s="108" t="s">
        <v>91</v>
      </c>
      <c r="F18" s="42">
        <v>41000</v>
      </c>
      <c r="G18" s="42">
        <f t="shared" si="0"/>
        <v>0</v>
      </c>
      <c r="H18" s="43">
        <f t="shared" si="3"/>
        <v>41000</v>
      </c>
      <c r="I18" s="107"/>
      <c r="J18" s="3"/>
      <c r="K18" s="361"/>
      <c r="L18" s="362"/>
      <c r="M18" s="44">
        <f>'Ordering Period 3'!K18+('Ordering Period 3'!K18*Escalation!$D$4)</f>
        <v>0</v>
      </c>
      <c r="N18" s="5">
        <f t="shared" si="1"/>
        <v>0</v>
      </c>
      <c r="O18" s="5">
        <f t="shared" si="2"/>
        <v>0</v>
      </c>
      <c r="P18" s="5">
        <f t="shared" si="4"/>
        <v>0</v>
      </c>
      <c r="Q18" s="5">
        <f t="shared" si="5"/>
        <v>0</v>
      </c>
      <c r="R18" s="44">
        <f t="shared" si="6"/>
        <v>0</v>
      </c>
      <c r="S18" s="44">
        <f t="shared" si="20"/>
        <v>0</v>
      </c>
      <c r="T18" s="44">
        <f t="shared" ref="T18:T37" si="51">SUM(R18:S18)</f>
        <v>0</v>
      </c>
      <c r="U18" s="44">
        <f t="shared" si="8"/>
        <v>0</v>
      </c>
      <c r="V18" s="44">
        <f t="shared" si="9"/>
        <v>0</v>
      </c>
      <c r="W18" s="128">
        <f t="shared" si="10"/>
        <v>0</v>
      </c>
      <c r="Y18" s="161"/>
      <c r="Z18" s="5"/>
      <c r="AA18" s="44">
        <f t="shared" si="11"/>
        <v>0</v>
      </c>
      <c r="AB18" s="5">
        <f t="shared" si="12"/>
        <v>0</v>
      </c>
      <c r="AC18" s="5">
        <f t="shared" si="13"/>
        <v>0</v>
      </c>
      <c r="AD18" s="5"/>
      <c r="AE18" s="44">
        <f t="shared" si="14"/>
        <v>0</v>
      </c>
      <c r="AF18" s="44">
        <f t="shared" si="15"/>
        <v>0</v>
      </c>
      <c r="AG18" s="44">
        <f t="shared" si="16"/>
        <v>0</v>
      </c>
      <c r="AH18" s="44">
        <f t="shared" si="17"/>
        <v>0</v>
      </c>
      <c r="AI18" s="44">
        <f t="shared" si="18"/>
        <v>0</v>
      </c>
      <c r="AJ18" s="44">
        <f t="shared" si="19"/>
        <v>0</v>
      </c>
      <c r="AK18" s="160"/>
      <c r="AL18" s="7"/>
      <c r="AM18" s="8"/>
      <c r="AO18" s="162" t="str">
        <f t="shared" si="21"/>
        <v/>
      </c>
      <c r="AP18" s="45" t="str">
        <f t="shared" si="22"/>
        <v/>
      </c>
      <c r="AQ18" s="128">
        <f t="shared" si="23"/>
        <v>0</v>
      </c>
    </row>
    <row r="19" spans="1:43" ht="15.75" thickBot="1" x14ac:dyDescent="0.3">
      <c r="A19" s="498"/>
      <c r="B19" s="280" t="s">
        <v>114</v>
      </c>
      <c r="C19" s="108" t="s">
        <v>103</v>
      </c>
      <c r="D19" s="108" t="s">
        <v>183</v>
      </c>
      <c r="E19" s="108" t="s">
        <v>91</v>
      </c>
      <c r="F19" s="42">
        <v>13940</v>
      </c>
      <c r="G19" s="42">
        <f t="shared" si="0"/>
        <v>0</v>
      </c>
      <c r="H19" s="43">
        <f>F19-G19</f>
        <v>13940</v>
      </c>
      <c r="I19" s="107"/>
      <c r="J19" s="176"/>
      <c r="K19" s="363"/>
      <c r="L19" s="364"/>
      <c r="M19" s="178">
        <f>'Ordering Period 3'!K19+('Ordering Period 3'!K19*Escalation!$D$4)</f>
        <v>0</v>
      </c>
      <c r="N19" s="179">
        <f t="shared" si="1"/>
        <v>0</v>
      </c>
      <c r="O19" s="179">
        <f t="shared" si="2"/>
        <v>0</v>
      </c>
      <c r="P19" s="179">
        <f t="shared" si="4"/>
        <v>0</v>
      </c>
      <c r="Q19" s="179">
        <f>(M19+N19+O19+P19)*$Q$4</f>
        <v>0</v>
      </c>
      <c r="R19" s="178">
        <f t="shared" si="6"/>
        <v>0</v>
      </c>
      <c r="S19" s="178">
        <f>(R19-Q19)*$S$4</f>
        <v>0</v>
      </c>
      <c r="T19" s="178">
        <f t="shared" si="51"/>
        <v>0</v>
      </c>
      <c r="U19" s="178">
        <f t="shared" si="8"/>
        <v>0</v>
      </c>
      <c r="V19" s="178">
        <f t="shared" si="9"/>
        <v>0</v>
      </c>
      <c r="W19" s="180">
        <f t="shared" si="10"/>
        <v>0</v>
      </c>
      <c r="Y19" s="181"/>
      <c r="Z19" s="179"/>
      <c r="AA19" s="178">
        <f t="shared" si="11"/>
        <v>0</v>
      </c>
      <c r="AB19" s="179">
        <f t="shared" si="12"/>
        <v>0</v>
      </c>
      <c r="AC19" s="179">
        <f t="shared" si="13"/>
        <v>0</v>
      </c>
      <c r="AD19" s="179"/>
      <c r="AE19" s="178">
        <f t="shared" si="14"/>
        <v>0</v>
      </c>
      <c r="AF19" s="178">
        <f t="shared" si="15"/>
        <v>0</v>
      </c>
      <c r="AG19" s="178">
        <f t="shared" si="16"/>
        <v>0</v>
      </c>
      <c r="AH19" s="178">
        <f t="shared" si="17"/>
        <v>0</v>
      </c>
      <c r="AI19" s="178">
        <f t="shared" si="18"/>
        <v>0</v>
      </c>
      <c r="AJ19" s="178">
        <f t="shared" si="19"/>
        <v>0</v>
      </c>
      <c r="AK19" s="189"/>
      <c r="AL19" s="177"/>
      <c r="AM19" s="182"/>
      <c r="AO19" s="183" t="str">
        <f t="shared" si="21"/>
        <v/>
      </c>
      <c r="AP19" s="184" t="str">
        <f t="shared" si="22"/>
        <v/>
      </c>
      <c r="AQ19" s="180">
        <f t="shared" si="23"/>
        <v>0</v>
      </c>
    </row>
    <row r="20" spans="1:43" ht="15.75" thickBot="1" x14ac:dyDescent="0.3">
      <c r="A20" s="66" t="s">
        <v>188</v>
      </c>
      <c r="B20" s="278"/>
      <c r="C20" s="200"/>
      <c r="D20" s="200"/>
      <c r="E20" s="200"/>
      <c r="F20" s="201"/>
      <c r="G20" s="201"/>
      <c r="H20" s="202"/>
      <c r="I20" s="46"/>
      <c r="J20" s="443"/>
      <c r="K20" s="444"/>
      <c r="L20" s="207"/>
      <c r="M20" s="445"/>
      <c r="N20" s="208"/>
      <c r="O20" s="208"/>
      <c r="P20" s="208"/>
      <c r="Q20" s="208"/>
      <c r="R20" s="208"/>
      <c r="S20" s="208"/>
      <c r="T20" s="208"/>
      <c r="U20" s="208"/>
      <c r="V20" s="208"/>
      <c r="W20" s="209"/>
      <c r="Y20" s="446"/>
      <c r="Z20" s="244"/>
      <c r="AA20" s="244"/>
      <c r="AB20" s="244"/>
      <c r="AC20" s="244"/>
      <c r="AD20" s="244"/>
      <c r="AE20" s="244"/>
      <c r="AF20" s="244"/>
      <c r="AG20" s="244"/>
      <c r="AH20" s="244"/>
      <c r="AI20" s="244"/>
      <c r="AJ20" s="244"/>
      <c r="AK20" s="447"/>
      <c r="AL20" s="447"/>
      <c r="AM20" s="448"/>
      <c r="AO20" s="346"/>
      <c r="AP20" s="347"/>
      <c r="AQ20" s="348"/>
    </row>
    <row r="21" spans="1:43" ht="15.75" thickBot="1" x14ac:dyDescent="0.3">
      <c r="A21" s="297" t="s">
        <v>73</v>
      </c>
      <c r="B21" s="283" t="s">
        <v>92</v>
      </c>
      <c r="C21" s="284" t="s">
        <v>93</v>
      </c>
      <c r="D21" s="284" t="s">
        <v>178</v>
      </c>
      <c r="E21" s="284" t="s">
        <v>189</v>
      </c>
      <c r="F21" s="285">
        <v>6560</v>
      </c>
      <c r="G21" s="285">
        <f t="shared" ref="G21:G34" si="52">SUM(J21,Y21)</f>
        <v>0</v>
      </c>
      <c r="H21" s="286">
        <f>F21-G21</f>
        <v>6560</v>
      </c>
      <c r="I21" s="107"/>
      <c r="J21" s="205"/>
      <c r="K21" s="353"/>
      <c r="L21" s="353"/>
      <c r="M21" s="316">
        <f>'Ordering Period 3'!K21+('Ordering Period 3'!K21*Escalation!$D$4)</f>
        <v>0</v>
      </c>
      <c r="N21" s="341">
        <f t="shared" ref="N21:N34" si="53">(M21*$N$4)</f>
        <v>0</v>
      </c>
      <c r="O21" s="341">
        <f t="shared" ref="O21:O34" si="54">(N21+M21)*$O$4</f>
        <v>0</v>
      </c>
      <c r="P21" s="341">
        <f t="shared" ref="P21:P34" si="55">(N21+M21+O21)*$P$4</f>
        <v>0</v>
      </c>
      <c r="Q21" s="341">
        <f t="shared" ref="Q21:Q34" si="56">(M21+N21+O21+P21)*$Q$4</f>
        <v>0</v>
      </c>
      <c r="R21" s="316">
        <f t="shared" ref="R21:R34" si="57">SUM(M21:Q21)</f>
        <v>0</v>
      </c>
      <c r="S21" s="316">
        <f t="shared" ref="S21:S34" si="58">(R21-Q21)*$S$4</f>
        <v>0</v>
      </c>
      <c r="T21" s="316">
        <f>SUM(R21:S21)</f>
        <v>0</v>
      </c>
      <c r="U21" s="316">
        <f t="shared" ref="U21:U34" si="59">R21*J21</f>
        <v>0</v>
      </c>
      <c r="V21" s="316">
        <f t="shared" ref="V21:V34" si="60">S21*J21</f>
        <v>0</v>
      </c>
      <c r="W21" s="317">
        <f t="shared" ref="W21:W34" si="61">T21*J21</f>
        <v>0</v>
      </c>
      <c r="Y21" s="205"/>
      <c r="Z21" s="341"/>
      <c r="AA21" s="316">
        <f>IF($Y21&gt;0,$Z21,0)</f>
        <v>0</v>
      </c>
      <c r="AB21" s="341">
        <f t="shared" ref="AB21:AB34" si="62">(AA21*$AB$4)</f>
        <v>0</v>
      </c>
      <c r="AC21" s="341">
        <f t="shared" ref="AC21:AC34" si="63">(AA21+AB21)*$AC$4</f>
        <v>0</v>
      </c>
      <c r="AD21" s="341"/>
      <c r="AE21" s="316">
        <f t="shared" ref="AE21:AE34" si="64">SUM(AA21:AD21)</f>
        <v>0</v>
      </c>
      <c r="AF21" s="316">
        <f t="shared" ref="AF21:AF38" si="65">$AF$4*(AC21+AA21+AB21)</f>
        <v>0</v>
      </c>
      <c r="AG21" s="316">
        <f t="shared" ref="AG21:AG34" si="66">SUM(AE21:AF21)</f>
        <v>0</v>
      </c>
      <c r="AH21" s="316">
        <f t="shared" ref="AH21:AH33" si="67">AE21*Y21</f>
        <v>0</v>
      </c>
      <c r="AI21" s="316">
        <f t="shared" ref="AI21:AI34" si="68">AF21*Y21</f>
        <v>0</v>
      </c>
      <c r="AJ21" s="317">
        <f t="shared" ref="AJ21:AJ34" si="69">AG21*Y21</f>
        <v>0</v>
      </c>
      <c r="AK21" s="210"/>
      <c r="AL21" s="344"/>
      <c r="AM21" s="345"/>
      <c r="AO21" s="339" t="str">
        <f t="shared" ref="AO21:AO34" si="70">IFERROR(SUM(U21,AH21)/G21,"")</f>
        <v/>
      </c>
      <c r="AP21" s="340" t="str">
        <f t="shared" ref="AP21:AP34" si="71">IFERROR(SUM(V21,AI21)/G21,"")</f>
        <v/>
      </c>
      <c r="AQ21" s="291">
        <f t="shared" ref="AQ21:AQ34" si="72">SUM(AO21:AP21)</f>
        <v>0</v>
      </c>
    </row>
    <row r="22" spans="1:43" ht="15.75" thickBot="1" x14ac:dyDescent="0.3">
      <c r="A22" s="297" t="s">
        <v>74</v>
      </c>
      <c r="B22" s="283" t="s">
        <v>94</v>
      </c>
      <c r="C22" s="284" t="s">
        <v>95</v>
      </c>
      <c r="D22" s="284" t="s">
        <v>179</v>
      </c>
      <c r="E22" s="284" t="s">
        <v>189</v>
      </c>
      <c r="F22" s="285">
        <v>15741</v>
      </c>
      <c r="G22" s="285">
        <f t="shared" si="52"/>
        <v>0</v>
      </c>
      <c r="H22" s="286">
        <f t="shared" ref="H22:H34" si="73">F22-G22</f>
        <v>15741</v>
      </c>
      <c r="I22" s="107"/>
      <c r="J22" s="288"/>
      <c r="K22" s="354"/>
      <c r="L22" s="354"/>
      <c r="M22" s="290">
        <f>'Ordering Period 3'!K22+('Ordering Period 3'!K22*Escalation!$D$4)</f>
        <v>0</v>
      </c>
      <c r="N22" s="334">
        <f t="shared" si="53"/>
        <v>0</v>
      </c>
      <c r="O22" s="334">
        <f t="shared" si="54"/>
        <v>0</v>
      </c>
      <c r="P22" s="334">
        <f t="shared" si="55"/>
        <v>0</v>
      </c>
      <c r="Q22" s="334">
        <f>(M22+N22+O22+P22)*$Q$4</f>
        <v>0</v>
      </c>
      <c r="R22" s="290">
        <f t="shared" si="57"/>
        <v>0</v>
      </c>
      <c r="S22" s="290">
        <f>(R22-Q22)*$S$4</f>
        <v>0</v>
      </c>
      <c r="T22" s="290">
        <f>SUM(R22:S22)</f>
        <v>0</v>
      </c>
      <c r="U22" s="290">
        <f t="shared" si="59"/>
        <v>0</v>
      </c>
      <c r="V22" s="290">
        <f t="shared" si="60"/>
        <v>0</v>
      </c>
      <c r="W22" s="291">
        <f t="shared" si="61"/>
        <v>0</v>
      </c>
      <c r="Y22" s="288"/>
      <c r="Z22" s="334"/>
      <c r="AA22" s="290">
        <f t="shared" ref="AA22:AA34" si="74">IF($Y22&gt;0,$Z22,0)</f>
        <v>0</v>
      </c>
      <c r="AB22" s="334">
        <f t="shared" si="62"/>
        <v>0</v>
      </c>
      <c r="AC22" s="334">
        <f t="shared" si="63"/>
        <v>0</v>
      </c>
      <c r="AD22" s="334"/>
      <c r="AE22" s="290">
        <f t="shared" si="64"/>
        <v>0</v>
      </c>
      <c r="AF22" s="290">
        <f t="shared" si="65"/>
        <v>0</v>
      </c>
      <c r="AG22" s="290">
        <f t="shared" si="66"/>
        <v>0</v>
      </c>
      <c r="AH22" s="290">
        <f t="shared" si="67"/>
        <v>0</v>
      </c>
      <c r="AI22" s="290">
        <f t="shared" si="68"/>
        <v>0</v>
      </c>
      <c r="AJ22" s="291">
        <f t="shared" si="69"/>
        <v>0</v>
      </c>
      <c r="AK22" s="335"/>
      <c r="AL22" s="336"/>
      <c r="AM22" s="337"/>
      <c r="AO22" s="339" t="str">
        <f t="shared" si="70"/>
        <v/>
      </c>
      <c r="AP22" s="340" t="str">
        <f t="shared" si="71"/>
        <v/>
      </c>
      <c r="AQ22" s="291">
        <f t="shared" si="72"/>
        <v>0</v>
      </c>
    </row>
    <row r="23" spans="1:43" x14ac:dyDescent="0.25">
      <c r="A23" s="496" t="s">
        <v>75</v>
      </c>
      <c r="B23" s="279" t="s">
        <v>96</v>
      </c>
      <c r="C23" s="109" t="s">
        <v>93</v>
      </c>
      <c r="D23" s="109" t="s">
        <v>178</v>
      </c>
      <c r="E23" s="109" t="s">
        <v>189</v>
      </c>
      <c r="F23" s="38">
        <v>1250</v>
      </c>
      <c r="G23" s="38">
        <f t="shared" si="52"/>
        <v>0</v>
      </c>
      <c r="H23" s="39">
        <f t="shared" si="73"/>
        <v>1250</v>
      </c>
      <c r="I23" s="107"/>
      <c r="J23" s="121"/>
      <c r="K23" s="355"/>
      <c r="L23" s="355"/>
      <c r="M23" s="122">
        <f>'Ordering Period 3'!K23+('Ordering Period 3'!K23*Escalation!$D$4)</f>
        <v>0</v>
      </c>
      <c r="N23" s="123">
        <f t="shared" si="53"/>
        <v>0</v>
      </c>
      <c r="O23" s="123">
        <f t="shared" si="54"/>
        <v>0</v>
      </c>
      <c r="P23" s="123">
        <f t="shared" si="55"/>
        <v>0</v>
      </c>
      <c r="Q23" s="123">
        <f t="shared" si="56"/>
        <v>0</v>
      </c>
      <c r="R23" s="122">
        <f t="shared" si="57"/>
        <v>0</v>
      </c>
      <c r="S23" s="122">
        <f t="shared" si="58"/>
        <v>0</v>
      </c>
      <c r="T23" s="122">
        <f t="shared" ref="T23:T34" si="75">SUM(R23:S23)</f>
        <v>0</v>
      </c>
      <c r="U23" s="122">
        <f t="shared" si="59"/>
        <v>0</v>
      </c>
      <c r="V23" s="122">
        <f t="shared" si="60"/>
        <v>0</v>
      </c>
      <c r="W23" s="124">
        <f t="shared" si="61"/>
        <v>0</v>
      </c>
      <c r="Y23" s="121"/>
      <c r="Z23" s="123"/>
      <c r="AA23" s="122">
        <f t="shared" si="74"/>
        <v>0</v>
      </c>
      <c r="AB23" s="123">
        <f t="shared" si="62"/>
        <v>0</v>
      </c>
      <c r="AC23" s="123">
        <f t="shared" si="63"/>
        <v>0</v>
      </c>
      <c r="AD23" s="123"/>
      <c r="AE23" s="122">
        <f t="shared" si="64"/>
        <v>0</v>
      </c>
      <c r="AF23" s="122">
        <f t="shared" si="65"/>
        <v>0</v>
      </c>
      <c r="AG23" s="122">
        <f t="shared" si="66"/>
        <v>0</v>
      </c>
      <c r="AH23" s="122">
        <f t="shared" si="67"/>
        <v>0</v>
      </c>
      <c r="AI23" s="122">
        <f t="shared" si="68"/>
        <v>0</v>
      </c>
      <c r="AJ23" s="124">
        <f t="shared" si="69"/>
        <v>0</v>
      </c>
      <c r="AK23" s="159"/>
      <c r="AL23" s="126"/>
      <c r="AM23" s="127"/>
      <c r="AO23" s="140" t="str">
        <f t="shared" si="70"/>
        <v/>
      </c>
      <c r="AP23" s="125" t="str">
        <f t="shared" si="71"/>
        <v/>
      </c>
      <c r="AQ23" s="124">
        <f t="shared" si="72"/>
        <v>0</v>
      </c>
    </row>
    <row r="24" spans="1:43" x14ac:dyDescent="0.25">
      <c r="A24" s="497"/>
      <c r="B24" s="280" t="s">
        <v>97</v>
      </c>
      <c r="C24" s="108" t="s">
        <v>75</v>
      </c>
      <c r="D24" s="108" t="s">
        <v>180</v>
      </c>
      <c r="E24" s="108" t="s">
        <v>189</v>
      </c>
      <c r="F24" s="42">
        <v>22209</v>
      </c>
      <c r="G24" s="42">
        <f t="shared" si="52"/>
        <v>0</v>
      </c>
      <c r="H24" s="43">
        <f t="shared" si="73"/>
        <v>22209</v>
      </c>
      <c r="I24" s="107"/>
      <c r="J24" s="3"/>
      <c r="K24" s="356"/>
      <c r="L24" s="356"/>
      <c r="M24" s="40">
        <f>'Ordering Period 3'!K24+('Ordering Period 3'!K24*Escalation!$D$4)</f>
        <v>0</v>
      </c>
      <c r="N24" s="4">
        <f t="shared" si="53"/>
        <v>0</v>
      </c>
      <c r="O24" s="4">
        <f t="shared" si="54"/>
        <v>0</v>
      </c>
      <c r="P24" s="5">
        <f t="shared" si="55"/>
        <v>0</v>
      </c>
      <c r="Q24" s="5">
        <f t="shared" si="56"/>
        <v>0</v>
      </c>
      <c r="R24" s="44">
        <f t="shared" si="57"/>
        <v>0</v>
      </c>
      <c r="S24" s="44">
        <f t="shared" si="58"/>
        <v>0</v>
      </c>
      <c r="T24" s="44">
        <f>SUM(R24:S24)</f>
        <v>0</v>
      </c>
      <c r="U24" s="44">
        <f t="shared" si="59"/>
        <v>0</v>
      </c>
      <c r="V24" s="44">
        <f t="shared" si="60"/>
        <v>0</v>
      </c>
      <c r="W24" s="128">
        <f t="shared" si="61"/>
        <v>0</v>
      </c>
      <c r="Y24" s="161"/>
      <c r="Z24" s="5"/>
      <c r="AA24" s="40">
        <f>IF($Y24&gt;0,$Z24,0)</f>
        <v>0</v>
      </c>
      <c r="AB24" s="4">
        <f t="shared" si="62"/>
        <v>0</v>
      </c>
      <c r="AC24" s="4">
        <f t="shared" si="63"/>
        <v>0</v>
      </c>
      <c r="AD24" s="4"/>
      <c r="AE24" s="40">
        <f t="shared" si="64"/>
        <v>0</v>
      </c>
      <c r="AF24" s="40">
        <f t="shared" si="65"/>
        <v>0</v>
      </c>
      <c r="AG24" s="40">
        <f t="shared" si="66"/>
        <v>0</v>
      </c>
      <c r="AH24" s="40">
        <f t="shared" si="67"/>
        <v>0</v>
      </c>
      <c r="AI24" s="40">
        <f t="shared" si="68"/>
        <v>0</v>
      </c>
      <c r="AJ24" s="41">
        <f t="shared" si="69"/>
        <v>0</v>
      </c>
      <c r="AK24" s="160"/>
      <c r="AL24" s="7"/>
      <c r="AM24" s="8"/>
      <c r="AO24" s="162" t="str">
        <f t="shared" si="70"/>
        <v/>
      </c>
      <c r="AP24" s="45" t="str">
        <f t="shared" si="71"/>
        <v/>
      </c>
      <c r="AQ24" s="128">
        <f t="shared" si="72"/>
        <v>0</v>
      </c>
    </row>
    <row r="25" spans="1:43" x14ac:dyDescent="0.25">
      <c r="A25" s="497"/>
      <c r="B25" s="281" t="s">
        <v>98</v>
      </c>
      <c r="C25" s="108" t="s">
        <v>99</v>
      </c>
      <c r="D25" s="108" t="s">
        <v>181</v>
      </c>
      <c r="E25" s="108" t="s">
        <v>189</v>
      </c>
      <c r="F25" s="42">
        <v>1911</v>
      </c>
      <c r="G25" s="42">
        <f t="shared" si="52"/>
        <v>0</v>
      </c>
      <c r="H25" s="43">
        <f t="shared" si="73"/>
        <v>1911</v>
      </c>
      <c r="I25" s="107"/>
      <c r="J25" s="3"/>
      <c r="K25" s="356"/>
      <c r="L25" s="356"/>
      <c r="M25" s="40">
        <f>'Ordering Period 3'!K25+('Ordering Period 3'!K25*Escalation!$D$4)</f>
        <v>0</v>
      </c>
      <c r="N25" s="4">
        <f t="shared" si="53"/>
        <v>0</v>
      </c>
      <c r="O25" s="4">
        <f t="shared" si="54"/>
        <v>0</v>
      </c>
      <c r="P25" s="5">
        <f t="shared" si="55"/>
        <v>0</v>
      </c>
      <c r="Q25" s="5">
        <f t="shared" si="56"/>
        <v>0</v>
      </c>
      <c r="R25" s="44">
        <f t="shared" si="57"/>
        <v>0</v>
      </c>
      <c r="S25" s="44">
        <f t="shared" si="58"/>
        <v>0</v>
      </c>
      <c r="T25" s="44">
        <f t="shared" si="75"/>
        <v>0</v>
      </c>
      <c r="U25" s="44">
        <f t="shared" si="59"/>
        <v>0</v>
      </c>
      <c r="V25" s="44">
        <f t="shared" si="60"/>
        <v>0</v>
      </c>
      <c r="W25" s="128">
        <f t="shared" si="61"/>
        <v>0</v>
      </c>
      <c r="Y25" s="161"/>
      <c r="Z25" s="5"/>
      <c r="AA25" s="40">
        <f t="shared" si="74"/>
        <v>0</v>
      </c>
      <c r="AB25" s="4">
        <f t="shared" si="62"/>
        <v>0</v>
      </c>
      <c r="AC25" s="4">
        <f t="shared" si="63"/>
        <v>0</v>
      </c>
      <c r="AD25" s="4"/>
      <c r="AE25" s="40">
        <f t="shared" si="64"/>
        <v>0</v>
      </c>
      <c r="AF25" s="40">
        <f t="shared" si="65"/>
        <v>0</v>
      </c>
      <c r="AG25" s="40">
        <f t="shared" si="66"/>
        <v>0</v>
      </c>
      <c r="AH25" s="40">
        <f t="shared" si="67"/>
        <v>0</v>
      </c>
      <c r="AI25" s="40">
        <f t="shared" si="68"/>
        <v>0</v>
      </c>
      <c r="AJ25" s="41">
        <f t="shared" si="69"/>
        <v>0</v>
      </c>
      <c r="AK25" s="160"/>
      <c r="AL25" s="7"/>
      <c r="AM25" s="8"/>
      <c r="AO25" s="162" t="str">
        <f t="shared" si="70"/>
        <v/>
      </c>
      <c r="AP25" s="45" t="str">
        <f t="shared" si="71"/>
        <v/>
      </c>
      <c r="AQ25" s="128">
        <f t="shared" si="72"/>
        <v>0</v>
      </c>
    </row>
    <row r="26" spans="1:43" x14ac:dyDescent="0.25">
      <c r="A26" s="497"/>
      <c r="B26" s="280" t="s">
        <v>100</v>
      </c>
      <c r="C26" s="108" t="s">
        <v>101</v>
      </c>
      <c r="D26" s="108" t="s">
        <v>182</v>
      </c>
      <c r="E26" s="108" t="s">
        <v>189</v>
      </c>
      <c r="F26" s="42">
        <v>2880</v>
      </c>
      <c r="G26" s="42">
        <f t="shared" si="52"/>
        <v>0</v>
      </c>
      <c r="H26" s="43">
        <f t="shared" si="73"/>
        <v>2880</v>
      </c>
      <c r="I26" s="107"/>
      <c r="J26" s="3"/>
      <c r="K26" s="356"/>
      <c r="L26" s="356"/>
      <c r="M26" s="40">
        <f>'Ordering Period 3'!K26+('Ordering Period 3'!K26*Escalation!$D$4)</f>
        <v>0</v>
      </c>
      <c r="N26" s="4">
        <f t="shared" si="53"/>
        <v>0</v>
      </c>
      <c r="O26" s="4">
        <f t="shared" si="54"/>
        <v>0</v>
      </c>
      <c r="P26" s="5">
        <f t="shared" si="55"/>
        <v>0</v>
      </c>
      <c r="Q26" s="5">
        <f t="shared" si="56"/>
        <v>0</v>
      </c>
      <c r="R26" s="44">
        <f t="shared" si="57"/>
        <v>0</v>
      </c>
      <c r="S26" s="44">
        <f>(R26-Q26)*$S$4</f>
        <v>0</v>
      </c>
      <c r="T26" s="44">
        <f>SUM(R26:S26)</f>
        <v>0</v>
      </c>
      <c r="U26" s="44">
        <f t="shared" si="59"/>
        <v>0</v>
      </c>
      <c r="V26" s="44">
        <f t="shared" si="60"/>
        <v>0</v>
      </c>
      <c r="W26" s="128">
        <f t="shared" si="61"/>
        <v>0</v>
      </c>
      <c r="Y26" s="161"/>
      <c r="Z26" s="5"/>
      <c r="AA26" s="40">
        <f t="shared" si="74"/>
        <v>0</v>
      </c>
      <c r="AB26" s="4">
        <f t="shared" si="62"/>
        <v>0</v>
      </c>
      <c r="AC26" s="4">
        <f>(AA26+AB26)*$AC$4</f>
        <v>0</v>
      </c>
      <c r="AD26" s="4"/>
      <c r="AE26" s="40">
        <f t="shared" si="64"/>
        <v>0</v>
      </c>
      <c r="AF26" s="40">
        <f t="shared" si="65"/>
        <v>0</v>
      </c>
      <c r="AG26" s="40">
        <f t="shared" si="66"/>
        <v>0</v>
      </c>
      <c r="AH26" s="40">
        <f t="shared" si="67"/>
        <v>0</v>
      </c>
      <c r="AI26" s="40">
        <f t="shared" si="68"/>
        <v>0</v>
      </c>
      <c r="AJ26" s="41">
        <f t="shared" si="69"/>
        <v>0</v>
      </c>
      <c r="AK26" s="160"/>
      <c r="AL26" s="7"/>
      <c r="AM26" s="8"/>
      <c r="AO26" s="162" t="str">
        <f t="shared" si="70"/>
        <v/>
      </c>
      <c r="AP26" s="45" t="str">
        <f t="shared" si="71"/>
        <v/>
      </c>
      <c r="AQ26" s="128">
        <f t="shared" si="72"/>
        <v>0</v>
      </c>
    </row>
    <row r="27" spans="1:43" ht="15.75" thickBot="1" x14ac:dyDescent="0.3">
      <c r="A27" s="498"/>
      <c r="B27" s="282" t="s">
        <v>102</v>
      </c>
      <c r="C27" s="147" t="s">
        <v>103</v>
      </c>
      <c r="D27" s="147" t="s">
        <v>183</v>
      </c>
      <c r="E27" s="147" t="s">
        <v>189</v>
      </c>
      <c r="F27" s="148">
        <v>2987</v>
      </c>
      <c r="G27" s="148">
        <f t="shared" si="52"/>
        <v>0</v>
      </c>
      <c r="H27" s="149">
        <f t="shared" si="73"/>
        <v>2987</v>
      </c>
      <c r="I27" s="107"/>
      <c r="J27" s="176"/>
      <c r="K27" s="357"/>
      <c r="L27" s="357"/>
      <c r="M27" s="234">
        <f>'Ordering Period 3'!K27+('Ordering Period 3'!K27*Escalation!$D$4)</f>
        <v>0</v>
      </c>
      <c r="N27" s="342">
        <f t="shared" si="53"/>
        <v>0</v>
      </c>
      <c r="O27" s="342">
        <f t="shared" si="54"/>
        <v>0</v>
      </c>
      <c r="P27" s="179">
        <f t="shared" si="55"/>
        <v>0</v>
      </c>
      <c r="Q27" s="179">
        <f t="shared" si="56"/>
        <v>0</v>
      </c>
      <c r="R27" s="178">
        <f t="shared" si="57"/>
        <v>0</v>
      </c>
      <c r="S27" s="178">
        <f t="shared" si="58"/>
        <v>0</v>
      </c>
      <c r="T27" s="178">
        <f t="shared" si="75"/>
        <v>0</v>
      </c>
      <c r="U27" s="178">
        <f t="shared" si="59"/>
        <v>0</v>
      </c>
      <c r="V27" s="178">
        <f t="shared" si="60"/>
        <v>0</v>
      </c>
      <c r="W27" s="180">
        <f t="shared" si="61"/>
        <v>0</v>
      </c>
      <c r="Y27" s="181"/>
      <c r="Z27" s="179"/>
      <c r="AA27" s="234">
        <f t="shared" si="74"/>
        <v>0</v>
      </c>
      <c r="AB27" s="342">
        <f t="shared" si="62"/>
        <v>0</v>
      </c>
      <c r="AC27" s="342">
        <f t="shared" si="63"/>
        <v>0</v>
      </c>
      <c r="AD27" s="342"/>
      <c r="AE27" s="234">
        <f t="shared" si="64"/>
        <v>0</v>
      </c>
      <c r="AF27" s="234">
        <f t="shared" si="65"/>
        <v>0</v>
      </c>
      <c r="AG27" s="234">
        <f t="shared" si="66"/>
        <v>0</v>
      </c>
      <c r="AH27" s="234">
        <f t="shared" si="67"/>
        <v>0</v>
      </c>
      <c r="AI27" s="234">
        <f t="shared" si="68"/>
        <v>0</v>
      </c>
      <c r="AJ27" s="343">
        <f t="shared" si="69"/>
        <v>0</v>
      </c>
      <c r="AK27" s="189"/>
      <c r="AL27" s="177"/>
      <c r="AM27" s="182"/>
      <c r="AO27" s="211" t="str">
        <f t="shared" si="70"/>
        <v/>
      </c>
      <c r="AP27" s="212" t="str">
        <f t="shared" si="71"/>
        <v/>
      </c>
      <c r="AQ27" s="206">
        <f t="shared" si="72"/>
        <v>0</v>
      </c>
    </row>
    <row r="28" spans="1:43" x14ac:dyDescent="0.25">
      <c r="A28" s="496" t="s">
        <v>76</v>
      </c>
      <c r="B28" s="279" t="s">
        <v>104</v>
      </c>
      <c r="C28" s="109" t="s">
        <v>105</v>
      </c>
      <c r="D28" s="109" t="s">
        <v>184</v>
      </c>
      <c r="E28" s="109" t="s">
        <v>189</v>
      </c>
      <c r="F28" s="38">
        <v>1708</v>
      </c>
      <c r="G28" s="38">
        <f t="shared" si="52"/>
        <v>0</v>
      </c>
      <c r="H28" s="39">
        <f t="shared" si="73"/>
        <v>1708</v>
      </c>
      <c r="I28" s="107"/>
      <c r="J28" s="121"/>
      <c r="K28" s="355"/>
      <c r="L28" s="355"/>
      <c r="M28" s="122">
        <f>'Ordering Period 3'!K28+('Ordering Period 3'!K28*Escalation!$D$4)</f>
        <v>0</v>
      </c>
      <c r="N28" s="123">
        <f t="shared" si="53"/>
        <v>0</v>
      </c>
      <c r="O28" s="123">
        <f t="shared" si="54"/>
        <v>0</v>
      </c>
      <c r="P28" s="123">
        <f t="shared" si="55"/>
        <v>0</v>
      </c>
      <c r="Q28" s="123">
        <f t="shared" si="56"/>
        <v>0</v>
      </c>
      <c r="R28" s="122">
        <f t="shared" si="57"/>
        <v>0</v>
      </c>
      <c r="S28" s="122">
        <f t="shared" si="58"/>
        <v>0</v>
      </c>
      <c r="T28" s="122">
        <f t="shared" ref="T28" si="76">SUM(R28:S28)</f>
        <v>0</v>
      </c>
      <c r="U28" s="122">
        <f t="shared" si="59"/>
        <v>0</v>
      </c>
      <c r="V28" s="122">
        <f t="shared" si="60"/>
        <v>0</v>
      </c>
      <c r="W28" s="124">
        <f t="shared" si="61"/>
        <v>0</v>
      </c>
      <c r="Y28" s="121"/>
      <c r="Z28" s="123"/>
      <c r="AA28" s="122">
        <f t="shared" si="74"/>
        <v>0</v>
      </c>
      <c r="AB28" s="123">
        <f t="shared" si="62"/>
        <v>0</v>
      </c>
      <c r="AC28" s="123">
        <f t="shared" si="63"/>
        <v>0</v>
      </c>
      <c r="AD28" s="123"/>
      <c r="AE28" s="122">
        <f t="shared" si="64"/>
        <v>0</v>
      </c>
      <c r="AF28" s="122">
        <f t="shared" si="65"/>
        <v>0</v>
      </c>
      <c r="AG28" s="122">
        <f t="shared" si="66"/>
        <v>0</v>
      </c>
      <c r="AH28" s="122">
        <f t="shared" si="67"/>
        <v>0</v>
      </c>
      <c r="AI28" s="122">
        <f t="shared" si="68"/>
        <v>0</v>
      </c>
      <c r="AJ28" s="124">
        <f t="shared" si="69"/>
        <v>0</v>
      </c>
      <c r="AK28" s="159"/>
      <c r="AL28" s="126"/>
      <c r="AM28" s="127"/>
      <c r="AO28" s="140" t="str">
        <f t="shared" si="70"/>
        <v/>
      </c>
      <c r="AP28" s="125" t="str">
        <f t="shared" si="71"/>
        <v/>
      </c>
      <c r="AQ28" s="124">
        <f t="shared" si="72"/>
        <v>0</v>
      </c>
    </row>
    <row r="29" spans="1:43" ht="15.75" thickBot="1" x14ac:dyDescent="0.3">
      <c r="A29" s="498"/>
      <c r="B29" s="314" t="s">
        <v>106</v>
      </c>
      <c r="C29" s="147" t="s">
        <v>107</v>
      </c>
      <c r="D29" s="147" t="s">
        <v>185</v>
      </c>
      <c r="E29" s="147" t="s">
        <v>189</v>
      </c>
      <c r="F29" s="148">
        <v>14155</v>
      </c>
      <c r="G29" s="148">
        <f t="shared" si="52"/>
        <v>0</v>
      </c>
      <c r="H29" s="149">
        <f t="shared" si="73"/>
        <v>14155</v>
      </c>
      <c r="I29" s="107"/>
      <c r="J29" s="176"/>
      <c r="K29" s="357"/>
      <c r="L29" s="357"/>
      <c r="M29" s="178">
        <f>'Ordering Period 3'!K29+('Ordering Period 3'!K29*Escalation!$D$4)</f>
        <v>0</v>
      </c>
      <c r="N29" s="179">
        <f t="shared" si="53"/>
        <v>0</v>
      </c>
      <c r="O29" s="179">
        <f t="shared" si="54"/>
        <v>0</v>
      </c>
      <c r="P29" s="179">
        <f t="shared" si="55"/>
        <v>0</v>
      </c>
      <c r="Q29" s="179">
        <f t="shared" si="56"/>
        <v>0</v>
      </c>
      <c r="R29" s="178">
        <f t="shared" si="57"/>
        <v>0</v>
      </c>
      <c r="S29" s="178">
        <f t="shared" si="58"/>
        <v>0</v>
      </c>
      <c r="T29" s="178">
        <f t="shared" si="75"/>
        <v>0</v>
      </c>
      <c r="U29" s="178">
        <f t="shared" si="59"/>
        <v>0</v>
      </c>
      <c r="V29" s="178">
        <f t="shared" si="60"/>
        <v>0</v>
      </c>
      <c r="W29" s="180">
        <f t="shared" si="61"/>
        <v>0</v>
      </c>
      <c r="Y29" s="181"/>
      <c r="Z29" s="179"/>
      <c r="AA29" s="234">
        <f t="shared" si="74"/>
        <v>0</v>
      </c>
      <c r="AB29" s="342">
        <f t="shared" si="62"/>
        <v>0</v>
      </c>
      <c r="AC29" s="342">
        <f t="shared" si="63"/>
        <v>0</v>
      </c>
      <c r="AD29" s="342"/>
      <c r="AE29" s="234">
        <f t="shared" si="64"/>
        <v>0</v>
      </c>
      <c r="AF29" s="234">
        <f>$AF$4*(AC29+AA29+AB29)</f>
        <v>0</v>
      </c>
      <c r="AG29" s="234">
        <f t="shared" si="66"/>
        <v>0</v>
      </c>
      <c r="AH29" s="234">
        <f t="shared" si="67"/>
        <v>0</v>
      </c>
      <c r="AI29" s="234">
        <f t="shared" si="68"/>
        <v>0</v>
      </c>
      <c r="AJ29" s="343">
        <f t="shared" si="69"/>
        <v>0</v>
      </c>
      <c r="AK29" s="189"/>
      <c r="AL29" s="177"/>
      <c r="AM29" s="182"/>
      <c r="AO29" s="183" t="str">
        <f t="shared" si="70"/>
        <v/>
      </c>
      <c r="AP29" s="184" t="str">
        <f t="shared" si="71"/>
        <v/>
      </c>
      <c r="AQ29" s="180">
        <f t="shared" si="72"/>
        <v>0</v>
      </c>
    </row>
    <row r="30" spans="1:43" x14ac:dyDescent="0.25">
      <c r="A30" s="496" t="s">
        <v>77</v>
      </c>
      <c r="B30" s="279" t="s">
        <v>108</v>
      </c>
      <c r="C30" s="109" t="s">
        <v>95</v>
      </c>
      <c r="D30" s="109" t="s">
        <v>179</v>
      </c>
      <c r="E30" s="109" t="s">
        <v>189</v>
      </c>
      <c r="F30" s="38">
        <v>15741</v>
      </c>
      <c r="G30" s="38">
        <f t="shared" si="52"/>
        <v>0</v>
      </c>
      <c r="H30" s="39">
        <f t="shared" si="73"/>
        <v>15741</v>
      </c>
      <c r="I30" s="107"/>
      <c r="J30" s="121"/>
      <c r="K30" s="355"/>
      <c r="L30" s="355"/>
      <c r="M30" s="122">
        <f>'Ordering Period 3'!K30+('Ordering Period 3'!K30*Escalation!$D$4)</f>
        <v>0</v>
      </c>
      <c r="N30" s="123">
        <f t="shared" si="53"/>
        <v>0</v>
      </c>
      <c r="O30" s="123">
        <f t="shared" si="54"/>
        <v>0</v>
      </c>
      <c r="P30" s="123">
        <f t="shared" si="55"/>
        <v>0</v>
      </c>
      <c r="Q30" s="123">
        <f t="shared" si="56"/>
        <v>0</v>
      </c>
      <c r="R30" s="122">
        <f t="shared" si="57"/>
        <v>0</v>
      </c>
      <c r="S30" s="122">
        <f t="shared" si="58"/>
        <v>0</v>
      </c>
      <c r="T30" s="122">
        <f t="shared" si="75"/>
        <v>0</v>
      </c>
      <c r="U30" s="122">
        <f t="shared" si="59"/>
        <v>0</v>
      </c>
      <c r="V30" s="122">
        <f t="shared" si="60"/>
        <v>0</v>
      </c>
      <c r="W30" s="124">
        <f t="shared" si="61"/>
        <v>0</v>
      </c>
      <c r="Y30" s="121"/>
      <c r="Z30" s="123"/>
      <c r="AA30" s="122">
        <f t="shared" si="74"/>
        <v>0</v>
      </c>
      <c r="AB30" s="123">
        <f t="shared" si="62"/>
        <v>0</v>
      </c>
      <c r="AC30" s="123">
        <f t="shared" si="63"/>
        <v>0</v>
      </c>
      <c r="AD30" s="123"/>
      <c r="AE30" s="122">
        <f t="shared" si="64"/>
        <v>0</v>
      </c>
      <c r="AF30" s="122">
        <f t="shared" ref="AF30:AF33" si="77">$AF$4*(AC30+AA30+AB30)</f>
        <v>0</v>
      </c>
      <c r="AG30" s="122">
        <f t="shared" si="66"/>
        <v>0</v>
      </c>
      <c r="AH30" s="122">
        <f t="shared" si="67"/>
        <v>0</v>
      </c>
      <c r="AI30" s="122">
        <f t="shared" si="68"/>
        <v>0</v>
      </c>
      <c r="AJ30" s="124">
        <f t="shared" si="69"/>
        <v>0</v>
      </c>
      <c r="AK30" s="159"/>
      <c r="AL30" s="126"/>
      <c r="AM30" s="127"/>
      <c r="AO30" s="140" t="str">
        <f t="shared" si="70"/>
        <v/>
      </c>
      <c r="AP30" s="125" t="str">
        <f t="shared" si="71"/>
        <v/>
      </c>
      <c r="AQ30" s="124">
        <f t="shared" si="72"/>
        <v>0</v>
      </c>
    </row>
    <row r="31" spans="1:43" x14ac:dyDescent="0.25">
      <c r="A31" s="497"/>
      <c r="B31" s="280" t="s">
        <v>109</v>
      </c>
      <c r="C31" s="108" t="s">
        <v>110</v>
      </c>
      <c r="D31" s="108" t="s">
        <v>186</v>
      </c>
      <c r="E31" s="108" t="s">
        <v>189</v>
      </c>
      <c r="F31" s="42">
        <v>1708</v>
      </c>
      <c r="G31" s="42">
        <f t="shared" si="52"/>
        <v>0</v>
      </c>
      <c r="H31" s="43">
        <f t="shared" si="73"/>
        <v>1708</v>
      </c>
      <c r="I31" s="107"/>
      <c r="J31" s="3"/>
      <c r="K31" s="356"/>
      <c r="L31" s="356"/>
      <c r="M31" s="44">
        <f>'Ordering Period 3'!K31+('Ordering Period 3'!K31*Escalation!$D$4)</f>
        <v>0</v>
      </c>
      <c r="N31" s="5">
        <f t="shared" si="53"/>
        <v>0</v>
      </c>
      <c r="O31" s="5">
        <f t="shared" si="54"/>
        <v>0</v>
      </c>
      <c r="P31" s="5">
        <f t="shared" si="55"/>
        <v>0</v>
      </c>
      <c r="Q31" s="5">
        <f t="shared" si="56"/>
        <v>0</v>
      </c>
      <c r="R31" s="44">
        <f t="shared" si="57"/>
        <v>0</v>
      </c>
      <c r="S31" s="44">
        <f t="shared" si="58"/>
        <v>0</v>
      </c>
      <c r="T31" s="44">
        <f t="shared" si="75"/>
        <v>0</v>
      </c>
      <c r="U31" s="44">
        <f t="shared" si="59"/>
        <v>0</v>
      </c>
      <c r="V31" s="44">
        <f t="shared" si="60"/>
        <v>0</v>
      </c>
      <c r="W31" s="128">
        <f t="shared" si="61"/>
        <v>0</v>
      </c>
      <c r="Y31" s="161"/>
      <c r="Z31" s="5"/>
      <c r="AA31" s="40">
        <f t="shared" si="74"/>
        <v>0</v>
      </c>
      <c r="AB31" s="4">
        <f t="shared" si="62"/>
        <v>0</v>
      </c>
      <c r="AC31" s="4">
        <f t="shared" si="63"/>
        <v>0</v>
      </c>
      <c r="AD31" s="4"/>
      <c r="AE31" s="40">
        <f>SUM(AA31:AD31)</f>
        <v>0</v>
      </c>
      <c r="AF31" s="40">
        <f t="shared" si="77"/>
        <v>0</v>
      </c>
      <c r="AG31" s="40">
        <f t="shared" si="66"/>
        <v>0</v>
      </c>
      <c r="AH31" s="40">
        <f t="shared" si="67"/>
        <v>0</v>
      </c>
      <c r="AI31" s="40">
        <f t="shared" si="68"/>
        <v>0</v>
      </c>
      <c r="AJ31" s="41">
        <f t="shared" si="69"/>
        <v>0</v>
      </c>
      <c r="AK31" s="160"/>
      <c r="AL31" s="7"/>
      <c r="AM31" s="8"/>
      <c r="AO31" s="162" t="str">
        <f t="shared" si="70"/>
        <v/>
      </c>
      <c r="AP31" s="45" t="str">
        <f t="shared" si="71"/>
        <v/>
      </c>
      <c r="AQ31" s="128">
        <f t="shared" si="72"/>
        <v>0</v>
      </c>
    </row>
    <row r="32" spans="1:43" x14ac:dyDescent="0.25">
      <c r="A32" s="497"/>
      <c r="B32" s="281" t="s">
        <v>111</v>
      </c>
      <c r="C32" s="108" t="s">
        <v>99</v>
      </c>
      <c r="D32" s="108" t="s">
        <v>181</v>
      </c>
      <c r="E32" s="108" t="s">
        <v>189</v>
      </c>
      <c r="F32" s="42">
        <v>286</v>
      </c>
      <c r="G32" s="42">
        <f t="shared" si="52"/>
        <v>0</v>
      </c>
      <c r="H32" s="43">
        <f t="shared" si="73"/>
        <v>286</v>
      </c>
      <c r="I32" s="107"/>
      <c r="J32" s="3"/>
      <c r="K32" s="356"/>
      <c r="L32" s="356"/>
      <c r="M32" s="44">
        <f>'Ordering Period 3'!K32+('Ordering Period 3'!K32*Escalation!$D$4)</f>
        <v>0</v>
      </c>
      <c r="N32" s="5">
        <f t="shared" si="53"/>
        <v>0</v>
      </c>
      <c r="O32" s="5">
        <f t="shared" si="54"/>
        <v>0</v>
      </c>
      <c r="P32" s="5">
        <f t="shared" si="55"/>
        <v>0</v>
      </c>
      <c r="Q32" s="5">
        <f t="shared" si="56"/>
        <v>0</v>
      </c>
      <c r="R32" s="44">
        <f t="shared" si="57"/>
        <v>0</v>
      </c>
      <c r="S32" s="44">
        <f t="shared" si="58"/>
        <v>0</v>
      </c>
      <c r="T32" s="44">
        <f t="shared" si="75"/>
        <v>0</v>
      </c>
      <c r="U32" s="44">
        <f t="shared" si="59"/>
        <v>0</v>
      </c>
      <c r="V32" s="44">
        <f t="shared" si="60"/>
        <v>0</v>
      </c>
      <c r="W32" s="128">
        <f t="shared" si="61"/>
        <v>0</v>
      </c>
      <c r="Y32" s="161"/>
      <c r="Z32" s="5"/>
      <c r="AA32" s="40">
        <f t="shared" si="74"/>
        <v>0</v>
      </c>
      <c r="AB32" s="4">
        <f t="shared" si="62"/>
        <v>0</v>
      </c>
      <c r="AC32" s="4">
        <f t="shared" si="63"/>
        <v>0</v>
      </c>
      <c r="AD32" s="4"/>
      <c r="AE32" s="40">
        <f t="shared" si="64"/>
        <v>0</v>
      </c>
      <c r="AF32" s="40">
        <f t="shared" si="77"/>
        <v>0</v>
      </c>
      <c r="AG32" s="40">
        <f t="shared" si="66"/>
        <v>0</v>
      </c>
      <c r="AH32" s="40">
        <f t="shared" si="67"/>
        <v>0</v>
      </c>
      <c r="AI32" s="40">
        <f t="shared" si="68"/>
        <v>0</v>
      </c>
      <c r="AJ32" s="41">
        <f t="shared" si="69"/>
        <v>0</v>
      </c>
      <c r="AK32" s="160"/>
      <c r="AL32" s="7"/>
      <c r="AM32" s="8"/>
      <c r="AO32" s="162" t="str">
        <f t="shared" si="70"/>
        <v/>
      </c>
      <c r="AP32" s="45" t="str">
        <f t="shared" si="71"/>
        <v/>
      </c>
      <c r="AQ32" s="128">
        <f t="shared" si="72"/>
        <v>0</v>
      </c>
    </row>
    <row r="33" spans="1:43" x14ac:dyDescent="0.25">
      <c r="A33" s="497"/>
      <c r="B33" s="281" t="s">
        <v>112</v>
      </c>
      <c r="C33" s="108" t="s">
        <v>113</v>
      </c>
      <c r="D33" s="108" t="s">
        <v>187</v>
      </c>
      <c r="E33" s="108" t="s">
        <v>189</v>
      </c>
      <c r="F33" s="42">
        <v>3417</v>
      </c>
      <c r="G33" s="42">
        <f t="shared" si="52"/>
        <v>0</v>
      </c>
      <c r="H33" s="43">
        <f t="shared" si="73"/>
        <v>3417</v>
      </c>
      <c r="I33" s="107"/>
      <c r="J33" s="3"/>
      <c r="K33" s="356"/>
      <c r="L33" s="356"/>
      <c r="M33" s="44">
        <f>'Ordering Period 3'!K33+('Ordering Period 3'!K33*Escalation!$D$4)</f>
        <v>0</v>
      </c>
      <c r="N33" s="5">
        <f t="shared" si="53"/>
        <v>0</v>
      </c>
      <c r="O33" s="5">
        <f t="shared" si="54"/>
        <v>0</v>
      </c>
      <c r="P33" s="5">
        <f t="shared" si="55"/>
        <v>0</v>
      </c>
      <c r="Q33" s="5">
        <f t="shared" si="56"/>
        <v>0</v>
      </c>
      <c r="R33" s="44">
        <f t="shared" si="57"/>
        <v>0</v>
      </c>
      <c r="S33" s="44">
        <f t="shared" si="58"/>
        <v>0</v>
      </c>
      <c r="T33" s="44">
        <f t="shared" si="75"/>
        <v>0</v>
      </c>
      <c r="U33" s="44">
        <f t="shared" si="59"/>
        <v>0</v>
      </c>
      <c r="V33" s="44">
        <f t="shared" si="60"/>
        <v>0</v>
      </c>
      <c r="W33" s="128">
        <f t="shared" si="61"/>
        <v>0</v>
      </c>
      <c r="Y33" s="161"/>
      <c r="Z33" s="5"/>
      <c r="AA33" s="40">
        <f t="shared" si="74"/>
        <v>0</v>
      </c>
      <c r="AB33" s="4">
        <f t="shared" si="62"/>
        <v>0</v>
      </c>
      <c r="AC33" s="4">
        <f t="shared" si="63"/>
        <v>0</v>
      </c>
      <c r="AD33" s="4"/>
      <c r="AE33" s="40">
        <f>SUM(AA33:AD33)</f>
        <v>0</v>
      </c>
      <c r="AF33" s="40">
        <f t="shared" si="77"/>
        <v>0</v>
      </c>
      <c r="AG33" s="40">
        <f t="shared" si="66"/>
        <v>0</v>
      </c>
      <c r="AH33" s="40">
        <f t="shared" si="67"/>
        <v>0</v>
      </c>
      <c r="AI33" s="40">
        <f>AF33*Y33</f>
        <v>0</v>
      </c>
      <c r="AJ33" s="41">
        <f t="shared" si="69"/>
        <v>0</v>
      </c>
      <c r="AK33" s="160"/>
      <c r="AL33" s="7"/>
      <c r="AM33" s="8"/>
      <c r="AO33" s="162" t="str">
        <f t="shared" si="70"/>
        <v/>
      </c>
      <c r="AP33" s="45" t="str">
        <f t="shared" si="71"/>
        <v/>
      </c>
      <c r="AQ33" s="128">
        <f t="shared" si="72"/>
        <v>0</v>
      </c>
    </row>
    <row r="34" spans="1:43" ht="15.75" thickBot="1" x14ac:dyDescent="0.3">
      <c r="A34" s="498"/>
      <c r="B34" s="314" t="s">
        <v>114</v>
      </c>
      <c r="C34" s="147" t="s">
        <v>103</v>
      </c>
      <c r="D34" s="147" t="s">
        <v>183</v>
      </c>
      <c r="E34" s="147" t="s">
        <v>189</v>
      </c>
      <c r="F34" s="148">
        <v>1162</v>
      </c>
      <c r="G34" s="148">
        <f t="shared" si="52"/>
        <v>0</v>
      </c>
      <c r="H34" s="149">
        <f t="shared" si="73"/>
        <v>1162</v>
      </c>
      <c r="I34" s="107"/>
      <c r="J34" s="176"/>
      <c r="K34" s="357"/>
      <c r="L34" s="357"/>
      <c r="M34" s="178">
        <f>'Ordering Period 3'!K34+('Ordering Period 3'!K34*Escalation!$D$4)</f>
        <v>0</v>
      </c>
      <c r="N34" s="179">
        <f t="shared" si="53"/>
        <v>0</v>
      </c>
      <c r="O34" s="179">
        <f t="shared" si="54"/>
        <v>0</v>
      </c>
      <c r="P34" s="179">
        <f t="shared" si="55"/>
        <v>0</v>
      </c>
      <c r="Q34" s="179">
        <f t="shared" si="56"/>
        <v>0</v>
      </c>
      <c r="R34" s="178">
        <f t="shared" si="57"/>
        <v>0</v>
      </c>
      <c r="S34" s="178">
        <f t="shared" si="58"/>
        <v>0</v>
      </c>
      <c r="T34" s="178">
        <f t="shared" si="75"/>
        <v>0</v>
      </c>
      <c r="U34" s="178">
        <f t="shared" si="59"/>
        <v>0</v>
      </c>
      <c r="V34" s="178">
        <f t="shared" si="60"/>
        <v>0</v>
      </c>
      <c r="W34" s="180">
        <f t="shared" si="61"/>
        <v>0</v>
      </c>
      <c r="Y34" s="181"/>
      <c r="Z34" s="179"/>
      <c r="AA34" s="234">
        <f t="shared" si="74"/>
        <v>0</v>
      </c>
      <c r="AB34" s="342">
        <f t="shared" si="62"/>
        <v>0</v>
      </c>
      <c r="AC34" s="342">
        <f t="shared" si="63"/>
        <v>0</v>
      </c>
      <c r="AD34" s="342"/>
      <c r="AE34" s="234">
        <f t="shared" si="64"/>
        <v>0</v>
      </c>
      <c r="AF34" s="234">
        <f t="shared" si="65"/>
        <v>0</v>
      </c>
      <c r="AG34" s="234">
        <f t="shared" si="66"/>
        <v>0</v>
      </c>
      <c r="AH34" s="234">
        <f>AE34*Y34</f>
        <v>0</v>
      </c>
      <c r="AI34" s="234">
        <f t="shared" si="68"/>
        <v>0</v>
      </c>
      <c r="AJ34" s="343">
        <f t="shared" si="69"/>
        <v>0</v>
      </c>
      <c r="AK34" s="189"/>
      <c r="AL34" s="177"/>
      <c r="AM34" s="182"/>
      <c r="AO34" s="183" t="str">
        <f t="shared" si="70"/>
        <v/>
      </c>
      <c r="AP34" s="184" t="str">
        <f t="shared" si="71"/>
        <v/>
      </c>
      <c r="AQ34" s="180">
        <f t="shared" si="72"/>
        <v>0</v>
      </c>
    </row>
    <row r="35" spans="1:43" ht="15.75" thickBot="1" x14ac:dyDescent="0.3">
      <c r="A35" s="66" t="s">
        <v>116</v>
      </c>
      <c r="B35" s="278"/>
      <c r="C35" s="200"/>
      <c r="D35" s="200"/>
      <c r="E35" s="200"/>
      <c r="F35" s="201"/>
      <c r="G35" s="201"/>
      <c r="H35" s="202"/>
      <c r="I35" s="107"/>
      <c r="J35" s="458"/>
      <c r="K35" s="459"/>
      <c r="L35" s="459"/>
      <c r="M35" s="459"/>
      <c r="N35" s="376"/>
      <c r="O35" s="376"/>
      <c r="P35" s="376"/>
      <c r="Q35" s="376"/>
      <c r="R35" s="376"/>
      <c r="S35" s="376"/>
      <c r="T35" s="376"/>
      <c r="U35" s="376"/>
      <c r="V35" s="376"/>
      <c r="W35" s="348"/>
      <c r="Y35" s="450"/>
      <c r="Z35" s="247"/>
      <c r="AA35" s="247"/>
      <c r="AB35" s="247"/>
      <c r="AC35" s="247"/>
      <c r="AD35" s="247"/>
      <c r="AE35" s="247"/>
      <c r="AF35" s="247"/>
      <c r="AG35" s="247"/>
      <c r="AH35" s="247"/>
      <c r="AI35" s="247"/>
      <c r="AJ35" s="247"/>
      <c r="AK35" s="451"/>
      <c r="AL35" s="451"/>
      <c r="AM35" s="452"/>
      <c r="AO35" s="241"/>
      <c r="AP35" s="242"/>
      <c r="AQ35" s="243"/>
    </row>
    <row r="36" spans="1:43" ht="15.75" thickBot="1" x14ac:dyDescent="0.3">
      <c r="A36" s="297" t="s">
        <v>73</v>
      </c>
      <c r="B36" s="283" t="s">
        <v>115</v>
      </c>
      <c r="C36" s="284" t="s">
        <v>93</v>
      </c>
      <c r="D36" s="284"/>
      <c r="E36" s="284" t="s">
        <v>116</v>
      </c>
      <c r="F36" s="285">
        <v>31200</v>
      </c>
      <c r="G36" s="285">
        <f t="shared" ref="G36:G38" si="78">SUM(J36,Y36)</f>
        <v>0</v>
      </c>
      <c r="H36" s="286">
        <f t="shared" si="3"/>
        <v>31200</v>
      </c>
      <c r="I36" s="46"/>
      <c r="J36" s="288"/>
      <c r="K36" s="365"/>
      <c r="L36" s="359"/>
      <c r="M36" s="290">
        <f>'Ordering Period 3'!K36+('Ordering Period 3'!K36*Escalation!$D$4)</f>
        <v>0</v>
      </c>
      <c r="N36" s="334">
        <f>(M36*$N$4)</f>
        <v>0</v>
      </c>
      <c r="O36" s="334">
        <f t="shared" ref="O36:O38" si="79">(N36+M36)*$O$4</f>
        <v>0</v>
      </c>
      <c r="P36" s="334">
        <f t="shared" ref="P36:P38" si="80">(N36+M36+O36)*$P$4</f>
        <v>0</v>
      </c>
      <c r="Q36" s="334">
        <f t="shared" ref="Q36:Q38" si="81">(M36+N36+O36+P36)*$Q$4</f>
        <v>0</v>
      </c>
      <c r="R36" s="290">
        <f t="shared" ref="R36:R38" si="82">SUM(M36:Q36)</f>
        <v>0</v>
      </c>
      <c r="S36" s="290">
        <f>(R36-Q36)*$S$4</f>
        <v>0</v>
      </c>
      <c r="T36" s="290">
        <f>SUM(R36:S36)</f>
        <v>0</v>
      </c>
      <c r="U36" s="290">
        <f t="shared" ref="U36:U38" si="83">R36*J36</f>
        <v>0</v>
      </c>
      <c r="V36" s="290">
        <f t="shared" ref="V36:V38" si="84">S36*J36</f>
        <v>0</v>
      </c>
      <c r="W36" s="291">
        <f t="shared" ref="W36:W38" si="85">T36*J36</f>
        <v>0</v>
      </c>
      <c r="Y36" s="292"/>
      <c r="Z36" s="349"/>
      <c r="AA36" s="294">
        <f t="shared" ref="AA36:AA46" si="86">IF($Y36&gt;0,$Z36,0)</f>
        <v>0</v>
      </c>
      <c r="AB36" s="349">
        <f t="shared" ref="AB36:AB38" si="87">(AA36*$AB$4)</f>
        <v>0</v>
      </c>
      <c r="AC36" s="349">
        <f t="shared" ref="AC36:AC38" si="88">(AA36+AB36)*$AC$4</f>
        <v>0</v>
      </c>
      <c r="AD36" s="349"/>
      <c r="AE36" s="294">
        <f t="shared" ref="AE36:AE38" si="89">SUM(AA36:AD36)</f>
        <v>0</v>
      </c>
      <c r="AF36" s="294">
        <f t="shared" si="65"/>
        <v>0</v>
      </c>
      <c r="AG36" s="294">
        <f t="shared" ref="AG36" si="90">SUM(AE36:AF36)</f>
        <v>0</v>
      </c>
      <c r="AH36" s="294">
        <f t="shared" ref="AH36:AH38" si="91">AE36*Y36</f>
        <v>0</v>
      </c>
      <c r="AI36" s="294">
        <f t="shared" ref="AI36:AI38" si="92">AF36*Y36</f>
        <v>0</v>
      </c>
      <c r="AJ36" s="294">
        <f t="shared" ref="AJ36:AJ38" si="93">AG36*Y36</f>
        <v>0</v>
      </c>
      <c r="AK36" s="350"/>
      <c r="AL36" s="351"/>
      <c r="AM36" s="352"/>
      <c r="AO36" s="339" t="str">
        <f t="shared" ref="AO36:AO38" si="94">IFERROR(SUM(U36,AH36)/G36,"")</f>
        <v/>
      </c>
      <c r="AP36" s="340" t="str">
        <f t="shared" ref="AP36:AP38" si="95">IFERROR(SUM(V36,AI36)/G36,"")</f>
        <v/>
      </c>
      <c r="AQ36" s="291">
        <f t="shared" si="23"/>
        <v>0</v>
      </c>
    </row>
    <row r="37" spans="1:43" ht="15.75" thickBot="1" x14ac:dyDescent="0.3">
      <c r="A37" s="297" t="s">
        <v>74</v>
      </c>
      <c r="B37" s="283" t="s">
        <v>117</v>
      </c>
      <c r="C37" s="284" t="s">
        <v>95</v>
      </c>
      <c r="D37" s="284"/>
      <c r="E37" s="284" t="s">
        <v>116</v>
      </c>
      <c r="F37" s="285">
        <v>83512</v>
      </c>
      <c r="G37" s="285">
        <f t="shared" si="78"/>
        <v>0</v>
      </c>
      <c r="H37" s="286">
        <f t="shared" si="3"/>
        <v>83512</v>
      </c>
      <c r="I37" s="46"/>
      <c r="J37" s="288"/>
      <c r="K37" s="365"/>
      <c r="L37" s="359"/>
      <c r="M37" s="290">
        <f>'Ordering Period 3'!K37+('Ordering Period 3'!K37*Escalation!$D$4)</f>
        <v>0</v>
      </c>
      <c r="N37" s="334">
        <f t="shared" ref="N37" si="96">(M37*$N$4)</f>
        <v>0</v>
      </c>
      <c r="O37" s="334">
        <f t="shared" si="79"/>
        <v>0</v>
      </c>
      <c r="P37" s="334">
        <f t="shared" si="80"/>
        <v>0</v>
      </c>
      <c r="Q37" s="334">
        <f>(M37+N37+O37+P37)*$Q$4</f>
        <v>0</v>
      </c>
      <c r="R37" s="290">
        <f t="shared" si="82"/>
        <v>0</v>
      </c>
      <c r="S37" s="290">
        <f>(R37-Q37)*$S$4</f>
        <v>0</v>
      </c>
      <c r="T37" s="290">
        <f t="shared" si="51"/>
        <v>0</v>
      </c>
      <c r="U37" s="290">
        <f t="shared" si="83"/>
        <v>0</v>
      </c>
      <c r="V37" s="290">
        <f t="shared" si="84"/>
        <v>0</v>
      </c>
      <c r="W37" s="291">
        <f t="shared" si="85"/>
        <v>0</v>
      </c>
      <c r="Y37" s="288"/>
      <c r="Z37" s="334"/>
      <c r="AA37" s="290">
        <f t="shared" si="86"/>
        <v>0</v>
      </c>
      <c r="AB37" s="334">
        <f t="shared" si="87"/>
        <v>0</v>
      </c>
      <c r="AC37" s="334">
        <f t="shared" si="88"/>
        <v>0</v>
      </c>
      <c r="AD37" s="334"/>
      <c r="AE37" s="290">
        <f t="shared" si="89"/>
        <v>0</v>
      </c>
      <c r="AF37" s="290">
        <f t="shared" si="65"/>
        <v>0</v>
      </c>
      <c r="AG37" s="290">
        <f t="shared" ref="AG37" si="97">SUM(AE37:AF37)</f>
        <v>0</v>
      </c>
      <c r="AH37" s="290">
        <f t="shared" si="91"/>
        <v>0</v>
      </c>
      <c r="AI37" s="290">
        <f t="shared" si="92"/>
        <v>0</v>
      </c>
      <c r="AJ37" s="290">
        <f t="shared" si="93"/>
        <v>0</v>
      </c>
      <c r="AK37" s="335"/>
      <c r="AL37" s="336"/>
      <c r="AM37" s="337"/>
      <c r="AO37" s="339" t="str">
        <f t="shared" si="94"/>
        <v/>
      </c>
      <c r="AP37" s="340" t="str">
        <f t="shared" si="95"/>
        <v/>
      </c>
      <c r="AQ37" s="291">
        <f t="shared" si="23"/>
        <v>0</v>
      </c>
    </row>
    <row r="38" spans="1:43" ht="30.75" thickBot="1" x14ac:dyDescent="0.3">
      <c r="A38" s="374" t="s">
        <v>77</v>
      </c>
      <c r="B38" s="375" t="s">
        <v>121</v>
      </c>
      <c r="C38" s="284" t="s">
        <v>95</v>
      </c>
      <c r="D38" s="284"/>
      <c r="E38" s="284" t="s">
        <v>116</v>
      </c>
      <c r="F38" s="285">
        <v>30888</v>
      </c>
      <c r="G38" s="285">
        <f t="shared" si="78"/>
        <v>0</v>
      </c>
      <c r="H38" s="286">
        <f t="shared" si="3"/>
        <v>30888</v>
      </c>
      <c r="I38" s="46"/>
      <c r="J38" s="288"/>
      <c r="K38" s="365"/>
      <c r="L38" s="359"/>
      <c r="M38" s="290">
        <f>'Ordering Period 3'!K40+('Ordering Period 3'!K40*Escalation!$D$4)</f>
        <v>0</v>
      </c>
      <c r="N38" s="334">
        <f>(M38*$N$4)</f>
        <v>0</v>
      </c>
      <c r="O38" s="334">
        <f t="shared" si="79"/>
        <v>0</v>
      </c>
      <c r="P38" s="334">
        <f t="shared" si="80"/>
        <v>0</v>
      </c>
      <c r="Q38" s="334">
        <f t="shared" si="81"/>
        <v>0</v>
      </c>
      <c r="R38" s="290">
        <f t="shared" si="82"/>
        <v>0</v>
      </c>
      <c r="S38" s="290">
        <f>(R38-Q38)*$S$4</f>
        <v>0</v>
      </c>
      <c r="T38" s="290">
        <f>SUM(R38:S38)</f>
        <v>0</v>
      </c>
      <c r="U38" s="290">
        <f t="shared" si="83"/>
        <v>0</v>
      </c>
      <c r="V38" s="290">
        <f t="shared" si="84"/>
        <v>0</v>
      </c>
      <c r="W38" s="291">
        <f t="shared" si="85"/>
        <v>0</v>
      </c>
      <c r="Y38" s="288"/>
      <c r="Z38" s="334"/>
      <c r="AA38" s="290">
        <f t="shared" si="86"/>
        <v>0</v>
      </c>
      <c r="AB38" s="334">
        <f t="shared" si="87"/>
        <v>0</v>
      </c>
      <c r="AC38" s="334">
        <f t="shared" si="88"/>
        <v>0</v>
      </c>
      <c r="AD38" s="334"/>
      <c r="AE38" s="290">
        <f t="shared" si="89"/>
        <v>0</v>
      </c>
      <c r="AF38" s="290">
        <f t="shared" si="65"/>
        <v>0</v>
      </c>
      <c r="AG38" s="290">
        <f t="shared" ref="AG38" si="98">SUM(AE38:AF38)</f>
        <v>0</v>
      </c>
      <c r="AH38" s="290">
        <f t="shared" si="91"/>
        <v>0</v>
      </c>
      <c r="AI38" s="290">
        <f t="shared" si="92"/>
        <v>0</v>
      </c>
      <c r="AJ38" s="290">
        <f t="shared" si="93"/>
        <v>0</v>
      </c>
      <c r="AK38" s="335"/>
      <c r="AL38" s="336"/>
      <c r="AM38" s="337"/>
      <c r="AO38" s="338" t="str">
        <f t="shared" si="94"/>
        <v/>
      </c>
      <c r="AP38" s="295" t="str">
        <f t="shared" si="95"/>
        <v/>
      </c>
      <c r="AQ38" s="296">
        <f t="shared" si="23"/>
        <v>0</v>
      </c>
    </row>
    <row r="39" spans="1:43" ht="15.75" thickBot="1" x14ac:dyDescent="0.3">
      <c r="A39" s="312" t="s">
        <v>73</v>
      </c>
      <c r="B39" s="371" t="s">
        <v>125</v>
      </c>
      <c r="C39" s="313" t="s">
        <v>93</v>
      </c>
      <c r="D39" s="313"/>
      <c r="E39" s="313" t="s">
        <v>126</v>
      </c>
      <c r="F39" s="372">
        <v>2080</v>
      </c>
      <c r="G39" s="372">
        <f t="shared" ref="G39:G46" si="99">SUM(J39,Y39)</f>
        <v>0</v>
      </c>
      <c r="H39" s="373">
        <f t="shared" ref="H39:H46" si="100">F39-G39</f>
        <v>2080</v>
      </c>
      <c r="I39" s="46"/>
      <c r="J39" s="288"/>
      <c r="K39" s="290">
        <v>55.07</v>
      </c>
      <c r="L39" s="454"/>
      <c r="M39" s="290">
        <f>IF($J39&gt;0,IF($L39&lt;$K39,$K39,$L39),0)</f>
        <v>0</v>
      </c>
      <c r="N39" s="334">
        <f>(M39*$N$4)</f>
        <v>0</v>
      </c>
      <c r="O39" s="334">
        <f t="shared" ref="O39:O46" si="101">(N39+M39)*$O$4</f>
        <v>0</v>
      </c>
      <c r="P39" s="334">
        <f t="shared" ref="P39:P46" si="102">(N39+M39+O39)*$P$4</f>
        <v>0</v>
      </c>
      <c r="Q39" s="334">
        <f t="shared" ref="Q39" si="103">(M39+N39+O39+P39)*$Q$4</f>
        <v>0</v>
      </c>
      <c r="R39" s="290">
        <f t="shared" ref="R39:R46" si="104">SUM(M39:Q39)</f>
        <v>0</v>
      </c>
      <c r="S39" s="290">
        <f>(R39-Q39)*$S$4</f>
        <v>0</v>
      </c>
      <c r="T39" s="290">
        <f>SUM(R39:S39)</f>
        <v>0</v>
      </c>
      <c r="U39" s="290">
        <f t="shared" ref="U39:U46" si="105">R39*J39</f>
        <v>0</v>
      </c>
      <c r="V39" s="290">
        <f t="shared" ref="V39:V46" si="106">S39*J39</f>
        <v>0</v>
      </c>
      <c r="W39" s="291">
        <f t="shared" ref="W39:W46" si="107">T39*J39</f>
        <v>0</v>
      </c>
      <c r="Y39" s="176"/>
      <c r="Z39" s="342"/>
      <c r="AA39" s="234">
        <f t="shared" si="86"/>
        <v>0</v>
      </c>
      <c r="AB39" s="342">
        <f t="shared" ref="AB39:AB46" si="108">(AA39*$AB$4)</f>
        <v>0</v>
      </c>
      <c r="AC39" s="342">
        <f t="shared" ref="AC39:AC46" si="109">(AA39+AB39)*$AC$4</f>
        <v>0</v>
      </c>
      <c r="AD39" s="342"/>
      <c r="AE39" s="234">
        <f t="shared" ref="AE39:AE46" si="110">SUM(AA39:AD39)</f>
        <v>0</v>
      </c>
      <c r="AF39" s="234">
        <f t="shared" ref="AF39:AF46" si="111">$AF$4*(AC39+AA39+AB39)</f>
        <v>0</v>
      </c>
      <c r="AG39" s="234">
        <f t="shared" ref="AG39" si="112">SUM(AE39:AF39)</f>
        <v>0</v>
      </c>
      <c r="AH39" s="234">
        <f t="shared" ref="AH39:AH46" si="113">AE39*Y39</f>
        <v>0</v>
      </c>
      <c r="AI39" s="234">
        <f t="shared" ref="AI39:AI46" si="114">AF39*Y39</f>
        <v>0</v>
      </c>
      <c r="AJ39" s="234">
        <f t="shared" ref="AJ39:AJ46" si="115">AG39*Y39</f>
        <v>0</v>
      </c>
      <c r="AK39" s="189"/>
      <c r="AL39" s="377"/>
      <c r="AM39" s="378"/>
      <c r="AO39" s="339" t="str">
        <f t="shared" ref="AO39:AO46" si="116">IFERROR(SUM(U39,AH39)/G39,"")</f>
        <v/>
      </c>
      <c r="AP39" s="340" t="str">
        <f t="shared" ref="AP39:AP46" si="117">IFERROR(SUM(V39,AI39)/G39,"")</f>
        <v/>
      </c>
      <c r="AQ39" s="291">
        <f t="shared" ref="AQ39:AQ46" si="118">SUM(AO39:AP39)</f>
        <v>0</v>
      </c>
    </row>
    <row r="40" spans="1:43" ht="15.75" thickBot="1" x14ac:dyDescent="0.3">
      <c r="A40" s="366" t="s">
        <v>74</v>
      </c>
      <c r="B40" s="367" t="s">
        <v>127</v>
      </c>
      <c r="C40" s="368" t="s">
        <v>95</v>
      </c>
      <c r="D40" s="368"/>
      <c r="E40" s="322" t="s">
        <v>126</v>
      </c>
      <c r="F40" s="369">
        <v>30368</v>
      </c>
      <c r="G40" s="369">
        <f t="shared" si="99"/>
        <v>0</v>
      </c>
      <c r="H40" s="370">
        <f t="shared" si="100"/>
        <v>30368</v>
      </c>
      <c r="I40" s="46"/>
      <c r="J40" s="176"/>
      <c r="K40" s="234">
        <v>55.07</v>
      </c>
      <c r="L40" s="460"/>
      <c r="M40" s="234">
        <f t="shared" ref="M40:M46" si="119">IF($J40&gt;0,IF($L40&lt;$K40,$K40,$L40),0)</f>
        <v>0</v>
      </c>
      <c r="N40" s="342">
        <f t="shared" ref="N40:N42" si="120">(M40*$N$4)</f>
        <v>0</v>
      </c>
      <c r="O40" s="342">
        <f t="shared" si="101"/>
        <v>0</v>
      </c>
      <c r="P40" s="342">
        <f t="shared" si="102"/>
        <v>0</v>
      </c>
      <c r="Q40" s="342">
        <f>(M40+N40+O40+P40)*$Q$4</f>
        <v>0</v>
      </c>
      <c r="R40" s="234">
        <f t="shared" si="104"/>
        <v>0</v>
      </c>
      <c r="S40" s="234">
        <f>(R40-Q40)*$S$4</f>
        <v>0</v>
      </c>
      <c r="T40" s="234">
        <f t="shared" ref="T40:T42" si="121">SUM(R40:S40)</f>
        <v>0</v>
      </c>
      <c r="U40" s="234">
        <f t="shared" si="105"/>
        <v>0</v>
      </c>
      <c r="V40" s="234">
        <f t="shared" si="106"/>
        <v>0</v>
      </c>
      <c r="W40" s="343">
        <f t="shared" si="107"/>
        <v>0</v>
      </c>
      <c r="Y40" s="292"/>
      <c r="Z40" s="349"/>
      <c r="AA40" s="294">
        <f t="shared" si="86"/>
        <v>0</v>
      </c>
      <c r="AB40" s="349">
        <f t="shared" si="108"/>
        <v>0</v>
      </c>
      <c r="AC40" s="349">
        <f t="shared" si="109"/>
        <v>0</v>
      </c>
      <c r="AD40" s="349"/>
      <c r="AE40" s="294">
        <f t="shared" si="110"/>
        <v>0</v>
      </c>
      <c r="AF40" s="294">
        <f t="shared" si="111"/>
        <v>0</v>
      </c>
      <c r="AG40" s="294">
        <f t="shared" ref="AG40:AG42" si="122">SUM(AE40:AF40)</f>
        <v>0</v>
      </c>
      <c r="AH40" s="294">
        <f t="shared" si="113"/>
        <v>0</v>
      </c>
      <c r="AI40" s="294">
        <f t="shared" si="114"/>
        <v>0</v>
      </c>
      <c r="AJ40" s="294">
        <f t="shared" si="115"/>
        <v>0</v>
      </c>
      <c r="AK40" s="350"/>
      <c r="AL40" s="351"/>
      <c r="AM40" s="352"/>
      <c r="AO40" s="339" t="str">
        <f t="shared" si="116"/>
        <v/>
      </c>
      <c r="AP40" s="340" t="str">
        <f t="shared" si="117"/>
        <v/>
      </c>
      <c r="AQ40" s="291">
        <f t="shared" si="118"/>
        <v>0</v>
      </c>
    </row>
    <row r="41" spans="1:43" x14ac:dyDescent="0.25">
      <c r="A41" s="493" t="s">
        <v>76</v>
      </c>
      <c r="B41" s="326" t="s">
        <v>128</v>
      </c>
      <c r="C41" s="109" t="s">
        <v>105</v>
      </c>
      <c r="D41" s="109"/>
      <c r="E41" s="109" t="s">
        <v>126</v>
      </c>
      <c r="F41" s="38">
        <v>4160</v>
      </c>
      <c r="G41" s="38">
        <f t="shared" si="99"/>
        <v>0</v>
      </c>
      <c r="H41" s="39">
        <f t="shared" si="100"/>
        <v>4160</v>
      </c>
      <c r="I41" s="46"/>
      <c r="J41" s="121"/>
      <c r="K41" s="122">
        <v>46.82</v>
      </c>
      <c r="L41" s="455"/>
      <c r="M41" s="122">
        <f t="shared" si="119"/>
        <v>0</v>
      </c>
      <c r="N41" s="123">
        <f t="shared" si="120"/>
        <v>0</v>
      </c>
      <c r="O41" s="123">
        <f t="shared" si="101"/>
        <v>0</v>
      </c>
      <c r="P41" s="123">
        <f t="shared" si="102"/>
        <v>0</v>
      </c>
      <c r="Q41" s="123">
        <f t="shared" ref="Q41:Q46" si="123">(M41+N41+O41+P41)*$Q$4</f>
        <v>0</v>
      </c>
      <c r="R41" s="122">
        <f t="shared" si="104"/>
        <v>0</v>
      </c>
      <c r="S41" s="122">
        <f t="shared" ref="S41" si="124">(R41-Q41)*$S$4</f>
        <v>0</v>
      </c>
      <c r="T41" s="122">
        <f t="shared" si="121"/>
        <v>0</v>
      </c>
      <c r="U41" s="122">
        <f t="shared" si="105"/>
        <v>0</v>
      </c>
      <c r="V41" s="122">
        <f t="shared" si="106"/>
        <v>0</v>
      </c>
      <c r="W41" s="124">
        <f t="shared" si="107"/>
        <v>0</v>
      </c>
      <c r="Y41" s="121"/>
      <c r="Z41" s="123"/>
      <c r="AA41" s="122">
        <f t="shared" si="86"/>
        <v>0</v>
      </c>
      <c r="AB41" s="123">
        <f t="shared" si="108"/>
        <v>0</v>
      </c>
      <c r="AC41" s="123">
        <f t="shared" si="109"/>
        <v>0</v>
      </c>
      <c r="AD41" s="123"/>
      <c r="AE41" s="122">
        <f t="shared" si="110"/>
        <v>0</v>
      </c>
      <c r="AF41" s="122">
        <f t="shared" si="111"/>
        <v>0</v>
      </c>
      <c r="AG41" s="122">
        <f t="shared" si="122"/>
        <v>0</v>
      </c>
      <c r="AH41" s="122">
        <f t="shared" si="113"/>
        <v>0</v>
      </c>
      <c r="AI41" s="122">
        <f t="shared" si="114"/>
        <v>0</v>
      </c>
      <c r="AJ41" s="122">
        <f t="shared" si="115"/>
        <v>0</v>
      </c>
      <c r="AK41" s="379"/>
      <c r="AL41" s="379"/>
      <c r="AM41" s="127"/>
      <c r="AO41" s="214" t="str">
        <f t="shared" si="116"/>
        <v/>
      </c>
      <c r="AP41" s="215" t="str">
        <f t="shared" si="117"/>
        <v/>
      </c>
      <c r="AQ41" s="41">
        <f t="shared" si="118"/>
        <v>0</v>
      </c>
    </row>
    <row r="42" spans="1:43" ht="15.75" thickBot="1" x14ac:dyDescent="0.3">
      <c r="A42" s="500"/>
      <c r="B42" s="327" t="s">
        <v>129</v>
      </c>
      <c r="C42" s="147" t="s">
        <v>120</v>
      </c>
      <c r="D42" s="147"/>
      <c r="E42" s="147" t="s">
        <v>126</v>
      </c>
      <c r="F42" s="148">
        <v>31200</v>
      </c>
      <c r="G42" s="148">
        <f t="shared" si="99"/>
        <v>0</v>
      </c>
      <c r="H42" s="149">
        <f t="shared" si="100"/>
        <v>31200</v>
      </c>
      <c r="I42" s="46"/>
      <c r="J42" s="181"/>
      <c r="K42" s="178">
        <v>46.82</v>
      </c>
      <c r="L42" s="457"/>
      <c r="M42" s="178">
        <f t="shared" si="119"/>
        <v>0</v>
      </c>
      <c r="N42" s="179">
        <f t="shared" si="120"/>
        <v>0</v>
      </c>
      <c r="O42" s="179">
        <f t="shared" si="101"/>
        <v>0</v>
      </c>
      <c r="P42" s="179">
        <f t="shared" si="102"/>
        <v>0</v>
      </c>
      <c r="Q42" s="179">
        <f t="shared" si="123"/>
        <v>0</v>
      </c>
      <c r="R42" s="178">
        <f t="shared" si="104"/>
        <v>0</v>
      </c>
      <c r="S42" s="178">
        <f>(R42-Q42)*$S$4</f>
        <v>0</v>
      </c>
      <c r="T42" s="178">
        <f t="shared" si="121"/>
        <v>0</v>
      </c>
      <c r="U42" s="178">
        <f t="shared" si="105"/>
        <v>0</v>
      </c>
      <c r="V42" s="178">
        <f t="shared" si="106"/>
        <v>0</v>
      </c>
      <c r="W42" s="180">
        <f t="shared" si="107"/>
        <v>0</v>
      </c>
      <c r="Y42" s="181"/>
      <c r="Z42" s="179"/>
      <c r="AA42" s="178">
        <f t="shared" si="86"/>
        <v>0</v>
      </c>
      <c r="AB42" s="179">
        <f t="shared" si="108"/>
        <v>0</v>
      </c>
      <c r="AC42" s="179">
        <f t="shared" si="109"/>
        <v>0</v>
      </c>
      <c r="AD42" s="179"/>
      <c r="AE42" s="178">
        <f t="shared" si="110"/>
        <v>0</v>
      </c>
      <c r="AF42" s="178">
        <f t="shared" si="111"/>
        <v>0</v>
      </c>
      <c r="AG42" s="178">
        <f t="shared" si="122"/>
        <v>0</v>
      </c>
      <c r="AH42" s="178">
        <f t="shared" si="113"/>
        <v>0</v>
      </c>
      <c r="AI42" s="178">
        <f t="shared" si="114"/>
        <v>0</v>
      </c>
      <c r="AJ42" s="178">
        <f t="shared" si="115"/>
        <v>0</v>
      </c>
      <c r="AK42" s="380"/>
      <c r="AL42" s="380"/>
      <c r="AM42" s="182"/>
      <c r="AO42" s="214" t="str">
        <f t="shared" si="116"/>
        <v/>
      </c>
      <c r="AP42" s="215" t="str">
        <f t="shared" si="117"/>
        <v/>
      </c>
      <c r="AQ42" s="41">
        <f t="shared" si="118"/>
        <v>0</v>
      </c>
    </row>
    <row r="43" spans="1:43" x14ac:dyDescent="0.25">
      <c r="A43" s="493" t="s">
        <v>77</v>
      </c>
      <c r="B43" s="326" t="s">
        <v>130</v>
      </c>
      <c r="C43" s="109" t="s">
        <v>95</v>
      </c>
      <c r="D43" s="109"/>
      <c r="E43" s="109" t="s">
        <v>126</v>
      </c>
      <c r="F43" s="38">
        <v>11232</v>
      </c>
      <c r="G43" s="38">
        <f t="shared" si="99"/>
        <v>0</v>
      </c>
      <c r="H43" s="39">
        <f t="shared" si="100"/>
        <v>11232</v>
      </c>
      <c r="I43" s="46"/>
      <c r="J43" s="121"/>
      <c r="K43" s="122">
        <v>55.07</v>
      </c>
      <c r="L43" s="455"/>
      <c r="M43" s="122">
        <f t="shared" si="119"/>
        <v>0</v>
      </c>
      <c r="N43" s="123">
        <f>(M43*$N$4)</f>
        <v>0</v>
      </c>
      <c r="O43" s="123">
        <f t="shared" si="101"/>
        <v>0</v>
      </c>
      <c r="P43" s="123">
        <f t="shared" si="102"/>
        <v>0</v>
      </c>
      <c r="Q43" s="123">
        <f t="shared" si="123"/>
        <v>0</v>
      </c>
      <c r="R43" s="122">
        <f t="shared" si="104"/>
        <v>0</v>
      </c>
      <c r="S43" s="122">
        <f>(R43-Q43)*$S$4</f>
        <v>0</v>
      </c>
      <c r="T43" s="122">
        <f>SUM(R43:S43)</f>
        <v>0</v>
      </c>
      <c r="U43" s="122">
        <f t="shared" si="105"/>
        <v>0</v>
      </c>
      <c r="V43" s="122">
        <f t="shared" si="106"/>
        <v>0</v>
      </c>
      <c r="W43" s="124">
        <f t="shared" si="107"/>
        <v>0</v>
      </c>
      <c r="Y43" s="3"/>
      <c r="Z43" s="4"/>
      <c r="AA43" s="40">
        <f t="shared" si="86"/>
        <v>0</v>
      </c>
      <c r="AB43" s="4">
        <f t="shared" si="108"/>
        <v>0</v>
      </c>
      <c r="AC43" s="4">
        <f t="shared" si="109"/>
        <v>0</v>
      </c>
      <c r="AD43" s="4"/>
      <c r="AE43" s="40">
        <f t="shared" si="110"/>
        <v>0</v>
      </c>
      <c r="AF43" s="40">
        <f t="shared" si="111"/>
        <v>0</v>
      </c>
      <c r="AG43" s="40">
        <f t="shared" ref="AG43" si="125">SUM(AE43:AF43)</f>
        <v>0</v>
      </c>
      <c r="AH43" s="40">
        <f t="shared" si="113"/>
        <v>0</v>
      </c>
      <c r="AI43" s="40">
        <f t="shared" si="114"/>
        <v>0</v>
      </c>
      <c r="AJ43" s="40">
        <f t="shared" si="115"/>
        <v>0</v>
      </c>
      <c r="AK43" s="160"/>
      <c r="AL43" s="213"/>
      <c r="AM43" s="6"/>
      <c r="AO43" s="140" t="str">
        <f t="shared" si="116"/>
        <v/>
      </c>
      <c r="AP43" s="125" t="str">
        <f t="shared" si="117"/>
        <v/>
      </c>
      <c r="AQ43" s="124">
        <f t="shared" si="118"/>
        <v>0</v>
      </c>
    </row>
    <row r="44" spans="1:43" x14ac:dyDescent="0.25">
      <c r="A44" s="494"/>
      <c r="B44" s="325" t="s">
        <v>131</v>
      </c>
      <c r="C44" s="108" t="s">
        <v>110</v>
      </c>
      <c r="D44" s="108"/>
      <c r="E44" s="108" t="s">
        <v>126</v>
      </c>
      <c r="F44" s="42">
        <v>2080</v>
      </c>
      <c r="G44" s="42">
        <f t="shared" si="99"/>
        <v>0</v>
      </c>
      <c r="H44" s="43">
        <f t="shared" si="100"/>
        <v>2080</v>
      </c>
      <c r="I44" s="46"/>
      <c r="J44" s="161"/>
      <c r="K44" s="44">
        <v>47.94</v>
      </c>
      <c r="L44" s="456"/>
      <c r="M44" s="44">
        <f t="shared" si="119"/>
        <v>0</v>
      </c>
      <c r="N44" s="5">
        <f t="shared" ref="N44:N46" si="126">(M44*$N$4)</f>
        <v>0</v>
      </c>
      <c r="O44" s="5">
        <f t="shared" si="101"/>
        <v>0</v>
      </c>
      <c r="P44" s="5">
        <f t="shared" si="102"/>
        <v>0</v>
      </c>
      <c r="Q44" s="5">
        <f t="shared" si="123"/>
        <v>0</v>
      </c>
      <c r="R44" s="44">
        <f t="shared" si="104"/>
        <v>0</v>
      </c>
      <c r="S44" s="44">
        <f t="shared" ref="S44:S46" si="127">(R44-Q44)*$S$4</f>
        <v>0</v>
      </c>
      <c r="T44" s="44">
        <f>SUM(R44:S44)</f>
        <v>0</v>
      </c>
      <c r="U44" s="44">
        <f t="shared" si="105"/>
        <v>0</v>
      </c>
      <c r="V44" s="44">
        <f t="shared" si="106"/>
        <v>0</v>
      </c>
      <c r="W44" s="128">
        <f t="shared" si="107"/>
        <v>0</v>
      </c>
      <c r="Y44" s="161"/>
      <c r="Z44" s="5"/>
      <c r="AA44" s="44">
        <f t="shared" si="86"/>
        <v>0</v>
      </c>
      <c r="AB44" s="5">
        <f t="shared" si="108"/>
        <v>0</v>
      </c>
      <c r="AC44" s="5">
        <f t="shared" si="109"/>
        <v>0</v>
      </c>
      <c r="AD44" s="5"/>
      <c r="AE44" s="44">
        <f t="shared" si="110"/>
        <v>0</v>
      </c>
      <c r="AF44" s="44">
        <f t="shared" si="111"/>
        <v>0</v>
      </c>
      <c r="AG44" s="44">
        <f t="shared" ref="AG44:AG46" si="128">SUM(AE44:AF44)</f>
        <v>0</v>
      </c>
      <c r="AH44" s="44">
        <f t="shared" si="113"/>
        <v>0</v>
      </c>
      <c r="AI44" s="44">
        <f t="shared" si="114"/>
        <v>0</v>
      </c>
      <c r="AJ44" s="44">
        <f t="shared" si="115"/>
        <v>0</v>
      </c>
      <c r="AK44" s="160"/>
      <c r="AL44" s="7"/>
      <c r="AM44" s="8"/>
      <c r="AO44" s="162" t="str">
        <f t="shared" si="116"/>
        <v/>
      </c>
      <c r="AP44" s="45" t="str">
        <f t="shared" si="117"/>
        <v/>
      </c>
      <c r="AQ44" s="128">
        <f t="shared" si="118"/>
        <v>0</v>
      </c>
    </row>
    <row r="45" spans="1:43" x14ac:dyDescent="0.25">
      <c r="A45" s="494"/>
      <c r="B45" s="325" t="s">
        <v>132</v>
      </c>
      <c r="C45" s="108" t="s">
        <v>99</v>
      </c>
      <c r="D45" s="108"/>
      <c r="E45" s="108" t="s">
        <v>126</v>
      </c>
      <c r="F45" s="42">
        <v>2080</v>
      </c>
      <c r="G45" s="42">
        <f t="shared" si="99"/>
        <v>0</v>
      </c>
      <c r="H45" s="43">
        <f t="shared" si="100"/>
        <v>2080</v>
      </c>
      <c r="I45" s="46"/>
      <c r="J45" s="161"/>
      <c r="K45" s="44">
        <v>55.07</v>
      </c>
      <c r="L45" s="456"/>
      <c r="M45" s="44">
        <f t="shared" si="119"/>
        <v>0</v>
      </c>
      <c r="N45" s="5">
        <f t="shared" si="126"/>
        <v>0</v>
      </c>
      <c r="O45" s="5">
        <f t="shared" si="101"/>
        <v>0</v>
      </c>
      <c r="P45" s="5">
        <f t="shared" si="102"/>
        <v>0</v>
      </c>
      <c r="Q45" s="5">
        <f t="shared" si="123"/>
        <v>0</v>
      </c>
      <c r="R45" s="44">
        <f t="shared" si="104"/>
        <v>0</v>
      </c>
      <c r="S45" s="44">
        <f t="shared" si="127"/>
        <v>0</v>
      </c>
      <c r="T45" s="44">
        <f t="shared" ref="T45:T46" si="129">SUM(R45:S45)</f>
        <v>0</v>
      </c>
      <c r="U45" s="44">
        <f t="shared" si="105"/>
        <v>0</v>
      </c>
      <c r="V45" s="44">
        <f t="shared" si="106"/>
        <v>0</v>
      </c>
      <c r="W45" s="128">
        <f t="shared" si="107"/>
        <v>0</v>
      </c>
      <c r="Y45" s="161"/>
      <c r="Z45" s="5"/>
      <c r="AA45" s="44">
        <f t="shared" si="86"/>
        <v>0</v>
      </c>
      <c r="AB45" s="5">
        <f t="shared" si="108"/>
        <v>0</v>
      </c>
      <c r="AC45" s="5">
        <f t="shared" si="109"/>
        <v>0</v>
      </c>
      <c r="AD45" s="5"/>
      <c r="AE45" s="44">
        <f t="shared" si="110"/>
        <v>0</v>
      </c>
      <c r="AF45" s="44">
        <f t="shared" si="111"/>
        <v>0</v>
      </c>
      <c r="AG45" s="44">
        <f t="shared" si="128"/>
        <v>0</v>
      </c>
      <c r="AH45" s="44">
        <f t="shared" si="113"/>
        <v>0</v>
      </c>
      <c r="AI45" s="44">
        <f t="shared" si="114"/>
        <v>0</v>
      </c>
      <c r="AJ45" s="44">
        <f t="shared" si="115"/>
        <v>0</v>
      </c>
      <c r="AK45" s="160"/>
      <c r="AL45" s="7"/>
      <c r="AM45" s="8"/>
      <c r="AO45" s="162" t="str">
        <f t="shared" si="116"/>
        <v/>
      </c>
      <c r="AP45" s="45" t="str">
        <f t="shared" si="117"/>
        <v/>
      </c>
      <c r="AQ45" s="128">
        <f t="shared" si="118"/>
        <v>0</v>
      </c>
    </row>
    <row r="46" spans="1:43" ht="15.75" thickBot="1" x14ac:dyDescent="0.3">
      <c r="A46" s="495"/>
      <c r="B46" s="327" t="s">
        <v>133</v>
      </c>
      <c r="C46" s="147" t="s">
        <v>113</v>
      </c>
      <c r="D46" s="147"/>
      <c r="E46" s="147" t="s">
        <v>126</v>
      </c>
      <c r="F46" s="148">
        <v>2080</v>
      </c>
      <c r="G46" s="148">
        <f t="shared" si="99"/>
        <v>0</v>
      </c>
      <c r="H46" s="149">
        <f t="shared" si="100"/>
        <v>2080</v>
      </c>
      <c r="I46" s="46"/>
      <c r="J46" s="181"/>
      <c r="K46" s="178">
        <v>62.54407964688</v>
      </c>
      <c r="L46" s="457"/>
      <c r="M46" s="178">
        <f t="shared" si="119"/>
        <v>0</v>
      </c>
      <c r="N46" s="179">
        <f t="shared" si="126"/>
        <v>0</v>
      </c>
      <c r="O46" s="179">
        <f t="shared" si="101"/>
        <v>0</v>
      </c>
      <c r="P46" s="179">
        <f t="shared" si="102"/>
        <v>0</v>
      </c>
      <c r="Q46" s="179">
        <f t="shared" si="123"/>
        <v>0</v>
      </c>
      <c r="R46" s="178">
        <f t="shared" si="104"/>
        <v>0</v>
      </c>
      <c r="S46" s="178">
        <f t="shared" si="127"/>
        <v>0</v>
      </c>
      <c r="T46" s="178">
        <f t="shared" si="129"/>
        <v>0</v>
      </c>
      <c r="U46" s="178">
        <f t="shared" si="105"/>
        <v>0</v>
      </c>
      <c r="V46" s="178">
        <f t="shared" si="106"/>
        <v>0</v>
      </c>
      <c r="W46" s="180">
        <f t="shared" si="107"/>
        <v>0</v>
      </c>
      <c r="Y46" s="181"/>
      <c r="Z46" s="179"/>
      <c r="AA46" s="178">
        <f t="shared" si="86"/>
        <v>0</v>
      </c>
      <c r="AB46" s="179">
        <f t="shared" si="108"/>
        <v>0</v>
      </c>
      <c r="AC46" s="179">
        <f t="shared" si="109"/>
        <v>0</v>
      </c>
      <c r="AD46" s="179"/>
      <c r="AE46" s="178">
        <f t="shared" si="110"/>
        <v>0</v>
      </c>
      <c r="AF46" s="178">
        <f t="shared" si="111"/>
        <v>0</v>
      </c>
      <c r="AG46" s="178">
        <f t="shared" si="128"/>
        <v>0</v>
      </c>
      <c r="AH46" s="178">
        <f t="shared" si="113"/>
        <v>0</v>
      </c>
      <c r="AI46" s="178">
        <f t="shared" si="114"/>
        <v>0</v>
      </c>
      <c r="AJ46" s="178">
        <f t="shared" si="115"/>
        <v>0</v>
      </c>
      <c r="AK46" s="189"/>
      <c r="AL46" s="177"/>
      <c r="AM46" s="182"/>
      <c r="AO46" s="183" t="str">
        <f t="shared" si="116"/>
        <v/>
      </c>
      <c r="AP46" s="184" t="str">
        <f t="shared" si="117"/>
        <v/>
      </c>
      <c r="AQ46" s="180">
        <f t="shared" si="118"/>
        <v>0</v>
      </c>
    </row>
    <row r="47" spans="1:43" s="16" customFormat="1" ht="15.75" x14ac:dyDescent="0.25">
      <c r="A47" s="23"/>
      <c r="B47" s="23"/>
      <c r="C47" s="47"/>
      <c r="D47" s="47"/>
      <c r="E47" s="231" t="s">
        <v>190</v>
      </c>
      <c r="F47" s="232">
        <f>SUM(F5:F34)</f>
        <v>1217667</v>
      </c>
      <c r="G47" s="232">
        <f>SUM(G5:G34)</f>
        <v>0</v>
      </c>
      <c r="H47" s="233">
        <f>SUM(H5:H34)</f>
        <v>1217667</v>
      </c>
      <c r="I47" s="46"/>
      <c r="J47" s="46"/>
      <c r="K47" s="46"/>
      <c r="L47" s="46"/>
      <c r="M47" s="48"/>
      <c r="N47" s="48"/>
      <c r="O47" s="48"/>
      <c r="P47" s="48"/>
      <c r="Q47" s="48"/>
      <c r="W47" s="48"/>
      <c r="Y47" s="46"/>
      <c r="Z47" s="48"/>
      <c r="AA47" s="48"/>
      <c r="AB47" s="48"/>
      <c r="AC47" s="48"/>
      <c r="AD47" s="48"/>
      <c r="AE47" s="48"/>
      <c r="AF47" s="48"/>
      <c r="AG47" s="48"/>
      <c r="AH47" s="49"/>
      <c r="AI47" s="49"/>
      <c r="AJ47" s="49"/>
      <c r="AK47" s="18"/>
      <c r="AL47" s="18"/>
      <c r="AM47" s="18"/>
      <c r="AO47" s="48"/>
      <c r="AP47" s="49"/>
      <c r="AQ47" s="48"/>
    </row>
    <row r="48" spans="1:43" s="16" customFormat="1" ht="16.5" thickBot="1" x14ac:dyDescent="0.3">
      <c r="A48" s="23"/>
      <c r="B48" s="23"/>
      <c r="C48" s="47"/>
      <c r="D48" s="47"/>
      <c r="E48" s="328" t="s">
        <v>191</v>
      </c>
      <c r="F48" s="329">
        <f>SUM(F36:F46)</f>
        <v>230880</v>
      </c>
      <c r="G48" s="329">
        <f>SUM(G36:G46)</f>
        <v>0</v>
      </c>
      <c r="H48" s="330">
        <f>SUM(H36:H46)</f>
        <v>230880</v>
      </c>
      <c r="I48" s="46"/>
      <c r="J48" s="46"/>
      <c r="K48" s="46"/>
      <c r="L48" s="46"/>
      <c r="M48" s="48"/>
      <c r="N48" s="48"/>
      <c r="O48" s="48"/>
      <c r="P48" s="48"/>
      <c r="Q48" s="48"/>
      <c r="U48" s="267"/>
      <c r="V48" s="267"/>
      <c r="W48" s="48"/>
      <c r="Y48" s="46"/>
      <c r="Z48" s="48"/>
      <c r="AA48" s="48"/>
      <c r="AB48" s="48"/>
      <c r="AC48" s="48"/>
      <c r="AD48" s="48"/>
      <c r="AE48" s="48"/>
      <c r="AF48" s="48"/>
      <c r="AG48" s="48"/>
      <c r="AH48" s="49"/>
      <c r="AI48" s="49"/>
      <c r="AJ48" s="49"/>
      <c r="AK48" s="18"/>
      <c r="AL48" s="18"/>
      <c r="AM48" s="18"/>
      <c r="AO48" s="48"/>
      <c r="AP48" s="49"/>
      <c r="AQ48" s="48"/>
    </row>
    <row r="49" spans="1:43" s="16" customFormat="1" ht="16.5" thickBot="1" x14ac:dyDescent="0.3">
      <c r="A49" s="23"/>
      <c r="B49" s="23"/>
      <c r="C49" s="47"/>
      <c r="D49" s="47"/>
      <c r="E49" s="331" t="s">
        <v>192</v>
      </c>
      <c r="F49" s="332">
        <f>F47+F48</f>
        <v>1448547</v>
      </c>
      <c r="G49" s="332">
        <f>G47+G48</f>
        <v>0</v>
      </c>
      <c r="H49" s="333">
        <f>H47+H48</f>
        <v>1448547</v>
      </c>
      <c r="I49" s="46"/>
      <c r="J49" s="46"/>
      <c r="K49" s="46"/>
      <c r="L49" s="46"/>
      <c r="M49" s="48"/>
      <c r="N49" s="48"/>
      <c r="O49" s="48"/>
      <c r="P49" s="48"/>
      <c r="Q49" s="48"/>
      <c r="W49" s="48"/>
      <c r="Y49" s="46"/>
      <c r="Z49" s="48"/>
      <c r="AA49" s="48"/>
      <c r="AB49" s="48"/>
      <c r="AC49" s="48"/>
      <c r="AD49" s="48"/>
      <c r="AE49" s="48"/>
      <c r="AF49" s="48"/>
      <c r="AG49" s="48"/>
      <c r="AH49" s="49"/>
      <c r="AI49" s="49"/>
      <c r="AJ49" s="49"/>
      <c r="AK49" s="18"/>
      <c r="AL49" s="18"/>
      <c r="AM49" s="18"/>
      <c r="AO49" s="48"/>
      <c r="AP49" s="49"/>
      <c r="AQ49" s="48"/>
    </row>
    <row r="50" spans="1:43" x14ac:dyDescent="0.25">
      <c r="F50" s="10"/>
      <c r="G50" s="10"/>
      <c r="H50" s="10"/>
      <c r="T50" s="151"/>
      <c r="U50" s="152"/>
      <c r="V50" s="152"/>
      <c r="AH50" s="151"/>
      <c r="AI50" s="152"/>
      <c r="AJ50" s="152"/>
    </row>
    <row r="51" spans="1:43" ht="15.75" thickBot="1" x14ac:dyDescent="0.3">
      <c r="M51" s="195"/>
      <c r="T51" s="151"/>
      <c r="W51" s="71"/>
      <c r="AH51" s="151"/>
      <c r="AI51" s="153"/>
      <c r="AJ51" s="151"/>
    </row>
    <row r="52" spans="1:43" x14ac:dyDescent="0.25">
      <c r="A52" s="53" t="s">
        <v>221</v>
      </c>
      <c r="B52" s="319"/>
      <c r="C52" s="54" t="s">
        <v>222</v>
      </c>
      <c r="D52" s="55" t="s">
        <v>223</v>
      </c>
      <c r="H52" s="51"/>
      <c r="J52" s="52"/>
      <c r="K52" s="52"/>
      <c r="L52" s="52"/>
      <c r="M52" s="193"/>
      <c r="O52" s="48"/>
      <c r="P52" s="48"/>
      <c r="Q52" s="48"/>
      <c r="V52" s="10"/>
      <c r="W52" s="71"/>
      <c r="AK52" s="56"/>
    </row>
    <row r="53" spans="1:43" x14ac:dyDescent="0.25">
      <c r="A53" s="57" t="s">
        <v>196</v>
      </c>
      <c r="B53" s="12"/>
      <c r="C53" s="58"/>
      <c r="D53" s="83"/>
      <c r="G53" s="194"/>
      <c r="H53" s="51"/>
      <c r="J53" s="52"/>
      <c r="K53" s="52"/>
      <c r="L53" s="52"/>
      <c r="M53" s="196"/>
      <c r="O53" s="48"/>
      <c r="P53" s="48"/>
      <c r="Q53" s="48"/>
      <c r="V53" s="71"/>
      <c r="W53" s="71"/>
      <c r="AK53" s="12"/>
      <c r="AM53" s="10"/>
    </row>
    <row r="54" spans="1:43" x14ac:dyDescent="0.25">
      <c r="A54" s="59" t="s">
        <v>197</v>
      </c>
      <c r="B54" s="12"/>
      <c r="C54" s="58">
        <f>SUM(J5:J46)</f>
        <v>0</v>
      </c>
      <c r="D54" s="84">
        <f>ROUND(SUM(W5:W46),2)</f>
        <v>0</v>
      </c>
      <c r="G54" s="194"/>
      <c r="H54" s="52"/>
      <c r="J54" s="227"/>
      <c r="K54" s="51"/>
      <c r="L54" s="51"/>
      <c r="M54" s="196"/>
      <c r="V54" s="10"/>
      <c r="W54" s="71"/>
      <c r="AK54" s="12"/>
      <c r="AM54" s="10"/>
    </row>
    <row r="55" spans="1:43" x14ac:dyDescent="0.25">
      <c r="A55" s="57" t="s">
        <v>198</v>
      </c>
      <c r="B55" s="12"/>
      <c r="C55" s="58"/>
      <c r="D55" s="83"/>
      <c r="G55" s="194"/>
      <c r="J55" s="227"/>
      <c r="K55" s="72"/>
      <c r="L55" s="72"/>
      <c r="V55" s="10"/>
      <c r="W55" s="71"/>
      <c r="AK55" s="12"/>
      <c r="AM55" s="10"/>
    </row>
    <row r="56" spans="1:43" x14ac:dyDescent="0.25">
      <c r="A56" s="59" t="s">
        <v>197</v>
      </c>
      <c r="B56" s="12"/>
      <c r="C56" s="58">
        <f>SUM(Y5:Y46)</f>
        <v>0</v>
      </c>
      <c r="D56" s="84">
        <f>ROUND(SUM(AJ5:AJ46),2)</f>
        <v>0</v>
      </c>
      <c r="J56" s="51"/>
      <c r="K56" s="51"/>
      <c r="L56" s="51"/>
      <c r="V56" s="10"/>
      <c r="W56" s="71"/>
      <c r="AK56" s="12"/>
      <c r="AM56" s="10"/>
    </row>
    <row r="57" spans="1:43" x14ac:dyDescent="0.25">
      <c r="A57" s="59"/>
      <c r="B57" s="12"/>
      <c r="C57" s="58"/>
      <c r="D57" s="84"/>
      <c r="H57" s="51"/>
      <c r="J57" s="51"/>
      <c r="K57" s="51"/>
      <c r="L57" s="51"/>
      <c r="V57" s="10"/>
      <c r="W57" s="71"/>
      <c r="AK57" s="12"/>
      <c r="AM57" s="10"/>
    </row>
    <row r="58" spans="1:43" ht="15.75" thickBot="1" x14ac:dyDescent="0.3">
      <c r="A58" s="60" t="s">
        <v>199</v>
      </c>
      <c r="B58" s="320"/>
      <c r="C58" s="61">
        <f>SUM(C54:C57)</f>
        <v>0</v>
      </c>
      <c r="D58" s="86">
        <f>SUM(D54:D57)</f>
        <v>0</v>
      </c>
      <c r="F58" s="13"/>
      <c r="H58" s="51"/>
      <c r="J58" s="51"/>
      <c r="K58" s="51"/>
      <c r="L58" s="51"/>
      <c r="T58" s="13"/>
      <c r="V58" s="10"/>
      <c r="W58" s="71"/>
      <c r="AK58" s="12"/>
      <c r="AM58" s="10"/>
    </row>
    <row r="59" spans="1:43" x14ac:dyDescent="0.25">
      <c r="C59" s="50"/>
      <c r="D59" s="88"/>
      <c r="H59" s="51"/>
      <c r="J59" s="52"/>
      <c r="K59" s="52"/>
      <c r="L59" s="52"/>
      <c r="T59" s="13"/>
      <c r="V59" s="10"/>
      <c r="W59" s="71"/>
      <c r="AK59" s="12"/>
      <c r="AM59" s="10"/>
    </row>
    <row r="60" spans="1:43" x14ac:dyDescent="0.25">
      <c r="A60" s="53" t="s">
        <v>200</v>
      </c>
      <c r="B60" s="319"/>
      <c r="C60" s="62" t="s">
        <v>201</v>
      </c>
      <c r="D60" s="130" t="s">
        <v>157</v>
      </c>
      <c r="F60" s="268"/>
      <c r="G60" s="268"/>
      <c r="H60" s="51"/>
      <c r="J60" s="13"/>
      <c r="K60" s="13"/>
      <c r="L60" s="13"/>
      <c r="T60" s="13"/>
      <c r="V60" s="10"/>
      <c r="W60" s="71"/>
      <c r="AK60" s="12"/>
      <c r="AM60" s="10"/>
    </row>
    <row r="61" spans="1:43" x14ac:dyDescent="0.25">
      <c r="A61" s="59" t="s">
        <v>200</v>
      </c>
      <c r="B61" s="12"/>
      <c r="C61" s="63"/>
      <c r="D61" s="85">
        <v>26244653</v>
      </c>
      <c r="F61" s="13"/>
      <c r="G61" s="13"/>
      <c r="H61" s="194"/>
      <c r="J61" s="52"/>
      <c r="K61" s="52"/>
      <c r="L61" s="52"/>
      <c r="T61" s="13"/>
      <c r="V61" s="10"/>
      <c r="W61" s="71"/>
      <c r="AK61" s="12"/>
      <c r="AM61" s="10"/>
    </row>
    <row r="62" spans="1:43" x14ac:dyDescent="0.25">
      <c r="A62" s="59" t="s">
        <v>202</v>
      </c>
      <c r="B62" s="12"/>
      <c r="C62" s="175"/>
      <c r="D62" s="84">
        <f>ROUND(D61*C62,2)</f>
        <v>0</v>
      </c>
      <c r="H62" s="51"/>
      <c r="J62" s="52"/>
      <c r="K62" s="52"/>
      <c r="L62" s="52"/>
      <c r="T62" s="13"/>
      <c r="V62" s="10"/>
      <c r="W62" s="71"/>
      <c r="AK62" s="12"/>
      <c r="AM62" s="10"/>
    </row>
    <row r="63" spans="1:43" x14ac:dyDescent="0.25">
      <c r="A63" s="59"/>
      <c r="B63" s="12"/>
      <c r="C63" s="63"/>
      <c r="D63" s="84"/>
      <c r="H63" s="51"/>
      <c r="J63" s="52"/>
      <c r="K63" s="52"/>
      <c r="L63" s="52"/>
      <c r="T63" s="13"/>
      <c r="V63" s="10"/>
      <c r="W63" s="10"/>
      <c r="AK63" s="12"/>
      <c r="AM63" s="10"/>
    </row>
    <row r="64" spans="1:43" ht="15.75" thickBot="1" x14ac:dyDescent="0.3">
      <c r="A64" s="60" t="s">
        <v>203</v>
      </c>
      <c r="B64" s="320"/>
      <c r="C64" s="61"/>
      <c r="D64" s="86">
        <f>SUM(D61:D63)</f>
        <v>26244653</v>
      </c>
      <c r="G64" s="194"/>
      <c r="H64" s="51"/>
      <c r="J64" s="52"/>
      <c r="K64" s="52"/>
      <c r="L64" s="52"/>
      <c r="T64" s="13"/>
      <c r="V64" s="10"/>
      <c r="W64" s="10"/>
      <c r="AK64" s="12"/>
      <c r="AM64" s="10"/>
    </row>
    <row r="65" spans="1:39" ht="15.75" thickBot="1" x14ac:dyDescent="0.3">
      <c r="A65" s="64"/>
      <c r="B65" s="12"/>
      <c r="C65" s="65"/>
      <c r="D65" s="87"/>
      <c r="G65" s="194"/>
      <c r="H65" s="51"/>
      <c r="J65" s="52"/>
      <c r="K65" s="52"/>
      <c r="L65" s="52"/>
      <c r="T65" s="13"/>
      <c r="V65" s="10"/>
      <c r="W65" s="10"/>
      <c r="AK65" s="12"/>
      <c r="AM65" s="10"/>
    </row>
    <row r="66" spans="1:39" customFormat="1" x14ac:dyDescent="0.25">
      <c r="A66" s="461" t="s">
        <v>204</v>
      </c>
      <c r="B66" s="319"/>
      <c r="C66" s="462"/>
      <c r="D66" s="463"/>
      <c r="E66" s="50"/>
      <c r="F66" s="50"/>
      <c r="G66" s="50"/>
      <c r="H66" s="50"/>
      <c r="I66" s="51"/>
      <c r="J66" s="51"/>
      <c r="K66" s="52"/>
      <c r="L66" s="52"/>
      <c r="M66" s="52"/>
      <c r="N66" s="52"/>
      <c r="O66" s="52"/>
      <c r="P66" s="52"/>
      <c r="Q66" s="52"/>
      <c r="R66" s="52"/>
      <c r="S66" s="52"/>
      <c r="T66" s="52"/>
      <c r="U66" s="13"/>
      <c r="V66" s="52"/>
      <c r="W66" s="52"/>
    </row>
    <row r="67" spans="1:39" customFormat="1" x14ac:dyDescent="0.25">
      <c r="A67" s="464" t="s">
        <v>205</v>
      </c>
      <c r="B67" s="12"/>
      <c r="C67" s="471"/>
      <c r="D67" s="466"/>
      <c r="E67" s="50"/>
      <c r="F67" s="50"/>
      <c r="G67" s="50"/>
      <c r="H67" s="50"/>
      <c r="I67" s="51"/>
      <c r="J67" s="51"/>
      <c r="K67" s="52"/>
      <c r="L67" s="52"/>
      <c r="M67" s="52"/>
      <c r="N67" s="52"/>
      <c r="O67" s="52"/>
      <c r="P67" s="52"/>
      <c r="Q67" s="52"/>
      <c r="R67" s="52"/>
      <c r="S67" s="52"/>
      <c r="T67" s="52"/>
      <c r="U67" s="13"/>
      <c r="V67" s="52"/>
      <c r="W67" s="52"/>
    </row>
    <row r="68" spans="1:39" customFormat="1" x14ac:dyDescent="0.25">
      <c r="A68" s="464"/>
      <c r="B68" s="12"/>
      <c r="C68" s="471"/>
      <c r="D68" s="467"/>
      <c r="E68" s="50"/>
      <c r="F68" s="50"/>
      <c r="G68" s="50"/>
      <c r="H68" s="50"/>
      <c r="I68" s="51"/>
      <c r="J68" s="51"/>
      <c r="K68" s="52"/>
      <c r="L68" s="52"/>
      <c r="M68" s="52"/>
      <c r="N68" s="52"/>
      <c r="O68" s="52"/>
      <c r="P68" s="52"/>
      <c r="Q68" s="52"/>
      <c r="R68" s="52"/>
      <c r="S68" s="52"/>
      <c r="T68" s="52"/>
      <c r="U68" s="13"/>
      <c r="V68" s="52"/>
      <c r="W68" s="52"/>
    </row>
    <row r="69" spans="1:39" customFormat="1" ht="15.75" thickBot="1" x14ac:dyDescent="0.3">
      <c r="A69" s="468" t="s">
        <v>206</v>
      </c>
      <c r="B69" s="320"/>
      <c r="C69" s="469"/>
      <c r="D69" s="86">
        <f>ROUND(D67,2)</f>
        <v>0</v>
      </c>
      <c r="E69" s="50"/>
      <c r="F69" s="50"/>
      <c r="G69" s="470"/>
      <c r="H69" s="50"/>
      <c r="I69" s="51"/>
      <c r="J69" s="51"/>
      <c r="K69" s="52"/>
      <c r="L69" s="52"/>
      <c r="M69" s="52"/>
      <c r="N69" s="52"/>
      <c r="O69" s="52"/>
      <c r="P69" s="52"/>
      <c r="Q69" s="52"/>
      <c r="R69" s="52"/>
      <c r="S69" s="52"/>
      <c r="T69" s="52"/>
      <c r="U69" s="13"/>
      <c r="V69" s="52"/>
      <c r="W69" s="52"/>
    </row>
    <row r="70" spans="1:39" customFormat="1" ht="15.75" thickBot="1" x14ac:dyDescent="0.3">
      <c r="B70" s="465"/>
      <c r="C70" s="465"/>
      <c r="D70" s="465"/>
      <c r="E70" s="50"/>
      <c r="F70" s="87"/>
      <c r="G70" s="470"/>
      <c r="H70" s="50"/>
      <c r="I70" s="51"/>
      <c r="J70" s="51"/>
      <c r="K70" s="52"/>
      <c r="L70" s="52"/>
      <c r="M70" s="52"/>
      <c r="N70" s="52"/>
      <c r="O70" s="52"/>
      <c r="P70" s="52"/>
      <c r="Q70" s="52"/>
      <c r="R70" s="52"/>
      <c r="S70" s="52"/>
      <c r="T70" s="52"/>
      <c r="U70" s="13"/>
      <c r="V70" s="52"/>
      <c r="W70" s="52"/>
    </row>
    <row r="71" spans="1:39" ht="15.75" thickBot="1" x14ac:dyDescent="0.3">
      <c r="A71" s="66" t="s">
        <v>207</v>
      </c>
      <c r="B71" s="200"/>
      <c r="C71" s="200"/>
      <c r="D71" s="89">
        <f>D58+D64+D69</f>
        <v>26244653</v>
      </c>
      <c r="E71" s="50"/>
      <c r="AM71" s="10"/>
    </row>
    <row r="72" spans="1:39" ht="15.75" thickBot="1" x14ac:dyDescent="0.3">
      <c r="H72" s="51"/>
      <c r="J72" s="52"/>
      <c r="K72" s="52"/>
      <c r="L72" s="52"/>
      <c r="T72" s="13"/>
      <c r="V72" s="10"/>
      <c r="W72" s="10"/>
      <c r="AK72" s="12"/>
      <c r="AM72" s="10"/>
    </row>
    <row r="73" spans="1:39" ht="15.75" thickBot="1" x14ac:dyDescent="0.3">
      <c r="A73" s="66" t="s">
        <v>208</v>
      </c>
      <c r="B73" s="200"/>
      <c r="C73" s="200"/>
      <c r="D73" s="89">
        <f>D71-D69</f>
        <v>26244653</v>
      </c>
      <c r="E73" s="50"/>
      <c r="AM73" s="10"/>
    </row>
  </sheetData>
  <sheetProtection algorithmName="SHA-512" hashValue="wBl97Nl+tDaaI2nQsWhR/2SJ3l+h1gLmHEMR0vYfDXFKT60Uh1XLEoOdwN49dIyoW3SqrZVx1T9uknkBsXQ7eg==" saltValue="sr+kiXvK5GS5dqnKlceeAw==" spinCount="100000" sheet="1" objects="1" scenarios="1"/>
  <mergeCells count="14">
    <mergeCell ref="A41:A42"/>
    <mergeCell ref="A43:A46"/>
    <mergeCell ref="A8:A12"/>
    <mergeCell ref="A13:A14"/>
    <mergeCell ref="A15:A19"/>
    <mergeCell ref="A23:A27"/>
    <mergeCell ref="A28:A29"/>
    <mergeCell ref="A30:A34"/>
    <mergeCell ref="AO3:AQ3"/>
    <mergeCell ref="A1:AQ1"/>
    <mergeCell ref="A2:H2"/>
    <mergeCell ref="J2:W2"/>
    <mergeCell ref="Y2:AM2"/>
    <mergeCell ref="AO2:AQ2"/>
  </mergeCells>
  <conditionalFormatting sqref="H5:H19 H21:H34 H36:H49">
    <cfRule type="cellIs" dxfId="6" priority="1" operator="lessThan">
      <formula>0</formula>
    </cfRule>
    <cfRule type="cellIs" dxfId="5" priority="2" operator="greaterThan">
      <formula>0</formula>
    </cfRule>
    <cfRule type="cellIs" dxfId="4" priority="3" operator="equal">
      <formula>0</formula>
    </cfRule>
  </conditionalFormatting>
  <pageMargins left="0.7" right="0.7" top="0.75" bottom="0.75" header="0.3" footer="0.3"/>
  <pageSetup orientation="portrait" verticalDpi="597"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E0F8-F3C4-4E3D-9CEB-9F58D357FD9B}">
  <dimension ref="A1:AO73"/>
  <sheetViews>
    <sheetView showGridLines="0" zoomScaleNormal="100" workbookViewId="0">
      <pane ySplit="3" topLeftCell="A4" activePane="bottomLeft" state="frozen"/>
      <selection pane="bottomLeft" activeCell="D67" sqref="D67"/>
    </sheetView>
  </sheetViews>
  <sheetFormatPr defaultColWidth="9.140625" defaultRowHeight="15" x14ac:dyDescent="0.25"/>
  <cols>
    <col min="1" max="1" width="31.7109375" style="10" customWidth="1"/>
    <col min="2" max="2" width="4" style="10" bestFit="1" customWidth="1"/>
    <col min="3" max="3" width="28.7109375" style="10" customWidth="1"/>
    <col min="4" max="4" width="20.85546875" style="10" customWidth="1"/>
    <col min="5" max="5" width="16.7109375" style="10" customWidth="1"/>
    <col min="6" max="8" width="14.7109375" style="50" customWidth="1"/>
    <col min="9" max="9" width="1.7109375" style="51" customWidth="1"/>
    <col min="10" max="10" width="14.7109375" style="50" customWidth="1"/>
    <col min="11" max="18" width="14.7109375" style="52" customWidth="1"/>
    <col min="19" max="19" width="23.7109375" style="13" customWidth="1"/>
    <col min="20" max="21" width="23.7109375" style="52" customWidth="1"/>
    <col min="22" max="22" width="1.7109375" style="10" customWidth="1"/>
    <col min="23" max="31" width="14.7109375" style="10" customWidth="1"/>
    <col min="32" max="34" width="23.7109375" style="10" customWidth="1"/>
    <col min="35" max="35" width="36.7109375" style="10" customWidth="1"/>
    <col min="36" max="36" width="12.7109375" style="12" customWidth="1"/>
    <col min="37" max="37" width="24.7109375" style="12" customWidth="1"/>
    <col min="38" max="38" width="1.7109375" style="10" customWidth="1"/>
    <col min="39" max="41" width="16.7109375" style="10" customWidth="1"/>
    <col min="42" max="16384" width="9.140625" style="10"/>
  </cols>
  <sheetData>
    <row r="1" spans="1:41" s="16" customFormat="1" ht="34.5" thickBot="1" x14ac:dyDescent="0.55000000000000004">
      <c r="A1" s="516" t="s">
        <v>224</v>
      </c>
      <c r="B1" s="517"/>
      <c r="C1" s="518"/>
      <c r="D1" s="518"/>
      <c r="E1" s="518"/>
      <c r="F1" s="518"/>
      <c r="G1" s="518"/>
      <c r="H1" s="518"/>
      <c r="I1" s="518"/>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8"/>
      <c r="AK1" s="518"/>
      <c r="AL1" s="518"/>
      <c r="AM1" s="518"/>
      <c r="AN1" s="518"/>
      <c r="AO1" s="519"/>
    </row>
    <row r="2" spans="1:41" ht="15.75" thickBot="1" x14ac:dyDescent="0.3">
      <c r="A2" s="526" t="s">
        <v>225</v>
      </c>
      <c r="B2" s="527"/>
      <c r="C2" s="527"/>
      <c r="D2" s="527"/>
      <c r="E2" s="527"/>
      <c r="F2" s="527"/>
      <c r="G2" s="527"/>
      <c r="H2" s="528"/>
      <c r="I2" s="35"/>
      <c r="J2" s="523" t="s">
        <v>142</v>
      </c>
      <c r="K2" s="524"/>
      <c r="L2" s="524"/>
      <c r="M2" s="524"/>
      <c r="N2" s="524"/>
      <c r="O2" s="524"/>
      <c r="P2" s="524"/>
      <c r="Q2" s="524"/>
      <c r="R2" s="524"/>
      <c r="S2" s="524"/>
      <c r="T2" s="524"/>
      <c r="U2" s="525"/>
      <c r="W2" s="529" t="s">
        <v>143</v>
      </c>
      <c r="X2" s="530"/>
      <c r="Y2" s="530"/>
      <c r="Z2" s="530"/>
      <c r="AA2" s="530"/>
      <c r="AB2" s="530"/>
      <c r="AC2" s="530"/>
      <c r="AD2" s="530"/>
      <c r="AE2" s="530"/>
      <c r="AF2" s="530"/>
      <c r="AG2" s="530"/>
      <c r="AH2" s="530"/>
      <c r="AI2" s="530"/>
      <c r="AJ2" s="530"/>
      <c r="AK2" s="531"/>
      <c r="AM2" s="526" t="s">
        <v>144</v>
      </c>
      <c r="AN2" s="527"/>
      <c r="AO2" s="528"/>
    </row>
    <row r="3" spans="1:41" s="309" customFormat="1" ht="45.95" customHeight="1" thickBot="1" x14ac:dyDescent="0.3">
      <c r="A3" s="203" t="s">
        <v>65</v>
      </c>
      <c r="B3" s="277" t="s">
        <v>66</v>
      </c>
      <c r="C3" s="298" t="s">
        <v>67</v>
      </c>
      <c r="D3" s="298" t="s">
        <v>145</v>
      </c>
      <c r="E3" s="298" t="s">
        <v>82</v>
      </c>
      <c r="F3" s="299" t="s">
        <v>146</v>
      </c>
      <c r="G3" s="299" t="s">
        <v>147</v>
      </c>
      <c r="H3" s="300" t="s">
        <v>148</v>
      </c>
      <c r="I3" s="301"/>
      <c r="J3" s="302" t="s">
        <v>149</v>
      </c>
      <c r="K3" s="304" t="s">
        <v>152</v>
      </c>
      <c r="L3" s="304" t="s">
        <v>153</v>
      </c>
      <c r="M3" s="305" t="s">
        <v>154</v>
      </c>
      <c r="N3" s="305" t="s">
        <v>155</v>
      </c>
      <c r="O3" s="305" t="s">
        <v>156</v>
      </c>
      <c r="P3" s="305" t="s">
        <v>157</v>
      </c>
      <c r="Q3" s="305" t="s">
        <v>158</v>
      </c>
      <c r="R3" s="305" t="s">
        <v>159</v>
      </c>
      <c r="S3" s="306" t="s">
        <v>160</v>
      </c>
      <c r="T3" s="307" t="s">
        <v>161</v>
      </c>
      <c r="U3" s="308" t="s">
        <v>162</v>
      </c>
      <c r="W3" s="302" t="s">
        <v>163</v>
      </c>
      <c r="X3" s="304" t="s">
        <v>164</v>
      </c>
      <c r="Y3" s="304" t="s">
        <v>165</v>
      </c>
      <c r="Z3" s="304" t="s">
        <v>166</v>
      </c>
      <c r="AA3" s="304" t="s">
        <v>167</v>
      </c>
      <c r="AB3" s="304" t="s">
        <v>168</v>
      </c>
      <c r="AC3" s="307" t="s">
        <v>157</v>
      </c>
      <c r="AD3" s="304" t="s">
        <v>169</v>
      </c>
      <c r="AE3" s="304" t="s">
        <v>170</v>
      </c>
      <c r="AF3" s="304" t="s">
        <v>160</v>
      </c>
      <c r="AG3" s="304" t="s">
        <v>161</v>
      </c>
      <c r="AH3" s="304" t="s">
        <v>162</v>
      </c>
      <c r="AI3" s="310" t="s">
        <v>171</v>
      </c>
      <c r="AJ3" s="310" t="s">
        <v>172</v>
      </c>
      <c r="AK3" s="311" t="s">
        <v>173</v>
      </c>
      <c r="AM3" s="520" t="s">
        <v>174</v>
      </c>
      <c r="AN3" s="521"/>
      <c r="AO3" s="522"/>
    </row>
    <row r="4" spans="1:41" ht="31.5" customHeight="1" thickBot="1" x14ac:dyDescent="0.3">
      <c r="A4" s="66" t="s">
        <v>175</v>
      </c>
      <c r="B4" s="278"/>
      <c r="C4" s="200"/>
      <c r="D4" s="200"/>
      <c r="E4" s="200"/>
      <c r="F4" s="201"/>
      <c r="G4" s="201"/>
      <c r="H4" s="202"/>
      <c r="I4" s="36"/>
      <c r="J4" s="155"/>
      <c r="K4" s="204"/>
      <c r="L4" s="157"/>
      <c r="M4" s="157"/>
      <c r="N4" s="157"/>
      <c r="O4" s="157"/>
      <c r="P4" s="158"/>
      <c r="Q4" s="157"/>
      <c r="R4" s="158"/>
      <c r="S4" s="158"/>
      <c r="T4" s="187"/>
      <c r="U4" s="188"/>
      <c r="W4" s="155"/>
      <c r="X4" s="156"/>
      <c r="Y4" s="156"/>
      <c r="Z4" s="157"/>
      <c r="AA4" s="157"/>
      <c r="AB4" s="157"/>
      <c r="AC4" s="158"/>
      <c r="AD4" s="157"/>
      <c r="AE4" s="156"/>
      <c r="AF4" s="156"/>
      <c r="AG4" s="156"/>
      <c r="AH4" s="156"/>
      <c r="AI4" s="245"/>
      <c r="AJ4" s="245"/>
      <c r="AK4" s="246"/>
      <c r="AL4" s="37"/>
      <c r="AM4" s="190" t="s">
        <v>157</v>
      </c>
      <c r="AN4" s="191" t="s">
        <v>158</v>
      </c>
      <c r="AO4" s="192" t="s">
        <v>176</v>
      </c>
    </row>
    <row r="5" spans="1:41" ht="15.75" thickBot="1" x14ac:dyDescent="0.3">
      <c r="A5" s="297" t="s">
        <v>72</v>
      </c>
      <c r="B5" s="283" t="s">
        <v>89</v>
      </c>
      <c r="C5" s="284" t="s">
        <v>90</v>
      </c>
      <c r="D5" s="284" t="s">
        <v>177</v>
      </c>
      <c r="E5" s="284" t="s">
        <v>91</v>
      </c>
      <c r="F5" s="285">
        <v>25635</v>
      </c>
      <c r="G5" s="285">
        <f t="shared" ref="G5:G19" si="0">SUM(J5,W5)</f>
        <v>0</v>
      </c>
      <c r="H5" s="286">
        <f>F5-G5</f>
        <v>25635</v>
      </c>
      <c r="I5" s="107"/>
      <c r="J5" s="292"/>
      <c r="K5" s="294">
        <f>'Ordering Period 4'!M5+('Ordering Period 4'!M5*Escalation!$D$5)</f>
        <v>0</v>
      </c>
      <c r="L5" s="349">
        <f t="shared" ref="L5:L19" si="1">(K5*$L$4)</f>
        <v>0</v>
      </c>
      <c r="M5" s="349">
        <f t="shared" ref="M5:M19" si="2">(L5+K5)*$M$4</f>
        <v>0</v>
      </c>
      <c r="N5" s="349">
        <f>(L5+K5+M5)*$N$4</f>
        <v>0</v>
      </c>
      <c r="O5" s="349">
        <f>(K5+L5+M5+N5)*$O$4</f>
        <v>0</v>
      </c>
      <c r="P5" s="294">
        <f>SUM(K5:O5)</f>
        <v>0</v>
      </c>
      <c r="Q5" s="294">
        <f>(P5-O5)*$Q$4</f>
        <v>0</v>
      </c>
      <c r="R5" s="294">
        <f>SUM(P5:Q5)</f>
        <v>0</v>
      </c>
      <c r="S5" s="295">
        <f t="shared" ref="S5:S19" si="3">P5*J5</f>
        <v>0</v>
      </c>
      <c r="T5" s="294">
        <f t="shared" ref="T5:T19" si="4">Q5*J5</f>
        <v>0</v>
      </c>
      <c r="U5" s="296">
        <f t="shared" ref="U5:U19" si="5">R5*J5</f>
        <v>0</v>
      </c>
      <c r="W5" s="288"/>
      <c r="X5" s="334"/>
      <c r="Y5" s="290">
        <f>IF($W5&gt;0,$X5,0)</f>
        <v>0</v>
      </c>
      <c r="Z5" s="334">
        <f>(Y5*$Z$4)</f>
        <v>0</v>
      </c>
      <c r="AA5" s="334">
        <f>(Y5+Z5)*$AA$4</f>
        <v>0</v>
      </c>
      <c r="AB5" s="334"/>
      <c r="AC5" s="290">
        <f>SUM(Y5:AB5)</f>
        <v>0</v>
      </c>
      <c r="AD5" s="290">
        <f>$AD$4*(AA5+Y5+Z5)</f>
        <v>0</v>
      </c>
      <c r="AE5" s="290">
        <f>SUM(AC5:AD5)</f>
        <v>0</v>
      </c>
      <c r="AF5" s="290">
        <f>AC5*W5</f>
        <v>0</v>
      </c>
      <c r="AG5" s="290">
        <f>AD5*W5</f>
        <v>0</v>
      </c>
      <c r="AH5" s="290">
        <f>AE5*W5</f>
        <v>0</v>
      </c>
      <c r="AI5" s="335"/>
      <c r="AJ5" s="336"/>
      <c r="AK5" s="337"/>
      <c r="AM5" s="339" t="str">
        <f t="shared" ref="AM5:AM19" si="6">IFERROR(SUM(S5,AF5)/G5,"")</f>
        <v/>
      </c>
      <c r="AN5" s="340" t="str">
        <f t="shared" ref="AN5:AN19" si="7">IFERROR(SUM(T5,AG5)/G5,"")</f>
        <v/>
      </c>
      <c r="AO5" s="291">
        <f>SUM(AM5:AN5)</f>
        <v>0</v>
      </c>
    </row>
    <row r="6" spans="1:41" ht="15.75" thickBot="1" x14ac:dyDescent="0.3">
      <c r="A6" s="297" t="s">
        <v>73</v>
      </c>
      <c r="B6" s="283" t="s">
        <v>92</v>
      </c>
      <c r="C6" s="284" t="s">
        <v>93</v>
      </c>
      <c r="D6" s="284" t="s">
        <v>178</v>
      </c>
      <c r="E6" s="284" t="s">
        <v>91</v>
      </c>
      <c r="F6" s="285">
        <v>79508</v>
      </c>
      <c r="G6" s="285">
        <f t="shared" si="0"/>
        <v>0</v>
      </c>
      <c r="H6" s="286">
        <f t="shared" ref="H6:H46" si="8">F6-G6</f>
        <v>79508</v>
      </c>
      <c r="I6" s="107"/>
      <c r="J6" s="288"/>
      <c r="K6" s="290">
        <f>'Ordering Period 4'!M6+('Ordering Period 4'!M6*Escalation!$D$5)</f>
        <v>0</v>
      </c>
      <c r="L6" s="334">
        <f t="shared" si="1"/>
        <v>0</v>
      </c>
      <c r="M6" s="334">
        <f t="shared" si="2"/>
        <v>0</v>
      </c>
      <c r="N6" s="334">
        <f t="shared" ref="N6:N19" si="9">(L6+K6+M6)*$N$4</f>
        <v>0</v>
      </c>
      <c r="O6" s="334">
        <f t="shared" ref="O6:O18" si="10">(K6+L6+M6+N6)*$O$4</f>
        <v>0</v>
      </c>
      <c r="P6" s="290">
        <f t="shared" ref="P6:P19" si="11">SUM(K6:O6)</f>
        <v>0</v>
      </c>
      <c r="Q6" s="290">
        <f>(P6-O6)*$Q$4</f>
        <v>0</v>
      </c>
      <c r="R6" s="290">
        <f t="shared" ref="R6:R13" si="12">SUM(P6:Q6)</f>
        <v>0</v>
      </c>
      <c r="S6" s="290">
        <f t="shared" si="3"/>
        <v>0</v>
      </c>
      <c r="T6" s="290">
        <f t="shared" si="4"/>
        <v>0</v>
      </c>
      <c r="U6" s="291">
        <f t="shared" si="5"/>
        <v>0</v>
      </c>
      <c r="W6" s="288"/>
      <c r="X6" s="334"/>
      <c r="Y6" s="290">
        <f t="shared" ref="Y6:Y19" si="13">IF($W6&gt;0,$X6,0)</f>
        <v>0</v>
      </c>
      <c r="Z6" s="334">
        <f t="shared" ref="Z6:Z19" si="14">(Y6*$Z$4)</f>
        <v>0</v>
      </c>
      <c r="AA6" s="334">
        <f t="shared" ref="AA6:AA19" si="15">(Y6+Z6)*$AA$4</f>
        <v>0</v>
      </c>
      <c r="AB6" s="334"/>
      <c r="AC6" s="290">
        <f t="shared" ref="AC6:AC19" si="16">SUM(Y6:AB6)</f>
        <v>0</v>
      </c>
      <c r="AD6" s="290">
        <f t="shared" ref="AD6:AD19" si="17">$AD$4*(AA6+Y6+Z6)</f>
        <v>0</v>
      </c>
      <c r="AE6" s="290">
        <f t="shared" ref="AE6:AE19" si="18">SUM(AC6:AD6)</f>
        <v>0</v>
      </c>
      <c r="AF6" s="290">
        <f t="shared" ref="AF6:AF19" si="19">AC6*W6</f>
        <v>0</v>
      </c>
      <c r="AG6" s="290">
        <f t="shared" ref="AG6:AG19" si="20">AD6*W6</f>
        <v>0</v>
      </c>
      <c r="AH6" s="290">
        <f t="shared" ref="AH6:AH19" si="21">AE6*W6</f>
        <v>0</v>
      </c>
      <c r="AI6" s="335"/>
      <c r="AJ6" s="336"/>
      <c r="AK6" s="337"/>
      <c r="AM6" s="339" t="str">
        <f t="shared" si="6"/>
        <v/>
      </c>
      <c r="AN6" s="340" t="str">
        <f t="shared" si="7"/>
        <v/>
      </c>
      <c r="AO6" s="291">
        <f>SUM(AM6:AN6)</f>
        <v>0</v>
      </c>
    </row>
    <row r="7" spans="1:41" ht="15.75" thickBot="1" x14ac:dyDescent="0.3">
      <c r="A7" s="297" t="s">
        <v>74</v>
      </c>
      <c r="B7" s="283" t="s">
        <v>94</v>
      </c>
      <c r="C7" s="284" t="s">
        <v>95</v>
      </c>
      <c r="D7" s="284" t="s">
        <v>179</v>
      </c>
      <c r="E7" s="284" t="s">
        <v>91</v>
      </c>
      <c r="F7" s="285">
        <v>190785</v>
      </c>
      <c r="G7" s="285">
        <f t="shared" si="0"/>
        <v>0</v>
      </c>
      <c r="H7" s="286">
        <f t="shared" si="8"/>
        <v>190785</v>
      </c>
      <c r="I7" s="107"/>
      <c r="J7" s="288"/>
      <c r="K7" s="290">
        <f>'Ordering Period 4'!M7+('Ordering Period 4'!M7*Escalation!$D$5)</f>
        <v>0</v>
      </c>
      <c r="L7" s="334">
        <f t="shared" si="1"/>
        <v>0</v>
      </c>
      <c r="M7" s="334">
        <f t="shared" si="2"/>
        <v>0</v>
      </c>
      <c r="N7" s="334">
        <f t="shared" si="9"/>
        <v>0</v>
      </c>
      <c r="O7" s="334">
        <f>(K7+L7+M7+N7)*$O$4</f>
        <v>0</v>
      </c>
      <c r="P7" s="290">
        <f t="shared" si="11"/>
        <v>0</v>
      </c>
      <c r="Q7" s="290">
        <f t="shared" ref="Q7:Q18" si="22">(P7-O7)*$Q$4</f>
        <v>0</v>
      </c>
      <c r="R7" s="290">
        <f>SUM(P7:Q7)</f>
        <v>0</v>
      </c>
      <c r="S7" s="290">
        <f t="shared" si="3"/>
        <v>0</v>
      </c>
      <c r="T7" s="290">
        <f t="shared" si="4"/>
        <v>0</v>
      </c>
      <c r="U7" s="291">
        <f t="shared" si="5"/>
        <v>0</v>
      </c>
      <c r="W7" s="288"/>
      <c r="X7" s="334"/>
      <c r="Y7" s="290">
        <f t="shared" si="13"/>
        <v>0</v>
      </c>
      <c r="Z7" s="334">
        <f t="shared" si="14"/>
        <v>0</v>
      </c>
      <c r="AA7" s="334">
        <f t="shared" si="15"/>
        <v>0</v>
      </c>
      <c r="AB7" s="334"/>
      <c r="AC7" s="290">
        <f t="shared" si="16"/>
        <v>0</v>
      </c>
      <c r="AD7" s="290">
        <f t="shared" si="17"/>
        <v>0</v>
      </c>
      <c r="AE7" s="290">
        <f t="shared" si="18"/>
        <v>0</v>
      </c>
      <c r="AF7" s="290">
        <f t="shared" si="19"/>
        <v>0</v>
      </c>
      <c r="AG7" s="290">
        <f t="shared" si="20"/>
        <v>0</v>
      </c>
      <c r="AH7" s="290">
        <f t="shared" si="21"/>
        <v>0</v>
      </c>
      <c r="AI7" s="335"/>
      <c r="AJ7" s="336"/>
      <c r="AK7" s="337"/>
      <c r="AM7" s="339" t="str">
        <f t="shared" si="6"/>
        <v/>
      </c>
      <c r="AN7" s="340" t="str">
        <f t="shared" si="7"/>
        <v/>
      </c>
      <c r="AO7" s="291">
        <f t="shared" ref="AO7:AO46" si="23">SUM(AM7:AN7)</f>
        <v>0</v>
      </c>
    </row>
    <row r="8" spans="1:41" x14ac:dyDescent="0.25">
      <c r="A8" s="496" t="s">
        <v>75</v>
      </c>
      <c r="B8" s="279" t="s">
        <v>96</v>
      </c>
      <c r="C8" s="109" t="s">
        <v>93</v>
      </c>
      <c r="D8" s="109" t="s">
        <v>178</v>
      </c>
      <c r="E8" s="109" t="s">
        <v>91</v>
      </c>
      <c r="F8" s="38">
        <v>15145</v>
      </c>
      <c r="G8" s="38">
        <f t="shared" si="0"/>
        <v>0</v>
      </c>
      <c r="H8" s="39">
        <f t="shared" si="8"/>
        <v>15145</v>
      </c>
      <c r="I8" s="107"/>
      <c r="J8" s="121"/>
      <c r="K8" s="122">
        <f>'Ordering Period 4'!M8+('Ordering Period 4'!M8*Escalation!$D$5)</f>
        <v>0</v>
      </c>
      <c r="L8" s="123">
        <f t="shared" si="1"/>
        <v>0</v>
      </c>
      <c r="M8" s="123">
        <f t="shared" si="2"/>
        <v>0</v>
      </c>
      <c r="N8" s="123">
        <f t="shared" si="9"/>
        <v>0</v>
      </c>
      <c r="O8" s="123">
        <f t="shared" ref="O8:O10" si="24">(K8+L8+M8+N8)*$O$4</f>
        <v>0</v>
      </c>
      <c r="P8" s="122">
        <f t="shared" si="11"/>
        <v>0</v>
      </c>
      <c r="Q8" s="122">
        <f>(P8-O8)*$Q$4</f>
        <v>0</v>
      </c>
      <c r="R8" s="122">
        <f t="shared" ref="R8:R9" si="25">SUM(P8:Q8)</f>
        <v>0</v>
      </c>
      <c r="S8" s="122">
        <f t="shared" si="3"/>
        <v>0</v>
      </c>
      <c r="T8" s="122">
        <f t="shared" si="4"/>
        <v>0</v>
      </c>
      <c r="U8" s="124">
        <f t="shared" si="5"/>
        <v>0</v>
      </c>
      <c r="W8" s="3"/>
      <c r="X8" s="4"/>
      <c r="Y8" s="40">
        <f t="shared" si="13"/>
        <v>0</v>
      </c>
      <c r="Z8" s="4">
        <f t="shared" si="14"/>
        <v>0</v>
      </c>
      <c r="AA8" s="4">
        <f t="shared" si="15"/>
        <v>0</v>
      </c>
      <c r="AB8" s="4"/>
      <c r="AC8" s="40">
        <f t="shared" si="16"/>
        <v>0</v>
      </c>
      <c r="AD8" s="40">
        <f t="shared" si="17"/>
        <v>0</v>
      </c>
      <c r="AE8" s="40">
        <f t="shared" si="18"/>
        <v>0</v>
      </c>
      <c r="AF8" s="40">
        <f t="shared" si="19"/>
        <v>0</v>
      </c>
      <c r="AG8" s="40">
        <f t="shared" si="20"/>
        <v>0</v>
      </c>
      <c r="AH8" s="40">
        <f t="shared" si="21"/>
        <v>0</v>
      </c>
      <c r="AI8" s="160"/>
      <c r="AJ8" s="213"/>
      <c r="AK8" s="6"/>
      <c r="AM8" s="140" t="str">
        <f t="shared" si="6"/>
        <v/>
      </c>
      <c r="AN8" s="125" t="str">
        <f t="shared" si="7"/>
        <v/>
      </c>
      <c r="AO8" s="124">
        <f>SUM(AM8:AN8)</f>
        <v>0</v>
      </c>
    </row>
    <row r="9" spans="1:41" x14ac:dyDescent="0.25">
      <c r="A9" s="497"/>
      <c r="B9" s="280" t="s">
        <v>97</v>
      </c>
      <c r="C9" s="108" t="s">
        <v>75</v>
      </c>
      <c r="D9" s="108" t="s">
        <v>180</v>
      </c>
      <c r="E9" s="108" t="s">
        <v>91</v>
      </c>
      <c r="F9" s="42">
        <v>269169</v>
      </c>
      <c r="G9" s="42">
        <f t="shared" si="0"/>
        <v>0</v>
      </c>
      <c r="H9" s="43">
        <f t="shared" si="8"/>
        <v>269169</v>
      </c>
      <c r="I9" s="107"/>
      <c r="J9" s="3"/>
      <c r="K9" s="44">
        <f>'Ordering Period 4'!M9+('Ordering Period 4'!M9*Escalation!$D$5)</f>
        <v>0</v>
      </c>
      <c r="L9" s="5">
        <f t="shared" si="1"/>
        <v>0</v>
      </c>
      <c r="M9" s="5">
        <f t="shared" si="2"/>
        <v>0</v>
      </c>
      <c r="N9" s="5">
        <f t="shared" si="9"/>
        <v>0</v>
      </c>
      <c r="O9" s="5">
        <f t="shared" si="24"/>
        <v>0</v>
      </c>
      <c r="P9" s="44">
        <f t="shared" si="11"/>
        <v>0</v>
      </c>
      <c r="Q9" s="44">
        <f t="shared" ref="Q9:Q10" si="26">(P9-O9)*$Q$4</f>
        <v>0</v>
      </c>
      <c r="R9" s="44">
        <f t="shared" si="25"/>
        <v>0</v>
      </c>
      <c r="S9" s="44">
        <f t="shared" si="3"/>
        <v>0</v>
      </c>
      <c r="T9" s="44">
        <f t="shared" si="4"/>
        <v>0</v>
      </c>
      <c r="U9" s="128">
        <f t="shared" si="5"/>
        <v>0</v>
      </c>
      <c r="W9" s="161"/>
      <c r="X9" s="5"/>
      <c r="Y9" s="44">
        <f t="shared" si="13"/>
        <v>0</v>
      </c>
      <c r="Z9" s="5">
        <f t="shared" si="14"/>
        <v>0</v>
      </c>
      <c r="AA9" s="5">
        <f t="shared" si="15"/>
        <v>0</v>
      </c>
      <c r="AB9" s="5"/>
      <c r="AC9" s="44">
        <f t="shared" si="16"/>
        <v>0</v>
      </c>
      <c r="AD9" s="44">
        <f t="shared" si="17"/>
        <v>0</v>
      </c>
      <c r="AE9" s="44">
        <f t="shared" si="18"/>
        <v>0</v>
      </c>
      <c r="AF9" s="44">
        <f t="shared" si="19"/>
        <v>0</v>
      </c>
      <c r="AG9" s="44">
        <f t="shared" si="20"/>
        <v>0</v>
      </c>
      <c r="AH9" s="44">
        <f t="shared" si="21"/>
        <v>0</v>
      </c>
      <c r="AI9" s="160"/>
      <c r="AJ9" s="7"/>
      <c r="AK9" s="8"/>
      <c r="AM9" s="162" t="str">
        <f t="shared" si="6"/>
        <v/>
      </c>
      <c r="AN9" s="45" t="str">
        <f t="shared" si="7"/>
        <v/>
      </c>
      <c r="AO9" s="128">
        <f t="shared" ref="AO9:AO10" si="27">SUM(AM9:AN9)</f>
        <v>0</v>
      </c>
    </row>
    <row r="10" spans="1:41" x14ac:dyDescent="0.25">
      <c r="A10" s="497"/>
      <c r="B10" s="280" t="s">
        <v>98</v>
      </c>
      <c r="C10" s="108" t="s">
        <v>99</v>
      </c>
      <c r="D10" s="108" t="s">
        <v>181</v>
      </c>
      <c r="E10" s="108" t="s">
        <v>91</v>
      </c>
      <c r="F10" s="42">
        <v>23160</v>
      </c>
      <c r="G10" s="42">
        <f t="shared" si="0"/>
        <v>0</v>
      </c>
      <c r="H10" s="43">
        <f t="shared" si="8"/>
        <v>23160</v>
      </c>
      <c r="I10" s="107"/>
      <c r="J10" s="3"/>
      <c r="K10" s="44">
        <f>'Ordering Period 4'!M10+('Ordering Period 4'!M10*Escalation!$D$5)</f>
        <v>0</v>
      </c>
      <c r="L10" s="5">
        <f t="shared" si="1"/>
        <v>0</v>
      </c>
      <c r="M10" s="5">
        <f t="shared" si="2"/>
        <v>0</v>
      </c>
      <c r="N10" s="5">
        <f t="shared" si="9"/>
        <v>0</v>
      </c>
      <c r="O10" s="5">
        <f t="shared" si="24"/>
        <v>0</v>
      </c>
      <c r="P10" s="44">
        <f t="shared" si="11"/>
        <v>0</v>
      </c>
      <c r="Q10" s="44">
        <f t="shared" si="26"/>
        <v>0</v>
      </c>
      <c r="R10" s="44">
        <f>SUM(P10:Q10)</f>
        <v>0</v>
      </c>
      <c r="S10" s="44">
        <f t="shared" si="3"/>
        <v>0</v>
      </c>
      <c r="T10" s="44">
        <f t="shared" si="4"/>
        <v>0</v>
      </c>
      <c r="U10" s="128">
        <f t="shared" si="5"/>
        <v>0</v>
      </c>
      <c r="W10" s="161"/>
      <c r="X10" s="5"/>
      <c r="Y10" s="44">
        <f t="shared" si="13"/>
        <v>0</v>
      </c>
      <c r="Z10" s="5">
        <f t="shared" si="14"/>
        <v>0</v>
      </c>
      <c r="AA10" s="5">
        <f t="shared" si="15"/>
        <v>0</v>
      </c>
      <c r="AB10" s="5"/>
      <c r="AC10" s="44">
        <f t="shared" si="16"/>
        <v>0</v>
      </c>
      <c r="AD10" s="44">
        <f t="shared" si="17"/>
        <v>0</v>
      </c>
      <c r="AE10" s="44">
        <f t="shared" si="18"/>
        <v>0</v>
      </c>
      <c r="AF10" s="44">
        <f t="shared" si="19"/>
        <v>0</v>
      </c>
      <c r="AG10" s="44">
        <f t="shared" si="20"/>
        <v>0</v>
      </c>
      <c r="AH10" s="44">
        <f t="shared" si="21"/>
        <v>0</v>
      </c>
      <c r="AI10" s="160"/>
      <c r="AJ10" s="7"/>
      <c r="AK10" s="8"/>
      <c r="AM10" s="162" t="str">
        <f t="shared" si="6"/>
        <v/>
      </c>
      <c r="AN10" s="45" t="str">
        <f t="shared" si="7"/>
        <v/>
      </c>
      <c r="AO10" s="128">
        <f t="shared" si="27"/>
        <v>0</v>
      </c>
    </row>
    <row r="11" spans="1:41" x14ac:dyDescent="0.25">
      <c r="A11" s="497"/>
      <c r="B11" s="280" t="s">
        <v>100</v>
      </c>
      <c r="C11" s="108" t="s">
        <v>101</v>
      </c>
      <c r="D11" s="108" t="s">
        <v>182</v>
      </c>
      <c r="E11" s="108" t="s">
        <v>91</v>
      </c>
      <c r="F11" s="42">
        <v>23663</v>
      </c>
      <c r="G11" s="42">
        <f t="shared" si="0"/>
        <v>0</v>
      </c>
      <c r="H11" s="43">
        <f>F11-G11</f>
        <v>23663</v>
      </c>
      <c r="I11" s="107"/>
      <c r="J11" s="3"/>
      <c r="K11" s="44">
        <f>'Ordering Period 4'!M11+('Ordering Period 4'!M11*Escalation!$D$5)</f>
        <v>0</v>
      </c>
      <c r="L11" s="5">
        <f>(K11*$L$4)</f>
        <v>0</v>
      </c>
      <c r="M11" s="5">
        <f>(L11+K11)*$M$4</f>
        <v>0</v>
      </c>
      <c r="N11" s="5">
        <f>(L11+K11+M11)*$N$4</f>
        <v>0</v>
      </c>
      <c r="O11" s="5">
        <f>(K11+L11+M11+N11)*$O$4</f>
        <v>0</v>
      </c>
      <c r="P11" s="44">
        <f>SUM(K11:O11)</f>
        <v>0</v>
      </c>
      <c r="Q11" s="44">
        <f>(P11-O11)*$Q$4</f>
        <v>0</v>
      </c>
      <c r="R11" s="44">
        <f>SUM(P11:Q11)</f>
        <v>0</v>
      </c>
      <c r="S11" s="44">
        <f t="shared" si="3"/>
        <v>0</v>
      </c>
      <c r="T11" s="44">
        <f t="shared" si="4"/>
        <v>0</v>
      </c>
      <c r="U11" s="128">
        <f t="shared" si="5"/>
        <v>0</v>
      </c>
      <c r="W11" s="161"/>
      <c r="X11" s="5"/>
      <c r="Y11" s="44">
        <f>IF($W11&gt;0,$X11,0)</f>
        <v>0</v>
      </c>
      <c r="Z11" s="5">
        <f>(Y11*$Z$4)</f>
        <v>0</v>
      </c>
      <c r="AA11" s="5">
        <f>(Y11+Z11)*$AA$4</f>
        <v>0</v>
      </c>
      <c r="AB11" s="5"/>
      <c r="AC11" s="44">
        <f>SUM(Y11:AB11)</f>
        <v>0</v>
      </c>
      <c r="AD11" s="44">
        <f>$AD$4*(AA11+Y11+Z11)</f>
        <v>0</v>
      </c>
      <c r="AE11" s="44">
        <f>SUM(AC11:AD11)</f>
        <v>0</v>
      </c>
      <c r="AF11" s="44">
        <f>AC11*W11</f>
        <v>0</v>
      </c>
      <c r="AG11" s="44">
        <f>AD11*W11</f>
        <v>0</v>
      </c>
      <c r="AH11" s="44">
        <f>AE11*W11</f>
        <v>0</v>
      </c>
      <c r="AI11" s="160"/>
      <c r="AJ11" s="7"/>
      <c r="AK11" s="8"/>
      <c r="AM11" s="162" t="str">
        <f t="shared" si="6"/>
        <v/>
      </c>
      <c r="AN11" s="45" t="str">
        <f t="shared" si="7"/>
        <v/>
      </c>
      <c r="AO11" s="128">
        <f>SUM(AM11:AN11)</f>
        <v>0</v>
      </c>
    </row>
    <row r="12" spans="1:41" ht="15.75" thickBot="1" x14ac:dyDescent="0.3">
      <c r="A12" s="498"/>
      <c r="B12" s="282" t="s">
        <v>102</v>
      </c>
      <c r="C12" s="147" t="s">
        <v>103</v>
      </c>
      <c r="D12" s="147" t="s">
        <v>183</v>
      </c>
      <c r="E12" s="147" t="s">
        <v>91</v>
      </c>
      <c r="F12" s="148">
        <v>35702</v>
      </c>
      <c r="G12" s="148">
        <f t="shared" si="0"/>
        <v>0</v>
      </c>
      <c r="H12" s="149">
        <f>F12-G12</f>
        <v>35702</v>
      </c>
      <c r="I12" s="107"/>
      <c r="J12" s="176"/>
      <c r="K12" s="178">
        <f>'Ordering Period 4'!M12+('Ordering Period 4'!M12*Escalation!$D$5)</f>
        <v>0</v>
      </c>
      <c r="L12" s="179">
        <f t="shared" ref="L12" si="28">(K12*$L$4)</f>
        <v>0</v>
      </c>
      <c r="M12" s="179">
        <f t="shared" ref="M12" si="29">(L12+K12)*$M$4</f>
        <v>0</v>
      </c>
      <c r="N12" s="179">
        <f t="shared" ref="N12" si="30">(L12+K12+M12)*$N$4</f>
        <v>0</v>
      </c>
      <c r="O12" s="179">
        <f>(K12+L12+M12+N12)*$O$4</f>
        <v>0</v>
      </c>
      <c r="P12" s="178">
        <f t="shared" ref="P12" si="31">SUM(K12:O12)</f>
        <v>0</v>
      </c>
      <c r="Q12" s="178">
        <f>(P12-O12)*$Q$4</f>
        <v>0</v>
      </c>
      <c r="R12" s="178">
        <f t="shared" ref="R12" si="32">SUM(P12:Q12)</f>
        <v>0</v>
      </c>
      <c r="S12" s="178">
        <f t="shared" si="3"/>
        <v>0</v>
      </c>
      <c r="T12" s="178">
        <f t="shared" si="4"/>
        <v>0</v>
      </c>
      <c r="U12" s="180">
        <f t="shared" si="5"/>
        <v>0</v>
      </c>
      <c r="W12" s="181"/>
      <c r="X12" s="179"/>
      <c r="Y12" s="178">
        <f t="shared" si="13"/>
        <v>0</v>
      </c>
      <c r="Z12" s="179">
        <f t="shared" ref="Z12" si="33">(Y12*$Z$4)</f>
        <v>0</v>
      </c>
      <c r="AA12" s="179">
        <f t="shared" ref="AA12" si="34">(Y12+Z12)*$AA$4</f>
        <v>0</v>
      </c>
      <c r="AB12" s="179"/>
      <c r="AC12" s="178">
        <f t="shared" ref="AC12" si="35">SUM(Y12:AB12)</f>
        <v>0</v>
      </c>
      <c r="AD12" s="178">
        <f t="shared" ref="AD12" si="36">$AD$4*(AA12+Y12+Z12)</f>
        <v>0</v>
      </c>
      <c r="AE12" s="178">
        <f t="shared" ref="AE12" si="37">SUM(AC12:AD12)</f>
        <v>0</v>
      </c>
      <c r="AF12" s="178">
        <f t="shared" ref="AF12" si="38">AC12*W12</f>
        <v>0</v>
      </c>
      <c r="AG12" s="178">
        <f t="shared" ref="AG12" si="39">AD12*W12</f>
        <v>0</v>
      </c>
      <c r="AH12" s="178">
        <f t="shared" ref="AH12" si="40">AE12*W12</f>
        <v>0</v>
      </c>
      <c r="AI12" s="189"/>
      <c r="AJ12" s="177"/>
      <c r="AK12" s="182"/>
      <c r="AM12" s="183" t="str">
        <f t="shared" si="6"/>
        <v/>
      </c>
      <c r="AN12" s="184" t="str">
        <f t="shared" si="7"/>
        <v/>
      </c>
      <c r="AO12" s="180">
        <f t="shared" ref="AO12" si="41">SUM(AM12:AN12)</f>
        <v>0</v>
      </c>
    </row>
    <row r="13" spans="1:41" x14ac:dyDescent="0.25">
      <c r="A13" s="496" t="s">
        <v>76</v>
      </c>
      <c r="B13" s="279" t="s">
        <v>104</v>
      </c>
      <c r="C13" s="109" t="s">
        <v>105</v>
      </c>
      <c r="D13" s="109" t="s">
        <v>184</v>
      </c>
      <c r="E13" s="109" t="s">
        <v>91</v>
      </c>
      <c r="F13" s="38">
        <v>20703</v>
      </c>
      <c r="G13" s="38">
        <f t="shared" si="0"/>
        <v>0</v>
      </c>
      <c r="H13" s="39">
        <f t="shared" si="8"/>
        <v>20703</v>
      </c>
      <c r="I13" s="107"/>
      <c r="J13" s="121"/>
      <c r="K13" s="122">
        <f>'Ordering Period 4'!M13+('Ordering Period 4'!M13*Escalation!$D$5)</f>
        <v>0</v>
      </c>
      <c r="L13" s="123">
        <f t="shared" si="1"/>
        <v>0</v>
      </c>
      <c r="M13" s="123">
        <f t="shared" si="2"/>
        <v>0</v>
      </c>
      <c r="N13" s="123">
        <f t="shared" si="9"/>
        <v>0</v>
      </c>
      <c r="O13" s="123">
        <f t="shared" si="10"/>
        <v>0</v>
      </c>
      <c r="P13" s="122">
        <f t="shared" si="11"/>
        <v>0</v>
      </c>
      <c r="Q13" s="122">
        <f t="shared" si="22"/>
        <v>0</v>
      </c>
      <c r="R13" s="122">
        <f t="shared" si="12"/>
        <v>0</v>
      </c>
      <c r="S13" s="122">
        <f t="shared" si="3"/>
        <v>0</v>
      </c>
      <c r="T13" s="122">
        <f t="shared" si="4"/>
        <v>0</v>
      </c>
      <c r="U13" s="124">
        <f t="shared" si="5"/>
        <v>0</v>
      </c>
      <c r="W13" s="121"/>
      <c r="X13" s="123"/>
      <c r="Y13" s="122">
        <f t="shared" si="13"/>
        <v>0</v>
      </c>
      <c r="Z13" s="123">
        <f t="shared" si="14"/>
        <v>0</v>
      </c>
      <c r="AA13" s="123">
        <f t="shared" si="15"/>
        <v>0</v>
      </c>
      <c r="AB13" s="123"/>
      <c r="AC13" s="122">
        <f t="shared" si="16"/>
        <v>0</v>
      </c>
      <c r="AD13" s="122">
        <f t="shared" si="17"/>
        <v>0</v>
      </c>
      <c r="AE13" s="122">
        <f t="shared" si="18"/>
        <v>0</v>
      </c>
      <c r="AF13" s="122">
        <f t="shared" si="19"/>
        <v>0</v>
      </c>
      <c r="AG13" s="122">
        <f t="shared" si="20"/>
        <v>0</v>
      </c>
      <c r="AH13" s="122">
        <f t="shared" si="21"/>
        <v>0</v>
      </c>
      <c r="AI13" s="159"/>
      <c r="AJ13" s="126"/>
      <c r="AK13" s="127"/>
      <c r="AM13" s="140" t="str">
        <f t="shared" si="6"/>
        <v/>
      </c>
      <c r="AN13" s="125" t="str">
        <f t="shared" si="7"/>
        <v/>
      </c>
      <c r="AO13" s="124">
        <f t="shared" si="23"/>
        <v>0</v>
      </c>
    </row>
    <row r="14" spans="1:41" ht="15.75" thickBot="1" x14ac:dyDescent="0.3">
      <c r="A14" s="498"/>
      <c r="B14" s="282" t="s">
        <v>106</v>
      </c>
      <c r="C14" s="147" t="s">
        <v>107</v>
      </c>
      <c r="D14" s="147" t="s">
        <v>185</v>
      </c>
      <c r="E14" s="147" t="s">
        <v>91</v>
      </c>
      <c r="F14" s="148">
        <v>171558</v>
      </c>
      <c r="G14" s="148">
        <f t="shared" si="0"/>
        <v>0</v>
      </c>
      <c r="H14" s="149">
        <f t="shared" si="8"/>
        <v>171558</v>
      </c>
      <c r="I14" s="107"/>
      <c r="J14" s="176"/>
      <c r="K14" s="178">
        <f>'Ordering Period 4'!M14+('Ordering Period 4'!M14*Escalation!$D$5)</f>
        <v>0</v>
      </c>
      <c r="L14" s="179">
        <f t="shared" si="1"/>
        <v>0</v>
      </c>
      <c r="M14" s="179">
        <f t="shared" si="2"/>
        <v>0</v>
      </c>
      <c r="N14" s="179">
        <f t="shared" si="9"/>
        <v>0</v>
      </c>
      <c r="O14" s="179">
        <f t="shared" si="10"/>
        <v>0</v>
      </c>
      <c r="P14" s="178">
        <f t="shared" si="11"/>
        <v>0</v>
      </c>
      <c r="Q14" s="178">
        <f t="shared" si="22"/>
        <v>0</v>
      </c>
      <c r="R14" s="178">
        <f t="shared" ref="R14" si="42">SUM(P14:Q14)</f>
        <v>0</v>
      </c>
      <c r="S14" s="178">
        <f t="shared" si="3"/>
        <v>0</v>
      </c>
      <c r="T14" s="178">
        <f t="shared" si="4"/>
        <v>0</v>
      </c>
      <c r="U14" s="180">
        <f t="shared" si="5"/>
        <v>0</v>
      </c>
      <c r="W14" s="181"/>
      <c r="X14" s="179"/>
      <c r="Y14" s="178">
        <f t="shared" si="13"/>
        <v>0</v>
      </c>
      <c r="Z14" s="179">
        <f t="shared" si="14"/>
        <v>0</v>
      </c>
      <c r="AA14" s="179">
        <f t="shared" si="15"/>
        <v>0</v>
      </c>
      <c r="AB14" s="179"/>
      <c r="AC14" s="178">
        <f t="shared" si="16"/>
        <v>0</v>
      </c>
      <c r="AD14" s="178">
        <f t="shared" si="17"/>
        <v>0</v>
      </c>
      <c r="AE14" s="178">
        <f t="shared" si="18"/>
        <v>0</v>
      </c>
      <c r="AF14" s="178">
        <f t="shared" si="19"/>
        <v>0</v>
      </c>
      <c r="AG14" s="178">
        <f t="shared" si="20"/>
        <v>0</v>
      </c>
      <c r="AH14" s="178">
        <f t="shared" si="21"/>
        <v>0</v>
      </c>
      <c r="AI14" s="189"/>
      <c r="AJ14" s="177"/>
      <c r="AK14" s="182"/>
      <c r="AM14" s="183" t="str">
        <f t="shared" si="6"/>
        <v/>
      </c>
      <c r="AN14" s="184" t="str">
        <f t="shared" si="7"/>
        <v/>
      </c>
      <c r="AO14" s="180">
        <f t="shared" si="23"/>
        <v>0</v>
      </c>
    </row>
    <row r="15" spans="1:41" x14ac:dyDescent="0.25">
      <c r="A15" s="496" t="s">
        <v>77</v>
      </c>
      <c r="B15" s="281" t="s">
        <v>108</v>
      </c>
      <c r="C15" s="197" t="s">
        <v>95</v>
      </c>
      <c r="D15" s="197" t="s">
        <v>179</v>
      </c>
      <c r="E15" s="197" t="s">
        <v>91</v>
      </c>
      <c r="F15" s="198">
        <v>190785</v>
      </c>
      <c r="G15" s="198">
        <f t="shared" si="0"/>
        <v>0</v>
      </c>
      <c r="H15" s="199">
        <f t="shared" si="8"/>
        <v>190785</v>
      </c>
      <c r="I15" s="107"/>
      <c r="J15" s="121"/>
      <c r="K15" s="122">
        <f>'Ordering Period 4'!M15+('Ordering Period 4'!M15*Escalation!$D$5)</f>
        <v>0</v>
      </c>
      <c r="L15" s="123">
        <f t="shared" si="1"/>
        <v>0</v>
      </c>
      <c r="M15" s="123">
        <f t="shared" si="2"/>
        <v>0</v>
      </c>
      <c r="N15" s="123">
        <f t="shared" si="9"/>
        <v>0</v>
      </c>
      <c r="O15" s="123">
        <f>(K15+L15+M15+N15)*$O$4</f>
        <v>0</v>
      </c>
      <c r="P15" s="122">
        <f t="shared" si="11"/>
        <v>0</v>
      </c>
      <c r="Q15" s="122">
        <f t="shared" si="22"/>
        <v>0</v>
      </c>
      <c r="R15" s="122">
        <f>SUM(P15:Q15)</f>
        <v>0</v>
      </c>
      <c r="S15" s="122">
        <f t="shared" si="3"/>
        <v>0</v>
      </c>
      <c r="T15" s="122">
        <f t="shared" si="4"/>
        <v>0</v>
      </c>
      <c r="U15" s="124">
        <f t="shared" si="5"/>
        <v>0</v>
      </c>
      <c r="W15" s="3"/>
      <c r="X15" s="4"/>
      <c r="Y15" s="40">
        <f t="shared" si="13"/>
        <v>0</v>
      </c>
      <c r="Z15" s="4">
        <f t="shared" si="14"/>
        <v>0</v>
      </c>
      <c r="AA15" s="4">
        <f t="shared" si="15"/>
        <v>0</v>
      </c>
      <c r="AB15" s="4"/>
      <c r="AC15" s="40">
        <f t="shared" si="16"/>
        <v>0</v>
      </c>
      <c r="AD15" s="40">
        <f t="shared" si="17"/>
        <v>0</v>
      </c>
      <c r="AE15" s="40">
        <f t="shared" si="18"/>
        <v>0</v>
      </c>
      <c r="AF15" s="40">
        <f t="shared" si="19"/>
        <v>0</v>
      </c>
      <c r="AG15" s="40">
        <f t="shared" si="20"/>
        <v>0</v>
      </c>
      <c r="AH15" s="40">
        <f t="shared" si="21"/>
        <v>0</v>
      </c>
      <c r="AI15" s="160"/>
      <c r="AJ15" s="213"/>
      <c r="AK15" s="6"/>
      <c r="AM15" s="140" t="str">
        <f t="shared" si="6"/>
        <v/>
      </c>
      <c r="AN15" s="125" t="str">
        <f t="shared" si="7"/>
        <v/>
      </c>
      <c r="AO15" s="124">
        <f t="shared" si="23"/>
        <v>0</v>
      </c>
    </row>
    <row r="16" spans="1:41" x14ac:dyDescent="0.25">
      <c r="A16" s="497"/>
      <c r="B16" s="280" t="s">
        <v>109</v>
      </c>
      <c r="C16" s="108" t="s">
        <v>110</v>
      </c>
      <c r="D16" s="108" t="s">
        <v>186</v>
      </c>
      <c r="E16" s="108" t="s">
        <v>91</v>
      </c>
      <c r="F16" s="42">
        <v>20705</v>
      </c>
      <c r="G16" s="42">
        <f t="shared" si="0"/>
        <v>0</v>
      </c>
      <c r="H16" s="43">
        <f>F16-G16</f>
        <v>20705</v>
      </c>
      <c r="I16" s="107"/>
      <c r="J16" s="3"/>
      <c r="K16" s="44">
        <f>'Ordering Period 4'!M16+('Ordering Period 4'!M16*Escalation!$D$5)</f>
        <v>0</v>
      </c>
      <c r="L16" s="5">
        <f>(K16*$L$4)</f>
        <v>0</v>
      </c>
      <c r="M16" s="5">
        <f>(L16+K16)*$M$4</f>
        <v>0</v>
      </c>
      <c r="N16" s="5">
        <f>(L16+K16+M16)*$N$4</f>
        <v>0</v>
      </c>
      <c r="O16" s="5">
        <f>(K16+L16+M16+N16)*$O$4</f>
        <v>0</v>
      </c>
      <c r="P16" s="44">
        <f>SUM(K16:O16)</f>
        <v>0</v>
      </c>
      <c r="Q16" s="44">
        <f>(P16-O16)*$Q$4</f>
        <v>0</v>
      </c>
      <c r="R16" s="44">
        <f>SUM(P16:Q16)</f>
        <v>0</v>
      </c>
      <c r="S16" s="44">
        <f t="shared" si="3"/>
        <v>0</v>
      </c>
      <c r="T16" s="44">
        <f t="shared" si="4"/>
        <v>0</v>
      </c>
      <c r="U16" s="128">
        <f t="shared" si="5"/>
        <v>0</v>
      </c>
      <c r="W16" s="161"/>
      <c r="X16" s="5"/>
      <c r="Y16" s="44">
        <f>IF($W16&gt;0,$X16,0)</f>
        <v>0</v>
      </c>
      <c r="Z16" s="5">
        <f>(Y16*$Z$4)</f>
        <v>0</v>
      </c>
      <c r="AA16" s="5">
        <f>(Y16+Z16)*$AA$4</f>
        <v>0</v>
      </c>
      <c r="AB16" s="5"/>
      <c r="AC16" s="44">
        <f>SUM(Y16:AB16)</f>
        <v>0</v>
      </c>
      <c r="AD16" s="44">
        <f>$AD$4*(AA16+Y16+Z16)</f>
        <v>0</v>
      </c>
      <c r="AE16" s="44">
        <f>SUM(AC16:AD16)</f>
        <v>0</v>
      </c>
      <c r="AF16" s="44">
        <f>AC16*W16</f>
        <v>0</v>
      </c>
      <c r="AG16" s="44">
        <f>AD16*W16</f>
        <v>0</v>
      </c>
      <c r="AH16" s="44">
        <f>AE16*W16</f>
        <v>0</v>
      </c>
      <c r="AI16" s="160"/>
      <c r="AJ16" s="7"/>
      <c r="AK16" s="8"/>
      <c r="AM16" s="162" t="str">
        <f t="shared" si="6"/>
        <v/>
      </c>
      <c r="AN16" s="45" t="str">
        <f t="shared" si="7"/>
        <v/>
      </c>
      <c r="AO16" s="128">
        <f>SUM(AM16:AN16)</f>
        <v>0</v>
      </c>
    </row>
    <row r="17" spans="1:41" x14ac:dyDescent="0.25">
      <c r="A17" s="497"/>
      <c r="B17" s="280" t="s">
        <v>111</v>
      </c>
      <c r="C17" s="108" t="s">
        <v>99</v>
      </c>
      <c r="D17" s="108" t="s">
        <v>181</v>
      </c>
      <c r="E17" s="108" t="s">
        <v>91</v>
      </c>
      <c r="F17" s="42">
        <v>3461</v>
      </c>
      <c r="G17" s="42">
        <f t="shared" si="0"/>
        <v>0</v>
      </c>
      <c r="H17" s="43">
        <f t="shared" si="8"/>
        <v>3461</v>
      </c>
      <c r="I17" s="107"/>
      <c r="J17" s="3"/>
      <c r="K17" s="44">
        <f>'Ordering Period 4'!M17+('Ordering Period 4'!M17*Escalation!$D$5)</f>
        <v>0</v>
      </c>
      <c r="L17" s="5">
        <f t="shared" si="1"/>
        <v>0</v>
      </c>
      <c r="M17" s="5">
        <f t="shared" si="2"/>
        <v>0</v>
      </c>
      <c r="N17" s="5">
        <f t="shared" si="9"/>
        <v>0</v>
      </c>
      <c r="O17" s="5">
        <f t="shared" si="10"/>
        <v>0</v>
      </c>
      <c r="P17" s="44">
        <f t="shared" si="11"/>
        <v>0</v>
      </c>
      <c r="Q17" s="44">
        <f t="shared" si="22"/>
        <v>0</v>
      </c>
      <c r="R17" s="44">
        <f>SUM(P17:Q17)</f>
        <v>0</v>
      </c>
      <c r="S17" s="44">
        <f t="shared" si="3"/>
        <v>0</v>
      </c>
      <c r="T17" s="44">
        <f t="shared" si="4"/>
        <v>0</v>
      </c>
      <c r="U17" s="128">
        <f t="shared" si="5"/>
        <v>0</v>
      </c>
      <c r="W17" s="161"/>
      <c r="X17" s="5"/>
      <c r="Y17" s="44">
        <f t="shared" si="13"/>
        <v>0</v>
      </c>
      <c r="Z17" s="5">
        <f t="shared" si="14"/>
        <v>0</v>
      </c>
      <c r="AA17" s="5">
        <f t="shared" si="15"/>
        <v>0</v>
      </c>
      <c r="AB17" s="5"/>
      <c r="AC17" s="44">
        <f t="shared" si="16"/>
        <v>0</v>
      </c>
      <c r="AD17" s="44">
        <f t="shared" si="17"/>
        <v>0</v>
      </c>
      <c r="AE17" s="44">
        <f t="shared" si="18"/>
        <v>0</v>
      </c>
      <c r="AF17" s="44">
        <f t="shared" si="19"/>
        <v>0</v>
      </c>
      <c r="AG17" s="44">
        <f t="shared" si="20"/>
        <v>0</v>
      </c>
      <c r="AH17" s="44">
        <f t="shared" si="21"/>
        <v>0</v>
      </c>
      <c r="AI17" s="160"/>
      <c r="AJ17" s="7"/>
      <c r="AK17" s="8"/>
      <c r="AM17" s="162" t="str">
        <f t="shared" si="6"/>
        <v/>
      </c>
      <c r="AN17" s="45" t="str">
        <f t="shared" si="7"/>
        <v/>
      </c>
      <c r="AO17" s="128">
        <f t="shared" si="23"/>
        <v>0</v>
      </c>
    </row>
    <row r="18" spans="1:41" x14ac:dyDescent="0.25">
      <c r="A18" s="497"/>
      <c r="B18" s="280" t="s">
        <v>112</v>
      </c>
      <c r="C18" s="108" t="s">
        <v>113</v>
      </c>
      <c r="D18" s="108" t="s">
        <v>187</v>
      </c>
      <c r="E18" s="108" t="s">
        <v>91</v>
      </c>
      <c r="F18" s="42">
        <v>41411</v>
      </c>
      <c r="G18" s="42">
        <f t="shared" si="0"/>
        <v>0</v>
      </c>
      <c r="H18" s="43">
        <f t="shared" si="8"/>
        <v>41411</v>
      </c>
      <c r="I18" s="107"/>
      <c r="J18" s="3"/>
      <c r="K18" s="44">
        <f>'Ordering Period 4'!M18+('Ordering Period 4'!M18*Escalation!$D$5)</f>
        <v>0</v>
      </c>
      <c r="L18" s="5">
        <f t="shared" si="1"/>
        <v>0</v>
      </c>
      <c r="M18" s="5">
        <f t="shared" si="2"/>
        <v>0</v>
      </c>
      <c r="N18" s="5">
        <f t="shared" si="9"/>
        <v>0</v>
      </c>
      <c r="O18" s="5">
        <f t="shared" si="10"/>
        <v>0</v>
      </c>
      <c r="P18" s="44">
        <f t="shared" si="11"/>
        <v>0</v>
      </c>
      <c r="Q18" s="44">
        <f t="shared" si="22"/>
        <v>0</v>
      </c>
      <c r="R18" s="44">
        <f t="shared" ref="R18:R37" si="43">SUM(P18:Q18)</f>
        <v>0</v>
      </c>
      <c r="S18" s="44">
        <f t="shared" si="3"/>
        <v>0</v>
      </c>
      <c r="T18" s="44">
        <f t="shared" si="4"/>
        <v>0</v>
      </c>
      <c r="U18" s="128">
        <f t="shared" si="5"/>
        <v>0</v>
      </c>
      <c r="W18" s="161"/>
      <c r="X18" s="5"/>
      <c r="Y18" s="44">
        <f t="shared" si="13"/>
        <v>0</v>
      </c>
      <c r="Z18" s="5">
        <f t="shared" si="14"/>
        <v>0</v>
      </c>
      <c r="AA18" s="5">
        <f t="shared" si="15"/>
        <v>0</v>
      </c>
      <c r="AB18" s="5"/>
      <c r="AC18" s="44">
        <f t="shared" si="16"/>
        <v>0</v>
      </c>
      <c r="AD18" s="44">
        <f t="shared" si="17"/>
        <v>0</v>
      </c>
      <c r="AE18" s="44">
        <f t="shared" si="18"/>
        <v>0</v>
      </c>
      <c r="AF18" s="44">
        <f t="shared" si="19"/>
        <v>0</v>
      </c>
      <c r="AG18" s="44">
        <f t="shared" si="20"/>
        <v>0</v>
      </c>
      <c r="AH18" s="44">
        <f t="shared" si="21"/>
        <v>0</v>
      </c>
      <c r="AI18" s="160"/>
      <c r="AJ18" s="7"/>
      <c r="AK18" s="8"/>
      <c r="AM18" s="162" t="str">
        <f t="shared" si="6"/>
        <v/>
      </c>
      <c r="AN18" s="45" t="str">
        <f t="shared" si="7"/>
        <v/>
      </c>
      <c r="AO18" s="128">
        <f t="shared" si="23"/>
        <v>0</v>
      </c>
    </row>
    <row r="19" spans="1:41" ht="15.75" thickBot="1" x14ac:dyDescent="0.3">
      <c r="A19" s="498"/>
      <c r="B19" s="280" t="s">
        <v>114</v>
      </c>
      <c r="C19" s="108" t="s">
        <v>103</v>
      </c>
      <c r="D19" s="108" t="s">
        <v>183</v>
      </c>
      <c r="E19" s="108" t="s">
        <v>91</v>
      </c>
      <c r="F19" s="42">
        <v>14583</v>
      </c>
      <c r="G19" s="42">
        <f t="shared" si="0"/>
        <v>0</v>
      </c>
      <c r="H19" s="43">
        <f>F19-G19</f>
        <v>14583</v>
      </c>
      <c r="I19" s="107"/>
      <c r="J19" s="176"/>
      <c r="K19" s="178">
        <f>'Ordering Period 4'!M19+('Ordering Period 4'!M19*Escalation!$D$5)</f>
        <v>0</v>
      </c>
      <c r="L19" s="179">
        <f t="shared" si="1"/>
        <v>0</v>
      </c>
      <c r="M19" s="179">
        <f t="shared" si="2"/>
        <v>0</v>
      </c>
      <c r="N19" s="179">
        <f t="shared" si="9"/>
        <v>0</v>
      </c>
      <c r="O19" s="179">
        <f>(K19+L19+M19+N19)*$O$4</f>
        <v>0</v>
      </c>
      <c r="P19" s="178">
        <f t="shared" si="11"/>
        <v>0</v>
      </c>
      <c r="Q19" s="178">
        <f>(P19-O19)*$Q$4</f>
        <v>0</v>
      </c>
      <c r="R19" s="178">
        <f t="shared" si="43"/>
        <v>0</v>
      </c>
      <c r="S19" s="178">
        <f t="shared" si="3"/>
        <v>0</v>
      </c>
      <c r="T19" s="178">
        <f t="shared" si="4"/>
        <v>0</v>
      </c>
      <c r="U19" s="180">
        <f t="shared" si="5"/>
        <v>0</v>
      </c>
      <c r="W19" s="181"/>
      <c r="X19" s="179"/>
      <c r="Y19" s="178">
        <f t="shared" si="13"/>
        <v>0</v>
      </c>
      <c r="Z19" s="179">
        <f t="shared" si="14"/>
        <v>0</v>
      </c>
      <c r="AA19" s="179">
        <f t="shared" si="15"/>
        <v>0</v>
      </c>
      <c r="AB19" s="179"/>
      <c r="AC19" s="178">
        <f t="shared" si="16"/>
        <v>0</v>
      </c>
      <c r="AD19" s="178">
        <f t="shared" si="17"/>
        <v>0</v>
      </c>
      <c r="AE19" s="178">
        <f t="shared" si="18"/>
        <v>0</v>
      </c>
      <c r="AF19" s="178">
        <f t="shared" si="19"/>
        <v>0</v>
      </c>
      <c r="AG19" s="178">
        <f t="shared" si="20"/>
        <v>0</v>
      </c>
      <c r="AH19" s="178">
        <f t="shared" si="21"/>
        <v>0</v>
      </c>
      <c r="AI19" s="189"/>
      <c r="AJ19" s="177"/>
      <c r="AK19" s="182"/>
      <c r="AM19" s="183" t="str">
        <f t="shared" si="6"/>
        <v/>
      </c>
      <c r="AN19" s="184" t="str">
        <f t="shared" si="7"/>
        <v/>
      </c>
      <c r="AO19" s="180">
        <f t="shared" si="23"/>
        <v>0</v>
      </c>
    </row>
    <row r="20" spans="1:41" ht="15.75" thickBot="1" x14ac:dyDescent="0.3">
      <c r="A20" s="66" t="s">
        <v>188</v>
      </c>
      <c r="B20" s="278"/>
      <c r="C20" s="200"/>
      <c r="D20" s="200"/>
      <c r="E20" s="200"/>
      <c r="F20" s="201"/>
      <c r="G20" s="201"/>
      <c r="H20" s="202"/>
      <c r="I20" s="46"/>
      <c r="J20" s="443"/>
      <c r="K20" s="445"/>
      <c r="L20" s="208"/>
      <c r="M20" s="208"/>
      <c r="N20" s="208"/>
      <c r="O20" s="208"/>
      <c r="P20" s="208"/>
      <c r="Q20" s="208"/>
      <c r="R20" s="208"/>
      <c r="S20" s="208"/>
      <c r="T20" s="208"/>
      <c r="U20" s="209"/>
      <c r="W20" s="446"/>
      <c r="X20" s="244"/>
      <c r="Y20" s="244"/>
      <c r="Z20" s="244"/>
      <c r="AA20" s="244"/>
      <c r="AB20" s="244"/>
      <c r="AC20" s="244"/>
      <c r="AD20" s="244"/>
      <c r="AE20" s="244"/>
      <c r="AF20" s="244"/>
      <c r="AG20" s="244"/>
      <c r="AH20" s="244"/>
      <c r="AI20" s="447"/>
      <c r="AJ20" s="447"/>
      <c r="AK20" s="448"/>
      <c r="AM20" s="346"/>
      <c r="AN20" s="347"/>
      <c r="AO20" s="348"/>
    </row>
    <row r="21" spans="1:41" ht="15.75" thickBot="1" x14ac:dyDescent="0.3">
      <c r="A21" s="297" t="s">
        <v>73</v>
      </c>
      <c r="B21" s="283" t="s">
        <v>92</v>
      </c>
      <c r="C21" s="284" t="s">
        <v>93</v>
      </c>
      <c r="D21" s="284" t="s">
        <v>178</v>
      </c>
      <c r="E21" s="284" t="s">
        <v>189</v>
      </c>
      <c r="F21" s="285">
        <v>6626</v>
      </c>
      <c r="G21" s="285">
        <f t="shared" ref="G21:G34" si="44">SUM(J21,W21)</f>
        <v>0</v>
      </c>
      <c r="H21" s="286">
        <f>F21-G21</f>
        <v>6626</v>
      </c>
      <c r="I21" s="107"/>
      <c r="J21" s="205"/>
      <c r="K21" s="316">
        <f>'Ordering Period 4'!M21+('Ordering Period 4'!M21*Escalation!$D$5)</f>
        <v>0</v>
      </c>
      <c r="L21" s="341">
        <f t="shared" ref="L21:L34" si="45">(K21*$L$4)</f>
        <v>0</v>
      </c>
      <c r="M21" s="341">
        <f t="shared" ref="M21:M34" si="46">(L21+K21)*$M$4</f>
        <v>0</v>
      </c>
      <c r="N21" s="341">
        <f t="shared" ref="N21:N34" si="47">(L21+K21+M21)*$N$4</f>
        <v>0</v>
      </c>
      <c r="O21" s="341">
        <f t="shared" ref="O21:O34" si="48">(K21+L21+M21+N21)*$O$4</f>
        <v>0</v>
      </c>
      <c r="P21" s="316">
        <f t="shared" ref="P21:P34" si="49">SUM(K21:O21)</f>
        <v>0</v>
      </c>
      <c r="Q21" s="316">
        <f t="shared" ref="Q21:Q34" si="50">(P21-O21)*$Q$4</f>
        <v>0</v>
      </c>
      <c r="R21" s="316">
        <f>SUM(P21:Q21)</f>
        <v>0</v>
      </c>
      <c r="S21" s="316">
        <f t="shared" ref="S21:S34" si="51">P21*J21</f>
        <v>0</v>
      </c>
      <c r="T21" s="316">
        <f t="shared" ref="T21:T34" si="52">Q21*J21</f>
        <v>0</v>
      </c>
      <c r="U21" s="317">
        <f t="shared" ref="U21:U34" si="53">R21*J21</f>
        <v>0</v>
      </c>
      <c r="W21" s="205"/>
      <c r="X21" s="341"/>
      <c r="Y21" s="316">
        <f>IF($W21&gt;0,$X21,0)</f>
        <v>0</v>
      </c>
      <c r="Z21" s="341">
        <f t="shared" ref="Z21:Z34" si="54">(Y21*$Z$4)</f>
        <v>0</v>
      </c>
      <c r="AA21" s="341">
        <f t="shared" ref="AA21:AA34" si="55">(Y21+Z21)*$AA$4</f>
        <v>0</v>
      </c>
      <c r="AB21" s="341"/>
      <c r="AC21" s="316">
        <f t="shared" ref="AC21:AC34" si="56">SUM(Y21:AB21)</f>
        <v>0</v>
      </c>
      <c r="AD21" s="316">
        <f t="shared" ref="AD21:AD46" si="57">$AD$4*(AA21+Y21+Z21)</f>
        <v>0</v>
      </c>
      <c r="AE21" s="316">
        <f t="shared" ref="AE21:AE34" si="58">SUM(AC21:AD21)</f>
        <v>0</v>
      </c>
      <c r="AF21" s="316">
        <f t="shared" ref="AF21:AF33" si="59">AC21*W21</f>
        <v>0</v>
      </c>
      <c r="AG21" s="316">
        <f t="shared" ref="AG21:AG34" si="60">AD21*W21</f>
        <v>0</v>
      </c>
      <c r="AH21" s="317">
        <f t="shared" ref="AH21:AH34" si="61">AE21*W21</f>
        <v>0</v>
      </c>
      <c r="AI21" s="210"/>
      <c r="AJ21" s="344"/>
      <c r="AK21" s="345"/>
      <c r="AM21" s="339" t="str">
        <f t="shared" ref="AM21:AM34" si="62">IFERROR(SUM(S21,AF21)/G21,"")</f>
        <v/>
      </c>
      <c r="AN21" s="340" t="str">
        <f t="shared" ref="AN21:AN34" si="63">IFERROR(SUM(T21,AG21)/G21,"")</f>
        <v/>
      </c>
      <c r="AO21" s="291">
        <f t="shared" ref="AO21:AO34" si="64">SUM(AM21:AN21)</f>
        <v>0</v>
      </c>
    </row>
    <row r="22" spans="1:41" ht="15.75" thickBot="1" x14ac:dyDescent="0.3">
      <c r="A22" s="297" t="s">
        <v>74</v>
      </c>
      <c r="B22" s="283" t="s">
        <v>94</v>
      </c>
      <c r="C22" s="284" t="s">
        <v>95</v>
      </c>
      <c r="D22" s="284" t="s">
        <v>179</v>
      </c>
      <c r="E22" s="284" t="s">
        <v>189</v>
      </c>
      <c r="F22" s="285">
        <v>15899</v>
      </c>
      <c r="G22" s="285">
        <f t="shared" si="44"/>
        <v>0</v>
      </c>
      <c r="H22" s="286">
        <f t="shared" ref="H22:H34" si="65">F22-G22</f>
        <v>15899</v>
      </c>
      <c r="I22" s="107"/>
      <c r="J22" s="288"/>
      <c r="K22" s="290">
        <f>'Ordering Period 4'!M22+('Ordering Period 4'!M22*Escalation!$D$5)</f>
        <v>0</v>
      </c>
      <c r="L22" s="334">
        <f t="shared" si="45"/>
        <v>0</v>
      </c>
      <c r="M22" s="334">
        <f t="shared" si="46"/>
        <v>0</v>
      </c>
      <c r="N22" s="334">
        <f t="shared" si="47"/>
        <v>0</v>
      </c>
      <c r="O22" s="334">
        <f>(K22+L22+M22+N22)*$O$4</f>
        <v>0</v>
      </c>
      <c r="P22" s="290">
        <f t="shared" si="49"/>
        <v>0</v>
      </c>
      <c r="Q22" s="290">
        <f>(P22-O22)*$Q$4</f>
        <v>0</v>
      </c>
      <c r="R22" s="290">
        <f>SUM(P22:Q22)</f>
        <v>0</v>
      </c>
      <c r="S22" s="290">
        <f t="shared" si="51"/>
        <v>0</v>
      </c>
      <c r="T22" s="290">
        <f t="shared" si="52"/>
        <v>0</v>
      </c>
      <c r="U22" s="291">
        <f t="shared" si="53"/>
        <v>0</v>
      </c>
      <c r="W22" s="288"/>
      <c r="X22" s="334"/>
      <c r="Y22" s="290">
        <f t="shared" ref="Y22:Y34" si="66">IF($W22&gt;0,$X22,0)</f>
        <v>0</v>
      </c>
      <c r="Z22" s="334">
        <f t="shared" si="54"/>
        <v>0</v>
      </c>
      <c r="AA22" s="334">
        <f t="shared" si="55"/>
        <v>0</v>
      </c>
      <c r="AB22" s="334"/>
      <c r="AC22" s="290">
        <f t="shared" si="56"/>
        <v>0</v>
      </c>
      <c r="AD22" s="290">
        <f t="shared" si="57"/>
        <v>0</v>
      </c>
      <c r="AE22" s="290">
        <f t="shared" si="58"/>
        <v>0</v>
      </c>
      <c r="AF22" s="290">
        <f t="shared" si="59"/>
        <v>0</v>
      </c>
      <c r="AG22" s="290">
        <f t="shared" si="60"/>
        <v>0</v>
      </c>
      <c r="AH22" s="291">
        <f t="shared" si="61"/>
        <v>0</v>
      </c>
      <c r="AI22" s="335"/>
      <c r="AJ22" s="336"/>
      <c r="AK22" s="337"/>
      <c r="AM22" s="339" t="str">
        <f t="shared" si="62"/>
        <v/>
      </c>
      <c r="AN22" s="340" t="str">
        <f t="shared" si="63"/>
        <v/>
      </c>
      <c r="AO22" s="291">
        <f t="shared" si="64"/>
        <v>0</v>
      </c>
    </row>
    <row r="23" spans="1:41" x14ac:dyDescent="0.25">
      <c r="A23" s="496" t="s">
        <v>75</v>
      </c>
      <c r="B23" s="279" t="s">
        <v>96</v>
      </c>
      <c r="C23" s="109" t="s">
        <v>93</v>
      </c>
      <c r="D23" s="109" t="s">
        <v>178</v>
      </c>
      <c r="E23" s="109" t="s">
        <v>189</v>
      </c>
      <c r="F23" s="38">
        <v>1262</v>
      </c>
      <c r="G23" s="38">
        <f t="shared" si="44"/>
        <v>0</v>
      </c>
      <c r="H23" s="39">
        <f t="shared" si="65"/>
        <v>1262</v>
      </c>
      <c r="I23" s="107"/>
      <c r="J23" s="121"/>
      <c r="K23" s="122">
        <f>'Ordering Period 4'!M23+('Ordering Period 4'!M23*Escalation!$D$5)</f>
        <v>0</v>
      </c>
      <c r="L23" s="123">
        <f t="shared" si="45"/>
        <v>0</v>
      </c>
      <c r="M23" s="123">
        <f t="shared" si="46"/>
        <v>0</v>
      </c>
      <c r="N23" s="123">
        <f t="shared" si="47"/>
        <v>0</v>
      </c>
      <c r="O23" s="123">
        <f t="shared" si="48"/>
        <v>0</v>
      </c>
      <c r="P23" s="122">
        <f t="shared" si="49"/>
        <v>0</v>
      </c>
      <c r="Q23" s="122">
        <f t="shared" si="50"/>
        <v>0</v>
      </c>
      <c r="R23" s="122">
        <f t="shared" ref="R23:R34" si="67">SUM(P23:Q23)</f>
        <v>0</v>
      </c>
      <c r="S23" s="122">
        <f t="shared" si="51"/>
        <v>0</v>
      </c>
      <c r="T23" s="122">
        <f t="shared" si="52"/>
        <v>0</v>
      </c>
      <c r="U23" s="124">
        <f t="shared" si="53"/>
        <v>0</v>
      </c>
      <c r="W23" s="121"/>
      <c r="X23" s="123"/>
      <c r="Y23" s="122">
        <f t="shared" si="66"/>
        <v>0</v>
      </c>
      <c r="Z23" s="123">
        <f t="shared" si="54"/>
        <v>0</v>
      </c>
      <c r="AA23" s="123">
        <f t="shared" si="55"/>
        <v>0</v>
      </c>
      <c r="AB23" s="123"/>
      <c r="AC23" s="122">
        <f t="shared" si="56"/>
        <v>0</v>
      </c>
      <c r="AD23" s="122">
        <f t="shared" si="57"/>
        <v>0</v>
      </c>
      <c r="AE23" s="122">
        <f t="shared" si="58"/>
        <v>0</v>
      </c>
      <c r="AF23" s="122">
        <f t="shared" si="59"/>
        <v>0</v>
      </c>
      <c r="AG23" s="122">
        <f t="shared" si="60"/>
        <v>0</v>
      </c>
      <c r="AH23" s="124">
        <f t="shared" si="61"/>
        <v>0</v>
      </c>
      <c r="AI23" s="159"/>
      <c r="AJ23" s="126"/>
      <c r="AK23" s="127"/>
      <c r="AM23" s="140" t="str">
        <f t="shared" si="62"/>
        <v/>
      </c>
      <c r="AN23" s="125" t="str">
        <f t="shared" si="63"/>
        <v/>
      </c>
      <c r="AO23" s="124">
        <f t="shared" si="64"/>
        <v>0</v>
      </c>
    </row>
    <row r="24" spans="1:41" x14ac:dyDescent="0.25">
      <c r="A24" s="497"/>
      <c r="B24" s="280" t="s">
        <v>97</v>
      </c>
      <c r="C24" s="108" t="s">
        <v>75</v>
      </c>
      <c r="D24" s="108" t="s">
        <v>180</v>
      </c>
      <c r="E24" s="108" t="s">
        <v>189</v>
      </c>
      <c r="F24" s="42">
        <v>22431</v>
      </c>
      <c r="G24" s="42">
        <f t="shared" si="44"/>
        <v>0</v>
      </c>
      <c r="H24" s="43">
        <f t="shared" si="65"/>
        <v>22431</v>
      </c>
      <c r="I24" s="107"/>
      <c r="J24" s="3"/>
      <c r="K24" s="40">
        <f>'Ordering Period 4'!M24+('Ordering Period 4'!M24*Escalation!$D$5)</f>
        <v>0</v>
      </c>
      <c r="L24" s="4">
        <f t="shared" si="45"/>
        <v>0</v>
      </c>
      <c r="M24" s="4">
        <f t="shared" si="46"/>
        <v>0</v>
      </c>
      <c r="N24" s="5">
        <f t="shared" si="47"/>
        <v>0</v>
      </c>
      <c r="O24" s="5">
        <f t="shared" si="48"/>
        <v>0</v>
      </c>
      <c r="P24" s="44">
        <f t="shared" si="49"/>
        <v>0</v>
      </c>
      <c r="Q24" s="44">
        <f t="shared" si="50"/>
        <v>0</v>
      </c>
      <c r="R24" s="44">
        <f>SUM(P24:Q24)</f>
        <v>0</v>
      </c>
      <c r="S24" s="44">
        <f t="shared" si="51"/>
        <v>0</v>
      </c>
      <c r="T24" s="44">
        <f t="shared" si="52"/>
        <v>0</v>
      </c>
      <c r="U24" s="128">
        <f t="shared" si="53"/>
        <v>0</v>
      </c>
      <c r="W24" s="161"/>
      <c r="X24" s="5"/>
      <c r="Y24" s="40">
        <f>IF($W24&gt;0,$X24,0)</f>
        <v>0</v>
      </c>
      <c r="Z24" s="4">
        <f t="shared" si="54"/>
        <v>0</v>
      </c>
      <c r="AA24" s="4">
        <f t="shared" si="55"/>
        <v>0</v>
      </c>
      <c r="AB24" s="4"/>
      <c r="AC24" s="40">
        <f t="shared" si="56"/>
        <v>0</v>
      </c>
      <c r="AD24" s="40">
        <f t="shared" si="57"/>
        <v>0</v>
      </c>
      <c r="AE24" s="40">
        <f t="shared" si="58"/>
        <v>0</v>
      </c>
      <c r="AF24" s="40">
        <f t="shared" si="59"/>
        <v>0</v>
      </c>
      <c r="AG24" s="40">
        <f t="shared" si="60"/>
        <v>0</v>
      </c>
      <c r="AH24" s="41">
        <f t="shared" si="61"/>
        <v>0</v>
      </c>
      <c r="AI24" s="160"/>
      <c r="AJ24" s="7"/>
      <c r="AK24" s="8"/>
      <c r="AM24" s="162" t="str">
        <f t="shared" si="62"/>
        <v/>
      </c>
      <c r="AN24" s="45" t="str">
        <f t="shared" si="63"/>
        <v/>
      </c>
      <c r="AO24" s="128">
        <f t="shared" si="64"/>
        <v>0</v>
      </c>
    </row>
    <row r="25" spans="1:41" x14ac:dyDescent="0.25">
      <c r="A25" s="497"/>
      <c r="B25" s="281" t="s">
        <v>98</v>
      </c>
      <c r="C25" s="108" t="s">
        <v>99</v>
      </c>
      <c r="D25" s="108" t="s">
        <v>181</v>
      </c>
      <c r="E25" s="108" t="s">
        <v>189</v>
      </c>
      <c r="F25" s="42">
        <v>1930</v>
      </c>
      <c r="G25" s="42">
        <f t="shared" si="44"/>
        <v>0</v>
      </c>
      <c r="H25" s="43">
        <f t="shared" si="65"/>
        <v>1930</v>
      </c>
      <c r="I25" s="107"/>
      <c r="J25" s="3"/>
      <c r="K25" s="40">
        <f>'Ordering Period 4'!M25+('Ordering Period 4'!M25*Escalation!$D$5)</f>
        <v>0</v>
      </c>
      <c r="L25" s="4">
        <f t="shared" si="45"/>
        <v>0</v>
      </c>
      <c r="M25" s="4">
        <f t="shared" si="46"/>
        <v>0</v>
      </c>
      <c r="N25" s="5">
        <f t="shared" si="47"/>
        <v>0</v>
      </c>
      <c r="O25" s="5">
        <f t="shared" si="48"/>
        <v>0</v>
      </c>
      <c r="P25" s="44">
        <f t="shared" si="49"/>
        <v>0</v>
      </c>
      <c r="Q25" s="44">
        <f t="shared" si="50"/>
        <v>0</v>
      </c>
      <c r="R25" s="44">
        <f t="shared" si="67"/>
        <v>0</v>
      </c>
      <c r="S25" s="44">
        <f t="shared" si="51"/>
        <v>0</v>
      </c>
      <c r="T25" s="44">
        <f t="shared" si="52"/>
        <v>0</v>
      </c>
      <c r="U25" s="128">
        <f t="shared" si="53"/>
        <v>0</v>
      </c>
      <c r="W25" s="161"/>
      <c r="X25" s="5"/>
      <c r="Y25" s="40">
        <f t="shared" si="66"/>
        <v>0</v>
      </c>
      <c r="Z25" s="4">
        <f t="shared" si="54"/>
        <v>0</v>
      </c>
      <c r="AA25" s="4">
        <f t="shared" si="55"/>
        <v>0</v>
      </c>
      <c r="AB25" s="4"/>
      <c r="AC25" s="40">
        <f t="shared" si="56"/>
        <v>0</v>
      </c>
      <c r="AD25" s="40">
        <f t="shared" si="57"/>
        <v>0</v>
      </c>
      <c r="AE25" s="40">
        <f t="shared" si="58"/>
        <v>0</v>
      </c>
      <c r="AF25" s="40">
        <f t="shared" si="59"/>
        <v>0</v>
      </c>
      <c r="AG25" s="40">
        <f t="shared" si="60"/>
        <v>0</v>
      </c>
      <c r="AH25" s="41">
        <f t="shared" si="61"/>
        <v>0</v>
      </c>
      <c r="AI25" s="160"/>
      <c r="AJ25" s="7"/>
      <c r="AK25" s="8"/>
      <c r="AM25" s="162" t="str">
        <f t="shared" si="62"/>
        <v/>
      </c>
      <c r="AN25" s="45" t="str">
        <f t="shared" si="63"/>
        <v/>
      </c>
      <c r="AO25" s="128">
        <f t="shared" si="64"/>
        <v>0</v>
      </c>
    </row>
    <row r="26" spans="1:41" x14ac:dyDescent="0.25">
      <c r="A26" s="497"/>
      <c r="B26" s="280" t="s">
        <v>100</v>
      </c>
      <c r="C26" s="108" t="s">
        <v>101</v>
      </c>
      <c r="D26" s="108" t="s">
        <v>182</v>
      </c>
      <c r="E26" s="108" t="s">
        <v>189</v>
      </c>
      <c r="F26" s="42">
        <v>1972</v>
      </c>
      <c r="G26" s="42">
        <f t="shared" si="44"/>
        <v>0</v>
      </c>
      <c r="H26" s="43">
        <f t="shared" si="65"/>
        <v>1972</v>
      </c>
      <c r="I26" s="107"/>
      <c r="J26" s="3"/>
      <c r="K26" s="40">
        <f>'Ordering Period 4'!M26+('Ordering Period 4'!M26*Escalation!$D$5)</f>
        <v>0</v>
      </c>
      <c r="L26" s="4">
        <f t="shared" si="45"/>
        <v>0</v>
      </c>
      <c r="M26" s="4">
        <f t="shared" si="46"/>
        <v>0</v>
      </c>
      <c r="N26" s="5">
        <f t="shared" si="47"/>
        <v>0</v>
      </c>
      <c r="O26" s="5">
        <f t="shared" si="48"/>
        <v>0</v>
      </c>
      <c r="P26" s="44">
        <f t="shared" si="49"/>
        <v>0</v>
      </c>
      <c r="Q26" s="44">
        <f>(P26-O26)*$Q$4</f>
        <v>0</v>
      </c>
      <c r="R26" s="44">
        <f>SUM(P26:Q26)</f>
        <v>0</v>
      </c>
      <c r="S26" s="44">
        <f t="shared" si="51"/>
        <v>0</v>
      </c>
      <c r="T26" s="44">
        <f t="shared" si="52"/>
        <v>0</v>
      </c>
      <c r="U26" s="128">
        <f t="shared" si="53"/>
        <v>0</v>
      </c>
      <c r="W26" s="161"/>
      <c r="X26" s="5"/>
      <c r="Y26" s="40">
        <f t="shared" si="66"/>
        <v>0</v>
      </c>
      <c r="Z26" s="4">
        <f t="shared" si="54"/>
        <v>0</v>
      </c>
      <c r="AA26" s="4">
        <f>(Y26+Z26)*$AA$4</f>
        <v>0</v>
      </c>
      <c r="AB26" s="4"/>
      <c r="AC26" s="40">
        <f t="shared" si="56"/>
        <v>0</v>
      </c>
      <c r="AD26" s="40">
        <f t="shared" si="57"/>
        <v>0</v>
      </c>
      <c r="AE26" s="40">
        <f t="shared" si="58"/>
        <v>0</v>
      </c>
      <c r="AF26" s="40">
        <f t="shared" si="59"/>
        <v>0</v>
      </c>
      <c r="AG26" s="40">
        <f t="shared" si="60"/>
        <v>0</v>
      </c>
      <c r="AH26" s="41">
        <f t="shared" si="61"/>
        <v>0</v>
      </c>
      <c r="AI26" s="160"/>
      <c r="AJ26" s="7"/>
      <c r="AK26" s="8"/>
      <c r="AM26" s="162" t="str">
        <f t="shared" si="62"/>
        <v/>
      </c>
      <c r="AN26" s="45" t="str">
        <f t="shared" si="63"/>
        <v/>
      </c>
      <c r="AO26" s="128">
        <f t="shared" si="64"/>
        <v>0</v>
      </c>
    </row>
    <row r="27" spans="1:41" ht="15.75" thickBot="1" x14ac:dyDescent="0.3">
      <c r="A27" s="498"/>
      <c r="B27" s="282" t="s">
        <v>102</v>
      </c>
      <c r="C27" s="147" t="s">
        <v>103</v>
      </c>
      <c r="D27" s="147" t="s">
        <v>183</v>
      </c>
      <c r="E27" s="147" t="s">
        <v>189</v>
      </c>
      <c r="F27" s="148">
        <v>2975</v>
      </c>
      <c r="G27" s="148">
        <f t="shared" si="44"/>
        <v>0</v>
      </c>
      <c r="H27" s="149">
        <f t="shared" si="65"/>
        <v>2975</v>
      </c>
      <c r="I27" s="107"/>
      <c r="J27" s="176"/>
      <c r="K27" s="234">
        <f>'Ordering Period 4'!M27+('Ordering Period 4'!M27*Escalation!$D$5)</f>
        <v>0</v>
      </c>
      <c r="L27" s="342">
        <f t="shared" si="45"/>
        <v>0</v>
      </c>
      <c r="M27" s="342">
        <f t="shared" si="46"/>
        <v>0</v>
      </c>
      <c r="N27" s="179">
        <f t="shared" si="47"/>
        <v>0</v>
      </c>
      <c r="O27" s="179">
        <f t="shared" si="48"/>
        <v>0</v>
      </c>
      <c r="P27" s="178">
        <f t="shared" si="49"/>
        <v>0</v>
      </c>
      <c r="Q27" s="178">
        <f t="shared" si="50"/>
        <v>0</v>
      </c>
      <c r="R27" s="178">
        <f t="shared" si="67"/>
        <v>0</v>
      </c>
      <c r="S27" s="178">
        <f t="shared" si="51"/>
        <v>0</v>
      </c>
      <c r="T27" s="178">
        <f t="shared" si="52"/>
        <v>0</v>
      </c>
      <c r="U27" s="180">
        <f t="shared" si="53"/>
        <v>0</v>
      </c>
      <c r="W27" s="181"/>
      <c r="X27" s="179"/>
      <c r="Y27" s="234">
        <f t="shared" si="66"/>
        <v>0</v>
      </c>
      <c r="Z27" s="342">
        <f t="shared" si="54"/>
        <v>0</v>
      </c>
      <c r="AA27" s="342">
        <f t="shared" si="55"/>
        <v>0</v>
      </c>
      <c r="AB27" s="342"/>
      <c r="AC27" s="234">
        <f t="shared" si="56"/>
        <v>0</v>
      </c>
      <c r="AD27" s="234">
        <f t="shared" si="57"/>
        <v>0</v>
      </c>
      <c r="AE27" s="234">
        <f t="shared" si="58"/>
        <v>0</v>
      </c>
      <c r="AF27" s="234">
        <f t="shared" si="59"/>
        <v>0</v>
      </c>
      <c r="AG27" s="234">
        <f t="shared" si="60"/>
        <v>0</v>
      </c>
      <c r="AH27" s="343">
        <f t="shared" si="61"/>
        <v>0</v>
      </c>
      <c r="AI27" s="189"/>
      <c r="AJ27" s="177"/>
      <c r="AK27" s="182"/>
      <c r="AM27" s="211" t="str">
        <f t="shared" si="62"/>
        <v/>
      </c>
      <c r="AN27" s="212" t="str">
        <f t="shared" si="63"/>
        <v/>
      </c>
      <c r="AO27" s="206">
        <f t="shared" si="64"/>
        <v>0</v>
      </c>
    </row>
    <row r="28" spans="1:41" x14ac:dyDescent="0.25">
      <c r="A28" s="496" t="s">
        <v>76</v>
      </c>
      <c r="B28" s="279" t="s">
        <v>104</v>
      </c>
      <c r="C28" s="109" t="s">
        <v>105</v>
      </c>
      <c r="D28" s="109" t="s">
        <v>184</v>
      </c>
      <c r="E28" s="109" t="s">
        <v>189</v>
      </c>
      <c r="F28" s="38">
        <v>1725</v>
      </c>
      <c r="G28" s="38">
        <f t="shared" si="44"/>
        <v>0</v>
      </c>
      <c r="H28" s="39">
        <f t="shared" si="65"/>
        <v>1725</v>
      </c>
      <c r="I28" s="107"/>
      <c r="J28" s="121"/>
      <c r="K28" s="122">
        <f>'Ordering Period 4'!M28+('Ordering Period 4'!M28*Escalation!$D$5)</f>
        <v>0</v>
      </c>
      <c r="L28" s="123">
        <f t="shared" si="45"/>
        <v>0</v>
      </c>
      <c r="M28" s="123">
        <f t="shared" si="46"/>
        <v>0</v>
      </c>
      <c r="N28" s="123">
        <f t="shared" si="47"/>
        <v>0</v>
      </c>
      <c r="O28" s="123">
        <f t="shared" si="48"/>
        <v>0</v>
      </c>
      <c r="P28" s="122">
        <f t="shared" si="49"/>
        <v>0</v>
      </c>
      <c r="Q28" s="122">
        <f t="shared" si="50"/>
        <v>0</v>
      </c>
      <c r="R28" s="122">
        <f t="shared" ref="R28" si="68">SUM(P28:Q28)</f>
        <v>0</v>
      </c>
      <c r="S28" s="122">
        <f t="shared" si="51"/>
        <v>0</v>
      </c>
      <c r="T28" s="122">
        <f t="shared" si="52"/>
        <v>0</v>
      </c>
      <c r="U28" s="124">
        <f t="shared" si="53"/>
        <v>0</v>
      </c>
      <c r="W28" s="121"/>
      <c r="X28" s="123"/>
      <c r="Y28" s="122">
        <f t="shared" si="66"/>
        <v>0</v>
      </c>
      <c r="Z28" s="123">
        <f t="shared" si="54"/>
        <v>0</v>
      </c>
      <c r="AA28" s="123">
        <f t="shared" si="55"/>
        <v>0</v>
      </c>
      <c r="AB28" s="123"/>
      <c r="AC28" s="122">
        <f t="shared" si="56"/>
        <v>0</v>
      </c>
      <c r="AD28" s="122">
        <f t="shared" si="57"/>
        <v>0</v>
      </c>
      <c r="AE28" s="122">
        <f t="shared" si="58"/>
        <v>0</v>
      </c>
      <c r="AF28" s="122">
        <f t="shared" si="59"/>
        <v>0</v>
      </c>
      <c r="AG28" s="122">
        <f t="shared" si="60"/>
        <v>0</v>
      </c>
      <c r="AH28" s="124">
        <f t="shared" si="61"/>
        <v>0</v>
      </c>
      <c r="AI28" s="159"/>
      <c r="AJ28" s="126"/>
      <c r="AK28" s="127"/>
      <c r="AM28" s="140" t="str">
        <f t="shared" si="62"/>
        <v/>
      </c>
      <c r="AN28" s="125" t="str">
        <f t="shared" si="63"/>
        <v/>
      </c>
      <c r="AO28" s="124">
        <f t="shared" si="64"/>
        <v>0</v>
      </c>
    </row>
    <row r="29" spans="1:41" ht="15.75" thickBot="1" x14ac:dyDescent="0.3">
      <c r="A29" s="498"/>
      <c r="B29" s="314" t="s">
        <v>106</v>
      </c>
      <c r="C29" s="147" t="s">
        <v>107</v>
      </c>
      <c r="D29" s="147" t="s">
        <v>185</v>
      </c>
      <c r="E29" s="147" t="s">
        <v>189</v>
      </c>
      <c r="F29" s="148">
        <v>14296</v>
      </c>
      <c r="G29" s="148">
        <f t="shared" si="44"/>
        <v>0</v>
      </c>
      <c r="H29" s="149">
        <f t="shared" si="65"/>
        <v>14296</v>
      </c>
      <c r="I29" s="107"/>
      <c r="J29" s="176"/>
      <c r="K29" s="178">
        <f>'Ordering Period 4'!M29+('Ordering Period 4'!M29*Escalation!$D$5)</f>
        <v>0</v>
      </c>
      <c r="L29" s="179">
        <f t="shared" si="45"/>
        <v>0</v>
      </c>
      <c r="M29" s="179">
        <f t="shared" si="46"/>
        <v>0</v>
      </c>
      <c r="N29" s="179">
        <f t="shared" si="47"/>
        <v>0</v>
      </c>
      <c r="O29" s="179">
        <f t="shared" si="48"/>
        <v>0</v>
      </c>
      <c r="P29" s="178">
        <f t="shared" si="49"/>
        <v>0</v>
      </c>
      <c r="Q29" s="178">
        <f t="shared" si="50"/>
        <v>0</v>
      </c>
      <c r="R29" s="178">
        <f t="shared" si="67"/>
        <v>0</v>
      </c>
      <c r="S29" s="178">
        <f t="shared" si="51"/>
        <v>0</v>
      </c>
      <c r="T29" s="178">
        <f t="shared" si="52"/>
        <v>0</v>
      </c>
      <c r="U29" s="180">
        <f t="shared" si="53"/>
        <v>0</v>
      </c>
      <c r="W29" s="181"/>
      <c r="X29" s="179"/>
      <c r="Y29" s="234">
        <f t="shared" si="66"/>
        <v>0</v>
      </c>
      <c r="Z29" s="342">
        <f t="shared" si="54"/>
        <v>0</v>
      </c>
      <c r="AA29" s="342">
        <f t="shared" si="55"/>
        <v>0</v>
      </c>
      <c r="AB29" s="342"/>
      <c r="AC29" s="234">
        <f t="shared" si="56"/>
        <v>0</v>
      </c>
      <c r="AD29" s="234">
        <f>$AD$4*(AA29+Y29+Z29)</f>
        <v>0</v>
      </c>
      <c r="AE29" s="234">
        <f t="shared" si="58"/>
        <v>0</v>
      </c>
      <c r="AF29" s="234">
        <f t="shared" si="59"/>
        <v>0</v>
      </c>
      <c r="AG29" s="234">
        <f t="shared" si="60"/>
        <v>0</v>
      </c>
      <c r="AH29" s="343">
        <f t="shared" si="61"/>
        <v>0</v>
      </c>
      <c r="AI29" s="189"/>
      <c r="AJ29" s="177"/>
      <c r="AK29" s="182"/>
      <c r="AM29" s="183" t="str">
        <f t="shared" si="62"/>
        <v/>
      </c>
      <c r="AN29" s="184" t="str">
        <f t="shared" si="63"/>
        <v/>
      </c>
      <c r="AO29" s="180">
        <f t="shared" si="64"/>
        <v>0</v>
      </c>
    </row>
    <row r="30" spans="1:41" x14ac:dyDescent="0.25">
      <c r="A30" s="496" t="s">
        <v>77</v>
      </c>
      <c r="B30" s="279" t="s">
        <v>108</v>
      </c>
      <c r="C30" s="109" t="s">
        <v>95</v>
      </c>
      <c r="D30" s="109" t="s">
        <v>179</v>
      </c>
      <c r="E30" s="109" t="s">
        <v>189</v>
      </c>
      <c r="F30" s="38">
        <v>15899</v>
      </c>
      <c r="G30" s="38">
        <f t="shared" si="44"/>
        <v>0</v>
      </c>
      <c r="H30" s="39">
        <f t="shared" si="65"/>
        <v>15899</v>
      </c>
      <c r="I30" s="107"/>
      <c r="J30" s="121"/>
      <c r="K30" s="122">
        <f>'Ordering Period 4'!M30+('Ordering Period 4'!M30*Escalation!$D$5)</f>
        <v>0</v>
      </c>
      <c r="L30" s="123">
        <f t="shared" si="45"/>
        <v>0</v>
      </c>
      <c r="M30" s="123">
        <f t="shared" si="46"/>
        <v>0</v>
      </c>
      <c r="N30" s="123">
        <f t="shared" si="47"/>
        <v>0</v>
      </c>
      <c r="O30" s="123">
        <f t="shared" si="48"/>
        <v>0</v>
      </c>
      <c r="P30" s="122">
        <f t="shared" si="49"/>
        <v>0</v>
      </c>
      <c r="Q30" s="122">
        <f t="shared" si="50"/>
        <v>0</v>
      </c>
      <c r="R30" s="122">
        <f t="shared" si="67"/>
        <v>0</v>
      </c>
      <c r="S30" s="122">
        <f t="shared" si="51"/>
        <v>0</v>
      </c>
      <c r="T30" s="122">
        <f t="shared" si="52"/>
        <v>0</v>
      </c>
      <c r="U30" s="124">
        <f t="shared" si="53"/>
        <v>0</v>
      </c>
      <c r="W30" s="121"/>
      <c r="X30" s="123"/>
      <c r="Y30" s="122">
        <f t="shared" si="66"/>
        <v>0</v>
      </c>
      <c r="Z30" s="123">
        <f t="shared" si="54"/>
        <v>0</v>
      </c>
      <c r="AA30" s="123">
        <f t="shared" si="55"/>
        <v>0</v>
      </c>
      <c r="AB30" s="123"/>
      <c r="AC30" s="122">
        <f t="shared" si="56"/>
        <v>0</v>
      </c>
      <c r="AD30" s="122">
        <f t="shared" ref="AD30:AD33" si="69">$AD$4*(AA30+Y30+Z30)</f>
        <v>0</v>
      </c>
      <c r="AE30" s="122">
        <f t="shared" si="58"/>
        <v>0</v>
      </c>
      <c r="AF30" s="122">
        <f t="shared" si="59"/>
        <v>0</v>
      </c>
      <c r="AG30" s="122">
        <f t="shared" si="60"/>
        <v>0</v>
      </c>
      <c r="AH30" s="124">
        <f t="shared" si="61"/>
        <v>0</v>
      </c>
      <c r="AI30" s="159"/>
      <c r="AJ30" s="126"/>
      <c r="AK30" s="127"/>
      <c r="AM30" s="140" t="str">
        <f t="shared" si="62"/>
        <v/>
      </c>
      <c r="AN30" s="125" t="str">
        <f t="shared" si="63"/>
        <v/>
      </c>
      <c r="AO30" s="124">
        <f t="shared" si="64"/>
        <v>0</v>
      </c>
    </row>
    <row r="31" spans="1:41" x14ac:dyDescent="0.25">
      <c r="A31" s="497"/>
      <c r="B31" s="280" t="s">
        <v>109</v>
      </c>
      <c r="C31" s="108" t="s">
        <v>110</v>
      </c>
      <c r="D31" s="108" t="s">
        <v>186</v>
      </c>
      <c r="E31" s="108" t="s">
        <v>189</v>
      </c>
      <c r="F31" s="42">
        <v>1725</v>
      </c>
      <c r="G31" s="42">
        <f t="shared" si="44"/>
        <v>0</v>
      </c>
      <c r="H31" s="43">
        <f t="shared" si="65"/>
        <v>1725</v>
      </c>
      <c r="I31" s="107"/>
      <c r="J31" s="3"/>
      <c r="K31" s="44">
        <f>'Ordering Period 4'!M31+('Ordering Period 4'!M31*Escalation!$D$5)</f>
        <v>0</v>
      </c>
      <c r="L31" s="5">
        <f t="shared" si="45"/>
        <v>0</v>
      </c>
      <c r="M31" s="5">
        <f t="shared" si="46"/>
        <v>0</v>
      </c>
      <c r="N31" s="5">
        <f t="shared" si="47"/>
        <v>0</v>
      </c>
      <c r="O31" s="5">
        <f t="shared" si="48"/>
        <v>0</v>
      </c>
      <c r="P31" s="44">
        <f t="shared" si="49"/>
        <v>0</v>
      </c>
      <c r="Q31" s="44">
        <f t="shared" si="50"/>
        <v>0</v>
      </c>
      <c r="R31" s="44">
        <f t="shared" si="67"/>
        <v>0</v>
      </c>
      <c r="S31" s="44">
        <f t="shared" si="51"/>
        <v>0</v>
      </c>
      <c r="T31" s="44">
        <f t="shared" si="52"/>
        <v>0</v>
      </c>
      <c r="U31" s="128">
        <f t="shared" si="53"/>
        <v>0</v>
      </c>
      <c r="W31" s="161"/>
      <c r="X31" s="5"/>
      <c r="Y31" s="40">
        <f t="shared" si="66"/>
        <v>0</v>
      </c>
      <c r="Z31" s="4">
        <f t="shared" si="54"/>
        <v>0</v>
      </c>
      <c r="AA31" s="4">
        <f t="shared" si="55"/>
        <v>0</v>
      </c>
      <c r="AB31" s="4"/>
      <c r="AC31" s="40">
        <f>SUM(Y31:AB31)</f>
        <v>0</v>
      </c>
      <c r="AD31" s="40">
        <f t="shared" si="69"/>
        <v>0</v>
      </c>
      <c r="AE31" s="40">
        <f t="shared" si="58"/>
        <v>0</v>
      </c>
      <c r="AF31" s="40">
        <f t="shared" si="59"/>
        <v>0</v>
      </c>
      <c r="AG31" s="40">
        <f t="shared" si="60"/>
        <v>0</v>
      </c>
      <c r="AH31" s="41">
        <f t="shared" si="61"/>
        <v>0</v>
      </c>
      <c r="AI31" s="160"/>
      <c r="AJ31" s="7"/>
      <c r="AK31" s="8"/>
      <c r="AM31" s="162" t="str">
        <f t="shared" si="62"/>
        <v/>
      </c>
      <c r="AN31" s="45" t="str">
        <f t="shared" si="63"/>
        <v/>
      </c>
      <c r="AO31" s="128">
        <f t="shared" si="64"/>
        <v>0</v>
      </c>
    </row>
    <row r="32" spans="1:41" x14ac:dyDescent="0.25">
      <c r="A32" s="497"/>
      <c r="B32" s="281" t="s">
        <v>111</v>
      </c>
      <c r="C32" s="108" t="s">
        <v>99</v>
      </c>
      <c r="D32" s="108" t="s">
        <v>181</v>
      </c>
      <c r="E32" s="108" t="s">
        <v>189</v>
      </c>
      <c r="F32" s="42">
        <v>288</v>
      </c>
      <c r="G32" s="42">
        <f t="shared" si="44"/>
        <v>0</v>
      </c>
      <c r="H32" s="43">
        <f t="shared" si="65"/>
        <v>288</v>
      </c>
      <c r="I32" s="107"/>
      <c r="J32" s="3"/>
      <c r="K32" s="44">
        <f>'Ordering Period 4'!M32+('Ordering Period 4'!M32*Escalation!$D$5)</f>
        <v>0</v>
      </c>
      <c r="L32" s="5">
        <f t="shared" si="45"/>
        <v>0</v>
      </c>
      <c r="M32" s="5">
        <f t="shared" si="46"/>
        <v>0</v>
      </c>
      <c r="N32" s="5">
        <f t="shared" si="47"/>
        <v>0</v>
      </c>
      <c r="O32" s="5">
        <f t="shared" si="48"/>
        <v>0</v>
      </c>
      <c r="P32" s="44">
        <f t="shared" si="49"/>
        <v>0</v>
      </c>
      <c r="Q32" s="44">
        <f t="shared" si="50"/>
        <v>0</v>
      </c>
      <c r="R32" s="44">
        <f t="shared" si="67"/>
        <v>0</v>
      </c>
      <c r="S32" s="44">
        <f t="shared" si="51"/>
        <v>0</v>
      </c>
      <c r="T32" s="44">
        <f t="shared" si="52"/>
        <v>0</v>
      </c>
      <c r="U32" s="128">
        <f t="shared" si="53"/>
        <v>0</v>
      </c>
      <c r="W32" s="161"/>
      <c r="X32" s="5"/>
      <c r="Y32" s="40">
        <f t="shared" si="66"/>
        <v>0</v>
      </c>
      <c r="Z32" s="4">
        <f t="shared" si="54"/>
        <v>0</v>
      </c>
      <c r="AA32" s="4">
        <f t="shared" si="55"/>
        <v>0</v>
      </c>
      <c r="AB32" s="4"/>
      <c r="AC32" s="40">
        <f t="shared" si="56"/>
        <v>0</v>
      </c>
      <c r="AD32" s="40">
        <f t="shared" si="69"/>
        <v>0</v>
      </c>
      <c r="AE32" s="40">
        <f t="shared" si="58"/>
        <v>0</v>
      </c>
      <c r="AF32" s="40">
        <f t="shared" si="59"/>
        <v>0</v>
      </c>
      <c r="AG32" s="40">
        <f t="shared" si="60"/>
        <v>0</v>
      </c>
      <c r="AH32" s="41">
        <f t="shared" si="61"/>
        <v>0</v>
      </c>
      <c r="AI32" s="160"/>
      <c r="AJ32" s="7"/>
      <c r="AK32" s="8"/>
      <c r="AM32" s="162" t="str">
        <f t="shared" si="62"/>
        <v/>
      </c>
      <c r="AN32" s="45" t="str">
        <f t="shared" si="63"/>
        <v/>
      </c>
      <c r="AO32" s="128">
        <f t="shared" si="64"/>
        <v>0</v>
      </c>
    </row>
    <row r="33" spans="1:41" x14ac:dyDescent="0.25">
      <c r="A33" s="497"/>
      <c r="B33" s="281" t="s">
        <v>112</v>
      </c>
      <c r="C33" s="108" t="s">
        <v>113</v>
      </c>
      <c r="D33" s="108" t="s">
        <v>187</v>
      </c>
      <c r="E33" s="108" t="s">
        <v>189</v>
      </c>
      <c r="F33" s="42">
        <v>3451</v>
      </c>
      <c r="G33" s="42">
        <f t="shared" si="44"/>
        <v>0</v>
      </c>
      <c r="H33" s="43">
        <f t="shared" si="65"/>
        <v>3451</v>
      </c>
      <c r="I33" s="107"/>
      <c r="J33" s="3"/>
      <c r="K33" s="44">
        <f>'Ordering Period 4'!M33+('Ordering Period 4'!M33*Escalation!$D$5)</f>
        <v>0</v>
      </c>
      <c r="L33" s="5">
        <f t="shared" si="45"/>
        <v>0</v>
      </c>
      <c r="M33" s="5">
        <f t="shared" si="46"/>
        <v>0</v>
      </c>
      <c r="N33" s="5">
        <f t="shared" si="47"/>
        <v>0</v>
      </c>
      <c r="O33" s="5">
        <f t="shared" si="48"/>
        <v>0</v>
      </c>
      <c r="P33" s="44">
        <f t="shared" si="49"/>
        <v>0</v>
      </c>
      <c r="Q33" s="44">
        <f t="shared" si="50"/>
        <v>0</v>
      </c>
      <c r="R33" s="44">
        <f t="shared" si="67"/>
        <v>0</v>
      </c>
      <c r="S33" s="44">
        <f t="shared" si="51"/>
        <v>0</v>
      </c>
      <c r="T33" s="44">
        <f t="shared" si="52"/>
        <v>0</v>
      </c>
      <c r="U33" s="128">
        <f t="shared" si="53"/>
        <v>0</v>
      </c>
      <c r="W33" s="161"/>
      <c r="X33" s="5"/>
      <c r="Y33" s="40">
        <f t="shared" si="66"/>
        <v>0</v>
      </c>
      <c r="Z33" s="4">
        <f t="shared" si="54"/>
        <v>0</v>
      </c>
      <c r="AA33" s="4">
        <f t="shared" si="55"/>
        <v>0</v>
      </c>
      <c r="AB33" s="4"/>
      <c r="AC33" s="40">
        <f>SUM(Y33:AB33)</f>
        <v>0</v>
      </c>
      <c r="AD33" s="40">
        <f t="shared" si="69"/>
        <v>0</v>
      </c>
      <c r="AE33" s="40">
        <f t="shared" si="58"/>
        <v>0</v>
      </c>
      <c r="AF33" s="40">
        <f t="shared" si="59"/>
        <v>0</v>
      </c>
      <c r="AG33" s="40">
        <f>AD33*W33</f>
        <v>0</v>
      </c>
      <c r="AH33" s="41">
        <f t="shared" si="61"/>
        <v>0</v>
      </c>
      <c r="AI33" s="160"/>
      <c r="AJ33" s="7"/>
      <c r="AK33" s="8"/>
      <c r="AM33" s="162" t="str">
        <f t="shared" si="62"/>
        <v/>
      </c>
      <c r="AN33" s="45" t="str">
        <f t="shared" si="63"/>
        <v/>
      </c>
      <c r="AO33" s="128">
        <f t="shared" si="64"/>
        <v>0</v>
      </c>
    </row>
    <row r="34" spans="1:41" ht="15.75" thickBot="1" x14ac:dyDescent="0.3">
      <c r="A34" s="498"/>
      <c r="B34" s="314" t="s">
        <v>114</v>
      </c>
      <c r="C34" s="147" t="s">
        <v>103</v>
      </c>
      <c r="D34" s="147" t="s">
        <v>183</v>
      </c>
      <c r="E34" s="147" t="s">
        <v>189</v>
      </c>
      <c r="F34" s="148">
        <v>1215</v>
      </c>
      <c r="G34" s="148">
        <f t="shared" si="44"/>
        <v>0</v>
      </c>
      <c r="H34" s="149">
        <f t="shared" si="65"/>
        <v>1215</v>
      </c>
      <c r="I34" s="107"/>
      <c r="J34" s="176"/>
      <c r="K34" s="178">
        <f>'Ordering Period 4'!M34+('Ordering Period 4'!M34*Escalation!$D$5)</f>
        <v>0</v>
      </c>
      <c r="L34" s="179">
        <f t="shared" si="45"/>
        <v>0</v>
      </c>
      <c r="M34" s="179">
        <f t="shared" si="46"/>
        <v>0</v>
      </c>
      <c r="N34" s="179">
        <f t="shared" si="47"/>
        <v>0</v>
      </c>
      <c r="O34" s="179">
        <f t="shared" si="48"/>
        <v>0</v>
      </c>
      <c r="P34" s="178">
        <f t="shared" si="49"/>
        <v>0</v>
      </c>
      <c r="Q34" s="178">
        <f t="shared" si="50"/>
        <v>0</v>
      </c>
      <c r="R34" s="178">
        <f t="shared" si="67"/>
        <v>0</v>
      </c>
      <c r="S34" s="178">
        <f t="shared" si="51"/>
        <v>0</v>
      </c>
      <c r="T34" s="178">
        <f t="shared" si="52"/>
        <v>0</v>
      </c>
      <c r="U34" s="180">
        <f t="shared" si="53"/>
        <v>0</v>
      </c>
      <c r="W34" s="181"/>
      <c r="X34" s="179"/>
      <c r="Y34" s="234">
        <f t="shared" si="66"/>
        <v>0</v>
      </c>
      <c r="Z34" s="342">
        <f t="shared" si="54"/>
        <v>0</v>
      </c>
      <c r="AA34" s="342">
        <f t="shared" si="55"/>
        <v>0</v>
      </c>
      <c r="AB34" s="342"/>
      <c r="AC34" s="234">
        <f t="shared" si="56"/>
        <v>0</v>
      </c>
      <c r="AD34" s="234">
        <f t="shared" si="57"/>
        <v>0</v>
      </c>
      <c r="AE34" s="234">
        <f t="shared" si="58"/>
        <v>0</v>
      </c>
      <c r="AF34" s="234">
        <f>AC34*W34</f>
        <v>0</v>
      </c>
      <c r="AG34" s="234">
        <f t="shared" si="60"/>
        <v>0</v>
      </c>
      <c r="AH34" s="343">
        <f t="shared" si="61"/>
        <v>0</v>
      </c>
      <c r="AI34" s="189"/>
      <c r="AJ34" s="177"/>
      <c r="AK34" s="182"/>
      <c r="AM34" s="183" t="str">
        <f t="shared" si="62"/>
        <v/>
      </c>
      <c r="AN34" s="184" t="str">
        <f t="shared" si="63"/>
        <v/>
      </c>
      <c r="AO34" s="180">
        <f t="shared" si="64"/>
        <v>0</v>
      </c>
    </row>
    <row r="35" spans="1:41" ht="15.75" thickBot="1" x14ac:dyDescent="0.3">
      <c r="A35" s="66" t="s">
        <v>116</v>
      </c>
      <c r="B35" s="278"/>
      <c r="C35" s="200"/>
      <c r="D35" s="200"/>
      <c r="E35" s="200"/>
      <c r="F35" s="201"/>
      <c r="G35" s="201"/>
      <c r="H35" s="202"/>
      <c r="I35" s="107"/>
      <c r="J35" s="458"/>
      <c r="K35" s="459"/>
      <c r="L35" s="376"/>
      <c r="M35" s="376"/>
      <c r="N35" s="376"/>
      <c r="O35" s="376"/>
      <c r="P35" s="376"/>
      <c r="Q35" s="376"/>
      <c r="R35" s="376"/>
      <c r="S35" s="376"/>
      <c r="T35" s="376"/>
      <c r="U35" s="348"/>
      <c r="W35" s="450"/>
      <c r="X35" s="247"/>
      <c r="Y35" s="247"/>
      <c r="Z35" s="247"/>
      <c r="AA35" s="247"/>
      <c r="AB35" s="247"/>
      <c r="AC35" s="247"/>
      <c r="AD35" s="247"/>
      <c r="AE35" s="247"/>
      <c r="AF35" s="247"/>
      <c r="AG35" s="247"/>
      <c r="AH35" s="247"/>
      <c r="AI35" s="451"/>
      <c r="AJ35" s="451"/>
      <c r="AK35" s="452"/>
      <c r="AM35" s="241"/>
      <c r="AN35" s="242"/>
      <c r="AO35" s="243"/>
    </row>
    <row r="36" spans="1:41" ht="15.75" thickBot="1" x14ac:dyDescent="0.3">
      <c r="A36" s="297" t="s">
        <v>73</v>
      </c>
      <c r="B36" s="283" t="s">
        <v>115</v>
      </c>
      <c r="C36" s="284" t="s">
        <v>93</v>
      </c>
      <c r="D36" s="284"/>
      <c r="E36" s="284" t="s">
        <v>116</v>
      </c>
      <c r="F36" s="285">
        <v>31200</v>
      </c>
      <c r="G36" s="285">
        <f t="shared" ref="G36:G46" si="70">SUM(J36,W36)</f>
        <v>0</v>
      </c>
      <c r="H36" s="286">
        <f t="shared" si="8"/>
        <v>31200</v>
      </c>
      <c r="I36" s="46"/>
      <c r="J36" s="288"/>
      <c r="K36" s="290">
        <f>'Ordering Period 4'!M36+('Ordering Period 4'!M36*Escalation!$D$5)</f>
        <v>0</v>
      </c>
      <c r="L36" s="334">
        <f>(K36*$L$4)</f>
        <v>0</v>
      </c>
      <c r="M36" s="334">
        <f t="shared" ref="M36:M46" si="71">(L36+K36)*$M$4</f>
        <v>0</v>
      </c>
      <c r="N36" s="334">
        <f t="shared" ref="N36:N46" si="72">(L36+K36+M36)*$N$4</f>
        <v>0</v>
      </c>
      <c r="O36" s="334">
        <f t="shared" ref="O36:O39" si="73">(K36+L36+M36+N36)*$O$4</f>
        <v>0</v>
      </c>
      <c r="P36" s="290">
        <f t="shared" ref="P36:P46" si="74">SUM(K36:O36)</f>
        <v>0</v>
      </c>
      <c r="Q36" s="290">
        <f>(P36-O36)*$Q$4</f>
        <v>0</v>
      </c>
      <c r="R36" s="290">
        <f>SUM(P36:Q36)</f>
        <v>0</v>
      </c>
      <c r="S36" s="290">
        <f t="shared" ref="S36:S46" si="75">P36*J36</f>
        <v>0</v>
      </c>
      <c r="T36" s="290">
        <f t="shared" ref="T36:T46" si="76">Q36*J36</f>
        <v>0</v>
      </c>
      <c r="U36" s="291">
        <f t="shared" ref="U36:U46" si="77">R36*J36</f>
        <v>0</v>
      </c>
      <c r="W36" s="292"/>
      <c r="X36" s="349"/>
      <c r="Y36" s="294">
        <f t="shared" ref="Y36:Y46" si="78">IF($W36&gt;0,$X36,0)</f>
        <v>0</v>
      </c>
      <c r="Z36" s="349">
        <f t="shared" ref="Z36:Z46" si="79">(Y36*$Z$4)</f>
        <v>0</v>
      </c>
      <c r="AA36" s="349">
        <f t="shared" ref="AA36:AA46" si="80">(Y36+Z36)*$AA$4</f>
        <v>0</v>
      </c>
      <c r="AB36" s="349"/>
      <c r="AC36" s="294">
        <f t="shared" ref="AC36:AC46" si="81">SUM(Y36:AB36)</f>
        <v>0</v>
      </c>
      <c r="AD36" s="294">
        <f t="shared" si="57"/>
        <v>0</v>
      </c>
      <c r="AE36" s="294">
        <f t="shared" ref="AE36" si="82">SUM(AC36:AD36)</f>
        <v>0</v>
      </c>
      <c r="AF36" s="294">
        <f t="shared" ref="AF36:AF46" si="83">AC36*W36</f>
        <v>0</v>
      </c>
      <c r="AG36" s="294">
        <f t="shared" ref="AG36:AG46" si="84">AD36*W36</f>
        <v>0</v>
      </c>
      <c r="AH36" s="294">
        <f t="shared" ref="AH36:AH46" si="85">AE36*W36</f>
        <v>0</v>
      </c>
      <c r="AI36" s="350"/>
      <c r="AJ36" s="351"/>
      <c r="AK36" s="352"/>
      <c r="AM36" s="339" t="str">
        <f t="shared" ref="AM36:AM46" si="86">IFERROR(SUM(S36,AF36)/G36,"")</f>
        <v/>
      </c>
      <c r="AN36" s="340" t="str">
        <f t="shared" ref="AN36:AN46" si="87">IFERROR(SUM(T36,AG36)/G36,"")</f>
        <v/>
      </c>
      <c r="AO36" s="291">
        <f t="shared" si="23"/>
        <v>0</v>
      </c>
    </row>
    <row r="37" spans="1:41" ht="15.75" thickBot="1" x14ac:dyDescent="0.3">
      <c r="A37" s="297" t="s">
        <v>74</v>
      </c>
      <c r="B37" s="283" t="s">
        <v>117</v>
      </c>
      <c r="C37" s="284" t="s">
        <v>95</v>
      </c>
      <c r="D37" s="284"/>
      <c r="E37" s="284" t="s">
        <v>116</v>
      </c>
      <c r="F37" s="285">
        <v>83512</v>
      </c>
      <c r="G37" s="285">
        <f t="shared" si="70"/>
        <v>0</v>
      </c>
      <c r="H37" s="286">
        <f t="shared" si="8"/>
        <v>83512</v>
      </c>
      <c r="I37" s="46"/>
      <c r="J37" s="288"/>
      <c r="K37" s="290">
        <f>'Ordering Period 4'!M37+('Ordering Period 4'!M37*Escalation!$D$5)</f>
        <v>0</v>
      </c>
      <c r="L37" s="334">
        <f t="shared" ref="L37" si="88">(K37*$L$4)</f>
        <v>0</v>
      </c>
      <c r="M37" s="334">
        <f t="shared" si="71"/>
        <v>0</v>
      </c>
      <c r="N37" s="334">
        <f t="shared" si="72"/>
        <v>0</v>
      </c>
      <c r="O37" s="334">
        <f>(K37+L37+M37+N37)*$O$4</f>
        <v>0</v>
      </c>
      <c r="P37" s="290">
        <f t="shared" si="74"/>
        <v>0</v>
      </c>
      <c r="Q37" s="290">
        <f>(P37-O37)*$Q$4</f>
        <v>0</v>
      </c>
      <c r="R37" s="290">
        <f t="shared" si="43"/>
        <v>0</v>
      </c>
      <c r="S37" s="290">
        <f t="shared" si="75"/>
        <v>0</v>
      </c>
      <c r="T37" s="290">
        <f t="shared" si="76"/>
        <v>0</v>
      </c>
      <c r="U37" s="291">
        <f t="shared" si="77"/>
        <v>0</v>
      </c>
      <c r="W37" s="288"/>
      <c r="X37" s="334"/>
      <c r="Y37" s="290">
        <f t="shared" si="78"/>
        <v>0</v>
      </c>
      <c r="Z37" s="334">
        <f t="shared" si="79"/>
        <v>0</v>
      </c>
      <c r="AA37" s="334">
        <f t="shared" si="80"/>
        <v>0</v>
      </c>
      <c r="AB37" s="334"/>
      <c r="AC37" s="290">
        <f t="shared" si="81"/>
        <v>0</v>
      </c>
      <c r="AD37" s="290">
        <f t="shared" si="57"/>
        <v>0</v>
      </c>
      <c r="AE37" s="290">
        <f t="shared" ref="AE37" si="89">SUM(AC37:AD37)</f>
        <v>0</v>
      </c>
      <c r="AF37" s="290">
        <f t="shared" si="83"/>
        <v>0</v>
      </c>
      <c r="AG37" s="290">
        <f t="shared" si="84"/>
        <v>0</v>
      </c>
      <c r="AH37" s="290">
        <f t="shared" si="85"/>
        <v>0</v>
      </c>
      <c r="AI37" s="335"/>
      <c r="AJ37" s="336"/>
      <c r="AK37" s="337"/>
      <c r="AM37" s="339" t="str">
        <f t="shared" si="86"/>
        <v/>
      </c>
      <c r="AN37" s="340" t="str">
        <f t="shared" si="87"/>
        <v/>
      </c>
      <c r="AO37" s="291">
        <f t="shared" si="23"/>
        <v>0</v>
      </c>
    </row>
    <row r="38" spans="1:41" ht="30.75" thickBot="1" x14ac:dyDescent="0.3">
      <c r="A38" s="374" t="s">
        <v>77</v>
      </c>
      <c r="B38" s="375" t="s">
        <v>121</v>
      </c>
      <c r="C38" s="284" t="s">
        <v>95</v>
      </c>
      <c r="D38" s="284"/>
      <c r="E38" s="284" t="s">
        <v>116</v>
      </c>
      <c r="F38" s="285">
        <v>30888</v>
      </c>
      <c r="G38" s="285">
        <f t="shared" si="70"/>
        <v>0</v>
      </c>
      <c r="H38" s="286">
        <f t="shared" si="8"/>
        <v>30888</v>
      </c>
      <c r="I38" s="46"/>
      <c r="J38" s="288"/>
      <c r="K38" s="290">
        <f>'Ordering Period 4'!M38+('Ordering Period 4'!M38*Escalation!$D$5)</f>
        <v>0</v>
      </c>
      <c r="L38" s="334">
        <f>(K38*$L$4)</f>
        <v>0</v>
      </c>
      <c r="M38" s="334">
        <f t="shared" si="71"/>
        <v>0</v>
      </c>
      <c r="N38" s="334">
        <f t="shared" si="72"/>
        <v>0</v>
      </c>
      <c r="O38" s="334">
        <f t="shared" si="73"/>
        <v>0</v>
      </c>
      <c r="P38" s="290">
        <f t="shared" si="74"/>
        <v>0</v>
      </c>
      <c r="Q38" s="290">
        <f>(P38-O38)*$Q$4</f>
        <v>0</v>
      </c>
      <c r="R38" s="290">
        <f>SUM(P38:Q38)</f>
        <v>0</v>
      </c>
      <c r="S38" s="290">
        <f t="shared" si="75"/>
        <v>0</v>
      </c>
      <c r="T38" s="290">
        <f t="shared" si="76"/>
        <v>0</v>
      </c>
      <c r="U38" s="291">
        <f t="shared" si="77"/>
        <v>0</v>
      </c>
      <c r="W38" s="288"/>
      <c r="X38" s="334"/>
      <c r="Y38" s="290">
        <f t="shared" si="78"/>
        <v>0</v>
      </c>
      <c r="Z38" s="334">
        <f t="shared" si="79"/>
        <v>0</v>
      </c>
      <c r="AA38" s="334">
        <f t="shared" si="80"/>
        <v>0</v>
      </c>
      <c r="AB38" s="334"/>
      <c r="AC38" s="290">
        <f t="shared" si="81"/>
        <v>0</v>
      </c>
      <c r="AD38" s="290">
        <f t="shared" si="57"/>
        <v>0</v>
      </c>
      <c r="AE38" s="290">
        <f t="shared" ref="AE38:AE39" si="90">SUM(AC38:AD38)</f>
        <v>0</v>
      </c>
      <c r="AF38" s="290">
        <f t="shared" si="83"/>
        <v>0</v>
      </c>
      <c r="AG38" s="290">
        <f t="shared" si="84"/>
        <v>0</v>
      </c>
      <c r="AH38" s="290">
        <f t="shared" si="85"/>
        <v>0</v>
      </c>
      <c r="AI38" s="335"/>
      <c r="AJ38" s="336"/>
      <c r="AK38" s="337"/>
      <c r="AM38" s="338" t="str">
        <f t="shared" si="86"/>
        <v/>
      </c>
      <c r="AN38" s="295" t="str">
        <f t="shared" si="87"/>
        <v/>
      </c>
      <c r="AO38" s="296">
        <f t="shared" si="23"/>
        <v>0</v>
      </c>
    </row>
    <row r="39" spans="1:41" ht="15.75" thickBot="1" x14ac:dyDescent="0.3">
      <c r="A39" s="312" t="s">
        <v>73</v>
      </c>
      <c r="B39" s="371" t="s">
        <v>125</v>
      </c>
      <c r="C39" s="313" t="s">
        <v>93</v>
      </c>
      <c r="D39" s="313"/>
      <c r="E39" s="313" t="s">
        <v>126</v>
      </c>
      <c r="F39" s="372">
        <v>2080</v>
      </c>
      <c r="G39" s="372">
        <f t="shared" si="70"/>
        <v>0</v>
      </c>
      <c r="H39" s="373">
        <f t="shared" si="8"/>
        <v>2080</v>
      </c>
      <c r="I39" s="46"/>
      <c r="J39" s="288"/>
      <c r="K39" s="290">
        <f>'Ordering Period 4'!M39+('Ordering Period 4'!M39*Escalation!$D$5)</f>
        <v>0</v>
      </c>
      <c r="L39" s="334">
        <f>(K39*$L$4)</f>
        <v>0</v>
      </c>
      <c r="M39" s="334">
        <f t="shared" si="71"/>
        <v>0</v>
      </c>
      <c r="N39" s="334">
        <f t="shared" si="72"/>
        <v>0</v>
      </c>
      <c r="O39" s="334">
        <f t="shared" si="73"/>
        <v>0</v>
      </c>
      <c r="P39" s="290">
        <f t="shared" si="74"/>
        <v>0</v>
      </c>
      <c r="Q39" s="290">
        <f>(P39-O39)*$Q$4</f>
        <v>0</v>
      </c>
      <c r="R39" s="290">
        <f>SUM(P39:Q39)</f>
        <v>0</v>
      </c>
      <c r="S39" s="290">
        <f t="shared" si="75"/>
        <v>0</v>
      </c>
      <c r="T39" s="290">
        <f t="shared" si="76"/>
        <v>0</v>
      </c>
      <c r="U39" s="291">
        <f t="shared" si="77"/>
        <v>0</v>
      </c>
      <c r="W39" s="176"/>
      <c r="X39" s="342"/>
      <c r="Y39" s="234">
        <f t="shared" si="78"/>
        <v>0</v>
      </c>
      <c r="Z39" s="342">
        <f t="shared" si="79"/>
        <v>0</v>
      </c>
      <c r="AA39" s="342">
        <f t="shared" si="80"/>
        <v>0</v>
      </c>
      <c r="AB39" s="342"/>
      <c r="AC39" s="234">
        <f t="shared" si="81"/>
        <v>0</v>
      </c>
      <c r="AD39" s="234">
        <f t="shared" si="57"/>
        <v>0</v>
      </c>
      <c r="AE39" s="234">
        <f t="shared" si="90"/>
        <v>0</v>
      </c>
      <c r="AF39" s="234">
        <f t="shared" si="83"/>
        <v>0</v>
      </c>
      <c r="AG39" s="234">
        <f t="shared" si="84"/>
        <v>0</v>
      </c>
      <c r="AH39" s="234">
        <f t="shared" si="85"/>
        <v>0</v>
      </c>
      <c r="AI39" s="189"/>
      <c r="AJ39" s="377"/>
      <c r="AK39" s="378"/>
      <c r="AM39" s="339" t="str">
        <f t="shared" si="86"/>
        <v/>
      </c>
      <c r="AN39" s="340" t="str">
        <f t="shared" si="87"/>
        <v/>
      </c>
      <c r="AO39" s="291">
        <f t="shared" si="23"/>
        <v>0</v>
      </c>
    </row>
    <row r="40" spans="1:41" ht="15.75" thickBot="1" x14ac:dyDescent="0.3">
      <c r="A40" s="366" t="s">
        <v>74</v>
      </c>
      <c r="B40" s="367" t="s">
        <v>127</v>
      </c>
      <c r="C40" s="368" t="s">
        <v>95</v>
      </c>
      <c r="D40" s="368"/>
      <c r="E40" s="322" t="s">
        <v>126</v>
      </c>
      <c r="F40" s="369">
        <v>30368</v>
      </c>
      <c r="G40" s="369">
        <f t="shared" si="70"/>
        <v>0</v>
      </c>
      <c r="H40" s="370">
        <f t="shared" si="8"/>
        <v>30368</v>
      </c>
      <c r="I40" s="46"/>
      <c r="J40" s="176"/>
      <c r="K40" s="234">
        <f>'Ordering Period 4'!M40+('Ordering Period 4'!M40*Escalation!$D$5)</f>
        <v>0</v>
      </c>
      <c r="L40" s="342">
        <f t="shared" ref="L40:L42" si="91">(K40*$L$4)</f>
        <v>0</v>
      </c>
      <c r="M40" s="342">
        <f t="shared" si="71"/>
        <v>0</v>
      </c>
      <c r="N40" s="342">
        <f t="shared" si="72"/>
        <v>0</v>
      </c>
      <c r="O40" s="342">
        <f>(K40+L40+M40+N40)*$O$4</f>
        <v>0</v>
      </c>
      <c r="P40" s="234">
        <f t="shared" si="74"/>
        <v>0</v>
      </c>
      <c r="Q40" s="234">
        <f>(P40-O40)*$Q$4</f>
        <v>0</v>
      </c>
      <c r="R40" s="234">
        <f t="shared" ref="R40:R42" si="92">SUM(P40:Q40)</f>
        <v>0</v>
      </c>
      <c r="S40" s="234">
        <f t="shared" si="75"/>
        <v>0</v>
      </c>
      <c r="T40" s="234">
        <f t="shared" si="76"/>
        <v>0</v>
      </c>
      <c r="U40" s="343">
        <f t="shared" si="77"/>
        <v>0</v>
      </c>
      <c r="W40" s="292"/>
      <c r="X40" s="349"/>
      <c r="Y40" s="294">
        <f t="shared" si="78"/>
        <v>0</v>
      </c>
      <c r="Z40" s="349">
        <f t="shared" si="79"/>
        <v>0</v>
      </c>
      <c r="AA40" s="349">
        <f t="shared" si="80"/>
        <v>0</v>
      </c>
      <c r="AB40" s="349"/>
      <c r="AC40" s="294">
        <f t="shared" si="81"/>
        <v>0</v>
      </c>
      <c r="AD40" s="294">
        <f t="shared" si="57"/>
        <v>0</v>
      </c>
      <c r="AE40" s="294">
        <f t="shared" ref="AE40:AE42" si="93">SUM(AC40:AD40)</f>
        <v>0</v>
      </c>
      <c r="AF40" s="294">
        <f t="shared" si="83"/>
        <v>0</v>
      </c>
      <c r="AG40" s="294">
        <f t="shared" si="84"/>
        <v>0</v>
      </c>
      <c r="AH40" s="294">
        <f t="shared" si="85"/>
        <v>0</v>
      </c>
      <c r="AI40" s="350"/>
      <c r="AJ40" s="351"/>
      <c r="AK40" s="352"/>
      <c r="AM40" s="339" t="str">
        <f t="shared" si="86"/>
        <v/>
      </c>
      <c r="AN40" s="340" t="str">
        <f t="shared" si="87"/>
        <v/>
      </c>
      <c r="AO40" s="291">
        <f t="shared" si="23"/>
        <v>0</v>
      </c>
    </row>
    <row r="41" spans="1:41" x14ac:dyDescent="0.25">
      <c r="A41" s="493" t="s">
        <v>76</v>
      </c>
      <c r="B41" s="326" t="s">
        <v>128</v>
      </c>
      <c r="C41" s="109" t="s">
        <v>105</v>
      </c>
      <c r="D41" s="109"/>
      <c r="E41" s="109" t="s">
        <v>126</v>
      </c>
      <c r="F41" s="38">
        <v>4160</v>
      </c>
      <c r="G41" s="38">
        <f t="shared" si="70"/>
        <v>0</v>
      </c>
      <c r="H41" s="39">
        <f t="shared" si="8"/>
        <v>4160</v>
      </c>
      <c r="I41" s="46"/>
      <c r="J41" s="121"/>
      <c r="K41" s="122">
        <f>'Ordering Period 4'!M41+('Ordering Period 4'!M41*Escalation!$D$5)</f>
        <v>0</v>
      </c>
      <c r="L41" s="123">
        <f t="shared" si="91"/>
        <v>0</v>
      </c>
      <c r="M41" s="123">
        <f t="shared" si="71"/>
        <v>0</v>
      </c>
      <c r="N41" s="123">
        <f t="shared" si="72"/>
        <v>0</v>
      </c>
      <c r="O41" s="123">
        <f t="shared" ref="O41:O46" si="94">(K41+L41+M41+N41)*$O$4</f>
        <v>0</v>
      </c>
      <c r="P41" s="122">
        <f t="shared" si="74"/>
        <v>0</v>
      </c>
      <c r="Q41" s="122">
        <f t="shared" ref="Q41" si="95">(P41-O41)*$Q$4</f>
        <v>0</v>
      </c>
      <c r="R41" s="122">
        <f t="shared" si="92"/>
        <v>0</v>
      </c>
      <c r="S41" s="122">
        <f t="shared" si="75"/>
        <v>0</v>
      </c>
      <c r="T41" s="122">
        <f t="shared" si="76"/>
        <v>0</v>
      </c>
      <c r="U41" s="124">
        <f t="shared" si="77"/>
        <v>0</v>
      </c>
      <c r="W41" s="121"/>
      <c r="X41" s="123"/>
      <c r="Y41" s="122">
        <f t="shared" si="78"/>
        <v>0</v>
      </c>
      <c r="Z41" s="123">
        <f t="shared" si="79"/>
        <v>0</v>
      </c>
      <c r="AA41" s="123">
        <f t="shared" si="80"/>
        <v>0</v>
      </c>
      <c r="AB41" s="123"/>
      <c r="AC41" s="122">
        <f t="shared" si="81"/>
        <v>0</v>
      </c>
      <c r="AD41" s="122">
        <f t="shared" si="57"/>
        <v>0</v>
      </c>
      <c r="AE41" s="122">
        <f t="shared" si="93"/>
        <v>0</v>
      </c>
      <c r="AF41" s="122">
        <f t="shared" si="83"/>
        <v>0</v>
      </c>
      <c r="AG41" s="122">
        <f t="shared" si="84"/>
        <v>0</v>
      </c>
      <c r="AH41" s="122">
        <f t="shared" si="85"/>
        <v>0</v>
      </c>
      <c r="AI41" s="379"/>
      <c r="AJ41" s="379"/>
      <c r="AK41" s="127"/>
      <c r="AM41" s="214" t="str">
        <f t="shared" si="86"/>
        <v/>
      </c>
      <c r="AN41" s="215" t="str">
        <f t="shared" si="87"/>
        <v/>
      </c>
      <c r="AO41" s="41">
        <f t="shared" si="23"/>
        <v>0</v>
      </c>
    </row>
    <row r="42" spans="1:41" ht="15.75" thickBot="1" x14ac:dyDescent="0.3">
      <c r="A42" s="500"/>
      <c r="B42" s="327" t="s">
        <v>129</v>
      </c>
      <c r="C42" s="147" t="s">
        <v>120</v>
      </c>
      <c r="D42" s="147"/>
      <c r="E42" s="147" t="s">
        <v>126</v>
      </c>
      <c r="F42" s="148">
        <v>31200</v>
      </c>
      <c r="G42" s="148">
        <f t="shared" si="70"/>
        <v>0</v>
      </c>
      <c r="H42" s="149">
        <f t="shared" si="8"/>
        <v>31200</v>
      </c>
      <c r="I42" s="46"/>
      <c r="J42" s="181"/>
      <c r="K42" s="178">
        <f>'Ordering Period 4'!M42+('Ordering Period 4'!M42*Escalation!$D$5)</f>
        <v>0</v>
      </c>
      <c r="L42" s="179">
        <f t="shared" si="91"/>
        <v>0</v>
      </c>
      <c r="M42" s="179">
        <f t="shared" si="71"/>
        <v>0</v>
      </c>
      <c r="N42" s="179">
        <f t="shared" si="72"/>
        <v>0</v>
      </c>
      <c r="O42" s="179">
        <f t="shared" si="94"/>
        <v>0</v>
      </c>
      <c r="P42" s="178">
        <f t="shared" si="74"/>
        <v>0</v>
      </c>
      <c r="Q42" s="178">
        <f>(P42-O42)*$Q$4</f>
        <v>0</v>
      </c>
      <c r="R42" s="178">
        <f t="shared" si="92"/>
        <v>0</v>
      </c>
      <c r="S42" s="178">
        <f t="shared" si="75"/>
        <v>0</v>
      </c>
      <c r="T42" s="178">
        <f t="shared" si="76"/>
        <v>0</v>
      </c>
      <c r="U42" s="180">
        <f t="shared" si="77"/>
        <v>0</v>
      </c>
      <c r="W42" s="181"/>
      <c r="X42" s="179"/>
      <c r="Y42" s="178">
        <f t="shared" si="78"/>
        <v>0</v>
      </c>
      <c r="Z42" s="179">
        <f t="shared" si="79"/>
        <v>0</v>
      </c>
      <c r="AA42" s="179">
        <f t="shared" si="80"/>
        <v>0</v>
      </c>
      <c r="AB42" s="179"/>
      <c r="AC42" s="178">
        <f t="shared" si="81"/>
        <v>0</v>
      </c>
      <c r="AD42" s="178">
        <f t="shared" si="57"/>
        <v>0</v>
      </c>
      <c r="AE42" s="178">
        <f t="shared" si="93"/>
        <v>0</v>
      </c>
      <c r="AF42" s="178">
        <f t="shared" si="83"/>
        <v>0</v>
      </c>
      <c r="AG42" s="178">
        <f t="shared" si="84"/>
        <v>0</v>
      </c>
      <c r="AH42" s="178">
        <f t="shared" si="85"/>
        <v>0</v>
      </c>
      <c r="AI42" s="380"/>
      <c r="AJ42" s="380"/>
      <c r="AK42" s="182"/>
      <c r="AM42" s="214" t="str">
        <f t="shared" si="86"/>
        <v/>
      </c>
      <c r="AN42" s="215" t="str">
        <f t="shared" si="87"/>
        <v/>
      </c>
      <c r="AO42" s="41">
        <f t="shared" si="23"/>
        <v>0</v>
      </c>
    </row>
    <row r="43" spans="1:41" x14ac:dyDescent="0.25">
      <c r="A43" s="493" t="s">
        <v>77</v>
      </c>
      <c r="B43" s="326" t="s">
        <v>130</v>
      </c>
      <c r="C43" s="109" t="s">
        <v>95</v>
      </c>
      <c r="D43" s="109"/>
      <c r="E43" s="109" t="s">
        <v>126</v>
      </c>
      <c r="F43" s="38">
        <v>11232</v>
      </c>
      <c r="G43" s="38">
        <f t="shared" si="70"/>
        <v>0</v>
      </c>
      <c r="H43" s="39">
        <f t="shared" si="8"/>
        <v>11232</v>
      </c>
      <c r="I43" s="46"/>
      <c r="J43" s="121"/>
      <c r="K43" s="122">
        <f>'Ordering Period 4'!M43+('Ordering Period 4'!M43*Escalation!$D$5)</f>
        <v>0</v>
      </c>
      <c r="L43" s="123">
        <f>(K43*$L$4)</f>
        <v>0</v>
      </c>
      <c r="M43" s="123">
        <f t="shared" si="71"/>
        <v>0</v>
      </c>
      <c r="N43" s="123">
        <f t="shared" si="72"/>
        <v>0</v>
      </c>
      <c r="O43" s="123">
        <f t="shared" si="94"/>
        <v>0</v>
      </c>
      <c r="P43" s="122">
        <f t="shared" si="74"/>
        <v>0</v>
      </c>
      <c r="Q43" s="122">
        <f>(P43-O43)*$Q$4</f>
        <v>0</v>
      </c>
      <c r="R43" s="122">
        <f>SUM(P43:Q43)</f>
        <v>0</v>
      </c>
      <c r="S43" s="122">
        <f t="shared" si="75"/>
        <v>0</v>
      </c>
      <c r="T43" s="122">
        <f t="shared" si="76"/>
        <v>0</v>
      </c>
      <c r="U43" s="124">
        <f t="shared" si="77"/>
        <v>0</v>
      </c>
      <c r="W43" s="3"/>
      <c r="X43" s="4"/>
      <c r="Y43" s="40">
        <f t="shared" si="78"/>
        <v>0</v>
      </c>
      <c r="Z43" s="4">
        <f t="shared" si="79"/>
        <v>0</v>
      </c>
      <c r="AA43" s="4">
        <f t="shared" si="80"/>
        <v>0</v>
      </c>
      <c r="AB43" s="4"/>
      <c r="AC43" s="40">
        <f t="shared" si="81"/>
        <v>0</v>
      </c>
      <c r="AD43" s="40">
        <f t="shared" si="57"/>
        <v>0</v>
      </c>
      <c r="AE43" s="40">
        <f t="shared" ref="AE43" si="96">SUM(AC43:AD43)</f>
        <v>0</v>
      </c>
      <c r="AF43" s="40">
        <f t="shared" si="83"/>
        <v>0</v>
      </c>
      <c r="AG43" s="40">
        <f t="shared" si="84"/>
        <v>0</v>
      </c>
      <c r="AH43" s="40">
        <f t="shared" si="85"/>
        <v>0</v>
      </c>
      <c r="AI43" s="160"/>
      <c r="AJ43" s="213"/>
      <c r="AK43" s="6"/>
      <c r="AM43" s="140" t="str">
        <f t="shared" si="86"/>
        <v/>
      </c>
      <c r="AN43" s="125" t="str">
        <f t="shared" si="87"/>
        <v/>
      </c>
      <c r="AO43" s="124">
        <f t="shared" si="23"/>
        <v>0</v>
      </c>
    </row>
    <row r="44" spans="1:41" x14ac:dyDescent="0.25">
      <c r="A44" s="494"/>
      <c r="B44" s="325" t="s">
        <v>131</v>
      </c>
      <c r="C44" s="108" t="s">
        <v>110</v>
      </c>
      <c r="D44" s="108"/>
      <c r="E44" s="108" t="s">
        <v>126</v>
      </c>
      <c r="F44" s="42">
        <v>2080</v>
      </c>
      <c r="G44" s="42">
        <f t="shared" si="70"/>
        <v>0</v>
      </c>
      <c r="H44" s="43">
        <f t="shared" si="8"/>
        <v>2080</v>
      </c>
      <c r="I44" s="46"/>
      <c r="J44" s="161"/>
      <c r="K44" s="44">
        <f>'Ordering Period 4'!M44+('Ordering Period 4'!M44*Escalation!$D$5)</f>
        <v>0</v>
      </c>
      <c r="L44" s="5">
        <f t="shared" ref="L44:L46" si="97">(K44*$L$4)</f>
        <v>0</v>
      </c>
      <c r="M44" s="5">
        <f t="shared" si="71"/>
        <v>0</v>
      </c>
      <c r="N44" s="5">
        <f t="shared" si="72"/>
        <v>0</v>
      </c>
      <c r="O44" s="5">
        <f t="shared" si="94"/>
        <v>0</v>
      </c>
      <c r="P44" s="44">
        <f t="shared" si="74"/>
        <v>0</v>
      </c>
      <c r="Q44" s="44">
        <f t="shared" ref="Q44:Q46" si="98">(P44-O44)*$Q$4</f>
        <v>0</v>
      </c>
      <c r="R44" s="44">
        <f>SUM(P44:Q44)</f>
        <v>0</v>
      </c>
      <c r="S44" s="44">
        <f t="shared" si="75"/>
        <v>0</v>
      </c>
      <c r="T44" s="44">
        <f t="shared" si="76"/>
        <v>0</v>
      </c>
      <c r="U44" s="128">
        <f t="shared" si="77"/>
        <v>0</v>
      </c>
      <c r="W44" s="161"/>
      <c r="X44" s="5"/>
      <c r="Y44" s="44">
        <f t="shared" si="78"/>
        <v>0</v>
      </c>
      <c r="Z44" s="5">
        <f t="shared" si="79"/>
        <v>0</v>
      </c>
      <c r="AA44" s="5">
        <f t="shared" si="80"/>
        <v>0</v>
      </c>
      <c r="AB44" s="5"/>
      <c r="AC44" s="44">
        <f t="shared" si="81"/>
        <v>0</v>
      </c>
      <c r="AD44" s="44">
        <f t="shared" si="57"/>
        <v>0</v>
      </c>
      <c r="AE44" s="44">
        <f t="shared" ref="AE44:AE46" si="99">SUM(AC44:AD44)</f>
        <v>0</v>
      </c>
      <c r="AF44" s="44">
        <f t="shared" si="83"/>
        <v>0</v>
      </c>
      <c r="AG44" s="44">
        <f t="shared" si="84"/>
        <v>0</v>
      </c>
      <c r="AH44" s="44">
        <f t="shared" si="85"/>
        <v>0</v>
      </c>
      <c r="AI44" s="160"/>
      <c r="AJ44" s="7"/>
      <c r="AK44" s="8"/>
      <c r="AM44" s="162" t="str">
        <f t="shared" si="86"/>
        <v/>
      </c>
      <c r="AN44" s="45" t="str">
        <f t="shared" si="87"/>
        <v/>
      </c>
      <c r="AO44" s="128">
        <f t="shared" si="23"/>
        <v>0</v>
      </c>
    </row>
    <row r="45" spans="1:41" x14ac:dyDescent="0.25">
      <c r="A45" s="494"/>
      <c r="B45" s="325" t="s">
        <v>132</v>
      </c>
      <c r="C45" s="108" t="s">
        <v>99</v>
      </c>
      <c r="D45" s="108"/>
      <c r="E45" s="108" t="s">
        <v>126</v>
      </c>
      <c r="F45" s="42">
        <v>2080</v>
      </c>
      <c r="G45" s="42">
        <f t="shared" si="70"/>
        <v>0</v>
      </c>
      <c r="H45" s="43">
        <f t="shared" si="8"/>
        <v>2080</v>
      </c>
      <c r="I45" s="46"/>
      <c r="J45" s="161"/>
      <c r="K45" s="44">
        <f>'Ordering Period 4'!M45+('Ordering Period 4'!M45*Escalation!$D$5)</f>
        <v>0</v>
      </c>
      <c r="L45" s="5">
        <f t="shared" si="97"/>
        <v>0</v>
      </c>
      <c r="M45" s="5">
        <f t="shared" si="71"/>
        <v>0</v>
      </c>
      <c r="N45" s="5">
        <f t="shared" si="72"/>
        <v>0</v>
      </c>
      <c r="O45" s="5">
        <f t="shared" si="94"/>
        <v>0</v>
      </c>
      <c r="P45" s="44">
        <f t="shared" si="74"/>
        <v>0</v>
      </c>
      <c r="Q45" s="44">
        <f t="shared" si="98"/>
        <v>0</v>
      </c>
      <c r="R45" s="44">
        <f t="shared" ref="R45:R46" si="100">SUM(P45:Q45)</f>
        <v>0</v>
      </c>
      <c r="S45" s="44">
        <f t="shared" si="75"/>
        <v>0</v>
      </c>
      <c r="T45" s="44">
        <f t="shared" si="76"/>
        <v>0</v>
      </c>
      <c r="U45" s="128">
        <f t="shared" si="77"/>
        <v>0</v>
      </c>
      <c r="W45" s="161"/>
      <c r="X45" s="5"/>
      <c r="Y45" s="44">
        <f t="shared" si="78"/>
        <v>0</v>
      </c>
      <c r="Z45" s="5">
        <f t="shared" si="79"/>
        <v>0</v>
      </c>
      <c r="AA45" s="5">
        <f t="shared" si="80"/>
        <v>0</v>
      </c>
      <c r="AB45" s="5"/>
      <c r="AC45" s="44">
        <f t="shared" si="81"/>
        <v>0</v>
      </c>
      <c r="AD45" s="44">
        <f t="shared" si="57"/>
        <v>0</v>
      </c>
      <c r="AE45" s="44">
        <f t="shared" si="99"/>
        <v>0</v>
      </c>
      <c r="AF45" s="44">
        <f t="shared" si="83"/>
        <v>0</v>
      </c>
      <c r="AG45" s="44">
        <f t="shared" si="84"/>
        <v>0</v>
      </c>
      <c r="AH45" s="44">
        <f t="shared" si="85"/>
        <v>0</v>
      </c>
      <c r="AI45" s="160"/>
      <c r="AJ45" s="7"/>
      <c r="AK45" s="8"/>
      <c r="AM45" s="162" t="str">
        <f t="shared" si="86"/>
        <v/>
      </c>
      <c r="AN45" s="45" t="str">
        <f t="shared" si="87"/>
        <v/>
      </c>
      <c r="AO45" s="128">
        <f t="shared" si="23"/>
        <v>0</v>
      </c>
    </row>
    <row r="46" spans="1:41" ht="15.75" thickBot="1" x14ac:dyDescent="0.3">
      <c r="A46" s="495"/>
      <c r="B46" s="327" t="s">
        <v>133</v>
      </c>
      <c r="C46" s="147" t="s">
        <v>113</v>
      </c>
      <c r="D46" s="147"/>
      <c r="E46" s="147" t="s">
        <v>126</v>
      </c>
      <c r="F46" s="148">
        <v>2080</v>
      </c>
      <c r="G46" s="148">
        <f t="shared" si="70"/>
        <v>0</v>
      </c>
      <c r="H46" s="149">
        <f t="shared" si="8"/>
        <v>2080</v>
      </c>
      <c r="I46" s="46"/>
      <c r="J46" s="181"/>
      <c r="K46" s="178">
        <f>'Ordering Period 4'!M46+('Ordering Period 4'!M46*Escalation!$D$5)</f>
        <v>0</v>
      </c>
      <c r="L46" s="179">
        <f t="shared" si="97"/>
        <v>0</v>
      </c>
      <c r="M46" s="179">
        <f t="shared" si="71"/>
        <v>0</v>
      </c>
      <c r="N46" s="179">
        <f t="shared" si="72"/>
        <v>0</v>
      </c>
      <c r="O46" s="179">
        <f t="shared" si="94"/>
        <v>0</v>
      </c>
      <c r="P46" s="178">
        <f t="shared" si="74"/>
        <v>0</v>
      </c>
      <c r="Q46" s="178">
        <f t="shared" si="98"/>
        <v>0</v>
      </c>
      <c r="R46" s="178">
        <f t="shared" si="100"/>
        <v>0</v>
      </c>
      <c r="S46" s="178">
        <f t="shared" si="75"/>
        <v>0</v>
      </c>
      <c r="T46" s="178">
        <f t="shared" si="76"/>
        <v>0</v>
      </c>
      <c r="U46" s="180">
        <f t="shared" si="77"/>
        <v>0</v>
      </c>
      <c r="W46" s="181"/>
      <c r="X46" s="179"/>
      <c r="Y46" s="178">
        <f t="shared" si="78"/>
        <v>0</v>
      </c>
      <c r="Z46" s="179">
        <f t="shared" si="79"/>
        <v>0</v>
      </c>
      <c r="AA46" s="179">
        <f t="shared" si="80"/>
        <v>0</v>
      </c>
      <c r="AB46" s="179"/>
      <c r="AC46" s="178">
        <f t="shared" si="81"/>
        <v>0</v>
      </c>
      <c r="AD46" s="178">
        <f t="shared" si="57"/>
        <v>0</v>
      </c>
      <c r="AE46" s="178">
        <f t="shared" si="99"/>
        <v>0</v>
      </c>
      <c r="AF46" s="178">
        <f t="shared" si="83"/>
        <v>0</v>
      </c>
      <c r="AG46" s="178">
        <f t="shared" si="84"/>
        <v>0</v>
      </c>
      <c r="AH46" s="178">
        <f t="shared" si="85"/>
        <v>0</v>
      </c>
      <c r="AI46" s="189"/>
      <c r="AJ46" s="177"/>
      <c r="AK46" s="182"/>
      <c r="AM46" s="183" t="str">
        <f t="shared" si="86"/>
        <v/>
      </c>
      <c r="AN46" s="184" t="str">
        <f t="shared" si="87"/>
        <v/>
      </c>
      <c r="AO46" s="180">
        <f t="shared" si="23"/>
        <v>0</v>
      </c>
    </row>
    <row r="47" spans="1:41" s="16" customFormat="1" ht="15.75" x14ac:dyDescent="0.25">
      <c r="A47" s="23"/>
      <c r="B47" s="23"/>
      <c r="C47" s="47"/>
      <c r="D47" s="47"/>
      <c r="E47" s="231" t="s">
        <v>190</v>
      </c>
      <c r="F47" s="232">
        <f>SUM(F5:F34)</f>
        <v>1217667</v>
      </c>
      <c r="G47" s="232">
        <f>SUM(G5:G34)</f>
        <v>0</v>
      </c>
      <c r="H47" s="233">
        <f>SUM(H5:H34)</f>
        <v>1217667</v>
      </c>
      <c r="I47" s="46"/>
      <c r="J47" s="46"/>
      <c r="K47" s="48"/>
      <c r="L47" s="48"/>
      <c r="M47" s="48"/>
      <c r="N47" s="48"/>
      <c r="O47" s="48"/>
      <c r="U47" s="48"/>
      <c r="W47" s="46"/>
      <c r="X47" s="48"/>
      <c r="Y47" s="48"/>
      <c r="Z47" s="48"/>
      <c r="AA47" s="48"/>
      <c r="AB47" s="48"/>
      <c r="AC47" s="48"/>
      <c r="AD47" s="48"/>
      <c r="AE47" s="48"/>
      <c r="AF47" s="49"/>
      <c r="AG47" s="49"/>
      <c r="AH47" s="49"/>
      <c r="AI47" s="18"/>
      <c r="AJ47" s="18"/>
      <c r="AK47" s="18"/>
      <c r="AM47" s="48"/>
      <c r="AN47" s="49"/>
      <c r="AO47" s="48"/>
    </row>
    <row r="48" spans="1:41" s="16" customFormat="1" ht="16.5" thickBot="1" x14ac:dyDescent="0.3">
      <c r="A48" s="23"/>
      <c r="B48" s="23"/>
      <c r="C48" s="47"/>
      <c r="D48" s="47"/>
      <c r="E48" s="328" t="s">
        <v>191</v>
      </c>
      <c r="F48" s="329">
        <f>SUM(F36:F46)</f>
        <v>230880</v>
      </c>
      <c r="G48" s="329">
        <f>SUM(G36:G46)</f>
        <v>0</v>
      </c>
      <c r="H48" s="330">
        <f>SUM(H36:H46)</f>
        <v>230880</v>
      </c>
      <c r="I48" s="46"/>
      <c r="J48" s="46"/>
      <c r="K48" s="48"/>
      <c r="L48" s="48"/>
      <c r="M48" s="48"/>
      <c r="N48" s="48"/>
      <c r="O48" s="48"/>
      <c r="S48" s="267"/>
      <c r="T48" s="267"/>
      <c r="U48" s="48"/>
      <c r="W48" s="46"/>
      <c r="X48" s="48"/>
      <c r="Y48" s="48"/>
      <c r="Z48" s="48"/>
      <c r="AA48" s="48"/>
      <c r="AB48" s="48"/>
      <c r="AC48" s="48"/>
      <c r="AD48" s="48"/>
      <c r="AE48" s="48"/>
      <c r="AF48" s="49"/>
      <c r="AG48" s="49"/>
      <c r="AH48" s="49"/>
      <c r="AI48" s="18"/>
      <c r="AJ48" s="18"/>
      <c r="AK48" s="18"/>
      <c r="AM48" s="48"/>
      <c r="AN48" s="49"/>
      <c r="AO48" s="48"/>
    </row>
    <row r="49" spans="1:41" s="16" customFormat="1" ht="16.5" thickBot="1" x14ac:dyDescent="0.3">
      <c r="A49" s="23"/>
      <c r="B49" s="23"/>
      <c r="C49" s="47"/>
      <c r="D49" s="47"/>
      <c r="E49" s="331" t="s">
        <v>192</v>
      </c>
      <c r="F49" s="332">
        <f>F47+F48</f>
        <v>1448547</v>
      </c>
      <c r="G49" s="332">
        <f>G47+G48</f>
        <v>0</v>
      </c>
      <c r="H49" s="333">
        <f>H47+H48</f>
        <v>1448547</v>
      </c>
      <c r="I49" s="46"/>
      <c r="J49" s="46"/>
      <c r="K49" s="48"/>
      <c r="L49" s="48"/>
      <c r="M49" s="48"/>
      <c r="N49" s="48"/>
      <c r="O49" s="48"/>
      <c r="U49" s="48"/>
      <c r="W49" s="46"/>
      <c r="X49" s="48"/>
      <c r="Y49" s="48"/>
      <c r="Z49" s="48"/>
      <c r="AA49" s="48"/>
      <c r="AB49" s="48"/>
      <c r="AC49" s="48"/>
      <c r="AD49" s="48"/>
      <c r="AE49" s="48"/>
      <c r="AF49" s="49"/>
      <c r="AG49" s="49"/>
      <c r="AH49" s="49"/>
      <c r="AI49" s="18"/>
      <c r="AJ49" s="18"/>
      <c r="AK49" s="18"/>
      <c r="AM49" s="48"/>
      <c r="AN49" s="49"/>
      <c r="AO49" s="48"/>
    </row>
    <row r="50" spans="1:41" x14ac:dyDescent="0.25">
      <c r="F50" s="10"/>
      <c r="G50" s="10"/>
      <c r="H50" s="10"/>
      <c r="R50" s="151"/>
      <c r="S50" s="152"/>
      <c r="T50" s="152"/>
      <c r="AF50" s="151"/>
      <c r="AG50" s="152"/>
      <c r="AH50" s="152"/>
    </row>
    <row r="51" spans="1:41" ht="15.75" thickBot="1" x14ac:dyDescent="0.3">
      <c r="K51" s="195"/>
      <c r="R51" s="151"/>
      <c r="U51" s="71"/>
      <c r="AF51" s="151"/>
      <c r="AG51" s="153"/>
      <c r="AH51" s="151"/>
    </row>
    <row r="52" spans="1:41" x14ac:dyDescent="0.25">
      <c r="A52" s="53" t="s">
        <v>226</v>
      </c>
      <c r="B52" s="319"/>
      <c r="C52" s="54" t="s">
        <v>227</v>
      </c>
      <c r="D52" s="55" t="s">
        <v>228</v>
      </c>
      <c r="H52" s="51"/>
      <c r="J52" s="52"/>
      <c r="K52" s="193"/>
      <c r="M52" s="48"/>
      <c r="N52" s="48"/>
      <c r="O52" s="48"/>
      <c r="T52" s="10"/>
      <c r="U52" s="71"/>
      <c r="AI52" s="56"/>
    </row>
    <row r="53" spans="1:41" x14ac:dyDescent="0.25">
      <c r="A53" s="57" t="s">
        <v>196</v>
      </c>
      <c r="B53" s="12"/>
      <c r="C53" s="58"/>
      <c r="D53" s="83"/>
      <c r="G53" s="194"/>
      <c r="H53" s="51"/>
      <c r="J53" s="52"/>
      <c r="K53" s="196"/>
      <c r="M53" s="48"/>
      <c r="N53" s="48"/>
      <c r="O53" s="48"/>
      <c r="T53" s="71"/>
      <c r="U53" s="71"/>
      <c r="AI53" s="12"/>
      <c r="AK53" s="10"/>
    </row>
    <row r="54" spans="1:41" x14ac:dyDescent="0.25">
      <c r="A54" s="59" t="s">
        <v>197</v>
      </c>
      <c r="B54" s="12"/>
      <c r="C54" s="58">
        <f>SUM(J5:J46)</f>
        <v>0</v>
      </c>
      <c r="D54" s="84">
        <f>ROUND(SUM(U5:U46),2)</f>
        <v>0</v>
      </c>
      <c r="G54" s="194"/>
      <c r="H54" s="52"/>
      <c r="J54" s="227"/>
      <c r="K54" s="196"/>
      <c r="T54" s="10"/>
      <c r="U54" s="71"/>
      <c r="AI54" s="12"/>
      <c r="AK54" s="10"/>
    </row>
    <row r="55" spans="1:41" x14ac:dyDescent="0.25">
      <c r="A55" s="57" t="s">
        <v>198</v>
      </c>
      <c r="B55" s="12"/>
      <c r="C55" s="58"/>
      <c r="D55" s="83"/>
      <c r="G55" s="194"/>
      <c r="J55" s="227"/>
      <c r="T55" s="10"/>
      <c r="U55" s="71"/>
      <c r="AI55" s="12"/>
      <c r="AK55" s="10"/>
    </row>
    <row r="56" spans="1:41" x14ac:dyDescent="0.25">
      <c r="A56" s="59" t="s">
        <v>197</v>
      </c>
      <c r="B56" s="12"/>
      <c r="C56" s="58">
        <f>SUM(W5:W46)</f>
        <v>0</v>
      </c>
      <c r="D56" s="84">
        <f>ROUND(SUM(AH5:AH46),2)</f>
        <v>0</v>
      </c>
      <c r="J56" s="51"/>
      <c r="T56" s="10"/>
      <c r="U56" s="71"/>
      <c r="AI56" s="12"/>
      <c r="AK56" s="10"/>
    </row>
    <row r="57" spans="1:41" x14ac:dyDescent="0.25">
      <c r="A57" s="59"/>
      <c r="B57" s="12"/>
      <c r="C57" s="58"/>
      <c r="D57" s="84"/>
      <c r="H57" s="51"/>
      <c r="J57" s="51"/>
      <c r="T57" s="10"/>
      <c r="U57" s="71"/>
      <c r="AI57" s="12"/>
      <c r="AK57" s="10"/>
    </row>
    <row r="58" spans="1:41" ht="15.75" thickBot="1" x14ac:dyDescent="0.3">
      <c r="A58" s="60" t="s">
        <v>199</v>
      </c>
      <c r="B58" s="320"/>
      <c r="C58" s="61">
        <f>SUM(C54:C57)</f>
        <v>0</v>
      </c>
      <c r="D58" s="86">
        <f>SUM(D54:D57)</f>
        <v>0</v>
      </c>
      <c r="F58" s="13"/>
      <c r="H58" s="51"/>
      <c r="J58" s="51"/>
      <c r="R58" s="13"/>
      <c r="T58" s="10"/>
      <c r="U58" s="71"/>
      <c r="AI58" s="12"/>
      <c r="AK58" s="10"/>
    </row>
    <row r="59" spans="1:41" ht="15.75" thickBot="1" x14ac:dyDescent="0.3">
      <c r="C59" s="50"/>
      <c r="D59" s="88"/>
      <c r="H59" s="51"/>
      <c r="J59" s="52"/>
      <c r="R59" s="13"/>
      <c r="T59" s="10"/>
      <c r="U59" s="71"/>
      <c r="AI59" s="12"/>
      <c r="AK59" s="10"/>
    </row>
    <row r="60" spans="1:41" x14ac:dyDescent="0.25">
      <c r="A60" s="53" t="s">
        <v>200</v>
      </c>
      <c r="B60" s="319"/>
      <c r="C60" s="62" t="s">
        <v>201</v>
      </c>
      <c r="D60" s="130" t="s">
        <v>157</v>
      </c>
      <c r="F60" s="268"/>
      <c r="G60" s="268"/>
      <c r="H60" s="51"/>
      <c r="J60" s="13"/>
      <c r="R60" s="13"/>
      <c r="T60" s="10"/>
      <c r="U60" s="71"/>
      <c r="AI60" s="12"/>
      <c r="AK60" s="10"/>
    </row>
    <row r="61" spans="1:41" x14ac:dyDescent="0.25">
      <c r="A61" s="59" t="s">
        <v>200</v>
      </c>
      <c r="B61" s="12"/>
      <c r="C61" s="63"/>
      <c r="D61" s="85">
        <v>26795791</v>
      </c>
      <c r="F61" s="13"/>
      <c r="G61" s="13"/>
      <c r="H61" s="194"/>
      <c r="J61" s="52"/>
      <c r="R61" s="13"/>
      <c r="T61" s="10"/>
      <c r="U61" s="71"/>
      <c r="AI61" s="12"/>
      <c r="AK61" s="10"/>
    </row>
    <row r="62" spans="1:41" x14ac:dyDescent="0.25">
      <c r="A62" s="59" t="s">
        <v>202</v>
      </c>
      <c r="B62" s="12"/>
      <c r="C62" s="175"/>
      <c r="D62" s="84">
        <f>ROUND(D61*C62,2)</f>
        <v>0</v>
      </c>
      <c r="H62" s="51"/>
      <c r="J62" s="52"/>
      <c r="R62" s="13"/>
      <c r="T62" s="10"/>
      <c r="U62" s="71"/>
      <c r="AI62" s="12"/>
      <c r="AK62" s="10"/>
    </row>
    <row r="63" spans="1:41" x14ac:dyDescent="0.25">
      <c r="A63" s="59"/>
      <c r="B63" s="12"/>
      <c r="C63" s="63"/>
      <c r="D63" s="84"/>
      <c r="H63" s="51"/>
      <c r="J63" s="52"/>
      <c r="R63" s="13"/>
      <c r="T63" s="10"/>
      <c r="U63" s="10"/>
      <c r="AI63" s="12"/>
      <c r="AK63" s="10"/>
    </row>
    <row r="64" spans="1:41" ht="15.75" thickBot="1" x14ac:dyDescent="0.3">
      <c r="A64" s="60" t="s">
        <v>203</v>
      </c>
      <c r="B64" s="320"/>
      <c r="C64" s="61"/>
      <c r="D64" s="86">
        <f>SUM(D61:D63)</f>
        <v>26795791</v>
      </c>
      <c r="G64" s="194"/>
      <c r="H64" s="51"/>
      <c r="J64" s="52"/>
      <c r="R64" s="13"/>
      <c r="T64" s="10"/>
      <c r="U64" s="10"/>
      <c r="AI64" s="12"/>
      <c r="AK64" s="10"/>
    </row>
    <row r="65" spans="1:38" ht="15.75" thickBot="1" x14ac:dyDescent="0.3">
      <c r="A65" s="64"/>
      <c r="B65" s="12"/>
      <c r="C65" s="65"/>
      <c r="D65" s="87"/>
      <c r="G65" s="194"/>
      <c r="H65" s="51"/>
      <c r="J65" s="52"/>
      <c r="R65" s="13"/>
      <c r="T65" s="10"/>
      <c r="U65" s="10"/>
      <c r="AI65" s="12"/>
      <c r="AK65" s="10"/>
    </row>
    <row r="66" spans="1:38" customFormat="1" x14ac:dyDescent="0.25">
      <c r="A66" s="461" t="s">
        <v>204</v>
      </c>
      <c r="B66" s="319"/>
      <c r="C66" s="462"/>
      <c r="D66" s="463"/>
      <c r="E66" s="50"/>
      <c r="F66" s="50"/>
      <c r="G66" s="50"/>
      <c r="H66" s="50"/>
      <c r="I66" s="51"/>
      <c r="J66" s="51"/>
      <c r="K66" s="52"/>
      <c r="L66" s="52"/>
      <c r="M66" s="52"/>
      <c r="N66" s="52"/>
      <c r="O66" s="52"/>
      <c r="P66" s="52"/>
      <c r="Q66" s="52"/>
      <c r="R66" s="52"/>
      <c r="S66" s="52"/>
      <c r="T66" s="52"/>
      <c r="U66" s="13"/>
      <c r="V66" s="52"/>
      <c r="W66" s="52"/>
    </row>
    <row r="67" spans="1:38" customFormat="1" x14ac:dyDescent="0.25">
      <c r="A67" s="464" t="s">
        <v>205</v>
      </c>
      <c r="B67" s="12"/>
      <c r="C67" s="471"/>
      <c r="D67" s="466"/>
      <c r="E67" s="50"/>
      <c r="F67" s="50"/>
      <c r="G67" s="50"/>
      <c r="H67" s="50"/>
      <c r="I67" s="51"/>
      <c r="J67" s="51"/>
      <c r="K67" s="52"/>
      <c r="L67" s="52"/>
      <c r="M67" s="52"/>
      <c r="N67" s="52"/>
      <c r="O67" s="52"/>
      <c r="P67" s="52"/>
      <c r="Q67" s="52"/>
      <c r="R67" s="52"/>
      <c r="S67" s="52"/>
      <c r="T67" s="52"/>
      <c r="U67" s="13"/>
      <c r="V67" s="52"/>
      <c r="W67" s="52"/>
    </row>
    <row r="68" spans="1:38" customFormat="1" x14ac:dyDescent="0.25">
      <c r="A68" s="464"/>
      <c r="B68" s="12"/>
      <c r="C68" s="471"/>
      <c r="D68" s="467"/>
      <c r="E68" s="50"/>
      <c r="F68" s="50"/>
      <c r="G68" s="50"/>
      <c r="H68" s="50"/>
      <c r="I68" s="51"/>
      <c r="J68" s="51"/>
      <c r="K68" s="52"/>
      <c r="L68" s="52"/>
      <c r="M68" s="52"/>
      <c r="N68" s="52"/>
      <c r="O68" s="52"/>
      <c r="P68" s="52"/>
      <c r="Q68" s="52"/>
      <c r="R68" s="52"/>
      <c r="S68" s="52"/>
      <c r="T68" s="52"/>
      <c r="U68" s="13"/>
      <c r="V68" s="52"/>
      <c r="W68" s="52"/>
    </row>
    <row r="69" spans="1:38" customFormat="1" ht="15.75" thickBot="1" x14ac:dyDescent="0.3">
      <c r="A69" s="468" t="s">
        <v>206</v>
      </c>
      <c r="B69" s="320"/>
      <c r="C69" s="469"/>
      <c r="D69" s="86">
        <f>ROUND(D67,2)</f>
        <v>0</v>
      </c>
      <c r="E69" s="50"/>
      <c r="F69" s="50"/>
      <c r="G69" s="470"/>
      <c r="H69" s="50"/>
      <c r="I69" s="51"/>
      <c r="J69" s="51"/>
      <c r="K69" s="52"/>
      <c r="L69" s="52"/>
      <c r="M69" s="52"/>
      <c r="N69" s="52"/>
      <c r="O69" s="52"/>
      <c r="P69" s="52"/>
      <c r="Q69" s="52"/>
      <c r="R69" s="52"/>
      <c r="S69" s="52"/>
      <c r="T69" s="52"/>
      <c r="U69" s="13"/>
      <c r="V69" s="52"/>
      <c r="W69" s="52"/>
    </row>
    <row r="70" spans="1:38" customFormat="1" ht="15.75" thickBot="1" x14ac:dyDescent="0.3">
      <c r="B70" s="465"/>
      <c r="C70" s="465"/>
      <c r="D70" s="465"/>
      <c r="E70" s="50"/>
      <c r="F70" s="87"/>
      <c r="G70" s="470"/>
      <c r="H70" s="50"/>
      <c r="I70" s="51"/>
      <c r="J70" s="51"/>
      <c r="K70" s="52"/>
      <c r="L70" s="52"/>
      <c r="M70" s="52"/>
      <c r="N70" s="52"/>
      <c r="O70" s="52"/>
      <c r="P70" s="52"/>
      <c r="Q70" s="52"/>
      <c r="R70" s="52"/>
      <c r="S70" s="52"/>
      <c r="T70" s="52"/>
      <c r="U70" s="13"/>
      <c r="V70" s="52"/>
      <c r="W70" s="52"/>
    </row>
    <row r="71" spans="1:38" ht="15.75" thickBot="1" x14ac:dyDescent="0.3">
      <c r="A71" s="66" t="s">
        <v>207</v>
      </c>
      <c r="B71" s="200"/>
      <c r="C71" s="200"/>
      <c r="D71" s="89">
        <f>D58+D64+D69</f>
        <v>26795791</v>
      </c>
      <c r="E71" s="50"/>
      <c r="K71" s="50"/>
      <c r="L71" s="50"/>
      <c r="S71" s="52"/>
      <c r="U71" s="13"/>
      <c r="V71" s="52"/>
      <c r="W71" s="52"/>
      <c r="AJ71" s="10"/>
      <c r="AK71" s="10"/>
      <c r="AL71" s="12"/>
    </row>
    <row r="72" spans="1:38" ht="15.75" thickBot="1" x14ac:dyDescent="0.3">
      <c r="H72" s="51"/>
      <c r="J72" s="52"/>
      <c r="S72" s="52"/>
      <c r="T72" s="13"/>
      <c r="U72" s="13"/>
      <c r="AJ72" s="10"/>
      <c r="AL72" s="12"/>
    </row>
    <row r="73" spans="1:38" ht="15.75" thickBot="1" x14ac:dyDescent="0.3">
      <c r="A73" s="66" t="s">
        <v>208</v>
      </c>
      <c r="B73" s="200"/>
      <c r="C73" s="200"/>
      <c r="D73" s="89">
        <f>D71-D69</f>
        <v>26795791</v>
      </c>
      <c r="E73" s="50"/>
      <c r="K73" s="50"/>
      <c r="L73" s="50"/>
      <c r="S73" s="52"/>
      <c r="U73" s="13"/>
      <c r="V73" s="52"/>
      <c r="W73" s="52"/>
      <c r="AJ73" s="10"/>
      <c r="AK73" s="10"/>
      <c r="AL73" s="12"/>
    </row>
  </sheetData>
  <sheetProtection algorithmName="SHA-512" hashValue="3QPP603LjuV8n3sfrTwe3cGeMjalJP6trZxUzTr/EZzTys9nSsE4IYUoG6vYuhAkHeSEzuh9lQKdwpAkQDzTdA==" saltValue="EWMrox5jPrSMM56YWB5KQQ==" spinCount="100000" sheet="1" objects="1" scenarios="1"/>
  <mergeCells count="14">
    <mergeCell ref="A41:A42"/>
    <mergeCell ref="A43:A46"/>
    <mergeCell ref="A8:A12"/>
    <mergeCell ref="A13:A14"/>
    <mergeCell ref="A15:A19"/>
    <mergeCell ref="A23:A27"/>
    <mergeCell ref="A28:A29"/>
    <mergeCell ref="A30:A34"/>
    <mergeCell ref="AM3:AO3"/>
    <mergeCell ref="A1:AO1"/>
    <mergeCell ref="A2:H2"/>
    <mergeCell ref="J2:U2"/>
    <mergeCell ref="W2:AK2"/>
    <mergeCell ref="AM2:AO2"/>
  </mergeCells>
  <conditionalFormatting sqref="H5:H19 H21:H34 H36:H49">
    <cfRule type="cellIs" dxfId="3" priority="1" operator="lessThan">
      <formula>0</formula>
    </cfRule>
    <cfRule type="cellIs" dxfId="2" priority="2" operator="greaterThan">
      <formula>0</formula>
    </cfRule>
    <cfRule type="cellIs" dxfId="1" priority="3" operator="equal">
      <formula>0</formula>
    </cfRule>
  </conditionalFormatting>
  <pageMargins left="0.7" right="0.7" top="0.75" bottom="0.75" header="0.3" footer="0.3"/>
  <pageSetup orientation="portrait" verticalDpi="597"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5"/>
  <sheetViews>
    <sheetView showGridLines="0" workbookViewId="0"/>
  </sheetViews>
  <sheetFormatPr defaultColWidth="9.140625" defaultRowHeight="15" x14ac:dyDescent="0.25"/>
  <cols>
    <col min="1" max="1" width="17.85546875" style="10" customWidth="1"/>
    <col min="2" max="3" width="16.42578125" style="10" customWidth="1"/>
    <col min="4" max="4" width="14.42578125" style="10" customWidth="1"/>
    <col min="5" max="16384" width="9.140625" style="10"/>
  </cols>
  <sheetData>
    <row r="1" spans="1:4" ht="30" x14ac:dyDescent="0.25">
      <c r="A1" s="67" t="s">
        <v>229</v>
      </c>
      <c r="B1" s="68" t="s">
        <v>230</v>
      </c>
      <c r="C1" s="68" t="s">
        <v>231</v>
      </c>
      <c r="D1" s="68" t="s">
        <v>232</v>
      </c>
    </row>
    <row r="2" spans="1:4" x14ac:dyDescent="0.25">
      <c r="A2" s="69" t="s">
        <v>84</v>
      </c>
      <c r="B2" s="70">
        <v>3.2000000000000001E-2</v>
      </c>
      <c r="C2" s="2"/>
      <c r="D2" s="70">
        <f>IF($C2&lt;$B2,$B2,$C2)</f>
        <v>3.2000000000000001E-2</v>
      </c>
    </row>
    <row r="3" spans="1:4" x14ac:dyDescent="0.25">
      <c r="A3" s="69" t="s">
        <v>85</v>
      </c>
      <c r="B3" s="70">
        <v>2.7E-2</v>
      </c>
      <c r="C3" s="2"/>
      <c r="D3" s="70">
        <f t="shared" ref="D3:D5" si="0">IF($C3&lt;$B3,$B3,$C3)</f>
        <v>2.7E-2</v>
      </c>
    </row>
    <row r="4" spans="1:4" x14ac:dyDescent="0.25">
      <c r="A4" s="69" t="s">
        <v>86</v>
      </c>
      <c r="B4" s="70">
        <v>2.7E-2</v>
      </c>
      <c r="C4" s="2"/>
      <c r="D4" s="70">
        <f t="shared" si="0"/>
        <v>2.7E-2</v>
      </c>
    </row>
    <row r="5" spans="1:4" x14ac:dyDescent="0.25">
      <c r="A5" s="69" t="s">
        <v>87</v>
      </c>
      <c r="B5" s="70">
        <v>2.7E-2</v>
      </c>
      <c r="C5" s="2"/>
      <c r="D5" s="70">
        <f t="shared" si="0"/>
        <v>2.7E-2</v>
      </c>
    </row>
  </sheetData>
  <sheetProtection algorithmName="SHA-512" hashValue="0KQhGsr2xxhk+sEB2Vyzji9/OG7Xo7H4W0ynamy5tJVwnIA9dLZrS85jzsjd2dboPkop6iFYwpU5eeYv35PZ7g==" saltValue="4UDTEJ01i/cVEFPkAodKeg==" spinCount="100000" sheet="1" objects="1" scenarios="1"/>
  <conditionalFormatting sqref="D2:D5">
    <cfRule type="cellIs" dxfId="0" priority="1" operator="lessThan">
      <formula>$B2</formula>
    </cfRule>
  </conditionalFormatting>
  <pageMargins left="0.7" right="0.7" top="0.75" bottom="0.75" header="0.3" footer="0.3"/>
  <pageSetup orientation="portrait" verticalDpi="597"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D5B97-6908-4D18-8B20-E9B7853DE2CB}">
  <dimension ref="A1"/>
  <sheetViews>
    <sheetView workbookViewId="0"/>
  </sheetViews>
  <sheetFormatPr defaultRowHeight="15" x14ac:dyDescent="0.25"/>
  <sheetData>
    <row r="1" spans="1:1" ht="15.75" thickBot="1" x14ac:dyDescent="0.3">
      <c r="A1" s="476" t="s">
        <v>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A52"/>
  <sheetViews>
    <sheetView showGridLines="0" zoomScaleNormal="100" workbookViewId="0">
      <pane xSplit="4" topLeftCell="E1" activePane="topRight" state="frozen"/>
      <selection pane="topRight"/>
    </sheetView>
  </sheetViews>
  <sheetFormatPr defaultRowHeight="15" x14ac:dyDescent="0.25"/>
  <cols>
    <col min="1" max="1" width="33.7109375" style="9" customWidth="1"/>
    <col min="2" max="2" width="5.7109375" style="9" customWidth="1"/>
    <col min="3" max="3" width="33.7109375" style="9" customWidth="1"/>
    <col min="4" max="4" width="18.7109375" style="116" customWidth="1"/>
    <col min="5" max="5" width="1.7109375" customWidth="1"/>
    <col min="6" max="8" width="15.7109375" customWidth="1"/>
    <col min="9" max="9" width="1.7109375" customWidth="1"/>
    <col min="10" max="12" width="15.7109375" customWidth="1"/>
    <col min="13" max="13" width="1.7109375" customWidth="1"/>
    <col min="14" max="16" width="15.7109375" customWidth="1"/>
    <col min="17" max="17" width="1.7109375" customWidth="1"/>
    <col min="18" max="20" width="15.7109375" customWidth="1"/>
    <col min="21" max="21" width="1.7109375" customWidth="1"/>
    <col min="22" max="24" width="15.7109375" customWidth="1"/>
  </cols>
  <sheetData>
    <row r="1" spans="1:27" ht="24" thickBot="1" x14ac:dyDescent="0.4">
      <c r="B1" s="115"/>
      <c r="F1" s="185"/>
      <c r="G1" s="185"/>
      <c r="H1" s="186"/>
    </row>
    <row r="2" spans="1:27" ht="15.75" thickBot="1" x14ac:dyDescent="0.3">
      <c r="A2" s="538" t="s">
        <v>65</v>
      </c>
      <c r="B2" s="538" t="s">
        <v>66</v>
      </c>
      <c r="C2" s="538" t="s">
        <v>67</v>
      </c>
      <c r="D2" s="538" t="s">
        <v>82</v>
      </c>
      <c r="E2" s="9"/>
      <c r="F2" s="532" t="s">
        <v>83</v>
      </c>
      <c r="G2" s="533"/>
      <c r="H2" s="534"/>
      <c r="J2" s="532" t="s">
        <v>84</v>
      </c>
      <c r="K2" s="533"/>
      <c r="L2" s="534"/>
      <c r="N2" s="532" t="s">
        <v>85</v>
      </c>
      <c r="O2" s="533"/>
      <c r="P2" s="534"/>
      <c r="R2" s="532" t="s">
        <v>86</v>
      </c>
      <c r="S2" s="533"/>
      <c r="T2" s="534"/>
      <c r="V2" s="532" t="s">
        <v>87</v>
      </c>
      <c r="W2" s="533"/>
      <c r="X2" s="534"/>
    </row>
    <row r="3" spans="1:27" x14ac:dyDescent="0.25">
      <c r="A3" s="539"/>
      <c r="B3" s="539"/>
      <c r="C3" s="539"/>
      <c r="D3" s="539"/>
      <c r="F3" s="535" t="s">
        <v>233</v>
      </c>
      <c r="G3" s="536"/>
      <c r="H3" s="537"/>
      <c r="J3" s="535" t="s">
        <v>233</v>
      </c>
      <c r="K3" s="536"/>
      <c r="L3" s="537"/>
      <c r="N3" s="535" t="s">
        <v>233</v>
      </c>
      <c r="O3" s="536"/>
      <c r="P3" s="537"/>
      <c r="R3" s="535" t="s">
        <v>233</v>
      </c>
      <c r="S3" s="536"/>
      <c r="T3" s="537"/>
      <c r="V3" s="535" t="s">
        <v>233</v>
      </c>
      <c r="W3" s="536"/>
      <c r="X3" s="537"/>
    </row>
    <row r="4" spans="1:27" ht="15.75" thickBot="1" x14ac:dyDescent="0.3">
      <c r="A4" s="540"/>
      <c r="B4" s="540"/>
      <c r="C4" s="540"/>
      <c r="D4" s="540"/>
      <c r="F4" s="165" t="s">
        <v>157</v>
      </c>
      <c r="G4" s="166" t="s">
        <v>234</v>
      </c>
      <c r="H4" s="167" t="s">
        <v>159</v>
      </c>
      <c r="J4" s="165" t="s">
        <v>157</v>
      </c>
      <c r="K4" s="166" t="s">
        <v>234</v>
      </c>
      <c r="L4" s="167" t="s">
        <v>159</v>
      </c>
      <c r="N4" s="165" t="s">
        <v>157</v>
      </c>
      <c r="O4" s="166" t="s">
        <v>234</v>
      </c>
      <c r="P4" s="167" t="s">
        <v>159</v>
      </c>
      <c r="R4" s="165" t="s">
        <v>157</v>
      </c>
      <c r="S4" s="166" t="s">
        <v>234</v>
      </c>
      <c r="T4" s="167" t="s">
        <v>159</v>
      </c>
      <c r="V4" s="165" t="s">
        <v>157</v>
      </c>
      <c r="W4" s="166" t="s">
        <v>234</v>
      </c>
      <c r="X4" s="167" t="s">
        <v>159</v>
      </c>
      <c r="Y4" s="106"/>
      <c r="Z4" s="106"/>
      <c r="AA4" s="106"/>
    </row>
    <row r="5" spans="1:27" ht="15.75" thickBot="1" x14ac:dyDescent="0.3">
      <c r="A5" s="422" t="s">
        <v>91</v>
      </c>
      <c r="B5" s="423"/>
      <c r="C5" s="424"/>
      <c r="D5" s="425"/>
      <c r="E5" s="220"/>
      <c r="F5" s="417"/>
      <c r="G5" s="264"/>
      <c r="H5" s="418"/>
      <c r="I5" s="220"/>
      <c r="J5" s="221"/>
      <c r="K5" s="222"/>
      <c r="L5" s="223"/>
      <c r="M5" s="220"/>
      <c r="N5" s="221"/>
      <c r="O5" s="222"/>
      <c r="P5" s="223"/>
      <c r="Q5" s="220"/>
      <c r="R5" s="221"/>
      <c r="S5" s="222"/>
      <c r="T5" s="223"/>
      <c r="U5" s="220"/>
      <c r="V5" s="221"/>
      <c r="W5" s="222"/>
      <c r="X5" s="223"/>
      <c r="Y5" s="106"/>
      <c r="Z5" s="106"/>
      <c r="AA5" s="106"/>
    </row>
    <row r="6" spans="1:27" s="111" customFormat="1" ht="15.75" thickBot="1" x14ac:dyDescent="0.3">
      <c r="A6" s="414" t="s">
        <v>72</v>
      </c>
      <c r="B6" s="415" t="str">
        <f>Totals!B6</f>
        <v>001</v>
      </c>
      <c r="C6" s="415" t="str">
        <f>Totals!C6</f>
        <v>Project Management Specialist</v>
      </c>
      <c r="D6" s="416" t="str">
        <f>Totals!D6</f>
        <v>CONUS</v>
      </c>
      <c r="F6" s="419" t="str">
        <f>'Ordering Period 1'!AO5</f>
        <v/>
      </c>
      <c r="G6" s="420" t="str">
        <f>'Ordering Period 1'!AP5</f>
        <v/>
      </c>
      <c r="H6" s="421">
        <f t="shared" ref="H6" si="0">SUM(F6:G6)</f>
        <v>0</v>
      </c>
      <c r="J6" s="419" t="str">
        <f>'Ordering Period 2'!AM5</f>
        <v/>
      </c>
      <c r="K6" s="420" t="str">
        <f>'Ordering Period 2'!AN5</f>
        <v/>
      </c>
      <c r="L6" s="421">
        <f t="shared" ref="L6:L16" si="1">SUM(J6:K6)</f>
        <v>0</v>
      </c>
      <c r="N6" s="419" t="str">
        <f>'Ordering Period 3'!AM5</f>
        <v/>
      </c>
      <c r="O6" s="420" t="str">
        <f>'Ordering Period 3'!AN5</f>
        <v/>
      </c>
      <c r="P6" s="421">
        <f t="shared" ref="P6:P16" si="2">SUM(N6:O6)</f>
        <v>0</v>
      </c>
      <c r="Q6" s="1"/>
      <c r="R6" s="419" t="str">
        <f>'Ordering Period 4'!AO5</f>
        <v/>
      </c>
      <c r="S6" s="420" t="str">
        <f>'Ordering Period 4'!AP5</f>
        <v/>
      </c>
      <c r="T6" s="421">
        <f t="shared" ref="T6:T16" si="3">SUM(R6:S6)</f>
        <v>0</v>
      </c>
      <c r="V6" s="419" t="str">
        <f>'Ordering Period 5'!AM5</f>
        <v/>
      </c>
      <c r="W6" s="420" t="str">
        <f>'Ordering Period 5'!AN5</f>
        <v/>
      </c>
      <c r="X6" s="421">
        <f t="shared" ref="X6:X16" si="4">SUM(V6:W6)</f>
        <v>0</v>
      </c>
    </row>
    <row r="7" spans="1:27" s="111" customFormat="1" ht="15.75" thickBot="1" x14ac:dyDescent="0.3">
      <c r="A7" s="414" t="s">
        <v>73</v>
      </c>
      <c r="B7" s="415" t="str">
        <f>Totals!B7</f>
        <v>002</v>
      </c>
      <c r="C7" s="415" t="str">
        <f>Totals!C7</f>
        <v>Field Service Representative</v>
      </c>
      <c r="D7" s="416" t="str">
        <f>Totals!D7</f>
        <v>CONUS</v>
      </c>
      <c r="F7" s="419" t="str">
        <f>'Ordering Period 1'!AO6</f>
        <v/>
      </c>
      <c r="G7" s="420" t="str">
        <f>'Ordering Period 1'!AP6</f>
        <v/>
      </c>
      <c r="H7" s="421">
        <f t="shared" ref="H7:H20" si="5">SUM(F7:G7)</f>
        <v>0</v>
      </c>
      <c r="J7" s="419" t="str">
        <f>'Ordering Period 2'!AM6</f>
        <v/>
      </c>
      <c r="K7" s="420" t="str">
        <f>'Ordering Period 2'!AN6</f>
        <v/>
      </c>
      <c r="L7" s="421">
        <f t="shared" si="1"/>
        <v>0</v>
      </c>
      <c r="N7" s="419" t="str">
        <f>'Ordering Period 3'!AM6</f>
        <v/>
      </c>
      <c r="O7" s="420" t="str">
        <f>'Ordering Period 3'!AN6</f>
        <v/>
      </c>
      <c r="P7" s="421">
        <f t="shared" si="2"/>
        <v>0</v>
      </c>
      <c r="Q7" s="1"/>
      <c r="R7" s="419" t="str">
        <f>'Ordering Period 4'!AO6</f>
        <v/>
      </c>
      <c r="S7" s="420" t="str">
        <f>'Ordering Period 4'!AP6</f>
        <v/>
      </c>
      <c r="T7" s="421">
        <f t="shared" si="3"/>
        <v>0</v>
      </c>
      <c r="V7" s="419" t="str">
        <f>'Ordering Period 5'!AM6</f>
        <v/>
      </c>
      <c r="W7" s="420" t="str">
        <f>'Ordering Period 5'!AN6</f>
        <v/>
      </c>
      <c r="X7" s="421">
        <f t="shared" si="4"/>
        <v>0</v>
      </c>
    </row>
    <row r="8" spans="1:27" s="111" customFormat="1" ht="15.75" thickBot="1" x14ac:dyDescent="0.3">
      <c r="A8" s="414" t="s">
        <v>74</v>
      </c>
      <c r="B8" s="415" t="str">
        <f>Totals!B8</f>
        <v>003</v>
      </c>
      <c r="C8" s="415" t="str">
        <f>Totals!C8</f>
        <v>Heavy Equipment Mechanic</v>
      </c>
      <c r="D8" s="416" t="str">
        <f>Totals!D8</f>
        <v>CONUS</v>
      </c>
      <c r="F8" s="419" t="str">
        <f>'Ordering Period 1'!AO7</f>
        <v/>
      </c>
      <c r="G8" s="420" t="str">
        <f>'Ordering Period 1'!AP7</f>
        <v/>
      </c>
      <c r="H8" s="421">
        <f t="shared" si="5"/>
        <v>0</v>
      </c>
      <c r="J8" s="419" t="str">
        <f>'Ordering Period 2'!AM7</f>
        <v/>
      </c>
      <c r="K8" s="420" t="str">
        <f>'Ordering Period 2'!AN7</f>
        <v/>
      </c>
      <c r="L8" s="421">
        <f t="shared" si="1"/>
        <v>0</v>
      </c>
      <c r="N8" s="419" t="str">
        <f>'Ordering Period 3'!AM7</f>
        <v/>
      </c>
      <c r="O8" s="420" t="str">
        <f>'Ordering Period 3'!AN7</f>
        <v/>
      </c>
      <c r="P8" s="421">
        <f t="shared" si="2"/>
        <v>0</v>
      </c>
      <c r="Q8" s="1"/>
      <c r="R8" s="419" t="str">
        <f>'Ordering Period 4'!AO7</f>
        <v/>
      </c>
      <c r="S8" s="420" t="str">
        <f>'Ordering Period 4'!AP7</f>
        <v/>
      </c>
      <c r="T8" s="421">
        <f t="shared" si="3"/>
        <v>0</v>
      </c>
      <c r="V8" s="419" t="str">
        <f>'Ordering Period 5'!AM7</f>
        <v/>
      </c>
      <c r="W8" s="420" t="str">
        <f>'Ordering Period 5'!AN7</f>
        <v/>
      </c>
      <c r="X8" s="421">
        <f t="shared" si="4"/>
        <v>0</v>
      </c>
    </row>
    <row r="9" spans="1:27" s="111" customFormat="1" x14ac:dyDescent="0.25">
      <c r="A9" s="541" t="s">
        <v>75</v>
      </c>
      <c r="B9" s="236" t="str">
        <f>Totals!B9</f>
        <v>004</v>
      </c>
      <c r="C9" s="236" t="str">
        <f>Totals!C9</f>
        <v>Field Service Representative</v>
      </c>
      <c r="D9" s="237" t="str">
        <f>Totals!D9</f>
        <v>CONUS</v>
      </c>
      <c r="F9" s="112" t="str">
        <f>'Ordering Period 1'!AO8</f>
        <v/>
      </c>
      <c r="G9" s="169" t="str">
        <f>'Ordering Period 1'!AP8</f>
        <v/>
      </c>
      <c r="H9" s="170">
        <f t="shared" si="5"/>
        <v>0</v>
      </c>
      <c r="J9" s="112" t="str">
        <f>'Ordering Period 2'!AM8</f>
        <v/>
      </c>
      <c r="K9" s="169" t="str">
        <f>'Ordering Period 2'!AN8</f>
        <v/>
      </c>
      <c r="L9" s="170">
        <f t="shared" si="1"/>
        <v>0</v>
      </c>
      <c r="N9" s="112" t="str">
        <f>'Ordering Period 3'!AM8</f>
        <v/>
      </c>
      <c r="O9" s="169" t="str">
        <f>'Ordering Period 3'!AN8</f>
        <v/>
      </c>
      <c r="P9" s="170">
        <f t="shared" si="2"/>
        <v>0</v>
      </c>
      <c r="Q9" s="1"/>
      <c r="R9" s="112" t="str">
        <f>'Ordering Period 4'!AO8</f>
        <v/>
      </c>
      <c r="S9" s="169" t="str">
        <f>'Ordering Period 4'!AP8</f>
        <v/>
      </c>
      <c r="T9" s="170">
        <f t="shared" si="3"/>
        <v>0</v>
      </c>
      <c r="V9" s="112" t="str">
        <f>'Ordering Period 5'!AM8</f>
        <v/>
      </c>
      <c r="W9" s="169" t="str">
        <f>'Ordering Period 5'!AN8</f>
        <v/>
      </c>
      <c r="X9" s="170">
        <f t="shared" si="4"/>
        <v>0</v>
      </c>
    </row>
    <row r="10" spans="1:27" s="111" customFormat="1" ht="15" customHeight="1" x14ac:dyDescent="0.25">
      <c r="A10" s="542"/>
      <c r="B10" s="235" t="str">
        <f>Totals!B10</f>
        <v>005</v>
      </c>
      <c r="C10" s="235" t="str">
        <f>Totals!C10</f>
        <v>Modified Work Orders (MWO)</v>
      </c>
      <c r="D10" s="238" t="str">
        <f>Totals!D10</f>
        <v>CONUS</v>
      </c>
      <c r="F10" s="114" t="str">
        <f>'Ordering Period 1'!AO9</f>
        <v/>
      </c>
      <c r="G10" s="168" t="str">
        <f>'Ordering Period 1'!AP9</f>
        <v/>
      </c>
      <c r="H10" s="171">
        <f t="shared" si="5"/>
        <v>0</v>
      </c>
      <c r="J10" s="114" t="str">
        <f>'Ordering Period 2'!AM9</f>
        <v/>
      </c>
      <c r="K10" s="168" t="str">
        <f>'Ordering Period 2'!AN9</f>
        <v/>
      </c>
      <c r="L10" s="171">
        <f t="shared" si="1"/>
        <v>0</v>
      </c>
      <c r="N10" s="114" t="str">
        <f>'Ordering Period 3'!AM9</f>
        <v/>
      </c>
      <c r="O10" s="168" t="str">
        <f>'Ordering Period 3'!AN9</f>
        <v/>
      </c>
      <c r="P10" s="171">
        <f t="shared" si="2"/>
        <v>0</v>
      </c>
      <c r="Q10" s="1"/>
      <c r="R10" s="114" t="str">
        <f>'Ordering Period 4'!AO9</f>
        <v/>
      </c>
      <c r="S10" s="168" t="str">
        <f>'Ordering Period 4'!AP9</f>
        <v/>
      </c>
      <c r="T10" s="171">
        <f t="shared" si="3"/>
        <v>0</v>
      </c>
      <c r="V10" s="114" t="str">
        <f>'Ordering Period 5'!AM9</f>
        <v/>
      </c>
      <c r="W10" s="168" t="str">
        <f>'Ordering Period 5'!AN9</f>
        <v/>
      </c>
      <c r="X10" s="171">
        <f t="shared" si="4"/>
        <v>0</v>
      </c>
    </row>
    <row r="11" spans="1:27" s="111" customFormat="1" x14ac:dyDescent="0.25">
      <c r="A11" s="542"/>
      <c r="B11" s="235" t="str">
        <f>Totals!B11</f>
        <v>006</v>
      </c>
      <c r="C11" s="235" t="str">
        <f>Totals!C11</f>
        <v>Quality Assurance</v>
      </c>
      <c r="D11" s="238" t="str">
        <f>Totals!D11</f>
        <v>CONUS</v>
      </c>
      <c r="F11" s="114" t="str">
        <f>'Ordering Period 1'!AO10</f>
        <v/>
      </c>
      <c r="G11" s="168" t="str">
        <f>'Ordering Period 1'!AP10</f>
        <v/>
      </c>
      <c r="H11" s="171">
        <f t="shared" si="5"/>
        <v>0</v>
      </c>
      <c r="J11" s="114" t="str">
        <f>'Ordering Period 2'!AM10</f>
        <v/>
      </c>
      <c r="K11" s="168" t="str">
        <f>'Ordering Period 2'!AN10</f>
        <v/>
      </c>
      <c r="L11" s="171">
        <f t="shared" si="1"/>
        <v>0</v>
      </c>
      <c r="N11" s="114" t="str">
        <f>'Ordering Period 3'!AM10</f>
        <v/>
      </c>
      <c r="O11" s="168" t="str">
        <f>'Ordering Period 3'!AN10</f>
        <v/>
      </c>
      <c r="P11" s="171">
        <f t="shared" si="2"/>
        <v>0</v>
      </c>
      <c r="Q11" s="1"/>
      <c r="R11" s="114" t="str">
        <f>'Ordering Period 4'!AO10</f>
        <v/>
      </c>
      <c r="S11" s="168" t="str">
        <f>'Ordering Period 4'!AP10</f>
        <v/>
      </c>
      <c r="T11" s="171">
        <f t="shared" si="3"/>
        <v>0</v>
      </c>
      <c r="V11" s="114" t="str">
        <f>'Ordering Period 5'!AM10</f>
        <v/>
      </c>
      <c r="W11" s="168" t="str">
        <f>'Ordering Period 5'!AN10</f>
        <v/>
      </c>
      <c r="X11" s="171">
        <f t="shared" si="4"/>
        <v>0</v>
      </c>
    </row>
    <row r="12" spans="1:27" s="111" customFormat="1" x14ac:dyDescent="0.25">
      <c r="A12" s="542"/>
      <c r="B12" s="235" t="str">
        <f>Totals!B12</f>
        <v>007</v>
      </c>
      <c r="C12" s="235" t="str">
        <f>Totals!C12</f>
        <v>Software</v>
      </c>
      <c r="D12" s="238" t="str">
        <f>Totals!D12</f>
        <v>CONUS</v>
      </c>
      <c r="F12" s="114" t="str">
        <f>'Ordering Period 1'!AO11</f>
        <v/>
      </c>
      <c r="G12" s="168" t="str">
        <f>'Ordering Period 1'!AP11</f>
        <v/>
      </c>
      <c r="H12" s="171">
        <f t="shared" si="5"/>
        <v>0</v>
      </c>
      <c r="J12" s="114" t="str">
        <f>'Ordering Period 2'!AM11</f>
        <v/>
      </c>
      <c r="K12" s="168" t="str">
        <f>'Ordering Period 2'!AN11</f>
        <v/>
      </c>
      <c r="L12" s="171">
        <f t="shared" si="1"/>
        <v>0</v>
      </c>
      <c r="N12" s="114" t="str">
        <f>'Ordering Period 3'!AM11</f>
        <v/>
      </c>
      <c r="O12" s="168" t="str">
        <f>'Ordering Period 3'!AN11</f>
        <v/>
      </c>
      <c r="P12" s="171">
        <f t="shared" si="2"/>
        <v>0</v>
      </c>
      <c r="Q12" s="1"/>
      <c r="R12" s="114" t="str">
        <f>'Ordering Period 4'!AO11</f>
        <v/>
      </c>
      <c r="S12" s="168" t="str">
        <f>'Ordering Period 4'!AP11</f>
        <v/>
      </c>
      <c r="T12" s="171">
        <f t="shared" si="3"/>
        <v>0</v>
      </c>
      <c r="V12" s="114" t="str">
        <f>'Ordering Period 5'!AM11</f>
        <v/>
      </c>
      <c r="W12" s="168" t="str">
        <f>'Ordering Period 5'!AN11</f>
        <v/>
      </c>
      <c r="X12" s="171">
        <f t="shared" si="4"/>
        <v>0</v>
      </c>
    </row>
    <row r="13" spans="1:27" s="111" customFormat="1" ht="15.75" thickBot="1" x14ac:dyDescent="0.3">
      <c r="A13" s="543"/>
      <c r="B13" s="239" t="str">
        <f>Totals!B13</f>
        <v>008</v>
      </c>
      <c r="C13" s="239" t="str">
        <f>Totals!C13</f>
        <v>Welder</v>
      </c>
      <c r="D13" s="240" t="str">
        <f>Totals!D13</f>
        <v>CONUS</v>
      </c>
      <c r="F13" s="150" t="str">
        <f>'Ordering Period 1'!AO12</f>
        <v/>
      </c>
      <c r="G13" s="172" t="str">
        <f>'Ordering Period 1'!AP12</f>
        <v/>
      </c>
      <c r="H13" s="173">
        <f t="shared" si="5"/>
        <v>0</v>
      </c>
      <c r="J13" s="150" t="str">
        <f>'Ordering Period 2'!AM12</f>
        <v/>
      </c>
      <c r="K13" s="172" t="str">
        <f>'Ordering Period 2'!AN12</f>
        <v/>
      </c>
      <c r="L13" s="173">
        <f t="shared" si="1"/>
        <v>0</v>
      </c>
      <c r="N13" s="150" t="str">
        <f>'Ordering Period 3'!AM12</f>
        <v/>
      </c>
      <c r="O13" s="172" t="str">
        <f>'Ordering Period 3'!AN12</f>
        <v/>
      </c>
      <c r="P13" s="173">
        <f t="shared" si="2"/>
        <v>0</v>
      </c>
      <c r="Q13" s="1"/>
      <c r="R13" s="150" t="str">
        <f>'Ordering Period 4'!AO12</f>
        <v/>
      </c>
      <c r="S13" s="172" t="str">
        <f>'Ordering Period 4'!AP12</f>
        <v/>
      </c>
      <c r="T13" s="173">
        <f t="shared" si="3"/>
        <v>0</v>
      </c>
      <c r="V13" s="150" t="str">
        <f>'Ordering Period 5'!AM12</f>
        <v/>
      </c>
      <c r="W13" s="172" t="str">
        <f>'Ordering Period 5'!AN12</f>
        <v/>
      </c>
      <c r="X13" s="173">
        <f t="shared" si="4"/>
        <v>0</v>
      </c>
    </row>
    <row r="14" spans="1:27" s="111" customFormat="1" x14ac:dyDescent="0.25">
      <c r="A14" s="541" t="s">
        <v>76</v>
      </c>
      <c r="B14" s="236" t="str">
        <f>Totals!B14</f>
        <v>009</v>
      </c>
      <c r="C14" s="236" t="str">
        <f>Totals!C14</f>
        <v>Instructor Supervisor</v>
      </c>
      <c r="D14" s="237" t="str">
        <f>Totals!D14</f>
        <v>CONUS</v>
      </c>
      <c r="F14" s="112" t="str">
        <f>'Ordering Period 1'!AO13</f>
        <v/>
      </c>
      <c r="G14" s="169" t="str">
        <f>'Ordering Period 1'!AP13</f>
        <v/>
      </c>
      <c r="H14" s="170">
        <f t="shared" si="5"/>
        <v>0</v>
      </c>
      <c r="J14" s="112" t="str">
        <f>'Ordering Period 2'!AM13</f>
        <v/>
      </c>
      <c r="K14" s="169" t="str">
        <f>'Ordering Period 2'!AN13</f>
        <v/>
      </c>
      <c r="L14" s="170">
        <f t="shared" si="1"/>
        <v>0</v>
      </c>
      <c r="N14" s="112" t="str">
        <f>'Ordering Period 3'!AM13</f>
        <v/>
      </c>
      <c r="O14" s="169" t="str">
        <f>'Ordering Period 3'!AN13</f>
        <v/>
      </c>
      <c r="P14" s="170">
        <f t="shared" si="2"/>
        <v>0</v>
      </c>
      <c r="Q14" s="1"/>
      <c r="R14" s="112" t="str">
        <f>'Ordering Period 4'!AO13</f>
        <v/>
      </c>
      <c r="S14" s="169" t="str">
        <f>'Ordering Period 4'!AP13</f>
        <v/>
      </c>
      <c r="T14" s="170">
        <f t="shared" si="3"/>
        <v>0</v>
      </c>
      <c r="V14" s="112" t="str">
        <f>'Ordering Period 5'!AM13</f>
        <v/>
      </c>
      <c r="W14" s="169" t="str">
        <f>'Ordering Period 5'!AN13</f>
        <v/>
      </c>
      <c r="X14" s="170">
        <f t="shared" si="4"/>
        <v>0</v>
      </c>
    </row>
    <row r="15" spans="1:27" s="111" customFormat="1" ht="15.75" customHeight="1" thickBot="1" x14ac:dyDescent="0.3">
      <c r="A15" s="543"/>
      <c r="B15" s="239" t="str">
        <f>Totals!B15</f>
        <v>010</v>
      </c>
      <c r="C15" s="239" t="str">
        <f>Totals!C15</f>
        <v xml:space="preserve">Instructor  </v>
      </c>
      <c r="D15" s="240" t="str">
        <f>Totals!D15</f>
        <v>CONUS</v>
      </c>
      <c r="F15" s="150" t="str">
        <f>'Ordering Period 1'!AO14</f>
        <v/>
      </c>
      <c r="G15" s="172" t="str">
        <f>'Ordering Period 1'!AP14</f>
        <v/>
      </c>
      <c r="H15" s="173">
        <f t="shared" si="5"/>
        <v>0</v>
      </c>
      <c r="J15" s="150" t="str">
        <f>'Ordering Period 2'!AM14</f>
        <v/>
      </c>
      <c r="K15" s="172" t="str">
        <f>'Ordering Period 2'!AN14</f>
        <v/>
      </c>
      <c r="L15" s="173">
        <f t="shared" si="1"/>
        <v>0</v>
      </c>
      <c r="N15" s="150" t="str">
        <f>'Ordering Period 3'!AM14</f>
        <v/>
      </c>
      <c r="O15" s="172" t="str">
        <f>'Ordering Period 3'!AN14</f>
        <v/>
      </c>
      <c r="P15" s="173">
        <f t="shared" si="2"/>
        <v>0</v>
      </c>
      <c r="Q15" s="1"/>
      <c r="R15" s="150" t="str">
        <f>'Ordering Period 4'!AO14</f>
        <v/>
      </c>
      <c r="S15" s="172" t="str">
        <f>'Ordering Period 4'!AP14</f>
        <v/>
      </c>
      <c r="T15" s="173">
        <f t="shared" si="3"/>
        <v>0</v>
      </c>
      <c r="V15" s="150" t="str">
        <f>'Ordering Period 5'!AM14</f>
        <v/>
      </c>
      <c r="W15" s="172" t="str">
        <f>'Ordering Period 5'!AN14</f>
        <v/>
      </c>
      <c r="X15" s="173">
        <f t="shared" si="4"/>
        <v>0</v>
      </c>
    </row>
    <row r="16" spans="1:27" s="111" customFormat="1" x14ac:dyDescent="0.25">
      <c r="A16" s="541" t="s">
        <v>77</v>
      </c>
      <c r="B16" s="236" t="str">
        <f>Totals!B16</f>
        <v>011</v>
      </c>
      <c r="C16" s="236" t="str">
        <f>Totals!C16</f>
        <v>Heavy Equipment Mechanic</v>
      </c>
      <c r="D16" s="237" t="str">
        <f>Totals!D16</f>
        <v>CONUS</v>
      </c>
      <c r="F16" s="112" t="str">
        <f>'Ordering Period 1'!AO15</f>
        <v/>
      </c>
      <c r="G16" s="169" t="str">
        <f>'Ordering Period 1'!AP15</f>
        <v/>
      </c>
      <c r="H16" s="170">
        <f t="shared" si="5"/>
        <v>0</v>
      </c>
      <c r="J16" s="112" t="str">
        <f>'Ordering Period 2'!AM15</f>
        <v/>
      </c>
      <c r="K16" s="169" t="str">
        <f>'Ordering Period 2'!AN15</f>
        <v/>
      </c>
      <c r="L16" s="170">
        <f t="shared" si="1"/>
        <v>0</v>
      </c>
      <c r="N16" s="112" t="str">
        <f>'Ordering Period 3'!AM15</f>
        <v/>
      </c>
      <c r="O16" s="169" t="str">
        <f>'Ordering Period 3'!AN15</f>
        <v/>
      </c>
      <c r="P16" s="170">
        <f t="shared" si="2"/>
        <v>0</v>
      </c>
      <c r="Q16" s="1"/>
      <c r="R16" s="112" t="str">
        <f>'Ordering Period 4'!AO15</f>
        <v/>
      </c>
      <c r="S16" s="169" t="str">
        <f>'Ordering Period 4'!AP15</f>
        <v/>
      </c>
      <c r="T16" s="170">
        <f t="shared" si="3"/>
        <v>0</v>
      </c>
      <c r="V16" s="112" t="str">
        <f>'Ordering Period 5'!AM15</f>
        <v/>
      </c>
      <c r="W16" s="169" t="str">
        <f>'Ordering Period 5'!AN15</f>
        <v/>
      </c>
      <c r="X16" s="170">
        <f t="shared" si="4"/>
        <v>0</v>
      </c>
    </row>
    <row r="17" spans="1:27" s="111" customFormat="1" ht="15" customHeight="1" x14ac:dyDescent="0.25">
      <c r="A17" s="542"/>
      <c r="B17" s="235" t="str">
        <f>Totals!B17</f>
        <v>012</v>
      </c>
      <c r="C17" s="235" t="str">
        <f>Totals!C17</f>
        <v>Material Handling Specialist</v>
      </c>
      <c r="D17" s="238" t="str">
        <f>Totals!D17</f>
        <v>CONUS</v>
      </c>
      <c r="F17" s="114" t="str">
        <f>'Ordering Period 1'!AO16</f>
        <v/>
      </c>
      <c r="G17" s="168" t="str">
        <f>'Ordering Period 1'!AP16</f>
        <v/>
      </c>
      <c r="H17" s="171">
        <f t="shared" si="5"/>
        <v>0</v>
      </c>
      <c r="J17" s="114" t="str">
        <f>'Ordering Period 2'!AM16</f>
        <v/>
      </c>
      <c r="K17" s="168" t="str">
        <f>'Ordering Period 2'!AN16</f>
        <v/>
      </c>
      <c r="L17" s="171">
        <f t="shared" ref="L17:L20" si="6">SUM(J17:K17)</f>
        <v>0</v>
      </c>
      <c r="N17" s="114" t="str">
        <f>'Ordering Period 3'!AM16</f>
        <v/>
      </c>
      <c r="O17" s="168" t="str">
        <f>'Ordering Period 3'!AN16</f>
        <v/>
      </c>
      <c r="P17" s="171">
        <f t="shared" ref="P17:P20" si="7">SUM(N17:O17)</f>
        <v>0</v>
      </c>
      <c r="Q17" s="1"/>
      <c r="R17" s="114" t="str">
        <f>'Ordering Period 4'!AO16</f>
        <v/>
      </c>
      <c r="S17" s="168" t="str">
        <f>'Ordering Period 4'!AP16</f>
        <v/>
      </c>
      <c r="T17" s="171">
        <f t="shared" ref="T17:T20" si="8">SUM(R17:S17)</f>
        <v>0</v>
      </c>
      <c r="V17" s="114" t="str">
        <f>'Ordering Period 5'!AM16</f>
        <v/>
      </c>
      <c r="W17" s="168" t="str">
        <f>'Ordering Period 5'!AN16</f>
        <v/>
      </c>
      <c r="X17" s="171">
        <f t="shared" ref="X17:X20" si="9">SUM(V17:W17)</f>
        <v>0</v>
      </c>
    </row>
    <row r="18" spans="1:27" s="111" customFormat="1" x14ac:dyDescent="0.25">
      <c r="A18" s="542"/>
      <c r="B18" s="235" t="str">
        <f>Totals!B18</f>
        <v>013</v>
      </c>
      <c r="C18" s="235" t="str">
        <f>Totals!C18</f>
        <v>Quality Assurance</v>
      </c>
      <c r="D18" s="238" t="str">
        <f>Totals!D18</f>
        <v>CONUS</v>
      </c>
      <c r="F18" s="114" t="str">
        <f>'Ordering Period 1'!AO17</f>
        <v/>
      </c>
      <c r="G18" s="168" t="str">
        <f>'Ordering Period 1'!AP17</f>
        <v/>
      </c>
      <c r="H18" s="171">
        <f t="shared" si="5"/>
        <v>0</v>
      </c>
      <c r="J18" s="114" t="str">
        <f>'Ordering Period 2'!AM17</f>
        <v/>
      </c>
      <c r="K18" s="168" t="str">
        <f>'Ordering Period 2'!AN17</f>
        <v/>
      </c>
      <c r="L18" s="171">
        <f t="shared" si="6"/>
        <v>0</v>
      </c>
      <c r="N18" s="114" t="str">
        <f>'Ordering Period 3'!AM17</f>
        <v/>
      </c>
      <c r="O18" s="168" t="str">
        <f>'Ordering Period 3'!AN17</f>
        <v/>
      </c>
      <c r="P18" s="171">
        <f t="shared" si="7"/>
        <v>0</v>
      </c>
      <c r="Q18" s="1"/>
      <c r="R18" s="114" t="str">
        <f>'Ordering Period 4'!AO17</f>
        <v/>
      </c>
      <c r="S18" s="168" t="str">
        <f>'Ordering Period 4'!AP17</f>
        <v/>
      </c>
      <c r="T18" s="171">
        <f t="shared" si="8"/>
        <v>0</v>
      </c>
      <c r="V18" s="114" t="str">
        <f>'Ordering Period 5'!AM17</f>
        <v/>
      </c>
      <c r="W18" s="168" t="str">
        <f>'Ordering Period 5'!AN17</f>
        <v/>
      </c>
      <c r="X18" s="171">
        <f t="shared" si="9"/>
        <v>0</v>
      </c>
    </row>
    <row r="19" spans="1:27" s="111" customFormat="1" x14ac:dyDescent="0.25">
      <c r="A19" s="542"/>
      <c r="B19" s="235" t="str">
        <f>Totals!B19</f>
        <v>014</v>
      </c>
      <c r="C19" s="235" t="str">
        <f>Totals!C19</f>
        <v>Supply/Procurement Specialist</v>
      </c>
      <c r="D19" s="238" t="str">
        <f>Totals!D19</f>
        <v>CONUS</v>
      </c>
      <c r="F19" s="114" t="str">
        <f>'Ordering Period 1'!AO18</f>
        <v/>
      </c>
      <c r="G19" s="168" t="str">
        <f>'Ordering Period 1'!AP18</f>
        <v/>
      </c>
      <c r="H19" s="171">
        <f t="shared" si="5"/>
        <v>0</v>
      </c>
      <c r="J19" s="114" t="str">
        <f>'Ordering Period 2'!AM18</f>
        <v/>
      </c>
      <c r="K19" s="168" t="str">
        <f>'Ordering Period 2'!AN18</f>
        <v/>
      </c>
      <c r="L19" s="171">
        <f t="shared" si="6"/>
        <v>0</v>
      </c>
      <c r="N19" s="114" t="str">
        <f>'Ordering Period 3'!AM18</f>
        <v/>
      </c>
      <c r="O19" s="168" t="str">
        <f>'Ordering Period 3'!AN18</f>
        <v/>
      </c>
      <c r="P19" s="171">
        <f t="shared" si="7"/>
        <v>0</v>
      </c>
      <c r="Q19" s="1"/>
      <c r="R19" s="114" t="str">
        <f>'Ordering Period 4'!AO18</f>
        <v/>
      </c>
      <c r="S19" s="168" t="str">
        <f>'Ordering Period 4'!AP18</f>
        <v/>
      </c>
      <c r="T19" s="171">
        <f t="shared" si="8"/>
        <v>0</v>
      </c>
      <c r="V19" s="114" t="str">
        <f>'Ordering Period 5'!AM18</f>
        <v/>
      </c>
      <c r="W19" s="168" t="str">
        <f>'Ordering Period 5'!AN18</f>
        <v/>
      </c>
      <c r="X19" s="171">
        <f t="shared" si="9"/>
        <v>0</v>
      </c>
    </row>
    <row r="20" spans="1:27" s="111" customFormat="1" ht="15.75" thickBot="1" x14ac:dyDescent="0.3">
      <c r="A20" s="543"/>
      <c r="B20" s="239" t="str">
        <f>Totals!B20</f>
        <v>015</v>
      </c>
      <c r="C20" s="239" t="str">
        <f>Totals!C20</f>
        <v>Welder</v>
      </c>
      <c r="D20" s="240" t="str">
        <f>Totals!D20</f>
        <v>CONUS</v>
      </c>
      <c r="F20" s="150" t="str">
        <f>'Ordering Period 1'!AO19</f>
        <v/>
      </c>
      <c r="G20" s="172" t="str">
        <f>'Ordering Period 1'!AP19</f>
        <v/>
      </c>
      <c r="H20" s="173">
        <f t="shared" si="5"/>
        <v>0</v>
      </c>
      <c r="J20" s="150" t="str">
        <f>'Ordering Period 2'!AM19</f>
        <v/>
      </c>
      <c r="K20" s="172" t="str">
        <f>'Ordering Period 2'!AN19</f>
        <v/>
      </c>
      <c r="L20" s="173">
        <f t="shared" si="6"/>
        <v>0</v>
      </c>
      <c r="N20" s="150" t="str">
        <f>'Ordering Period 3'!AM19</f>
        <v/>
      </c>
      <c r="O20" s="172" t="str">
        <f>'Ordering Period 3'!AN19</f>
        <v/>
      </c>
      <c r="P20" s="173">
        <f t="shared" si="7"/>
        <v>0</v>
      </c>
      <c r="Q20" s="1"/>
      <c r="R20" s="150" t="str">
        <f>'Ordering Period 4'!AO19</f>
        <v/>
      </c>
      <c r="S20" s="172" t="str">
        <f>'Ordering Period 4'!AP19</f>
        <v/>
      </c>
      <c r="T20" s="173">
        <f t="shared" si="8"/>
        <v>0</v>
      </c>
      <c r="V20" s="150" t="str">
        <f>'Ordering Period 5'!AM19</f>
        <v/>
      </c>
      <c r="W20" s="172" t="str">
        <f>'Ordering Period 5'!AN19</f>
        <v/>
      </c>
      <c r="X20" s="173">
        <f t="shared" si="9"/>
        <v>0</v>
      </c>
    </row>
    <row r="21" spans="1:27" ht="15.75" thickBot="1" x14ac:dyDescent="0.3">
      <c r="A21" s="422" t="s">
        <v>189</v>
      </c>
      <c r="B21" s="423"/>
      <c r="C21" s="424"/>
      <c r="D21" s="425"/>
      <c r="E21" s="220"/>
      <c r="F21" s="221"/>
      <c r="G21" s="222"/>
      <c r="H21" s="223"/>
      <c r="I21" s="220"/>
      <c r="J21" s="221"/>
      <c r="K21" s="222"/>
      <c r="L21" s="223"/>
      <c r="M21" s="220"/>
      <c r="N21" s="221"/>
      <c r="O21" s="222"/>
      <c r="P21" s="223"/>
      <c r="Q21" s="220"/>
      <c r="R21" s="221"/>
      <c r="S21" s="222"/>
      <c r="T21" s="223"/>
      <c r="U21" s="220"/>
      <c r="V21" s="221"/>
      <c r="W21" s="222"/>
      <c r="X21" s="223"/>
      <c r="Y21" s="106"/>
      <c r="Z21" s="106"/>
      <c r="AA21" s="106"/>
    </row>
    <row r="22" spans="1:27" s="111" customFormat="1" ht="15.75" thickBot="1" x14ac:dyDescent="0.3">
      <c r="A22" s="414" t="s">
        <v>73</v>
      </c>
      <c r="B22" s="415" t="str">
        <f>B7</f>
        <v>002</v>
      </c>
      <c r="C22" s="415" t="str">
        <f>C7</f>
        <v>Field Service Representative</v>
      </c>
      <c r="D22" s="416" t="s">
        <v>189</v>
      </c>
      <c r="F22" s="419" t="str">
        <f>'Ordering Period 1'!AO21</f>
        <v/>
      </c>
      <c r="G22" s="420" t="str">
        <f>'Ordering Period 1'!AP21</f>
        <v/>
      </c>
      <c r="H22" s="421">
        <f>SUM(F22:G22)</f>
        <v>0</v>
      </c>
      <c r="J22" s="419" t="str">
        <f>'Ordering Period 2'!AM21</f>
        <v/>
      </c>
      <c r="K22" s="420" t="str">
        <f>'Ordering Period 2'!AN21</f>
        <v/>
      </c>
      <c r="L22" s="421">
        <f>SUM(J22:K22)</f>
        <v>0</v>
      </c>
      <c r="N22" s="419" t="str">
        <f>'Ordering Period 3'!AM21</f>
        <v/>
      </c>
      <c r="O22" s="420" t="str">
        <f>'Ordering Period 3'!AN21</f>
        <v/>
      </c>
      <c r="P22" s="421">
        <f>SUM(N22:O22)</f>
        <v>0</v>
      </c>
      <c r="Q22" s="1"/>
      <c r="R22" s="419" t="str">
        <f>'Ordering Period 4'!AO21</f>
        <v/>
      </c>
      <c r="S22" s="420" t="str">
        <f>'Ordering Period 4'!AP21</f>
        <v/>
      </c>
      <c r="T22" s="421">
        <f>SUM(R22:S22)</f>
        <v>0</v>
      </c>
      <c r="V22" s="419" t="str">
        <f>'Ordering Period 5'!AM21</f>
        <v/>
      </c>
      <c r="W22" s="420" t="str">
        <f>'Ordering Period 5'!AN21</f>
        <v/>
      </c>
      <c r="X22" s="421">
        <f t="shared" ref="X22" si="10">SUM(V22:W22)</f>
        <v>0</v>
      </c>
    </row>
    <row r="23" spans="1:27" s="111" customFormat="1" ht="15.75" thickBot="1" x14ac:dyDescent="0.3">
      <c r="A23" s="414" t="s">
        <v>74</v>
      </c>
      <c r="B23" s="415" t="str">
        <f t="shared" ref="B23:C23" si="11">B8</f>
        <v>003</v>
      </c>
      <c r="C23" s="415" t="str">
        <f t="shared" si="11"/>
        <v>Heavy Equipment Mechanic</v>
      </c>
      <c r="D23" s="416" t="s">
        <v>189</v>
      </c>
      <c r="F23" s="419" t="str">
        <f>'Ordering Period 1'!AO22</f>
        <v/>
      </c>
      <c r="G23" s="420" t="str">
        <f>'Ordering Period 1'!AP22</f>
        <v/>
      </c>
      <c r="H23" s="421">
        <f t="shared" ref="H23:H30" si="12">SUM(F23:G23)</f>
        <v>0</v>
      </c>
      <c r="J23" s="419" t="str">
        <f>'Ordering Period 2'!AM22</f>
        <v/>
      </c>
      <c r="K23" s="420" t="str">
        <f>'Ordering Period 2'!AN22</f>
        <v/>
      </c>
      <c r="L23" s="421">
        <f t="shared" ref="L23:L35" si="13">SUM(J23:K23)</f>
        <v>0</v>
      </c>
      <c r="N23" s="419" t="str">
        <f>'Ordering Period 3'!AM22</f>
        <v/>
      </c>
      <c r="O23" s="420" t="str">
        <f>'Ordering Period 3'!AN22</f>
        <v/>
      </c>
      <c r="P23" s="421">
        <f t="shared" ref="P23:P30" si="14">SUM(N23:O23)</f>
        <v>0</v>
      </c>
      <c r="Q23" s="1"/>
      <c r="R23" s="419" t="str">
        <f>'Ordering Period 4'!AO22</f>
        <v/>
      </c>
      <c r="S23" s="420" t="str">
        <f>'Ordering Period 4'!AP22</f>
        <v/>
      </c>
      <c r="T23" s="421">
        <f t="shared" ref="T23:T30" si="15">SUM(R23:S23)</f>
        <v>0</v>
      </c>
      <c r="V23" s="419" t="str">
        <f>'Ordering Period 5'!AM22</f>
        <v/>
      </c>
      <c r="W23" s="420" t="str">
        <f>'Ordering Period 5'!AN22</f>
        <v/>
      </c>
      <c r="X23" s="421">
        <f t="shared" ref="X23:X30" si="16">SUM(V23:W23)</f>
        <v>0</v>
      </c>
    </row>
    <row r="24" spans="1:27" s="111" customFormat="1" x14ac:dyDescent="0.25">
      <c r="A24" s="541" t="s">
        <v>75</v>
      </c>
      <c r="B24" s="236" t="str">
        <f t="shared" ref="B24:C24" si="17">B9</f>
        <v>004</v>
      </c>
      <c r="C24" s="236" t="str">
        <f t="shared" si="17"/>
        <v>Field Service Representative</v>
      </c>
      <c r="D24" s="237" t="s">
        <v>189</v>
      </c>
      <c r="F24" s="112" t="str">
        <f>'Ordering Period 1'!AO23</f>
        <v/>
      </c>
      <c r="G24" s="169" t="str">
        <f>'Ordering Period 1'!AP23</f>
        <v/>
      </c>
      <c r="H24" s="170">
        <f t="shared" si="12"/>
        <v>0</v>
      </c>
      <c r="J24" s="112" t="str">
        <f>'Ordering Period 2'!AM23</f>
        <v/>
      </c>
      <c r="K24" s="169" t="str">
        <f>'Ordering Period 2'!AN23</f>
        <v/>
      </c>
      <c r="L24" s="170">
        <f t="shared" si="13"/>
        <v>0</v>
      </c>
      <c r="N24" s="112" t="str">
        <f>'Ordering Period 3'!AM23</f>
        <v/>
      </c>
      <c r="O24" s="169" t="str">
        <f>'Ordering Period 3'!AN23</f>
        <v/>
      </c>
      <c r="P24" s="170">
        <f t="shared" si="14"/>
        <v>0</v>
      </c>
      <c r="Q24" s="1"/>
      <c r="R24" s="112" t="str">
        <f>'Ordering Period 4'!AO23</f>
        <v/>
      </c>
      <c r="S24" s="169" t="str">
        <f>'Ordering Period 4'!AP23</f>
        <v/>
      </c>
      <c r="T24" s="170">
        <f t="shared" si="15"/>
        <v>0</v>
      </c>
      <c r="V24" s="112" t="str">
        <f>'Ordering Period 5'!AM23</f>
        <v/>
      </c>
      <c r="W24" s="169" t="str">
        <f>'Ordering Period 5'!AN23</f>
        <v/>
      </c>
      <c r="X24" s="170">
        <f t="shared" si="16"/>
        <v>0</v>
      </c>
    </row>
    <row r="25" spans="1:27" s="111" customFormat="1" ht="15" customHeight="1" x14ac:dyDescent="0.25">
      <c r="A25" s="542"/>
      <c r="B25" s="235" t="str">
        <f t="shared" ref="B25:C25" si="18">B10</f>
        <v>005</v>
      </c>
      <c r="C25" s="235" t="str">
        <f t="shared" si="18"/>
        <v>Modified Work Orders (MWO)</v>
      </c>
      <c r="D25" s="238" t="s">
        <v>189</v>
      </c>
      <c r="F25" s="114" t="str">
        <f>'Ordering Period 1'!AO24</f>
        <v/>
      </c>
      <c r="G25" s="168" t="str">
        <f>'Ordering Period 1'!AP24</f>
        <v/>
      </c>
      <c r="H25" s="171">
        <f t="shared" si="12"/>
        <v>0</v>
      </c>
      <c r="J25" s="114" t="str">
        <f>'Ordering Period 2'!AM24</f>
        <v/>
      </c>
      <c r="K25" s="168" t="str">
        <f>'Ordering Period 2'!AN24</f>
        <v/>
      </c>
      <c r="L25" s="171">
        <f t="shared" si="13"/>
        <v>0</v>
      </c>
      <c r="N25" s="114" t="str">
        <f>'Ordering Period 3'!AM24</f>
        <v/>
      </c>
      <c r="O25" s="168" t="str">
        <f>'Ordering Period 3'!AN24</f>
        <v/>
      </c>
      <c r="P25" s="171">
        <f t="shared" si="14"/>
        <v>0</v>
      </c>
      <c r="Q25" s="1"/>
      <c r="R25" s="114" t="str">
        <f>'Ordering Period 4'!AO24</f>
        <v/>
      </c>
      <c r="S25" s="168" t="str">
        <f>'Ordering Period 4'!AP24</f>
        <v/>
      </c>
      <c r="T25" s="171">
        <f t="shared" si="15"/>
        <v>0</v>
      </c>
      <c r="V25" s="114" t="str">
        <f>'Ordering Period 5'!AM24</f>
        <v/>
      </c>
      <c r="W25" s="168" t="str">
        <f>'Ordering Period 5'!AN24</f>
        <v/>
      </c>
      <c r="X25" s="171">
        <f t="shared" si="16"/>
        <v>0</v>
      </c>
    </row>
    <row r="26" spans="1:27" s="111" customFormat="1" x14ac:dyDescent="0.25">
      <c r="A26" s="542"/>
      <c r="B26" s="235" t="str">
        <f t="shared" ref="B26:C26" si="19">B11</f>
        <v>006</v>
      </c>
      <c r="C26" s="235" t="str">
        <f t="shared" si="19"/>
        <v>Quality Assurance</v>
      </c>
      <c r="D26" s="238" t="s">
        <v>189</v>
      </c>
      <c r="F26" s="114" t="str">
        <f>'Ordering Period 1'!AO25</f>
        <v/>
      </c>
      <c r="G26" s="168" t="str">
        <f>'Ordering Period 1'!AP25</f>
        <v/>
      </c>
      <c r="H26" s="171">
        <f t="shared" si="12"/>
        <v>0</v>
      </c>
      <c r="J26" s="114" t="str">
        <f>'Ordering Period 2'!AM25</f>
        <v/>
      </c>
      <c r="K26" s="168" t="str">
        <f>'Ordering Period 2'!AN25</f>
        <v/>
      </c>
      <c r="L26" s="171">
        <f t="shared" si="13"/>
        <v>0</v>
      </c>
      <c r="N26" s="114" t="str">
        <f>'Ordering Period 3'!AM25</f>
        <v/>
      </c>
      <c r="O26" s="168" t="str">
        <f>'Ordering Period 3'!AN25</f>
        <v/>
      </c>
      <c r="P26" s="171">
        <f t="shared" si="14"/>
        <v>0</v>
      </c>
      <c r="Q26" s="1"/>
      <c r="R26" s="114" t="str">
        <f>'Ordering Period 4'!AO25</f>
        <v/>
      </c>
      <c r="S26" s="168" t="str">
        <f>'Ordering Period 4'!AP25</f>
        <v/>
      </c>
      <c r="T26" s="171">
        <f t="shared" si="15"/>
        <v>0</v>
      </c>
      <c r="V26" s="114" t="str">
        <f>'Ordering Period 5'!AM25</f>
        <v/>
      </c>
      <c r="W26" s="168" t="str">
        <f>'Ordering Period 5'!AN25</f>
        <v/>
      </c>
      <c r="X26" s="171">
        <f t="shared" si="16"/>
        <v>0</v>
      </c>
    </row>
    <row r="27" spans="1:27" s="111" customFormat="1" x14ac:dyDescent="0.25">
      <c r="A27" s="542"/>
      <c r="B27" s="235" t="str">
        <f t="shared" ref="B27:C27" si="20">B12</f>
        <v>007</v>
      </c>
      <c r="C27" s="235" t="str">
        <f t="shared" si="20"/>
        <v>Software</v>
      </c>
      <c r="D27" s="238" t="s">
        <v>189</v>
      </c>
      <c r="F27" s="114" t="str">
        <f>'Ordering Period 1'!AO26</f>
        <v/>
      </c>
      <c r="G27" s="168" t="str">
        <f>'Ordering Period 1'!AP26</f>
        <v/>
      </c>
      <c r="H27" s="171">
        <f t="shared" si="12"/>
        <v>0</v>
      </c>
      <c r="J27" s="114" t="str">
        <f>'Ordering Period 2'!AM26</f>
        <v/>
      </c>
      <c r="K27" s="168" t="str">
        <f>'Ordering Period 2'!AN26</f>
        <v/>
      </c>
      <c r="L27" s="171">
        <f t="shared" si="13"/>
        <v>0</v>
      </c>
      <c r="N27" s="114" t="str">
        <f>'Ordering Period 3'!AM26</f>
        <v/>
      </c>
      <c r="O27" s="168" t="str">
        <f>'Ordering Period 3'!AN26</f>
        <v/>
      </c>
      <c r="P27" s="171">
        <f t="shared" si="14"/>
        <v>0</v>
      </c>
      <c r="Q27" s="1"/>
      <c r="R27" s="114" t="str">
        <f>'Ordering Period 4'!AO26</f>
        <v/>
      </c>
      <c r="S27" s="168" t="str">
        <f>'Ordering Period 4'!AP26</f>
        <v/>
      </c>
      <c r="T27" s="171">
        <f t="shared" si="15"/>
        <v>0</v>
      </c>
      <c r="V27" s="114" t="str">
        <f>'Ordering Period 5'!AM26</f>
        <v/>
      </c>
      <c r="W27" s="168" t="str">
        <f>'Ordering Period 5'!AN26</f>
        <v/>
      </c>
      <c r="X27" s="171">
        <f t="shared" si="16"/>
        <v>0</v>
      </c>
    </row>
    <row r="28" spans="1:27" s="111" customFormat="1" ht="15.75" thickBot="1" x14ac:dyDescent="0.3">
      <c r="A28" s="543"/>
      <c r="B28" s="239" t="str">
        <f t="shared" ref="B28:C28" si="21">B13</f>
        <v>008</v>
      </c>
      <c r="C28" s="239" t="str">
        <f t="shared" si="21"/>
        <v>Welder</v>
      </c>
      <c r="D28" s="240" t="s">
        <v>189</v>
      </c>
      <c r="F28" s="150" t="str">
        <f>'Ordering Period 1'!AO27</f>
        <v/>
      </c>
      <c r="G28" s="172" t="str">
        <f>'Ordering Period 1'!AP27</f>
        <v/>
      </c>
      <c r="H28" s="173">
        <f t="shared" si="12"/>
        <v>0</v>
      </c>
      <c r="J28" s="150" t="str">
        <f>'Ordering Period 2'!AM27</f>
        <v/>
      </c>
      <c r="K28" s="172" t="str">
        <f>'Ordering Period 2'!AN27</f>
        <v/>
      </c>
      <c r="L28" s="173">
        <f t="shared" si="13"/>
        <v>0</v>
      </c>
      <c r="N28" s="150" t="str">
        <f>'Ordering Period 3'!AM27</f>
        <v/>
      </c>
      <c r="O28" s="172" t="str">
        <f>'Ordering Period 3'!AN27</f>
        <v/>
      </c>
      <c r="P28" s="173">
        <f t="shared" si="14"/>
        <v>0</v>
      </c>
      <c r="Q28" s="1"/>
      <c r="R28" s="150" t="str">
        <f>'Ordering Period 4'!AO27</f>
        <v/>
      </c>
      <c r="S28" s="172" t="str">
        <f>'Ordering Period 4'!AP27</f>
        <v/>
      </c>
      <c r="T28" s="173">
        <f t="shared" si="15"/>
        <v>0</v>
      </c>
      <c r="V28" s="150" t="str">
        <f>'Ordering Period 5'!AM27</f>
        <v/>
      </c>
      <c r="W28" s="172" t="str">
        <f>'Ordering Period 5'!AN27</f>
        <v/>
      </c>
      <c r="X28" s="173">
        <f t="shared" si="16"/>
        <v>0</v>
      </c>
    </row>
    <row r="29" spans="1:27" s="111" customFormat="1" x14ac:dyDescent="0.25">
      <c r="A29" s="541" t="s">
        <v>76</v>
      </c>
      <c r="B29" s="236" t="str">
        <f t="shared" ref="B29:C29" si="22">B14</f>
        <v>009</v>
      </c>
      <c r="C29" s="236" t="str">
        <f t="shared" si="22"/>
        <v>Instructor Supervisor</v>
      </c>
      <c r="D29" s="237" t="s">
        <v>189</v>
      </c>
      <c r="F29" s="112" t="str">
        <f>'Ordering Period 1'!AO28</f>
        <v/>
      </c>
      <c r="G29" s="169" t="str">
        <f>'Ordering Period 1'!AP28</f>
        <v/>
      </c>
      <c r="H29" s="170">
        <f t="shared" si="12"/>
        <v>0</v>
      </c>
      <c r="J29" s="112" t="str">
        <f>'Ordering Period 2'!AM28</f>
        <v/>
      </c>
      <c r="K29" s="169" t="str">
        <f>'Ordering Period 2'!AN28</f>
        <v/>
      </c>
      <c r="L29" s="170">
        <f t="shared" si="13"/>
        <v>0</v>
      </c>
      <c r="N29" s="112" t="str">
        <f>'Ordering Period 3'!AM28</f>
        <v/>
      </c>
      <c r="O29" s="169" t="str">
        <f>'Ordering Period 3'!AN28</f>
        <v/>
      </c>
      <c r="P29" s="170">
        <f t="shared" si="14"/>
        <v>0</v>
      </c>
      <c r="Q29" s="1"/>
      <c r="R29" s="112" t="str">
        <f>'Ordering Period 4'!AO28</f>
        <v/>
      </c>
      <c r="S29" s="169" t="str">
        <f>'Ordering Period 4'!AP28</f>
        <v/>
      </c>
      <c r="T29" s="170">
        <f t="shared" si="15"/>
        <v>0</v>
      </c>
      <c r="V29" s="112" t="str">
        <f>'Ordering Period 5'!AM28</f>
        <v/>
      </c>
      <c r="W29" s="169" t="str">
        <f>'Ordering Period 5'!AN28</f>
        <v/>
      </c>
      <c r="X29" s="170">
        <f t="shared" si="16"/>
        <v>0</v>
      </c>
    </row>
    <row r="30" spans="1:27" s="111" customFormat="1" ht="15.75" customHeight="1" thickBot="1" x14ac:dyDescent="0.3">
      <c r="A30" s="543"/>
      <c r="B30" s="239" t="str">
        <f t="shared" ref="B30:C30" si="23">B15</f>
        <v>010</v>
      </c>
      <c r="C30" s="239" t="str">
        <f t="shared" si="23"/>
        <v xml:space="preserve">Instructor  </v>
      </c>
      <c r="D30" s="240" t="s">
        <v>189</v>
      </c>
      <c r="F30" s="150" t="str">
        <f>'Ordering Period 1'!AO29</f>
        <v/>
      </c>
      <c r="G30" s="172" t="str">
        <f>'Ordering Period 1'!AP29</f>
        <v/>
      </c>
      <c r="H30" s="173">
        <f t="shared" si="12"/>
        <v>0</v>
      </c>
      <c r="J30" s="150" t="str">
        <f>'Ordering Period 2'!AM29</f>
        <v/>
      </c>
      <c r="K30" s="172" t="str">
        <f>'Ordering Period 2'!AN29</f>
        <v/>
      </c>
      <c r="L30" s="173">
        <f t="shared" si="13"/>
        <v>0</v>
      </c>
      <c r="N30" s="150" t="str">
        <f>'Ordering Period 3'!AM29</f>
        <v/>
      </c>
      <c r="O30" s="172" t="str">
        <f>'Ordering Period 3'!AN29</f>
        <v/>
      </c>
      <c r="P30" s="173">
        <f t="shared" si="14"/>
        <v>0</v>
      </c>
      <c r="Q30" s="1"/>
      <c r="R30" s="150" t="str">
        <f>'Ordering Period 4'!AO29</f>
        <v/>
      </c>
      <c r="S30" s="172" t="str">
        <f>'Ordering Period 4'!AP29</f>
        <v/>
      </c>
      <c r="T30" s="173">
        <f t="shared" si="15"/>
        <v>0</v>
      </c>
      <c r="V30" s="150" t="str">
        <f>'Ordering Period 5'!AM29</f>
        <v/>
      </c>
      <c r="W30" s="172" t="str">
        <f>'Ordering Period 5'!AN29</f>
        <v/>
      </c>
      <c r="X30" s="173">
        <f t="shared" si="16"/>
        <v>0</v>
      </c>
    </row>
    <row r="31" spans="1:27" s="111" customFormat="1" x14ac:dyDescent="0.25">
      <c r="A31" s="541" t="s">
        <v>77</v>
      </c>
      <c r="B31" s="236" t="str">
        <f t="shared" ref="B31:C31" si="24">B16</f>
        <v>011</v>
      </c>
      <c r="C31" s="236" t="str">
        <f t="shared" si="24"/>
        <v>Heavy Equipment Mechanic</v>
      </c>
      <c r="D31" s="237" t="s">
        <v>189</v>
      </c>
      <c r="F31" s="112" t="str">
        <f>'Ordering Period 1'!AO30</f>
        <v/>
      </c>
      <c r="G31" s="169" t="str">
        <f>'Ordering Period 1'!AP30</f>
        <v/>
      </c>
      <c r="H31" s="170">
        <f t="shared" ref="H31:H35" si="25">SUM(F31:G31)</f>
        <v>0</v>
      </c>
      <c r="J31" s="112" t="str">
        <f>'Ordering Period 2'!AM30</f>
        <v/>
      </c>
      <c r="K31" s="169" t="str">
        <f>'Ordering Period 2'!AN30</f>
        <v/>
      </c>
      <c r="L31" s="170">
        <f t="shared" si="13"/>
        <v>0</v>
      </c>
      <c r="N31" s="112" t="str">
        <f>'Ordering Period 3'!AM30</f>
        <v/>
      </c>
      <c r="O31" s="169" t="str">
        <f>'Ordering Period 3'!AN30</f>
        <v/>
      </c>
      <c r="P31" s="170">
        <f t="shared" ref="P31:P35" si="26">SUM(N31:O31)</f>
        <v>0</v>
      </c>
      <c r="Q31" s="1"/>
      <c r="R31" s="112" t="str">
        <f>'Ordering Period 4'!AO30</f>
        <v/>
      </c>
      <c r="S31" s="169" t="str">
        <f>'Ordering Period 4'!AP30</f>
        <v/>
      </c>
      <c r="T31" s="170">
        <f t="shared" ref="T31:T35" si="27">SUM(R31:S31)</f>
        <v>0</v>
      </c>
      <c r="V31" s="112" t="str">
        <f>'Ordering Period 5'!AM30</f>
        <v/>
      </c>
      <c r="W31" s="169" t="str">
        <f>'Ordering Period 5'!AN30</f>
        <v/>
      </c>
      <c r="X31" s="170">
        <f t="shared" ref="X31:X35" si="28">SUM(V31:W31)</f>
        <v>0</v>
      </c>
    </row>
    <row r="32" spans="1:27" s="111" customFormat="1" ht="15" customHeight="1" x14ac:dyDescent="0.25">
      <c r="A32" s="542"/>
      <c r="B32" s="235" t="str">
        <f t="shared" ref="B32:C32" si="29">B17</f>
        <v>012</v>
      </c>
      <c r="C32" s="235" t="str">
        <f t="shared" si="29"/>
        <v>Material Handling Specialist</v>
      </c>
      <c r="D32" s="238" t="s">
        <v>189</v>
      </c>
      <c r="F32" s="114" t="str">
        <f>'Ordering Period 1'!AO31</f>
        <v/>
      </c>
      <c r="G32" s="168" t="str">
        <f>'Ordering Period 1'!AP31</f>
        <v/>
      </c>
      <c r="H32" s="171">
        <f t="shared" si="25"/>
        <v>0</v>
      </c>
      <c r="J32" s="114" t="str">
        <f>'Ordering Period 2'!AM31</f>
        <v/>
      </c>
      <c r="K32" s="168" t="str">
        <f>'Ordering Period 2'!AN31</f>
        <v/>
      </c>
      <c r="L32" s="171">
        <f t="shared" si="13"/>
        <v>0</v>
      </c>
      <c r="N32" s="114" t="str">
        <f>'Ordering Period 3'!AM31</f>
        <v/>
      </c>
      <c r="O32" s="168" t="str">
        <f>'Ordering Period 3'!AN31</f>
        <v/>
      </c>
      <c r="P32" s="171">
        <f t="shared" si="26"/>
        <v>0</v>
      </c>
      <c r="Q32" s="1"/>
      <c r="R32" s="114" t="str">
        <f>'Ordering Period 4'!AO31</f>
        <v/>
      </c>
      <c r="S32" s="168" t="str">
        <f>'Ordering Period 4'!AP31</f>
        <v/>
      </c>
      <c r="T32" s="171">
        <f t="shared" si="27"/>
        <v>0</v>
      </c>
      <c r="V32" s="114" t="str">
        <f>'Ordering Period 5'!AM31</f>
        <v/>
      </c>
      <c r="W32" s="168" t="str">
        <f>'Ordering Period 5'!AN31</f>
        <v/>
      </c>
      <c r="X32" s="171">
        <f t="shared" si="28"/>
        <v>0</v>
      </c>
    </row>
    <row r="33" spans="1:27" s="111" customFormat="1" x14ac:dyDescent="0.25">
      <c r="A33" s="542"/>
      <c r="B33" s="235" t="str">
        <f t="shared" ref="B33:C33" si="30">B18</f>
        <v>013</v>
      </c>
      <c r="C33" s="235" t="str">
        <f t="shared" si="30"/>
        <v>Quality Assurance</v>
      </c>
      <c r="D33" s="238" t="s">
        <v>189</v>
      </c>
      <c r="F33" s="114" t="str">
        <f>'Ordering Period 1'!AO32</f>
        <v/>
      </c>
      <c r="G33" s="168" t="str">
        <f>'Ordering Period 1'!AP32</f>
        <v/>
      </c>
      <c r="H33" s="171">
        <f t="shared" si="25"/>
        <v>0</v>
      </c>
      <c r="J33" s="114" t="str">
        <f>'Ordering Period 2'!AM32</f>
        <v/>
      </c>
      <c r="K33" s="168" t="str">
        <f>'Ordering Period 2'!AN32</f>
        <v/>
      </c>
      <c r="L33" s="171">
        <f t="shared" si="13"/>
        <v>0</v>
      </c>
      <c r="N33" s="114" t="str">
        <f>'Ordering Period 3'!AM32</f>
        <v/>
      </c>
      <c r="O33" s="168" t="str">
        <f>'Ordering Period 3'!AN32</f>
        <v/>
      </c>
      <c r="P33" s="171">
        <f t="shared" si="26"/>
        <v>0</v>
      </c>
      <c r="Q33" s="1"/>
      <c r="R33" s="114" t="str">
        <f>'Ordering Period 4'!AO32</f>
        <v/>
      </c>
      <c r="S33" s="168" t="str">
        <f>'Ordering Period 4'!AP32</f>
        <v/>
      </c>
      <c r="T33" s="171">
        <f t="shared" si="27"/>
        <v>0</v>
      </c>
      <c r="V33" s="114" t="str">
        <f>'Ordering Period 5'!AM32</f>
        <v/>
      </c>
      <c r="W33" s="168" t="str">
        <f>'Ordering Period 5'!AN32</f>
        <v/>
      </c>
      <c r="X33" s="171">
        <f t="shared" si="28"/>
        <v>0</v>
      </c>
    </row>
    <row r="34" spans="1:27" s="111" customFormat="1" x14ac:dyDescent="0.25">
      <c r="A34" s="542"/>
      <c r="B34" s="235" t="str">
        <f t="shared" ref="B34:C34" si="31">B19</f>
        <v>014</v>
      </c>
      <c r="C34" s="235" t="str">
        <f t="shared" si="31"/>
        <v>Supply/Procurement Specialist</v>
      </c>
      <c r="D34" s="238" t="s">
        <v>189</v>
      </c>
      <c r="F34" s="114" t="str">
        <f>'Ordering Period 1'!AO33</f>
        <v/>
      </c>
      <c r="G34" s="168" t="str">
        <f>'Ordering Period 1'!AP33</f>
        <v/>
      </c>
      <c r="H34" s="171">
        <f t="shared" si="25"/>
        <v>0</v>
      </c>
      <c r="J34" s="114" t="str">
        <f>'Ordering Period 2'!AM33</f>
        <v/>
      </c>
      <c r="K34" s="168" t="str">
        <f>'Ordering Period 2'!AN33</f>
        <v/>
      </c>
      <c r="L34" s="171">
        <f t="shared" si="13"/>
        <v>0</v>
      </c>
      <c r="N34" s="114" t="str">
        <f>'Ordering Period 3'!AM33</f>
        <v/>
      </c>
      <c r="O34" s="168" t="str">
        <f>'Ordering Period 3'!AN33</f>
        <v/>
      </c>
      <c r="P34" s="171">
        <f t="shared" si="26"/>
        <v>0</v>
      </c>
      <c r="Q34" s="1"/>
      <c r="R34" s="114" t="str">
        <f>'Ordering Period 4'!AO33</f>
        <v/>
      </c>
      <c r="S34" s="168" t="str">
        <f>'Ordering Period 4'!AP33</f>
        <v/>
      </c>
      <c r="T34" s="171">
        <f t="shared" si="27"/>
        <v>0</v>
      </c>
      <c r="V34" s="114" t="str">
        <f>'Ordering Period 5'!AM33</f>
        <v/>
      </c>
      <c r="W34" s="168" t="str">
        <f>'Ordering Period 5'!AN33</f>
        <v/>
      </c>
      <c r="X34" s="171">
        <f t="shared" si="28"/>
        <v>0</v>
      </c>
    </row>
    <row r="35" spans="1:27" s="111" customFormat="1" ht="15.75" thickBot="1" x14ac:dyDescent="0.3">
      <c r="A35" s="543"/>
      <c r="B35" s="239" t="str">
        <f t="shared" ref="B35:C35" si="32">B20</f>
        <v>015</v>
      </c>
      <c r="C35" s="239" t="str">
        <f t="shared" si="32"/>
        <v>Welder</v>
      </c>
      <c r="D35" s="240" t="s">
        <v>189</v>
      </c>
      <c r="F35" s="150" t="str">
        <f>'Ordering Period 1'!AO34</f>
        <v/>
      </c>
      <c r="G35" s="172" t="str">
        <f>'Ordering Period 1'!AP34</f>
        <v/>
      </c>
      <c r="H35" s="173">
        <f t="shared" si="25"/>
        <v>0</v>
      </c>
      <c r="J35" s="150" t="str">
        <f>'Ordering Period 2'!AM34</f>
        <v/>
      </c>
      <c r="K35" s="172" t="str">
        <f>'Ordering Period 2'!AN34</f>
        <v/>
      </c>
      <c r="L35" s="173">
        <f t="shared" si="13"/>
        <v>0</v>
      </c>
      <c r="N35" s="150" t="str">
        <f>'Ordering Period 3'!AM34</f>
        <v/>
      </c>
      <c r="O35" s="172" t="str">
        <f>'Ordering Period 3'!AN34</f>
        <v/>
      </c>
      <c r="P35" s="173">
        <f t="shared" si="26"/>
        <v>0</v>
      </c>
      <c r="Q35" s="1"/>
      <c r="R35" s="150" t="str">
        <f>'Ordering Period 4'!AO34</f>
        <v/>
      </c>
      <c r="S35" s="172" t="str">
        <f>'Ordering Period 4'!AP34</f>
        <v/>
      </c>
      <c r="T35" s="173">
        <f t="shared" si="27"/>
        <v>0</v>
      </c>
      <c r="V35" s="150" t="str">
        <f>'Ordering Period 5'!AM34</f>
        <v/>
      </c>
      <c r="W35" s="172" t="str">
        <f>'Ordering Period 5'!AN34</f>
        <v/>
      </c>
      <c r="X35" s="173">
        <f t="shared" si="28"/>
        <v>0</v>
      </c>
    </row>
    <row r="36" spans="1:27" ht="15.75" thickBot="1" x14ac:dyDescent="0.3">
      <c r="A36" s="422" t="s">
        <v>116</v>
      </c>
      <c r="B36" s="423"/>
      <c r="C36" s="424"/>
      <c r="D36" s="425"/>
      <c r="E36" s="220"/>
      <c r="F36" s="417"/>
      <c r="G36" s="264"/>
      <c r="H36" s="418"/>
      <c r="I36" s="220"/>
      <c r="J36" s="221"/>
      <c r="K36" s="222"/>
      <c r="L36" s="223"/>
      <c r="M36" s="220"/>
      <c r="N36" s="221"/>
      <c r="O36" s="222"/>
      <c r="P36" s="223"/>
      <c r="Q36" s="220"/>
      <c r="R36" s="221"/>
      <c r="S36" s="222"/>
      <c r="T36" s="223"/>
      <c r="U36" s="220"/>
      <c r="V36" s="221"/>
      <c r="W36" s="222"/>
      <c r="X36" s="223"/>
      <c r="Y36" s="106"/>
      <c r="Z36" s="106"/>
      <c r="AA36" s="106"/>
    </row>
    <row r="37" spans="1:27" s="111" customFormat="1" ht="15.75" thickBot="1" x14ac:dyDescent="0.3">
      <c r="A37" s="414" t="s">
        <v>73</v>
      </c>
      <c r="B37" s="415" t="str">
        <f>Totals!B21</f>
        <v>016</v>
      </c>
      <c r="C37" s="426" t="str">
        <f>Totals!C21</f>
        <v>Field Service Representative</v>
      </c>
      <c r="D37" s="427" t="str">
        <f>Totals!D21</f>
        <v>OCONUS</v>
      </c>
      <c r="F37" s="419" t="str">
        <f>'Ordering Period 1'!AO36</f>
        <v/>
      </c>
      <c r="G37" s="420" t="str">
        <f>'Ordering Period 1'!AP36</f>
        <v/>
      </c>
      <c r="H37" s="421">
        <f t="shared" ref="H37:H43" si="33">SUM(F37:G37)</f>
        <v>0</v>
      </c>
      <c r="J37" s="419" t="str">
        <f>'Ordering Period 2'!AM36</f>
        <v/>
      </c>
      <c r="K37" s="420" t="str">
        <f>'Ordering Period 2'!AN36</f>
        <v/>
      </c>
      <c r="L37" s="421">
        <f t="shared" ref="L37:L43" si="34">SUM(J37:K37)</f>
        <v>0</v>
      </c>
      <c r="N37" s="419" t="str">
        <f>'Ordering Period 3'!AM36</f>
        <v/>
      </c>
      <c r="O37" s="420" t="str">
        <f>'Ordering Period 3'!AN36</f>
        <v/>
      </c>
      <c r="P37" s="421">
        <f t="shared" ref="P37:P43" si="35">SUM(N37:O37)</f>
        <v>0</v>
      </c>
      <c r="Q37" s="1"/>
      <c r="R37" s="419" t="str">
        <f>'Ordering Period 4'!AO36</f>
        <v/>
      </c>
      <c r="S37" s="420" t="str">
        <f>'Ordering Period 4'!AP36</f>
        <v/>
      </c>
      <c r="T37" s="421">
        <f>SUM(R37:S37)</f>
        <v>0</v>
      </c>
      <c r="V37" s="419" t="str">
        <f>'Ordering Period 5'!AM36</f>
        <v/>
      </c>
      <c r="W37" s="420" t="str">
        <f>'Ordering Period 5'!AN36</f>
        <v/>
      </c>
      <c r="X37" s="421">
        <f>SUM(V37:W37)</f>
        <v>0</v>
      </c>
    </row>
    <row r="38" spans="1:27" s="111" customFormat="1" ht="15.75" thickBot="1" x14ac:dyDescent="0.3">
      <c r="A38" s="414" t="s">
        <v>74</v>
      </c>
      <c r="B38" s="415" t="str">
        <f>Totals!B22</f>
        <v>017</v>
      </c>
      <c r="C38" s="426" t="str">
        <f>Totals!C22</f>
        <v>Heavy Equipment Mechanic</v>
      </c>
      <c r="D38" s="427" t="str">
        <f>Totals!D22</f>
        <v>OCONUS</v>
      </c>
      <c r="F38" s="419" t="str">
        <f>'Ordering Period 1'!AO37</f>
        <v/>
      </c>
      <c r="G38" s="420" t="str">
        <f>'Ordering Period 1'!AP37</f>
        <v/>
      </c>
      <c r="H38" s="421">
        <f t="shared" si="33"/>
        <v>0</v>
      </c>
      <c r="J38" s="419" t="str">
        <f>'Ordering Period 2'!AM37</f>
        <v/>
      </c>
      <c r="K38" s="420" t="str">
        <f>'Ordering Period 2'!AN37</f>
        <v/>
      </c>
      <c r="L38" s="421">
        <f t="shared" si="34"/>
        <v>0</v>
      </c>
      <c r="N38" s="419" t="str">
        <f>'Ordering Period 3'!AM37</f>
        <v/>
      </c>
      <c r="O38" s="420" t="str">
        <f>'Ordering Period 3'!AN37</f>
        <v/>
      </c>
      <c r="P38" s="421">
        <f t="shared" si="35"/>
        <v>0</v>
      </c>
      <c r="Q38" s="1"/>
      <c r="R38" s="419" t="str">
        <f>'Ordering Period 4'!AO37</f>
        <v/>
      </c>
      <c r="S38" s="420" t="str">
        <f>'Ordering Period 4'!AP37</f>
        <v/>
      </c>
      <c r="T38" s="421">
        <f>SUM(R38:S38)</f>
        <v>0</v>
      </c>
      <c r="V38" s="419" t="str">
        <f>'Ordering Period 5'!AM37</f>
        <v/>
      </c>
      <c r="W38" s="420" t="str">
        <f>'Ordering Period 5'!AN37</f>
        <v/>
      </c>
      <c r="X38" s="421">
        <f>SUM(V38:W38)</f>
        <v>0</v>
      </c>
    </row>
    <row r="39" spans="1:27" s="111" customFormat="1" x14ac:dyDescent="0.25">
      <c r="A39" s="541" t="s">
        <v>76</v>
      </c>
      <c r="B39" s="236" t="str">
        <f>Totals!B23</f>
        <v>018</v>
      </c>
      <c r="C39" s="110" t="str">
        <f>Totals!C23</f>
        <v>Instructor Supervisor</v>
      </c>
      <c r="D39" s="117" t="str">
        <f>Totals!D23</f>
        <v>OCONUS</v>
      </c>
      <c r="F39" s="112" t="str">
        <f>'Ordering Period 1'!AO38</f>
        <v/>
      </c>
      <c r="G39" s="169" t="str">
        <f>'Ordering Period 1'!AP38</f>
        <v/>
      </c>
      <c r="H39" s="170">
        <f t="shared" si="33"/>
        <v>0</v>
      </c>
      <c r="J39" s="112" t="str">
        <f>'Ordering Period 2'!AM38</f>
        <v/>
      </c>
      <c r="K39" s="169" t="str">
        <f>'Ordering Period 2'!AN38</f>
        <v/>
      </c>
      <c r="L39" s="170">
        <f t="shared" si="34"/>
        <v>0</v>
      </c>
      <c r="N39" s="112" t="str">
        <f>'Ordering Period 3'!AM38</f>
        <v/>
      </c>
      <c r="O39" s="169" t="str">
        <f>'Ordering Period 3'!AN38</f>
        <v/>
      </c>
      <c r="P39" s="170">
        <f t="shared" si="35"/>
        <v>0</v>
      </c>
      <c r="Q39" s="1"/>
      <c r="R39" s="431"/>
      <c r="S39" s="432"/>
      <c r="T39" s="433"/>
      <c r="V39" s="431"/>
      <c r="W39" s="432"/>
      <c r="X39" s="433"/>
    </row>
    <row r="40" spans="1:27" s="111" customFormat="1" ht="15.75" thickBot="1" x14ac:dyDescent="0.3">
      <c r="A40" s="543"/>
      <c r="B40" s="239" t="str">
        <f>Totals!B24</f>
        <v>019</v>
      </c>
      <c r="C40" s="163" t="str">
        <f>Totals!C24</f>
        <v xml:space="preserve">Instructor </v>
      </c>
      <c r="D40" s="164" t="str">
        <f>Totals!D24</f>
        <v>OCONUS</v>
      </c>
      <c r="F40" s="265" t="str">
        <f>'Ordering Period 1'!AO39</f>
        <v/>
      </c>
      <c r="G40" s="266" t="str">
        <f>'Ordering Period 1'!AP39</f>
        <v/>
      </c>
      <c r="H40" s="173">
        <f t="shared" si="33"/>
        <v>0</v>
      </c>
      <c r="J40" s="265" t="str">
        <f>'Ordering Period 2'!AM39</f>
        <v/>
      </c>
      <c r="K40" s="266" t="str">
        <f>'Ordering Period 2'!AN39</f>
        <v/>
      </c>
      <c r="L40" s="173">
        <f t="shared" si="34"/>
        <v>0</v>
      </c>
      <c r="N40" s="265" t="str">
        <f>'Ordering Period 3'!AM39</f>
        <v/>
      </c>
      <c r="O40" s="266" t="str">
        <f>'Ordering Period 3'!AN39</f>
        <v/>
      </c>
      <c r="P40" s="173">
        <f t="shared" si="35"/>
        <v>0</v>
      </c>
      <c r="Q40" s="1"/>
      <c r="R40" s="434"/>
      <c r="S40" s="435"/>
      <c r="T40" s="275"/>
      <c r="V40" s="434"/>
      <c r="W40" s="435"/>
      <c r="X40" s="275"/>
    </row>
    <row r="41" spans="1:27" s="111" customFormat="1" ht="15.75" customHeight="1" x14ac:dyDescent="0.25">
      <c r="A41" s="544" t="s">
        <v>77</v>
      </c>
      <c r="B41" s="236" t="str">
        <f>Totals!B25</f>
        <v>020</v>
      </c>
      <c r="C41" s="110" t="str">
        <f>Totals!C25</f>
        <v>Heavy Equipment Mechanic</v>
      </c>
      <c r="D41" s="117" t="str">
        <f>Totals!D25</f>
        <v>OCONUS</v>
      </c>
      <c r="F41" s="112" t="str">
        <f>'Ordering Period 1'!AO40</f>
        <v/>
      </c>
      <c r="G41" s="169" t="str">
        <f>'Ordering Period 1'!AP40</f>
        <v/>
      </c>
      <c r="H41" s="170">
        <f t="shared" si="33"/>
        <v>0</v>
      </c>
      <c r="J41" s="112" t="str">
        <f>'Ordering Period 2'!AM40</f>
        <v/>
      </c>
      <c r="K41" s="169" t="str">
        <f>'Ordering Period 2'!AN40</f>
        <v/>
      </c>
      <c r="L41" s="170">
        <f t="shared" si="34"/>
        <v>0</v>
      </c>
      <c r="N41" s="112" t="str">
        <f>'Ordering Period 3'!AM40</f>
        <v/>
      </c>
      <c r="O41" s="169" t="str">
        <f>'Ordering Period 3'!AN40</f>
        <v/>
      </c>
      <c r="P41" s="170">
        <f t="shared" si="35"/>
        <v>0</v>
      </c>
      <c r="Q41" s="1"/>
      <c r="R41" s="112" t="str">
        <f>'Ordering Period 4'!AO38</f>
        <v/>
      </c>
      <c r="S41" s="169" t="str">
        <f>'Ordering Period 4'!AP38</f>
        <v/>
      </c>
      <c r="T41" s="170">
        <f t="shared" ref="T41:T52" si="36">SUM(R41:S41)</f>
        <v>0</v>
      </c>
      <c r="V41" s="112" t="str">
        <f>'Ordering Period 5'!AM38</f>
        <v/>
      </c>
      <c r="W41" s="169" t="str">
        <f>'Ordering Period 5'!AN38</f>
        <v/>
      </c>
      <c r="X41" s="170">
        <f t="shared" ref="X41:X52" si="37">SUM(V41:W41)</f>
        <v>0</v>
      </c>
    </row>
    <row r="42" spans="1:27" s="111" customFormat="1" x14ac:dyDescent="0.25">
      <c r="A42" s="545"/>
      <c r="B42" s="235" t="str">
        <f>Totals!B26</f>
        <v>021</v>
      </c>
      <c r="C42" s="113" t="str">
        <f>Totals!C26</f>
        <v>Material Handling Specialist</v>
      </c>
      <c r="D42" s="118" t="str">
        <f>Totals!D26</f>
        <v>OCONUS</v>
      </c>
      <c r="F42" s="224" t="str">
        <f>'Ordering Period 1'!AO41</f>
        <v/>
      </c>
      <c r="G42" s="225" t="str">
        <f>'Ordering Period 1'!AP41</f>
        <v/>
      </c>
      <c r="H42" s="171">
        <f t="shared" si="33"/>
        <v>0</v>
      </c>
      <c r="J42" s="224" t="str">
        <f>'Ordering Period 2'!AM41</f>
        <v/>
      </c>
      <c r="K42" s="225" t="str">
        <f>'Ordering Period 2'!AN41</f>
        <v/>
      </c>
      <c r="L42" s="171">
        <f t="shared" si="34"/>
        <v>0</v>
      </c>
      <c r="N42" s="224" t="str">
        <f>'Ordering Period 3'!AM41</f>
        <v/>
      </c>
      <c r="O42" s="225" t="str">
        <f>'Ordering Period 3'!AN41</f>
        <v/>
      </c>
      <c r="P42" s="171">
        <f t="shared" si="35"/>
        <v>0</v>
      </c>
      <c r="Q42" s="1"/>
      <c r="R42" s="436"/>
      <c r="S42" s="437"/>
      <c r="T42" s="274"/>
      <c r="V42" s="436"/>
      <c r="W42" s="437"/>
      <c r="X42" s="274"/>
    </row>
    <row r="43" spans="1:27" s="111" customFormat="1" x14ac:dyDescent="0.25">
      <c r="A43" s="545"/>
      <c r="B43" s="235" t="str">
        <f>Totals!B27</f>
        <v>022</v>
      </c>
      <c r="C43" s="113" t="str">
        <f>Totals!C27</f>
        <v>Quality Assurance</v>
      </c>
      <c r="D43" s="118" t="str">
        <f>Totals!D27</f>
        <v>OCONUS</v>
      </c>
      <c r="F43" s="224" t="str">
        <f>'Ordering Period 1'!AO42</f>
        <v/>
      </c>
      <c r="G43" s="225" t="str">
        <f>'Ordering Period 1'!AP42</f>
        <v/>
      </c>
      <c r="H43" s="171">
        <f t="shared" si="33"/>
        <v>0</v>
      </c>
      <c r="J43" s="224" t="str">
        <f>'Ordering Period 2'!AM42</f>
        <v/>
      </c>
      <c r="K43" s="225" t="str">
        <f>'Ordering Period 2'!AN42</f>
        <v/>
      </c>
      <c r="L43" s="171">
        <f t="shared" si="34"/>
        <v>0</v>
      </c>
      <c r="N43" s="224" t="str">
        <f>'Ordering Period 3'!AM42</f>
        <v/>
      </c>
      <c r="O43" s="225" t="str">
        <f>'Ordering Period 3'!AN42</f>
        <v/>
      </c>
      <c r="P43" s="171">
        <f t="shared" si="35"/>
        <v>0</v>
      </c>
      <c r="Q43" s="1"/>
      <c r="R43" s="436"/>
      <c r="S43" s="437"/>
      <c r="T43" s="274"/>
      <c r="V43" s="436"/>
      <c r="W43" s="437"/>
      <c r="X43" s="274"/>
    </row>
    <row r="44" spans="1:27" ht="15.75" thickBot="1" x14ac:dyDescent="0.3">
      <c r="A44" s="546"/>
      <c r="B44" s="239" t="str">
        <f>Totals!B28</f>
        <v>023</v>
      </c>
      <c r="C44" s="163" t="str">
        <f>Totals!C28</f>
        <v>Supply/Procurement Specialist</v>
      </c>
      <c r="D44" s="164" t="str">
        <f>Totals!D28</f>
        <v>OCONUS</v>
      </c>
      <c r="E44" s="111"/>
      <c r="F44" s="265" t="str">
        <f>'Ordering Period 1'!AO43</f>
        <v/>
      </c>
      <c r="G44" s="266" t="str">
        <f>'Ordering Period 1'!AP43</f>
        <v/>
      </c>
      <c r="H44" s="173">
        <f t="shared" ref="H44" si="38">SUM(F44:G44)</f>
        <v>0</v>
      </c>
      <c r="I44" s="111"/>
      <c r="J44" s="265" t="str">
        <f>'Ordering Period 2'!AM43</f>
        <v/>
      </c>
      <c r="K44" s="266" t="str">
        <f>'Ordering Period 2'!AN43</f>
        <v/>
      </c>
      <c r="L44" s="173">
        <f t="shared" ref="L44" si="39">SUM(J44:K44)</f>
        <v>0</v>
      </c>
      <c r="M44" s="111"/>
      <c r="N44" s="265" t="str">
        <f>'Ordering Period 3'!AM43</f>
        <v/>
      </c>
      <c r="O44" s="266" t="str">
        <f>'Ordering Period 3'!AN43</f>
        <v/>
      </c>
      <c r="P44" s="173">
        <f t="shared" ref="P44" si="40">SUM(N44:O44)</f>
        <v>0</v>
      </c>
      <c r="Q44" s="1"/>
      <c r="R44" s="434"/>
      <c r="S44" s="435"/>
      <c r="T44" s="275"/>
      <c r="U44" s="111"/>
      <c r="V44" s="434"/>
      <c r="W44" s="435"/>
      <c r="X44" s="275"/>
    </row>
    <row r="45" spans="1:27" ht="15.75" thickBot="1" x14ac:dyDescent="0.3">
      <c r="A45" s="414" t="s">
        <v>73</v>
      </c>
      <c r="B45" s="415" t="str">
        <f>Totals!B29</f>
        <v>024</v>
      </c>
      <c r="C45" s="426" t="str">
        <f>Totals!C29</f>
        <v>Field Service Representative</v>
      </c>
      <c r="D45" s="427" t="str">
        <f>Totals!D29</f>
        <v>OCONUS - IRAQ</v>
      </c>
      <c r="E45" s="111"/>
      <c r="F45" s="428"/>
      <c r="G45" s="429"/>
      <c r="H45" s="430"/>
      <c r="I45" s="111"/>
      <c r="J45" s="428"/>
      <c r="K45" s="429"/>
      <c r="L45" s="430"/>
      <c r="M45" s="111"/>
      <c r="N45" s="428"/>
      <c r="O45" s="429"/>
      <c r="P45" s="430"/>
      <c r="Q45" s="1"/>
      <c r="R45" s="419" t="str">
        <f>'Ordering Period 4'!AO39</f>
        <v/>
      </c>
      <c r="S45" s="420" t="str">
        <f>'Ordering Period 4'!AP39</f>
        <v/>
      </c>
      <c r="T45" s="421">
        <f t="shared" si="36"/>
        <v>0</v>
      </c>
      <c r="U45" s="111"/>
      <c r="V45" s="419" t="str">
        <f>'Ordering Period 5'!AM39</f>
        <v/>
      </c>
      <c r="W45" s="420" t="str">
        <f>'Ordering Period 5'!AN39</f>
        <v/>
      </c>
      <c r="X45" s="421">
        <f t="shared" si="37"/>
        <v>0</v>
      </c>
    </row>
    <row r="46" spans="1:27" ht="15.75" thickBot="1" x14ac:dyDescent="0.3">
      <c r="A46" s="414" t="s">
        <v>74</v>
      </c>
      <c r="B46" s="415" t="str">
        <f>Totals!B30</f>
        <v>025</v>
      </c>
      <c r="C46" s="426" t="str">
        <f>Totals!C30</f>
        <v>Heavy Equipment Mechanic</v>
      </c>
      <c r="D46" s="427" t="str">
        <f>Totals!D30</f>
        <v>OCONUS - IRAQ</v>
      </c>
      <c r="E46" s="111"/>
      <c r="F46" s="428"/>
      <c r="G46" s="429"/>
      <c r="H46" s="430"/>
      <c r="I46" s="111"/>
      <c r="J46" s="428"/>
      <c r="K46" s="429"/>
      <c r="L46" s="430"/>
      <c r="M46" s="111"/>
      <c r="N46" s="428"/>
      <c r="O46" s="429"/>
      <c r="P46" s="430"/>
      <c r="Q46" s="1"/>
      <c r="R46" s="419" t="str">
        <f>'Ordering Period 4'!AO40</f>
        <v/>
      </c>
      <c r="S46" s="420" t="str">
        <f>'Ordering Period 4'!AP40</f>
        <v/>
      </c>
      <c r="T46" s="421">
        <f t="shared" si="36"/>
        <v>0</v>
      </c>
      <c r="U46" s="111"/>
      <c r="V46" s="419" t="str">
        <f>'Ordering Period 5'!AM40</f>
        <v/>
      </c>
      <c r="W46" s="420" t="str">
        <f>'Ordering Period 5'!AN40</f>
        <v/>
      </c>
      <c r="X46" s="421">
        <f t="shared" si="37"/>
        <v>0</v>
      </c>
    </row>
    <row r="47" spans="1:27" x14ac:dyDescent="0.25">
      <c r="A47" s="544" t="s">
        <v>76</v>
      </c>
      <c r="B47" s="236" t="str">
        <f>Totals!B31</f>
        <v>026</v>
      </c>
      <c r="C47" s="110" t="str">
        <f>Totals!C31</f>
        <v>Instructor Supervisor</v>
      </c>
      <c r="D47" s="117" t="str">
        <f>Totals!D31</f>
        <v>OCONUS - IRAQ</v>
      </c>
      <c r="E47" s="111"/>
      <c r="F47" s="431"/>
      <c r="G47" s="432"/>
      <c r="H47" s="433"/>
      <c r="I47" s="111"/>
      <c r="J47" s="431"/>
      <c r="K47" s="432"/>
      <c r="L47" s="433"/>
      <c r="M47" s="111"/>
      <c r="N47" s="431"/>
      <c r="O47" s="432"/>
      <c r="P47" s="433"/>
      <c r="Q47" s="1"/>
      <c r="R47" s="112" t="str">
        <f>'Ordering Period 4'!AO41</f>
        <v/>
      </c>
      <c r="S47" s="169" t="str">
        <f>'Ordering Period 4'!AP41</f>
        <v/>
      </c>
      <c r="T47" s="170">
        <f t="shared" si="36"/>
        <v>0</v>
      </c>
      <c r="U47" s="111"/>
      <c r="V47" s="112" t="str">
        <f>'Ordering Period 5'!AM41</f>
        <v/>
      </c>
      <c r="W47" s="169" t="str">
        <f>'Ordering Period 5'!AN41</f>
        <v/>
      </c>
      <c r="X47" s="170">
        <f t="shared" si="37"/>
        <v>0</v>
      </c>
    </row>
    <row r="48" spans="1:27" ht="15.75" thickBot="1" x14ac:dyDescent="0.3">
      <c r="A48" s="547"/>
      <c r="B48" s="239" t="str">
        <f>Totals!B32</f>
        <v>027</v>
      </c>
      <c r="C48" s="163" t="str">
        <f>Totals!C32</f>
        <v xml:space="preserve">Instructor </v>
      </c>
      <c r="D48" s="164" t="str">
        <f>Totals!D32</f>
        <v>OCONUS - IRAQ</v>
      </c>
      <c r="E48" s="111"/>
      <c r="F48" s="434"/>
      <c r="G48" s="435"/>
      <c r="H48" s="275"/>
      <c r="I48" s="111"/>
      <c r="J48" s="434"/>
      <c r="K48" s="435"/>
      <c r="L48" s="275"/>
      <c r="M48" s="111"/>
      <c r="N48" s="434"/>
      <c r="O48" s="435"/>
      <c r="P48" s="275"/>
      <c r="Q48" s="1"/>
      <c r="R48" s="265" t="str">
        <f>'Ordering Period 4'!AO42</f>
        <v/>
      </c>
      <c r="S48" s="266" t="str">
        <f>'Ordering Period 4'!AP42</f>
        <v/>
      </c>
      <c r="T48" s="173">
        <f t="shared" si="36"/>
        <v>0</v>
      </c>
      <c r="U48" s="111"/>
      <c r="V48" s="265" t="str">
        <f>'Ordering Period 5'!AM42</f>
        <v/>
      </c>
      <c r="W48" s="266" t="str">
        <f>'Ordering Period 5'!AN42</f>
        <v/>
      </c>
      <c r="X48" s="173">
        <f t="shared" si="37"/>
        <v>0</v>
      </c>
    </row>
    <row r="49" spans="1:24" ht="15.75" customHeight="1" x14ac:dyDescent="0.25">
      <c r="A49" s="544" t="s">
        <v>77</v>
      </c>
      <c r="B49" s="236" t="str">
        <f>Totals!B33</f>
        <v>028</v>
      </c>
      <c r="C49" s="110" t="str">
        <f>Totals!C33</f>
        <v>Heavy Equipment Mechanic</v>
      </c>
      <c r="D49" s="117" t="str">
        <f>Totals!D33</f>
        <v>OCONUS - IRAQ</v>
      </c>
      <c r="E49" s="111"/>
      <c r="F49" s="431"/>
      <c r="G49" s="432"/>
      <c r="H49" s="433"/>
      <c r="I49" s="111"/>
      <c r="J49" s="431"/>
      <c r="K49" s="432"/>
      <c r="L49" s="433"/>
      <c r="M49" s="111"/>
      <c r="N49" s="431"/>
      <c r="O49" s="432"/>
      <c r="P49" s="433"/>
      <c r="Q49" s="1"/>
      <c r="R49" s="112" t="str">
        <f>'Ordering Period 4'!AO43</f>
        <v/>
      </c>
      <c r="S49" s="169" t="str">
        <f>'Ordering Period 4'!AP43</f>
        <v/>
      </c>
      <c r="T49" s="170">
        <f t="shared" si="36"/>
        <v>0</v>
      </c>
      <c r="U49" s="111"/>
      <c r="V49" s="112" t="str">
        <f>'Ordering Period 5'!AM43</f>
        <v/>
      </c>
      <c r="W49" s="169" t="str">
        <f>'Ordering Period 5'!AN43</f>
        <v/>
      </c>
      <c r="X49" s="170">
        <f t="shared" si="37"/>
        <v>0</v>
      </c>
    </row>
    <row r="50" spans="1:24" x14ac:dyDescent="0.25">
      <c r="A50" s="545"/>
      <c r="B50" s="235" t="str">
        <f>Totals!B34</f>
        <v>029</v>
      </c>
      <c r="C50" s="113" t="str">
        <f>Totals!C34</f>
        <v>Material Handling Specialist</v>
      </c>
      <c r="D50" s="118" t="str">
        <f>Totals!D34</f>
        <v>OCONUS - IRAQ</v>
      </c>
      <c r="E50" s="111"/>
      <c r="F50" s="436"/>
      <c r="G50" s="437"/>
      <c r="H50" s="274"/>
      <c r="I50" s="111"/>
      <c r="J50" s="436"/>
      <c r="K50" s="437"/>
      <c r="L50" s="274"/>
      <c r="M50" s="111"/>
      <c r="N50" s="436"/>
      <c r="O50" s="437"/>
      <c r="P50" s="274"/>
      <c r="Q50" s="1"/>
      <c r="R50" s="224" t="str">
        <f>'Ordering Period 4'!AO44</f>
        <v/>
      </c>
      <c r="S50" s="225" t="str">
        <f>'Ordering Period 4'!AP44</f>
        <v/>
      </c>
      <c r="T50" s="171">
        <f t="shared" si="36"/>
        <v>0</v>
      </c>
      <c r="U50" s="111"/>
      <c r="V50" s="224" t="str">
        <f>'Ordering Period 5'!AM44</f>
        <v/>
      </c>
      <c r="W50" s="225" t="str">
        <f>'Ordering Period 5'!AN44</f>
        <v/>
      </c>
      <c r="X50" s="171">
        <f t="shared" si="37"/>
        <v>0</v>
      </c>
    </row>
    <row r="51" spans="1:24" x14ac:dyDescent="0.25">
      <c r="A51" s="545"/>
      <c r="B51" s="235" t="str">
        <f>Totals!B35</f>
        <v>030</v>
      </c>
      <c r="C51" s="113" t="str">
        <f>Totals!C35</f>
        <v>Quality Assurance</v>
      </c>
      <c r="D51" s="118" t="str">
        <f>Totals!D35</f>
        <v>OCONUS - IRAQ</v>
      </c>
      <c r="F51" s="436"/>
      <c r="G51" s="437"/>
      <c r="H51" s="274"/>
      <c r="J51" s="436"/>
      <c r="K51" s="437"/>
      <c r="L51" s="274"/>
      <c r="N51" s="436"/>
      <c r="O51" s="437"/>
      <c r="P51" s="274"/>
      <c r="R51" s="224" t="str">
        <f>'Ordering Period 4'!AO45</f>
        <v/>
      </c>
      <c r="S51" s="225" t="str">
        <f>'Ordering Period 4'!AP45</f>
        <v/>
      </c>
      <c r="T51" s="171">
        <f t="shared" si="36"/>
        <v>0</v>
      </c>
      <c r="V51" s="224" t="str">
        <f>'Ordering Period 5'!AM45</f>
        <v/>
      </c>
      <c r="W51" s="225" t="str">
        <f>'Ordering Period 5'!AN45</f>
        <v/>
      </c>
      <c r="X51" s="171">
        <f t="shared" si="37"/>
        <v>0</v>
      </c>
    </row>
    <row r="52" spans="1:24" ht="15.75" thickBot="1" x14ac:dyDescent="0.3">
      <c r="A52" s="546"/>
      <c r="B52" s="239" t="str">
        <f>Totals!B36</f>
        <v>031</v>
      </c>
      <c r="C52" s="163" t="str">
        <f>Totals!C36</f>
        <v>Supply/Procurement Specialist</v>
      </c>
      <c r="D52" s="164" t="str">
        <f>Totals!D36</f>
        <v>OCONUS - IRAQ</v>
      </c>
      <c r="F52" s="434"/>
      <c r="G52" s="435"/>
      <c r="H52" s="275"/>
      <c r="J52" s="434"/>
      <c r="K52" s="435"/>
      <c r="L52" s="275"/>
      <c r="N52" s="434"/>
      <c r="O52" s="435"/>
      <c r="P52" s="275"/>
      <c r="R52" s="265" t="str">
        <f>'Ordering Period 4'!AO46</f>
        <v/>
      </c>
      <c r="S52" s="266" t="str">
        <f>'Ordering Period 4'!AP46</f>
        <v/>
      </c>
      <c r="T52" s="173">
        <f t="shared" si="36"/>
        <v>0</v>
      </c>
      <c r="V52" s="265" t="str">
        <f>'Ordering Period 5'!AM46</f>
        <v/>
      </c>
      <c r="W52" s="266" t="str">
        <f>'Ordering Period 5'!AN46</f>
        <v/>
      </c>
      <c r="X52" s="173">
        <f t="shared" si="37"/>
        <v>0</v>
      </c>
    </row>
  </sheetData>
  <sheetProtection algorithmName="SHA-512" hashValue="jZOZTXIrDGZBKnY5crgvlMaTKDryaZw+JsBqRpwh5MUiXvYKIuuqcqGdYFkihY6ltlW4Kg+LBkjP03SHZCVjRw==" saltValue="BktuJefQtxofdX9k90HPNA==" spinCount="100000" sheet="1" objects="1" scenarios="1"/>
  <mergeCells count="24">
    <mergeCell ref="A49:A52"/>
    <mergeCell ref="A29:A30"/>
    <mergeCell ref="A31:A35"/>
    <mergeCell ref="A39:A40"/>
    <mergeCell ref="A41:A44"/>
    <mergeCell ref="A47:A48"/>
    <mergeCell ref="A2:A4"/>
    <mergeCell ref="A9:A13"/>
    <mergeCell ref="A14:A15"/>
    <mergeCell ref="A16:A20"/>
    <mergeCell ref="A24:A28"/>
    <mergeCell ref="R2:T2"/>
    <mergeCell ref="R3:T3"/>
    <mergeCell ref="V2:X2"/>
    <mergeCell ref="V3:X3"/>
    <mergeCell ref="N2:P2"/>
    <mergeCell ref="N3:P3"/>
    <mergeCell ref="J2:L2"/>
    <mergeCell ref="J3:L3"/>
    <mergeCell ref="B2:B4"/>
    <mergeCell ref="C2:C4"/>
    <mergeCell ref="F3:H3"/>
    <mergeCell ref="F2:H2"/>
    <mergeCell ref="D2:D4"/>
  </mergeCells>
  <pageMargins left="0.7" right="0.7" top="0.75" bottom="0.75" header="0.3" footer="0.3"/>
  <pageSetup orientation="portrait" verticalDpi="597"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6EF9F-BD7D-49FB-8804-3735D26A1D49}">
  <dimension ref="A1:AA52"/>
  <sheetViews>
    <sheetView showGridLines="0" zoomScaleNormal="100" workbookViewId="0">
      <pane xSplit="4" topLeftCell="E1" activePane="topRight" state="frozen"/>
      <selection pane="topRight"/>
    </sheetView>
  </sheetViews>
  <sheetFormatPr defaultRowHeight="15" x14ac:dyDescent="0.25"/>
  <cols>
    <col min="1" max="1" width="33.7109375" style="9" customWidth="1"/>
    <col min="2" max="2" width="5.7109375" style="9" customWidth="1"/>
    <col min="3" max="3" width="33.7109375" style="9" customWidth="1"/>
    <col min="4" max="4" width="18.7109375" style="116" customWidth="1"/>
    <col min="5" max="5" width="1.7109375" customWidth="1"/>
    <col min="6" max="8" width="15.7109375" customWidth="1"/>
    <col min="9" max="9" width="1.7109375" customWidth="1"/>
    <col min="10" max="12" width="15.7109375" customWidth="1"/>
    <col min="13" max="13" width="1.7109375" customWidth="1"/>
    <col min="14" max="16" width="15.7109375" customWidth="1"/>
    <col min="17" max="17" width="1.7109375" customWidth="1"/>
    <col min="18" max="20" width="15.7109375" customWidth="1"/>
    <col min="21" max="21" width="1.7109375" customWidth="1"/>
    <col min="22" max="24" width="15.7109375" customWidth="1"/>
  </cols>
  <sheetData>
    <row r="1" spans="1:27" ht="24" thickBot="1" x14ac:dyDescent="0.4">
      <c r="B1" s="115"/>
      <c r="F1" s="253" t="s">
        <v>235</v>
      </c>
      <c r="G1" s="254"/>
      <c r="H1" s="255"/>
      <c r="I1" s="256"/>
      <c r="J1" s="256"/>
      <c r="K1" s="256"/>
      <c r="L1" s="256"/>
      <c r="M1" s="256"/>
      <c r="N1" s="256"/>
      <c r="O1" s="256"/>
      <c r="P1" s="256"/>
      <c r="Q1" s="256"/>
      <c r="R1" s="256"/>
      <c r="S1" s="256"/>
      <c r="T1" s="256"/>
      <c r="U1" s="256"/>
      <c r="V1" s="256"/>
      <c r="W1" s="256"/>
      <c r="X1" s="257"/>
    </row>
    <row r="2" spans="1:27" x14ac:dyDescent="0.25">
      <c r="A2" s="538" t="s">
        <v>65</v>
      </c>
      <c r="B2" s="538" t="s">
        <v>66</v>
      </c>
      <c r="C2" s="538" t="s">
        <v>67</v>
      </c>
      <c r="D2" s="538" t="s">
        <v>82</v>
      </c>
      <c r="E2" s="9"/>
      <c r="F2" s="548" t="s">
        <v>83</v>
      </c>
      <c r="G2" s="549"/>
      <c r="H2" s="550"/>
      <c r="J2" s="548" t="s">
        <v>84</v>
      </c>
      <c r="K2" s="549"/>
      <c r="L2" s="550"/>
      <c r="N2" s="548" t="s">
        <v>85</v>
      </c>
      <c r="O2" s="549"/>
      <c r="P2" s="550"/>
      <c r="R2" s="548" t="s">
        <v>86</v>
      </c>
      <c r="S2" s="549"/>
      <c r="T2" s="550"/>
      <c r="V2" s="548" t="s">
        <v>87</v>
      </c>
      <c r="W2" s="549"/>
      <c r="X2" s="550"/>
    </row>
    <row r="3" spans="1:27" x14ac:dyDescent="0.25">
      <c r="A3" s="539"/>
      <c r="B3" s="539"/>
      <c r="C3" s="539"/>
      <c r="D3" s="539"/>
      <c r="F3" s="551" t="s">
        <v>233</v>
      </c>
      <c r="G3" s="552"/>
      <c r="H3" s="553"/>
      <c r="J3" s="551" t="s">
        <v>233</v>
      </c>
      <c r="K3" s="552"/>
      <c r="L3" s="553"/>
      <c r="N3" s="551" t="s">
        <v>233</v>
      </c>
      <c r="O3" s="552"/>
      <c r="P3" s="553"/>
      <c r="R3" s="551" t="s">
        <v>233</v>
      </c>
      <c r="S3" s="552"/>
      <c r="T3" s="553"/>
      <c r="V3" s="551" t="s">
        <v>233</v>
      </c>
      <c r="W3" s="552"/>
      <c r="X3" s="553"/>
    </row>
    <row r="4" spans="1:27" ht="30.75" thickBot="1" x14ac:dyDescent="0.3">
      <c r="A4" s="540"/>
      <c r="B4" s="540"/>
      <c r="C4" s="540"/>
      <c r="D4" s="540"/>
      <c r="F4" s="249" t="s">
        <v>236</v>
      </c>
      <c r="G4" s="250" t="s">
        <v>234</v>
      </c>
      <c r="H4" s="251" t="s">
        <v>237</v>
      </c>
      <c r="J4" s="249" t="s">
        <v>236</v>
      </c>
      <c r="K4" s="250" t="s">
        <v>234</v>
      </c>
      <c r="L4" s="251" t="s">
        <v>237</v>
      </c>
      <c r="N4" s="249" t="s">
        <v>236</v>
      </c>
      <c r="O4" s="250" t="s">
        <v>234</v>
      </c>
      <c r="P4" s="251" t="s">
        <v>237</v>
      </c>
      <c r="R4" s="249" t="s">
        <v>236</v>
      </c>
      <c r="S4" s="250" t="s">
        <v>234</v>
      </c>
      <c r="T4" s="251" t="s">
        <v>237</v>
      </c>
      <c r="V4" s="249" t="s">
        <v>236</v>
      </c>
      <c r="W4" s="250" t="s">
        <v>234</v>
      </c>
      <c r="X4" s="251" t="s">
        <v>237</v>
      </c>
      <c r="Y4" s="106"/>
      <c r="Z4" s="106"/>
      <c r="AA4" s="106"/>
    </row>
    <row r="5" spans="1:27" ht="15.75" thickBot="1" x14ac:dyDescent="0.3">
      <c r="A5" s="422" t="s">
        <v>91</v>
      </c>
      <c r="B5" s="423"/>
      <c r="C5" s="424"/>
      <c r="D5" s="425"/>
      <c r="E5" s="220"/>
      <c r="F5" s="263">
        <v>1.1000000000000001</v>
      </c>
      <c r="G5" s="248"/>
      <c r="H5" s="252"/>
      <c r="I5" s="220"/>
      <c r="J5" s="263">
        <v>1.1000000000000001</v>
      </c>
      <c r="K5" s="222"/>
      <c r="L5" s="223"/>
      <c r="M5" s="220"/>
      <c r="N5" s="263">
        <v>1.1000000000000001</v>
      </c>
      <c r="O5" s="222"/>
      <c r="P5" s="223"/>
      <c r="Q5" s="220"/>
      <c r="R5" s="263">
        <v>1.1000000000000001</v>
      </c>
      <c r="S5" s="222"/>
      <c r="T5" s="223"/>
      <c r="U5" s="220"/>
      <c r="V5" s="263">
        <v>1.1000000000000001</v>
      </c>
      <c r="W5" s="222"/>
      <c r="X5" s="223"/>
      <c r="Y5" s="106"/>
      <c r="Z5" s="106"/>
      <c r="AA5" s="106"/>
    </row>
    <row r="6" spans="1:27" s="111" customFormat="1" ht="15.75" thickBot="1" x14ac:dyDescent="0.3">
      <c r="A6" s="414" t="s">
        <v>72</v>
      </c>
      <c r="B6" s="415" t="str">
        <f>Totals!B6</f>
        <v>001</v>
      </c>
      <c r="C6" s="415" t="str">
        <f>Totals!C6</f>
        <v>Project Management Specialist</v>
      </c>
      <c r="D6" s="416" t="str">
        <f>Totals!D6</f>
        <v>CONUS</v>
      </c>
      <c r="F6" s="419">
        <f>$F$5*'Ordering Period 1'!R5</f>
        <v>0</v>
      </c>
      <c r="G6" s="420" t="str">
        <f>'Ordering Period 1'!AP5</f>
        <v/>
      </c>
      <c r="H6" s="421">
        <f t="shared" ref="H6:H20" si="0">SUM(F6:G6)</f>
        <v>0</v>
      </c>
      <c r="J6" s="419">
        <f>$J$5*'Ordering Period 2'!P5</f>
        <v>0</v>
      </c>
      <c r="K6" s="420" t="str">
        <f>'Ordering Period 2'!AN5</f>
        <v/>
      </c>
      <c r="L6" s="421">
        <f>SUM(J6:K6)</f>
        <v>0</v>
      </c>
      <c r="N6" s="419">
        <f>$N$5*'Ordering Period 3'!P5</f>
        <v>0</v>
      </c>
      <c r="O6" s="420" t="str">
        <f>'Ordering Period 3'!AN5</f>
        <v/>
      </c>
      <c r="P6" s="421">
        <f t="shared" ref="P6:P20" si="1">SUM(N6:O6)</f>
        <v>0</v>
      </c>
      <c r="Q6" s="1"/>
      <c r="R6" s="419">
        <f>$R$5*'Ordering Period 4'!R5</f>
        <v>0</v>
      </c>
      <c r="S6" s="420" t="str">
        <f>'Ordering Period 4'!AP5</f>
        <v/>
      </c>
      <c r="T6" s="421">
        <f t="shared" ref="T6:T20" si="2">SUM(R6:S6)</f>
        <v>0</v>
      </c>
      <c r="V6" s="419">
        <f>$V$5*'Ordering Period 5'!P5</f>
        <v>0</v>
      </c>
      <c r="W6" s="420" t="str">
        <f>'Ordering Period 5'!AN5</f>
        <v/>
      </c>
      <c r="X6" s="421">
        <f t="shared" ref="X6:X20" si="3">SUM(V6:W6)</f>
        <v>0</v>
      </c>
    </row>
    <row r="7" spans="1:27" s="111" customFormat="1" ht="15.75" thickBot="1" x14ac:dyDescent="0.3">
      <c r="A7" s="414" t="s">
        <v>73</v>
      </c>
      <c r="B7" s="415" t="str">
        <f>Totals!B7</f>
        <v>002</v>
      </c>
      <c r="C7" s="415" t="str">
        <f>Totals!C7</f>
        <v>Field Service Representative</v>
      </c>
      <c r="D7" s="416" t="str">
        <f>Totals!D7</f>
        <v>CONUS</v>
      </c>
      <c r="F7" s="419">
        <f>$F$5*'Ordering Period 1'!R6</f>
        <v>0</v>
      </c>
      <c r="G7" s="420" t="str">
        <f>'Ordering Period 1'!AP6</f>
        <v/>
      </c>
      <c r="H7" s="421">
        <f t="shared" si="0"/>
        <v>0</v>
      </c>
      <c r="J7" s="419">
        <f>$J$5*'Ordering Period 2'!P6</f>
        <v>0</v>
      </c>
      <c r="K7" s="420" t="str">
        <f>'Ordering Period 2'!AN6</f>
        <v/>
      </c>
      <c r="L7" s="421">
        <f>SUM(J7:K7)</f>
        <v>0</v>
      </c>
      <c r="N7" s="419">
        <f>$N$5*'Ordering Period 3'!P6</f>
        <v>0</v>
      </c>
      <c r="O7" s="420" t="str">
        <f>'Ordering Period 3'!AN6</f>
        <v/>
      </c>
      <c r="P7" s="421">
        <f t="shared" si="1"/>
        <v>0</v>
      </c>
      <c r="Q7" s="1"/>
      <c r="R7" s="419">
        <f>$R$5*'Ordering Period 4'!R6</f>
        <v>0</v>
      </c>
      <c r="S7" s="420" t="str">
        <f>'Ordering Period 4'!AP6</f>
        <v/>
      </c>
      <c r="T7" s="421">
        <f t="shared" si="2"/>
        <v>0</v>
      </c>
      <c r="V7" s="419">
        <f>$V$5*'Ordering Period 5'!P6</f>
        <v>0</v>
      </c>
      <c r="W7" s="420" t="str">
        <f>'Ordering Period 5'!AN6</f>
        <v/>
      </c>
      <c r="X7" s="421">
        <f t="shared" si="3"/>
        <v>0</v>
      </c>
    </row>
    <row r="8" spans="1:27" s="111" customFormat="1" ht="15.75" thickBot="1" x14ac:dyDescent="0.3">
      <c r="A8" s="414" t="s">
        <v>74</v>
      </c>
      <c r="B8" s="415" t="str">
        <f>Totals!B8</f>
        <v>003</v>
      </c>
      <c r="C8" s="415" t="str">
        <f>Totals!C8</f>
        <v>Heavy Equipment Mechanic</v>
      </c>
      <c r="D8" s="416" t="str">
        <f>Totals!D8</f>
        <v>CONUS</v>
      </c>
      <c r="F8" s="419">
        <f>$F$5*'Ordering Period 1'!R7</f>
        <v>0</v>
      </c>
      <c r="G8" s="420" t="str">
        <f>'Ordering Period 1'!AP7</f>
        <v/>
      </c>
      <c r="H8" s="421">
        <f t="shared" si="0"/>
        <v>0</v>
      </c>
      <c r="J8" s="419">
        <f>$J$5*'Ordering Period 2'!P7</f>
        <v>0</v>
      </c>
      <c r="K8" s="420" t="str">
        <f>'Ordering Period 2'!AN7</f>
        <v/>
      </c>
      <c r="L8" s="421">
        <f t="shared" ref="L8:L20" si="4">SUM(J8:K8)</f>
        <v>0</v>
      </c>
      <c r="N8" s="419">
        <f>$N$5*'Ordering Period 3'!P7</f>
        <v>0</v>
      </c>
      <c r="O8" s="420" t="str">
        <f>'Ordering Period 3'!AN7</f>
        <v/>
      </c>
      <c r="P8" s="421">
        <f t="shared" si="1"/>
        <v>0</v>
      </c>
      <c r="Q8" s="1"/>
      <c r="R8" s="419">
        <f>$R$5*'Ordering Period 4'!R7</f>
        <v>0</v>
      </c>
      <c r="S8" s="420" t="str">
        <f>'Ordering Period 4'!AP7</f>
        <v/>
      </c>
      <c r="T8" s="421">
        <f t="shared" si="2"/>
        <v>0</v>
      </c>
      <c r="V8" s="419">
        <f>$V$5*'Ordering Period 5'!P7</f>
        <v>0</v>
      </c>
      <c r="W8" s="420" t="str">
        <f>'Ordering Period 5'!AN7</f>
        <v/>
      </c>
      <c r="X8" s="421">
        <f t="shared" si="3"/>
        <v>0</v>
      </c>
    </row>
    <row r="9" spans="1:27" s="111" customFormat="1" x14ac:dyDescent="0.25">
      <c r="A9" s="541" t="s">
        <v>75</v>
      </c>
      <c r="B9" s="236" t="str">
        <f>Totals!B9</f>
        <v>004</v>
      </c>
      <c r="C9" s="236" t="str">
        <f>Totals!C9</f>
        <v>Field Service Representative</v>
      </c>
      <c r="D9" s="237" t="str">
        <f>Totals!D9</f>
        <v>CONUS</v>
      </c>
      <c r="F9" s="112">
        <f>$F$5*'Ordering Period 1'!R8</f>
        <v>0</v>
      </c>
      <c r="G9" s="169" t="str">
        <f>'Ordering Period 1'!AP8</f>
        <v/>
      </c>
      <c r="H9" s="170">
        <f t="shared" si="0"/>
        <v>0</v>
      </c>
      <c r="J9" s="112">
        <f>$J$5*'Ordering Period 2'!P8</f>
        <v>0</v>
      </c>
      <c r="K9" s="169" t="str">
        <f>'Ordering Period 2'!AN8</f>
        <v/>
      </c>
      <c r="L9" s="170">
        <f t="shared" si="4"/>
        <v>0</v>
      </c>
      <c r="N9" s="112">
        <f>$N$5*'Ordering Period 3'!P8</f>
        <v>0</v>
      </c>
      <c r="O9" s="169" t="str">
        <f>'Ordering Period 3'!AN8</f>
        <v/>
      </c>
      <c r="P9" s="170">
        <f t="shared" si="1"/>
        <v>0</v>
      </c>
      <c r="Q9" s="1"/>
      <c r="R9" s="112">
        <f>$R$5*'Ordering Period 4'!R8</f>
        <v>0</v>
      </c>
      <c r="S9" s="169" t="str">
        <f>'Ordering Period 4'!AP8</f>
        <v/>
      </c>
      <c r="T9" s="170">
        <f t="shared" si="2"/>
        <v>0</v>
      </c>
      <c r="V9" s="112">
        <f>$V$5*'Ordering Period 5'!P8</f>
        <v>0</v>
      </c>
      <c r="W9" s="169" t="str">
        <f>'Ordering Period 5'!AN8</f>
        <v/>
      </c>
      <c r="X9" s="170">
        <f t="shared" si="3"/>
        <v>0</v>
      </c>
    </row>
    <row r="10" spans="1:27" s="111" customFormat="1" x14ac:dyDescent="0.25">
      <c r="A10" s="542"/>
      <c r="B10" s="235" t="str">
        <f>Totals!B10</f>
        <v>005</v>
      </c>
      <c r="C10" s="235" t="str">
        <f>Totals!C10</f>
        <v>Modified Work Orders (MWO)</v>
      </c>
      <c r="D10" s="238" t="str">
        <f>Totals!D10</f>
        <v>CONUS</v>
      </c>
      <c r="F10" s="114">
        <f>$F$5*'Ordering Period 1'!R9</f>
        <v>0</v>
      </c>
      <c r="G10" s="168" t="str">
        <f>'Ordering Period 1'!AP9</f>
        <v/>
      </c>
      <c r="H10" s="171">
        <f t="shared" si="0"/>
        <v>0</v>
      </c>
      <c r="J10" s="114">
        <f>$J$5*'Ordering Period 2'!P9</f>
        <v>0</v>
      </c>
      <c r="K10" s="168" t="str">
        <f>'Ordering Period 2'!AN9</f>
        <v/>
      </c>
      <c r="L10" s="171">
        <f t="shared" si="4"/>
        <v>0</v>
      </c>
      <c r="N10" s="114">
        <f>$N$5*'Ordering Period 3'!P9</f>
        <v>0</v>
      </c>
      <c r="O10" s="168" t="str">
        <f>'Ordering Period 3'!AN9</f>
        <v/>
      </c>
      <c r="P10" s="171">
        <f t="shared" si="1"/>
        <v>0</v>
      </c>
      <c r="Q10" s="1"/>
      <c r="R10" s="114">
        <f>$R$5*'Ordering Period 4'!R9</f>
        <v>0</v>
      </c>
      <c r="S10" s="168" t="str">
        <f>'Ordering Period 4'!AP9</f>
        <v/>
      </c>
      <c r="T10" s="171">
        <f t="shared" si="2"/>
        <v>0</v>
      </c>
      <c r="V10" s="114">
        <f>$V$5*'Ordering Period 5'!P9</f>
        <v>0</v>
      </c>
      <c r="W10" s="168" t="str">
        <f>'Ordering Period 5'!AN9</f>
        <v/>
      </c>
      <c r="X10" s="171">
        <f t="shared" si="3"/>
        <v>0</v>
      </c>
    </row>
    <row r="11" spans="1:27" s="111" customFormat="1" x14ac:dyDescent="0.25">
      <c r="A11" s="542"/>
      <c r="B11" s="235" t="str">
        <f>Totals!B11</f>
        <v>006</v>
      </c>
      <c r="C11" s="235" t="str">
        <f>Totals!C11</f>
        <v>Quality Assurance</v>
      </c>
      <c r="D11" s="238" t="str">
        <f>Totals!D11</f>
        <v>CONUS</v>
      </c>
      <c r="F11" s="114">
        <f>$F$5*'Ordering Period 1'!R10</f>
        <v>0</v>
      </c>
      <c r="G11" s="168" t="str">
        <f>'Ordering Period 1'!AP10</f>
        <v/>
      </c>
      <c r="H11" s="171">
        <f t="shared" si="0"/>
        <v>0</v>
      </c>
      <c r="J11" s="114">
        <f>$J$5*'Ordering Period 2'!P10</f>
        <v>0</v>
      </c>
      <c r="K11" s="168" t="str">
        <f>'Ordering Period 2'!AN10</f>
        <v/>
      </c>
      <c r="L11" s="171">
        <f t="shared" si="4"/>
        <v>0</v>
      </c>
      <c r="N11" s="114">
        <f>$N$5*'Ordering Period 3'!P10</f>
        <v>0</v>
      </c>
      <c r="O11" s="168" t="str">
        <f>'Ordering Period 3'!AN10</f>
        <v/>
      </c>
      <c r="P11" s="171">
        <f t="shared" si="1"/>
        <v>0</v>
      </c>
      <c r="Q11" s="1"/>
      <c r="R11" s="114">
        <f>$R$5*'Ordering Period 4'!R10</f>
        <v>0</v>
      </c>
      <c r="S11" s="168" t="str">
        <f>'Ordering Period 4'!AP10</f>
        <v/>
      </c>
      <c r="T11" s="171">
        <f t="shared" si="2"/>
        <v>0</v>
      </c>
      <c r="V11" s="114">
        <f>$V$5*'Ordering Period 5'!P10</f>
        <v>0</v>
      </c>
      <c r="W11" s="168" t="str">
        <f>'Ordering Period 5'!AN10</f>
        <v/>
      </c>
      <c r="X11" s="171">
        <f t="shared" si="3"/>
        <v>0</v>
      </c>
    </row>
    <row r="12" spans="1:27" s="111" customFormat="1" x14ac:dyDescent="0.25">
      <c r="A12" s="542"/>
      <c r="B12" s="235" t="str">
        <f>Totals!B12</f>
        <v>007</v>
      </c>
      <c r="C12" s="235" t="str">
        <f>Totals!C12</f>
        <v>Software</v>
      </c>
      <c r="D12" s="238" t="str">
        <f>Totals!D12</f>
        <v>CONUS</v>
      </c>
      <c r="F12" s="114">
        <f>$F$5*'Ordering Period 1'!R11</f>
        <v>0</v>
      </c>
      <c r="G12" s="168" t="str">
        <f>'Ordering Period 1'!AP11</f>
        <v/>
      </c>
      <c r="H12" s="171">
        <f t="shared" si="0"/>
        <v>0</v>
      </c>
      <c r="J12" s="114">
        <f>$J$5*'Ordering Period 2'!P11</f>
        <v>0</v>
      </c>
      <c r="K12" s="168" t="str">
        <f>'Ordering Period 2'!AN11</f>
        <v/>
      </c>
      <c r="L12" s="171">
        <f t="shared" si="4"/>
        <v>0</v>
      </c>
      <c r="N12" s="114">
        <f>$N$5*'Ordering Period 3'!P11</f>
        <v>0</v>
      </c>
      <c r="O12" s="168" t="str">
        <f>'Ordering Period 3'!AN11</f>
        <v/>
      </c>
      <c r="P12" s="171">
        <f t="shared" si="1"/>
        <v>0</v>
      </c>
      <c r="Q12" s="1"/>
      <c r="R12" s="114">
        <f>$R$5*'Ordering Period 4'!R11</f>
        <v>0</v>
      </c>
      <c r="S12" s="168" t="str">
        <f>'Ordering Period 4'!AP11</f>
        <v/>
      </c>
      <c r="T12" s="171">
        <f t="shared" si="2"/>
        <v>0</v>
      </c>
      <c r="V12" s="114">
        <f>$V$5*'Ordering Period 5'!P11</f>
        <v>0</v>
      </c>
      <c r="W12" s="168" t="str">
        <f>'Ordering Period 5'!AN11</f>
        <v/>
      </c>
      <c r="X12" s="171">
        <f t="shared" si="3"/>
        <v>0</v>
      </c>
    </row>
    <row r="13" spans="1:27" s="111" customFormat="1" ht="15.75" thickBot="1" x14ac:dyDescent="0.3">
      <c r="A13" s="543"/>
      <c r="B13" s="239" t="str">
        <f>Totals!B13</f>
        <v>008</v>
      </c>
      <c r="C13" s="239" t="str">
        <f>Totals!C13</f>
        <v>Welder</v>
      </c>
      <c r="D13" s="240" t="str">
        <f>Totals!D13</f>
        <v>CONUS</v>
      </c>
      <c r="F13" s="150">
        <f>$F$5*'Ordering Period 1'!R12</f>
        <v>0</v>
      </c>
      <c r="G13" s="172" t="str">
        <f>'Ordering Period 1'!AP12</f>
        <v/>
      </c>
      <c r="H13" s="173">
        <f t="shared" si="0"/>
        <v>0</v>
      </c>
      <c r="J13" s="150">
        <f>$J$5*'Ordering Period 2'!P12</f>
        <v>0</v>
      </c>
      <c r="K13" s="172" t="str">
        <f>'Ordering Period 2'!AN12</f>
        <v/>
      </c>
      <c r="L13" s="173">
        <f t="shared" si="4"/>
        <v>0</v>
      </c>
      <c r="N13" s="150">
        <f>$N$5*'Ordering Period 3'!P12</f>
        <v>0</v>
      </c>
      <c r="O13" s="172" t="str">
        <f>'Ordering Period 3'!AN12</f>
        <v/>
      </c>
      <c r="P13" s="173">
        <f t="shared" si="1"/>
        <v>0</v>
      </c>
      <c r="Q13" s="1"/>
      <c r="R13" s="150">
        <f>$R$5*'Ordering Period 4'!R12</f>
        <v>0</v>
      </c>
      <c r="S13" s="172" t="str">
        <f>'Ordering Period 4'!AP12</f>
        <v/>
      </c>
      <c r="T13" s="173">
        <f t="shared" si="2"/>
        <v>0</v>
      </c>
      <c r="V13" s="150">
        <f>$V$5*'Ordering Period 5'!P12</f>
        <v>0</v>
      </c>
      <c r="W13" s="172" t="str">
        <f>'Ordering Period 5'!AN12</f>
        <v/>
      </c>
      <c r="X13" s="173">
        <f t="shared" si="3"/>
        <v>0</v>
      </c>
    </row>
    <row r="14" spans="1:27" s="111" customFormat="1" x14ac:dyDescent="0.25">
      <c r="A14" s="541" t="s">
        <v>76</v>
      </c>
      <c r="B14" s="236" t="str">
        <f>Totals!B14</f>
        <v>009</v>
      </c>
      <c r="C14" s="236" t="str">
        <f>Totals!C14</f>
        <v>Instructor Supervisor</v>
      </c>
      <c r="D14" s="237" t="str">
        <f>Totals!D14</f>
        <v>CONUS</v>
      </c>
      <c r="F14" s="112">
        <f>$F$5*'Ordering Period 1'!R13</f>
        <v>0</v>
      </c>
      <c r="G14" s="169" t="str">
        <f>'Ordering Period 1'!AP13</f>
        <v/>
      </c>
      <c r="H14" s="170">
        <f t="shared" si="0"/>
        <v>0</v>
      </c>
      <c r="J14" s="112">
        <f>$J$5*'Ordering Period 2'!P13</f>
        <v>0</v>
      </c>
      <c r="K14" s="169" t="str">
        <f>'Ordering Period 2'!AN13</f>
        <v/>
      </c>
      <c r="L14" s="170">
        <f t="shared" si="4"/>
        <v>0</v>
      </c>
      <c r="N14" s="112">
        <f>$N$5*'Ordering Period 3'!P13</f>
        <v>0</v>
      </c>
      <c r="O14" s="169" t="str">
        <f>'Ordering Period 3'!AN13</f>
        <v/>
      </c>
      <c r="P14" s="170">
        <f t="shared" si="1"/>
        <v>0</v>
      </c>
      <c r="Q14" s="1"/>
      <c r="R14" s="112">
        <f>$R$5*'Ordering Period 4'!R13</f>
        <v>0</v>
      </c>
      <c r="S14" s="169" t="str">
        <f>'Ordering Period 4'!AP13</f>
        <v/>
      </c>
      <c r="T14" s="170">
        <f t="shared" si="2"/>
        <v>0</v>
      </c>
      <c r="V14" s="112">
        <f>$V$5*'Ordering Period 5'!P13</f>
        <v>0</v>
      </c>
      <c r="W14" s="169" t="str">
        <f>'Ordering Period 5'!AN13</f>
        <v/>
      </c>
      <c r="X14" s="170">
        <f t="shared" si="3"/>
        <v>0</v>
      </c>
    </row>
    <row r="15" spans="1:27" s="111" customFormat="1" ht="15.75" thickBot="1" x14ac:dyDescent="0.3">
      <c r="A15" s="543"/>
      <c r="B15" s="239" t="str">
        <f>Totals!B15</f>
        <v>010</v>
      </c>
      <c r="C15" s="239" t="str">
        <f>Totals!C15</f>
        <v xml:space="preserve">Instructor  </v>
      </c>
      <c r="D15" s="240" t="str">
        <f>Totals!D15</f>
        <v>CONUS</v>
      </c>
      <c r="F15" s="150">
        <f>$F$5*'Ordering Period 1'!R14</f>
        <v>0</v>
      </c>
      <c r="G15" s="172" t="str">
        <f>'Ordering Period 1'!AP14</f>
        <v/>
      </c>
      <c r="H15" s="173">
        <f>SUM(F15:G15)</f>
        <v>0</v>
      </c>
      <c r="J15" s="150">
        <f>$J$5*'Ordering Period 2'!P14</f>
        <v>0</v>
      </c>
      <c r="K15" s="172" t="str">
        <f>'Ordering Period 2'!AN14</f>
        <v/>
      </c>
      <c r="L15" s="173">
        <f t="shared" si="4"/>
        <v>0</v>
      </c>
      <c r="N15" s="150">
        <f>$N$5*'Ordering Period 3'!P14</f>
        <v>0</v>
      </c>
      <c r="O15" s="172" t="str">
        <f>'Ordering Period 3'!AN14</f>
        <v/>
      </c>
      <c r="P15" s="173">
        <f t="shared" si="1"/>
        <v>0</v>
      </c>
      <c r="Q15" s="1"/>
      <c r="R15" s="150">
        <f>$R$5*'Ordering Period 4'!R14</f>
        <v>0</v>
      </c>
      <c r="S15" s="172" t="str">
        <f>'Ordering Period 4'!AP14</f>
        <v/>
      </c>
      <c r="T15" s="173">
        <f t="shared" si="2"/>
        <v>0</v>
      </c>
      <c r="V15" s="150">
        <f>$V$5*'Ordering Period 5'!P14</f>
        <v>0</v>
      </c>
      <c r="W15" s="172" t="str">
        <f>'Ordering Period 5'!AN14</f>
        <v/>
      </c>
      <c r="X15" s="173">
        <f t="shared" si="3"/>
        <v>0</v>
      </c>
    </row>
    <row r="16" spans="1:27" s="111" customFormat="1" x14ac:dyDescent="0.25">
      <c r="A16" s="541" t="s">
        <v>77</v>
      </c>
      <c r="B16" s="236" t="str">
        <f>Totals!B16</f>
        <v>011</v>
      </c>
      <c r="C16" s="236" t="str">
        <f>Totals!C16</f>
        <v>Heavy Equipment Mechanic</v>
      </c>
      <c r="D16" s="237" t="str">
        <f>Totals!D16</f>
        <v>CONUS</v>
      </c>
      <c r="F16" s="112">
        <f>$F$5*'Ordering Period 1'!R15</f>
        <v>0</v>
      </c>
      <c r="G16" s="169" t="str">
        <f>'Ordering Period 1'!AP15</f>
        <v/>
      </c>
      <c r="H16" s="170">
        <f t="shared" si="0"/>
        <v>0</v>
      </c>
      <c r="J16" s="112">
        <f>$J$5*'Ordering Period 2'!P15</f>
        <v>0</v>
      </c>
      <c r="K16" s="169" t="str">
        <f>'Ordering Period 2'!AN15</f>
        <v/>
      </c>
      <c r="L16" s="170">
        <f t="shared" ref="L16:L19" si="5">SUM(J16:K16)</f>
        <v>0</v>
      </c>
      <c r="N16" s="112">
        <f>$N$5*'Ordering Period 3'!P15</f>
        <v>0</v>
      </c>
      <c r="O16" s="169" t="str">
        <f>'Ordering Period 3'!AN15</f>
        <v/>
      </c>
      <c r="P16" s="170">
        <f t="shared" si="1"/>
        <v>0</v>
      </c>
      <c r="Q16" s="1"/>
      <c r="R16" s="112">
        <f>$R$5*'Ordering Period 4'!R15</f>
        <v>0</v>
      </c>
      <c r="S16" s="169" t="str">
        <f>'Ordering Period 4'!AP15</f>
        <v/>
      </c>
      <c r="T16" s="170">
        <f t="shared" si="2"/>
        <v>0</v>
      </c>
      <c r="V16" s="112">
        <f>$V$5*'Ordering Period 5'!P15</f>
        <v>0</v>
      </c>
      <c r="W16" s="169" t="str">
        <f>'Ordering Period 5'!AN15</f>
        <v/>
      </c>
      <c r="X16" s="170">
        <f t="shared" si="3"/>
        <v>0</v>
      </c>
    </row>
    <row r="17" spans="1:27" s="111" customFormat="1" x14ac:dyDescent="0.25">
      <c r="A17" s="542"/>
      <c r="B17" s="235" t="str">
        <f>Totals!B17</f>
        <v>012</v>
      </c>
      <c r="C17" s="235" t="str">
        <f>Totals!C17</f>
        <v>Material Handling Specialist</v>
      </c>
      <c r="D17" s="238" t="str">
        <f>Totals!D17</f>
        <v>CONUS</v>
      </c>
      <c r="F17" s="114">
        <f>$F$5*'Ordering Period 1'!R16</f>
        <v>0</v>
      </c>
      <c r="G17" s="168" t="str">
        <f>'Ordering Period 1'!AP16</f>
        <v/>
      </c>
      <c r="H17" s="171">
        <f t="shared" si="0"/>
        <v>0</v>
      </c>
      <c r="J17" s="114">
        <f>$J$5*'Ordering Period 2'!P16</f>
        <v>0</v>
      </c>
      <c r="K17" s="168" t="str">
        <f>'Ordering Period 2'!AN16</f>
        <v/>
      </c>
      <c r="L17" s="171">
        <f t="shared" si="5"/>
        <v>0</v>
      </c>
      <c r="N17" s="114">
        <f>$N$5*'Ordering Period 3'!P16</f>
        <v>0</v>
      </c>
      <c r="O17" s="168" t="str">
        <f>'Ordering Period 3'!AN16</f>
        <v/>
      </c>
      <c r="P17" s="171">
        <f t="shared" si="1"/>
        <v>0</v>
      </c>
      <c r="Q17" s="1"/>
      <c r="R17" s="114">
        <f>$R$5*'Ordering Period 4'!R16</f>
        <v>0</v>
      </c>
      <c r="S17" s="168" t="str">
        <f>'Ordering Period 4'!AP16</f>
        <v/>
      </c>
      <c r="T17" s="171">
        <f t="shared" si="2"/>
        <v>0</v>
      </c>
      <c r="V17" s="114">
        <f>$V$5*'Ordering Period 5'!P16</f>
        <v>0</v>
      </c>
      <c r="W17" s="168" t="str">
        <f>'Ordering Period 5'!AN16</f>
        <v/>
      </c>
      <c r="X17" s="171">
        <f t="shared" si="3"/>
        <v>0</v>
      </c>
    </row>
    <row r="18" spans="1:27" s="111" customFormat="1" x14ac:dyDescent="0.25">
      <c r="A18" s="542"/>
      <c r="B18" s="235" t="str">
        <f>Totals!B18</f>
        <v>013</v>
      </c>
      <c r="C18" s="235" t="str">
        <f>Totals!C18</f>
        <v>Quality Assurance</v>
      </c>
      <c r="D18" s="238" t="str">
        <f>Totals!D18</f>
        <v>CONUS</v>
      </c>
      <c r="F18" s="114">
        <f>$F$5*'Ordering Period 1'!R17</f>
        <v>0</v>
      </c>
      <c r="G18" s="168" t="str">
        <f>'Ordering Period 1'!AP17</f>
        <v/>
      </c>
      <c r="H18" s="171">
        <f t="shared" si="0"/>
        <v>0</v>
      </c>
      <c r="J18" s="114">
        <f>$J$5*'Ordering Period 2'!P17</f>
        <v>0</v>
      </c>
      <c r="K18" s="168" t="str">
        <f>'Ordering Period 2'!AN17</f>
        <v/>
      </c>
      <c r="L18" s="171">
        <f t="shared" si="5"/>
        <v>0</v>
      </c>
      <c r="N18" s="114">
        <f>$N$5*'Ordering Period 3'!P17</f>
        <v>0</v>
      </c>
      <c r="O18" s="168" t="str">
        <f>'Ordering Period 3'!AN17</f>
        <v/>
      </c>
      <c r="P18" s="171">
        <f t="shared" si="1"/>
        <v>0</v>
      </c>
      <c r="Q18" s="1"/>
      <c r="R18" s="114">
        <f>$R$5*'Ordering Period 4'!R17</f>
        <v>0</v>
      </c>
      <c r="S18" s="168" t="str">
        <f>'Ordering Period 4'!AP17</f>
        <v/>
      </c>
      <c r="T18" s="171">
        <f t="shared" si="2"/>
        <v>0</v>
      </c>
      <c r="V18" s="114">
        <f>$V$5*'Ordering Period 5'!P17</f>
        <v>0</v>
      </c>
      <c r="W18" s="168" t="str">
        <f>'Ordering Period 5'!AN17</f>
        <v/>
      </c>
      <c r="X18" s="171">
        <f t="shared" si="3"/>
        <v>0</v>
      </c>
    </row>
    <row r="19" spans="1:27" s="111" customFormat="1" x14ac:dyDescent="0.25">
      <c r="A19" s="542"/>
      <c r="B19" s="235" t="str">
        <f>Totals!B19</f>
        <v>014</v>
      </c>
      <c r="C19" s="235" t="str">
        <f>Totals!C19</f>
        <v>Supply/Procurement Specialist</v>
      </c>
      <c r="D19" s="238" t="str">
        <f>Totals!D19</f>
        <v>CONUS</v>
      </c>
      <c r="F19" s="114">
        <f>$F$5*'Ordering Period 1'!R18</f>
        <v>0</v>
      </c>
      <c r="G19" s="168" t="str">
        <f>'Ordering Period 1'!AP18</f>
        <v/>
      </c>
      <c r="H19" s="171">
        <f t="shared" si="0"/>
        <v>0</v>
      </c>
      <c r="J19" s="114">
        <f>$J$5*'Ordering Period 2'!P18</f>
        <v>0</v>
      </c>
      <c r="K19" s="168" t="str">
        <f>'Ordering Period 2'!AN18</f>
        <v/>
      </c>
      <c r="L19" s="171">
        <f t="shared" si="5"/>
        <v>0</v>
      </c>
      <c r="N19" s="114">
        <f>$N$5*'Ordering Period 3'!P18</f>
        <v>0</v>
      </c>
      <c r="O19" s="168" t="str">
        <f>'Ordering Period 3'!AN18</f>
        <v/>
      </c>
      <c r="P19" s="171">
        <f t="shared" si="1"/>
        <v>0</v>
      </c>
      <c r="Q19" s="1"/>
      <c r="R19" s="114">
        <f>$R$5*'Ordering Period 4'!R18</f>
        <v>0</v>
      </c>
      <c r="S19" s="168" t="str">
        <f>'Ordering Period 4'!AP18</f>
        <v/>
      </c>
      <c r="T19" s="171">
        <f t="shared" si="2"/>
        <v>0</v>
      </c>
      <c r="V19" s="114">
        <f>$V$5*'Ordering Period 5'!P18</f>
        <v>0</v>
      </c>
      <c r="W19" s="168" t="str">
        <f>'Ordering Period 5'!AN18</f>
        <v/>
      </c>
      <c r="X19" s="171">
        <f t="shared" si="3"/>
        <v>0</v>
      </c>
    </row>
    <row r="20" spans="1:27" s="111" customFormat="1" ht="15.75" thickBot="1" x14ac:dyDescent="0.3">
      <c r="A20" s="543"/>
      <c r="B20" s="239" t="str">
        <f>Totals!B20</f>
        <v>015</v>
      </c>
      <c r="C20" s="239" t="str">
        <f>Totals!C20</f>
        <v>Welder</v>
      </c>
      <c r="D20" s="240" t="str">
        <f>Totals!D20</f>
        <v>CONUS</v>
      </c>
      <c r="F20" s="150">
        <f>$F$5*'Ordering Period 1'!R19</f>
        <v>0</v>
      </c>
      <c r="G20" s="172" t="str">
        <f>'Ordering Period 1'!AP19</f>
        <v/>
      </c>
      <c r="H20" s="173">
        <f t="shared" si="0"/>
        <v>0</v>
      </c>
      <c r="J20" s="150">
        <f>$J$5*'Ordering Period 2'!P19</f>
        <v>0</v>
      </c>
      <c r="K20" s="172" t="str">
        <f>'Ordering Period 2'!AN19</f>
        <v/>
      </c>
      <c r="L20" s="173">
        <f t="shared" si="4"/>
        <v>0</v>
      </c>
      <c r="N20" s="150">
        <f>$N$5*'Ordering Period 3'!P19</f>
        <v>0</v>
      </c>
      <c r="O20" s="172" t="str">
        <f>'Ordering Period 3'!AN19</f>
        <v/>
      </c>
      <c r="P20" s="173">
        <f t="shared" si="1"/>
        <v>0</v>
      </c>
      <c r="Q20" s="1"/>
      <c r="R20" s="150">
        <f>$R$5*'Ordering Period 4'!R19</f>
        <v>0</v>
      </c>
      <c r="S20" s="172" t="str">
        <f>'Ordering Period 4'!AP19</f>
        <v/>
      </c>
      <c r="T20" s="173">
        <f t="shared" si="2"/>
        <v>0</v>
      </c>
      <c r="V20" s="150">
        <f>$V$5*'Ordering Period 5'!P19</f>
        <v>0</v>
      </c>
      <c r="W20" s="172" t="str">
        <f>'Ordering Period 5'!AN19</f>
        <v/>
      </c>
      <c r="X20" s="173">
        <f t="shared" si="3"/>
        <v>0</v>
      </c>
    </row>
    <row r="21" spans="1:27" ht="15.75" thickBot="1" x14ac:dyDescent="0.3">
      <c r="A21" s="422" t="s">
        <v>189</v>
      </c>
      <c r="B21" s="423"/>
      <c r="C21" s="424"/>
      <c r="D21" s="425"/>
      <c r="E21" s="220"/>
      <c r="F21" s="263">
        <v>1.1000000000000001</v>
      </c>
      <c r="G21" s="222"/>
      <c r="H21" s="223"/>
      <c r="I21" s="220"/>
      <c r="J21" s="263">
        <v>1.1000000000000001</v>
      </c>
      <c r="K21" s="222"/>
      <c r="L21" s="223"/>
      <c r="M21" s="220"/>
      <c r="N21" s="263">
        <v>1.1000000000000001</v>
      </c>
      <c r="O21" s="222"/>
      <c r="P21" s="223"/>
      <c r="Q21" s="220"/>
      <c r="R21" s="263">
        <v>1.1000000000000001</v>
      </c>
      <c r="S21" s="222"/>
      <c r="T21" s="223"/>
      <c r="U21" s="220"/>
      <c r="V21" s="263">
        <v>1.1000000000000001</v>
      </c>
      <c r="W21" s="222"/>
      <c r="X21" s="223"/>
      <c r="Y21" s="106"/>
      <c r="Z21" s="106"/>
      <c r="AA21" s="106"/>
    </row>
    <row r="22" spans="1:27" s="111" customFormat="1" ht="15.75" thickBot="1" x14ac:dyDescent="0.3">
      <c r="A22" s="414" t="s">
        <v>73</v>
      </c>
      <c r="B22" s="415" t="str">
        <f>B7</f>
        <v>002</v>
      </c>
      <c r="C22" s="415" t="str">
        <f>C7</f>
        <v>Field Service Representative</v>
      </c>
      <c r="D22" s="416" t="s">
        <v>189</v>
      </c>
      <c r="F22" s="419">
        <f>$F$21*'Ordering Period 1'!R21</f>
        <v>0</v>
      </c>
      <c r="G22" s="420" t="str">
        <f>'Ordering Period 1'!AP21</f>
        <v/>
      </c>
      <c r="H22" s="421">
        <f>SUM(F22:G22)</f>
        <v>0</v>
      </c>
      <c r="J22" s="419">
        <f>$J$21*'Ordering Period 2'!P21</f>
        <v>0</v>
      </c>
      <c r="K22" s="420" t="str">
        <f>'Ordering Period 2'!AN21</f>
        <v/>
      </c>
      <c r="L22" s="421">
        <f>SUM(J22:K22)</f>
        <v>0</v>
      </c>
      <c r="N22" s="419">
        <f>$N$21*'Ordering Period 3'!P21</f>
        <v>0</v>
      </c>
      <c r="O22" s="420" t="str">
        <f>'Ordering Period 3'!AN21</f>
        <v/>
      </c>
      <c r="P22" s="421">
        <f>SUM(N22:O22)</f>
        <v>0</v>
      </c>
      <c r="Q22" s="1"/>
      <c r="R22" s="419">
        <f>$R$21*'Ordering Period 4'!R21</f>
        <v>0</v>
      </c>
      <c r="S22" s="420" t="str">
        <f>'Ordering Period 4'!AP21</f>
        <v/>
      </c>
      <c r="T22" s="421">
        <f>SUM(R22:S22)</f>
        <v>0</v>
      </c>
      <c r="V22" s="419">
        <f>$V$21*'Ordering Period 5'!P21</f>
        <v>0</v>
      </c>
      <c r="W22" s="420" t="str">
        <f>'Ordering Period 5'!AN21</f>
        <v/>
      </c>
      <c r="X22" s="421">
        <f t="shared" ref="X22" si="6">SUM(V22:W22)</f>
        <v>0</v>
      </c>
    </row>
    <row r="23" spans="1:27" s="111" customFormat="1" ht="15.75" thickBot="1" x14ac:dyDescent="0.3">
      <c r="A23" s="414" t="s">
        <v>74</v>
      </c>
      <c r="B23" s="415" t="str">
        <f t="shared" ref="B23:C35" si="7">B8</f>
        <v>003</v>
      </c>
      <c r="C23" s="415" t="str">
        <f t="shared" si="7"/>
        <v>Heavy Equipment Mechanic</v>
      </c>
      <c r="D23" s="416" t="s">
        <v>189</v>
      </c>
      <c r="F23" s="419">
        <f>$F$21*'Ordering Period 1'!R22</f>
        <v>0</v>
      </c>
      <c r="G23" s="420" t="str">
        <f>'Ordering Period 1'!AP22</f>
        <v/>
      </c>
      <c r="H23" s="421">
        <f t="shared" ref="H23:H35" si="8">SUM(F23:G23)</f>
        <v>0</v>
      </c>
      <c r="J23" s="419">
        <f>$J$21*'Ordering Period 2'!P22</f>
        <v>0</v>
      </c>
      <c r="K23" s="420" t="str">
        <f>'Ordering Period 2'!AN22</f>
        <v/>
      </c>
      <c r="L23" s="421">
        <f t="shared" ref="L23:L35" si="9">SUM(J23:K23)</f>
        <v>0</v>
      </c>
      <c r="N23" s="419">
        <f>$N$21*'Ordering Period 3'!P22</f>
        <v>0</v>
      </c>
      <c r="O23" s="420" t="str">
        <f>'Ordering Period 3'!AN22</f>
        <v/>
      </c>
      <c r="P23" s="421">
        <f t="shared" ref="P23:P35" si="10">SUM(N23:O23)</f>
        <v>0</v>
      </c>
      <c r="Q23" s="1"/>
      <c r="R23" s="419">
        <f>$R$21*'Ordering Period 4'!R22</f>
        <v>0</v>
      </c>
      <c r="S23" s="420" t="str">
        <f>'Ordering Period 4'!AP22</f>
        <v/>
      </c>
      <c r="T23" s="421">
        <f t="shared" ref="T23:T35" si="11">SUM(R23:S23)</f>
        <v>0</v>
      </c>
      <c r="V23" s="419">
        <f>$V$21*'Ordering Period 5'!P22</f>
        <v>0</v>
      </c>
      <c r="W23" s="420" t="str">
        <f>'Ordering Period 5'!AN22</f>
        <v/>
      </c>
      <c r="X23" s="421">
        <f t="shared" ref="X23:X35" si="12">SUM(V23:W23)</f>
        <v>0</v>
      </c>
    </row>
    <row r="24" spans="1:27" s="111" customFormat="1" x14ac:dyDescent="0.25">
      <c r="A24" s="541" t="s">
        <v>75</v>
      </c>
      <c r="B24" s="236" t="str">
        <f t="shared" si="7"/>
        <v>004</v>
      </c>
      <c r="C24" s="236" t="str">
        <f t="shared" si="7"/>
        <v>Field Service Representative</v>
      </c>
      <c r="D24" s="237" t="s">
        <v>189</v>
      </c>
      <c r="F24" s="112">
        <f>$F$21*'Ordering Period 1'!R23</f>
        <v>0</v>
      </c>
      <c r="G24" s="169" t="str">
        <f>'Ordering Period 1'!AP23</f>
        <v/>
      </c>
      <c r="H24" s="170">
        <f t="shared" si="8"/>
        <v>0</v>
      </c>
      <c r="J24" s="112">
        <f>$J$21*'Ordering Period 2'!P23</f>
        <v>0</v>
      </c>
      <c r="K24" s="169" t="str">
        <f>'Ordering Period 2'!AN23</f>
        <v/>
      </c>
      <c r="L24" s="170">
        <f t="shared" si="9"/>
        <v>0</v>
      </c>
      <c r="N24" s="112">
        <f>$N$21*'Ordering Period 3'!P23</f>
        <v>0</v>
      </c>
      <c r="O24" s="169" t="str">
        <f>'Ordering Period 3'!AN23</f>
        <v/>
      </c>
      <c r="P24" s="170">
        <f t="shared" si="10"/>
        <v>0</v>
      </c>
      <c r="Q24" s="1"/>
      <c r="R24" s="112">
        <f>$R$21*'Ordering Period 4'!R23</f>
        <v>0</v>
      </c>
      <c r="S24" s="169" t="str">
        <f>'Ordering Period 4'!AP23</f>
        <v/>
      </c>
      <c r="T24" s="170">
        <f t="shared" si="11"/>
        <v>0</v>
      </c>
      <c r="V24" s="112">
        <f>$V$21*'Ordering Period 5'!P23</f>
        <v>0</v>
      </c>
      <c r="W24" s="169" t="str">
        <f>'Ordering Period 5'!AN23</f>
        <v/>
      </c>
      <c r="X24" s="170">
        <f t="shared" si="12"/>
        <v>0</v>
      </c>
    </row>
    <row r="25" spans="1:27" s="111" customFormat="1" x14ac:dyDescent="0.25">
      <c r="A25" s="542"/>
      <c r="B25" s="235" t="str">
        <f t="shared" si="7"/>
        <v>005</v>
      </c>
      <c r="C25" s="235" t="str">
        <f t="shared" si="7"/>
        <v>Modified Work Orders (MWO)</v>
      </c>
      <c r="D25" s="238" t="s">
        <v>189</v>
      </c>
      <c r="F25" s="114">
        <f>$F$21*'Ordering Period 1'!R24</f>
        <v>0</v>
      </c>
      <c r="G25" s="168" t="str">
        <f>'Ordering Period 1'!AP24</f>
        <v/>
      </c>
      <c r="H25" s="171">
        <f t="shared" si="8"/>
        <v>0</v>
      </c>
      <c r="J25" s="114">
        <f>$J$21*'Ordering Period 2'!P24</f>
        <v>0</v>
      </c>
      <c r="K25" s="168" t="str">
        <f>'Ordering Period 2'!AN24</f>
        <v/>
      </c>
      <c r="L25" s="171">
        <f t="shared" si="9"/>
        <v>0</v>
      </c>
      <c r="N25" s="114">
        <f>$N$21*'Ordering Period 3'!P24</f>
        <v>0</v>
      </c>
      <c r="O25" s="168" t="str">
        <f>'Ordering Period 3'!AN24</f>
        <v/>
      </c>
      <c r="P25" s="171">
        <f t="shared" si="10"/>
        <v>0</v>
      </c>
      <c r="Q25" s="1"/>
      <c r="R25" s="114">
        <f>$R$21*'Ordering Period 4'!R24</f>
        <v>0</v>
      </c>
      <c r="S25" s="168" t="str">
        <f>'Ordering Period 4'!AP24</f>
        <v/>
      </c>
      <c r="T25" s="171">
        <f t="shared" si="11"/>
        <v>0</v>
      </c>
      <c r="V25" s="114">
        <f>$V$21*'Ordering Period 5'!P24</f>
        <v>0</v>
      </c>
      <c r="W25" s="168" t="str">
        <f>'Ordering Period 5'!AN24</f>
        <v/>
      </c>
      <c r="X25" s="171">
        <f t="shared" si="12"/>
        <v>0</v>
      </c>
    </row>
    <row r="26" spans="1:27" s="111" customFormat="1" x14ac:dyDescent="0.25">
      <c r="A26" s="542"/>
      <c r="B26" s="235" t="str">
        <f t="shared" si="7"/>
        <v>006</v>
      </c>
      <c r="C26" s="235" t="str">
        <f t="shared" si="7"/>
        <v>Quality Assurance</v>
      </c>
      <c r="D26" s="238" t="s">
        <v>189</v>
      </c>
      <c r="F26" s="114">
        <f>$F$21*'Ordering Period 1'!R25</f>
        <v>0</v>
      </c>
      <c r="G26" s="168" t="str">
        <f>'Ordering Period 1'!AP25</f>
        <v/>
      </c>
      <c r="H26" s="171">
        <f t="shared" si="8"/>
        <v>0</v>
      </c>
      <c r="J26" s="114">
        <f>$J$21*'Ordering Period 2'!P25</f>
        <v>0</v>
      </c>
      <c r="K26" s="168" t="str">
        <f>'Ordering Period 2'!AN25</f>
        <v/>
      </c>
      <c r="L26" s="171">
        <f t="shared" si="9"/>
        <v>0</v>
      </c>
      <c r="N26" s="114">
        <f>$N$21*'Ordering Period 3'!P25</f>
        <v>0</v>
      </c>
      <c r="O26" s="168" t="str">
        <f>'Ordering Period 3'!AN25</f>
        <v/>
      </c>
      <c r="P26" s="171">
        <f t="shared" si="10"/>
        <v>0</v>
      </c>
      <c r="Q26" s="1"/>
      <c r="R26" s="114">
        <f>$R$21*'Ordering Period 4'!R25</f>
        <v>0</v>
      </c>
      <c r="S26" s="168" t="str">
        <f>'Ordering Period 4'!AP25</f>
        <v/>
      </c>
      <c r="T26" s="171">
        <f t="shared" si="11"/>
        <v>0</v>
      </c>
      <c r="V26" s="114">
        <f>$V$21*'Ordering Period 5'!P25</f>
        <v>0</v>
      </c>
      <c r="W26" s="168" t="str">
        <f>'Ordering Period 5'!AN25</f>
        <v/>
      </c>
      <c r="X26" s="171">
        <f t="shared" si="12"/>
        <v>0</v>
      </c>
    </row>
    <row r="27" spans="1:27" s="111" customFormat="1" x14ac:dyDescent="0.25">
      <c r="A27" s="542"/>
      <c r="B27" s="235" t="str">
        <f t="shared" si="7"/>
        <v>007</v>
      </c>
      <c r="C27" s="235" t="str">
        <f t="shared" si="7"/>
        <v>Software</v>
      </c>
      <c r="D27" s="238" t="s">
        <v>189</v>
      </c>
      <c r="F27" s="114">
        <f>$F$21*'Ordering Period 1'!R26</f>
        <v>0</v>
      </c>
      <c r="G27" s="168" t="str">
        <f>'Ordering Period 1'!AP26</f>
        <v/>
      </c>
      <c r="H27" s="171">
        <f t="shared" si="8"/>
        <v>0</v>
      </c>
      <c r="J27" s="114">
        <f>$J$21*'Ordering Period 2'!P26</f>
        <v>0</v>
      </c>
      <c r="K27" s="168" t="str">
        <f>'Ordering Period 2'!AN26</f>
        <v/>
      </c>
      <c r="L27" s="171">
        <f t="shared" si="9"/>
        <v>0</v>
      </c>
      <c r="N27" s="114">
        <f>$N$21*'Ordering Period 3'!P26</f>
        <v>0</v>
      </c>
      <c r="O27" s="168" t="str">
        <f>'Ordering Period 3'!AN26</f>
        <v/>
      </c>
      <c r="P27" s="171">
        <f t="shared" si="10"/>
        <v>0</v>
      </c>
      <c r="Q27" s="1"/>
      <c r="R27" s="114">
        <f>$R$21*'Ordering Period 4'!R26</f>
        <v>0</v>
      </c>
      <c r="S27" s="168" t="str">
        <f>'Ordering Period 4'!AP26</f>
        <v/>
      </c>
      <c r="T27" s="171">
        <f t="shared" si="11"/>
        <v>0</v>
      </c>
      <c r="V27" s="114">
        <f>$V$21*'Ordering Period 5'!P26</f>
        <v>0</v>
      </c>
      <c r="W27" s="168" t="str">
        <f>'Ordering Period 5'!AN26</f>
        <v/>
      </c>
      <c r="X27" s="171">
        <f t="shared" si="12"/>
        <v>0</v>
      </c>
    </row>
    <row r="28" spans="1:27" s="111" customFormat="1" ht="15.75" thickBot="1" x14ac:dyDescent="0.3">
      <c r="A28" s="543"/>
      <c r="B28" s="239" t="str">
        <f t="shared" si="7"/>
        <v>008</v>
      </c>
      <c r="C28" s="239" t="str">
        <f t="shared" si="7"/>
        <v>Welder</v>
      </c>
      <c r="D28" s="240" t="s">
        <v>189</v>
      </c>
      <c r="F28" s="150">
        <f>$F$21*'Ordering Period 1'!R27</f>
        <v>0</v>
      </c>
      <c r="G28" s="172" t="str">
        <f>'Ordering Period 1'!AP27</f>
        <v/>
      </c>
      <c r="H28" s="173">
        <f t="shared" si="8"/>
        <v>0</v>
      </c>
      <c r="J28" s="150">
        <f>$J$21*'Ordering Period 2'!P27</f>
        <v>0</v>
      </c>
      <c r="K28" s="172" t="str">
        <f>'Ordering Period 2'!AN27</f>
        <v/>
      </c>
      <c r="L28" s="173">
        <f t="shared" si="9"/>
        <v>0</v>
      </c>
      <c r="N28" s="150">
        <f>$N$21*'Ordering Period 3'!P27</f>
        <v>0</v>
      </c>
      <c r="O28" s="172" t="str">
        <f>'Ordering Period 3'!AN27</f>
        <v/>
      </c>
      <c r="P28" s="173">
        <f t="shared" si="10"/>
        <v>0</v>
      </c>
      <c r="Q28" s="1"/>
      <c r="R28" s="150">
        <f>$R$21*'Ordering Period 4'!R27</f>
        <v>0</v>
      </c>
      <c r="S28" s="172" t="str">
        <f>'Ordering Period 4'!AP27</f>
        <v/>
      </c>
      <c r="T28" s="173">
        <f t="shared" si="11"/>
        <v>0</v>
      </c>
      <c r="V28" s="150">
        <f>$V$21*'Ordering Period 5'!P27</f>
        <v>0</v>
      </c>
      <c r="W28" s="172" t="str">
        <f>'Ordering Period 5'!AN27</f>
        <v/>
      </c>
      <c r="X28" s="173">
        <f t="shared" si="12"/>
        <v>0</v>
      </c>
    </row>
    <row r="29" spans="1:27" s="111" customFormat="1" x14ac:dyDescent="0.25">
      <c r="A29" s="541" t="s">
        <v>76</v>
      </c>
      <c r="B29" s="236" t="str">
        <f t="shared" si="7"/>
        <v>009</v>
      </c>
      <c r="C29" s="236" t="str">
        <f t="shared" si="7"/>
        <v>Instructor Supervisor</v>
      </c>
      <c r="D29" s="237" t="s">
        <v>189</v>
      </c>
      <c r="F29" s="112">
        <f>$F$21*'Ordering Period 1'!R28</f>
        <v>0</v>
      </c>
      <c r="G29" s="169" t="str">
        <f>'Ordering Period 1'!AP28</f>
        <v/>
      </c>
      <c r="H29" s="170">
        <f t="shared" si="8"/>
        <v>0</v>
      </c>
      <c r="J29" s="112">
        <f>$J$21*'Ordering Period 2'!P28</f>
        <v>0</v>
      </c>
      <c r="K29" s="169" t="str">
        <f>'Ordering Period 2'!AN28</f>
        <v/>
      </c>
      <c r="L29" s="170">
        <f t="shared" si="9"/>
        <v>0</v>
      </c>
      <c r="N29" s="112">
        <f>$N$21*'Ordering Period 3'!P28</f>
        <v>0</v>
      </c>
      <c r="O29" s="169" t="str">
        <f>'Ordering Period 3'!AN28</f>
        <v/>
      </c>
      <c r="P29" s="170">
        <f t="shared" si="10"/>
        <v>0</v>
      </c>
      <c r="Q29" s="1"/>
      <c r="R29" s="112">
        <f>$R$21*'Ordering Period 4'!R28</f>
        <v>0</v>
      </c>
      <c r="S29" s="169" t="str">
        <f>'Ordering Period 4'!AP28</f>
        <v/>
      </c>
      <c r="T29" s="170">
        <f t="shared" si="11"/>
        <v>0</v>
      </c>
      <c r="V29" s="112">
        <f>$V$21*'Ordering Period 5'!P28</f>
        <v>0</v>
      </c>
      <c r="W29" s="169" t="str">
        <f>'Ordering Period 5'!AN28</f>
        <v/>
      </c>
      <c r="X29" s="170">
        <f t="shared" si="12"/>
        <v>0</v>
      </c>
    </row>
    <row r="30" spans="1:27" s="111" customFormat="1" ht="15.75" thickBot="1" x14ac:dyDescent="0.3">
      <c r="A30" s="543"/>
      <c r="B30" s="239" t="str">
        <f t="shared" si="7"/>
        <v>010</v>
      </c>
      <c r="C30" s="239" t="str">
        <f t="shared" si="7"/>
        <v xml:space="preserve">Instructor  </v>
      </c>
      <c r="D30" s="240" t="s">
        <v>189</v>
      </c>
      <c r="F30" s="150">
        <f>$F$21*'Ordering Period 1'!R29</f>
        <v>0</v>
      </c>
      <c r="G30" s="172" t="str">
        <f>'Ordering Period 1'!AP29</f>
        <v/>
      </c>
      <c r="H30" s="173">
        <f t="shared" si="8"/>
        <v>0</v>
      </c>
      <c r="J30" s="150">
        <f>$J$21*'Ordering Period 2'!P29</f>
        <v>0</v>
      </c>
      <c r="K30" s="172" t="str">
        <f>'Ordering Period 2'!AN29</f>
        <v/>
      </c>
      <c r="L30" s="173">
        <f t="shared" si="9"/>
        <v>0</v>
      </c>
      <c r="N30" s="150">
        <f>$N$21*'Ordering Period 3'!P29</f>
        <v>0</v>
      </c>
      <c r="O30" s="172" t="str">
        <f>'Ordering Period 3'!AN29</f>
        <v/>
      </c>
      <c r="P30" s="173">
        <f t="shared" si="10"/>
        <v>0</v>
      </c>
      <c r="Q30" s="1"/>
      <c r="R30" s="150">
        <f>$R$21*'Ordering Period 4'!R29</f>
        <v>0</v>
      </c>
      <c r="S30" s="172" t="str">
        <f>'Ordering Period 4'!AP29</f>
        <v/>
      </c>
      <c r="T30" s="173">
        <f t="shared" si="11"/>
        <v>0</v>
      </c>
      <c r="V30" s="150">
        <f>$V$21*'Ordering Period 5'!P29</f>
        <v>0</v>
      </c>
      <c r="W30" s="172" t="str">
        <f>'Ordering Period 5'!AN29</f>
        <v/>
      </c>
      <c r="X30" s="173">
        <f t="shared" si="12"/>
        <v>0</v>
      </c>
    </row>
    <row r="31" spans="1:27" s="111" customFormat="1" x14ac:dyDescent="0.25">
      <c r="A31" s="541" t="s">
        <v>77</v>
      </c>
      <c r="B31" s="236" t="str">
        <f t="shared" si="7"/>
        <v>011</v>
      </c>
      <c r="C31" s="236" t="str">
        <f t="shared" si="7"/>
        <v>Heavy Equipment Mechanic</v>
      </c>
      <c r="D31" s="237" t="s">
        <v>189</v>
      </c>
      <c r="F31" s="112">
        <f>$F$21*'Ordering Period 1'!R30</f>
        <v>0</v>
      </c>
      <c r="G31" s="169" t="str">
        <f>'Ordering Period 1'!AP30</f>
        <v/>
      </c>
      <c r="H31" s="170">
        <f t="shared" si="8"/>
        <v>0</v>
      </c>
      <c r="J31" s="112">
        <f>$J$21*'Ordering Period 2'!P30</f>
        <v>0</v>
      </c>
      <c r="K31" s="169" t="str">
        <f>'Ordering Period 2'!AN30</f>
        <v/>
      </c>
      <c r="L31" s="170">
        <f t="shared" si="9"/>
        <v>0</v>
      </c>
      <c r="N31" s="112">
        <f>$N$21*'Ordering Period 3'!P30</f>
        <v>0</v>
      </c>
      <c r="O31" s="169" t="str">
        <f>'Ordering Period 3'!AN30</f>
        <v/>
      </c>
      <c r="P31" s="170">
        <f t="shared" si="10"/>
        <v>0</v>
      </c>
      <c r="Q31" s="1"/>
      <c r="R31" s="112">
        <f>$R$21*'Ordering Period 4'!R30</f>
        <v>0</v>
      </c>
      <c r="S31" s="169" t="str">
        <f>'Ordering Period 4'!AP30</f>
        <v/>
      </c>
      <c r="T31" s="170">
        <f t="shared" si="11"/>
        <v>0</v>
      </c>
      <c r="V31" s="112">
        <f>$V$21*'Ordering Period 5'!P30</f>
        <v>0</v>
      </c>
      <c r="W31" s="169" t="str">
        <f>'Ordering Period 5'!AN30</f>
        <v/>
      </c>
      <c r="X31" s="170">
        <f t="shared" si="12"/>
        <v>0</v>
      </c>
    </row>
    <row r="32" spans="1:27" s="111" customFormat="1" x14ac:dyDescent="0.25">
      <c r="A32" s="542"/>
      <c r="B32" s="235" t="str">
        <f t="shared" si="7"/>
        <v>012</v>
      </c>
      <c r="C32" s="235" t="str">
        <f t="shared" si="7"/>
        <v>Material Handling Specialist</v>
      </c>
      <c r="D32" s="238" t="s">
        <v>189</v>
      </c>
      <c r="F32" s="114">
        <f>$F$21*'Ordering Period 1'!R31</f>
        <v>0</v>
      </c>
      <c r="G32" s="168" t="str">
        <f>'Ordering Period 1'!AP31</f>
        <v/>
      </c>
      <c r="H32" s="171">
        <f t="shared" si="8"/>
        <v>0</v>
      </c>
      <c r="J32" s="114">
        <f>$J$21*'Ordering Period 2'!P31</f>
        <v>0</v>
      </c>
      <c r="K32" s="168" t="str">
        <f>'Ordering Period 2'!AN31</f>
        <v/>
      </c>
      <c r="L32" s="171">
        <f t="shared" si="9"/>
        <v>0</v>
      </c>
      <c r="N32" s="114">
        <f>$N$21*'Ordering Period 3'!P31</f>
        <v>0</v>
      </c>
      <c r="O32" s="168" t="str">
        <f>'Ordering Period 3'!AN31</f>
        <v/>
      </c>
      <c r="P32" s="171">
        <f t="shared" si="10"/>
        <v>0</v>
      </c>
      <c r="Q32" s="1"/>
      <c r="R32" s="114">
        <f>$R$21*'Ordering Period 4'!R31</f>
        <v>0</v>
      </c>
      <c r="S32" s="168" t="str">
        <f>'Ordering Period 4'!AP31</f>
        <v/>
      </c>
      <c r="T32" s="171">
        <f t="shared" si="11"/>
        <v>0</v>
      </c>
      <c r="V32" s="114">
        <f>$V$21*'Ordering Period 5'!P31</f>
        <v>0</v>
      </c>
      <c r="W32" s="168" t="str">
        <f>'Ordering Period 5'!AN31</f>
        <v/>
      </c>
      <c r="X32" s="171">
        <f t="shared" si="12"/>
        <v>0</v>
      </c>
    </row>
    <row r="33" spans="1:27" s="111" customFormat="1" x14ac:dyDescent="0.25">
      <c r="A33" s="542"/>
      <c r="B33" s="235" t="str">
        <f t="shared" si="7"/>
        <v>013</v>
      </c>
      <c r="C33" s="235" t="str">
        <f t="shared" si="7"/>
        <v>Quality Assurance</v>
      </c>
      <c r="D33" s="238" t="s">
        <v>189</v>
      </c>
      <c r="F33" s="114">
        <f>$F$21*'Ordering Period 1'!R32</f>
        <v>0</v>
      </c>
      <c r="G33" s="168" t="str">
        <f>'Ordering Period 1'!AP32</f>
        <v/>
      </c>
      <c r="H33" s="171">
        <f t="shared" si="8"/>
        <v>0</v>
      </c>
      <c r="J33" s="114">
        <f>$J$21*'Ordering Period 2'!P32</f>
        <v>0</v>
      </c>
      <c r="K33" s="168" t="str">
        <f>'Ordering Period 2'!AN32</f>
        <v/>
      </c>
      <c r="L33" s="171">
        <f t="shared" si="9"/>
        <v>0</v>
      </c>
      <c r="N33" s="114">
        <f>$N$21*'Ordering Period 3'!P32</f>
        <v>0</v>
      </c>
      <c r="O33" s="168" t="str">
        <f>'Ordering Period 3'!AN32</f>
        <v/>
      </c>
      <c r="P33" s="171">
        <f t="shared" si="10"/>
        <v>0</v>
      </c>
      <c r="Q33" s="1"/>
      <c r="R33" s="114">
        <f>$R$21*'Ordering Period 4'!R32</f>
        <v>0</v>
      </c>
      <c r="S33" s="168" t="str">
        <f>'Ordering Period 4'!AP32</f>
        <v/>
      </c>
      <c r="T33" s="171">
        <f t="shared" si="11"/>
        <v>0</v>
      </c>
      <c r="V33" s="114">
        <f>$V$21*'Ordering Period 5'!P32</f>
        <v>0</v>
      </c>
      <c r="W33" s="168" t="str">
        <f>'Ordering Period 5'!AN32</f>
        <v/>
      </c>
      <c r="X33" s="171">
        <f t="shared" si="12"/>
        <v>0</v>
      </c>
    </row>
    <row r="34" spans="1:27" s="111" customFormat="1" x14ac:dyDescent="0.25">
      <c r="A34" s="542"/>
      <c r="B34" s="235" t="str">
        <f t="shared" si="7"/>
        <v>014</v>
      </c>
      <c r="C34" s="235" t="str">
        <f t="shared" si="7"/>
        <v>Supply/Procurement Specialist</v>
      </c>
      <c r="D34" s="238" t="s">
        <v>189</v>
      </c>
      <c r="F34" s="114">
        <f>$F$21*'Ordering Period 1'!R33</f>
        <v>0</v>
      </c>
      <c r="G34" s="168" t="str">
        <f>'Ordering Period 1'!AP33</f>
        <v/>
      </c>
      <c r="H34" s="171">
        <f t="shared" si="8"/>
        <v>0</v>
      </c>
      <c r="J34" s="114">
        <f>$J$21*'Ordering Period 2'!P33</f>
        <v>0</v>
      </c>
      <c r="K34" s="168" t="str">
        <f>'Ordering Period 2'!AN33</f>
        <v/>
      </c>
      <c r="L34" s="171">
        <f t="shared" si="9"/>
        <v>0</v>
      </c>
      <c r="N34" s="114">
        <f>$N$21*'Ordering Period 3'!P33</f>
        <v>0</v>
      </c>
      <c r="O34" s="168" t="str">
        <f>'Ordering Period 3'!AN33</f>
        <v/>
      </c>
      <c r="P34" s="171">
        <f t="shared" si="10"/>
        <v>0</v>
      </c>
      <c r="Q34" s="1"/>
      <c r="R34" s="114">
        <f>$R$21*'Ordering Period 4'!R33</f>
        <v>0</v>
      </c>
      <c r="S34" s="168" t="str">
        <f>'Ordering Period 4'!AP33</f>
        <v/>
      </c>
      <c r="T34" s="171">
        <f t="shared" si="11"/>
        <v>0</v>
      </c>
      <c r="V34" s="114">
        <f>$V$21*'Ordering Period 5'!P33</f>
        <v>0</v>
      </c>
      <c r="W34" s="168" t="str">
        <f>'Ordering Period 5'!AN33</f>
        <v/>
      </c>
      <c r="X34" s="171">
        <f t="shared" si="12"/>
        <v>0</v>
      </c>
    </row>
    <row r="35" spans="1:27" s="111" customFormat="1" ht="15.75" thickBot="1" x14ac:dyDescent="0.3">
      <c r="A35" s="543"/>
      <c r="B35" s="239" t="str">
        <f t="shared" si="7"/>
        <v>015</v>
      </c>
      <c r="C35" s="239" t="str">
        <f t="shared" si="7"/>
        <v>Welder</v>
      </c>
      <c r="D35" s="240" t="s">
        <v>189</v>
      </c>
      <c r="F35" s="150">
        <f>$F$21*'Ordering Period 1'!R34</f>
        <v>0</v>
      </c>
      <c r="G35" s="172" t="str">
        <f>'Ordering Period 1'!AP34</f>
        <v/>
      </c>
      <c r="H35" s="173">
        <f t="shared" si="8"/>
        <v>0</v>
      </c>
      <c r="J35" s="150">
        <f>$J$21*'Ordering Period 2'!P34</f>
        <v>0</v>
      </c>
      <c r="K35" s="172" t="str">
        <f>'Ordering Period 2'!AN34</f>
        <v/>
      </c>
      <c r="L35" s="173">
        <f t="shared" si="9"/>
        <v>0</v>
      </c>
      <c r="N35" s="150">
        <f>$N$21*'Ordering Period 3'!P34</f>
        <v>0</v>
      </c>
      <c r="O35" s="172" t="str">
        <f>'Ordering Period 3'!AN34</f>
        <v/>
      </c>
      <c r="P35" s="173">
        <f t="shared" si="10"/>
        <v>0</v>
      </c>
      <c r="Q35" s="1"/>
      <c r="R35" s="150">
        <f>$R$21*'Ordering Period 4'!R34</f>
        <v>0</v>
      </c>
      <c r="S35" s="172" t="str">
        <f>'Ordering Period 4'!AP34</f>
        <v/>
      </c>
      <c r="T35" s="173">
        <f t="shared" si="11"/>
        <v>0</v>
      </c>
      <c r="V35" s="150">
        <f>$V$21*'Ordering Period 5'!P34</f>
        <v>0</v>
      </c>
      <c r="W35" s="172" t="str">
        <f>'Ordering Period 5'!AN34</f>
        <v/>
      </c>
      <c r="X35" s="173">
        <f t="shared" si="12"/>
        <v>0</v>
      </c>
    </row>
    <row r="36" spans="1:27" ht="15.75" thickBot="1" x14ac:dyDescent="0.3">
      <c r="A36" s="422" t="s">
        <v>116</v>
      </c>
      <c r="B36" s="423"/>
      <c r="C36" s="424"/>
      <c r="D36" s="425"/>
      <c r="E36" s="220"/>
      <c r="F36" s="263">
        <v>1.2</v>
      </c>
      <c r="G36" s="264"/>
      <c r="H36" s="418"/>
      <c r="I36" s="220"/>
      <c r="J36" s="263">
        <v>1.2</v>
      </c>
      <c r="K36" s="264"/>
      <c r="L36" s="418"/>
      <c r="M36" s="220"/>
      <c r="N36" s="263">
        <v>1.2</v>
      </c>
      <c r="O36" s="264"/>
      <c r="P36" s="418"/>
      <c r="Q36" s="220"/>
      <c r="R36" s="263">
        <v>1.2</v>
      </c>
      <c r="S36" s="264"/>
      <c r="T36" s="418"/>
      <c r="U36" s="220"/>
      <c r="V36" s="263">
        <v>1.2</v>
      </c>
      <c r="W36" s="264"/>
      <c r="X36" s="418"/>
      <c r="Y36" s="106"/>
      <c r="Z36" s="106"/>
      <c r="AA36" s="106"/>
    </row>
    <row r="37" spans="1:27" s="111" customFormat="1" ht="15.75" thickBot="1" x14ac:dyDescent="0.3">
      <c r="A37" s="414" t="s">
        <v>73</v>
      </c>
      <c r="B37" s="415" t="str">
        <f>Totals!B21</f>
        <v>016</v>
      </c>
      <c r="C37" s="426" t="str">
        <f>Totals!C21</f>
        <v>Field Service Representative</v>
      </c>
      <c r="D37" s="427" t="str">
        <f>Totals!D21</f>
        <v>OCONUS</v>
      </c>
      <c r="F37" s="419">
        <f>$F$36*'Ordering Period 1'!R36</f>
        <v>0</v>
      </c>
      <c r="G37" s="420" t="str">
        <f>'Ordering Period 1'!AP36</f>
        <v/>
      </c>
      <c r="H37" s="421">
        <f t="shared" ref="H37:H43" si="13">SUM(F37:G37)</f>
        <v>0</v>
      </c>
      <c r="J37" s="419">
        <f>$J$36*'Ordering Period 2'!P36</f>
        <v>0</v>
      </c>
      <c r="K37" s="420" t="str">
        <f>'Ordering Period 2'!AN36</f>
        <v/>
      </c>
      <c r="L37" s="421">
        <f t="shared" ref="L37:L43" si="14">SUM(J37:K37)</f>
        <v>0</v>
      </c>
      <c r="N37" s="419">
        <f>$N$36*'Ordering Period 3'!P36</f>
        <v>0</v>
      </c>
      <c r="O37" s="420" t="str">
        <f>'Ordering Period 3'!AN36</f>
        <v/>
      </c>
      <c r="P37" s="421">
        <f t="shared" ref="P37:P43" si="15">SUM(N37:O37)</f>
        <v>0</v>
      </c>
      <c r="Q37" s="1"/>
      <c r="R37" s="419">
        <f>$R$36*'Ordering Period 4'!R36</f>
        <v>0</v>
      </c>
      <c r="S37" s="420" t="str">
        <f>'Ordering Period 4'!AP36</f>
        <v/>
      </c>
      <c r="T37" s="421">
        <f>SUM(R37:S37)</f>
        <v>0</v>
      </c>
      <c r="V37" s="419">
        <f>$V$36*'Ordering Period 5'!P36</f>
        <v>0</v>
      </c>
      <c r="W37" s="420" t="str">
        <f>'Ordering Period 5'!AN36</f>
        <v/>
      </c>
      <c r="X37" s="421">
        <f>SUM(V37:W37)</f>
        <v>0</v>
      </c>
    </row>
    <row r="38" spans="1:27" s="111" customFormat="1" ht="15.75" thickBot="1" x14ac:dyDescent="0.3">
      <c r="A38" s="414" t="s">
        <v>74</v>
      </c>
      <c r="B38" s="415" t="str">
        <f>Totals!B22</f>
        <v>017</v>
      </c>
      <c r="C38" s="426" t="str">
        <f>Totals!C22</f>
        <v>Heavy Equipment Mechanic</v>
      </c>
      <c r="D38" s="427" t="str">
        <f>Totals!D22</f>
        <v>OCONUS</v>
      </c>
      <c r="F38" s="419">
        <f>$F$36*'Ordering Period 1'!R37</f>
        <v>0</v>
      </c>
      <c r="G38" s="420" t="str">
        <f>'Ordering Period 1'!AP37</f>
        <v/>
      </c>
      <c r="H38" s="421">
        <f t="shared" si="13"/>
        <v>0</v>
      </c>
      <c r="J38" s="419">
        <f>$J$36*'Ordering Period 2'!P37</f>
        <v>0</v>
      </c>
      <c r="K38" s="420" t="str">
        <f>'Ordering Period 2'!AN37</f>
        <v/>
      </c>
      <c r="L38" s="421">
        <f t="shared" si="14"/>
        <v>0</v>
      </c>
      <c r="N38" s="419">
        <f>$N$36*'Ordering Period 3'!P37</f>
        <v>0</v>
      </c>
      <c r="O38" s="420" t="str">
        <f>'Ordering Period 3'!AN37</f>
        <v/>
      </c>
      <c r="P38" s="421">
        <f t="shared" si="15"/>
        <v>0</v>
      </c>
      <c r="Q38" s="1"/>
      <c r="R38" s="419">
        <f>$R$36*'Ordering Period 4'!R37</f>
        <v>0</v>
      </c>
      <c r="S38" s="420" t="str">
        <f>'Ordering Period 4'!AP37</f>
        <v/>
      </c>
      <c r="T38" s="421">
        <f>SUM(R38:S38)</f>
        <v>0</v>
      </c>
      <c r="V38" s="419">
        <f>$V$36*'Ordering Period 5'!P37</f>
        <v>0</v>
      </c>
      <c r="W38" s="420" t="str">
        <f>'Ordering Period 5'!AN37</f>
        <v/>
      </c>
      <c r="X38" s="421">
        <f>SUM(V38:W38)</f>
        <v>0</v>
      </c>
    </row>
    <row r="39" spans="1:27" s="111" customFormat="1" x14ac:dyDescent="0.25">
      <c r="A39" s="541" t="s">
        <v>76</v>
      </c>
      <c r="B39" s="236" t="str">
        <f>Totals!B23</f>
        <v>018</v>
      </c>
      <c r="C39" s="110" t="str">
        <f>Totals!C23</f>
        <v>Instructor Supervisor</v>
      </c>
      <c r="D39" s="117" t="str">
        <f>Totals!D23</f>
        <v>OCONUS</v>
      </c>
      <c r="F39" s="112">
        <f>$F$36*'Ordering Period 1'!R38</f>
        <v>0</v>
      </c>
      <c r="G39" s="169" t="str">
        <f>'Ordering Period 1'!AP38</f>
        <v/>
      </c>
      <c r="H39" s="170">
        <f t="shared" si="13"/>
        <v>0</v>
      </c>
      <c r="J39" s="112">
        <f>$J$36*'Ordering Period 2'!P38</f>
        <v>0</v>
      </c>
      <c r="K39" s="169" t="str">
        <f>'Ordering Period 2'!AN38</f>
        <v/>
      </c>
      <c r="L39" s="170">
        <f t="shared" si="14"/>
        <v>0</v>
      </c>
      <c r="N39" s="112">
        <f>$N$36*'Ordering Period 3'!P38</f>
        <v>0</v>
      </c>
      <c r="O39" s="169" t="str">
        <f>'Ordering Period 3'!AN38</f>
        <v/>
      </c>
      <c r="P39" s="170">
        <f t="shared" si="15"/>
        <v>0</v>
      </c>
      <c r="Q39" s="1"/>
      <c r="R39" s="431"/>
      <c r="S39" s="432"/>
      <c r="T39" s="433">
        <f t="shared" ref="T39:T52" si="16">SUM(R39:S39)</f>
        <v>0</v>
      </c>
      <c r="V39" s="431"/>
      <c r="W39" s="432"/>
      <c r="X39" s="433">
        <f t="shared" ref="X39:X52" si="17">SUM(V39:W39)</f>
        <v>0</v>
      </c>
    </row>
    <row r="40" spans="1:27" s="111" customFormat="1" ht="15.75" thickBot="1" x14ac:dyDescent="0.3">
      <c r="A40" s="543"/>
      <c r="B40" s="239" t="str">
        <f>Totals!B24</f>
        <v>019</v>
      </c>
      <c r="C40" s="163" t="str">
        <f>Totals!C24</f>
        <v xml:space="preserve">Instructor </v>
      </c>
      <c r="D40" s="164" t="str">
        <f>Totals!D24</f>
        <v>OCONUS</v>
      </c>
      <c r="F40" s="265">
        <f>$F$36*'Ordering Period 1'!R39</f>
        <v>0</v>
      </c>
      <c r="G40" s="266" t="str">
        <f>'Ordering Period 1'!AP39</f>
        <v/>
      </c>
      <c r="H40" s="173">
        <f t="shared" si="13"/>
        <v>0</v>
      </c>
      <c r="J40" s="265">
        <f>$J$36*'Ordering Period 2'!P39</f>
        <v>0</v>
      </c>
      <c r="K40" s="266" t="str">
        <f>'Ordering Period 2'!AN39</f>
        <v/>
      </c>
      <c r="L40" s="173">
        <f t="shared" si="14"/>
        <v>0</v>
      </c>
      <c r="N40" s="265">
        <f>$N$36*'Ordering Period 3'!P39</f>
        <v>0</v>
      </c>
      <c r="O40" s="266" t="str">
        <f>'Ordering Period 3'!AN39</f>
        <v/>
      </c>
      <c r="P40" s="173">
        <f t="shared" si="15"/>
        <v>0</v>
      </c>
      <c r="Q40" s="1"/>
      <c r="R40" s="434"/>
      <c r="S40" s="435"/>
      <c r="T40" s="275">
        <f t="shared" si="16"/>
        <v>0</v>
      </c>
      <c r="V40" s="434"/>
      <c r="W40" s="435"/>
      <c r="X40" s="275">
        <f t="shared" si="17"/>
        <v>0</v>
      </c>
    </row>
    <row r="41" spans="1:27" s="111" customFormat="1" x14ac:dyDescent="0.25">
      <c r="A41" s="544" t="s">
        <v>77</v>
      </c>
      <c r="B41" s="236" t="str">
        <f>Totals!B25</f>
        <v>020</v>
      </c>
      <c r="C41" s="110" t="str">
        <f>Totals!C25</f>
        <v>Heavy Equipment Mechanic</v>
      </c>
      <c r="D41" s="117" t="str">
        <f>Totals!D25</f>
        <v>OCONUS</v>
      </c>
      <c r="F41" s="112">
        <f>$F$36*'Ordering Period 1'!R40</f>
        <v>0</v>
      </c>
      <c r="G41" s="169" t="str">
        <f>'Ordering Period 1'!AP40</f>
        <v/>
      </c>
      <c r="H41" s="170">
        <f t="shared" si="13"/>
        <v>0</v>
      </c>
      <c r="J41" s="112">
        <f>$J$36*'Ordering Period 2'!P40</f>
        <v>0</v>
      </c>
      <c r="K41" s="169" t="str">
        <f>'Ordering Period 2'!AN40</f>
        <v/>
      </c>
      <c r="L41" s="170">
        <f t="shared" si="14"/>
        <v>0</v>
      </c>
      <c r="N41" s="112">
        <f>$N$36*'Ordering Period 3'!P40</f>
        <v>0</v>
      </c>
      <c r="O41" s="169" t="str">
        <f>'Ordering Period 3'!AN40</f>
        <v/>
      </c>
      <c r="P41" s="170">
        <f t="shared" si="15"/>
        <v>0</v>
      </c>
      <c r="Q41" s="1"/>
      <c r="R41" s="112">
        <f>$R$36*'Ordering Period 4'!R38</f>
        <v>0</v>
      </c>
      <c r="S41" s="169" t="str">
        <f>'Ordering Period 4'!AP38</f>
        <v/>
      </c>
      <c r="T41" s="170">
        <f t="shared" si="16"/>
        <v>0</v>
      </c>
      <c r="V41" s="112">
        <f>$V$36*'Ordering Period 5'!P38</f>
        <v>0</v>
      </c>
      <c r="W41" s="169" t="str">
        <f>'Ordering Period 5'!AN38</f>
        <v/>
      </c>
      <c r="X41" s="170">
        <f t="shared" si="17"/>
        <v>0</v>
      </c>
    </row>
    <row r="42" spans="1:27" s="111" customFormat="1" x14ac:dyDescent="0.25">
      <c r="A42" s="545"/>
      <c r="B42" s="235" t="str">
        <f>Totals!B26</f>
        <v>021</v>
      </c>
      <c r="C42" s="113" t="str">
        <f>Totals!C26</f>
        <v>Material Handling Specialist</v>
      </c>
      <c r="D42" s="118" t="str">
        <f>Totals!D26</f>
        <v>OCONUS</v>
      </c>
      <c r="F42" s="224">
        <f>$F$36*'Ordering Period 1'!R41</f>
        <v>0</v>
      </c>
      <c r="G42" s="225" t="str">
        <f>'Ordering Period 1'!AP41</f>
        <v/>
      </c>
      <c r="H42" s="171">
        <f t="shared" si="13"/>
        <v>0</v>
      </c>
      <c r="J42" s="224">
        <f>$J$36*'Ordering Period 2'!P41</f>
        <v>0</v>
      </c>
      <c r="K42" s="225" t="str">
        <f>'Ordering Period 2'!AN41</f>
        <v/>
      </c>
      <c r="L42" s="171">
        <f t="shared" si="14"/>
        <v>0</v>
      </c>
      <c r="N42" s="224">
        <f>$N$36*'Ordering Period 3'!P41</f>
        <v>0</v>
      </c>
      <c r="O42" s="225" t="str">
        <f>'Ordering Period 3'!AN41</f>
        <v/>
      </c>
      <c r="P42" s="171">
        <f t="shared" si="15"/>
        <v>0</v>
      </c>
      <c r="Q42" s="1"/>
      <c r="R42" s="436"/>
      <c r="S42" s="437"/>
      <c r="T42" s="274">
        <f t="shared" si="16"/>
        <v>0</v>
      </c>
      <c r="V42" s="436"/>
      <c r="W42" s="437"/>
      <c r="X42" s="274">
        <f t="shared" si="17"/>
        <v>0</v>
      </c>
    </row>
    <row r="43" spans="1:27" s="111" customFormat="1" x14ac:dyDescent="0.25">
      <c r="A43" s="545"/>
      <c r="B43" s="235" t="str">
        <f>Totals!B27</f>
        <v>022</v>
      </c>
      <c r="C43" s="113" t="str">
        <f>Totals!C27</f>
        <v>Quality Assurance</v>
      </c>
      <c r="D43" s="118" t="str">
        <f>Totals!D27</f>
        <v>OCONUS</v>
      </c>
      <c r="F43" s="224">
        <f>$F$36*'Ordering Period 1'!R42</f>
        <v>0</v>
      </c>
      <c r="G43" s="225" t="str">
        <f>'Ordering Period 1'!AP42</f>
        <v/>
      </c>
      <c r="H43" s="171">
        <f t="shared" si="13"/>
        <v>0</v>
      </c>
      <c r="J43" s="224">
        <f>$J$36*'Ordering Period 2'!P42</f>
        <v>0</v>
      </c>
      <c r="K43" s="225" t="str">
        <f>'Ordering Period 2'!AN42</f>
        <v/>
      </c>
      <c r="L43" s="171">
        <f t="shared" si="14"/>
        <v>0</v>
      </c>
      <c r="N43" s="224">
        <f>$N$36*'Ordering Period 3'!P42</f>
        <v>0</v>
      </c>
      <c r="O43" s="225" t="str">
        <f>'Ordering Period 3'!AN42</f>
        <v/>
      </c>
      <c r="P43" s="171">
        <f t="shared" si="15"/>
        <v>0</v>
      </c>
      <c r="Q43" s="1"/>
      <c r="R43" s="436"/>
      <c r="S43" s="437"/>
      <c r="T43" s="274">
        <f t="shared" si="16"/>
        <v>0</v>
      </c>
      <c r="V43" s="436"/>
      <c r="W43" s="437"/>
      <c r="X43" s="274">
        <f t="shared" si="17"/>
        <v>0</v>
      </c>
    </row>
    <row r="44" spans="1:27" ht="15.75" thickBot="1" x14ac:dyDescent="0.3">
      <c r="A44" s="546"/>
      <c r="B44" s="239" t="str">
        <f>Totals!B28</f>
        <v>023</v>
      </c>
      <c r="C44" s="163" t="str">
        <f>Totals!C28</f>
        <v>Supply/Procurement Specialist</v>
      </c>
      <c r="D44" s="164" t="str">
        <f>Totals!D28</f>
        <v>OCONUS</v>
      </c>
      <c r="E44" s="111"/>
      <c r="F44" s="265">
        <f>$F$36*'Ordering Period 1'!R43</f>
        <v>0</v>
      </c>
      <c r="G44" s="266" t="str">
        <f>'Ordering Period 1'!AP43</f>
        <v/>
      </c>
      <c r="H44" s="173">
        <f t="shared" ref="H44" si="18">SUM(F44:G44)</f>
        <v>0</v>
      </c>
      <c r="I44" s="111"/>
      <c r="J44" s="265">
        <f>$J$36*'Ordering Period 2'!P43</f>
        <v>0</v>
      </c>
      <c r="K44" s="266" t="str">
        <f>'Ordering Period 2'!AN43</f>
        <v/>
      </c>
      <c r="L44" s="173">
        <f t="shared" ref="L44" si="19">SUM(J44:K44)</f>
        <v>0</v>
      </c>
      <c r="M44" s="111"/>
      <c r="N44" s="265">
        <f>$N$36*'Ordering Period 3'!P43</f>
        <v>0</v>
      </c>
      <c r="O44" s="266" t="str">
        <f>'Ordering Period 3'!AN43</f>
        <v/>
      </c>
      <c r="P44" s="173">
        <f t="shared" ref="P44" si="20">SUM(N44:O44)</f>
        <v>0</v>
      </c>
      <c r="Q44" s="1"/>
      <c r="R44" s="434"/>
      <c r="S44" s="435"/>
      <c r="T44" s="275">
        <f t="shared" si="16"/>
        <v>0</v>
      </c>
      <c r="U44" s="111"/>
      <c r="V44" s="434"/>
      <c r="W44" s="435"/>
      <c r="X44" s="275">
        <f t="shared" si="17"/>
        <v>0</v>
      </c>
    </row>
    <row r="45" spans="1:27" ht="15.75" thickBot="1" x14ac:dyDescent="0.3">
      <c r="A45" s="414" t="s">
        <v>73</v>
      </c>
      <c r="B45" s="415" t="str">
        <f>Totals!B29</f>
        <v>024</v>
      </c>
      <c r="C45" s="426" t="str">
        <f>Totals!C29</f>
        <v>Field Service Representative</v>
      </c>
      <c r="D45" s="427" t="str">
        <f>Totals!D29</f>
        <v>OCONUS - IRAQ</v>
      </c>
      <c r="E45" s="111"/>
      <c r="F45" s="428"/>
      <c r="G45" s="429"/>
      <c r="H45" s="430"/>
      <c r="I45" s="111"/>
      <c r="J45" s="428"/>
      <c r="K45" s="429"/>
      <c r="L45" s="430"/>
      <c r="M45" s="111"/>
      <c r="N45" s="428"/>
      <c r="O45" s="429"/>
      <c r="P45" s="430"/>
      <c r="Q45" s="1"/>
      <c r="R45" s="419">
        <f>$R$36*'Ordering Period 4'!R39</f>
        <v>0</v>
      </c>
      <c r="S45" s="420" t="str">
        <f>'Ordering Period 4'!AP39</f>
        <v/>
      </c>
      <c r="T45" s="421">
        <f t="shared" si="16"/>
        <v>0</v>
      </c>
      <c r="U45" s="111"/>
      <c r="V45" s="419">
        <f>$V$36*'Ordering Period 5'!P39</f>
        <v>0</v>
      </c>
      <c r="W45" s="420" t="str">
        <f>'Ordering Period 5'!AN39</f>
        <v/>
      </c>
      <c r="X45" s="421">
        <f t="shared" si="17"/>
        <v>0</v>
      </c>
    </row>
    <row r="46" spans="1:27" ht="15.75" thickBot="1" x14ac:dyDescent="0.3">
      <c r="A46" s="414" t="s">
        <v>74</v>
      </c>
      <c r="B46" s="415" t="str">
        <f>Totals!B30</f>
        <v>025</v>
      </c>
      <c r="C46" s="426" t="str">
        <f>Totals!C30</f>
        <v>Heavy Equipment Mechanic</v>
      </c>
      <c r="D46" s="427" t="str">
        <f>Totals!D30</f>
        <v>OCONUS - IRAQ</v>
      </c>
      <c r="E46" s="111"/>
      <c r="F46" s="428"/>
      <c r="G46" s="429"/>
      <c r="H46" s="430"/>
      <c r="I46" s="111"/>
      <c r="J46" s="428"/>
      <c r="K46" s="429"/>
      <c r="L46" s="430"/>
      <c r="M46" s="111"/>
      <c r="N46" s="428"/>
      <c r="O46" s="429"/>
      <c r="P46" s="430"/>
      <c r="Q46" s="1"/>
      <c r="R46" s="419">
        <f>$R$36*'Ordering Period 4'!R40</f>
        <v>0</v>
      </c>
      <c r="S46" s="420" t="str">
        <f>'Ordering Period 4'!AP40</f>
        <v/>
      </c>
      <c r="T46" s="421">
        <f t="shared" si="16"/>
        <v>0</v>
      </c>
      <c r="U46" s="111"/>
      <c r="V46" s="419">
        <f>$V$36*'Ordering Period 5'!P40</f>
        <v>0</v>
      </c>
      <c r="W46" s="420" t="str">
        <f>'Ordering Period 5'!AN40</f>
        <v/>
      </c>
      <c r="X46" s="421">
        <f t="shared" si="17"/>
        <v>0</v>
      </c>
    </row>
    <row r="47" spans="1:27" x14ac:dyDescent="0.25">
      <c r="A47" s="544" t="s">
        <v>76</v>
      </c>
      <c r="B47" s="236" t="str">
        <f>Totals!B31</f>
        <v>026</v>
      </c>
      <c r="C47" s="110" t="str">
        <f>Totals!C31</f>
        <v>Instructor Supervisor</v>
      </c>
      <c r="D47" s="117" t="str">
        <f>Totals!D31</f>
        <v>OCONUS - IRAQ</v>
      </c>
      <c r="E47" s="111"/>
      <c r="F47" s="431"/>
      <c r="G47" s="432"/>
      <c r="H47" s="433"/>
      <c r="I47" s="111"/>
      <c r="J47" s="431"/>
      <c r="K47" s="432"/>
      <c r="L47" s="433"/>
      <c r="M47" s="111"/>
      <c r="N47" s="431"/>
      <c r="O47" s="432"/>
      <c r="P47" s="433"/>
      <c r="Q47" s="1"/>
      <c r="R47" s="112">
        <f>$R$36*'Ordering Period 4'!R41</f>
        <v>0</v>
      </c>
      <c r="S47" s="169" t="str">
        <f>'Ordering Period 4'!AP41</f>
        <v/>
      </c>
      <c r="T47" s="170">
        <f t="shared" si="16"/>
        <v>0</v>
      </c>
      <c r="U47" s="111"/>
      <c r="V47" s="112">
        <f>$V$36*'Ordering Period 5'!P41</f>
        <v>0</v>
      </c>
      <c r="W47" s="169" t="str">
        <f>'Ordering Period 5'!AN41</f>
        <v/>
      </c>
      <c r="X47" s="170">
        <f t="shared" si="17"/>
        <v>0</v>
      </c>
    </row>
    <row r="48" spans="1:27" ht="15.75" thickBot="1" x14ac:dyDescent="0.3">
      <c r="A48" s="547"/>
      <c r="B48" s="239" t="str">
        <f>Totals!B32</f>
        <v>027</v>
      </c>
      <c r="C48" s="163" t="str">
        <f>Totals!C32</f>
        <v xml:space="preserve">Instructor </v>
      </c>
      <c r="D48" s="164" t="str">
        <f>Totals!D32</f>
        <v>OCONUS - IRAQ</v>
      </c>
      <c r="E48" s="111"/>
      <c r="F48" s="434"/>
      <c r="G48" s="435"/>
      <c r="H48" s="275"/>
      <c r="I48" s="111"/>
      <c r="J48" s="434"/>
      <c r="K48" s="435"/>
      <c r="L48" s="275"/>
      <c r="M48" s="111"/>
      <c r="N48" s="434"/>
      <c r="O48" s="435"/>
      <c r="P48" s="275"/>
      <c r="Q48" s="1"/>
      <c r="R48" s="265">
        <f>$R$36*'Ordering Period 4'!R42</f>
        <v>0</v>
      </c>
      <c r="S48" s="266" t="str">
        <f>'Ordering Period 4'!AP42</f>
        <v/>
      </c>
      <c r="T48" s="173">
        <f t="shared" si="16"/>
        <v>0</v>
      </c>
      <c r="U48" s="111"/>
      <c r="V48" s="265">
        <f>$V$36*'Ordering Period 5'!P42</f>
        <v>0</v>
      </c>
      <c r="W48" s="266" t="str">
        <f>'Ordering Period 5'!AN42</f>
        <v/>
      </c>
      <c r="X48" s="173">
        <f t="shared" si="17"/>
        <v>0</v>
      </c>
    </row>
    <row r="49" spans="1:24" x14ac:dyDescent="0.25">
      <c r="A49" s="544" t="s">
        <v>77</v>
      </c>
      <c r="B49" s="236" t="str">
        <f>Totals!B33</f>
        <v>028</v>
      </c>
      <c r="C49" s="110" t="str">
        <f>Totals!C33</f>
        <v>Heavy Equipment Mechanic</v>
      </c>
      <c r="D49" s="117" t="str">
        <f>Totals!D33</f>
        <v>OCONUS - IRAQ</v>
      </c>
      <c r="E49" s="111"/>
      <c r="F49" s="431"/>
      <c r="G49" s="432"/>
      <c r="H49" s="433"/>
      <c r="I49" s="111"/>
      <c r="J49" s="431"/>
      <c r="K49" s="432"/>
      <c r="L49" s="433"/>
      <c r="M49" s="111"/>
      <c r="N49" s="431"/>
      <c r="O49" s="432"/>
      <c r="P49" s="433"/>
      <c r="Q49" s="1"/>
      <c r="R49" s="112">
        <f>$R$36*'Ordering Period 4'!R43</f>
        <v>0</v>
      </c>
      <c r="S49" s="169" t="str">
        <f>'Ordering Period 4'!AP43</f>
        <v/>
      </c>
      <c r="T49" s="170">
        <f t="shared" si="16"/>
        <v>0</v>
      </c>
      <c r="U49" s="111"/>
      <c r="V49" s="112">
        <f>$V$36*'Ordering Period 5'!P43</f>
        <v>0</v>
      </c>
      <c r="W49" s="169" t="str">
        <f>'Ordering Period 5'!AN43</f>
        <v/>
      </c>
      <c r="X49" s="170">
        <f t="shared" si="17"/>
        <v>0</v>
      </c>
    </row>
    <row r="50" spans="1:24" x14ac:dyDescent="0.25">
      <c r="A50" s="545"/>
      <c r="B50" s="235" t="str">
        <f>Totals!B34</f>
        <v>029</v>
      </c>
      <c r="C50" s="113" t="str">
        <f>Totals!C34</f>
        <v>Material Handling Specialist</v>
      </c>
      <c r="D50" s="118" t="str">
        <f>Totals!D34</f>
        <v>OCONUS - IRAQ</v>
      </c>
      <c r="E50" s="111"/>
      <c r="F50" s="436"/>
      <c r="G50" s="437"/>
      <c r="H50" s="274"/>
      <c r="I50" s="111"/>
      <c r="J50" s="436"/>
      <c r="K50" s="437"/>
      <c r="L50" s="274"/>
      <c r="M50" s="111"/>
      <c r="N50" s="436"/>
      <c r="O50" s="437"/>
      <c r="P50" s="274"/>
      <c r="Q50" s="1"/>
      <c r="R50" s="224">
        <f>$R$36*'Ordering Period 4'!R44</f>
        <v>0</v>
      </c>
      <c r="S50" s="225" t="str">
        <f>'Ordering Period 4'!AP44</f>
        <v/>
      </c>
      <c r="T50" s="171">
        <f t="shared" si="16"/>
        <v>0</v>
      </c>
      <c r="U50" s="111"/>
      <c r="V50" s="224">
        <f>$V$36*'Ordering Period 5'!P44</f>
        <v>0</v>
      </c>
      <c r="W50" s="225" t="str">
        <f>'Ordering Period 5'!AN44</f>
        <v/>
      </c>
      <c r="X50" s="171">
        <f t="shared" si="17"/>
        <v>0</v>
      </c>
    </row>
    <row r="51" spans="1:24" x14ac:dyDescent="0.25">
      <c r="A51" s="545"/>
      <c r="B51" s="235" t="str">
        <f>Totals!B35</f>
        <v>030</v>
      </c>
      <c r="C51" s="113" t="str">
        <f>Totals!C35</f>
        <v>Quality Assurance</v>
      </c>
      <c r="D51" s="118" t="str">
        <f>Totals!D35</f>
        <v>OCONUS - IRAQ</v>
      </c>
      <c r="E51" s="111"/>
      <c r="F51" s="436"/>
      <c r="G51" s="437"/>
      <c r="H51" s="274"/>
      <c r="I51" s="111"/>
      <c r="J51" s="436"/>
      <c r="K51" s="437"/>
      <c r="L51" s="274"/>
      <c r="M51" s="111"/>
      <c r="N51" s="436"/>
      <c r="O51" s="437"/>
      <c r="P51" s="274"/>
      <c r="Q51" s="1"/>
      <c r="R51" s="224">
        <f>$R$36*'Ordering Period 4'!R45</f>
        <v>0</v>
      </c>
      <c r="S51" s="225" t="str">
        <f>'Ordering Period 4'!AP45</f>
        <v/>
      </c>
      <c r="T51" s="171">
        <f t="shared" si="16"/>
        <v>0</v>
      </c>
      <c r="V51" s="224">
        <f>$V$36*'Ordering Period 5'!P45</f>
        <v>0</v>
      </c>
      <c r="W51" s="225" t="str">
        <f>'Ordering Period 5'!AN45</f>
        <v/>
      </c>
      <c r="X51" s="171">
        <f t="shared" si="17"/>
        <v>0</v>
      </c>
    </row>
    <row r="52" spans="1:24" ht="15.75" thickBot="1" x14ac:dyDescent="0.3">
      <c r="A52" s="546"/>
      <c r="B52" s="239" t="str">
        <f>Totals!B36</f>
        <v>031</v>
      </c>
      <c r="C52" s="163" t="str">
        <f>Totals!C36</f>
        <v>Supply/Procurement Specialist</v>
      </c>
      <c r="D52" s="164" t="str">
        <f>Totals!D36</f>
        <v>OCONUS - IRAQ</v>
      </c>
      <c r="E52" s="111"/>
      <c r="F52" s="434"/>
      <c r="G52" s="435"/>
      <c r="H52" s="275"/>
      <c r="I52" s="111"/>
      <c r="J52" s="434"/>
      <c r="K52" s="435"/>
      <c r="L52" s="275"/>
      <c r="M52" s="111"/>
      <c r="N52" s="434"/>
      <c r="O52" s="435"/>
      <c r="P52" s="275"/>
      <c r="Q52" s="1"/>
      <c r="R52" s="265">
        <f>$R$36*'Ordering Period 4'!R46</f>
        <v>0</v>
      </c>
      <c r="S52" s="266" t="str">
        <f>'Ordering Period 4'!AP46</f>
        <v/>
      </c>
      <c r="T52" s="173">
        <f t="shared" si="16"/>
        <v>0</v>
      </c>
      <c r="V52" s="265">
        <f>$V$36*'Ordering Period 5'!P46</f>
        <v>0</v>
      </c>
      <c r="W52" s="266" t="str">
        <f>'Ordering Period 5'!AN46</f>
        <v/>
      </c>
      <c r="X52" s="173">
        <f t="shared" si="17"/>
        <v>0</v>
      </c>
    </row>
  </sheetData>
  <sheetProtection algorithmName="SHA-512" hashValue="yuPXiB4SkBMXObDTROR1PQonz6zFNH/qcxILSb3PYNrmlgfLMFBlV9ijzJ9fYUAiYOuJxBy0pMrNnee4/aPTCw==" saltValue="0zY4lildNKLBrZ2T9gXxwA==" spinCount="100000" sheet="1" objects="1" scenarios="1"/>
  <mergeCells count="24">
    <mergeCell ref="A49:A52"/>
    <mergeCell ref="A29:A30"/>
    <mergeCell ref="A31:A35"/>
    <mergeCell ref="A39:A40"/>
    <mergeCell ref="A41:A44"/>
    <mergeCell ref="A47:A48"/>
    <mergeCell ref="A2:A4"/>
    <mergeCell ref="A9:A13"/>
    <mergeCell ref="A14:A15"/>
    <mergeCell ref="A16:A20"/>
    <mergeCell ref="A24:A28"/>
    <mergeCell ref="B2:B4"/>
    <mergeCell ref="C2:C4"/>
    <mergeCell ref="D2:D4"/>
    <mergeCell ref="F2:H2"/>
    <mergeCell ref="J2:L2"/>
    <mergeCell ref="R2:T2"/>
    <mergeCell ref="V2:X2"/>
    <mergeCell ref="F3:H3"/>
    <mergeCell ref="J3:L3"/>
    <mergeCell ref="N3:P3"/>
    <mergeCell ref="R3:T3"/>
    <mergeCell ref="V3:X3"/>
    <mergeCell ref="N2:P2"/>
  </mergeCells>
  <pageMargins left="0.7" right="0.7" top="0.75" bottom="0.75" header="0.3" footer="0.3"/>
  <pageSetup orientation="portrait" verticalDpi="597"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D1CC2-5E27-4087-838F-763A0B661A95}">
  <dimension ref="A1:AA52"/>
  <sheetViews>
    <sheetView showGridLines="0" zoomScaleNormal="100" workbookViewId="0">
      <pane xSplit="4" topLeftCell="E1" activePane="topRight" state="frozen"/>
      <selection pane="topRight"/>
    </sheetView>
  </sheetViews>
  <sheetFormatPr defaultRowHeight="15" x14ac:dyDescent="0.25"/>
  <cols>
    <col min="1" max="1" width="33.7109375" style="9" customWidth="1"/>
    <col min="2" max="2" width="5.7109375" style="9" customWidth="1"/>
    <col min="3" max="3" width="33.7109375" style="9" customWidth="1"/>
    <col min="4" max="4" width="18.7109375" style="116" customWidth="1"/>
    <col min="5" max="5" width="1.7109375" customWidth="1"/>
    <col min="6" max="8" width="15.7109375" customWidth="1"/>
    <col min="9" max="9" width="1.7109375" customWidth="1"/>
    <col min="10" max="12" width="15.7109375" customWidth="1"/>
    <col min="13" max="13" width="1.7109375" customWidth="1"/>
    <col min="14" max="16" width="15.7109375" customWidth="1"/>
    <col min="17" max="17" width="1.7109375" customWidth="1"/>
    <col min="18" max="20" width="15.7109375" customWidth="1"/>
    <col min="21" max="21" width="1.7109375" customWidth="1"/>
    <col min="22" max="24" width="15.7109375" customWidth="1"/>
  </cols>
  <sheetData>
    <row r="1" spans="1:27" ht="24" thickBot="1" x14ac:dyDescent="0.4">
      <c r="B1" s="115"/>
      <c r="F1" s="258" t="s">
        <v>238</v>
      </c>
      <c r="G1" s="259"/>
      <c r="H1" s="260"/>
      <c r="I1" s="261"/>
      <c r="J1" s="261"/>
      <c r="K1" s="261"/>
      <c r="L1" s="261"/>
      <c r="M1" s="261"/>
      <c r="N1" s="261"/>
      <c r="O1" s="261"/>
      <c r="P1" s="261"/>
      <c r="Q1" s="261"/>
      <c r="R1" s="261"/>
      <c r="S1" s="261"/>
      <c r="T1" s="261"/>
      <c r="U1" s="261"/>
      <c r="V1" s="261"/>
      <c r="W1" s="261"/>
      <c r="X1" s="262"/>
    </row>
    <row r="2" spans="1:27" x14ac:dyDescent="0.25">
      <c r="A2" s="538" t="s">
        <v>65</v>
      </c>
      <c r="B2" s="538" t="s">
        <v>66</v>
      </c>
      <c r="C2" s="538" t="s">
        <v>67</v>
      </c>
      <c r="D2" s="538" t="s">
        <v>82</v>
      </c>
      <c r="E2" s="9"/>
      <c r="F2" s="548" t="s">
        <v>83</v>
      </c>
      <c r="G2" s="549"/>
      <c r="H2" s="550"/>
      <c r="J2" s="548" t="s">
        <v>84</v>
      </c>
      <c r="K2" s="549"/>
      <c r="L2" s="550"/>
      <c r="N2" s="548" t="s">
        <v>85</v>
      </c>
      <c r="O2" s="549"/>
      <c r="P2" s="550"/>
      <c r="R2" s="548" t="s">
        <v>86</v>
      </c>
      <c r="S2" s="549"/>
      <c r="T2" s="550"/>
      <c r="V2" s="548" t="s">
        <v>87</v>
      </c>
      <c r="W2" s="549"/>
      <c r="X2" s="550"/>
    </row>
    <row r="3" spans="1:27" x14ac:dyDescent="0.25">
      <c r="A3" s="539"/>
      <c r="B3" s="539"/>
      <c r="C3" s="539"/>
      <c r="D3" s="539"/>
      <c r="F3" s="551" t="s">
        <v>233</v>
      </c>
      <c r="G3" s="552"/>
      <c r="H3" s="553"/>
      <c r="J3" s="551" t="s">
        <v>233</v>
      </c>
      <c r="K3" s="552"/>
      <c r="L3" s="553"/>
      <c r="N3" s="551" t="s">
        <v>233</v>
      </c>
      <c r="O3" s="552"/>
      <c r="P3" s="553"/>
      <c r="R3" s="551" t="s">
        <v>233</v>
      </c>
      <c r="S3" s="552"/>
      <c r="T3" s="553"/>
      <c r="V3" s="551" t="s">
        <v>233</v>
      </c>
      <c r="W3" s="552"/>
      <c r="X3" s="553"/>
    </row>
    <row r="4" spans="1:27" ht="30.75" thickBot="1" x14ac:dyDescent="0.3">
      <c r="A4" s="540"/>
      <c r="B4" s="540"/>
      <c r="C4" s="540"/>
      <c r="D4" s="540"/>
      <c r="F4" s="249" t="s">
        <v>236</v>
      </c>
      <c r="G4" s="250" t="s">
        <v>234</v>
      </c>
      <c r="H4" s="251" t="s">
        <v>237</v>
      </c>
      <c r="J4" s="249" t="s">
        <v>236</v>
      </c>
      <c r="K4" s="250" t="s">
        <v>234</v>
      </c>
      <c r="L4" s="251" t="s">
        <v>237</v>
      </c>
      <c r="N4" s="249" t="s">
        <v>236</v>
      </c>
      <c r="O4" s="250" t="s">
        <v>234</v>
      </c>
      <c r="P4" s="251" t="s">
        <v>237</v>
      </c>
      <c r="R4" s="249" t="s">
        <v>236</v>
      </c>
      <c r="S4" s="250" t="s">
        <v>234</v>
      </c>
      <c r="T4" s="251" t="s">
        <v>237</v>
      </c>
      <c r="V4" s="249" t="s">
        <v>236</v>
      </c>
      <c r="W4" s="250" t="s">
        <v>234</v>
      </c>
      <c r="X4" s="251" t="s">
        <v>237</v>
      </c>
      <c r="Y4" s="106"/>
      <c r="Z4" s="106"/>
      <c r="AA4" s="106"/>
    </row>
    <row r="5" spans="1:27" ht="15.75" thickBot="1" x14ac:dyDescent="0.3">
      <c r="A5" s="422" t="s">
        <v>91</v>
      </c>
      <c r="B5" s="423"/>
      <c r="C5" s="424"/>
      <c r="D5" s="425"/>
      <c r="E5" s="220"/>
      <c r="F5" s="263">
        <v>1.1000000000000001</v>
      </c>
      <c r="G5" s="248"/>
      <c r="H5" s="252"/>
      <c r="I5" s="220"/>
      <c r="J5" s="263">
        <v>1.1000000000000001</v>
      </c>
      <c r="K5" s="222"/>
      <c r="L5" s="223"/>
      <c r="M5" s="220"/>
      <c r="N5" s="263">
        <v>1.1000000000000001</v>
      </c>
      <c r="O5" s="222"/>
      <c r="P5" s="223"/>
      <c r="Q5" s="220"/>
      <c r="R5" s="263">
        <v>1.1000000000000001</v>
      </c>
      <c r="S5" s="222"/>
      <c r="T5" s="223"/>
      <c r="U5" s="220"/>
      <c r="V5" s="263">
        <v>1.1000000000000001</v>
      </c>
      <c r="W5" s="222"/>
      <c r="X5" s="223"/>
      <c r="Y5" s="106"/>
      <c r="Z5" s="106"/>
      <c r="AA5" s="106"/>
    </row>
    <row r="6" spans="1:27" s="111" customFormat="1" ht="15.75" thickBot="1" x14ac:dyDescent="0.3">
      <c r="A6" s="414" t="s">
        <v>72</v>
      </c>
      <c r="B6" s="415" t="str">
        <f>Totals!B6</f>
        <v>001</v>
      </c>
      <c r="C6" s="415" t="str">
        <f>Totals!C6</f>
        <v>Project Management Specialist</v>
      </c>
      <c r="D6" s="416" t="str">
        <f>Totals!D6</f>
        <v>CONUS</v>
      </c>
      <c r="F6" s="419">
        <f>$F$5*'Ordering Period 1'!AE5</f>
        <v>0</v>
      </c>
      <c r="G6" s="420" t="str">
        <f>'Ordering Period 1'!AP5</f>
        <v/>
      </c>
      <c r="H6" s="421">
        <f t="shared" ref="H6:H20" si="0">SUM(F6:G6)</f>
        <v>0</v>
      </c>
      <c r="J6" s="419">
        <f>$J$5*'Ordering Period 2'!AC5</f>
        <v>0</v>
      </c>
      <c r="K6" s="420" t="str">
        <f>'Ordering Period 2'!AN5</f>
        <v/>
      </c>
      <c r="L6" s="421">
        <f>SUM(J6:K6)</f>
        <v>0</v>
      </c>
      <c r="N6" s="419">
        <f>$N$5*'Ordering Period 3'!AC5</f>
        <v>0</v>
      </c>
      <c r="O6" s="420" t="str">
        <f>'Ordering Period 3'!AN5</f>
        <v/>
      </c>
      <c r="P6" s="421">
        <f t="shared" ref="P6:P20" si="1">SUM(N6:O6)</f>
        <v>0</v>
      </c>
      <c r="Q6" s="1"/>
      <c r="R6" s="419">
        <f>$R$5*'Ordering Period 4'!AE5</f>
        <v>0</v>
      </c>
      <c r="S6" s="420" t="str">
        <f>'Ordering Period 4'!AP5</f>
        <v/>
      </c>
      <c r="T6" s="421">
        <f t="shared" ref="T6:T20" si="2">SUM(R6:S6)</f>
        <v>0</v>
      </c>
      <c r="V6" s="419">
        <f>$V$5*'Ordering Period 5'!AC5</f>
        <v>0</v>
      </c>
      <c r="W6" s="420" t="str">
        <f>'Ordering Period 5'!AN5</f>
        <v/>
      </c>
      <c r="X6" s="421">
        <f t="shared" ref="X6:X20" si="3">SUM(V6:W6)</f>
        <v>0</v>
      </c>
    </row>
    <row r="7" spans="1:27" s="111" customFormat="1" ht="15.75" thickBot="1" x14ac:dyDescent="0.3">
      <c r="A7" s="414" t="s">
        <v>73</v>
      </c>
      <c r="B7" s="415" t="str">
        <f>Totals!B7</f>
        <v>002</v>
      </c>
      <c r="C7" s="415" t="str">
        <f>Totals!C7</f>
        <v>Field Service Representative</v>
      </c>
      <c r="D7" s="416" t="str">
        <f>Totals!D7</f>
        <v>CONUS</v>
      </c>
      <c r="F7" s="419">
        <f>$F$5*'Ordering Period 1'!AE6</f>
        <v>0</v>
      </c>
      <c r="G7" s="420" t="str">
        <f>'Ordering Period 1'!AP6</f>
        <v/>
      </c>
      <c r="H7" s="421">
        <f t="shared" si="0"/>
        <v>0</v>
      </c>
      <c r="J7" s="419">
        <f>$J$5*'Ordering Period 2'!AC6</f>
        <v>0</v>
      </c>
      <c r="K7" s="420" t="str">
        <f>'Ordering Period 2'!AN6</f>
        <v/>
      </c>
      <c r="L7" s="421">
        <f>SUM(J7:K7)</f>
        <v>0</v>
      </c>
      <c r="N7" s="419">
        <f>$N$5*'Ordering Period 3'!AC6</f>
        <v>0</v>
      </c>
      <c r="O7" s="420" t="str">
        <f>'Ordering Period 3'!AN6</f>
        <v/>
      </c>
      <c r="P7" s="421">
        <f t="shared" si="1"/>
        <v>0</v>
      </c>
      <c r="Q7" s="1"/>
      <c r="R7" s="419">
        <f>$R$5*'Ordering Period 4'!AE6</f>
        <v>0</v>
      </c>
      <c r="S7" s="420" t="str">
        <f>'Ordering Period 4'!AP6</f>
        <v/>
      </c>
      <c r="T7" s="421">
        <f t="shared" si="2"/>
        <v>0</v>
      </c>
      <c r="V7" s="419">
        <f>$V$5*'Ordering Period 5'!AC6</f>
        <v>0</v>
      </c>
      <c r="W7" s="420" t="str">
        <f>'Ordering Period 5'!AN6</f>
        <v/>
      </c>
      <c r="X7" s="421">
        <f t="shared" si="3"/>
        <v>0</v>
      </c>
    </row>
    <row r="8" spans="1:27" s="111" customFormat="1" ht="15.75" thickBot="1" x14ac:dyDescent="0.3">
      <c r="A8" s="414" t="s">
        <v>74</v>
      </c>
      <c r="B8" s="415" t="str">
        <f>Totals!B8</f>
        <v>003</v>
      </c>
      <c r="C8" s="415" t="str">
        <f>Totals!C8</f>
        <v>Heavy Equipment Mechanic</v>
      </c>
      <c r="D8" s="416" t="str">
        <f>Totals!D8</f>
        <v>CONUS</v>
      </c>
      <c r="F8" s="419">
        <f>$F$5*'Ordering Period 1'!AE7</f>
        <v>0</v>
      </c>
      <c r="G8" s="420" t="str">
        <f>'Ordering Period 1'!AP7</f>
        <v/>
      </c>
      <c r="H8" s="421">
        <f t="shared" si="0"/>
        <v>0</v>
      </c>
      <c r="J8" s="419">
        <f>$J$5*'Ordering Period 2'!AC7</f>
        <v>0</v>
      </c>
      <c r="K8" s="420" t="str">
        <f>'Ordering Period 2'!AN7</f>
        <v/>
      </c>
      <c r="L8" s="421">
        <f t="shared" ref="L8:L20" si="4">SUM(J8:K8)</f>
        <v>0</v>
      </c>
      <c r="N8" s="419">
        <f>$N$5*'Ordering Period 3'!AC7</f>
        <v>0</v>
      </c>
      <c r="O8" s="420" t="str">
        <f>'Ordering Period 3'!AN7</f>
        <v/>
      </c>
      <c r="P8" s="421">
        <f t="shared" si="1"/>
        <v>0</v>
      </c>
      <c r="Q8" s="1"/>
      <c r="R8" s="419">
        <f>$R$5*'Ordering Period 4'!AE7</f>
        <v>0</v>
      </c>
      <c r="S8" s="420" t="str">
        <f>'Ordering Period 4'!AP7</f>
        <v/>
      </c>
      <c r="T8" s="421">
        <f t="shared" si="2"/>
        <v>0</v>
      </c>
      <c r="V8" s="419">
        <f>$V$5*'Ordering Period 5'!AC7</f>
        <v>0</v>
      </c>
      <c r="W8" s="420" t="str">
        <f>'Ordering Period 5'!AN7</f>
        <v/>
      </c>
      <c r="X8" s="421">
        <f t="shared" si="3"/>
        <v>0</v>
      </c>
    </row>
    <row r="9" spans="1:27" s="111" customFormat="1" x14ac:dyDescent="0.25">
      <c r="A9" s="541" t="s">
        <v>75</v>
      </c>
      <c r="B9" s="236" t="str">
        <f>Totals!B9</f>
        <v>004</v>
      </c>
      <c r="C9" s="236" t="str">
        <f>Totals!C9</f>
        <v>Field Service Representative</v>
      </c>
      <c r="D9" s="237" t="str">
        <f>Totals!D9</f>
        <v>CONUS</v>
      </c>
      <c r="F9" s="112">
        <f>$F$5*'Ordering Period 1'!AE8</f>
        <v>0</v>
      </c>
      <c r="G9" s="169" t="str">
        <f>'Ordering Period 1'!AP8</f>
        <v/>
      </c>
      <c r="H9" s="170">
        <f t="shared" si="0"/>
        <v>0</v>
      </c>
      <c r="J9" s="112">
        <f>$J$5*'Ordering Period 2'!AC8</f>
        <v>0</v>
      </c>
      <c r="K9" s="169" t="str">
        <f>'Ordering Period 2'!AN8</f>
        <v/>
      </c>
      <c r="L9" s="170">
        <f t="shared" si="4"/>
        <v>0</v>
      </c>
      <c r="N9" s="112">
        <f>$N$5*'Ordering Period 3'!AC8</f>
        <v>0</v>
      </c>
      <c r="O9" s="169" t="str">
        <f>'Ordering Period 3'!AN8</f>
        <v/>
      </c>
      <c r="P9" s="170">
        <f t="shared" si="1"/>
        <v>0</v>
      </c>
      <c r="Q9" s="1"/>
      <c r="R9" s="112">
        <f>$R$5*'Ordering Period 4'!AE8</f>
        <v>0</v>
      </c>
      <c r="S9" s="169" t="str">
        <f>'Ordering Period 4'!AP8</f>
        <v/>
      </c>
      <c r="T9" s="170">
        <f t="shared" si="2"/>
        <v>0</v>
      </c>
      <c r="V9" s="112">
        <f>$V$5*'Ordering Period 5'!AC8</f>
        <v>0</v>
      </c>
      <c r="W9" s="169" t="str">
        <f>'Ordering Period 5'!AN8</f>
        <v/>
      </c>
      <c r="X9" s="170">
        <f t="shared" si="3"/>
        <v>0</v>
      </c>
    </row>
    <row r="10" spans="1:27" s="111" customFormat="1" x14ac:dyDescent="0.25">
      <c r="A10" s="542"/>
      <c r="B10" s="235" t="str">
        <f>Totals!B10</f>
        <v>005</v>
      </c>
      <c r="C10" s="235" t="str">
        <f>Totals!C10</f>
        <v>Modified Work Orders (MWO)</v>
      </c>
      <c r="D10" s="238" t="str">
        <f>Totals!D10</f>
        <v>CONUS</v>
      </c>
      <c r="F10" s="114">
        <f>$F$5*'Ordering Period 1'!AE9</f>
        <v>0</v>
      </c>
      <c r="G10" s="168" t="str">
        <f>'Ordering Period 1'!AP9</f>
        <v/>
      </c>
      <c r="H10" s="171">
        <f t="shared" si="0"/>
        <v>0</v>
      </c>
      <c r="J10" s="114">
        <f>$J$5*'Ordering Period 2'!AC9</f>
        <v>0</v>
      </c>
      <c r="K10" s="168" t="str">
        <f>'Ordering Period 2'!AN9</f>
        <v/>
      </c>
      <c r="L10" s="171">
        <f t="shared" si="4"/>
        <v>0</v>
      </c>
      <c r="N10" s="114">
        <f>$N$5*'Ordering Period 3'!AC9</f>
        <v>0</v>
      </c>
      <c r="O10" s="168" t="str">
        <f>'Ordering Period 3'!AN9</f>
        <v/>
      </c>
      <c r="P10" s="171">
        <f t="shared" si="1"/>
        <v>0</v>
      </c>
      <c r="Q10" s="1"/>
      <c r="R10" s="114">
        <f>$R$5*'Ordering Period 4'!AE9</f>
        <v>0</v>
      </c>
      <c r="S10" s="168" t="str">
        <f>'Ordering Period 4'!AP9</f>
        <v/>
      </c>
      <c r="T10" s="171">
        <f t="shared" si="2"/>
        <v>0</v>
      </c>
      <c r="V10" s="114">
        <f>$V$5*'Ordering Period 5'!AC9</f>
        <v>0</v>
      </c>
      <c r="W10" s="168" t="str">
        <f>'Ordering Period 5'!AN9</f>
        <v/>
      </c>
      <c r="X10" s="171">
        <f t="shared" si="3"/>
        <v>0</v>
      </c>
    </row>
    <row r="11" spans="1:27" s="111" customFormat="1" x14ac:dyDescent="0.25">
      <c r="A11" s="542"/>
      <c r="B11" s="235" t="str">
        <f>Totals!B11</f>
        <v>006</v>
      </c>
      <c r="C11" s="235" t="str">
        <f>Totals!C11</f>
        <v>Quality Assurance</v>
      </c>
      <c r="D11" s="238" t="str">
        <f>Totals!D11</f>
        <v>CONUS</v>
      </c>
      <c r="F11" s="114">
        <f>$F$5*'Ordering Period 1'!AE10</f>
        <v>0</v>
      </c>
      <c r="G11" s="168" t="str">
        <f>'Ordering Period 1'!AP10</f>
        <v/>
      </c>
      <c r="H11" s="171">
        <f t="shared" si="0"/>
        <v>0</v>
      </c>
      <c r="J11" s="114">
        <f>$J$5*'Ordering Period 2'!AC10</f>
        <v>0</v>
      </c>
      <c r="K11" s="168" t="str">
        <f>'Ordering Period 2'!AN10</f>
        <v/>
      </c>
      <c r="L11" s="171">
        <f t="shared" si="4"/>
        <v>0</v>
      </c>
      <c r="N11" s="114">
        <f>$N$5*'Ordering Period 3'!AC10</f>
        <v>0</v>
      </c>
      <c r="O11" s="168" t="str">
        <f>'Ordering Period 3'!AN10</f>
        <v/>
      </c>
      <c r="P11" s="171">
        <f t="shared" si="1"/>
        <v>0</v>
      </c>
      <c r="Q11" s="1"/>
      <c r="R11" s="114">
        <f>$R$5*'Ordering Period 4'!AE10</f>
        <v>0</v>
      </c>
      <c r="S11" s="168" t="str">
        <f>'Ordering Period 4'!AP10</f>
        <v/>
      </c>
      <c r="T11" s="171">
        <f t="shared" si="2"/>
        <v>0</v>
      </c>
      <c r="V11" s="114">
        <f>$V$5*'Ordering Period 5'!AC10</f>
        <v>0</v>
      </c>
      <c r="W11" s="168" t="str">
        <f>'Ordering Period 5'!AN10</f>
        <v/>
      </c>
      <c r="X11" s="171">
        <f t="shared" si="3"/>
        <v>0</v>
      </c>
    </row>
    <row r="12" spans="1:27" s="111" customFormat="1" x14ac:dyDescent="0.25">
      <c r="A12" s="542"/>
      <c r="B12" s="235" t="str">
        <f>Totals!B12</f>
        <v>007</v>
      </c>
      <c r="C12" s="235" t="str">
        <f>Totals!C12</f>
        <v>Software</v>
      </c>
      <c r="D12" s="238" t="str">
        <f>Totals!D12</f>
        <v>CONUS</v>
      </c>
      <c r="F12" s="114">
        <f>$F$5*'Ordering Period 1'!AE11</f>
        <v>0</v>
      </c>
      <c r="G12" s="168" t="str">
        <f>'Ordering Period 1'!AP11</f>
        <v/>
      </c>
      <c r="H12" s="171">
        <f t="shared" si="0"/>
        <v>0</v>
      </c>
      <c r="J12" s="114">
        <f>$J$5*'Ordering Period 2'!AC11</f>
        <v>0</v>
      </c>
      <c r="K12" s="168" t="str">
        <f>'Ordering Period 2'!AN11</f>
        <v/>
      </c>
      <c r="L12" s="171">
        <f t="shared" si="4"/>
        <v>0</v>
      </c>
      <c r="N12" s="114">
        <f>$N$5*'Ordering Period 3'!AC11</f>
        <v>0</v>
      </c>
      <c r="O12" s="168" t="str">
        <f>'Ordering Period 3'!AN11</f>
        <v/>
      </c>
      <c r="P12" s="171">
        <f t="shared" si="1"/>
        <v>0</v>
      </c>
      <c r="Q12" s="1"/>
      <c r="R12" s="114">
        <f>$R$5*'Ordering Period 4'!AE11</f>
        <v>0</v>
      </c>
      <c r="S12" s="168" t="str">
        <f>'Ordering Period 4'!AP11</f>
        <v/>
      </c>
      <c r="T12" s="171">
        <f t="shared" si="2"/>
        <v>0</v>
      </c>
      <c r="V12" s="114">
        <f>$V$5*'Ordering Period 5'!AC11</f>
        <v>0</v>
      </c>
      <c r="W12" s="168" t="str">
        <f>'Ordering Period 5'!AN11</f>
        <v/>
      </c>
      <c r="X12" s="171">
        <f t="shared" si="3"/>
        <v>0</v>
      </c>
    </row>
    <row r="13" spans="1:27" s="111" customFormat="1" ht="15.75" thickBot="1" x14ac:dyDescent="0.3">
      <c r="A13" s="543"/>
      <c r="B13" s="239" t="str">
        <f>Totals!B13</f>
        <v>008</v>
      </c>
      <c r="C13" s="239" t="str">
        <f>Totals!C13</f>
        <v>Welder</v>
      </c>
      <c r="D13" s="240" t="str">
        <f>Totals!D13</f>
        <v>CONUS</v>
      </c>
      <c r="F13" s="150">
        <f>$F$5*'Ordering Period 1'!AE12</f>
        <v>0</v>
      </c>
      <c r="G13" s="172" t="str">
        <f>'Ordering Period 1'!AP12</f>
        <v/>
      </c>
      <c r="H13" s="173">
        <f t="shared" si="0"/>
        <v>0</v>
      </c>
      <c r="J13" s="150">
        <f>$J$5*'Ordering Period 2'!AC12</f>
        <v>0</v>
      </c>
      <c r="K13" s="172" t="str">
        <f>'Ordering Period 2'!AN12</f>
        <v/>
      </c>
      <c r="L13" s="173">
        <f t="shared" si="4"/>
        <v>0</v>
      </c>
      <c r="N13" s="150">
        <f>$N$5*'Ordering Period 3'!AC12</f>
        <v>0</v>
      </c>
      <c r="O13" s="172" t="str">
        <f>'Ordering Period 3'!AN12</f>
        <v/>
      </c>
      <c r="P13" s="173">
        <f t="shared" si="1"/>
        <v>0</v>
      </c>
      <c r="Q13" s="1"/>
      <c r="R13" s="150">
        <f>$R$5*'Ordering Period 4'!AE12</f>
        <v>0</v>
      </c>
      <c r="S13" s="172" t="str">
        <f>'Ordering Period 4'!AP12</f>
        <v/>
      </c>
      <c r="T13" s="173">
        <f t="shared" si="2"/>
        <v>0</v>
      </c>
      <c r="V13" s="150">
        <f>$V$5*'Ordering Period 5'!AC12</f>
        <v>0</v>
      </c>
      <c r="W13" s="172" t="str">
        <f>'Ordering Period 5'!AN12</f>
        <v/>
      </c>
      <c r="X13" s="173">
        <f t="shared" si="3"/>
        <v>0</v>
      </c>
    </row>
    <row r="14" spans="1:27" s="111" customFormat="1" x14ac:dyDescent="0.25">
      <c r="A14" s="541" t="s">
        <v>76</v>
      </c>
      <c r="B14" s="236" t="str">
        <f>Totals!B14</f>
        <v>009</v>
      </c>
      <c r="C14" s="236" t="str">
        <f>Totals!C14</f>
        <v>Instructor Supervisor</v>
      </c>
      <c r="D14" s="237" t="str">
        <f>Totals!D14</f>
        <v>CONUS</v>
      </c>
      <c r="F14" s="112">
        <f>$F$5*'Ordering Period 1'!AE13</f>
        <v>0</v>
      </c>
      <c r="G14" s="169" t="str">
        <f>'Ordering Period 1'!AP13</f>
        <v/>
      </c>
      <c r="H14" s="170">
        <f t="shared" si="0"/>
        <v>0</v>
      </c>
      <c r="J14" s="112">
        <f>$J$5*'Ordering Period 2'!AC13</f>
        <v>0</v>
      </c>
      <c r="K14" s="169" t="str">
        <f>'Ordering Period 2'!AN13</f>
        <v/>
      </c>
      <c r="L14" s="170">
        <f t="shared" si="4"/>
        <v>0</v>
      </c>
      <c r="N14" s="112">
        <f>$N$5*'Ordering Period 3'!AC13</f>
        <v>0</v>
      </c>
      <c r="O14" s="169" t="str">
        <f>'Ordering Period 3'!AN13</f>
        <v/>
      </c>
      <c r="P14" s="170">
        <f t="shared" si="1"/>
        <v>0</v>
      </c>
      <c r="Q14" s="1"/>
      <c r="R14" s="112">
        <f>$R$5*'Ordering Period 4'!AE13</f>
        <v>0</v>
      </c>
      <c r="S14" s="169" t="str">
        <f>'Ordering Period 4'!AP13</f>
        <v/>
      </c>
      <c r="T14" s="170">
        <f t="shared" si="2"/>
        <v>0</v>
      </c>
      <c r="V14" s="112">
        <f>$V$5*'Ordering Period 5'!AC13</f>
        <v>0</v>
      </c>
      <c r="W14" s="169" t="str">
        <f>'Ordering Period 5'!AN13</f>
        <v/>
      </c>
      <c r="X14" s="170">
        <f t="shared" si="3"/>
        <v>0</v>
      </c>
    </row>
    <row r="15" spans="1:27" s="111" customFormat="1" ht="15.75" thickBot="1" x14ac:dyDescent="0.3">
      <c r="A15" s="543"/>
      <c r="B15" s="239" t="str">
        <f>Totals!B15</f>
        <v>010</v>
      </c>
      <c r="C15" s="239" t="str">
        <f>Totals!C15</f>
        <v xml:space="preserve">Instructor  </v>
      </c>
      <c r="D15" s="240" t="str">
        <f>Totals!D15</f>
        <v>CONUS</v>
      </c>
      <c r="F15" s="150">
        <f>$F$5*'Ordering Period 1'!AE14</f>
        <v>0</v>
      </c>
      <c r="G15" s="172" t="str">
        <f>'Ordering Period 1'!AP14</f>
        <v/>
      </c>
      <c r="H15" s="173">
        <f>SUM(F15:G15)</f>
        <v>0</v>
      </c>
      <c r="J15" s="150">
        <f>$J$5*'Ordering Period 2'!AC14</f>
        <v>0</v>
      </c>
      <c r="K15" s="172" t="str">
        <f>'Ordering Period 2'!AN14</f>
        <v/>
      </c>
      <c r="L15" s="173">
        <f t="shared" si="4"/>
        <v>0</v>
      </c>
      <c r="N15" s="150">
        <f>$N$5*'Ordering Period 3'!AC14</f>
        <v>0</v>
      </c>
      <c r="O15" s="172" t="str">
        <f>'Ordering Period 3'!AN14</f>
        <v/>
      </c>
      <c r="P15" s="173">
        <f t="shared" si="1"/>
        <v>0</v>
      </c>
      <c r="Q15" s="1"/>
      <c r="R15" s="150">
        <f>$R$5*'Ordering Period 4'!AE14</f>
        <v>0</v>
      </c>
      <c r="S15" s="172" t="str">
        <f>'Ordering Period 4'!AP14</f>
        <v/>
      </c>
      <c r="T15" s="173">
        <f t="shared" si="2"/>
        <v>0</v>
      </c>
      <c r="V15" s="150">
        <f>$V$5*'Ordering Period 5'!AC14</f>
        <v>0</v>
      </c>
      <c r="W15" s="172" t="str">
        <f>'Ordering Period 5'!AN14</f>
        <v/>
      </c>
      <c r="X15" s="173">
        <f t="shared" si="3"/>
        <v>0</v>
      </c>
    </row>
    <row r="16" spans="1:27" s="111" customFormat="1" x14ac:dyDescent="0.25">
      <c r="A16" s="541" t="s">
        <v>77</v>
      </c>
      <c r="B16" s="236" t="str">
        <f>Totals!B16</f>
        <v>011</v>
      </c>
      <c r="C16" s="236" t="str">
        <f>Totals!C16</f>
        <v>Heavy Equipment Mechanic</v>
      </c>
      <c r="D16" s="237" t="str">
        <f>Totals!D16</f>
        <v>CONUS</v>
      </c>
      <c r="F16" s="112">
        <f>$F$5*'Ordering Period 1'!AE15</f>
        <v>0</v>
      </c>
      <c r="G16" s="169" t="str">
        <f>'Ordering Period 1'!AP15</f>
        <v/>
      </c>
      <c r="H16" s="170">
        <f t="shared" si="0"/>
        <v>0</v>
      </c>
      <c r="J16" s="112">
        <f>$J$5*'Ordering Period 2'!AC15</f>
        <v>0</v>
      </c>
      <c r="K16" s="169" t="str">
        <f>'Ordering Period 2'!AN15</f>
        <v/>
      </c>
      <c r="L16" s="170">
        <f t="shared" si="4"/>
        <v>0</v>
      </c>
      <c r="N16" s="112">
        <f>$N$5*'Ordering Period 3'!AC15</f>
        <v>0</v>
      </c>
      <c r="O16" s="169" t="str">
        <f>'Ordering Period 3'!AN15</f>
        <v/>
      </c>
      <c r="P16" s="170">
        <f t="shared" si="1"/>
        <v>0</v>
      </c>
      <c r="Q16" s="1"/>
      <c r="R16" s="112">
        <f>$R$5*'Ordering Period 4'!AE15</f>
        <v>0</v>
      </c>
      <c r="S16" s="169" t="str">
        <f>'Ordering Period 4'!AP15</f>
        <v/>
      </c>
      <c r="T16" s="170">
        <f t="shared" si="2"/>
        <v>0</v>
      </c>
      <c r="V16" s="112">
        <f>$V$5*'Ordering Period 5'!AC15</f>
        <v>0</v>
      </c>
      <c r="W16" s="169" t="str">
        <f>'Ordering Period 5'!AN15</f>
        <v/>
      </c>
      <c r="X16" s="170">
        <f t="shared" si="3"/>
        <v>0</v>
      </c>
    </row>
    <row r="17" spans="1:27" s="111" customFormat="1" x14ac:dyDescent="0.25">
      <c r="A17" s="542"/>
      <c r="B17" s="235" t="str">
        <f>Totals!B17</f>
        <v>012</v>
      </c>
      <c r="C17" s="235" t="str">
        <f>Totals!C17</f>
        <v>Material Handling Specialist</v>
      </c>
      <c r="D17" s="238" t="str">
        <f>Totals!D17</f>
        <v>CONUS</v>
      </c>
      <c r="F17" s="114">
        <f>$F$5*'Ordering Period 1'!AE16</f>
        <v>0</v>
      </c>
      <c r="G17" s="168" t="str">
        <f>'Ordering Period 1'!AP16</f>
        <v/>
      </c>
      <c r="H17" s="171">
        <f t="shared" si="0"/>
        <v>0</v>
      </c>
      <c r="J17" s="114">
        <f>$J$5*'Ordering Period 2'!AC16</f>
        <v>0</v>
      </c>
      <c r="K17" s="168" t="str">
        <f>'Ordering Period 2'!AN16</f>
        <v/>
      </c>
      <c r="L17" s="171">
        <f t="shared" si="4"/>
        <v>0</v>
      </c>
      <c r="N17" s="114">
        <f>$N$5*'Ordering Period 3'!AC16</f>
        <v>0</v>
      </c>
      <c r="O17" s="168" t="str">
        <f>'Ordering Period 3'!AN16</f>
        <v/>
      </c>
      <c r="P17" s="171">
        <f t="shared" si="1"/>
        <v>0</v>
      </c>
      <c r="Q17" s="1"/>
      <c r="R17" s="114">
        <f>$R$5*'Ordering Period 4'!AE16</f>
        <v>0</v>
      </c>
      <c r="S17" s="168" t="str">
        <f>'Ordering Period 4'!AP16</f>
        <v/>
      </c>
      <c r="T17" s="171">
        <f t="shared" si="2"/>
        <v>0</v>
      </c>
      <c r="V17" s="114">
        <f>$V$5*'Ordering Period 5'!AC16</f>
        <v>0</v>
      </c>
      <c r="W17" s="168" t="str">
        <f>'Ordering Period 5'!AN16</f>
        <v/>
      </c>
      <c r="X17" s="171">
        <f t="shared" si="3"/>
        <v>0</v>
      </c>
    </row>
    <row r="18" spans="1:27" s="111" customFormat="1" x14ac:dyDescent="0.25">
      <c r="A18" s="542"/>
      <c r="B18" s="235" t="str">
        <f>Totals!B18</f>
        <v>013</v>
      </c>
      <c r="C18" s="235" t="str">
        <f>Totals!C18</f>
        <v>Quality Assurance</v>
      </c>
      <c r="D18" s="238" t="str">
        <f>Totals!D18</f>
        <v>CONUS</v>
      </c>
      <c r="F18" s="114">
        <f>$F$5*'Ordering Period 1'!AE17</f>
        <v>0</v>
      </c>
      <c r="G18" s="168" t="str">
        <f>'Ordering Period 1'!AP17</f>
        <v/>
      </c>
      <c r="H18" s="171">
        <f t="shared" si="0"/>
        <v>0</v>
      </c>
      <c r="J18" s="114">
        <f>$J$5*'Ordering Period 2'!AC17</f>
        <v>0</v>
      </c>
      <c r="K18" s="168" t="str">
        <f>'Ordering Period 2'!AN17</f>
        <v/>
      </c>
      <c r="L18" s="171">
        <f t="shared" si="4"/>
        <v>0</v>
      </c>
      <c r="N18" s="114">
        <f>$N$5*'Ordering Period 3'!AC17</f>
        <v>0</v>
      </c>
      <c r="O18" s="168" t="str">
        <f>'Ordering Period 3'!AN17</f>
        <v/>
      </c>
      <c r="P18" s="171">
        <f t="shared" si="1"/>
        <v>0</v>
      </c>
      <c r="Q18" s="1"/>
      <c r="R18" s="114">
        <f>$R$5*'Ordering Period 4'!AE17</f>
        <v>0</v>
      </c>
      <c r="S18" s="168" t="str">
        <f>'Ordering Period 4'!AP17</f>
        <v/>
      </c>
      <c r="T18" s="171">
        <f t="shared" si="2"/>
        <v>0</v>
      </c>
      <c r="V18" s="114">
        <f>$V$5*'Ordering Period 5'!AC17</f>
        <v>0</v>
      </c>
      <c r="W18" s="168" t="str">
        <f>'Ordering Period 5'!AN17</f>
        <v/>
      </c>
      <c r="X18" s="171">
        <f t="shared" si="3"/>
        <v>0</v>
      </c>
    </row>
    <row r="19" spans="1:27" s="111" customFormat="1" x14ac:dyDescent="0.25">
      <c r="A19" s="542"/>
      <c r="B19" s="235" t="str">
        <f>Totals!B19</f>
        <v>014</v>
      </c>
      <c r="C19" s="235" t="str">
        <f>Totals!C19</f>
        <v>Supply/Procurement Specialist</v>
      </c>
      <c r="D19" s="238" t="str">
        <f>Totals!D19</f>
        <v>CONUS</v>
      </c>
      <c r="F19" s="114">
        <f>$F$5*'Ordering Period 1'!AE18</f>
        <v>0</v>
      </c>
      <c r="G19" s="168" t="str">
        <f>'Ordering Period 1'!AP18</f>
        <v/>
      </c>
      <c r="H19" s="171">
        <f t="shared" si="0"/>
        <v>0</v>
      </c>
      <c r="J19" s="114">
        <f>$J$5*'Ordering Period 2'!AC18</f>
        <v>0</v>
      </c>
      <c r="K19" s="168" t="str">
        <f>'Ordering Period 2'!AN18</f>
        <v/>
      </c>
      <c r="L19" s="171">
        <f t="shared" si="4"/>
        <v>0</v>
      </c>
      <c r="N19" s="114">
        <f>$N$5*'Ordering Period 3'!AC18</f>
        <v>0</v>
      </c>
      <c r="O19" s="168" t="str">
        <f>'Ordering Period 3'!AN18</f>
        <v/>
      </c>
      <c r="P19" s="171">
        <f t="shared" si="1"/>
        <v>0</v>
      </c>
      <c r="Q19" s="1"/>
      <c r="R19" s="114">
        <f>$R$5*'Ordering Period 4'!AE18</f>
        <v>0</v>
      </c>
      <c r="S19" s="168" t="str">
        <f>'Ordering Period 4'!AP18</f>
        <v/>
      </c>
      <c r="T19" s="171">
        <f t="shared" si="2"/>
        <v>0</v>
      </c>
      <c r="V19" s="114">
        <f>$V$5*'Ordering Period 5'!AC18</f>
        <v>0</v>
      </c>
      <c r="W19" s="168" t="str">
        <f>'Ordering Period 5'!AN18</f>
        <v/>
      </c>
      <c r="X19" s="171">
        <f t="shared" si="3"/>
        <v>0</v>
      </c>
    </row>
    <row r="20" spans="1:27" s="111" customFormat="1" ht="15.75" thickBot="1" x14ac:dyDescent="0.3">
      <c r="A20" s="543"/>
      <c r="B20" s="239" t="str">
        <f>Totals!B20</f>
        <v>015</v>
      </c>
      <c r="C20" s="239" t="str">
        <f>Totals!C20</f>
        <v>Welder</v>
      </c>
      <c r="D20" s="240" t="str">
        <f>Totals!D20</f>
        <v>CONUS</v>
      </c>
      <c r="F20" s="150">
        <f>$F$5*'Ordering Period 1'!AE19</f>
        <v>0</v>
      </c>
      <c r="G20" s="172" t="str">
        <f>'Ordering Period 1'!AP19</f>
        <v/>
      </c>
      <c r="H20" s="173">
        <f t="shared" si="0"/>
        <v>0</v>
      </c>
      <c r="J20" s="150">
        <f>$J$5*'Ordering Period 2'!AC19</f>
        <v>0</v>
      </c>
      <c r="K20" s="172" t="str">
        <f>'Ordering Period 2'!AN19</f>
        <v/>
      </c>
      <c r="L20" s="173">
        <f t="shared" si="4"/>
        <v>0</v>
      </c>
      <c r="N20" s="150">
        <f>$N$5*'Ordering Period 3'!AC19</f>
        <v>0</v>
      </c>
      <c r="O20" s="172" t="str">
        <f>'Ordering Period 3'!AN19</f>
        <v/>
      </c>
      <c r="P20" s="173">
        <f t="shared" si="1"/>
        <v>0</v>
      </c>
      <c r="Q20" s="1"/>
      <c r="R20" s="150">
        <f>$R$5*'Ordering Period 4'!AE19</f>
        <v>0</v>
      </c>
      <c r="S20" s="172" t="str">
        <f>'Ordering Period 4'!AP19</f>
        <v/>
      </c>
      <c r="T20" s="173">
        <f t="shared" si="2"/>
        <v>0</v>
      </c>
      <c r="V20" s="150">
        <f>$V$5*'Ordering Period 5'!AC19</f>
        <v>0</v>
      </c>
      <c r="W20" s="172" t="str">
        <f>'Ordering Period 5'!AN19</f>
        <v/>
      </c>
      <c r="X20" s="173">
        <f t="shared" si="3"/>
        <v>0</v>
      </c>
    </row>
    <row r="21" spans="1:27" ht="15.75" thickBot="1" x14ac:dyDescent="0.3">
      <c r="A21" s="422" t="s">
        <v>189</v>
      </c>
      <c r="B21" s="423"/>
      <c r="C21" s="424"/>
      <c r="D21" s="425"/>
      <c r="E21" s="220"/>
      <c r="F21" s="263">
        <v>1.1000000000000001</v>
      </c>
      <c r="G21" s="222"/>
      <c r="H21" s="223"/>
      <c r="I21" s="220"/>
      <c r="J21" s="263">
        <v>1.1000000000000001</v>
      </c>
      <c r="K21" s="222"/>
      <c r="L21" s="223"/>
      <c r="M21" s="220"/>
      <c r="N21" s="263">
        <v>1.1000000000000001</v>
      </c>
      <c r="O21" s="222"/>
      <c r="P21" s="223"/>
      <c r="Q21" s="220"/>
      <c r="R21" s="263">
        <v>1.1000000000000001</v>
      </c>
      <c r="S21" s="222"/>
      <c r="T21" s="223"/>
      <c r="U21" s="220"/>
      <c r="V21" s="263">
        <v>1.1000000000000001</v>
      </c>
      <c r="W21" s="222"/>
      <c r="X21" s="223"/>
      <c r="Y21" s="106"/>
      <c r="Z21" s="106"/>
      <c r="AA21" s="106"/>
    </row>
    <row r="22" spans="1:27" s="111" customFormat="1" ht="15.75" thickBot="1" x14ac:dyDescent="0.3">
      <c r="A22" s="414" t="s">
        <v>73</v>
      </c>
      <c r="B22" s="415" t="str">
        <f>B7</f>
        <v>002</v>
      </c>
      <c r="C22" s="415" t="str">
        <f>C7</f>
        <v>Field Service Representative</v>
      </c>
      <c r="D22" s="416" t="s">
        <v>189</v>
      </c>
      <c r="F22" s="419">
        <f>$F$21*'Ordering Period 1'!AE21</f>
        <v>0</v>
      </c>
      <c r="G22" s="420" t="str">
        <f>'Ordering Period 1'!AP21</f>
        <v/>
      </c>
      <c r="H22" s="421">
        <f>SUM(F22:G22)</f>
        <v>0</v>
      </c>
      <c r="J22" s="419">
        <f>$J$21*'Ordering Period 2'!AC21</f>
        <v>0</v>
      </c>
      <c r="K22" s="420" t="str">
        <f>'Ordering Period 2'!AN21</f>
        <v/>
      </c>
      <c r="L22" s="421">
        <f>SUM(J22:K22)</f>
        <v>0</v>
      </c>
      <c r="N22" s="419">
        <f>$N$21*'Ordering Period 3'!AC21</f>
        <v>0</v>
      </c>
      <c r="O22" s="420" t="str">
        <f>'Ordering Period 3'!AN21</f>
        <v/>
      </c>
      <c r="P22" s="421">
        <f>SUM(N22:O22)</f>
        <v>0</v>
      </c>
      <c r="Q22" s="1"/>
      <c r="R22" s="419">
        <f>$R$21*'Ordering Period 4'!AE21</f>
        <v>0</v>
      </c>
      <c r="S22" s="420" t="str">
        <f>'Ordering Period 4'!AP21</f>
        <v/>
      </c>
      <c r="T22" s="421">
        <f>SUM(R22:S22)</f>
        <v>0</v>
      </c>
      <c r="V22" s="419">
        <f>$V$21*'Ordering Period 5'!AC21</f>
        <v>0</v>
      </c>
      <c r="W22" s="420" t="str">
        <f>'Ordering Period 5'!AN21</f>
        <v/>
      </c>
      <c r="X22" s="421">
        <f t="shared" ref="X22:X35" si="5">SUM(V22:W22)</f>
        <v>0</v>
      </c>
    </row>
    <row r="23" spans="1:27" s="111" customFormat="1" ht="15.75" thickBot="1" x14ac:dyDescent="0.3">
      <c r="A23" s="414" t="s">
        <v>74</v>
      </c>
      <c r="B23" s="415" t="str">
        <f t="shared" ref="B23:C35" si="6">B8</f>
        <v>003</v>
      </c>
      <c r="C23" s="415" t="str">
        <f t="shared" si="6"/>
        <v>Heavy Equipment Mechanic</v>
      </c>
      <c r="D23" s="416" t="s">
        <v>189</v>
      </c>
      <c r="F23" s="419">
        <f>$F$21*'Ordering Period 1'!AE22</f>
        <v>0</v>
      </c>
      <c r="G23" s="420" t="str">
        <f>'Ordering Period 1'!AP22</f>
        <v/>
      </c>
      <c r="H23" s="421">
        <f t="shared" ref="H23:H35" si="7">SUM(F23:G23)</f>
        <v>0</v>
      </c>
      <c r="J23" s="419">
        <f>$J$21*'Ordering Period 2'!AC22</f>
        <v>0</v>
      </c>
      <c r="K23" s="420" t="str">
        <f>'Ordering Period 2'!AN22</f>
        <v/>
      </c>
      <c r="L23" s="421">
        <f t="shared" ref="L23:L35" si="8">SUM(J23:K23)</f>
        <v>0</v>
      </c>
      <c r="N23" s="419">
        <f>$N$21*'Ordering Period 3'!AC22</f>
        <v>0</v>
      </c>
      <c r="O23" s="420" t="str">
        <f>'Ordering Period 3'!AN22</f>
        <v/>
      </c>
      <c r="P23" s="421">
        <f t="shared" ref="P23:P35" si="9">SUM(N23:O23)</f>
        <v>0</v>
      </c>
      <c r="Q23" s="1"/>
      <c r="R23" s="419">
        <f>$R$21*'Ordering Period 4'!AE22</f>
        <v>0</v>
      </c>
      <c r="S23" s="420" t="str">
        <f>'Ordering Period 4'!AP22</f>
        <v/>
      </c>
      <c r="T23" s="421">
        <f t="shared" ref="T23:T35" si="10">SUM(R23:S23)</f>
        <v>0</v>
      </c>
      <c r="V23" s="419">
        <f>$V$21*'Ordering Period 5'!AC22</f>
        <v>0</v>
      </c>
      <c r="W23" s="420" t="str">
        <f>'Ordering Period 5'!AN22</f>
        <v/>
      </c>
      <c r="X23" s="421">
        <f t="shared" si="5"/>
        <v>0</v>
      </c>
    </row>
    <row r="24" spans="1:27" s="111" customFormat="1" x14ac:dyDescent="0.25">
      <c r="A24" s="541" t="s">
        <v>75</v>
      </c>
      <c r="B24" s="236" t="str">
        <f t="shared" si="6"/>
        <v>004</v>
      </c>
      <c r="C24" s="236" t="str">
        <f t="shared" si="6"/>
        <v>Field Service Representative</v>
      </c>
      <c r="D24" s="237" t="s">
        <v>189</v>
      </c>
      <c r="F24" s="112">
        <f>$F$21*'Ordering Period 1'!AE23</f>
        <v>0</v>
      </c>
      <c r="G24" s="169" t="str">
        <f>'Ordering Period 1'!AP23</f>
        <v/>
      </c>
      <c r="H24" s="170">
        <f t="shared" si="7"/>
        <v>0</v>
      </c>
      <c r="J24" s="112">
        <f>$J$21*'Ordering Period 2'!AC23</f>
        <v>0</v>
      </c>
      <c r="K24" s="169" t="str">
        <f>'Ordering Period 2'!AN23</f>
        <v/>
      </c>
      <c r="L24" s="170">
        <f t="shared" si="8"/>
        <v>0</v>
      </c>
      <c r="N24" s="112">
        <f>$N$21*'Ordering Period 3'!AC23</f>
        <v>0</v>
      </c>
      <c r="O24" s="169" t="str">
        <f>'Ordering Period 3'!AN23</f>
        <v/>
      </c>
      <c r="P24" s="170">
        <f t="shared" si="9"/>
        <v>0</v>
      </c>
      <c r="Q24" s="1"/>
      <c r="R24" s="112">
        <f>$R$21*'Ordering Period 4'!AE23</f>
        <v>0</v>
      </c>
      <c r="S24" s="169" t="str">
        <f>'Ordering Period 4'!AP23</f>
        <v/>
      </c>
      <c r="T24" s="170">
        <f t="shared" si="10"/>
        <v>0</v>
      </c>
      <c r="V24" s="112">
        <f>$V$21*'Ordering Period 5'!AC23</f>
        <v>0</v>
      </c>
      <c r="W24" s="169" t="str">
        <f>'Ordering Period 5'!AN23</f>
        <v/>
      </c>
      <c r="X24" s="170">
        <f t="shared" si="5"/>
        <v>0</v>
      </c>
    </row>
    <row r="25" spans="1:27" s="111" customFormat="1" x14ac:dyDescent="0.25">
      <c r="A25" s="542"/>
      <c r="B25" s="235" t="str">
        <f t="shared" si="6"/>
        <v>005</v>
      </c>
      <c r="C25" s="235" t="str">
        <f t="shared" si="6"/>
        <v>Modified Work Orders (MWO)</v>
      </c>
      <c r="D25" s="238" t="s">
        <v>189</v>
      </c>
      <c r="F25" s="114">
        <f>$F$21*'Ordering Period 1'!AE24</f>
        <v>0</v>
      </c>
      <c r="G25" s="168" t="str">
        <f>'Ordering Period 1'!AP24</f>
        <v/>
      </c>
      <c r="H25" s="171">
        <f t="shared" si="7"/>
        <v>0</v>
      </c>
      <c r="J25" s="114">
        <f>$J$21*'Ordering Period 2'!AC24</f>
        <v>0</v>
      </c>
      <c r="K25" s="168" t="str">
        <f>'Ordering Period 2'!AN24</f>
        <v/>
      </c>
      <c r="L25" s="171">
        <f t="shared" si="8"/>
        <v>0</v>
      </c>
      <c r="N25" s="114">
        <f>$N$21*'Ordering Period 3'!AC24</f>
        <v>0</v>
      </c>
      <c r="O25" s="168" t="str">
        <f>'Ordering Period 3'!AN24</f>
        <v/>
      </c>
      <c r="P25" s="171">
        <f t="shared" si="9"/>
        <v>0</v>
      </c>
      <c r="Q25" s="1"/>
      <c r="R25" s="114">
        <f>$R$21*'Ordering Period 4'!AE24</f>
        <v>0</v>
      </c>
      <c r="S25" s="168" t="str">
        <f>'Ordering Period 4'!AP24</f>
        <v/>
      </c>
      <c r="T25" s="171">
        <f t="shared" si="10"/>
        <v>0</v>
      </c>
      <c r="V25" s="114">
        <f>$V$21*'Ordering Period 5'!AC24</f>
        <v>0</v>
      </c>
      <c r="W25" s="168" t="str">
        <f>'Ordering Period 5'!AN24</f>
        <v/>
      </c>
      <c r="X25" s="171">
        <f t="shared" si="5"/>
        <v>0</v>
      </c>
    </row>
    <row r="26" spans="1:27" s="111" customFormat="1" x14ac:dyDescent="0.25">
      <c r="A26" s="542"/>
      <c r="B26" s="235" t="str">
        <f t="shared" si="6"/>
        <v>006</v>
      </c>
      <c r="C26" s="235" t="str">
        <f t="shared" si="6"/>
        <v>Quality Assurance</v>
      </c>
      <c r="D26" s="238" t="s">
        <v>189</v>
      </c>
      <c r="F26" s="114">
        <f>$F$21*'Ordering Period 1'!AE25</f>
        <v>0</v>
      </c>
      <c r="G26" s="168" t="str">
        <f>'Ordering Period 1'!AP25</f>
        <v/>
      </c>
      <c r="H26" s="171">
        <f t="shared" si="7"/>
        <v>0</v>
      </c>
      <c r="J26" s="114">
        <f>$J$21*'Ordering Period 2'!AC25</f>
        <v>0</v>
      </c>
      <c r="K26" s="168" t="str">
        <f>'Ordering Period 2'!AN25</f>
        <v/>
      </c>
      <c r="L26" s="171">
        <f t="shared" si="8"/>
        <v>0</v>
      </c>
      <c r="N26" s="114">
        <f>$N$21*'Ordering Period 3'!AC25</f>
        <v>0</v>
      </c>
      <c r="O26" s="168" t="str">
        <f>'Ordering Period 3'!AN25</f>
        <v/>
      </c>
      <c r="P26" s="171">
        <f t="shared" si="9"/>
        <v>0</v>
      </c>
      <c r="Q26" s="1"/>
      <c r="R26" s="114">
        <f>$R$21*'Ordering Period 4'!AE25</f>
        <v>0</v>
      </c>
      <c r="S26" s="168" t="str">
        <f>'Ordering Period 4'!AP25</f>
        <v/>
      </c>
      <c r="T26" s="171">
        <f t="shared" si="10"/>
        <v>0</v>
      </c>
      <c r="V26" s="114">
        <f>$V$21*'Ordering Period 5'!AC25</f>
        <v>0</v>
      </c>
      <c r="W26" s="168" t="str">
        <f>'Ordering Period 5'!AN25</f>
        <v/>
      </c>
      <c r="X26" s="171">
        <f t="shared" si="5"/>
        <v>0</v>
      </c>
    </row>
    <row r="27" spans="1:27" s="111" customFormat="1" x14ac:dyDescent="0.25">
      <c r="A27" s="542"/>
      <c r="B27" s="235" t="str">
        <f t="shared" si="6"/>
        <v>007</v>
      </c>
      <c r="C27" s="235" t="str">
        <f t="shared" si="6"/>
        <v>Software</v>
      </c>
      <c r="D27" s="238" t="s">
        <v>189</v>
      </c>
      <c r="F27" s="114">
        <f>$F$21*'Ordering Period 1'!AE26</f>
        <v>0</v>
      </c>
      <c r="G27" s="168" t="str">
        <f>'Ordering Period 1'!AP26</f>
        <v/>
      </c>
      <c r="H27" s="171">
        <f t="shared" si="7"/>
        <v>0</v>
      </c>
      <c r="J27" s="114">
        <f>$J$21*'Ordering Period 2'!AC26</f>
        <v>0</v>
      </c>
      <c r="K27" s="168" t="str">
        <f>'Ordering Period 2'!AN26</f>
        <v/>
      </c>
      <c r="L27" s="171">
        <f t="shared" si="8"/>
        <v>0</v>
      </c>
      <c r="N27" s="114">
        <f>$N$21*'Ordering Period 3'!AC26</f>
        <v>0</v>
      </c>
      <c r="O27" s="168" t="str">
        <f>'Ordering Period 3'!AN26</f>
        <v/>
      </c>
      <c r="P27" s="171">
        <f t="shared" si="9"/>
        <v>0</v>
      </c>
      <c r="Q27" s="1"/>
      <c r="R27" s="114">
        <f>$R$21*'Ordering Period 4'!AE26</f>
        <v>0</v>
      </c>
      <c r="S27" s="168" t="str">
        <f>'Ordering Period 4'!AP26</f>
        <v/>
      </c>
      <c r="T27" s="171">
        <f t="shared" si="10"/>
        <v>0</v>
      </c>
      <c r="V27" s="114">
        <f>$V$21*'Ordering Period 5'!AC26</f>
        <v>0</v>
      </c>
      <c r="W27" s="168" t="str">
        <f>'Ordering Period 5'!AN26</f>
        <v/>
      </c>
      <c r="X27" s="171">
        <f t="shared" si="5"/>
        <v>0</v>
      </c>
    </row>
    <row r="28" spans="1:27" s="111" customFormat="1" ht="15.75" thickBot="1" x14ac:dyDescent="0.3">
      <c r="A28" s="543"/>
      <c r="B28" s="239" t="str">
        <f t="shared" si="6"/>
        <v>008</v>
      </c>
      <c r="C28" s="239" t="str">
        <f t="shared" si="6"/>
        <v>Welder</v>
      </c>
      <c r="D28" s="240" t="s">
        <v>189</v>
      </c>
      <c r="F28" s="150">
        <f>$F$21*'Ordering Period 1'!AE27</f>
        <v>0</v>
      </c>
      <c r="G28" s="172" t="str">
        <f>'Ordering Period 1'!AP27</f>
        <v/>
      </c>
      <c r="H28" s="173">
        <f t="shared" si="7"/>
        <v>0</v>
      </c>
      <c r="J28" s="150">
        <f>$J$21*'Ordering Period 2'!AC27</f>
        <v>0</v>
      </c>
      <c r="K28" s="172" t="str">
        <f>'Ordering Period 2'!AN27</f>
        <v/>
      </c>
      <c r="L28" s="173">
        <f t="shared" si="8"/>
        <v>0</v>
      </c>
      <c r="N28" s="150">
        <f>$N$21*'Ordering Period 3'!AC27</f>
        <v>0</v>
      </c>
      <c r="O28" s="172" t="str">
        <f>'Ordering Period 3'!AN27</f>
        <v/>
      </c>
      <c r="P28" s="173">
        <f t="shared" si="9"/>
        <v>0</v>
      </c>
      <c r="Q28" s="1"/>
      <c r="R28" s="150">
        <f>$R$21*'Ordering Period 4'!AE27</f>
        <v>0</v>
      </c>
      <c r="S28" s="172" t="str">
        <f>'Ordering Period 4'!AP27</f>
        <v/>
      </c>
      <c r="T28" s="173">
        <f t="shared" si="10"/>
        <v>0</v>
      </c>
      <c r="V28" s="150">
        <f>$V$21*'Ordering Period 5'!AC27</f>
        <v>0</v>
      </c>
      <c r="W28" s="172" t="str">
        <f>'Ordering Period 5'!AN27</f>
        <v/>
      </c>
      <c r="X28" s="173">
        <f t="shared" si="5"/>
        <v>0</v>
      </c>
    </row>
    <row r="29" spans="1:27" s="111" customFormat="1" x14ac:dyDescent="0.25">
      <c r="A29" s="541" t="s">
        <v>76</v>
      </c>
      <c r="B29" s="236" t="str">
        <f t="shared" si="6"/>
        <v>009</v>
      </c>
      <c r="C29" s="236" t="str">
        <f t="shared" si="6"/>
        <v>Instructor Supervisor</v>
      </c>
      <c r="D29" s="237" t="s">
        <v>189</v>
      </c>
      <c r="F29" s="112">
        <f>$F$21*'Ordering Period 1'!AE28</f>
        <v>0</v>
      </c>
      <c r="G29" s="169" t="str">
        <f>'Ordering Period 1'!AP28</f>
        <v/>
      </c>
      <c r="H29" s="170">
        <f t="shared" si="7"/>
        <v>0</v>
      </c>
      <c r="J29" s="112">
        <f>$J$21*'Ordering Period 2'!AC28</f>
        <v>0</v>
      </c>
      <c r="K29" s="169" t="str">
        <f>'Ordering Period 2'!AN28</f>
        <v/>
      </c>
      <c r="L29" s="170">
        <f t="shared" si="8"/>
        <v>0</v>
      </c>
      <c r="N29" s="112">
        <f>$N$21*'Ordering Period 3'!AC28</f>
        <v>0</v>
      </c>
      <c r="O29" s="169" t="str">
        <f>'Ordering Period 3'!AN28</f>
        <v/>
      </c>
      <c r="P29" s="170">
        <f t="shared" si="9"/>
        <v>0</v>
      </c>
      <c r="Q29" s="1"/>
      <c r="R29" s="112">
        <f>$R$21*'Ordering Period 4'!AE28</f>
        <v>0</v>
      </c>
      <c r="S29" s="169" t="str">
        <f>'Ordering Period 4'!AP28</f>
        <v/>
      </c>
      <c r="T29" s="170">
        <f t="shared" si="10"/>
        <v>0</v>
      </c>
      <c r="V29" s="112">
        <f>$V$21*'Ordering Period 5'!AC28</f>
        <v>0</v>
      </c>
      <c r="W29" s="169" t="str">
        <f>'Ordering Period 5'!AN28</f>
        <v/>
      </c>
      <c r="X29" s="170">
        <f t="shared" si="5"/>
        <v>0</v>
      </c>
    </row>
    <row r="30" spans="1:27" s="111" customFormat="1" ht="15.75" thickBot="1" x14ac:dyDescent="0.3">
      <c r="A30" s="543"/>
      <c r="B30" s="239" t="str">
        <f t="shared" si="6"/>
        <v>010</v>
      </c>
      <c r="C30" s="239" t="str">
        <f t="shared" si="6"/>
        <v xml:space="preserve">Instructor  </v>
      </c>
      <c r="D30" s="240" t="s">
        <v>189</v>
      </c>
      <c r="F30" s="150">
        <f>$F$21*'Ordering Period 1'!AE29</f>
        <v>0</v>
      </c>
      <c r="G30" s="172" t="str">
        <f>'Ordering Period 1'!AP29</f>
        <v/>
      </c>
      <c r="H30" s="173">
        <f t="shared" si="7"/>
        <v>0</v>
      </c>
      <c r="J30" s="150">
        <f>$J$21*'Ordering Period 2'!AC29</f>
        <v>0</v>
      </c>
      <c r="K30" s="172" t="str">
        <f>'Ordering Period 2'!AN29</f>
        <v/>
      </c>
      <c r="L30" s="173">
        <f t="shared" si="8"/>
        <v>0</v>
      </c>
      <c r="N30" s="150">
        <f>$N$21*'Ordering Period 3'!AC29</f>
        <v>0</v>
      </c>
      <c r="O30" s="172" t="str">
        <f>'Ordering Period 3'!AN29</f>
        <v/>
      </c>
      <c r="P30" s="173">
        <f t="shared" si="9"/>
        <v>0</v>
      </c>
      <c r="Q30" s="1"/>
      <c r="R30" s="150">
        <f>$R$21*'Ordering Period 4'!AE29</f>
        <v>0</v>
      </c>
      <c r="S30" s="172" t="str">
        <f>'Ordering Period 4'!AP29</f>
        <v/>
      </c>
      <c r="T30" s="173">
        <f t="shared" si="10"/>
        <v>0</v>
      </c>
      <c r="V30" s="150">
        <f>$V$21*'Ordering Period 5'!AC29</f>
        <v>0</v>
      </c>
      <c r="W30" s="172" t="str">
        <f>'Ordering Period 5'!AN29</f>
        <v/>
      </c>
      <c r="X30" s="173">
        <f t="shared" si="5"/>
        <v>0</v>
      </c>
    </row>
    <row r="31" spans="1:27" s="111" customFormat="1" x14ac:dyDescent="0.25">
      <c r="A31" s="541" t="s">
        <v>77</v>
      </c>
      <c r="B31" s="236" t="str">
        <f t="shared" si="6"/>
        <v>011</v>
      </c>
      <c r="C31" s="236" t="str">
        <f t="shared" si="6"/>
        <v>Heavy Equipment Mechanic</v>
      </c>
      <c r="D31" s="237" t="s">
        <v>189</v>
      </c>
      <c r="F31" s="112">
        <f>$F$21*'Ordering Period 1'!AE30</f>
        <v>0</v>
      </c>
      <c r="G31" s="169" t="str">
        <f>'Ordering Period 1'!AP30</f>
        <v/>
      </c>
      <c r="H31" s="170">
        <f t="shared" si="7"/>
        <v>0</v>
      </c>
      <c r="J31" s="112">
        <f>$J$21*'Ordering Period 2'!AC30</f>
        <v>0</v>
      </c>
      <c r="K31" s="169" t="str">
        <f>'Ordering Period 2'!AN30</f>
        <v/>
      </c>
      <c r="L31" s="170">
        <f t="shared" si="8"/>
        <v>0</v>
      </c>
      <c r="N31" s="112">
        <f>$N$21*'Ordering Period 3'!AC30</f>
        <v>0</v>
      </c>
      <c r="O31" s="169" t="str">
        <f>'Ordering Period 3'!AN30</f>
        <v/>
      </c>
      <c r="P31" s="170">
        <f t="shared" si="9"/>
        <v>0</v>
      </c>
      <c r="Q31" s="1"/>
      <c r="R31" s="112">
        <f>$R$21*'Ordering Period 4'!AE30</f>
        <v>0</v>
      </c>
      <c r="S31" s="169" t="str">
        <f>'Ordering Period 4'!AP30</f>
        <v/>
      </c>
      <c r="T31" s="170">
        <f t="shared" si="10"/>
        <v>0</v>
      </c>
      <c r="V31" s="112">
        <f>$V$21*'Ordering Period 5'!AC30</f>
        <v>0</v>
      </c>
      <c r="W31" s="169" t="str">
        <f>'Ordering Period 5'!AN30</f>
        <v/>
      </c>
      <c r="X31" s="170">
        <f t="shared" si="5"/>
        <v>0</v>
      </c>
    </row>
    <row r="32" spans="1:27" s="111" customFormat="1" x14ac:dyDescent="0.25">
      <c r="A32" s="542"/>
      <c r="B32" s="235" t="str">
        <f t="shared" si="6"/>
        <v>012</v>
      </c>
      <c r="C32" s="235" t="str">
        <f t="shared" si="6"/>
        <v>Material Handling Specialist</v>
      </c>
      <c r="D32" s="238" t="s">
        <v>189</v>
      </c>
      <c r="F32" s="114">
        <f>$F$21*'Ordering Period 1'!AE31</f>
        <v>0</v>
      </c>
      <c r="G32" s="168" t="str">
        <f>'Ordering Period 1'!AP31</f>
        <v/>
      </c>
      <c r="H32" s="171">
        <f t="shared" si="7"/>
        <v>0</v>
      </c>
      <c r="J32" s="114">
        <f>$J$21*'Ordering Period 2'!AC31</f>
        <v>0</v>
      </c>
      <c r="K32" s="168" t="str">
        <f>'Ordering Period 2'!AN31</f>
        <v/>
      </c>
      <c r="L32" s="171">
        <f t="shared" si="8"/>
        <v>0</v>
      </c>
      <c r="N32" s="114">
        <f>$N$21*'Ordering Period 3'!AC31</f>
        <v>0</v>
      </c>
      <c r="O32" s="168" t="str">
        <f>'Ordering Period 3'!AN31</f>
        <v/>
      </c>
      <c r="P32" s="171">
        <f t="shared" si="9"/>
        <v>0</v>
      </c>
      <c r="Q32" s="1"/>
      <c r="R32" s="114">
        <f>$R$21*'Ordering Period 4'!AE31</f>
        <v>0</v>
      </c>
      <c r="S32" s="168" t="str">
        <f>'Ordering Period 4'!AP31</f>
        <v/>
      </c>
      <c r="T32" s="171">
        <f t="shared" si="10"/>
        <v>0</v>
      </c>
      <c r="V32" s="114">
        <f>$V$21*'Ordering Period 5'!AC31</f>
        <v>0</v>
      </c>
      <c r="W32" s="168" t="str">
        <f>'Ordering Period 5'!AN31</f>
        <v/>
      </c>
      <c r="X32" s="171">
        <f t="shared" si="5"/>
        <v>0</v>
      </c>
    </row>
    <row r="33" spans="1:27" s="111" customFormat="1" x14ac:dyDescent="0.25">
      <c r="A33" s="542"/>
      <c r="B33" s="235" t="str">
        <f t="shared" si="6"/>
        <v>013</v>
      </c>
      <c r="C33" s="235" t="str">
        <f t="shared" si="6"/>
        <v>Quality Assurance</v>
      </c>
      <c r="D33" s="238" t="s">
        <v>189</v>
      </c>
      <c r="F33" s="114">
        <f>$F$21*'Ordering Period 1'!AE32</f>
        <v>0</v>
      </c>
      <c r="G33" s="168" t="str">
        <f>'Ordering Period 1'!AP32</f>
        <v/>
      </c>
      <c r="H33" s="171">
        <f t="shared" si="7"/>
        <v>0</v>
      </c>
      <c r="J33" s="114">
        <f>$J$21*'Ordering Period 2'!AC32</f>
        <v>0</v>
      </c>
      <c r="K33" s="168" t="str">
        <f>'Ordering Period 2'!AN32</f>
        <v/>
      </c>
      <c r="L33" s="171">
        <f t="shared" si="8"/>
        <v>0</v>
      </c>
      <c r="N33" s="114">
        <f>$N$21*'Ordering Period 3'!AC32</f>
        <v>0</v>
      </c>
      <c r="O33" s="168" t="str">
        <f>'Ordering Period 3'!AN32</f>
        <v/>
      </c>
      <c r="P33" s="171">
        <f t="shared" si="9"/>
        <v>0</v>
      </c>
      <c r="Q33" s="1"/>
      <c r="R33" s="114">
        <f>$R$21*'Ordering Period 4'!AE32</f>
        <v>0</v>
      </c>
      <c r="S33" s="168" t="str">
        <f>'Ordering Period 4'!AP32</f>
        <v/>
      </c>
      <c r="T33" s="171">
        <f t="shared" si="10"/>
        <v>0</v>
      </c>
      <c r="V33" s="114">
        <f>$V$21*'Ordering Period 5'!AC32</f>
        <v>0</v>
      </c>
      <c r="W33" s="168" t="str">
        <f>'Ordering Period 5'!AN32</f>
        <v/>
      </c>
      <c r="X33" s="171">
        <f t="shared" si="5"/>
        <v>0</v>
      </c>
    </row>
    <row r="34" spans="1:27" s="111" customFormat="1" x14ac:dyDescent="0.25">
      <c r="A34" s="542"/>
      <c r="B34" s="235" t="str">
        <f t="shared" si="6"/>
        <v>014</v>
      </c>
      <c r="C34" s="235" t="str">
        <f t="shared" si="6"/>
        <v>Supply/Procurement Specialist</v>
      </c>
      <c r="D34" s="238" t="s">
        <v>189</v>
      </c>
      <c r="F34" s="114">
        <f>$F$21*'Ordering Period 1'!AE33</f>
        <v>0</v>
      </c>
      <c r="G34" s="168" t="str">
        <f>'Ordering Period 1'!AP33</f>
        <v/>
      </c>
      <c r="H34" s="171">
        <f t="shared" si="7"/>
        <v>0</v>
      </c>
      <c r="J34" s="114">
        <f>$J$21*'Ordering Period 2'!AC33</f>
        <v>0</v>
      </c>
      <c r="K34" s="168" t="str">
        <f>'Ordering Period 2'!AN33</f>
        <v/>
      </c>
      <c r="L34" s="171">
        <f t="shared" si="8"/>
        <v>0</v>
      </c>
      <c r="N34" s="114">
        <f>$N$21*'Ordering Period 3'!AC33</f>
        <v>0</v>
      </c>
      <c r="O34" s="168" t="str">
        <f>'Ordering Period 3'!AN33</f>
        <v/>
      </c>
      <c r="P34" s="171">
        <f t="shared" si="9"/>
        <v>0</v>
      </c>
      <c r="Q34" s="1"/>
      <c r="R34" s="114">
        <f>$R$21*'Ordering Period 4'!AE33</f>
        <v>0</v>
      </c>
      <c r="S34" s="168" t="str">
        <f>'Ordering Period 4'!AP33</f>
        <v/>
      </c>
      <c r="T34" s="171">
        <f t="shared" si="10"/>
        <v>0</v>
      </c>
      <c r="V34" s="114">
        <f>$V$21*'Ordering Period 5'!AC33</f>
        <v>0</v>
      </c>
      <c r="W34" s="168" t="str">
        <f>'Ordering Period 5'!AN33</f>
        <v/>
      </c>
      <c r="X34" s="171">
        <f t="shared" si="5"/>
        <v>0</v>
      </c>
    </row>
    <row r="35" spans="1:27" s="111" customFormat="1" ht="15.75" thickBot="1" x14ac:dyDescent="0.3">
      <c r="A35" s="543"/>
      <c r="B35" s="239" t="str">
        <f t="shared" si="6"/>
        <v>015</v>
      </c>
      <c r="C35" s="239" t="str">
        <f t="shared" si="6"/>
        <v>Welder</v>
      </c>
      <c r="D35" s="240" t="s">
        <v>189</v>
      </c>
      <c r="F35" s="150">
        <f>$F$21*'Ordering Period 1'!AE34</f>
        <v>0</v>
      </c>
      <c r="G35" s="172" t="str">
        <f>'Ordering Period 1'!AP34</f>
        <v/>
      </c>
      <c r="H35" s="173">
        <f t="shared" si="7"/>
        <v>0</v>
      </c>
      <c r="J35" s="150">
        <f>$J$21*'Ordering Period 2'!AC34</f>
        <v>0</v>
      </c>
      <c r="K35" s="172" t="str">
        <f>'Ordering Period 2'!AN34</f>
        <v/>
      </c>
      <c r="L35" s="173">
        <f t="shared" si="8"/>
        <v>0</v>
      </c>
      <c r="N35" s="150">
        <f>$N$21*'Ordering Period 3'!AC34</f>
        <v>0</v>
      </c>
      <c r="O35" s="172" t="str">
        <f>'Ordering Period 3'!AN34</f>
        <v/>
      </c>
      <c r="P35" s="173">
        <f t="shared" si="9"/>
        <v>0</v>
      </c>
      <c r="Q35" s="1"/>
      <c r="R35" s="150">
        <f>$R$21*'Ordering Period 4'!AE34</f>
        <v>0</v>
      </c>
      <c r="S35" s="172" t="str">
        <f>'Ordering Period 4'!AP34</f>
        <v/>
      </c>
      <c r="T35" s="173">
        <f t="shared" si="10"/>
        <v>0</v>
      </c>
      <c r="V35" s="150">
        <f>$V$21*'Ordering Period 5'!AC34</f>
        <v>0</v>
      </c>
      <c r="W35" s="172" t="str">
        <f>'Ordering Period 5'!AN34</f>
        <v/>
      </c>
      <c r="X35" s="173">
        <f t="shared" si="5"/>
        <v>0</v>
      </c>
    </row>
    <row r="36" spans="1:27" ht="15.75" thickBot="1" x14ac:dyDescent="0.3">
      <c r="A36" s="422" t="s">
        <v>116</v>
      </c>
      <c r="B36" s="423"/>
      <c r="C36" s="424"/>
      <c r="D36" s="425"/>
      <c r="E36" s="220"/>
      <c r="F36" s="263">
        <v>1.2</v>
      </c>
      <c r="G36" s="264"/>
      <c r="H36" s="418"/>
      <c r="I36" s="220"/>
      <c r="J36" s="263">
        <v>1.2</v>
      </c>
      <c r="K36" s="264"/>
      <c r="L36" s="418"/>
      <c r="M36" s="220"/>
      <c r="N36" s="263">
        <v>1.2</v>
      </c>
      <c r="O36" s="264"/>
      <c r="P36" s="418"/>
      <c r="Q36" s="220"/>
      <c r="R36" s="263">
        <v>1.2</v>
      </c>
      <c r="S36" s="264"/>
      <c r="T36" s="418"/>
      <c r="U36" s="220"/>
      <c r="V36" s="263">
        <v>1.2</v>
      </c>
      <c r="W36" s="264"/>
      <c r="X36" s="418"/>
      <c r="Y36" s="106"/>
      <c r="Z36" s="106"/>
      <c r="AA36" s="106"/>
    </row>
    <row r="37" spans="1:27" s="111" customFormat="1" ht="15.75" thickBot="1" x14ac:dyDescent="0.3">
      <c r="A37" s="414" t="s">
        <v>73</v>
      </c>
      <c r="B37" s="415" t="str">
        <f>Totals!B21</f>
        <v>016</v>
      </c>
      <c r="C37" s="426" t="str">
        <f>Totals!C21</f>
        <v>Field Service Representative</v>
      </c>
      <c r="D37" s="427" t="str">
        <f>Totals!D21</f>
        <v>OCONUS</v>
      </c>
      <c r="F37" s="419">
        <f>$F$36*'Ordering Period 1'!AE36</f>
        <v>0</v>
      </c>
      <c r="G37" s="420" t="str">
        <f>'Ordering Period 1'!AP36</f>
        <v/>
      </c>
      <c r="H37" s="421">
        <f t="shared" ref="H37:H52" si="11">SUM(F37:G37)</f>
        <v>0</v>
      </c>
      <c r="J37" s="419">
        <f>$J$36*'Ordering Period 2'!AC36</f>
        <v>0</v>
      </c>
      <c r="K37" s="420" t="str">
        <f>'Ordering Period 2'!AN36</f>
        <v/>
      </c>
      <c r="L37" s="421">
        <f t="shared" ref="L37:L52" si="12">SUM(J37:K37)</f>
        <v>0</v>
      </c>
      <c r="N37" s="419">
        <f>$N$36*'Ordering Period 3'!AC36</f>
        <v>0</v>
      </c>
      <c r="O37" s="420" t="str">
        <f>'Ordering Period 3'!AN36</f>
        <v/>
      </c>
      <c r="P37" s="421">
        <f t="shared" ref="P37:P52" si="13">SUM(N37:O37)</f>
        <v>0</v>
      </c>
      <c r="Q37" s="1"/>
      <c r="R37" s="419">
        <f>$R$36*'Ordering Period 4'!AE36</f>
        <v>0</v>
      </c>
      <c r="S37" s="420" t="str">
        <f>'Ordering Period 4'!AP36</f>
        <v/>
      </c>
      <c r="T37" s="421">
        <f>SUM(R37:S37)</f>
        <v>0</v>
      </c>
      <c r="V37" s="419">
        <f>$V$36*'Ordering Period 5'!AC36</f>
        <v>0</v>
      </c>
      <c r="W37" s="420" t="str">
        <f>'Ordering Period 5'!AN36</f>
        <v/>
      </c>
      <c r="X37" s="421">
        <f>SUM(V37:W37)</f>
        <v>0</v>
      </c>
    </row>
    <row r="38" spans="1:27" s="111" customFormat="1" ht="15.75" thickBot="1" x14ac:dyDescent="0.3">
      <c r="A38" s="414" t="s">
        <v>74</v>
      </c>
      <c r="B38" s="415" t="str">
        <f>Totals!B22</f>
        <v>017</v>
      </c>
      <c r="C38" s="426" t="str">
        <f>Totals!C22</f>
        <v>Heavy Equipment Mechanic</v>
      </c>
      <c r="D38" s="427" t="str">
        <f>Totals!D22</f>
        <v>OCONUS</v>
      </c>
      <c r="F38" s="419">
        <f>$F$36*'Ordering Period 1'!AE37</f>
        <v>0</v>
      </c>
      <c r="G38" s="420" t="str">
        <f>'Ordering Period 1'!AP37</f>
        <v/>
      </c>
      <c r="H38" s="421">
        <f t="shared" si="11"/>
        <v>0</v>
      </c>
      <c r="J38" s="419">
        <f>$J$36*'Ordering Period 2'!AC37</f>
        <v>0</v>
      </c>
      <c r="K38" s="420" t="str">
        <f>'Ordering Period 2'!AN37</f>
        <v/>
      </c>
      <c r="L38" s="421">
        <f t="shared" si="12"/>
        <v>0</v>
      </c>
      <c r="N38" s="419">
        <f>$N$36*'Ordering Period 3'!AC37</f>
        <v>0</v>
      </c>
      <c r="O38" s="420" t="str">
        <f>'Ordering Period 3'!AN37</f>
        <v/>
      </c>
      <c r="P38" s="421">
        <f t="shared" si="13"/>
        <v>0</v>
      </c>
      <c r="Q38" s="1"/>
      <c r="R38" s="419">
        <f>$R$36*'Ordering Period 4'!AE37</f>
        <v>0</v>
      </c>
      <c r="S38" s="420" t="str">
        <f>'Ordering Period 4'!AP37</f>
        <v/>
      </c>
      <c r="T38" s="421">
        <f>SUM(R38:S38)</f>
        <v>0</v>
      </c>
      <c r="V38" s="419">
        <f>$V$36*'Ordering Period 5'!AC37</f>
        <v>0</v>
      </c>
      <c r="W38" s="420" t="str">
        <f>'Ordering Period 5'!AN37</f>
        <v/>
      </c>
      <c r="X38" s="421">
        <f>SUM(V38:W38)</f>
        <v>0</v>
      </c>
    </row>
    <row r="39" spans="1:27" s="111" customFormat="1" x14ac:dyDescent="0.25">
      <c r="A39" s="541" t="s">
        <v>76</v>
      </c>
      <c r="B39" s="236" t="str">
        <f>Totals!B23</f>
        <v>018</v>
      </c>
      <c r="C39" s="110" t="str">
        <f>Totals!C23</f>
        <v>Instructor Supervisor</v>
      </c>
      <c r="D39" s="117" t="str">
        <f>Totals!D23</f>
        <v>OCONUS</v>
      </c>
      <c r="F39" s="112">
        <f>$F$36*'Ordering Period 1'!AE38</f>
        <v>0</v>
      </c>
      <c r="G39" s="169" t="str">
        <f>'Ordering Period 1'!AP38</f>
        <v/>
      </c>
      <c r="H39" s="170">
        <f t="shared" si="11"/>
        <v>0</v>
      </c>
      <c r="J39" s="112">
        <f>$J$36*'Ordering Period 2'!AC38</f>
        <v>0</v>
      </c>
      <c r="K39" s="169" t="str">
        <f>'Ordering Period 2'!AN38</f>
        <v/>
      </c>
      <c r="L39" s="170">
        <f t="shared" si="12"/>
        <v>0</v>
      </c>
      <c r="N39" s="112">
        <f>$N$36*'Ordering Period 3'!AC38</f>
        <v>0</v>
      </c>
      <c r="O39" s="169" t="str">
        <f>'Ordering Period 3'!AN38</f>
        <v/>
      </c>
      <c r="P39" s="170">
        <f t="shared" si="13"/>
        <v>0</v>
      </c>
      <c r="Q39" s="1"/>
      <c r="R39" s="431"/>
      <c r="S39" s="432"/>
      <c r="T39" s="433">
        <f t="shared" ref="T39:T52" si="14">SUM(R39:S39)</f>
        <v>0</v>
      </c>
      <c r="V39" s="431"/>
      <c r="W39" s="432"/>
      <c r="X39" s="433">
        <f t="shared" ref="X39:X52" si="15">SUM(V39:W39)</f>
        <v>0</v>
      </c>
    </row>
    <row r="40" spans="1:27" s="111" customFormat="1" ht="15.75" thickBot="1" x14ac:dyDescent="0.3">
      <c r="A40" s="543"/>
      <c r="B40" s="239" t="str">
        <f>Totals!B24</f>
        <v>019</v>
      </c>
      <c r="C40" s="163" t="str">
        <f>Totals!C24</f>
        <v xml:space="preserve">Instructor </v>
      </c>
      <c r="D40" s="164" t="str">
        <f>Totals!D24</f>
        <v>OCONUS</v>
      </c>
      <c r="F40" s="265">
        <f>$F$36*'Ordering Period 1'!AE39</f>
        <v>0</v>
      </c>
      <c r="G40" s="266" t="str">
        <f>'Ordering Period 1'!AP39</f>
        <v/>
      </c>
      <c r="H40" s="173">
        <f t="shared" si="11"/>
        <v>0</v>
      </c>
      <c r="J40" s="265">
        <f>$J$36*'Ordering Period 2'!AC39</f>
        <v>0</v>
      </c>
      <c r="K40" s="266" t="str">
        <f>'Ordering Period 2'!AN39</f>
        <v/>
      </c>
      <c r="L40" s="173">
        <f t="shared" si="12"/>
        <v>0</v>
      </c>
      <c r="N40" s="265">
        <f>$N$36*'Ordering Period 3'!AC39</f>
        <v>0</v>
      </c>
      <c r="O40" s="266" t="str">
        <f>'Ordering Period 3'!AN39</f>
        <v/>
      </c>
      <c r="P40" s="173">
        <f t="shared" si="13"/>
        <v>0</v>
      </c>
      <c r="Q40" s="1"/>
      <c r="R40" s="434"/>
      <c r="S40" s="435"/>
      <c r="T40" s="275">
        <f t="shared" si="14"/>
        <v>0</v>
      </c>
      <c r="V40" s="434"/>
      <c r="W40" s="435"/>
      <c r="X40" s="275">
        <f t="shared" si="15"/>
        <v>0</v>
      </c>
    </row>
    <row r="41" spans="1:27" s="111" customFormat="1" x14ac:dyDescent="0.25">
      <c r="A41" s="544" t="s">
        <v>77</v>
      </c>
      <c r="B41" s="236" t="str">
        <f>Totals!B25</f>
        <v>020</v>
      </c>
      <c r="C41" s="110" t="str">
        <f>Totals!C25</f>
        <v>Heavy Equipment Mechanic</v>
      </c>
      <c r="D41" s="117" t="str">
        <f>Totals!D25</f>
        <v>OCONUS</v>
      </c>
      <c r="F41" s="112">
        <f>$F$36*'Ordering Period 1'!AE40</f>
        <v>0</v>
      </c>
      <c r="G41" s="169" t="str">
        <f>'Ordering Period 1'!AP40</f>
        <v/>
      </c>
      <c r="H41" s="170">
        <f t="shared" si="11"/>
        <v>0</v>
      </c>
      <c r="J41" s="112">
        <f>$J$36*'Ordering Period 2'!AC40</f>
        <v>0</v>
      </c>
      <c r="K41" s="169" t="str">
        <f>'Ordering Period 2'!AN40</f>
        <v/>
      </c>
      <c r="L41" s="170">
        <f t="shared" si="12"/>
        <v>0</v>
      </c>
      <c r="N41" s="112">
        <f>$N$36*'Ordering Period 3'!AC40</f>
        <v>0</v>
      </c>
      <c r="O41" s="169" t="str">
        <f>'Ordering Period 3'!AN40</f>
        <v/>
      </c>
      <c r="P41" s="170">
        <f t="shared" si="13"/>
        <v>0</v>
      </c>
      <c r="Q41" s="1"/>
      <c r="R41" s="112">
        <f>$R$36*'Ordering Period 4'!AE38</f>
        <v>0</v>
      </c>
      <c r="S41" s="169" t="str">
        <f>'Ordering Period 4'!AP38</f>
        <v/>
      </c>
      <c r="T41" s="170">
        <f t="shared" si="14"/>
        <v>0</v>
      </c>
      <c r="V41" s="112">
        <f>$V$36*'Ordering Period 5'!AC38</f>
        <v>0</v>
      </c>
      <c r="W41" s="169" t="str">
        <f>'Ordering Period 5'!AN38</f>
        <v/>
      </c>
      <c r="X41" s="170">
        <f t="shared" si="15"/>
        <v>0</v>
      </c>
    </row>
    <row r="42" spans="1:27" s="111" customFormat="1" x14ac:dyDescent="0.25">
      <c r="A42" s="545"/>
      <c r="B42" s="235" t="str">
        <f>Totals!B26</f>
        <v>021</v>
      </c>
      <c r="C42" s="113" t="str">
        <f>Totals!C26</f>
        <v>Material Handling Specialist</v>
      </c>
      <c r="D42" s="118" t="str">
        <f>Totals!D26</f>
        <v>OCONUS</v>
      </c>
      <c r="F42" s="224">
        <f>$F$36*'Ordering Period 1'!AE41</f>
        <v>0</v>
      </c>
      <c r="G42" s="225" t="str">
        <f>'Ordering Period 1'!AP41</f>
        <v/>
      </c>
      <c r="H42" s="171">
        <f t="shared" si="11"/>
        <v>0</v>
      </c>
      <c r="J42" s="224">
        <f>$J$36*'Ordering Period 2'!AC41</f>
        <v>0</v>
      </c>
      <c r="K42" s="225" t="str">
        <f>'Ordering Period 2'!AN41</f>
        <v/>
      </c>
      <c r="L42" s="171">
        <f t="shared" si="12"/>
        <v>0</v>
      </c>
      <c r="N42" s="224">
        <f>$N$36*'Ordering Period 3'!AC41</f>
        <v>0</v>
      </c>
      <c r="O42" s="225" t="str">
        <f>'Ordering Period 3'!AN41</f>
        <v/>
      </c>
      <c r="P42" s="171">
        <f t="shared" si="13"/>
        <v>0</v>
      </c>
      <c r="Q42" s="1"/>
      <c r="R42" s="436"/>
      <c r="S42" s="437"/>
      <c r="T42" s="274">
        <f t="shared" si="14"/>
        <v>0</v>
      </c>
      <c r="V42" s="436"/>
      <c r="W42" s="437"/>
      <c r="X42" s="274">
        <f t="shared" si="15"/>
        <v>0</v>
      </c>
    </row>
    <row r="43" spans="1:27" s="111" customFormat="1" x14ac:dyDescent="0.25">
      <c r="A43" s="545"/>
      <c r="B43" s="235" t="str">
        <f>Totals!B27</f>
        <v>022</v>
      </c>
      <c r="C43" s="113" t="str">
        <f>Totals!C27</f>
        <v>Quality Assurance</v>
      </c>
      <c r="D43" s="118" t="str">
        <f>Totals!D27</f>
        <v>OCONUS</v>
      </c>
      <c r="F43" s="224">
        <f>$F$36*'Ordering Period 1'!AE42</f>
        <v>0</v>
      </c>
      <c r="G43" s="225" t="str">
        <f>'Ordering Period 1'!AP42</f>
        <v/>
      </c>
      <c r="H43" s="171">
        <f t="shared" si="11"/>
        <v>0</v>
      </c>
      <c r="J43" s="224">
        <f>$J$36*'Ordering Period 2'!AC42</f>
        <v>0</v>
      </c>
      <c r="K43" s="225" t="str">
        <f>'Ordering Period 2'!AN42</f>
        <v/>
      </c>
      <c r="L43" s="171">
        <f t="shared" si="12"/>
        <v>0</v>
      </c>
      <c r="N43" s="224">
        <f>$N$36*'Ordering Period 3'!AC42</f>
        <v>0</v>
      </c>
      <c r="O43" s="225" t="str">
        <f>'Ordering Period 3'!AN42</f>
        <v/>
      </c>
      <c r="P43" s="171">
        <f t="shared" si="13"/>
        <v>0</v>
      </c>
      <c r="Q43" s="1"/>
      <c r="R43" s="436"/>
      <c r="S43" s="437"/>
      <c r="T43" s="274">
        <f t="shared" si="14"/>
        <v>0</v>
      </c>
      <c r="V43" s="436"/>
      <c r="W43" s="437"/>
      <c r="X43" s="274">
        <f t="shared" si="15"/>
        <v>0</v>
      </c>
    </row>
    <row r="44" spans="1:27" ht="15.75" thickBot="1" x14ac:dyDescent="0.3">
      <c r="A44" s="546"/>
      <c r="B44" s="239" t="str">
        <f>Totals!B28</f>
        <v>023</v>
      </c>
      <c r="C44" s="163" t="str">
        <f>Totals!C28</f>
        <v>Supply/Procurement Specialist</v>
      </c>
      <c r="D44" s="164" t="str">
        <f>Totals!D28</f>
        <v>OCONUS</v>
      </c>
      <c r="E44" s="111"/>
      <c r="F44" s="265">
        <f>$F$36*'Ordering Period 1'!AE43</f>
        <v>0</v>
      </c>
      <c r="G44" s="266" t="str">
        <f>'Ordering Period 1'!AP43</f>
        <v/>
      </c>
      <c r="H44" s="173">
        <f t="shared" si="11"/>
        <v>0</v>
      </c>
      <c r="I44" s="111"/>
      <c r="J44" s="265">
        <f>$J$36*'Ordering Period 2'!AC43</f>
        <v>0</v>
      </c>
      <c r="K44" s="266" t="str">
        <f>'Ordering Period 2'!AN43</f>
        <v/>
      </c>
      <c r="L44" s="173">
        <f t="shared" si="12"/>
        <v>0</v>
      </c>
      <c r="M44" s="111"/>
      <c r="N44" s="265">
        <f>$N$36*'Ordering Period 3'!AC43</f>
        <v>0</v>
      </c>
      <c r="O44" s="266" t="str">
        <f>'Ordering Period 3'!AN43</f>
        <v/>
      </c>
      <c r="P44" s="173">
        <f t="shared" si="13"/>
        <v>0</v>
      </c>
      <c r="Q44" s="1"/>
      <c r="R44" s="434"/>
      <c r="S44" s="435"/>
      <c r="T44" s="275">
        <f t="shared" si="14"/>
        <v>0</v>
      </c>
      <c r="U44" s="111"/>
      <c r="V44" s="434"/>
      <c r="W44" s="435"/>
      <c r="X44" s="275">
        <f t="shared" si="15"/>
        <v>0</v>
      </c>
    </row>
    <row r="45" spans="1:27" ht="15.75" thickBot="1" x14ac:dyDescent="0.3">
      <c r="A45" s="414" t="s">
        <v>73</v>
      </c>
      <c r="B45" s="415" t="str">
        <f>Totals!B29</f>
        <v>024</v>
      </c>
      <c r="C45" s="426" t="str">
        <f>Totals!C29</f>
        <v>Field Service Representative</v>
      </c>
      <c r="D45" s="427" t="str">
        <f>Totals!D29</f>
        <v>OCONUS - IRAQ</v>
      </c>
      <c r="E45" s="111"/>
      <c r="F45" s="428"/>
      <c r="G45" s="429"/>
      <c r="H45" s="430">
        <f t="shared" si="11"/>
        <v>0</v>
      </c>
      <c r="I45" s="111"/>
      <c r="J45" s="428"/>
      <c r="K45" s="429"/>
      <c r="L45" s="430">
        <f t="shared" si="12"/>
        <v>0</v>
      </c>
      <c r="M45" s="111"/>
      <c r="N45" s="428"/>
      <c r="O45" s="429"/>
      <c r="P45" s="430">
        <f t="shared" si="13"/>
        <v>0</v>
      </c>
      <c r="Q45" s="1"/>
      <c r="R45" s="419">
        <f>$R$36*'Ordering Period 4'!AE39</f>
        <v>0</v>
      </c>
      <c r="S45" s="420" t="str">
        <f>'Ordering Period 4'!AP39</f>
        <v/>
      </c>
      <c r="T45" s="421">
        <f t="shared" si="14"/>
        <v>0</v>
      </c>
      <c r="U45" s="111"/>
      <c r="V45" s="419">
        <f>$V$36*'Ordering Period 5'!AC39</f>
        <v>0</v>
      </c>
      <c r="W45" s="420" t="str">
        <f>'Ordering Period 5'!AN39</f>
        <v/>
      </c>
      <c r="X45" s="421">
        <f t="shared" si="15"/>
        <v>0</v>
      </c>
    </row>
    <row r="46" spans="1:27" ht="15.75" thickBot="1" x14ac:dyDescent="0.3">
      <c r="A46" s="414" t="s">
        <v>74</v>
      </c>
      <c r="B46" s="415" t="str">
        <f>Totals!B30</f>
        <v>025</v>
      </c>
      <c r="C46" s="426" t="str">
        <f>Totals!C30</f>
        <v>Heavy Equipment Mechanic</v>
      </c>
      <c r="D46" s="427" t="str">
        <f>Totals!D30</f>
        <v>OCONUS - IRAQ</v>
      </c>
      <c r="E46" s="111"/>
      <c r="F46" s="428"/>
      <c r="G46" s="429"/>
      <c r="H46" s="430">
        <f t="shared" si="11"/>
        <v>0</v>
      </c>
      <c r="I46" s="111"/>
      <c r="J46" s="428"/>
      <c r="K46" s="429"/>
      <c r="L46" s="430">
        <f t="shared" si="12"/>
        <v>0</v>
      </c>
      <c r="M46" s="111"/>
      <c r="N46" s="428"/>
      <c r="O46" s="429"/>
      <c r="P46" s="430">
        <f t="shared" si="13"/>
        <v>0</v>
      </c>
      <c r="Q46" s="1"/>
      <c r="R46" s="419">
        <f>$R$36*'Ordering Period 4'!AE40</f>
        <v>0</v>
      </c>
      <c r="S46" s="420" t="str">
        <f>'Ordering Period 4'!AP40</f>
        <v/>
      </c>
      <c r="T46" s="421">
        <f t="shared" si="14"/>
        <v>0</v>
      </c>
      <c r="U46" s="111"/>
      <c r="V46" s="419">
        <f>$V$36*'Ordering Period 5'!AC40</f>
        <v>0</v>
      </c>
      <c r="W46" s="420" t="str">
        <f>'Ordering Period 5'!AN40</f>
        <v/>
      </c>
      <c r="X46" s="421">
        <f t="shared" si="15"/>
        <v>0</v>
      </c>
    </row>
    <row r="47" spans="1:27" x14ac:dyDescent="0.25">
      <c r="A47" s="544" t="s">
        <v>76</v>
      </c>
      <c r="B47" s="236" t="str">
        <f>Totals!B31</f>
        <v>026</v>
      </c>
      <c r="C47" s="110" t="str">
        <f>Totals!C31</f>
        <v>Instructor Supervisor</v>
      </c>
      <c r="D47" s="117" t="str">
        <f>Totals!D31</f>
        <v>OCONUS - IRAQ</v>
      </c>
      <c r="E47" s="111"/>
      <c r="F47" s="431"/>
      <c r="G47" s="432"/>
      <c r="H47" s="433">
        <f t="shared" si="11"/>
        <v>0</v>
      </c>
      <c r="I47" s="111"/>
      <c r="J47" s="431"/>
      <c r="K47" s="432"/>
      <c r="L47" s="433">
        <f t="shared" si="12"/>
        <v>0</v>
      </c>
      <c r="M47" s="111"/>
      <c r="N47" s="431"/>
      <c r="O47" s="432"/>
      <c r="P47" s="433">
        <f t="shared" si="13"/>
        <v>0</v>
      </c>
      <c r="Q47" s="1"/>
      <c r="R47" s="112">
        <f>$R$36*'Ordering Period 4'!AE41</f>
        <v>0</v>
      </c>
      <c r="S47" s="169" t="str">
        <f>'Ordering Period 4'!AP41</f>
        <v/>
      </c>
      <c r="T47" s="170">
        <f t="shared" si="14"/>
        <v>0</v>
      </c>
      <c r="U47" s="111"/>
      <c r="V47" s="112">
        <f>$V$36*'Ordering Period 5'!AC41</f>
        <v>0</v>
      </c>
      <c r="W47" s="169" t="str">
        <f>'Ordering Period 5'!AN41</f>
        <v/>
      </c>
      <c r="X47" s="170">
        <f t="shared" si="15"/>
        <v>0</v>
      </c>
    </row>
    <row r="48" spans="1:27" ht="15.75" thickBot="1" x14ac:dyDescent="0.3">
      <c r="A48" s="547"/>
      <c r="B48" s="239" t="str">
        <f>Totals!B32</f>
        <v>027</v>
      </c>
      <c r="C48" s="163" t="str">
        <f>Totals!C32</f>
        <v xml:space="preserve">Instructor </v>
      </c>
      <c r="D48" s="164" t="str">
        <f>Totals!D32</f>
        <v>OCONUS - IRAQ</v>
      </c>
      <c r="E48" s="111"/>
      <c r="F48" s="434"/>
      <c r="G48" s="435"/>
      <c r="H48" s="275">
        <f t="shared" si="11"/>
        <v>0</v>
      </c>
      <c r="I48" s="111"/>
      <c r="J48" s="434"/>
      <c r="K48" s="435"/>
      <c r="L48" s="275">
        <f t="shared" si="12"/>
        <v>0</v>
      </c>
      <c r="M48" s="111"/>
      <c r="N48" s="434"/>
      <c r="O48" s="435"/>
      <c r="P48" s="275">
        <f t="shared" si="13"/>
        <v>0</v>
      </c>
      <c r="Q48" s="1"/>
      <c r="R48" s="265">
        <f>$R$36*'Ordering Period 4'!AE42</f>
        <v>0</v>
      </c>
      <c r="S48" s="266" t="str">
        <f>'Ordering Period 4'!AP42</f>
        <v/>
      </c>
      <c r="T48" s="173">
        <f t="shared" si="14"/>
        <v>0</v>
      </c>
      <c r="U48" s="111"/>
      <c r="V48" s="265">
        <f>$V$36*'Ordering Period 5'!AC42</f>
        <v>0</v>
      </c>
      <c r="W48" s="266" t="str">
        <f>'Ordering Period 5'!AN42</f>
        <v/>
      </c>
      <c r="X48" s="173">
        <f t="shared" si="15"/>
        <v>0</v>
      </c>
    </row>
    <row r="49" spans="1:24" x14ac:dyDescent="0.25">
      <c r="A49" s="544" t="s">
        <v>77</v>
      </c>
      <c r="B49" s="236" t="str">
        <f>Totals!B33</f>
        <v>028</v>
      </c>
      <c r="C49" s="110" t="str">
        <f>Totals!C33</f>
        <v>Heavy Equipment Mechanic</v>
      </c>
      <c r="D49" s="117" t="str">
        <f>Totals!D33</f>
        <v>OCONUS - IRAQ</v>
      </c>
      <c r="E49" s="111"/>
      <c r="F49" s="431"/>
      <c r="G49" s="432"/>
      <c r="H49" s="433">
        <f t="shared" si="11"/>
        <v>0</v>
      </c>
      <c r="I49" s="111"/>
      <c r="J49" s="431"/>
      <c r="K49" s="432"/>
      <c r="L49" s="433">
        <f t="shared" si="12"/>
        <v>0</v>
      </c>
      <c r="M49" s="111"/>
      <c r="N49" s="431"/>
      <c r="O49" s="432"/>
      <c r="P49" s="433">
        <f t="shared" si="13"/>
        <v>0</v>
      </c>
      <c r="Q49" s="1"/>
      <c r="R49" s="112">
        <f>$R$36*'Ordering Period 4'!AE43</f>
        <v>0</v>
      </c>
      <c r="S49" s="169" t="str">
        <f>'Ordering Period 4'!AP43</f>
        <v/>
      </c>
      <c r="T49" s="170">
        <f t="shared" si="14"/>
        <v>0</v>
      </c>
      <c r="U49" s="111"/>
      <c r="V49" s="112">
        <f>$V$36*'Ordering Period 5'!AC43</f>
        <v>0</v>
      </c>
      <c r="W49" s="169" t="str">
        <f>'Ordering Period 5'!AN43</f>
        <v/>
      </c>
      <c r="X49" s="170">
        <f t="shared" si="15"/>
        <v>0</v>
      </c>
    </row>
    <row r="50" spans="1:24" x14ac:dyDescent="0.25">
      <c r="A50" s="545"/>
      <c r="B50" s="235" t="str">
        <f>Totals!B34</f>
        <v>029</v>
      </c>
      <c r="C50" s="113" t="str">
        <f>Totals!C34</f>
        <v>Material Handling Specialist</v>
      </c>
      <c r="D50" s="118" t="str">
        <f>Totals!D34</f>
        <v>OCONUS - IRAQ</v>
      </c>
      <c r="E50" s="111"/>
      <c r="F50" s="436"/>
      <c r="G50" s="437"/>
      <c r="H50" s="274">
        <f t="shared" si="11"/>
        <v>0</v>
      </c>
      <c r="I50" s="111"/>
      <c r="J50" s="436"/>
      <c r="K50" s="437"/>
      <c r="L50" s="274">
        <f t="shared" si="12"/>
        <v>0</v>
      </c>
      <c r="M50" s="111"/>
      <c r="N50" s="436"/>
      <c r="O50" s="437"/>
      <c r="P50" s="274">
        <f t="shared" si="13"/>
        <v>0</v>
      </c>
      <c r="Q50" s="1"/>
      <c r="R50" s="224">
        <f>$R$36*'Ordering Period 4'!AE44</f>
        <v>0</v>
      </c>
      <c r="S50" s="225" t="str">
        <f>'Ordering Period 4'!AP44</f>
        <v/>
      </c>
      <c r="T50" s="171">
        <f t="shared" si="14"/>
        <v>0</v>
      </c>
      <c r="U50" s="111"/>
      <c r="V50" s="224">
        <f>$V$36*'Ordering Period 5'!AC44</f>
        <v>0</v>
      </c>
      <c r="W50" s="225" t="str">
        <f>'Ordering Period 5'!AN44</f>
        <v/>
      </c>
      <c r="X50" s="171">
        <f t="shared" si="15"/>
        <v>0</v>
      </c>
    </row>
    <row r="51" spans="1:24" x14ac:dyDescent="0.25">
      <c r="A51" s="545"/>
      <c r="B51" s="235" t="str">
        <f>Totals!B35</f>
        <v>030</v>
      </c>
      <c r="C51" s="113" t="str">
        <f>Totals!C35</f>
        <v>Quality Assurance</v>
      </c>
      <c r="D51" s="118" t="str">
        <f>Totals!D35</f>
        <v>OCONUS - IRAQ</v>
      </c>
      <c r="E51" s="111"/>
      <c r="F51" s="436"/>
      <c r="G51" s="437"/>
      <c r="H51" s="274">
        <f t="shared" si="11"/>
        <v>0</v>
      </c>
      <c r="I51" s="111"/>
      <c r="J51" s="436"/>
      <c r="K51" s="437"/>
      <c r="L51" s="274">
        <f t="shared" si="12"/>
        <v>0</v>
      </c>
      <c r="M51" s="111"/>
      <c r="N51" s="436"/>
      <c r="O51" s="437"/>
      <c r="P51" s="274">
        <f t="shared" si="13"/>
        <v>0</v>
      </c>
      <c r="Q51" s="1"/>
      <c r="R51" s="224">
        <f>$R$36*'Ordering Period 4'!AE45</f>
        <v>0</v>
      </c>
      <c r="S51" s="225" t="str">
        <f>'Ordering Period 4'!AP45</f>
        <v/>
      </c>
      <c r="T51" s="171">
        <f t="shared" si="14"/>
        <v>0</v>
      </c>
      <c r="V51" s="224">
        <f>$V$36*'Ordering Period 5'!AC45</f>
        <v>0</v>
      </c>
      <c r="W51" s="225" t="str">
        <f>'Ordering Period 5'!AN45</f>
        <v/>
      </c>
      <c r="X51" s="171">
        <f t="shared" si="15"/>
        <v>0</v>
      </c>
    </row>
    <row r="52" spans="1:24" ht="15.75" thickBot="1" x14ac:dyDescent="0.3">
      <c r="A52" s="546"/>
      <c r="B52" s="239" t="str">
        <f>Totals!B36</f>
        <v>031</v>
      </c>
      <c r="C52" s="163" t="str">
        <f>Totals!C36</f>
        <v>Supply/Procurement Specialist</v>
      </c>
      <c r="D52" s="164" t="str">
        <f>Totals!D36</f>
        <v>OCONUS - IRAQ</v>
      </c>
      <c r="E52" s="111"/>
      <c r="F52" s="434"/>
      <c r="G52" s="435"/>
      <c r="H52" s="275">
        <f t="shared" si="11"/>
        <v>0</v>
      </c>
      <c r="I52" s="111"/>
      <c r="J52" s="434"/>
      <c r="K52" s="435"/>
      <c r="L52" s="275">
        <f t="shared" si="12"/>
        <v>0</v>
      </c>
      <c r="M52" s="111"/>
      <c r="N52" s="434"/>
      <c r="O52" s="435"/>
      <c r="P52" s="275">
        <f t="shared" si="13"/>
        <v>0</v>
      </c>
      <c r="Q52" s="1"/>
      <c r="R52" s="265">
        <f>$R$36*'Ordering Period 4'!AE46</f>
        <v>0</v>
      </c>
      <c r="S52" s="266" t="str">
        <f>'Ordering Period 4'!AP46</f>
        <v/>
      </c>
      <c r="T52" s="173">
        <f t="shared" si="14"/>
        <v>0</v>
      </c>
      <c r="V52" s="265">
        <f>$V$36*'Ordering Period 5'!AC46</f>
        <v>0</v>
      </c>
      <c r="W52" s="266" t="str">
        <f>'Ordering Period 5'!AN46</f>
        <v/>
      </c>
      <c r="X52" s="173">
        <f t="shared" si="15"/>
        <v>0</v>
      </c>
    </row>
  </sheetData>
  <sheetProtection algorithmName="SHA-512" hashValue="VRX0n22rYVZq2F/ooWg0cTYI8MKjioE54fEEdDbkb9iT9EYVz2Khe3FWKxGpG60MlEh+YD4HG80WMDP3v7nKLA==" saltValue="6qf1fE6eofw5qs2pyteMuA==" spinCount="100000" sheet="1" objects="1" scenarios="1"/>
  <mergeCells count="24">
    <mergeCell ref="A39:A40"/>
    <mergeCell ref="A41:A44"/>
    <mergeCell ref="A47:A48"/>
    <mergeCell ref="A49:A52"/>
    <mergeCell ref="A9:A13"/>
    <mergeCell ref="A14:A15"/>
    <mergeCell ref="A16:A20"/>
    <mergeCell ref="A24:A28"/>
    <mergeCell ref="A29:A30"/>
    <mergeCell ref="A31:A35"/>
    <mergeCell ref="N2:P2"/>
    <mergeCell ref="R2:T2"/>
    <mergeCell ref="V2:X2"/>
    <mergeCell ref="F3:H3"/>
    <mergeCell ref="J3:L3"/>
    <mergeCell ref="N3:P3"/>
    <mergeCell ref="R3:T3"/>
    <mergeCell ref="V3:X3"/>
    <mergeCell ref="J2:L2"/>
    <mergeCell ref="A2:A4"/>
    <mergeCell ref="B2:B4"/>
    <mergeCell ref="C2:C4"/>
    <mergeCell ref="D2:D4"/>
    <mergeCell ref="F2:H2"/>
  </mergeCells>
  <pageMargins left="0.7" right="0.7" top="0.75" bottom="0.75" header="0.3" footer="0.3"/>
  <pageSetup orientation="portrait" verticalDpi="597"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9"/>
  <sheetViews>
    <sheetView zoomScaleNormal="100" workbookViewId="0"/>
  </sheetViews>
  <sheetFormatPr defaultRowHeight="15" x14ac:dyDescent="0.25"/>
  <cols>
    <col min="1" max="16384" width="9.140625" style="10"/>
  </cols>
  <sheetData>
    <row r="9" ht="14.25" customHeight="1" x14ac:dyDescent="0.25"/>
  </sheetData>
  <sheetProtection algorithmName="SHA-512" hashValue="Jm8Nj0Hym2RGJFRBfiFV6jhOS2rvi/FsMfxaPf01XeHyfhsQuM+tw9HzH3ccxqPvmn7aJreFNmC0FFYYiSioCg==" saltValue="T3ShUVV6GGEsW1aL2XkZrw=="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B981AC7CB422041B9726AEF15698982" ma:contentTypeVersion="4" ma:contentTypeDescription="Create a new document." ma:contentTypeScope="" ma:versionID="a287b405eb72792d8cea93a302c03958">
  <xsd:schema xmlns:xsd="http://www.w3.org/2001/XMLSchema" xmlns:xs="http://www.w3.org/2001/XMLSchema" xmlns:p="http://schemas.microsoft.com/office/2006/metadata/properties" xmlns:ns2="34da5fa4-fd34-421b-95f7-e070fd9997b8" targetNamespace="http://schemas.microsoft.com/office/2006/metadata/properties" ma:root="true" ma:fieldsID="afa4341a7278039ad8d16a1d5294b784" ns2:_="">
    <xsd:import namespace="34da5fa4-fd34-421b-95f7-e070fd9997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da5fa4-fd34-421b-95f7-e070fd9997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D8024D-D00B-42A0-839C-208185140136}">
  <ds:schemaRefs>
    <ds:schemaRef ds:uri="http://schemas.microsoft.com/sharepoint/v3/contenttype/forms"/>
  </ds:schemaRefs>
</ds:datastoreItem>
</file>

<file path=customXml/itemProps2.xml><?xml version="1.0" encoding="utf-8"?>
<ds:datastoreItem xmlns:ds="http://schemas.openxmlformats.org/officeDocument/2006/customXml" ds:itemID="{8A336067-3C60-4DBB-B1FE-C91E3DA492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da5fa4-fd34-421b-95f7-e070fd9997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E90927-48B6-4D23-BD7C-2BE2220F33EA}">
  <ds:schemaRefs>
    <ds:schemaRef ds:uri="http://schemas.microsoft.com/office/2006/documentManagement/types"/>
    <ds:schemaRef ds:uri="http://schemas.microsoft.com/office/infopath/2007/PartnerControls"/>
    <ds:schemaRef ds:uri="34da5fa4-fd34-421b-95f7-e070fd9997b8"/>
    <ds:schemaRef ds:uri="http://purl.org/dc/terms/"/>
    <ds:schemaRef ds:uri="http://purl.org/dc/dcmitype/"/>
    <ds:schemaRef ds:uri="http://schemas.openxmlformats.org/package/2006/metadata/core-properties"/>
    <ds:schemaRef ds:uri="http://schemas.microsoft.com/office/2006/metadata/properties"/>
    <ds:schemaRef ds:uri="http://www.w3.org/XML/1998/namespace"/>
    <ds:schemaRef ds:uri="http://purl.org/dc/elements/1.1/"/>
  </ds:schemaRefs>
</ds:datastoreItem>
</file>

<file path=docMetadata/LabelInfo.xml><?xml version="1.0" encoding="utf-8"?>
<clbl:labelList xmlns:clbl="http://schemas.microsoft.com/office/2020/mipLabelMetadata">
  <clbl:label id="{f02d78b0-b74f-43f0-801d-d7d5ec01d625}" enabled="1" method="Standar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Minimum Qualifications</vt:lpstr>
      <vt:lpstr>Totals</vt:lpstr>
      <vt:lpstr>Ordering Period 1</vt:lpstr>
      <vt:lpstr>Ordering Period 2</vt:lpstr>
      <vt:lpstr>Ordering Period 3</vt:lpstr>
      <vt:lpstr>Ordering Period 4</vt:lpstr>
      <vt:lpstr>Ordering Period 5</vt:lpstr>
      <vt:lpstr>Escalation</vt:lpstr>
      <vt:lpstr>DBA Insurance</vt:lpstr>
      <vt:lpstr>Composite Labor Rates</vt:lpstr>
      <vt:lpstr>Prime Ceiling Rates</vt:lpstr>
      <vt:lpstr>Subcontractor Ceiling Rates</vt:lpstr>
      <vt:lpstr>CLINs</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A Kostka</dc:creator>
  <cp:keywords/>
  <dc:description/>
  <cp:lastModifiedBy>Zielinsky, Andrea M CIV USARMY ACC (USA)</cp:lastModifiedBy>
  <cp:revision/>
  <dcterms:created xsi:type="dcterms:W3CDTF">2017-01-24T12:52:57Z</dcterms:created>
  <dcterms:modified xsi:type="dcterms:W3CDTF">2025-03-20T17:48:01Z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0x010100DB981AC7CB422041B9726AEF15698982</vt:lpwstr>
  </property>
</Properties>
</file>