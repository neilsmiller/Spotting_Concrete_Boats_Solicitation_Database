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franklin_h_wright_mil_army_mil/Documents/Documents/921st/Contract Hobby/KrS26/ENG BLS/Aggregate/"/>
    </mc:Choice>
  </mc:AlternateContent>
  <xr:revisionPtr revIDLastSave="78" documentId="8_{B9A754DF-AA4A-47E3-9736-2277214BBDCB}" xr6:coauthVersionLast="47" xr6:coauthVersionMax="47" xr10:uidLastSave="{2772D921-BBE0-401A-B83D-AF45A9FEC13D}"/>
  <bookViews>
    <workbookView xWindow="-120" yWindow="150" windowWidth="29040" windowHeight="15450" activeTab="1" xr2:uid="{753D9167-BD24-4CBE-A180-716DF11E1D3B}"/>
  </bookViews>
  <sheets>
    <sheet name="Overall Total" sheetId="4" r:id="rId1"/>
    <sheet name="Aggregat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G9" i="3"/>
  <c r="G8" i="3"/>
  <c r="G7" i="3"/>
  <c r="G6" i="3"/>
  <c r="G5" i="3"/>
  <c r="G4" i="3"/>
  <c r="G3" i="3"/>
  <c r="G15" i="3" l="1"/>
  <c r="H6" i="4" s="1"/>
  <c r="H7" i="4" s="1"/>
</calcChain>
</file>

<file path=xl/sharedStrings.xml><?xml version="1.0" encoding="utf-8"?>
<sst xmlns="http://schemas.openxmlformats.org/spreadsheetml/2006/main" count="56" uniqueCount="35">
  <si>
    <t>Amount is in Cubic Meters</t>
  </si>
  <si>
    <t>Remarks (Unit)</t>
  </si>
  <si>
    <t>Delivery Date</t>
  </si>
  <si>
    <t>Amount</t>
  </si>
  <si>
    <t>Item</t>
  </si>
  <si>
    <t>Bill of Materials (Aggregate)</t>
  </si>
  <si>
    <t>Unit Price</t>
  </si>
  <si>
    <t>Total Price</t>
  </si>
  <si>
    <t xml:space="preserve"> Rock Size 2.5 cm </t>
  </si>
  <si>
    <t>LSA - 06°21'48.0832", 116°28'15.1447"</t>
  </si>
  <si>
    <t>Role II -06°21'25.1591", 116°28'16.6980"</t>
  </si>
  <si>
    <t>FARP - 06°21'16.4604", 116°28'12.8986"</t>
  </si>
  <si>
    <t>BAS - 06°21'25.3248", 116°28'19.5622"</t>
  </si>
  <si>
    <t>Zulu 6 - 06°20'08.6195", 116°33'54.6635"</t>
  </si>
  <si>
    <t>LTTI - 06°20'34.7384", 116°33'56.3016"</t>
  </si>
  <si>
    <t>JPMRC - 06°21'07.7564", 116°28'35.9851"</t>
  </si>
  <si>
    <t>AHA - 06°19'06.1196", 116°29'35.1811"</t>
  </si>
  <si>
    <t>Location</t>
  </si>
  <si>
    <t>Alternate Proposal Item Description</t>
  </si>
  <si>
    <t xml:space="preserve">Start delivery 16 MAY 2026 and complete by 28 MAY 2026 </t>
  </si>
  <si>
    <t xml:space="preserve">Start delivery 31 MAY 2026 and complete by 7 JUN 2026 </t>
  </si>
  <si>
    <t>Total</t>
  </si>
  <si>
    <t>NAME OF COMPANY SUBMITTING OFFER:</t>
  </si>
  <si>
    <t>ITEM #</t>
  </si>
  <si>
    <t>DESCRIPTION</t>
  </si>
  <si>
    <t>LOCATION</t>
  </si>
  <si>
    <t>UNITS (UM)</t>
  </si>
  <si>
    <t>POP</t>
  </si>
  <si>
    <t>DAYS</t>
  </si>
  <si>
    <t>UNIT PRICE PER DAY</t>
  </si>
  <si>
    <t>TOTAL</t>
  </si>
  <si>
    <t>1</t>
  </si>
  <si>
    <t>DBA Insurance</t>
  </si>
  <si>
    <t>2</t>
  </si>
  <si>
    <t>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</si>
</sst>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6" formatCode="&quot;$&quot;#,##0.00"/>
    <numFmt numFmtId="167" formatCode="_(* #,##0_);_(* \(#,##0\);_(* &quot;-&quot;??_);_(@_)"/>
    <numFmt numFmtId="168" formatCode="[$USD]\ #,##0.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name val="Times New Roman"/>
      <family val="1"/>
    </font>
    <font>
      <b/>
      <u/>
      <sz val="10"/>
      <name val="Arial"/>
      <family val="2"/>
    </font>
    <font>
      <b/>
      <i/>
      <u/>
      <sz val="10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color rgb="FF211F1F"/>
      <name val="Arial"/>
      <family val="2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7F89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3" fillId="0" borderId="0"/>
    <xf numFmtId="0" fontId="4" fillId="0" borderId="0"/>
    <xf numFmtId="44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</cellStyleXfs>
  <cellXfs count="67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3" fillId="3" borderId="0" xfId="1" applyFill="1"/>
    <xf numFmtId="0" fontId="3" fillId="0" borderId="0" xfId="1"/>
    <xf numFmtId="0" fontId="1" fillId="4" borderId="1" xfId="1" applyFont="1" applyFill="1" applyBorder="1"/>
    <xf numFmtId="164" fontId="1" fillId="4" borderId="1" xfId="1" applyNumberFormat="1" applyFont="1" applyFill="1" applyBorder="1"/>
    <xf numFmtId="0" fontId="1" fillId="4" borderId="1" xfId="1" applyFont="1" applyFill="1" applyBorder="1" applyAlignment="1">
      <alignment wrapText="1"/>
    </xf>
    <xf numFmtId="0" fontId="1" fillId="4" borderId="5" xfId="1" applyFont="1" applyFill="1" applyBorder="1"/>
    <xf numFmtId="0" fontId="1" fillId="5" borderId="1" xfId="1" applyFont="1" applyFill="1" applyBorder="1"/>
    <xf numFmtId="0" fontId="1" fillId="3" borderId="0" xfId="1" applyFont="1" applyFill="1"/>
    <xf numFmtId="0" fontId="4" fillId="0" borderId="1" xfId="2" applyBorder="1"/>
    <xf numFmtId="3" fontId="4" fillId="0" borderId="1" xfId="2" applyNumberFormat="1" applyBorder="1" applyAlignment="1">
      <alignment horizontal="center" vertical="center" wrapText="1"/>
    </xf>
    <xf numFmtId="0" fontId="4" fillId="0" borderId="1" xfId="2" applyBorder="1" applyAlignment="1">
      <alignment wrapText="1"/>
    </xf>
    <xf numFmtId="166" fontId="3" fillId="5" borderId="1" xfId="1" applyNumberFormat="1" applyFill="1" applyBorder="1"/>
    <xf numFmtId="166" fontId="3" fillId="0" borderId="5" xfId="3" applyNumberFormat="1" applyFont="1" applyBorder="1"/>
    <xf numFmtId="0" fontId="3" fillId="5" borderId="1" xfId="1" applyFill="1" applyBorder="1"/>
    <xf numFmtId="0" fontId="4" fillId="0" borderId="1" xfId="2" applyBorder="1" applyAlignment="1">
      <alignment vertical="center"/>
    </xf>
    <xf numFmtId="0" fontId="4" fillId="0" borderId="1" xfId="2" applyBorder="1" applyAlignment="1">
      <alignment horizontal="center" vertical="center" wrapText="1"/>
    </xf>
    <xf numFmtId="0" fontId="4" fillId="0" borderId="1" xfId="2" applyBorder="1" applyAlignment="1">
      <alignment vertical="center" wrapText="1"/>
    </xf>
    <xf numFmtId="0" fontId="4" fillId="0" borderId="1" xfId="2" applyBorder="1" applyAlignment="1">
      <alignment horizontal="center" vertical="center"/>
    </xf>
    <xf numFmtId="0" fontId="3" fillId="0" borderId="1" xfId="1" applyBorder="1"/>
    <xf numFmtId="0" fontId="3" fillId="0" borderId="1" xfId="1" applyBorder="1" applyAlignment="1">
      <alignment horizontal="left" wrapText="1" indent="5"/>
    </xf>
    <xf numFmtId="14" fontId="3" fillId="0" borderId="1" xfId="1" applyNumberFormat="1" applyBorder="1"/>
    <xf numFmtId="0" fontId="3" fillId="0" borderId="1" xfId="1" applyBorder="1" applyAlignment="1">
      <alignment wrapText="1"/>
    </xf>
    <xf numFmtId="0" fontId="3" fillId="0" borderId="1" xfId="1" applyBorder="1" applyAlignment="1">
      <alignment horizontal="center"/>
    </xf>
    <xf numFmtId="164" fontId="3" fillId="0" borderId="0" xfId="1" applyNumberFormat="1"/>
    <xf numFmtId="0" fontId="1" fillId="2" borderId="1" xfId="1" applyFont="1" applyFill="1" applyBorder="1"/>
    <xf numFmtId="166" fontId="3" fillId="0" borderId="1" xfId="1" applyNumberFormat="1" applyBorder="1"/>
    <xf numFmtId="0" fontId="3" fillId="0" borderId="0" xfId="1" applyAlignment="1">
      <alignment wrapText="1"/>
    </xf>
    <xf numFmtId="49" fontId="5" fillId="0" borderId="1" xfId="2" applyNumberFormat="1" applyFont="1" applyBorder="1" applyAlignment="1">
      <alignment horizontal="center" wrapText="1"/>
    </xf>
    <xf numFmtId="0" fontId="6" fillId="0" borderId="6" xfId="4" applyFont="1" applyBorder="1" applyAlignment="1">
      <alignment horizontal="center"/>
    </xf>
    <xf numFmtId="0" fontId="6" fillId="0" borderId="7" xfId="4" applyFont="1" applyBorder="1" applyAlignment="1">
      <alignment horizontal="center"/>
    </xf>
    <xf numFmtId="0" fontId="7" fillId="6" borderId="0" xfId="4" applyFont="1" applyFill="1"/>
    <xf numFmtId="0" fontId="6" fillId="6" borderId="0" xfId="4" applyFont="1" applyFill="1"/>
    <xf numFmtId="0" fontId="8" fillId="6" borderId="0" xfId="4" applyFont="1" applyFill="1" applyAlignment="1">
      <alignment wrapText="1"/>
    </xf>
    <xf numFmtId="0" fontId="5" fillId="0" borderId="0" xfId="4"/>
    <xf numFmtId="0" fontId="6" fillId="0" borderId="8" xfId="4" applyFont="1" applyBorder="1" applyAlignment="1">
      <alignment horizontal="center" vertical="center"/>
    </xf>
    <xf numFmtId="0" fontId="6" fillId="0" borderId="9" xfId="4" applyFont="1" applyBorder="1" applyAlignment="1">
      <alignment horizontal="center" vertical="center"/>
    </xf>
    <xf numFmtId="49" fontId="8" fillId="6" borderId="0" xfId="4" applyNumberFormat="1" applyFont="1" applyFill="1" applyAlignment="1">
      <alignment horizontal="center"/>
    </xf>
    <xf numFmtId="0" fontId="8" fillId="6" borderId="0" xfId="4" applyFont="1" applyFill="1"/>
    <xf numFmtId="167" fontId="8" fillId="6" borderId="0" xfId="5" applyNumberFormat="1" applyFont="1" applyFill="1" applyAlignment="1">
      <alignment horizontal="left"/>
    </xf>
    <xf numFmtId="8" fontId="8" fillId="6" borderId="0" xfId="4" applyNumberFormat="1" applyFont="1" applyFill="1" applyAlignment="1">
      <alignment horizontal="center"/>
    </xf>
    <xf numFmtId="49" fontId="9" fillId="0" borderId="10" xfId="4" applyNumberFormat="1" applyFont="1" applyBorder="1" applyAlignment="1">
      <alignment horizontal="center" vertical="center" wrapText="1"/>
    </xf>
    <xf numFmtId="0" fontId="9" fillId="0" borderId="11" xfId="4" applyFont="1" applyBorder="1" applyAlignment="1">
      <alignment horizontal="center" vertical="center" wrapText="1"/>
    </xf>
    <xf numFmtId="167" fontId="9" fillId="0" borderId="11" xfId="5" applyNumberFormat="1" applyFont="1" applyBorder="1" applyAlignment="1">
      <alignment horizontal="center" vertical="center" wrapText="1"/>
    </xf>
    <xf numFmtId="8" fontId="9" fillId="0" borderId="11" xfId="4" applyNumberFormat="1" applyFont="1" applyBorder="1" applyAlignment="1">
      <alignment horizontal="center" vertical="center" wrapText="1"/>
    </xf>
    <xf numFmtId="8" fontId="9" fillId="4" borderId="12" xfId="4" applyNumberFormat="1" applyFont="1" applyFill="1" applyBorder="1" applyAlignment="1">
      <alignment horizontal="center" vertical="center" wrapText="1"/>
    </xf>
    <xf numFmtId="8" fontId="10" fillId="6" borderId="0" xfId="4" applyNumberFormat="1" applyFont="1" applyFill="1" applyAlignment="1">
      <alignment horizontal="center" wrapText="1"/>
    </xf>
    <xf numFmtId="49" fontId="11" fillId="7" borderId="1" xfId="4" applyNumberFormat="1" applyFont="1" applyFill="1" applyBorder="1" applyAlignment="1">
      <alignment horizontal="center" vertical="center"/>
    </xf>
    <xf numFmtId="0" fontId="12" fillId="3" borderId="13" xfId="4" applyFont="1" applyFill="1" applyBorder="1" applyAlignment="1">
      <alignment horizontal="center" vertical="center" wrapText="1"/>
    </xf>
    <xf numFmtId="0" fontId="13" fillId="3" borderId="13" xfId="4" applyFont="1" applyFill="1" applyBorder="1" applyAlignment="1">
      <alignment horizontal="center" vertical="center" wrapText="1"/>
    </xf>
    <xf numFmtId="167" fontId="5" fillId="3" borderId="13" xfId="5" applyNumberFormat="1" applyFont="1" applyFill="1" applyBorder="1" applyAlignment="1">
      <alignment horizontal="center" vertical="center"/>
    </xf>
    <xf numFmtId="0" fontId="5" fillId="3" borderId="13" xfId="5" applyNumberFormat="1" applyFont="1" applyFill="1" applyBorder="1" applyAlignment="1">
      <alignment horizontal="center" vertical="center"/>
    </xf>
    <xf numFmtId="168" fontId="5" fillId="5" borderId="2" xfId="4" applyNumberFormat="1" applyFill="1" applyBorder="1" applyAlignment="1">
      <alignment horizontal="center" vertical="center"/>
    </xf>
    <xf numFmtId="166" fontId="5" fillId="3" borderId="1" xfId="4" applyNumberFormat="1" applyFill="1" applyBorder="1" applyAlignment="1">
      <alignment horizontal="center" vertical="center"/>
    </xf>
    <xf numFmtId="8" fontId="11" fillId="6" borderId="0" xfId="4" applyNumberFormat="1" applyFont="1" applyFill="1" applyAlignment="1">
      <alignment horizontal="center"/>
    </xf>
    <xf numFmtId="0" fontId="12" fillId="3" borderId="1" xfId="4" applyFont="1" applyFill="1" applyBorder="1" applyAlignment="1">
      <alignment horizontal="center" vertical="center" wrapText="1"/>
    </xf>
    <xf numFmtId="0" fontId="13" fillId="3" borderId="0" xfId="4" applyFont="1" applyFill="1" applyAlignment="1">
      <alignment horizontal="center" vertical="center" wrapText="1"/>
    </xf>
    <xf numFmtId="167" fontId="5" fillId="3" borderId="0" xfId="5" applyNumberFormat="1" applyFont="1" applyFill="1" applyBorder="1" applyAlignment="1">
      <alignment horizontal="center" vertical="center"/>
    </xf>
    <xf numFmtId="0" fontId="5" fillId="3" borderId="0" xfId="5" applyNumberFormat="1" applyFont="1" applyFill="1" applyBorder="1" applyAlignment="1">
      <alignment horizontal="center" vertical="center"/>
    </xf>
    <xf numFmtId="168" fontId="5" fillId="5" borderId="0" xfId="4" applyNumberFormat="1" applyFill="1" applyAlignment="1">
      <alignment horizontal="center" vertical="center"/>
    </xf>
    <xf numFmtId="0" fontId="14" fillId="6" borderId="0" xfId="4" applyFont="1" applyFill="1"/>
    <xf numFmtId="167" fontId="14" fillId="6" borderId="0" xfId="5" applyNumberFormat="1" applyFont="1" applyFill="1" applyAlignment="1">
      <alignment horizontal="left"/>
    </xf>
    <xf numFmtId="8" fontId="5" fillId="0" borderId="14" xfId="4" applyNumberFormat="1" applyBorder="1" applyAlignment="1">
      <alignment horizontal="center" vertical="center"/>
    </xf>
    <xf numFmtId="166" fontId="5" fillId="0" borderId="14" xfId="4" applyNumberFormat="1" applyBorder="1" applyAlignment="1">
      <alignment horizontal="center" vertical="center"/>
    </xf>
  </cellXfs>
  <cellStyles count="6">
    <cellStyle name="Comma 2" xfId="5" xr:uid="{9918126B-0836-4AB6-8B91-E21D93BA11E6}"/>
    <cellStyle name="Currency 2" xfId="3" xr:uid="{30509A3C-EFD6-4AEA-8BEB-84EFBD016C55}"/>
    <cellStyle name="Normal" xfId="0" builtinId="0"/>
    <cellStyle name="Normal 2" xfId="2" xr:uid="{2A424D8E-55FE-4BC3-B0B7-2FD8C06AF217}"/>
    <cellStyle name="Normal 3" xfId="1" xr:uid="{A600C7F3-DB6F-4199-A5F3-863F12067415}"/>
    <cellStyle name="Normal 4" xfId="4" xr:uid="{0DCBF7CB-9DBD-49CF-967C-C885B135C1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F8B6-AE3A-4198-B5D8-A2BCB58C1BD1}">
  <dimension ref="A1:I7"/>
  <sheetViews>
    <sheetView workbookViewId="0">
      <selection activeCell="B13" sqref="B13"/>
    </sheetView>
  </sheetViews>
  <sheetFormatPr defaultRowHeight="12.75" x14ac:dyDescent="0.2"/>
  <cols>
    <col min="1" max="1" width="14.7109375" style="37" customWidth="1"/>
    <col min="2" max="2" width="52" style="37" customWidth="1"/>
    <col min="3" max="3" width="12.28515625" style="37" hidden="1" customWidth="1"/>
    <col min="4" max="4" width="9.5703125" style="37" hidden="1" customWidth="1"/>
    <col min="5" max="5" width="8.28515625" style="37" hidden="1" customWidth="1"/>
    <col min="6" max="6" width="9.42578125" style="37" hidden="1" customWidth="1"/>
    <col min="7" max="7" width="11" style="37" hidden="1" customWidth="1"/>
    <col min="8" max="8" width="16" style="37" customWidth="1"/>
    <col min="9" max="16384" width="9.140625" style="37"/>
  </cols>
  <sheetData>
    <row r="1" spans="1:9" ht="16.5" thickBot="1" x14ac:dyDescent="0.3">
      <c r="A1" s="32" t="s">
        <v>22</v>
      </c>
      <c r="B1" s="33"/>
      <c r="C1" s="34"/>
      <c r="D1" s="34"/>
      <c r="E1" s="35"/>
      <c r="F1" s="35"/>
      <c r="G1" s="36"/>
      <c r="H1" s="36"/>
      <c r="I1" s="36"/>
    </row>
    <row r="2" spans="1:9" ht="16.5" thickBot="1" x14ac:dyDescent="0.3">
      <c r="A2" s="38"/>
      <c r="B2" s="39"/>
      <c r="C2" s="34"/>
      <c r="D2" s="34"/>
      <c r="E2" s="35"/>
      <c r="F2" s="35"/>
      <c r="G2" s="36"/>
      <c r="H2" s="36"/>
      <c r="I2" s="36"/>
    </row>
    <row r="3" spans="1:9" ht="13.5" thickBot="1" x14ac:dyDescent="0.25">
      <c r="A3" s="40"/>
      <c r="B3" s="41"/>
      <c r="C3" s="41"/>
      <c r="D3" s="41"/>
      <c r="E3" s="42"/>
      <c r="F3" s="42"/>
      <c r="G3" s="43"/>
      <c r="H3" s="43"/>
      <c r="I3" s="43"/>
    </row>
    <row r="4" spans="1:9" ht="39" thickBot="1" x14ac:dyDescent="0.3">
      <c r="A4" s="44" t="s">
        <v>23</v>
      </c>
      <c r="B4" s="45" t="s">
        <v>24</v>
      </c>
      <c r="C4" s="45" t="s">
        <v>25</v>
      </c>
      <c r="D4" s="45" t="s">
        <v>26</v>
      </c>
      <c r="E4" s="46" t="s">
        <v>27</v>
      </c>
      <c r="F4" s="46" t="s">
        <v>28</v>
      </c>
      <c r="G4" s="47" t="s">
        <v>29</v>
      </c>
      <c r="H4" s="48" t="s">
        <v>30</v>
      </c>
      <c r="I4" s="49"/>
    </row>
    <row r="5" spans="1:9" ht="24" customHeight="1" x14ac:dyDescent="0.2">
      <c r="A5" s="50" t="s">
        <v>31</v>
      </c>
      <c r="B5" s="51" t="s">
        <v>32</v>
      </c>
      <c r="C5" s="52"/>
      <c r="D5" s="52">
        <v>0</v>
      </c>
      <c r="E5" s="53"/>
      <c r="F5" s="54">
        <v>0</v>
      </c>
      <c r="G5" s="55"/>
      <c r="H5" s="56">
        <v>0</v>
      </c>
      <c r="I5" s="57"/>
    </row>
    <row r="6" spans="1:9" ht="21.6" customHeight="1" x14ac:dyDescent="0.2">
      <c r="A6" s="50" t="s">
        <v>33</v>
      </c>
      <c r="B6" s="58" t="s">
        <v>34</v>
      </c>
      <c r="C6" s="59"/>
      <c r="D6" s="59"/>
      <c r="E6" s="60"/>
      <c r="F6" s="61"/>
      <c r="G6" s="62"/>
      <c r="H6" s="56">
        <f>Aggregate!G15</f>
        <v>0</v>
      </c>
      <c r="I6" s="57"/>
    </row>
    <row r="7" spans="1:9" x14ac:dyDescent="0.2">
      <c r="A7" s="40"/>
      <c r="B7" s="41"/>
      <c r="C7" s="63"/>
      <c r="D7" s="63"/>
      <c r="E7" s="64"/>
      <c r="F7" s="64"/>
      <c r="G7" s="65" t="s">
        <v>30</v>
      </c>
      <c r="H7" s="66">
        <f>SUM(H5:H6)</f>
        <v>0</v>
      </c>
      <c r="I7" s="43"/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AB9B-79B6-45D5-B219-FB8D480E134F}">
  <dimension ref="A1:K153"/>
  <sheetViews>
    <sheetView tabSelected="1" zoomScaleNormal="100" workbookViewId="0">
      <selection activeCell="A3" sqref="A3"/>
    </sheetView>
  </sheetViews>
  <sheetFormatPr defaultRowHeight="15" x14ac:dyDescent="0.25"/>
  <cols>
    <col min="1" max="1" width="37.28515625" style="5" customWidth="1"/>
    <col min="2" max="2" width="16.85546875" style="5" customWidth="1"/>
    <col min="3" max="3" width="25.28515625" style="27" customWidth="1"/>
    <col min="4" max="4" width="28.140625" style="5" customWidth="1"/>
    <col min="5" max="5" width="42.42578125" style="30" customWidth="1"/>
    <col min="6" max="6" width="12" style="5" customWidth="1"/>
    <col min="7" max="7" width="13.140625" style="5" customWidth="1"/>
    <col min="8" max="8" width="44.5703125" style="5" customWidth="1"/>
    <col min="9" max="16384" width="9.140625" style="5"/>
  </cols>
  <sheetData>
    <row r="1" spans="1:11" ht="18.75" x14ac:dyDescent="0.3">
      <c r="A1" s="1" t="s">
        <v>5</v>
      </c>
      <c r="B1" s="2"/>
      <c r="C1" s="2"/>
      <c r="D1" s="2"/>
      <c r="E1" s="2"/>
      <c r="F1" s="2"/>
      <c r="G1" s="2"/>
      <c r="H1" s="3"/>
      <c r="I1" s="4"/>
      <c r="J1" s="4"/>
      <c r="K1" s="4"/>
    </row>
    <row r="2" spans="1:11" x14ac:dyDescent="0.25">
      <c r="A2" s="6" t="s">
        <v>4</v>
      </c>
      <c r="B2" s="6" t="s">
        <v>3</v>
      </c>
      <c r="C2" s="7" t="s">
        <v>2</v>
      </c>
      <c r="D2" s="8" t="s">
        <v>17</v>
      </c>
      <c r="E2" s="8" t="s">
        <v>1</v>
      </c>
      <c r="F2" s="6" t="s">
        <v>6</v>
      </c>
      <c r="G2" s="9" t="s">
        <v>7</v>
      </c>
      <c r="H2" s="10" t="s">
        <v>18</v>
      </c>
      <c r="I2" s="11"/>
      <c r="J2" s="11"/>
      <c r="K2" s="11"/>
    </row>
    <row r="3" spans="1:11" ht="39" x14ac:dyDescent="0.25">
      <c r="A3" s="12" t="s">
        <v>8</v>
      </c>
      <c r="B3" s="13">
        <v>4135</v>
      </c>
      <c r="C3" s="31" t="s">
        <v>19</v>
      </c>
      <c r="D3" s="14" t="s">
        <v>9</v>
      </c>
      <c r="E3" s="14" t="s">
        <v>0</v>
      </c>
      <c r="F3" s="15">
        <v>0</v>
      </c>
      <c r="G3" s="16">
        <f>B3*F3</f>
        <v>0</v>
      </c>
      <c r="H3" s="17"/>
    </row>
    <row r="4" spans="1:11" ht="39" x14ac:dyDescent="0.25">
      <c r="A4" s="18" t="s">
        <v>8</v>
      </c>
      <c r="B4" s="19">
        <v>64</v>
      </c>
      <c r="C4" s="31" t="s">
        <v>19</v>
      </c>
      <c r="D4" s="20" t="s">
        <v>10</v>
      </c>
      <c r="E4" s="20" t="s">
        <v>0</v>
      </c>
      <c r="F4" s="15">
        <v>0</v>
      </c>
      <c r="G4" s="16">
        <f>B4*F4</f>
        <v>0</v>
      </c>
      <c r="H4" s="17"/>
    </row>
    <row r="5" spans="1:11" ht="39" x14ac:dyDescent="0.25">
      <c r="A5" s="12" t="s">
        <v>8</v>
      </c>
      <c r="B5" s="19">
        <v>4</v>
      </c>
      <c r="C5" s="31" t="s">
        <v>19</v>
      </c>
      <c r="D5" s="14" t="s">
        <v>11</v>
      </c>
      <c r="E5" s="14" t="s">
        <v>0</v>
      </c>
      <c r="F5" s="15">
        <v>0</v>
      </c>
      <c r="G5" s="16">
        <f>F5*B5</f>
        <v>0</v>
      </c>
      <c r="H5" s="17"/>
    </row>
    <row r="6" spans="1:11" ht="39" x14ac:dyDescent="0.25">
      <c r="A6" s="12" t="s">
        <v>8</v>
      </c>
      <c r="B6" s="21">
        <v>55</v>
      </c>
      <c r="C6" s="31" t="s">
        <v>19</v>
      </c>
      <c r="D6" s="14" t="s">
        <v>12</v>
      </c>
      <c r="E6" s="14" t="s">
        <v>0</v>
      </c>
      <c r="F6" s="15">
        <v>0</v>
      </c>
      <c r="G6" s="16">
        <f>B6*F6</f>
        <v>0</v>
      </c>
      <c r="H6" s="17"/>
    </row>
    <row r="7" spans="1:11" ht="39" x14ac:dyDescent="0.25">
      <c r="A7" s="12" t="s">
        <v>8</v>
      </c>
      <c r="B7" s="21">
        <v>806</v>
      </c>
      <c r="C7" s="31" t="s">
        <v>19</v>
      </c>
      <c r="D7" s="14" t="s">
        <v>16</v>
      </c>
      <c r="E7" s="14" t="s">
        <v>0</v>
      </c>
      <c r="F7" s="15">
        <v>0</v>
      </c>
      <c r="G7" s="16">
        <f>F7*B7</f>
        <v>0</v>
      </c>
      <c r="H7" s="17"/>
    </row>
    <row r="8" spans="1:11" ht="26.25" x14ac:dyDescent="0.25">
      <c r="A8" s="12" t="s">
        <v>8</v>
      </c>
      <c r="B8" s="21">
        <v>506</v>
      </c>
      <c r="C8" s="31" t="s">
        <v>20</v>
      </c>
      <c r="D8" s="14" t="s">
        <v>13</v>
      </c>
      <c r="E8" s="14" t="s">
        <v>0</v>
      </c>
      <c r="F8" s="15">
        <v>0</v>
      </c>
      <c r="G8" s="16">
        <f>F8*B8</f>
        <v>0</v>
      </c>
      <c r="H8" s="17"/>
    </row>
    <row r="9" spans="1:11" ht="26.25" x14ac:dyDescent="0.25">
      <c r="A9" s="12" t="s">
        <v>8</v>
      </c>
      <c r="B9" s="21">
        <v>125</v>
      </c>
      <c r="C9" s="31" t="s">
        <v>20</v>
      </c>
      <c r="D9" s="14" t="s">
        <v>14</v>
      </c>
      <c r="E9" s="14" t="s">
        <v>0</v>
      </c>
      <c r="F9" s="15">
        <v>0</v>
      </c>
      <c r="G9" s="16">
        <f>F9*B9</f>
        <v>0</v>
      </c>
      <c r="H9" s="17"/>
    </row>
    <row r="10" spans="1:11" ht="26.25" x14ac:dyDescent="0.25">
      <c r="A10" s="12" t="s">
        <v>8</v>
      </c>
      <c r="B10" s="21">
        <v>778</v>
      </c>
      <c r="C10" s="31" t="s">
        <v>20</v>
      </c>
      <c r="D10" s="14" t="s">
        <v>15</v>
      </c>
      <c r="E10" s="14" t="s">
        <v>0</v>
      </c>
      <c r="F10" s="15">
        <v>0</v>
      </c>
      <c r="G10" s="16">
        <f>F10*B10</f>
        <v>0</v>
      </c>
      <c r="H10" s="17"/>
    </row>
    <row r="11" spans="1:11" hidden="1" x14ac:dyDescent="0.25">
      <c r="A11" s="22"/>
      <c r="B11" s="23"/>
      <c r="C11" s="24"/>
      <c r="D11" s="25"/>
      <c r="E11" s="25"/>
      <c r="F11" s="15">
        <v>0</v>
      </c>
    </row>
    <row r="12" spans="1:11" hidden="1" x14ac:dyDescent="0.25">
      <c r="A12" s="22"/>
      <c r="B12" s="26"/>
      <c r="C12" s="24"/>
      <c r="D12" s="25"/>
      <c r="E12" s="22"/>
      <c r="F12" s="15">
        <v>0</v>
      </c>
    </row>
    <row r="13" spans="1:11" hidden="1" x14ac:dyDescent="0.25">
      <c r="A13" s="22"/>
      <c r="B13" s="26"/>
      <c r="C13" s="24"/>
      <c r="D13" s="25"/>
      <c r="E13" s="22"/>
      <c r="F13" s="15">
        <v>0</v>
      </c>
    </row>
    <row r="14" spans="1:11" hidden="1" x14ac:dyDescent="0.25">
      <c r="A14" s="22"/>
      <c r="B14" s="26"/>
      <c r="C14" s="24"/>
      <c r="D14" s="25"/>
      <c r="E14" s="22"/>
      <c r="F14" s="15">
        <v>0</v>
      </c>
    </row>
    <row r="15" spans="1:11" x14ac:dyDescent="0.25">
      <c r="E15" s="5"/>
      <c r="F15" s="28" t="s">
        <v>21</v>
      </c>
      <c r="G15" s="29">
        <f>SUM(G3:G10)</f>
        <v>0</v>
      </c>
    </row>
    <row r="16" spans="1:11" x14ac:dyDescent="0.25">
      <c r="E16" s="5"/>
    </row>
    <row r="17" spans="5:8" x14ac:dyDescent="0.25">
      <c r="E17" s="5"/>
    </row>
    <row r="18" spans="5:8" x14ac:dyDescent="0.25">
      <c r="E18" s="5"/>
    </row>
    <row r="19" spans="5:8" x14ac:dyDescent="0.25">
      <c r="E19" s="5"/>
    </row>
    <row r="20" spans="5:8" x14ac:dyDescent="0.25">
      <c r="E20" s="5"/>
    </row>
    <row r="21" spans="5:8" x14ac:dyDescent="0.25">
      <c r="E21" s="5"/>
    </row>
    <row r="22" spans="5:8" x14ac:dyDescent="0.25">
      <c r="E22" s="5"/>
    </row>
    <row r="23" spans="5:8" x14ac:dyDescent="0.25">
      <c r="E23" s="5"/>
    </row>
    <row r="24" spans="5:8" x14ac:dyDescent="0.25">
      <c r="E24" s="5"/>
    </row>
    <row r="25" spans="5:8" x14ac:dyDescent="0.25">
      <c r="E25" s="5"/>
      <c r="H25" s="4"/>
    </row>
    <row r="26" spans="5:8" x14ac:dyDescent="0.25">
      <c r="E26" s="5"/>
    </row>
    <row r="27" spans="5:8" x14ac:dyDescent="0.25">
      <c r="E27" s="5"/>
    </row>
    <row r="28" spans="5:8" x14ac:dyDescent="0.25">
      <c r="E28" s="5"/>
    </row>
    <row r="29" spans="5:8" x14ac:dyDescent="0.25">
      <c r="E29" s="5"/>
    </row>
    <row r="30" spans="5:8" ht="30" customHeight="1" x14ac:dyDescent="0.25">
      <c r="E30" s="5"/>
    </row>
    <row r="31" spans="5:8" x14ac:dyDescent="0.25">
      <c r="E31" s="5"/>
    </row>
    <row r="32" spans="5:8" x14ac:dyDescent="0.25">
      <c r="E32" s="5"/>
    </row>
    <row r="33" spans="5:5" x14ac:dyDescent="0.25">
      <c r="E33" s="5"/>
    </row>
    <row r="34" spans="5:5" x14ac:dyDescent="0.25">
      <c r="E34" s="5"/>
    </row>
    <row r="35" spans="5:5" x14ac:dyDescent="0.25">
      <c r="E35" s="5"/>
    </row>
    <row r="36" spans="5:5" x14ac:dyDescent="0.25">
      <c r="E36" s="5"/>
    </row>
    <row r="37" spans="5:5" x14ac:dyDescent="0.25">
      <c r="E37" s="5"/>
    </row>
    <row r="38" spans="5:5" x14ac:dyDescent="0.25">
      <c r="E38" s="5"/>
    </row>
    <row r="39" spans="5:5" x14ac:dyDescent="0.25">
      <c r="E39" s="5"/>
    </row>
    <row r="40" spans="5:5" x14ac:dyDescent="0.25">
      <c r="E40" s="5"/>
    </row>
    <row r="41" spans="5:5" x14ac:dyDescent="0.25">
      <c r="E41" s="5"/>
    </row>
    <row r="42" spans="5:5" x14ac:dyDescent="0.25">
      <c r="E42" s="5"/>
    </row>
    <row r="43" spans="5:5" x14ac:dyDescent="0.25">
      <c r="E43" s="5"/>
    </row>
    <row r="44" spans="5:5" x14ac:dyDescent="0.25">
      <c r="E44" s="5"/>
    </row>
    <row r="45" spans="5:5" x14ac:dyDescent="0.25">
      <c r="E45" s="5"/>
    </row>
    <row r="46" spans="5:5" x14ac:dyDescent="0.25">
      <c r="E46" s="5"/>
    </row>
    <row r="47" spans="5:5" x14ac:dyDescent="0.25">
      <c r="E47" s="5"/>
    </row>
    <row r="48" spans="5:5" x14ac:dyDescent="0.25">
      <c r="E48" s="5"/>
    </row>
    <row r="49" spans="5:5" x14ac:dyDescent="0.25">
      <c r="E49" s="5"/>
    </row>
    <row r="50" spans="5:5" x14ac:dyDescent="0.25">
      <c r="E50" s="5"/>
    </row>
    <row r="51" spans="5:5" x14ac:dyDescent="0.25">
      <c r="E51" s="5"/>
    </row>
    <row r="52" spans="5:5" x14ac:dyDescent="0.25">
      <c r="E52" s="5"/>
    </row>
    <row r="53" spans="5:5" x14ac:dyDescent="0.25">
      <c r="E53" s="5"/>
    </row>
    <row r="54" spans="5:5" x14ac:dyDescent="0.25">
      <c r="E54" s="5"/>
    </row>
    <row r="55" spans="5:5" x14ac:dyDescent="0.25">
      <c r="E55" s="5"/>
    </row>
    <row r="56" spans="5:5" x14ac:dyDescent="0.25">
      <c r="E56" s="5"/>
    </row>
    <row r="57" spans="5:5" x14ac:dyDescent="0.25">
      <c r="E57" s="5"/>
    </row>
    <row r="58" spans="5:5" x14ac:dyDescent="0.25">
      <c r="E58" s="5"/>
    </row>
    <row r="59" spans="5:5" x14ac:dyDescent="0.25">
      <c r="E59" s="5"/>
    </row>
    <row r="60" spans="5:5" x14ac:dyDescent="0.25">
      <c r="E60" s="5"/>
    </row>
    <row r="61" spans="5:5" x14ac:dyDescent="0.25">
      <c r="E61" s="5"/>
    </row>
    <row r="62" spans="5:5" x14ac:dyDescent="0.25">
      <c r="E62" s="5"/>
    </row>
    <row r="63" spans="5:5" x14ac:dyDescent="0.25">
      <c r="E63" s="5"/>
    </row>
    <row r="64" spans="5:5" x14ac:dyDescent="0.25">
      <c r="E64" s="5"/>
    </row>
    <row r="65" spans="5:5" x14ac:dyDescent="0.25">
      <c r="E65" s="5"/>
    </row>
    <row r="66" spans="5:5" x14ac:dyDescent="0.25">
      <c r="E66" s="5"/>
    </row>
    <row r="67" spans="5:5" x14ac:dyDescent="0.25">
      <c r="E67" s="5"/>
    </row>
    <row r="68" spans="5:5" x14ac:dyDescent="0.25">
      <c r="E68" s="5"/>
    </row>
    <row r="69" spans="5:5" x14ac:dyDescent="0.25">
      <c r="E69" s="5"/>
    </row>
    <row r="70" spans="5:5" x14ac:dyDescent="0.25">
      <c r="E70" s="5"/>
    </row>
    <row r="71" spans="5:5" x14ac:dyDescent="0.25">
      <c r="E71" s="5"/>
    </row>
    <row r="72" spans="5:5" x14ac:dyDescent="0.25">
      <c r="E72" s="5"/>
    </row>
    <row r="73" spans="5:5" x14ac:dyDescent="0.25">
      <c r="E73" s="5"/>
    </row>
    <row r="74" spans="5:5" x14ac:dyDescent="0.25">
      <c r="E74" s="5"/>
    </row>
    <row r="75" spans="5:5" x14ac:dyDescent="0.25">
      <c r="E75" s="5"/>
    </row>
    <row r="76" spans="5:5" x14ac:dyDescent="0.25">
      <c r="E76" s="5"/>
    </row>
    <row r="77" spans="5:5" x14ac:dyDescent="0.25">
      <c r="E77" s="5"/>
    </row>
    <row r="78" spans="5:5" x14ac:dyDescent="0.25">
      <c r="E78" s="5"/>
    </row>
    <row r="79" spans="5:5" x14ac:dyDescent="0.25">
      <c r="E79" s="5"/>
    </row>
    <row r="80" spans="5:5" x14ac:dyDescent="0.25">
      <c r="E80" s="5"/>
    </row>
    <row r="81" spans="5:5" x14ac:dyDescent="0.25">
      <c r="E81" s="5"/>
    </row>
    <row r="82" spans="5:5" x14ac:dyDescent="0.25">
      <c r="E82" s="5"/>
    </row>
    <row r="83" spans="5:5" x14ac:dyDescent="0.25">
      <c r="E83" s="5"/>
    </row>
    <row r="84" spans="5:5" x14ac:dyDescent="0.25">
      <c r="E84" s="5"/>
    </row>
    <row r="85" spans="5:5" x14ac:dyDescent="0.25">
      <c r="E85" s="5"/>
    </row>
    <row r="86" spans="5:5" x14ac:dyDescent="0.25">
      <c r="E86" s="5"/>
    </row>
    <row r="87" spans="5:5" x14ac:dyDescent="0.25">
      <c r="E87" s="5"/>
    </row>
    <row r="88" spans="5:5" x14ac:dyDescent="0.25">
      <c r="E88" s="5"/>
    </row>
    <row r="89" spans="5:5" x14ac:dyDescent="0.25">
      <c r="E89" s="5"/>
    </row>
    <row r="90" spans="5:5" x14ac:dyDescent="0.25">
      <c r="E90" s="5"/>
    </row>
    <row r="91" spans="5:5" x14ac:dyDescent="0.25">
      <c r="E91" s="5"/>
    </row>
    <row r="92" spans="5:5" x14ac:dyDescent="0.25">
      <c r="E92" s="5"/>
    </row>
    <row r="93" spans="5:5" x14ac:dyDescent="0.25">
      <c r="E93" s="5"/>
    </row>
    <row r="94" spans="5:5" x14ac:dyDescent="0.25">
      <c r="E94" s="5"/>
    </row>
    <row r="95" spans="5:5" x14ac:dyDescent="0.25">
      <c r="E95" s="5"/>
    </row>
    <row r="96" spans="5:5" x14ac:dyDescent="0.25">
      <c r="E96" s="5"/>
    </row>
    <row r="97" spans="5:5" x14ac:dyDescent="0.25">
      <c r="E97" s="5"/>
    </row>
    <row r="98" spans="5:5" x14ac:dyDescent="0.25">
      <c r="E98" s="5"/>
    </row>
    <row r="99" spans="5:5" x14ac:dyDescent="0.25">
      <c r="E99" s="5"/>
    </row>
    <row r="100" spans="5:5" x14ac:dyDescent="0.25">
      <c r="E100" s="5"/>
    </row>
    <row r="101" spans="5:5" x14ac:dyDescent="0.25">
      <c r="E101" s="5"/>
    </row>
    <row r="102" spans="5:5" x14ac:dyDescent="0.25">
      <c r="E102" s="5"/>
    </row>
    <row r="103" spans="5:5" x14ac:dyDescent="0.25">
      <c r="E103" s="5"/>
    </row>
    <row r="104" spans="5:5" x14ac:dyDescent="0.25">
      <c r="E104" s="5"/>
    </row>
    <row r="105" spans="5:5" x14ac:dyDescent="0.25">
      <c r="E105" s="5"/>
    </row>
    <row r="106" spans="5:5" x14ac:dyDescent="0.25">
      <c r="E106" s="5"/>
    </row>
    <row r="107" spans="5:5" x14ac:dyDescent="0.25">
      <c r="E107" s="5"/>
    </row>
    <row r="108" spans="5:5" x14ac:dyDescent="0.25">
      <c r="E108" s="5"/>
    </row>
    <row r="109" spans="5:5" x14ac:dyDescent="0.25">
      <c r="E109" s="5"/>
    </row>
    <row r="110" spans="5:5" x14ac:dyDescent="0.25">
      <c r="E110" s="5"/>
    </row>
    <row r="111" spans="5:5" x14ac:dyDescent="0.25">
      <c r="E111" s="5"/>
    </row>
    <row r="112" spans="5:5" x14ac:dyDescent="0.25">
      <c r="E112" s="5"/>
    </row>
    <row r="113" spans="5:5" x14ac:dyDescent="0.25">
      <c r="E113" s="5"/>
    </row>
    <row r="114" spans="5:5" x14ac:dyDescent="0.25">
      <c r="E114" s="5"/>
    </row>
    <row r="115" spans="5:5" x14ac:dyDescent="0.25">
      <c r="E115" s="5"/>
    </row>
    <row r="116" spans="5:5" x14ac:dyDescent="0.25">
      <c r="E116" s="5"/>
    </row>
    <row r="117" spans="5:5" x14ac:dyDescent="0.25">
      <c r="E117" s="5"/>
    </row>
    <row r="118" spans="5:5" x14ac:dyDescent="0.25">
      <c r="E118" s="5"/>
    </row>
    <row r="119" spans="5:5" x14ac:dyDescent="0.25">
      <c r="E119" s="5"/>
    </row>
    <row r="120" spans="5:5" x14ac:dyDescent="0.25">
      <c r="E120" s="5"/>
    </row>
    <row r="121" spans="5:5" x14ac:dyDescent="0.25">
      <c r="E121" s="5"/>
    </row>
    <row r="122" spans="5:5" x14ac:dyDescent="0.25">
      <c r="E122" s="5"/>
    </row>
    <row r="123" spans="5:5" x14ac:dyDescent="0.25">
      <c r="E123" s="5"/>
    </row>
    <row r="124" spans="5:5" x14ac:dyDescent="0.25">
      <c r="E124" s="5"/>
    </row>
    <row r="125" spans="5:5" x14ac:dyDescent="0.25">
      <c r="E125" s="5"/>
    </row>
    <row r="126" spans="5:5" x14ac:dyDescent="0.25">
      <c r="E126" s="5"/>
    </row>
    <row r="127" spans="5:5" x14ac:dyDescent="0.25">
      <c r="E127" s="5"/>
    </row>
    <row r="128" spans="5:5" x14ac:dyDescent="0.25">
      <c r="E128" s="5"/>
    </row>
    <row r="129" spans="5:5" x14ac:dyDescent="0.25">
      <c r="E129" s="5"/>
    </row>
    <row r="130" spans="5:5" x14ac:dyDescent="0.25">
      <c r="E130" s="5"/>
    </row>
    <row r="131" spans="5:5" x14ac:dyDescent="0.25">
      <c r="E131" s="5"/>
    </row>
    <row r="132" spans="5:5" x14ac:dyDescent="0.25">
      <c r="E132" s="5"/>
    </row>
    <row r="133" spans="5:5" x14ac:dyDescent="0.25">
      <c r="E133" s="5"/>
    </row>
    <row r="134" spans="5:5" x14ac:dyDescent="0.25">
      <c r="E134" s="5"/>
    </row>
    <row r="135" spans="5:5" x14ac:dyDescent="0.25">
      <c r="E135" s="5"/>
    </row>
    <row r="136" spans="5:5" x14ac:dyDescent="0.25">
      <c r="E136" s="5"/>
    </row>
    <row r="137" spans="5:5" x14ac:dyDescent="0.25">
      <c r="E137" s="5"/>
    </row>
    <row r="138" spans="5:5" x14ac:dyDescent="0.25">
      <c r="E138" s="5"/>
    </row>
    <row r="139" spans="5:5" x14ac:dyDescent="0.25">
      <c r="E139" s="5"/>
    </row>
    <row r="140" spans="5:5" x14ac:dyDescent="0.25">
      <c r="E140" s="5"/>
    </row>
    <row r="141" spans="5:5" x14ac:dyDescent="0.25">
      <c r="E141" s="5"/>
    </row>
    <row r="142" spans="5:5" x14ac:dyDescent="0.25">
      <c r="E142" s="5"/>
    </row>
    <row r="143" spans="5:5" x14ac:dyDescent="0.25">
      <c r="E143" s="5"/>
    </row>
    <row r="144" spans="5:5" x14ac:dyDescent="0.25">
      <c r="E144" s="5"/>
    </row>
    <row r="145" spans="5:5" x14ac:dyDescent="0.25">
      <c r="E145" s="5"/>
    </row>
    <row r="146" spans="5:5" x14ac:dyDescent="0.25">
      <c r="E146" s="5"/>
    </row>
    <row r="147" spans="5:5" x14ac:dyDescent="0.25">
      <c r="E147" s="5"/>
    </row>
    <row r="148" spans="5:5" x14ac:dyDescent="0.25">
      <c r="E148" s="5"/>
    </row>
    <row r="149" spans="5:5" x14ac:dyDescent="0.25">
      <c r="E149" s="5"/>
    </row>
    <row r="150" spans="5:5" x14ac:dyDescent="0.25">
      <c r="E150" s="5"/>
    </row>
    <row r="151" spans="5:5" x14ac:dyDescent="0.25">
      <c r="E151" s="5"/>
    </row>
    <row r="152" spans="5:5" x14ac:dyDescent="0.25">
      <c r="E152" s="5"/>
    </row>
    <row r="153" spans="5:5" x14ac:dyDescent="0.25">
      <c r="E153" s="5"/>
    </row>
  </sheetData>
  <mergeCells count="1">
    <mergeCell ref="A1:H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Total</vt:lpstr>
      <vt:lpstr>Aggregate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Sanchez, Amber L SSG USARMY 413 CONTR SPT BDE (USA)</dc:creator>
  <cp:lastModifiedBy>Wright, Franklin Han (Frank) MAJ USARMY 413 CONTR SPT </cp:lastModifiedBy>
  <dcterms:created xsi:type="dcterms:W3CDTF">2025-06-26T16:26:43Z</dcterms:created>
  <dcterms:modified xsi:type="dcterms:W3CDTF">2026-05-02T00:54:58Z</dcterms:modified>
</cp:coreProperties>
</file>