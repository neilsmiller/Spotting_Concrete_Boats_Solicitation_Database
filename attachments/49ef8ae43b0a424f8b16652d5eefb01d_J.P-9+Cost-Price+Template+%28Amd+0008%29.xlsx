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alerieBAtes\Desktop\Amendment 0008\"/>
    </mc:Choice>
  </mc:AlternateContent>
  <xr:revisionPtr revIDLastSave="0" documentId="13_ncr:1_{582A4949-40D9-4B30-85BD-6325581DE853}" xr6:coauthVersionLast="47" xr6:coauthVersionMax="47" xr10:uidLastSave="{00000000-0000-0000-0000-000000000000}"/>
  <workbookProtection workbookAlgorithmName="SHA-512" workbookHashValue="iqxJn2pbd2iGPJ429jRdYBqNgvTkECN4bA7LWoSMartgUN8we3q/UUUEyln+ZiIo0xKTm64RtbCChV/n11W2Yw==" workbookSaltValue="/gPXHMeVRTR/Rm+NEzATkg==" workbookSpinCount="100000" lockStructure="1"/>
  <bookViews>
    <workbookView xWindow="30612" yWindow="-108" windowWidth="30936" windowHeight="16776" xr2:uid="{00000000-000D-0000-FFFF-FFFF00000000}"/>
  </bookViews>
  <sheets>
    <sheet name="Instructions" sheetId="1" r:id="rId1"/>
    <sheet name="Cost-Price Templat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2" l="1"/>
  <c r="E27" i="2"/>
  <c r="D27" i="2"/>
  <c r="E26" i="2"/>
  <c r="F26" i="2" s="1"/>
  <c r="D26" i="2"/>
  <c r="D25" i="2"/>
  <c r="E25" i="2" s="1"/>
  <c r="D24" i="2"/>
  <c r="E23" i="2"/>
  <c r="D23" i="2"/>
  <c r="D22" i="2"/>
  <c r="D21" i="2"/>
  <c r="D20" i="2"/>
  <c r="F19" i="2"/>
  <c r="E19" i="2"/>
  <c r="Q19" i="2" s="1"/>
  <c r="D19" i="2"/>
  <c r="E18" i="2"/>
  <c r="F18" i="2" s="1"/>
  <c r="D18" i="2"/>
  <c r="E17" i="2"/>
  <c r="D17" i="2"/>
  <c r="F16" i="2"/>
  <c r="Q16" i="2" s="1"/>
  <c r="D16" i="2"/>
  <c r="E16" i="2" s="1"/>
  <c r="D15" i="2"/>
  <c r="E14" i="2"/>
  <c r="D14" i="2"/>
  <c r="D13" i="2"/>
  <c r="E13" i="2" s="1"/>
  <c r="D12" i="2"/>
  <c r="F11" i="2"/>
  <c r="E11" i="2"/>
  <c r="Q11" i="2" s="1"/>
  <c r="D11" i="2"/>
  <c r="D10" i="2"/>
  <c r="D9" i="2"/>
  <c r="R16" i="2" l="1"/>
  <c r="S16" i="2" s="1"/>
  <c r="T16" i="2" s="1"/>
  <c r="U16" i="2" s="1"/>
  <c r="V16" i="2" s="1"/>
  <c r="W16" i="2" s="1"/>
  <c r="X16" i="2" s="1"/>
  <c r="Y16" i="2" s="1"/>
  <c r="Z16" i="2" s="1"/>
  <c r="AA16" i="2" s="1"/>
  <c r="AB16" i="2" s="1"/>
  <c r="AC16" i="2" s="1"/>
  <c r="AD16" i="2" s="1"/>
  <c r="AE16" i="2" s="1"/>
  <c r="AF16" i="2" s="1"/>
  <c r="R11" i="2"/>
  <c r="S11" i="2" s="1"/>
  <c r="T11" i="2" s="1"/>
  <c r="U11" i="2" s="1"/>
  <c r="V11" i="2" s="1"/>
  <c r="W11" i="2" s="1"/>
  <c r="X11" i="2" s="1"/>
  <c r="Y11" i="2" s="1"/>
  <c r="Z11" i="2" s="1"/>
  <c r="AA11" i="2" s="1"/>
  <c r="AB11" i="2" s="1"/>
  <c r="AC11" i="2" s="1"/>
  <c r="AD11" i="2" s="1"/>
  <c r="AE11" i="2" s="1"/>
  <c r="AF11" i="2" s="1"/>
  <c r="Q23" i="2"/>
  <c r="R23" i="2" s="1"/>
  <c r="S23" i="2" s="1"/>
  <c r="T23" i="2" s="1"/>
  <c r="U23" i="2" s="1"/>
  <c r="V23" i="2" s="1"/>
  <c r="W23" i="2" s="1"/>
  <c r="X23" i="2" s="1"/>
  <c r="Y23" i="2" s="1"/>
  <c r="Z23" i="2" s="1"/>
  <c r="AA23" i="2" s="1"/>
  <c r="AB23" i="2" s="1"/>
  <c r="AC23" i="2" s="1"/>
  <c r="AD23" i="2" s="1"/>
  <c r="AE23" i="2" s="1"/>
  <c r="AF23" i="2" s="1"/>
  <c r="E20" i="2"/>
  <c r="F20" i="2" s="1"/>
  <c r="R19" i="2"/>
  <c r="S19" i="2" s="1"/>
  <c r="T19" i="2" s="1"/>
  <c r="U19" i="2" s="1"/>
  <c r="V19" i="2" s="1"/>
  <c r="W19" i="2" s="1"/>
  <c r="X19" i="2" s="1"/>
  <c r="Y19" i="2" s="1"/>
  <c r="Z19" i="2" s="1"/>
  <c r="AA19" i="2" s="1"/>
  <c r="AB19" i="2" s="1"/>
  <c r="AC19" i="2" s="1"/>
  <c r="AD19" i="2" s="1"/>
  <c r="AE19" i="2" s="1"/>
  <c r="AF19" i="2" s="1"/>
  <c r="R17" i="2"/>
  <c r="S17" i="2" s="1"/>
  <c r="T17" i="2" s="1"/>
  <c r="U17" i="2" s="1"/>
  <c r="V17" i="2" s="1"/>
  <c r="W17" i="2" s="1"/>
  <c r="X17" i="2" s="1"/>
  <c r="Y17" i="2" s="1"/>
  <c r="Z17" i="2" s="1"/>
  <c r="AA17" i="2" s="1"/>
  <c r="AB17" i="2" s="1"/>
  <c r="AC17" i="2" s="1"/>
  <c r="AD17" i="2" s="1"/>
  <c r="AE17" i="2" s="1"/>
  <c r="AF17" i="2" s="1"/>
  <c r="F23" i="2"/>
  <c r="Q26" i="2"/>
  <c r="R26" i="2" s="1"/>
  <c r="S26" i="2" s="1"/>
  <c r="T26" i="2" s="1"/>
  <c r="U26" i="2" s="1"/>
  <c r="V26" i="2" s="1"/>
  <c r="W26" i="2" s="1"/>
  <c r="X26" i="2" s="1"/>
  <c r="Y26" i="2" s="1"/>
  <c r="Z26" i="2" s="1"/>
  <c r="AA26" i="2" s="1"/>
  <c r="AB26" i="2" s="1"/>
  <c r="AC26" i="2" s="1"/>
  <c r="AD26" i="2" s="1"/>
  <c r="AE26" i="2" s="1"/>
  <c r="AF26" i="2" s="1"/>
  <c r="F25" i="2"/>
  <c r="Q25" i="2"/>
  <c r="R25" i="2" s="1"/>
  <c r="S25" i="2" s="1"/>
  <c r="T25" i="2" s="1"/>
  <c r="U25" i="2" s="1"/>
  <c r="V25" i="2" s="1"/>
  <c r="W25" i="2" s="1"/>
  <c r="X25" i="2" s="1"/>
  <c r="Y25" i="2" s="1"/>
  <c r="Z25" i="2" s="1"/>
  <c r="AA25" i="2" s="1"/>
  <c r="AB25" i="2" s="1"/>
  <c r="AC25" i="2" s="1"/>
  <c r="AD25" i="2" s="1"/>
  <c r="AE25" i="2" s="1"/>
  <c r="AF25" i="2" s="1"/>
  <c r="F13" i="2"/>
  <c r="Q13" i="2"/>
  <c r="R13" i="2" s="1"/>
  <c r="S13" i="2" s="1"/>
  <c r="T13" i="2" s="1"/>
  <c r="U13" i="2" s="1"/>
  <c r="V13" i="2" s="1"/>
  <c r="W13" i="2" s="1"/>
  <c r="X13" i="2" s="1"/>
  <c r="Y13" i="2" s="1"/>
  <c r="Z13" i="2" s="1"/>
  <c r="AA13" i="2" s="1"/>
  <c r="AB13" i="2" s="1"/>
  <c r="AC13" i="2" s="1"/>
  <c r="AD13" i="2" s="1"/>
  <c r="AE13" i="2" s="1"/>
  <c r="AF13" i="2" s="1"/>
  <c r="Q18" i="2"/>
  <c r="R18" i="2" s="1"/>
  <c r="S18" i="2" s="1"/>
  <c r="T18" i="2" s="1"/>
  <c r="U18" i="2" s="1"/>
  <c r="V18" i="2" s="1"/>
  <c r="W18" i="2" s="1"/>
  <c r="X18" i="2" s="1"/>
  <c r="Y18" i="2" s="1"/>
  <c r="Z18" i="2" s="1"/>
  <c r="AA18" i="2" s="1"/>
  <c r="AB18" i="2" s="1"/>
  <c r="AC18" i="2" s="1"/>
  <c r="AD18" i="2" s="1"/>
  <c r="AE18" i="2" s="1"/>
  <c r="AF18" i="2" s="1"/>
  <c r="E15" i="2"/>
  <c r="R15" i="2" s="1"/>
  <c r="S15" i="2" s="1"/>
  <c r="T15" i="2" s="1"/>
  <c r="U15" i="2" s="1"/>
  <c r="V15" i="2" s="1"/>
  <c r="W15" i="2" s="1"/>
  <c r="X15" i="2" s="1"/>
  <c r="Y15" i="2" s="1"/>
  <c r="Z15" i="2" s="1"/>
  <c r="AA15" i="2" s="1"/>
  <c r="AB15" i="2" s="1"/>
  <c r="AC15" i="2" s="1"/>
  <c r="AD15" i="2" s="1"/>
  <c r="AE15" i="2" s="1"/>
  <c r="AF15" i="2" s="1"/>
  <c r="E10" i="2"/>
  <c r="F10" i="2" s="1"/>
  <c r="F15" i="2"/>
  <c r="E22" i="2"/>
  <c r="F22" i="2" s="1"/>
  <c r="F27" i="2"/>
  <c r="Q27" i="2" s="1"/>
  <c r="Q15" i="2"/>
  <c r="Q10" i="2"/>
  <c r="E12" i="2"/>
  <c r="F17" i="2"/>
  <c r="E24" i="2"/>
  <c r="F12" i="2"/>
  <c r="R12" i="2" s="1"/>
  <c r="S12" i="2" s="1"/>
  <c r="T12" i="2" s="1"/>
  <c r="U12" i="2" s="1"/>
  <c r="V12" i="2" s="1"/>
  <c r="W12" i="2" s="1"/>
  <c r="X12" i="2" s="1"/>
  <c r="Y12" i="2" s="1"/>
  <c r="Z12" i="2" s="1"/>
  <c r="AA12" i="2" s="1"/>
  <c r="AB12" i="2" s="1"/>
  <c r="AC12" i="2" s="1"/>
  <c r="AD12" i="2" s="1"/>
  <c r="AE12" i="2" s="1"/>
  <c r="AF12" i="2" s="1"/>
  <c r="Q17" i="2"/>
  <c r="F24" i="2"/>
  <c r="Q12" i="2"/>
  <c r="E9" i="2"/>
  <c r="F14" i="2"/>
  <c r="E21" i="2"/>
  <c r="E28" i="2"/>
  <c r="Q20" i="2" l="1"/>
  <c r="R20" i="2"/>
  <c r="S20" i="2" s="1"/>
  <c r="T20" i="2" s="1"/>
  <c r="U20" i="2" s="1"/>
  <c r="V20" i="2" s="1"/>
  <c r="W20" i="2" s="1"/>
  <c r="X20" i="2" s="1"/>
  <c r="Y20" i="2" s="1"/>
  <c r="Z20" i="2" s="1"/>
  <c r="AA20" i="2" s="1"/>
  <c r="AB20" i="2" s="1"/>
  <c r="AC20" i="2" s="1"/>
  <c r="AD20" i="2" s="1"/>
  <c r="AE20" i="2" s="1"/>
  <c r="AF20" i="2" s="1"/>
  <c r="Q21" i="2"/>
  <c r="R21" i="2"/>
  <c r="S21" i="2" s="1"/>
  <c r="T21" i="2" s="1"/>
  <c r="U21" i="2" s="1"/>
  <c r="V21" i="2" s="1"/>
  <c r="W21" i="2" s="1"/>
  <c r="X21" i="2" s="1"/>
  <c r="Y21" i="2" s="1"/>
  <c r="Z21" i="2" s="1"/>
  <c r="AA21" i="2" s="1"/>
  <c r="AB21" i="2" s="1"/>
  <c r="AC21" i="2" s="1"/>
  <c r="AD21" i="2" s="1"/>
  <c r="AE21" i="2" s="1"/>
  <c r="AF21" i="2" s="1"/>
  <c r="R22" i="2"/>
  <c r="S22" i="2" s="1"/>
  <c r="T22" i="2" s="1"/>
  <c r="U22" i="2" s="1"/>
  <c r="V22" i="2" s="1"/>
  <c r="W22" i="2" s="1"/>
  <c r="X22" i="2" s="1"/>
  <c r="Y22" i="2" s="1"/>
  <c r="Z22" i="2" s="1"/>
  <c r="AA22" i="2" s="1"/>
  <c r="AB22" i="2" s="1"/>
  <c r="AC22" i="2" s="1"/>
  <c r="AD22" i="2" s="1"/>
  <c r="AE22" i="2" s="1"/>
  <c r="AF22" i="2" s="1"/>
  <c r="F9" i="2"/>
  <c r="Q24" i="2"/>
  <c r="R24" i="2" s="1"/>
  <c r="S24" i="2" s="1"/>
  <c r="T24" i="2" s="1"/>
  <c r="U24" i="2" s="1"/>
  <c r="V24" i="2" s="1"/>
  <c r="W24" i="2" s="1"/>
  <c r="X24" i="2" s="1"/>
  <c r="Y24" i="2" s="1"/>
  <c r="Z24" i="2" s="1"/>
  <c r="AA24" i="2" s="1"/>
  <c r="AB24" i="2" s="1"/>
  <c r="AC24" i="2" s="1"/>
  <c r="AD24" i="2" s="1"/>
  <c r="AE24" i="2" s="1"/>
  <c r="AF24" i="2" s="1"/>
  <c r="Q22" i="2"/>
  <c r="Q14" i="2"/>
  <c r="R14" i="2" s="1"/>
  <c r="S14" i="2" s="1"/>
  <c r="T14" i="2" s="1"/>
  <c r="U14" i="2" s="1"/>
  <c r="V14" i="2" s="1"/>
  <c r="W14" i="2" s="1"/>
  <c r="X14" i="2" s="1"/>
  <c r="Y14" i="2" s="1"/>
  <c r="Z14" i="2" s="1"/>
  <c r="AA14" i="2" s="1"/>
  <c r="AB14" i="2" s="1"/>
  <c r="AC14" i="2" s="1"/>
  <c r="AD14" i="2" s="1"/>
  <c r="AE14" i="2" s="1"/>
  <c r="AF14" i="2" s="1"/>
  <c r="R10" i="2"/>
  <c r="S10" i="2" s="1"/>
  <c r="T10" i="2" s="1"/>
  <c r="U10" i="2" s="1"/>
  <c r="V10" i="2" s="1"/>
  <c r="W10" i="2" s="1"/>
  <c r="X10" i="2" s="1"/>
  <c r="Y10" i="2" s="1"/>
  <c r="Z10" i="2" s="1"/>
  <c r="AA10" i="2" s="1"/>
  <c r="AB10" i="2" s="1"/>
  <c r="AC10" i="2" s="1"/>
  <c r="AD10" i="2" s="1"/>
  <c r="AE10" i="2" s="1"/>
  <c r="AF10" i="2" s="1"/>
  <c r="F21" i="2"/>
  <c r="F28" i="2"/>
  <c r="Q28" i="2" s="1"/>
  <c r="R28" i="2" s="1"/>
  <c r="S28" i="2" s="1"/>
  <c r="T28" i="2" s="1"/>
  <c r="U28" i="2" s="1"/>
  <c r="V28" i="2" s="1"/>
  <c r="W28" i="2" s="1"/>
  <c r="X28" i="2" s="1"/>
  <c r="Y28" i="2" s="1"/>
  <c r="Z28" i="2" s="1"/>
  <c r="AA28" i="2" s="1"/>
  <c r="AB28" i="2" s="1"/>
  <c r="AC28" i="2" s="1"/>
  <c r="AD28" i="2" s="1"/>
  <c r="AE28" i="2" s="1"/>
  <c r="AF28" i="2" s="1"/>
  <c r="R27" i="2"/>
  <c r="S27" i="2" s="1"/>
  <c r="T27" i="2" s="1"/>
  <c r="U27" i="2" s="1"/>
  <c r="V27" i="2" s="1"/>
  <c r="W27" i="2" s="1"/>
  <c r="X27" i="2" s="1"/>
  <c r="Y27" i="2" s="1"/>
  <c r="Z27" i="2" s="1"/>
  <c r="AA27" i="2" s="1"/>
  <c r="AB27" i="2" s="1"/>
  <c r="AC27" i="2" s="1"/>
  <c r="AD27" i="2" s="1"/>
  <c r="AE27" i="2" s="1"/>
  <c r="AF27" i="2" s="1"/>
  <c r="Q9" i="2" l="1"/>
  <c r="R9" i="2" s="1"/>
  <c r="S9" i="2" s="1"/>
  <c r="T9" i="2" s="1"/>
  <c r="U9" i="2" s="1"/>
  <c r="V9" i="2" s="1"/>
  <c r="W9" i="2" s="1"/>
  <c r="X9" i="2" s="1"/>
  <c r="Y9" i="2" s="1"/>
  <c r="Z9" i="2" s="1"/>
  <c r="AA9" i="2" s="1"/>
  <c r="AB9" i="2" s="1"/>
  <c r="AC9" i="2" s="1"/>
  <c r="AD9" i="2" s="1"/>
  <c r="AE9" i="2" s="1"/>
  <c r="AF9" i="2" s="1"/>
</calcChain>
</file>

<file path=xl/sharedStrings.xml><?xml version="1.0" encoding="utf-8"?>
<sst xmlns="http://schemas.openxmlformats.org/spreadsheetml/2006/main" count="97" uniqueCount="94">
  <si>
    <t>L.5.7.2 - Cost/Price Template Instructions</t>
  </si>
  <si>
    <t>Amendment 0008</t>
  </si>
  <si>
    <r>
      <rPr>
        <b/>
        <sz val="11"/>
        <color theme="1"/>
        <rFont val="Arial"/>
      </rPr>
      <t>Introduction</t>
    </r>
    <r>
      <rPr>
        <sz val="11"/>
        <color theme="1"/>
        <rFont val="Arial"/>
      </rPr>
      <t>: Offerors are highly recommended to review the entire solicitation, with a strong emphasis on Sections L and M of the RFP. Section L details the instructions to Offerors while Section M details the evaluation factors for award.</t>
    </r>
  </si>
  <si>
    <t>Row(s)</t>
  </si>
  <si>
    <t>Column</t>
  </si>
  <si>
    <t>Instruction</t>
  </si>
  <si>
    <t>C</t>
  </si>
  <si>
    <t>Enter the Official Legal Offering Entity Name.</t>
  </si>
  <si>
    <t>Enter the Official Legal Offering Entity's SAM UEID.</t>
  </si>
  <si>
    <t>7 and 8</t>
  </si>
  <si>
    <t>D through P</t>
  </si>
  <si>
    <t xml:space="preserve">In Row 7, the template has been pre-populated with Fringe Benefits, Overhead, and G&amp;A indirect cost pool names. Offerors with a different indirect rate structure than that included in Row 7 are able to edit the indirect cost pool names and are provided with ten additional columns to include additional indirect rate(s), Columns D through P, as applicable.
In Row 8, enter indirect rate percentages, rounded to two decimal places, for each indirect cost pool included in the Offeror's indirect rate structure applicable to the proposed direct labor rates.
For example, if an Offeror has two Overhead cost pools/rates included in their indirect rate structure, the Offeror will insert the name of each Overhead cost pool/rate into Row 7, within Columns D through P, and will enter the applicable indirect rate percentage into the corresponding column in Row 8. If the Offeror does not have a separate Fringe Benefits final indirect cost pool/rate, the Offeror may remove that indirect cost pool name from Row 7 and rename to an indirect cost pool that is included in the Offeror's indirect rate structure.
If an Offeror has a total of more than 13 indirect cost pools/rates, it may combine (i.e., wrap) multiple indirect rates into a column. A description of each of the rates and an explanation for combining them must be provided in the Basis of Estimate. See RFP Section L.5.7.3.
</t>
  </si>
  <si>
    <t>Q</t>
  </si>
  <si>
    <t>Enter the profit percentage.</t>
  </si>
  <si>
    <t>9-28</t>
  </si>
  <si>
    <t>Enter direct labor rates for all 20 labor categories, rounded to two decimal places.</t>
  </si>
  <si>
    <t>D through R</t>
  </si>
  <si>
    <t>The template has been pre-populated with the following formulas: Fringe Benefits applied to Direct Labor; Overhead applied to the sum of Direct Labor and Fringe Benefits; G&amp;A applied to the sum of Direct Labor, Fringe Benefits, and Overhead (i.e, a Total Cost Input allocation base); and Profit applied to the sum of Direct Labor, Fringe Benefits, Overhead, and G&amp;A. Offerors with a different indirect rate structure than that pre-populated in the template have the ability to edit the formulas to apply their actual indirect rates to the appropriate allocation bases. A description of each of the rates and their allocation bases must be provided in the Basis of Estimate. See RFP Section L.5.7.3.</t>
  </si>
  <si>
    <r>
      <rPr>
        <b/>
        <sz val="11"/>
        <color theme="1"/>
        <rFont val="Arial"/>
      </rPr>
      <t xml:space="preserve">Escalation: </t>
    </r>
    <r>
      <rPr>
        <sz val="11"/>
        <color theme="1"/>
        <rFont val="Arial"/>
      </rPr>
      <t>Sole source T&amp;M/LH ceiling rates for Years 1 through 15 will automatically be calculated for each labor category by applying an escalation factor of 4.41%, which is embedded in the spreadsheet. Escalation is included in the Year 1 fully burdened (i.e., loaded) hourly labor rates to allow sufficient time for proposal evaluation between proposal submission and awards. This escalation factor is based on the average of the annual Bureau of Labor Statistics Economic Cost Index (Wages and salaries for Private industry workers in All industries and occupations, 12-month percent change) for the previous three years. Offerors shall not change the escalation factor in the spreadsheet.</t>
    </r>
  </si>
  <si>
    <r>
      <rPr>
        <b/>
        <sz val="11"/>
        <color rgb="FF000000"/>
        <rFont val="Arial"/>
      </rPr>
      <t>Caution:</t>
    </r>
    <r>
      <rPr>
        <sz val="11"/>
        <color rgb="FF000000"/>
        <rFont val="Arial"/>
      </rPr>
      <t xml:space="preserve"> Adding/deleting rows or columns, or converting this spreadsheet to other software programs or formats will affect compatibility with the OASIS+ Submission Portal (OSP) (Symphony) pricing module.</t>
    </r>
  </si>
  <si>
    <t>ATTACHMENT J.P-9 - COST/PRICE TEMPLATE</t>
  </si>
  <si>
    <t xml:space="preserve">This attachment is in support of the OASIS+ solicitation.			</t>
  </si>
  <si>
    <t>See instructions in RFP Section L.5.7.2.</t>
  </si>
  <si>
    <t>OFFEROR:</t>
  </si>
  <si>
    <t>SAM UEID:</t>
  </si>
  <si>
    <t>Labor SOC Number</t>
  </si>
  <si>
    <t>OASIS+ Labor Category</t>
  </si>
  <si>
    <t>Direct Labor Rate</t>
  </si>
  <si>
    <t>Fringe Benefits</t>
  </si>
  <si>
    <t>Overhead</t>
  </si>
  <si>
    <t>G&amp;A</t>
  </si>
  <si>
    <t>Add'l Indirect Rate #1 (Optional)</t>
  </si>
  <si>
    <t>Add'l Indirect Rate #2 (Optional)</t>
  </si>
  <si>
    <t>Add'l Indirect Rate #3 (Optional)</t>
  </si>
  <si>
    <t>Add'l Indirect Rate #4 (Optional)</t>
  </si>
  <si>
    <t>Add'l Indirect Rate #5 (Optional)</t>
  </si>
  <si>
    <t>Add'l Indirect Rate #6 (Optional)</t>
  </si>
  <si>
    <t>Add'l Indirect Rate #7 (Optional)</t>
  </si>
  <si>
    <t>Add'l Indirect Rate #8 (Optional)</t>
  </si>
  <si>
    <t>Add'l Indirect Rate #9 (Optional)</t>
  </si>
  <si>
    <t>Add'l Indirect Rate #10 (Optional)</t>
  </si>
  <si>
    <t>Profit</t>
  </si>
  <si>
    <t>Year 1 Loaded Hourly Labor Rate</t>
  </si>
  <si>
    <t>Year 2 Loaded Hourly Labor Rate</t>
  </si>
  <si>
    <t>Year 3 Loaded Hourly Labor Rate</t>
  </si>
  <si>
    <t>Year 4 Loaded Hourly Labor Rate</t>
  </si>
  <si>
    <t>Year 5 Loaded Hourly Labor Rate</t>
  </si>
  <si>
    <t>Year 6 Loaded Hourly Labor Rate</t>
  </si>
  <si>
    <t>Year 7 Loaded Hourly Labor Rate</t>
  </si>
  <si>
    <t>Year 8 Loaded Hourly Labor Rate</t>
  </si>
  <si>
    <t>Year 9 Loaded Hourly Labor Rate</t>
  </si>
  <si>
    <t>Year 10 Loaded Hourly Labor Rate</t>
  </si>
  <si>
    <t>Year 11 Loaded Hourly Labor Rate</t>
  </si>
  <si>
    <t>Year 12 Loaded Hourly Labor Rate</t>
  </si>
  <si>
    <t>Year 13 Loaded Hourly Labor Rate</t>
  </si>
  <si>
    <t>Year 14 Loaded Hourly Labor Rate</t>
  </si>
  <si>
    <t>Year 15 Loaded Hourly Labor Rate</t>
  </si>
  <si>
    <t>17-2199</t>
  </si>
  <si>
    <t>Engineers, All Other (SME)</t>
  </si>
  <si>
    <t>Managers, All Other (SME)</t>
  </si>
  <si>
    <t>13-1111</t>
  </si>
  <si>
    <t>Management Analysts (SME)</t>
  </si>
  <si>
    <t>15-2031</t>
  </si>
  <si>
    <t>Operations Research Analysts (SME)</t>
  </si>
  <si>
    <t>13-1199</t>
  </si>
  <si>
    <t>Business Operations Specialists, All Other (SME)</t>
  </si>
  <si>
    <t>Administrative Services Managers (SME)</t>
  </si>
  <si>
    <t>11-1021</t>
  </si>
  <si>
    <t>General and Operations Managers (SME)</t>
  </si>
  <si>
    <t>13-2011</t>
  </si>
  <si>
    <t>Accountants and Auditors (SME)</t>
  </si>
  <si>
    <t>13-2099</t>
  </si>
  <si>
    <t>Financial Specialists, All Other (SME)</t>
  </si>
  <si>
    <t>13-1151</t>
  </si>
  <si>
    <t>Training and Development Specialists (SME)</t>
  </si>
  <si>
    <t>43-6011</t>
  </si>
  <si>
    <t>Executive Secretaries and Executive Administrative Assistants (SME)</t>
  </si>
  <si>
    <t>13-1081</t>
  </si>
  <si>
    <t>Logisticians (SME)</t>
  </si>
  <si>
    <t>13-2051</t>
  </si>
  <si>
    <t>Financial and Investment Analysts (SME)</t>
  </si>
  <si>
    <t>Training and Development Managers (SME)</t>
  </si>
  <si>
    <t>25-3099</t>
  </si>
  <si>
    <t>Teachers and Instructors, All Other (SME)</t>
  </si>
  <si>
    <t>13-1071</t>
  </si>
  <si>
    <t>Human Resources Specialists (SME)</t>
  </si>
  <si>
    <t>49-9071</t>
  </si>
  <si>
    <t>Maintenance and Repair Workers (SME)</t>
  </si>
  <si>
    <t>19-2041</t>
  </si>
  <si>
    <t>Environmental Scientists and Specialists, Including Health (SME)</t>
  </si>
  <si>
    <t>19-3099</t>
  </si>
  <si>
    <t>Social Scientists and Related Workers (SME)</t>
  </si>
  <si>
    <t>27-3031</t>
  </si>
  <si>
    <t>Public Relations Specialists (SME)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</si>
</sst>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m\-yyyy"/>
  </numFmts>
  <fonts count="9" x14ac:knownFonts="1">
    <font>
      <sz val="11"/>
      <color theme="1"/>
      <name val="Calibri"/>
      <scheme val="minor"/>
    </font>
    <font>
      <b/>
      <sz val="14"/>
      <color theme="1"/>
      <name val="Arial"/>
    </font>
    <font>
      <sz val="11"/>
      <name val="Calibri"/>
    </font>
    <font>
      <sz val="11"/>
      <color theme="1"/>
      <name val="Calibri"/>
    </font>
    <font>
      <b/>
      <sz val="11"/>
      <color theme="1"/>
      <name val="Arial"/>
    </font>
    <font>
      <sz val="11"/>
      <color theme="1"/>
      <name val="Arial"/>
    </font>
    <font>
      <b/>
      <sz val="11"/>
      <color rgb="FF000000"/>
      <name val="Arial"/>
    </font>
    <font>
      <sz val="11"/>
      <color rgb="FF000000"/>
      <name val="Arial"/>
    </font>
    <font>
      <sz val="11"/>
      <color rgb="FF1F1F1F"/>
      <name val="Arial"/>
    </font>
  </fonts>
  <fills count="7">
    <fill>
      <patternFill patternType="none"/>
    </fill>
    <fill>
      <patternFill patternType="gray125"/>
    </fill>
    <fill>
      <patternFill patternType="solid">
        <fgColor rgb="FFFFFFFF"/>
        <bgColor rgb="FFFFFFFF"/>
      </patternFill>
    </fill>
    <fill>
      <patternFill patternType="solid">
        <fgColor rgb="FFCFE2F3"/>
        <bgColor rgb="FFCFE2F3"/>
      </patternFill>
    </fill>
    <fill>
      <patternFill patternType="solid">
        <fgColor rgb="FFEEECE1"/>
        <bgColor rgb="FFEEECE1"/>
      </patternFill>
    </fill>
    <fill>
      <patternFill patternType="solid">
        <fgColor theme="0"/>
        <bgColor theme="0"/>
      </patternFill>
    </fill>
    <fill>
      <patternFill patternType="solid">
        <fgColor rgb="FFBFBFBF"/>
        <bgColor rgb="FFBFBFBF"/>
      </patternFill>
    </fill>
  </fills>
  <borders count="39">
    <border>
      <left/>
      <right/>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69">
    <xf numFmtId="0" fontId="0" fillId="0" borderId="0" xfId="0"/>
    <xf numFmtId="0" fontId="3" fillId="0" borderId="0" xfId="0" applyFont="1" applyAlignment="1">
      <alignment vertical="center"/>
    </xf>
    <xf numFmtId="0" fontId="3" fillId="0" borderId="0" xfId="0" applyFont="1" applyAlignment="1">
      <alignment horizontal="left" vertical="center"/>
    </xf>
    <xf numFmtId="0" fontId="4" fillId="3" borderId="7" xfId="0" applyFont="1" applyFill="1" applyBorder="1" applyAlignment="1">
      <alignment horizontal="center"/>
    </xf>
    <xf numFmtId="0" fontId="6" fillId="3" borderId="8" xfId="0" applyFont="1" applyFill="1" applyBorder="1" applyAlignment="1">
      <alignment horizontal="center"/>
    </xf>
    <xf numFmtId="0" fontId="5" fillId="4" borderId="7" xfId="0" applyFont="1" applyFill="1" applyBorder="1" applyAlignment="1">
      <alignment horizontal="center" vertical="top"/>
    </xf>
    <xf numFmtId="0" fontId="5" fillId="4" borderId="8" xfId="0" applyFont="1" applyFill="1" applyBorder="1" applyAlignment="1">
      <alignment horizontal="center" vertical="top"/>
    </xf>
    <xf numFmtId="0" fontId="5" fillId="4" borderId="7" xfId="0" applyFont="1" applyFill="1" applyBorder="1" applyAlignment="1">
      <alignment horizontal="center" vertical="top" wrapText="1"/>
    </xf>
    <xf numFmtId="0" fontId="5" fillId="4" borderId="8" xfId="0" applyFont="1" applyFill="1" applyBorder="1" applyAlignment="1">
      <alignment horizontal="center" vertical="top" wrapText="1"/>
    </xf>
    <xf numFmtId="0" fontId="5" fillId="4" borderId="7" xfId="0" quotePrefix="1" applyFont="1" applyFill="1" applyBorder="1" applyAlignment="1">
      <alignment horizontal="center" vertical="top" wrapText="1"/>
    </xf>
    <xf numFmtId="16" fontId="5" fillId="4" borderId="7" xfId="0" quotePrefix="1" applyNumberFormat="1" applyFont="1" applyFill="1" applyBorder="1" applyAlignment="1">
      <alignment horizontal="center" vertical="top" wrapText="1"/>
    </xf>
    <xf numFmtId="0" fontId="5" fillId="5" borderId="15" xfId="0" applyFont="1" applyFill="1" applyBorder="1" applyAlignment="1">
      <alignment horizontal="left"/>
    </xf>
    <xf numFmtId="0" fontId="5" fillId="5" borderId="15" xfId="0" applyFont="1" applyFill="1" applyBorder="1"/>
    <xf numFmtId="0" fontId="5" fillId="5" borderId="19" xfId="0" applyFont="1" applyFill="1" applyBorder="1" applyAlignment="1">
      <alignment horizontal="left" wrapText="1"/>
    </xf>
    <xf numFmtId="0" fontId="5" fillId="5" borderId="20" xfId="0" applyFont="1" applyFill="1" applyBorder="1" applyAlignment="1">
      <alignment horizontal="left" wrapText="1"/>
    </xf>
    <xf numFmtId="0" fontId="5" fillId="5" borderId="25" xfId="0" applyFont="1" applyFill="1" applyBorder="1" applyAlignment="1">
      <alignment horizontal="center"/>
    </xf>
    <xf numFmtId="0" fontId="5" fillId="5" borderId="25" xfId="0" applyFont="1" applyFill="1" applyBorder="1"/>
    <xf numFmtId="0" fontId="4" fillId="6" borderId="26" xfId="0" applyFont="1" applyFill="1" applyBorder="1" applyAlignment="1">
      <alignment horizontal="center" wrapText="1"/>
    </xf>
    <xf numFmtId="0" fontId="4" fillId="6" borderId="27" xfId="0" applyFont="1" applyFill="1" applyBorder="1" applyAlignment="1">
      <alignment horizontal="center"/>
    </xf>
    <xf numFmtId="0" fontId="4" fillId="6" borderId="27" xfId="0" applyFont="1" applyFill="1" applyBorder="1" applyAlignment="1">
      <alignment horizontal="center" wrapText="1"/>
    </xf>
    <xf numFmtId="0" fontId="4" fillId="6" borderId="28" xfId="0" applyFont="1" applyFill="1" applyBorder="1" applyAlignment="1">
      <alignment horizontal="center" wrapText="1"/>
    </xf>
    <xf numFmtId="10" fontId="5" fillId="5" borderId="8" xfId="0" applyNumberFormat="1" applyFont="1" applyFill="1" applyBorder="1" applyAlignment="1">
      <alignment horizontal="center" wrapText="1"/>
    </xf>
    <xf numFmtId="10" fontId="5" fillId="5" borderId="8" xfId="0" applyNumberFormat="1" applyFont="1" applyFill="1" applyBorder="1" applyAlignment="1">
      <alignment horizontal="center"/>
    </xf>
    <xf numFmtId="0" fontId="5" fillId="4" borderId="32" xfId="0" applyFont="1" applyFill="1" applyBorder="1" applyAlignment="1">
      <alignment horizontal="left" wrapText="1"/>
    </xf>
    <xf numFmtId="0" fontId="5" fillId="4" borderId="8" xfId="0" applyFont="1" applyFill="1" applyBorder="1" applyAlignment="1">
      <alignment wrapText="1"/>
    </xf>
    <xf numFmtId="44" fontId="5" fillId="5" borderId="8" xfId="0" applyNumberFormat="1" applyFont="1" applyFill="1" applyBorder="1"/>
    <xf numFmtId="164" fontId="5" fillId="4" borderId="8" xfId="0" applyNumberFormat="1" applyFont="1" applyFill="1" applyBorder="1"/>
    <xf numFmtId="44" fontId="5" fillId="4" borderId="8" xfId="0" applyNumberFormat="1" applyFont="1" applyFill="1" applyBorder="1"/>
    <xf numFmtId="164" fontId="5" fillId="3" borderId="33" xfId="0" applyNumberFormat="1" applyFont="1" applyFill="1" applyBorder="1"/>
    <xf numFmtId="164" fontId="5" fillId="3" borderId="34" xfId="0" applyNumberFormat="1" applyFont="1" applyFill="1" applyBorder="1"/>
    <xf numFmtId="165" fontId="5" fillId="4" borderId="32" xfId="0" applyNumberFormat="1" applyFont="1" applyFill="1" applyBorder="1" applyAlignment="1">
      <alignment horizontal="left" wrapText="1"/>
    </xf>
    <xf numFmtId="0" fontId="5" fillId="4" borderId="35" xfId="0" applyFont="1" applyFill="1" applyBorder="1" applyAlignment="1">
      <alignment horizontal="left" wrapText="1"/>
    </xf>
    <xf numFmtId="0" fontId="5" fillId="4" borderId="36" xfId="0" applyFont="1" applyFill="1" applyBorder="1" applyAlignment="1">
      <alignment wrapText="1"/>
    </xf>
    <xf numFmtId="44" fontId="5" fillId="5" borderId="36" xfId="0" applyNumberFormat="1" applyFont="1" applyFill="1" applyBorder="1"/>
    <xf numFmtId="164" fontId="5" fillId="4" borderId="36" xfId="0" applyNumberFormat="1" applyFont="1" applyFill="1" applyBorder="1"/>
    <xf numFmtId="44" fontId="5" fillId="4" borderId="36" xfId="0" applyNumberFormat="1" applyFont="1" applyFill="1" applyBorder="1"/>
    <xf numFmtId="164" fontId="5" fillId="3" borderId="37" xfId="0" applyNumberFormat="1" applyFont="1" applyFill="1" applyBorder="1"/>
    <xf numFmtId="164" fontId="5" fillId="3" borderId="38" xfId="0" applyNumberFormat="1" applyFont="1" applyFill="1" applyBorder="1"/>
    <xf numFmtId="0" fontId="7" fillId="4" borderId="9" xfId="0" applyFont="1" applyFill="1" applyBorder="1" applyAlignment="1">
      <alignment horizontal="left" vertical="top"/>
    </xf>
    <xf numFmtId="0" fontId="2" fillId="0" borderId="5" xfId="0" applyFont="1" applyBorder="1"/>
    <xf numFmtId="0" fontId="2" fillId="0" borderId="6" xfId="0" applyFont="1" applyBorder="1"/>
    <xf numFmtId="0" fontId="8" fillId="4" borderId="9" xfId="0" applyFont="1" applyFill="1" applyBorder="1" applyAlignment="1">
      <alignment horizontal="left" vertical="top"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2" borderId="4"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4" fillId="3" borderId="9" xfId="0" applyFont="1" applyFill="1" applyBorder="1" applyAlignment="1">
      <alignment horizontal="center"/>
    </xf>
    <xf numFmtId="0" fontId="5" fillId="4" borderId="9" xfId="0" applyFont="1" applyFill="1" applyBorder="1" applyAlignment="1">
      <alignment horizontal="left" vertical="top"/>
    </xf>
    <xf numFmtId="0" fontId="7" fillId="4" borderId="9" xfId="0" applyFont="1" applyFill="1" applyBorder="1" applyAlignment="1">
      <alignment horizontal="left" vertical="top" wrapText="1"/>
    </xf>
    <xf numFmtId="0" fontId="5" fillId="2" borderId="4" xfId="0" applyFont="1" applyFill="1" applyBorder="1" applyAlignment="1">
      <alignment vertical="top" wrapText="1"/>
    </xf>
    <xf numFmtId="0" fontId="7" fillId="0" borderId="10" xfId="0" applyFont="1" applyBorder="1" applyAlignment="1">
      <alignment vertical="top" wrapText="1"/>
    </xf>
    <xf numFmtId="0" fontId="2" fillId="0" borderId="11" xfId="0" applyFont="1" applyBorder="1"/>
    <xf numFmtId="0" fontId="2" fillId="0" borderId="12" xfId="0" applyFont="1" applyBorder="1"/>
    <xf numFmtId="0" fontId="5" fillId="5" borderId="23" xfId="0" applyFont="1" applyFill="1" applyBorder="1" applyAlignment="1">
      <alignment horizontal="center"/>
    </xf>
    <xf numFmtId="0" fontId="2" fillId="0" borderId="24" xfId="0" applyFont="1" applyBorder="1"/>
    <xf numFmtId="0" fontId="5" fillId="6" borderId="29" xfId="0" applyFont="1" applyFill="1" applyBorder="1" applyAlignment="1">
      <alignment horizontal="center"/>
    </xf>
    <xf numFmtId="0" fontId="2" fillId="0" borderId="30" xfId="0" applyFont="1" applyBorder="1"/>
    <xf numFmtId="0" fontId="5" fillId="6" borderId="9" xfId="0" applyFont="1" applyFill="1" applyBorder="1" applyAlignment="1">
      <alignment horizontal="center" wrapText="1"/>
    </xf>
    <xf numFmtId="0" fontId="2" fillId="0" borderId="31" xfId="0" applyFont="1" applyBorder="1"/>
    <xf numFmtId="0" fontId="1" fillId="5" borderId="13" xfId="0" applyFont="1" applyFill="1" applyBorder="1" applyAlignment="1">
      <alignment horizontal="left"/>
    </xf>
    <xf numFmtId="0" fontId="2" fillId="0" borderId="14" xfId="0" applyFont="1" applyBorder="1"/>
    <xf numFmtId="0" fontId="5" fillId="5" borderId="13" xfId="0" applyFont="1" applyFill="1" applyBorder="1" applyAlignment="1">
      <alignment horizontal="left"/>
    </xf>
    <xf numFmtId="0" fontId="4" fillId="5" borderId="13" xfId="0" applyFont="1" applyFill="1" applyBorder="1" applyAlignment="1">
      <alignment horizontal="right" vertical="center"/>
    </xf>
    <xf numFmtId="0" fontId="5" fillId="5" borderId="16" xfId="0" applyFont="1" applyFill="1" applyBorder="1" applyAlignment="1">
      <alignment horizontal="left" wrapText="1"/>
    </xf>
    <xf numFmtId="0" fontId="2" fillId="0" borderId="17" xfId="0" applyFont="1" applyBorder="1"/>
    <xf numFmtId="0" fontId="2" fillId="0" borderId="18" xfId="0" applyFont="1" applyBorder="1"/>
    <xf numFmtId="1" fontId="5" fillId="5" borderId="21" xfId="0" applyNumberFormat="1" applyFont="1" applyFill="1" applyBorder="1" applyAlignment="1">
      <alignment horizontal="left"/>
    </xf>
    <xf numFmtId="0" fontId="2" fillId="0" borderId="2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workbookViewId="0">
      <selection sqref="A1:H1"/>
    </sheetView>
  </sheetViews>
  <sheetFormatPr defaultColWidth="14.44140625" defaultRowHeight="15" customHeight="1" x14ac:dyDescent="0.3"/>
  <cols>
    <col min="1" max="1" width="8" customWidth="1"/>
    <col min="2" max="2" width="12.33203125" customWidth="1"/>
    <col min="3" max="6" width="14.44140625" customWidth="1"/>
  </cols>
  <sheetData>
    <row r="1" spans="1:26" ht="19.5" customHeight="1" x14ac:dyDescent="0.3">
      <c r="A1" s="42" t="s">
        <v>0</v>
      </c>
      <c r="B1" s="43"/>
      <c r="C1" s="43"/>
      <c r="D1" s="43"/>
      <c r="E1" s="43"/>
      <c r="F1" s="43"/>
      <c r="G1" s="43"/>
      <c r="H1" s="44"/>
      <c r="I1" s="1"/>
      <c r="J1" s="1"/>
      <c r="K1" s="1"/>
      <c r="L1" s="1"/>
      <c r="M1" s="1"/>
      <c r="N1" s="1"/>
      <c r="O1" s="1"/>
      <c r="P1" s="1"/>
      <c r="Q1" s="1"/>
      <c r="R1" s="1"/>
      <c r="S1" s="1"/>
      <c r="T1" s="1"/>
      <c r="U1" s="1"/>
      <c r="V1" s="1"/>
      <c r="W1" s="1"/>
      <c r="X1" s="1"/>
      <c r="Y1" s="1"/>
      <c r="Z1" s="1"/>
    </row>
    <row r="2" spans="1:26" ht="14.4" x14ac:dyDescent="0.3">
      <c r="A2" s="45" t="s">
        <v>1</v>
      </c>
      <c r="B2" s="39"/>
      <c r="C2" s="39"/>
      <c r="D2" s="39"/>
      <c r="E2" s="39"/>
      <c r="F2" s="39"/>
      <c r="G2" s="39"/>
      <c r="H2" s="40"/>
      <c r="I2" s="2"/>
      <c r="J2" s="2"/>
      <c r="K2" s="2"/>
      <c r="L2" s="2"/>
      <c r="M2" s="2"/>
      <c r="N2" s="2"/>
      <c r="O2" s="2"/>
      <c r="P2" s="2"/>
      <c r="Q2" s="2"/>
      <c r="R2" s="2"/>
      <c r="S2" s="2"/>
      <c r="T2" s="2"/>
      <c r="U2" s="2"/>
      <c r="V2" s="2"/>
      <c r="W2" s="2"/>
      <c r="X2" s="2"/>
      <c r="Y2" s="2"/>
      <c r="Z2" s="2"/>
    </row>
    <row r="3" spans="1:26" ht="45" customHeight="1" x14ac:dyDescent="0.3">
      <c r="A3" s="46" t="s">
        <v>2</v>
      </c>
      <c r="B3" s="39"/>
      <c r="C3" s="39"/>
      <c r="D3" s="39"/>
      <c r="E3" s="39"/>
      <c r="F3" s="39"/>
      <c r="G3" s="39"/>
      <c r="H3" s="40"/>
      <c r="I3" s="2"/>
      <c r="J3" s="2"/>
      <c r="K3" s="2"/>
      <c r="L3" s="2"/>
      <c r="M3" s="2"/>
      <c r="N3" s="2"/>
      <c r="O3" s="2"/>
      <c r="P3" s="2"/>
      <c r="Q3" s="2"/>
      <c r="R3" s="2"/>
      <c r="S3" s="2"/>
      <c r="T3" s="2"/>
      <c r="U3" s="2"/>
      <c r="V3" s="2"/>
      <c r="W3" s="2"/>
      <c r="X3" s="2"/>
      <c r="Y3" s="2"/>
      <c r="Z3" s="2"/>
    </row>
    <row r="4" spans="1:26" ht="14.4" x14ac:dyDescent="0.3">
      <c r="A4" s="3" t="s">
        <v>3</v>
      </c>
      <c r="B4" s="4" t="s">
        <v>4</v>
      </c>
      <c r="C4" s="47" t="s">
        <v>5</v>
      </c>
      <c r="D4" s="39"/>
      <c r="E4" s="39"/>
      <c r="F4" s="39"/>
      <c r="G4" s="39"/>
      <c r="H4" s="40"/>
    </row>
    <row r="5" spans="1:26" ht="14.4" x14ac:dyDescent="0.3">
      <c r="A5" s="5">
        <v>4</v>
      </c>
      <c r="B5" s="6" t="s">
        <v>6</v>
      </c>
      <c r="C5" s="48" t="s">
        <v>7</v>
      </c>
      <c r="D5" s="39"/>
      <c r="E5" s="39"/>
      <c r="F5" s="39"/>
      <c r="G5" s="39"/>
      <c r="H5" s="40"/>
    </row>
    <row r="6" spans="1:26" ht="14.4" x14ac:dyDescent="0.3">
      <c r="A6" s="5">
        <v>5</v>
      </c>
      <c r="B6" s="6" t="s">
        <v>6</v>
      </c>
      <c r="C6" s="38" t="s">
        <v>8</v>
      </c>
      <c r="D6" s="39"/>
      <c r="E6" s="39"/>
      <c r="F6" s="39"/>
      <c r="G6" s="39"/>
      <c r="H6" s="40"/>
    </row>
    <row r="7" spans="1:26" ht="275.25" customHeight="1" x14ac:dyDescent="0.3">
      <c r="A7" s="7" t="s">
        <v>9</v>
      </c>
      <c r="B7" s="8" t="s">
        <v>10</v>
      </c>
      <c r="C7" s="41" t="s">
        <v>11</v>
      </c>
      <c r="D7" s="39"/>
      <c r="E7" s="39"/>
      <c r="F7" s="39"/>
      <c r="G7" s="39"/>
      <c r="H7" s="40"/>
    </row>
    <row r="8" spans="1:26" ht="15" customHeight="1" x14ac:dyDescent="0.3">
      <c r="A8" s="5">
        <v>8</v>
      </c>
      <c r="B8" s="6" t="s">
        <v>12</v>
      </c>
      <c r="C8" s="49" t="s">
        <v>13</v>
      </c>
      <c r="D8" s="39"/>
      <c r="E8" s="39"/>
      <c r="F8" s="39"/>
      <c r="G8" s="39"/>
      <c r="H8" s="40"/>
    </row>
    <row r="9" spans="1:26" ht="14.4" x14ac:dyDescent="0.3">
      <c r="A9" s="9" t="s">
        <v>14</v>
      </c>
      <c r="B9" s="8" t="s">
        <v>6</v>
      </c>
      <c r="C9" s="49" t="s">
        <v>15</v>
      </c>
      <c r="D9" s="39"/>
      <c r="E9" s="39"/>
      <c r="F9" s="39"/>
      <c r="G9" s="39"/>
      <c r="H9" s="40"/>
    </row>
    <row r="10" spans="1:26" ht="120" customHeight="1" x14ac:dyDescent="0.3">
      <c r="A10" s="10" t="s">
        <v>14</v>
      </c>
      <c r="B10" s="8" t="s">
        <v>16</v>
      </c>
      <c r="C10" s="49" t="s">
        <v>17</v>
      </c>
      <c r="D10" s="39"/>
      <c r="E10" s="39"/>
      <c r="F10" s="39"/>
      <c r="G10" s="39"/>
      <c r="H10" s="40"/>
    </row>
    <row r="11" spans="1:26" ht="104.25" customHeight="1" x14ac:dyDescent="0.3">
      <c r="A11" s="50" t="s">
        <v>18</v>
      </c>
      <c r="B11" s="39"/>
      <c r="C11" s="39"/>
      <c r="D11" s="39"/>
      <c r="E11" s="39"/>
      <c r="F11" s="39"/>
      <c r="G11" s="39"/>
      <c r="H11" s="40"/>
    </row>
    <row r="12" spans="1:26" ht="36" customHeight="1" x14ac:dyDescent="0.3">
      <c r="A12" s="51" t="s">
        <v>19</v>
      </c>
      <c r="B12" s="52"/>
      <c r="C12" s="52"/>
      <c r="D12" s="52"/>
      <c r="E12" s="52"/>
      <c r="F12" s="52"/>
      <c r="G12" s="52"/>
      <c r="H12" s="53"/>
    </row>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sheetData>
  <mergeCells count="12">
    <mergeCell ref="C8:H8"/>
    <mergeCell ref="C9:H9"/>
    <mergeCell ref="C10:H10"/>
    <mergeCell ref="A11:H11"/>
    <mergeCell ref="A12:H12"/>
    <mergeCell ref="C6:H6"/>
    <mergeCell ref="C7:H7"/>
    <mergeCell ref="A1:H1"/>
    <mergeCell ref="A2:H2"/>
    <mergeCell ref="A3:H3"/>
    <mergeCell ref="C4:H4"/>
    <mergeCell ref="C5:H5"/>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1000"/>
  <sheetViews>
    <sheetView workbookViewId="0">
      <pane xSplit="2" ySplit="8" topLeftCell="C9" activePane="bottomRight" state="frozen"/>
      <selection pane="topRight" activeCell="C1" sqref="C1"/>
      <selection pane="bottomLeft" activeCell="A9" sqref="A9"/>
      <selection pane="bottomRight" sqref="A1:B1"/>
    </sheetView>
  </sheetViews>
  <sheetFormatPr defaultColWidth="14.44140625" defaultRowHeight="15" customHeight="1" x14ac:dyDescent="0.3"/>
  <cols>
    <col min="1" max="1" width="9.109375" customWidth="1"/>
    <col min="2" max="2" width="66" customWidth="1"/>
    <col min="3" max="17" width="13.33203125" customWidth="1"/>
    <col min="18" max="32" width="13.6640625" customWidth="1"/>
  </cols>
  <sheetData>
    <row r="1" spans="1:32" ht="17.399999999999999" x14ac:dyDescent="0.3">
      <c r="A1" s="60" t="s">
        <v>20</v>
      </c>
      <c r="B1" s="61"/>
      <c r="C1" s="11"/>
      <c r="D1" s="11"/>
      <c r="E1" s="11"/>
      <c r="F1" s="11"/>
      <c r="G1" s="11"/>
      <c r="H1" s="11"/>
      <c r="I1" s="11"/>
      <c r="J1" s="11"/>
      <c r="K1" s="11"/>
      <c r="L1" s="11"/>
      <c r="M1" s="11"/>
      <c r="N1" s="11"/>
      <c r="O1" s="11"/>
      <c r="P1" s="11"/>
      <c r="Q1" s="11"/>
      <c r="R1" s="11"/>
      <c r="S1" s="12"/>
      <c r="T1" s="12"/>
      <c r="U1" s="12"/>
      <c r="V1" s="12"/>
      <c r="W1" s="12"/>
      <c r="X1" s="12"/>
      <c r="Y1" s="12"/>
      <c r="Z1" s="12"/>
      <c r="AA1" s="12"/>
      <c r="AB1" s="12"/>
      <c r="AC1" s="12"/>
      <c r="AD1" s="12"/>
      <c r="AE1" s="12"/>
      <c r="AF1" s="12"/>
    </row>
    <row r="2" spans="1:32" ht="14.4" x14ac:dyDescent="0.3">
      <c r="A2" s="62" t="s">
        <v>21</v>
      </c>
      <c r="B2" s="61"/>
      <c r="C2" s="11"/>
      <c r="D2" s="11"/>
      <c r="E2" s="11"/>
      <c r="F2" s="11"/>
      <c r="G2" s="11"/>
      <c r="H2" s="11"/>
      <c r="I2" s="11"/>
      <c r="J2" s="11"/>
      <c r="K2" s="11"/>
      <c r="L2" s="11"/>
      <c r="M2" s="11"/>
      <c r="N2" s="11"/>
      <c r="O2" s="11"/>
      <c r="P2" s="11"/>
      <c r="Q2" s="11"/>
      <c r="R2" s="11"/>
      <c r="S2" s="12"/>
      <c r="T2" s="12"/>
      <c r="U2" s="12"/>
      <c r="V2" s="12"/>
      <c r="W2" s="12"/>
      <c r="X2" s="12"/>
      <c r="Y2" s="12"/>
      <c r="Z2" s="12"/>
      <c r="AA2" s="12"/>
      <c r="AB2" s="12"/>
      <c r="AC2" s="12"/>
      <c r="AD2" s="12"/>
      <c r="AE2" s="12"/>
      <c r="AF2" s="12"/>
    </row>
    <row r="3" spans="1:32" ht="14.4" x14ac:dyDescent="0.3">
      <c r="A3" s="62" t="s">
        <v>22</v>
      </c>
      <c r="B3" s="61"/>
      <c r="C3" s="12"/>
      <c r="D3" s="12"/>
      <c r="E3" s="12"/>
      <c r="F3" s="12"/>
      <c r="G3" s="12"/>
      <c r="H3" s="12"/>
      <c r="I3" s="12"/>
      <c r="J3" s="12"/>
      <c r="K3" s="12"/>
      <c r="L3" s="12"/>
      <c r="M3" s="12"/>
      <c r="N3" s="12"/>
      <c r="O3" s="12"/>
      <c r="P3" s="12"/>
      <c r="Q3" s="12"/>
      <c r="R3" s="11"/>
      <c r="S3" s="12"/>
      <c r="T3" s="12"/>
      <c r="U3" s="12"/>
      <c r="V3" s="12"/>
      <c r="W3" s="12"/>
      <c r="X3" s="12"/>
      <c r="Y3" s="12"/>
      <c r="Z3" s="12"/>
      <c r="AA3" s="12"/>
      <c r="AB3" s="12"/>
      <c r="AC3" s="12"/>
      <c r="AD3" s="12"/>
      <c r="AE3" s="12"/>
      <c r="AF3" s="12"/>
    </row>
    <row r="4" spans="1:32" ht="28.5" customHeight="1" x14ac:dyDescent="0.3">
      <c r="A4" s="63" t="s">
        <v>23</v>
      </c>
      <c r="B4" s="61"/>
      <c r="C4" s="64"/>
      <c r="D4" s="65"/>
      <c r="E4" s="65"/>
      <c r="F4" s="66"/>
      <c r="G4" s="13"/>
      <c r="H4" s="14"/>
      <c r="I4" s="14"/>
      <c r="J4" s="14"/>
      <c r="K4" s="14"/>
      <c r="L4" s="14"/>
      <c r="M4" s="14"/>
      <c r="N4" s="14"/>
      <c r="O4" s="14"/>
      <c r="P4" s="14"/>
      <c r="Q4" s="14"/>
      <c r="R4" s="12"/>
      <c r="S4" s="12"/>
      <c r="T4" s="12"/>
      <c r="U4" s="12"/>
      <c r="V4" s="12"/>
      <c r="W4" s="12"/>
      <c r="X4" s="12"/>
      <c r="Y4" s="12"/>
      <c r="Z4" s="12"/>
      <c r="AA4" s="12"/>
      <c r="AB4" s="12"/>
      <c r="AC4" s="12"/>
      <c r="AD4" s="12"/>
      <c r="AE4" s="12"/>
      <c r="AF4" s="12"/>
    </row>
    <row r="5" spans="1:32" ht="14.4" x14ac:dyDescent="0.3">
      <c r="A5" s="63" t="s">
        <v>24</v>
      </c>
      <c r="B5" s="61"/>
      <c r="C5" s="67"/>
      <c r="D5" s="68"/>
      <c r="E5" s="11"/>
      <c r="F5" s="11"/>
      <c r="G5" s="12"/>
      <c r="H5" s="12"/>
      <c r="I5" s="12"/>
      <c r="J5" s="12"/>
      <c r="K5" s="12"/>
      <c r="L5" s="12"/>
      <c r="M5" s="12"/>
      <c r="N5" s="12"/>
      <c r="O5" s="12"/>
      <c r="P5" s="12"/>
      <c r="Q5" s="12"/>
      <c r="R5" s="12"/>
      <c r="S5" s="12"/>
      <c r="T5" s="12"/>
      <c r="U5" s="12"/>
      <c r="V5" s="12"/>
      <c r="W5" s="12"/>
      <c r="X5" s="12"/>
      <c r="Y5" s="12"/>
      <c r="Z5" s="12"/>
      <c r="AA5" s="12"/>
      <c r="AB5" s="12"/>
      <c r="AC5" s="12"/>
      <c r="AD5" s="12"/>
      <c r="AE5" s="12"/>
      <c r="AF5" s="12"/>
    </row>
    <row r="6" spans="1:32" ht="14.4" x14ac:dyDescent="0.3">
      <c r="A6" s="54"/>
      <c r="B6" s="55"/>
      <c r="C6" s="15"/>
      <c r="D6" s="15"/>
      <c r="E6" s="15"/>
      <c r="F6" s="15"/>
      <c r="G6" s="15"/>
      <c r="H6" s="15"/>
      <c r="I6" s="15"/>
      <c r="J6" s="15"/>
      <c r="K6" s="15"/>
      <c r="L6" s="15"/>
      <c r="M6" s="15"/>
      <c r="N6" s="15"/>
      <c r="O6" s="15"/>
      <c r="P6" s="15"/>
      <c r="Q6" s="15"/>
      <c r="R6" s="15"/>
      <c r="S6" s="16"/>
      <c r="T6" s="16"/>
      <c r="U6" s="16"/>
      <c r="V6" s="16"/>
      <c r="W6" s="16"/>
      <c r="X6" s="16"/>
      <c r="Y6" s="16"/>
      <c r="Z6" s="16"/>
      <c r="AA6" s="16"/>
      <c r="AB6" s="16"/>
      <c r="AC6" s="16"/>
      <c r="AD6" s="16"/>
      <c r="AE6" s="16"/>
      <c r="AF6" s="16"/>
    </row>
    <row r="7" spans="1:32" ht="55.8" x14ac:dyDescent="0.3">
      <c r="A7" s="17" t="s">
        <v>25</v>
      </c>
      <c r="B7" s="18" t="s">
        <v>26</v>
      </c>
      <c r="C7" s="19" t="s">
        <v>27</v>
      </c>
      <c r="D7" s="19" t="s">
        <v>28</v>
      </c>
      <c r="E7" s="19" t="s">
        <v>29</v>
      </c>
      <c r="F7" s="19" t="s">
        <v>30</v>
      </c>
      <c r="G7" s="19" t="s">
        <v>31</v>
      </c>
      <c r="H7" s="19" t="s">
        <v>32</v>
      </c>
      <c r="I7" s="19" t="s">
        <v>33</v>
      </c>
      <c r="J7" s="19" t="s">
        <v>34</v>
      </c>
      <c r="K7" s="19" t="s">
        <v>35</v>
      </c>
      <c r="L7" s="19" t="s">
        <v>36</v>
      </c>
      <c r="M7" s="19" t="s">
        <v>37</v>
      </c>
      <c r="N7" s="19" t="s">
        <v>38</v>
      </c>
      <c r="O7" s="19" t="s">
        <v>39</v>
      </c>
      <c r="P7" s="19" t="s">
        <v>40</v>
      </c>
      <c r="Q7" s="19" t="s">
        <v>41</v>
      </c>
      <c r="R7" s="19" t="s">
        <v>42</v>
      </c>
      <c r="S7" s="19" t="s">
        <v>43</v>
      </c>
      <c r="T7" s="19" t="s">
        <v>44</v>
      </c>
      <c r="U7" s="19" t="s">
        <v>45</v>
      </c>
      <c r="V7" s="19" t="s">
        <v>46</v>
      </c>
      <c r="W7" s="19" t="s">
        <v>47</v>
      </c>
      <c r="X7" s="19" t="s">
        <v>48</v>
      </c>
      <c r="Y7" s="19" t="s">
        <v>49</v>
      </c>
      <c r="Z7" s="19" t="s">
        <v>50</v>
      </c>
      <c r="AA7" s="19" t="s">
        <v>51</v>
      </c>
      <c r="AB7" s="19" t="s">
        <v>52</v>
      </c>
      <c r="AC7" s="19" t="s">
        <v>53</v>
      </c>
      <c r="AD7" s="19" t="s">
        <v>54</v>
      </c>
      <c r="AE7" s="19" t="s">
        <v>55</v>
      </c>
      <c r="AF7" s="20" t="s">
        <v>56</v>
      </c>
    </row>
    <row r="8" spans="1:32" ht="16.5" customHeight="1" x14ac:dyDescent="0.3">
      <c r="A8" s="56"/>
      <c r="B8" s="39"/>
      <c r="C8" s="57"/>
      <c r="D8" s="21"/>
      <c r="E8" s="22"/>
      <c r="F8" s="22"/>
      <c r="G8" s="22"/>
      <c r="H8" s="22"/>
      <c r="I8" s="22"/>
      <c r="J8" s="22"/>
      <c r="K8" s="22"/>
      <c r="L8" s="22"/>
      <c r="M8" s="22"/>
      <c r="N8" s="22"/>
      <c r="O8" s="22"/>
      <c r="P8" s="22"/>
      <c r="Q8" s="22"/>
      <c r="R8" s="58"/>
      <c r="S8" s="39"/>
      <c r="T8" s="39"/>
      <c r="U8" s="39"/>
      <c r="V8" s="39"/>
      <c r="W8" s="39"/>
      <c r="X8" s="39"/>
      <c r="Y8" s="39"/>
      <c r="Z8" s="39"/>
      <c r="AA8" s="39"/>
      <c r="AB8" s="39"/>
      <c r="AC8" s="39"/>
      <c r="AD8" s="39"/>
      <c r="AE8" s="39"/>
      <c r="AF8" s="59"/>
    </row>
    <row r="9" spans="1:32" ht="16.5" customHeight="1" x14ac:dyDescent="0.3">
      <c r="A9" s="23" t="s">
        <v>57</v>
      </c>
      <c r="B9" s="24" t="s">
        <v>58</v>
      </c>
      <c r="C9" s="25"/>
      <c r="D9" s="26">
        <f t="shared" ref="D9:D28" si="0">SUM(C9)*$D$8</f>
        <v>0</v>
      </c>
      <c r="E9" s="26">
        <f t="shared" ref="E9:E28" si="1">SUM(C9:D9)*$E$8</f>
        <v>0</v>
      </c>
      <c r="F9" s="26">
        <f t="shared" ref="F9:F28" si="2">SUM(C9:E9)*$F$8</f>
        <v>0</v>
      </c>
      <c r="G9" s="27"/>
      <c r="H9" s="27"/>
      <c r="I9" s="27"/>
      <c r="J9" s="27"/>
      <c r="K9" s="27"/>
      <c r="L9" s="27"/>
      <c r="M9" s="27"/>
      <c r="N9" s="27"/>
      <c r="O9" s="27"/>
      <c r="P9" s="27"/>
      <c r="Q9" s="26">
        <f t="shared" ref="Q9:Q28" si="3">SUM(C9:F9)*$Q$8</f>
        <v>0</v>
      </c>
      <c r="R9" s="28">
        <f t="shared" ref="R9:R28" si="4">ROUND(SUM(C9:Q9)*1.0441,2)</f>
        <v>0</v>
      </c>
      <c r="S9" s="28">
        <f t="shared" ref="S9:AF9" si="5">ROUND(R9*1.0441,2)</f>
        <v>0</v>
      </c>
      <c r="T9" s="28">
        <f t="shared" si="5"/>
        <v>0</v>
      </c>
      <c r="U9" s="28">
        <f t="shared" si="5"/>
        <v>0</v>
      </c>
      <c r="V9" s="28">
        <f t="shared" si="5"/>
        <v>0</v>
      </c>
      <c r="W9" s="28">
        <f t="shared" si="5"/>
        <v>0</v>
      </c>
      <c r="X9" s="28">
        <f t="shared" si="5"/>
        <v>0</v>
      </c>
      <c r="Y9" s="28">
        <f t="shared" si="5"/>
        <v>0</v>
      </c>
      <c r="Z9" s="28">
        <f t="shared" si="5"/>
        <v>0</v>
      </c>
      <c r="AA9" s="28">
        <f t="shared" si="5"/>
        <v>0</v>
      </c>
      <c r="AB9" s="28">
        <f t="shared" si="5"/>
        <v>0</v>
      </c>
      <c r="AC9" s="28">
        <f t="shared" si="5"/>
        <v>0</v>
      </c>
      <c r="AD9" s="28">
        <f t="shared" si="5"/>
        <v>0</v>
      </c>
      <c r="AE9" s="28">
        <f t="shared" si="5"/>
        <v>0</v>
      </c>
      <c r="AF9" s="29">
        <f t="shared" si="5"/>
        <v>0</v>
      </c>
    </row>
    <row r="10" spans="1:32" ht="16.5" customHeight="1" x14ac:dyDescent="0.3">
      <c r="A10" s="30">
        <v>2666211</v>
      </c>
      <c r="B10" s="24" t="s">
        <v>59</v>
      </c>
      <c r="C10" s="25"/>
      <c r="D10" s="26">
        <f t="shared" si="0"/>
        <v>0</v>
      </c>
      <c r="E10" s="26">
        <f t="shared" si="1"/>
        <v>0</v>
      </c>
      <c r="F10" s="26">
        <f t="shared" si="2"/>
        <v>0</v>
      </c>
      <c r="G10" s="27"/>
      <c r="H10" s="27"/>
      <c r="I10" s="27"/>
      <c r="J10" s="27"/>
      <c r="K10" s="27"/>
      <c r="L10" s="27"/>
      <c r="M10" s="27"/>
      <c r="N10" s="27"/>
      <c r="O10" s="27"/>
      <c r="P10" s="27"/>
      <c r="Q10" s="26">
        <f t="shared" si="3"/>
        <v>0</v>
      </c>
      <c r="R10" s="28">
        <f t="shared" si="4"/>
        <v>0</v>
      </c>
      <c r="S10" s="28">
        <f t="shared" ref="S10:AF10" si="6">ROUND(R10*1.0441,2)</f>
        <v>0</v>
      </c>
      <c r="T10" s="28">
        <f t="shared" si="6"/>
        <v>0</v>
      </c>
      <c r="U10" s="28">
        <f t="shared" si="6"/>
        <v>0</v>
      </c>
      <c r="V10" s="28">
        <f t="shared" si="6"/>
        <v>0</v>
      </c>
      <c r="W10" s="28">
        <f t="shared" si="6"/>
        <v>0</v>
      </c>
      <c r="X10" s="28">
        <f t="shared" si="6"/>
        <v>0</v>
      </c>
      <c r="Y10" s="28">
        <f t="shared" si="6"/>
        <v>0</v>
      </c>
      <c r="Z10" s="28">
        <f t="shared" si="6"/>
        <v>0</v>
      </c>
      <c r="AA10" s="28">
        <f t="shared" si="6"/>
        <v>0</v>
      </c>
      <c r="AB10" s="28">
        <f t="shared" si="6"/>
        <v>0</v>
      </c>
      <c r="AC10" s="28">
        <f t="shared" si="6"/>
        <v>0</v>
      </c>
      <c r="AD10" s="28">
        <f t="shared" si="6"/>
        <v>0</v>
      </c>
      <c r="AE10" s="28">
        <f t="shared" si="6"/>
        <v>0</v>
      </c>
      <c r="AF10" s="29">
        <f t="shared" si="6"/>
        <v>0</v>
      </c>
    </row>
    <row r="11" spans="1:32" ht="16.5" customHeight="1" x14ac:dyDescent="0.3">
      <c r="A11" s="23" t="s">
        <v>60</v>
      </c>
      <c r="B11" s="24" t="s">
        <v>61</v>
      </c>
      <c r="C11" s="25"/>
      <c r="D11" s="26">
        <f t="shared" si="0"/>
        <v>0</v>
      </c>
      <c r="E11" s="26">
        <f t="shared" si="1"/>
        <v>0</v>
      </c>
      <c r="F11" s="26">
        <f t="shared" si="2"/>
        <v>0</v>
      </c>
      <c r="G11" s="27"/>
      <c r="H11" s="27"/>
      <c r="I11" s="27"/>
      <c r="J11" s="27"/>
      <c r="K11" s="27"/>
      <c r="L11" s="27"/>
      <c r="M11" s="27"/>
      <c r="N11" s="27"/>
      <c r="O11" s="27"/>
      <c r="P11" s="27"/>
      <c r="Q11" s="26">
        <f t="shared" si="3"/>
        <v>0</v>
      </c>
      <c r="R11" s="28">
        <f t="shared" si="4"/>
        <v>0</v>
      </c>
      <c r="S11" s="28">
        <f t="shared" ref="S11:AF11" si="7">ROUND(R11*1.0441,2)</f>
        <v>0</v>
      </c>
      <c r="T11" s="28">
        <f t="shared" si="7"/>
        <v>0</v>
      </c>
      <c r="U11" s="28">
        <f t="shared" si="7"/>
        <v>0</v>
      </c>
      <c r="V11" s="28">
        <f t="shared" si="7"/>
        <v>0</v>
      </c>
      <c r="W11" s="28">
        <f t="shared" si="7"/>
        <v>0</v>
      </c>
      <c r="X11" s="28">
        <f t="shared" si="7"/>
        <v>0</v>
      </c>
      <c r="Y11" s="28">
        <f t="shared" si="7"/>
        <v>0</v>
      </c>
      <c r="Z11" s="28">
        <f t="shared" si="7"/>
        <v>0</v>
      </c>
      <c r="AA11" s="28">
        <f t="shared" si="7"/>
        <v>0</v>
      </c>
      <c r="AB11" s="28">
        <f t="shared" si="7"/>
        <v>0</v>
      </c>
      <c r="AC11" s="28">
        <f t="shared" si="7"/>
        <v>0</v>
      </c>
      <c r="AD11" s="28">
        <f t="shared" si="7"/>
        <v>0</v>
      </c>
      <c r="AE11" s="28">
        <f t="shared" si="7"/>
        <v>0</v>
      </c>
      <c r="AF11" s="29">
        <f t="shared" si="7"/>
        <v>0</v>
      </c>
    </row>
    <row r="12" spans="1:32" ht="16.5" customHeight="1" x14ac:dyDescent="0.3">
      <c r="A12" s="23" t="s">
        <v>62</v>
      </c>
      <c r="B12" s="24" t="s">
        <v>63</v>
      </c>
      <c r="C12" s="25"/>
      <c r="D12" s="26">
        <f t="shared" si="0"/>
        <v>0</v>
      </c>
      <c r="E12" s="26">
        <f t="shared" si="1"/>
        <v>0</v>
      </c>
      <c r="F12" s="26">
        <f t="shared" si="2"/>
        <v>0</v>
      </c>
      <c r="G12" s="27"/>
      <c r="H12" s="27"/>
      <c r="I12" s="27"/>
      <c r="J12" s="27"/>
      <c r="K12" s="27"/>
      <c r="L12" s="27"/>
      <c r="M12" s="27"/>
      <c r="N12" s="27"/>
      <c r="O12" s="27"/>
      <c r="P12" s="27"/>
      <c r="Q12" s="26">
        <f t="shared" si="3"/>
        <v>0</v>
      </c>
      <c r="R12" s="28">
        <f t="shared" si="4"/>
        <v>0</v>
      </c>
      <c r="S12" s="28">
        <f t="shared" ref="S12:AF12" si="8">ROUND(R12*1.0441,2)</f>
        <v>0</v>
      </c>
      <c r="T12" s="28">
        <f t="shared" si="8"/>
        <v>0</v>
      </c>
      <c r="U12" s="28">
        <f t="shared" si="8"/>
        <v>0</v>
      </c>
      <c r="V12" s="28">
        <f t="shared" si="8"/>
        <v>0</v>
      </c>
      <c r="W12" s="28">
        <f t="shared" si="8"/>
        <v>0</v>
      </c>
      <c r="X12" s="28">
        <f t="shared" si="8"/>
        <v>0</v>
      </c>
      <c r="Y12" s="28">
        <f t="shared" si="8"/>
        <v>0</v>
      </c>
      <c r="Z12" s="28">
        <f t="shared" si="8"/>
        <v>0</v>
      </c>
      <c r="AA12" s="28">
        <f t="shared" si="8"/>
        <v>0</v>
      </c>
      <c r="AB12" s="28">
        <f t="shared" si="8"/>
        <v>0</v>
      </c>
      <c r="AC12" s="28">
        <f t="shared" si="8"/>
        <v>0</v>
      </c>
      <c r="AD12" s="28">
        <f t="shared" si="8"/>
        <v>0</v>
      </c>
      <c r="AE12" s="28">
        <f t="shared" si="8"/>
        <v>0</v>
      </c>
      <c r="AF12" s="29">
        <f t="shared" si="8"/>
        <v>0</v>
      </c>
    </row>
    <row r="13" spans="1:32" ht="16.5" customHeight="1" x14ac:dyDescent="0.3">
      <c r="A13" s="23" t="s">
        <v>64</v>
      </c>
      <c r="B13" s="24" t="s">
        <v>65</v>
      </c>
      <c r="C13" s="25"/>
      <c r="D13" s="26">
        <f t="shared" si="0"/>
        <v>0</v>
      </c>
      <c r="E13" s="26">
        <f t="shared" si="1"/>
        <v>0</v>
      </c>
      <c r="F13" s="26">
        <f t="shared" si="2"/>
        <v>0</v>
      </c>
      <c r="G13" s="27"/>
      <c r="H13" s="27"/>
      <c r="I13" s="27"/>
      <c r="J13" s="27"/>
      <c r="K13" s="27"/>
      <c r="L13" s="27"/>
      <c r="M13" s="27"/>
      <c r="N13" s="27"/>
      <c r="O13" s="27"/>
      <c r="P13" s="27"/>
      <c r="Q13" s="26">
        <f t="shared" si="3"/>
        <v>0</v>
      </c>
      <c r="R13" s="28">
        <f t="shared" si="4"/>
        <v>0</v>
      </c>
      <c r="S13" s="28">
        <f t="shared" ref="S13:AF13" si="9">ROUND(R13*1.0441,2)</f>
        <v>0</v>
      </c>
      <c r="T13" s="28">
        <f t="shared" si="9"/>
        <v>0</v>
      </c>
      <c r="U13" s="28">
        <f t="shared" si="9"/>
        <v>0</v>
      </c>
      <c r="V13" s="28">
        <f t="shared" si="9"/>
        <v>0</v>
      </c>
      <c r="W13" s="28">
        <f t="shared" si="9"/>
        <v>0</v>
      </c>
      <c r="X13" s="28">
        <f t="shared" si="9"/>
        <v>0</v>
      </c>
      <c r="Y13" s="28">
        <f t="shared" si="9"/>
        <v>0</v>
      </c>
      <c r="Z13" s="28">
        <f t="shared" si="9"/>
        <v>0</v>
      </c>
      <c r="AA13" s="28">
        <f t="shared" si="9"/>
        <v>0</v>
      </c>
      <c r="AB13" s="28">
        <f t="shared" si="9"/>
        <v>0</v>
      </c>
      <c r="AC13" s="28">
        <f t="shared" si="9"/>
        <v>0</v>
      </c>
      <c r="AD13" s="28">
        <f t="shared" si="9"/>
        <v>0</v>
      </c>
      <c r="AE13" s="28">
        <f t="shared" si="9"/>
        <v>0</v>
      </c>
      <c r="AF13" s="29">
        <f t="shared" si="9"/>
        <v>0</v>
      </c>
    </row>
    <row r="14" spans="1:32" ht="16.5" customHeight="1" x14ac:dyDescent="0.3">
      <c r="A14" s="30">
        <v>406456</v>
      </c>
      <c r="B14" s="24" t="s">
        <v>66</v>
      </c>
      <c r="C14" s="25"/>
      <c r="D14" s="26">
        <f t="shared" si="0"/>
        <v>0</v>
      </c>
      <c r="E14" s="26">
        <f t="shared" si="1"/>
        <v>0</v>
      </c>
      <c r="F14" s="26">
        <f t="shared" si="2"/>
        <v>0</v>
      </c>
      <c r="G14" s="27"/>
      <c r="H14" s="27"/>
      <c r="I14" s="27"/>
      <c r="J14" s="27"/>
      <c r="K14" s="27"/>
      <c r="L14" s="27"/>
      <c r="M14" s="27"/>
      <c r="N14" s="27"/>
      <c r="O14" s="27"/>
      <c r="P14" s="27"/>
      <c r="Q14" s="26">
        <f t="shared" si="3"/>
        <v>0</v>
      </c>
      <c r="R14" s="28">
        <f t="shared" si="4"/>
        <v>0</v>
      </c>
      <c r="S14" s="28">
        <f t="shared" ref="S14:AF14" si="10">ROUND(R14*1.0441,2)</f>
        <v>0</v>
      </c>
      <c r="T14" s="28">
        <f t="shared" si="10"/>
        <v>0</v>
      </c>
      <c r="U14" s="28">
        <f t="shared" si="10"/>
        <v>0</v>
      </c>
      <c r="V14" s="28">
        <f t="shared" si="10"/>
        <v>0</v>
      </c>
      <c r="W14" s="28">
        <f t="shared" si="10"/>
        <v>0</v>
      </c>
      <c r="X14" s="28">
        <f t="shared" si="10"/>
        <v>0</v>
      </c>
      <c r="Y14" s="28">
        <f t="shared" si="10"/>
        <v>0</v>
      </c>
      <c r="Z14" s="28">
        <f t="shared" si="10"/>
        <v>0</v>
      </c>
      <c r="AA14" s="28">
        <f t="shared" si="10"/>
        <v>0</v>
      </c>
      <c r="AB14" s="28">
        <f t="shared" si="10"/>
        <v>0</v>
      </c>
      <c r="AC14" s="28">
        <f t="shared" si="10"/>
        <v>0</v>
      </c>
      <c r="AD14" s="28">
        <f t="shared" si="10"/>
        <v>0</v>
      </c>
      <c r="AE14" s="28">
        <f t="shared" si="10"/>
        <v>0</v>
      </c>
      <c r="AF14" s="29">
        <f t="shared" si="10"/>
        <v>0</v>
      </c>
    </row>
    <row r="15" spans="1:32" ht="16.5" customHeight="1" x14ac:dyDescent="0.3">
      <c r="A15" s="30" t="s">
        <v>67</v>
      </c>
      <c r="B15" s="24" t="s">
        <v>68</v>
      </c>
      <c r="C15" s="25"/>
      <c r="D15" s="26">
        <f t="shared" si="0"/>
        <v>0</v>
      </c>
      <c r="E15" s="26">
        <f t="shared" si="1"/>
        <v>0</v>
      </c>
      <c r="F15" s="26">
        <f t="shared" si="2"/>
        <v>0</v>
      </c>
      <c r="G15" s="27"/>
      <c r="H15" s="27"/>
      <c r="I15" s="27"/>
      <c r="J15" s="27"/>
      <c r="K15" s="27"/>
      <c r="L15" s="27"/>
      <c r="M15" s="27"/>
      <c r="N15" s="27"/>
      <c r="O15" s="27"/>
      <c r="P15" s="27"/>
      <c r="Q15" s="26">
        <f t="shared" si="3"/>
        <v>0</v>
      </c>
      <c r="R15" s="28">
        <f t="shared" si="4"/>
        <v>0</v>
      </c>
      <c r="S15" s="28">
        <f t="shared" ref="S15:AF15" si="11">ROUND(R15*1.0441,2)</f>
        <v>0</v>
      </c>
      <c r="T15" s="28">
        <f t="shared" si="11"/>
        <v>0</v>
      </c>
      <c r="U15" s="28">
        <f t="shared" si="11"/>
        <v>0</v>
      </c>
      <c r="V15" s="28">
        <f t="shared" si="11"/>
        <v>0</v>
      </c>
      <c r="W15" s="28">
        <f t="shared" si="11"/>
        <v>0</v>
      </c>
      <c r="X15" s="28">
        <f t="shared" si="11"/>
        <v>0</v>
      </c>
      <c r="Y15" s="28">
        <f t="shared" si="11"/>
        <v>0</v>
      </c>
      <c r="Z15" s="28">
        <f t="shared" si="11"/>
        <v>0</v>
      </c>
      <c r="AA15" s="28">
        <f t="shared" si="11"/>
        <v>0</v>
      </c>
      <c r="AB15" s="28">
        <f t="shared" si="11"/>
        <v>0</v>
      </c>
      <c r="AC15" s="28">
        <f t="shared" si="11"/>
        <v>0</v>
      </c>
      <c r="AD15" s="28">
        <f t="shared" si="11"/>
        <v>0</v>
      </c>
      <c r="AE15" s="28">
        <f t="shared" si="11"/>
        <v>0</v>
      </c>
      <c r="AF15" s="29">
        <f t="shared" si="11"/>
        <v>0</v>
      </c>
    </row>
    <row r="16" spans="1:32" ht="16.5" customHeight="1" x14ac:dyDescent="0.3">
      <c r="A16" s="23" t="s">
        <v>69</v>
      </c>
      <c r="B16" s="24" t="s">
        <v>70</v>
      </c>
      <c r="C16" s="25"/>
      <c r="D16" s="26">
        <f t="shared" si="0"/>
        <v>0</v>
      </c>
      <c r="E16" s="26">
        <f t="shared" si="1"/>
        <v>0</v>
      </c>
      <c r="F16" s="26">
        <f t="shared" si="2"/>
        <v>0</v>
      </c>
      <c r="G16" s="27"/>
      <c r="H16" s="27"/>
      <c r="I16" s="27"/>
      <c r="J16" s="27"/>
      <c r="K16" s="27"/>
      <c r="L16" s="27"/>
      <c r="M16" s="27"/>
      <c r="N16" s="27"/>
      <c r="O16" s="27"/>
      <c r="P16" s="27"/>
      <c r="Q16" s="26">
        <f t="shared" si="3"/>
        <v>0</v>
      </c>
      <c r="R16" s="28">
        <f t="shared" si="4"/>
        <v>0</v>
      </c>
      <c r="S16" s="28">
        <f t="shared" ref="S16:AF16" si="12">ROUND(R16*1.0441,2)</f>
        <v>0</v>
      </c>
      <c r="T16" s="28">
        <f t="shared" si="12"/>
        <v>0</v>
      </c>
      <c r="U16" s="28">
        <f t="shared" si="12"/>
        <v>0</v>
      </c>
      <c r="V16" s="28">
        <f t="shared" si="12"/>
        <v>0</v>
      </c>
      <c r="W16" s="28">
        <f t="shared" si="12"/>
        <v>0</v>
      </c>
      <c r="X16" s="28">
        <f t="shared" si="12"/>
        <v>0</v>
      </c>
      <c r="Y16" s="28">
        <f t="shared" si="12"/>
        <v>0</v>
      </c>
      <c r="Z16" s="28">
        <f t="shared" si="12"/>
        <v>0</v>
      </c>
      <c r="AA16" s="28">
        <f t="shared" si="12"/>
        <v>0</v>
      </c>
      <c r="AB16" s="28">
        <f t="shared" si="12"/>
        <v>0</v>
      </c>
      <c r="AC16" s="28">
        <f t="shared" si="12"/>
        <v>0</v>
      </c>
      <c r="AD16" s="28">
        <f t="shared" si="12"/>
        <v>0</v>
      </c>
      <c r="AE16" s="28">
        <f t="shared" si="12"/>
        <v>0</v>
      </c>
      <c r="AF16" s="29">
        <f t="shared" si="12"/>
        <v>0</v>
      </c>
    </row>
    <row r="17" spans="1:32" ht="16.5" customHeight="1" x14ac:dyDescent="0.3">
      <c r="A17" s="23" t="s">
        <v>71</v>
      </c>
      <c r="B17" s="24" t="s">
        <v>72</v>
      </c>
      <c r="C17" s="25"/>
      <c r="D17" s="26">
        <f t="shared" si="0"/>
        <v>0</v>
      </c>
      <c r="E17" s="26">
        <f t="shared" si="1"/>
        <v>0</v>
      </c>
      <c r="F17" s="26">
        <f t="shared" si="2"/>
        <v>0</v>
      </c>
      <c r="G17" s="27"/>
      <c r="H17" s="27"/>
      <c r="I17" s="27"/>
      <c r="J17" s="27"/>
      <c r="K17" s="27"/>
      <c r="L17" s="27"/>
      <c r="M17" s="27"/>
      <c r="N17" s="27"/>
      <c r="O17" s="27"/>
      <c r="P17" s="27"/>
      <c r="Q17" s="26">
        <f t="shared" si="3"/>
        <v>0</v>
      </c>
      <c r="R17" s="28">
        <f t="shared" si="4"/>
        <v>0</v>
      </c>
      <c r="S17" s="28">
        <f t="shared" ref="S17:AF17" si="13">ROUND(R17*1.0441,2)</f>
        <v>0</v>
      </c>
      <c r="T17" s="28">
        <f t="shared" si="13"/>
        <v>0</v>
      </c>
      <c r="U17" s="28">
        <f t="shared" si="13"/>
        <v>0</v>
      </c>
      <c r="V17" s="28">
        <f t="shared" si="13"/>
        <v>0</v>
      </c>
      <c r="W17" s="28">
        <f t="shared" si="13"/>
        <v>0</v>
      </c>
      <c r="X17" s="28">
        <f t="shared" si="13"/>
        <v>0</v>
      </c>
      <c r="Y17" s="28">
        <f t="shared" si="13"/>
        <v>0</v>
      </c>
      <c r="Z17" s="28">
        <f t="shared" si="13"/>
        <v>0</v>
      </c>
      <c r="AA17" s="28">
        <f t="shared" si="13"/>
        <v>0</v>
      </c>
      <c r="AB17" s="28">
        <f t="shared" si="13"/>
        <v>0</v>
      </c>
      <c r="AC17" s="28">
        <f t="shared" si="13"/>
        <v>0</v>
      </c>
      <c r="AD17" s="28">
        <f t="shared" si="13"/>
        <v>0</v>
      </c>
      <c r="AE17" s="28">
        <f t="shared" si="13"/>
        <v>0</v>
      </c>
      <c r="AF17" s="29">
        <f t="shared" si="13"/>
        <v>0</v>
      </c>
    </row>
    <row r="18" spans="1:32" ht="16.5" customHeight="1" x14ac:dyDescent="0.3">
      <c r="A18" s="23" t="s">
        <v>73</v>
      </c>
      <c r="B18" s="24" t="s">
        <v>74</v>
      </c>
      <c r="C18" s="25"/>
      <c r="D18" s="26">
        <f t="shared" si="0"/>
        <v>0</v>
      </c>
      <c r="E18" s="26">
        <f t="shared" si="1"/>
        <v>0</v>
      </c>
      <c r="F18" s="26">
        <f t="shared" si="2"/>
        <v>0</v>
      </c>
      <c r="G18" s="27"/>
      <c r="H18" s="27"/>
      <c r="I18" s="27"/>
      <c r="J18" s="27"/>
      <c r="K18" s="27"/>
      <c r="L18" s="27"/>
      <c r="M18" s="27"/>
      <c r="N18" s="27"/>
      <c r="O18" s="27"/>
      <c r="P18" s="27"/>
      <c r="Q18" s="26">
        <f t="shared" si="3"/>
        <v>0</v>
      </c>
      <c r="R18" s="28">
        <f t="shared" si="4"/>
        <v>0</v>
      </c>
      <c r="S18" s="28">
        <f t="shared" ref="S18:AF18" si="14">ROUND(R18*1.0441,2)</f>
        <v>0</v>
      </c>
      <c r="T18" s="28">
        <f t="shared" si="14"/>
        <v>0</v>
      </c>
      <c r="U18" s="28">
        <f t="shared" si="14"/>
        <v>0</v>
      </c>
      <c r="V18" s="28">
        <f t="shared" si="14"/>
        <v>0</v>
      </c>
      <c r="W18" s="28">
        <f t="shared" si="14"/>
        <v>0</v>
      </c>
      <c r="X18" s="28">
        <f t="shared" si="14"/>
        <v>0</v>
      </c>
      <c r="Y18" s="28">
        <f t="shared" si="14"/>
        <v>0</v>
      </c>
      <c r="Z18" s="28">
        <f t="shared" si="14"/>
        <v>0</v>
      </c>
      <c r="AA18" s="28">
        <f t="shared" si="14"/>
        <v>0</v>
      </c>
      <c r="AB18" s="28">
        <f t="shared" si="14"/>
        <v>0</v>
      </c>
      <c r="AC18" s="28">
        <f t="shared" si="14"/>
        <v>0</v>
      </c>
      <c r="AD18" s="28">
        <f t="shared" si="14"/>
        <v>0</v>
      </c>
      <c r="AE18" s="28">
        <f t="shared" si="14"/>
        <v>0</v>
      </c>
      <c r="AF18" s="29">
        <f t="shared" si="14"/>
        <v>0</v>
      </c>
    </row>
    <row r="19" spans="1:32" ht="16.5" customHeight="1" x14ac:dyDescent="0.3">
      <c r="A19" s="23" t="s">
        <v>75</v>
      </c>
      <c r="B19" s="24" t="s">
        <v>76</v>
      </c>
      <c r="C19" s="25"/>
      <c r="D19" s="26">
        <f t="shared" si="0"/>
        <v>0</v>
      </c>
      <c r="E19" s="26">
        <f t="shared" si="1"/>
        <v>0</v>
      </c>
      <c r="F19" s="26">
        <f t="shared" si="2"/>
        <v>0</v>
      </c>
      <c r="G19" s="27"/>
      <c r="H19" s="27"/>
      <c r="I19" s="27"/>
      <c r="J19" s="27"/>
      <c r="K19" s="27"/>
      <c r="L19" s="27"/>
      <c r="M19" s="27"/>
      <c r="N19" s="27"/>
      <c r="O19" s="27"/>
      <c r="P19" s="27"/>
      <c r="Q19" s="26">
        <f t="shared" si="3"/>
        <v>0</v>
      </c>
      <c r="R19" s="28">
        <f t="shared" si="4"/>
        <v>0</v>
      </c>
      <c r="S19" s="28">
        <f t="shared" ref="S19:AF19" si="15">ROUND(R19*1.0441,2)</f>
        <v>0</v>
      </c>
      <c r="T19" s="28">
        <f t="shared" si="15"/>
        <v>0</v>
      </c>
      <c r="U19" s="28">
        <f t="shared" si="15"/>
        <v>0</v>
      </c>
      <c r="V19" s="28">
        <f t="shared" si="15"/>
        <v>0</v>
      </c>
      <c r="W19" s="28">
        <f t="shared" si="15"/>
        <v>0</v>
      </c>
      <c r="X19" s="28">
        <f t="shared" si="15"/>
        <v>0</v>
      </c>
      <c r="Y19" s="28">
        <f t="shared" si="15"/>
        <v>0</v>
      </c>
      <c r="Z19" s="28">
        <f t="shared" si="15"/>
        <v>0</v>
      </c>
      <c r="AA19" s="28">
        <f t="shared" si="15"/>
        <v>0</v>
      </c>
      <c r="AB19" s="28">
        <f t="shared" si="15"/>
        <v>0</v>
      </c>
      <c r="AC19" s="28">
        <f t="shared" si="15"/>
        <v>0</v>
      </c>
      <c r="AD19" s="28">
        <f t="shared" si="15"/>
        <v>0</v>
      </c>
      <c r="AE19" s="28">
        <f t="shared" si="15"/>
        <v>0</v>
      </c>
      <c r="AF19" s="29">
        <f t="shared" si="15"/>
        <v>0</v>
      </c>
    </row>
    <row r="20" spans="1:32" ht="16.5" customHeight="1" x14ac:dyDescent="0.3">
      <c r="A20" s="23" t="s">
        <v>77</v>
      </c>
      <c r="B20" s="24" t="s">
        <v>78</v>
      </c>
      <c r="C20" s="25"/>
      <c r="D20" s="26">
        <f t="shared" si="0"/>
        <v>0</v>
      </c>
      <c r="E20" s="26">
        <f t="shared" si="1"/>
        <v>0</v>
      </c>
      <c r="F20" s="26">
        <f t="shared" si="2"/>
        <v>0</v>
      </c>
      <c r="G20" s="27"/>
      <c r="H20" s="27"/>
      <c r="I20" s="27"/>
      <c r="J20" s="27"/>
      <c r="K20" s="27"/>
      <c r="L20" s="27"/>
      <c r="M20" s="27"/>
      <c r="N20" s="27"/>
      <c r="O20" s="27"/>
      <c r="P20" s="27"/>
      <c r="Q20" s="26">
        <f t="shared" si="3"/>
        <v>0</v>
      </c>
      <c r="R20" s="28">
        <f t="shared" si="4"/>
        <v>0</v>
      </c>
      <c r="S20" s="28">
        <f t="shared" ref="S20:AF20" si="16">ROUND(R20*1.0441,2)</f>
        <v>0</v>
      </c>
      <c r="T20" s="28">
        <f t="shared" si="16"/>
        <v>0</v>
      </c>
      <c r="U20" s="28">
        <f t="shared" si="16"/>
        <v>0</v>
      </c>
      <c r="V20" s="28">
        <f t="shared" si="16"/>
        <v>0</v>
      </c>
      <c r="W20" s="28">
        <f t="shared" si="16"/>
        <v>0</v>
      </c>
      <c r="X20" s="28">
        <f t="shared" si="16"/>
        <v>0</v>
      </c>
      <c r="Y20" s="28">
        <f t="shared" si="16"/>
        <v>0</v>
      </c>
      <c r="Z20" s="28">
        <f t="shared" si="16"/>
        <v>0</v>
      </c>
      <c r="AA20" s="28">
        <f t="shared" si="16"/>
        <v>0</v>
      </c>
      <c r="AB20" s="28">
        <f t="shared" si="16"/>
        <v>0</v>
      </c>
      <c r="AC20" s="28">
        <f t="shared" si="16"/>
        <v>0</v>
      </c>
      <c r="AD20" s="28">
        <f t="shared" si="16"/>
        <v>0</v>
      </c>
      <c r="AE20" s="28">
        <f t="shared" si="16"/>
        <v>0</v>
      </c>
      <c r="AF20" s="29">
        <f t="shared" si="16"/>
        <v>0</v>
      </c>
    </row>
    <row r="21" spans="1:32" ht="16.5" customHeight="1" x14ac:dyDescent="0.3">
      <c r="A21" s="23" t="s">
        <v>79</v>
      </c>
      <c r="B21" s="24" t="s">
        <v>80</v>
      </c>
      <c r="C21" s="25"/>
      <c r="D21" s="26">
        <f t="shared" si="0"/>
        <v>0</v>
      </c>
      <c r="E21" s="26">
        <f t="shared" si="1"/>
        <v>0</v>
      </c>
      <c r="F21" s="26">
        <f t="shared" si="2"/>
        <v>0</v>
      </c>
      <c r="G21" s="27"/>
      <c r="H21" s="27"/>
      <c r="I21" s="27"/>
      <c r="J21" s="27"/>
      <c r="K21" s="27"/>
      <c r="L21" s="27"/>
      <c r="M21" s="27"/>
      <c r="N21" s="27"/>
      <c r="O21" s="27"/>
      <c r="P21" s="27"/>
      <c r="Q21" s="26">
        <f t="shared" si="3"/>
        <v>0</v>
      </c>
      <c r="R21" s="28">
        <f t="shared" si="4"/>
        <v>0</v>
      </c>
      <c r="S21" s="28">
        <f t="shared" ref="S21:AF21" si="17">ROUND(R21*1.0441,2)</f>
        <v>0</v>
      </c>
      <c r="T21" s="28">
        <f t="shared" si="17"/>
        <v>0</v>
      </c>
      <c r="U21" s="28">
        <f t="shared" si="17"/>
        <v>0</v>
      </c>
      <c r="V21" s="28">
        <f t="shared" si="17"/>
        <v>0</v>
      </c>
      <c r="W21" s="28">
        <f t="shared" si="17"/>
        <v>0</v>
      </c>
      <c r="X21" s="28">
        <f t="shared" si="17"/>
        <v>0</v>
      </c>
      <c r="Y21" s="28">
        <f t="shared" si="17"/>
        <v>0</v>
      </c>
      <c r="Z21" s="28">
        <f t="shared" si="17"/>
        <v>0</v>
      </c>
      <c r="AA21" s="28">
        <f t="shared" si="17"/>
        <v>0</v>
      </c>
      <c r="AB21" s="28">
        <f t="shared" si="17"/>
        <v>0</v>
      </c>
      <c r="AC21" s="28">
        <f t="shared" si="17"/>
        <v>0</v>
      </c>
      <c r="AD21" s="28">
        <f t="shared" si="17"/>
        <v>0</v>
      </c>
      <c r="AE21" s="28">
        <f t="shared" si="17"/>
        <v>0</v>
      </c>
      <c r="AF21" s="29">
        <f t="shared" si="17"/>
        <v>0</v>
      </c>
    </row>
    <row r="22" spans="1:32" ht="16.5" customHeight="1" x14ac:dyDescent="0.3">
      <c r="A22" s="30">
        <v>449919</v>
      </c>
      <c r="B22" s="24" t="s">
        <v>81</v>
      </c>
      <c r="C22" s="25"/>
      <c r="D22" s="26">
        <f t="shared" si="0"/>
        <v>0</v>
      </c>
      <c r="E22" s="26">
        <f t="shared" si="1"/>
        <v>0</v>
      </c>
      <c r="F22" s="26">
        <f t="shared" si="2"/>
        <v>0</v>
      </c>
      <c r="G22" s="27"/>
      <c r="H22" s="27"/>
      <c r="I22" s="27"/>
      <c r="J22" s="27"/>
      <c r="K22" s="27"/>
      <c r="L22" s="27"/>
      <c r="M22" s="27"/>
      <c r="N22" s="27"/>
      <c r="O22" s="27"/>
      <c r="P22" s="27"/>
      <c r="Q22" s="26">
        <f t="shared" si="3"/>
        <v>0</v>
      </c>
      <c r="R22" s="28">
        <f t="shared" si="4"/>
        <v>0</v>
      </c>
      <c r="S22" s="28">
        <f t="shared" ref="S22:AF22" si="18">ROUND(R22*1.0441,2)</f>
        <v>0</v>
      </c>
      <c r="T22" s="28">
        <f t="shared" si="18"/>
        <v>0</v>
      </c>
      <c r="U22" s="28">
        <f t="shared" si="18"/>
        <v>0</v>
      </c>
      <c r="V22" s="28">
        <f t="shared" si="18"/>
        <v>0</v>
      </c>
      <c r="W22" s="28">
        <f t="shared" si="18"/>
        <v>0</v>
      </c>
      <c r="X22" s="28">
        <f t="shared" si="18"/>
        <v>0</v>
      </c>
      <c r="Y22" s="28">
        <f t="shared" si="18"/>
        <v>0</v>
      </c>
      <c r="Z22" s="28">
        <f t="shared" si="18"/>
        <v>0</v>
      </c>
      <c r="AA22" s="28">
        <f t="shared" si="18"/>
        <v>0</v>
      </c>
      <c r="AB22" s="28">
        <f t="shared" si="18"/>
        <v>0</v>
      </c>
      <c r="AC22" s="28">
        <f t="shared" si="18"/>
        <v>0</v>
      </c>
      <c r="AD22" s="28">
        <f t="shared" si="18"/>
        <v>0</v>
      </c>
      <c r="AE22" s="28">
        <f t="shared" si="18"/>
        <v>0</v>
      </c>
      <c r="AF22" s="29">
        <f t="shared" si="18"/>
        <v>0</v>
      </c>
    </row>
    <row r="23" spans="1:32" ht="16.5" customHeight="1" x14ac:dyDescent="0.3">
      <c r="A23" s="23" t="s">
        <v>82</v>
      </c>
      <c r="B23" s="24" t="s">
        <v>83</v>
      </c>
      <c r="C23" s="25"/>
      <c r="D23" s="26">
        <f t="shared" si="0"/>
        <v>0</v>
      </c>
      <c r="E23" s="26">
        <f t="shared" si="1"/>
        <v>0</v>
      </c>
      <c r="F23" s="26">
        <f t="shared" si="2"/>
        <v>0</v>
      </c>
      <c r="G23" s="27"/>
      <c r="H23" s="27"/>
      <c r="I23" s="27"/>
      <c r="J23" s="27"/>
      <c r="K23" s="27"/>
      <c r="L23" s="27"/>
      <c r="M23" s="27"/>
      <c r="N23" s="27"/>
      <c r="O23" s="27"/>
      <c r="P23" s="27"/>
      <c r="Q23" s="26">
        <f t="shared" si="3"/>
        <v>0</v>
      </c>
      <c r="R23" s="28">
        <f t="shared" si="4"/>
        <v>0</v>
      </c>
      <c r="S23" s="28">
        <f t="shared" ref="S23:AF23" si="19">ROUND(R23*1.0441,2)</f>
        <v>0</v>
      </c>
      <c r="T23" s="28">
        <f t="shared" si="19"/>
        <v>0</v>
      </c>
      <c r="U23" s="28">
        <f t="shared" si="19"/>
        <v>0</v>
      </c>
      <c r="V23" s="28">
        <f t="shared" si="19"/>
        <v>0</v>
      </c>
      <c r="W23" s="28">
        <f t="shared" si="19"/>
        <v>0</v>
      </c>
      <c r="X23" s="28">
        <f t="shared" si="19"/>
        <v>0</v>
      </c>
      <c r="Y23" s="28">
        <f t="shared" si="19"/>
        <v>0</v>
      </c>
      <c r="Z23" s="28">
        <f t="shared" si="19"/>
        <v>0</v>
      </c>
      <c r="AA23" s="28">
        <f t="shared" si="19"/>
        <v>0</v>
      </c>
      <c r="AB23" s="28">
        <f t="shared" si="19"/>
        <v>0</v>
      </c>
      <c r="AC23" s="28">
        <f t="shared" si="19"/>
        <v>0</v>
      </c>
      <c r="AD23" s="28">
        <f t="shared" si="19"/>
        <v>0</v>
      </c>
      <c r="AE23" s="28">
        <f t="shared" si="19"/>
        <v>0</v>
      </c>
      <c r="AF23" s="29">
        <f t="shared" si="19"/>
        <v>0</v>
      </c>
    </row>
    <row r="24" spans="1:32" ht="16.5" customHeight="1" x14ac:dyDescent="0.3">
      <c r="A24" s="23" t="s">
        <v>84</v>
      </c>
      <c r="B24" s="24" t="s">
        <v>85</v>
      </c>
      <c r="C24" s="25"/>
      <c r="D24" s="26">
        <f t="shared" si="0"/>
        <v>0</v>
      </c>
      <c r="E24" s="26">
        <f t="shared" si="1"/>
        <v>0</v>
      </c>
      <c r="F24" s="26">
        <f t="shared" si="2"/>
        <v>0</v>
      </c>
      <c r="G24" s="27"/>
      <c r="H24" s="27"/>
      <c r="I24" s="27"/>
      <c r="J24" s="27"/>
      <c r="K24" s="27"/>
      <c r="L24" s="27"/>
      <c r="M24" s="27"/>
      <c r="N24" s="27"/>
      <c r="O24" s="27"/>
      <c r="P24" s="27"/>
      <c r="Q24" s="26">
        <f t="shared" si="3"/>
        <v>0</v>
      </c>
      <c r="R24" s="28">
        <f t="shared" si="4"/>
        <v>0</v>
      </c>
      <c r="S24" s="28">
        <f t="shared" ref="S24:AF24" si="20">ROUND(R24*1.0441,2)</f>
        <v>0</v>
      </c>
      <c r="T24" s="28">
        <f t="shared" si="20"/>
        <v>0</v>
      </c>
      <c r="U24" s="28">
        <f t="shared" si="20"/>
        <v>0</v>
      </c>
      <c r="V24" s="28">
        <f t="shared" si="20"/>
        <v>0</v>
      </c>
      <c r="W24" s="28">
        <f t="shared" si="20"/>
        <v>0</v>
      </c>
      <c r="X24" s="28">
        <f t="shared" si="20"/>
        <v>0</v>
      </c>
      <c r="Y24" s="28">
        <f t="shared" si="20"/>
        <v>0</v>
      </c>
      <c r="Z24" s="28">
        <f t="shared" si="20"/>
        <v>0</v>
      </c>
      <c r="AA24" s="28">
        <f t="shared" si="20"/>
        <v>0</v>
      </c>
      <c r="AB24" s="28">
        <f t="shared" si="20"/>
        <v>0</v>
      </c>
      <c r="AC24" s="28">
        <f t="shared" si="20"/>
        <v>0</v>
      </c>
      <c r="AD24" s="28">
        <f t="shared" si="20"/>
        <v>0</v>
      </c>
      <c r="AE24" s="28">
        <f t="shared" si="20"/>
        <v>0</v>
      </c>
      <c r="AF24" s="29">
        <f t="shared" si="20"/>
        <v>0</v>
      </c>
    </row>
    <row r="25" spans="1:32" ht="16.5" customHeight="1" x14ac:dyDescent="0.3">
      <c r="A25" s="23" t="s">
        <v>86</v>
      </c>
      <c r="B25" s="24" t="s">
        <v>87</v>
      </c>
      <c r="C25" s="25"/>
      <c r="D25" s="26">
        <f t="shared" si="0"/>
        <v>0</v>
      </c>
      <c r="E25" s="26">
        <f t="shared" si="1"/>
        <v>0</v>
      </c>
      <c r="F25" s="26">
        <f t="shared" si="2"/>
        <v>0</v>
      </c>
      <c r="G25" s="27"/>
      <c r="H25" s="27"/>
      <c r="I25" s="27"/>
      <c r="J25" s="27"/>
      <c r="K25" s="27"/>
      <c r="L25" s="27"/>
      <c r="M25" s="27"/>
      <c r="N25" s="27"/>
      <c r="O25" s="27"/>
      <c r="P25" s="27"/>
      <c r="Q25" s="26">
        <f t="shared" si="3"/>
        <v>0</v>
      </c>
      <c r="R25" s="28">
        <f t="shared" si="4"/>
        <v>0</v>
      </c>
      <c r="S25" s="28">
        <f t="shared" ref="S25:AF25" si="21">ROUND(R25*1.0441,2)</f>
        <v>0</v>
      </c>
      <c r="T25" s="28">
        <f t="shared" si="21"/>
        <v>0</v>
      </c>
      <c r="U25" s="28">
        <f t="shared" si="21"/>
        <v>0</v>
      </c>
      <c r="V25" s="28">
        <f t="shared" si="21"/>
        <v>0</v>
      </c>
      <c r="W25" s="28">
        <f t="shared" si="21"/>
        <v>0</v>
      </c>
      <c r="X25" s="28">
        <f t="shared" si="21"/>
        <v>0</v>
      </c>
      <c r="Y25" s="28">
        <f t="shared" si="21"/>
        <v>0</v>
      </c>
      <c r="Z25" s="28">
        <f t="shared" si="21"/>
        <v>0</v>
      </c>
      <c r="AA25" s="28">
        <f t="shared" si="21"/>
        <v>0</v>
      </c>
      <c r="AB25" s="28">
        <f t="shared" si="21"/>
        <v>0</v>
      </c>
      <c r="AC25" s="28">
        <f t="shared" si="21"/>
        <v>0</v>
      </c>
      <c r="AD25" s="28">
        <f t="shared" si="21"/>
        <v>0</v>
      </c>
      <c r="AE25" s="28">
        <f t="shared" si="21"/>
        <v>0</v>
      </c>
      <c r="AF25" s="29">
        <f t="shared" si="21"/>
        <v>0</v>
      </c>
    </row>
    <row r="26" spans="1:32" ht="16.5" customHeight="1" x14ac:dyDescent="0.3">
      <c r="A26" s="23" t="s">
        <v>88</v>
      </c>
      <c r="B26" s="24" t="s">
        <v>89</v>
      </c>
      <c r="C26" s="25"/>
      <c r="D26" s="26">
        <f t="shared" si="0"/>
        <v>0</v>
      </c>
      <c r="E26" s="26">
        <f t="shared" si="1"/>
        <v>0</v>
      </c>
      <c r="F26" s="26">
        <f t="shared" si="2"/>
        <v>0</v>
      </c>
      <c r="G26" s="27"/>
      <c r="H26" s="27"/>
      <c r="I26" s="27"/>
      <c r="J26" s="27"/>
      <c r="K26" s="27"/>
      <c r="L26" s="27"/>
      <c r="M26" s="27"/>
      <c r="N26" s="27"/>
      <c r="O26" s="27"/>
      <c r="P26" s="27"/>
      <c r="Q26" s="26">
        <f t="shared" si="3"/>
        <v>0</v>
      </c>
      <c r="R26" s="28">
        <f t="shared" si="4"/>
        <v>0</v>
      </c>
      <c r="S26" s="28">
        <f t="shared" ref="S26:AF26" si="22">ROUND(R26*1.0441,2)</f>
        <v>0</v>
      </c>
      <c r="T26" s="28">
        <f t="shared" si="22"/>
        <v>0</v>
      </c>
      <c r="U26" s="28">
        <f t="shared" si="22"/>
        <v>0</v>
      </c>
      <c r="V26" s="28">
        <f t="shared" si="22"/>
        <v>0</v>
      </c>
      <c r="W26" s="28">
        <f t="shared" si="22"/>
        <v>0</v>
      </c>
      <c r="X26" s="28">
        <f t="shared" si="22"/>
        <v>0</v>
      </c>
      <c r="Y26" s="28">
        <f t="shared" si="22"/>
        <v>0</v>
      </c>
      <c r="Z26" s="28">
        <f t="shared" si="22"/>
        <v>0</v>
      </c>
      <c r="AA26" s="28">
        <f t="shared" si="22"/>
        <v>0</v>
      </c>
      <c r="AB26" s="28">
        <f t="shared" si="22"/>
        <v>0</v>
      </c>
      <c r="AC26" s="28">
        <f t="shared" si="22"/>
        <v>0</v>
      </c>
      <c r="AD26" s="28">
        <f t="shared" si="22"/>
        <v>0</v>
      </c>
      <c r="AE26" s="28">
        <f t="shared" si="22"/>
        <v>0</v>
      </c>
      <c r="AF26" s="29">
        <f t="shared" si="22"/>
        <v>0</v>
      </c>
    </row>
    <row r="27" spans="1:32" ht="16.5" customHeight="1" x14ac:dyDescent="0.3">
      <c r="A27" s="23" t="s">
        <v>90</v>
      </c>
      <c r="B27" s="24" t="s">
        <v>91</v>
      </c>
      <c r="C27" s="25"/>
      <c r="D27" s="26">
        <f t="shared" si="0"/>
        <v>0</v>
      </c>
      <c r="E27" s="26">
        <f t="shared" si="1"/>
        <v>0</v>
      </c>
      <c r="F27" s="26">
        <f t="shared" si="2"/>
        <v>0</v>
      </c>
      <c r="G27" s="27"/>
      <c r="H27" s="27"/>
      <c r="I27" s="27"/>
      <c r="J27" s="27"/>
      <c r="K27" s="27"/>
      <c r="L27" s="27"/>
      <c r="M27" s="27"/>
      <c r="N27" s="27"/>
      <c r="O27" s="27"/>
      <c r="P27" s="27"/>
      <c r="Q27" s="26">
        <f t="shared" si="3"/>
        <v>0</v>
      </c>
      <c r="R27" s="28">
        <f t="shared" si="4"/>
        <v>0</v>
      </c>
      <c r="S27" s="28">
        <f t="shared" ref="S27:AF27" si="23">ROUND(R27*1.0441,2)</f>
        <v>0</v>
      </c>
      <c r="T27" s="28">
        <f t="shared" si="23"/>
        <v>0</v>
      </c>
      <c r="U27" s="28">
        <f t="shared" si="23"/>
        <v>0</v>
      </c>
      <c r="V27" s="28">
        <f t="shared" si="23"/>
        <v>0</v>
      </c>
      <c r="W27" s="28">
        <f t="shared" si="23"/>
        <v>0</v>
      </c>
      <c r="X27" s="28">
        <f t="shared" si="23"/>
        <v>0</v>
      </c>
      <c r="Y27" s="28">
        <f t="shared" si="23"/>
        <v>0</v>
      </c>
      <c r="Z27" s="28">
        <f t="shared" si="23"/>
        <v>0</v>
      </c>
      <c r="AA27" s="28">
        <f t="shared" si="23"/>
        <v>0</v>
      </c>
      <c r="AB27" s="28">
        <f t="shared" si="23"/>
        <v>0</v>
      </c>
      <c r="AC27" s="28">
        <f t="shared" si="23"/>
        <v>0</v>
      </c>
      <c r="AD27" s="28">
        <f t="shared" si="23"/>
        <v>0</v>
      </c>
      <c r="AE27" s="28">
        <f t="shared" si="23"/>
        <v>0</v>
      </c>
      <c r="AF27" s="29">
        <f t="shared" si="23"/>
        <v>0</v>
      </c>
    </row>
    <row r="28" spans="1:32" ht="16.5" customHeight="1" x14ac:dyDescent="0.3">
      <c r="A28" s="31" t="s">
        <v>92</v>
      </c>
      <c r="B28" s="32" t="s">
        <v>93</v>
      </c>
      <c r="C28" s="33"/>
      <c r="D28" s="34">
        <f t="shared" si="0"/>
        <v>0</v>
      </c>
      <c r="E28" s="34">
        <f t="shared" si="1"/>
        <v>0</v>
      </c>
      <c r="F28" s="34">
        <f t="shared" si="2"/>
        <v>0</v>
      </c>
      <c r="G28" s="35"/>
      <c r="H28" s="35"/>
      <c r="I28" s="35"/>
      <c r="J28" s="35"/>
      <c r="K28" s="35"/>
      <c r="L28" s="35"/>
      <c r="M28" s="35"/>
      <c r="N28" s="35"/>
      <c r="O28" s="35"/>
      <c r="P28" s="35"/>
      <c r="Q28" s="34">
        <f t="shared" si="3"/>
        <v>0</v>
      </c>
      <c r="R28" s="36">
        <f t="shared" si="4"/>
        <v>0</v>
      </c>
      <c r="S28" s="36">
        <f t="shared" ref="S28:AF28" si="24">ROUND(R28*1.0441,2)</f>
        <v>0</v>
      </c>
      <c r="T28" s="36">
        <f t="shared" si="24"/>
        <v>0</v>
      </c>
      <c r="U28" s="36">
        <f t="shared" si="24"/>
        <v>0</v>
      </c>
      <c r="V28" s="36">
        <f t="shared" si="24"/>
        <v>0</v>
      </c>
      <c r="W28" s="36">
        <f t="shared" si="24"/>
        <v>0</v>
      </c>
      <c r="X28" s="36">
        <f t="shared" si="24"/>
        <v>0</v>
      </c>
      <c r="Y28" s="36">
        <f t="shared" si="24"/>
        <v>0</v>
      </c>
      <c r="Z28" s="36">
        <f t="shared" si="24"/>
        <v>0</v>
      </c>
      <c r="AA28" s="36">
        <f t="shared" si="24"/>
        <v>0</v>
      </c>
      <c r="AB28" s="36">
        <f t="shared" si="24"/>
        <v>0</v>
      </c>
      <c r="AC28" s="36">
        <f t="shared" si="24"/>
        <v>0</v>
      </c>
      <c r="AD28" s="36">
        <f t="shared" si="24"/>
        <v>0</v>
      </c>
      <c r="AE28" s="36">
        <f t="shared" si="24"/>
        <v>0</v>
      </c>
      <c r="AF28" s="37">
        <f t="shared" si="24"/>
        <v>0</v>
      </c>
    </row>
    <row r="29" spans="1:32" ht="15.75" customHeight="1" x14ac:dyDescent="0.3"/>
    <row r="30" spans="1:32" ht="15.75" customHeight="1" x14ac:dyDescent="0.3"/>
    <row r="31" spans="1:32" ht="15.75" customHeight="1" x14ac:dyDescent="0.3"/>
    <row r="32" spans="1: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sheetProtection sheet="1" objects="1" scenarios="1"/>
  <protectedRanges>
    <protectedRange sqref="C9:C28" name="Range4"/>
    <protectedRange sqref="D8:Q8" name="Range3"/>
    <protectedRange sqref="C5" name="Range2"/>
    <protectedRange sqref="C4:F4" name="Range1"/>
  </protectedRanges>
  <mergeCells count="10">
    <mergeCell ref="A6:B6"/>
    <mergeCell ref="A8:C8"/>
    <mergeCell ref="R8:AF8"/>
    <mergeCell ref="A1:B1"/>
    <mergeCell ref="A2:B2"/>
    <mergeCell ref="A3:B3"/>
    <mergeCell ref="A4:B4"/>
    <mergeCell ref="C4:F4"/>
    <mergeCell ref="A5:B5"/>
    <mergeCell ref="C5:D5"/>
  </mergeCells>
  <dataValidations count="2">
    <dataValidation type="decimal" allowBlank="1" showInputMessage="1" showErrorMessage="1" prompt="Only numeric values over $0 may be entered." sqref="C9:C28" xr:uid="{00000000-0002-0000-0100-000000000000}">
      <formula1>0.01</formula1>
      <formula2>9999999</formula2>
    </dataValidation>
    <dataValidation type="decimal" allowBlank="1" showInputMessage="1" showErrorMessage="1" prompt="Only numeric values may be entered." sqref="D8:Q8" xr:uid="{00000000-0002-0000-0100-000001000000}">
      <formula1>0</formula1>
      <formula2>9999999</formula2>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Cost-Price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ValerieBAtes</cp:lastModifiedBy>
  <dcterms:modified xsi:type="dcterms:W3CDTF">2026-01-09T22:44:16Z</dcterms:modified>
</cp:coreProperties>
</file>