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robert_glenn2_va_gov/Documents/ACTIVE PROJECTS/626-25-101 - Upgrade Critical Environments/SOLICITATION/"/>
    </mc:Choice>
  </mc:AlternateContent>
  <xr:revisionPtr revIDLastSave="19" documentId="8_{EDD10B38-662A-4E7F-895F-108765B9D350}" xr6:coauthVersionLast="47" xr6:coauthVersionMax="47" xr10:uidLastSave="{0E7B6624-4CDC-4D0F-AEB9-4866C1B60594}"/>
  <bookViews>
    <workbookView xWindow="-289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F20" i="1"/>
  <c r="F30" i="1"/>
  <c r="F17" i="1"/>
  <c r="D17" i="1"/>
  <c r="F28" i="1"/>
  <c r="F22" i="1"/>
  <c r="F21" i="1"/>
  <c r="F23" i="1"/>
  <c r="F31" i="1"/>
  <c r="F24" i="1"/>
</calcChain>
</file>

<file path=xl/sharedStrings.xml><?xml version="1.0" encoding="utf-8"?>
<sst xmlns="http://schemas.openxmlformats.org/spreadsheetml/2006/main" count="61" uniqueCount="35">
  <si>
    <r>
      <rPr>
        <b/>
        <sz val="12"/>
        <rFont val="Calibri"/>
        <family val="2"/>
      </rPr>
      <t>CALCULATION OF SELF-PERFORMED/SUBCONTRACTED WORK</t>
    </r>
  </si>
  <si>
    <r>
      <rPr>
        <sz val="10"/>
        <rFont val="Calibri"/>
        <family val="2"/>
      </rPr>
      <t>Specification Division</t>
    </r>
  </si>
  <si>
    <r>
      <rPr>
        <sz val="10"/>
        <rFont val="Calibri"/>
        <family val="2"/>
      </rPr>
      <t>SB Vendor (Y or N)</t>
    </r>
  </si>
  <si>
    <r>
      <rPr>
        <sz val="10"/>
        <rFont val="Calibri"/>
        <family val="2"/>
      </rPr>
      <t>Personnel Cost</t>
    </r>
  </si>
  <si>
    <r>
      <rPr>
        <sz val="10"/>
        <rFont val="Calibri"/>
        <family val="2"/>
      </rPr>
      <t>Material/Equipment  Costs</t>
    </r>
  </si>
  <si>
    <r>
      <rPr>
        <sz val="12"/>
        <rFont val="Arial"/>
        <family val="2"/>
      </rPr>
      <t>Y</t>
    </r>
  </si>
  <si>
    <r>
      <rPr>
        <sz val="10"/>
        <rFont val="Calibri"/>
        <family val="2"/>
      </rPr>
      <t>$</t>
    </r>
  </si>
  <si>
    <r>
      <rPr>
        <sz val="10"/>
        <rFont val="Calibri"/>
        <family val="2"/>
      </rPr>
      <t>(Add additional lines as necessary for each Division applicable to this project)</t>
    </r>
  </si>
  <si>
    <r>
      <rPr>
        <sz val="10"/>
        <rFont val="Calibri"/>
        <family val="2"/>
      </rPr>
      <t>Sub Total (Personnel Costs, Material/Equipment  Costs)</t>
    </r>
  </si>
  <si>
    <r>
      <rPr>
        <sz val="10"/>
        <rFont val="Calibri"/>
        <family val="2"/>
      </rPr>
      <t>Profit</t>
    </r>
  </si>
  <si>
    <r>
      <rPr>
        <sz val="10"/>
        <rFont val="Calibri"/>
        <family val="2"/>
      </rPr>
      <t>Home Office Overhead</t>
    </r>
  </si>
  <si>
    <r>
      <rPr>
        <sz val="10"/>
        <rFont val="Calibri"/>
        <family val="2"/>
      </rPr>
      <t>Bond</t>
    </r>
  </si>
  <si>
    <r>
      <rPr>
        <sz val="10"/>
        <rFont val="Calibri"/>
        <family val="2"/>
      </rPr>
      <t>Grand Total</t>
    </r>
  </si>
  <si>
    <r>
      <rPr>
        <u/>
        <sz val="11"/>
        <rFont val="Calibri"/>
        <family val="2"/>
      </rPr>
      <t>Calculation of self-performed personnel costs:</t>
    </r>
  </si>
  <si>
    <r>
      <rPr>
        <sz val="11"/>
        <rFont val="Calibri"/>
        <family val="2"/>
      </rPr>
      <t>3. Remainder is ‘Total amount of work to be self-performed under the</t>
    </r>
  </si>
  <si>
    <r>
      <rPr>
        <sz val="11"/>
        <rFont val="Calibri"/>
        <family val="2"/>
      </rPr>
      <t>4. Self-performed work = Line 3/Line 1 x 100 =</t>
    </r>
  </si>
  <si>
    <r>
      <rPr>
        <sz val="11"/>
        <rFont val="Calibri"/>
        <family val="2"/>
      </rPr>
      <t>*personnel costs include labors, mechanics, other tradesmen, and office personnel directly charged to</t>
    </r>
  </si>
  <si>
    <r>
      <rPr>
        <sz val="11"/>
        <rFont val="Calibri"/>
        <family val="2"/>
      </rPr>
      <t>the project (includes project manager, job superintendent, administrative, estimators, etc.)</t>
    </r>
  </si>
  <si>
    <r>
      <rPr>
        <sz val="11"/>
        <rFont val="Calibri"/>
        <family val="2"/>
      </rPr>
      <t>I certify the above representations are true and correct to the best of my knowledge.</t>
    </r>
  </si>
  <si>
    <r>
      <rPr>
        <sz val="11"/>
        <rFont val="Calibri"/>
        <family val="2"/>
      </rPr>
      <t>(Signature and Typed Name of Authorized Representative)                                Date</t>
    </r>
  </si>
  <si>
    <r>
      <rPr>
        <sz val="11"/>
        <rFont val="Calibri"/>
        <family val="2"/>
      </rPr>
      <t>(Title of Authorized Representative)</t>
    </r>
  </si>
  <si>
    <t>Prime</t>
  </si>
  <si>
    <t>Sub</t>
  </si>
  <si>
    <t>Y</t>
  </si>
  <si>
    <t>N</t>
  </si>
  <si>
    <t>Percentage</t>
  </si>
  <si>
    <t>$</t>
  </si>
  <si>
    <r>
      <rPr>
        <sz val="11"/>
        <rFont val="Calibri"/>
        <family val="2"/>
      </rPr>
      <t>1.</t>
    </r>
    <r>
      <rPr>
        <sz val="11"/>
        <rFont val="Arial"/>
        <family val="2"/>
      </rPr>
      <t xml:space="preserve">  Total personnel costs * both prime and all subcontractors:                                 </t>
    </r>
    <r>
      <rPr>
        <u/>
        <sz val="12"/>
        <rFont val="Arial"/>
        <family val="2"/>
      </rPr>
      <t>    </t>
    </r>
  </si>
  <si>
    <r>
      <rPr>
        <sz val="11"/>
        <rFont val="Calibri"/>
        <family val="2"/>
      </rPr>
      <t>Contract’:</t>
    </r>
    <r>
      <rPr>
        <sz val="11"/>
        <rFont val="Arial"/>
        <family val="2"/>
      </rPr>
      <t xml:space="preserve">                                                                                                                    </t>
    </r>
    <r>
      <rPr>
        <u/>
        <sz val="12"/>
        <rFont val="Arial"/>
        <family val="2"/>
      </rPr>
      <t>       </t>
    </r>
  </si>
  <si>
    <t xml:space="preserve">2. Subtract all subcontractor personnel costs* companies that will perform work  </t>
  </si>
  <si>
    <r>
      <rPr>
        <sz val="11"/>
        <rFont val="Arial"/>
        <family val="2"/>
      </rPr>
      <t xml:space="preserve">on this contract:                                                  </t>
    </r>
    <r>
      <rPr>
        <u/>
        <sz val="12"/>
        <rFont val="Arial"/>
        <family val="2"/>
      </rPr>
      <t>            </t>
    </r>
  </si>
  <si>
    <t xml:space="preserve">Add percentage to gray areas only.  </t>
  </si>
  <si>
    <t>at least 25 percent of the cost of the contract performance incurred for personnel will be spent on the prime contractor's employees. Provide a  breakdown of material and personnel costs, by specification division listed for the project.  Home Office overhead,profit/fee and bond costs shall be added after a subtotal of personnel and material/ Equipment costs has been calculated.  Clearly identify the personnel costs you will be performing. Below is a suggested format.</t>
  </si>
  <si>
    <t xml:space="preserve">Change SB Vendor to Y or N based on vendor size.   Add costs to gray areas only. </t>
  </si>
  <si>
    <t>Offerors for All Other Specialty Trade Contractors  (NAICS code 236220) must provide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</si>
</sst>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0"/>
    <numFmt numFmtId="165" formatCode="&quot;$&quot;#,##0.00"/>
  </numFmts>
  <fonts count="18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sz val="10"/>
      <name val="Calibri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name val="Arial"/>
      <family val="2"/>
    </font>
    <font>
      <u/>
      <sz val="12"/>
      <name val="Arial"/>
      <family val="2"/>
    </font>
    <font>
      <sz val="10"/>
      <color rgb="FF000000"/>
      <name val="Times New Roman"/>
      <family val="1"/>
    </font>
    <font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Calibri"/>
      <family val="2"/>
    </font>
    <font>
      <sz val="10"/>
      <name val="Times New Roman"/>
      <family val="1"/>
    </font>
    <font>
      <sz val="10"/>
      <name val="Arial"/>
      <family val="2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58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0" fontId="12" fillId="0" borderId="7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2" fillId="0" borderId="15" xfId="0" applyFont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11" fillId="0" borderId="15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  <xf numFmtId="164" fontId="0" fillId="0" borderId="12" xfId="0" applyNumberFormat="1" applyBorder="1" applyAlignment="1">
      <alignment horizontal="left" vertical="top"/>
    </xf>
    <xf numFmtId="0" fontId="8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0" fillId="0" borderId="12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165" fontId="4" fillId="3" borderId="3" xfId="0" applyNumberFormat="1" applyFont="1" applyFill="1" applyBorder="1" applyAlignment="1">
      <alignment horizontal="right" vertical="top" wrapText="1"/>
    </xf>
    <xf numFmtId="165" fontId="4" fillId="3" borderId="16" xfId="1" applyNumberFormat="1" applyFont="1" applyFill="1" applyBorder="1" applyAlignment="1">
      <alignment horizontal="right" vertical="top" wrapText="1"/>
    </xf>
    <xf numFmtId="165" fontId="12" fillId="0" borderId="17" xfId="1" applyNumberFormat="1" applyFont="1" applyFill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 wrapText="1"/>
    </xf>
    <xf numFmtId="165" fontId="13" fillId="3" borderId="16" xfId="1" applyNumberFormat="1" applyFont="1" applyFill="1" applyBorder="1" applyAlignment="1">
      <alignment horizontal="right" vertical="top" wrapText="1"/>
    </xf>
    <xf numFmtId="4" fontId="13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 wrapText="1"/>
    </xf>
    <xf numFmtId="165" fontId="3" fillId="3" borderId="3" xfId="0" applyNumberFormat="1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44" fontId="3" fillId="0" borderId="3" xfId="1" applyFont="1" applyFill="1" applyBorder="1" applyAlignment="1">
      <alignment horizontal="left" vertical="top" wrapText="1"/>
    </xf>
    <xf numFmtId="165" fontId="3" fillId="0" borderId="16" xfId="1" applyNumberFormat="1" applyFont="1" applyFill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/>
    </xf>
    <xf numFmtId="0" fontId="15" fillId="0" borderId="1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0" borderId="1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4" fontId="0" fillId="2" borderId="2" xfId="0" applyNumberFormat="1" applyFill="1" applyBorder="1" applyAlignment="1">
      <alignment horizontal="left" vertical="top" wrapText="1"/>
    </xf>
    <xf numFmtId="4" fontId="0" fillId="2" borderId="16" xfId="0" applyNumberFormat="1" applyFill="1" applyBorder="1" applyAlignment="1">
      <alignment horizontal="left" vertical="top" wrapText="1"/>
    </xf>
    <xf numFmtId="4" fontId="2" fillId="0" borderId="2" xfId="0" applyNumberFormat="1" applyFont="1" applyBorder="1" applyAlignment="1">
      <alignment horizontal="left" vertical="top" wrapText="1"/>
    </xf>
    <xf numFmtId="4" fontId="2" fillId="0" borderId="16" xfId="0" applyNumberFormat="1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4" fontId="13" fillId="0" borderId="2" xfId="0" applyNumberFormat="1" applyFont="1" applyBorder="1" applyAlignment="1">
      <alignment horizontal="left" vertical="top" wrapText="1"/>
    </xf>
    <xf numFmtId="4" fontId="13" fillId="0" borderId="16" xfId="0" applyNumberFormat="1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DFFE5"/>
      <color rgb="FFF7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K3" sqref="K3"/>
    </sheetView>
  </sheetViews>
  <sheetFormatPr defaultRowHeight="13" x14ac:dyDescent="0.3"/>
  <cols>
    <col min="1" max="1" width="26.69921875" customWidth="1"/>
    <col min="2" max="2" width="54.3984375" customWidth="1"/>
    <col min="3" max="3" width="16.5" customWidth="1"/>
    <col min="4" max="4" width="23.296875" customWidth="1"/>
    <col min="5" max="5" width="5.796875" customWidth="1"/>
    <col min="6" max="6" width="26.69921875" customWidth="1"/>
    <col min="7" max="7" width="2.19921875" customWidth="1"/>
  </cols>
  <sheetData>
    <row r="1" spans="1:13" ht="18" customHeight="1" x14ac:dyDescent="0.3">
      <c r="A1" s="10" t="s">
        <v>0</v>
      </c>
      <c r="B1" s="11"/>
      <c r="C1" s="11"/>
      <c r="D1" s="11"/>
      <c r="E1" s="11"/>
      <c r="F1" s="12"/>
    </row>
    <row r="2" spans="1:13" ht="16" customHeight="1" x14ac:dyDescent="0.3">
      <c r="A2" s="19" t="s">
        <v>34</v>
      </c>
      <c r="C2" s="39"/>
      <c r="F2" s="14"/>
    </row>
    <row r="3" spans="1:13" ht="77.25" customHeight="1" x14ac:dyDescent="0.3">
      <c r="A3" s="46" t="s">
        <v>32</v>
      </c>
      <c r="B3" s="47"/>
      <c r="C3" s="47"/>
      <c r="D3" s="47"/>
      <c r="E3" s="47"/>
      <c r="F3" s="48"/>
    </row>
    <row r="4" spans="1:13" ht="12" customHeight="1" x14ac:dyDescent="0.3">
      <c r="A4" s="15" t="s">
        <v>1</v>
      </c>
      <c r="B4" s="1" t="s">
        <v>2</v>
      </c>
      <c r="C4" s="40" t="s">
        <v>3</v>
      </c>
      <c r="D4" s="41"/>
      <c r="E4" s="40" t="s">
        <v>4</v>
      </c>
      <c r="F4" s="53"/>
    </row>
    <row r="5" spans="1:13" ht="15" customHeight="1" x14ac:dyDescent="0.3">
      <c r="A5" s="15" t="s">
        <v>21</v>
      </c>
      <c r="B5" s="2" t="s">
        <v>5</v>
      </c>
      <c r="C5" s="32"/>
      <c r="D5" s="26">
        <v>0</v>
      </c>
      <c r="E5" s="29"/>
      <c r="F5" s="27">
        <v>0</v>
      </c>
      <c r="I5" s="44" t="s">
        <v>33</v>
      </c>
      <c r="J5" s="45"/>
      <c r="K5" s="45"/>
      <c r="L5" s="45"/>
      <c r="M5" s="45"/>
    </row>
    <row r="6" spans="1:13" ht="13" customHeight="1" x14ac:dyDescent="0.3">
      <c r="A6" s="15" t="s">
        <v>22</v>
      </c>
      <c r="B6" s="2" t="s">
        <v>23</v>
      </c>
      <c r="C6" s="32"/>
      <c r="D6" s="26">
        <v>0</v>
      </c>
      <c r="E6" s="29"/>
      <c r="F6" s="27">
        <v>0</v>
      </c>
      <c r="I6" s="45"/>
      <c r="J6" s="45"/>
      <c r="K6" s="45"/>
      <c r="L6" s="45"/>
      <c r="M6" s="45"/>
    </row>
    <row r="7" spans="1:13" ht="14.15" customHeight="1" x14ac:dyDescent="0.3">
      <c r="A7" s="15" t="s">
        <v>22</v>
      </c>
      <c r="B7" s="2" t="s">
        <v>23</v>
      </c>
      <c r="C7" s="32"/>
      <c r="D7" s="33">
        <v>0</v>
      </c>
      <c r="E7" s="29"/>
      <c r="F7" s="30">
        <v>0</v>
      </c>
      <c r="I7" s="45"/>
      <c r="J7" s="45"/>
      <c r="K7" s="45"/>
      <c r="L7" s="45"/>
      <c r="M7" s="45"/>
    </row>
    <row r="8" spans="1:13" ht="14.15" customHeight="1" x14ac:dyDescent="0.3">
      <c r="A8" s="15" t="s">
        <v>22</v>
      </c>
      <c r="B8" s="2" t="s">
        <v>23</v>
      </c>
      <c r="C8" s="32"/>
      <c r="D8" s="33">
        <v>0</v>
      </c>
      <c r="E8" s="29"/>
      <c r="F8" s="30">
        <v>0</v>
      </c>
      <c r="I8" s="45"/>
      <c r="J8" s="45"/>
      <c r="K8" s="45"/>
      <c r="L8" s="45"/>
      <c r="M8" s="45"/>
    </row>
    <row r="9" spans="1:13" ht="14.15" customHeight="1" x14ac:dyDescent="0.3">
      <c r="A9" s="15" t="s">
        <v>22</v>
      </c>
      <c r="B9" s="2" t="s">
        <v>23</v>
      </c>
      <c r="C9" s="32"/>
      <c r="D9" s="33">
        <v>0</v>
      </c>
      <c r="E9" s="29"/>
      <c r="F9" s="30">
        <v>0</v>
      </c>
      <c r="I9" s="45"/>
      <c r="J9" s="45"/>
      <c r="K9" s="45"/>
      <c r="L9" s="45"/>
      <c r="M9" s="45"/>
    </row>
    <row r="10" spans="1:13" ht="14.15" customHeight="1" x14ac:dyDescent="0.3">
      <c r="A10" s="15" t="s">
        <v>22</v>
      </c>
      <c r="B10" s="2" t="s">
        <v>23</v>
      </c>
      <c r="C10" s="32"/>
      <c r="D10" s="33">
        <v>0</v>
      </c>
      <c r="E10" s="29"/>
      <c r="F10" s="30">
        <v>0</v>
      </c>
      <c r="I10" s="45"/>
      <c r="J10" s="45"/>
      <c r="K10" s="45"/>
      <c r="L10" s="45"/>
      <c r="M10" s="45"/>
    </row>
    <row r="11" spans="1:13" ht="14.15" customHeight="1" x14ac:dyDescent="0.3">
      <c r="A11" s="15" t="s">
        <v>22</v>
      </c>
      <c r="B11" s="2" t="s">
        <v>24</v>
      </c>
      <c r="C11" s="32"/>
      <c r="D11" s="33">
        <v>0</v>
      </c>
      <c r="E11" s="29"/>
      <c r="F11" s="30">
        <v>0</v>
      </c>
      <c r="I11" s="45"/>
      <c r="J11" s="45"/>
      <c r="K11" s="45"/>
      <c r="L11" s="45"/>
      <c r="M11" s="45"/>
    </row>
    <row r="12" spans="1:13" ht="14.15" customHeight="1" x14ac:dyDescent="0.3">
      <c r="A12" s="15" t="s">
        <v>22</v>
      </c>
      <c r="B12" s="2" t="s">
        <v>24</v>
      </c>
      <c r="C12" s="32"/>
      <c r="D12" s="33">
        <v>0</v>
      </c>
      <c r="E12" s="29"/>
      <c r="F12" s="30">
        <v>0</v>
      </c>
    </row>
    <row r="13" spans="1:13" ht="14.15" customHeight="1" x14ac:dyDescent="0.3">
      <c r="A13" s="15" t="s">
        <v>22</v>
      </c>
      <c r="B13" s="2" t="s">
        <v>24</v>
      </c>
      <c r="C13" s="32"/>
      <c r="D13" s="33">
        <v>0</v>
      </c>
      <c r="E13" s="29"/>
      <c r="F13" s="30">
        <v>0</v>
      </c>
    </row>
    <row r="14" spans="1:13" ht="14.15" customHeight="1" x14ac:dyDescent="0.3">
      <c r="A14" s="15" t="s">
        <v>22</v>
      </c>
      <c r="B14" s="2" t="s">
        <v>24</v>
      </c>
      <c r="C14" s="32"/>
      <c r="D14" s="33">
        <v>0</v>
      </c>
      <c r="E14" s="29"/>
      <c r="F14" s="30">
        <v>0</v>
      </c>
    </row>
    <row r="15" spans="1:13" ht="14.15" customHeight="1" x14ac:dyDescent="0.3">
      <c r="A15" s="15" t="s">
        <v>22</v>
      </c>
      <c r="B15" s="2" t="s">
        <v>24</v>
      </c>
      <c r="C15" s="32"/>
      <c r="D15" s="33">
        <v>0</v>
      </c>
      <c r="E15" s="29"/>
      <c r="F15" s="30">
        <v>0</v>
      </c>
    </row>
    <row r="16" spans="1:13" ht="54.75" customHeight="1" x14ac:dyDescent="0.3">
      <c r="A16" s="15" t="s">
        <v>7</v>
      </c>
      <c r="B16" s="2"/>
      <c r="C16" s="54" t="s">
        <v>26</v>
      </c>
      <c r="D16" s="55"/>
      <c r="E16" s="56" t="s">
        <v>26</v>
      </c>
      <c r="F16" s="57"/>
    </row>
    <row r="17" spans="1:13" ht="15.5" x14ac:dyDescent="0.3">
      <c r="A17" s="15"/>
      <c r="B17" s="2"/>
      <c r="C17" s="34"/>
      <c r="D17" s="35">
        <f>SUM(D5:D16)</f>
        <v>0</v>
      </c>
      <c r="E17" s="31"/>
      <c r="F17" s="36">
        <f>SUM(F5:F16)</f>
        <v>0</v>
      </c>
    </row>
    <row r="18" spans="1:13" ht="10" customHeight="1" x14ac:dyDescent="0.3">
      <c r="A18" s="16"/>
      <c r="B18" s="7"/>
      <c r="C18" s="42"/>
      <c r="D18" s="43"/>
      <c r="E18" s="49"/>
      <c r="F18" s="50"/>
    </row>
    <row r="19" spans="1:13" ht="12" customHeight="1" x14ac:dyDescent="0.3">
      <c r="A19" s="16"/>
      <c r="B19" s="7"/>
      <c r="C19" s="40" t="s">
        <v>6</v>
      </c>
      <c r="D19" s="41"/>
      <c r="E19" s="51" t="s">
        <v>6</v>
      </c>
      <c r="F19" s="52"/>
    </row>
    <row r="20" spans="1:13" ht="24" customHeight="1" x14ac:dyDescent="0.3">
      <c r="A20" s="16"/>
      <c r="B20" s="7"/>
      <c r="C20" s="40" t="s">
        <v>8</v>
      </c>
      <c r="D20" s="41"/>
      <c r="E20" s="3" t="s">
        <v>6</v>
      </c>
      <c r="F20" s="17">
        <f>F6+F5+D5+D6+D7+F7+D8+F8+D9+F9+D10+F10+D11+F11+D12+F12+D13+F13+D14+F14+D15+F15</f>
        <v>0</v>
      </c>
      <c r="I20" s="44" t="s">
        <v>31</v>
      </c>
      <c r="J20" s="44"/>
      <c r="K20" s="44"/>
      <c r="L20" s="44"/>
      <c r="M20" s="44"/>
    </row>
    <row r="21" spans="1:13" ht="15.5" x14ac:dyDescent="0.3">
      <c r="A21" s="18" t="s">
        <v>25</v>
      </c>
      <c r="B21" s="8">
        <v>0</v>
      </c>
      <c r="C21" s="40" t="s">
        <v>9</v>
      </c>
      <c r="D21" s="41"/>
      <c r="E21" s="3" t="s">
        <v>6</v>
      </c>
      <c r="F21" s="17">
        <f>B21*F20/100</f>
        <v>0</v>
      </c>
      <c r="I21" s="44"/>
      <c r="J21" s="44"/>
      <c r="K21" s="44"/>
      <c r="L21" s="44"/>
      <c r="M21" s="44"/>
    </row>
    <row r="22" spans="1:13" ht="15.5" x14ac:dyDescent="0.3">
      <c r="A22" s="18" t="s">
        <v>25</v>
      </c>
      <c r="B22" s="8">
        <v>0</v>
      </c>
      <c r="C22" s="40" t="s">
        <v>10</v>
      </c>
      <c r="D22" s="41"/>
      <c r="E22" s="3" t="s">
        <v>6</v>
      </c>
      <c r="F22" s="17">
        <f>B22*F20/100</f>
        <v>0</v>
      </c>
      <c r="I22" s="44"/>
      <c r="J22" s="44"/>
      <c r="K22" s="44"/>
      <c r="L22" s="44"/>
      <c r="M22" s="44"/>
    </row>
    <row r="23" spans="1:13" ht="15.5" x14ac:dyDescent="0.3">
      <c r="A23" s="18" t="s">
        <v>25</v>
      </c>
      <c r="B23" s="8">
        <v>0</v>
      </c>
      <c r="C23" s="40" t="s">
        <v>11</v>
      </c>
      <c r="D23" s="41"/>
      <c r="E23" s="3" t="s">
        <v>6</v>
      </c>
      <c r="F23" s="17">
        <f>(F22+F21+F20)*B23/100</f>
        <v>0</v>
      </c>
      <c r="I23" s="44"/>
      <c r="J23" s="44"/>
      <c r="K23" s="44"/>
      <c r="L23" s="44"/>
      <c r="M23" s="44"/>
    </row>
    <row r="24" spans="1:13" ht="15.5" x14ac:dyDescent="0.3">
      <c r="A24" s="16"/>
      <c r="B24" s="7"/>
      <c r="C24" s="40" t="s">
        <v>12</v>
      </c>
      <c r="D24" s="41"/>
      <c r="E24" s="3" t="s">
        <v>6</v>
      </c>
      <c r="F24" s="17">
        <f>F23+F22+F21+F20</f>
        <v>0</v>
      </c>
    </row>
    <row r="25" spans="1:13" ht="16" customHeight="1" x14ac:dyDescent="0.3">
      <c r="A25" s="19" t="s">
        <v>13</v>
      </c>
      <c r="F25" s="20"/>
    </row>
    <row r="26" spans="1:13" ht="20.149999999999999" customHeight="1" x14ac:dyDescent="0.3">
      <c r="A26" s="37" t="s">
        <v>27</v>
      </c>
      <c r="F26" s="28">
        <f>D6+D5+D7+D8+D9+D10+D11+D12+D13+D14+D15</f>
        <v>0</v>
      </c>
    </row>
    <row r="27" spans="1:13" ht="20.149999999999999" customHeight="1" x14ac:dyDescent="0.3">
      <c r="A27" s="19" t="s">
        <v>29</v>
      </c>
      <c r="F27" s="20"/>
    </row>
    <row r="28" spans="1:13" ht="20.149999999999999" customHeight="1" x14ac:dyDescent="0.3">
      <c r="A28" s="38" t="s">
        <v>30</v>
      </c>
      <c r="F28" s="28">
        <f>D17-D5</f>
        <v>0</v>
      </c>
    </row>
    <row r="29" spans="1:13" ht="20.149999999999999" customHeight="1" x14ac:dyDescent="0.3">
      <c r="A29" s="19" t="s">
        <v>14</v>
      </c>
      <c r="F29" s="20"/>
    </row>
    <row r="30" spans="1:13" ht="20.149999999999999" customHeight="1" x14ac:dyDescent="0.3">
      <c r="A30" s="37" t="s">
        <v>28</v>
      </c>
      <c r="F30" s="28">
        <f>D5</f>
        <v>0</v>
      </c>
    </row>
    <row r="31" spans="1:13" ht="16" customHeight="1" x14ac:dyDescent="0.3">
      <c r="A31" s="19" t="s">
        <v>15</v>
      </c>
      <c r="F31" s="9" t="e">
        <f>F30/F26</f>
        <v>#DIV/0!</v>
      </c>
    </row>
    <row r="32" spans="1:13" ht="17.149999999999999" customHeight="1" x14ac:dyDescent="0.3">
      <c r="A32" s="13"/>
      <c r="F32" s="14"/>
    </row>
    <row r="33" spans="1:6" ht="16" customHeight="1" x14ac:dyDescent="0.3">
      <c r="A33" s="19" t="s">
        <v>16</v>
      </c>
      <c r="F33" s="14"/>
    </row>
    <row r="34" spans="1:6" ht="16" customHeight="1" x14ac:dyDescent="0.3">
      <c r="A34" s="19" t="s">
        <v>17</v>
      </c>
      <c r="F34" s="14"/>
    </row>
    <row r="35" spans="1:6" ht="16" customHeight="1" x14ac:dyDescent="0.3">
      <c r="A35" s="19" t="s">
        <v>18</v>
      </c>
      <c r="F35" s="14"/>
    </row>
    <row r="36" spans="1:6" ht="17.149999999999999" customHeight="1" x14ac:dyDescent="0.3">
      <c r="A36" s="21"/>
      <c r="B36" s="4"/>
      <c r="F36" s="14"/>
    </row>
    <row r="37" spans="1:6" ht="17.149999999999999" customHeight="1" x14ac:dyDescent="0.3">
      <c r="A37" s="22"/>
      <c r="B37" s="6"/>
      <c r="F37" s="14"/>
    </row>
    <row r="38" spans="1:6" ht="16" customHeight="1" x14ac:dyDescent="0.3">
      <c r="A38" s="19" t="s">
        <v>19</v>
      </c>
      <c r="F38" s="23"/>
    </row>
    <row r="39" spans="1:6" ht="17.149999999999999" customHeight="1" x14ac:dyDescent="0.3">
      <c r="A39" s="22"/>
      <c r="B39" s="5"/>
      <c r="F39" s="14"/>
    </row>
    <row r="40" spans="1:6" ht="17.149999999999999" customHeight="1" x14ac:dyDescent="0.3">
      <c r="A40" s="24" t="s">
        <v>20</v>
      </c>
      <c r="B40" s="5"/>
      <c r="C40" s="5"/>
      <c r="D40" s="5"/>
      <c r="E40" s="5"/>
      <c r="F40" s="25"/>
    </row>
  </sheetData>
  <mergeCells count="16">
    <mergeCell ref="C24:D24"/>
    <mergeCell ref="C18:D18"/>
    <mergeCell ref="I5:M11"/>
    <mergeCell ref="I20:M23"/>
    <mergeCell ref="A3:F3"/>
    <mergeCell ref="E18:F18"/>
    <mergeCell ref="C19:D19"/>
    <mergeCell ref="E19:F19"/>
    <mergeCell ref="C20:D20"/>
    <mergeCell ref="C4:D4"/>
    <mergeCell ref="E4:F4"/>
    <mergeCell ref="C16:D16"/>
    <mergeCell ref="E16:F16"/>
    <mergeCell ref="C21:D21"/>
    <mergeCell ref="C22:D22"/>
    <mergeCell ref="C23:D23"/>
  </mergeCells>
  <pageMargins left="0.7" right="0.7" top="0.75" bottom="0.75" header="0.3" footer="0.3"/>
  <pageSetup orientation="portrait" horizontalDpi="90" verticalDpi="90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Glenn, Robert Jr</cp:lastModifiedBy>
  <dcterms:created xsi:type="dcterms:W3CDTF">2017-09-12T08:09:51Z</dcterms:created>
  <dcterms:modified xsi:type="dcterms:W3CDTF">2026-04-01T15:40:05Z</dcterms:modified>
</cp:coreProperties>
</file>