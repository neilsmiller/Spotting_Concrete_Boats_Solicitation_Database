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0857800A\Downloads\"/>
    </mc:Choice>
  </mc:AlternateContent>
  <xr:revisionPtr revIDLastSave="0" documentId="8_{01F944E5-7ED2-4381-BE05-043A94555489}" xr6:coauthVersionLast="47" xr6:coauthVersionMax="47" xr10:uidLastSave="{00000000-0000-0000-0000-000000000000}"/>
  <bookViews>
    <workbookView xWindow="20970" yWindow="-16035" windowWidth="38700" windowHeight="15060" xr2:uid="{725CA1BF-984C-4509-A9B1-9AFC45776E65}"/>
  </bookViews>
  <sheets>
    <sheet name="Sheet1" sheetId="1" r:id="rId1"/>
  </sheet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E9" i="1"/>
  <c r="G9" i="1" s="1"/>
  <c r="E10" i="1"/>
  <c r="G10" i="1" s="1"/>
  <c r="E11" i="1"/>
  <c r="G11" i="1" s="1"/>
  <c r="E12" i="1"/>
  <c r="G12" i="1" s="1"/>
  <c r="E13" i="1"/>
  <c r="G13" i="1" s="1"/>
  <c r="E8" i="1"/>
  <c r="G8" i="1" s="1"/>
  <c r="E17" i="1" l="1"/>
  <c r="G17" i="1" s="1"/>
  <c r="E16" i="1"/>
  <c r="G16" i="1" s="1"/>
  <c r="G20" i="1" l="1"/>
  <c r="G14" i="1"/>
  <c r="G22" i="1" l="1"/>
</calcChain>
</file>

<file path=xl/sharedStrings.xml><?xml version="1.0" encoding="utf-8"?>
<sst xmlns="http://schemas.openxmlformats.org/spreadsheetml/2006/main" count="38" uniqueCount="31">
  <si>
    <t>ITEM</t>
  </si>
  <si>
    <t>QUANTITY</t>
  </si>
  <si>
    <t>UNIT</t>
  </si>
  <si>
    <t>UNIT PRICE</t>
  </si>
  <si>
    <t>EXTENDED PRICE</t>
  </si>
  <si>
    <t>LF</t>
  </si>
  <si>
    <t>SY</t>
  </si>
  <si>
    <t>Floor Preparation</t>
  </si>
  <si>
    <t>SF</t>
  </si>
  <si>
    <t>Heavy Furniture</t>
  </si>
  <si>
    <t>Carpet Removal</t>
  </si>
  <si>
    <t>Carpet Installation</t>
  </si>
  <si>
    <t>Wall Base Installation</t>
  </si>
  <si>
    <t>Wall Base Removal</t>
  </si>
  <si>
    <t>Wall Base (Flexco Base 2000 Wall Base 01 Black Dahlia 4" x 120' Roll by 1/8" Cove (with Toe)</t>
  </si>
  <si>
    <t>Shipping - Carpet</t>
  </si>
  <si>
    <t>Shipping - Wall Base</t>
  </si>
  <si>
    <t>N/C</t>
  </si>
  <si>
    <t>EA</t>
  </si>
  <si>
    <t>Total Services</t>
  </si>
  <si>
    <t>Total Supplies/Shipping</t>
  </si>
  <si>
    <t>Task Order Total Price</t>
  </si>
  <si>
    <r>
      <t>Overage %</t>
    </r>
    <r>
      <rPr>
        <vertAlign val="superscript"/>
        <sz val="11"/>
        <color theme="1"/>
        <rFont val="Aptos Narrow"/>
        <family val="2"/>
        <scheme val="minor"/>
      </rPr>
      <t xml:space="preserve"> See Note 1</t>
    </r>
  </si>
  <si>
    <t>Note 1: An Overage % column is provided for use as deemed necessary and applicable by Quoter</t>
  </si>
  <si>
    <t>TOTAL QUANTITY</t>
  </si>
  <si>
    <t>https://flexcofloors.com/base-2000/</t>
  </si>
  <si>
    <t>Carpet Tile
Manufacturer: Engineered Floors / J+J Flooring
Style Name: Fractured Plad Modular Tile
Style #: 7587
Dimensions 24"x24"</t>
  </si>
  <si>
    <t>https://www.jjflooringgroup.com/product/fractured-plaid/?attribute_pa_color=fleck</t>
  </si>
  <si>
    <t>PRODUCT LINK</t>
  </si>
  <si>
    <t>SAMPLE TASK ORDER 1 PRICE SHEET</t>
  </si>
  <si>
    <t>FA481426Q0014 ATTACHMENT 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</si>
</sst>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0" fontId="0" fillId="0" borderId="0" xfId="0" applyAlignment="1">
      <alignment wrapText="1"/>
    </xf>
    <xf numFmtId="9" fontId="0" fillId="2" borderId="0" xfId="2" applyFont="1" applyFill="1"/>
    <xf numFmtId="44" fontId="0" fillId="2" borderId="0" xfId="1" applyFont="1" applyFill="1"/>
    <xf numFmtId="9" fontId="0" fillId="0" borderId="0" xfId="2" applyFont="1"/>
    <xf numFmtId="44" fontId="0" fillId="0" borderId="0" xfId="0" applyNumberFormat="1"/>
    <xf numFmtId="0" fontId="3" fillId="0" borderId="0" xfId="3" applyAlignment="1">
      <alignment wrapText="1"/>
    </xf>
    <xf numFmtId="0" fontId="0" fillId="0" borderId="0" xfId="0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jjflooringgroup.com/product/fractured-plaid/?attribute_pa_color=fleck" TargetMode="External"/><Relationship Id="rId1" Type="http://schemas.openxmlformats.org/officeDocument/2006/relationships/hyperlink" Target="https://flexcofloors.com/base-2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C7EB-5199-43AA-B67F-FFC6DF4EA78A}">
  <dimension ref="A1:L22"/>
  <sheetViews>
    <sheetView tabSelected="1" workbookViewId="0">
      <selection activeCell="N17" sqref="N17"/>
    </sheetView>
  </sheetViews>
  <sheetFormatPr defaultRowHeight="14.5" x14ac:dyDescent="0.35"/>
  <cols>
    <col min="1" max="1" width="42.26953125" customWidth="1"/>
    <col min="2" max="2" width="13.54296875" customWidth="1"/>
    <col min="4" max="4" width="16.81640625" style="5" customWidth="1"/>
    <col min="5" max="5" width="16.453125" customWidth="1"/>
    <col min="6" max="6" width="14" style="1" customWidth="1"/>
    <col min="7" max="7" width="17.54296875" style="1" customWidth="1"/>
    <col min="9" max="9" width="21.26953125" customWidth="1"/>
  </cols>
  <sheetData>
    <row r="1" spans="1:12" x14ac:dyDescent="0.35">
      <c r="A1" s="8" t="s">
        <v>30</v>
      </c>
      <c r="B1" s="8"/>
      <c r="C1" s="8"/>
      <c r="D1" s="8"/>
      <c r="E1" s="8"/>
      <c r="F1" s="8"/>
      <c r="G1" s="8"/>
    </row>
    <row r="2" spans="1:12" x14ac:dyDescent="0.35">
      <c r="A2" s="8" t="s">
        <v>29</v>
      </c>
      <c r="B2" s="8"/>
      <c r="C2" s="8"/>
      <c r="D2" s="8"/>
      <c r="E2" s="8"/>
      <c r="F2" s="8"/>
      <c r="G2" s="8"/>
    </row>
    <row r="4" spans="1:12" x14ac:dyDescent="0.35">
      <c r="A4" t="s">
        <v>23</v>
      </c>
    </row>
    <row r="7" spans="1:12" ht="16.5" x14ac:dyDescent="0.35">
      <c r="A7" t="s">
        <v>0</v>
      </c>
      <c r="B7" t="s">
        <v>1</v>
      </c>
      <c r="C7" t="s">
        <v>2</v>
      </c>
      <c r="D7" s="5" t="s">
        <v>22</v>
      </c>
      <c r="E7" t="s">
        <v>24</v>
      </c>
      <c r="F7" s="1" t="s">
        <v>3</v>
      </c>
      <c r="G7" s="1" t="s">
        <v>4</v>
      </c>
      <c r="I7" t="s">
        <v>28</v>
      </c>
    </row>
    <row r="8" spans="1:12" x14ac:dyDescent="0.35">
      <c r="A8" t="s">
        <v>10</v>
      </c>
      <c r="B8">
        <v>30485</v>
      </c>
      <c r="C8" t="s">
        <v>8</v>
      </c>
      <c r="D8" s="3"/>
      <c r="E8">
        <f>B8*(1+D8)</f>
        <v>30485</v>
      </c>
      <c r="F8" s="4"/>
      <c r="G8" s="1">
        <f>E8*F8</f>
        <v>0</v>
      </c>
    </row>
    <row r="9" spans="1:12" x14ac:dyDescent="0.35">
      <c r="A9" t="s">
        <v>11</v>
      </c>
      <c r="B9">
        <v>33530</v>
      </c>
      <c r="C9" t="s">
        <v>8</v>
      </c>
      <c r="D9" s="3"/>
      <c r="E9">
        <f t="shared" ref="E9:E13" si="0">B9*(1+D9)</f>
        <v>33530</v>
      </c>
      <c r="F9" s="4"/>
      <c r="G9" s="1">
        <f t="shared" ref="G9:G13" si="1">E9*F9</f>
        <v>0</v>
      </c>
    </row>
    <row r="10" spans="1:12" x14ac:dyDescent="0.35">
      <c r="A10" t="s">
        <v>13</v>
      </c>
      <c r="B10">
        <v>6800</v>
      </c>
      <c r="C10" t="s">
        <v>5</v>
      </c>
      <c r="D10" s="3"/>
      <c r="E10">
        <f t="shared" si="0"/>
        <v>6800</v>
      </c>
      <c r="F10" s="4"/>
      <c r="G10" s="1">
        <f t="shared" si="1"/>
        <v>0</v>
      </c>
      <c r="L10">
        <f>0.88577*37854</f>
        <v>33529.937579999998</v>
      </c>
    </row>
    <row r="11" spans="1:12" x14ac:dyDescent="0.35">
      <c r="A11" t="s">
        <v>12</v>
      </c>
      <c r="B11">
        <v>6800</v>
      </c>
      <c r="C11" t="s">
        <v>5</v>
      </c>
      <c r="D11" s="3"/>
      <c r="E11">
        <f t="shared" si="0"/>
        <v>6800</v>
      </c>
      <c r="F11" s="4"/>
      <c r="G11" s="1">
        <f t="shared" si="1"/>
        <v>0</v>
      </c>
    </row>
    <row r="12" spans="1:12" x14ac:dyDescent="0.35">
      <c r="A12" t="s">
        <v>7</v>
      </c>
      <c r="B12">
        <v>30485</v>
      </c>
      <c r="C12" t="s">
        <v>8</v>
      </c>
      <c r="D12" s="3"/>
      <c r="E12">
        <f t="shared" si="0"/>
        <v>30485</v>
      </c>
      <c r="F12" s="4"/>
      <c r="G12" s="1">
        <f t="shared" si="1"/>
        <v>0</v>
      </c>
    </row>
    <row r="13" spans="1:12" x14ac:dyDescent="0.35">
      <c r="A13" t="s">
        <v>9</v>
      </c>
      <c r="B13">
        <v>22770</v>
      </c>
      <c r="C13" t="s">
        <v>8</v>
      </c>
      <c r="D13" s="3"/>
      <c r="E13">
        <f t="shared" si="0"/>
        <v>22770</v>
      </c>
      <c r="F13" s="4"/>
      <c r="G13" s="1">
        <f t="shared" si="1"/>
        <v>0</v>
      </c>
    </row>
    <row r="14" spans="1:12" x14ac:dyDescent="0.35">
      <c r="A14" t="s">
        <v>19</v>
      </c>
      <c r="G14" s="1">
        <f>SUM(G8:G13)</f>
        <v>0</v>
      </c>
    </row>
    <row r="16" spans="1:12" ht="78.75" customHeight="1" x14ac:dyDescent="0.35">
      <c r="A16" s="2" t="s">
        <v>26</v>
      </c>
      <c r="B16">
        <v>3726</v>
      </c>
      <c r="C16" t="s">
        <v>6</v>
      </c>
      <c r="D16" s="3"/>
      <c r="E16">
        <f>B16*(1+D16)</f>
        <v>3726</v>
      </c>
      <c r="F16" s="1">
        <v>28.67</v>
      </c>
      <c r="G16" s="1">
        <f>E16*F16</f>
        <v>106824.42000000001</v>
      </c>
      <c r="I16" s="7" t="s">
        <v>27</v>
      </c>
    </row>
    <row r="17" spans="1:9" ht="41.25" customHeight="1" x14ac:dyDescent="0.35">
      <c r="A17" s="2" t="s">
        <v>14</v>
      </c>
      <c r="B17">
        <v>6800</v>
      </c>
      <c r="C17" t="s">
        <v>5</v>
      </c>
      <c r="D17" s="3"/>
      <c r="E17">
        <f>B17*(1+D17)</f>
        <v>6800</v>
      </c>
      <c r="F17" s="1">
        <v>1.21</v>
      </c>
      <c r="G17" s="1">
        <f>E17*F17</f>
        <v>8228</v>
      </c>
      <c r="I17" s="7" t="s">
        <v>25</v>
      </c>
    </row>
    <row r="18" spans="1:9" x14ac:dyDescent="0.35">
      <c r="A18" t="s">
        <v>15</v>
      </c>
      <c r="B18">
        <v>1</v>
      </c>
      <c r="C18" t="s">
        <v>18</v>
      </c>
      <c r="D18" s="3"/>
      <c r="F18" s="1" t="s">
        <v>17</v>
      </c>
      <c r="G18" s="1">
        <v>0</v>
      </c>
    </row>
    <row r="19" spans="1:9" x14ac:dyDescent="0.35">
      <c r="A19" t="s">
        <v>16</v>
      </c>
      <c r="B19">
        <v>1</v>
      </c>
      <c r="C19" t="s">
        <v>18</v>
      </c>
      <c r="D19" s="3"/>
      <c r="F19" s="1" t="s">
        <v>17</v>
      </c>
      <c r="G19" s="1">
        <v>0</v>
      </c>
    </row>
    <row r="20" spans="1:9" x14ac:dyDescent="0.35">
      <c r="A20" t="s">
        <v>20</v>
      </c>
      <c r="G20" s="1">
        <f>SUM(G16:G19)</f>
        <v>115052.42000000001</v>
      </c>
    </row>
    <row r="22" spans="1:9" x14ac:dyDescent="0.35">
      <c r="A22" t="s">
        <v>21</v>
      </c>
      <c r="G22" s="1">
        <f>G14+G20</f>
        <v>115052.42000000001</v>
      </c>
      <c r="I22" s="6"/>
    </row>
  </sheetData>
  <mergeCells count="2">
    <mergeCell ref="A2:G2"/>
    <mergeCell ref="A1:G1"/>
  </mergeCells>
  <hyperlinks>
    <hyperlink ref="I17" r:id="rId1" xr:uid="{FA33E771-231D-4C2A-8595-18AC28C3D192}"/>
    <hyperlink ref="I16" r:id="rId2" xr:uid="{94C909DB-C9D7-4D10-BEEE-62E07030F50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f51ef05-392e-4dfc-ac47-4d3b6fab66d1">CVRF57WEKXFE-1171373804-60</_dlc_DocId>
    <_dlc_DocIdUrl xmlns="ff51ef05-392e-4dfc-ac47-4d3b6fab66d1">
      <Url>https://usaf.dps.mil/teams/ktfso13118/1006346/_layouts/15/DocIdRedir.aspx?ID=CVRF57WEKXFE-1171373804-60</Url>
      <Description>CVRF57WEKXFE-1171373804-60</Description>
    </_dlc_DocIdUrl>
    <ECFActionParentID xmlns="ff51ef05-392e-4dfc-ac47-4d3b6fab66d1" xsi:nil="true"/>
    <ECFActionOfficeID xmlns="ff51ef05-392e-4dfc-ac47-4d3b6fab66d1" xsi:nil="true"/>
    <ECFActionNumber xmlns="ff51ef05-392e-4dfc-ac47-4d3b6fab66d1" xsi:nil="true"/>
    <ECFActionID xmlns="ff51ef05-392e-4dfc-ac47-4d3b6fab66d1" xsi:nil="true"/>
    <ECFActionCreateDate xmlns="ff51ef05-392e-4dfc-ac47-4d3b6fab66d1" xsi:nil="true"/>
    <ECFActionDescription xmlns="ff51ef05-392e-4dfc-ac47-4d3b6fab66d1" xsi:nil="true"/>
    <ECFActionPrimaryCloseOutBuyer xmlns="ff51ef05-392e-4dfc-ac47-4d3b6fab66d1">
      <UserInfo>
        <DisplayName/>
        <AccountId xsi:nil="true"/>
        <AccountType/>
      </UserInfo>
    </ECFActionPrimaryCloseOutBuyer>
    <ECFActionPrimaryCO xmlns="ff51ef05-392e-4dfc-ac47-4d3b6fab66d1">
      <UserInfo>
        <DisplayName/>
        <AccountId xsi:nil="true"/>
        <AccountType/>
      </UserInfo>
    </ECFActionPrimaryCO>
    <ECFActionPurchaseReqNumbers xmlns="ff51ef05-392e-4dfc-ac47-4d3b6fab66d1" xsi:nil="true"/>
    <ECFActionName xmlns="ff51ef05-392e-4dfc-ac47-4d3b6fab66d1" xsi:nil="true"/>
    <ECFActionPrimaryBuyer xmlns="ff51ef05-392e-4dfc-ac47-4d3b6fab66d1">
      <UserInfo>
        <DisplayName/>
        <AccountId xsi:nil="true"/>
        <AccountType/>
      </UserInfo>
    </ECFActionPrimaryBuyer>
    <ECFActionIsPartitioned xmlns="ff51ef05-392e-4dfc-ac47-4d3b6fab66d1" xsi:nil="true"/>
    <ECFActionCOs xmlns="ff51ef05-392e-4dfc-ac47-4d3b6fab66d1">
      <UserInfo>
        <DisplayName/>
        <AccountId xsi:nil="true"/>
        <AccountType/>
      </UserInfo>
    </ECFActionCOs>
    <ECFApplicationEnvironment xmlns="ff51ef05-392e-4dfc-ac47-4d3b6fab66d1">VanaQA</ECFApplicationEnvironment>
    <ECFActionSolicitationNumber xmlns="ff51ef05-392e-4dfc-ac47-4d3b6fab66d1" xsi:nil="true"/>
    <ECFActionBuyers xmlns="ff51ef05-392e-4dfc-ac47-4d3b6fab66d1">
      <UserInfo>
        <DisplayName/>
        <AccountId xsi:nil="true"/>
        <AccountType/>
      </UserInfo>
    </ECFActionBuyers>
    <ECFActionStatus xmlns="ff51ef05-392e-4dfc-ac47-4d3b6fab66d1" xsi:nil="true"/>
    <ECFApplicationVersion xmlns="ff51ef05-392e-4dfc-ac47-4d3b6fab66d1">5.0.0</ECFApplicationVersion>
    <ECFActionPrimaryCloseOutCO xmlns="ff51ef05-392e-4dfc-ac47-4d3b6fab66d1">
      <UserInfo>
        <DisplayName/>
        <AccountId xsi:nil="true"/>
        <AccountType/>
      </UserInfo>
    </ECFActionPrimaryCloseOutCO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12F6B15E81195045AC5035DF1D9BAE7000FA785443B7A61A4FA0461A9EFD909860" ma:contentTypeVersion="3" ma:contentTypeDescription="Create a new document." ma:contentTypeScope="" ma:versionID="ef4c4d9a33df5aa8125103d926f0bccc">
  <xsd:schema xmlns:xsd="http://www.w3.org/2001/XMLSchema" xmlns:xs="http://www.w3.org/2001/XMLSchema" xmlns:p="http://schemas.microsoft.com/office/2006/metadata/properties" xmlns:ns1="http://schemas.microsoft.com/sharepoint/v3" xmlns:ns2="ff51ef05-392e-4dfc-ac47-4d3b6fab66d1" targetNamespace="http://schemas.microsoft.com/office/2006/metadata/properties" ma:root="true" ma:fieldsID="d042a8cf0fbeef489a0dbd3992ec8168" ns1:_="" ns2:_="">
    <xsd:import namespace="http://schemas.microsoft.com/sharepoint/v3"/>
    <xsd:import namespace="ff51ef05-392e-4dfc-ac47-4d3b6fab66d1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1ef05-392e-4dfc-ac47-4d3b6fab66d1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D9CAE4-4AD4-41E5-BF5D-927557FD27E0}">
  <ds:schemaRefs>
    <ds:schemaRef ds:uri="ff51ef05-392e-4dfc-ac47-4d3b6fab66d1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microsoft.com/sharepoint/v3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1065227-31DC-4B45-99A6-D231127830C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BBD1D93-FF6C-461A-8EF7-BABE842A5E4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67F9C25-585D-4D1D-80AE-270A17113B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f51ef05-392e-4dfc-ac47-4d3b6fab66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BELK, STEVEN R CIV USAF AMC 6 CONS/PKM</dc:creator>
  <cp:lastModifiedBy>BENBOW, LJUAN S 2d Lt USAF AMC 6 CONS/PKM</cp:lastModifiedBy>
  <dcterms:created xsi:type="dcterms:W3CDTF">2026-04-20T12:02:50Z</dcterms:created>
  <dcterms:modified xsi:type="dcterms:W3CDTF">2026-05-04T14:35:03Z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0x01010012F6B15E81195045AC5035DF1D9BAE7000FA785443B7A61A4FA0461A9EFD909860</vt:lpwstr>
  </property>
  <property fmtid="{D5CDD505-2E9C-101B-9397-08002B2CF9AE}" pid="4" name="_dlc_DocIdItemGuid">
    <vt:lpwstr>98558d84-32b3-4c66-bf6b-ccabb9346236</vt:lpwstr>
  </property>
</Properties>
</file>