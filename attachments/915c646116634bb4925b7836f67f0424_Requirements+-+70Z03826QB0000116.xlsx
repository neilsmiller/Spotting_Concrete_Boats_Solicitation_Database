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SRRPRO/A.  Team Working Folders/B.  Small Purchase - PR's Received/Ali Colson/6085-DE02 70Z03826QB0000085 - prep/12/"/>
    </mc:Choice>
  </mc:AlternateContent>
  <xr:revisionPtr revIDLastSave="186" documentId="8_{744BD5FA-3DDB-4799-B9DF-0760343C5C7D}" xr6:coauthVersionLast="47" xr6:coauthVersionMax="47" xr10:uidLastSave="{7276645C-6E8C-421D-AF9A-83ACCC06DF05}"/>
  <bookViews>
    <workbookView xWindow="16050" yWindow="790" windowWidth="18690" windowHeight="13230" xr2:uid="{00000000-000D-0000-FFFF-FFFF00000000}"/>
  </bookViews>
  <sheets>
    <sheet name="RFQ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/>
  <c r="N8" i="1"/>
  <c r="N11" i="1"/>
</calcChain>
</file>

<file path=xl/sharedStrings.xml><?xml version="1.0" encoding="utf-8"?>
<sst xmlns="http://schemas.openxmlformats.org/spreadsheetml/2006/main" count="42" uniqueCount="42">
  <si>
    <t>Requirements: 70Z03826QB0000116</t>
  </si>
  <si>
    <t>US COAST GUARD</t>
  </si>
  <si>
    <t>AVIATION LOGISTICS CENTER</t>
  </si>
  <si>
    <t>Company Name:</t>
  </si>
  <si>
    <t>ELIZABETH CITY, NC 27909-5001</t>
  </si>
  <si>
    <t>CAGE Code in SAM.GOV:</t>
  </si>
  <si>
    <t>POC: alisha.m.colson@uscg.mil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</si>
  <si>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</si>
  <si>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</si>
  <si>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</si>
  <si>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</si>
  <si>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</si>
  <si>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</si>
  <si>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</si>
  <si>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</si>
  <si>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</si>
  <si>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QUOTE</t>
  </si>
  <si>
    <t>QUANTITY TOTAL</t>
  </si>
  <si>
    <t>OPTIONAL QUANTITY QUOTE</t>
  </si>
  <si>
    <t>OPTIONAL QUANTITY TOTAL</t>
  </si>
  <si>
    <t>EXTENDED</t>
  </si>
  <si>
    <t>LEAD-TIME</t>
  </si>
  <si>
    <t>OEM
CAGE Code</t>
  </si>
  <si>
    <t>1650-14-374-7725</t>
  </si>
  <si>
    <t>1-96-034-78</t>
  </si>
  <si>
    <t>TUBE</t>
  </si>
  <si>
    <t>EA</t>
  </si>
  <si>
    <t>F0210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</si>
  <si>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</si>
  <si>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</si>
  <si>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</si>
  <si>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</si>
  <si>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*Do you agree to the Option for Increased Quantity Clause, 52.217-6?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</si>
  <si>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</si>
  <si>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</si>
  <si>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Yes, as written in the Request For Quote.</t>
  </si>
  <si>
    <t>Extended Total + Shipping:</t>
  </si>
  <si>
    <t>No, we do not agree to clause 52.217-6.</t>
  </si>
  <si>
    <t>Yes, with requested modifications: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</si>
  <si>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</si>
  <si>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</si>
  <si>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 xml:space="preserve">Comments: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</si>
</sst>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2" fillId="0" borderId="0" xfId="0" applyFont="1"/>
    <xf numFmtId="0" fontId="13" fillId="0" borderId="0" xfId="0" applyFont="1" applyAlignment="1">
      <alignment vertical="top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11" fillId="4" borderId="1" xfId="0" applyFont="1" applyFill="1" applyBorder="1"/>
    <xf numFmtId="0" fontId="1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5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6FAA5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sqref="A1:P1"/>
    </sheetView>
  </sheetViews>
  <sheetFormatPr defaultColWidth="9.140625" defaultRowHeight="14.45"/>
  <cols>
    <col min="1" max="1" width="8.140625" style="1" customWidth="1"/>
    <col min="2" max="2" width="22" style="1" customWidth="1"/>
    <col min="3" max="3" width="21" style="1" bestFit="1" customWidth="1"/>
    <col min="4" max="4" width="29.140625" style="1" bestFit="1" customWidth="1"/>
    <col min="5" max="5" width="11.855468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140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.75" customHeight="1">
      <c r="A2" s="2" t="s">
        <v>1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>
      <c r="A3" s="2" t="s">
        <v>2</v>
      </c>
      <c r="B3" s="3"/>
      <c r="C3" s="4"/>
      <c r="D3" s="24" t="s">
        <v>3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ht="18.75" customHeight="1">
      <c r="A4" s="9" t="s">
        <v>4</v>
      </c>
      <c r="B4" s="10"/>
      <c r="C4" s="4"/>
      <c r="D4" s="24" t="s">
        <v>5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6" ht="15.6">
      <c r="A5" s="52" t="s">
        <v>6</v>
      </c>
      <c r="B5" s="53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5.5">
      <c r="A6" s="18" t="s">
        <v>7</v>
      </c>
      <c r="B6" s="19" t="s">
        <v>8</v>
      </c>
      <c r="C6" s="18" t="s">
        <v>9</v>
      </c>
      <c r="D6" s="18" t="s">
        <v>10</v>
      </c>
      <c r="E6" s="19" t="s">
        <v>11</v>
      </c>
      <c r="F6" s="19" t="s">
        <v>12</v>
      </c>
      <c r="G6" s="18" t="s">
        <v>13</v>
      </c>
      <c r="H6" s="25" t="s">
        <v>14</v>
      </c>
      <c r="I6" s="19" t="s">
        <v>15</v>
      </c>
      <c r="J6" s="20" t="s">
        <v>16</v>
      </c>
      <c r="K6" s="40" t="s">
        <v>17</v>
      </c>
      <c r="L6" s="28" t="s">
        <v>18</v>
      </c>
      <c r="M6" s="40" t="s">
        <v>19</v>
      </c>
      <c r="N6" s="41" t="s">
        <v>20</v>
      </c>
      <c r="O6" s="20" t="s">
        <v>21</v>
      </c>
      <c r="P6" s="28" t="s">
        <v>22</v>
      </c>
    </row>
    <row r="7" spans="1:16" ht="15.6">
      <c r="A7" s="12">
        <v>1</v>
      </c>
      <c r="B7" s="12" t="s">
        <v>23</v>
      </c>
      <c r="C7" s="12" t="s">
        <v>24</v>
      </c>
      <c r="D7" s="12" t="s">
        <v>25</v>
      </c>
      <c r="E7" s="12" t="s">
        <v>26</v>
      </c>
      <c r="F7" s="13" t="s">
        <v>27</v>
      </c>
      <c r="G7" s="14">
        <v>20</v>
      </c>
      <c r="H7" s="26">
        <v>20</v>
      </c>
      <c r="I7" s="15">
        <v>46296</v>
      </c>
      <c r="J7" s="36"/>
      <c r="K7" s="16">
        <f>G7*J7</f>
        <v>0</v>
      </c>
      <c r="L7" s="36"/>
      <c r="M7" s="16">
        <f>H7*L7</f>
        <v>0</v>
      </c>
      <c r="N7" s="16">
        <f>K7+M7</f>
        <v>0</v>
      </c>
      <c r="O7" s="37"/>
      <c r="P7" s="37"/>
    </row>
    <row r="8" spans="1:16" ht="17.25" customHeight="1">
      <c r="A8" s="27" t="s">
        <v>28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29</v>
      </c>
      <c r="N8" s="29">
        <f>SUM(N7:N7)</f>
        <v>0</v>
      </c>
      <c r="O8" s="6"/>
    </row>
    <row r="9" spans="1:16" ht="15.6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30</v>
      </c>
      <c r="N9" s="37"/>
      <c r="O9" s="33" t="s">
        <v>31</v>
      </c>
    </row>
    <row r="10" spans="1:16" ht="15" customHeight="1">
      <c r="A10" s="32" t="s">
        <v>32</v>
      </c>
      <c r="B10" s="31"/>
      <c r="C10" s="6"/>
      <c r="D10" s="6"/>
      <c r="E10" s="6"/>
      <c r="F10" s="6"/>
      <c r="G10" s="17"/>
      <c r="H10" s="17"/>
      <c r="I10" s="35"/>
      <c r="J10" s="35"/>
      <c r="K10" s="59" t="s">
        <v>33</v>
      </c>
      <c r="L10" s="59"/>
      <c r="M10" s="59"/>
      <c r="N10" s="38">
        <v>0</v>
      </c>
      <c r="O10" s="34" t="s">
        <v>34</v>
      </c>
    </row>
    <row r="11" spans="1:16" ht="15" customHeight="1" thickBot="1">
      <c r="A11" s="39"/>
      <c r="B11" s="31" t="s">
        <v>35</v>
      </c>
      <c r="C11" s="17"/>
      <c r="D11" s="17"/>
      <c r="E11" s="17"/>
      <c r="F11" s="17"/>
      <c r="G11" s="17"/>
      <c r="H11" s="17"/>
      <c r="I11" s="35"/>
      <c r="J11" s="35"/>
      <c r="K11" s="59" t="s">
        <v>36</v>
      </c>
      <c r="L11" s="59"/>
      <c r="M11" s="59"/>
      <c r="N11" s="30">
        <f>N10+N8</f>
        <v>0</v>
      </c>
      <c r="O11" s="6"/>
    </row>
    <row r="12" spans="1:16" ht="15" customHeight="1" thickTop="1">
      <c r="A12" s="39"/>
      <c r="B12" s="31" t="s">
        <v>37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>
      <c r="A13" s="39"/>
      <c r="B13" s="57" t="s">
        <v>38</v>
      </c>
      <c r="C13" s="58"/>
      <c r="D13" s="58"/>
      <c r="E13" s="58"/>
      <c r="F13" s="58"/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>
      <c r="A14" s="31"/>
      <c r="B14" s="31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>
      <c r="A15" s="55" t="s">
        <v>39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</row>
    <row r="16" spans="1:16">
      <c r="A16" s="54" t="s">
        <v>40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</row>
    <row r="18" spans="1:15" ht="15" thickBot="1"/>
    <row r="19" spans="1:15" ht="15.75" customHeight="1">
      <c r="A19" s="43" t="s">
        <v>41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5"/>
    </row>
    <row r="20" spans="1:15">
      <c r="A20" s="46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8"/>
    </row>
    <row r="21" spans="1:15">
      <c r="A21" s="46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8"/>
    </row>
    <row r="22" spans="1:15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8"/>
    </row>
    <row r="23" spans="1:15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/>
    </row>
    <row r="24" spans="1:15">
      <c r="A24" s="46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8"/>
    </row>
    <row r="25" spans="1:15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8"/>
    </row>
    <row r="26" spans="1:15">
      <c r="A26" s="46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8"/>
    </row>
    <row r="27" spans="1:15">
      <c r="A27" s="46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8"/>
    </row>
    <row r="28" spans="1:15" ht="15" thickBot="1">
      <c r="A28" s="49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1"/>
    </row>
  </sheetData>
  <mergeCells count="10">
    <mergeCell ref="A1:P1"/>
    <mergeCell ref="A19:O28"/>
    <mergeCell ref="A5:B5"/>
    <mergeCell ref="A16:P16"/>
    <mergeCell ref="A15:P15"/>
    <mergeCell ref="E3:P3"/>
    <mergeCell ref="E4:P4"/>
    <mergeCell ref="B13:F13"/>
    <mergeCell ref="K10:M10"/>
    <mergeCell ref="K11:M11"/>
  </mergeCells>
  <pageMargins left="0.7" right="0.7" top="0.75" bottom="0.75" header="0.3" footer="0.3"/>
  <pageSetup scale="5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3CQM5MWP7WXW-372832245-391957</_dlc_DocId>
    <_dlc_DocIdUrl xmlns="32bf085a-8c72-46fb-a8d1-a35b4ab27cc3">
      <Url>https://uscg.sharepoint-mil.us/sites/alc_spo/COCO/_layouts/15/DocIdRedir.aspx?ID=3CQM5MWP7WXW-372832245-391957</Url>
      <Description>3CQM5MWP7WXW-372832245-391957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DDEC82-0D3D-4A51-8ECE-5F3F1EA634CF}"/>
</file>

<file path=customXml/itemProps2.xml><?xml version="1.0" encoding="utf-8"?>
<ds:datastoreItem xmlns:ds="http://schemas.openxmlformats.org/officeDocument/2006/customXml" ds:itemID="{EAA81439-B738-43A4-8D82-A6EC1AAD965C}"/>
</file>

<file path=customXml/itemProps3.xml><?xml version="1.0" encoding="utf-8"?>
<ds:datastoreItem xmlns:ds="http://schemas.openxmlformats.org/officeDocument/2006/customXml" ds:itemID="{07EFA873-8AAD-416E-8A12-532093878452}"/>
</file>

<file path=customXml/itemProps4.xml><?xml version="1.0" encoding="utf-8"?>
<ds:datastoreItem xmlns:ds="http://schemas.openxmlformats.org/officeDocument/2006/customXml" ds:itemID="{A1814093-7ED0-44A3-AA68-AC3CD77B3FCA}"/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United States Coast Guard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MELENDEZ GONZALEZ, Selmary  (Selma) CIV (USA)</cp:lastModifiedBy>
  <cp:revision/>
  <dcterms:created xsi:type="dcterms:W3CDTF">2010-05-10T19:58:22Z</dcterms:created>
  <dcterms:modified xsi:type="dcterms:W3CDTF">2026-05-06T17:16:48Z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11b9e4b1-ae7c-468f-9e03-85dfa3edd1e2</vt:lpwstr>
  </property>
  <property fmtid="{D5CDD505-2E9C-101B-9397-08002B2CF9AE}" pid="3" name="ContentTypeId">
    <vt:lpwstr>0x0101002A03440CF6B0534D96786E60567E5BAA</vt:lpwstr>
  </property>
</Properties>
</file>