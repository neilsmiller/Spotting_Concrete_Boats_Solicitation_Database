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ravis_c_tonini_civ_army_mil/Documents/Desktop/POL Renewal/Solicitation/"/>
    </mc:Choice>
  </mc:AlternateContent>
  <xr:revisionPtr revIDLastSave="356" documentId="8_{AE7E09F0-2596-4CA1-BBC5-F22F1388570B}" xr6:coauthVersionLast="47" xr6:coauthVersionMax="47" xr10:uidLastSave="{B0491EC2-0EE2-4EBD-B031-ADF2829BDB1A}"/>
  <bookViews>
    <workbookView xWindow="-120" yWindow="450" windowWidth="29040" windowHeight="15150" xr2:uid="{AF202F51-424F-4395-BFCE-74BF75B9B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3" i="1"/>
  <c r="G7" i="1"/>
  <c r="G8" i="1"/>
  <c r="G9" i="1"/>
  <c r="G10" i="1"/>
  <c r="G11" i="1"/>
  <c r="G6" i="1"/>
  <c r="G39" i="1"/>
  <c r="G38" i="1"/>
  <c r="G37" i="1"/>
  <c r="G36" i="1"/>
  <c r="G35" i="1"/>
  <c r="G34" i="1"/>
  <c r="G32" i="1"/>
  <c r="G31" i="1"/>
  <c r="G30" i="1"/>
  <c r="G29" i="1"/>
  <c r="G28" i="1"/>
  <c r="G27" i="1"/>
  <c r="G25" i="1"/>
  <c r="G24" i="1"/>
  <c r="G23" i="1"/>
  <c r="G22" i="1"/>
  <c r="G21" i="1"/>
  <c r="G18" i="1"/>
  <c r="G17" i="1"/>
  <c r="G16" i="1"/>
  <c r="G15" i="1"/>
  <c r="G14" i="1"/>
  <c r="G40" i="1" l="1"/>
  <c r="G33" i="1"/>
  <c r="G26" i="1"/>
  <c r="G19" i="1"/>
  <c r="G12" i="1"/>
  <c r="G41" i="1" l="1"/>
</calcChain>
</file>

<file path=xl/sharedStrings.xml><?xml version="1.0" encoding="utf-8"?>
<sst xmlns="http://schemas.openxmlformats.org/spreadsheetml/2006/main" count="109" uniqueCount="57">
  <si>
    <t>CLIN</t>
  </si>
  <si>
    <t>Product                Description</t>
  </si>
  <si>
    <t>Unit of Measure</t>
  </si>
  <si>
    <t>Unit Price</t>
  </si>
  <si>
    <t>Total Cost</t>
  </si>
  <si>
    <t>0001</t>
  </si>
  <si>
    <t>0002</t>
  </si>
  <si>
    <t>Base Year Total Cost</t>
  </si>
  <si>
    <t>1001</t>
  </si>
  <si>
    <t>1002</t>
  </si>
  <si>
    <t>1st Option Year Total Cost</t>
  </si>
  <si>
    <t>2001</t>
  </si>
  <si>
    <t>2002</t>
  </si>
  <si>
    <t>2nd Option Year Total Cost</t>
  </si>
  <si>
    <t>3001</t>
  </si>
  <si>
    <t>3002</t>
  </si>
  <si>
    <t>3rd Option Year Total Cost</t>
  </si>
  <si>
    <t>4001</t>
  </si>
  <si>
    <t>4002</t>
  </si>
  <si>
    <t>4th Option Year Total Cost</t>
  </si>
  <si>
    <t>Overal Total Proposed Cost</t>
  </si>
  <si>
    <r>
      <rPr>
        <b/>
        <sz val="13"/>
        <color rgb="FFFF0000"/>
        <rFont val="Arial"/>
        <family val="2"/>
      </rPr>
      <t>Note:</t>
    </r>
    <r>
      <rPr>
        <sz val="13"/>
        <color rgb="FFFF0000"/>
        <rFont val="Arial"/>
        <family val="2"/>
      </rPr>
      <t xml:space="preserve">  </t>
    </r>
    <r>
      <rPr>
        <sz val="13"/>
        <rFont val="Arial"/>
        <family val="2"/>
      </rPr>
      <t>Although formulas are entered into this spreadsheet's cells, it is the offeror's responsibility to ensure all unit prices, total, and proposed costs are correct.</t>
    </r>
  </si>
  <si>
    <t>Prepared By:  ______________________________</t>
  </si>
  <si>
    <t>Signature:  ______________________________</t>
  </si>
  <si>
    <t>Date:  ______________________________</t>
  </si>
  <si>
    <t>0003</t>
  </si>
  <si>
    <t>0004</t>
  </si>
  <si>
    <t>0005</t>
  </si>
  <si>
    <t>0006</t>
  </si>
  <si>
    <t>1003</t>
  </si>
  <si>
    <t>1004</t>
  </si>
  <si>
    <t>1005</t>
  </si>
  <si>
    <t>1006</t>
  </si>
  <si>
    <t>2003</t>
  </si>
  <si>
    <t>2004</t>
  </si>
  <si>
    <t>2005</t>
  </si>
  <si>
    <t>2006</t>
  </si>
  <si>
    <t>3003</t>
  </si>
  <si>
    <t>3004</t>
  </si>
  <si>
    <t>3005</t>
  </si>
  <si>
    <t>3006</t>
  </si>
  <si>
    <t>4003</t>
  </si>
  <si>
    <t>4004</t>
  </si>
  <si>
    <t>4005</t>
  </si>
  <si>
    <t>4006</t>
  </si>
  <si>
    <t>Insert Company Name &amp; UEI #</t>
  </si>
  <si>
    <t xml:space="preserve">Price Quote Summary </t>
  </si>
  <si>
    <t>GAL</t>
  </si>
  <si>
    <r>
      <t xml:space="preserve">Petroleum, Oil, and Lubricant (POL) Pick Up, Disposal &amp; Recycling - </t>
    </r>
    <r>
      <rPr>
        <b/>
        <sz val="13"/>
        <rFont val="Arial"/>
        <family val="2"/>
      </rPr>
      <t>Used Oil</t>
    </r>
  </si>
  <si>
    <r>
      <t xml:space="preserve">Petroleum, Oil, and Lubricant (POL) Pick Up, Disposal &amp; Recycling - </t>
    </r>
    <r>
      <rPr>
        <b/>
        <sz val="13"/>
        <rFont val="Arial"/>
        <family val="2"/>
      </rPr>
      <t>Antifreeze</t>
    </r>
  </si>
  <si>
    <r>
      <t xml:space="preserve">Petroleum, Oil, and Lubricant (POL) Pick Up, Disposal &amp; Recycling - </t>
    </r>
    <r>
      <rPr>
        <b/>
        <sz val="13"/>
        <rFont val="Arial"/>
        <family val="2"/>
      </rPr>
      <t>Diesel/JP-8</t>
    </r>
  </si>
  <si>
    <r>
      <t xml:space="preserve">Petroleum, Oil, and Lubricant (POL) Pick Up, Disposal &amp; Recycling - </t>
    </r>
    <r>
      <rPr>
        <b/>
        <sz val="13"/>
        <rFont val="Arial"/>
        <family val="2"/>
      </rPr>
      <t>Oily Water</t>
    </r>
  </si>
  <si>
    <r>
      <t xml:space="preserve">Petroleum, Oil, and Lubricant (POL) Pick Up, Disposal &amp; Recycling - </t>
    </r>
    <r>
      <rPr>
        <b/>
        <sz val="13"/>
        <rFont val="Arial"/>
        <family val="2"/>
      </rPr>
      <t>MOGAS</t>
    </r>
  </si>
  <si>
    <r>
      <t xml:space="preserve">Petroleum, Oil, and Lubricant (POL) Pick Up, Disposal &amp; Recycling - </t>
    </r>
    <r>
      <rPr>
        <b/>
        <sz val="13"/>
        <rFont val="Arial"/>
        <family val="2"/>
      </rPr>
      <t>Grease</t>
    </r>
  </si>
  <si>
    <t>Pound (lb)</t>
  </si>
  <si>
    <t>Solicitation #: W912CN-26-Q-A018 POL Disposal</t>
  </si>
  <si>
    <t>Estimated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</si>
</sst>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b/>
      <sz val="13"/>
      <color rgb="FFFF0000"/>
      <name val="Arial"/>
      <family val="2"/>
    </font>
    <font>
      <sz val="13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3"/>
      <color rgb="FFFF0000"/>
      <name val="Arial"/>
      <family val="2"/>
    </font>
    <font>
      <sz val="8"/>
      <name val="Aptos Narrow"/>
      <family val="2"/>
      <scheme val="minor"/>
    </font>
    <font>
      <b/>
      <sz val="14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4" fontId="6" fillId="0" borderId="4" xfId="0" applyNumberFormat="1" applyFont="1" applyBorder="1" applyAlignment="1">
      <alignment horizontal="center"/>
    </xf>
    <xf numFmtId="44" fontId="4" fillId="3" borderId="4" xfId="0" applyNumberFormat="1" applyFont="1" applyFill="1" applyBorder="1"/>
    <xf numFmtId="0" fontId="6" fillId="0" borderId="0" xfId="0" applyFont="1" applyAlignment="1">
      <alignment wrapText="1"/>
    </xf>
    <xf numFmtId="44" fontId="6" fillId="4" borderId="4" xfId="0" applyNumberFormat="1" applyFont="1" applyFill="1" applyBorder="1" applyAlignment="1">
      <alignment vertical="center"/>
    </xf>
    <xf numFmtId="44" fontId="2" fillId="4" borderId="4" xfId="0" applyNumberFormat="1" applyFont="1" applyFill="1" applyBorder="1" applyAlignment="1">
      <alignment vertical="center"/>
    </xf>
    <xf numFmtId="0" fontId="6" fillId="0" borderId="4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44" fontId="7" fillId="0" borderId="4" xfId="0" applyNumberFormat="1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164" fontId="6" fillId="0" borderId="4" xfId="1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right" wrapText="1"/>
    </xf>
    <xf numFmtId="0" fontId="6" fillId="4" borderId="3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0" fontId="2" fillId="4" borderId="1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4" borderId="3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7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24FF-C6F6-4FD3-B0B8-0DAC3AB2AEB6}">
  <dimension ref="B2:G51"/>
  <sheetViews>
    <sheetView tabSelected="1" topLeftCell="A3" workbookViewId="0">
      <selection activeCell="I6" sqref="I6"/>
    </sheetView>
  </sheetViews>
  <sheetFormatPr defaultRowHeight="16.5" x14ac:dyDescent="0.25"/>
  <cols>
    <col min="1" max="1" width="8.42578125" style="1" customWidth="1"/>
    <col min="2" max="2" width="10.85546875" style="1" customWidth="1"/>
    <col min="3" max="3" width="60.5703125" style="1" customWidth="1"/>
    <col min="4" max="4" width="13.7109375" style="1" customWidth="1"/>
    <col min="5" max="5" width="12.5703125" style="17" customWidth="1"/>
    <col min="6" max="6" width="13.7109375" style="16" customWidth="1"/>
    <col min="7" max="7" width="17.7109375" style="1" customWidth="1"/>
    <col min="8" max="16384" width="9.140625" style="1"/>
  </cols>
  <sheetData>
    <row r="2" spans="2:7" x14ac:dyDescent="0.25">
      <c r="B2" s="22" t="s">
        <v>45</v>
      </c>
      <c r="C2" s="23"/>
      <c r="D2" s="23"/>
      <c r="E2" s="23"/>
      <c r="F2" s="23"/>
      <c r="G2" s="24"/>
    </row>
    <row r="3" spans="2:7" ht="18" x14ac:dyDescent="0.25">
      <c r="B3" s="25" t="s">
        <v>55</v>
      </c>
      <c r="C3" s="26"/>
      <c r="D3" s="26"/>
      <c r="E3" s="26"/>
      <c r="F3" s="26"/>
      <c r="G3" s="27"/>
    </row>
    <row r="4" spans="2:7" ht="18" x14ac:dyDescent="0.25">
      <c r="B4" s="28" t="s">
        <v>46</v>
      </c>
      <c r="C4" s="29"/>
      <c r="D4" s="29"/>
      <c r="E4" s="29"/>
      <c r="F4" s="29"/>
      <c r="G4" s="29"/>
    </row>
    <row r="5" spans="2:7" ht="49.5" x14ac:dyDescent="0.25">
      <c r="B5" s="2" t="s">
        <v>0</v>
      </c>
      <c r="C5" s="3" t="s">
        <v>1</v>
      </c>
      <c r="D5" s="4" t="s">
        <v>2</v>
      </c>
      <c r="E5" s="38" t="s">
        <v>56</v>
      </c>
      <c r="F5" s="14" t="s">
        <v>3</v>
      </c>
      <c r="G5" s="5" t="s">
        <v>4</v>
      </c>
    </row>
    <row r="6" spans="2:7" ht="33" x14ac:dyDescent="0.25">
      <c r="B6" s="6" t="s">
        <v>5</v>
      </c>
      <c r="C6" s="13" t="s">
        <v>48</v>
      </c>
      <c r="D6" s="7" t="s">
        <v>47</v>
      </c>
      <c r="E6" s="18">
        <v>48000</v>
      </c>
      <c r="F6" s="15"/>
      <c r="G6" s="8">
        <f>E6*F6</f>
        <v>0</v>
      </c>
    </row>
    <row r="7" spans="2:7" ht="33" x14ac:dyDescent="0.25">
      <c r="B7" s="6" t="s">
        <v>6</v>
      </c>
      <c r="C7" s="13" t="s">
        <v>49</v>
      </c>
      <c r="D7" s="7" t="s">
        <v>47</v>
      </c>
      <c r="E7" s="18">
        <v>9000</v>
      </c>
      <c r="F7" s="15"/>
      <c r="G7" s="8">
        <f t="shared" ref="G7:G11" si="0">E7*F7</f>
        <v>0</v>
      </c>
    </row>
    <row r="8" spans="2:7" ht="33" x14ac:dyDescent="0.25">
      <c r="B8" s="6" t="s">
        <v>25</v>
      </c>
      <c r="C8" s="13" t="s">
        <v>50</v>
      </c>
      <c r="D8" s="7" t="s">
        <v>47</v>
      </c>
      <c r="E8" s="18">
        <v>12000</v>
      </c>
      <c r="F8" s="15"/>
      <c r="G8" s="8">
        <f t="shared" si="0"/>
        <v>0</v>
      </c>
    </row>
    <row r="9" spans="2:7" ht="33" x14ac:dyDescent="0.25">
      <c r="B9" s="6" t="s">
        <v>26</v>
      </c>
      <c r="C9" s="13" t="s">
        <v>51</v>
      </c>
      <c r="D9" s="7" t="s">
        <v>47</v>
      </c>
      <c r="E9" s="18">
        <v>3000</v>
      </c>
      <c r="F9" s="15"/>
      <c r="G9" s="8">
        <f t="shared" si="0"/>
        <v>0</v>
      </c>
    </row>
    <row r="10" spans="2:7" ht="33" x14ac:dyDescent="0.25">
      <c r="B10" s="6" t="s">
        <v>27</v>
      </c>
      <c r="C10" s="13" t="s">
        <v>52</v>
      </c>
      <c r="D10" s="7" t="s">
        <v>47</v>
      </c>
      <c r="E10" s="18">
        <v>2000</v>
      </c>
      <c r="F10" s="15"/>
      <c r="G10" s="8">
        <f t="shared" si="0"/>
        <v>0</v>
      </c>
    </row>
    <row r="11" spans="2:7" ht="33" x14ac:dyDescent="0.25">
      <c r="B11" s="6" t="s">
        <v>28</v>
      </c>
      <c r="C11" s="13" t="s">
        <v>53</v>
      </c>
      <c r="D11" s="7" t="s">
        <v>54</v>
      </c>
      <c r="E11" s="18">
        <v>2000</v>
      </c>
      <c r="F11" s="15"/>
      <c r="G11" s="8">
        <f t="shared" si="0"/>
        <v>0</v>
      </c>
    </row>
    <row r="12" spans="2:7" x14ac:dyDescent="0.25">
      <c r="B12" s="19" t="s">
        <v>7</v>
      </c>
      <c r="C12" s="20"/>
      <c r="D12" s="20"/>
      <c r="E12" s="20"/>
      <c r="F12" s="21"/>
      <c r="G12" s="11">
        <f>SUM(G6:G11)</f>
        <v>0</v>
      </c>
    </row>
    <row r="13" spans="2:7" ht="33" x14ac:dyDescent="0.25">
      <c r="B13" s="6" t="s">
        <v>8</v>
      </c>
      <c r="C13" s="13" t="s">
        <v>48</v>
      </c>
      <c r="D13" s="7" t="s">
        <v>47</v>
      </c>
      <c r="E13" s="18">
        <v>48000</v>
      </c>
      <c r="F13" s="15"/>
      <c r="G13" s="8">
        <f>E13*F13</f>
        <v>0</v>
      </c>
    </row>
    <row r="14" spans="2:7" ht="33" x14ac:dyDescent="0.25">
      <c r="B14" s="6" t="s">
        <v>9</v>
      </c>
      <c r="C14" s="13" t="s">
        <v>49</v>
      </c>
      <c r="D14" s="7" t="s">
        <v>47</v>
      </c>
      <c r="E14" s="18">
        <v>9000</v>
      </c>
      <c r="F14" s="15"/>
      <c r="G14" s="8">
        <f>E14*F14</f>
        <v>0</v>
      </c>
    </row>
    <row r="15" spans="2:7" ht="33" x14ac:dyDescent="0.25">
      <c r="B15" s="6" t="s">
        <v>29</v>
      </c>
      <c r="C15" s="13" t="s">
        <v>50</v>
      </c>
      <c r="D15" s="7" t="s">
        <v>47</v>
      </c>
      <c r="E15" s="18">
        <v>12000</v>
      </c>
      <c r="F15" s="15"/>
      <c r="G15" s="8">
        <f t="shared" ref="G15:G18" si="1">E15*F15</f>
        <v>0</v>
      </c>
    </row>
    <row r="16" spans="2:7" ht="33" x14ac:dyDescent="0.25">
      <c r="B16" s="6" t="s">
        <v>30</v>
      </c>
      <c r="C16" s="13" t="s">
        <v>51</v>
      </c>
      <c r="D16" s="7" t="s">
        <v>47</v>
      </c>
      <c r="E16" s="18">
        <v>3000</v>
      </c>
      <c r="F16" s="15"/>
      <c r="G16" s="8">
        <f t="shared" si="1"/>
        <v>0</v>
      </c>
    </row>
    <row r="17" spans="2:7" ht="33" x14ac:dyDescent="0.25">
      <c r="B17" s="6" t="s">
        <v>31</v>
      </c>
      <c r="C17" s="13" t="s">
        <v>52</v>
      </c>
      <c r="D17" s="7" t="s">
        <v>47</v>
      </c>
      <c r="E17" s="18">
        <v>2000</v>
      </c>
      <c r="F17" s="15"/>
      <c r="G17" s="8">
        <f t="shared" si="1"/>
        <v>0</v>
      </c>
    </row>
    <row r="18" spans="2:7" ht="33" x14ac:dyDescent="0.25">
      <c r="B18" s="6" t="s">
        <v>32</v>
      </c>
      <c r="C18" s="13" t="s">
        <v>53</v>
      </c>
      <c r="D18" s="7" t="s">
        <v>54</v>
      </c>
      <c r="E18" s="18">
        <v>2000</v>
      </c>
      <c r="F18" s="15"/>
      <c r="G18" s="8">
        <f t="shared" si="1"/>
        <v>0</v>
      </c>
    </row>
    <row r="19" spans="2:7" x14ac:dyDescent="0.25">
      <c r="B19" s="19" t="s">
        <v>10</v>
      </c>
      <c r="C19" s="20"/>
      <c r="D19" s="20"/>
      <c r="E19" s="20"/>
      <c r="F19" s="21"/>
      <c r="G19" s="11">
        <f>SUM(G13:G18)</f>
        <v>0</v>
      </c>
    </row>
    <row r="20" spans="2:7" ht="33" x14ac:dyDescent="0.25">
      <c r="B20" s="6" t="s">
        <v>11</v>
      </c>
      <c r="C20" s="13" t="s">
        <v>48</v>
      </c>
      <c r="D20" s="7" t="s">
        <v>47</v>
      </c>
      <c r="E20" s="18">
        <v>48000</v>
      </c>
      <c r="F20" s="15"/>
      <c r="G20" s="8">
        <f>E20*F20</f>
        <v>0</v>
      </c>
    </row>
    <row r="21" spans="2:7" ht="33" x14ac:dyDescent="0.25">
      <c r="B21" s="6" t="s">
        <v>12</v>
      </c>
      <c r="C21" s="13" t="s">
        <v>49</v>
      </c>
      <c r="D21" s="7" t="s">
        <v>47</v>
      </c>
      <c r="E21" s="18">
        <v>9000</v>
      </c>
      <c r="F21" s="15"/>
      <c r="G21" s="8">
        <f>E21*F21</f>
        <v>0</v>
      </c>
    </row>
    <row r="22" spans="2:7" ht="33" x14ac:dyDescent="0.25">
      <c r="B22" s="6" t="s">
        <v>33</v>
      </c>
      <c r="C22" s="13" t="s">
        <v>50</v>
      </c>
      <c r="D22" s="7" t="s">
        <v>47</v>
      </c>
      <c r="E22" s="18">
        <v>12000</v>
      </c>
      <c r="F22" s="15"/>
      <c r="G22" s="8">
        <f t="shared" ref="G22:G25" si="2">E22*F22</f>
        <v>0</v>
      </c>
    </row>
    <row r="23" spans="2:7" ht="33" x14ac:dyDescent="0.25">
      <c r="B23" s="6" t="s">
        <v>34</v>
      </c>
      <c r="C23" s="13" t="s">
        <v>51</v>
      </c>
      <c r="D23" s="7" t="s">
        <v>47</v>
      </c>
      <c r="E23" s="18">
        <v>3000</v>
      </c>
      <c r="F23" s="15"/>
      <c r="G23" s="8">
        <f t="shared" si="2"/>
        <v>0</v>
      </c>
    </row>
    <row r="24" spans="2:7" ht="33" x14ac:dyDescent="0.25">
      <c r="B24" s="6" t="s">
        <v>35</v>
      </c>
      <c r="C24" s="13" t="s">
        <v>52</v>
      </c>
      <c r="D24" s="7" t="s">
        <v>47</v>
      </c>
      <c r="E24" s="18">
        <v>2000</v>
      </c>
      <c r="F24" s="15"/>
      <c r="G24" s="8">
        <f t="shared" si="2"/>
        <v>0</v>
      </c>
    </row>
    <row r="25" spans="2:7" ht="33" x14ac:dyDescent="0.25">
      <c r="B25" s="6" t="s">
        <v>36</v>
      </c>
      <c r="C25" s="13" t="s">
        <v>53</v>
      </c>
      <c r="D25" s="7" t="s">
        <v>54</v>
      </c>
      <c r="E25" s="18">
        <v>2000</v>
      </c>
      <c r="F25" s="15"/>
      <c r="G25" s="8">
        <f t="shared" si="2"/>
        <v>0</v>
      </c>
    </row>
    <row r="26" spans="2:7" x14ac:dyDescent="0.25">
      <c r="B26" s="19" t="s">
        <v>13</v>
      </c>
      <c r="C26" s="20"/>
      <c r="D26" s="20"/>
      <c r="E26" s="20"/>
      <c r="F26" s="21"/>
      <c r="G26" s="11">
        <f>SUM(G20:G25)</f>
        <v>0</v>
      </c>
    </row>
    <row r="27" spans="2:7" ht="33" x14ac:dyDescent="0.25">
      <c r="B27" s="6" t="s">
        <v>14</v>
      </c>
      <c r="C27" s="13" t="s">
        <v>48</v>
      </c>
      <c r="D27" s="7" t="s">
        <v>47</v>
      </c>
      <c r="E27" s="18">
        <v>48000</v>
      </c>
      <c r="F27" s="15"/>
      <c r="G27" s="8">
        <f>E27*F27</f>
        <v>0</v>
      </c>
    </row>
    <row r="28" spans="2:7" ht="33" x14ac:dyDescent="0.25">
      <c r="B28" s="6" t="s">
        <v>15</v>
      </c>
      <c r="C28" s="13" t="s">
        <v>49</v>
      </c>
      <c r="D28" s="7" t="s">
        <v>47</v>
      </c>
      <c r="E28" s="18">
        <v>9000</v>
      </c>
      <c r="F28" s="15"/>
      <c r="G28" s="8">
        <f>E28*F28</f>
        <v>0</v>
      </c>
    </row>
    <row r="29" spans="2:7" ht="33" x14ac:dyDescent="0.25">
      <c r="B29" s="6" t="s">
        <v>37</v>
      </c>
      <c r="C29" s="13" t="s">
        <v>50</v>
      </c>
      <c r="D29" s="7" t="s">
        <v>47</v>
      </c>
      <c r="E29" s="18">
        <v>12000</v>
      </c>
      <c r="F29" s="15"/>
      <c r="G29" s="8">
        <f t="shared" ref="G29:G32" si="3">E29*F29</f>
        <v>0</v>
      </c>
    </row>
    <row r="30" spans="2:7" ht="33" x14ac:dyDescent="0.25">
      <c r="B30" s="6" t="s">
        <v>38</v>
      </c>
      <c r="C30" s="13" t="s">
        <v>51</v>
      </c>
      <c r="D30" s="7" t="s">
        <v>47</v>
      </c>
      <c r="E30" s="18">
        <v>3000</v>
      </c>
      <c r="F30" s="15"/>
      <c r="G30" s="8">
        <f t="shared" si="3"/>
        <v>0</v>
      </c>
    </row>
    <row r="31" spans="2:7" ht="33" x14ac:dyDescent="0.25">
      <c r="B31" s="6" t="s">
        <v>39</v>
      </c>
      <c r="C31" s="13" t="s">
        <v>52</v>
      </c>
      <c r="D31" s="7" t="s">
        <v>47</v>
      </c>
      <c r="E31" s="18">
        <v>2000</v>
      </c>
      <c r="F31" s="15"/>
      <c r="G31" s="8">
        <f t="shared" si="3"/>
        <v>0</v>
      </c>
    </row>
    <row r="32" spans="2:7" ht="33" x14ac:dyDescent="0.25">
      <c r="B32" s="6" t="s">
        <v>40</v>
      </c>
      <c r="C32" s="13" t="s">
        <v>53</v>
      </c>
      <c r="D32" s="7" t="s">
        <v>54</v>
      </c>
      <c r="E32" s="18">
        <v>2000</v>
      </c>
      <c r="F32" s="15"/>
      <c r="G32" s="8">
        <f t="shared" si="3"/>
        <v>0</v>
      </c>
    </row>
    <row r="33" spans="2:7" x14ac:dyDescent="0.25">
      <c r="B33" s="19" t="s">
        <v>16</v>
      </c>
      <c r="C33" s="20"/>
      <c r="D33" s="20"/>
      <c r="E33" s="20"/>
      <c r="F33" s="21"/>
      <c r="G33" s="11">
        <f>SUM(G27:G32)</f>
        <v>0</v>
      </c>
    </row>
    <row r="34" spans="2:7" ht="33" x14ac:dyDescent="0.25">
      <c r="B34" s="6" t="s">
        <v>17</v>
      </c>
      <c r="C34" s="13" t="s">
        <v>48</v>
      </c>
      <c r="D34" s="7" t="s">
        <v>47</v>
      </c>
      <c r="E34" s="18">
        <v>48000</v>
      </c>
      <c r="F34" s="15"/>
      <c r="G34" s="8">
        <f>E34*F34</f>
        <v>0</v>
      </c>
    </row>
    <row r="35" spans="2:7" ht="33" x14ac:dyDescent="0.25">
      <c r="B35" s="6" t="s">
        <v>18</v>
      </c>
      <c r="C35" s="13" t="s">
        <v>49</v>
      </c>
      <c r="D35" s="7" t="s">
        <v>47</v>
      </c>
      <c r="E35" s="18">
        <v>9000</v>
      </c>
      <c r="F35" s="15"/>
      <c r="G35" s="8">
        <f>E35*F35</f>
        <v>0</v>
      </c>
    </row>
    <row r="36" spans="2:7" ht="33" x14ac:dyDescent="0.25">
      <c r="B36" s="6" t="s">
        <v>41</v>
      </c>
      <c r="C36" s="13" t="s">
        <v>50</v>
      </c>
      <c r="D36" s="7" t="s">
        <v>47</v>
      </c>
      <c r="E36" s="18">
        <v>12000</v>
      </c>
      <c r="F36" s="15"/>
      <c r="G36" s="8">
        <f t="shared" ref="G36:G39" si="4">E36*F36</f>
        <v>0</v>
      </c>
    </row>
    <row r="37" spans="2:7" ht="33" x14ac:dyDescent="0.25">
      <c r="B37" s="6" t="s">
        <v>42</v>
      </c>
      <c r="C37" s="13" t="s">
        <v>51</v>
      </c>
      <c r="D37" s="7" t="s">
        <v>47</v>
      </c>
      <c r="E37" s="18">
        <v>3000</v>
      </c>
      <c r="F37" s="15"/>
      <c r="G37" s="8">
        <f t="shared" si="4"/>
        <v>0</v>
      </c>
    </row>
    <row r="38" spans="2:7" ht="33" x14ac:dyDescent="0.25">
      <c r="B38" s="6" t="s">
        <v>43</v>
      </c>
      <c r="C38" s="13" t="s">
        <v>52</v>
      </c>
      <c r="D38" s="7" t="s">
        <v>47</v>
      </c>
      <c r="E38" s="18">
        <v>2000</v>
      </c>
      <c r="F38" s="15"/>
      <c r="G38" s="8">
        <f t="shared" si="4"/>
        <v>0</v>
      </c>
    </row>
    <row r="39" spans="2:7" ht="33" x14ac:dyDescent="0.25">
      <c r="B39" s="6" t="s">
        <v>44</v>
      </c>
      <c r="C39" s="13" t="s">
        <v>53</v>
      </c>
      <c r="D39" s="7" t="s">
        <v>54</v>
      </c>
      <c r="E39" s="18">
        <v>2000</v>
      </c>
      <c r="F39" s="15"/>
      <c r="G39" s="8">
        <f t="shared" si="4"/>
        <v>0</v>
      </c>
    </row>
    <row r="40" spans="2:7" x14ac:dyDescent="0.25">
      <c r="B40" s="31" t="s">
        <v>19</v>
      </c>
      <c r="C40" s="32"/>
      <c r="D40" s="32"/>
      <c r="E40" s="32"/>
      <c r="F40" s="33"/>
      <c r="G40" s="12">
        <f>SUM(G34:G39)</f>
        <v>0</v>
      </c>
    </row>
    <row r="41" spans="2:7" x14ac:dyDescent="0.25">
      <c r="B41" s="34" t="s">
        <v>20</v>
      </c>
      <c r="C41" s="35"/>
      <c r="D41" s="35"/>
      <c r="E41" s="35"/>
      <c r="F41" s="36"/>
      <c r="G41" s="9">
        <f>G12+G19+G26+G33+G40</f>
        <v>0</v>
      </c>
    </row>
    <row r="44" spans="2:7" x14ac:dyDescent="0.25">
      <c r="B44" s="37" t="s">
        <v>21</v>
      </c>
      <c r="C44" s="37"/>
      <c r="D44" s="37"/>
      <c r="E44" s="37"/>
      <c r="F44" s="37"/>
      <c r="G44" s="37"/>
    </row>
    <row r="47" spans="2:7" x14ac:dyDescent="0.25">
      <c r="B47" s="30" t="s">
        <v>22</v>
      </c>
      <c r="C47" s="30"/>
      <c r="D47" s="30"/>
      <c r="E47" s="30"/>
      <c r="F47" s="30"/>
      <c r="G47" s="10"/>
    </row>
    <row r="49" spans="2:6" x14ac:dyDescent="0.25">
      <c r="B49" s="30" t="s">
        <v>23</v>
      </c>
      <c r="C49" s="30"/>
      <c r="D49" s="30"/>
      <c r="E49" s="30"/>
      <c r="F49" s="30"/>
    </row>
    <row r="51" spans="2:6" x14ac:dyDescent="0.25">
      <c r="B51" s="30" t="s">
        <v>24</v>
      </c>
      <c r="C51" s="30"/>
      <c r="D51" s="30"/>
      <c r="E51" s="30"/>
      <c r="F51" s="30"/>
    </row>
  </sheetData>
  <mergeCells count="13">
    <mergeCell ref="B51:F51"/>
    <mergeCell ref="B33:F33"/>
    <mergeCell ref="B40:F40"/>
    <mergeCell ref="B41:F41"/>
    <mergeCell ref="B44:G44"/>
    <mergeCell ref="B47:F47"/>
    <mergeCell ref="B49:F49"/>
    <mergeCell ref="B26:F26"/>
    <mergeCell ref="B2:G2"/>
    <mergeCell ref="B3:G3"/>
    <mergeCell ref="B4:G4"/>
    <mergeCell ref="B12:F12"/>
    <mergeCell ref="B19:F19"/>
  </mergeCells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Faxon, Melena D CIV USARMY 413 CONTR SPT BDE (USA)</dc:creator>
  <cp:lastModifiedBy>Tonini, Travis C CIV USARMY 413 CONTR SPT BDE (USA)</cp:lastModifiedBy>
  <dcterms:created xsi:type="dcterms:W3CDTF">2025-02-04T02:15:46Z</dcterms:created>
  <dcterms:modified xsi:type="dcterms:W3CDTF">2026-04-17T01:13:04Z</dcterms:modified>
</cp:coreProperties>
</file>