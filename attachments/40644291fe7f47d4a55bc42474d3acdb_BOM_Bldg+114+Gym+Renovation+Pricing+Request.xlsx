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157349330N\Downloads\"/>
    </mc:Choice>
  </mc:AlternateContent>
  <xr:revisionPtr revIDLastSave="0" documentId="8_{684F866C-EA26-4E78-AE96-FE8CDF52AEB3}" xr6:coauthVersionLast="47" xr6:coauthVersionMax="47" xr10:uidLastSave="{00000000-0000-0000-0000-000000000000}"/>
  <bookViews>
    <workbookView xWindow="31995" yWindow="2745" windowWidth="21600" windowHeight="11145" tabRatio="587" xr2:uid="{00000000-000D-0000-FFFF-FFFF00000000}"/>
  </bookViews>
  <sheets>
    <sheet name="Bill Of Materials" sheetId="1" r:id="rId1"/>
  </sheets>
  <definedNames>
    <definedName name="_xlnm.Print_Area" localSheetId="0">'Bill Of Materials'!$E$1:$M$97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3" i="1" l="1"/>
  <c r="M71" i="1"/>
  <c r="M72" i="1" s="1"/>
  <c r="M36" i="1" l="1"/>
  <c r="M69" i="1"/>
  <c r="M68" i="1"/>
  <c r="M67" i="1"/>
  <c r="M66" i="1"/>
  <c r="M90" i="1"/>
  <c r="M89" i="1"/>
  <c r="M88" i="1"/>
  <c r="M87" i="1"/>
  <c r="M33" i="1"/>
  <c r="M32" i="1"/>
  <c r="M31" i="1"/>
  <c r="M65" i="1"/>
  <c r="M60" i="1"/>
  <c r="M59" i="1"/>
  <c r="M58" i="1"/>
  <c r="M57" i="1"/>
  <c r="M56" i="1"/>
  <c r="M55" i="1"/>
  <c r="M54" i="1"/>
  <c r="M53" i="1"/>
  <c r="M51" i="1"/>
  <c r="M44" i="1"/>
  <c r="M43" i="1"/>
  <c r="M42" i="1"/>
  <c r="M41" i="1"/>
  <c r="M39" i="1"/>
  <c r="M38" i="1"/>
  <c r="M35" i="1"/>
  <c r="M34" i="1"/>
  <c r="M30" i="1"/>
  <c r="M29" i="1"/>
  <c r="M28" i="1"/>
  <c r="M27" i="1"/>
  <c r="M25" i="1"/>
  <c r="M20" i="1"/>
  <c r="M24" i="1"/>
  <c r="M23" i="1"/>
  <c r="M19" i="1"/>
  <c r="M18" i="1"/>
  <c r="M17" i="1"/>
  <c r="M22" i="1"/>
  <c r="M16" i="1"/>
  <c r="M21" i="1"/>
  <c r="M26" i="1"/>
  <c r="M15" i="1"/>
  <c r="M14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63" i="1"/>
  <c r="M52" i="1"/>
  <c r="M50" i="1"/>
  <c r="M49" i="1"/>
  <c r="M48" i="1"/>
  <c r="M47" i="1"/>
  <c r="M46" i="1"/>
  <c r="M13" i="1"/>
  <c r="M10" i="1"/>
  <c r="M9" i="1"/>
  <c r="M8" i="1"/>
  <c r="M40" i="1"/>
  <c r="M12" i="1"/>
  <c r="M11" i="1"/>
  <c r="M7" i="1"/>
  <c r="M6" i="1"/>
  <c r="M37" i="1" l="1"/>
  <c r="M61" i="1"/>
  <c r="M91" i="1"/>
  <c r="M45" i="1"/>
  <c r="M62" i="1"/>
  <c r="M64" i="1" l="1"/>
  <c r="M70" i="1" s="1"/>
  <c r="M94" i="1" s="1"/>
</calcChain>
</file>

<file path=xl/sharedStrings.xml><?xml version="1.0" encoding="utf-8"?>
<sst xmlns="http://schemas.openxmlformats.org/spreadsheetml/2006/main" count="254" uniqueCount="118">
  <si>
    <t>#</t>
  </si>
  <si>
    <t>Item Description</t>
  </si>
  <si>
    <t>Manufacturer</t>
  </si>
  <si>
    <t>QTY (Metric)</t>
  </si>
  <si>
    <t>EA</t>
  </si>
  <si>
    <t>GAL</t>
  </si>
  <si>
    <t>QTY (Imperial)</t>
  </si>
  <si>
    <t>Units</t>
  </si>
  <si>
    <t>Unit Cost</t>
  </si>
  <si>
    <t>Total Cost</t>
  </si>
  <si>
    <t>Total</t>
  </si>
  <si>
    <t>SF</t>
  </si>
  <si>
    <t>4' x 8' x 5/8" GWB</t>
  </si>
  <si>
    <t>4' x 8' x 1/2" GWB, Water Resistant</t>
  </si>
  <si>
    <t>Walls &amp; Ceiling, Primer, One coat</t>
  </si>
  <si>
    <t>Walls &amp; Ceiling, Finish, Two coats</t>
  </si>
  <si>
    <t>Finishes, Wall, Bathroom</t>
  </si>
  <si>
    <t>Division / Location</t>
  </si>
  <si>
    <t>Joint Compound, Pre-mixed, 5-gal bucket</t>
  </si>
  <si>
    <t>Joint tape, 500' roll</t>
  </si>
  <si>
    <t>BX</t>
  </si>
  <si>
    <t xml:space="preserve">1-1/4" Drywall wood screws, 37lbs </t>
  </si>
  <si>
    <t xml:space="preserve">Taped-on Corner Bead, 10' </t>
  </si>
  <si>
    <t>Finishes, Bath</t>
  </si>
  <si>
    <t>Bathroom vanity mirror</t>
  </si>
  <si>
    <t>3-Pc Bathroom Hardware set</t>
  </si>
  <si>
    <t>Finishes, Hallway/Stretching</t>
  </si>
  <si>
    <t>Wall-hung drop in sink w/ counter</t>
  </si>
  <si>
    <t>36" Single shower drop in</t>
  </si>
  <si>
    <t>American Standard Tank Toilet</t>
  </si>
  <si>
    <t>Finishes, Doors</t>
  </si>
  <si>
    <t>36x84 interior doors w/jamb</t>
  </si>
  <si>
    <t>24" Free-standing single basin sink</t>
  </si>
  <si>
    <t>Bathroom exhaust fan</t>
  </si>
  <si>
    <t>Delta Shower Trim Kit</t>
  </si>
  <si>
    <t>Door stops</t>
  </si>
  <si>
    <t>Door closer</t>
  </si>
  <si>
    <t>24" Towel bar</t>
  </si>
  <si>
    <t>Finishes, Janitor</t>
  </si>
  <si>
    <t>36" Mop/Broom Hanger</t>
  </si>
  <si>
    <t>Finishes, bath floor</t>
  </si>
  <si>
    <t>24"x24" non-slip, matte porcelain tile</t>
  </si>
  <si>
    <t>Thin-set mortar, 50 lb bag</t>
  </si>
  <si>
    <t>Tile Grout, floor, 25 lb</t>
  </si>
  <si>
    <t>Tile Spacers, 1/8, 300 pack</t>
  </si>
  <si>
    <t xml:space="preserve">Stone Plastic Composite flooring </t>
  </si>
  <si>
    <t>Finishes, stretching floor</t>
  </si>
  <si>
    <t>Sq ft</t>
  </si>
  <si>
    <t>6 mil poly sheeting, 600 sq ft</t>
  </si>
  <si>
    <t>3/4" Sanded Plywood, 4' x 8' ACX (Sanded Face/Exterior Glue)</t>
  </si>
  <si>
    <t>Paint, two coats</t>
  </si>
  <si>
    <t>KILZ Primer, 1 coat</t>
  </si>
  <si>
    <t>Building, Exterior</t>
  </si>
  <si>
    <t>Vinyl-Faced Fiberglass Insulation</t>
  </si>
  <si>
    <t>Insulation Support Wires</t>
  </si>
  <si>
    <t>White Vinyl Seam Tape</t>
  </si>
  <si>
    <t>High-Tack Web Spray</t>
  </si>
  <si>
    <t>Open gym, walls interior</t>
  </si>
  <si>
    <t>Structural Metal Studs, 20' lengths, 6-inch 16-Gauge structural steel.</t>
  </si>
  <si>
    <t>Structural Track, 10' lengths, 6-inch 16-Gauge deep-leg track</t>
  </si>
  <si>
    <t xml:space="preserve">Corrugated Steel Siding, 17' lengths, 36" coverage </t>
  </si>
  <si>
    <t>Windows, 6' x 4' Aluminum Frame, double-pane Low-E.</t>
  </si>
  <si>
    <t>72" x 84" Hollow Metal Door (18ga) &amp; Knock-Down Frame (16ga</t>
  </si>
  <si>
    <t>2x Panic/Crash Bars, 2x Commercial Closers, Ball-bearing Hinges, Threshold, Sweeps</t>
  </si>
  <si>
    <t>LOT</t>
  </si>
  <si>
    <t>Metal Siding Trim, J-Channel (windows/doors), Base Guard, Head Flashing</t>
  </si>
  <si>
    <t>#12 or #14 x 1" Hex-head Self-Drilling Tek Screws (16ga rated</t>
  </si>
  <si>
    <t>Box</t>
  </si>
  <si>
    <t>Color-matched screws with neoprene sealing washers (1,000 ct</t>
  </si>
  <si>
    <t>Weatherproofing, Flashing tape (Zip/Tyvek), Polyurethane Sealant, expanding foam.</t>
  </si>
  <si>
    <t>RLS</t>
  </si>
  <si>
    <t>Metal Primer, Acrylic Rust-Inhibitive Metal Primer</t>
  </si>
  <si>
    <t>DTM Exterior Paint, 100% Acrylic Direct-To-Metal Exterior Paint</t>
  </si>
  <si>
    <t xml:space="preserve">Cleaning &amp; Degreasing, Heavy-duty TSP </t>
  </si>
  <si>
    <t>Masking Materials, Painter's tape, 12" and 48" masking film for windows/doors, drop cloths.</t>
  </si>
  <si>
    <t>"PRICE FITNESS CENTER" signage</t>
  </si>
  <si>
    <t>Open gym, electrical</t>
  </si>
  <si>
    <t>Finishes, floor</t>
  </si>
  <si>
    <t>Black, 4" cove base</t>
  </si>
  <si>
    <t>Stretching/Bathroom, electrical</t>
  </si>
  <si>
    <t>Bath/Stretch, Mechanical</t>
  </si>
  <si>
    <t>8" Ceiling Boot (Register Box) 8" Round entry to 12" x 12" Square face.</t>
  </si>
  <si>
    <t>8" x 8" x 8" Metal Wye Heavy-duty galvanized (for splicing into 8" lines).</t>
  </si>
  <si>
    <t>8" R-6 Insulated Flexible Duct, 8" Diameter x 25' length</t>
  </si>
  <si>
    <t>12" x 12" Supply Air Register, 4-Way Adjustable White Steel Grille</t>
  </si>
  <si>
    <t>8" Manual Volume Damper, Butterfly style</t>
  </si>
  <si>
    <t>Water-Based Duct Mastic, 1-gal</t>
  </si>
  <si>
    <t>UL 181 Foil Duct Tape 2-1/2" x 60 Yard Silver Foil Tape</t>
  </si>
  <si>
    <t>36" Heavy-Duty Nylon Ties, 50 count</t>
  </si>
  <si>
    <t>Hanger Strap (Webbing), 1-3/4" x 100'</t>
  </si>
  <si>
    <t>3" Adjustable Metal Elbows</t>
  </si>
  <si>
    <t>3" Exterior Wall Cap, White or Gray Plastic/Aluminum with backdraft damper and pest screen</t>
  </si>
  <si>
    <t>3" R-6 Insulated Flexible Duct, 25'</t>
  </si>
  <si>
    <t>3" Master Flash (Dektite), Flexible Pipe Boot for Corrugated Meta</t>
  </si>
  <si>
    <t>ft</t>
  </si>
  <si>
    <t>FT</t>
  </si>
  <si>
    <t>Misc.</t>
  </si>
  <si>
    <t>Room signage</t>
  </si>
  <si>
    <t>Open gym, Exit sign</t>
  </si>
  <si>
    <t>LED Exit Sign</t>
  </si>
  <si>
    <t>4" Square to Round Mud Ring</t>
  </si>
  <si>
    <t>Wire Nuts (Orange/Yellow)</t>
  </si>
  <si>
    <t>#8-32 x 1" Machine Screws</t>
  </si>
  <si>
    <t>#12 AWG THHN Stranded Wire - BLACK (Hot), 500'</t>
  </si>
  <si>
    <t>#12 AWG THHN Stranded Wire - WHITE (Neutral), 500'</t>
  </si>
  <si>
    <t>#12 AWG THHN Stranded Wire - GREEN (Ground), 500'</t>
  </si>
  <si>
    <t>Commercial 3-Light Vanity Fixture (Brushed Nickel/Black)</t>
  </si>
  <si>
    <t>3/4" or 7/8" Copper Tubing (Suction Line)</t>
  </si>
  <si>
    <t>3/8" Copper Tubing (Liquid Line)</t>
  </si>
  <si>
    <t>Copper Couplings (3/4" and 3/8" slip fittings)</t>
  </si>
  <si>
    <t>18/5 or 18/8 Thermostat Wire (Low voltage control wire)</t>
  </si>
  <si>
    <t>3/4" Schedule 40 PVC Pipe &amp; Fittings (For condensate drain)</t>
  </si>
  <si>
    <t>Deck Mud / Sand Topping Mix (50lb bag for 1/4" pre-slope)</t>
  </si>
  <si>
    <t>Waterproofing Membrane 108 sq. ft. Roll</t>
  </si>
  <si>
    <t>Waterproofing Seam Tape (5" x 33' Band)</t>
  </si>
  <si>
    <t>Floor repair</t>
  </si>
  <si>
    <t>High Strength Concrete, 60 lb bags</t>
  </si>
  <si>
    <t>Bldg 114 Gym- 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</si>
</sst>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Border="1" applyAlignment="1">
      <alignment vertical="center"/>
    </xf>
    <xf numFmtId="44" fontId="5" fillId="2" borderId="1" xfId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44" fontId="4" fillId="0" borderId="1" xfId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4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0" borderId="0" xfId="0" applyFont="1"/>
    <xf numFmtId="44" fontId="0" fillId="0" borderId="0" xfId="0" applyNumberFormat="1"/>
    <xf numFmtId="0" fontId="8" fillId="0" borderId="1" xfId="0" applyFont="1" applyBorder="1"/>
    <xf numFmtId="0" fontId="8" fillId="5" borderId="1" xfId="0" applyFont="1" applyFill="1" applyBorder="1" applyAlignment="1">
      <alignment vertical="top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44" fontId="4" fillId="0" borderId="4" xfId="1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8" fillId="0" borderId="3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44" fontId="4" fillId="0" borderId="1" xfId="1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44" fontId="5" fillId="2" borderId="1" xfId="1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P100"/>
  <sheetViews>
    <sheetView tabSelected="1" topLeftCell="E1" zoomScale="90" zoomScaleNormal="90" zoomScaleSheetLayoutView="85" workbookViewId="0">
      <pane xSplit="1" ySplit="5" topLeftCell="F6" activePane="bottomRight" state="frozen"/>
      <selection activeCell="E1" sqref="E1"/>
      <selection pane="topRight" activeCell="G1" sqref="G1"/>
      <selection pane="bottomLeft" activeCell="E6" sqref="E6"/>
      <selection pane="bottomRight" activeCell="H12" sqref="H12"/>
    </sheetView>
  </sheetViews>
  <sheetFormatPr defaultRowHeight="15" x14ac:dyDescent="0.25"/>
  <cols>
    <col min="5" max="5" width="4.85546875" style="1" customWidth="1"/>
    <col min="6" max="6" width="36.28515625" style="18" customWidth="1"/>
    <col min="7" max="7" width="61" style="18" customWidth="1"/>
    <col min="8" max="8" width="35.85546875" style="7" customWidth="1"/>
    <col min="9" max="9" width="13.7109375" style="2" customWidth="1"/>
    <col min="10" max="10" width="13.5703125" style="2" customWidth="1"/>
    <col min="11" max="11" width="11.85546875" style="2" customWidth="1"/>
    <col min="12" max="12" width="14.28515625" style="7" customWidth="1"/>
    <col min="13" max="13" width="21.5703125" style="7" customWidth="1"/>
  </cols>
  <sheetData>
    <row r="1" spans="5:13" ht="9.75" customHeight="1" x14ac:dyDescent="0.25">
      <c r="E1" s="29"/>
      <c r="F1" s="30"/>
      <c r="G1" s="30"/>
      <c r="H1" s="30"/>
      <c r="I1" s="30"/>
      <c r="J1" s="30"/>
      <c r="K1" s="30"/>
      <c r="L1" s="30"/>
      <c r="M1" s="30"/>
    </row>
    <row r="2" spans="5:13" ht="20.25" customHeight="1" x14ac:dyDescent="0.25">
      <c r="E2" s="33" t="s">
        <v>117</v>
      </c>
      <c r="F2" s="34"/>
      <c r="G2" s="34"/>
      <c r="H2" s="34"/>
      <c r="I2" s="34"/>
      <c r="J2" s="34"/>
      <c r="K2" s="34"/>
      <c r="L2" s="34"/>
      <c r="M2" s="34"/>
    </row>
    <row r="3" spans="5:13" ht="15" customHeight="1" x14ac:dyDescent="0.25">
      <c r="E3" s="33"/>
      <c r="F3" s="34"/>
      <c r="G3" s="34"/>
      <c r="H3" s="34"/>
      <c r="I3" s="34"/>
      <c r="J3" s="34"/>
      <c r="K3" s="34"/>
      <c r="L3" s="34"/>
      <c r="M3" s="34"/>
    </row>
    <row r="4" spans="5:13" ht="19.5" customHeight="1" x14ac:dyDescent="0.25">
      <c r="E4" s="31"/>
      <c r="F4" s="32"/>
      <c r="G4" s="32"/>
      <c r="H4" s="32"/>
      <c r="I4" s="32"/>
      <c r="J4" s="32"/>
      <c r="K4" s="32"/>
      <c r="L4" s="32"/>
      <c r="M4" s="32"/>
    </row>
    <row r="5" spans="5:13" s="2" customFormat="1" ht="16.5" customHeight="1" x14ac:dyDescent="0.25">
      <c r="E5" s="3" t="s">
        <v>0</v>
      </c>
      <c r="F5" s="3" t="s">
        <v>17</v>
      </c>
      <c r="G5" s="3" t="s">
        <v>1</v>
      </c>
      <c r="H5" s="40" t="s">
        <v>2</v>
      </c>
      <c r="I5" s="3" t="s">
        <v>3</v>
      </c>
      <c r="J5" s="3" t="s">
        <v>6</v>
      </c>
      <c r="K5" s="3" t="s">
        <v>7</v>
      </c>
      <c r="L5" s="3" t="s">
        <v>8</v>
      </c>
      <c r="M5" s="3" t="s">
        <v>9</v>
      </c>
    </row>
    <row r="6" spans="5:13" x14ac:dyDescent="0.25">
      <c r="E6" s="41">
        <v>1</v>
      </c>
      <c r="F6" s="8" t="s">
        <v>26</v>
      </c>
      <c r="G6" s="8" t="s">
        <v>12</v>
      </c>
      <c r="H6" s="42"/>
      <c r="I6" s="43"/>
      <c r="J6" s="43">
        <v>45</v>
      </c>
      <c r="K6" s="43" t="s">
        <v>4</v>
      </c>
      <c r="L6" s="44">
        <v>0</v>
      </c>
      <c r="M6" s="44">
        <f t="shared" ref="M6:M64" si="0">J6*L6</f>
        <v>0</v>
      </c>
    </row>
    <row r="7" spans="5:13" x14ac:dyDescent="0.25">
      <c r="E7" s="41">
        <v>2</v>
      </c>
      <c r="F7" s="8" t="s">
        <v>16</v>
      </c>
      <c r="G7" s="8" t="s">
        <v>13</v>
      </c>
      <c r="H7" s="42"/>
      <c r="I7" s="43"/>
      <c r="J7" s="43">
        <v>36</v>
      </c>
      <c r="K7" s="43" t="s">
        <v>4</v>
      </c>
      <c r="L7" s="44">
        <v>0</v>
      </c>
      <c r="M7" s="44">
        <f t="shared" si="0"/>
        <v>0</v>
      </c>
    </row>
    <row r="8" spans="5:13" x14ac:dyDescent="0.25">
      <c r="E8" s="41">
        <v>3</v>
      </c>
      <c r="F8" s="8" t="s">
        <v>26</v>
      </c>
      <c r="G8" s="8" t="s">
        <v>18</v>
      </c>
      <c r="H8" s="42"/>
      <c r="I8" s="43"/>
      <c r="J8" s="45">
        <v>5</v>
      </c>
      <c r="K8" s="43" t="s">
        <v>4</v>
      </c>
      <c r="L8" s="44">
        <v>0</v>
      </c>
      <c r="M8" s="44">
        <f t="shared" si="0"/>
        <v>0</v>
      </c>
    </row>
    <row r="9" spans="5:13" x14ac:dyDescent="0.25">
      <c r="E9" s="41">
        <v>4</v>
      </c>
      <c r="F9" s="8" t="s">
        <v>26</v>
      </c>
      <c r="G9" s="8" t="s">
        <v>19</v>
      </c>
      <c r="H9" s="42"/>
      <c r="I9" s="43"/>
      <c r="J9" s="45">
        <v>4</v>
      </c>
      <c r="K9" s="43" t="s">
        <v>4</v>
      </c>
      <c r="L9" s="44">
        <v>0</v>
      </c>
      <c r="M9" s="44">
        <f t="shared" si="0"/>
        <v>0</v>
      </c>
    </row>
    <row r="10" spans="5:13" x14ac:dyDescent="0.25">
      <c r="E10" s="41">
        <v>5</v>
      </c>
      <c r="F10" s="8" t="s">
        <v>26</v>
      </c>
      <c r="G10" s="8" t="s">
        <v>21</v>
      </c>
      <c r="H10" s="42"/>
      <c r="I10" s="43"/>
      <c r="J10" s="45">
        <v>1</v>
      </c>
      <c r="K10" s="43" t="s">
        <v>20</v>
      </c>
      <c r="L10" s="44">
        <v>0</v>
      </c>
      <c r="M10" s="44">
        <f t="shared" si="0"/>
        <v>0</v>
      </c>
    </row>
    <row r="11" spans="5:13" x14ac:dyDescent="0.25">
      <c r="E11" s="41">
        <v>6</v>
      </c>
      <c r="F11" s="8" t="s">
        <v>26</v>
      </c>
      <c r="G11" s="8" t="s">
        <v>14</v>
      </c>
      <c r="H11" s="42"/>
      <c r="I11" s="43"/>
      <c r="J11" s="43">
        <v>12</v>
      </c>
      <c r="K11" s="43" t="s">
        <v>5</v>
      </c>
      <c r="L11" s="44">
        <v>0</v>
      </c>
      <c r="M11" s="44">
        <f t="shared" si="0"/>
        <v>0</v>
      </c>
    </row>
    <row r="12" spans="5:13" x14ac:dyDescent="0.25">
      <c r="E12" s="41">
        <v>7</v>
      </c>
      <c r="F12" s="8" t="s">
        <v>26</v>
      </c>
      <c r="G12" s="12" t="s">
        <v>15</v>
      </c>
      <c r="H12" s="42"/>
      <c r="I12" s="43"/>
      <c r="J12" s="43">
        <v>15</v>
      </c>
      <c r="K12" s="43" t="s">
        <v>5</v>
      </c>
      <c r="L12" s="44">
        <v>0</v>
      </c>
      <c r="M12" s="44">
        <f t="shared" si="0"/>
        <v>0</v>
      </c>
    </row>
    <row r="13" spans="5:13" x14ac:dyDescent="0.25">
      <c r="E13" s="41">
        <v>8</v>
      </c>
      <c r="F13" s="8" t="s">
        <v>23</v>
      </c>
      <c r="G13" s="12" t="s">
        <v>22</v>
      </c>
      <c r="H13" s="42"/>
      <c r="I13" s="43"/>
      <c r="J13" s="43">
        <v>26</v>
      </c>
      <c r="K13" s="43" t="s">
        <v>4</v>
      </c>
      <c r="L13" s="44">
        <v>0</v>
      </c>
      <c r="M13" s="44">
        <f t="shared" si="0"/>
        <v>0</v>
      </c>
    </row>
    <row r="14" spans="5:13" x14ac:dyDescent="0.25">
      <c r="E14" s="41">
        <v>9</v>
      </c>
      <c r="F14" s="8" t="s">
        <v>23</v>
      </c>
      <c r="G14" s="12" t="s">
        <v>27</v>
      </c>
      <c r="H14" s="42"/>
      <c r="I14" s="43"/>
      <c r="J14" s="43">
        <v>3</v>
      </c>
      <c r="K14" s="43" t="s">
        <v>4</v>
      </c>
      <c r="L14" s="44">
        <v>0</v>
      </c>
      <c r="M14" s="44">
        <f t="shared" si="0"/>
        <v>0</v>
      </c>
    </row>
    <row r="15" spans="5:13" x14ac:dyDescent="0.25">
      <c r="E15" s="41">
        <v>10</v>
      </c>
      <c r="F15" s="8" t="s">
        <v>23</v>
      </c>
      <c r="G15" s="12" t="s">
        <v>24</v>
      </c>
      <c r="H15" s="42"/>
      <c r="I15" s="43"/>
      <c r="J15" s="43">
        <v>3</v>
      </c>
      <c r="K15" s="43" t="s">
        <v>4</v>
      </c>
      <c r="L15" s="44">
        <v>0</v>
      </c>
      <c r="M15" s="44">
        <f t="shared" si="0"/>
        <v>0</v>
      </c>
    </row>
    <row r="16" spans="5:13" x14ac:dyDescent="0.25">
      <c r="E16" s="41">
        <v>11</v>
      </c>
      <c r="F16" s="8" t="s">
        <v>23</v>
      </c>
      <c r="G16" s="12" t="s">
        <v>29</v>
      </c>
      <c r="H16" s="42"/>
      <c r="I16" s="43"/>
      <c r="J16" s="43">
        <v>3</v>
      </c>
      <c r="K16" s="43" t="s">
        <v>4</v>
      </c>
      <c r="L16" s="44">
        <v>0</v>
      </c>
      <c r="M16" s="44">
        <f t="shared" si="0"/>
        <v>0</v>
      </c>
    </row>
    <row r="17" spans="5:13" x14ac:dyDescent="0.25">
      <c r="E17" s="41">
        <v>12</v>
      </c>
      <c r="F17" s="8" t="s">
        <v>38</v>
      </c>
      <c r="G17" s="12" t="s">
        <v>32</v>
      </c>
      <c r="H17" s="42"/>
      <c r="I17" s="43"/>
      <c r="J17" s="43">
        <v>1</v>
      </c>
      <c r="K17" s="43" t="s">
        <v>4</v>
      </c>
      <c r="L17" s="44">
        <v>0</v>
      </c>
      <c r="M17" s="44">
        <f t="shared" si="0"/>
        <v>0</v>
      </c>
    </row>
    <row r="18" spans="5:13" x14ac:dyDescent="0.25">
      <c r="E18" s="41">
        <v>13</v>
      </c>
      <c r="F18" s="8" t="s">
        <v>23</v>
      </c>
      <c r="G18" s="12" t="s">
        <v>33</v>
      </c>
      <c r="H18" s="42"/>
      <c r="I18" s="43"/>
      <c r="J18" s="43">
        <v>3</v>
      </c>
      <c r="K18" s="43" t="s">
        <v>4</v>
      </c>
      <c r="L18" s="44">
        <v>0</v>
      </c>
      <c r="M18" s="44">
        <f t="shared" si="0"/>
        <v>0</v>
      </c>
    </row>
    <row r="19" spans="5:13" x14ac:dyDescent="0.25">
      <c r="E19" s="41">
        <v>14</v>
      </c>
      <c r="F19" s="8" t="s">
        <v>23</v>
      </c>
      <c r="G19" s="12" t="s">
        <v>34</v>
      </c>
      <c r="H19" s="42"/>
      <c r="I19" s="43"/>
      <c r="J19" s="43">
        <v>3</v>
      </c>
      <c r="K19" s="43" t="s">
        <v>4</v>
      </c>
      <c r="L19" s="44">
        <v>0</v>
      </c>
      <c r="M19" s="44">
        <f t="shared" si="0"/>
        <v>0</v>
      </c>
    </row>
    <row r="20" spans="5:13" x14ac:dyDescent="0.25">
      <c r="E20" s="41">
        <v>15</v>
      </c>
      <c r="F20" s="8" t="s">
        <v>23</v>
      </c>
      <c r="G20" s="12" t="s">
        <v>37</v>
      </c>
      <c r="H20" s="42"/>
      <c r="I20" s="43"/>
      <c r="J20" s="43">
        <v>3</v>
      </c>
      <c r="K20" s="43" t="s">
        <v>4</v>
      </c>
      <c r="L20" s="44">
        <v>0</v>
      </c>
      <c r="M20" s="44">
        <f t="shared" si="0"/>
        <v>0</v>
      </c>
    </row>
    <row r="21" spans="5:13" x14ac:dyDescent="0.25">
      <c r="E21" s="41">
        <v>16</v>
      </c>
      <c r="F21" s="8" t="s">
        <v>23</v>
      </c>
      <c r="G21" s="12" t="s">
        <v>28</v>
      </c>
      <c r="H21" s="42"/>
      <c r="I21" s="43"/>
      <c r="J21" s="43">
        <v>3</v>
      </c>
      <c r="K21" s="43" t="s">
        <v>4</v>
      </c>
      <c r="L21" s="44">
        <v>0</v>
      </c>
      <c r="M21" s="44">
        <f t="shared" si="0"/>
        <v>0</v>
      </c>
    </row>
    <row r="22" spans="5:13" x14ac:dyDescent="0.25">
      <c r="E22" s="41">
        <v>17</v>
      </c>
      <c r="F22" s="8" t="s">
        <v>30</v>
      </c>
      <c r="G22" s="12" t="s">
        <v>31</v>
      </c>
      <c r="H22" s="42"/>
      <c r="I22" s="43"/>
      <c r="J22" s="43">
        <v>7</v>
      </c>
      <c r="K22" s="43" t="s">
        <v>4</v>
      </c>
      <c r="L22" s="44">
        <v>0</v>
      </c>
      <c r="M22" s="44">
        <f t="shared" si="0"/>
        <v>0</v>
      </c>
    </row>
    <row r="23" spans="5:13" x14ac:dyDescent="0.25">
      <c r="E23" s="41">
        <v>18</v>
      </c>
      <c r="F23" s="8" t="s">
        <v>30</v>
      </c>
      <c r="G23" s="12" t="s">
        <v>35</v>
      </c>
      <c r="H23" s="42"/>
      <c r="I23" s="43"/>
      <c r="J23" s="43">
        <v>7</v>
      </c>
      <c r="K23" s="43" t="s">
        <v>4</v>
      </c>
      <c r="L23" s="44">
        <v>0</v>
      </c>
      <c r="M23" s="44">
        <f t="shared" si="0"/>
        <v>0</v>
      </c>
    </row>
    <row r="24" spans="5:13" x14ac:dyDescent="0.25">
      <c r="E24" s="41">
        <v>19</v>
      </c>
      <c r="F24" s="8" t="s">
        <v>30</v>
      </c>
      <c r="G24" s="12" t="s">
        <v>36</v>
      </c>
      <c r="H24" s="42"/>
      <c r="I24" s="43"/>
      <c r="J24" s="43">
        <v>5</v>
      </c>
      <c r="K24" s="43" t="s">
        <v>4</v>
      </c>
      <c r="L24" s="44">
        <v>0</v>
      </c>
      <c r="M24" s="44">
        <f t="shared" si="0"/>
        <v>0</v>
      </c>
    </row>
    <row r="25" spans="5:13" x14ac:dyDescent="0.25">
      <c r="E25" s="41">
        <v>20</v>
      </c>
      <c r="F25" s="8" t="s">
        <v>38</v>
      </c>
      <c r="G25" s="12" t="s">
        <v>39</v>
      </c>
      <c r="H25" s="42"/>
      <c r="I25" s="43"/>
      <c r="J25" s="43">
        <v>1</v>
      </c>
      <c r="K25" s="43" t="s">
        <v>4</v>
      </c>
      <c r="L25" s="44">
        <v>0</v>
      </c>
      <c r="M25" s="44">
        <f t="shared" si="0"/>
        <v>0</v>
      </c>
    </row>
    <row r="26" spans="5:13" x14ac:dyDescent="0.25">
      <c r="E26" s="41">
        <v>21</v>
      </c>
      <c r="F26" s="8" t="s">
        <v>23</v>
      </c>
      <c r="G26" s="12" t="s">
        <v>25</v>
      </c>
      <c r="H26" s="42"/>
      <c r="I26" s="43"/>
      <c r="J26" s="43">
        <v>3</v>
      </c>
      <c r="K26" s="43" t="s">
        <v>4</v>
      </c>
      <c r="L26" s="44">
        <v>0</v>
      </c>
      <c r="M26" s="44">
        <f t="shared" si="0"/>
        <v>0</v>
      </c>
    </row>
    <row r="27" spans="5:13" x14ac:dyDescent="0.25">
      <c r="E27" s="41">
        <v>22</v>
      </c>
      <c r="F27" s="8" t="s">
        <v>40</v>
      </c>
      <c r="G27" s="12" t="s">
        <v>41</v>
      </c>
      <c r="H27" s="42"/>
      <c r="I27" s="43"/>
      <c r="J27" s="43">
        <v>100</v>
      </c>
      <c r="K27" s="43" t="s">
        <v>4</v>
      </c>
      <c r="L27" s="44">
        <v>0</v>
      </c>
      <c r="M27" s="44">
        <f t="shared" si="0"/>
        <v>0</v>
      </c>
    </row>
    <row r="28" spans="5:13" x14ac:dyDescent="0.25">
      <c r="E28" s="41">
        <v>23</v>
      </c>
      <c r="F28" s="8" t="s">
        <v>40</v>
      </c>
      <c r="G28" s="12" t="s">
        <v>42</v>
      </c>
      <c r="H28" s="42"/>
      <c r="I28" s="43"/>
      <c r="J28" s="43">
        <v>6</v>
      </c>
      <c r="K28" s="43" t="s">
        <v>4</v>
      </c>
      <c r="L28" s="44">
        <v>0</v>
      </c>
      <c r="M28" s="44">
        <f t="shared" si="0"/>
        <v>0</v>
      </c>
    </row>
    <row r="29" spans="5:13" x14ac:dyDescent="0.25">
      <c r="E29" s="41">
        <v>24</v>
      </c>
      <c r="F29" s="8" t="s">
        <v>40</v>
      </c>
      <c r="G29" s="12" t="s">
        <v>43</v>
      </c>
      <c r="H29" s="42"/>
      <c r="I29" s="43"/>
      <c r="J29" s="43">
        <v>6</v>
      </c>
      <c r="K29" s="43" t="s">
        <v>4</v>
      </c>
      <c r="L29" s="44">
        <v>0</v>
      </c>
      <c r="M29" s="44">
        <f t="shared" si="0"/>
        <v>0</v>
      </c>
    </row>
    <row r="30" spans="5:13" x14ac:dyDescent="0.25">
      <c r="E30" s="41">
        <v>25</v>
      </c>
      <c r="F30" s="8" t="s">
        <v>40</v>
      </c>
      <c r="G30" s="12" t="s">
        <v>44</v>
      </c>
      <c r="H30" s="42"/>
      <c r="I30" s="43"/>
      <c r="J30" s="43">
        <v>2</v>
      </c>
      <c r="K30" s="43" t="s">
        <v>4</v>
      </c>
      <c r="L30" s="44">
        <v>0</v>
      </c>
      <c r="M30" s="44">
        <f t="shared" si="0"/>
        <v>0</v>
      </c>
    </row>
    <row r="31" spans="5:13" x14ac:dyDescent="0.25">
      <c r="E31" s="41">
        <v>26</v>
      </c>
      <c r="F31" s="8" t="s">
        <v>40</v>
      </c>
      <c r="G31" s="46" t="s">
        <v>112</v>
      </c>
      <c r="H31" s="42"/>
      <c r="I31" s="43"/>
      <c r="J31" s="43">
        <v>10</v>
      </c>
      <c r="K31" s="43" t="s">
        <v>4</v>
      </c>
      <c r="L31" s="44">
        <v>0</v>
      </c>
      <c r="M31" s="44">
        <f t="shared" si="0"/>
        <v>0</v>
      </c>
    </row>
    <row r="32" spans="5:13" x14ac:dyDescent="0.25">
      <c r="E32" s="41">
        <v>27</v>
      </c>
      <c r="F32" s="8" t="s">
        <v>40</v>
      </c>
      <c r="G32" s="46" t="s">
        <v>113</v>
      </c>
      <c r="H32" s="42"/>
      <c r="I32" s="43"/>
      <c r="J32" s="43">
        <v>2</v>
      </c>
      <c r="K32" s="43" t="s">
        <v>4</v>
      </c>
      <c r="L32" s="44">
        <v>0</v>
      </c>
      <c r="M32" s="44">
        <f t="shared" si="0"/>
        <v>0</v>
      </c>
    </row>
    <row r="33" spans="5:15" x14ac:dyDescent="0.25">
      <c r="E33" s="41">
        <v>28</v>
      </c>
      <c r="F33" s="8" t="s">
        <v>40</v>
      </c>
      <c r="G33" s="46" t="s">
        <v>114</v>
      </c>
      <c r="H33" s="42"/>
      <c r="I33" s="43"/>
      <c r="J33" s="43">
        <v>2</v>
      </c>
      <c r="K33" s="43" t="s">
        <v>4</v>
      </c>
      <c r="L33" s="44">
        <v>0</v>
      </c>
      <c r="M33" s="44">
        <f t="shared" si="0"/>
        <v>0</v>
      </c>
    </row>
    <row r="34" spans="5:15" x14ac:dyDescent="0.25">
      <c r="E34" s="41">
        <v>29</v>
      </c>
      <c r="F34" s="8" t="s">
        <v>46</v>
      </c>
      <c r="G34" s="12" t="s">
        <v>45</v>
      </c>
      <c r="H34" s="42"/>
      <c r="I34" s="43"/>
      <c r="J34" s="43">
        <v>360</v>
      </c>
      <c r="K34" s="43" t="s">
        <v>47</v>
      </c>
      <c r="L34" s="44">
        <v>0</v>
      </c>
      <c r="M34" s="44">
        <f t="shared" si="0"/>
        <v>0</v>
      </c>
    </row>
    <row r="35" spans="5:15" x14ac:dyDescent="0.25">
      <c r="E35" s="41">
        <v>30</v>
      </c>
      <c r="F35" s="8" t="s">
        <v>46</v>
      </c>
      <c r="G35" s="47" t="s">
        <v>48</v>
      </c>
      <c r="H35" s="42"/>
      <c r="I35" s="43"/>
      <c r="J35" s="43">
        <v>1</v>
      </c>
      <c r="K35" s="43" t="s">
        <v>4</v>
      </c>
      <c r="L35" s="44">
        <v>0</v>
      </c>
      <c r="M35" s="44">
        <f t="shared" si="0"/>
        <v>0</v>
      </c>
    </row>
    <row r="36" spans="5:15" x14ac:dyDescent="0.25">
      <c r="E36" s="41">
        <v>31</v>
      </c>
      <c r="F36" s="8" t="s">
        <v>77</v>
      </c>
      <c r="G36" s="47" t="s">
        <v>78</v>
      </c>
      <c r="H36" s="42"/>
      <c r="I36" s="43"/>
      <c r="J36" s="43">
        <v>3</v>
      </c>
      <c r="K36" s="43" t="s">
        <v>4</v>
      </c>
      <c r="L36" s="44">
        <v>0</v>
      </c>
      <c r="M36" s="44">
        <f t="shared" si="0"/>
        <v>0</v>
      </c>
    </row>
    <row r="37" spans="5:15" x14ac:dyDescent="0.25">
      <c r="E37" s="48"/>
      <c r="F37" s="49"/>
      <c r="G37" s="49"/>
      <c r="H37" s="49"/>
      <c r="I37" s="49"/>
      <c r="J37" s="49"/>
      <c r="K37" s="49"/>
      <c r="L37" s="50"/>
      <c r="M37" s="51">
        <f>SUM(M6:M36)</f>
        <v>0</v>
      </c>
      <c r="O37" s="20"/>
    </row>
    <row r="38" spans="5:15" x14ac:dyDescent="0.25">
      <c r="E38" s="41">
        <v>34</v>
      </c>
      <c r="F38" s="19" t="s">
        <v>57</v>
      </c>
      <c r="G38" s="46" t="s">
        <v>49</v>
      </c>
      <c r="H38" s="42"/>
      <c r="I38" s="43"/>
      <c r="J38" s="43">
        <v>50</v>
      </c>
      <c r="K38" s="43" t="s">
        <v>4</v>
      </c>
      <c r="L38" s="44">
        <v>0</v>
      </c>
      <c r="M38" s="44">
        <f t="shared" ref="M38:M44" si="1">J38*L38</f>
        <v>0</v>
      </c>
    </row>
    <row r="39" spans="5:15" x14ac:dyDescent="0.25">
      <c r="E39" s="41">
        <v>38</v>
      </c>
      <c r="F39" s="19" t="s">
        <v>57</v>
      </c>
      <c r="G39" s="46" t="s">
        <v>51</v>
      </c>
      <c r="H39" s="42"/>
      <c r="I39" s="43"/>
      <c r="J39" s="43">
        <v>6</v>
      </c>
      <c r="K39" s="43" t="s">
        <v>5</v>
      </c>
      <c r="L39" s="44">
        <v>0</v>
      </c>
      <c r="M39" s="44">
        <f t="shared" si="1"/>
        <v>0</v>
      </c>
    </row>
    <row r="40" spans="5:15" x14ac:dyDescent="0.25">
      <c r="E40" s="41">
        <v>39</v>
      </c>
      <c r="F40" s="19" t="s">
        <v>57</v>
      </c>
      <c r="G40" s="8" t="s">
        <v>50</v>
      </c>
      <c r="H40" s="42"/>
      <c r="I40" s="43"/>
      <c r="J40" s="43">
        <v>15</v>
      </c>
      <c r="K40" s="43" t="s">
        <v>5</v>
      </c>
      <c r="L40" s="44">
        <v>0</v>
      </c>
      <c r="M40" s="44">
        <f t="shared" si="1"/>
        <v>0</v>
      </c>
    </row>
    <row r="41" spans="5:15" x14ac:dyDescent="0.25">
      <c r="E41" s="41">
        <v>40</v>
      </c>
      <c r="F41" s="19" t="s">
        <v>57</v>
      </c>
      <c r="G41" s="46" t="s">
        <v>53</v>
      </c>
      <c r="H41" s="42"/>
      <c r="I41" s="43"/>
      <c r="J41" s="43">
        <v>2340</v>
      </c>
      <c r="K41" s="43" t="s">
        <v>11</v>
      </c>
      <c r="L41" s="44">
        <v>0</v>
      </c>
      <c r="M41" s="44">
        <f t="shared" si="1"/>
        <v>0</v>
      </c>
    </row>
    <row r="42" spans="5:15" x14ac:dyDescent="0.25">
      <c r="E42" s="41">
        <v>41</v>
      </c>
      <c r="F42" s="19" t="s">
        <v>57</v>
      </c>
      <c r="G42" s="46" t="s">
        <v>55</v>
      </c>
      <c r="H42" s="42"/>
      <c r="I42" s="43"/>
      <c r="J42" s="43">
        <v>5</v>
      </c>
      <c r="K42" s="43" t="s">
        <v>4</v>
      </c>
      <c r="L42" s="44">
        <v>0</v>
      </c>
      <c r="M42" s="44">
        <f t="shared" si="1"/>
        <v>0</v>
      </c>
    </row>
    <row r="43" spans="5:15" x14ac:dyDescent="0.25">
      <c r="E43" s="41">
        <v>42</v>
      </c>
      <c r="F43" s="19" t="s">
        <v>57</v>
      </c>
      <c r="G43" s="46" t="s">
        <v>54</v>
      </c>
      <c r="H43" s="42"/>
      <c r="I43" s="43"/>
      <c r="J43" s="43">
        <v>1200</v>
      </c>
      <c r="K43" s="43" t="s">
        <v>4</v>
      </c>
      <c r="L43" s="44">
        <v>0</v>
      </c>
      <c r="M43" s="44">
        <f t="shared" si="1"/>
        <v>0</v>
      </c>
    </row>
    <row r="44" spans="5:15" x14ac:dyDescent="0.25">
      <c r="E44" s="41">
        <v>43</v>
      </c>
      <c r="F44" s="19" t="s">
        <v>57</v>
      </c>
      <c r="G44" s="8" t="s">
        <v>56</v>
      </c>
      <c r="H44" s="42"/>
      <c r="I44" s="43"/>
      <c r="J44" s="43">
        <v>4</v>
      </c>
      <c r="K44" s="43" t="s">
        <v>4</v>
      </c>
      <c r="L44" s="44">
        <v>0</v>
      </c>
      <c r="M44" s="44">
        <f t="shared" si="1"/>
        <v>0</v>
      </c>
    </row>
    <row r="45" spans="5:15" x14ac:dyDescent="0.25">
      <c r="E45" s="52">
        <v>0</v>
      </c>
      <c r="F45" s="53"/>
      <c r="G45" s="53"/>
      <c r="H45" s="53"/>
      <c r="I45" s="53"/>
      <c r="J45" s="53"/>
      <c r="K45" s="53"/>
      <c r="L45" s="54"/>
      <c r="M45" s="51">
        <f>SUM(M38:M44)</f>
        <v>0</v>
      </c>
    </row>
    <row r="46" spans="5:15" ht="30" x14ac:dyDescent="0.25">
      <c r="E46" s="41">
        <v>45</v>
      </c>
      <c r="F46" s="8" t="s">
        <v>52</v>
      </c>
      <c r="G46" s="46" t="s">
        <v>58</v>
      </c>
      <c r="H46" s="42"/>
      <c r="I46" s="43"/>
      <c r="J46" s="43">
        <v>50</v>
      </c>
      <c r="K46" s="43" t="s">
        <v>4</v>
      </c>
      <c r="L46" s="44">
        <v>0</v>
      </c>
      <c r="M46" s="44">
        <f t="shared" si="0"/>
        <v>0</v>
      </c>
    </row>
    <row r="47" spans="5:15" x14ac:dyDescent="0.25">
      <c r="E47" s="41">
        <v>46</v>
      </c>
      <c r="F47" s="8" t="s">
        <v>52</v>
      </c>
      <c r="G47" s="46" t="s">
        <v>59</v>
      </c>
      <c r="H47" s="42"/>
      <c r="I47" s="43"/>
      <c r="J47" s="43">
        <v>12</v>
      </c>
      <c r="K47" s="43" t="s">
        <v>4</v>
      </c>
      <c r="L47" s="44">
        <v>0</v>
      </c>
      <c r="M47" s="44">
        <f t="shared" si="0"/>
        <v>0</v>
      </c>
    </row>
    <row r="48" spans="5:15" x14ac:dyDescent="0.25">
      <c r="E48" s="41">
        <v>47</v>
      </c>
      <c r="F48" s="8" t="s">
        <v>52</v>
      </c>
      <c r="G48" s="46" t="s">
        <v>60</v>
      </c>
      <c r="H48" s="42"/>
      <c r="I48" s="43"/>
      <c r="J48" s="43">
        <v>14</v>
      </c>
      <c r="K48" s="43" t="s">
        <v>4</v>
      </c>
      <c r="L48" s="44">
        <v>0</v>
      </c>
      <c r="M48" s="44">
        <f t="shared" si="0"/>
        <v>0</v>
      </c>
    </row>
    <row r="49" spans="5:13" x14ac:dyDescent="0.25">
      <c r="E49" s="41">
        <v>48</v>
      </c>
      <c r="F49" s="8" t="s">
        <v>52</v>
      </c>
      <c r="G49" s="8" t="s">
        <v>61</v>
      </c>
      <c r="H49" s="42"/>
      <c r="I49" s="43"/>
      <c r="J49" s="43">
        <v>2</v>
      </c>
      <c r="K49" s="43" t="s">
        <v>4</v>
      </c>
      <c r="L49" s="44">
        <v>0</v>
      </c>
      <c r="M49" s="44">
        <f t="shared" si="0"/>
        <v>0</v>
      </c>
    </row>
    <row r="50" spans="5:13" x14ac:dyDescent="0.25">
      <c r="E50" s="41">
        <v>49</v>
      </c>
      <c r="F50" s="8" t="s">
        <v>52</v>
      </c>
      <c r="G50" s="46" t="s">
        <v>62</v>
      </c>
      <c r="H50" s="42"/>
      <c r="I50" s="43"/>
      <c r="J50" s="43">
        <v>1</v>
      </c>
      <c r="K50" s="43" t="s">
        <v>4</v>
      </c>
      <c r="L50" s="44">
        <v>0</v>
      </c>
      <c r="M50" s="44">
        <f t="shared" si="0"/>
        <v>0</v>
      </c>
    </row>
    <row r="51" spans="5:13" ht="30" x14ac:dyDescent="0.25">
      <c r="E51" s="41">
        <v>50</v>
      </c>
      <c r="F51" s="8" t="s">
        <v>52</v>
      </c>
      <c r="G51" s="8" t="s">
        <v>63</v>
      </c>
      <c r="H51" s="42"/>
      <c r="I51" s="43"/>
      <c r="J51" s="43">
        <v>1</v>
      </c>
      <c r="K51" s="43" t="s">
        <v>64</v>
      </c>
      <c r="L51" s="44">
        <v>0</v>
      </c>
      <c r="M51" s="44">
        <f t="shared" si="0"/>
        <v>0</v>
      </c>
    </row>
    <row r="52" spans="5:13" ht="30" x14ac:dyDescent="0.25">
      <c r="E52" s="41">
        <v>51</v>
      </c>
      <c r="F52" s="8" t="s">
        <v>52</v>
      </c>
      <c r="G52" s="23" t="s">
        <v>65</v>
      </c>
      <c r="H52" s="42"/>
      <c r="I52" s="43"/>
      <c r="J52" s="43">
        <v>1</v>
      </c>
      <c r="K52" s="43" t="s">
        <v>64</v>
      </c>
      <c r="L52" s="44">
        <v>0</v>
      </c>
      <c r="M52" s="44">
        <f t="shared" si="0"/>
        <v>0</v>
      </c>
    </row>
    <row r="53" spans="5:13" x14ac:dyDescent="0.25">
      <c r="E53" s="41">
        <v>52</v>
      </c>
      <c r="F53" s="8" t="s">
        <v>52</v>
      </c>
      <c r="G53" s="46" t="s">
        <v>66</v>
      </c>
      <c r="H53" s="42"/>
      <c r="I53" s="43"/>
      <c r="J53" s="43">
        <v>1</v>
      </c>
      <c r="K53" s="43" t="s">
        <v>67</v>
      </c>
      <c r="L53" s="44">
        <v>0</v>
      </c>
      <c r="M53" s="44">
        <f t="shared" si="0"/>
        <v>0</v>
      </c>
    </row>
    <row r="54" spans="5:13" x14ac:dyDescent="0.25">
      <c r="E54" s="41">
        <v>53</v>
      </c>
      <c r="F54" s="8" t="s">
        <v>52</v>
      </c>
      <c r="G54" s="46" t="s">
        <v>68</v>
      </c>
      <c r="H54" s="42"/>
      <c r="I54" s="43"/>
      <c r="J54" s="43">
        <v>1</v>
      </c>
      <c r="K54" s="43" t="s">
        <v>20</v>
      </c>
      <c r="L54" s="44">
        <v>0</v>
      </c>
      <c r="M54" s="44">
        <f t="shared" si="0"/>
        <v>0</v>
      </c>
    </row>
    <row r="55" spans="5:13" ht="30" x14ac:dyDescent="0.25">
      <c r="E55" s="41">
        <v>54</v>
      </c>
      <c r="F55" s="8" t="s">
        <v>52</v>
      </c>
      <c r="G55" s="8" t="s">
        <v>69</v>
      </c>
      <c r="H55" s="42"/>
      <c r="I55" s="43"/>
      <c r="J55" s="43">
        <v>5</v>
      </c>
      <c r="K55" s="43" t="s">
        <v>70</v>
      </c>
      <c r="L55" s="44">
        <v>0</v>
      </c>
      <c r="M55" s="44">
        <f t="shared" si="0"/>
        <v>0</v>
      </c>
    </row>
    <row r="56" spans="5:13" x14ac:dyDescent="0.25">
      <c r="E56" s="41">
        <v>55</v>
      </c>
      <c r="F56" s="8" t="s">
        <v>52</v>
      </c>
      <c r="G56" s="46" t="s">
        <v>71</v>
      </c>
      <c r="H56" s="42"/>
      <c r="I56" s="43"/>
      <c r="J56" s="43">
        <v>5</v>
      </c>
      <c r="K56" s="43" t="s">
        <v>4</v>
      </c>
      <c r="L56" s="44">
        <v>0</v>
      </c>
      <c r="M56" s="44">
        <f t="shared" si="0"/>
        <v>0</v>
      </c>
    </row>
    <row r="57" spans="5:13" x14ac:dyDescent="0.25">
      <c r="E57" s="41">
        <v>56</v>
      </c>
      <c r="F57" s="8" t="s">
        <v>52</v>
      </c>
      <c r="G57" s="46" t="s">
        <v>72</v>
      </c>
      <c r="H57" s="42"/>
      <c r="I57" s="43"/>
      <c r="J57" s="43">
        <v>5</v>
      </c>
      <c r="K57" s="43" t="s">
        <v>4</v>
      </c>
      <c r="L57" s="44">
        <v>0</v>
      </c>
      <c r="M57" s="44">
        <f t="shared" si="0"/>
        <v>0</v>
      </c>
    </row>
    <row r="58" spans="5:13" x14ac:dyDescent="0.25">
      <c r="E58" s="41">
        <v>57</v>
      </c>
      <c r="F58" s="8" t="s">
        <v>52</v>
      </c>
      <c r="G58" s="46" t="s">
        <v>73</v>
      </c>
      <c r="H58" s="42"/>
      <c r="I58" s="43"/>
      <c r="J58" s="43">
        <v>1</v>
      </c>
      <c r="K58" s="43" t="s">
        <v>4</v>
      </c>
      <c r="L58" s="44">
        <v>0</v>
      </c>
      <c r="M58" s="44">
        <f t="shared" si="0"/>
        <v>0</v>
      </c>
    </row>
    <row r="59" spans="5:13" ht="30" x14ac:dyDescent="0.25">
      <c r="E59" s="41">
        <v>58</v>
      </c>
      <c r="F59" s="8" t="s">
        <v>52</v>
      </c>
      <c r="G59" s="8" t="s">
        <v>74</v>
      </c>
      <c r="H59" s="42"/>
      <c r="I59" s="43"/>
      <c r="J59" s="43">
        <v>1</v>
      </c>
      <c r="K59" s="43" t="s">
        <v>64</v>
      </c>
      <c r="L59" s="44">
        <v>0</v>
      </c>
      <c r="M59" s="44">
        <f t="shared" si="0"/>
        <v>0</v>
      </c>
    </row>
    <row r="60" spans="5:13" x14ac:dyDescent="0.25">
      <c r="E60" s="4">
        <v>59</v>
      </c>
      <c r="F60" s="8" t="s">
        <v>52</v>
      </c>
      <c r="G60" s="8" t="s">
        <v>75</v>
      </c>
      <c r="H60" s="38"/>
      <c r="I60" s="9"/>
      <c r="J60" s="9">
        <v>1</v>
      </c>
      <c r="K60" s="9" t="s">
        <v>4</v>
      </c>
      <c r="L60" s="10">
        <v>0</v>
      </c>
      <c r="M60" s="10">
        <f t="shared" si="0"/>
        <v>0</v>
      </c>
    </row>
    <row r="61" spans="5:13" x14ac:dyDescent="0.25">
      <c r="E61" s="35">
        <v>0</v>
      </c>
      <c r="F61" s="36"/>
      <c r="G61" s="36"/>
      <c r="H61" s="36"/>
      <c r="I61" s="36"/>
      <c r="J61" s="36"/>
      <c r="K61" s="36"/>
      <c r="L61" s="37"/>
      <c r="M61" s="11">
        <f>SUM(M46:M60)</f>
        <v>0</v>
      </c>
    </row>
    <row r="62" spans="5:13" x14ac:dyDescent="0.25">
      <c r="E62" s="4">
        <v>66</v>
      </c>
      <c r="F62" s="8" t="s">
        <v>76</v>
      </c>
      <c r="G62" s="22" t="s">
        <v>103</v>
      </c>
      <c r="H62" s="38"/>
      <c r="I62" s="9"/>
      <c r="J62" s="9">
        <v>3</v>
      </c>
      <c r="K62" s="9" t="s">
        <v>4</v>
      </c>
      <c r="L62" s="10">
        <v>0</v>
      </c>
      <c r="M62" s="10">
        <f>J62*L62</f>
        <v>0</v>
      </c>
    </row>
    <row r="63" spans="5:13" x14ac:dyDescent="0.25">
      <c r="E63" s="4">
        <v>67</v>
      </c>
      <c r="F63" s="8" t="s">
        <v>76</v>
      </c>
      <c r="G63" s="22" t="s">
        <v>104</v>
      </c>
      <c r="H63" s="38"/>
      <c r="I63" s="9"/>
      <c r="J63" s="9">
        <v>3</v>
      </c>
      <c r="K63" s="9" t="s">
        <v>4</v>
      </c>
      <c r="L63" s="10">
        <v>0</v>
      </c>
      <c r="M63" s="10">
        <f>J63*L63</f>
        <v>0</v>
      </c>
    </row>
    <row r="64" spans="5:13" x14ac:dyDescent="0.25">
      <c r="E64" s="4">
        <v>68</v>
      </c>
      <c r="F64" s="8" t="s">
        <v>76</v>
      </c>
      <c r="G64" s="22" t="s">
        <v>105</v>
      </c>
      <c r="H64" s="38"/>
      <c r="I64" s="9"/>
      <c r="J64" s="9">
        <v>3</v>
      </c>
      <c r="K64" s="9" t="s">
        <v>4</v>
      </c>
      <c r="L64" s="10">
        <v>0</v>
      </c>
      <c r="M64" s="10">
        <f t="shared" si="0"/>
        <v>0</v>
      </c>
    </row>
    <row r="65" spans="5:13" x14ac:dyDescent="0.25">
      <c r="E65" s="4">
        <v>84</v>
      </c>
      <c r="F65" s="8" t="s">
        <v>79</v>
      </c>
      <c r="G65" s="22" t="s">
        <v>106</v>
      </c>
      <c r="H65" s="38"/>
      <c r="I65" s="9"/>
      <c r="J65" s="9">
        <v>3</v>
      </c>
      <c r="K65" s="9" t="s">
        <v>4</v>
      </c>
      <c r="L65" s="10">
        <v>0</v>
      </c>
      <c r="M65" s="10">
        <f t="shared" ref="M65:M69" si="2">J65*L65</f>
        <v>0</v>
      </c>
    </row>
    <row r="66" spans="5:13" x14ac:dyDescent="0.25">
      <c r="E66" s="4">
        <v>92</v>
      </c>
      <c r="F66" s="8" t="s">
        <v>98</v>
      </c>
      <c r="G66" s="22" t="s">
        <v>99</v>
      </c>
      <c r="H66" s="38"/>
      <c r="I66" s="9"/>
      <c r="J66" s="9">
        <v>1</v>
      </c>
      <c r="K66" s="9" t="s">
        <v>4</v>
      </c>
      <c r="L66" s="10">
        <v>0</v>
      </c>
      <c r="M66" s="10">
        <f t="shared" si="2"/>
        <v>0</v>
      </c>
    </row>
    <row r="67" spans="5:13" x14ac:dyDescent="0.25">
      <c r="E67" s="4">
        <v>93</v>
      </c>
      <c r="F67" s="8" t="s">
        <v>98</v>
      </c>
      <c r="G67" s="22" t="s">
        <v>100</v>
      </c>
      <c r="H67" s="38"/>
      <c r="I67" s="9"/>
      <c r="J67" s="9">
        <v>1</v>
      </c>
      <c r="K67" s="9" t="s">
        <v>4</v>
      </c>
      <c r="L67" s="10">
        <v>0</v>
      </c>
      <c r="M67" s="10">
        <f t="shared" si="2"/>
        <v>0</v>
      </c>
    </row>
    <row r="68" spans="5:13" x14ac:dyDescent="0.25">
      <c r="E68" s="4">
        <v>94</v>
      </c>
      <c r="F68" s="8" t="s">
        <v>98</v>
      </c>
      <c r="G68" s="22" t="s">
        <v>101</v>
      </c>
      <c r="H68" s="38"/>
      <c r="I68" s="9"/>
      <c r="J68" s="9">
        <v>3</v>
      </c>
      <c r="K68" s="9" t="s">
        <v>4</v>
      </c>
      <c r="L68" s="10">
        <v>0</v>
      </c>
      <c r="M68" s="10">
        <f t="shared" si="2"/>
        <v>0</v>
      </c>
    </row>
    <row r="69" spans="5:13" x14ac:dyDescent="0.25">
      <c r="E69" s="4">
        <v>95</v>
      </c>
      <c r="F69" s="8" t="s">
        <v>98</v>
      </c>
      <c r="G69" s="22" t="s">
        <v>102</v>
      </c>
      <c r="H69" s="38"/>
      <c r="I69" s="9"/>
      <c r="J69" s="9">
        <v>2</v>
      </c>
      <c r="K69" s="9" t="s">
        <v>4</v>
      </c>
      <c r="L69" s="10">
        <v>0</v>
      </c>
      <c r="M69" s="10">
        <f t="shared" si="2"/>
        <v>0</v>
      </c>
    </row>
    <row r="70" spans="5:13" x14ac:dyDescent="0.25">
      <c r="E70" s="35">
        <v>0</v>
      </c>
      <c r="F70" s="36"/>
      <c r="G70" s="36"/>
      <c r="H70" s="36"/>
      <c r="I70" s="36"/>
      <c r="J70" s="36"/>
      <c r="K70" s="36"/>
      <c r="L70" s="37"/>
      <c r="M70" s="11">
        <f>SUM(M62:M69)</f>
        <v>0</v>
      </c>
    </row>
    <row r="71" spans="5:13" x14ac:dyDescent="0.25">
      <c r="E71" s="27"/>
      <c r="F71" s="24" t="s">
        <v>115</v>
      </c>
      <c r="G71" s="28" t="s">
        <v>116</v>
      </c>
      <c r="H71" s="39"/>
      <c r="I71" s="25"/>
      <c r="J71" s="25">
        <v>50</v>
      </c>
      <c r="K71" s="25" t="s">
        <v>4</v>
      </c>
      <c r="L71" s="26">
        <v>0</v>
      </c>
      <c r="M71" s="10">
        <f t="shared" ref="M71" si="3">J71*L71</f>
        <v>0</v>
      </c>
    </row>
    <row r="72" spans="5:13" x14ac:dyDescent="0.25">
      <c r="E72" s="35">
        <v>0</v>
      </c>
      <c r="F72" s="36"/>
      <c r="G72" s="36"/>
      <c r="H72" s="36"/>
      <c r="I72" s="36"/>
      <c r="J72" s="36"/>
      <c r="K72" s="36"/>
      <c r="L72" s="37"/>
      <c r="M72" s="11">
        <f>SUM(M71)</f>
        <v>0</v>
      </c>
    </row>
    <row r="73" spans="5:13" x14ac:dyDescent="0.25">
      <c r="E73" s="4">
        <v>124</v>
      </c>
      <c r="F73" s="8" t="s">
        <v>80</v>
      </c>
      <c r="G73" s="46" t="s">
        <v>83</v>
      </c>
      <c r="H73" s="38"/>
      <c r="I73" s="9"/>
      <c r="J73" s="9">
        <v>3</v>
      </c>
      <c r="K73" s="9" t="s">
        <v>4</v>
      </c>
      <c r="L73" s="10">
        <v>0</v>
      </c>
      <c r="M73" s="10">
        <f t="shared" ref="M73:M90" si="4">J73*L73</f>
        <v>0</v>
      </c>
    </row>
    <row r="74" spans="5:13" ht="30" x14ac:dyDescent="0.25">
      <c r="E74" s="4">
        <v>125</v>
      </c>
      <c r="F74" s="8" t="s">
        <v>80</v>
      </c>
      <c r="G74" s="46" t="s">
        <v>82</v>
      </c>
      <c r="H74" s="38"/>
      <c r="I74" s="9"/>
      <c r="J74" s="9">
        <v>3</v>
      </c>
      <c r="K74" s="9" t="s">
        <v>4</v>
      </c>
      <c r="L74" s="10">
        <v>0</v>
      </c>
      <c r="M74" s="10">
        <f t="shared" si="4"/>
        <v>0</v>
      </c>
    </row>
    <row r="75" spans="5:13" ht="30" x14ac:dyDescent="0.25">
      <c r="E75" s="4">
        <v>126</v>
      </c>
      <c r="F75" s="8" t="s">
        <v>80</v>
      </c>
      <c r="G75" s="46" t="s">
        <v>81</v>
      </c>
      <c r="H75" s="38"/>
      <c r="I75" s="9"/>
      <c r="J75" s="9">
        <v>3</v>
      </c>
      <c r="K75" s="9" t="s">
        <v>4</v>
      </c>
      <c r="L75" s="10">
        <v>0</v>
      </c>
      <c r="M75" s="10">
        <f t="shared" si="4"/>
        <v>0</v>
      </c>
    </row>
    <row r="76" spans="5:13" x14ac:dyDescent="0.25">
      <c r="E76" s="4">
        <v>127</v>
      </c>
      <c r="F76" s="8" t="s">
        <v>80</v>
      </c>
      <c r="G76" s="46" t="s">
        <v>84</v>
      </c>
      <c r="H76" s="38"/>
      <c r="I76" s="9"/>
      <c r="J76" s="9">
        <v>3</v>
      </c>
      <c r="K76" s="9" t="s">
        <v>4</v>
      </c>
      <c r="L76" s="10">
        <v>0</v>
      </c>
      <c r="M76" s="10">
        <f t="shared" si="4"/>
        <v>0</v>
      </c>
    </row>
    <row r="77" spans="5:13" x14ac:dyDescent="0.25">
      <c r="E77" s="4">
        <v>128</v>
      </c>
      <c r="F77" s="8" t="s">
        <v>80</v>
      </c>
      <c r="G77" s="46" t="s">
        <v>85</v>
      </c>
      <c r="H77" s="38"/>
      <c r="I77" s="9"/>
      <c r="J77" s="9">
        <v>3</v>
      </c>
      <c r="K77" s="9" t="s">
        <v>4</v>
      </c>
      <c r="L77" s="10">
        <v>0</v>
      </c>
      <c r="M77" s="10">
        <f t="shared" si="4"/>
        <v>0</v>
      </c>
    </row>
    <row r="78" spans="5:13" x14ac:dyDescent="0.25">
      <c r="E78" s="4">
        <v>129</v>
      </c>
      <c r="F78" s="8" t="s">
        <v>80</v>
      </c>
      <c r="G78" s="46" t="s">
        <v>86</v>
      </c>
      <c r="H78" s="38"/>
      <c r="I78" s="9"/>
      <c r="J78" s="9">
        <v>1</v>
      </c>
      <c r="K78" s="9" t="s">
        <v>4</v>
      </c>
      <c r="L78" s="10">
        <v>0</v>
      </c>
      <c r="M78" s="10">
        <f t="shared" si="4"/>
        <v>0</v>
      </c>
    </row>
    <row r="79" spans="5:13" x14ac:dyDescent="0.25">
      <c r="E79" s="4">
        <v>130</v>
      </c>
      <c r="F79" s="8" t="s">
        <v>80</v>
      </c>
      <c r="G79" s="46" t="s">
        <v>87</v>
      </c>
      <c r="H79" s="38"/>
      <c r="I79" s="9"/>
      <c r="J79" s="9">
        <v>1</v>
      </c>
      <c r="K79" s="9" t="s">
        <v>4</v>
      </c>
      <c r="L79" s="10">
        <v>0</v>
      </c>
      <c r="M79" s="10">
        <f t="shared" si="4"/>
        <v>0</v>
      </c>
    </row>
    <row r="80" spans="5:13" x14ac:dyDescent="0.25">
      <c r="E80" s="4">
        <v>131</v>
      </c>
      <c r="F80" s="8" t="s">
        <v>80</v>
      </c>
      <c r="G80" s="46" t="s">
        <v>89</v>
      </c>
      <c r="H80" s="38"/>
      <c r="I80" s="9"/>
      <c r="J80" s="9">
        <v>1</v>
      </c>
      <c r="K80" s="9" t="s">
        <v>4</v>
      </c>
      <c r="L80" s="10">
        <v>0</v>
      </c>
      <c r="M80" s="10">
        <f t="shared" si="4"/>
        <v>0</v>
      </c>
    </row>
    <row r="81" spans="5:16" x14ac:dyDescent="0.25">
      <c r="E81" s="4">
        <v>132</v>
      </c>
      <c r="F81" s="8" t="s">
        <v>80</v>
      </c>
      <c r="G81" s="46" t="s">
        <v>88</v>
      </c>
      <c r="H81" s="38"/>
      <c r="I81" s="9"/>
      <c r="J81" s="9">
        <v>1</v>
      </c>
      <c r="K81" s="9" t="s">
        <v>4</v>
      </c>
      <c r="L81" s="10">
        <v>0</v>
      </c>
      <c r="M81" s="10">
        <f t="shared" si="4"/>
        <v>0</v>
      </c>
    </row>
    <row r="82" spans="5:16" x14ac:dyDescent="0.25">
      <c r="E82" s="4">
        <v>133</v>
      </c>
      <c r="F82" s="8" t="s">
        <v>80</v>
      </c>
      <c r="G82" s="46" t="s">
        <v>92</v>
      </c>
      <c r="H82" s="38"/>
      <c r="I82" s="9"/>
      <c r="J82" s="9">
        <v>2</v>
      </c>
      <c r="K82" s="9" t="s">
        <v>4</v>
      </c>
      <c r="L82" s="10">
        <v>0</v>
      </c>
      <c r="M82" s="10">
        <f t="shared" si="4"/>
        <v>0</v>
      </c>
      <c r="P82" s="21"/>
    </row>
    <row r="83" spans="5:16" ht="14.25" customHeight="1" x14ac:dyDescent="0.25">
      <c r="E83" s="4">
        <v>134</v>
      </c>
      <c r="F83" s="8" t="s">
        <v>80</v>
      </c>
      <c r="G83" s="46" t="s">
        <v>91</v>
      </c>
      <c r="H83" s="38"/>
      <c r="I83" s="9"/>
      <c r="J83" s="9">
        <v>3</v>
      </c>
      <c r="K83" s="9" t="s">
        <v>4</v>
      </c>
      <c r="L83" s="10">
        <v>0</v>
      </c>
      <c r="M83" s="10">
        <f t="shared" si="4"/>
        <v>0</v>
      </c>
    </row>
    <row r="84" spans="5:16" x14ac:dyDescent="0.25">
      <c r="E84" s="4">
        <v>135</v>
      </c>
      <c r="F84" s="8" t="s">
        <v>80</v>
      </c>
      <c r="G84" s="46" t="s">
        <v>93</v>
      </c>
      <c r="H84" s="38"/>
      <c r="I84" s="9"/>
      <c r="J84" s="9">
        <v>3</v>
      </c>
      <c r="K84" s="9" t="s">
        <v>4</v>
      </c>
      <c r="L84" s="10">
        <v>0</v>
      </c>
      <c r="M84" s="10">
        <f t="shared" si="4"/>
        <v>0</v>
      </c>
    </row>
    <row r="85" spans="5:16" x14ac:dyDescent="0.25">
      <c r="E85" s="4">
        <v>136</v>
      </c>
      <c r="F85" s="8" t="s">
        <v>80</v>
      </c>
      <c r="G85" s="46" t="s">
        <v>90</v>
      </c>
      <c r="H85" s="38"/>
      <c r="I85" s="9"/>
      <c r="J85" s="9">
        <v>3</v>
      </c>
      <c r="K85" s="9" t="s">
        <v>4</v>
      </c>
      <c r="L85" s="10">
        <v>0</v>
      </c>
      <c r="M85" s="10">
        <f t="shared" si="4"/>
        <v>0</v>
      </c>
    </row>
    <row r="86" spans="5:16" x14ac:dyDescent="0.25">
      <c r="E86" s="4">
        <v>137</v>
      </c>
      <c r="F86" s="8" t="s">
        <v>80</v>
      </c>
      <c r="G86" s="46" t="s">
        <v>107</v>
      </c>
      <c r="H86" s="38"/>
      <c r="I86" s="9"/>
      <c r="J86" s="9">
        <v>10</v>
      </c>
      <c r="K86" s="9" t="s">
        <v>94</v>
      </c>
      <c r="L86" s="10">
        <v>0</v>
      </c>
      <c r="M86" s="10">
        <f t="shared" si="4"/>
        <v>0</v>
      </c>
    </row>
    <row r="87" spans="5:16" x14ac:dyDescent="0.25">
      <c r="E87" s="4">
        <v>138</v>
      </c>
      <c r="F87" s="8" t="s">
        <v>80</v>
      </c>
      <c r="G87" s="46" t="s">
        <v>108</v>
      </c>
      <c r="H87" s="38"/>
      <c r="I87" s="9"/>
      <c r="J87" s="9">
        <v>10</v>
      </c>
      <c r="K87" s="9" t="s">
        <v>95</v>
      </c>
      <c r="L87" s="10">
        <v>0</v>
      </c>
      <c r="M87" s="10">
        <f t="shared" si="4"/>
        <v>0</v>
      </c>
    </row>
    <row r="88" spans="5:16" x14ac:dyDescent="0.25">
      <c r="E88" s="4">
        <v>139</v>
      </c>
      <c r="F88" s="8" t="s">
        <v>80</v>
      </c>
      <c r="G88" s="46" t="s">
        <v>109</v>
      </c>
      <c r="H88" s="38"/>
      <c r="I88" s="9"/>
      <c r="J88" s="9">
        <v>4</v>
      </c>
      <c r="K88" s="9" t="s">
        <v>4</v>
      </c>
      <c r="L88" s="10">
        <v>0</v>
      </c>
      <c r="M88" s="10">
        <f t="shared" si="4"/>
        <v>0</v>
      </c>
    </row>
    <row r="89" spans="5:16" x14ac:dyDescent="0.25">
      <c r="E89" s="4">
        <v>140</v>
      </c>
      <c r="F89" s="8" t="s">
        <v>80</v>
      </c>
      <c r="G89" s="46" t="s">
        <v>110</v>
      </c>
      <c r="H89" s="38"/>
      <c r="I89" s="9"/>
      <c r="J89" s="9">
        <v>25</v>
      </c>
      <c r="K89" s="9" t="s">
        <v>4</v>
      </c>
      <c r="L89" s="10">
        <v>0</v>
      </c>
      <c r="M89" s="10">
        <f t="shared" si="4"/>
        <v>0</v>
      </c>
    </row>
    <row r="90" spans="5:16" x14ac:dyDescent="0.25">
      <c r="E90" s="4">
        <v>141</v>
      </c>
      <c r="F90" s="8" t="s">
        <v>80</v>
      </c>
      <c r="G90" s="46" t="s">
        <v>111</v>
      </c>
      <c r="H90" s="38"/>
      <c r="I90" s="9"/>
      <c r="J90" s="9">
        <v>15</v>
      </c>
      <c r="K90" s="9" t="s">
        <v>95</v>
      </c>
      <c r="L90" s="10">
        <v>0</v>
      </c>
      <c r="M90" s="10">
        <f t="shared" si="4"/>
        <v>0</v>
      </c>
    </row>
    <row r="91" spans="5:16" x14ac:dyDescent="0.25">
      <c r="E91" s="35">
        <v>0</v>
      </c>
      <c r="F91" s="36"/>
      <c r="G91" s="36"/>
      <c r="H91" s="36"/>
      <c r="I91" s="36"/>
      <c r="J91" s="36"/>
      <c r="K91" s="36"/>
      <c r="L91" s="37"/>
      <c r="M91" s="11">
        <f>SUM(M73:M90)</f>
        <v>0</v>
      </c>
    </row>
    <row r="92" spans="5:16" x14ac:dyDescent="0.25">
      <c r="E92" s="4">
        <v>142</v>
      </c>
      <c r="F92" s="8" t="s">
        <v>96</v>
      </c>
      <c r="G92" s="19" t="s">
        <v>97</v>
      </c>
      <c r="H92" s="38"/>
      <c r="I92" s="9"/>
      <c r="J92" s="9">
        <v>1</v>
      </c>
      <c r="K92" s="9" t="s">
        <v>4</v>
      </c>
      <c r="L92" s="13">
        <v>0</v>
      </c>
      <c r="M92" s="10">
        <v>0</v>
      </c>
    </row>
    <row r="93" spans="5:16" x14ac:dyDescent="0.25">
      <c r="E93" s="35">
        <v>0</v>
      </c>
      <c r="F93" s="36"/>
      <c r="G93" s="36"/>
      <c r="H93" s="36"/>
      <c r="I93" s="36"/>
      <c r="J93" s="36"/>
      <c r="K93" s="36"/>
      <c r="L93" s="37"/>
      <c r="M93" s="11">
        <f>SUM(M92)</f>
        <v>0</v>
      </c>
    </row>
    <row r="94" spans="5:16" x14ac:dyDescent="0.25">
      <c r="E94" s="5"/>
      <c r="F94" s="14"/>
      <c r="G94" s="14"/>
      <c r="H94" s="6"/>
      <c r="I94" s="15"/>
      <c r="J94" s="15"/>
      <c r="K94" s="15"/>
      <c r="L94" s="6" t="s">
        <v>10</v>
      </c>
      <c r="M94" s="16">
        <f>SUM(M93,M91,M72,M70,M61,M45,M37)</f>
        <v>0</v>
      </c>
    </row>
    <row r="95" spans="5:16" x14ac:dyDescent="0.25">
      <c r="E95" s="5"/>
      <c r="F95" s="14"/>
      <c r="G95" s="14"/>
      <c r="H95" s="6"/>
      <c r="I95" s="15"/>
      <c r="J95" s="15"/>
      <c r="K95" s="15"/>
      <c r="L95" s="6">
        <v>0</v>
      </c>
      <c r="M95" s="17"/>
    </row>
    <row r="96" spans="5:16" x14ac:dyDescent="0.25">
      <c r="E96" s="5"/>
      <c r="F96" s="14"/>
      <c r="G96" s="14"/>
      <c r="H96" s="6"/>
      <c r="I96" s="15"/>
      <c r="J96" s="15"/>
      <c r="K96" s="15"/>
      <c r="L96" s="6"/>
      <c r="M96" s="17"/>
    </row>
    <row r="97" spans="5:13" x14ac:dyDescent="0.25">
      <c r="E97" s="5"/>
      <c r="F97" s="14"/>
      <c r="G97" s="14"/>
      <c r="H97" s="6"/>
      <c r="I97" s="15"/>
      <c r="J97" s="15"/>
      <c r="K97" s="15"/>
      <c r="L97" s="6"/>
      <c r="M97" s="6"/>
    </row>
    <row r="98" spans="5:13" x14ac:dyDescent="0.25">
      <c r="E98" s="5"/>
      <c r="F98" s="14"/>
      <c r="G98" s="14"/>
      <c r="H98" s="6"/>
      <c r="I98" s="15"/>
      <c r="J98" s="15"/>
      <c r="K98" s="15"/>
      <c r="L98" s="6"/>
      <c r="M98" s="6"/>
    </row>
    <row r="99" spans="5:13" x14ac:dyDescent="0.25">
      <c r="E99" s="5"/>
      <c r="F99" s="14"/>
      <c r="G99" s="14"/>
      <c r="H99" s="6"/>
      <c r="I99" s="15"/>
      <c r="J99" s="15"/>
      <c r="K99" s="15"/>
      <c r="L99" s="6"/>
      <c r="M99" s="6"/>
    </row>
    <row r="100" spans="5:13" x14ac:dyDescent="0.25">
      <c r="E100" s="5"/>
      <c r="F100" s="14"/>
      <c r="G100" s="14"/>
      <c r="H100" s="6"/>
      <c r="I100" s="15"/>
      <c r="J100" s="15"/>
      <c r="K100" s="15"/>
      <c r="L100" s="6"/>
      <c r="M100" s="6"/>
    </row>
  </sheetData>
  <mergeCells count="9">
    <mergeCell ref="E1:M1"/>
    <mergeCell ref="E4:M4"/>
    <mergeCell ref="E2:M3"/>
    <mergeCell ref="E93:L93"/>
    <mergeCell ref="E72:L72"/>
    <mergeCell ref="E70:L70"/>
    <mergeCell ref="E61:L61"/>
    <mergeCell ref="E45:L45"/>
    <mergeCell ref="E91:L91"/>
  </mergeCells>
  <pageMargins left="0.7" right="0.7" top="0.75" bottom="0.75" header="0.3" footer="0.3"/>
  <pageSetup scale="50" orientation="portrait" horizontalDpi="1200" verticalDpi="1200" r:id="rId1"/>
  <colBreaks count="1" manualBreakCount="1">
    <brk id="13" max="83" man="1"/>
  </colBreaks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RBI-NEIL-0418</dc:creator>
  <cp:lastModifiedBy>DUGAN, RYAN O MSgt USAF ANG 194 MSG/MSC</cp:lastModifiedBy>
  <cp:lastPrinted>2023-04-22T01:02:48Z</cp:lastPrinted>
  <dcterms:created xsi:type="dcterms:W3CDTF">2019-07-12T00:13:52Z</dcterms:created>
  <dcterms:modified xsi:type="dcterms:W3CDTF">2026-04-27T16:22:37Z</dcterms:modified>
</cp:coreProperties>
</file>