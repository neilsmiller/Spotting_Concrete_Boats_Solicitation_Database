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shelby.probert\Downloads\"/>
    </mc:Choice>
  </mc:AlternateContent>
  <xr:revisionPtr revIDLastSave="0" documentId="13_ncr:1_{3CAE8A9F-BB7A-4334-830C-15596281E92B}" xr6:coauthVersionLast="47" xr6:coauthVersionMax="47" xr10:uidLastSave="{00000000-0000-0000-0000-000000000000}"/>
  <bookViews>
    <workbookView xWindow="-108" yWindow="60" windowWidth="23256" windowHeight="12288" xr2:uid="{00000000-000D-0000-FFFF-FFFF00000000}"/>
  </bookViews>
  <sheets>
    <sheet name="INSTRUCTIONS" sheetId="9" r:id="rId1"/>
    <sheet name="SUMMARY" sheetId="7" r:id="rId2"/>
    <sheet name="Yearly Breakdown" sheetId="1" r:id="rId3"/>
    <sheet name="Parts"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7" l="1"/>
  <c r="F6" i="7"/>
  <c r="E6" i="7"/>
  <c r="D6" i="7"/>
  <c r="C6" i="7"/>
  <c r="B6" i="7"/>
  <c r="G17" i="1"/>
  <c r="J17" i="1"/>
  <c r="M17" i="1"/>
  <c r="P17" i="1"/>
  <c r="S17" i="1"/>
  <c r="S3" i="1"/>
  <c r="P3" i="1"/>
  <c r="M3" i="1"/>
  <c r="J3" i="1"/>
  <c r="G3" i="1"/>
  <c r="D3" i="1"/>
  <c r="S4" i="1"/>
  <c r="S5" i="1"/>
  <c r="S6" i="1"/>
  <c r="S7" i="1"/>
  <c r="S8" i="1"/>
  <c r="S9" i="1"/>
  <c r="S10" i="1"/>
  <c r="S11" i="1"/>
  <c r="S12" i="1"/>
  <c r="S13" i="1"/>
  <c r="S14" i="1"/>
  <c r="S15" i="1"/>
  <c r="S16" i="1"/>
  <c r="P4" i="1"/>
  <c r="P5" i="1"/>
  <c r="P6" i="1"/>
  <c r="P7" i="1"/>
  <c r="P8" i="1"/>
  <c r="P9" i="1"/>
  <c r="P10" i="1"/>
  <c r="P11" i="1"/>
  <c r="P12" i="1"/>
  <c r="P13" i="1"/>
  <c r="P14" i="1"/>
  <c r="P15" i="1"/>
  <c r="P16" i="1"/>
  <c r="M4" i="1"/>
  <c r="M5" i="1"/>
  <c r="M6" i="1"/>
  <c r="M7" i="1"/>
  <c r="M8" i="1"/>
  <c r="M9" i="1"/>
  <c r="M10" i="1"/>
  <c r="M11" i="1"/>
  <c r="M12" i="1"/>
  <c r="M13" i="1"/>
  <c r="M14" i="1"/>
  <c r="M15" i="1"/>
  <c r="M16" i="1"/>
  <c r="J4" i="1"/>
  <c r="J5" i="1"/>
  <c r="J6" i="1"/>
  <c r="J7" i="1"/>
  <c r="J8" i="1"/>
  <c r="J9" i="1"/>
  <c r="J10" i="1"/>
  <c r="J11" i="1"/>
  <c r="J12" i="1"/>
  <c r="J13" i="1"/>
  <c r="J14" i="1"/>
  <c r="J15" i="1"/>
  <c r="J16" i="1"/>
  <c r="G4" i="1"/>
  <c r="G5" i="1"/>
  <c r="G6" i="1"/>
  <c r="G7" i="1"/>
  <c r="G8" i="1"/>
  <c r="G9" i="1"/>
  <c r="G10" i="1"/>
  <c r="G11" i="1"/>
  <c r="G12" i="1"/>
  <c r="G13" i="1"/>
  <c r="G14" i="1"/>
  <c r="G15" i="1"/>
  <c r="G16" i="1"/>
  <c r="D17" i="1"/>
  <c r="D4" i="1"/>
  <c r="D5" i="1"/>
  <c r="D6" i="1"/>
  <c r="D7" i="1"/>
  <c r="D8" i="1"/>
  <c r="D9" i="1"/>
  <c r="D10" i="1"/>
  <c r="D11" i="1"/>
  <c r="D12" i="1"/>
  <c r="D13" i="1"/>
  <c r="D14" i="1"/>
  <c r="D15" i="1"/>
  <c r="D16" i="1"/>
</calcChain>
</file>

<file path=xl/sharedStrings.xml><?xml version="1.0" encoding="utf-8"?>
<sst xmlns="http://schemas.openxmlformats.org/spreadsheetml/2006/main" count="100" uniqueCount="52">
  <si>
    <t>Hourly Rate</t>
  </si>
  <si>
    <t xml:space="preserve">Total </t>
  </si>
  <si>
    <t xml:space="preserve">Field Management/Senior Systems Specialists Straight Time - Onshore HR </t>
  </si>
  <si>
    <t xml:space="preserve">Field Management/Senior Systems Specialists Overtime - Onshore HR </t>
  </si>
  <si>
    <t xml:space="preserve">Field Management/Senior Systems Specialists Straight Time - Offshore HR </t>
  </si>
  <si>
    <t xml:space="preserve">Field Management/Senior Systems Specialists Overtime - Offshore HR </t>
  </si>
  <si>
    <t xml:space="preserve">Systems Specialists Straight Time - Onshore HR </t>
  </si>
  <si>
    <t xml:space="preserve">Systems Specialists Overtime - Onshore HR </t>
  </si>
  <si>
    <t xml:space="preserve">Systems Specialists Straight Time - Offshore HR </t>
  </si>
  <si>
    <t xml:space="preserve">Systems Specialists Overtime - Offshore HR </t>
  </si>
  <si>
    <t xml:space="preserve">Field Services and Commissioning Engr Straight Time - Onshore HR </t>
  </si>
  <si>
    <t xml:space="preserve">Field Services and Commissioning Engr Overtime - Onshore HR </t>
  </si>
  <si>
    <t xml:space="preserve">Field Services and Commissioning Engr Straight Time - Offshore HR </t>
  </si>
  <si>
    <t xml:space="preserve">Field Services and Commissioning Engr Overtime - Offshore HR </t>
  </si>
  <si>
    <t>Material</t>
  </si>
  <si>
    <t>Travel</t>
  </si>
  <si>
    <t xml:space="preserve">Subcontractor #1 (Rigging, Outside Machinist) Support </t>
  </si>
  <si>
    <t xml:space="preserve">Subcontractor #2 (Electrical, Cleaning &amp; Inspection) Support </t>
  </si>
  <si>
    <t>Shore Based Training</t>
  </si>
  <si>
    <t>TOTAL LABOR</t>
  </si>
  <si>
    <t>ANNUAL CONTRACT VALUE SUMMARY SHEET</t>
  </si>
  <si>
    <t>Year 1</t>
  </si>
  <si>
    <t>Year 2</t>
  </si>
  <si>
    <t>Year 3</t>
  </si>
  <si>
    <t>Year 4</t>
  </si>
  <si>
    <t>Year 5</t>
  </si>
  <si>
    <t>$______________</t>
  </si>
  <si>
    <t xml:space="preserve">Labor Category </t>
  </si>
  <si>
    <t xml:space="preserve">Estimated Hours </t>
  </si>
  <si>
    <t>YEAR 1</t>
  </si>
  <si>
    <t>YEAR 2</t>
  </si>
  <si>
    <t>YEAR 3</t>
  </si>
  <si>
    <t>YEAR 4</t>
  </si>
  <si>
    <t>YEAR 5</t>
  </si>
  <si>
    <t xml:space="preserve">Part Number </t>
  </si>
  <si>
    <t>Estimated QTY</t>
  </si>
  <si>
    <t xml:space="preserve">Unit Price </t>
  </si>
  <si>
    <t>Extended Price</t>
  </si>
  <si>
    <t xml:space="preserve">Offeror shall complete all sections of the rate table. </t>
  </si>
  <si>
    <r>
      <rPr>
        <b/>
        <u/>
        <sz val="11"/>
        <color theme="1"/>
        <rFont val="Calibri"/>
        <family val="2"/>
        <scheme val="minor"/>
      </rPr>
      <t>PARTS Tab:</t>
    </r>
    <r>
      <rPr>
        <sz val="11"/>
        <color theme="1"/>
        <rFont val="Calibri"/>
        <family val="2"/>
        <scheme val="minor"/>
      </rPr>
      <t xml:space="preserve"> Offeror shall provide an exhaustive list of parts which may be ordered throughout the life of the resulting IDIQ. Estimated quantities, unit prices, and extended pricing shall also be provided for these parts. </t>
    </r>
  </si>
  <si>
    <t>Six-Month Option</t>
  </si>
  <si>
    <t xml:space="preserve">Total Evaluated Contract Value for Year 1-5 and 6-month Option = </t>
  </si>
  <si>
    <t xml:space="preserve">TOTAL = </t>
  </si>
  <si>
    <t xml:space="preserve">Labor </t>
  </si>
  <si>
    <t xml:space="preserve">Material/Parts </t>
  </si>
  <si>
    <t xml:space="preserve">Training </t>
  </si>
  <si>
    <t xml:space="preserve">Travel </t>
  </si>
  <si>
    <r>
      <t>SUMMARY Tab:</t>
    </r>
    <r>
      <rPr>
        <b/>
        <sz val="11"/>
        <color theme="1"/>
        <rFont val="Calibri"/>
        <family val="2"/>
        <scheme val="minor"/>
      </rPr>
      <t xml:space="preserve"> </t>
    </r>
    <r>
      <rPr>
        <sz val="11"/>
        <color theme="1"/>
        <rFont val="Calibri"/>
        <family val="2"/>
        <scheme val="minor"/>
      </rPr>
      <t xml:space="preserve">Offeror shall ensure that this tab summarizes all proposed prices, as reflected on the "Yearly Breakdown" and "Parts" tabs of the spreadsheet. This tab shall represent the total proposed contract value for years 1-5 and the six-month option. </t>
    </r>
  </si>
  <si>
    <r>
      <t>Yearly Breakdown Tab:</t>
    </r>
    <r>
      <rPr>
        <sz val="11"/>
        <color theme="1"/>
        <rFont val="Calibri"/>
        <family val="2"/>
        <scheme val="minor"/>
      </rPr>
      <t xml:space="preserve"> Offeror shall provide proposed labor hourly rates along with proposed total material and training prices for years 1-5 and the six-month option. Estimated labor hours and travel price have been provided, but the offeror may modify these estimates. </t>
    </r>
  </si>
  <si>
    <t xml:space="preserve">Part Description </t>
  </si>
  <si>
    <t xml:space="preserve">Manufacturer Part Number / Description </t>
  </si>
  <si>
    <t xml:space="preserve">Manufacturer's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</si>
</sst>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4" x14ac:knownFonts="1">
    <font>
      <sz val="11"/>
      <color theme="1"/>
      <name val="Calibri"/>
      <family val="2"/>
      <scheme val="minor"/>
    </font>
    <font>
      <b/>
      <sz val="11"/>
      <color theme="1"/>
      <name val="Calibri"/>
      <family val="2"/>
      <scheme val="minor"/>
    </font>
    <font>
      <b/>
      <u/>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3" tint="0.79998168889431442"/>
        <bgColor indexed="64"/>
      </patternFill>
    </fill>
    <fill>
      <patternFill patternType="solid">
        <fgColor theme="3" tint="0.39997558519241921"/>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indexed="64"/>
      </bottom>
      <diagonal/>
    </border>
    <border>
      <left/>
      <right style="thin">
        <color auto="1"/>
      </right>
      <top/>
      <bottom style="thin">
        <color indexed="64"/>
      </bottom>
      <diagonal/>
    </border>
    <border>
      <left/>
      <right/>
      <top/>
      <bottom style="thin">
        <color auto="1"/>
      </bottom>
      <diagonal/>
    </border>
    <border>
      <left/>
      <right/>
      <top style="thin">
        <color auto="1"/>
      </top>
      <bottom style="thin">
        <color auto="1"/>
      </bottom>
      <diagonal/>
    </border>
  </borders>
  <cellStyleXfs count="2">
    <xf numFmtId="0" fontId="0" fillId="0" borderId="0"/>
    <xf numFmtId="44" fontId="3" fillId="0" borderId="0" applyFont="0" applyFill="0" applyBorder="0" applyAlignment="0" applyProtection="0"/>
  </cellStyleXfs>
  <cellXfs count="48">
    <xf numFmtId="0" fontId="0" fillId="0" borderId="0" xfId="0"/>
    <xf numFmtId="8" fontId="0" fillId="0" borderId="0" xfId="0" applyNumberFormat="1"/>
    <xf numFmtId="6" fontId="0" fillId="0" borderId="0" xfId="0" applyNumberFormat="1"/>
    <xf numFmtId="0" fontId="0" fillId="0" borderId="1" xfId="0" applyBorder="1" applyAlignment="1">
      <alignment horizontal="center"/>
    </xf>
    <xf numFmtId="0" fontId="0" fillId="0" borderId="0" xfId="0" applyBorder="1" applyAlignment="1">
      <alignment horizontal="center"/>
    </xf>
    <xf numFmtId="0" fontId="0" fillId="0" borderId="1" xfId="0" applyBorder="1"/>
    <xf numFmtId="0" fontId="0" fillId="3" borderId="1" xfId="0" applyFill="1" applyBorder="1" applyAlignment="1">
      <alignment horizontal="center"/>
    </xf>
    <xf numFmtId="0" fontId="0" fillId="2" borderId="0" xfId="0" applyFill="1"/>
    <xf numFmtId="0" fontId="0" fillId="2" borderId="4" xfId="0" applyFill="1" applyBorder="1"/>
    <xf numFmtId="0" fontId="0" fillId="2" borderId="5" xfId="0" applyFill="1" applyBorder="1"/>
    <xf numFmtId="0" fontId="0" fillId="2" borderId="3" xfId="0" applyFill="1" applyBorder="1"/>
    <xf numFmtId="0" fontId="0" fillId="0" borderId="1" xfId="0" applyBorder="1" applyAlignment="1">
      <alignment horizontal="right"/>
    </xf>
    <xf numFmtId="0" fontId="0" fillId="0" borderId="0" xfId="0" applyAlignment="1">
      <alignment horizontal="right"/>
    </xf>
    <xf numFmtId="0" fontId="2" fillId="3" borderId="1" xfId="0" applyFont="1" applyFill="1" applyBorder="1"/>
    <xf numFmtId="0" fontId="0" fillId="3" borderId="1" xfId="0" applyFill="1" applyBorder="1"/>
    <xf numFmtId="0" fontId="0" fillId="4" borderId="0" xfId="0" applyFill="1"/>
    <xf numFmtId="0" fontId="0" fillId="0" borderId="0" xfId="0" applyAlignment="1">
      <alignment horizontal="left" vertical="top"/>
    </xf>
    <xf numFmtId="0" fontId="0" fillId="0" borderId="0" xfId="0" applyAlignment="1">
      <alignment horizontal="left" vertical="top" wrapText="1"/>
    </xf>
    <xf numFmtId="0" fontId="0" fillId="0" borderId="0" xfId="0" applyFill="1"/>
    <xf numFmtId="0" fontId="0" fillId="4" borderId="3" xfId="0" applyFill="1" applyBorder="1" applyAlignment="1">
      <alignment horizontal="center"/>
    </xf>
    <xf numFmtId="44" fontId="0" fillId="0" borderId="1" xfId="1" applyFont="1" applyBorder="1"/>
    <xf numFmtId="0" fontId="0" fillId="0" borderId="1" xfId="0" applyFill="1" applyBorder="1"/>
    <xf numFmtId="0" fontId="0" fillId="0" borderId="1" xfId="0" applyFill="1" applyBorder="1"/>
    <xf numFmtId="0" fontId="0" fillId="0" borderId="1" xfId="0" applyFill="1" applyBorder="1"/>
    <xf numFmtId="0" fontId="0" fillId="0" borderId="1" xfId="0" applyFill="1" applyBorder="1"/>
    <xf numFmtId="0" fontId="0" fillId="0" borderId="1" xfId="0" applyBorder="1"/>
    <xf numFmtId="0" fontId="0" fillId="0" borderId="1" xfId="0" applyFill="1" applyBorder="1"/>
    <xf numFmtId="0" fontId="0" fillId="0" borderId="0" xfId="0"/>
    <xf numFmtId="0" fontId="0" fillId="0" borderId="1" xfId="0" applyBorder="1"/>
    <xf numFmtId="0" fontId="0" fillId="0" borderId="1" xfId="0" applyFill="1" applyBorder="1"/>
    <xf numFmtId="44" fontId="0" fillId="0" borderId="1" xfId="0" applyNumberFormat="1" applyBorder="1" applyAlignment="1">
      <alignment horizontal="right"/>
    </xf>
    <xf numFmtId="44" fontId="1" fillId="0" borderId="1" xfId="1" applyFont="1" applyBorder="1"/>
    <xf numFmtId="44" fontId="0" fillId="0" borderId="1" xfId="0" applyNumberFormat="1" applyBorder="1"/>
    <xf numFmtId="0" fontId="0" fillId="4" borderId="3" xfId="0" applyFill="1" applyBorder="1" applyAlignment="1">
      <alignment horizontal="center"/>
    </xf>
    <xf numFmtId="0" fontId="0" fillId="3" borderId="1" xfId="0" applyFill="1" applyBorder="1" applyAlignment="1">
      <alignment wrapText="1"/>
    </xf>
    <xf numFmtId="0" fontId="2" fillId="0" borderId="0" xfId="0" applyFont="1" applyAlignment="1">
      <alignment horizontal="left" vertical="top" wrapText="1"/>
    </xf>
    <xf numFmtId="0" fontId="0" fillId="0" borderId="0" xfId="0" applyAlignment="1">
      <alignment horizontal="left" vertical="top" wrapText="1"/>
    </xf>
    <xf numFmtId="0" fontId="1" fillId="0" borderId="0" xfId="0" applyFont="1" applyAlignment="1">
      <alignment horizontal="center" vertical="top" wrapText="1"/>
    </xf>
    <xf numFmtId="0" fontId="0" fillId="0" borderId="0" xfId="0" applyAlignment="1"/>
    <xf numFmtId="0" fontId="0" fillId="4" borderId="4" xfId="0" applyFill="1" applyBorder="1" applyAlignment="1">
      <alignment horizontal="center"/>
    </xf>
    <xf numFmtId="0" fontId="0" fillId="4" borderId="6" xfId="0" applyFill="1" applyBorder="1" applyAlignment="1">
      <alignment horizontal="center"/>
    </xf>
    <xf numFmtId="0" fontId="1" fillId="0" borderId="2" xfId="0" applyFont="1" applyBorder="1" applyAlignment="1">
      <alignment horizontal="right"/>
    </xf>
    <xf numFmtId="0" fontId="1" fillId="0" borderId="7" xfId="0" applyFont="1" applyBorder="1" applyAlignment="1">
      <alignment horizontal="right"/>
    </xf>
    <xf numFmtId="0" fontId="1" fillId="0" borderId="3" xfId="0" applyFont="1" applyBorder="1" applyAlignment="1">
      <alignment horizontal="right"/>
    </xf>
    <xf numFmtId="0" fontId="0" fillId="4" borderId="0" xfId="0" applyFill="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1" xfId="0" applyFill="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3"/>
  <sheetViews>
    <sheetView tabSelected="1" workbookViewId="0">
      <selection activeCell="A10" sqref="A10:M12"/>
    </sheetView>
  </sheetViews>
  <sheetFormatPr defaultRowHeight="14.4" x14ac:dyDescent="0.3"/>
  <sheetData>
    <row r="1" spans="1:18" ht="14.55" customHeight="1" x14ac:dyDescent="0.3">
      <c r="A1" s="37" t="s">
        <v>38</v>
      </c>
      <c r="B1" s="37"/>
      <c r="C1" s="37"/>
      <c r="D1" s="37"/>
      <c r="E1" s="37"/>
      <c r="F1" s="37"/>
      <c r="G1" s="37"/>
      <c r="H1" s="37"/>
      <c r="I1" s="37"/>
      <c r="J1" s="37"/>
      <c r="K1" s="37"/>
      <c r="L1" s="37"/>
      <c r="M1" s="37"/>
      <c r="N1" s="17"/>
      <c r="O1" s="17"/>
      <c r="P1" s="17"/>
      <c r="Q1" s="17"/>
    </row>
    <row r="2" spans="1:18" ht="14.55" customHeight="1" x14ac:dyDescent="0.3">
      <c r="A2" s="37"/>
      <c r="B2" s="37"/>
      <c r="C2" s="37"/>
      <c r="D2" s="37"/>
      <c r="E2" s="37"/>
      <c r="F2" s="37"/>
      <c r="G2" s="37"/>
      <c r="H2" s="37"/>
      <c r="I2" s="37"/>
      <c r="J2" s="37"/>
      <c r="K2" s="37"/>
      <c r="L2" s="37"/>
      <c r="M2" s="37"/>
      <c r="N2" s="17"/>
      <c r="O2" s="17"/>
      <c r="P2" s="17"/>
      <c r="Q2" s="17"/>
    </row>
    <row r="3" spans="1:18" ht="14.55" customHeight="1" x14ac:dyDescent="0.3">
      <c r="A3" s="35" t="s">
        <v>47</v>
      </c>
      <c r="B3" s="35"/>
      <c r="C3" s="35"/>
      <c r="D3" s="35"/>
      <c r="E3" s="35"/>
      <c r="F3" s="35"/>
      <c r="G3" s="35"/>
      <c r="H3" s="35"/>
      <c r="I3" s="35"/>
      <c r="J3" s="35"/>
      <c r="K3" s="35"/>
      <c r="L3" s="35"/>
      <c r="M3" s="35"/>
      <c r="N3" s="17"/>
      <c r="O3" s="17"/>
      <c r="P3" s="17"/>
      <c r="Q3" s="17"/>
    </row>
    <row r="4" spans="1:18" x14ac:dyDescent="0.3">
      <c r="A4" s="35"/>
      <c r="B4" s="35"/>
      <c r="C4" s="35"/>
      <c r="D4" s="35"/>
      <c r="E4" s="35"/>
      <c r="F4" s="35"/>
      <c r="G4" s="35"/>
      <c r="H4" s="35"/>
      <c r="I4" s="35"/>
      <c r="J4" s="35"/>
      <c r="K4" s="35"/>
      <c r="L4" s="35"/>
      <c r="M4" s="35"/>
      <c r="N4" s="17"/>
      <c r="O4" s="17"/>
      <c r="P4" s="17"/>
      <c r="Q4" s="17"/>
    </row>
    <row r="5" spans="1:18" x14ac:dyDescent="0.3">
      <c r="A5" s="35"/>
      <c r="B5" s="35"/>
      <c r="C5" s="35"/>
      <c r="D5" s="35"/>
      <c r="E5" s="35"/>
      <c r="F5" s="35"/>
      <c r="G5" s="35"/>
      <c r="H5" s="35"/>
      <c r="I5" s="35"/>
      <c r="J5" s="35"/>
      <c r="K5" s="35"/>
      <c r="L5" s="35"/>
      <c r="M5" s="35"/>
      <c r="N5" s="17"/>
      <c r="O5" s="17"/>
      <c r="P5" s="17"/>
      <c r="Q5" s="17"/>
    </row>
    <row r="6" spans="1:18" ht="14.55" customHeight="1" x14ac:dyDescent="0.3">
      <c r="A6" s="35" t="s">
        <v>48</v>
      </c>
      <c r="B6" s="35"/>
      <c r="C6" s="35"/>
      <c r="D6" s="35"/>
      <c r="E6" s="35"/>
      <c r="F6" s="35"/>
      <c r="G6" s="35"/>
      <c r="H6" s="35"/>
      <c r="I6" s="35"/>
      <c r="J6" s="35"/>
      <c r="K6" s="35"/>
      <c r="L6" s="35"/>
      <c r="M6" s="35"/>
      <c r="N6" s="17"/>
      <c r="O6" s="17"/>
      <c r="P6" s="17"/>
      <c r="Q6" s="17"/>
    </row>
    <row r="7" spans="1:18" x14ac:dyDescent="0.3">
      <c r="A7" s="35"/>
      <c r="B7" s="35"/>
      <c r="C7" s="35"/>
      <c r="D7" s="35"/>
      <c r="E7" s="35"/>
      <c r="F7" s="35"/>
      <c r="G7" s="35"/>
      <c r="H7" s="35"/>
      <c r="I7" s="35"/>
      <c r="J7" s="35"/>
      <c r="K7" s="35"/>
      <c r="L7" s="35"/>
      <c r="M7" s="35"/>
      <c r="N7" s="17"/>
      <c r="O7" s="17"/>
      <c r="P7" s="17"/>
      <c r="Q7" s="17"/>
    </row>
    <row r="8" spans="1:18" x14ac:dyDescent="0.3">
      <c r="A8" s="35"/>
      <c r="B8" s="35"/>
      <c r="C8" s="35"/>
      <c r="D8" s="35"/>
      <c r="E8" s="35"/>
      <c r="F8" s="35"/>
      <c r="G8" s="35"/>
      <c r="H8" s="35"/>
      <c r="I8" s="35"/>
      <c r="J8" s="35"/>
      <c r="K8" s="35"/>
      <c r="L8" s="35"/>
      <c r="M8" s="35"/>
      <c r="N8" s="17"/>
      <c r="O8" s="17"/>
      <c r="P8" s="17"/>
      <c r="Q8" s="17"/>
    </row>
    <row r="9" spans="1:18" x14ac:dyDescent="0.3">
      <c r="A9" s="35"/>
      <c r="B9" s="35"/>
      <c r="C9" s="35"/>
      <c r="D9" s="35"/>
      <c r="E9" s="35"/>
      <c r="F9" s="35"/>
      <c r="G9" s="35"/>
      <c r="H9" s="35"/>
      <c r="I9" s="35"/>
      <c r="J9" s="35"/>
      <c r="K9" s="35"/>
      <c r="L9" s="35"/>
      <c r="M9" s="35"/>
      <c r="N9" s="17"/>
      <c r="O9" s="17"/>
      <c r="P9" s="17"/>
      <c r="Q9" s="17"/>
    </row>
    <row r="10" spans="1:18" x14ac:dyDescent="0.3">
      <c r="A10" s="36" t="s">
        <v>39</v>
      </c>
      <c r="B10" s="36"/>
      <c r="C10" s="36"/>
      <c r="D10" s="36"/>
      <c r="E10" s="36"/>
      <c r="F10" s="36"/>
      <c r="G10" s="36"/>
      <c r="H10" s="36"/>
      <c r="I10" s="36"/>
      <c r="J10" s="36"/>
      <c r="K10" s="36"/>
      <c r="L10" s="36"/>
      <c r="M10" s="36"/>
      <c r="N10" s="17"/>
      <c r="O10" s="17"/>
      <c r="P10" s="17"/>
      <c r="Q10" s="17"/>
    </row>
    <row r="11" spans="1:18" x14ac:dyDescent="0.3">
      <c r="A11" s="36"/>
      <c r="B11" s="36"/>
      <c r="C11" s="36"/>
      <c r="D11" s="36"/>
      <c r="E11" s="36"/>
      <c r="F11" s="36"/>
      <c r="G11" s="36"/>
      <c r="H11" s="36"/>
      <c r="I11" s="36"/>
      <c r="J11" s="36"/>
      <c r="K11" s="36"/>
      <c r="L11" s="36"/>
      <c r="M11" s="36"/>
      <c r="N11" s="17"/>
      <c r="O11" s="17"/>
      <c r="P11" s="17"/>
      <c r="Q11" s="17"/>
      <c r="R11" s="16"/>
    </row>
    <row r="12" spans="1:18" x14ac:dyDescent="0.3">
      <c r="A12" s="36"/>
      <c r="B12" s="36"/>
      <c r="C12" s="36"/>
      <c r="D12" s="36"/>
      <c r="E12" s="36"/>
      <c r="F12" s="36"/>
      <c r="G12" s="36"/>
      <c r="H12" s="36"/>
      <c r="I12" s="36"/>
      <c r="J12" s="36"/>
      <c r="K12" s="36"/>
      <c r="L12" s="36"/>
      <c r="M12" s="36"/>
      <c r="N12" s="17"/>
      <c r="O12" s="17"/>
      <c r="P12" s="17"/>
      <c r="Q12" s="17"/>
    </row>
    <row r="13" spans="1:18" x14ac:dyDescent="0.3">
      <c r="A13" s="17"/>
      <c r="B13" s="17"/>
      <c r="C13" s="17"/>
      <c r="D13" s="17"/>
      <c r="E13" s="17"/>
      <c r="F13" s="17"/>
      <c r="G13" s="17"/>
      <c r="H13" s="17"/>
      <c r="I13" s="17"/>
      <c r="J13" s="17"/>
      <c r="K13" s="17"/>
      <c r="L13" s="17"/>
      <c r="M13" s="17"/>
      <c r="N13" s="17"/>
      <c r="O13" s="17"/>
      <c r="P13" s="17"/>
      <c r="Q13" s="17"/>
    </row>
    <row r="14" spans="1:18" x14ac:dyDescent="0.3">
      <c r="A14" s="17"/>
      <c r="B14" s="17"/>
      <c r="C14" s="17"/>
      <c r="D14" s="17"/>
      <c r="E14" s="17"/>
      <c r="F14" s="17"/>
      <c r="G14" s="17"/>
      <c r="H14" s="17"/>
      <c r="I14" s="17"/>
      <c r="J14" s="17"/>
      <c r="K14" s="17"/>
      <c r="L14" s="17"/>
      <c r="M14" s="17"/>
      <c r="N14" s="17"/>
      <c r="O14" s="17"/>
      <c r="P14" s="17"/>
      <c r="Q14" s="17"/>
    </row>
    <row r="15" spans="1:18" x14ac:dyDescent="0.3">
      <c r="A15" s="17"/>
      <c r="B15" s="17"/>
      <c r="C15" s="17"/>
      <c r="D15" s="17"/>
      <c r="E15" s="17"/>
      <c r="F15" s="17"/>
      <c r="G15" s="17"/>
      <c r="H15" s="17"/>
      <c r="I15" s="17"/>
      <c r="J15" s="17"/>
      <c r="K15" s="17"/>
      <c r="L15" s="17"/>
      <c r="M15" s="17"/>
      <c r="N15" s="17"/>
      <c r="O15" s="17"/>
      <c r="P15" s="17"/>
      <c r="Q15" s="17"/>
    </row>
    <row r="16" spans="1:18" x14ac:dyDescent="0.3">
      <c r="A16" s="17"/>
      <c r="B16" s="17"/>
      <c r="C16" s="17"/>
      <c r="D16" s="17"/>
      <c r="E16" s="17"/>
      <c r="F16" s="17"/>
      <c r="G16" s="17"/>
      <c r="H16" s="17"/>
      <c r="I16" s="17"/>
      <c r="J16" s="17"/>
      <c r="K16" s="17"/>
      <c r="L16" s="17"/>
      <c r="M16" s="17"/>
      <c r="N16" s="17"/>
      <c r="O16" s="17"/>
      <c r="P16" s="17"/>
      <c r="Q16" s="17"/>
    </row>
    <row r="17" spans="1:17" x14ac:dyDescent="0.3">
      <c r="A17" s="17"/>
      <c r="B17" s="17"/>
      <c r="C17" s="17"/>
      <c r="D17" s="17"/>
      <c r="E17" s="17"/>
      <c r="F17" s="17"/>
      <c r="G17" s="17"/>
      <c r="H17" s="17"/>
      <c r="I17" s="17"/>
      <c r="J17" s="17"/>
      <c r="K17" s="17"/>
      <c r="L17" s="17"/>
      <c r="M17" s="17"/>
      <c r="N17" s="17"/>
      <c r="O17" s="17"/>
      <c r="P17" s="17"/>
      <c r="Q17" s="17"/>
    </row>
    <row r="18" spans="1:17" x14ac:dyDescent="0.3">
      <c r="A18" s="17"/>
      <c r="B18" s="17"/>
      <c r="C18" s="17"/>
      <c r="D18" s="17"/>
      <c r="E18" s="17"/>
      <c r="F18" s="17"/>
      <c r="G18" s="17"/>
      <c r="H18" s="17"/>
      <c r="I18" s="17"/>
      <c r="J18" s="17"/>
      <c r="K18" s="17"/>
      <c r="L18" s="17"/>
      <c r="M18" s="17"/>
      <c r="N18" s="17"/>
      <c r="O18" s="17"/>
      <c r="P18" s="17"/>
      <c r="Q18" s="17"/>
    </row>
    <row r="19" spans="1:17" x14ac:dyDescent="0.3">
      <c r="A19" s="17"/>
      <c r="B19" s="17"/>
      <c r="C19" s="17"/>
      <c r="D19" s="17"/>
      <c r="E19" s="17"/>
      <c r="F19" s="17"/>
      <c r="G19" s="17"/>
      <c r="H19" s="17"/>
      <c r="I19" s="17"/>
      <c r="J19" s="17"/>
      <c r="K19" s="17"/>
      <c r="L19" s="17"/>
      <c r="M19" s="17"/>
      <c r="N19" s="17"/>
      <c r="O19" s="17"/>
      <c r="P19" s="17"/>
      <c r="Q19" s="17"/>
    </row>
    <row r="20" spans="1:17" x14ac:dyDescent="0.3">
      <c r="A20" s="17"/>
      <c r="B20" s="17"/>
      <c r="C20" s="17"/>
      <c r="D20" s="17"/>
      <c r="E20" s="17"/>
      <c r="F20" s="17"/>
      <c r="G20" s="17"/>
      <c r="H20" s="17"/>
      <c r="I20" s="17"/>
      <c r="J20" s="17"/>
      <c r="K20" s="17"/>
      <c r="L20" s="17"/>
      <c r="M20" s="17"/>
      <c r="N20" s="17"/>
      <c r="O20" s="17"/>
      <c r="P20" s="17"/>
      <c r="Q20" s="17"/>
    </row>
    <row r="21" spans="1:17" x14ac:dyDescent="0.3">
      <c r="A21" s="17"/>
      <c r="B21" s="17"/>
      <c r="C21" s="17"/>
      <c r="D21" s="17"/>
      <c r="E21" s="17"/>
      <c r="F21" s="17"/>
      <c r="G21" s="17"/>
      <c r="H21" s="17"/>
      <c r="I21" s="17"/>
      <c r="J21" s="17"/>
      <c r="K21" s="17"/>
      <c r="L21" s="17"/>
      <c r="M21" s="17"/>
      <c r="N21" s="17"/>
      <c r="O21" s="17"/>
      <c r="P21" s="17"/>
      <c r="Q21" s="17"/>
    </row>
    <row r="22" spans="1:17" x14ac:dyDescent="0.3">
      <c r="A22" s="17"/>
      <c r="B22" s="17"/>
      <c r="C22" s="17"/>
      <c r="D22" s="17"/>
      <c r="E22" s="17"/>
      <c r="F22" s="17"/>
      <c r="G22" s="17"/>
      <c r="H22" s="17"/>
      <c r="I22" s="17"/>
      <c r="J22" s="17"/>
      <c r="K22" s="17"/>
      <c r="L22" s="17"/>
      <c r="M22" s="17"/>
      <c r="N22" s="17"/>
      <c r="O22" s="17"/>
      <c r="P22" s="17"/>
      <c r="Q22" s="17"/>
    </row>
    <row r="23" spans="1:17" x14ac:dyDescent="0.3">
      <c r="A23" s="17"/>
      <c r="B23" s="17"/>
      <c r="C23" s="17"/>
      <c r="D23" s="17"/>
      <c r="E23" s="17"/>
      <c r="F23" s="17"/>
      <c r="G23" s="17"/>
      <c r="H23" s="17"/>
      <c r="I23" s="17"/>
      <c r="J23" s="17"/>
      <c r="K23" s="17"/>
      <c r="L23" s="17"/>
      <c r="M23" s="17"/>
      <c r="N23" s="17"/>
      <c r="O23" s="17"/>
      <c r="P23" s="17"/>
      <c r="Q23" s="17"/>
    </row>
  </sheetData>
  <mergeCells count="4">
    <mergeCell ref="A6:M9"/>
    <mergeCell ref="A10:M12"/>
    <mergeCell ref="A1:M2"/>
    <mergeCell ref="A3:M5"/>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workbookViewId="0">
      <selection activeCell="B4" sqref="B4"/>
    </sheetView>
  </sheetViews>
  <sheetFormatPr defaultRowHeight="14.4" x14ac:dyDescent="0.3"/>
  <cols>
    <col min="1" max="1" width="13.88671875" customWidth="1"/>
    <col min="2" max="2" width="15.44140625" customWidth="1"/>
    <col min="3" max="3" width="14.5546875" customWidth="1"/>
    <col min="4" max="4" width="15" customWidth="1"/>
    <col min="5" max="5" width="15.88671875" customWidth="1"/>
    <col min="6" max="6" width="16.109375" customWidth="1"/>
    <col min="7" max="7" width="16.109375" style="27" customWidth="1"/>
  </cols>
  <sheetData>
    <row r="1" spans="1:7" x14ac:dyDescent="0.3">
      <c r="A1" s="39" t="s">
        <v>20</v>
      </c>
      <c r="B1" s="40"/>
      <c r="C1" s="40"/>
      <c r="D1" s="40"/>
      <c r="E1" s="40"/>
      <c r="F1" s="40"/>
      <c r="G1" s="40"/>
    </row>
    <row r="2" spans="1:7" x14ac:dyDescent="0.3">
      <c r="A2" s="6"/>
      <c r="B2" s="6" t="s">
        <v>21</v>
      </c>
      <c r="C2" s="6" t="s">
        <v>22</v>
      </c>
      <c r="D2" s="6" t="s">
        <v>23</v>
      </c>
      <c r="E2" s="6" t="s">
        <v>24</v>
      </c>
      <c r="F2" s="6" t="s">
        <v>25</v>
      </c>
      <c r="G2" s="6" t="s">
        <v>40</v>
      </c>
    </row>
    <row r="3" spans="1:7" x14ac:dyDescent="0.3">
      <c r="A3" s="3" t="s">
        <v>43</v>
      </c>
      <c r="B3" s="5"/>
      <c r="C3" s="5"/>
      <c r="D3" s="5"/>
      <c r="E3" s="5"/>
      <c r="F3" s="5"/>
      <c r="G3" s="28"/>
    </row>
    <row r="4" spans="1:7" x14ac:dyDescent="0.3">
      <c r="A4" s="3" t="s">
        <v>44</v>
      </c>
      <c r="B4" s="5"/>
      <c r="C4" s="5"/>
      <c r="D4" s="5"/>
      <c r="E4" s="5"/>
      <c r="F4" s="5"/>
      <c r="G4" s="28"/>
    </row>
    <row r="5" spans="1:7" x14ac:dyDescent="0.3">
      <c r="A5" s="3" t="s">
        <v>45</v>
      </c>
      <c r="B5" s="5"/>
      <c r="C5" s="5"/>
      <c r="D5" s="5"/>
      <c r="E5" s="5"/>
      <c r="F5" s="5"/>
      <c r="G5" s="28"/>
    </row>
    <row r="6" spans="1:7" x14ac:dyDescent="0.3">
      <c r="A6" s="3" t="s">
        <v>46</v>
      </c>
      <c r="B6" s="32">
        <f>'Yearly Breakdown'!D20</f>
        <v>1100000</v>
      </c>
      <c r="C6" s="32">
        <f>'Yearly Breakdown'!G20</f>
        <v>1166000</v>
      </c>
      <c r="D6" s="32">
        <f>'Yearly Breakdown'!J20</f>
        <v>1235960</v>
      </c>
      <c r="E6" s="32">
        <f>'Yearly Breakdown'!M20</f>
        <v>1310118</v>
      </c>
      <c r="F6" s="32">
        <f>'Yearly Breakdown'!P20</f>
        <v>1388725</v>
      </c>
      <c r="G6" s="32">
        <f>'Yearly Breakdown'!S20</f>
        <v>694362</v>
      </c>
    </row>
    <row r="7" spans="1:7" x14ac:dyDescent="0.3">
      <c r="A7" s="3" t="s">
        <v>42</v>
      </c>
      <c r="B7" s="5"/>
      <c r="C7" s="5"/>
      <c r="D7" s="5"/>
      <c r="E7" s="5"/>
      <c r="F7" s="5"/>
      <c r="G7" s="28"/>
    </row>
    <row r="8" spans="1:7" x14ac:dyDescent="0.3">
      <c r="A8" s="41" t="s">
        <v>41</v>
      </c>
      <c r="B8" s="42"/>
      <c r="C8" s="42"/>
      <c r="D8" s="42"/>
      <c r="E8" s="42"/>
      <c r="F8" s="43"/>
      <c r="G8" s="31"/>
    </row>
    <row r="9" spans="1:7" x14ac:dyDescent="0.3">
      <c r="B9" s="1"/>
    </row>
    <row r="17" spans="1:2" x14ac:dyDescent="0.3">
      <c r="A17" s="38"/>
      <c r="B17" s="38"/>
    </row>
    <row r="19" spans="1:2" x14ac:dyDescent="0.3">
      <c r="A19" s="4"/>
    </row>
    <row r="20" spans="1:2" x14ac:dyDescent="0.3">
      <c r="A20" s="4"/>
    </row>
    <row r="21" spans="1:2" x14ac:dyDescent="0.3">
      <c r="A21" s="4"/>
    </row>
    <row r="22" spans="1:2" x14ac:dyDescent="0.3">
      <c r="A22" s="4"/>
    </row>
    <row r="23" spans="1:2" x14ac:dyDescent="0.3">
      <c r="A23" s="4"/>
    </row>
  </sheetData>
  <mergeCells count="3">
    <mergeCell ref="A17:B17"/>
    <mergeCell ref="A1:G1"/>
    <mergeCell ref="A8:F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5"/>
  <sheetViews>
    <sheetView workbookViewId="0">
      <selection activeCell="D21" sqref="D21"/>
    </sheetView>
  </sheetViews>
  <sheetFormatPr defaultRowHeight="14.4" x14ac:dyDescent="0.3"/>
  <cols>
    <col min="1" max="1" width="66.44140625" customWidth="1"/>
    <col min="2" max="2" width="16" customWidth="1"/>
    <col min="3" max="3" width="15.77734375" customWidth="1"/>
    <col min="4" max="4" width="16.21875" customWidth="1"/>
    <col min="5" max="5" width="15.109375" customWidth="1"/>
    <col min="6" max="7" width="15.88671875" bestFit="1" customWidth="1"/>
    <col min="8" max="8" width="15.109375" bestFit="1" customWidth="1"/>
    <col min="9" max="10" width="15.88671875" bestFit="1" customWidth="1"/>
    <col min="11" max="11" width="15.109375" bestFit="1" customWidth="1"/>
    <col min="12" max="13" width="15.88671875" bestFit="1" customWidth="1"/>
    <col min="14" max="14" width="15.109375" bestFit="1" customWidth="1"/>
    <col min="15" max="16" width="15.88671875" bestFit="1" customWidth="1"/>
    <col min="17" max="17" width="16.6640625" customWidth="1"/>
    <col min="18" max="19" width="14.88671875" bestFit="1" customWidth="1"/>
  </cols>
  <sheetData>
    <row r="1" spans="1:19" s="18" customFormat="1" x14ac:dyDescent="0.3">
      <c r="A1" s="15"/>
      <c r="B1" s="40" t="s">
        <v>29</v>
      </c>
      <c r="C1" s="40"/>
      <c r="D1" s="40"/>
      <c r="E1" s="44" t="s">
        <v>30</v>
      </c>
      <c r="F1" s="44"/>
      <c r="G1" s="44"/>
      <c r="H1" s="44" t="s">
        <v>31</v>
      </c>
      <c r="I1" s="44"/>
      <c r="J1" s="44"/>
      <c r="K1" s="44" t="s">
        <v>32</v>
      </c>
      <c r="L1" s="44"/>
      <c r="M1" s="44"/>
      <c r="N1" s="44" t="s">
        <v>33</v>
      </c>
      <c r="O1" s="44"/>
      <c r="P1" s="44"/>
      <c r="Q1" s="44" t="s">
        <v>40</v>
      </c>
      <c r="R1" s="44"/>
      <c r="S1" s="44"/>
    </row>
    <row r="2" spans="1:19" s="18" customFormat="1" x14ac:dyDescent="0.3">
      <c r="A2" s="13" t="s">
        <v>27</v>
      </c>
      <c r="B2" s="14" t="s">
        <v>28</v>
      </c>
      <c r="C2" s="14" t="s">
        <v>0</v>
      </c>
      <c r="D2" s="14" t="s">
        <v>1</v>
      </c>
      <c r="E2" s="14" t="s">
        <v>28</v>
      </c>
      <c r="F2" s="14" t="s">
        <v>0</v>
      </c>
      <c r="G2" s="14" t="s">
        <v>1</v>
      </c>
      <c r="H2" s="14" t="s">
        <v>28</v>
      </c>
      <c r="I2" s="14" t="s">
        <v>0</v>
      </c>
      <c r="J2" s="14" t="s">
        <v>1</v>
      </c>
      <c r="K2" s="14" t="s">
        <v>28</v>
      </c>
      <c r="L2" s="14" t="s">
        <v>0</v>
      </c>
      <c r="M2" s="14" t="s">
        <v>1</v>
      </c>
      <c r="N2" s="14" t="s">
        <v>28</v>
      </c>
      <c r="O2" s="14" t="s">
        <v>0</v>
      </c>
      <c r="P2" s="14" t="s">
        <v>1</v>
      </c>
      <c r="Q2" s="14" t="s">
        <v>28</v>
      </c>
      <c r="R2" s="14" t="s">
        <v>0</v>
      </c>
      <c r="S2" s="14" t="s">
        <v>1</v>
      </c>
    </row>
    <row r="3" spans="1:19" x14ac:dyDescent="0.3">
      <c r="A3" s="5" t="s">
        <v>2</v>
      </c>
      <c r="B3" s="21">
        <v>7000</v>
      </c>
      <c r="C3" s="20"/>
      <c r="D3" s="20">
        <f>B3*C3</f>
        <v>0</v>
      </c>
      <c r="E3" s="22">
        <v>7000</v>
      </c>
      <c r="F3" s="20"/>
      <c r="G3" s="20">
        <f>E3*F3</f>
        <v>0</v>
      </c>
      <c r="H3" s="23">
        <v>7000</v>
      </c>
      <c r="I3" s="20"/>
      <c r="J3" s="20">
        <f>H3*I3</f>
        <v>0</v>
      </c>
      <c r="K3" s="24">
        <v>7000</v>
      </c>
      <c r="L3" s="20"/>
      <c r="M3" s="20">
        <f>K3*L3</f>
        <v>0</v>
      </c>
      <c r="N3" s="26">
        <v>7000</v>
      </c>
      <c r="O3" s="20"/>
      <c r="P3" s="20">
        <f>N3*O3</f>
        <v>0</v>
      </c>
      <c r="Q3" s="29">
        <v>3500</v>
      </c>
      <c r="R3" s="20"/>
      <c r="S3" s="20">
        <f>Q3*R3</f>
        <v>0</v>
      </c>
    </row>
    <row r="4" spans="1:19" x14ac:dyDescent="0.3">
      <c r="A4" s="5" t="s">
        <v>3</v>
      </c>
      <c r="B4" s="21">
        <v>2800</v>
      </c>
      <c r="C4" s="20"/>
      <c r="D4" s="20">
        <f t="shared" ref="D4:D16" si="0">B4*C4</f>
        <v>0</v>
      </c>
      <c r="E4" s="22">
        <v>2800</v>
      </c>
      <c r="F4" s="20"/>
      <c r="G4" s="20">
        <f t="shared" ref="G4:G16" si="1">E4*F4</f>
        <v>0</v>
      </c>
      <c r="H4" s="23">
        <v>2800</v>
      </c>
      <c r="I4" s="20"/>
      <c r="J4" s="20">
        <f t="shared" ref="J4:J16" si="2">H4*I4</f>
        <v>0</v>
      </c>
      <c r="K4" s="24">
        <v>2800</v>
      </c>
      <c r="L4" s="20"/>
      <c r="M4" s="20">
        <f t="shared" ref="M4:M16" si="3">K4*L4</f>
        <v>0</v>
      </c>
      <c r="N4" s="26">
        <v>2800</v>
      </c>
      <c r="O4" s="20"/>
      <c r="P4" s="20">
        <f t="shared" ref="P4:P16" si="4">N4*O4</f>
        <v>0</v>
      </c>
      <c r="Q4" s="29">
        <v>1400</v>
      </c>
      <c r="R4" s="20"/>
      <c r="S4" s="20">
        <f t="shared" ref="S4:S16" si="5">Q4*R4</f>
        <v>0</v>
      </c>
    </row>
    <row r="5" spans="1:19" x14ac:dyDescent="0.3">
      <c r="A5" s="5" t="s">
        <v>4</v>
      </c>
      <c r="B5" s="21">
        <v>2800</v>
      </c>
      <c r="C5" s="20"/>
      <c r="D5" s="20">
        <f t="shared" si="0"/>
        <v>0</v>
      </c>
      <c r="E5" s="22">
        <v>2800</v>
      </c>
      <c r="F5" s="20"/>
      <c r="G5" s="20">
        <f t="shared" si="1"/>
        <v>0</v>
      </c>
      <c r="H5" s="23">
        <v>2800</v>
      </c>
      <c r="I5" s="20"/>
      <c r="J5" s="20">
        <f t="shared" si="2"/>
        <v>0</v>
      </c>
      <c r="K5" s="24">
        <v>2800</v>
      </c>
      <c r="L5" s="20"/>
      <c r="M5" s="20">
        <f t="shared" si="3"/>
        <v>0</v>
      </c>
      <c r="N5" s="26">
        <v>2800</v>
      </c>
      <c r="O5" s="20"/>
      <c r="P5" s="20">
        <f t="shared" si="4"/>
        <v>0</v>
      </c>
      <c r="Q5" s="29">
        <v>1400</v>
      </c>
      <c r="R5" s="20"/>
      <c r="S5" s="20">
        <f t="shared" si="5"/>
        <v>0</v>
      </c>
    </row>
    <row r="6" spans="1:19" x14ac:dyDescent="0.3">
      <c r="A6" s="5" t="s">
        <v>5</v>
      </c>
      <c r="B6" s="21">
        <v>1400</v>
      </c>
      <c r="C6" s="20"/>
      <c r="D6" s="20">
        <f t="shared" si="0"/>
        <v>0</v>
      </c>
      <c r="E6" s="22">
        <v>1400</v>
      </c>
      <c r="F6" s="20"/>
      <c r="G6" s="20">
        <f t="shared" si="1"/>
        <v>0</v>
      </c>
      <c r="H6" s="23">
        <v>1400</v>
      </c>
      <c r="I6" s="20"/>
      <c r="J6" s="20">
        <f t="shared" si="2"/>
        <v>0</v>
      </c>
      <c r="K6" s="24">
        <v>1400</v>
      </c>
      <c r="L6" s="20"/>
      <c r="M6" s="20">
        <f t="shared" si="3"/>
        <v>0</v>
      </c>
      <c r="N6" s="26">
        <v>1400</v>
      </c>
      <c r="O6" s="20"/>
      <c r="P6" s="20">
        <f t="shared" si="4"/>
        <v>0</v>
      </c>
      <c r="Q6" s="29">
        <v>700</v>
      </c>
      <c r="R6" s="20"/>
      <c r="S6" s="20">
        <f t="shared" si="5"/>
        <v>0</v>
      </c>
    </row>
    <row r="7" spans="1:19" x14ac:dyDescent="0.3">
      <c r="A7" s="5" t="s">
        <v>6</v>
      </c>
      <c r="B7" s="21">
        <v>18000</v>
      </c>
      <c r="C7" s="20"/>
      <c r="D7" s="20">
        <f t="shared" si="0"/>
        <v>0</v>
      </c>
      <c r="E7" s="22">
        <v>18000</v>
      </c>
      <c r="F7" s="20"/>
      <c r="G7" s="20">
        <f t="shared" si="1"/>
        <v>0</v>
      </c>
      <c r="H7" s="23">
        <v>18000</v>
      </c>
      <c r="I7" s="20"/>
      <c r="J7" s="20">
        <f t="shared" si="2"/>
        <v>0</v>
      </c>
      <c r="K7" s="24">
        <v>18000</v>
      </c>
      <c r="L7" s="20"/>
      <c r="M7" s="20">
        <f t="shared" si="3"/>
        <v>0</v>
      </c>
      <c r="N7" s="26">
        <v>18000</v>
      </c>
      <c r="O7" s="20"/>
      <c r="P7" s="20">
        <f t="shared" si="4"/>
        <v>0</v>
      </c>
      <c r="Q7" s="29">
        <v>9000</v>
      </c>
      <c r="R7" s="20"/>
      <c r="S7" s="20">
        <f t="shared" si="5"/>
        <v>0</v>
      </c>
    </row>
    <row r="8" spans="1:19" x14ac:dyDescent="0.3">
      <c r="A8" s="5" t="s">
        <v>7</v>
      </c>
      <c r="B8" s="21">
        <v>440</v>
      </c>
      <c r="C8" s="20"/>
      <c r="D8" s="20">
        <f t="shared" si="0"/>
        <v>0</v>
      </c>
      <c r="E8" s="22">
        <v>440</v>
      </c>
      <c r="F8" s="20"/>
      <c r="G8" s="20">
        <f t="shared" si="1"/>
        <v>0</v>
      </c>
      <c r="H8" s="23">
        <v>440</v>
      </c>
      <c r="I8" s="20"/>
      <c r="J8" s="20">
        <f t="shared" si="2"/>
        <v>0</v>
      </c>
      <c r="K8" s="24">
        <v>440</v>
      </c>
      <c r="L8" s="20"/>
      <c r="M8" s="20">
        <f t="shared" si="3"/>
        <v>0</v>
      </c>
      <c r="N8" s="26">
        <v>440</v>
      </c>
      <c r="O8" s="20"/>
      <c r="P8" s="20">
        <f t="shared" si="4"/>
        <v>0</v>
      </c>
      <c r="Q8" s="29">
        <v>220</v>
      </c>
      <c r="R8" s="20"/>
      <c r="S8" s="20">
        <f t="shared" si="5"/>
        <v>0</v>
      </c>
    </row>
    <row r="9" spans="1:19" x14ac:dyDescent="0.3">
      <c r="A9" s="5" t="s">
        <v>8</v>
      </c>
      <c r="B9" s="21">
        <v>440</v>
      </c>
      <c r="C9" s="20"/>
      <c r="D9" s="20">
        <f t="shared" si="0"/>
        <v>0</v>
      </c>
      <c r="E9" s="22">
        <v>440</v>
      </c>
      <c r="F9" s="20"/>
      <c r="G9" s="20">
        <f t="shared" si="1"/>
        <v>0</v>
      </c>
      <c r="H9" s="23">
        <v>440</v>
      </c>
      <c r="I9" s="20"/>
      <c r="J9" s="20">
        <f t="shared" si="2"/>
        <v>0</v>
      </c>
      <c r="K9" s="24">
        <v>440</v>
      </c>
      <c r="L9" s="20"/>
      <c r="M9" s="20">
        <f t="shared" si="3"/>
        <v>0</v>
      </c>
      <c r="N9" s="26">
        <v>440</v>
      </c>
      <c r="O9" s="20"/>
      <c r="P9" s="20">
        <f t="shared" si="4"/>
        <v>0</v>
      </c>
      <c r="Q9" s="29">
        <v>220</v>
      </c>
      <c r="R9" s="20"/>
      <c r="S9" s="20">
        <f t="shared" si="5"/>
        <v>0</v>
      </c>
    </row>
    <row r="10" spans="1:19" x14ac:dyDescent="0.3">
      <c r="A10" s="5" t="s">
        <v>9</v>
      </c>
      <c r="B10" s="21">
        <v>200</v>
      </c>
      <c r="C10" s="20"/>
      <c r="D10" s="20">
        <f t="shared" si="0"/>
        <v>0</v>
      </c>
      <c r="E10" s="22">
        <v>200</v>
      </c>
      <c r="F10" s="20"/>
      <c r="G10" s="20">
        <f t="shared" si="1"/>
        <v>0</v>
      </c>
      <c r="H10" s="23">
        <v>200</v>
      </c>
      <c r="I10" s="20"/>
      <c r="J10" s="20">
        <f t="shared" si="2"/>
        <v>0</v>
      </c>
      <c r="K10" s="24">
        <v>200</v>
      </c>
      <c r="L10" s="20"/>
      <c r="M10" s="20">
        <f t="shared" si="3"/>
        <v>0</v>
      </c>
      <c r="N10" s="26">
        <v>200</v>
      </c>
      <c r="O10" s="20"/>
      <c r="P10" s="20">
        <f t="shared" si="4"/>
        <v>0</v>
      </c>
      <c r="Q10" s="29">
        <v>100</v>
      </c>
      <c r="R10" s="20"/>
      <c r="S10" s="20">
        <f t="shared" si="5"/>
        <v>0</v>
      </c>
    </row>
    <row r="11" spans="1:19" x14ac:dyDescent="0.3">
      <c r="A11" s="5" t="s">
        <v>10</v>
      </c>
      <c r="B11" s="21">
        <v>6000</v>
      </c>
      <c r="C11" s="20"/>
      <c r="D11" s="20">
        <f t="shared" si="0"/>
        <v>0</v>
      </c>
      <c r="E11" s="22">
        <v>6000</v>
      </c>
      <c r="F11" s="20"/>
      <c r="G11" s="20">
        <f t="shared" si="1"/>
        <v>0</v>
      </c>
      <c r="H11" s="23">
        <v>6000</v>
      </c>
      <c r="I11" s="20"/>
      <c r="J11" s="20">
        <f t="shared" si="2"/>
        <v>0</v>
      </c>
      <c r="K11" s="24">
        <v>6000</v>
      </c>
      <c r="L11" s="20"/>
      <c r="M11" s="20">
        <f t="shared" si="3"/>
        <v>0</v>
      </c>
      <c r="N11" s="26">
        <v>6000</v>
      </c>
      <c r="O11" s="20"/>
      <c r="P11" s="20">
        <f t="shared" si="4"/>
        <v>0</v>
      </c>
      <c r="Q11" s="29">
        <v>3000</v>
      </c>
      <c r="R11" s="20"/>
      <c r="S11" s="20">
        <f t="shared" si="5"/>
        <v>0</v>
      </c>
    </row>
    <row r="12" spans="1:19" x14ac:dyDescent="0.3">
      <c r="A12" s="5" t="s">
        <v>11</v>
      </c>
      <c r="B12" s="21">
        <v>3600</v>
      </c>
      <c r="C12" s="20"/>
      <c r="D12" s="20">
        <f t="shared" si="0"/>
        <v>0</v>
      </c>
      <c r="E12" s="22">
        <v>3600</v>
      </c>
      <c r="F12" s="20"/>
      <c r="G12" s="20">
        <f t="shared" si="1"/>
        <v>0</v>
      </c>
      <c r="H12" s="23">
        <v>3600</v>
      </c>
      <c r="I12" s="20"/>
      <c r="J12" s="20">
        <f t="shared" si="2"/>
        <v>0</v>
      </c>
      <c r="K12" s="24">
        <v>3600</v>
      </c>
      <c r="L12" s="20"/>
      <c r="M12" s="20">
        <f t="shared" si="3"/>
        <v>0</v>
      </c>
      <c r="N12" s="26">
        <v>3600</v>
      </c>
      <c r="O12" s="20"/>
      <c r="P12" s="20">
        <f t="shared" si="4"/>
        <v>0</v>
      </c>
      <c r="Q12" s="29">
        <v>1800</v>
      </c>
      <c r="R12" s="20"/>
      <c r="S12" s="20">
        <f t="shared" si="5"/>
        <v>0</v>
      </c>
    </row>
    <row r="13" spans="1:19" x14ac:dyDescent="0.3">
      <c r="A13" s="5" t="s">
        <v>12</v>
      </c>
      <c r="B13" s="21">
        <v>6000</v>
      </c>
      <c r="C13" s="20"/>
      <c r="D13" s="20">
        <f t="shared" si="0"/>
        <v>0</v>
      </c>
      <c r="E13" s="22">
        <v>6000</v>
      </c>
      <c r="F13" s="20"/>
      <c r="G13" s="20">
        <f t="shared" si="1"/>
        <v>0</v>
      </c>
      <c r="H13" s="23">
        <v>6000</v>
      </c>
      <c r="I13" s="20"/>
      <c r="J13" s="20">
        <f t="shared" si="2"/>
        <v>0</v>
      </c>
      <c r="K13" s="24">
        <v>6000</v>
      </c>
      <c r="L13" s="20"/>
      <c r="M13" s="20">
        <f t="shared" si="3"/>
        <v>0</v>
      </c>
      <c r="N13" s="26">
        <v>6000</v>
      </c>
      <c r="O13" s="20"/>
      <c r="P13" s="20">
        <f t="shared" si="4"/>
        <v>0</v>
      </c>
      <c r="Q13" s="29">
        <v>3000</v>
      </c>
      <c r="R13" s="20"/>
      <c r="S13" s="20">
        <f t="shared" si="5"/>
        <v>0</v>
      </c>
    </row>
    <row r="14" spans="1:19" x14ac:dyDescent="0.3">
      <c r="A14" s="5" t="s">
        <v>13</v>
      </c>
      <c r="B14" s="21">
        <v>3600</v>
      </c>
      <c r="C14" s="20"/>
      <c r="D14" s="20">
        <f t="shared" si="0"/>
        <v>0</v>
      </c>
      <c r="E14" s="22">
        <v>3600</v>
      </c>
      <c r="F14" s="20"/>
      <c r="G14" s="20">
        <f t="shared" si="1"/>
        <v>0</v>
      </c>
      <c r="H14" s="23">
        <v>3600</v>
      </c>
      <c r="I14" s="20"/>
      <c r="J14" s="20">
        <f t="shared" si="2"/>
        <v>0</v>
      </c>
      <c r="K14" s="24">
        <v>3600</v>
      </c>
      <c r="L14" s="20"/>
      <c r="M14" s="20">
        <f t="shared" si="3"/>
        <v>0</v>
      </c>
      <c r="N14" s="26">
        <v>3600</v>
      </c>
      <c r="O14" s="20"/>
      <c r="P14" s="20">
        <f t="shared" si="4"/>
        <v>0</v>
      </c>
      <c r="Q14" s="29">
        <v>1800</v>
      </c>
      <c r="R14" s="20"/>
      <c r="S14" s="20">
        <f t="shared" si="5"/>
        <v>0</v>
      </c>
    </row>
    <row r="15" spans="1:19" x14ac:dyDescent="0.3">
      <c r="A15" s="5" t="s">
        <v>16</v>
      </c>
      <c r="B15" s="21">
        <v>2475</v>
      </c>
      <c r="C15" s="20"/>
      <c r="D15" s="20">
        <f t="shared" si="0"/>
        <v>0</v>
      </c>
      <c r="E15" s="22">
        <v>2475</v>
      </c>
      <c r="F15" s="20"/>
      <c r="G15" s="20">
        <f t="shared" si="1"/>
        <v>0</v>
      </c>
      <c r="H15" s="23">
        <v>2475</v>
      </c>
      <c r="I15" s="20"/>
      <c r="J15" s="20">
        <f t="shared" si="2"/>
        <v>0</v>
      </c>
      <c r="K15" s="24">
        <v>2475</v>
      </c>
      <c r="L15" s="20"/>
      <c r="M15" s="20">
        <f t="shared" si="3"/>
        <v>0</v>
      </c>
      <c r="N15" s="26">
        <v>2475</v>
      </c>
      <c r="O15" s="20"/>
      <c r="P15" s="20">
        <f t="shared" si="4"/>
        <v>0</v>
      </c>
      <c r="Q15" s="29">
        <v>1238</v>
      </c>
      <c r="R15" s="20"/>
      <c r="S15" s="20">
        <f t="shared" si="5"/>
        <v>0</v>
      </c>
    </row>
    <row r="16" spans="1:19" x14ac:dyDescent="0.3">
      <c r="A16" s="5" t="s">
        <v>17</v>
      </c>
      <c r="B16" s="21">
        <v>2475</v>
      </c>
      <c r="C16" s="20"/>
      <c r="D16" s="20">
        <f t="shared" si="0"/>
        <v>0</v>
      </c>
      <c r="E16" s="22">
        <v>2475</v>
      </c>
      <c r="F16" s="20"/>
      <c r="G16" s="20">
        <f t="shared" si="1"/>
        <v>0</v>
      </c>
      <c r="H16" s="23">
        <v>2475</v>
      </c>
      <c r="I16" s="20"/>
      <c r="J16" s="20">
        <f t="shared" si="2"/>
        <v>0</v>
      </c>
      <c r="K16" s="24">
        <v>2475</v>
      </c>
      <c r="L16" s="20"/>
      <c r="M16" s="20">
        <f t="shared" si="3"/>
        <v>0</v>
      </c>
      <c r="N16" s="26">
        <v>2475</v>
      </c>
      <c r="O16" s="20"/>
      <c r="P16" s="20">
        <f t="shared" si="4"/>
        <v>0</v>
      </c>
      <c r="Q16" s="29">
        <v>1238</v>
      </c>
      <c r="R16" s="20"/>
      <c r="S16" s="20">
        <f t="shared" si="5"/>
        <v>0</v>
      </c>
    </row>
    <row r="17" spans="1:19" s="12" customFormat="1" x14ac:dyDescent="0.3">
      <c r="A17" s="11" t="s">
        <v>19</v>
      </c>
      <c r="B17" s="7"/>
      <c r="C17" s="7"/>
      <c r="D17" s="30">
        <f>SUM(D3:D16)</f>
        <v>0</v>
      </c>
      <c r="E17" s="7"/>
      <c r="F17" s="7"/>
      <c r="G17" s="30">
        <f>SUM(G3:G16)</f>
        <v>0</v>
      </c>
      <c r="H17" s="7"/>
      <c r="I17" s="7"/>
      <c r="J17" s="30">
        <f>SUM(J3:J16)</f>
        <v>0</v>
      </c>
      <c r="K17" s="7"/>
      <c r="L17" s="7"/>
      <c r="M17" s="30">
        <f>SUM(M3:M16)</f>
        <v>0</v>
      </c>
      <c r="N17" s="7"/>
      <c r="O17" s="7"/>
      <c r="P17" s="30">
        <f>SUM(P3:P16)</f>
        <v>0</v>
      </c>
      <c r="Q17" s="7"/>
      <c r="R17" s="7"/>
      <c r="S17" s="30">
        <f>SUM(S3:S16)</f>
        <v>0</v>
      </c>
    </row>
    <row r="18" spans="1:19" x14ac:dyDescent="0.3">
      <c r="A18" s="7"/>
      <c r="B18" s="7"/>
      <c r="C18" s="7"/>
      <c r="D18" s="10"/>
      <c r="E18" s="7"/>
      <c r="F18" s="7"/>
      <c r="G18" s="10"/>
      <c r="H18" s="7"/>
      <c r="I18" s="7"/>
      <c r="J18" s="10"/>
      <c r="K18" s="7"/>
      <c r="L18" s="7"/>
      <c r="M18" s="10"/>
      <c r="N18" s="7"/>
      <c r="O18" s="7"/>
      <c r="P18" s="10"/>
      <c r="Q18" s="7"/>
      <c r="R18" s="7"/>
      <c r="S18" s="10"/>
    </row>
    <row r="19" spans="1:19" x14ac:dyDescent="0.3">
      <c r="A19" s="5" t="s">
        <v>14</v>
      </c>
      <c r="B19" s="7"/>
      <c r="C19" s="7"/>
      <c r="D19" s="5" t="s">
        <v>26</v>
      </c>
      <c r="E19" s="7"/>
      <c r="F19" s="7"/>
      <c r="G19" s="5" t="s">
        <v>26</v>
      </c>
      <c r="H19" s="7"/>
      <c r="I19" s="7"/>
      <c r="J19" s="5" t="s">
        <v>26</v>
      </c>
      <c r="K19" s="7"/>
      <c r="L19" s="7"/>
      <c r="M19" s="5" t="s">
        <v>26</v>
      </c>
      <c r="N19" s="7"/>
      <c r="O19" s="7"/>
      <c r="P19" s="5" t="s">
        <v>26</v>
      </c>
      <c r="Q19" s="7"/>
      <c r="R19" s="7"/>
      <c r="S19" s="25" t="s">
        <v>26</v>
      </c>
    </row>
    <row r="20" spans="1:19" x14ac:dyDescent="0.3">
      <c r="A20" s="5" t="s">
        <v>15</v>
      </c>
      <c r="B20" s="7"/>
      <c r="C20" s="7"/>
      <c r="D20" s="20">
        <v>1100000</v>
      </c>
      <c r="E20" s="7"/>
      <c r="F20" s="7"/>
      <c r="G20" s="20">
        <v>1166000</v>
      </c>
      <c r="H20" s="7"/>
      <c r="I20" s="7"/>
      <c r="J20" s="20">
        <v>1235960</v>
      </c>
      <c r="K20" s="7"/>
      <c r="L20" s="7"/>
      <c r="M20" s="20">
        <v>1310118</v>
      </c>
      <c r="N20" s="7"/>
      <c r="O20" s="7"/>
      <c r="P20" s="20">
        <v>1388725</v>
      </c>
      <c r="Q20" s="7"/>
      <c r="R20" s="7"/>
      <c r="S20" s="20">
        <v>694362</v>
      </c>
    </row>
    <row r="21" spans="1:19" x14ac:dyDescent="0.3">
      <c r="A21" s="5" t="s">
        <v>18</v>
      </c>
      <c r="B21" s="8"/>
      <c r="C21" s="9"/>
      <c r="D21" s="5" t="s">
        <v>26</v>
      </c>
      <c r="E21" s="8"/>
      <c r="F21" s="9"/>
      <c r="G21" s="5" t="s">
        <v>26</v>
      </c>
      <c r="H21" s="8"/>
      <c r="I21" s="9"/>
      <c r="J21" s="5" t="s">
        <v>26</v>
      </c>
      <c r="K21" s="8"/>
      <c r="L21" s="9"/>
      <c r="M21" s="5" t="s">
        <v>26</v>
      </c>
      <c r="N21" s="8"/>
      <c r="O21" s="9"/>
      <c r="P21" s="5" t="s">
        <v>26</v>
      </c>
      <c r="Q21" s="8"/>
      <c r="R21" s="9"/>
      <c r="S21" s="25" t="s">
        <v>26</v>
      </c>
    </row>
    <row r="22" spans="1:19" x14ac:dyDescent="0.3">
      <c r="D22" s="2"/>
    </row>
    <row r="23" spans="1:19" x14ac:dyDescent="0.3">
      <c r="D23" s="2"/>
    </row>
    <row r="25" spans="1:19" x14ac:dyDescent="0.3">
      <c r="D25" s="1"/>
    </row>
  </sheetData>
  <mergeCells count="6">
    <mergeCell ref="Q1:S1"/>
    <mergeCell ref="B1:D1"/>
    <mergeCell ref="E1:G1"/>
    <mergeCell ref="H1:J1"/>
    <mergeCell ref="K1:M1"/>
    <mergeCell ref="N1:P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
  <sheetViews>
    <sheetView workbookViewId="0">
      <selection activeCell="D3" sqref="D3"/>
    </sheetView>
  </sheetViews>
  <sheetFormatPr defaultRowHeight="14.4" x14ac:dyDescent="0.3"/>
  <cols>
    <col min="1" max="1" width="20.109375" style="5" customWidth="1"/>
    <col min="2" max="2" width="11.88671875" style="5" bestFit="1" customWidth="1"/>
    <col min="3" max="3" width="19.44140625" style="28" bestFit="1" customWidth="1"/>
    <col min="4" max="4" width="19.88671875" style="28" customWidth="1"/>
    <col min="5" max="5" width="13" style="5" bestFit="1" customWidth="1"/>
    <col min="6" max="6" width="9.21875" style="5" bestFit="1" customWidth="1"/>
    <col min="7" max="7" width="13.21875" style="5" bestFit="1" customWidth="1"/>
    <col min="8" max="8" width="13" style="5" bestFit="1" customWidth="1"/>
    <col min="9" max="9" width="9.21875" style="5" bestFit="1" customWidth="1"/>
    <col min="10" max="10" width="13.21875" style="5" bestFit="1" customWidth="1"/>
    <col min="11" max="11" width="13" style="5" bestFit="1" customWidth="1"/>
    <col min="12" max="12" width="9.21875" style="5" bestFit="1" customWidth="1"/>
    <col min="13" max="13" width="13.21875" style="5" bestFit="1" customWidth="1"/>
    <col min="14" max="14" width="13" style="5" bestFit="1" customWidth="1"/>
    <col min="15" max="15" width="9.21875" style="5" bestFit="1" customWidth="1"/>
    <col min="16" max="16" width="13.21875" style="5" bestFit="1" customWidth="1"/>
    <col min="17" max="17" width="13" style="5" bestFit="1" customWidth="1"/>
    <col min="18" max="18" width="9.21875" style="5" bestFit="1" customWidth="1"/>
    <col min="19" max="19" width="13.21875" style="5" bestFit="1" customWidth="1"/>
    <col min="20" max="20" width="13" style="28" bestFit="1" customWidth="1"/>
    <col min="21" max="21" width="9.21875" style="28" bestFit="1" customWidth="1"/>
    <col min="22" max="22" width="13.21875" style="28" bestFit="1" customWidth="1"/>
  </cols>
  <sheetData>
    <row r="1" spans="1:22" x14ac:dyDescent="0.3">
      <c r="A1" s="45"/>
      <c r="B1" s="46"/>
      <c r="C1" s="33"/>
      <c r="D1" s="19"/>
      <c r="E1" s="47" t="s">
        <v>29</v>
      </c>
      <c r="F1" s="47"/>
      <c r="G1" s="47"/>
      <c r="H1" s="47" t="s">
        <v>30</v>
      </c>
      <c r="I1" s="47"/>
      <c r="J1" s="47"/>
      <c r="K1" s="47" t="s">
        <v>31</v>
      </c>
      <c r="L1" s="47"/>
      <c r="M1" s="47"/>
      <c r="N1" s="47" t="s">
        <v>32</v>
      </c>
      <c r="O1" s="47"/>
      <c r="P1" s="47"/>
      <c r="Q1" s="47" t="s">
        <v>33</v>
      </c>
      <c r="R1" s="47"/>
      <c r="S1" s="47"/>
      <c r="T1" s="47" t="s">
        <v>40</v>
      </c>
      <c r="U1" s="47"/>
      <c r="V1" s="47"/>
    </row>
    <row r="2" spans="1:22" ht="28.8" x14ac:dyDescent="0.3">
      <c r="A2" s="14" t="s">
        <v>49</v>
      </c>
      <c r="B2" s="14" t="s">
        <v>34</v>
      </c>
      <c r="C2" s="14" t="s">
        <v>51</v>
      </c>
      <c r="D2" s="34" t="s">
        <v>50</v>
      </c>
      <c r="E2" s="14" t="s">
        <v>35</v>
      </c>
      <c r="F2" s="14" t="s">
        <v>36</v>
      </c>
      <c r="G2" s="14" t="s">
        <v>37</v>
      </c>
      <c r="H2" s="14" t="s">
        <v>35</v>
      </c>
      <c r="I2" s="14" t="s">
        <v>36</v>
      </c>
      <c r="J2" s="14" t="s">
        <v>37</v>
      </c>
      <c r="K2" s="14" t="s">
        <v>35</v>
      </c>
      <c r="L2" s="14" t="s">
        <v>36</v>
      </c>
      <c r="M2" s="14" t="s">
        <v>37</v>
      </c>
      <c r="N2" s="14" t="s">
        <v>35</v>
      </c>
      <c r="O2" s="14" t="s">
        <v>36</v>
      </c>
      <c r="P2" s="14" t="s">
        <v>37</v>
      </c>
      <c r="Q2" s="14" t="s">
        <v>35</v>
      </c>
      <c r="R2" s="14" t="s">
        <v>36</v>
      </c>
      <c r="S2" s="14" t="s">
        <v>37</v>
      </c>
      <c r="T2" s="14" t="s">
        <v>35</v>
      </c>
      <c r="U2" s="14" t="s">
        <v>36</v>
      </c>
      <c r="V2" s="14" t="s">
        <v>37</v>
      </c>
    </row>
  </sheetData>
  <mergeCells count="7">
    <mergeCell ref="A1:B1"/>
    <mergeCell ref="T1:V1"/>
    <mergeCell ref="E1:G1"/>
    <mergeCell ref="H1:J1"/>
    <mergeCell ref="K1:M1"/>
    <mergeCell ref="N1:P1"/>
    <mergeCell ref="Q1:S1"/>
  </mergeCells>
  <pageMargins left="0.7" right="0.7" top="0.75" bottom="0.75" header="0.3" footer="0.3"/>
</worksheet>
</file>

<file path=docMetadata/LabelInfo.xml><?xml version="1.0" encoding="utf-8"?>
<clbl:labelList xmlns:clbl="http://schemas.microsoft.com/office/2020/mipLabelMetadata">
  <clbl:label id="{b27ac744-d744-4b94-baa9-948b89b4017a}" enabled="1" method="Standard" siteId="{e3333e00-c877-4b87-b6ad-45e942de175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SUMMARY</vt:lpstr>
      <vt:lpstr>Yearly Breakdown</vt:lpstr>
      <vt:lpstr>Parts</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Bigda, Michael C CIV MSC, N75</dc:creator>
  <cp:lastModifiedBy>Beach, Shelby M CIV USN NAVSTA NORFOLK VA (USA)</cp:lastModifiedBy>
  <dcterms:created xsi:type="dcterms:W3CDTF">2020-06-19T20:33:09Z</dcterms:created>
  <dcterms:modified xsi:type="dcterms:W3CDTF">2026-03-26T16:41:21Z</dcterms:modified>
</cp:coreProperties>
</file>