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 -Tree Inventories\Tree Database Managment Subscription\"/>
    </mc:Choice>
  </mc:AlternateContent>
  <xr:revisionPtr revIDLastSave="0" documentId="8_{747578BB-6C70-4D00-8C76-AE762CDB39A2}" xr6:coauthVersionLast="47" xr6:coauthVersionMax="47" xr10:uidLastSave="{00000000-0000-0000-0000-000000000000}"/>
  <bookViews>
    <workbookView xWindow="27540" yWindow="2340" windowWidth="18900" windowHeight="11055" xr2:uid="{00000000-000D-0000-FFFF-FFFF00000000}"/>
  </bookViews>
  <sheets>
    <sheet name="Eagle Point NC 2005 TK data" sheetId="1" r:id="rId1"/>
    <sheet name="276-339" sheetId="10" r:id="rId2"/>
    <sheet name="201-275" sheetId="9" r:id="rId3"/>
    <sheet name="126-200" sheetId="8" r:id="rId4"/>
    <sheet name="51-125" sheetId="7" r:id="rId5"/>
    <sheet name="top 50" sheetId="6" r:id="rId6"/>
    <sheet name="Prioritized" sheetId="5" r:id="rId7"/>
    <sheet name="BY MAINTENANCE" sheetId="11" r:id="rId8"/>
    <sheet name="all edited with common" sheetId="2" r:id="rId9"/>
  </sheets>
  <definedNames>
    <definedName name="_xlnm.Print_Titles" localSheetId="8">'all edited with common'!$1:$1</definedName>
    <definedName name="_xlnm.Print_Titles" localSheetId="7">'BY MAINTENANCE'!$1:$1</definedName>
    <definedName name="_xlnm.Print_Titles" localSheetId="6">Prioritized!$1:$2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6" i="10" l="1"/>
  <c r="J66" i="10"/>
  <c r="O66" i="10" s="1"/>
  <c r="L66" i="10"/>
  <c r="N66" i="10"/>
  <c r="H65" i="10"/>
  <c r="J65" i="10"/>
  <c r="L65" i="10"/>
  <c r="N65" i="10"/>
  <c r="H64" i="10"/>
  <c r="J64" i="10"/>
  <c r="O64" i="10" s="1"/>
  <c r="L64" i="10"/>
  <c r="N64" i="10"/>
  <c r="H63" i="10"/>
  <c r="J63" i="10"/>
  <c r="L63" i="10"/>
  <c r="N63" i="10"/>
  <c r="O63" i="10"/>
  <c r="H62" i="10"/>
  <c r="J62" i="10"/>
  <c r="L62" i="10"/>
  <c r="N62" i="10"/>
  <c r="H61" i="10"/>
  <c r="J61" i="10"/>
  <c r="L61" i="10"/>
  <c r="N61" i="10"/>
  <c r="H60" i="10"/>
  <c r="J60" i="10"/>
  <c r="L60" i="10"/>
  <c r="N60" i="10"/>
  <c r="H59" i="10"/>
  <c r="J59" i="10"/>
  <c r="L59" i="10"/>
  <c r="N59" i="10"/>
  <c r="O59" i="10"/>
  <c r="H58" i="10"/>
  <c r="J58" i="10"/>
  <c r="L58" i="10"/>
  <c r="N58" i="10"/>
  <c r="H57" i="10"/>
  <c r="J57" i="10"/>
  <c r="L57" i="10"/>
  <c r="N57" i="10"/>
  <c r="H56" i="10"/>
  <c r="J56" i="10"/>
  <c r="L56" i="10"/>
  <c r="N56" i="10"/>
  <c r="H55" i="10"/>
  <c r="J55" i="10"/>
  <c r="L55" i="10"/>
  <c r="O55" i="10" s="1"/>
  <c r="N55" i="10"/>
  <c r="H54" i="10"/>
  <c r="J54" i="10"/>
  <c r="L54" i="10"/>
  <c r="N54" i="10"/>
  <c r="H53" i="10"/>
  <c r="J53" i="10"/>
  <c r="L53" i="10"/>
  <c r="O53" i="10" s="1"/>
  <c r="N53" i="10"/>
  <c r="H52" i="10"/>
  <c r="J52" i="10"/>
  <c r="L52" i="10"/>
  <c r="N52" i="10"/>
  <c r="H51" i="10"/>
  <c r="J51" i="10"/>
  <c r="L51" i="10"/>
  <c r="N51" i="10"/>
  <c r="H50" i="10"/>
  <c r="J50" i="10"/>
  <c r="L50" i="10"/>
  <c r="N50" i="10"/>
  <c r="H49" i="10"/>
  <c r="J49" i="10"/>
  <c r="L49" i="10"/>
  <c r="O49" i="10" s="1"/>
  <c r="N49" i="10"/>
  <c r="H48" i="10"/>
  <c r="J48" i="10"/>
  <c r="O48" i="10" s="1"/>
  <c r="L48" i="10"/>
  <c r="N48" i="10"/>
  <c r="H47" i="10"/>
  <c r="J47" i="10"/>
  <c r="L47" i="10"/>
  <c r="N47" i="10"/>
  <c r="H46" i="10"/>
  <c r="J46" i="10"/>
  <c r="L46" i="10"/>
  <c r="N46" i="10"/>
  <c r="O46" i="10" s="1"/>
  <c r="H45" i="10"/>
  <c r="J45" i="10"/>
  <c r="L45" i="10"/>
  <c r="N45" i="10"/>
  <c r="H44" i="10"/>
  <c r="J44" i="10"/>
  <c r="L44" i="10"/>
  <c r="N44" i="10"/>
  <c r="H43" i="10"/>
  <c r="J43" i="10"/>
  <c r="L43" i="10"/>
  <c r="N43" i="10"/>
  <c r="H42" i="10"/>
  <c r="J42" i="10"/>
  <c r="L42" i="10"/>
  <c r="N42" i="10"/>
  <c r="O42" i="10" s="1"/>
  <c r="H41" i="10"/>
  <c r="J41" i="10"/>
  <c r="L41" i="10"/>
  <c r="N41" i="10"/>
  <c r="H40" i="10"/>
  <c r="J40" i="10"/>
  <c r="L40" i="10"/>
  <c r="N40" i="10"/>
  <c r="H39" i="10"/>
  <c r="O39" i="10" s="1"/>
  <c r="J39" i="10"/>
  <c r="L39" i="10"/>
  <c r="N39" i="10"/>
  <c r="H38" i="10"/>
  <c r="J38" i="10"/>
  <c r="L38" i="10"/>
  <c r="N38" i="10"/>
  <c r="O38" i="10" s="1"/>
  <c r="H37" i="10"/>
  <c r="J37" i="10"/>
  <c r="L37" i="10"/>
  <c r="O37" i="10" s="1"/>
  <c r="N37" i="10"/>
  <c r="H36" i="10"/>
  <c r="J36" i="10"/>
  <c r="L36" i="10"/>
  <c r="N36" i="10"/>
  <c r="H35" i="10"/>
  <c r="O35" i="10" s="1"/>
  <c r="J35" i="10"/>
  <c r="L35" i="10"/>
  <c r="N35" i="10"/>
  <c r="H34" i="10"/>
  <c r="J34" i="10"/>
  <c r="L34" i="10"/>
  <c r="N34" i="10"/>
  <c r="H33" i="10"/>
  <c r="J33" i="10"/>
  <c r="L33" i="10"/>
  <c r="N33" i="10"/>
  <c r="H32" i="10"/>
  <c r="J32" i="10"/>
  <c r="L32" i="10"/>
  <c r="N32" i="10"/>
  <c r="H31" i="10"/>
  <c r="J31" i="10"/>
  <c r="L31" i="10"/>
  <c r="N31" i="10"/>
  <c r="O31" i="10"/>
  <c r="H30" i="10"/>
  <c r="J30" i="10"/>
  <c r="L30" i="10"/>
  <c r="N30" i="10"/>
  <c r="H29" i="10"/>
  <c r="J29" i="10"/>
  <c r="L29" i="10"/>
  <c r="N29" i="10"/>
  <c r="H28" i="10"/>
  <c r="J28" i="10"/>
  <c r="O28" i="10" s="1"/>
  <c r="L28" i="10"/>
  <c r="N28" i="10"/>
  <c r="H27" i="10"/>
  <c r="J27" i="10"/>
  <c r="L27" i="10"/>
  <c r="N27" i="10"/>
  <c r="O27" i="10" s="1"/>
  <c r="H26" i="10"/>
  <c r="J26" i="10"/>
  <c r="L26" i="10"/>
  <c r="N26" i="10"/>
  <c r="H25" i="10"/>
  <c r="J25" i="10"/>
  <c r="L25" i="10"/>
  <c r="O25" i="10" s="1"/>
  <c r="N25" i="10"/>
  <c r="H24" i="10"/>
  <c r="J24" i="10"/>
  <c r="L24" i="10"/>
  <c r="N24" i="10"/>
  <c r="H23" i="10"/>
  <c r="J23" i="10"/>
  <c r="L23" i="10"/>
  <c r="N23" i="10"/>
  <c r="O23" i="10"/>
  <c r="H22" i="10"/>
  <c r="J22" i="10"/>
  <c r="L22" i="10"/>
  <c r="N22" i="10"/>
  <c r="H21" i="10"/>
  <c r="J21" i="10"/>
  <c r="L21" i="10"/>
  <c r="N21" i="10"/>
  <c r="H20" i="10"/>
  <c r="J20" i="10"/>
  <c r="L20" i="10"/>
  <c r="N20" i="10"/>
  <c r="H19" i="10"/>
  <c r="J19" i="10"/>
  <c r="L19" i="10"/>
  <c r="N19" i="10"/>
  <c r="H18" i="10"/>
  <c r="J18" i="10"/>
  <c r="L18" i="10"/>
  <c r="N18" i="10"/>
  <c r="H17" i="10"/>
  <c r="J17" i="10"/>
  <c r="L17" i="10"/>
  <c r="N17" i="10"/>
  <c r="H16" i="10"/>
  <c r="J16" i="10"/>
  <c r="O16" i="10" s="1"/>
  <c r="L16" i="10"/>
  <c r="N16" i="10"/>
  <c r="H15" i="10"/>
  <c r="J15" i="10"/>
  <c r="L15" i="10"/>
  <c r="N15" i="10"/>
  <c r="H14" i="10"/>
  <c r="J14" i="10"/>
  <c r="L14" i="10"/>
  <c r="N14" i="10"/>
  <c r="O14" i="10" s="1"/>
  <c r="H13" i="10"/>
  <c r="J13" i="10"/>
  <c r="L13" i="10"/>
  <c r="N13" i="10"/>
  <c r="H12" i="10"/>
  <c r="J12" i="10"/>
  <c r="L12" i="10"/>
  <c r="N12" i="10"/>
  <c r="H11" i="10"/>
  <c r="J11" i="10"/>
  <c r="L11" i="10"/>
  <c r="N11" i="10"/>
  <c r="H10" i="10"/>
  <c r="J10" i="10"/>
  <c r="L10" i="10"/>
  <c r="N10" i="10"/>
  <c r="O10" i="10" s="1"/>
  <c r="H9" i="10"/>
  <c r="J9" i="10"/>
  <c r="L9" i="10"/>
  <c r="N9" i="10"/>
  <c r="H8" i="10"/>
  <c r="J8" i="10"/>
  <c r="L8" i="10"/>
  <c r="N8" i="10"/>
  <c r="H7" i="10"/>
  <c r="O7" i="10" s="1"/>
  <c r="J7" i="10"/>
  <c r="L7" i="10"/>
  <c r="N7" i="10"/>
  <c r="H6" i="10"/>
  <c r="J6" i="10"/>
  <c r="L6" i="10"/>
  <c r="N6" i="10"/>
  <c r="O6" i="10" s="1"/>
  <c r="H5" i="10"/>
  <c r="J5" i="10"/>
  <c r="L5" i="10"/>
  <c r="O5" i="10" s="1"/>
  <c r="N5" i="10"/>
  <c r="H4" i="10"/>
  <c r="J4" i="10"/>
  <c r="L4" i="10"/>
  <c r="N4" i="10"/>
  <c r="H3" i="10"/>
  <c r="O3" i="10" s="1"/>
  <c r="J3" i="10"/>
  <c r="L3" i="10"/>
  <c r="N3" i="10"/>
  <c r="H77" i="9"/>
  <c r="J77" i="9"/>
  <c r="L77" i="9"/>
  <c r="N77" i="9"/>
  <c r="H76" i="9"/>
  <c r="J76" i="9"/>
  <c r="L76" i="9"/>
  <c r="N76" i="9"/>
  <c r="H75" i="9"/>
  <c r="J75" i="9"/>
  <c r="L75" i="9"/>
  <c r="N75" i="9"/>
  <c r="H74" i="9"/>
  <c r="J74" i="9"/>
  <c r="L74" i="9"/>
  <c r="N74" i="9"/>
  <c r="O74" i="9"/>
  <c r="H73" i="9"/>
  <c r="J73" i="9"/>
  <c r="O73" i="9" s="1"/>
  <c r="L73" i="9"/>
  <c r="N73" i="9"/>
  <c r="H72" i="9"/>
  <c r="J72" i="9"/>
  <c r="L72" i="9"/>
  <c r="N72" i="9"/>
  <c r="H71" i="9"/>
  <c r="J71" i="9"/>
  <c r="O71" i="9" s="1"/>
  <c r="L71" i="9"/>
  <c r="N71" i="9"/>
  <c r="H70" i="9"/>
  <c r="J70" i="9"/>
  <c r="L70" i="9"/>
  <c r="N70" i="9"/>
  <c r="O70" i="9" s="1"/>
  <c r="H69" i="9"/>
  <c r="J69" i="9"/>
  <c r="L69" i="9"/>
  <c r="N69" i="9"/>
  <c r="H68" i="9"/>
  <c r="J68" i="9"/>
  <c r="L68" i="9"/>
  <c r="O68" i="9" s="1"/>
  <c r="N68" i="9"/>
  <c r="H67" i="9"/>
  <c r="J67" i="9"/>
  <c r="L67" i="9"/>
  <c r="N67" i="9"/>
  <c r="H66" i="9"/>
  <c r="J66" i="9"/>
  <c r="L66" i="9"/>
  <c r="O66" i="9" s="1"/>
  <c r="N66" i="9"/>
  <c r="H65" i="9"/>
  <c r="J65" i="9"/>
  <c r="L65" i="9"/>
  <c r="N65" i="9"/>
  <c r="H64" i="9"/>
  <c r="J64" i="9"/>
  <c r="L64" i="9"/>
  <c r="N64" i="9"/>
  <c r="H63" i="9"/>
  <c r="J63" i="9"/>
  <c r="L63" i="9"/>
  <c r="N63" i="9"/>
  <c r="H62" i="9"/>
  <c r="J62" i="9"/>
  <c r="O62" i="9" s="1"/>
  <c r="L62" i="9"/>
  <c r="N62" i="9"/>
  <c r="H61" i="9"/>
  <c r="J61" i="9"/>
  <c r="O61" i="9" s="1"/>
  <c r="L61" i="9"/>
  <c r="N61" i="9"/>
  <c r="H60" i="9"/>
  <c r="J60" i="9"/>
  <c r="L60" i="9"/>
  <c r="N60" i="9"/>
  <c r="H59" i="9"/>
  <c r="J59" i="9"/>
  <c r="O59" i="9" s="1"/>
  <c r="L59" i="9"/>
  <c r="N59" i="9"/>
  <c r="H58" i="9"/>
  <c r="J58" i="9"/>
  <c r="L58" i="9"/>
  <c r="N58" i="9"/>
  <c r="H57" i="9"/>
  <c r="J57" i="9"/>
  <c r="L57" i="9"/>
  <c r="N57" i="9"/>
  <c r="H56" i="9"/>
  <c r="J56" i="9"/>
  <c r="L56" i="9"/>
  <c r="N56" i="9"/>
  <c r="H55" i="9"/>
  <c r="J55" i="9"/>
  <c r="L55" i="9"/>
  <c r="N55" i="9"/>
  <c r="H54" i="9"/>
  <c r="J54" i="9"/>
  <c r="L54" i="9"/>
  <c r="N54" i="9"/>
  <c r="H53" i="9"/>
  <c r="J53" i="9"/>
  <c r="L53" i="9"/>
  <c r="N53" i="9"/>
  <c r="H52" i="9"/>
  <c r="J52" i="9"/>
  <c r="L52" i="9"/>
  <c r="N52" i="9"/>
  <c r="H51" i="9"/>
  <c r="J51" i="9"/>
  <c r="L51" i="9"/>
  <c r="N51" i="9"/>
  <c r="H50" i="9"/>
  <c r="O50" i="9" s="1"/>
  <c r="J50" i="9"/>
  <c r="L50" i="9"/>
  <c r="N50" i="9"/>
  <c r="H49" i="9"/>
  <c r="J49" i="9"/>
  <c r="L49" i="9"/>
  <c r="N49" i="9"/>
  <c r="H48" i="9"/>
  <c r="J48" i="9"/>
  <c r="L48" i="9"/>
  <c r="O48" i="9" s="1"/>
  <c r="N48" i="9"/>
  <c r="H47" i="9"/>
  <c r="J47" i="9"/>
  <c r="L47" i="9"/>
  <c r="N47" i="9"/>
  <c r="H46" i="9"/>
  <c r="O46" i="9" s="1"/>
  <c r="J46" i="9"/>
  <c r="L46" i="9"/>
  <c r="N46" i="9"/>
  <c r="H45" i="9"/>
  <c r="J45" i="9"/>
  <c r="L45" i="9"/>
  <c r="N45" i="9"/>
  <c r="H44" i="9"/>
  <c r="J44" i="9"/>
  <c r="L44" i="9"/>
  <c r="N44" i="9"/>
  <c r="H43" i="9"/>
  <c r="J43" i="9"/>
  <c r="L43" i="9"/>
  <c r="N43" i="9"/>
  <c r="H42" i="9"/>
  <c r="J42" i="9"/>
  <c r="L42" i="9"/>
  <c r="N42" i="9"/>
  <c r="O42" i="9"/>
  <c r="H41" i="9"/>
  <c r="J41" i="9"/>
  <c r="O41" i="9" s="1"/>
  <c r="L41" i="9"/>
  <c r="N41" i="9"/>
  <c r="H40" i="9"/>
  <c r="J40" i="9"/>
  <c r="L40" i="9"/>
  <c r="N40" i="9"/>
  <c r="H39" i="9"/>
  <c r="J39" i="9"/>
  <c r="O39" i="9" s="1"/>
  <c r="L39" i="9"/>
  <c r="N39" i="9"/>
  <c r="H38" i="9"/>
  <c r="J38" i="9"/>
  <c r="L38" i="9"/>
  <c r="N38" i="9"/>
  <c r="O38" i="9" s="1"/>
  <c r="H37" i="9"/>
  <c r="J37" i="9"/>
  <c r="L37" i="9"/>
  <c r="N37" i="9"/>
  <c r="H36" i="9"/>
  <c r="J36" i="9"/>
  <c r="L36" i="9"/>
  <c r="O36" i="9" s="1"/>
  <c r="N36" i="9"/>
  <c r="H35" i="9"/>
  <c r="J35" i="9"/>
  <c r="L35" i="9"/>
  <c r="N35" i="9"/>
  <c r="H34" i="9"/>
  <c r="J34" i="9"/>
  <c r="L34" i="9"/>
  <c r="O34" i="9" s="1"/>
  <c r="N34" i="9"/>
  <c r="H33" i="9"/>
  <c r="J33" i="9"/>
  <c r="L33" i="9"/>
  <c r="N33" i="9"/>
  <c r="H32" i="9"/>
  <c r="J32" i="9"/>
  <c r="L32" i="9"/>
  <c r="N32" i="9"/>
  <c r="H31" i="9"/>
  <c r="J31" i="9"/>
  <c r="L31" i="9"/>
  <c r="N31" i="9"/>
  <c r="H30" i="9"/>
  <c r="J30" i="9"/>
  <c r="O30" i="9" s="1"/>
  <c r="L30" i="9"/>
  <c r="N30" i="9"/>
  <c r="H29" i="9"/>
  <c r="J29" i="9"/>
  <c r="O29" i="9" s="1"/>
  <c r="L29" i="9"/>
  <c r="N29" i="9"/>
  <c r="H28" i="9"/>
  <c r="J28" i="9"/>
  <c r="L28" i="9"/>
  <c r="N28" i="9"/>
  <c r="H27" i="9"/>
  <c r="J27" i="9"/>
  <c r="O27" i="9" s="1"/>
  <c r="L27" i="9"/>
  <c r="N27" i="9"/>
  <c r="H26" i="9"/>
  <c r="J26" i="9"/>
  <c r="L26" i="9"/>
  <c r="N26" i="9"/>
  <c r="H25" i="9"/>
  <c r="J25" i="9"/>
  <c r="L25" i="9"/>
  <c r="N25" i="9"/>
  <c r="H24" i="9"/>
  <c r="J24" i="9"/>
  <c r="L24" i="9"/>
  <c r="N24" i="9"/>
  <c r="H23" i="9"/>
  <c r="J23" i="9"/>
  <c r="L23" i="9"/>
  <c r="N23" i="9"/>
  <c r="H22" i="9"/>
  <c r="J22" i="9"/>
  <c r="L22" i="9"/>
  <c r="N22" i="9"/>
  <c r="H21" i="9"/>
  <c r="J21" i="9"/>
  <c r="L21" i="9"/>
  <c r="N21" i="9"/>
  <c r="H20" i="9"/>
  <c r="J20" i="9"/>
  <c r="L20" i="9"/>
  <c r="N20" i="9"/>
  <c r="H19" i="9"/>
  <c r="J19" i="9"/>
  <c r="L19" i="9"/>
  <c r="N19" i="9"/>
  <c r="H18" i="9"/>
  <c r="O18" i="9" s="1"/>
  <c r="J18" i="9"/>
  <c r="L18" i="9"/>
  <c r="N18" i="9"/>
  <c r="H17" i="9"/>
  <c r="J17" i="9"/>
  <c r="L17" i="9"/>
  <c r="N17" i="9"/>
  <c r="H16" i="9"/>
  <c r="J16" i="9"/>
  <c r="L16" i="9"/>
  <c r="O16" i="9" s="1"/>
  <c r="N16" i="9"/>
  <c r="H15" i="9"/>
  <c r="J15" i="9"/>
  <c r="L15" i="9"/>
  <c r="N15" i="9"/>
  <c r="H14" i="9"/>
  <c r="O14" i="9" s="1"/>
  <c r="J14" i="9"/>
  <c r="L14" i="9"/>
  <c r="N14" i="9"/>
  <c r="H13" i="9"/>
  <c r="J13" i="9"/>
  <c r="L13" i="9"/>
  <c r="N13" i="9"/>
  <c r="H12" i="9"/>
  <c r="J12" i="9"/>
  <c r="L12" i="9"/>
  <c r="N12" i="9"/>
  <c r="H11" i="9"/>
  <c r="J11" i="9"/>
  <c r="L11" i="9"/>
  <c r="N11" i="9"/>
  <c r="H10" i="9"/>
  <c r="J10" i="9"/>
  <c r="L10" i="9"/>
  <c r="N10" i="9"/>
  <c r="O10" i="9"/>
  <c r="H9" i="9"/>
  <c r="J9" i="9"/>
  <c r="O9" i="9" s="1"/>
  <c r="L9" i="9"/>
  <c r="N9" i="9"/>
  <c r="H8" i="9"/>
  <c r="J8" i="9"/>
  <c r="L8" i="9"/>
  <c r="N8" i="9"/>
  <c r="H7" i="9"/>
  <c r="J7" i="9"/>
  <c r="O7" i="9" s="1"/>
  <c r="L7" i="9"/>
  <c r="N7" i="9"/>
  <c r="H6" i="9"/>
  <c r="J6" i="9"/>
  <c r="L6" i="9"/>
  <c r="N6" i="9"/>
  <c r="O6" i="9"/>
  <c r="H5" i="9"/>
  <c r="J5" i="9"/>
  <c r="L5" i="9"/>
  <c r="N5" i="9"/>
  <c r="H4" i="9"/>
  <c r="J4" i="9"/>
  <c r="L4" i="9"/>
  <c r="N4" i="9"/>
  <c r="H3" i="9"/>
  <c r="J3" i="9"/>
  <c r="L3" i="9"/>
  <c r="N3" i="9"/>
  <c r="H52" i="8"/>
  <c r="J52" i="8"/>
  <c r="L52" i="8"/>
  <c r="N52" i="8"/>
  <c r="O52" i="8"/>
  <c r="H51" i="8"/>
  <c r="J51" i="8"/>
  <c r="L51" i="8"/>
  <c r="N51" i="8"/>
  <c r="H50" i="8"/>
  <c r="J50" i="8"/>
  <c r="L50" i="8"/>
  <c r="N50" i="8"/>
  <c r="H49" i="8"/>
  <c r="J49" i="8"/>
  <c r="L49" i="8"/>
  <c r="N49" i="8"/>
  <c r="H48" i="8"/>
  <c r="J48" i="8"/>
  <c r="L48" i="8"/>
  <c r="N48" i="8"/>
  <c r="H47" i="8"/>
  <c r="J47" i="8"/>
  <c r="O47" i="8" s="1"/>
  <c r="L47" i="8"/>
  <c r="N47" i="8"/>
  <c r="H46" i="8"/>
  <c r="J46" i="8"/>
  <c r="L46" i="8"/>
  <c r="O46" i="8" s="1"/>
  <c r="N46" i="8"/>
  <c r="H45" i="8"/>
  <c r="J45" i="8"/>
  <c r="O45" i="8" s="1"/>
  <c r="L45" i="8"/>
  <c r="N45" i="8"/>
  <c r="H44" i="8"/>
  <c r="J44" i="8"/>
  <c r="L44" i="8"/>
  <c r="N44" i="8"/>
  <c r="H43" i="8"/>
  <c r="J43" i="8"/>
  <c r="L43" i="8"/>
  <c r="N43" i="8"/>
  <c r="H42" i="8"/>
  <c r="J42" i="8"/>
  <c r="L42" i="8"/>
  <c r="N42" i="8"/>
  <c r="H41" i="8"/>
  <c r="J41" i="8"/>
  <c r="L41" i="8"/>
  <c r="N41" i="8"/>
  <c r="H40" i="8"/>
  <c r="J40" i="8"/>
  <c r="L40" i="8"/>
  <c r="N40" i="8"/>
  <c r="H39" i="8"/>
  <c r="J39" i="8"/>
  <c r="L39" i="8"/>
  <c r="N39" i="8"/>
  <c r="H38" i="8"/>
  <c r="J38" i="8"/>
  <c r="L38" i="8"/>
  <c r="N38" i="8"/>
  <c r="H37" i="8"/>
  <c r="J37" i="8"/>
  <c r="L37" i="8"/>
  <c r="N37" i="8"/>
  <c r="H36" i="8"/>
  <c r="O36" i="8" s="1"/>
  <c r="J36" i="8"/>
  <c r="L36" i="8"/>
  <c r="N36" i="8"/>
  <c r="H35" i="8"/>
  <c r="J35" i="8"/>
  <c r="L35" i="8"/>
  <c r="N35" i="8"/>
  <c r="H34" i="8"/>
  <c r="J34" i="8"/>
  <c r="L34" i="8"/>
  <c r="O34" i="8" s="1"/>
  <c r="N34" i="8"/>
  <c r="H33" i="8"/>
  <c r="J33" i="8"/>
  <c r="L33" i="8"/>
  <c r="N33" i="8"/>
  <c r="H32" i="8"/>
  <c r="O32" i="8" s="1"/>
  <c r="J32" i="8"/>
  <c r="L32" i="8"/>
  <c r="N32" i="8"/>
  <c r="H31" i="8"/>
  <c r="J31" i="8"/>
  <c r="L31" i="8"/>
  <c r="N31" i="8"/>
  <c r="H30" i="8"/>
  <c r="J30" i="8"/>
  <c r="L30" i="8"/>
  <c r="N30" i="8"/>
  <c r="H29" i="8"/>
  <c r="J29" i="8"/>
  <c r="L29" i="8"/>
  <c r="N29" i="8"/>
  <c r="H3" i="8"/>
  <c r="J3" i="8"/>
  <c r="L3" i="8"/>
  <c r="N3" i="8"/>
  <c r="O3" i="8"/>
  <c r="H28" i="8"/>
  <c r="J28" i="8"/>
  <c r="O28" i="8" s="1"/>
  <c r="L28" i="8"/>
  <c r="N28" i="8"/>
  <c r="H27" i="8"/>
  <c r="J27" i="8"/>
  <c r="L27" i="8"/>
  <c r="N27" i="8"/>
  <c r="H26" i="8"/>
  <c r="J26" i="8"/>
  <c r="O26" i="8" s="1"/>
  <c r="L26" i="8"/>
  <c r="N26" i="8"/>
  <c r="H25" i="8"/>
  <c r="J25" i="8"/>
  <c r="L25" i="8"/>
  <c r="N25" i="8"/>
  <c r="O25" i="8"/>
  <c r="H24" i="8"/>
  <c r="J24" i="8"/>
  <c r="L24" i="8"/>
  <c r="N24" i="8"/>
  <c r="H23" i="8"/>
  <c r="J23" i="8"/>
  <c r="L23" i="8"/>
  <c r="N23" i="8"/>
  <c r="H22" i="8"/>
  <c r="J22" i="8"/>
  <c r="L22" i="8"/>
  <c r="N22" i="8"/>
  <c r="H21" i="8"/>
  <c r="J21" i="8"/>
  <c r="L21" i="8"/>
  <c r="N21" i="8"/>
  <c r="O21" i="8"/>
  <c r="H20" i="8"/>
  <c r="J20" i="8"/>
  <c r="L20" i="8"/>
  <c r="N20" i="8"/>
  <c r="H19" i="8"/>
  <c r="J19" i="8"/>
  <c r="L19" i="8"/>
  <c r="N19" i="8"/>
  <c r="H18" i="8"/>
  <c r="J18" i="8"/>
  <c r="L18" i="8"/>
  <c r="N18" i="8"/>
  <c r="H17" i="8"/>
  <c r="O17" i="8" s="1"/>
  <c r="J17" i="8"/>
  <c r="L17" i="8"/>
  <c r="N17" i="8"/>
  <c r="H16" i="8"/>
  <c r="J16" i="8"/>
  <c r="O16" i="8" s="1"/>
  <c r="L16" i="8"/>
  <c r="N16" i="8"/>
  <c r="H4" i="8"/>
  <c r="J4" i="8"/>
  <c r="L4" i="8"/>
  <c r="N4" i="8"/>
  <c r="H15" i="8"/>
  <c r="J15" i="8"/>
  <c r="O15" i="8" s="1"/>
  <c r="L15" i="8"/>
  <c r="N15" i="8"/>
  <c r="H14" i="8"/>
  <c r="O14" i="8" s="1"/>
  <c r="J14" i="8"/>
  <c r="L14" i="8"/>
  <c r="N14" i="8"/>
  <c r="H13" i="8"/>
  <c r="J13" i="8"/>
  <c r="L13" i="8"/>
  <c r="N13" i="8"/>
  <c r="H12" i="8"/>
  <c r="J12" i="8"/>
  <c r="L12" i="8"/>
  <c r="N12" i="8"/>
  <c r="H11" i="8"/>
  <c r="J11" i="8"/>
  <c r="L11" i="8"/>
  <c r="N11" i="8"/>
  <c r="H10" i="8"/>
  <c r="O10" i="8" s="1"/>
  <c r="J10" i="8"/>
  <c r="L10" i="8"/>
  <c r="N10" i="8"/>
  <c r="H9" i="8"/>
  <c r="J9" i="8"/>
  <c r="L9" i="8"/>
  <c r="N9" i="8"/>
  <c r="H8" i="8"/>
  <c r="J8" i="8"/>
  <c r="L8" i="8"/>
  <c r="N8" i="8"/>
  <c r="H77" i="8"/>
  <c r="J77" i="8"/>
  <c r="L77" i="8"/>
  <c r="N77" i="8"/>
  <c r="H76" i="8"/>
  <c r="O76" i="8" s="1"/>
  <c r="J76" i="8"/>
  <c r="L76" i="8"/>
  <c r="N76" i="8"/>
  <c r="H75" i="8"/>
  <c r="J75" i="8"/>
  <c r="L75" i="8"/>
  <c r="N75" i="8"/>
  <c r="H74" i="8"/>
  <c r="J74" i="8"/>
  <c r="L74" i="8"/>
  <c r="O74" i="8" s="1"/>
  <c r="N74" i="8"/>
  <c r="H73" i="8"/>
  <c r="J73" i="8"/>
  <c r="L73" i="8"/>
  <c r="N73" i="8"/>
  <c r="H72" i="8"/>
  <c r="J72" i="8"/>
  <c r="L72" i="8"/>
  <c r="O72" i="8" s="1"/>
  <c r="N72" i="8"/>
  <c r="H71" i="8"/>
  <c r="J71" i="8"/>
  <c r="L71" i="8"/>
  <c r="N71" i="8"/>
  <c r="H70" i="8"/>
  <c r="J70" i="8"/>
  <c r="L70" i="8"/>
  <c r="N70" i="8"/>
  <c r="H69" i="8"/>
  <c r="J69" i="8"/>
  <c r="L69" i="8"/>
  <c r="N69" i="8"/>
  <c r="H68" i="8"/>
  <c r="J68" i="8"/>
  <c r="L68" i="8"/>
  <c r="N68" i="8"/>
  <c r="O68" i="8"/>
  <c r="H67" i="8"/>
  <c r="J67" i="8"/>
  <c r="O67" i="8" s="1"/>
  <c r="L67" i="8"/>
  <c r="N67" i="8"/>
  <c r="H66" i="8"/>
  <c r="J66" i="8"/>
  <c r="L66" i="8"/>
  <c r="N66" i="8"/>
  <c r="H65" i="8"/>
  <c r="J65" i="8"/>
  <c r="O65" i="8" s="1"/>
  <c r="L65" i="8"/>
  <c r="N65" i="8"/>
  <c r="H64" i="8"/>
  <c r="J64" i="8"/>
  <c r="L64" i="8"/>
  <c r="N64" i="8"/>
  <c r="O64" i="8"/>
  <c r="H63" i="8"/>
  <c r="J63" i="8"/>
  <c r="L63" i="8"/>
  <c r="N63" i="8"/>
  <c r="H62" i="8"/>
  <c r="J62" i="8"/>
  <c r="L62" i="8"/>
  <c r="N62" i="8"/>
  <c r="H7" i="8"/>
  <c r="J7" i="8"/>
  <c r="L7" i="8"/>
  <c r="N7" i="8"/>
  <c r="H6" i="8"/>
  <c r="J6" i="8"/>
  <c r="L6" i="8"/>
  <c r="N6" i="8"/>
  <c r="O6" i="8"/>
  <c r="H5" i="8"/>
  <c r="J5" i="8"/>
  <c r="L5" i="8"/>
  <c r="N5" i="8"/>
  <c r="H61" i="8"/>
  <c r="J61" i="8"/>
  <c r="L61" i="8"/>
  <c r="N61" i="8"/>
  <c r="H60" i="8"/>
  <c r="J60" i="8"/>
  <c r="L60" i="8"/>
  <c r="N60" i="8"/>
  <c r="H59" i="8"/>
  <c r="J59" i="8"/>
  <c r="L59" i="8"/>
  <c r="N59" i="8"/>
  <c r="H58" i="8"/>
  <c r="J58" i="8"/>
  <c r="L58" i="8"/>
  <c r="N58" i="8"/>
  <c r="H57" i="8"/>
  <c r="J57" i="8"/>
  <c r="L57" i="8"/>
  <c r="O57" i="8" s="1"/>
  <c r="N57" i="8"/>
  <c r="H56" i="8"/>
  <c r="J56" i="8"/>
  <c r="O56" i="8" s="1"/>
  <c r="L56" i="8"/>
  <c r="N56" i="8"/>
  <c r="H55" i="8"/>
  <c r="J55" i="8"/>
  <c r="L55" i="8"/>
  <c r="N55" i="8"/>
  <c r="H54" i="8"/>
  <c r="J54" i="8"/>
  <c r="L54" i="8"/>
  <c r="N54" i="8"/>
  <c r="H53" i="8"/>
  <c r="J53" i="8"/>
  <c r="L53" i="8"/>
  <c r="N53" i="8"/>
  <c r="H69" i="7"/>
  <c r="J69" i="7"/>
  <c r="L69" i="7"/>
  <c r="N69" i="7"/>
  <c r="H68" i="7"/>
  <c r="O68" i="7" s="1"/>
  <c r="J68" i="7"/>
  <c r="L68" i="7"/>
  <c r="N68" i="7"/>
  <c r="H67" i="7"/>
  <c r="J67" i="7"/>
  <c r="L67" i="7"/>
  <c r="N67" i="7"/>
  <c r="H66" i="7"/>
  <c r="J66" i="7"/>
  <c r="L66" i="7"/>
  <c r="N66" i="7"/>
  <c r="H65" i="7"/>
  <c r="J65" i="7"/>
  <c r="L65" i="7"/>
  <c r="N65" i="7"/>
  <c r="H64" i="7"/>
  <c r="O64" i="7" s="1"/>
  <c r="J64" i="7"/>
  <c r="L64" i="7"/>
  <c r="N64" i="7"/>
  <c r="H63" i="7"/>
  <c r="J63" i="7"/>
  <c r="O63" i="7" s="1"/>
  <c r="L63" i="7"/>
  <c r="N63" i="7"/>
  <c r="H62" i="7"/>
  <c r="J62" i="7"/>
  <c r="L62" i="7"/>
  <c r="O62" i="7" s="1"/>
  <c r="N62" i="7"/>
  <c r="H61" i="7"/>
  <c r="J61" i="7"/>
  <c r="O61" i="7" s="1"/>
  <c r="L61" i="7"/>
  <c r="N61" i="7"/>
  <c r="H60" i="7"/>
  <c r="J60" i="7"/>
  <c r="L60" i="7"/>
  <c r="O60" i="7" s="1"/>
  <c r="N60" i="7"/>
  <c r="H59" i="7"/>
  <c r="J59" i="7"/>
  <c r="L59" i="7"/>
  <c r="N59" i="7"/>
  <c r="H58" i="7"/>
  <c r="J58" i="7"/>
  <c r="L58" i="7"/>
  <c r="N58" i="7"/>
  <c r="H57" i="7"/>
  <c r="J57" i="7"/>
  <c r="O57" i="7" s="1"/>
  <c r="L57" i="7"/>
  <c r="N57" i="7"/>
  <c r="H56" i="7"/>
  <c r="J56" i="7"/>
  <c r="L56" i="7"/>
  <c r="N56" i="7"/>
  <c r="O56" i="7"/>
  <c r="H55" i="7"/>
  <c r="J55" i="7"/>
  <c r="L55" i="7"/>
  <c r="N55" i="7"/>
  <c r="H54" i="7"/>
  <c r="J54" i="7"/>
  <c r="L54" i="7"/>
  <c r="N54" i="7"/>
  <c r="H53" i="7"/>
  <c r="J53" i="7"/>
  <c r="L53" i="7"/>
  <c r="N53" i="7"/>
  <c r="H52" i="7"/>
  <c r="J52" i="7"/>
  <c r="L52" i="7"/>
  <c r="N52" i="7"/>
  <c r="O52" i="7"/>
  <c r="H10" i="7"/>
  <c r="J10" i="7"/>
  <c r="L10" i="7"/>
  <c r="N10" i="7"/>
  <c r="H9" i="7"/>
  <c r="J9" i="7"/>
  <c r="L9" i="7"/>
  <c r="N9" i="7"/>
  <c r="H8" i="7"/>
  <c r="J8" i="7"/>
  <c r="L8" i="7"/>
  <c r="N8" i="7"/>
  <c r="H7" i="7"/>
  <c r="J7" i="7"/>
  <c r="L7" i="7"/>
  <c r="O7" i="7" s="1"/>
  <c r="N7" i="7"/>
  <c r="H51" i="7"/>
  <c r="J51" i="7"/>
  <c r="L51" i="7"/>
  <c r="N51" i="7"/>
  <c r="H50" i="7"/>
  <c r="J50" i="7"/>
  <c r="L50" i="7"/>
  <c r="O50" i="7" s="1"/>
  <c r="N50" i="7"/>
  <c r="H49" i="7"/>
  <c r="J49" i="7"/>
  <c r="L49" i="7"/>
  <c r="N49" i="7"/>
  <c r="H48" i="7"/>
  <c r="J48" i="7"/>
  <c r="L48" i="7"/>
  <c r="N48" i="7"/>
  <c r="H47" i="7"/>
  <c r="J47" i="7"/>
  <c r="L47" i="7"/>
  <c r="N47" i="7"/>
  <c r="H46" i="7"/>
  <c r="J46" i="7"/>
  <c r="L46" i="7"/>
  <c r="O46" i="7" s="1"/>
  <c r="N46" i="7"/>
  <c r="H45" i="7"/>
  <c r="J45" i="7"/>
  <c r="O45" i="7" s="1"/>
  <c r="L45" i="7"/>
  <c r="N45" i="7"/>
  <c r="H44" i="7"/>
  <c r="J44" i="7"/>
  <c r="L44" i="7"/>
  <c r="N44" i="7"/>
  <c r="H43" i="7"/>
  <c r="J43" i="7"/>
  <c r="L43" i="7"/>
  <c r="N43" i="7"/>
  <c r="H42" i="7"/>
  <c r="J42" i="7"/>
  <c r="L42" i="7"/>
  <c r="N42" i="7"/>
  <c r="H41" i="7"/>
  <c r="J41" i="7"/>
  <c r="L41" i="7"/>
  <c r="N41" i="7"/>
  <c r="H40" i="7"/>
  <c r="O40" i="7" s="1"/>
  <c r="J40" i="7"/>
  <c r="L40" i="7"/>
  <c r="N40" i="7"/>
  <c r="H39" i="7"/>
  <c r="J39" i="7"/>
  <c r="L39" i="7"/>
  <c r="N39" i="7"/>
  <c r="H38" i="7"/>
  <c r="J38" i="7"/>
  <c r="L38" i="7"/>
  <c r="N38" i="7"/>
  <c r="H37" i="7"/>
  <c r="J37" i="7"/>
  <c r="L37" i="7"/>
  <c r="N37" i="7"/>
  <c r="H36" i="7"/>
  <c r="O36" i="7" s="1"/>
  <c r="J36" i="7"/>
  <c r="L36" i="7"/>
  <c r="N36" i="7"/>
  <c r="H35" i="7"/>
  <c r="J35" i="7"/>
  <c r="L35" i="7"/>
  <c r="N35" i="7"/>
  <c r="H32" i="7"/>
  <c r="J32" i="7"/>
  <c r="L32" i="7"/>
  <c r="O32" i="7" s="1"/>
  <c r="N32" i="7"/>
  <c r="H31" i="7"/>
  <c r="J31" i="7"/>
  <c r="L31" i="7"/>
  <c r="N31" i="7"/>
  <c r="H30" i="7"/>
  <c r="J30" i="7"/>
  <c r="L30" i="7"/>
  <c r="O30" i="7" s="1"/>
  <c r="N30" i="7"/>
  <c r="H29" i="7"/>
  <c r="J29" i="7"/>
  <c r="L29" i="7"/>
  <c r="N29" i="7"/>
  <c r="H28" i="7"/>
  <c r="J28" i="7"/>
  <c r="L28" i="7"/>
  <c r="N28" i="7"/>
  <c r="H27" i="7"/>
  <c r="J27" i="7"/>
  <c r="O27" i="7" s="1"/>
  <c r="L27" i="7"/>
  <c r="N27" i="7"/>
  <c r="H26" i="7"/>
  <c r="J26" i="7"/>
  <c r="L26" i="7"/>
  <c r="N26" i="7"/>
  <c r="O26" i="7"/>
  <c r="H4" i="7"/>
  <c r="J4" i="7"/>
  <c r="L4" i="7"/>
  <c r="N4" i="7"/>
  <c r="H25" i="7"/>
  <c r="J25" i="7"/>
  <c r="L25" i="7"/>
  <c r="N25" i="7"/>
  <c r="H24" i="7"/>
  <c r="J24" i="7"/>
  <c r="L24" i="7"/>
  <c r="N24" i="7"/>
  <c r="H23" i="7"/>
  <c r="J23" i="7"/>
  <c r="L23" i="7"/>
  <c r="N23" i="7"/>
  <c r="O23" i="7"/>
  <c r="H22" i="7"/>
  <c r="J22" i="7"/>
  <c r="L22" i="7"/>
  <c r="N22" i="7"/>
  <c r="H21" i="7"/>
  <c r="J21" i="7"/>
  <c r="L21" i="7"/>
  <c r="N21" i="7"/>
  <c r="H3" i="7"/>
  <c r="J3" i="7"/>
  <c r="L3" i="7"/>
  <c r="N3" i="7"/>
  <c r="H20" i="7"/>
  <c r="J20" i="7"/>
  <c r="L20" i="7"/>
  <c r="N20" i="7"/>
  <c r="O20" i="7" s="1"/>
  <c r="H19" i="7"/>
  <c r="J19" i="7"/>
  <c r="L19" i="7"/>
  <c r="N19" i="7"/>
  <c r="H18" i="7"/>
  <c r="J18" i="7"/>
  <c r="L18" i="7"/>
  <c r="O18" i="7" s="1"/>
  <c r="N18" i="7"/>
  <c r="H17" i="7"/>
  <c r="J17" i="7"/>
  <c r="L17" i="7"/>
  <c r="N17" i="7"/>
  <c r="H16" i="7"/>
  <c r="J16" i="7"/>
  <c r="L16" i="7"/>
  <c r="N16" i="7"/>
  <c r="H15" i="7"/>
  <c r="J15" i="7"/>
  <c r="L15" i="7"/>
  <c r="N15" i="7"/>
  <c r="H77" i="7"/>
  <c r="J77" i="7"/>
  <c r="L77" i="7"/>
  <c r="O77" i="7" s="1"/>
  <c r="N77" i="7"/>
  <c r="H76" i="7"/>
  <c r="J76" i="7"/>
  <c r="O76" i="7" s="1"/>
  <c r="L76" i="7"/>
  <c r="N76" i="7"/>
  <c r="H75" i="7"/>
  <c r="J75" i="7"/>
  <c r="L75" i="7"/>
  <c r="N75" i="7"/>
  <c r="H74" i="7"/>
  <c r="J74" i="7"/>
  <c r="L74" i="7"/>
  <c r="N74" i="7"/>
  <c r="H72" i="7"/>
  <c r="J72" i="7"/>
  <c r="L72" i="7"/>
  <c r="N72" i="7"/>
  <c r="H14" i="7"/>
  <c r="J14" i="7"/>
  <c r="L14" i="7"/>
  <c r="N14" i="7"/>
  <c r="H13" i="7"/>
  <c r="J13" i="7"/>
  <c r="L13" i="7"/>
  <c r="N13" i="7"/>
  <c r="H12" i="7"/>
  <c r="J12" i="7"/>
  <c r="L12" i="7"/>
  <c r="N12" i="7"/>
  <c r="H11" i="7"/>
  <c r="J11" i="7"/>
  <c r="L11" i="7"/>
  <c r="N11" i="7"/>
  <c r="H71" i="7"/>
  <c r="J71" i="7"/>
  <c r="L71" i="7"/>
  <c r="N71" i="7"/>
  <c r="H70" i="7"/>
  <c r="O70" i="7" s="1"/>
  <c r="J70" i="7"/>
  <c r="L70" i="7"/>
  <c r="N70" i="7"/>
  <c r="H6" i="7"/>
  <c r="J6" i="7"/>
  <c r="L6" i="7"/>
  <c r="N6" i="7"/>
  <c r="H5" i="7"/>
  <c r="J5" i="7"/>
  <c r="L5" i="7"/>
  <c r="O5" i="7" s="1"/>
  <c r="N5" i="7"/>
  <c r="H34" i="7"/>
  <c r="J34" i="7"/>
  <c r="L34" i="7"/>
  <c r="N34" i="7"/>
  <c r="H33" i="7"/>
  <c r="J33" i="7"/>
  <c r="L33" i="7"/>
  <c r="O33" i="7" s="1"/>
  <c r="N33" i="7"/>
  <c r="H73" i="7"/>
  <c r="J73" i="7"/>
  <c r="L73" i="7"/>
  <c r="N73" i="7"/>
  <c r="H52" i="6"/>
  <c r="J52" i="6"/>
  <c r="L52" i="6"/>
  <c r="N52" i="6"/>
  <c r="H51" i="6"/>
  <c r="J51" i="6"/>
  <c r="O51" i="6" s="1"/>
  <c r="L51" i="6"/>
  <c r="N51" i="6"/>
  <c r="H50" i="6"/>
  <c r="J50" i="6"/>
  <c r="L50" i="6"/>
  <c r="N50" i="6"/>
  <c r="O50" i="6"/>
  <c r="H49" i="6"/>
  <c r="J49" i="6"/>
  <c r="L49" i="6"/>
  <c r="N49" i="6"/>
  <c r="H48" i="6"/>
  <c r="J48" i="6"/>
  <c r="L48" i="6"/>
  <c r="N48" i="6"/>
  <c r="H47" i="6"/>
  <c r="J47" i="6"/>
  <c r="L47" i="6"/>
  <c r="N47" i="6"/>
  <c r="H46" i="6"/>
  <c r="J46" i="6"/>
  <c r="L46" i="6"/>
  <c r="N46" i="6"/>
  <c r="O46" i="6"/>
  <c r="H45" i="6"/>
  <c r="J45" i="6"/>
  <c r="L45" i="6"/>
  <c r="N45" i="6"/>
  <c r="H44" i="6"/>
  <c r="J44" i="6"/>
  <c r="L44" i="6"/>
  <c r="N44" i="6"/>
  <c r="H43" i="6"/>
  <c r="J43" i="6"/>
  <c r="L43" i="6"/>
  <c r="N43" i="6"/>
  <c r="H42" i="6"/>
  <c r="J42" i="6"/>
  <c r="L42" i="6"/>
  <c r="O42" i="6" s="1"/>
  <c r="N42" i="6"/>
  <c r="H41" i="6"/>
  <c r="J41" i="6"/>
  <c r="L41" i="6"/>
  <c r="N41" i="6"/>
  <c r="H40" i="6"/>
  <c r="J40" i="6"/>
  <c r="L40" i="6"/>
  <c r="O40" i="6" s="1"/>
  <c r="N40" i="6"/>
  <c r="H39" i="6"/>
  <c r="J39" i="6"/>
  <c r="L39" i="6"/>
  <c r="N39" i="6"/>
  <c r="H38" i="6"/>
  <c r="J38" i="6"/>
  <c r="L38" i="6"/>
  <c r="N38" i="6"/>
  <c r="H37" i="6"/>
  <c r="J37" i="6"/>
  <c r="L37" i="6"/>
  <c r="N37" i="6"/>
  <c r="H36" i="6"/>
  <c r="J36" i="6"/>
  <c r="L36" i="6"/>
  <c r="O36" i="6" s="1"/>
  <c r="N36" i="6"/>
  <c r="H35" i="6"/>
  <c r="J35" i="6"/>
  <c r="O35" i="6" s="1"/>
  <c r="L35" i="6"/>
  <c r="N35" i="6"/>
  <c r="H34" i="6"/>
  <c r="J34" i="6"/>
  <c r="L34" i="6"/>
  <c r="N34" i="6"/>
  <c r="H33" i="6"/>
  <c r="J33" i="6"/>
  <c r="L33" i="6"/>
  <c r="N33" i="6"/>
  <c r="H32" i="6"/>
  <c r="J32" i="6"/>
  <c r="L32" i="6"/>
  <c r="N32" i="6"/>
  <c r="H31" i="6"/>
  <c r="J31" i="6"/>
  <c r="L31" i="6"/>
  <c r="N31" i="6"/>
  <c r="H30" i="6"/>
  <c r="J30" i="6"/>
  <c r="L30" i="6"/>
  <c r="N30" i="6"/>
  <c r="H29" i="6"/>
  <c r="J29" i="6"/>
  <c r="L29" i="6"/>
  <c r="N29" i="6"/>
  <c r="H28" i="6"/>
  <c r="J28" i="6"/>
  <c r="L28" i="6"/>
  <c r="N28" i="6"/>
  <c r="H27" i="6"/>
  <c r="J27" i="6"/>
  <c r="L27" i="6"/>
  <c r="N27" i="6"/>
  <c r="H26" i="6"/>
  <c r="O26" i="6" s="1"/>
  <c r="J26" i="6"/>
  <c r="L26" i="6"/>
  <c r="N26" i="6"/>
  <c r="H25" i="6"/>
  <c r="J25" i="6"/>
  <c r="L25" i="6"/>
  <c r="N25" i="6"/>
  <c r="H24" i="6"/>
  <c r="J24" i="6"/>
  <c r="L24" i="6"/>
  <c r="O24" i="6" s="1"/>
  <c r="N24" i="6"/>
  <c r="H23" i="6"/>
  <c r="J23" i="6"/>
  <c r="L23" i="6"/>
  <c r="N23" i="6"/>
  <c r="H22" i="6"/>
  <c r="J22" i="6"/>
  <c r="L22" i="6"/>
  <c r="O22" i="6" s="1"/>
  <c r="N22" i="6"/>
  <c r="H21" i="6"/>
  <c r="J21" i="6"/>
  <c r="L21" i="6"/>
  <c r="N21" i="6"/>
  <c r="H20" i="6"/>
  <c r="J20" i="6"/>
  <c r="L20" i="6"/>
  <c r="N20" i="6"/>
  <c r="O20" i="6"/>
  <c r="H19" i="6"/>
  <c r="J19" i="6"/>
  <c r="L19" i="6"/>
  <c r="N19" i="6"/>
  <c r="H18" i="6"/>
  <c r="J18" i="6"/>
  <c r="L18" i="6"/>
  <c r="N18" i="6"/>
  <c r="H17" i="6"/>
  <c r="J17" i="6"/>
  <c r="O17" i="6" s="1"/>
  <c r="L17" i="6"/>
  <c r="N17" i="6"/>
  <c r="H16" i="6"/>
  <c r="J16" i="6"/>
  <c r="L16" i="6"/>
  <c r="N16" i="6"/>
  <c r="H15" i="6"/>
  <c r="J15" i="6"/>
  <c r="O15" i="6" s="1"/>
  <c r="L15" i="6"/>
  <c r="N15" i="6"/>
  <c r="H14" i="6"/>
  <c r="J14" i="6"/>
  <c r="L14" i="6"/>
  <c r="N14" i="6"/>
  <c r="O14" i="6" s="1"/>
  <c r="H13" i="6"/>
  <c r="J13" i="6"/>
  <c r="L13" i="6"/>
  <c r="N13" i="6"/>
  <c r="H12" i="6"/>
  <c r="J12" i="6"/>
  <c r="L12" i="6"/>
  <c r="O12" i="6" s="1"/>
  <c r="N12" i="6"/>
  <c r="H11" i="6"/>
  <c r="J11" i="6"/>
  <c r="L11" i="6"/>
  <c r="N11" i="6"/>
  <c r="H10" i="6"/>
  <c r="J10" i="6"/>
  <c r="L10" i="6"/>
  <c r="N10" i="6"/>
  <c r="H9" i="6"/>
  <c r="J9" i="6"/>
  <c r="L9" i="6"/>
  <c r="N9" i="6"/>
  <c r="H8" i="6"/>
  <c r="J8" i="6"/>
  <c r="L8" i="6"/>
  <c r="N8" i="6"/>
  <c r="H7" i="6"/>
  <c r="J7" i="6"/>
  <c r="L7" i="6"/>
  <c r="N7" i="6"/>
  <c r="H6" i="6"/>
  <c r="J6" i="6"/>
  <c r="L6" i="6"/>
  <c r="N6" i="6"/>
  <c r="H5" i="6"/>
  <c r="J5" i="6"/>
  <c r="L5" i="6"/>
  <c r="N5" i="6"/>
  <c r="H4" i="6"/>
  <c r="J4" i="6"/>
  <c r="L4" i="6"/>
  <c r="N4" i="6"/>
  <c r="H3" i="6"/>
  <c r="J3" i="6"/>
  <c r="L3" i="6"/>
  <c r="N3" i="6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164" i="5"/>
  <c r="L178" i="5"/>
  <c r="L33" i="5"/>
  <c r="L34" i="5"/>
  <c r="L220" i="5"/>
  <c r="L35" i="5"/>
  <c r="L36" i="5"/>
  <c r="L37" i="5"/>
  <c r="L244" i="5"/>
  <c r="L245" i="5"/>
  <c r="L246" i="5"/>
  <c r="L24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248" i="5"/>
  <c r="L249" i="5"/>
  <c r="L250" i="5"/>
  <c r="L251" i="5"/>
  <c r="L252" i="5"/>
  <c r="L253" i="5"/>
  <c r="L53" i="5"/>
  <c r="L254" i="5"/>
  <c r="L255" i="5"/>
  <c r="L256" i="5"/>
  <c r="L257" i="5"/>
  <c r="L54" i="5"/>
  <c r="L55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3" i="5"/>
  <c r="H194" i="5"/>
  <c r="J194" i="5"/>
  <c r="N194" i="5"/>
  <c r="H35" i="5"/>
  <c r="J35" i="5"/>
  <c r="N35" i="5"/>
  <c r="H82" i="5"/>
  <c r="O82" i="5" s="1"/>
  <c r="J82" i="5"/>
  <c r="N82" i="5"/>
  <c r="H113" i="5"/>
  <c r="J113" i="5"/>
  <c r="N113" i="5"/>
  <c r="H165" i="5"/>
  <c r="J165" i="5"/>
  <c r="N165" i="5"/>
  <c r="H166" i="5"/>
  <c r="O166" i="5" s="1"/>
  <c r="J166" i="5"/>
  <c r="N166" i="5"/>
  <c r="H167" i="5"/>
  <c r="O167" i="5" s="1"/>
  <c r="J167" i="5"/>
  <c r="N167" i="5"/>
  <c r="H150" i="5"/>
  <c r="J150" i="5"/>
  <c r="N150" i="5"/>
  <c r="H33" i="5"/>
  <c r="J33" i="5"/>
  <c r="N33" i="5"/>
  <c r="H46" i="5"/>
  <c r="J46" i="5"/>
  <c r="N46" i="5"/>
  <c r="H114" i="5"/>
  <c r="O114" i="5" s="1"/>
  <c r="J114" i="5"/>
  <c r="N114" i="5"/>
  <c r="H56" i="5"/>
  <c r="J56" i="5"/>
  <c r="N56" i="5"/>
  <c r="H37" i="5"/>
  <c r="J37" i="5"/>
  <c r="N37" i="5"/>
  <c r="H161" i="5"/>
  <c r="O161" i="5" s="1"/>
  <c r="J161" i="5"/>
  <c r="N161" i="5"/>
  <c r="H15" i="5"/>
  <c r="O15" i="5" s="1"/>
  <c r="J15" i="5"/>
  <c r="N15" i="5"/>
  <c r="H106" i="5"/>
  <c r="J106" i="5"/>
  <c r="N106" i="5"/>
  <c r="H168" i="5"/>
  <c r="J168" i="5"/>
  <c r="N168" i="5"/>
  <c r="H107" i="5"/>
  <c r="J107" i="5"/>
  <c r="N107" i="5"/>
  <c r="H195" i="5"/>
  <c r="O195" i="5" s="1"/>
  <c r="J195" i="5"/>
  <c r="N195" i="5"/>
  <c r="H169" i="5"/>
  <c r="J169" i="5"/>
  <c r="N169" i="5"/>
  <c r="H170" i="5"/>
  <c r="J170" i="5"/>
  <c r="N170" i="5"/>
  <c r="H171" i="5"/>
  <c r="O171" i="5" s="1"/>
  <c r="J171" i="5"/>
  <c r="N171" i="5"/>
  <c r="H172" i="5"/>
  <c r="O172" i="5" s="1"/>
  <c r="J172" i="5"/>
  <c r="N172" i="5"/>
  <c r="H108" i="5"/>
  <c r="J108" i="5"/>
  <c r="N108" i="5"/>
  <c r="H179" i="5"/>
  <c r="J179" i="5"/>
  <c r="N179" i="5"/>
  <c r="H173" i="5"/>
  <c r="J173" i="5"/>
  <c r="N173" i="5"/>
  <c r="H73" i="5"/>
  <c r="O73" i="5" s="1"/>
  <c r="J73" i="5"/>
  <c r="N73" i="5"/>
  <c r="H226" i="5"/>
  <c r="J226" i="5"/>
  <c r="N226" i="5"/>
  <c r="H227" i="5"/>
  <c r="J227" i="5"/>
  <c r="N227" i="5"/>
  <c r="H186" i="5"/>
  <c r="J186" i="5"/>
  <c r="N186" i="5"/>
  <c r="H89" i="5"/>
  <c r="J89" i="5"/>
  <c r="N89" i="5"/>
  <c r="H90" i="5"/>
  <c r="J90" i="5"/>
  <c r="N90" i="5"/>
  <c r="H91" i="5"/>
  <c r="J91" i="5"/>
  <c r="N91" i="5"/>
  <c r="H92" i="5"/>
  <c r="J92" i="5"/>
  <c r="N92" i="5"/>
  <c r="H93" i="5"/>
  <c r="O93" i="5" s="1"/>
  <c r="J93" i="5"/>
  <c r="N93" i="5"/>
  <c r="H94" i="5"/>
  <c r="J94" i="5"/>
  <c r="N94" i="5"/>
  <c r="H95" i="5"/>
  <c r="J95" i="5"/>
  <c r="N95" i="5"/>
  <c r="H156" i="5"/>
  <c r="O156" i="5" s="1"/>
  <c r="J156" i="5"/>
  <c r="N156" i="5"/>
  <c r="H157" i="5"/>
  <c r="O157" i="5" s="1"/>
  <c r="J157" i="5"/>
  <c r="N157" i="5"/>
  <c r="H158" i="5"/>
  <c r="J158" i="5"/>
  <c r="N158" i="5"/>
  <c r="H109" i="5"/>
  <c r="J109" i="5"/>
  <c r="N109" i="5"/>
  <c r="H187" i="5"/>
  <c r="J187" i="5"/>
  <c r="N187" i="5"/>
  <c r="H48" i="5"/>
  <c r="O48" i="5" s="1"/>
  <c r="J48" i="5"/>
  <c r="N48" i="5"/>
  <c r="H43" i="5"/>
  <c r="J43" i="5"/>
  <c r="N43" i="5"/>
  <c r="H115" i="5"/>
  <c r="J115" i="5"/>
  <c r="N115" i="5"/>
  <c r="H70" i="5"/>
  <c r="O70" i="5" s="1"/>
  <c r="J70" i="5"/>
  <c r="N70" i="5"/>
  <c r="H188" i="5"/>
  <c r="O188" i="5" s="1"/>
  <c r="J188" i="5"/>
  <c r="N188" i="5"/>
  <c r="H3" i="5"/>
  <c r="J3" i="5"/>
  <c r="N3" i="5"/>
  <c r="H76" i="5"/>
  <c r="J76" i="5"/>
  <c r="N76" i="5"/>
  <c r="H81" i="5"/>
  <c r="J81" i="5"/>
  <c r="N81" i="5"/>
  <c r="H60" i="5"/>
  <c r="O60" i="5" s="1"/>
  <c r="J60" i="5"/>
  <c r="N60" i="5"/>
  <c r="H6" i="5"/>
  <c r="J6" i="5"/>
  <c r="N6" i="5"/>
  <c r="H54" i="5"/>
  <c r="J54" i="5"/>
  <c r="N54" i="5"/>
  <c r="H184" i="5"/>
  <c r="O184" i="5" s="1"/>
  <c r="J184" i="5"/>
  <c r="N184" i="5"/>
  <c r="H9" i="5"/>
  <c r="O9" i="5" s="1"/>
  <c r="J9" i="5"/>
  <c r="N9" i="5"/>
  <c r="H83" i="5"/>
  <c r="J83" i="5"/>
  <c r="N83" i="5"/>
  <c r="H258" i="5"/>
  <c r="J258" i="5"/>
  <c r="N258" i="5"/>
  <c r="H246" i="5"/>
  <c r="J246" i="5"/>
  <c r="N246" i="5"/>
  <c r="H259" i="5"/>
  <c r="O259" i="5" s="1"/>
  <c r="J259" i="5"/>
  <c r="N259" i="5"/>
  <c r="H260" i="5"/>
  <c r="J260" i="5"/>
  <c r="N260" i="5"/>
  <c r="H253" i="5"/>
  <c r="J253" i="5"/>
  <c r="N253" i="5"/>
  <c r="H53" i="5"/>
  <c r="O53" i="5" s="1"/>
  <c r="J53" i="5"/>
  <c r="N53" i="5"/>
  <c r="H261" i="5"/>
  <c r="J261" i="5"/>
  <c r="N261" i="5"/>
  <c r="H140" i="5"/>
  <c r="J140" i="5"/>
  <c r="N140" i="5"/>
  <c r="H151" i="5"/>
  <c r="J151" i="5"/>
  <c r="N151" i="5"/>
  <c r="H247" i="5"/>
  <c r="J247" i="5"/>
  <c r="N247" i="5"/>
  <c r="H262" i="5"/>
  <c r="O262" i="5" s="1"/>
  <c r="J262" i="5"/>
  <c r="N262" i="5"/>
  <c r="H263" i="5"/>
  <c r="J263" i="5"/>
  <c r="N263" i="5"/>
  <c r="H58" i="5"/>
  <c r="J58" i="5"/>
  <c r="N58" i="5"/>
  <c r="H40" i="5"/>
  <c r="O40" i="5" s="1"/>
  <c r="J40" i="5"/>
  <c r="N40" i="5"/>
  <c r="H141" i="5"/>
  <c r="O141" i="5" s="1"/>
  <c r="J141" i="5"/>
  <c r="N141" i="5"/>
  <c r="H237" i="5"/>
  <c r="J237" i="5"/>
  <c r="N237" i="5"/>
  <c r="H254" i="5"/>
  <c r="J254" i="5"/>
  <c r="N254" i="5"/>
  <c r="H96" i="5"/>
  <c r="J96" i="5"/>
  <c r="N96" i="5"/>
  <c r="H97" i="5"/>
  <c r="J97" i="5"/>
  <c r="N97" i="5"/>
  <c r="H98" i="5"/>
  <c r="J98" i="5"/>
  <c r="N98" i="5"/>
  <c r="H248" i="5"/>
  <c r="J248" i="5"/>
  <c r="N248" i="5"/>
  <c r="H99" i="5"/>
  <c r="O99" i="5" s="1"/>
  <c r="J99" i="5"/>
  <c r="N99" i="5"/>
  <c r="H65" i="5"/>
  <c r="J65" i="5"/>
  <c r="N65" i="5"/>
  <c r="H86" i="5"/>
  <c r="J86" i="5"/>
  <c r="N86" i="5"/>
  <c r="H264" i="5"/>
  <c r="J264" i="5"/>
  <c r="N264" i="5"/>
  <c r="H64" i="5"/>
  <c r="J64" i="5"/>
  <c r="N64" i="5"/>
  <c r="H265" i="5"/>
  <c r="J265" i="5"/>
  <c r="N265" i="5"/>
  <c r="H100" i="5"/>
  <c r="J100" i="5"/>
  <c r="N100" i="5"/>
  <c r="H45" i="5"/>
  <c r="J45" i="5"/>
  <c r="N45" i="5"/>
  <c r="H101" i="5"/>
  <c r="O101" i="5" s="1"/>
  <c r="J101" i="5"/>
  <c r="N101" i="5"/>
  <c r="H102" i="5"/>
  <c r="J102" i="5"/>
  <c r="N102" i="5"/>
  <c r="H36" i="5"/>
  <c r="J36" i="5"/>
  <c r="N36" i="5"/>
  <c r="H266" i="5"/>
  <c r="J266" i="5"/>
  <c r="N266" i="5"/>
  <c r="H267" i="5"/>
  <c r="J267" i="5"/>
  <c r="N267" i="5"/>
  <c r="H210" i="5"/>
  <c r="J210" i="5"/>
  <c r="N210" i="5"/>
  <c r="H268" i="5"/>
  <c r="J268" i="5"/>
  <c r="N268" i="5"/>
  <c r="H269" i="5"/>
  <c r="J269" i="5"/>
  <c r="N269" i="5"/>
  <c r="H55" i="5"/>
  <c r="O55" i="5" s="1"/>
  <c r="J55" i="5"/>
  <c r="N55" i="5"/>
  <c r="H42" i="5"/>
  <c r="J42" i="5"/>
  <c r="N42" i="5"/>
  <c r="H164" i="5"/>
  <c r="J164" i="5"/>
  <c r="N164" i="5"/>
  <c r="H211" i="5"/>
  <c r="J211" i="5"/>
  <c r="N211" i="5"/>
  <c r="H32" i="5"/>
  <c r="J32" i="5"/>
  <c r="N32" i="5"/>
  <c r="H212" i="5"/>
  <c r="J212" i="5"/>
  <c r="N212" i="5"/>
  <c r="H24" i="5"/>
  <c r="J24" i="5"/>
  <c r="N24" i="5"/>
  <c r="H27" i="5"/>
  <c r="J27" i="5"/>
  <c r="N27" i="5"/>
  <c r="H28" i="5"/>
  <c r="O28" i="5" s="1"/>
  <c r="J28" i="5"/>
  <c r="N28" i="5"/>
  <c r="H221" i="5"/>
  <c r="J221" i="5"/>
  <c r="N221" i="5"/>
  <c r="H29" i="5"/>
  <c r="J29" i="5"/>
  <c r="N29" i="5"/>
  <c r="H213" i="5"/>
  <c r="J213" i="5"/>
  <c r="N213" i="5"/>
  <c r="H30" i="5"/>
  <c r="J30" i="5"/>
  <c r="N30" i="5"/>
  <c r="H31" i="5"/>
  <c r="J31" i="5"/>
  <c r="N31" i="5"/>
  <c r="H57" i="5"/>
  <c r="J57" i="5"/>
  <c r="N57" i="5"/>
  <c r="H34" i="5"/>
  <c r="J34" i="5"/>
  <c r="N34" i="5"/>
  <c r="H180" i="5"/>
  <c r="O180" i="5" s="1"/>
  <c r="J180" i="5"/>
  <c r="N180" i="5"/>
  <c r="H249" i="5"/>
  <c r="J249" i="5"/>
  <c r="N249" i="5"/>
  <c r="H250" i="5"/>
  <c r="J250" i="5"/>
  <c r="N250" i="5"/>
  <c r="H103" i="5"/>
  <c r="J103" i="5"/>
  <c r="N103" i="5"/>
  <c r="H162" i="5"/>
  <c r="J162" i="5"/>
  <c r="N162" i="5"/>
  <c r="H177" i="5"/>
  <c r="J177" i="5"/>
  <c r="N177" i="5"/>
  <c r="H181" i="5"/>
  <c r="J181" i="5"/>
  <c r="N181" i="5"/>
  <c r="H50" i="5"/>
  <c r="J50" i="5"/>
  <c r="N50" i="5"/>
  <c r="H51" i="5"/>
  <c r="O51" i="5" s="1"/>
  <c r="J51" i="5"/>
  <c r="N51" i="5"/>
  <c r="H25" i="5"/>
  <c r="J25" i="5"/>
  <c r="N25" i="5"/>
  <c r="H142" i="5"/>
  <c r="J142" i="5"/>
  <c r="N142" i="5"/>
  <c r="H185" i="5"/>
  <c r="J185" i="5"/>
  <c r="N185" i="5"/>
  <c r="H189" i="5"/>
  <c r="J189" i="5"/>
  <c r="N189" i="5"/>
  <c r="H59" i="5"/>
  <c r="J59" i="5"/>
  <c r="N59" i="5"/>
  <c r="H196" i="5"/>
  <c r="J196" i="5"/>
  <c r="N196" i="5"/>
  <c r="H116" i="5"/>
  <c r="J116" i="5"/>
  <c r="N116" i="5"/>
  <c r="H84" i="5"/>
  <c r="O84" i="5" s="1"/>
  <c r="J84" i="5"/>
  <c r="N84" i="5"/>
  <c r="H117" i="5"/>
  <c r="J117" i="5"/>
  <c r="N117" i="5"/>
  <c r="H222" i="5"/>
  <c r="J222" i="5"/>
  <c r="N222" i="5"/>
  <c r="H118" i="5"/>
  <c r="J118" i="5"/>
  <c r="N118" i="5"/>
  <c r="H16" i="5"/>
  <c r="J16" i="5"/>
  <c r="N16" i="5"/>
  <c r="H190" i="5"/>
  <c r="J190" i="5"/>
  <c r="N190" i="5"/>
  <c r="H159" i="5"/>
  <c r="J159" i="5"/>
  <c r="N159" i="5"/>
  <c r="H163" i="5"/>
  <c r="J163" i="5"/>
  <c r="N163" i="5"/>
  <c r="H182" i="5"/>
  <c r="O182" i="5" s="1"/>
  <c r="J182" i="5"/>
  <c r="N182" i="5"/>
  <c r="H41" i="5"/>
  <c r="J41" i="5"/>
  <c r="N41" i="5"/>
  <c r="H5" i="5"/>
  <c r="J5" i="5"/>
  <c r="N5" i="5"/>
  <c r="H143" i="5"/>
  <c r="J143" i="5"/>
  <c r="N143" i="5"/>
  <c r="H214" i="5"/>
  <c r="J214" i="5"/>
  <c r="N214" i="5"/>
  <c r="H197" i="5"/>
  <c r="J197" i="5"/>
  <c r="N197" i="5"/>
  <c r="H152" i="5"/>
  <c r="J152" i="5"/>
  <c r="N152" i="5"/>
  <c r="H120" i="5"/>
  <c r="J120" i="5"/>
  <c r="N120" i="5"/>
  <c r="H87" i="5"/>
  <c r="O87" i="5" s="1"/>
  <c r="J87" i="5"/>
  <c r="N87" i="5"/>
  <c r="H17" i="5"/>
  <c r="J17" i="5"/>
  <c r="N17" i="5"/>
  <c r="H183" i="5"/>
  <c r="J183" i="5"/>
  <c r="N183" i="5"/>
  <c r="H49" i="5"/>
  <c r="J49" i="5"/>
  <c r="N49" i="5"/>
  <c r="H38" i="5"/>
  <c r="J38" i="5"/>
  <c r="N38" i="5"/>
  <c r="H39" i="5"/>
  <c r="J39" i="5"/>
  <c r="N39" i="5"/>
  <c r="H215" i="5"/>
  <c r="J215" i="5"/>
  <c r="N215" i="5"/>
  <c r="H69" i="5"/>
  <c r="J69" i="5"/>
  <c r="N69" i="5"/>
  <c r="H71" i="5"/>
  <c r="O71" i="5" s="1"/>
  <c r="J71" i="5"/>
  <c r="N71" i="5"/>
  <c r="H47" i="5"/>
  <c r="J47" i="5"/>
  <c r="N47" i="5"/>
  <c r="H228" i="5"/>
  <c r="J228" i="5"/>
  <c r="N228" i="5"/>
  <c r="H229" i="5"/>
  <c r="J229" i="5"/>
  <c r="N229" i="5"/>
  <c r="H230" i="5"/>
  <c r="J230" i="5"/>
  <c r="N230" i="5"/>
  <c r="H231" i="5"/>
  <c r="J231" i="5"/>
  <c r="N231" i="5"/>
  <c r="H232" i="5"/>
  <c r="J232" i="5"/>
  <c r="N232" i="5"/>
  <c r="H233" i="5"/>
  <c r="J233" i="5"/>
  <c r="N233" i="5"/>
  <c r="H234" i="5"/>
  <c r="O234" i="5" s="1"/>
  <c r="J234" i="5"/>
  <c r="N234" i="5"/>
  <c r="H75" i="5"/>
  <c r="J75" i="5"/>
  <c r="N75" i="5"/>
  <c r="H128" i="5"/>
  <c r="J128" i="5"/>
  <c r="N128" i="5"/>
  <c r="H77" i="5"/>
  <c r="J77" i="5"/>
  <c r="N77" i="5"/>
  <c r="H66" i="5"/>
  <c r="J66" i="5"/>
  <c r="N66" i="5"/>
  <c r="H18" i="5"/>
  <c r="J18" i="5"/>
  <c r="N18" i="5"/>
  <c r="H153" i="5"/>
  <c r="J153" i="5"/>
  <c r="N153" i="5"/>
  <c r="H154" i="5"/>
  <c r="J154" i="5"/>
  <c r="N154" i="5"/>
  <c r="H155" i="5"/>
  <c r="O155" i="5" s="1"/>
  <c r="J155" i="5"/>
  <c r="N155" i="5"/>
  <c r="H239" i="5"/>
  <c r="J239" i="5"/>
  <c r="N239" i="5"/>
  <c r="H240" i="5"/>
  <c r="J240" i="5"/>
  <c r="N240" i="5"/>
  <c r="H241" i="5"/>
  <c r="J241" i="5"/>
  <c r="N241" i="5"/>
  <c r="H242" i="5"/>
  <c r="J242" i="5"/>
  <c r="N242" i="5"/>
  <c r="H243" i="5"/>
  <c r="O243" i="5" s="1"/>
  <c r="J243" i="5"/>
  <c r="N243" i="5"/>
  <c r="H198" i="5"/>
  <c r="J198" i="5"/>
  <c r="N198" i="5"/>
  <c r="H199" i="5"/>
  <c r="J199" i="5"/>
  <c r="N199" i="5"/>
  <c r="H200" i="5"/>
  <c r="O200" i="5" s="1"/>
  <c r="J200" i="5"/>
  <c r="N200" i="5"/>
  <c r="H201" i="5"/>
  <c r="J201" i="5"/>
  <c r="N201" i="5"/>
  <c r="H202" i="5"/>
  <c r="J202" i="5"/>
  <c r="N202" i="5"/>
  <c r="H203" i="5"/>
  <c r="J203" i="5"/>
  <c r="N203" i="5"/>
  <c r="H204" i="5"/>
  <c r="J204" i="5"/>
  <c r="N204" i="5"/>
  <c r="H205" i="5"/>
  <c r="O205" i="5" s="1"/>
  <c r="J205" i="5"/>
  <c r="N205" i="5"/>
  <c r="H206" i="5"/>
  <c r="J206" i="5"/>
  <c r="N206" i="5"/>
  <c r="H207" i="5"/>
  <c r="J207" i="5"/>
  <c r="N207" i="5"/>
  <c r="H121" i="5"/>
  <c r="O121" i="5" s="1"/>
  <c r="J121" i="5"/>
  <c r="N121" i="5"/>
  <c r="H216" i="5"/>
  <c r="J216" i="5"/>
  <c r="N216" i="5"/>
  <c r="H144" i="5"/>
  <c r="J144" i="5"/>
  <c r="N144" i="5"/>
  <c r="H122" i="5"/>
  <c r="O122" i="5" s="1"/>
  <c r="J122" i="5"/>
  <c r="N122" i="5"/>
  <c r="H270" i="5"/>
  <c r="J270" i="5"/>
  <c r="N270" i="5"/>
  <c r="H271" i="5"/>
  <c r="O271" i="5" s="1"/>
  <c r="J271" i="5"/>
  <c r="N271" i="5"/>
  <c r="H272" i="5"/>
  <c r="J272" i="5"/>
  <c r="N272" i="5"/>
  <c r="H273" i="5"/>
  <c r="J273" i="5"/>
  <c r="N273" i="5"/>
  <c r="H274" i="5"/>
  <c r="O274" i="5" s="1"/>
  <c r="J274" i="5"/>
  <c r="N274" i="5"/>
  <c r="H275" i="5"/>
  <c r="J275" i="5"/>
  <c r="N275" i="5"/>
  <c r="H276" i="5"/>
  <c r="J276" i="5"/>
  <c r="N276" i="5"/>
  <c r="H277" i="5"/>
  <c r="J277" i="5"/>
  <c r="N277" i="5"/>
  <c r="H278" i="5"/>
  <c r="J278" i="5"/>
  <c r="N278" i="5"/>
  <c r="H279" i="5"/>
  <c r="O279" i="5" s="1"/>
  <c r="J279" i="5"/>
  <c r="N279" i="5"/>
  <c r="H19" i="5"/>
  <c r="J19" i="5"/>
  <c r="N19" i="5"/>
  <c r="H129" i="5"/>
  <c r="J129" i="5"/>
  <c r="N129" i="5"/>
  <c r="H251" i="5"/>
  <c r="O251" i="5" s="1"/>
  <c r="J251" i="5"/>
  <c r="N251" i="5"/>
  <c r="H67" i="5"/>
  <c r="J67" i="5"/>
  <c r="N67" i="5"/>
  <c r="H244" i="5"/>
  <c r="J244" i="5"/>
  <c r="N244" i="5"/>
  <c r="H280" i="5"/>
  <c r="O280" i="5" s="1"/>
  <c r="J280" i="5"/>
  <c r="N280" i="5"/>
  <c r="H281" i="5"/>
  <c r="J281" i="5"/>
  <c r="N281" i="5"/>
  <c r="H282" i="5"/>
  <c r="O282" i="5" s="1"/>
  <c r="J282" i="5"/>
  <c r="N282" i="5"/>
  <c r="H283" i="5"/>
  <c r="J283" i="5"/>
  <c r="N283" i="5"/>
  <c r="H284" i="5"/>
  <c r="J284" i="5"/>
  <c r="N284" i="5"/>
  <c r="H255" i="5"/>
  <c r="O255" i="5" s="1"/>
  <c r="J255" i="5"/>
  <c r="N255" i="5"/>
  <c r="H217" i="5"/>
  <c r="J217" i="5"/>
  <c r="N217" i="5"/>
  <c r="H12" i="5"/>
  <c r="J12" i="5"/>
  <c r="N12" i="5"/>
  <c r="H10" i="5"/>
  <c r="O10" i="5" s="1"/>
  <c r="J10" i="5"/>
  <c r="N10" i="5"/>
  <c r="H68" i="5"/>
  <c r="J68" i="5"/>
  <c r="N68" i="5"/>
  <c r="H104" i="5"/>
  <c r="O104" i="5" s="1"/>
  <c r="J104" i="5"/>
  <c r="N104" i="5"/>
  <c r="H218" i="5"/>
  <c r="J218" i="5"/>
  <c r="N218" i="5"/>
  <c r="H219" i="5"/>
  <c r="J219" i="5"/>
  <c r="N219" i="5"/>
  <c r="H13" i="5"/>
  <c r="O13" i="5" s="1"/>
  <c r="J13" i="5"/>
  <c r="N13" i="5"/>
  <c r="H20" i="5"/>
  <c r="J20" i="5"/>
  <c r="N20" i="5"/>
  <c r="H26" i="5"/>
  <c r="J26" i="5"/>
  <c r="N26" i="5"/>
  <c r="H191" i="5"/>
  <c r="O191" i="5" s="1"/>
  <c r="J191" i="5"/>
  <c r="N191" i="5"/>
  <c r="H223" i="5"/>
  <c r="J223" i="5"/>
  <c r="N223" i="5"/>
  <c r="H285" i="5"/>
  <c r="O285" i="5" s="1"/>
  <c r="J285" i="5"/>
  <c r="N285" i="5"/>
  <c r="H286" i="5"/>
  <c r="J286" i="5"/>
  <c r="N286" i="5"/>
  <c r="H287" i="5"/>
  <c r="J287" i="5"/>
  <c r="N287" i="5"/>
  <c r="H21" i="5"/>
  <c r="O21" i="5" s="1"/>
  <c r="J21" i="5"/>
  <c r="N21" i="5"/>
  <c r="H23" i="5"/>
  <c r="J23" i="5"/>
  <c r="N23" i="5"/>
  <c r="H61" i="5"/>
  <c r="J61" i="5"/>
  <c r="N61" i="5"/>
  <c r="H62" i="5"/>
  <c r="O62" i="5" s="1"/>
  <c r="J62" i="5"/>
  <c r="N62" i="5"/>
  <c r="H63" i="5"/>
  <c r="J63" i="5"/>
  <c r="N63" i="5"/>
  <c r="H130" i="5"/>
  <c r="O130" i="5" s="1"/>
  <c r="J130" i="5"/>
  <c r="N130" i="5"/>
  <c r="H131" i="5"/>
  <c r="J131" i="5"/>
  <c r="N131" i="5"/>
  <c r="H132" i="5"/>
  <c r="J132" i="5"/>
  <c r="N132" i="5"/>
  <c r="H133" i="5"/>
  <c r="O133" i="5" s="1"/>
  <c r="J133" i="5"/>
  <c r="N133" i="5"/>
  <c r="H134" i="5"/>
  <c r="J134" i="5"/>
  <c r="N134" i="5"/>
  <c r="H135" i="5"/>
  <c r="J135" i="5"/>
  <c r="N135" i="5"/>
  <c r="H8" i="5"/>
  <c r="O8" i="5" s="1"/>
  <c r="J8" i="5"/>
  <c r="N8" i="5"/>
  <c r="H145" i="5"/>
  <c r="J145" i="5"/>
  <c r="N145" i="5"/>
  <c r="H146" i="5"/>
  <c r="O146" i="5" s="1"/>
  <c r="J146" i="5"/>
  <c r="N146" i="5"/>
  <c r="H147" i="5"/>
  <c r="J147" i="5"/>
  <c r="N147" i="5"/>
  <c r="H178" i="5"/>
  <c r="J178" i="5"/>
  <c r="N178" i="5"/>
  <c r="H74" i="5"/>
  <c r="O74" i="5" s="1"/>
  <c r="J74" i="5"/>
  <c r="N74" i="5"/>
  <c r="H136" i="5"/>
  <c r="J136" i="5"/>
  <c r="N136" i="5"/>
  <c r="H174" i="5"/>
  <c r="J174" i="5"/>
  <c r="N174" i="5"/>
  <c r="H208" i="5"/>
  <c r="O208" i="5" s="1"/>
  <c r="J208" i="5"/>
  <c r="N208" i="5"/>
  <c r="H209" i="5"/>
  <c r="J209" i="5"/>
  <c r="N209" i="5"/>
  <c r="H235" i="5"/>
  <c r="O235" i="5" s="1"/>
  <c r="J235" i="5"/>
  <c r="N235" i="5"/>
  <c r="H78" i="5"/>
  <c r="J78" i="5"/>
  <c r="N78" i="5"/>
  <c r="H79" i="5"/>
  <c r="J79" i="5"/>
  <c r="N79" i="5"/>
  <c r="H85" i="5"/>
  <c r="O85" i="5" s="1"/>
  <c r="J85" i="5"/>
  <c r="N85" i="5"/>
  <c r="H288" i="5"/>
  <c r="J288" i="5"/>
  <c r="N288" i="5"/>
  <c r="H289" i="5"/>
  <c r="J289" i="5"/>
  <c r="N289" i="5"/>
  <c r="H290" i="5"/>
  <c r="O290" i="5" s="1"/>
  <c r="J290" i="5"/>
  <c r="N290" i="5"/>
  <c r="H291" i="5"/>
  <c r="J291" i="5"/>
  <c r="N291" i="5"/>
  <c r="H292" i="5"/>
  <c r="O292" i="5" s="1"/>
  <c r="J292" i="5"/>
  <c r="N292" i="5"/>
  <c r="H293" i="5"/>
  <c r="J293" i="5"/>
  <c r="N293" i="5"/>
  <c r="H294" i="5"/>
  <c r="J294" i="5"/>
  <c r="N294" i="5"/>
  <c r="H295" i="5"/>
  <c r="O295" i="5" s="1"/>
  <c r="J295" i="5"/>
  <c r="N295" i="5"/>
  <c r="H296" i="5"/>
  <c r="J296" i="5"/>
  <c r="N296" i="5"/>
  <c r="H297" i="5"/>
  <c r="J297" i="5"/>
  <c r="N297" i="5"/>
  <c r="H298" i="5"/>
  <c r="O298" i="5" s="1"/>
  <c r="J298" i="5"/>
  <c r="N298" i="5"/>
  <c r="H299" i="5"/>
  <c r="J299" i="5"/>
  <c r="N299" i="5"/>
  <c r="H300" i="5"/>
  <c r="O300" i="5" s="1"/>
  <c r="J300" i="5"/>
  <c r="N300" i="5"/>
  <c r="H301" i="5"/>
  <c r="J301" i="5"/>
  <c r="N301" i="5"/>
  <c r="H14" i="5"/>
  <c r="J14" i="5"/>
  <c r="N14" i="5"/>
  <c r="H119" i="5"/>
  <c r="O119" i="5" s="1"/>
  <c r="J119" i="5"/>
  <c r="N119" i="5"/>
  <c r="H110" i="5"/>
  <c r="J110" i="5"/>
  <c r="N110" i="5"/>
  <c r="H302" i="5"/>
  <c r="J302" i="5"/>
  <c r="N302" i="5"/>
  <c r="H236" i="5"/>
  <c r="J236" i="5"/>
  <c r="N236" i="5"/>
  <c r="H137" i="5"/>
  <c r="J137" i="5"/>
  <c r="N137" i="5"/>
  <c r="H138" i="5"/>
  <c r="O138" i="5" s="1"/>
  <c r="J138" i="5"/>
  <c r="N138" i="5"/>
  <c r="H139" i="5"/>
  <c r="J139" i="5"/>
  <c r="N139" i="5"/>
  <c r="H160" i="5"/>
  <c r="J160" i="5"/>
  <c r="N160" i="5"/>
  <c r="H175" i="5"/>
  <c r="O175" i="5" s="1"/>
  <c r="J175" i="5"/>
  <c r="N175" i="5"/>
  <c r="H245" i="5"/>
  <c r="J245" i="5"/>
  <c r="N245" i="5"/>
  <c r="H303" i="5"/>
  <c r="J303" i="5"/>
  <c r="N303" i="5"/>
  <c r="H304" i="5"/>
  <c r="O304" i="5" s="1"/>
  <c r="J304" i="5"/>
  <c r="N304" i="5"/>
  <c r="H305" i="5"/>
  <c r="J305" i="5"/>
  <c r="N305" i="5"/>
  <c r="H306" i="5"/>
  <c r="J306" i="5"/>
  <c r="N306" i="5"/>
  <c r="H307" i="5"/>
  <c r="J307" i="5"/>
  <c r="N307" i="5"/>
  <c r="H308" i="5"/>
  <c r="J308" i="5"/>
  <c r="N308" i="5"/>
  <c r="H309" i="5"/>
  <c r="O309" i="5" s="1"/>
  <c r="J309" i="5"/>
  <c r="N309" i="5"/>
  <c r="H310" i="5"/>
  <c r="J310" i="5"/>
  <c r="N310" i="5"/>
  <c r="H311" i="5"/>
  <c r="J311" i="5"/>
  <c r="N311" i="5"/>
  <c r="H312" i="5"/>
  <c r="O312" i="5" s="1"/>
  <c r="J312" i="5"/>
  <c r="N312" i="5"/>
  <c r="H313" i="5"/>
  <c r="J313" i="5"/>
  <c r="N313" i="5"/>
  <c r="H314" i="5"/>
  <c r="J314" i="5"/>
  <c r="N314" i="5"/>
  <c r="H148" i="5"/>
  <c r="J148" i="5"/>
  <c r="N148" i="5"/>
  <c r="H149" i="5"/>
  <c r="J149" i="5"/>
  <c r="N149" i="5"/>
  <c r="H22" i="5"/>
  <c r="O22" i="5" s="1"/>
  <c r="J22" i="5"/>
  <c r="N22" i="5"/>
  <c r="H123" i="5"/>
  <c r="J123" i="5"/>
  <c r="N123" i="5"/>
  <c r="H124" i="5"/>
  <c r="J124" i="5"/>
  <c r="N124" i="5"/>
  <c r="H125" i="5"/>
  <c r="O125" i="5" s="1"/>
  <c r="J125" i="5"/>
  <c r="N125" i="5"/>
  <c r="H126" i="5"/>
  <c r="J126" i="5"/>
  <c r="N126" i="5"/>
  <c r="H127" i="5"/>
  <c r="J127" i="5"/>
  <c r="N127" i="5"/>
  <c r="H256" i="5"/>
  <c r="J256" i="5"/>
  <c r="N256" i="5"/>
  <c r="H257" i="5"/>
  <c r="J257" i="5"/>
  <c r="N257" i="5"/>
  <c r="H252" i="5"/>
  <c r="O252" i="5" s="1"/>
  <c r="J252" i="5"/>
  <c r="N252" i="5"/>
  <c r="H224" i="5"/>
  <c r="J224" i="5"/>
  <c r="N224" i="5"/>
  <c r="H105" i="5"/>
  <c r="J105" i="5"/>
  <c r="N105" i="5"/>
  <c r="H52" i="5"/>
  <c r="O52" i="5" s="1"/>
  <c r="J52" i="5"/>
  <c r="N52" i="5"/>
  <c r="H192" i="5"/>
  <c r="J192" i="5"/>
  <c r="N192" i="5"/>
  <c r="H193" i="5"/>
  <c r="J193" i="5"/>
  <c r="N193" i="5"/>
  <c r="H72" i="5"/>
  <c r="J72" i="5"/>
  <c r="N72" i="5"/>
  <c r="H4" i="5"/>
  <c r="J4" i="5"/>
  <c r="N4" i="5"/>
  <c r="H11" i="5"/>
  <c r="O11" i="5" s="1"/>
  <c r="J11" i="5"/>
  <c r="N11" i="5"/>
  <c r="H7" i="5"/>
  <c r="J7" i="5"/>
  <c r="N7" i="5"/>
  <c r="H88" i="5"/>
  <c r="J88" i="5"/>
  <c r="N88" i="5"/>
  <c r="H225" i="5"/>
  <c r="O225" i="5" s="1"/>
  <c r="J225" i="5"/>
  <c r="N225" i="5"/>
  <c r="H220" i="5"/>
  <c r="J220" i="5"/>
  <c r="N220" i="5"/>
  <c r="H238" i="5"/>
  <c r="J238" i="5"/>
  <c r="N238" i="5"/>
  <c r="H111" i="5"/>
  <c r="J111" i="5"/>
  <c r="N111" i="5"/>
  <c r="H112" i="5"/>
  <c r="J112" i="5"/>
  <c r="N112" i="5"/>
  <c r="H176" i="5"/>
  <c r="O176" i="5" s="1"/>
  <c r="J176" i="5"/>
  <c r="N176" i="5"/>
  <c r="H80" i="5"/>
  <c r="J80" i="5"/>
  <c r="N80" i="5"/>
  <c r="H44" i="5"/>
  <c r="J44" i="5"/>
  <c r="N44" i="5"/>
  <c r="H315" i="5"/>
  <c r="O315" i="5" s="1"/>
  <c r="J315" i="5"/>
  <c r="N315" i="5"/>
  <c r="H316" i="5"/>
  <c r="J316" i="5"/>
  <c r="N316" i="5"/>
  <c r="H317" i="5"/>
  <c r="J317" i="5"/>
  <c r="N317" i="5"/>
  <c r="H318" i="5"/>
  <c r="J318" i="5"/>
  <c r="N318" i="5"/>
  <c r="H319" i="5"/>
  <c r="J319" i="5"/>
  <c r="N319" i="5"/>
  <c r="H320" i="5"/>
  <c r="O320" i="5" s="1"/>
  <c r="J320" i="5"/>
  <c r="N320" i="5"/>
  <c r="H321" i="5"/>
  <c r="J321" i="5"/>
  <c r="N321" i="5"/>
  <c r="H322" i="5"/>
  <c r="J322" i="5"/>
  <c r="N322" i="5"/>
  <c r="H323" i="5"/>
  <c r="O323" i="5" s="1"/>
  <c r="J323" i="5"/>
  <c r="N323" i="5"/>
  <c r="H324" i="5"/>
  <c r="J324" i="5"/>
  <c r="N324" i="5"/>
  <c r="H325" i="5"/>
  <c r="J325" i="5"/>
  <c r="N325" i="5"/>
  <c r="H326" i="5"/>
  <c r="J326" i="5"/>
  <c r="N326" i="5"/>
  <c r="H327" i="5"/>
  <c r="J327" i="5"/>
  <c r="N327" i="5"/>
  <c r="H328" i="5"/>
  <c r="O328" i="5" s="1"/>
  <c r="J328" i="5"/>
  <c r="N328" i="5"/>
  <c r="H329" i="5"/>
  <c r="J329" i="5"/>
  <c r="N329" i="5"/>
  <c r="H330" i="5"/>
  <c r="J330" i="5"/>
  <c r="N330" i="5"/>
  <c r="H331" i="5"/>
  <c r="O331" i="5" s="1"/>
  <c r="J331" i="5"/>
  <c r="N331" i="5"/>
  <c r="H332" i="5"/>
  <c r="J332" i="5"/>
  <c r="N332" i="5"/>
  <c r="H333" i="5"/>
  <c r="J333" i="5"/>
  <c r="N333" i="5"/>
  <c r="H334" i="5"/>
  <c r="J334" i="5"/>
  <c r="N334" i="5"/>
  <c r="H335" i="5"/>
  <c r="J335" i="5"/>
  <c r="N335" i="5"/>
  <c r="H336" i="5"/>
  <c r="O336" i="5" s="1"/>
  <c r="J336" i="5"/>
  <c r="N336" i="5"/>
  <c r="H337" i="5"/>
  <c r="J337" i="5"/>
  <c r="N337" i="5"/>
  <c r="H338" i="5"/>
  <c r="J338" i="5"/>
  <c r="N338" i="5"/>
  <c r="H339" i="5"/>
  <c r="O339" i="5" s="1"/>
  <c r="J339" i="5"/>
  <c r="N339" i="5"/>
  <c r="H340" i="5"/>
  <c r="J340" i="5"/>
  <c r="N340" i="5"/>
  <c r="H341" i="5"/>
  <c r="J341" i="5"/>
  <c r="N341" i="5"/>
  <c r="O186" i="5" l="1"/>
  <c r="O8" i="6"/>
  <c r="O10" i="6"/>
  <c r="O23" i="6"/>
  <c r="O25" i="6"/>
  <c r="O13" i="7"/>
  <c r="O75" i="7"/>
  <c r="O16" i="7"/>
  <c r="O53" i="7"/>
  <c r="O23" i="8"/>
  <c r="O60" i="9"/>
  <c r="O64" i="9"/>
  <c r="O75" i="9"/>
  <c r="O77" i="9"/>
  <c r="O4" i="10"/>
  <c r="O43" i="10"/>
  <c r="O47" i="10"/>
  <c r="O238" i="5"/>
  <c r="O317" i="5"/>
  <c r="O314" i="5"/>
  <c r="O306" i="5"/>
  <c r="O338" i="5"/>
  <c r="O289" i="5"/>
  <c r="O174" i="5"/>
  <c r="O135" i="5"/>
  <c r="O244" i="5"/>
  <c r="O276" i="5"/>
  <c r="O6" i="6"/>
  <c r="O47" i="6"/>
  <c r="O9" i="7"/>
  <c r="O50" i="8"/>
  <c r="O11" i="9"/>
  <c r="O13" i="9"/>
  <c r="O15" i="9"/>
  <c r="O17" i="9"/>
  <c r="O54" i="9"/>
  <c r="O58" i="9"/>
  <c r="O48" i="8"/>
  <c r="O4" i="9"/>
  <c r="O17" i="10"/>
  <c r="O21" i="10"/>
  <c r="O32" i="10"/>
  <c r="O34" i="7"/>
  <c r="O48" i="7"/>
  <c r="O44" i="6"/>
  <c r="O61" i="8"/>
  <c r="O69" i="8"/>
  <c r="O71" i="8"/>
  <c r="O73" i="8"/>
  <c r="O75" i="8"/>
  <c r="O40" i="8"/>
  <c r="O44" i="8"/>
  <c r="O19" i="10"/>
  <c r="O341" i="5"/>
  <c r="O127" i="5"/>
  <c r="O105" i="5"/>
  <c r="O124" i="5"/>
  <c r="O303" i="5"/>
  <c r="O302" i="5"/>
  <c r="O202" i="5"/>
  <c r="O30" i="6"/>
  <c r="O34" i="6"/>
  <c r="O38" i="6"/>
  <c r="O24" i="7"/>
  <c r="O62" i="8"/>
  <c r="O28" i="9"/>
  <c r="O32" i="9"/>
  <c r="O43" i="9"/>
  <c r="O45" i="9"/>
  <c r="O47" i="9"/>
  <c r="O49" i="9"/>
  <c r="O11" i="10"/>
  <c r="O15" i="10"/>
  <c r="O60" i="10"/>
  <c r="O333" i="5"/>
  <c r="O322" i="5"/>
  <c r="O44" i="5"/>
  <c r="O311" i="5"/>
  <c r="O61" i="5"/>
  <c r="O12" i="5"/>
  <c r="O144" i="5"/>
  <c r="O44" i="7"/>
  <c r="O31" i="7"/>
  <c r="O35" i="7"/>
  <c r="O55" i="8"/>
  <c r="O59" i="8"/>
  <c r="O325" i="5"/>
  <c r="O193" i="5"/>
  <c r="O330" i="5"/>
  <c r="O88" i="5"/>
  <c r="O297" i="5"/>
  <c r="O26" i="5"/>
  <c r="O6" i="7"/>
  <c r="O21" i="7"/>
  <c r="O4" i="8"/>
  <c r="O19" i="8"/>
  <c r="O29" i="8"/>
  <c r="O31" i="8"/>
  <c r="O33" i="8"/>
  <c r="O35" i="8"/>
  <c r="O22" i="9"/>
  <c r="O26" i="9"/>
  <c r="O51" i="10"/>
  <c r="O308" i="5"/>
  <c r="O160" i="5"/>
  <c r="O14" i="5"/>
  <c r="O294" i="5"/>
  <c r="O79" i="5"/>
  <c r="O178" i="5"/>
  <c r="O132" i="5"/>
  <c r="O287" i="5"/>
  <c r="O219" i="5"/>
  <c r="O284" i="5"/>
  <c r="O129" i="5"/>
  <c r="O273" i="5"/>
  <c r="O207" i="5"/>
  <c r="O199" i="5"/>
  <c r="O16" i="6"/>
  <c r="O18" i="6"/>
  <c r="O27" i="6"/>
  <c r="O29" i="6"/>
  <c r="O48" i="6"/>
  <c r="O71" i="7"/>
  <c r="O12" i="7"/>
  <c r="O25" i="7"/>
  <c r="O37" i="7"/>
  <c r="O39" i="7"/>
  <c r="O54" i="7"/>
  <c r="O65" i="7"/>
  <c r="O67" i="7"/>
  <c r="O66" i="8"/>
  <c r="O77" i="8"/>
  <c r="O9" i="8"/>
  <c r="O27" i="8"/>
  <c r="O37" i="8"/>
  <c r="O39" i="8"/>
  <c r="O8" i="9"/>
  <c r="O19" i="9"/>
  <c r="O21" i="9"/>
  <c r="O40" i="9"/>
  <c r="O51" i="9"/>
  <c r="O53" i="9"/>
  <c r="O72" i="9"/>
  <c r="O8" i="10"/>
  <c r="O18" i="10"/>
  <c r="O29" i="10"/>
  <c r="O40" i="10"/>
  <c r="O50" i="10"/>
  <c r="O61" i="10"/>
  <c r="O36" i="10"/>
  <c r="O57" i="10"/>
  <c r="O112" i="5"/>
  <c r="O4" i="5"/>
  <c r="O257" i="5"/>
  <c r="O340" i="5"/>
  <c r="O332" i="5"/>
  <c r="O324" i="5"/>
  <c r="O316" i="5"/>
  <c r="O220" i="5"/>
  <c r="O192" i="5"/>
  <c r="O126" i="5"/>
  <c r="O313" i="5"/>
  <c r="O305" i="5"/>
  <c r="O137" i="5"/>
  <c r="O299" i="5"/>
  <c r="O291" i="5"/>
  <c r="O209" i="5"/>
  <c r="O145" i="5"/>
  <c r="O63" i="5"/>
  <c r="O223" i="5"/>
  <c r="O68" i="5"/>
  <c r="O281" i="5"/>
  <c r="O278" i="5"/>
  <c r="O270" i="5"/>
  <c r="O204" i="5"/>
  <c r="O242" i="5"/>
  <c r="O66" i="5"/>
  <c r="O230" i="5"/>
  <c r="O38" i="5"/>
  <c r="O214" i="5"/>
  <c r="O16" i="5"/>
  <c r="O189" i="5"/>
  <c r="O162" i="5"/>
  <c r="O30" i="5"/>
  <c r="O32" i="5"/>
  <c r="O267" i="5"/>
  <c r="O64" i="5"/>
  <c r="O96" i="5"/>
  <c r="O247" i="5"/>
  <c r="O246" i="5"/>
  <c r="O81" i="5"/>
  <c r="O187" i="5"/>
  <c r="O92" i="5"/>
  <c r="O173" i="5"/>
  <c r="O107" i="5"/>
  <c r="O46" i="5"/>
  <c r="O35" i="5"/>
  <c r="O3" i="6"/>
  <c r="O31" i="6"/>
  <c r="O52" i="6"/>
  <c r="O14" i="7"/>
  <c r="O28" i="7"/>
  <c r="O41" i="7"/>
  <c r="O58" i="7"/>
  <c r="O69" i="7"/>
  <c r="O70" i="8"/>
  <c r="O11" i="8"/>
  <c r="O13" i="8"/>
  <c r="O30" i="8"/>
  <c r="O41" i="8"/>
  <c r="O43" i="8"/>
  <c r="O12" i="9"/>
  <c r="O23" i="9"/>
  <c r="O25" i="9"/>
  <c r="O44" i="9"/>
  <c r="O55" i="9"/>
  <c r="O57" i="9"/>
  <c r="O76" i="9"/>
  <c r="O12" i="10"/>
  <c r="O22" i="10"/>
  <c r="O33" i="10"/>
  <c r="O44" i="10"/>
  <c r="O54" i="10"/>
  <c r="O65" i="10"/>
  <c r="O335" i="5"/>
  <c r="O319" i="5"/>
  <c r="O149" i="5"/>
  <c r="O337" i="5"/>
  <c r="O329" i="5"/>
  <c r="O321" i="5"/>
  <c r="O80" i="5"/>
  <c r="O7" i="5"/>
  <c r="O224" i="5"/>
  <c r="O123" i="5"/>
  <c r="O310" i="5"/>
  <c r="O245" i="5"/>
  <c r="O110" i="5"/>
  <c r="O296" i="5"/>
  <c r="O288" i="5"/>
  <c r="O136" i="5"/>
  <c r="O134" i="5"/>
  <c r="O23" i="5"/>
  <c r="O20" i="5"/>
  <c r="O217" i="5"/>
  <c r="O67" i="5"/>
  <c r="O275" i="5"/>
  <c r="O216" i="5"/>
  <c r="O201" i="5"/>
  <c r="O261" i="5"/>
  <c r="O89" i="5"/>
  <c r="O26" i="10"/>
  <c r="O58" i="10"/>
  <c r="O327" i="5"/>
  <c r="O334" i="5"/>
  <c r="O326" i="5"/>
  <c r="O318" i="5"/>
  <c r="O111" i="5"/>
  <c r="O72" i="5"/>
  <c r="O256" i="5"/>
  <c r="O148" i="5"/>
  <c r="O307" i="5"/>
  <c r="O139" i="5"/>
  <c r="O301" i="5"/>
  <c r="O293" i="5"/>
  <c r="O78" i="5"/>
  <c r="O147" i="5"/>
  <c r="O131" i="5"/>
  <c r="O286" i="5"/>
  <c r="O218" i="5"/>
  <c r="O283" i="5"/>
  <c r="O19" i="5"/>
  <c r="O272" i="5"/>
  <c r="O206" i="5"/>
  <c r="O198" i="5"/>
  <c r="O7" i="6"/>
  <c r="O9" i="6"/>
  <c r="O28" i="6"/>
  <c r="O39" i="6"/>
  <c r="O41" i="6"/>
  <c r="O11" i="7"/>
  <c r="O17" i="7"/>
  <c r="O19" i="7"/>
  <c r="O38" i="7"/>
  <c r="O49" i="7"/>
  <c r="O51" i="7"/>
  <c r="O66" i="7"/>
  <c r="O60" i="8"/>
  <c r="O5" i="8"/>
  <c r="O8" i="8"/>
  <c r="O18" i="8"/>
  <c r="O20" i="8"/>
  <c r="O38" i="8"/>
  <c r="O49" i="8"/>
  <c r="O51" i="8"/>
  <c r="O20" i="9"/>
  <c r="O31" i="9"/>
  <c r="O33" i="9"/>
  <c r="O52" i="9"/>
  <c r="O63" i="9"/>
  <c r="O65" i="9"/>
  <c r="O9" i="10"/>
  <c r="O20" i="10"/>
  <c r="O30" i="10"/>
  <c r="O41" i="10"/>
  <c r="O52" i="10"/>
  <c r="O62" i="10"/>
  <c r="O236" i="5"/>
  <c r="O277" i="5"/>
  <c r="O203" i="5"/>
  <c r="O4" i="6"/>
  <c r="O32" i="6"/>
  <c r="O43" i="6"/>
  <c r="O45" i="6"/>
  <c r="O72" i="7"/>
  <c r="O3" i="7"/>
  <c r="O22" i="7"/>
  <c r="O42" i="7"/>
  <c r="O8" i="7"/>
  <c r="O10" i="7"/>
  <c r="O53" i="8"/>
  <c r="O7" i="8"/>
  <c r="O63" i="8"/>
  <c r="O12" i="8"/>
  <c r="O22" i="8"/>
  <c r="O24" i="8"/>
  <c r="O42" i="8"/>
  <c r="O3" i="9"/>
  <c r="O5" i="9"/>
  <c r="O24" i="9"/>
  <c r="O35" i="9"/>
  <c r="O37" i="9"/>
  <c r="O56" i="9"/>
  <c r="O67" i="9"/>
  <c r="O69" i="9"/>
  <c r="O13" i="10"/>
  <c r="O24" i="10"/>
  <c r="O34" i="10"/>
  <c r="O45" i="10"/>
  <c r="O56" i="10"/>
  <c r="O241" i="5"/>
  <c r="O154" i="5"/>
  <c r="O77" i="5"/>
  <c r="O233" i="5"/>
  <c r="O229" i="5"/>
  <c r="O69" i="5"/>
  <c r="O49" i="5"/>
  <c r="O120" i="5"/>
  <c r="O143" i="5"/>
  <c r="O163" i="5"/>
  <c r="O118" i="5"/>
  <c r="O116" i="5"/>
  <c r="O185" i="5"/>
  <c r="O50" i="5"/>
  <c r="O103" i="5"/>
  <c r="O34" i="5"/>
  <c r="O213" i="5"/>
  <c r="O27" i="5"/>
  <c r="O211" i="5"/>
  <c r="O269" i="5"/>
  <c r="O266" i="5"/>
  <c r="O45" i="5"/>
  <c r="O264" i="5"/>
  <c r="O248" i="5"/>
  <c r="O254" i="5"/>
  <c r="O58" i="5"/>
  <c r="O151" i="5"/>
  <c r="O253" i="5"/>
  <c r="O258" i="5"/>
  <c r="O54" i="5"/>
  <c r="O76" i="5"/>
  <c r="O115" i="5"/>
  <c r="O109" i="5"/>
  <c r="O95" i="5"/>
  <c r="O91" i="5"/>
  <c r="O227" i="5"/>
  <c r="O179" i="5"/>
  <c r="O170" i="5"/>
  <c r="O168" i="5"/>
  <c r="O37" i="5"/>
  <c r="O33" i="5"/>
  <c r="O165" i="5"/>
  <c r="O194" i="5"/>
  <c r="O239" i="5"/>
  <c r="O18" i="5"/>
  <c r="O75" i="5"/>
  <c r="O231" i="5"/>
  <c r="O47" i="5"/>
  <c r="O39" i="5"/>
  <c r="O17" i="5"/>
  <c r="O197" i="5"/>
  <c r="O41" i="5"/>
  <c r="O190" i="5"/>
  <c r="O117" i="5"/>
  <c r="O59" i="5"/>
  <c r="O25" i="5"/>
  <c r="O177" i="5"/>
  <c r="O249" i="5"/>
  <c r="O31" i="5"/>
  <c r="O221" i="5"/>
  <c r="O212" i="5"/>
  <c r="O42" i="5"/>
  <c r="O210" i="5"/>
  <c r="O102" i="5"/>
  <c r="O265" i="5"/>
  <c r="O65" i="5"/>
  <c r="O97" i="5"/>
  <c r="O240" i="5"/>
  <c r="O153" i="5"/>
  <c r="O128" i="5"/>
  <c r="O232" i="5"/>
  <c r="O228" i="5"/>
  <c r="O215" i="5"/>
  <c r="O183" i="5"/>
  <c r="O152" i="5"/>
  <c r="O5" i="5"/>
  <c r="O159" i="5"/>
  <c r="O222" i="5"/>
  <c r="O196" i="5"/>
  <c r="O142" i="5"/>
  <c r="O181" i="5"/>
  <c r="O250" i="5"/>
  <c r="O57" i="5"/>
  <c r="O29" i="5"/>
  <c r="O24" i="5"/>
  <c r="O164" i="5"/>
  <c r="O268" i="5"/>
  <c r="O36" i="5"/>
  <c r="O100" i="5"/>
  <c r="O86" i="5"/>
  <c r="O98" i="5"/>
  <c r="O237" i="5"/>
  <c r="O263" i="5"/>
  <c r="O140" i="5"/>
  <c r="O260" i="5"/>
  <c r="O83" i="5"/>
  <c r="O6" i="5"/>
  <c r="O3" i="5"/>
  <c r="O43" i="5"/>
  <c r="O158" i="5"/>
  <c r="O94" i="5"/>
  <c r="O90" i="5"/>
  <c r="O226" i="5"/>
  <c r="O108" i="5"/>
  <c r="O169" i="5"/>
  <c r="O106" i="5"/>
  <c r="O56" i="5"/>
  <c r="O150" i="5"/>
  <c r="O113" i="5"/>
  <c r="O11" i="6"/>
  <c r="O19" i="6"/>
  <c r="O33" i="6"/>
  <c r="O49" i="6"/>
  <c r="O74" i="7"/>
  <c r="O4" i="7"/>
  <c r="O43" i="7"/>
  <c r="O55" i="7"/>
  <c r="O54" i="8"/>
  <c r="O5" i="6"/>
  <c r="O13" i="6"/>
  <c r="O21" i="6"/>
  <c r="O37" i="6"/>
  <c r="O73" i="7"/>
  <c r="O15" i="7"/>
  <c r="O29" i="7"/>
  <c r="O47" i="7"/>
  <c r="O59" i="7"/>
  <c r="O58" i="8"/>
</calcChain>
</file>

<file path=xl/sharedStrings.xml><?xml version="1.0" encoding="utf-8"?>
<sst xmlns="http://schemas.openxmlformats.org/spreadsheetml/2006/main" count="15962" uniqueCount="302">
  <si>
    <t>Active</t>
  </si>
  <si>
    <t>Inspect_DT</t>
  </si>
  <si>
    <t>Notes</t>
  </si>
  <si>
    <t>ID</t>
  </si>
  <si>
    <t>Inv_date</t>
  </si>
  <si>
    <t>UniqueID</t>
  </si>
  <si>
    <t>Inspect_TM</t>
  </si>
  <si>
    <t>SPP</t>
  </si>
  <si>
    <t>DBH</t>
  </si>
  <si>
    <t>COND</t>
  </si>
  <si>
    <t>MT</t>
  </si>
  <si>
    <t>INSPECT</t>
  </si>
  <si>
    <t>MT2</t>
  </si>
  <si>
    <t>RISK</t>
  </si>
  <si>
    <t>LOCTYPE</t>
  </si>
  <si>
    <t>LOCVAL</t>
  </si>
  <si>
    <t>CONFLICT</t>
  </si>
  <si>
    <t>STAFF</t>
  </si>
  <si>
    <t>Geog1</t>
  </si>
  <si>
    <t>Geog2</t>
  </si>
  <si>
    <t>Geog3</t>
  </si>
  <si>
    <t>Geog4</t>
  </si>
  <si>
    <t>X</t>
  </si>
  <si>
    <t>Y</t>
  </si>
  <si>
    <t>Unknown spp.</t>
  </si>
  <si>
    <t>Fair</t>
  </si>
  <si>
    <t>Pruning: Routine</t>
  </si>
  <si>
    <t>None</t>
  </si>
  <si>
    <t>Moderate Risk</t>
  </si>
  <si>
    <t>Excellent</t>
  </si>
  <si>
    <t>N/A</t>
  </si>
  <si>
    <t>Good</t>
  </si>
  <si>
    <t>N</t>
  </si>
  <si>
    <t>Open</t>
  </si>
  <si>
    <t>Minimal Risk</t>
  </si>
  <si>
    <t>Pruning: Deadwood 1</t>
  </si>
  <si>
    <t>MS2</t>
  </si>
  <si>
    <t>No Risk</t>
  </si>
  <si>
    <t>Poor</t>
  </si>
  <si>
    <t>Cedrus atlantica</t>
  </si>
  <si>
    <t>MS3</t>
  </si>
  <si>
    <t>Operations</t>
  </si>
  <si>
    <t>Removal</t>
  </si>
  <si>
    <t>MS4</t>
  </si>
  <si>
    <t>MS8</t>
  </si>
  <si>
    <t>Pinus spp.</t>
  </si>
  <si>
    <t>brown</t>
  </si>
  <si>
    <t>johnson</t>
  </si>
  <si>
    <t>wilson</t>
  </si>
  <si>
    <t>Cavity or Decay</t>
  </si>
  <si>
    <t>Cedrus deodara</t>
  </si>
  <si>
    <t>MS5</t>
  </si>
  <si>
    <t>Very Good</t>
  </si>
  <si>
    <t>Dead</t>
  </si>
  <si>
    <t>hill</t>
  </si>
  <si>
    <t>mc</t>
  </si>
  <si>
    <t>Quercus spp.</t>
  </si>
  <si>
    <t>SECTION</t>
  </si>
  <si>
    <t>HEADSTONE</t>
  </si>
  <si>
    <t>SITE</t>
  </si>
  <si>
    <t>COMMON</t>
  </si>
  <si>
    <t>BOTANICAL</t>
  </si>
  <si>
    <t>Cedar, Atlas</t>
  </si>
  <si>
    <t>Cedar, Deodar</t>
  </si>
  <si>
    <t>SPECIES</t>
  </si>
  <si>
    <t>DBH PTS</t>
  </si>
  <si>
    <t>COND PTS</t>
  </si>
  <si>
    <t>MAINTENANCE</t>
  </si>
  <si>
    <t>MAINT PTS</t>
  </si>
  <si>
    <t>RISK PTS</t>
  </si>
  <si>
    <t>PRIORITY PTS</t>
  </si>
  <si>
    <t>WEIGHTING FACTOR</t>
  </si>
  <si>
    <t>REMOVALS</t>
  </si>
  <si>
    <t>PRUNING: DEADWOOD 1</t>
  </si>
  <si>
    <t>PRUNING: ROUTINE</t>
  </si>
  <si>
    <t>Sequoiadendron giganteum</t>
  </si>
  <si>
    <t>rod thurman</t>
  </si>
  <si>
    <t>aa</t>
  </si>
  <si>
    <t>none</t>
  </si>
  <si>
    <t>Platanus x acerifolia</t>
  </si>
  <si>
    <t>tier</t>
  </si>
  <si>
    <t>planted too close to other tree.</t>
  </si>
  <si>
    <t>Pinus thunbergiana</t>
  </si>
  <si>
    <t>Island</t>
  </si>
  <si>
    <t>Other - see notes</t>
  </si>
  <si>
    <t>teer</t>
  </si>
  <si>
    <t>Zelkova spp.</t>
  </si>
  <si>
    <t>Pruning: Training</t>
  </si>
  <si>
    <t>Acer rubrum</t>
  </si>
  <si>
    <t>kopplin</t>
  </si>
  <si>
    <t>roney</t>
  </si>
  <si>
    <t>Acer palmatum</t>
  </si>
  <si>
    <t>fichner</t>
  </si>
  <si>
    <t>pohll</t>
  </si>
  <si>
    <t>Quercus garryana</t>
  </si>
  <si>
    <t>taylor</t>
  </si>
  <si>
    <t>grassley</t>
  </si>
  <si>
    <t>Cabling and Rigid Bracing</t>
  </si>
  <si>
    <t>farber</t>
  </si>
  <si>
    <t>falcon</t>
  </si>
  <si>
    <t>kobza</t>
  </si>
  <si>
    <t>landgraf</t>
  </si>
  <si>
    <t>allen</t>
  </si>
  <si>
    <t>anthracnose damage.</t>
  </si>
  <si>
    <t>tarbell</t>
  </si>
  <si>
    <t>hooper</t>
  </si>
  <si>
    <t>is being moved</t>
  </si>
  <si>
    <t>Acer platanoides</t>
  </si>
  <si>
    <t>snyder</t>
  </si>
  <si>
    <t>serrano</t>
  </si>
  <si>
    <t>stump</t>
  </si>
  <si>
    <t>sweeney</t>
  </si>
  <si>
    <t>Poor Location;consider removal. poor pla</t>
  </si>
  <si>
    <t>Thuja spp.</t>
  </si>
  <si>
    <t>Calocedrus decurrens</t>
  </si>
  <si>
    <t>Improperly Pruned;pruning stubs present.</t>
  </si>
  <si>
    <t>Cercis canadensis</t>
  </si>
  <si>
    <t>Cornus florida</t>
  </si>
  <si>
    <t>Cavity or Decay;in decline</t>
  </si>
  <si>
    <t>Prunus cerasifera</t>
  </si>
  <si>
    <t>mower damage at base.</t>
  </si>
  <si>
    <t>new section s/e corner</t>
  </si>
  <si>
    <t>new section</t>
  </si>
  <si>
    <t>new location s/e corner</t>
  </si>
  <si>
    <t>crowding other tree</t>
  </si>
  <si>
    <t>Poor Location;crowded by plane tree</t>
  </si>
  <si>
    <t>Fraxinus pennsylvanica</t>
  </si>
  <si>
    <t>2b 23</t>
  </si>
  <si>
    <t>1d 67</t>
  </si>
  <si>
    <t>9b 23</t>
  </si>
  <si>
    <t>9d 46</t>
  </si>
  <si>
    <t>9d 67</t>
  </si>
  <si>
    <t>e</t>
  </si>
  <si>
    <t>e585</t>
  </si>
  <si>
    <t>Poor Location; under oak</t>
  </si>
  <si>
    <t>Pyrus calleryana</t>
  </si>
  <si>
    <t>me</t>
  </si>
  <si>
    <t>me1</t>
  </si>
  <si>
    <t>Quercus rubra</t>
  </si>
  <si>
    <t>me 7</t>
  </si>
  <si>
    <t>md</t>
  </si>
  <si>
    <t>md 6</t>
  </si>
  <si>
    <t>mc 3</t>
  </si>
  <si>
    <t>mc 17</t>
  </si>
  <si>
    <t>mb</t>
  </si>
  <si>
    <t>mb 15</t>
  </si>
  <si>
    <t>Picea pungens engelm</t>
  </si>
  <si>
    <t>mb 102</t>
  </si>
  <si>
    <t>10 o 66</t>
  </si>
  <si>
    <t>10 a 21</t>
  </si>
  <si>
    <t>6 c 66</t>
  </si>
  <si>
    <t>stump sprouts</t>
  </si>
  <si>
    <t>Malus spp.</t>
  </si>
  <si>
    <t>6 a 22</t>
  </si>
  <si>
    <t>10 d 76</t>
  </si>
  <si>
    <t>base decay</t>
  </si>
  <si>
    <t>10 c 50</t>
  </si>
  <si>
    <t>Improperly Pruned;pruning stubs were lef</t>
  </si>
  <si>
    <t>10 d 67</t>
  </si>
  <si>
    <t>new planting 2005</t>
  </si>
  <si>
    <t>admin.</t>
  </si>
  <si>
    <t>new planting 05</t>
  </si>
  <si>
    <t>new plant 05</t>
  </si>
  <si>
    <t>s/e corner</t>
  </si>
  <si>
    <t>n/e corner</t>
  </si>
  <si>
    <t>Poor Location;poor structure. removal pl</t>
  </si>
  <si>
    <t>Poor Location;mechanical damage</t>
  </si>
  <si>
    <t>Tilia spp.</t>
  </si>
  <si>
    <t>commital</t>
  </si>
  <si>
    <t>Prunus serrulata</t>
  </si>
  <si>
    <t>advanced decline</t>
  </si>
  <si>
    <t>Picea pungens</t>
  </si>
  <si>
    <t>drought stress</t>
  </si>
  <si>
    <t>Chamaecyparis lawsoniana (A. Murr.) Parl</t>
  </si>
  <si>
    <t>rostrum</t>
  </si>
  <si>
    <t>Cavity or Decay;dead leaders present; de</t>
  </si>
  <si>
    <t>advanced decline; sunscald: poss blight</t>
  </si>
  <si>
    <t>Acer ginnala</t>
  </si>
  <si>
    <t>aa 289</t>
  </si>
  <si>
    <t>Aesculus carnea</t>
  </si>
  <si>
    <t>Juniperus spp.</t>
  </si>
  <si>
    <t>front gare</t>
  </si>
  <si>
    <t>included bark</t>
  </si>
  <si>
    <t>Salix babylonica</t>
  </si>
  <si>
    <t>b</t>
  </si>
  <si>
    <t>b 1513</t>
  </si>
  <si>
    <t>Acer saccharum</t>
  </si>
  <si>
    <t>Serious Decline</t>
  </si>
  <si>
    <t>topped</t>
  </si>
  <si>
    <t>Quercus phellos</t>
  </si>
  <si>
    <t>Morus alba</t>
  </si>
  <si>
    <t>b 882</t>
  </si>
  <si>
    <t>Mechanical Damage;consider removal</t>
  </si>
  <si>
    <t>Headstone</t>
  </si>
  <si>
    <t>b 1093</t>
  </si>
  <si>
    <t>Poor Location;consider removal</t>
  </si>
  <si>
    <t>Malus sylvestris</t>
  </si>
  <si>
    <t>b 1553</t>
  </si>
  <si>
    <t>b 1469</t>
  </si>
  <si>
    <t>b1</t>
  </si>
  <si>
    <t>b1 116 a</t>
  </si>
  <si>
    <t>Pseudotsuga menziesii</t>
  </si>
  <si>
    <t>a1</t>
  </si>
  <si>
    <t>Quercus palustris</t>
  </si>
  <si>
    <t>Pest Problem;consider removal; decay fun</t>
  </si>
  <si>
    <t>a1 45</t>
  </si>
  <si>
    <t>a1 28</t>
  </si>
  <si>
    <t>a1 21</t>
  </si>
  <si>
    <t>Poor Root System;consider removal</t>
  </si>
  <si>
    <t>Liquidambar styraciflua</t>
  </si>
  <si>
    <t>14 293 b</t>
  </si>
  <si>
    <t>14 95 a</t>
  </si>
  <si>
    <t>14 212</t>
  </si>
  <si>
    <t>14 308</t>
  </si>
  <si>
    <t>14 449</t>
  </si>
  <si>
    <t>14 78</t>
  </si>
  <si>
    <t>14 322</t>
  </si>
  <si>
    <t>Robinia pseudoacacia</t>
  </si>
  <si>
    <t>aa 181</t>
  </si>
  <si>
    <t>Pest Problem;advanced decline. apple sca</t>
  </si>
  <si>
    <t>na 42</t>
  </si>
  <si>
    <t>conflicts with pine</t>
  </si>
  <si>
    <t>Amelanchier spp.</t>
  </si>
  <si>
    <t>26 10</t>
  </si>
  <si>
    <t>26 28</t>
  </si>
  <si>
    <t>25 a 44</t>
  </si>
  <si>
    <t>Improperly Pruned</t>
  </si>
  <si>
    <t>welch</t>
  </si>
  <si>
    <t>14 169</t>
  </si>
  <si>
    <t>14 82</t>
  </si>
  <si>
    <t>14 179</t>
  </si>
  <si>
    <t>14 279</t>
  </si>
  <si>
    <t>a</t>
  </si>
  <si>
    <t>Acer saccharinum</t>
  </si>
  <si>
    <t>Fraxinus oxycarpa 'raywood'</t>
  </si>
  <si>
    <t>x Cupressocyparis leylandii</t>
  </si>
  <si>
    <t>MS4;Poor Location;consider removal</t>
  </si>
  <si>
    <t>MS4;consider removal</t>
  </si>
  <si>
    <t>admin office north</t>
  </si>
  <si>
    <t>otis</t>
  </si>
  <si>
    <t>steele</t>
  </si>
  <si>
    <t>Cavity or Decay;base decay</t>
  </si>
  <si>
    <t>hund</t>
  </si>
  <si>
    <t>empson</t>
  </si>
  <si>
    <t>24 73</t>
  </si>
  <si>
    <t>Cavity or Decay;base decay; dead leaders</t>
  </si>
  <si>
    <t>a 1921</t>
  </si>
  <si>
    <t>a 1903</t>
  </si>
  <si>
    <t>a 26</t>
  </si>
  <si>
    <t>a 26a</t>
  </si>
  <si>
    <t>a 67</t>
  </si>
  <si>
    <t>a 121</t>
  </si>
  <si>
    <t>a 517 b</t>
  </si>
  <si>
    <t>MS2;Serious Decline; verticillium wilt</t>
  </si>
  <si>
    <t>a 719</t>
  </si>
  <si>
    <t>Serious Decline; drought stress</t>
  </si>
  <si>
    <t>Mechanical Damage;</t>
  </si>
  <si>
    <t>Picea glauca conica</t>
  </si>
  <si>
    <t>Pinus ponderosa</t>
  </si>
  <si>
    <t>MAITNENACE</t>
  </si>
  <si>
    <t>Maple, Amur</t>
  </si>
  <si>
    <t>Maple, Japanese</t>
  </si>
  <si>
    <t>Maple, Norway</t>
  </si>
  <si>
    <t>Maple, Red</t>
  </si>
  <si>
    <t>Maple, Silver</t>
  </si>
  <si>
    <t>Maple, Sugar</t>
  </si>
  <si>
    <t>Horsechestnut, Red</t>
  </si>
  <si>
    <t>Serviceberry, spp.</t>
  </si>
  <si>
    <t>Cedar, Incense</t>
  </si>
  <si>
    <t>Redbud, Eastern</t>
  </si>
  <si>
    <t>Cedar, Port Orford</t>
  </si>
  <si>
    <t>Dogwood, flowering</t>
  </si>
  <si>
    <t>Ash, Raywood</t>
  </si>
  <si>
    <t>Ash, Green</t>
  </si>
  <si>
    <t>Juniper spp.</t>
  </si>
  <si>
    <t>Sweetgum</t>
  </si>
  <si>
    <t>Crabapple</t>
  </si>
  <si>
    <t>Apple, Edible</t>
  </si>
  <si>
    <t>Mulberry, White</t>
  </si>
  <si>
    <t>Spruce, Alberta Dwarf</t>
  </si>
  <si>
    <t>Spruce, Colorado Blue</t>
  </si>
  <si>
    <t>Spruce, Colorado</t>
  </si>
  <si>
    <t>Pine, Ponderosa</t>
  </si>
  <si>
    <t>Pine spp.</t>
  </si>
  <si>
    <t>Pine, Japanese Black</t>
  </si>
  <si>
    <t>Planetree, London</t>
  </si>
  <si>
    <t>Plum, Purple Leaf</t>
  </si>
  <si>
    <t>Cherry, Japanese Flowering</t>
  </si>
  <si>
    <t>Douglas-fir</t>
  </si>
  <si>
    <t>Pear, Callery</t>
  </si>
  <si>
    <t>Oak, Oregon White</t>
  </si>
  <si>
    <t>Oak, Pin</t>
  </si>
  <si>
    <t>Oak, Willow</t>
  </si>
  <si>
    <t>Oak, Northern Red</t>
  </si>
  <si>
    <t>Oak spp.</t>
  </si>
  <si>
    <t>Locust, Black</t>
  </si>
  <si>
    <t>Willow, Weeping</t>
  </si>
  <si>
    <t>Sequoia, Giant</t>
  </si>
  <si>
    <t>Arborvitae spp.</t>
  </si>
  <si>
    <t>Cypress, Leyland</t>
  </si>
  <si>
    <t>front gate</t>
  </si>
  <si>
    <t>PRUNING: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</si>
</sst>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0" fillId="0" borderId="0" xfId="0" applyNumberFormat="1" applyAlignment="1">
      <alignment horizontal="center"/>
    </xf>
    <xf numFmtId="0" fontId="0" fillId="0" borderId="0" xfId="0" applyFill="1" applyAlignment="1">
      <alignment horizont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0"/>
  <sheetViews>
    <sheetView tabSelected="1" topLeftCell="I1" workbookViewId="0">
      <selection activeCell="X9" sqref="X9"/>
    </sheetView>
  </sheetViews>
  <sheetFormatPr defaultRowHeight="12.75" x14ac:dyDescent="0.2"/>
  <cols>
    <col min="2" max="2" width="10.28515625" bestFit="1" customWidth="1"/>
    <col min="3" max="3" width="25.42578125" customWidth="1"/>
    <col min="5" max="5" width="10.140625" bestFit="1" customWidth="1"/>
    <col min="8" max="8" width="23.7109375" customWidth="1"/>
    <col min="10" max="10" width="9.7109375" bestFit="1" customWidth="1"/>
    <col min="11" max="11" width="18.7109375" bestFit="1" customWidth="1"/>
    <col min="15" max="15" width="9.28515625" bestFit="1" customWidth="1"/>
    <col min="16" max="16" width="8.140625" bestFit="1" customWidth="1"/>
    <col min="17" max="17" width="15.140625" bestFit="1" customWidth="1"/>
    <col min="18" max="18" width="10.7109375" bestFit="1" customWidth="1"/>
    <col min="19" max="19" width="15.7109375" style="3" bestFit="1" customWidth="1"/>
    <col min="23" max="23" width="12.28515625" customWidth="1"/>
    <col min="24" max="24" width="12.42578125" customWidth="1"/>
  </cols>
  <sheetData>
    <row r="1" spans="1:24" s="1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3" t="s">
        <v>18</v>
      </c>
      <c r="T1" s="11" t="s">
        <v>19</v>
      </c>
      <c r="U1" s="11" t="s">
        <v>20</v>
      </c>
      <c r="V1" s="11" t="s">
        <v>21</v>
      </c>
      <c r="W1" s="14" t="s">
        <v>22</v>
      </c>
      <c r="X1" s="14" t="s">
        <v>23</v>
      </c>
    </row>
    <row r="2" spans="1:24" x14ac:dyDescent="0.2">
      <c r="A2">
        <v>1</v>
      </c>
      <c r="B2" s="1">
        <v>38702</v>
      </c>
      <c r="D2">
        <v>1</v>
      </c>
      <c r="E2" s="1">
        <v>38702</v>
      </c>
      <c r="F2">
        <v>0</v>
      </c>
      <c r="G2" s="2">
        <v>0.40449074074074076</v>
      </c>
      <c r="H2" t="s">
        <v>75</v>
      </c>
      <c r="I2">
        <v>45</v>
      </c>
      <c r="J2" t="s">
        <v>52</v>
      </c>
      <c r="K2" t="s">
        <v>26</v>
      </c>
      <c r="L2" t="s">
        <v>32</v>
      </c>
      <c r="M2" t="s">
        <v>27</v>
      </c>
      <c r="N2" t="s">
        <v>37</v>
      </c>
      <c r="O2" t="s">
        <v>33</v>
      </c>
      <c r="P2" t="s">
        <v>29</v>
      </c>
      <c r="Q2" t="s">
        <v>27</v>
      </c>
      <c r="R2" t="s">
        <v>76</v>
      </c>
      <c r="S2" s="3" t="s">
        <v>77</v>
      </c>
      <c r="T2" t="s">
        <v>78</v>
      </c>
      <c r="U2">
        <v>2</v>
      </c>
      <c r="V2" t="s">
        <v>30</v>
      </c>
      <c r="W2">
        <v>517520.22</v>
      </c>
      <c r="X2">
        <v>4701346.4000000004</v>
      </c>
    </row>
    <row r="3" spans="1:24" x14ac:dyDescent="0.2">
      <c r="A3">
        <v>1</v>
      </c>
      <c r="B3" s="1">
        <v>38702</v>
      </c>
      <c r="D3">
        <v>2</v>
      </c>
      <c r="E3" s="1">
        <v>38702</v>
      </c>
      <c r="F3">
        <v>1</v>
      </c>
      <c r="G3" s="2">
        <v>0.46197916666666666</v>
      </c>
      <c r="H3" t="s">
        <v>79</v>
      </c>
      <c r="I3">
        <v>10</v>
      </c>
      <c r="J3" t="s">
        <v>52</v>
      </c>
      <c r="K3" t="s">
        <v>26</v>
      </c>
      <c r="L3" t="s">
        <v>32</v>
      </c>
      <c r="M3" t="s">
        <v>27</v>
      </c>
      <c r="N3" t="s">
        <v>37</v>
      </c>
      <c r="O3" t="s">
        <v>33</v>
      </c>
      <c r="P3" t="s">
        <v>31</v>
      </c>
      <c r="Q3" t="s">
        <v>27</v>
      </c>
      <c r="R3" t="s">
        <v>76</v>
      </c>
      <c r="S3" s="3">
        <v>22</v>
      </c>
      <c r="T3" t="s">
        <v>80</v>
      </c>
      <c r="U3">
        <v>1</v>
      </c>
      <c r="V3" t="s">
        <v>30</v>
      </c>
      <c r="W3">
        <v>517583.61</v>
      </c>
      <c r="X3">
        <v>4701337.5</v>
      </c>
    </row>
    <row r="4" spans="1:24" x14ac:dyDescent="0.2">
      <c r="A4">
        <v>1</v>
      </c>
      <c r="B4" s="1">
        <v>38702</v>
      </c>
      <c r="C4" t="s">
        <v>81</v>
      </c>
      <c r="D4">
        <v>3</v>
      </c>
      <c r="E4" s="1">
        <v>38702</v>
      </c>
      <c r="F4">
        <v>2</v>
      </c>
      <c r="G4" s="2">
        <v>0.4659375</v>
      </c>
      <c r="H4" t="s">
        <v>82</v>
      </c>
      <c r="I4">
        <v>12</v>
      </c>
      <c r="J4" t="s">
        <v>31</v>
      </c>
      <c r="K4" t="s">
        <v>35</v>
      </c>
      <c r="L4" t="s">
        <v>32</v>
      </c>
      <c r="M4" t="s">
        <v>27</v>
      </c>
      <c r="N4" t="s">
        <v>37</v>
      </c>
      <c r="O4" t="s">
        <v>83</v>
      </c>
      <c r="P4" t="s">
        <v>25</v>
      </c>
      <c r="Q4" t="s">
        <v>84</v>
      </c>
      <c r="R4" t="s">
        <v>76</v>
      </c>
      <c r="S4" s="3">
        <v>22</v>
      </c>
      <c r="T4" t="s">
        <v>85</v>
      </c>
      <c r="U4">
        <v>2</v>
      </c>
      <c r="V4" t="s">
        <v>30</v>
      </c>
      <c r="W4">
        <v>517577.02</v>
      </c>
      <c r="X4">
        <v>4701339.97</v>
      </c>
    </row>
    <row r="5" spans="1:24" x14ac:dyDescent="0.2">
      <c r="A5">
        <v>1</v>
      </c>
      <c r="B5" s="1">
        <v>38702</v>
      </c>
      <c r="D5">
        <v>4</v>
      </c>
      <c r="E5" s="1">
        <v>38702</v>
      </c>
      <c r="F5">
        <v>3</v>
      </c>
      <c r="G5" s="2">
        <v>0.46982638888888889</v>
      </c>
      <c r="H5" t="s">
        <v>86</v>
      </c>
      <c r="I5">
        <v>3</v>
      </c>
      <c r="J5" t="s">
        <v>52</v>
      </c>
      <c r="K5" t="s">
        <v>87</v>
      </c>
      <c r="L5" t="s">
        <v>32</v>
      </c>
      <c r="M5" t="s">
        <v>27</v>
      </c>
      <c r="N5" t="s">
        <v>37</v>
      </c>
      <c r="O5" t="s">
        <v>33</v>
      </c>
      <c r="P5" t="s">
        <v>31</v>
      </c>
      <c r="Q5" t="s">
        <v>27</v>
      </c>
      <c r="R5" t="s">
        <v>76</v>
      </c>
      <c r="S5" s="3">
        <v>22</v>
      </c>
      <c r="T5" t="s">
        <v>80</v>
      </c>
      <c r="U5">
        <v>3</v>
      </c>
      <c r="V5" t="s">
        <v>30</v>
      </c>
      <c r="W5">
        <v>517581.14</v>
      </c>
      <c r="X5">
        <v>4701343.68</v>
      </c>
    </row>
    <row r="6" spans="1:24" x14ac:dyDescent="0.2">
      <c r="A6">
        <v>1</v>
      </c>
      <c r="B6" s="1">
        <v>38702</v>
      </c>
      <c r="D6">
        <v>5</v>
      </c>
      <c r="E6" s="1">
        <v>38702</v>
      </c>
      <c r="F6">
        <v>4</v>
      </c>
      <c r="G6" s="2">
        <v>0.47270833333333334</v>
      </c>
      <c r="H6" t="s">
        <v>88</v>
      </c>
      <c r="I6">
        <v>3</v>
      </c>
      <c r="J6" t="s">
        <v>52</v>
      </c>
      <c r="K6" t="s">
        <v>87</v>
      </c>
      <c r="L6" t="s">
        <v>32</v>
      </c>
      <c r="M6" t="s">
        <v>27</v>
      </c>
      <c r="N6" t="s">
        <v>37</v>
      </c>
      <c r="O6" t="s">
        <v>33</v>
      </c>
      <c r="P6" t="s">
        <v>31</v>
      </c>
      <c r="Q6" t="s">
        <v>27</v>
      </c>
      <c r="R6" t="s">
        <v>76</v>
      </c>
      <c r="S6" s="3">
        <v>22</v>
      </c>
      <c r="T6" t="s">
        <v>80</v>
      </c>
      <c r="U6">
        <v>4</v>
      </c>
      <c r="V6" t="s">
        <v>30</v>
      </c>
      <c r="W6">
        <v>517585.25</v>
      </c>
      <c r="X6">
        <v>4701343.2699999996</v>
      </c>
    </row>
    <row r="7" spans="1:24" x14ac:dyDescent="0.2">
      <c r="A7">
        <v>1</v>
      </c>
      <c r="B7" s="1">
        <v>38702</v>
      </c>
      <c r="D7">
        <v>6</v>
      </c>
      <c r="E7" s="1">
        <v>38702</v>
      </c>
      <c r="F7">
        <v>5</v>
      </c>
      <c r="G7" s="2">
        <v>0.47518518518518515</v>
      </c>
      <c r="H7" t="s">
        <v>79</v>
      </c>
      <c r="I7">
        <v>8</v>
      </c>
      <c r="J7" t="s">
        <v>52</v>
      </c>
      <c r="K7" t="s">
        <v>35</v>
      </c>
      <c r="L7" t="s">
        <v>32</v>
      </c>
      <c r="M7" t="s">
        <v>27</v>
      </c>
      <c r="N7" t="s">
        <v>37</v>
      </c>
      <c r="O7" t="s">
        <v>33</v>
      </c>
      <c r="P7" t="s">
        <v>31</v>
      </c>
      <c r="Q7" t="s">
        <v>27</v>
      </c>
      <c r="R7" t="s">
        <v>76</v>
      </c>
      <c r="S7" s="3">
        <v>21</v>
      </c>
      <c r="T7" t="s">
        <v>89</v>
      </c>
      <c r="U7">
        <v>5</v>
      </c>
      <c r="V7" t="s">
        <v>30</v>
      </c>
      <c r="W7">
        <v>517588.55</v>
      </c>
      <c r="X7">
        <v>4701337.5</v>
      </c>
    </row>
    <row r="8" spans="1:24" x14ac:dyDescent="0.2">
      <c r="A8">
        <v>1</v>
      </c>
      <c r="B8" s="1">
        <v>38702</v>
      </c>
      <c r="D8">
        <v>7</v>
      </c>
      <c r="E8" s="1">
        <v>38702</v>
      </c>
      <c r="F8">
        <v>6</v>
      </c>
      <c r="G8" s="2">
        <v>0.47722222222222221</v>
      </c>
      <c r="H8" t="s">
        <v>79</v>
      </c>
      <c r="I8">
        <v>6</v>
      </c>
      <c r="J8" t="s">
        <v>31</v>
      </c>
      <c r="K8" t="s">
        <v>35</v>
      </c>
      <c r="L8" t="s">
        <v>32</v>
      </c>
      <c r="M8" t="s">
        <v>27</v>
      </c>
      <c r="N8" t="s">
        <v>37</v>
      </c>
      <c r="O8" t="s">
        <v>33</v>
      </c>
      <c r="P8" t="s">
        <v>31</v>
      </c>
      <c r="Q8" t="s">
        <v>27</v>
      </c>
      <c r="R8" t="s">
        <v>76</v>
      </c>
      <c r="S8" s="3">
        <v>21</v>
      </c>
      <c r="T8" t="s">
        <v>90</v>
      </c>
      <c r="U8">
        <v>6</v>
      </c>
      <c r="V8" t="s">
        <v>30</v>
      </c>
      <c r="W8">
        <v>517595.55</v>
      </c>
      <c r="X8">
        <v>4701337.5</v>
      </c>
    </row>
    <row r="9" spans="1:24" x14ac:dyDescent="0.2">
      <c r="A9">
        <v>1</v>
      </c>
      <c r="B9" s="1">
        <v>38702</v>
      </c>
      <c r="D9">
        <v>8</v>
      </c>
      <c r="E9" s="1">
        <v>38702</v>
      </c>
      <c r="F9">
        <v>7</v>
      </c>
      <c r="G9" s="2">
        <v>0.47967592592592595</v>
      </c>
      <c r="H9" t="s">
        <v>91</v>
      </c>
      <c r="I9">
        <v>2</v>
      </c>
      <c r="J9" t="s">
        <v>25</v>
      </c>
      <c r="K9" t="s">
        <v>26</v>
      </c>
      <c r="L9" t="s">
        <v>32</v>
      </c>
      <c r="M9" t="s">
        <v>27</v>
      </c>
      <c r="N9" t="s">
        <v>37</v>
      </c>
      <c r="O9" t="s">
        <v>33</v>
      </c>
      <c r="P9" t="s">
        <v>31</v>
      </c>
      <c r="Q9" t="s">
        <v>27</v>
      </c>
      <c r="R9" t="s">
        <v>76</v>
      </c>
      <c r="S9" s="3">
        <v>21</v>
      </c>
      <c r="T9" t="s">
        <v>92</v>
      </c>
      <c r="U9">
        <v>7</v>
      </c>
      <c r="V9" t="s">
        <v>30</v>
      </c>
      <c r="W9">
        <v>517596.79</v>
      </c>
      <c r="X9">
        <v>4701342.03</v>
      </c>
    </row>
    <row r="10" spans="1:24" x14ac:dyDescent="0.2">
      <c r="A10">
        <v>1</v>
      </c>
      <c r="B10" s="1">
        <v>38702</v>
      </c>
      <c r="D10">
        <v>9</v>
      </c>
      <c r="E10" s="1">
        <v>38702</v>
      </c>
      <c r="F10">
        <v>8</v>
      </c>
      <c r="G10" s="2">
        <v>0.48151620370370374</v>
      </c>
      <c r="H10" t="s">
        <v>79</v>
      </c>
      <c r="I10">
        <v>8</v>
      </c>
      <c r="J10" t="s">
        <v>31</v>
      </c>
      <c r="K10" t="s">
        <v>26</v>
      </c>
      <c r="L10" t="s">
        <v>32</v>
      </c>
      <c r="M10" t="s">
        <v>27</v>
      </c>
      <c r="N10" t="s">
        <v>37</v>
      </c>
      <c r="O10" t="s">
        <v>33</v>
      </c>
      <c r="P10" t="s">
        <v>31</v>
      </c>
      <c r="Q10" t="s">
        <v>27</v>
      </c>
      <c r="R10" t="s">
        <v>76</v>
      </c>
      <c r="S10" s="3">
        <v>21</v>
      </c>
      <c r="T10" t="s">
        <v>93</v>
      </c>
      <c r="U10">
        <v>8</v>
      </c>
      <c r="V10" t="s">
        <v>30</v>
      </c>
      <c r="W10">
        <v>517602.56</v>
      </c>
      <c r="X10">
        <v>4701337.91</v>
      </c>
    </row>
    <row r="11" spans="1:24" x14ac:dyDescent="0.2">
      <c r="A11">
        <v>1</v>
      </c>
      <c r="B11" s="1">
        <v>38702</v>
      </c>
      <c r="D11">
        <v>10</v>
      </c>
      <c r="E11" s="1">
        <v>38702</v>
      </c>
      <c r="F11">
        <v>9</v>
      </c>
      <c r="G11" s="2">
        <v>0.48317129629629635</v>
      </c>
      <c r="H11" t="s">
        <v>79</v>
      </c>
      <c r="I11">
        <v>8</v>
      </c>
      <c r="J11" t="s">
        <v>31</v>
      </c>
      <c r="K11" t="s">
        <v>26</v>
      </c>
      <c r="L11" t="s">
        <v>32</v>
      </c>
      <c r="M11" t="s">
        <v>27</v>
      </c>
      <c r="N11" t="s">
        <v>37</v>
      </c>
      <c r="O11" t="s">
        <v>33</v>
      </c>
      <c r="P11" t="s">
        <v>31</v>
      </c>
      <c r="Q11" t="s">
        <v>27</v>
      </c>
      <c r="R11" t="s">
        <v>76</v>
      </c>
      <c r="S11" s="3">
        <v>21</v>
      </c>
      <c r="T11" t="s">
        <v>46</v>
      </c>
      <c r="U11">
        <v>8</v>
      </c>
      <c r="V11" t="s">
        <v>30</v>
      </c>
      <c r="W11">
        <v>517610.8</v>
      </c>
      <c r="X11">
        <v>4701338.32</v>
      </c>
    </row>
    <row r="12" spans="1:24" x14ac:dyDescent="0.2">
      <c r="A12">
        <v>1</v>
      </c>
      <c r="B12" s="1">
        <v>38702</v>
      </c>
      <c r="D12">
        <v>11</v>
      </c>
      <c r="E12" s="1">
        <v>38702</v>
      </c>
      <c r="F12">
        <v>10</v>
      </c>
      <c r="G12" s="2">
        <v>0.4848263888888889</v>
      </c>
      <c r="H12" t="s">
        <v>94</v>
      </c>
      <c r="I12">
        <v>20</v>
      </c>
      <c r="J12" t="s">
        <v>25</v>
      </c>
      <c r="K12" t="s">
        <v>26</v>
      </c>
      <c r="L12" t="s">
        <v>32</v>
      </c>
      <c r="M12" t="s">
        <v>27</v>
      </c>
      <c r="N12" t="s">
        <v>37</v>
      </c>
      <c r="O12" t="s">
        <v>33</v>
      </c>
      <c r="P12" t="s">
        <v>31</v>
      </c>
      <c r="Q12" t="s">
        <v>27</v>
      </c>
      <c r="R12" t="s">
        <v>76</v>
      </c>
      <c r="S12" s="3">
        <v>21</v>
      </c>
      <c r="T12" t="s">
        <v>95</v>
      </c>
      <c r="U12">
        <v>9</v>
      </c>
      <c r="V12" t="s">
        <v>30</v>
      </c>
      <c r="W12">
        <v>517606.27</v>
      </c>
      <c r="X12">
        <v>4701342.4400000004</v>
      </c>
    </row>
    <row r="13" spans="1:24" x14ac:dyDescent="0.2">
      <c r="A13">
        <v>1</v>
      </c>
      <c r="B13" s="1">
        <v>38702</v>
      </c>
      <c r="C13" t="s">
        <v>49</v>
      </c>
      <c r="D13">
        <v>12</v>
      </c>
      <c r="E13" s="1">
        <v>38702</v>
      </c>
      <c r="F13">
        <v>11</v>
      </c>
      <c r="G13" s="2">
        <v>0.48702546296296295</v>
      </c>
      <c r="H13" t="s">
        <v>94</v>
      </c>
      <c r="I13">
        <v>9</v>
      </c>
      <c r="J13" t="s">
        <v>31</v>
      </c>
      <c r="K13" t="s">
        <v>26</v>
      </c>
      <c r="L13" t="s">
        <v>32</v>
      </c>
      <c r="M13" t="s">
        <v>27</v>
      </c>
      <c r="N13" t="s">
        <v>37</v>
      </c>
      <c r="O13" t="s">
        <v>33</v>
      </c>
      <c r="P13" t="s">
        <v>31</v>
      </c>
      <c r="Q13" t="s">
        <v>27</v>
      </c>
      <c r="R13" t="s">
        <v>76</v>
      </c>
      <c r="S13" s="3">
        <v>21</v>
      </c>
      <c r="T13" t="s">
        <v>96</v>
      </c>
      <c r="U13">
        <v>9</v>
      </c>
      <c r="V13" t="s">
        <v>30</v>
      </c>
      <c r="W13">
        <v>517612.03</v>
      </c>
      <c r="X13">
        <v>4701342.8600000003</v>
      </c>
    </row>
    <row r="14" spans="1:24" x14ac:dyDescent="0.2">
      <c r="A14">
        <v>1</v>
      </c>
      <c r="B14" s="1">
        <v>38702</v>
      </c>
      <c r="D14">
        <v>13</v>
      </c>
      <c r="E14" s="1">
        <v>38702</v>
      </c>
      <c r="F14">
        <v>12</v>
      </c>
      <c r="G14" s="2">
        <v>0.48951388888888886</v>
      </c>
      <c r="H14" t="s">
        <v>79</v>
      </c>
      <c r="I14">
        <v>8</v>
      </c>
      <c r="J14" t="s">
        <v>31</v>
      </c>
      <c r="K14" t="s">
        <v>26</v>
      </c>
      <c r="L14" t="s">
        <v>32</v>
      </c>
      <c r="M14" t="s">
        <v>97</v>
      </c>
      <c r="N14" t="s">
        <v>37</v>
      </c>
      <c r="O14" t="s">
        <v>33</v>
      </c>
      <c r="P14" t="s">
        <v>31</v>
      </c>
      <c r="Q14" t="s">
        <v>27</v>
      </c>
      <c r="R14" t="s">
        <v>76</v>
      </c>
      <c r="S14" s="3">
        <v>21</v>
      </c>
      <c r="T14" t="s">
        <v>98</v>
      </c>
      <c r="U14">
        <v>10</v>
      </c>
      <c r="V14" t="s">
        <v>30</v>
      </c>
      <c r="W14">
        <v>517618.62</v>
      </c>
      <c r="X14">
        <v>4701337.91</v>
      </c>
    </row>
    <row r="15" spans="1:24" x14ac:dyDescent="0.2">
      <c r="A15">
        <v>1</v>
      </c>
      <c r="B15" s="1">
        <v>38702</v>
      </c>
      <c r="D15">
        <v>14</v>
      </c>
      <c r="E15" s="1">
        <v>38702</v>
      </c>
      <c r="F15">
        <v>13</v>
      </c>
      <c r="G15" s="2">
        <v>0.49105324074074069</v>
      </c>
      <c r="H15" t="s">
        <v>88</v>
      </c>
      <c r="I15">
        <v>3</v>
      </c>
      <c r="J15" t="s">
        <v>52</v>
      </c>
      <c r="K15" t="s">
        <v>87</v>
      </c>
      <c r="L15" t="s">
        <v>32</v>
      </c>
      <c r="M15" t="s">
        <v>27</v>
      </c>
      <c r="N15" t="s">
        <v>37</v>
      </c>
      <c r="O15" t="s">
        <v>33</v>
      </c>
      <c r="P15" t="s">
        <v>31</v>
      </c>
      <c r="Q15" t="s">
        <v>27</v>
      </c>
      <c r="R15" t="s">
        <v>76</v>
      </c>
      <c r="S15" s="3">
        <v>21</v>
      </c>
      <c r="T15" t="s">
        <v>99</v>
      </c>
      <c r="U15">
        <v>11</v>
      </c>
      <c r="V15" t="s">
        <v>30</v>
      </c>
      <c r="W15">
        <v>517620.68</v>
      </c>
      <c r="X15">
        <v>4701341.62</v>
      </c>
    </row>
    <row r="16" spans="1:24" x14ac:dyDescent="0.2">
      <c r="A16">
        <v>1</v>
      </c>
      <c r="B16" s="1">
        <v>38702</v>
      </c>
      <c r="D16">
        <v>15</v>
      </c>
      <c r="E16" s="1">
        <v>38702</v>
      </c>
      <c r="F16">
        <v>14</v>
      </c>
      <c r="G16" s="2">
        <v>0.4924884259259259</v>
      </c>
      <c r="H16" t="s">
        <v>79</v>
      </c>
      <c r="I16">
        <v>8</v>
      </c>
      <c r="J16" t="s">
        <v>31</v>
      </c>
      <c r="K16" t="s">
        <v>26</v>
      </c>
      <c r="L16" t="s">
        <v>32</v>
      </c>
      <c r="M16" t="s">
        <v>27</v>
      </c>
      <c r="N16" t="s">
        <v>37</v>
      </c>
      <c r="O16" t="s">
        <v>33</v>
      </c>
      <c r="P16" t="s">
        <v>31</v>
      </c>
      <c r="Q16" t="s">
        <v>27</v>
      </c>
      <c r="R16" t="s">
        <v>76</v>
      </c>
      <c r="S16" s="3">
        <v>21</v>
      </c>
      <c r="T16" t="s">
        <v>100</v>
      </c>
      <c r="U16">
        <v>12</v>
      </c>
      <c r="V16" t="s">
        <v>30</v>
      </c>
      <c r="W16">
        <v>517628.51</v>
      </c>
      <c r="X16">
        <v>4701336.68</v>
      </c>
    </row>
    <row r="17" spans="1:24" x14ac:dyDescent="0.2">
      <c r="A17">
        <v>1</v>
      </c>
      <c r="B17" s="1">
        <v>38702</v>
      </c>
      <c r="D17">
        <v>16</v>
      </c>
      <c r="E17" s="1">
        <v>38702</v>
      </c>
      <c r="F17">
        <v>15</v>
      </c>
      <c r="G17" s="2">
        <v>0.49758101851851855</v>
      </c>
      <c r="H17" t="s">
        <v>79</v>
      </c>
      <c r="I17">
        <v>8</v>
      </c>
      <c r="J17" t="s">
        <v>31</v>
      </c>
      <c r="K17" t="s">
        <v>26</v>
      </c>
      <c r="L17" t="s">
        <v>32</v>
      </c>
      <c r="M17" t="s">
        <v>27</v>
      </c>
      <c r="N17" t="s">
        <v>37</v>
      </c>
      <c r="O17" t="s">
        <v>33</v>
      </c>
      <c r="P17" t="s">
        <v>31</v>
      </c>
      <c r="Q17" t="s">
        <v>27</v>
      </c>
      <c r="R17" t="s">
        <v>76</v>
      </c>
      <c r="S17" s="3">
        <v>21</v>
      </c>
      <c r="T17" t="s">
        <v>46</v>
      </c>
      <c r="U17">
        <v>15</v>
      </c>
      <c r="V17" t="s">
        <v>30</v>
      </c>
      <c r="W17">
        <v>517634.48</v>
      </c>
      <c r="X17">
        <v>4701337.1100000003</v>
      </c>
    </row>
    <row r="18" spans="1:24" x14ac:dyDescent="0.2">
      <c r="A18">
        <v>1</v>
      </c>
      <c r="B18" s="1">
        <v>38702</v>
      </c>
      <c r="D18">
        <v>17</v>
      </c>
      <c r="E18" s="1">
        <v>38702</v>
      </c>
      <c r="F18">
        <v>16</v>
      </c>
      <c r="G18" s="2">
        <v>0.49869212962962961</v>
      </c>
      <c r="H18" t="s">
        <v>79</v>
      </c>
      <c r="I18">
        <v>8</v>
      </c>
      <c r="J18" t="s">
        <v>31</v>
      </c>
      <c r="K18" t="s">
        <v>26</v>
      </c>
      <c r="L18" t="s">
        <v>32</v>
      </c>
      <c r="M18" t="s">
        <v>27</v>
      </c>
      <c r="N18" t="s">
        <v>37</v>
      </c>
      <c r="O18" t="s">
        <v>33</v>
      </c>
      <c r="P18" t="s">
        <v>31</v>
      </c>
      <c r="Q18" t="s">
        <v>27</v>
      </c>
      <c r="R18" t="s">
        <v>76</v>
      </c>
      <c r="S18" s="3">
        <v>21</v>
      </c>
      <c r="T18" t="s">
        <v>101</v>
      </c>
      <c r="U18">
        <v>16</v>
      </c>
      <c r="V18" t="s">
        <v>30</v>
      </c>
      <c r="W18">
        <v>517640.62</v>
      </c>
      <c r="X18">
        <v>4701336.83</v>
      </c>
    </row>
    <row r="19" spans="1:24" x14ac:dyDescent="0.2">
      <c r="A19">
        <v>1</v>
      </c>
      <c r="B19" s="1">
        <v>38702</v>
      </c>
      <c r="D19">
        <v>18</v>
      </c>
      <c r="E19" s="1">
        <v>38702</v>
      </c>
      <c r="F19">
        <v>17</v>
      </c>
      <c r="G19" s="2">
        <v>0.5003009259259259</v>
      </c>
      <c r="H19" t="s">
        <v>79</v>
      </c>
      <c r="I19">
        <v>8</v>
      </c>
      <c r="J19" t="s">
        <v>31</v>
      </c>
      <c r="K19" t="s">
        <v>26</v>
      </c>
      <c r="L19" t="s">
        <v>32</v>
      </c>
      <c r="M19" t="s">
        <v>27</v>
      </c>
      <c r="N19" t="s">
        <v>37</v>
      </c>
      <c r="O19" t="s">
        <v>33</v>
      </c>
      <c r="P19" t="s">
        <v>31</v>
      </c>
      <c r="Q19" t="s">
        <v>27</v>
      </c>
      <c r="R19" t="s">
        <v>76</v>
      </c>
      <c r="S19" s="3">
        <v>21</v>
      </c>
      <c r="T19" t="s">
        <v>102</v>
      </c>
      <c r="U19">
        <v>17</v>
      </c>
      <c r="V19" t="s">
        <v>30</v>
      </c>
      <c r="W19">
        <v>517647.04</v>
      </c>
      <c r="X19">
        <v>4701336.83</v>
      </c>
    </row>
    <row r="20" spans="1:24" x14ac:dyDescent="0.2">
      <c r="A20">
        <v>1</v>
      </c>
      <c r="B20" s="1">
        <v>38702</v>
      </c>
      <c r="C20" t="s">
        <v>103</v>
      </c>
      <c r="D20">
        <v>19</v>
      </c>
      <c r="E20" s="1">
        <v>38702</v>
      </c>
      <c r="F20">
        <v>18</v>
      </c>
      <c r="G20" s="2">
        <v>0.50280092592592596</v>
      </c>
      <c r="H20" t="s">
        <v>79</v>
      </c>
      <c r="I20">
        <v>8</v>
      </c>
      <c r="J20" t="s">
        <v>25</v>
      </c>
      <c r="K20" t="s">
        <v>26</v>
      </c>
      <c r="L20" t="s">
        <v>32</v>
      </c>
      <c r="M20" t="s">
        <v>27</v>
      </c>
      <c r="N20" t="s">
        <v>37</v>
      </c>
      <c r="O20" t="s">
        <v>33</v>
      </c>
      <c r="P20" t="s">
        <v>31</v>
      </c>
      <c r="Q20" t="s">
        <v>27</v>
      </c>
      <c r="R20" t="s">
        <v>76</v>
      </c>
      <c r="S20" s="3">
        <v>21</v>
      </c>
      <c r="T20" t="s">
        <v>104</v>
      </c>
      <c r="U20">
        <v>18</v>
      </c>
      <c r="V20" t="s">
        <v>30</v>
      </c>
      <c r="W20">
        <v>517654.29</v>
      </c>
      <c r="X20">
        <v>4701336.83</v>
      </c>
    </row>
    <row r="21" spans="1:24" x14ac:dyDescent="0.2">
      <c r="A21">
        <v>1</v>
      </c>
      <c r="B21" s="1">
        <v>38702</v>
      </c>
      <c r="D21">
        <v>20</v>
      </c>
      <c r="E21" s="1">
        <v>38702</v>
      </c>
      <c r="F21">
        <v>19</v>
      </c>
      <c r="G21" s="2">
        <v>0.50464120370370369</v>
      </c>
      <c r="H21" t="s">
        <v>79</v>
      </c>
      <c r="I21">
        <v>1</v>
      </c>
      <c r="J21" t="s">
        <v>52</v>
      </c>
      <c r="K21" t="s">
        <v>87</v>
      </c>
      <c r="L21" t="s">
        <v>32</v>
      </c>
      <c r="M21" t="s">
        <v>27</v>
      </c>
      <c r="N21" t="s">
        <v>37</v>
      </c>
      <c r="O21" t="s">
        <v>33</v>
      </c>
      <c r="P21" t="s">
        <v>31</v>
      </c>
      <c r="Q21" t="s">
        <v>27</v>
      </c>
      <c r="R21" t="s">
        <v>76</v>
      </c>
      <c r="S21" s="3">
        <v>21</v>
      </c>
      <c r="T21" t="s">
        <v>47</v>
      </c>
      <c r="U21">
        <v>19</v>
      </c>
      <c r="V21" t="s">
        <v>30</v>
      </c>
      <c r="W21">
        <v>517660.43</v>
      </c>
      <c r="X21">
        <v>4701338.79</v>
      </c>
    </row>
    <row r="22" spans="1:24" x14ac:dyDescent="0.2">
      <c r="A22">
        <v>1</v>
      </c>
      <c r="B22" s="1">
        <v>38702</v>
      </c>
      <c r="D22">
        <v>21</v>
      </c>
      <c r="E22" s="1">
        <v>38702</v>
      </c>
      <c r="F22">
        <v>20</v>
      </c>
      <c r="G22" s="2">
        <v>0.50638888888888889</v>
      </c>
      <c r="H22" t="s">
        <v>88</v>
      </c>
      <c r="I22">
        <v>1</v>
      </c>
      <c r="J22" t="s">
        <v>52</v>
      </c>
      <c r="K22" t="s">
        <v>87</v>
      </c>
      <c r="L22" t="s">
        <v>32</v>
      </c>
      <c r="M22" t="s">
        <v>27</v>
      </c>
      <c r="N22" t="s">
        <v>37</v>
      </c>
      <c r="O22" t="s">
        <v>33</v>
      </c>
      <c r="P22" t="s">
        <v>31</v>
      </c>
      <c r="Q22" t="s">
        <v>27</v>
      </c>
      <c r="R22" t="s">
        <v>76</v>
      </c>
      <c r="S22" s="3">
        <v>21</v>
      </c>
      <c r="T22" t="s">
        <v>105</v>
      </c>
      <c r="U22">
        <v>20</v>
      </c>
      <c r="V22" t="s">
        <v>30</v>
      </c>
      <c r="W22">
        <v>517668.24</v>
      </c>
      <c r="X22">
        <v>4701343.53</v>
      </c>
    </row>
    <row r="23" spans="1:24" x14ac:dyDescent="0.2">
      <c r="A23">
        <v>1</v>
      </c>
      <c r="B23" s="1">
        <v>38702</v>
      </c>
      <c r="C23" t="s">
        <v>106</v>
      </c>
      <c r="D23">
        <v>22</v>
      </c>
      <c r="E23" s="1">
        <v>38702</v>
      </c>
      <c r="F23">
        <v>21</v>
      </c>
      <c r="G23" s="2">
        <v>0.5078125</v>
      </c>
      <c r="H23" t="s">
        <v>107</v>
      </c>
      <c r="I23">
        <v>3</v>
      </c>
      <c r="J23" t="s">
        <v>52</v>
      </c>
      <c r="K23" t="s">
        <v>26</v>
      </c>
      <c r="L23" t="s">
        <v>32</v>
      </c>
      <c r="M23" t="s">
        <v>27</v>
      </c>
      <c r="N23" t="s">
        <v>34</v>
      </c>
      <c r="O23" t="s">
        <v>33</v>
      </c>
      <c r="P23" t="s">
        <v>31</v>
      </c>
      <c r="Q23" t="s">
        <v>27</v>
      </c>
      <c r="R23" t="s">
        <v>76</v>
      </c>
      <c r="S23" s="3">
        <v>21</v>
      </c>
      <c r="T23" t="s">
        <v>105</v>
      </c>
      <c r="U23">
        <v>21</v>
      </c>
      <c r="V23" t="s">
        <v>30</v>
      </c>
      <c r="W23">
        <v>517667.96</v>
      </c>
      <c r="X23">
        <v>4701347.4400000004</v>
      </c>
    </row>
    <row r="24" spans="1:24" x14ac:dyDescent="0.2">
      <c r="A24">
        <v>1</v>
      </c>
      <c r="B24" s="1">
        <v>38702</v>
      </c>
      <c r="D24">
        <v>23</v>
      </c>
      <c r="E24" s="1">
        <v>38702</v>
      </c>
      <c r="F24">
        <v>22</v>
      </c>
      <c r="G24" s="2">
        <v>0.51061342592592596</v>
      </c>
      <c r="H24" t="s">
        <v>88</v>
      </c>
      <c r="I24">
        <v>1</v>
      </c>
      <c r="J24" t="s">
        <v>52</v>
      </c>
      <c r="K24" t="s">
        <v>87</v>
      </c>
      <c r="L24" t="s">
        <v>32</v>
      </c>
      <c r="M24" t="s">
        <v>27</v>
      </c>
      <c r="N24" t="s">
        <v>37</v>
      </c>
      <c r="O24" t="s">
        <v>33</v>
      </c>
      <c r="P24" t="s">
        <v>31</v>
      </c>
      <c r="Q24" t="s">
        <v>27</v>
      </c>
      <c r="R24" t="s">
        <v>76</v>
      </c>
      <c r="S24" s="3">
        <v>21</v>
      </c>
      <c r="T24" t="s">
        <v>108</v>
      </c>
      <c r="U24">
        <v>22</v>
      </c>
      <c r="V24" t="s">
        <v>30</v>
      </c>
      <c r="W24">
        <v>517666.85</v>
      </c>
      <c r="X24">
        <v>4701359.16</v>
      </c>
    </row>
    <row r="25" spans="1:24" x14ac:dyDescent="0.2">
      <c r="A25">
        <v>1</v>
      </c>
      <c r="B25" s="1">
        <v>38702</v>
      </c>
      <c r="D25">
        <v>24</v>
      </c>
      <c r="E25" s="1">
        <v>38702</v>
      </c>
      <c r="F25">
        <v>23</v>
      </c>
      <c r="G25" s="2">
        <v>0.54849537037037044</v>
      </c>
      <c r="H25" t="s">
        <v>88</v>
      </c>
      <c r="I25">
        <v>1</v>
      </c>
      <c r="J25" t="s">
        <v>52</v>
      </c>
      <c r="K25" t="s">
        <v>87</v>
      </c>
      <c r="L25" t="s">
        <v>32</v>
      </c>
      <c r="M25" t="s">
        <v>27</v>
      </c>
      <c r="N25" t="s">
        <v>37</v>
      </c>
      <c r="O25" t="s">
        <v>33</v>
      </c>
      <c r="P25" t="s">
        <v>31</v>
      </c>
      <c r="Q25" t="s">
        <v>27</v>
      </c>
      <c r="R25" t="s">
        <v>76</v>
      </c>
      <c r="S25" s="3">
        <v>21</v>
      </c>
      <c r="T25" t="s">
        <v>109</v>
      </c>
      <c r="U25">
        <v>23</v>
      </c>
      <c r="V25" t="s">
        <v>30</v>
      </c>
      <c r="W25">
        <v>517666.27</v>
      </c>
      <c r="X25">
        <v>4701375.87</v>
      </c>
    </row>
    <row r="26" spans="1:24" x14ac:dyDescent="0.2">
      <c r="A26">
        <v>1</v>
      </c>
      <c r="B26" s="1">
        <v>38702</v>
      </c>
      <c r="D26">
        <v>25</v>
      </c>
      <c r="E26" s="1">
        <v>38702</v>
      </c>
      <c r="F26">
        <v>24</v>
      </c>
      <c r="G26" s="2">
        <v>0.55038194444444444</v>
      </c>
      <c r="H26" t="s">
        <v>107</v>
      </c>
      <c r="I26">
        <v>5</v>
      </c>
      <c r="J26" t="s">
        <v>52</v>
      </c>
      <c r="K26" t="s">
        <v>26</v>
      </c>
      <c r="L26" t="s">
        <v>32</v>
      </c>
      <c r="M26" t="s">
        <v>27</v>
      </c>
      <c r="N26" t="s">
        <v>37</v>
      </c>
      <c r="O26" t="s">
        <v>33</v>
      </c>
      <c r="P26" t="s">
        <v>31</v>
      </c>
      <c r="Q26" t="s">
        <v>27</v>
      </c>
      <c r="R26" t="s">
        <v>76</v>
      </c>
      <c r="S26" s="3">
        <v>21</v>
      </c>
      <c r="T26" t="s">
        <v>110</v>
      </c>
      <c r="U26">
        <v>24</v>
      </c>
      <c r="V26" t="s">
        <v>30</v>
      </c>
      <c r="W26">
        <v>517664.91</v>
      </c>
      <c r="X26">
        <v>4701385.12</v>
      </c>
    </row>
    <row r="27" spans="1:24" x14ac:dyDescent="0.2">
      <c r="A27">
        <v>1</v>
      </c>
      <c r="B27" s="1">
        <v>38702</v>
      </c>
      <c r="D27">
        <v>26</v>
      </c>
      <c r="E27" s="1">
        <v>38702</v>
      </c>
      <c r="F27">
        <v>25</v>
      </c>
      <c r="G27" s="2">
        <v>0.55155092592592592</v>
      </c>
      <c r="H27" t="s">
        <v>88</v>
      </c>
      <c r="I27">
        <v>1</v>
      </c>
      <c r="J27" t="s">
        <v>52</v>
      </c>
      <c r="K27" t="s">
        <v>87</v>
      </c>
      <c r="L27" t="s">
        <v>32</v>
      </c>
      <c r="M27" t="s">
        <v>27</v>
      </c>
      <c r="N27" t="s">
        <v>37</v>
      </c>
      <c r="O27" t="s">
        <v>33</v>
      </c>
      <c r="P27" t="s">
        <v>31</v>
      </c>
      <c r="Q27" t="s">
        <v>27</v>
      </c>
      <c r="R27" t="s">
        <v>76</v>
      </c>
      <c r="S27" s="3">
        <v>21</v>
      </c>
      <c r="T27" t="s">
        <v>110</v>
      </c>
      <c r="U27">
        <v>25</v>
      </c>
      <c r="V27" t="s">
        <v>30</v>
      </c>
      <c r="W27">
        <v>517663.34</v>
      </c>
      <c r="X27">
        <v>4701391.88</v>
      </c>
    </row>
    <row r="28" spans="1:24" x14ac:dyDescent="0.2">
      <c r="A28">
        <v>1</v>
      </c>
      <c r="B28" s="1">
        <v>38702</v>
      </c>
      <c r="D28">
        <v>27</v>
      </c>
      <c r="E28" s="1">
        <v>38702</v>
      </c>
      <c r="F28">
        <v>26</v>
      </c>
      <c r="G28" s="2">
        <v>0.55366898148148147</v>
      </c>
      <c r="H28" t="s">
        <v>88</v>
      </c>
      <c r="I28">
        <v>1</v>
      </c>
      <c r="J28" t="s">
        <v>52</v>
      </c>
      <c r="K28" t="s">
        <v>87</v>
      </c>
      <c r="L28" t="s">
        <v>32</v>
      </c>
      <c r="M28" t="s">
        <v>27</v>
      </c>
      <c r="N28" t="s">
        <v>37</v>
      </c>
      <c r="O28" t="s">
        <v>33</v>
      </c>
      <c r="P28" t="s">
        <v>31</v>
      </c>
      <c r="Q28" t="s">
        <v>27</v>
      </c>
      <c r="R28" t="s">
        <v>76</v>
      </c>
      <c r="S28" s="3">
        <v>21</v>
      </c>
      <c r="T28" t="s">
        <v>111</v>
      </c>
      <c r="U28">
        <v>26</v>
      </c>
      <c r="V28" t="s">
        <v>30</v>
      </c>
      <c r="W28">
        <v>517661.53</v>
      </c>
      <c r="X28">
        <v>4701400.45</v>
      </c>
    </row>
    <row r="29" spans="1:24" x14ac:dyDescent="0.2">
      <c r="A29">
        <v>1</v>
      </c>
      <c r="B29" s="1">
        <v>38702</v>
      </c>
      <c r="D29">
        <v>28</v>
      </c>
      <c r="E29" s="1">
        <v>38702</v>
      </c>
      <c r="F29">
        <v>27</v>
      </c>
      <c r="G29" s="2">
        <v>0.55493055555555559</v>
      </c>
      <c r="H29" t="s">
        <v>88</v>
      </c>
      <c r="I29">
        <v>1</v>
      </c>
      <c r="J29" t="s">
        <v>52</v>
      </c>
      <c r="K29" t="s">
        <v>87</v>
      </c>
      <c r="L29" t="s">
        <v>32</v>
      </c>
      <c r="M29" t="s">
        <v>27</v>
      </c>
      <c r="N29" t="s">
        <v>34</v>
      </c>
      <c r="O29" t="s">
        <v>33</v>
      </c>
      <c r="P29" t="s">
        <v>31</v>
      </c>
      <c r="Q29" t="s">
        <v>27</v>
      </c>
      <c r="R29" t="s">
        <v>76</v>
      </c>
      <c r="S29" s="3">
        <v>21</v>
      </c>
      <c r="T29" t="s">
        <v>48</v>
      </c>
      <c r="U29">
        <v>27</v>
      </c>
      <c r="V29" t="s">
        <v>30</v>
      </c>
      <c r="W29">
        <v>517654.77</v>
      </c>
      <c r="X29">
        <v>4701414.6500000004</v>
      </c>
    </row>
    <row r="30" spans="1:24" x14ac:dyDescent="0.2">
      <c r="A30">
        <v>1</v>
      </c>
      <c r="B30" s="1">
        <v>38702</v>
      </c>
      <c r="D30">
        <v>29</v>
      </c>
      <c r="E30" s="1">
        <v>38702</v>
      </c>
      <c r="F30">
        <v>28</v>
      </c>
      <c r="G30" s="2">
        <v>0.55637731481481478</v>
      </c>
      <c r="H30" t="s">
        <v>88</v>
      </c>
      <c r="I30">
        <v>1</v>
      </c>
      <c r="J30" t="s">
        <v>31</v>
      </c>
      <c r="K30" t="s">
        <v>87</v>
      </c>
      <c r="L30" t="s">
        <v>32</v>
      </c>
      <c r="M30" t="s">
        <v>27</v>
      </c>
      <c r="N30" t="s">
        <v>37</v>
      </c>
      <c r="O30" t="s">
        <v>33</v>
      </c>
      <c r="P30" t="s">
        <v>31</v>
      </c>
      <c r="Q30" t="s">
        <v>27</v>
      </c>
      <c r="R30" t="s">
        <v>76</v>
      </c>
      <c r="S30" s="3">
        <v>21</v>
      </c>
      <c r="T30">
        <v>388</v>
      </c>
      <c r="U30">
        <v>28</v>
      </c>
      <c r="V30" t="s">
        <v>30</v>
      </c>
      <c r="W30">
        <v>517647.1</v>
      </c>
      <c r="X30">
        <v>4701425.25</v>
      </c>
    </row>
    <row r="31" spans="1:24" x14ac:dyDescent="0.2">
      <c r="A31">
        <v>1</v>
      </c>
      <c r="B31" s="1">
        <v>38702</v>
      </c>
      <c r="D31">
        <v>30</v>
      </c>
      <c r="E31" s="1">
        <v>38702</v>
      </c>
      <c r="F31">
        <v>29</v>
      </c>
      <c r="G31" s="2">
        <v>0.55785879629629631</v>
      </c>
      <c r="H31" t="s">
        <v>88</v>
      </c>
      <c r="I31">
        <v>1</v>
      </c>
      <c r="J31" t="s">
        <v>52</v>
      </c>
      <c r="K31" t="s">
        <v>87</v>
      </c>
      <c r="L31" t="s">
        <v>32</v>
      </c>
      <c r="M31" t="s">
        <v>27</v>
      </c>
      <c r="N31" t="s">
        <v>37</v>
      </c>
      <c r="O31" t="s">
        <v>33</v>
      </c>
      <c r="P31" t="s">
        <v>31</v>
      </c>
      <c r="Q31" t="s">
        <v>27</v>
      </c>
      <c r="R31" t="s">
        <v>76</v>
      </c>
      <c r="S31" s="3">
        <v>21</v>
      </c>
      <c r="T31">
        <v>203</v>
      </c>
      <c r="U31">
        <v>29</v>
      </c>
      <c r="V31" t="s">
        <v>30</v>
      </c>
      <c r="W31">
        <v>517637.18</v>
      </c>
      <c r="X31">
        <v>4701435.8499999996</v>
      </c>
    </row>
    <row r="32" spans="1:24" x14ac:dyDescent="0.2">
      <c r="A32">
        <v>1</v>
      </c>
      <c r="B32" s="1">
        <v>38702</v>
      </c>
      <c r="D32">
        <v>31</v>
      </c>
      <c r="E32" s="1">
        <v>38702</v>
      </c>
      <c r="F32">
        <v>30</v>
      </c>
      <c r="G32" s="2">
        <v>0.55883101851851846</v>
      </c>
      <c r="H32" t="s">
        <v>88</v>
      </c>
      <c r="I32">
        <v>1</v>
      </c>
      <c r="J32" t="s">
        <v>52</v>
      </c>
      <c r="K32" t="s">
        <v>87</v>
      </c>
      <c r="L32" t="s">
        <v>32</v>
      </c>
      <c r="M32" t="s">
        <v>27</v>
      </c>
      <c r="N32" t="s">
        <v>37</v>
      </c>
      <c r="O32" t="s">
        <v>33</v>
      </c>
      <c r="P32" t="s">
        <v>31</v>
      </c>
      <c r="Q32" t="s">
        <v>27</v>
      </c>
      <c r="R32" t="s">
        <v>76</v>
      </c>
      <c r="S32" s="3">
        <v>21</v>
      </c>
      <c r="T32">
        <v>124</v>
      </c>
      <c r="U32">
        <v>30</v>
      </c>
      <c r="V32" t="s">
        <v>30</v>
      </c>
      <c r="W32">
        <v>517627.71</v>
      </c>
      <c r="X32">
        <v>4701444.42</v>
      </c>
    </row>
    <row r="33" spans="1:24" x14ac:dyDescent="0.2">
      <c r="A33">
        <v>1</v>
      </c>
      <c r="B33" s="1">
        <v>38702</v>
      </c>
      <c r="D33">
        <v>32</v>
      </c>
      <c r="E33" s="1">
        <v>38702</v>
      </c>
      <c r="F33">
        <v>31</v>
      </c>
      <c r="G33" s="2">
        <v>0.55982638888888892</v>
      </c>
      <c r="H33" t="s">
        <v>88</v>
      </c>
      <c r="I33">
        <v>1</v>
      </c>
      <c r="J33" t="s">
        <v>52</v>
      </c>
      <c r="K33" t="s">
        <v>87</v>
      </c>
      <c r="L33" t="s">
        <v>32</v>
      </c>
      <c r="M33" t="s">
        <v>27</v>
      </c>
      <c r="N33" t="s">
        <v>37</v>
      </c>
      <c r="O33" t="s">
        <v>33</v>
      </c>
      <c r="P33" t="s">
        <v>31</v>
      </c>
      <c r="Q33" t="s">
        <v>27</v>
      </c>
      <c r="R33" t="s">
        <v>76</v>
      </c>
      <c r="S33" s="3">
        <v>21</v>
      </c>
      <c r="T33">
        <v>54</v>
      </c>
      <c r="U33">
        <v>1</v>
      </c>
      <c r="V33" t="s">
        <v>30</v>
      </c>
      <c r="W33">
        <v>517616.98</v>
      </c>
      <c r="X33">
        <v>4701450.51</v>
      </c>
    </row>
    <row r="34" spans="1:24" x14ac:dyDescent="0.2">
      <c r="A34">
        <v>1</v>
      </c>
      <c r="B34" s="1">
        <v>38702</v>
      </c>
      <c r="D34">
        <v>33</v>
      </c>
      <c r="E34" s="1">
        <v>38702</v>
      </c>
      <c r="F34">
        <v>32</v>
      </c>
      <c r="G34" s="2">
        <v>0.56072916666666661</v>
      </c>
      <c r="H34" t="s">
        <v>88</v>
      </c>
      <c r="I34">
        <v>1</v>
      </c>
      <c r="J34" t="s">
        <v>31</v>
      </c>
      <c r="K34" t="s">
        <v>87</v>
      </c>
      <c r="L34" t="s">
        <v>32</v>
      </c>
      <c r="M34" t="s">
        <v>27</v>
      </c>
      <c r="N34" t="s">
        <v>37</v>
      </c>
      <c r="O34" t="s">
        <v>33</v>
      </c>
      <c r="P34" t="s">
        <v>31</v>
      </c>
      <c r="Q34" t="s">
        <v>27</v>
      </c>
      <c r="R34" t="s">
        <v>76</v>
      </c>
      <c r="S34" s="3">
        <v>21</v>
      </c>
      <c r="T34">
        <v>20</v>
      </c>
      <c r="U34">
        <v>1</v>
      </c>
      <c r="V34" t="s">
        <v>30</v>
      </c>
      <c r="W34">
        <v>517601.65</v>
      </c>
      <c r="X34">
        <v>4701455.24</v>
      </c>
    </row>
    <row r="35" spans="1:24" x14ac:dyDescent="0.2">
      <c r="A35">
        <v>1</v>
      </c>
      <c r="B35" s="1">
        <v>38702</v>
      </c>
      <c r="D35">
        <v>34</v>
      </c>
      <c r="E35" s="1">
        <v>38702</v>
      </c>
      <c r="F35">
        <v>33</v>
      </c>
      <c r="G35" s="2">
        <v>0.5619791666666667</v>
      </c>
      <c r="H35" t="s">
        <v>88</v>
      </c>
      <c r="I35">
        <v>1</v>
      </c>
      <c r="J35" t="s">
        <v>52</v>
      </c>
      <c r="K35" t="s">
        <v>87</v>
      </c>
      <c r="L35" t="s">
        <v>32</v>
      </c>
      <c r="M35" t="s">
        <v>27</v>
      </c>
      <c r="N35" t="s">
        <v>37</v>
      </c>
      <c r="O35" t="s">
        <v>33</v>
      </c>
      <c r="P35" t="s">
        <v>31</v>
      </c>
      <c r="Q35" t="s">
        <v>27</v>
      </c>
      <c r="R35" t="s">
        <v>76</v>
      </c>
      <c r="S35" s="3">
        <v>21</v>
      </c>
      <c r="T35">
        <v>10</v>
      </c>
      <c r="U35">
        <v>33</v>
      </c>
      <c r="V35" t="s">
        <v>30</v>
      </c>
      <c r="W35">
        <v>517591.05</v>
      </c>
      <c r="X35">
        <v>4701457.05</v>
      </c>
    </row>
    <row r="36" spans="1:24" x14ac:dyDescent="0.2">
      <c r="A36">
        <v>1</v>
      </c>
      <c r="B36" s="1">
        <v>38702</v>
      </c>
      <c r="D36">
        <v>35</v>
      </c>
      <c r="E36" s="1">
        <v>38702</v>
      </c>
      <c r="F36">
        <v>34</v>
      </c>
      <c r="G36" s="2">
        <v>0.56363425925925925</v>
      </c>
      <c r="H36" t="s">
        <v>79</v>
      </c>
      <c r="I36">
        <v>10</v>
      </c>
      <c r="J36" t="s">
        <v>31</v>
      </c>
      <c r="K36" t="s">
        <v>26</v>
      </c>
      <c r="L36" t="s">
        <v>32</v>
      </c>
      <c r="M36" t="s">
        <v>27</v>
      </c>
      <c r="N36" t="s">
        <v>37</v>
      </c>
      <c r="O36" t="s">
        <v>33</v>
      </c>
      <c r="P36" t="s">
        <v>29</v>
      </c>
      <c r="Q36" t="s">
        <v>27</v>
      </c>
      <c r="R36" t="s">
        <v>76</v>
      </c>
      <c r="S36" s="3">
        <v>21</v>
      </c>
      <c r="T36">
        <v>7</v>
      </c>
      <c r="U36">
        <v>34</v>
      </c>
      <c r="V36" t="s">
        <v>30</v>
      </c>
      <c r="W36">
        <v>517583.38</v>
      </c>
      <c r="X36">
        <v>4701457.5</v>
      </c>
    </row>
    <row r="37" spans="1:24" x14ac:dyDescent="0.2">
      <c r="A37">
        <v>1</v>
      </c>
      <c r="B37" s="1">
        <v>38702</v>
      </c>
      <c r="C37" t="s">
        <v>112</v>
      </c>
      <c r="D37">
        <v>36</v>
      </c>
      <c r="E37" s="1">
        <v>38702</v>
      </c>
      <c r="F37">
        <v>35</v>
      </c>
      <c r="G37" s="2">
        <v>0.56510416666666663</v>
      </c>
      <c r="H37" t="s">
        <v>88</v>
      </c>
      <c r="I37">
        <v>2</v>
      </c>
      <c r="J37" t="s">
        <v>25</v>
      </c>
      <c r="K37" t="s">
        <v>42</v>
      </c>
      <c r="L37" t="s">
        <v>32</v>
      </c>
      <c r="M37" t="s">
        <v>27</v>
      </c>
      <c r="N37" t="s">
        <v>34</v>
      </c>
      <c r="O37" t="s">
        <v>33</v>
      </c>
      <c r="P37" t="s">
        <v>38</v>
      </c>
      <c r="Q37" t="s">
        <v>84</v>
      </c>
      <c r="R37" t="s">
        <v>76</v>
      </c>
      <c r="S37" s="3">
        <v>21</v>
      </c>
      <c r="T37">
        <v>3</v>
      </c>
      <c r="U37">
        <v>35</v>
      </c>
      <c r="V37" t="s">
        <v>30</v>
      </c>
      <c r="W37">
        <v>517580.23</v>
      </c>
      <c r="X37">
        <v>4701457.05</v>
      </c>
    </row>
    <row r="38" spans="1:24" x14ac:dyDescent="0.2">
      <c r="A38">
        <v>1</v>
      </c>
      <c r="B38" s="1">
        <v>38702</v>
      </c>
      <c r="D38">
        <v>37</v>
      </c>
      <c r="E38" s="1">
        <v>38702</v>
      </c>
      <c r="F38">
        <v>36</v>
      </c>
      <c r="G38" s="2">
        <v>0.56908564814814822</v>
      </c>
      <c r="H38" t="s">
        <v>82</v>
      </c>
      <c r="I38">
        <v>9</v>
      </c>
      <c r="J38" t="s">
        <v>52</v>
      </c>
      <c r="K38" t="s">
        <v>26</v>
      </c>
      <c r="L38" t="s">
        <v>32</v>
      </c>
      <c r="M38" t="s">
        <v>27</v>
      </c>
      <c r="N38" t="s">
        <v>37</v>
      </c>
      <c r="O38" t="s">
        <v>33</v>
      </c>
      <c r="P38" t="s">
        <v>25</v>
      </c>
      <c r="Q38" t="s">
        <v>27</v>
      </c>
      <c r="R38" t="s">
        <v>76</v>
      </c>
      <c r="S38" s="3">
        <v>21</v>
      </c>
      <c r="T38">
        <v>2</v>
      </c>
      <c r="U38">
        <v>36</v>
      </c>
      <c r="V38" t="s">
        <v>30</v>
      </c>
      <c r="W38">
        <v>517572.33</v>
      </c>
      <c r="X38">
        <v>4701455.6900000004</v>
      </c>
    </row>
    <row r="39" spans="1:24" x14ac:dyDescent="0.2">
      <c r="A39">
        <v>1</v>
      </c>
      <c r="B39" s="1">
        <v>38702</v>
      </c>
      <c r="D39">
        <v>38</v>
      </c>
      <c r="E39" s="1">
        <v>38702</v>
      </c>
      <c r="F39">
        <v>37</v>
      </c>
      <c r="G39" s="2">
        <v>0.57187500000000002</v>
      </c>
      <c r="H39" t="s">
        <v>88</v>
      </c>
      <c r="I39">
        <v>2</v>
      </c>
      <c r="J39" t="s">
        <v>52</v>
      </c>
      <c r="K39" t="s">
        <v>87</v>
      </c>
      <c r="L39" t="s">
        <v>32</v>
      </c>
      <c r="M39" t="s">
        <v>27</v>
      </c>
      <c r="N39" t="s">
        <v>37</v>
      </c>
      <c r="O39" t="s">
        <v>33</v>
      </c>
      <c r="P39" t="s">
        <v>31</v>
      </c>
      <c r="Q39" t="s">
        <v>27</v>
      </c>
      <c r="R39" t="s">
        <v>76</v>
      </c>
      <c r="S39" s="3">
        <v>21</v>
      </c>
      <c r="T39">
        <v>126</v>
      </c>
      <c r="U39">
        <v>37</v>
      </c>
      <c r="V39" t="s">
        <v>30</v>
      </c>
      <c r="W39">
        <v>517573.01</v>
      </c>
      <c r="X39">
        <v>4701446.9000000004</v>
      </c>
    </row>
    <row r="40" spans="1:24" x14ac:dyDescent="0.2">
      <c r="A40">
        <v>1</v>
      </c>
      <c r="B40" s="1">
        <v>38702</v>
      </c>
      <c r="D40">
        <v>39</v>
      </c>
      <c r="E40" s="1">
        <v>38702</v>
      </c>
      <c r="F40">
        <v>38</v>
      </c>
      <c r="G40" s="2">
        <v>0.57361111111111118</v>
      </c>
      <c r="H40" t="s">
        <v>113</v>
      </c>
      <c r="I40">
        <v>2</v>
      </c>
      <c r="J40" t="s">
        <v>52</v>
      </c>
      <c r="K40" t="s">
        <v>35</v>
      </c>
      <c r="L40" t="s">
        <v>32</v>
      </c>
      <c r="M40" t="s">
        <v>27</v>
      </c>
      <c r="N40" t="s">
        <v>37</v>
      </c>
      <c r="O40" t="s">
        <v>33</v>
      </c>
      <c r="P40" t="s">
        <v>31</v>
      </c>
      <c r="Q40" t="s">
        <v>27</v>
      </c>
      <c r="R40" t="s">
        <v>76</v>
      </c>
      <c r="S40" s="3">
        <v>21</v>
      </c>
      <c r="T40">
        <v>164</v>
      </c>
      <c r="U40">
        <v>38</v>
      </c>
      <c r="V40" t="s">
        <v>30</v>
      </c>
      <c r="W40">
        <v>517573.24</v>
      </c>
      <c r="X40">
        <v>4701443.97</v>
      </c>
    </row>
    <row r="41" spans="1:24" x14ac:dyDescent="0.2">
      <c r="A41">
        <v>1</v>
      </c>
      <c r="B41" s="1">
        <v>38702</v>
      </c>
      <c r="D41">
        <v>40</v>
      </c>
      <c r="E41" s="1">
        <v>38702</v>
      </c>
      <c r="F41">
        <v>39</v>
      </c>
      <c r="G41" s="2">
        <v>0.57593749999999999</v>
      </c>
      <c r="H41" t="s">
        <v>114</v>
      </c>
      <c r="I41">
        <v>3</v>
      </c>
      <c r="J41" t="s">
        <v>31</v>
      </c>
      <c r="K41" t="s">
        <v>26</v>
      </c>
      <c r="L41" t="s">
        <v>32</v>
      </c>
      <c r="M41" t="s">
        <v>27</v>
      </c>
      <c r="N41" t="s">
        <v>37</v>
      </c>
      <c r="O41" t="s">
        <v>33</v>
      </c>
      <c r="P41" t="s">
        <v>31</v>
      </c>
      <c r="Q41" t="s">
        <v>27</v>
      </c>
      <c r="R41" t="s">
        <v>76</v>
      </c>
      <c r="S41" s="3">
        <v>21</v>
      </c>
      <c r="T41">
        <v>294</v>
      </c>
      <c r="U41">
        <v>39</v>
      </c>
      <c r="V41" t="s">
        <v>30</v>
      </c>
      <c r="W41">
        <v>517573.46</v>
      </c>
      <c r="X41">
        <v>4701433.1399999997</v>
      </c>
    </row>
    <row r="42" spans="1:24" x14ac:dyDescent="0.2">
      <c r="A42">
        <v>1</v>
      </c>
      <c r="B42" s="1">
        <v>38702</v>
      </c>
      <c r="C42" t="s">
        <v>115</v>
      </c>
      <c r="D42">
        <v>41</v>
      </c>
      <c r="E42" s="1">
        <v>38702</v>
      </c>
      <c r="F42">
        <v>40</v>
      </c>
      <c r="G42" s="2">
        <v>0.58559027777777783</v>
      </c>
      <c r="H42" t="s">
        <v>86</v>
      </c>
      <c r="I42">
        <v>2</v>
      </c>
      <c r="J42" t="s">
        <v>31</v>
      </c>
      <c r="K42" t="s">
        <v>26</v>
      </c>
      <c r="L42" t="s">
        <v>32</v>
      </c>
      <c r="M42" t="s">
        <v>27</v>
      </c>
      <c r="N42" t="s">
        <v>37</v>
      </c>
      <c r="O42" t="s">
        <v>33</v>
      </c>
      <c r="P42" t="s">
        <v>25</v>
      </c>
      <c r="Q42" t="s">
        <v>27</v>
      </c>
      <c r="R42" t="s">
        <v>76</v>
      </c>
      <c r="S42" s="3">
        <v>21</v>
      </c>
      <c r="T42">
        <v>350</v>
      </c>
      <c r="U42">
        <v>40</v>
      </c>
      <c r="V42" t="s">
        <v>30</v>
      </c>
      <c r="W42">
        <v>517574.59</v>
      </c>
      <c r="X42">
        <v>4701423.45</v>
      </c>
    </row>
    <row r="43" spans="1:24" x14ac:dyDescent="0.2">
      <c r="A43">
        <v>1</v>
      </c>
      <c r="B43" s="1">
        <v>38702</v>
      </c>
      <c r="D43">
        <v>42</v>
      </c>
      <c r="E43" s="1">
        <v>38702</v>
      </c>
      <c r="F43">
        <v>41</v>
      </c>
      <c r="G43" s="2">
        <v>0.58696759259259257</v>
      </c>
      <c r="H43" t="s">
        <v>116</v>
      </c>
      <c r="I43">
        <v>1</v>
      </c>
      <c r="J43" t="s">
        <v>52</v>
      </c>
      <c r="K43" t="s">
        <v>87</v>
      </c>
      <c r="L43" t="s">
        <v>32</v>
      </c>
      <c r="M43" t="s">
        <v>27</v>
      </c>
      <c r="N43" t="s">
        <v>37</v>
      </c>
      <c r="O43" t="s">
        <v>33</v>
      </c>
      <c r="P43" t="s">
        <v>29</v>
      </c>
      <c r="Q43" t="s">
        <v>27</v>
      </c>
      <c r="R43" t="s">
        <v>76</v>
      </c>
      <c r="S43" s="3">
        <v>21</v>
      </c>
      <c r="T43">
        <v>452</v>
      </c>
      <c r="U43">
        <v>41</v>
      </c>
      <c r="V43" t="s">
        <v>30</v>
      </c>
      <c r="W43">
        <v>517574.14</v>
      </c>
      <c r="X43">
        <v>4701416.46</v>
      </c>
    </row>
    <row r="44" spans="1:24" x14ac:dyDescent="0.2">
      <c r="A44">
        <v>1</v>
      </c>
      <c r="B44" s="1">
        <v>38702</v>
      </c>
      <c r="D44">
        <v>43</v>
      </c>
      <c r="E44" s="1">
        <v>38702</v>
      </c>
      <c r="F44">
        <v>42</v>
      </c>
      <c r="G44" s="2">
        <v>0.58952546296296293</v>
      </c>
      <c r="H44" t="s">
        <v>117</v>
      </c>
      <c r="I44">
        <v>1</v>
      </c>
      <c r="J44" t="s">
        <v>52</v>
      </c>
      <c r="K44" t="s">
        <v>87</v>
      </c>
      <c r="L44" t="s">
        <v>32</v>
      </c>
      <c r="M44" t="s">
        <v>27</v>
      </c>
      <c r="N44" t="s">
        <v>37</v>
      </c>
      <c r="O44" t="s">
        <v>33</v>
      </c>
      <c r="P44" t="s">
        <v>29</v>
      </c>
      <c r="Q44" t="s">
        <v>27</v>
      </c>
      <c r="R44" t="s">
        <v>76</v>
      </c>
      <c r="S44" s="3">
        <v>21</v>
      </c>
      <c r="T44">
        <v>599</v>
      </c>
      <c r="U44">
        <v>42</v>
      </c>
      <c r="V44" t="s">
        <v>30</v>
      </c>
      <c r="W44">
        <v>517574.36</v>
      </c>
      <c r="X44">
        <v>4701409.92</v>
      </c>
    </row>
    <row r="45" spans="1:24" x14ac:dyDescent="0.2">
      <c r="A45">
        <v>1</v>
      </c>
      <c r="B45" s="1">
        <v>38702</v>
      </c>
      <c r="C45" t="s">
        <v>118</v>
      </c>
      <c r="D45">
        <v>44</v>
      </c>
      <c r="E45" s="1">
        <v>38702</v>
      </c>
      <c r="F45">
        <v>43</v>
      </c>
      <c r="G45" s="2">
        <v>0.59159722222222222</v>
      </c>
      <c r="H45" t="s">
        <v>114</v>
      </c>
      <c r="I45">
        <v>4</v>
      </c>
      <c r="J45" t="s">
        <v>25</v>
      </c>
      <c r="K45" t="s">
        <v>26</v>
      </c>
      <c r="L45" t="s">
        <v>32</v>
      </c>
      <c r="M45" t="s">
        <v>27</v>
      </c>
      <c r="N45" t="s">
        <v>37</v>
      </c>
      <c r="O45" t="s">
        <v>33</v>
      </c>
      <c r="P45" t="s">
        <v>31</v>
      </c>
      <c r="Q45" t="s">
        <v>27</v>
      </c>
      <c r="R45" t="s">
        <v>76</v>
      </c>
      <c r="S45" s="3">
        <v>21</v>
      </c>
      <c r="T45">
        <v>824</v>
      </c>
      <c r="U45">
        <v>43</v>
      </c>
      <c r="V45" t="s">
        <v>30</v>
      </c>
      <c r="W45">
        <v>517573.24</v>
      </c>
      <c r="X45">
        <v>4701399.55</v>
      </c>
    </row>
    <row r="46" spans="1:24" x14ac:dyDescent="0.2">
      <c r="A46">
        <v>1</v>
      </c>
      <c r="B46" s="1">
        <v>38702</v>
      </c>
      <c r="D46">
        <v>46</v>
      </c>
      <c r="E46" s="1">
        <v>38702</v>
      </c>
      <c r="F46">
        <v>45</v>
      </c>
      <c r="G46" s="2">
        <v>0.5976041666666666</v>
      </c>
      <c r="H46" t="s">
        <v>114</v>
      </c>
      <c r="I46">
        <v>5</v>
      </c>
      <c r="J46" t="s">
        <v>31</v>
      </c>
      <c r="K46" t="s">
        <v>26</v>
      </c>
      <c r="L46" t="s">
        <v>32</v>
      </c>
      <c r="M46" t="s">
        <v>27</v>
      </c>
      <c r="N46" t="s">
        <v>34</v>
      </c>
      <c r="O46" t="s">
        <v>33</v>
      </c>
      <c r="P46" t="s">
        <v>31</v>
      </c>
      <c r="Q46" t="s">
        <v>27</v>
      </c>
      <c r="R46" t="s">
        <v>76</v>
      </c>
      <c r="S46" s="3">
        <v>21</v>
      </c>
      <c r="T46">
        <v>1060</v>
      </c>
      <c r="U46">
        <v>45</v>
      </c>
      <c r="V46" t="s">
        <v>30</v>
      </c>
      <c r="W46">
        <v>517573.46</v>
      </c>
      <c r="X46">
        <v>4701386.0199999996</v>
      </c>
    </row>
    <row r="47" spans="1:24" x14ac:dyDescent="0.2">
      <c r="A47">
        <v>1</v>
      </c>
      <c r="B47" s="1">
        <v>38702</v>
      </c>
      <c r="D47">
        <v>47</v>
      </c>
      <c r="E47" s="1">
        <v>38702</v>
      </c>
      <c r="F47">
        <v>46</v>
      </c>
      <c r="G47" s="2">
        <v>0.60113425925925923</v>
      </c>
      <c r="H47" t="s">
        <v>119</v>
      </c>
      <c r="I47">
        <v>3</v>
      </c>
      <c r="J47" t="s">
        <v>31</v>
      </c>
      <c r="K47" t="s">
        <v>26</v>
      </c>
      <c r="L47" t="s">
        <v>32</v>
      </c>
      <c r="M47" t="s">
        <v>27</v>
      </c>
      <c r="N47" t="s">
        <v>37</v>
      </c>
      <c r="O47" t="s">
        <v>33</v>
      </c>
      <c r="P47" t="s">
        <v>31</v>
      </c>
      <c r="Q47" t="s">
        <v>27</v>
      </c>
      <c r="R47" t="s">
        <v>76</v>
      </c>
      <c r="S47" s="3">
        <v>21</v>
      </c>
      <c r="T47">
        <v>1301</v>
      </c>
      <c r="U47">
        <v>46</v>
      </c>
      <c r="V47" t="s">
        <v>30</v>
      </c>
      <c r="W47">
        <v>517573.55</v>
      </c>
      <c r="X47">
        <v>4701377.1900000004</v>
      </c>
    </row>
    <row r="48" spans="1:24" x14ac:dyDescent="0.2">
      <c r="A48">
        <v>1</v>
      </c>
      <c r="B48" s="1">
        <v>38702</v>
      </c>
      <c r="D48">
        <v>48</v>
      </c>
      <c r="E48" s="1">
        <v>38702</v>
      </c>
      <c r="F48">
        <v>47</v>
      </c>
      <c r="G48" s="2">
        <v>0.60320601851851852</v>
      </c>
      <c r="H48" t="s">
        <v>82</v>
      </c>
      <c r="I48">
        <v>2</v>
      </c>
      <c r="J48" t="s">
        <v>52</v>
      </c>
      <c r="K48" t="s">
        <v>26</v>
      </c>
      <c r="L48" t="s">
        <v>32</v>
      </c>
      <c r="M48" t="s">
        <v>27</v>
      </c>
      <c r="N48" t="s">
        <v>37</v>
      </c>
      <c r="O48" t="s">
        <v>33</v>
      </c>
      <c r="P48" t="s">
        <v>25</v>
      </c>
      <c r="Q48" t="s">
        <v>27</v>
      </c>
      <c r="R48" t="s">
        <v>76</v>
      </c>
      <c r="S48" s="3">
        <v>21</v>
      </c>
      <c r="T48">
        <v>1425</v>
      </c>
      <c r="U48">
        <v>47</v>
      </c>
      <c r="V48" t="s">
        <v>30</v>
      </c>
      <c r="W48">
        <v>517574.15</v>
      </c>
      <c r="X48">
        <v>4701365.08</v>
      </c>
    </row>
    <row r="49" spans="1:24" x14ac:dyDescent="0.2">
      <c r="A49">
        <v>1</v>
      </c>
      <c r="B49" s="1">
        <v>38702</v>
      </c>
      <c r="C49" t="s">
        <v>120</v>
      </c>
      <c r="D49">
        <v>49</v>
      </c>
      <c r="E49" s="1">
        <v>38702</v>
      </c>
      <c r="F49">
        <v>48</v>
      </c>
      <c r="G49" s="2">
        <v>0.60571759259259261</v>
      </c>
      <c r="H49" t="s">
        <v>88</v>
      </c>
      <c r="I49">
        <v>2</v>
      </c>
      <c r="J49" t="s">
        <v>52</v>
      </c>
      <c r="K49" t="s">
        <v>87</v>
      </c>
      <c r="L49" t="s">
        <v>32</v>
      </c>
      <c r="M49" t="s">
        <v>27</v>
      </c>
      <c r="N49" t="s">
        <v>37</v>
      </c>
      <c r="O49" t="s">
        <v>33</v>
      </c>
      <c r="P49" t="s">
        <v>31</v>
      </c>
      <c r="Q49" t="s">
        <v>27</v>
      </c>
      <c r="R49" t="s">
        <v>76</v>
      </c>
      <c r="S49" s="3">
        <v>21</v>
      </c>
      <c r="T49">
        <v>1673</v>
      </c>
      <c r="U49">
        <v>48</v>
      </c>
      <c r="V49" t="s">
        <v>30</v>
      </c>
      <c r="W49">
        <v>517574.93</v>
      </c>
      <c r="X49">
        <v>4701350.21</v>
      </c>
    </row>
    <row r="50" spans="1:24" x14ac:dyDescent="0.2">
      <c r="A50">
        <v>1</v>
      </c>
      <c r="B50" s="1">
        <v>38702</v>
      </c>
      <c r="C50" t="s">
        <v>121</v>
      </c>
      <c r="D50">
        <v>50</v>
      </c>
      <c r="E50" s="1">
        <v>38702</v>
      </c>
      <c r="F50">
        <v>49</v>
      </c>
      <c r="G50" s="2">
        <v>0.61310185185185184</v>
      </c>
      <c r="H50" t="s">
        <v>79</v>
      </c>
      <c r="I50">
        <v>5</v>
      </c>
      <c r="J50" t="s">
        <v>31</v>
      </c>
      <c r="K50" t="s">
        <v>26</v>
      </c>
      <c r="L50" t="s">
        <v>32</v>
      </c>
      <c r="M50" t="s">
        <v>27</v>
      </c>
      <c r="N50" t="s">
        <v>37</v>
      </c>
      <c r="O50" t="s">
        <v>33</v>
      </c>
      <c r="P50" t="s">
        <v>31</v>
      </c>
      <c r="Q50" t="s">
        <v>27</v>
      </c>
      <c r="R50" t="s">
        <v>76</v>
      </c>
      <c r="S50" s="3" t="s">
        <v>122</v>
      </c>
      <c r="T50" t="s">
        <v>78</v>
      </c>
      <c r="U50">
        <v>1</v>
      </c>
      <c r="V50" t="s">
        <v>30</v>
      </c>
      <c r="W50">
        <v>517654.65</v>
      </c>
      <c r="X50">
        <v>4701325.99</v>
      </c>
    </row>
    <row r="51" spans="1:24" x14ac:dyDescent="0.2">
      <c r="A51">
        <v>1</v>
      </c>
      <c r="B51" s="1">
        <v>38702</v>
      </c>
      <c r="C51" t="s">
        <v>123</v>
      </c>
      <c r="D51">
        <v>51</v>
      </c>
      <c r="E51" s="1">
        <v>38702</v>
      </c>
      <c r="F51">
        <v>50</v>
      </c>
      <c r="G51" s="2">
        <v>0.61767361111111108</v>
      </c>
      <c r="H51" t="s">
        <v>79</v>
      </c>
      <c r="I51">
        <v>5</v>
      </c>
      <c r="J51" t="s">
        <v>31</v>
      </c>
      <c r="K51" t="s">
        <v>26</v>
      </c>
      <c r="L51" t="s">
        <v>32</v>
      </c>
      <c r="M51" t="s">
        <v>27</v>
      </c>
      <c r="N51" t="s">
        <v>37</v>
      </c>
      <c r="O51" t="s">
        <v>33</v>
      </c>
      <c r="P51" t="s">
        <v>31</v>
      </c>
      <c r="Q51" t="s">
        <v>27</v>
      </c>
      <c r="R51" t="s">
        <v>76</v>
      </c>
      <c r="S51" s="3" t="s">
        <v>122</v>
      </c>
      <c r="T51" t="s">
        <v>78</v>
      </c>
      <c r="U51">
        <v>2</v>
      </c>
      <c r="V51" t="s">
        <v>30</v>
      </c>
      <c r="W51">
        <v>517647.25</v>
      </c>
      <c r="X51">
        <v>4701325.99</v>
      </c>
    </row>
    <row r="52" spans="1:24" x14ac:dyDescent="0.2">
      <c r="A52">
        <v>1</v>
      </c>
      <c r="B52" s="1">
        <v>38702</v>
      </c>
      <c r="D52">
        <v>52</v>
      </c>
      <c r="E52" s="1">
        <v>38702</v>
      </c>
      <c r="F52">
        <v>51</v>
      </c>
      <c r="G52" s="2">
        <v>0.61918981481481483</v>
      </c>
      <c r="H52" t="s">
        <v>79</v>
      </c>
      <c r="I52">
        <v>5</v>
      </c>
      <c r="J52" t="s">
        <v>31</v>
      </c>
      <c r="K52" t="s">
        <v>26</v>
      </c>
      <c r="L52" t="s">
        <v>32</v>
      </c>
      <c r="M52" t="s">
        <v>27</v>
      </c>
      <c r="N52" t="s">
        <v>37</v>
      </c>
      <c r="O52" t="s">
        <v>33</v>
      </c>
      <c r="P52" t="s">
        <v>31</v>
      </c>
      <c r="Q52" t="s">
        <v>27</v>
      </c>
      <c r="R52" t="s">
        <v>76</v>
      </c>
      <c r="S52" s="3" t="s">
        <v>122</v>
      </c>
      <c r="T52" t="s">
        <v>78</v>
      </c>
      <c r="U52">
        <v>3</v>
      </c>
      <c r="V52" t="s">
        <v>30</v>
      </c>
      <c r="W52">
        <v>517640.96000000002</v>
      </c>
      <c r="X52">
        <v>4701325.99</v>
      </c>
    </row>
    <row r="53" spans="1:24" x14ac:dyDescent="0.2">
      <c r="A53">
        <v>1</v>
      </c>
      <c r="B53" s="1">
        <v>38702</v>
      </c>
      <c r="D53">
        <v>53</v>
      </c>
      <c r="E53" s="1">
        <v>38702</v>
      </c>
      <c r="F53">
        <v>52</v>
      </c>
      <c r="G53" s="2">
        <v>0.61983796296296301</v>
      </c>
      <c r="H53" t="s">
        <v>79</v>
      </c>
      <c r="I53">
        <v>5</v>
      </c>
      <c r="J53" t="s">
        <v>31</v>
      </c>
      <c r="K53" t="s">
        <v>26</v>
      </c>
      <c r="L53" t="s">
        <v>32</v>
      </c>
      <c r="M53" t="s">
        <v>27</v>
      </c>
      <c r="N53" t="s">
        <v>37</v>
      </c>
      <c r="O53" t="s">
        <v>33</v>
      </c>
      <c r="P53" t="s">
        <v>31</v>
      </c>
      <c r="Q53" t="s">
        <v>27</v>
      </c>
      <c r="R53" t="s">
        <v>76</v>
      </c>
      <c r="S53" s="3" t="s">
        <v>122</v>
      </c>
      <c r="T53" t="s">
        <v>78</v>
      </c>
      <c r="U53">
        <v>4</v>
      </c>
      <c r="V53" t="s">
        <v>30</v>
      </c>
      <c r="W53">
        <v>517635.04</v>
      </c>
      <c r="X53">
        <v>4701326.3600000003</v>
      </c>
    </row>
    <row r="54" spans="1:24" x14ac:dyDescent="0.2">
      <c r="A54">
        <v>1</v>
      </c>
      <c r="B54" s="1">
        <v>38702</v>
      </c>
      <c r="D54">
        <v>54</v>
      </c>
      <c r="E54" s="1">
        <v>38702</v>
      </c>
      <c r="F54">
        <v>53</v>
      </c>
      <c r="G54" s="2">
        <v>0.62032407407407408</v>
      </c>
      <c r="H54" t="s">
        <v>79</v>
      </c>
      <c r="I54">
        <v>5</v>
      </c>
      <c r="J54" t="s">
        <v>31</v>
      </c>
      <c r="K54" t="s">
        <v>26</v>
      </c>
      <c r="L54" t="s">
        <v>32</v>
      </c>
      <c r="M54" t="s">
        <v>27</v>
      </c>
      <c r="N54" t="s">
        <v>37</v>
      </c>
      <c r="O54" t="s">
        <v>33</v>
      </c>
      <c r="P54" t="s">
        <v>31</v>
      </c>
      <c r="Q54" t="s">
        <v>27</v>
      </c>
      <c r="R54" t="s">
        <v>76</v>
      </c>
      <c r="S54" s="3" t="s">
        <v>122</v>
      </c>
      <c r="T54" t="s">
        <v>78</v>
      </c>
      <c r="U54">
        <v>5</v>
      </c>
      <c r="V54" t="s">
        <v>30</v>
      </c>
      <c r="W54">
        <v>517628.38</v>
      </c>
      <c r="X54">
        <v>4701326.3600000003</v>
      </c>
    </row>
    <row r="55" spans="1:24" x14ac:dyDescent="0.2">
      <c r="A55">
        <v>1</v>
      </c>
      <c r="B55" s="1">
        <v>38702</v>
      </c>
      <c r="D55">
        <v>55</v>
      </c>
      <c r="E55" s="1">
        <v>38702</v>
      </c>
      <c r="F55">
        <v>54</v>
      </c>
      <c r="G55" s="2">
        <v>0.62354166666666666</v>
      </c>
      <c r="H55" t="s">
        <v>79</v>
      </c>
      <c r="I55">
        <v>2</v>
      </c>
      <c r="J55" t="s">
        <v>52</v>
      </c>
      <c r="K55" t="s">
        <v>87</v>
      </c>
      <c r="L55" t="s">
        <v>32</v>
      </c>
      <c r="M55" t="s">
        <v>27</v>
      </c>
      <c r="N55" t="s">
        <v>37</v>
      </c>
      <c r="O55" t="s">
        <v>33</v>
      </c>
      <c r="P55" t="s">
        <v>31</v>
      </c>
      <c r="Q55" t="s">
        <v>27</v>
      </c>
      <c r="R55" t="s">
        <v>76</v>
      </c>
      <c r="S55" s="3" t="s">
        <v>122</v>
      </c>
      <c r="T55" t="s">
        <v>78</v>
      </c>
      <c r="U55">
        <v>6</v>
      </c>
      <c r="V55" t="s">
        <v>30</v>
      </c>
      <c r="W55">
        <v>517619.87</v>
      </c>
      <c r="X55">
        <v>4701324.88</v>
      </c>
    </row>
    <row r="56" spans="1:24" x14ac:dyDescent="0.2">
      <c r="A56">
        <v>1</v>
      </c>
      <c r="B56" s="1">
        <v>38702</v>
      </c>
      <c r="D56">
        <v>56</v>
      </c>
      <c r="E56" s="1">
        <v>38702</v>
      </c>
      <c r="F56">
        <v>55</v>
      </c>
      <c r="G56" s="2">
        <v>0.62399305555555562</v>
      </c>
      <c r="H56" t="s">
        <v>79</v>
      </c>
      <c r="I56">
        <v>2</v>
      </c>
      <c r="J56" t="s">
        <v>52</v>
      </c>
      <c r="K56" t="s">
        <v>87</v>
      </c>
      <c r="L56" t="s">
        <v>32</v>
      </c>
      <c r="M56" t="s">
        <v>27</v>
      </c>
      <c r="N56" t="s">
        <v>37</v>
      </c>
      <c r="O56" t="s">
        <v>33</v>
      </c>
      <c r="P56" t="s">
        <v>31</v>
      </c>
      <c r="Q56" t="s">
        <v>27</v>
      </c>
      <c r="R56" t="s">
        <v>76</v>
      </c>
      <c r="S56" s="3" t="s">
        <v>122</v>
      </c>
      <c r="T56" t="s">
        <v>78</v>
      </c>
      <c r="U56">
        <v>7</v>
      </c>
      <c r="V56" t="s">
        <v>30</v>
      </c>
      <c r="W56">
        <v>517610.62</v>
      </c>
      <c r="X56">
        <v>4701324.1399999997</v>
      </c>
    </row>
    <row r="57" spans="1:24" x14ac:dyDescent="0.2">
      <c r="A57">
        <v>1</v>
      </c>
      <c r="B57" s="1">
        <v>38702</v>
      </c>
      <c r="D57">
        <v>57</v>
      </c>
      <c r="E57" s="1">
        <v>38702</v>
      </c>
      <c r="F57">
        <v>56</v>
      </c>
      <c r="G57" s="2">
        <v>0.62504629629629627</v>
      </c>
      <c r="H57" t="s">
        <v>79</v>
      </c>
      <c r="I57">
        <v>3</v>
      </c>
      <c r="J57" t="s">
        <v>52</v>
      </c>
      <c r="K57" t="s">
        <v>87</v>
      </c>
      <c r="L57" t="s">
        <v>32</v>
      </c>
      <c r="M57" t="s">
        <v>27</v>
      </c>
      <c r="N57" t="s">
        <v>37</v>
      </c>
      <c r="O57" t="s">
        <v>33</v>
      </c>
      <c r="P57" t="s">
        <v>31</v>
      </c>
      <c r="Q57" t="s">
        <v>27</v>
      </c>
      <c r="R57" t="s">
        <v>76</v>
      </c>
      <c r="S57" s="3" t="s">
        <v>122</v>
      </c>
      <c r="T57" t="s">
        <v>78</v>
      </c>
      <c r="U57">
        <v>8</v>
      </c>
      <c r="V57" t="s">
        <v>30</v>
      </c>
      <c r="W57">
        <v>517598.41</v>
      </c>
      <c r="X57">
        <v>4701325.62</v>
      </c>
    </row>
    <row r="58" spans="1:24" x14ac:dyDescent="0.2">
      <c r="A58">
        <v>1</v>
      </c>
      <c r="B58" s="1">
        <v>38702</v>
      </c>
      <c r="C58" t="s">
        <v>124</v>
      </c>
      <c r="D58">
        <v>58</v>
      </c>
      <c r="E58" s="1">
        <v>38702</v>
      </c>
      <c r="F58">
        <v>57</v>
      </c>
      <c r="G58" s="2">
        <v>0.62619212962962967</v>
      </c>
      <c r="H58" t="s">
        <v>79</v>
      </c>
      <c r="I58">
        <v>4</v>
      </c>
      <c r="J58" t="s">
        <v>52</v>
      </c>
      <c r="K58" t="s">
        <v>26</v>
      </c>
      <c r="L58" t="s">
        <v>32</v>
      </c>
      <c r="M58" t="s">
        <v>27</v>
      </c>
      <c r="N58" t="s">
        <v>37</v>
      </c>
      <c r="O58" t="s">
        <v>33</v>
      </c>
      <c r="P58" t="s">
        <v>31</v>
      </c>
      <c r="Q58" t="s">
        <v>84</v>
      </c>
      <c r="R58" t="s">
        <v>76</v>
      </c>
      <c r="S58" s="3" t="s">
        <v>122</v>
      </c>
      <c r="T58" t="s">
        <v>78</v>
      </c>
      <c r="U58">
        <v>9</v>
      </c>
      <c r="V58" t="s">
        <v>30</v>
      </c>
      <c r="W58">
        <v>517578.43</v>
      </c>
      <c r="X58">
        <v>4701325.62</v>
      </c>
    </row>
    <row r="59" spans="1:24" x14ac:dyDescent="0.2">
      <c r="A59">
        <v>1</v>
      </c>
      <c r="B59" s="1">
        <v>38702</v>
      </c>
      <c r="C59" t="s">
        <v>125</v>
      </c>
      <c r="D59">
        <v>59</v>
      </c>
      <c r="E59" s="1">
        <v>38702</v>
      </c>
      <c r="F59">
        <v>58</v>
      </c>
      <c r="G59" s="2">
        <v>0.62774305555555554</v>
      </c>
      <c r="H59" t="s">
        <v>82</v>
      </c>
      <c r="I59">
        <v>8</v>
      </c>
      <c r="J59" t="s">
        <v>31</v>
      </c>
      <c r="K59" t="s">
        <v>26</v>
      </c>
      <c r="L59" t="s">
        <v>32</v>
      </c>
      <c r="M59" t="s">
        <v>27</v>
      </c>
      <c r="N59" t="s">
        <v>37</v>
      </c>
      <c r="O59" t="s">
        <v>33</v>
      </c>
      <c r="P59" t="s">
        <v>38</v>
      </c>
      <c r="Q59" t="s">
        <v>27</v>
      </c>
      <c r="R59" t="s">
        <v>76</v>
      </c>
      <c r="S59" s="3" t="s">
        <v>122</v>
      </c>
      <c r="T59" t="s">
        <v>78</v>
      </c>
      <c r="U59">
        <v>10</v>
      </c>
      <c r="V59" t="s">
        <v>30</v>
      </c>
      <c r="W59">
        <v>517573.62</v>
      </c>
      <c r="X59">
        <v>4701323.03</v>
      </c>
    </row>
    <row r="60" spans="1:24" x14ac:dyDescent="0.2">
      <c r="A60">
        <v>1</v>
      </c>
      <c r="B60" s="1">
        <v>38702</v>
      </c>
      <c r="D60">
        <v>60</v>
      </c>
      <c r="E60" s="1">
        <v>38702</v>
      </c>
      <c r="F60">
        <v>59</v>
      </c>
      <c r="G60" s="2">
        <v>0.63070601851851849</v>
      </c>
      <c r="H60" t="s">
        <v>79</v>
      </c>
      <c r="I60">
        <v>10</v>
      </c>
      <c r="J60" t="s">
        <v>31</v>
      </c>
      <c r="K60" t="s">
        <v>26</v>
      </c>
      <c r="L60" t="s">
        <v>32</v>
      </c>
      <c r="M60" t="s">
        <v>27</v>
      </c>
      <c r="N60" t="s">
        <v>37</v>
      </c>
      <c r="O60" t="s">
        <v>33</v>
      </c>
      <c r="P60" t="s">
        <v>31</v>
      </c>
      <c r="Q60" t="s">
        <v>27</v>
      </c>
      <c r="R60" t="s">
        <v>76</v>
      </c>
      <c r="S60" s="3">
        <v>2</v>
      </c>
      <c r="T60" t="s">
        <v>78</v>
      </c>
      <c r="U60">
        <v>1</v>
      </c>
      <c r="V60" t="s">
        <v>30</v>
      </c>
      <c r="W60">
        <v>517561.05</v>
      </c>
      <c r="X60">
        <v>4701382.97</v>
      </c>
    </row>
    <row r="61" spans="1:24" x14ac:dyDescent="0.2">
      <c r="A61">
        <v>1</v>
      </c>
      <c r="B61" s="1">
        <v>38702</v>
      </c>
      <c r="D61">
        <v>61</v>
      </c>
      <c r="E61" s="1">
        <v>38702</v>
      </c>
      <c r="F61">
        <v>60</v>
      </c>
      <c r="G61" s="2">
        <v>0.63247685185185187</v>
      </c>
      <c r="H61" t="s">
        <v>126</v>
      </c>
      <c r="I61">
        <v>14</v>
      </c>
      <c r="J61" t="s">
        <v>31</v>
      </c>
      <c r="K61" t="s">
        <v>26</v>
      </c>
      <c r="L61" t="s">
        <v>32</v>
      </c>
      <c r="M61" t="s">
        <v>27</v>
      </c>
      <c r="N61" t="s">
        <v>34</v>
      </c>
      <c r="O61" t="s">
        <v>33</v>
      </c>
      <c r="P61" t="s">
        <v>29</v>
      </c>
      <c r="Q61" t="s">
        <v>27</v>
      </c>
      <c r="R61" t="s">
        <v>76</v>
      </c>
      <c r="S61" s="3">
        <v>2</v>
      </c>
      <c r="T61" t="s">
        <v>127</v>
      </c>
      <c r="U61">
        <v>2</v>
      </c>
      <c r="V61" t="s">
        <v>30</v>
      </c>
      <c r="W61">
        <v>517555.87</v>
      </c>
      <c r="X61">
        <v>4701422.92</v>
      </c>
    </row>
    <row r="62" spans="1:24" x14ac:dyDescent="0.2">
      <c r="A62">
        <v>1</v>
      </c>
      <c r="B62" s="1">
        <v>38702</v>
      </c>
      <c r="D62">
        <v>62</v>
      </c>
      <c r="E62" s="1">
        <v>38702</v>
      </c>
      <c r="F62">
        <v>61</v>
      </c>
      <c r="G62" s="2">
        <v>0.63555555555555554</v>
      </c>
      <c r="H62" t="s">
        <v>82</v>
      </c>
      <c r="I62">
        <v>7</v>
      </c>
      <c r="J62" t="s">
        <v>52</v>
      </c>
      <c r="K62" t="s">
        <v>26</v>
      </c>
      <c r="L62" t="s">
        <v>32</v>
      </c>
      <c r="M62" t="s">
        <v>27</v>
      </c>
      <c r="N62" t="s">
        <v>37</v>
      </c>
      <c r="O62" t="s">
        <v>33</v>
      </c>
      <c r="P62" t="s">
        <v>29</v>
      </c>
      <c r="Q62" t="s">
        <v>27</v>
      </c>
      <c r="R62" t="s">
        <v>76</v>
      </c>
      <c r="S62" s="3">
        <v>1</v>
      </c>
      <c r="T62" t="s">
        <v>128</v>
      </c>
      <c r="U62">
        <v>3</v>
      </c>
      <c r="V62" t="s">
        <v>30</v>
      </c>
      <c r="W62">
        <v>517554.59</v>
      </c>
      <c r="X62">
        <v>4701459.8499999996</v>
      </c>
    </row>
    <row r="63" spans="1:24" x14ac:dyDescent="0.2">
      <c r="A63">
        <v>1</v>
      </c>
      <c r="B63" s="1">
        <v>38702</v>
      </c>
      <c r="D63">
        <v>63</v>
      </c>
      <c r="E63" s="1">
        <v>38702</v>
      </c>
      <c r="F63">
        <v>62</v>
      </c>
      <c r="G63" s="2">
        <v>0.64001157407407405</v>
      </c>
      <c r="H63" t="s">
        <v>79</v>
      </c>
      <c r="I63">
        <v>14</v>
      </c>
      <c r="J63" t="s">
        <v>52</v>
      </c>
      <c r="K63" t="s">
        <v>26</v>
      </c>
      <c r="L63" t="s">
        <v>32</v>
      </c>
      <c r="M63" t="s">
        <v>27</v>
      </c>
      <c r="N63" t="s">
        <v>37</v>
      </c>
      <c r="O63" t="s">
        <v>33</v>
      </c>
      <c r="P63" t="s">
        <v>29</v>
      </c>
      <c r="Q63" t="s">
        <v>27</v>
      </c>
      <c r="R63" t="s">
        <v>76</v>
      </c>
      <c r="S63" s="3">
        <v>9</v>
      </c>
      <c r="T63" t="s">
        <v>129</v>
      </c>
      <c r="U63">
        <v>1</v>
      </c>
      <c r="V63" t="s">
        <v>30</v>
      </c>
      <c r="W63">
        <v>517528.7</v>
      </c>
      <c r="X63">
        <v>4701458.74</v>
      </c>
    </row>
    <row r="64" spans="1:24" x14ac:dyDescent="0.2">
      <c r="A64">
        <v>1</v>
      </c>
      <c r="B64" s="1">
        <v>38702</v>
      </c>
      <c r="D64">
        <v>64</v>
      </c>
      <c r="E64" s="1">
        <v>38702</v>
      </c>
      <c r="F64">
        <v>63</v>
      </c>
      <c r="G64" s="2">
        <v>0.64375000000000004</v>
      </c>
      <c r="H64" t="s">
        <v>79</v>
      </c>
      <c r="I64">
        <v>14</v>
      </c>
      <c r="J64" t="s">
        <v>52</v>
      </c>
      <c r="K64" t="s">
        <v>26</v>
      </c>
      <c r="L64" t="s">
        <v>32</v>
      </c>
      <c r="M64" t="s">
        <v>27</v>
      </c>
      <c r="N64" t="s">
        <v>37</v>
      </c>
      <c r="O64" t="s">
        <v>33</v>
      </c>
      <c r="P64" t="s">
        <v>29</v>
      </c>
      <c r="Q64" t="s">
        <v>27</v>
      </c>
      <c r="R64" t="s">
        <v>76</v>
      </c>
      <c r="S64" s="3">
        <v>9</v>
      </c>
      <c r="T64" t="s">
        <v>130</v>
      </c>
      <c r="U64">
        <v>5</v>
      </c>
      <c r="V64" t="s">
        <v>30</v>
      </c>
      <c r="W64">
        <v>517530.55</v>
      </c>
      <c r="X64">
        <v>4701452.82</v>
      </c>
    </row>
    <row r="65" spans="1:24" x14ac:dyDescent="0.2">
      <c r="A65">
        <v>1</v>
      </c>
      <c r="B65" s="1">
        <v>38702</v>
      </c>
      <c r="D65">
        <v>65</v>
      </c>
      <c r="E65" s="1">
        <v>38702</v>
      </c>
      <c r="F65">
        <v>64</v>
      </c>
      <c r="G65" s="2">
        <v>0.64509259259259266</v>
      </c>
      <c r="H65" t="s">
        <v>119</v>
      </c>
      <c r="I65">
        <v>2</v>
      </c>
      <c r="J65" t="s">
        <v>31</v>
      </c>
      <c r="K65" t="s">
        <v>26</v>
      </c>
      <c r="L65" t="s">
        <v>32</v>
      </c>
      <c r="M65" t="s">
        <v>27</v>
      </c>
      <c r="N65" t="s">
        <v>37</v>
      </c>
      <c r="O65" t="s">
        <v>33</v>
      </c>
      <c r="P65" t="s">
        <v>25</v>
      </c>
      <c r="Q65" t="s">
        <v>27</v>
      </c>
      <c r="R65" t="s">
        <v>76</v>
      </c>
      <c r="S65" s="3">
        <v>9</v>
      </c>
      <c r="T65" t="s">
        <v>131</v>
      </c>
      <c r="U65">
        <v>1</v>
      </c>
      <c r="V65" t="s">
        <v>30</v>
      </c>
      <c r="W65">
        <v>517525.74</v>
      </c>
      <c r="X65">
        <v>4701460.22</v>
      </c>
    </row>
    <row r="66" spans="1:24" x14ac:dyDescent="0.2">
      <c r="A66">
        <v>1</v>
      </c>
      <c r="B66" s="1">
        <v>38702</v>
      </c>
      <c r="D66">
        <v>66</v>
      </c>
      <c r="E66" s="1">
        <v>38702</v>
      </c>
      <c r="F66">
        <v>65</v>
      </c>
      <c r="G66" s="2">
        <v>0.6466319444444445</v>
      </c>
      <c r="H66" t="s">
        <v>94</v>
      </c>
      <c r="I66">
        <v>14</v>
      </c>
      <c r="J66" t="s">
        <v>52</v>
      </c>
      <c r="K66" t="s">
        <v>26</v>
      </c>
      <c r="L66" t="s">
        <v>32</v>
      </c>
      <c r="M66" t="s">
        <v>27</v>
      </c>
      <c r="N66" t="s">
        <v>37</v>
      </c>
      <c r="O66" t="s">
        <v>33</v>
      </c>
      <c r="P66" t="s">
        <v>31</v>
      </c>
      <c r="Q66" t="s">
        <v>27</v>
      </c>
      <c r="R66" t="s">
        <v>76</v>
      </c>
      <c r="S66" s="3" t="s">
        <v>132</v>
      </c>
      <c r="T66" t="s">
        <v>133</v>
      </c>
      <c r="U66">
        <v>1</v>
      </c>
      <c r="V66" t="s">
        <v>30</v>
      </c>
      <c r="W66">
        <v>517519.82</v>
      </c>
      <c r="X66">
        <v>4701459.8499999996</v>
      </c>
    </row>
    <row r="67" spans="1:24" x14ac:dyDescent="0.2">
      <c r="A67">
        <v>1</v>
      </c>
      <c r="B67" s="1">
        <v>38702</v>
      </c>
      <c r="C67" t="s">
        <v>134</v>
      </c>
      <c r="D67">
        <v>67</v>
      </c>
      <c r="E67" s="1">
        <v>38702</v>
      </c>
      <c r="F67">
        <v>66</v>
      </c>
      <c r="G67" s="2">
        <v>0.65032407407407411</v>
      </c>
      <c r="H67" t="s">
        <v>135</v>
      </c>
      <c r="I67">
        <v>2</v>
      </c>
      <c r="J67" t="s">
        <v>31</v>
      </c>
      <c r="K67" t="s">
        <v>87</v>
      </c>
      <c r="L67" t="s">
        <v>32</v>
      </c>
      <c r="M67" t="s">
        <v>27</v>
      </c>
      <c r="N67" t="s">
        <v>37</v>
      </c>
      <c r="O67" t="s">
        <v>33</v>
      </c>
      <c r="P67" t="s">
        <v>38</v>
      </c>
      <c r="Q67" t="s">
        <v>27</v>
      </c>
      <c r="R67" t="s">
        <v>76</v>
      </c>
      <c r="S67" s="3" t="s">
        <v>136</v>
      </c>
      <c r="T67" t="s">
        <v>137</v>
      </c>
      <c r="U67">
        <v>1</v>
      </c>
      <c r="V67" t="s">
        <v>30</v>
      </c>
      <c r="W67">
        <v>517508.35</v>
      </c>
      <c r="X67">
        <v>4701459.4800000004</v>
      </c>
    </row>
    <row r="68" spans="1:24" x14ac:dyDescent="0.2">
      <c r="A68">
        <v>1</v>
      </c>
      <c r="B68" s="1">
        <v>38702</v>
      </c>
      <c r="D68">
        <v>68</v>
      </c>
      <c r="E68" s="1">
        <v>38702</v>
      </c>
      <c r="F68">
        <v>67</v>
      </c>
      <c r="G68" s="2">
        <v>0.65319444444444441</v>
      </c>
      <c r="H68" t="s">
        <v>138</v>
      </c>
      <c r="I68">
        <v>14</v>
      </c>
      <c r="J68" t="s">
        <v>52</v>
      </c>
      <c r="K68" t="s">
        <v>26</v>
      </c>
      <c r="L68" t="s">
        <v>32</v>
      </c>
      <c r="M68" t="s">
        <v>27</v>
      </c>
      <c r="N68" t="s">
        <v>37</v>
      </c>
      <c r="O68" t="s">
        <v>33</v>
      </c>
      <c r="P68" t="s">
        <v>29</v>
      </c>
      <c r="Q68" t="s">
        <v>27</v>
      </c>
      <c r="R68" t="s">
        <v>76</v>
      </c>
      <c r="S68" s="3" t="s">
        <v>136</v>
      </c>
      <c r="T68" t="s">
        <v>139</v>
      </c>
      <c r="U68">
        <v>2</v>
      </c>
      <c r="V68" t="s">
        <v>30</v>
      </c>
      <c r="W68">
        <v>517511.31</v>
      </c>
      <c r="X68">
        <v>4701452.45</v>
      </c>
    </row>
    <row r="69" spans="1:24" x14ac:dyDescent="0.2">
      <c r="A69">
        <v>1</v>
      </c>
      <c r="B69" s="1">
        <v>38702</v>
      </c>
      <c r="D69">
        <v>69</v>
      </c>
      <c r="E69" s="1">
        <v>38702</v>
      </c>
      <c r="F69">
        <v>68</v>
      </c>
      <c r="G69" s="2">
        <v>0.65491898148148142</v>
      </c>
      <c r="H69" t="s">
        <v>138</v>
      </c>
      <c r="I69">
        <v>18</v>
      </c>
      <c r="J69" t="s">
        <v>52</v>
      </c>
      <c r="K69" t="s">
        <v>26</v>
      </c>
      <c r="L69" t="s">
        <v>32</v>
      </c>
      <c r="M69" t="s">
        <v>27</v>
      </c>
      <c r="N69" t="s">
        <v>37</v>
      </c>
      <c r="O69" t="s">
        <v>33</v>
      </c>
      <c r="P69" t="s">
        <v>29</v>
      </c>
      <c r="Q69" t="s">
        <v>27</v>
      </c>
      <c r="R69" t="s">
        <v>76</v>
      </c>
      <c r="S69" s="3" t="s">
        <v>140</v>
      </c>
      <c r="T69" t="s">
        <v>141</v>
      </c>
      <c r="U69">
        <v>3</v>
      </c>
      <c r="V69" t="s">
        <v>30</v>
      </c>
      <c r="W69">
        <v>517511.67999999999</v>
      </c>
      <c r="X69">
        <v>4701428.4000000004</v>
      </c>
    </row>
    <row r="70" spans="1:24" x14ac:dyDescent="0.2">
      <c r="A70">
        <v>1</v>
      </c>
      <c r="B70" s="1">
        <v>38702</v>
      </c>
      <c r="D70">
        <v>70</v>
      </c>
      <c r="E70" s="1">
        <v>38702</v>
      </c>
      <c r="F70">
        <v>69</v>
      </c>
      <c r="G70" s="2">
        <v>0.65659722222222217</v>
      </c>
      <c r="H70" t="s">
        <v>138</v>
      </c>
      <c r="I70">
        <v>20</v>
      </c>
      <c r="J70" t="s">
        <v>52</v>
      </c>
      <c r="K70" t="s">
        <v>26</v>
      </c>
      <c r="L70" t="s">
        <v>32</v>
      </c>
      <c r="M70" t="s">
        <v>27</v>
      </c>
      <c r="N70" t="s">
        <v>37</v>
      </c>
      <c r="O70" t="s">
        <v>33</v>
      </c>
      <c r="P70" t="s">
        <v>29</v>
      </c>
      <c r="Q70" t="s">
        <v>27</v>
      </c>
      <c r="R70" t="s">
        <v>76</v>
      </c>
      <c r="S70" s="3" t="s">
        <v>55</v>
      </c>
      <c r="T70" t="s">
        <v>142</v>
      </c>
      <c r="U70">
        <v>4</v>
      </c>
      <c r="V70" t="s">
        <v>30</v>
      </c>
      <c r="W70">
        <v>517510.94</v>
      </c>
      <c r="X70">
        <v>4701419.5199999996</v>
      </c>
    </row>
    <row r="71" spans="1:24" x14ac:dyDescent="0.2">
      <c r="A71">
        <v>1</v>
      </c>
      <c r="B71" s="1">
        <v>38702</v>
      </c>
      <c r="D71">
        <v>71</v>
      </c>
      <c r="E71" s="1">
        <v>38702</v>
      </c>
      <c r="F71">
        <v>70</v>
      </c>
      <c r="G71" s="2">
        <v>0.65776620370370364</v>
      </c>
      <c r="H71" t="s">
        <v>138</v>
      </c>
      <c r="I71">
        <v>20</v>
      </c>
      <c r="J71" t="s">
        <v>52</v>
      </c>
      <c r="K71" t="s">
        <v>26</v>
      </c>
      <c r="L71" t="s">
        <v>32</v>
      </c>
      <c r="M71" t="s">
        <v>27</v>
      </c>
      <c r="N71" t="s">
        <v>37</v>
      </c>
      <c r="O71" t="s">
        <v>33</v>
      </c>
      <c r="P71" t="s">
        <v>29</v>
      </c>
      <c r="Q71" t="s">
        <v>27</v>
      </c>
      <c r="R71" t="s">
        <v>76</v>
      </c>
      <c r="S71" s="3" t="s">
        <v>55</v>
      </c>
      <c r="T71" t="s">
        <v>143</v>
      </c>
      <c r="U71">
        <v>1</v>
      </c>
      <c r="V71" t="s">
        <v>30</v>
      </c>
      <c r="W71">
        <v>517511.67999999999</v>
      </c>
      <c r="X71">
        <v>4701408.79</v>
      </c>
    </row>
    <row r="72" spans="1:24" x14ac:dyDescent="0.2">
      <c r="A72">
        <v>1</v>
      </c>
      <c r="B72" s="1">
        <v>38702</v>
      </c>
      <c r="D72">
        <v>72</v>
      </c>
      <c r="E72" s="1">
        <v>38702</v>
      </c>
      <c r="F72">
        <v>71</v>
      </c>
      <c r="G72" s="2">
        <v>0.65888888888888886</v>
      </c>
      <c r="H72" t="s">
        <v>138</v>
      </c>
      <c r="I72">
        <v>20</v>
      </c>
      <c r="J72" t="s">
        <v>52</v>
      </c>
      <c r="K72" t="s">
        <v>26</v>
      </c>
      <c r="L72" t="s">
        <v>32</v>
      </c>
      <c r="M72" t="s">
        <v>27</v>
      </c>
      <c r="N72" t="s">
        <v>37</v>
      </c>
      <c r="O72" t="s">
        <v>33</v>
      </c>
      <c r="P72" t="s">
        <v>29</v>
      </c>
      <c r="Q72" t="s">
        <v>27</v>
      </c>
      <c r="R72" t="s">
        <v>76</v>
      </c>
      <c r="S72" s="3" t="s">
        <v>144</v>
      </c>
      <c r="T72" t="s">
        <v>145</v>
      </c>
      <c r="U72">
        <v>6</v>
      </c>
      <c r="V72" t="s">
        <v>30</v>
      </c>
      <c r="W72">
        <v>517510.57</v>
      </c>
      <c r="X72">
        <v>4701392.1399999997</v>
      </c>
    </row>
    <row r="73" spans="1:24" x14ac:dyDescent="0.2">
      <c r="A73">
        <v>1</v>
      </c>
      <c r="B73" s="1">
        <v>38702</v>
      </c>
      <c r="D73">
        <v>73</v>
      </c>
      <c r="E73" s="1">
        <v>38702</v>
      </c>
      <c r="F73">
        <v>72</v>
      </c>
      <c r="G73" s="2">
        <v>0.66001157407407407</v>
      </c>
      <c r="H73" t="s">
        <v>146</v>
      </c>
      <c r="I73">
        <v>3</v>
      </c>
      <c r="J73" t="s">
        <v>52</v>
      </c>
      <c r="K73" t="s">
        <v>26</v>
      </c>
      <c r="L73" t="s">
        <v>32</v>
      </c>
      <c r="M73" t="s">
        <v>27</v>
      </c>
      <c r="N73" t="s">
        <v>37</v>
      </c>
      <c r="O73" t="s">
        <v>33</v>
      </c>
      <c r="P73" t="s">
        <v>31</v>
      </c>
      <c r="Q73" t="s">
        <v>27</v>
      </c>
      <c r="R73" t="s">
        <v>76</v>
      </c>
      <c r="S73" s="3" t="s">
        <v>144</v>
      </c>
      <c r="T73" t="s">
        <v>147</v>
      </c>
      <c r="U73">
        <v>7</v>
      </c>
      <c r="V73" t="s">
        <v>30</v>
      </c>
      <c r="W73">
        <v>517502.06</v>
      </c>
      <c r="X73">
        <v>4701387.33</v>
      </c>
    </row>
    <row r="74" spans="1:24" x14ac:dyDescent="0.2">
      <c r="A74">
        <v>1</v>
      </c>
      <c r="B74" s="1">
        <v>38702</v>
      </c>
      <c r="D74">
        <v>74</v>
      </c>
      <c r="E74" s="1">
        <v>38702</v>
      </c>
      <c r="F74">
        <v>73</v>
      </c>
      <c r="G74" s="2">
        <v>0.66216435185185185</v>
      </c>
      <c r="H74" t="s">
        <v>79</v>
      </c>
      <c r="I74">
        <v>16</v>
      </c>
      <c r="J74" t="s">
        <v>52</v>
      </c>
      <c r="K74" t="s">
        <v>26</v>
      </c>
      <c r="L74" t="s">
        <v>32</v>
      </c>
      <c r="M74" t="s">
        <v>27</v>
      </c>
      <c r="N74" t="s">
        <v>37</v>
      </c>
      <c r="O74" t="s">
        <v>33</v>
      </c>
      <c r="P74" t="s">
        <v>29</v>
      </c>
      <c r="Q74" t="s">
        <v>27</v>
      </c>
      <c r="R74" t="s">
        <v>76</v>
      </c>
      <c r="S74" s="3">
        <v>10</v>
      </c>
      <c r="T74" t="s">
        <v>148</v>
      </c>
      <c r="U74">
        <v>1</v>
      </c>
      <c r="V74" t="s">
        <v>30</v>
      </c>
      <c r="W74">
        <v>517529.81</v>
      </c>
      <c r="X74">
        <v>4701388.07</v>
      </c>
    </row>
    <row r="75" spans="1:24" x14ac:dyDescent="0.2">
      <c r="A75">
        <v>1</v>
      </c>
      <c r="B75" s="1">
        <v>38702</v>
      </c>
      <c r="C75" t="s">
        <v>40</v>
      </c>
      <c r="D75">
        <v>75</v>
      </c>
      <c r="E75" s="1">
        <v>38702</v>
      </c>
      <c r="F75">
        <v>74</v>
      </c>
      <c r="G75" s="2">
        <v>0.66340277777777779</v>
      </c>
      <c r="H75" t="s">
        <v>94</v>
      </c>
      <c r="I75">
        <v>36</v>
      </c>
      <c r="J75" t="s">
        <v>25</v>
      </c>
      <c r="K75" t="s">
        <v>26</v>
      </c>
      <c r="L75" t="s">
        <v>32</v>
      </c>
      <c r="M75" t="s">
        <v>27</v>
      </c>
      <c r="N75" t="s">
        <v>37</v>
      </c>
      <c r="O75" t="s">
        <v>33</v>
      </c>
      <c r="P75" t="s">
        <v>31</v>
      </c>
      <c r="Q75" t="s">
        <v>27</v>
      </c>
      <c r="R75" t="s">
        <v>76</v>
      </c>
      <c r="S75" s="3">
        <v>10</v>
      </c>
      <c r="T75" t="s">
        <v>149</v>
      </c>
      <c r="U75">
        <v>1</v>
      </c>
      <c r="V75" t="s">
        <v>30</v>
      </c>
      <c r="W75">
        <v>517538.69</v>
      </c>
      <c r="X75">
        <v>4701392.51</v>
      </c>
    </row>
    <row r="76" spans="1:24" x14ac:dyDescent="0.2">
      <c r="A76">
        <v>1</v>
      </c>
      <c r="B76" s="1">
        <v>38702</v>
      </c>
      <c r="D76">
        <v>76</v>
      </c>
      <c r="E76" s="1">
        <v>38702</v>
      </c>
      <c r="F76">
        <v>75</v>
      </c>
      <c r="G76" s="2">
        <v>0.66489583333333335</v>
      </c>
      <c r="H76" t="s">
        <v>79</v>
      </c>
      <c r="I76">
        <v>14</v>
      </c>
      <c r="J76" t="s">
        <v>52</v>
      </c>
      <c r="K76" t="s">
        <v>26</v>
      </c>
      <c r="L76" t="s">
        <v>32</v>
      </c>
      <c r="M76" t="s">
        <v>27</v>
      </c>
      <c r="N76" t="s">
        <v>37</v>
      </c>
      <c r="O76" t="s">
        <v>33</v>
      </c>
      <c r="P76" t="s">
        <v>29</v>
      </c>
      <c r="Q76" t="s">
        <v>27</v>
      </c>
      <c r="R76" t="s">
        <v>76</v>
      </c>
      <c r="S76" s="3">
        <v>6</v>
      </c>
      <c r="T76" t="s">
        <v>150</v>
      </c>
      <c r="U76">
        <v>1</v>
      </c>
      <c r="V76" t="s">
        <v>30</v>
      </c>
      <c r="W76">
        <v>517545.71</v>
      </c>
      <c r="X76">
        <v>4701385.8499999996</v>
      </c>
    </row>
    <row r="77" spans="1:24" x14ac:dyDescent="0.2">
      <c r="A77">
        <v>1</v>
      </c>
      <c r="B77" s="1">
        <v>38702</v>
      </c>
      <c r="C77" t="s">
        <v>151</v>
      </c>
      <c r="D77">
        <v>77</v>
      </c>
      <c r="E77" s="1">
        <v>38702</v>
      </c>
      <c r="F77">
        <v>76</v>
      </c>
      <c r="G77" s="2">
        <v>0.66673611111111108</v>
      </c>
      <c r="H77" t="s">
        <v>152</v>
      </c>
      <c r="I77">
        <v>6</v>
      </c>
      <c r="J77" t="s">
        <v>31</v>
      </c>
      <c r="K77" t="s">
        <v>26</v>
      </c>
      <c r="L77" t="s">
        <v>32</v>
      </c>
      <c r="M77" t="s">
        <v>27</v>
      </c>
      <c r="N77" t="s">
        <v>37</v>
      </c>
      <c r="O77" t="s">
        <v>33</v>
      </c>
      <c r="P77" t="s">
        <v>31</v>
      </c>
      <c r="Q77" t="s">
        <v>27</v>
      </c>
      <c r="R77" t="s">
        <v>76</v>
      </c>
      <c r="S77" s="3">
        <v>6</v>
      </c>
      <c r="T77" t="s">
        <v>153</v>
      </c>
      <c r="U77">
        <v>1</v>
      </c>
      <c r="V77" t="s">
        <v>30</v>
      </c>
      <c r="W77">
        <v>517551.26</v>
      </c>
      <c r="X77">
        <v>4701383.26</v>
      </c>
    </row>
    <row r="78" spans="1:24" x14ac:dyDescent="0.2">
      <c r="A78">
        <v>1</v>
      </c>
      <c r="B78" s="1">
        <v>38702</v>
      </c>
      <c r="C78" t="s">
        <v>36</v>
      </c>
      <c r="D78">
        <v>78</v>
      </c>
      <c r="E78" s="1">
        <v>38702</v>
      </c>
      <c r="F78">
        <v>77</v>
      </c>
      <c r="G78" s="2">
        <v>0.67128472222222213</v>
      </c>
      <c r="H78" t="s">
        <v>94</v>
      </c>
      <c r="I78">
        <v>24</v>
      </c>
      <c r="J78" t="s">
        <v>31</v>
      </c>
      <c r="K78" t="s">
        <v>26</v>
      </c>
      <c r="L78" t="s">
        <v>32</v>
      </c>
      <c r="M78" t="s">
        <v>27</v>
      </c>
      <c r="N78" t="s">
        <v>37</v>
      </c>
      <c r="O78" t="s">
        <v>33</v>
      </c>
      <c r="P78" t="s">
        <v>31</v>
      </c>
      <c r="Q78" t="s">
        <v>27</v>
      </c>
      <c r="R78" t="s">
        <v>76</v>
      </c>
      <c r="S78" s="3">
        <v>10</v>
      </c>
      <c r="T78" t="s">
        <v>154</v>
      </c>
      <c r="U78">
        <v>1</v>
      </c>
      <c r="V78" t="s">
        <v>30</v>
      </c>
      <c r="W78">
        <v>517525.92</v>
      </c>
      <c r="X78">
        <v>4701404.8099999996</v>
      </c>
    </row>
    <row r="79" spans="1:24" x14ac:dyDescent="0.2">
      <c r="A79">
        <v>1</v>
      </c>
      <c r="B79" s="1">
        <v>38702</v>
      </c>
      <c r="D79">
        <v>79</v>
      </c>
      <c r="E79" s="1">
        <v>38702</v>
      </c>
      <c r="F79">
        <v>78</v>
      </c>
      <c r="G79" s="2">
        <v>0.67318287037037028</v>
      </c>
      <c r="H79" t="s">
        <v>94</v>
      </c>
      <c r="I79">
        <v>10</v>
      </c>
      <c r="J79" t="s">
        <v>31</v>
      </c>
      <c r="K79" t="s">
        <v>26</v>
      </c>
      <c r="L79" t="s">
        <v>32</v>
      </c>
      <c r="M79" t="s">
        <v>27</v>
      </c>
      <c r="N79" t="s">
        <v>34</v>
      </c>
      <c r="O79" t="s">
        <v>33</v>
      </c>
      <c r="P79" t="s">
        <v>31</v>
      </c>
      <c r="Q79" t="s">
        <v>27</v>
      </c>
      <c r="R79" t="s">
        <v>76</v>
      </c>
      <c r="S79" s="3">
        <v>10</v>
      </c>
      <c r="T79" t="s">
        <v>154</v>
      </c>
      <c r="U79">
        <v>2</v>
      </c>
      <c r="V79" t="s">
        <v>30</v>
      </c>
      <c r="W79">
        <v>517525.55</v>
      </c>
      <c r="X79">
        <v>4701404.07</v>
      </c>
    </row>
    <row r="80" spans="1:24" x14ac:dyDescent="0.2">
      <c r="A80">
        <v>1</v>
      </c>
      <c r="B80" s="1">
        <v>38702</v>
      </c>
      <c r="C80" t="s">
        <v>155</v>
      </c>
      <c r="D80">
        <v>80</v>
      </c>
      <c r="E80" s="1">
        <v>38702</v>
      </c>
      <c r="F80">
        <v>79</v>
      </c>
      <c r="G80" s="2">
        <v>0.67480324074074083</v>
      </c>
      <c r="H80" t="s">
        <v>94</v>
      </c>
      <c r="I80">
        <v>14</v>
      </c>
      <c r="J80" t="s">
        <v>25</v>
      </c>
      <c r="K80" t="s">
        <v>26</v>
      </c>
      <c r="L80" t="s">
        <v>32</v>
      </c>
      <c r="M80" t="s">
        <v>27</v>
      </c>
      <c r="N80" t="s">
        <v>37</v>
      </c>
      <c r="O80" t="s">
        <v>33</v>
      </c>
      <c r="P80" t="s">
        <v>31</v>
      </c>
      <c r="Q80" t="s">
        <v>27</v>
      </c>
      <c r="R80" t="s">
        <v>76</v>
      </c>
      <c r="S80" s="3">
        <v>10</v>
      </c>
      <c r="T80" t="s">
        <v>156</v>
      </c>
      <c r="U80">
        <v>1</v>
      </c>
      <c r="V80" t="s">
        <v>30</v>
      </c>
      <c r="W80">
        <v>517526.48</v>
      </c>
      <c r="X80">
        <v>4701415.3600000003</v>
      </c>
    </row>
    <row r="81" spans="1:24" x14ac:dyDescent="0.2">
      <c r="A81">
        <v>1</v>
      </c>
      <c r="B81" s="1">
        <v>38702</v>
      </c>
      <c r="C81" t="s">
        <v>157</v>
      </c>
      <c r="D81">
        <v>81</v>
      </c>
      <c r="E81" s="1">
        <v>38702</v>
      </c>
      <c r="F81">
        <v>80</v>
      </c>
      <c r="G81" s="2">
        <v>0.67743055555555554</v>
      </c>
      <c r="H81" t="s">
        <v>119</v>
      </c>
      <c r="I81">
        <v>6</v>
      </c>
      <c r="J81" t="s">
        <v>31</v>
      </c>
      <c r="K81" t="s">
        <v>26</v>
      </c>
      <c r="L81" t="s">
        <v>32</v>
      </c>
      <c r="M81" t="s">
        <v>27</v>
      </c>
      <c r="N81" t="s">
        <v>37</v>
      </c>
      <c r="O81" t="s">
        <v>33</v>
      </c>
      <c r="P81" t="s">
        <v>29</v>
      </c>
      <c r="Q81" t="s">
        <v>27</v>
      </c>
      <c r="R81" t="s">
        <v>76</v>
      </c>
      <c r="S81" s="3">
        <v>10</v>
      </c>
      <c r="T81" t="s">
        <v>158</v>
      </c>
      <c r="U81">
        <v>1</v>
      </c>
      <c r="V81" t="s">
        <v>30</v>
      </c>
      <c r="W81">
        <v>517528.33</v>
      </c>
      <c r="X81">
        <v>4701422.2</v>
      </c>
    </row>
    <row r="82" spans="1:24" x14ac:dyDescent="0.2">
      <c r="A82">
        <v>1</v>
      </c>
      <c r="B82" s="1">
        <v>38703</v>
      </c>
      <c r="C82" t="s">
        <v>159</v>
      </c>
      <c r="D82">
        <v>82</v>
      </c>
      <c r="E82" s="1">
        <v>38703</v>
      </c>
      <c r="F82">
        <v>81</v>
      </c>
      <c r="G82" s="2">
        <v>0.32975694444444442</v>
      </c>
      <c r="H82" t="s">
        <v>88</v>
      </c>
      <c r="I82">
        <v>1</v>
      </c>
      <c r="J82" t="s">
        <v>52</v>
      </c>
      <c r="K82" t="s">
        <v>87</v>
      </c>
      <c r="L82" t="s">
        <v>32</v>
      </c>
      <c r="M82" t="s">
        <v>27</v>
      </c>
      <c r="N82" t="s">
        <v>37</v>
      </c>
      <c r="O82" t="s">
        <v>33</v>
      </c>
      <c r="P82" t="s">
        <v>31</v>
      </c>
      <c r="Q82" t="s">
        <v>27</v>
      </c>
      <c r="R82" t="s">
        <v>76</v>
      </c>
      <c r="S82" s="3" t="s">
        <v>160</v>
      </c>
      <c r="T82" t="s">
        <v>78</v>
      </c>
      <c r="U82">
        <v>1</v>
      </c>
      <c r="V82" t="s">
        <v>30</v>
      </c>
      <c r="W82">
        <v>517549.29</v>
      </c>
      <c r="X82">
        <v>4701244.18</v>
      </c>
    </row>
    <row r="83" spans="1:24" x14ac:dyDescent="0.2">
      <c r="A83">
        <v>1</v>
      </c>
      <c r="B83" s="1">
        <v>38703</v>
      </c>
      <c r="C83" t="s">
        <v>161</v>
      </c>
      <c r="D83">
        <v>83</v>
      </c>
      <c r="E83" s="1">
        <v>38703</v>
      </c>
      <c r="F83">
        <v>82</v>
      </c>
      <c r="G83" s="2">
        <v>0.33296296296296296</v>
      </c>
      <c r="H83" t="s">
        <v>88</v>
      </c>
      <c r="I83">
        <v>1</v>
      </c>
      <c r="J83" t="s">
        <v>52</v>
      </c>
      <c r="K83" t="s">
        <v>87</v>
      </c>
      <c r="L83" t="s">
        <v>32</v>
      </c>
      <c r="M83" t="s">
        <v>27</v>
      </c>
      <c r="N83" t="s">
        <v>37</v>
      </c>
      <c r="O83" t="s">
        <v>33</v>
      </c>
      <c r="P83" t="s">
        <v>31</v>
      </c>
      <c r="Q83" t="s">
        <v>27</v>
      </c>
      <c r="R83" t="s">
        <v>76</v>
      </c>
      <c r="S83" s="3" t="s">
        <v>160</v>
      </c>
      <c r="T83" t="s">
        <v>78</v>
      </c>
      <c r="U83">
        <v>2</v>
      </c>
      <c r="V83" t="s">
        <v>30</v>
      </c>
      <c r="W83">
        <v>517556.51</v>
      </c>
      <c r="X83">
        <v>4701233.22</v>
      </c>
    </row>
    <row r="84" spans="1:24" x14ac:dyDescent="0.2">
      <c r="A84">
        <v>1</v>
      </c>
      <c r="B84" s="1">
        <v>38703</v>
      </c>
      <c r="D84">
        <v>84</v>
      </c>
      <c r="E84" s="1">
        <v>38703</v>
      </c>
      <c r="F84">
        <v>83</v>
      </c>
      <c r="G84" s="2">
        <v>0.33486111111111111</v>
      </c>
      <c r="H84" t="s">
        <v>88</v>
      </c>
      <c r="I84">
        <v>1</v>
      </c>
      <c r="J84" t="s">
        <v>52</v>
      </c>
      <c r="K84" t="s">
        <v>87</v>
      </c>
      <c r="L84" t="s">
        <v>32</v>
      </c>
      <c r="M84" t="s">
        <v>27</v>
      </c>
      <c r="N84" t="s">
        <v>37</v>
      </c>
      <c r="O84" t="s">
        <v>33</v>
      </c>
      <c r="P84" t="s">
        <v>31</v>
      </c>
      <c r="Q84" t="s">
        <v>27</v>
      </c>
      <c r="R84" t="s">
        <v>76</v>
      </c>
      <c r="S84" s="3" t="s">
        <v>160</v>
      </c>
      <c r="T84" t="s">
        <v>78</v>
      </c>
      <c r="U84">
        <v>3</v>
      </c>
      <c r="V84" t="s">
        <v>30</v>
      </c>
      <c r="W84">
        <v>517571.28</v>
      </c>
      <c r="X84">
        <v>4701215.72</v>
      </c>
    </row>
    <row r="85" spans="1:24" x14ac:dyDescent="0.2">
      <c r="A85">
        <v>1</v>
      </c>
      <c r="B85" s="1">
        <v>38703</v>
      </c>
      <c r="C85" t="s">
        <v>161</v>
      </c>
      <c r="D85">
        <v>85</v>
      </c>
      <c r="E85" s="1">
        <v>38703</v>
      </c>
      <c r="F85">
        <v>84</v>
      </c>
      <c r="G85" s="2">
        <v>0.33513888888888888</v>
      </c>
      <c r="H85" t="s">
        <v>88</v>
      </c>
      <c r="I85">
        <v>1</v>
      </c>
      <c r="J85" t="s">
        <v>52</v>
      </c>
      <c r="K85" t="s">
        <v>87</v>
      </c>
      <c r="L85" t="s">
        <v>32</v>
      </c>
      <c r="M85" t="s">
        <v>27</v>
      </c>
      <c r="N85" t="s">
        <v>37</v>
      </c>
      <c r="O85" t="s">
        <v>33</v>
      </c>
      <c r="P85" t="s">
        <v>31</v>
      </c>
      <c r="Q85" t="s">
        <v>27</v>
      </c>
      <c r="R85" t="s">
        <v>76</v>
      </c>
      <c r="S85" s="3" t="s">
        <v>160</v>
      </c>
      <c r="T85" t="s">
        <v>78</v>
      </c>
      <c r="U85">
        <v>4</v>
      </c>
      <c r="V85" t="s">
        <v>30</v>
      </c>
      <c r="W85">
        <v>517530.17</v>
      </c>
      <c r="X85">
        <v>4701316.38</v>
      </c>
    </row>
    <row r="86" spans="1:24" x14ac:dyDescent="0.2">
      <c r="A86">
        <v>1</v>
      </c>
      <c r="B86" s="1">
        <v>38703</v>
      </c>
      <c r="C86" t="s">
        <v>161</v>
      </c>
      <c r="D86">
        <v>86</v>
      </c>
      <c r="E86" s="1">
        <v>38703</v>
      </c>
      <c r="F86">
        <v>85</v>
      </c>
      <c r="G86" s="2">
        <v>0.33636574074074077</v>
      </c>
      <c r="H86" t="s">
        <v>88</v>
      </c>
      <c r="I86">
        <v>1</v>
      </c>
      <c r="J86" t="s">
        <v>52</v>
      </c>
      <c r="K86" t="s">
        <v>87</v>
      </c>
      <c r="L86" t="s">
        <v>32</v>
      </c>
      <c r="M86" t="s">
        <v>27</v>
      </c>
      <c r="N86" t="s">
        <v>37</v>
      </c>
      <c r="O86" t="s">
        <v>33</v>
      </c>
      <c r="P86" t="s">
        <v>31</v>
      </c>
      <c r="Q86" t="s">
        <v>27</v>
      </c>
      <c r="R86" t="s">
        <v>76</v>
      </c>
      <c r="S86" s="3" t="s">
        <v>160</v>
      </c>
      <c r="T86" t="s">
        <v>78</v>
      </c>
      <c r="U86">
        <v>5</v>
      </c>
      <c r="V86" t="s">
        <v>30</v>
      </c>
      <c r="W86">
        <v>517564.3</v>
      </c>
      <c r="X86">
        <v>4701222.95</v>
      </c>
    </row>
    <row r="87" spans="1:24" x14ac:dyDescent="0.2">
      <c r="A87">
        <v>1</v>
      </c>
      <c r="B87" s="1">
        <v>38703</v>
      </c>
      <c r="C87" t="s">
        <v>162</v>
      </c>
      <c r="D87">
        <v>87</v>
      </c>
      <c r="E87" s="1">
        <v>38703</v>
      </c>
      <c r="F87">
        <v>86</v>
      </c>
      <c r="G87" s="2">
        <v>0.33751157407407412</v>
      </c>
      <c r="H87" t="s">
        <v>88</v>
      </c>
      <c r="I87">
        <v>1</v>
      </c>
      <c r="J87" t="s">
        <v>52</v>
      </c>
      <c r="K87" t="s">
        <v>87</v>
      </c>
      <c r="L87" t="s">
        <v>32</v>
      </c>
      <c r="M87" t="s">
        <v>27</v>
      </c>
      <c r="N87" t="s">
        <v>37</v>
      </c>
      <c r="O87" t="s">
        <v>33</v>
      </c>
      <c r="P87" t="s">
        <v>31</v>
      </c>
      <c r="Q87" t="s">
        <v>27</v>
      </c>
      <c r="R87" t="s">
        <v>76</v>
      </c>
      <c r="S87" s="3" t="s">
        <v>160</v>
      </c>
      <c r="T87" t="s">
        <v>78</v>
      </c>
      <c r="U87">
        <v>6</v>
      </c>
      <c r="V87" t="s">
        <v>30</v>
      </c>
      <c r="W87">
        <v>517580.58</v>
      </c>
      <c r="X87">
        <v>4701209.5599999996</v>
      </c>
    </row>
    <row r="88" spans="1:24" x14ac:dyDescent="0.2">
      <c r="A88">
        <v>1</v>
      </c>
      <c r="B88" s="1">
        <v>38703</v>
      </c>
      <c r="C88" t="s">
        <v>162</v>
      </c>
      <c r="D88">
        <v>88</v>
      </c>
      <c r="E88" s="1">
        <v>38703</v>
      </c>
      <c r="F88">
        <v>87</v>
      </c>
      <c r="G88" s="2">
        <v>0.33906249999999999</v>
      </c>
      <c r="H88" t="s">
        <v>88</v>
      </c>
      <c r="I88">
        <v>1</v>
      </c>
      <c r="J88" t="s">
        <v>52</v>
      </c>
      <c r="K88" t="s">
        <v>87</v>
      </c>
      <c r="L88" t="s">
        <v>32</v>
      </c>
      <c r="M88" t="s">
        <v>27</v>
      </c>
      <c r="N88" t="s">
        <v>37</v>
      </c>
      <c r="O88" t="s">
        <v>33</v>
      </c>
      <c r="P88" t="s">
        <v>31</v>
      </c>
      <c r="Q88" t="s">
        <v>27</v>
      </c>
      <c r="R88" t="s">
        <v>76</v>
      </c>
      <c r="S88" s="3" t="s">
        <v>160</v>
      </c>
      <c r="T88" t="s">
        <v>78</v>
      </c>
      <c r="U88">
        <v>7</v>
      </c>
      <c r="V88" t="s">
        <v>30</v>
      </c>
      <c r="W88">
        <v>517590.54</v>
      </c>
      <c r="X88">
        <v>4701206.07</v>
      </c>
    </row>
    <row r="89" spans="1:24" x14ac:dyDescent="0.2">
      <c r="A89">
        <v>1</v>
      </c>
      <c r="B89" s="1">
        <v>38703</v>
      </c>
      <c r="C89" t="s">
        <v>162</v>
      </c>
      <c r="D89">
        <v>89</v>
      </c>
      <c r="E89" s="1">
        <v>38703</v>
      </c>
      <c r="F89">
        <v>88</v>
      </c>
      <c r="G89" s="2">
        <v>0.33958333333333335</v>
      </c>
      <c r="H89" t="s">
        <v>88</v>
      </c>
      <c r="I89">
        <v>1</v>
      </c>
      <c r="J89" t="s">
        <v>52</v>
      </c>
      <c r="K89" t="s">
        <v>87</v>
      </c>
      <c r="L89" t="s">
        <v>32</v>
      </c>
      <c r="M89" t="s">
        <v>27</v>
      </c>
      <c r="N89" t="s">
        <v>37</v>
      </c>
      <c r="O89" t="s">
        <v>33</v>
      </c>
      <c r="P89" t="s">
        <v>31</v>
      </c>
      <c r="Q89" t="s">
        <v>27</v>
      </c>
      <c r="R89" t="s">
        <v>76</v>
      </c>
      <c r="S89" s="3" t="s">
        <v>160</v>
      </c>
      <c r="T89" t="s">
        <v>78</v>
      </c>
      <c r="U89">
        <v>8</v>
      </c>
      <c r="V89" t="s">
        <v>30</v>
      </c>
      <c r="W89">
        <v>517601.01</v>
      </c>
      <c r="X89">
        <v>4701206.07</v>
      </c>
    </row>
    <row r="90" spans="1:24" x14ac:dyDescent="0.2">
      <c r="A90">
        <v>1</v>
      </c>
      <c r="B90" s="1">
        <v>38703</v>
      </c>
      <c r="C90" t="s">
        <v>162</v>
      </c>
      <c r="D90">
        <v>90</v>
      </c>
      <c r="E90" s="1">
        <v>38703</v>
      </c>
      <c r="F90">
        <v>89</v>
      </c>
      <c r="G90" s="2">
        <v>0.34006944444444448</v>
      </c>
      <c r="H90" t="s">
        <v>88</v>
      </c>
      <c r="I90">
        <v>1</v>
      </c>
      <c r="J90" t="s">
        <v>52</v>
      </c>
      <c r="K90" t="s">
        <v>87</v>
      </c>
      <c r="L90" t="s">
        <v>32</v>
      </c>
      <c r="M90" t="s">
        <v>27</v>
      </c>
      <c r="N90" t="s">
        <v>37</v>
      </c>
      <c r="O90" t="s">
        <v>33</v>
      </c>
      <c r="P90" t="s">
        <v>31</v>
      </c>
      <c r="Q90" t="s">
        <v>27</v>
      </c>
      <c r="R90" t="s">
        <v>76</v>
      </c>
      <c r="S90" s="3" t="s">
        <v>160</v>
      </c>
      <c r="T90" t="s">
        <v>78</v>
      </c>
      <c r="U90">
        <v>9</v>
      </c>
      <c r="V90" t="s">
        <v>30</v>
      </c>
      <c r="W90">
        <v>517610.98</v>
      </c>
      <c r="X90">
        <v>4701209.5599999996</v>
      </c>
    </row>
    <row r="91" spans="1:24" x14ac:dyDescent="0.2">
      <c r="A91">
        <v>1</v>
      </c>
      <c r="B91" s="1">
        <v>38703</v>
      </c>
      <c r="C91" t="s">
        <v>162</v>
      </c>
      <c r="D91">
        <v>91</v>
      </c>
      <c r="E91" s="1">
        <v>38703</v>
      </c>
      <c r="F91">
        <v>90</v>
      </c>
      <c r="G91" s="2">
        <v>0.34089120370370374</v>
      </c>
      <c r="H91" t="s">
        <v>88</v>
      </c>
      <c r="I91">
        <v>1</v>
      </c>
      <c r="J91" t="s">
        <v>52</v>
      </c>
      <c r="K91" t="s">
        <v>87</v>
      </c>
      <c r="L91" t="s">
        <v>32</v>
      </c>
      <c r="M91" t="s">
        <v>27</v>
      </c>
      <c r="N91" t="s">
        <v>37</v>
      </c>
      <c r="O91" t="s">
        <v>33</v>
      </c>
      <c r="P91" t="s">
        <v>31</v>
      </c>
      <c r="Q91" t="s">
        <v>27</v>
      </c>
      <c r="R91" t="s">
        <v>76</v>
      </c>
      <c r="S91" s="3" t="s">
        <v>160</v>
      </c>
      <c r="T91" t="s">
        <v>78</v>
      </c>
      <c r="U91">
        <v>10</v>
      </c>
      <c r="V91" t="s">
        <v>30</v>
      </c>
      <c r="W91">
        <v>517619.20000000001</v>
      </c>
      <c r="X91">
        <v>4701214.54</v>
      </c>
    </row>
    <row r="92" spans="1:24" x14ac:dyDescent="0.2">
      <c r="A92">
        <v>1</v>
      </c>
      <c r="B92" s="1">
        <v>38703</v>
      </c>
      <c r="C92" t="s">
        <v>162</v>
      </c>
      <c r="D92">
        <v>92</v>
      </c>
      <c r="E92" s="1">
        <v>38703</v>
      </c>
      <c r="F92">
        <v>91</v>
      </c>
      <c r="G92" s="2">
        <v>0.34278935185185189</v>
      </c>
      <c r="H92" t="s">
        <v>88</v>
      </c>
      <c r="I92">
        <v>1</v>
      </c>
      <c r="J92" t="s">
        <v>52</v>
      </c>
      <c r="K92" t="s">
        <v>87</v>
      </c>
      <c r="L92" t="s">
        <v>32</v>
      </c>
      <c r="M92" t="s">
        <v>27</v>
      </c>
      <c r="N92" t="s">
        <v>37</v>
      </c>
      <c r="O92" t="s">
        <v>33</v>
      </c>
      <c r="P92" t="s">
        <v>31</v>
      </c>
      <c r="Q92" t="s">
        <v>27</v>
      </c>
      <c r="R92" t="s">
        <v>76</v>
      </c>
      <c r="S92" s="3" t="s">
        <v>163</v>
      </c>
      <c r="T92" t="s">
        <v>78</v>
      </c>
      <c r="U92">
        <v>11</v>
      </c>
      <c r="V92" t="s">
        <v>30</v>
      </c>
      <c r="W92">
        <v>517677.99</v>
      </c>
      <c r="X92">
        <v>4701313.63</v>
      </c>
    </row>
    <row r="93" spans="1:24" x14ac:dyDescent="0.2">
      <c r="A93">
        <v>1</v>
      </c>
      <c r="B93" s="1">
        <v>38703</v>
      </c>
      <c r="C93" t="s">
        <v>162</v>
      </c>
      <c r="D93">
        <v>93</v>
      </c>
      <c r="E93" s="1">
        <v>38703</v>
      </c>
      <c r="F93">
        <v>92</v>
      </c>
      <c r="G93" s="2">
        <v>0.34454861111111112</v>
      </c>
      <c r="H93" t="s">
        <v>88</v>
      </c>
      <c r="I93">
        <v>1</v>
      </c>
      <c r="J93" t="s">
        <v>52</v>
      </c>
      <c r="K93" t="s">
        <v>87</v>
      </c>
      <c r="L93" t="s">
        <v>32</v>
      </c>
      <c r="M93" t="s">
        <v>27</v>
      </c>
      <c r="N93" t="s">
        <v>37</v>
      </c>
      <c r="O93" t="s">
        <v>33</v>
      </c>
      <c r="P93" t="s">
        <v>31</v>
      </c>
      <c r="Q93" t="s">
        <v>27</v>
      </c>
      <c r="R93" t="s">
        <v>76</v>
      </c>
      <c r="S93" s="3" t="s">
        <v>163</v>
      </c>
      <c r="T93" t="s">
        <v>78</v>
      </c>
      <c r="U93">
        <v>12</v>
      </c>
      <c r="V93" t="s">
        <v>30</v>
      </c>
      <c r="W93">
        <v>517676.74</v>
      </c>
      <c r="X93">
        <v>4701302.92</v>
      </c>
    </row>
    <row r="94" spans="1:24" x14ac:dyDescent="0.2">
      <c r="A94">
        <v>1</v>
      </c>
      <c r="B94" s="1">
        <v>38703</v>
      </c>
      <c r="C94" t="s">
        <v>162</v>
      </c>
      <c r="D94">
        <v>94</v>
      </c>
      <c r="E94" s="1">
        <v>38703</v>
      </c>
      <c r="F94">
        <v>93</v>
      </c>
      <c r="G94" s="2">
        <v>0.3450462962962963</v>
      </c>
      <c r="H94" t="s">
        <v>88</v>
      </c>
      <c r="I94">
        <v>1</v>
      </c>
      <c r="J94" t="s">
        <v>52</v>
      </c>
      <c r="K94" t="s">
        <v>87</v>
      </c>
      <c r="L94" t="s">
        <v>32</v>
      </c>
      <c r="M94" t="s">
        <v>27</v>
      </c>
      <c r="N94" t="s">
        <v>37</v>
      </c>
      <c r="O94" t="s">
        <v>33</v>
      </c>
      <c r="P94" t="s">
        <v>31</v>
      </c>
      <c r="Q94" t="s">
        <v>27</v>
      </c>
      <c r="R94" t="s">
        <v>76</v>
      </c>
      <c r="S94" s="3" t="s">
        <v>163</v>
      </c>
      <c r="T94" t="s">
        <v>78</v>
      </c>
      <c r="U94">
        <v>13</v>
      </c>
      <c r="V94" t="s">
        <v>30</v>
      </c>
      <c r="W94">
        <v>517672.76</v>
      </c>
      <c r="X94">
        <v>4701288.47</v>
      </c>
    </row>
    <row r="95" spans="1:24" x14ac:dyDescent="0.2">
      <c r="A95">
        <v>1</v>
      </c>
      <c r="B95" s="1">
        <v>38703</v>
      </c>
      <c r="C95" t="s">
        <v>162</v>
      </c>
      <c r="D95">
        <v>95</v>
      </c>
      <c r="E95" s="1">
        <v>38703</v>
      </c>
      <c r="F95">
        <v>94</v>
      </c>
      <c r="G95" s="2">
        <v>0.34553240740740737</v>
      </c>
      <c r="H95" t="s">
        <v>88</v>
      </c>
      <c r="I95">
        <v>1</v>
      </c>
      <c r="J95" t="s">
        <v>52</v>
      </c>
      <c r="K95" t="s">
        <v>87</v>
      </c>
      <c r="L95" t="s">
        <v>32</v>
      </c>
      <c r="M95" t="s">
        <v>27</v>
      </c>
      <c r="N95" t="s">
        <v>37</v>
      </c>
      <c r="O95" t="s">
        <v>33</v>
      </c>
      <c r="P95" t="s">
        <v>31</v>
      </c>
      <c r="Q95" t="s">
        <v>27</v>
      </c>
      <c r="R95" t="s">
        <v>76</v>
      </c>
      <c r="S95" s="3" t="s">
        <v>163</v>
      </c>
      <c r="T95" t="s">
        <v>78</v>
      </c>
      <c r="U95">
        <v>14</v>
      </c>
      <c r="V95" t="s">
        <v>30</v>
      </c>
      <c r="W95">
        <v>517669.52</v>
      </c>
      <c r="X95">
        <v>4701276.76</v>
      </c>
    </row>
    <row r="96" spans="1:24" x14ac:dyDescent="0.2">
      <c r="A96">
        <v>1</v>
      </c>
      <c r="B96" s="1">
        <v>38703</v>
      </c>
      <c r="C96" t="s">
        <v>162</v>
      </c>
      <c r="D96">
        <v>96</v>
      </c>
      <c r="E96" s="1">
        <v>38703</v>
      </c>
      <c r="F96">
        <v>95</v>
      </c>
      <c r="G96" s="2">
        <v>0.34598379629629633</v>
      </c>
      <c r="H96" t="s">
        <v>88</v>
      </c>
      <c r="I96">
        <v>1</v>
      </c>
      <c r="J96" t="s">
        <v>52</v>
      </c>
      <c r="K96" t="s">
        <v>87</v>
      </c>
      <c r="L96" t="s">
        <v>32</v>
      </c>
      <c r="M96" t="s">
        <v>27</v>
      </c>
      <c r="N96" t="s">
        <v>37</v>
      </c>
      <c r="O96" t="s">
        <v>33</v>
      </c>
      <c r="P96" t="s">
        <v>31</v>
      </c>
      <c r="Q96" t="s">
        <v>27</v>
      </c>
      <c r="R96" t="s">
        <v>76</v>
      </c>
      <c r="S96" s="3" t="s">
        <v>163</v>
      </c>
      <c r="T96" t="s">
        <v>78</v>
      </c>
      <c r="U96">
        <v>15</v>
      </c>
      <c r="V96" t="s">
        <v>30</v>
      </c>
      <c r="W96">
        <v>517664.29</v>
      </c>
      <c r="X96">
        <v>4701264.3</v>
      </c>
    </row>
    <row r="97" spans="1:24" x14ac:dyDescent="0.2">
      <c r="A97">
        <v>1</v>
      </c>
      <c r="B97" s="1">
        <v>38703</v>
      </c>
      <c r="C97" t="s">
        <v>162</v>
      </c>
      <c r="D97">
        <v>97</v>
      </c>
      <c r="E97" s="1">
        <v>38703</v>
      </c>
      <c r="F97">
        <v>96</v>
      </c>
      <c r="G97" s="2">
        <v>0.34648148148148145</v>
      </c>
      <c r="H97" t="s">
        <v>88</v>
      </c>
      <c r="I97">
        <v>1</v>
      </c>
      <c r="J97" t="s">
        <v>52</v>
      </c>
      <c r="K97" t="s">
        <v>87</v>
      </c>
      <c r="L97" t="s">
        <v>32</v>
      </c>
      <c r="M97" t="s">
        <v>27</v>
      </c>
      <c r="N97" t="s">
        <v>37</v>
      </c>
      <c r="O97" t="s">
        <v>33</v>
      </c>
      <c r="P97" t="s">
        <v>31</v>
      </c>
      <c r="Q97" t="s">
        <v>27</v>
      </c>
      <c r="R97" t="s">
        <v>76</v>
      </c>
      <c r="S97" s="3" t="s">
        <v>163</v>
      </c>
      <c r="T97" t="s">
        <v>78</v>
      </c>
      <c r="U97">
        <v>16</v>
      </c>
      <c r="V97" t="s">
        <v>30</v>
      </c>
      <c r="W97">
        <v>517659.8</v>
      </c>
      <c r="X97">
        <v>4701252.34</v>
      </c>
    </row>
    <row r="98" spans="1:24" x14ac:dyDescent="0.2">
      <c r="A98">
        <v>1</v>
      </c>
      <c r="B98" s="1">
        <v>38703</v>
      </c>
      <c r="C98" t="s">
        <v>162</v>
      </c>
      <c r="D98">
        <v>98</v>
      </c>
      <c r="E98" s="1">
        <v>38703</v>
      </c>
      <c r="F98">
        <v>97</v>
      </c>
      <c r="G98" s="2">
        <v>0.34719907407407408</v>
      </c>
      <c r="H98" t="s">
        <v>88</v>
      </c>
      <c r="I98">
        <v>1</v>
      </c>
      <c r="J98" t="s">
        <v>52</v>
      </c>
      <c r="K98" t="s">
        <v>87</v>
      </c>
      <c r="L98" t="s">
        <v>32</v>
      </c>
      <c r="M98" t="s">
        <v>27</v>
      </c>
      <c r="N98" t="s">
        <v>37</v>
      </c>
      <c r="O98" t="s">
        <v>33</v>
      </c>
      <c r="P98" t="s">
        <v>31</v>
      </c>
      <c r="Q98" t="s">
        <v>27</v>
      </c>
      <c r="R98" t="s">
        <v>76</v>
      </c>
      <c r="S98" s="3" t="s">
        <v>163</v>
      </c>
      <c r="T98" t="s">
        <v>78</v>
      </c>
      <c r="U98">
        <v>17</v>
      </c>
      <c r="V98" t="s">
        <v>30</v>
      </c>
      <c r="W98">
        <v>517642.15</v>
      </c>
      <c r="X98">
        <v>4701160.88</v>
      </c>
    </row>
    <row r="99" spans="1:24" x14ac:dyDescent="0.2">
      <c r="A99">
        <v>1</v>
      </c>
      <c r="B99" s="1">
        <v>38703</v>
      </c>
      <c r="C99" t="s">
        <v>162</v>
      </c>
      <c r="D99">
        <v>99</v>
      </c>
      <c r="E99" s="1">
        <v>38703</v>
      </c>
      <c r="F99">
        <v>98</v>
      </c>
      <c r="G99" s="2">
        <v>0.34821759259259261</v>
      </c>
      <c r="H99" t="s">
        <v>88</v>
      </c>
      <c r="I99">
        <v>1</v>
      </c>
      <c r="J99" t="s">
        <v>52</v>
      </c>
      <c r="K99" t="s">
        <v>87</v>
      </c>
      <c r="L99" t="s">
        <v>32</v>
      </c>
      <c r="M99" t="s">
        <v>27</v>
      </c>
      <c r="N99" t="s">
        <v>37</v>
      </c>
      <c r="O99" t="s">
        <v>33</v>
      </c>
      <c r="P99" t="s">
        <v>31</v>
      </c>
      <c r="Q99" t="s">
        <v>27</v>
      </c>
      <c r="R99" t="s">
        <v>76</v>
      </c>
      <c r="S99" s="3" t="s">
        <v>163</v>
      </c>
      <c r="T99" t="s">
        <v>78</v>
      </c>
      <c r="U99">
        <v>18</v>
      </c>
      <c r="V99" t="s">
        <v>30</v>
      </c>
      <c r="W99">
        <v>517647.88</v>
      </c>
      <c r="X99">
        <v>4701147.17</v>
      </c>
    </row>
    <row r="100" spans="1:24" x14ac:dyDescent="0.2">
      <c r="A100">
        <v>1</v>
      </c>
      <c r="B100" s="1">
        <v>38703</v>
      </c>
      <c r="C100" t="s">
        <v>162</v>
      </c>
      <c r="D100">
        <v>100</v>
      </c>
      <c r="E100" s="1">
        <v>38703</v>
      </c>
      <c r="F100">
        <v>99</v>
      </c>
      <c r="G100" s="2">
        <v>0.34915509259259259</v>
      </c>
      <c r="H100" t="s">
        <v>88</v>
      </c>
      <c r="I100">
        <v>1</v>
      </c>
      <c r="J100" t="s">
        <v>52</v>
      </c>
      <c r="K100" t="s">
        <v>87</v>
      </c>
      <c r="L100" t="s">
        <v>32</v>
      </c>
      <c r="M100" t="s">
        <v>27</v>
      </c>
      <c r="N100" t="s">
        <v>37</v>
      </c>
      <c r="O100" t="s">
        <v>33</v>
      </c>
      <c r="P100" t="s">
        <v>31</v>
      </c>
      <c r="Q100" t="s">
        <v>27</v>
      </c>
      <c r="R100" t="s">
        <v>76</v>
      </c>
      <c r="S100" s="3" t="s">
        <v>163</v>
      </c>
      <c r="T100" t="s">
        <v>78</v>
      </c>
      <c r="U100">
        <v>19</v>
      </c>
      <c r="V100" t="s">
        <v>30</v>
      </c>
      <c r="W100">
        <v>517675.53</v>
      </c>
      <c r="X100">
        <v>4701097.0999999996</v>
      </c>
    </row>
    <row r="101" spans="1:24" x14ac:dyDescent="0.2">
      <c r="A101">
        <v>1</v>
      </c>
      <c r="B101" s="1">
        <v>38703</v>
      </c>
      <c r="C101" t="s">
        <v>162</v>
      </c>
      <c r="D101">
        <v>101</v>
      </c>
      <c r="E101" s="1">
        <v>38703</v>
      </c>
      <c r="F101">
        <v>100</v>
      </c>
      <c r="G101" s="2">
        <v>0.34964120370370372</v>
      </c>
      <c r="H101" t="s">
        <v>88</v>
      </c>
      <c r="I101">
        <v>1</v>
      </c>
      <c r="J101" t="s">
        <v>52</v>
      </c>
      <c r="K101" t="s">
        <v>87</v>
      </c>
      <c r="L101" t="s">
        <v>32</v>
      </c>
      <c r="M101" t="s">
        <v>27</v>
      </c>
      <c r="N101" t="s">
        <v>37</v>
      </c>
      <c r="O101" t="s">
        <v>33</v>
      </c>
      <c r="P101" t="s">
        <v>31</v>
      </c>
      <c r="Q101" t="s">
        <v>27</v>
      </c>
      <c r="R101" t="s">
        <v>76</v>
      </c>
      <c r="S101" s="3" t="s">
        <v>163</v>
      </c>
      <c r="T101" t="s">
        <v>78</v>
      </c>
      <c r="U101">
        <v>20</v>
      </c>
      <c r="V101" t="s">
        <v>30</v>
      </c>
      <c r="W101">
        <v>517682</v>
      </c>
      <c r="X101">
        <v>4701082.2</v>
      </c>
    </row>
    <row r="102" spans="1:24" x14ac:dyDescent="0.2">
      <c r="A102">
        <v>1</v>
      </c>
      <c r="B102" s="1">
        <v>38703</v>
      </c>
      <c r="C102" t="s">
        <v>162</v>
      </c>
      <c r="D102">
        <v>102</v>
      </c>
      <c r="E102" s="1">
        <v>38703</v>
      </c>
      <c r="F102">
        <v>101</v>
      </c>
      <c r="G102" s="2">
        <v>0.35002314814814817</v>
      </c>
      <c r="H102" t="s">
        <v>88</v>
      </c>
      <c r="I102">
        <v>1</v>
      </c>
      <c r="J102" t="s">
        <v>52</v>
      </c>
      <c r="K102" t="s">
        <v>87</v>
      </c>
      <c r="L102" t="s">
        <v>32</v>
      </c>
      <c r="M102" t="s">
        <v>27</v>
      </c>
      <c r="N102" t="s">
        <v>37</v>
      </c>
      <c r="O102" t="s">
        <v>33</v>
      </c>
      <c r="P102" t="s">
        <v>31</v>
      </c>
      <c r="Q102" t="s">
        <v>27</v>
      </c>
      <c r="R102" t="s">
        <v>76</v>
      </c>
      <c r="S102" s="3" t="s">
        <v>163</v>
      </c>
      <c r="T102" t="s">
        <v>78</v>
      </c>
      <c r="U102">
        <v>21</v>
      </c>
      <c r="V102" t="s">
        <v>30</v>
      </c>
      <c r="W102">
        <v>517685.74</v>
      </c>
      <c r="X102">
        <v>4701065.26</v>
      </c>
    </row>
    <row r="103" spans="1:24" x14ac:dyDescent="0.2">
      <c r="A103">
        <v>1</v>
      </c>
      <c r="B103" s="1">
        <v>38703</v>
      </c>
      <c r="C103" t="s">
        <v>162</v>
      </c>
      <c r="D103">
        <v>103</v>
      </c>
      <c r="E103" s="1">
        <v>38703</v>
      </c>
      <c r="F103">
        <v>102</v>
      </c>
      <c r="G103" s="2">
        <v>0.35113425925925923</v>
      </c>
      <c r="H103" t="s">
        <v>88</v>
      </c>
      <c r="I103">
        <v>1</v>
      </c>
      <c r="J103" t="s">
        <v>52</v>
      </c>
      <c r="K103" t="s">
        <v>87</v>
      </c>
      <c r="L103" t="s">
        <v>32</v>
      </c>
      <c r="M103" t="s">
        <v>27</v>
      </c>
      <c r="N103" t="s">
        <v>37</v>
      </c>
      <c r="O103" t="s">
        <v>33</v>
      </c>
      <c r="P103" t="s">
        <v>31</v>
      </c>
      <c r="Q103" t="s">
        <v>27</v>
      </c>
      <c r="R103" t="s">
        <v>76</v>
      </c>
      <c r="S103" s="3" t="s">
        <v>163</v>
      </c>
      <c r="T103" t="s">
        <v>78</v>
      </c>
      <c r="U103">
        <v>22</v>
      </c>
      <c r="V103" t="s">
        <v>30</v>
      </c>
      <c r="W103">
        <v>517674.28</v>
      </c>
      <c r="X103">
        <v>4701065.26</v>
      </c>
    </row>
    <row r="104" spans="1:24" x14ac:dyDescent="0.2">
      <c r="A104">
        <v>1</v>
      </c>
      <c r="B104" s="1">
        <v>38703</v>
      </c>
      <c r="C104" t="s">
        <v>162</v>
      </c>
      <c r="D104">
        <v>104</v>
      </c>
      <c r="E104" s="1">
        <v>38703</v>
      </c>
      <c r="F104">
        <v>103</v>
      </c>
      <c r="G104" s="2">
        <v>0.35168981481481482</v>
      </c>
      <c r="H104" t="s">
        <v>88</v>
      </c>
      <c r="I104">
        <v>1</v>
      </c>
      <c r="J104" t="s">
        <v>52</v>
      </c>
      <c r="K104" t="s">
        <v>87</v>
      </c>
      <c r="L104" t="s">
        <v>32</v>
      </c>
      <c r="M104" t="s">
        <v>27</v>
      </c>
      <c r="N104" t="s">
        <v>37</v>
      </c>
      <c r="O104" t="s">
        <v>33</v>
      </c>
      <c r="P104" t="s">
        <v>31</v>
      </c>
      <c r="Q104" t="s">
        <v>27</v>
      </c>
      <c r="R104" t="s">
        <v>76</v>
      </c>
      <c r="S104" s="3" t="s">
        <v>163</v>
      </c>
      <c r="T104" t="s">
        <v>78</v>
      </c>
      <c r="U104">
        <v>23</v>
      </c>
      <c r="V104" t="s">
        <v>30</v>
      </c>
      <c r="W104">
        <v>517669.79</v>
      </c>
      <c r="X104">
        <v>4701079.46</v>
      </c>
    </row>
    <row r="105" spans="1:24" x14ac:dyDescent="0.2">
      <c r="A105">
        <v>1</v>
      </c>
      <c r="B105" s="1">
        <v>38703</v>
      </c>
      <c r="C105" t="s">
        <v>162</v>
      </c>
      <c r="D105">
        <v>105</v>
      </c>
      <c r="E105" s="1">
        <v>38703</v>
      </c>
      <c r="F105">
        <v>104</v>
      </c>
      <c r="G105" s="2">
        <v>0.35245370370370371</v>
      </c>
      <c r="H105" t="s">
        <v>88</v>
      </c>
      <c r="I105">
        <v>1</v>
      </c>
      <c r="J105" t="s">
        <v>52</v>
      </c>
      <c r="K105" t="s">
        <v>87</v>
      </c>
      <c r="L105" t="s">
        <v>32</v>
      </c>
      <c r="M105" t="s">
        <v>27</v>
      </c>
      <c r="N105" t="s">
        <v>37</v>
      </c>
      <c r="O105" t="s">
        <v>33</v>
      </c>
      <c r="P105" t="s">
        <v>31</v>
      </c>
      <c r="Q105" t="s">
        <v>27</v>
      </c>
      <c r="R105" t="s">
        <v>76</v>
      </c>
      <c r="S105" s="3" t="s">
        <v>163</v>
      </c>
      <c r="T105" t="s">
        <v>78</v>
      </c>
      <c r="U105">
        <v>24</v>
      </c>
      <c r="V105" t="s">
        <v>30</v>
      </c>
      <c r="W105">
        <v>517665.06</v>
      </c>
      <c r="X105">
        <v>4701090.92</v>
      </c>
    </row>
    <row r="106" spans="1:24" x14ac:dyDescent="0.2">
      <c r="A106">
        <v>1</v>
      </c>
      <c r="B106" s="1">
        <v>38703</v>
      </c>
      <c r="C106" t="s">
        <v>162</v>
      </c>
      <c r="D106">
        <v>106</v>
      </c>
      <c r="E106" s="1">
        <v>38703</v>
      </c>
      <c r="F106">
        <v>105</v>
      </c>
      <c r="G106" s="2">
        <v>0.35300925925925924</v>
      </c>
      <c r="H106" t="s">
        <v>88</v>
      </c>
      <c r="I106">
        <v>1</v>
      </c>
      <c r="J106" t="s">
        <v>52</v>
      </c>
      <c r="K106" t="s">
        <v>87</v>
      </c>
      <c r="L106" t="s">
        <v>32</v>
      </c>
      <c r="M106" t="s">
        <v>27</v>
      </c>
      <c r="N106" t="s">
        <v>37</v>
      </c>
      <c r="O106" t="s">
        <v>33</v>
      </c>
      <c r="P106" t="s">
        <v>31</v>
      </c>
      <c r="Q106" t="s">
        <v>27</v>
      </c>
      <c r="R106" t="s">
        <v>76</v>
      </c>
      <c r="S106" s="3" t="s">
        <v>163</v>
      </c>
      <c r="T106" t="s">
        <v>78</v>
      </c>
      <c r="U106">
        <v>25</v>
      </c>
      <c r="V106" t="s">
        <v>30</v>
      </c>
      <c r="W106">
        <v>517656.83</v>
      </c>
      <c r="X106">
        <v>4701104.88</v>
      </c>
    </row>
    <row r="107" spans="1:24" x14ac:dyDescent="0.2">
      <c r="A107">
        <v>1</v>
      </c>
      <c r="B107" s="1">
        <v>38703</v>
      </c>
      <c r="C107" t="s">
        <v>162</v>
      </c>
      <c r="D107">
        <v>107</v>
      </c>
      <c r="E107" s="1">
        <v>38703</v>
      </c>
      <c r="F107">
        <v>106</v>
      </c>
      <c r="G107" s="2">
        <v>0.35337962962962965</v>
      </c>
      <c r="H107" t="s">
        <v>88</v>
      </c>
      <c r="I107">
        <v>1</v>
      </c>
      <c r="J107" t="s">
        <v>52</v>
      </c>
      <c r="K107" t="s">
        <v>87</v>
      </c>
      <c r="L107" t="s">
        <v>32</v>
      </c>
      <c r="M107" t="s">
        <v>27</v>
      </c>
      <c r="N107" t="s">
        <v>37</v>
      </c>
      <c r="O107" t="s">
        <v>33</v>
      </c>
      <c r="P107" t="s">
        <v>31</v>
      </c>
      <c r="Q107" t="s">
        <v>27</v>
      </c>
      <c r="R107" t="s">
        <v>76</v>
      </c>
      <c r="S107" s="3" t="s">
        <v>163</v>
      </c>
      <c r="T107" t="s">
        <v>78</v>
      </c>
      <c r="U107">
        <v>26</v>
      </c>
      <c r="V107" t="s">
        <v>30</v>
      </c>
      <c r="W107">
        <v>517648.86</v>
      </c>
      <c r="X107">
        <v>4701118.33</v>
      </c>
    </row>
    <row r="108" spans="1:24" x14ac:dyDescent="0.2">
      <c r="A108">
        <v>1</v>
      </c>
      <c r="B108" s="1">
        <v>38703</v>
      </c>
      <c r="C108" t="s">
        <v>162</v>
      </c>
      <c r="D108">
        <v>108</v>
      </c>
      <c r="E108" s="1">
        <v>38703</v>
      </c>
      <c r="F108">
        <v>107</v>
      </c>
      <c r="G108" s="2">
        <v>0.3540625</v>
      </c>
      <c r="H108" t="s">
        <v>88</v>
      </c>
      <c r="I108">
        <v>1</v>
      </c>
      <c r="J108" t="s">
        <v>52</v>
      </c>
      <c r="K108" t="s">
        <v>87</v>
      </c>
      <c r="L108" t="s">
        <v>32</v>
      </c>
      <c r="M108" t="s">
        <v>27</v>
      </c>
      <c r="N108" t="s">
        <v>37</v>
      </c>
      <c r="O108" t="s">
        <v>33</v>
      </c>
      <c r="P108" t="s">
        <v>31</v>
      </c>
      <c r="Q108" t="s">
        <v>27</v>
      </c>
      <c r="R108" t="s">
        <v>76</v>
      </c>
      <c r="S108" s="3" t="s">
        <v>163</v>
      </c>
      <c r="T108" t="s">
        <v>78</v>
      </c>
      <c r="U108">
        <v>27</v>
      </c>
      <c r="V108" t="s">
        <v>30</v>
      </c>
      <c r="W108">
        <v>517642.13</v>
      </c>
      <c r="X108">
        <v>4701130.54</v>
      </c>
    </row>
    <row r="109" spans="1:24" x14ac:dyDescent="0.2">
      <c r="A109">
        <v>1</v>
      </c>
      <c r="B109" s="1">
        <v>38703</v>
      </c>
      <c r="C109" t="s">
        <v>162</v>
      </c>
      <c r="D109">
        <v>109</v>
      </c>
      <c r="E109" s="1">
        <v>38703</v>
      </c>
      <c r="F109">
        <v>108</v>
      </c>
      <c r="G109" s="2">
        <v>0.35461805555555559</v>
      </c>
      <c r="H109" t="s">
        <v>88</v>
      </c>
      <c r="I109">
        <v>1</v>
      </c>
      <c r="J109" t="s">
        <v>52</v>
      </c>
      <c r="K109" t="s">
        <v>87</v>
      </c>
      <c r="L109" t="s">
        <v>32</v>
      </c>
      <c r="M109" t="s">
        <v>27</v>
      </c>
      <c r="N109" t="s">
        <v>37</v>
      </c>
      <c r="O109" t="s">
        <v>33</v>
      </c>
      <c r="P109" t="s">
        <v>31</v>
      </c>
      <c r="Q109" t="s">
        <v>27</v>
      </c>
      <c r="R109" t="s">
        <v>76</v>
      </c>
      <c r="S109" s="3" t="s">
        <v>163</v>
      </c>
      <c r="T109" t="s">
        <v>78</v>
      </c>
      <c r="U109">
        <v>28</v>
      </c>
      <c r="V109" t="s">
        <v>30</v>
      </c>
      <c r="W109">
        <v>517635.16</v>
      </c>
      <c r="X109">
        <v>4701142.25</v>
      </c>
    </row>
    <row r="110" spans="1:24" x14ac:dyDescent="0.2">
      <c r="A110">
        <v>1</v>
      </c>
      <c r="B110" s="1">
        <v>38703</v>
      </c>
      <c r="C110" t="s">
        <v>162</v>
      </c>
      <c r="D110">
        <v>110</v>
      </c>
      <c r="E110" s="1">
        <v>38703</v>
      </c>
      <c r="F110">
        <v>109</v>
      </c>
      <c r="G110" s="2">
        <v>0.35502314814814812</v>
      </c>
      <c r="H110" t="s">
        <v>88</v>
      </c>
      <c r="I110">
        <v>1</v>
      </c>
      <c r="J110" t="s">
        <v>52</v>
      </c>
      <c r="K110" t="s">
        <v>87</v>
      </c>
      <c r="L110" t="s">
        <v>32</v>
      </c>
      <c r="M110" t="s">
        <v>27</v>
      </c>
      <c r="N110" t="s">
        <v>37</v>
      </c>
      <c r="O110" t="s">
        <v>33</v>
      </c>
      <c r="P110" t="s">
        <v>31</v>
      </c>
      <c r="Q110" t="s">
        <v>27</v>
      </c>
      <c r="R110" t="s">
        <v>76</v>
      </c>
      <c r="S110" s="3" t="s">
        <v>163</v>
      </c>
      <c r="T110" t="s">
        <v>78</v>
      </c>
      <c r="U110">
        <v>29</v>
      </c>
      <c r="V110" t="s">
        <v>30</v>
      </c>
      <c r="W110">
        <v>517628.93</v>
      </c>
      <c r="X110">
        <v>4701155.95</v>
      </c>
    </row>
    <row r="111" spans="1:24" x14ac:dyDescent="0.2">
      <c r="A111">
        <v>1</v>
      </c>
      <c r="B111" s="1">
        <v>38703</v>
      </c>
      <c r="C111" t="s">
        <v>162</v>
      </c>
      <c r="D111">
        <v>111</v>
      </c>
      <c r="E111" s="1">
        <v>38703</v>
      </c>
      <c r="F111">
        <v>110</v>
      </c>
      <c r="G111" s="2">
        <v>0.35556712962962966</v>
      </c>
      <c r="H111" t="s">
        <v>88</v>
      </c>
      <c r="I111">
        <v>1</v>
      </c>
      <c r="J111" t="s">
        <v>52</v>
      </c>
      <c r="K111" t="s">
        <v>87</v>
      </c>
      <c r="L111" t="s">
        <v>32</v>
      </c>
      <c r="M111" t="s">
        <v>27</v>
      </c>
      <c r="N111" t="s">
        <v>37</v>
      </c>
      <c r="O111" t="s">
        <v>33</v>
      </c>
      <c r="P111" t="s">
        <v>31</v>
      </c>
      <c r="Q111" t="s">
        <v>27</v>
      </c>
      <c r="R111" t="s">
        <v>76</v>
      </c>
      <c r="S111" s="3" t="s">
        <v>163</v>
      </c>
      <c r="T111" t="s">
        <v>78</v>
      </c>
      <c r="U111">
        <v>30</v>
      </c>
      <c r="V111" t="s">
        <v>30</v>
      </c>
      <c r="W111">
        <v>517624.94</v>
      </c>
      <c r="X111">
        <v>4701169.16</v>
      </c>
    </row>
    <row r="112" spans="1:24" x14ac:dyDescent="0.2">
      <c r="A112">
        <v>1</v>
      </c>
      <c r="B112" s="1">
        <v>38703</v>
      </c>
      <c r="C112" t="s">
        <v>162</v>
      </c>
      <c r="D112">
        <v>112</v>
      </c>
      <c r="E112" s="1">
        <v>38703</v>
      </c>
      <c r="F112">
        <v>111</v>
      </c>
      <c r="G112" s="2">
        <v>0.35643518518518519</v>
      </c>
      <c r="H112" t="s">
        <v>88</v>
      </c>
      <c r="I112">
        <v>1</v>
      </c>
      <c r="J112" t="s">
        <v>52</v>
      </c>
      <c r="K112" t="s">
        <v>87</v>
      </c>
      <c r="L112" t="s">
        <v>32</v>
      </c>
      <c r="M112" t="s">
        <v>27</v>
      </c>
      <c r="N112" t="s">
        <v>37</v>
      </c>
      <c r="O112" t="s">
        <v>33</v>
      </c>
      <c r="P112" t="s">
        <v>31</v>
      </c>
      <c r="Q112" t="s">
        <v>27</v>
      </c>
      <c r="R112" t="s">
        <v>76</v>
      </c>
      <c r="S112" s="3" t="s">
        <v>163</v>
      </c>
      <c r="T112" t="s">
        <v>78</v>
      </c>
      <c r="U112">
        <v>31</v>
      </c>
      <c r="V112" t="s">
        <v>30</v>
      </c>
      <c r="W112">
        <v>517604.11</v>
      </c>
      <c r="X112">
        <v>4701194.29</v>
      </c>
    </row>
    <row r="113" spans="1:24" x14ac:dyDescent="0.2">
      <c r="A113">
        <v>1</v>
      </c>
      <c r="B113" s="1">
        <v>38703</v>
      </c>
      <c r="C113" t="s">
        <v>162</v>
      </c>
      <c r="D113">
        <v>113</v>
      </c>
      <c r="E113" s="1">
        <v>38703</v>
      </c>
      <c r="F113">
        <v>112</v>
      </c>
      <c r="G113" s="2">
        <v>0.35689814814814813</v>
      </c>
      <c r="H113" t="s">
        <v>88</v>
      </c>
      <c r="I113">
        <v>1</v>
      </c>
      <c r="J113" t="s">
        <v>52</v>
      </c>
      <c r="K113" t="s">
        <v>87</v>
      </c>
      <c r="L113" t="s">
        <v>32</v>
      </c>
      <c r="M113" t="s">
        <v>27</v>
      </c>
      <c r="N113" t="s">
        <v>37</v>
      </c>
      <c r="O113" t="s">
        <v>33</v>
      </c>
      <c r="P113" t="s">
        <v>31</v>
      </c>
      <c r="Q113" t="s">
        <v>27</v>
      </c>
      <c r="R113" t="s">
        <v>76</v>
      </c>
      <c r="S113" s="3" t="s">
        <v>163</v>
      </c>
      <c r="T113" t="s">
        <v>78</v>
      </c>
      <c r="U113">
        <v>32</v>
      </c>
      <c r="V113" t="s">
        <v>30</v>
      </c>
      <c r="W113">
        <v>517590.16</v>
      </c>
      <c r="X113">
        <v>4701195.79</v>
      </c>
    </row>
    <row r="114" spans="1:24" x14ac:dyDescent="0.2">
      <c r="A114">
        <v>1</v>
      </c>
      <c r="B114" s="1">
        <v>38703</v>
      </c>
      <c r="C114" t="s">
        <v>162</v>
      </c>
      <c r="D114">
        <v>114</v>
      </c>
      <c r="E114" s="1">
        <v>38703</v>
      </c>
      <c r="F114">
        <v>113</v>
      </c>
      <c r="G114" s="2">
        <v>0.35758101851851848</v>
      </c>
      <c r="H114" t="s">
        <v>88</v>
      </c>
      <c r="I114">
        <v>1</v>
      </c>
      <c r="J114" t="s">
        <v>52</v>
      </c>
      <c r="K114" t="s">
        <v>87</v>
      </c>
      <c r="L114" t="s">
        <v>32</v>
      </c>
      <c r="M114" t="s">
        <v>27</v>
      </c>
      <c r="N114" t="s">
        <v>37</v>
      </c>
      <c r="O114" t="s">
        <v>33</v>
      </c>
      <c r="P114" t="s">
        <v>31</v>
      </c>
      <c r="Q114" t="s">
        <v>27</v>
      </c>
      <c r="R114" t="s">
        <v>76</v>
      </c>
      <c r="S114" s="3" t="s">
        <v>163</v>
      </c>
      <c r="T114" t="s">
        <v>78</v>
      </c>
      <c r="U114">
        <v>33</v>
      </c>
      <c r="V114" t="s">
        <v>30</v>
      </c>
      <c r="W114">
        <v>517577.21</v>
      </c>
      <c r="X114">
        <v>4701200.0199999996</v>
      </c>
    </row>
    <row r="115" spans="1:24" x14ac:dyDescent="0.2">
      <c r="A115">
        <v>1</v>
      </c>
      <c r="B115" s="1">
        <v>38703</v>
      </c>
      <c r="C115" t="s">
        <v>162</v>
      </c>
      <c r="D115">
        <v>115</v>
      </c>
      <c r="E115" s="1">
        <v>38703</v>
      </c>
      <c r="F115">
        <v>114</v>
      </c>
      <c r="G115" s="2">
        <v>0.35813657407407407</v>
      </c>
      <c r="H115" t="s">
        <v>88</v>
      </c>
      <c r="I115">
        <v>1</v>
      </c>
      <c r="J115" t="s">
        <v>52</v>
      </c>
      <c r="K115" t="s">
        <v>87</v>
      </c>
      <c r="L115" t="s">
        <v>32</v>
      </c>
      <c r="M115" t="s">
        <v>27</v>
      </c>
      <c r="N115" t="s">
        <v>37</v>
      </c>
      <c r="O115" t="s">
        <v>33</v>
      </c>
      <c r="P115" t="s">
        <v>31</v>
      </c>
      <c r="Q115" t="s">
        <v>27</v>
      </c>
      <c r="R115" t="s">
        <v>76</v>
      </c>
      <c r="S115" s="3" t="s">
        <v>163</v>
      </c>
      <c r="T115" t="s">
        <v>78</v>
      </c>
      <c r="U115">
        <v>34</v>
      </c>
      <c r="V115" t="s">
        <v>30</v>
      </c>
      <c r="W115">
        <v>517565.25</v>
      </c>
      <c r="X115">
        <v>4701206.75</v>
      </c>
    </row>
    <row r="116" spans="1:24" x14ac:dyDescent="0.2">
      <c r="A116">
        <v>1</v>
      </c>
      <c r="B116" s="1">
        <v>38703</v>
      </c>
      <c r="C116" t="s">
        <v>162</v>
      </c>
      <c r="D116">
        <v>116</v>
      </c>
      <c r="E116" s="1">
        <v>38703</v>
      </c>
      <c r="F116">
        <v>115</v>
      </c>
      <c r="G116" s="2">
        <v>0.3586226851851852</v>
      </c>
      <c r="H116" t="s">
        <v>88</v>
      </c>
      <c r="I116">
        <v>1</v>
      </c>
      <c r="J116" t="s">
        <v>52</v>
      </c>
      <c r="K116" t="s">
        <v>87</v>
      </c>
      <c r="L116" t="s">
        <v>32</v>
      </c>
      <c r="M116" t="s">
        <v>27</v>
      </c>
      <c r="N116" t="s">
        <v>37</v>
      </c>
      <c r="O116" t="s">
        <v>33</v>
      </c>
      <c r="P116" t="s">
        <v>31</v>
      </c>
      <c r="Q116" t="s">
        <v>27</v>
      </c>
      <c r="R116" t="s">
        <v>76</v>
      </c>
      <c r="S116" s="3" t="s">
        <v>163</v>
      </c>
      <c r="T116" t="s">
        <v>78</v>
      </c>
      <c r="U116">
        <v>35</v>
      </c>
      <c r="V116" t="s">
        <v>30</v>
      </c>
      <c r="W116">
        <v>517554.04</v>
      </c>
      <c r="X116">
        <v>4701218.71</v>
      </c>
    </row>
    <row r="117" spans="1:24" x14ac:dyDescent="0.2">
      <c r="A117">
        <v>1</v>
      </c>
      <c r="B117" s="1">
        <v>38703</v>
      </c>
      <c r="C117" t="s">
        <v>162</v>
      </c>
      <c r="D117">
        <v>117</v>
      </c>
      <c r="E117" s="1">
        <v>38703</v>
      </c>
      <c r="F117">
        <v>116</v>
      </c>
      <c r="G117" s="2">
        <v>0.35906250000000001</v>
      </c>
      <c r="H117" t="s">
        <v>88</v>
      </c>
      <c r="I117">
        <v>1</v>
      </c>
      <c r="J117" t="s">
        <v>52</v>
      </c>
      <c r="K117" t="s">
        <v>87</v>
      </c>
      <c r="L117" t="s">
        <v>32</v>
      </c>
      <c r="M117" t="s">
        <v>27</v>
      </c>
      <c r="N117" t="s">
        <v>37</v>
      </c>
      <c r="O117" t="s">
        <v>33</v>
      </c>
      <c r="P117" t="s">
        <v>31</v>
      </c>
      <c r="Q117" t="s">
        <v>27</v>
      </c>
      <c r="R117" t="s">
        <v>76</v>
      </c>
      <c r="S117" s="3" t="s">
        <v>163</v>
      </c>
      <c r="T117" t="s">
        <v>78</v>
      </c>
      <c r="U117">
        <v>36</v>
      </c>
      <c r="V117" t="s">
        <v>30</v>
      </c>
      <c r="W117">
        <v>517548.79999999999</v>
      </c>
      <c r="X117">
        <v>4701228.43</v>
      </c>
    </row>
    <row r="118" spans="1:24" x14ac:dyDescent="0.2">
      <c r="A118">
        <v>1</v>
      </c>
      <c r="B118" s="1">
        <v>38703</v>
      </c>
      <c r="C118" t="s">
        <v>162</v>
      </c>
      <c r="D118">
        <v>118</v>
      </c>
      <c r="E118" s="1">
        <v>38703</v>
      </c>
      <c r="F118">
        <v>117</v>
      </c>
      <c r="G118" s="2">
        <v>0.35974537037037035</v>
      </c>
      <c r="H118" t="s">
        <v>88</v>
      </c>
      <c r="I118">
        <v>1</v>
      </c>
      <c r="J118" t="s">
        <v>52</v>
      </c>
      <c r="K118" t="s">
        <v>87</v>
      </c>
      <c r="L118" t="s">
        <v>32</v>
      </c>
      <c r="M118" t="s">
        <v>27</v>
      </c>
      <c r="N118" t="s">
        <v>37</v>
      </c>
      <c r="O118" t="s">
        <v>33</v>
      </c>
      <c r="P118" t="s">
        <v>31</v>
      </c>
      <c r="Q118" t="s">
        <v>27</v>
      </c>
      <c r="R118" t="s">
        <v>76</v>
      </c>
      <c r="S118" s="3" t="s">
        <v>163</v>
      </c>
      <c r="T118" t="s">
        <v>78</v>
      </c>
      <c r="U118">
        <v>37</v>
      </c>
      <c r="V118" t="s">
        <v>30</v>
      </c>
      <c r="W118">
        <v>517541.33</v>
      </c>
      <c r="X118">
        <v>4701240.1399999997</v>
      </c>
    </row>
    <row r="119" spans="1:24" x14ac:dyDescent="0.2">
      <c r="A119">
        <v>1</v>
      </c>
      <c r="B119" s="1">
        <v>38703</v>
      </c>
      <c r="C119" t="s">
        <v>162</v>
      </c>
      <c r="D119">
        <v>119</v>
      </c>
      <c r="E119" s="1">
        <v>38703</v>
      </c>
      <c r="F119">
        <v>118</v>
      </c>
      <c r="G119" s="2">
        <v>0.36274305555555553</v>
      </c>
      <c r="H119" t="s">
        <v>88</v>
      </c>
      <c r="I119">
        <v>1</v>
      </c>
      <c r="J119" t="s">
        <v>52</v>
      </c>
      <c r="K119" t="s">
        <v>87</v>
      </c>
      <c r="L119" t="s">
        <v>32</v>
      </c>
      <c r="M119" t="s">
        <v>27</v>
      </c>
      <c r="N119" t="s">
        <v>37</v>
      </c>
      <c r="O119" t="s">
        <v>33</v>
      </c>
      <c r="P119" t="s">
        <v>31</v>
      </c>
      <c r="Q119" t="s">
        <v>27</v>
      </c>
      <c r="R119" t="s">
        <v>76</v>
      </c>
      <c r="S119" s="3" t="s">
        <v>164</v>
      </c>
      <c r="T119" t="s">
        <v>78</v>
      </c>
      <c r="U119">
        <v>38</v>
      </c>
      <c r="V119" t="s">
        <v>30</v>
      </c>
      <c r="W119">
        <v>517576.42</v>
      </c>
      <c r="X119">
        <v>4701471.8600000003</v>
      </c>
    </row>
    <row r="120" spans="1:24" x14ac:dyDescent="0.2">
      <c r="A120">
        <v>1</v>
      </c>
      <c r="B120" s="1">
        <v>38703</v>
      </c>
      <c r="C120" t="s">
        <v>162</v>
      </c>
      <c r="D120">
        <v>120</v>
      </c>
      <c r="E120" s="1">
        <v>38703</v>
      </c>
      <c r="F120">
        <v>119</v>
      </c>
      <c r="G120" s="2">
        <v>0.3651388888888889</v>
      </c>
      <c r="H120" t="s">
        <v>88</v>
      </c>
      <c r="I120">
        <v>1</v>
      </c>
      <c r="J120" t="s">
        <v>52</v>
      </c>
      <c r="K120" t="s">
        <v>87</v>
      </c>
      <c r="L120" t="s">
        <v>32</v>
      </c>
      <c r="M120" t="s">
        <v>27</v>
      </c>
      <c r="N120" t="s">
        <v>37</v>
      </c>
      <c r="O120" t="s">
        <v>33</v>
      </c>
      <c r="P120" t="s">
        <v>31</v>
      </c>
      <c r="Q120" t="s">
        <v>27</v>
      </c>
      <c r="R120" t="s">
        <v>76</v>
      </c>
      <c r="S120" s="3" t="s">
        <v>164</v>
      </c>
      <c r="T120" t="s">
        <v>78</v>
      </c>
      <c r="U120">
        <v>39</v>
      </c>
      <c r="V120" t="s">
        <v>30</v>
      </c>
      <c r="W120">
        <v>517591.12</v>
      </c>
      <c r="X120">
        <v>4701472.6100000003</v>
      </c>
    </row>
    <row r="121" spans="1:24" x14ac:dyDescent="0.2">
      <c r="A121">
        <v>1</v>
      </c>
      <c r="B121" s="1">
        <v>38703</v>
      </c>
      <c r="C121" t="s">
        <v>162</v>
      </c>
      <c r="D121">
        <v>121</v>
      </c>
      <c r="E121" s="1">
        <v>38703</v>
      </c>
      <c r="F121">
        <v>120</v>
      </c>
      <c r="G121" s="2">
        <v>0.36540509259259263</v>
      </c>
      <c r="H121" t="s">
        <v>88</v>
      </c>
      <c r="I121">
        <v>1</v>
      </c>
      <c r="J121" t="s">
        <v>52</v>
      </c>
      <c r="K121" t="s">
        <v>87</v>
      </c>
      <c r="L121" t="s">
        <v>32</v>
      </c>
      <c r="M121" t="s">
        <v>27</v>
      </c>
      <c r="N121" t="s">
        <v>37</v>
      </c>
      <c r="O121" t="s">
        <v>33</v>
      </c>
      <c r="P121" t="s">
        <v>31</v>
      </c>
      <c r="Q121" t="s">
        <v>27</v>
      </c>
      <c r="R121" t="s">
        <v>76</v>
      </c>
      <c r="S121" s="3" t="s">
        <v>164</v>
      </c>
      <c r="T121" t="s">
        <v>78</v>
      </c>
      <c r="U121">
        <v>40</v>
      </c>
      <c r="V121" t="s">
        <v>30</v>
      </c>
      <c r="W121">
        <v>517606.57</v>
      </c>
      <c r="X121">
        <v>4701470.37</v>
      </c>
    </row>
    <row r="122" spans="1:24" x14ac:dyDescent="0.2">
      <c r="A122">
        <v>1</v>
      </c>
      <c r="B122" s="1">
        <v>38703</v>
      </c>
      <c r="C122" t="s">
        <v>162</v>
      </c>
      <c r="D122">
        <v>122</v>
      </c>
      <c r="E122" s="1">
        <v>38703</v>
      </c>
      <c r="F122">
        <v>121</v>
      </c>
      <c r="G122" s="2">
        <v>0.36690972222222223</v>
      </c>
      <c r="H122" t="s">
        <v>88</v>
      </c>
      <c r="I122">
        <v>1</v>
      </c>
      <c r="J122" t="s">
        <v>52</v>
      </c>
      <c r="K122" t="s">
        <v>87</v>
      </c>
      <c r="L122" t="s">
        <v>32</v>
      </c>
      <c r="M122" t="s">
        <v>27</v>
      </c>
      <c r="N122" t="s">
        <v>37</v>
      </c>
      <c r="O122" t="s">
        <v>33</v>
      </c>
      <c r="P122" t="s">
        <v>31</v>
      </c>
      <c r="Q122" t="s">
        <v>27</v>
      </c>
      <c r="R122" t="s">
        <v>76</v>
      </c>
      <c r="S122" s="3" t="s">
        <v>164</v>
      </c>
      <c r="T122" t="s">
        <v>78</v>
      </c>
      <c r="U122">
        <v>41</v>
      </c>
      <c r="V122" t="s">
        <v>30</v>
      </c>
      <c r="W122">
        <v>517622.02</v>
      </c>
      <c r="X122">
        <v>4701465.63</v>
      </c>
    </row>
    <row r="123" spans="1:24" x14ac:dyDescent="0.2">
      <c r="A123">
        <v>1</v>
      </c>
      <c r="B123" s="1">
        <v>38703</v>
      </c>
      <c r="C123" t="s">
        <v>162</v>
      </c>
      <c r="D123">
        <v>123</v>
      </c>
      <c r="E123" s="1">
        <v>38703</v>
      </c>
      <c r="F123">
        <v>122</v>
      </c>
      <c r="G123" s="2">
        <v>0.3674189814814815</v>
      </c>
      <c r="H123" t="s">
        <v>88</v>
      </c>
      <c r="I123">
        <v>1</v>
      </c>
      <c r="J123" t="s">
        <v>52</v>
      </c>
      <c r="K123" t="s">
        <v>87</v>
      </c>
      <c r="L123" t="s">
        <v>32</v>
      </c>
      <c r="M123" t="s">
        <v>27</v>
      </c>
      <c r="N123" t="s">
        <v>37</v>
      </c>
      <c r="O123" t="s">
        <v>33</v>
      </c>
      <c r="P123" t="s">
        <v>31</v>
      </c>
      <c r="Q123" t="s">
        <v>27</v>
      </c>
      <c r="R123" t="s">
        <v>76</v>
      </c>
      <c r="S123" s="3" t="s">
        <v>164</v>
      </c>
      <c r="T123" t="s">
        <v>78</v>
      </c>
      <c r="U123">
        <v>42</v>
      </c>
      <c r="V123" t="s">
        <v>30</v>
      </c>
      <c r="W123">
        <v>517635.72</v>
      </c>
      <c r="X123">
        <v>4701457.41</v>
      </c>
    </row>
    <row r="124" spans="1:24" x14ac:dyDescent="0.2">
      <c r="A124">
        <v>1</v>
      </c>
      <c r="B124" s="1">
        <v>38703</v>
      </c>
      <c r="C124" t="s">
        <v>162</v>
      </c>
      <c r="D124">
        <v>124</v>
      </c>
      <c r="E124" s="1">
        <v>38703</v>
      </c>
      <c r="F124">
        <v>123</v>
      </c>
      <c r="G124" s="2">
        <v>0.36812499999999998</v>
      </c>
      <c r="H124" t="s">
        <v>88</v>
      </c>
      <c r="I124">
        <v>1</v>
      </c>
      <c r="J124" t="s">
        <v>52</v>
      </c>
      <c r="K124" t="s">
        <v>87</v>
      </c>
      <c r="L124" t="s">
        <v>32</v>
      </c>
      <c r="M124" t="s">
        <v>27</v>
      </c>
      <c r="N124" t="s">
        <v>37</v>
      </c>
      <c r="O124" t="s">
        <v>33</v>
      </c>
      <c r="P124" t="s">
        <v>31</v>
      </c>
      <c r="Q124" t="s">
        <v>27</v>
      </c>
      <c r="R124" t="s">
        <v>76</v>
      </c>
      <c r="S124" s="3" t="s">
        <v>164</v>
      </c>
      <c r="T124" t="s">
        <v>78</v>
      </c>
      <c r="U124">
        <v>43</v>
      </c>
      <c r="V124" t="s">
        <v>30</v>
      </c>
      <c r="W124">
        <v>517648.92</v>
      </c>
      <c r="X124">
        <v>4701447.45</v>
      </c>
    </row>
    <row r="125" spans="1:24" x14ac:dyDescent="0.2">
      <c r="A125">
        <v>1</v>
      </c>
      <c r="B125" s="1">
        <v>38703</v>
      </c>
      <c r="C125" t="s">
        <v>162</v>
      </c>
      <c r="D125">
        <v>125</v>
      </c>
      <c r="E125" s="1">
        <v>38703</v>
      </c>
      <c r="F125">
        <v>124</v>
      </c>
      <c r="G125" s="2">
        <v>0.36872685185185183</v>
      </c>
      <c r="H125" t="s">
        <v>88</v>
      </c>
      <c r="I125">
        <v>1</v>
      </c>
      <c r="J125" t="s">
        <v>52</v>
      </c>
      <c r="K125" t="s">
        <v>87</v>
      </c>
      <c r="L125" t="s">
        <v>32</v>
      </c>
      <c r="M125" t="s">
        <v>27</v>
      </c>
      <c r="N125" t="s">
        <v>37</v>
      </c>
      <c r="O125" t="s">
        <v>33</v>
      </c>
      <c r="P125" t="s">
        <v>31</v>
      </c>
      <c r="Q125" t="s">
        <v>27</v>
      </c>
      <c r="R125" t="s">
        <v>76</v>
      </c>
      <c r="S125" s="3" t="s">
        <v>164</v>
      </c>
      <c r="T125" t="s">
        <v>78</v>
      </c>
      <c r="U125">
        <v>44</v>
      </c>
      <c r="V125" t="s">
        <v>30</v>
      </c>
      <c r="W125">
        <v>517659.64</v>
      </c>
      <c r="X125">
        <v>4701437.2300000004</v>
      </c>
    </row>
    <row r="126" spans="1:24" x14ac:dyDescent="0.2">
      <c r="A126">
        <v>1</v>
      </c>
      <c r="B126" s="1">
        <v>38703</v>
      </c>
      <c r="C126" t="s">
        <v>162</v>
      </c>
      <c r="D126">
        <v>126</v>
      </c>
      <c r="E126" s="1">
        <v>38703</v>
      </c>
      <c r="F126">
        <v>125</v>
      </c>
      <c r="G126" s="2">
        <v>0.36952546296296296</v>
      </c>
      <c r="H126" t="s">
        <v>88</v>
      </c>
      <c r="I126">
        <v>1</v>
      </c>
      <c r="J126" t="s">
        <v>52</v>
      </c>
      <c r="K126" t="s">
        <v>87</v>
      </c>
      <c r="L126" t="s">
        <v>32</v>
      </c>
      <c r="M126" t="s">
        <v>27</v>
      </c>
      <c r="N126" t="s">
        <v>37</v>
      </c>
      <c r="O126" t="s">
        <v>33</v>
      </c>
      <c r="P126" t="s">
        <v>31</v>
      </c>
      <c r="Q126" t="s">
        <v>27</v>
      </c>
      <c r="R126" t="s">
        <v>76</v>
      </c>
      <c r="S126" s="3" t="s">
        <v>164</v>
      </c>
      <c r="T126" t="s">
        <v>78</v>
      </c>
      <c r="U126">
        <v>45</v>
      </c>
      <c r="V126" t="s">
        <v>30</v>
      </c>
      <c r="W126">
        <v>517668.67</v>
      </c>
      <c r="X126">
        <v>4701424.21</v>
      </c>
    </row>
    <row r="127" spans="1:24" x14ac:dyDescent="0.2">
      <c r="A127">
        <v>1</v>
      </c>
      <c r="B127" s="1">
        <v>38703</v>
      </c>
      <c r="C127" t="s">
        <v>162</v>
      </c>
      <c r="D127">
        <v>127</v>
      </c>
      <c r="E127" s="1">
        <v>38703</v>
      </c>
      <c r="F127">
        <v>126</v>
      </c>
      <c r="G127" s="2">
        <v>0.37024305555555559</v>
      </c>
      <c r="H127" t="s">
        <v>88</v>
      </c>
      <c r="I127">
        <v>1</v>
      </c>
      <c r="J127" t="s">
        <v>52</v>
      </c>
      <c r="K127" t="s">
        <v>87</v>
      </c>
      <c r="L127" t="s">
        <v>32</v>
      </c>
      <c r="M127" t="s">
        <v>27</v>
      </c>
      <c r="N127" t="s">
        <v>37</v>
      </c>
      <c r="O127" t="s">
        <v>33</v>
      </c>
      <c r="P127" t="s">
        <v>31</v>
      </c>
      <c r="Q127" t="s">
        <v>27</v>
      </c>
      <c r="R127" t="s">
        <v>76</v>
      </c>
      <c r="S127" s="3" t="s">
        <v>164</v>
      </c>
      <c r="T127" t="s">
        <v>78</v>
      </c>
      <c r="U127">
        <v>46</v>
      </c>
      <c r="V127" t="s">
        <v>30</v>
      </c>
      <c r="W127">
        <v>517675.65</v>
      </c>
      <c r="X127">
        <v>4701410.26</v>
      </c>
    </row>
    <row r="128" spans="1:24" x14ac:dyDescent="0.2">
      <c r="A128">
        <v>1</v>
      </c>
      <c r="B128" s="1">
        <v>38703</v>
      </c>
      <c r="C128" t="s">
        <v>162</v>
      </c>
      <c r="D128">
        <v>128</v>
      </c>
      <c r="E128" s="1">
        <v>38703</v>
      </c>
      <c r="F128">
        <v>127</v>
      </c>
      <c r="G128" s="2">
        <v>0.37077546296296293</v>
      </c>
      <c r="H128" t="s">
        <v>88</v>
      </c>
      <c r="I128">
        <v>1</v>
      </c>
      <c r="J128" t="s">
        <v>52</v>
      </c>
      <c r="K128" t="s">
        <v>87</v>
      </c>
      <c r="L128" t="s">
        <v>32</v>
      </c>
      <c r="M128" t="s">
        <v>27</v>
      </c>
      <c r="N128" t="s">
        <v>37</v>
      </c>
      <c r="O128" t="s">
        <v>33</v>
      </c>
      <c r="P128" t="s">
        <v>31</v>
      </c>
      <c r="Q128" t="s">
        <v>27</v>
      </c>
      <c r="R128" t="s">
        <v>76</v>
      </c>
      <c r="S128" s="3" t="s">
        <v>164</v>
      </c>
      <c r="T128" t="s">
        <v>78</v>
      </c>
      <c r="U128">
        <v>47</v>
      </c>
      <c r="V128" t="s">
        <v>30</v>
      </c>
      <c r="W128">
        <v>517679.14</v>
      </c>
      <c r="X128">
        <v>4701394.8099999996</v>
      </c>
    </row>
    <row r="129" spans="1:24" x14ac:dyDescent="0.2">
      <c r="A129">
        <v>1</v>
      </c>
      <c r="B129" s="1">
        <v>38703</v>
      </c>
      <c r="C129" t="s">
        <v>162</v>
      </c>
      <c r="D129">
        <v>129</v>
      </c>
      <c r="E129" s="1">
        <v>38703</v>
      </c>
      <c r="F129">
        <v>128</v>
      </c>
      <c r="G129" s="2">
        <v>0.37122685185185184</v>
      </c>
      <c r="H129" t="s">
        <v>88</v>
      </c>
      <c r="I129">
        <v>1</v>
      </c>
      <c r="J129" t="s">
        <v>52</v>
      </c>
      <c r="K129" t="s">
        <v>87</v>
      </c>
      <c r="L129" t="s">
        <v>32</v>
      </c>
      <c r="M129" t="s">
        <v>27</v>
      </c>
      <c r="N129" t="s">
        <v>37</v>
      </c>
      <c r="O129" t="s">
        <v>33</v>
      </c>
      <c r="P129" t="s">
        <v>31</v>
      </c>
      <c r="Q129" t="s">
        <v>27</v>
      </c>
      <c r="R129" t="s">
        <v>76</v>
      </c>
      <c r="S129" s="3" t="s">
        <v>164</v>
      </c>
      <c r="T129" t="s">
        <v>78</v>
      </c>
      <c r="U129">
        <v>48</v>
      </c>
      <c r="V129" t="s">
        <v>30</v>
      </c>
      <c r="W129">
        <v>517681.88</v>
      </c>
      <c r="X129">
        <v>4701379.37</v>
      </c>
    </row>
    <row r="130" spans="1:24" x14ac:dyDescent="0.2">
      <c r="A130">
        <v>1</v>
      </c>
      <c r="B130" s="1">
        <v>38703</v>
      </c>
      <c r="C130" t="s">
        <v>162</v>
      </c>
      <c r="D130">
        <v>130</v>
      </c>
      <c r="E130" s="1">
        <v>38703</v>
      </c>
      <c r="F130">
        <v>129</v>
      </c>
      <c r="G130" s="2">
        <v>0.37179398148148146</v>
      </c>
      <c r="H130" t="s">
        <v>88</v>
      </c>
      <c r="I130">
        <v>1</v>
      </c>
      <c r="J130" t="s">
        <v>52</v>
      </c>
      <c r="K130" t="s">
        <v>87</v>
      </c>
      <c r="L130" t="s">
        <v>32</v>
      </c>
      <c r="M130" t="s">
        <v>27</v>
      </c>
      <c r="N130" t="s">
        <v>37</v>
      </c>
      <c r="O130" t="s">
        <v>33</v>
      </c>
      <c r="P130" t="s">
        <v>31</v>
      </c>
      <c r="Q130" t="s">
        <v>27</v>
      </c>
      <c r="R130" t="s">
        <v>76</v>
      </c>
      <c r="S130" s="3" t="s">
        <v>164</v>
      </c>
      <c r="T130" t="s">
        <v>78</v>
      </c>
      <c r="U130">
        <v>49</v>
      </c>
      <c r="V130" t="s">
        <v>30</v>
      </c>
      <c r="W130">
        <v>517684.37</v>
      </c>
      <c r="X130">
        <v>4701365.16</v>
      </c>
    </row>
    <row r="131" spans="1:24" x14ac:dyDescent="0.2">
      <c r="A131">
        <v>1</v>
      </c>
      <c r="B131" s="1">
        <v>38703</v>
      </c>
      <c r="D131">
        <v>131</v>
      </c>
      <c r="E131" s="1">
        <v>38703</v>
      </c>
      <c r="F131">
        <v>130</v>
      </c>
      <c r="G131" s="2">
        <v>0.37230324074074073</v>
      </c>
      <c r="H131" t="s">
        <v>119</v>
      </c>
      <c r="I131">
        <v>3</v>
      </c>
      <c r="J131" t="s">
        <v>31</v>
      </c>
      <c r="K131" t="s">
        <v>26</v>
      </c>
      <c r="L131" t="s">
        <v>32</v>
      </c>
      <c r="M131" t="s">
        <v>27</v>
      </c>
      <c r="N131" t="s">
        <v>37</v>
      </c>
      <c r="O131" t="s">
        <v>33</v>
      </c>
      <c r="P131" t="s">
        <v>29</v>
      </c>
      <c r="Q131" t="s">
        <v>27</v>
      </c>
      <c r="R131" t="s">
        <v>76</v>
      </c>
      <c r="S131" s="3" t="s">
        <v>164</v>
      </c>
      <c r="T131" t="s">
        <v>78</v>
      </c>
      <c r="U131">
        <v>50</v>
      </c>
      <c r="V131" t="s">
        <v>30</v>
      </c>
      <c r="W131">
        <v>517685.62</v>
      </c>
      <c r="X131">
        <v>4701369.6500000004</v>
      </c>
    </row>
    <row r="132" spans="1:24" x14ac:dyDescent="0.2">
      <c r="A132">
        <v>1</v>
      </c>
      <c r="B132" s="1">
        <v>38703</v>
      </c>
      <c r="C132" t="s">
        <v>165</v>
      </c>
      <c r="D132">
        <v>132</v>
      </c>
      <c r="E132" s="1">
        <v>38703</v>
      </c>
      <c r="F132">
        <v>131</v>
      </c>
      <c r="G132" s="2">
        <v>0.37364583333333329</v>
      </c>
      <c r="H132" t="s">
        <v>126</v>
      </c>
      <c r="I132">
        <v>3</v>
      </c>
      <c r="J132" t="s">
        <v>31</v>
      </c>
      <c r="K132" t="s">
        <v>26</v>
      </c>
      <c r="L132" t="s">
        <v>32</v>
      </c>
      <c r="M132" t="s">
        <v>27</v>
      </c>
      <c r="N132" t="s">
        <v>37</v>
      </c>
      <c r="O132" t="s">
        <v>33</v>
      </c>
      <c r="P132" t="s">
        <v>38</v>
      </c>
      <c r="Q132" t="s">
        <v>84</v>
      </c>
      <c r="R132" t="s">
        <v>76</v>
      </c>
      <c r="S132" s="3" t="s">
        <v>164</v>
      </c>
      <c r="T132" t="s">
        <v>78</v>
      </c>
      <c r="U132">
        <v>51</v>
      </c>
      <c r="V132" t="s">
        <v>30</v>
      </c>
      <c r="W132">
        <v>517668.18</v>
      </c>
      <c r="X132">
        <v>4701430.6900000004</v>
      </c>
    </row>
    <row r="133" spans="1:24" x14ac:dyDescent="0.2">
      <c r="A133">
        <v>1</v>
      </c>
      <c r="B133" s="1">
        <v>38703</v>
      </c>
      <c r="C133" t="s">
        <v>166</v>
      </c>
      <c r="D133">
        <v>133</v>
      </c>
      <c r="E133" s="1">
        <v>38703</v>
      </c>
      <c r="F133">
        <v>132</v>
      </c>
      <c r="G133" s="2">
        <v>0.37564814814814818</v>
      </c>
      <c r="H133" t="s">
        <v>167</v>
      </c>
      <c r="I133">
        <v>2</v>
      </c>
      <c r="J133" t="s">
        <v>38</v>
      </c>
      <c r="K133" t="s">
        <v>42</v>
      </c>
      <c r="L133" t="s">
        <v>32</v>
      </c>
      <c r="M133" t="s">
        <v>27</v>
      </c>
      <c r="N133" t="s">
        <v>37</v>
      </c>
      <c r="O133" t="s">
        <v>33</v>
      </c>
      <c r="P133" t="s">
        <v>38</v>
      </c>
      <c r="Q133" t="s">
        <v>84</v>
      </c>
      <c r="R133" t="s">
        <v>76</v>
      </c>
      <c r="S133" s="3" t="s">
        <v>164</v>
      </c>
      <c r="T133" t="s">
        <v>78</v>
      </c>
      <c r="U133">
        <v>52</v>
      </c>
      <c r="V133" t="s">
        <v>30</v>
      </c>
      <c r="W133">
        <v>517663.19</v>
      </c>
      <c r="X133">
        <v>4701434.68</v>
      </c>
    </row>
    <row r="134" spans="1:24" x14ac:dyDescent="0.2">
      <c r="A134">
        <v>1</v>
      </c>
      <c r="B134" s="1">
        <v>38703</v>
      </c>
      <c r="D134">
        <v>134</v>
      </c>
      <c r="E134" s="1">
        <v>38703</v>
      </c>
      <c r="F134">
        <v>133</v>
      </c>
      <c r="G134" s="2">
        <v>0.38819444444444445</v>
      </c>
      <c r="H134" t="s">
        <v>79</v>
      </c>
      <c r="I134">
        <v>20</v>
      </c>
      <c r="J134" t="s">
        <v>31</v>
      </c>
      <c r="K134" t="s">
        <v>26</v>
      </c>
      <c r="L134" t="s">
        <v>32</v>
      </c>
      <c r="M134" t="s">
        <v>27</v>
      </c>
      <c r="N134" t="s">
        <v>37</v>
      </c>
      <c r="O134" t="s">
        <v>33</v>
      </c>
      <c r="P134" t="s">
        <v>29</v>
      </c>
      <c r="Q134" t="s">
        <v>27</v>
      </c>
      <c r="R134" t="s">
        <v>76</v>
      </c>
      <c r="S134" s="3" t="s">
        <v>168</v>
      </c>
      <c r="T134" t="s">
        <v>78</v>
      </c>
      <c r="U134">
        <v>1</v>
      </c>
      <c r="V134" t="s">
        <v>30</v>
      </c>
      <c r="W134">
        <v>517561.49</v>
      </c>
      <c r="X134">
        <v>4701370.59</v>
      </c>
    </row>
    <row r="135" spans="1:24" x14ac:dyDescent="0.2">
      <c r="A135">
        <v>1</v>
      </c>
      <c r="B135" s="1">
        <v>38703</v>
      </c>
      <c r="D135">
        <v>135</v>
      </c>
      <c r="E135" s="1">
        <v>38703</v>
      </c>
      <c r="F135">
        <v>134</v>
      </c>
      <c r="G135" s="2">
        <v>0.39003472222222224</v>
      </c>
      <c r="H135" t="s">
        <v>79</v>
      </c>
      <c r="I135">
        <v>20</v>
      </c>
      <c r="J135" t="s">
        <v>31</v>
      </c>
      <c r="K135" t="s">
        <v>26</v>
      </c>
      <c r="L135" t="s">
        <v>32</v>
      </c>
      <c r="M135" t="s">
        <v>27</v>
      </c>
      <c r="N135" t="s">
        <v>37</v>
      </c>
      <c r="O135" t="s">
        <v>33</v>
      </c>
      <c r="P135" t="s">
        <v>29</v>
      </c>
      <c r="Q135" t="s">
        <v>27</v>
      </c>
      <c r="R135" t="s">
        <v>76</v>
      </c>
      <c r="S135" s="3" t="s">
        <v>168</v>
      </c>
      <c r="T135" t="s">
        <v>78</v>
      </c>
      <c r="U135">
        <v>2</v>
      </c>
      <c r="V135" t="s">
        <v>30</v>
      </c>
      <c r="W135">
        <v>517552.27</v>
      </c>
      <c r="X135">
        <v>4701370.59</v>
      </c>
    </row>
    <row r="136" spans="1:24" x14ac:dyDescent="0.2">
      <c r="A136">
        <v>1</v>
      </c>
      <c r="B136" s="1">
        <v>38703</v>
      </c>
      <c r="D136">
        <v>136</v>
      </c>
      <c r="E136" s="1">
        <v>38703</v>
      </c>
      <c r="F136">
        <v>135</v>
      </c>
      <c r="G136" s="2">
        <v>0.39026620370370368</v>
      </c>
      <c r="H136" t="s">
        <v>79</v>
      </c>
      <c r="I136">
        <v>20</v>
      </c>
      <c r="J136" t="s">
        <v>31</v>
      </c>
      <c r="K136" t="s">
        <v>26</v>
      </c>
      <c r="L136" t="s">
        <v>32</v>
      </c>
      <c r="M136" t="s">
        <v>27</v>
      </c>
      <c r="N136" t="s">
        <v>37</v>
      </c>
      <c r="O136" t="s">
        <v>33</v>
      </c>
      <c r="P136" t="s">
        <v>29</v>
      </c>
      <c r="Q136" t="s">
        <v>27</v>
      </c>
      <c r="R136" t="s">
        <v>76</v>
      </c>
      <c r="S136" s="3" t="s">
        <v>168</v>
      </c>
      <c r="T136" t="s">
        <v>78</v>
      </c>
      <c r="U136">
        <v>3</v>
      </c>
      <c r="V136" t="s">
        <v>30</v>
      </c>
      <c r="W136">
        <v>517545.29</v>
      </c>
      <c r="X136">
        <v>4701370.09</v>
      </c>
    </row>
    <row r="137" spans="1:24" x14ac:dyDescent="0.2">
      <c r="A137">
        <v>1</v>
      </c>
      <c r="B137" s="1">
        <v>38703</v>
      </c>
      <c r="D137">
        <v>137</v>
      </c>
      <c r="E137" s="1">
        <v>38703</v>
      </c>
      <c r="F137">
        <v>136</v>
      </c>
      <c r="G137" s="2">
        <v>0.39277777777777773</v>
      </c>
      <c r="H137" t="s">
        <v>169</v>
      </c>
      <c r="I137">
        <v>4</v>
      </c>
      <c r="J137" t="s">
        <v>31</v>
      </c>
      <c r="K137" t="s">
        <v>26</v>
      </c>
      <c r="L137" t="s">
        <v>32</v>
      </c>
      <c r="M137" t="s">
        <v>27</v>
      </c>
      <c r="N137" t="s">
        <v>37</v>
      </c>
      <c r="O137" t="s">
        <v>33</v>
      </c>
      <c r="P137" t="s">
        <v>29</v>
      </c>
      <c r="Q137" t="s">
        <v>27</v>
      </c>
      <c r="R137" t="s">
        <v>76</v>
      </c>
      <c r="S137" s="3" t="s">
        <v>168</v>
      </c>
      <c r="T137" t="s">
        <v>78</v>
      </c>
      <c r="U137">
        <v>4</v>
      </c>
      <c r="V137" t="s">
        <v>30</v>
      </c>
      <c r="W137">
        <v>517542.3</v>
      </c>
      <c r="X137">
        <v>4701371.34</v>
      </c>
    </row>
    <row r="138" spans="1:24" x14ac:dyDescent="0.2">
      <c r="A138">
        <v>1</v>
      </c>
      <c r="B138" s="1">
        <v>38703</v>
      </c>
      <c r="D138">
        <v>138</v>
      </c>
      <c r="E138" s="1">
        <v>38703</v>
      </c>
      <c r="F138">
        <v>137</v>
      </c>
      <c r="G138" s="2">
        <v>0.39178240740740744</v>
      </c>
      <c r="H138" t="s">
        <v>169</v>
      </c>
      <c r="I138">
        <v>4</v>
      </c>
      <c r="J138" t="s">
        <v>31</v>
      </c>
      <c r="K138" t="s">
        <v>26</v>
      </c>
      <c r="L138" t="s">
        <v>32</v>
      </c>
      <c r="M138" t="s">
        <v>27</v>
      </c>
      <c r="N138" t="s">
        <v>37</v>
      </c>
      <c r="O138" t="s">
        <v>33</v>
      </c>
      <c r="P138" t="s">
        <v>29</v>
      </c>
      <c r="Q138" t="s">
        <v>27</v>
      </c>
      <c r="R138" t="s">
        <v>76</v>
      </c>
      <c r="S138" s="3" t="s">
        <v>168</v>
      </c>
      <c r="T138" t="s">
        <v>78</v>
      </c>
      <c r="U138">
        <v>5</v>
      </c>
      <c r="V138" t="s">
        <v>30</v>
      </c>
      <c r="W138">
        <v>517534.58</v>
      </c>
      <c r="X138">
        <v>4701371.09</v>
      </c>
    </row>
    <row r="139" spans="1:24" x14ac:dyDescent="0.2">
      <c r="A139">
        <v>1</v>
      </c>
      <c r="B139" s="1">
        <v>38703</v>
      </c>
      <c r="C139" t="s">
        <v>43</v>
      </c>
      <c r="D139">
        <v>139</v>
      </c>
      <c r="E139" s="1">
        <v>38703</v>
      </c>
      <c r="F139">
        <v>138</v>
      </c>
      <c r="G139" s="2">
        <v>0.39310185185185187</v>
      </c>
      <c r="H139" t="s">
        <v>113</v>
      </c>
      <c r="I139">
        <v>4</v>
      </c>
      <c r="J139" t="s">
        <v>31</v>
      </c>
      <c r="K139" t="s">
        <v>26</v>
      </c>
      <c r="L139" t="s">
        <v>32</v>
      </c>
      <c r="M139" t="s">
        <v>27</v>
      </c>
      <c r="N139" t="s">
        <v>37</v>
      </c>
      <c r="O139" t="s">
        <v>33</v>
      </c>
      <c r="P139" t="s">
        <v>25</v>
      </c>
      <c r="Q139" t="s">
        <v>27</v>
      </c>
      <c r="R139" t="s">
        <v>76</v>
      </c>
      <c r="S139" s="3" t="s">
        <v>168</v>
      </c>
      <c r="T139" t="s">
        <v>78</v>
      </c>
      <c r="U139">
        <v>6</v>
      </c>
      <c r="V139" t="s">
        <v>30</v>
      </c>
      <c r="W139">
        <v>517542.8</v>
      </c>
      <c r="X139">
        <v>4701369.59</v>
      </c>
    </row>
    <row r="140" spans="1:24" x14ac:dyDescent="0.2">
      <c r="A140">
        <v>1</v>
      </c>
      <c r="B140" s="1">
        <v>38703</v>
      </c>
      <c r="C140" t="s">
        <v>43</v>
      </c>
      <c r="D140">
        <v>140</v>
      </c>
      <c r="E140" s="1">
        <v>38703</v>
      </c>
      <c r="F140">
        <v>139</v>
      </c>
      <c r="G140" s="2">
        <v>0.3941898148148148</v>
      </c>
      <c r="H140" t="s">
        <v>113</v>
      </c>
      <c r="I140">
        <v>4</v>
      </c>
      <c r="J140" t="s">
        <v>31</v>
      </c>
      <c r="K140" t="s">
        <v>26</v>
      </c>
      <c r="L140" t="s">
        <v>32</v>
      </c>
      <c r="M140" t="s">
        <v>27</v>
      </c>
      <c r="N140" t="s">
        <v>37</v>
      </c>
      <c r="O140" t="s">
        <v>33</v>
      </c>
      <c r="P140" t="s">
        <v>25</v>
      </c>
      <c r="Q140" t="s">
        <v>27</v>
      </c>
      <c r="R140" t="s">
        <v>76</v>
      </c>
      <c r="S140" s="3" t="s">
        <v>168</v>
      </c>
      <c r="T140" t="s">
        <v>78</v>
      </c>
      <c r="U140">
        <v>7</v>
      </c>
      <c r="V140" t="s">
        <v>30</v>
      </c>
      <c r="W140">
        <v>517542.55</v>
      </c>
      <c r="X140">
        <v>4701367.5999999996</v>
      </c>
    </row>
    <row r="141" spans="1:24" x14ac:dyDescent="0.2">
      <c r="A141">
        <v>1</v>
      </c>
      <c r="B141" s="1">
        <v>38703</v>
      </c>
      <c r="C141" t="s">
        <v>43</v>
      </c>
      <c r="D141">
        <v>141</v>
      </c>
      <c r="E141" s="1">
        <v>38703</v>
      </c>
      <c r="F141">
        <v>140</v>
      </c>
      <c r="G141" s="2">
        <v>0.39437499999999998</v>
      </c>
      <c r="H141" t="s">
        <v>113</v>
      </c>
      <c r="I141">
        <v>4</v>
      </c>
      <c r="J141" t="s">
        <v>31</v>
      </c>
      <c r="K141" t="s">
        <v>26</v>
      </c>
      <c r="L141" t="s">
        <v>32</v>
      </c>
      <c r="M141" t="s">
        <v>27</v>
      </c>
      <c r="N141" t="s">
        <v>37</v>
      </c>
      <c r="O141" t="s">
        <v>33</v>
      </c>
      <c r="P141" t="s">
        <v>25</v>
      </c>
      <c r="Q141" t="s">
        <v>27</v>
      </c>
      <c r="R141" t="s">
        <v>76</v>
      </c>
      <c r="S141" s="3" t="s">
        <v>168</v>
      </c>
      <c r="T141" t="s">
        <v>78</v>
      </c>
      <c r="U141">
        <v>8</v>
      </c>
      <c r="V141" t="s">
        <v>30</v>
      </c>
      <c r="W141">
        <v>517535.32</v>
      </c>
      <c r="X141">
        <v>4701369.34</v>
      </c>
    </row>
    <row r="142" spans="1:24" x14ac:dyDescent="0.2">
      <c r="A142">
        <v>1</v>
      </c>
      <c r="B142" s="1">
        <v>38703</v>
      </c>
      <c r="C142" t="s">
        <v>43</v>
      </c>
      <c r="D142">
        <v>142</v>
      </c>
      <c r="E142" s="1">
        <v>38703</v>
      </c>
      <c r="F142">
        <v>141</v>
      </c>
      <c r="G142" s="2">
        <v>0.39452546296296293</v>
      </c>
      <c r="H142" t="s">
        <v>113</v>
      </c>
      <c r="I142">
        <v>4</v>
      </c>
      <c r="J142" t="s">
        <v>31</v>
      </c>
      <c r="K142" t="s">
        <v>26</v>
      </c>
      <c r="L142" t="s">
        <v>32</v>
      </c>
      <c r="M142" t="s">
        <v>27</v>
      </c>
      <c r="N142" t="s">
        <v>37</v>
      </c>
      <c r="O142" t="s">
        <v>33</v>
      </c>
      <c r="P142" t="s">
        <v>25</v>
      </c>
      <c r="Q142" t="s">
        <v>27</v>
      </c>
      <c r="R142" t="s">
        <v>76</v>
      </c>
      <c r="S142" s="3" t="s">
        <v>168</v>
      </c>
      <c r="T142" t="s">
        <v>78</v>
      </c>
      <c r="U142">
        <v>9</v>
      </c>
      <c r="V142" t="s">
        <v>30</v>
      </c>
      <c r="W142">
        <v>517535.32</v>
      </c>
      <c r="X142">
        <v>4701367.5999999996</v>
      </c>
    </row>
    <row r="143" spans="1:24" x14ac:dyDescent="0.2">
      <c r="A143">
        <v>1</v>
      </c>
      <c r="B143" s="1">
        <v>38703</v>
      </c>
      <c r="C143" t="s">
        <v>170</v>
      </c>
      <c r="D143">
        <v>143</v>
      </c>
      <c r="E143" s="1">
        <v>38703</v>
      </c>
      <c r="F143">
        <v>142</v>
      </c>
      <c r="G143" s="2">
        <v>0.39576388888888886</v>
      </c>
      <c r="H143" t="s">
        <v>152</v>
      </c>
      <c r="I143">
        <v>3</v>
      </c>
      <c r="J143" t="s">
        <v>53</v>
      </c>
      <c r="K143" t="s">
        <v>42</v>
      </c>
      <c r="L143" t="s">
        <v>32</v>
      </c>
      <c r="M143" t="s">
        <v>27</v>
      </c>
      <c r="N143" t="s">
        <v>37</v>
      </c>
      <c r="O143" t="s">
        <v>33</v>
      </c>
      <c r="P143" t="s">
        <v>25</v>
      </c>
      <c r="Q143" t="s">
        <v>27</v>
      </c>
      <c r="R143" t="s">
        <v>76</v>
      </c>
      <c r="S143" s="3" t="s">
        <v>168</v>
      </c>
      <c r="T143" t="s">
        <v>78</v>
      </c>
      <c r="U143">
        <v>10</v>
      </c>
      <c r="V143" t="s">
        <v>30</v>
      </c>
      <c r="W143">
        <v>517543.55</v>
      </c>
      <c r="X143">
        <v>4701357.1399999997</v>
      </c>
    </row>
    <row r="144" spans="1:24" x14ac:dyDescent="0.2">
      <c r="A144">
        <v>1</v>
      </c>
      <c r="B144" s="1">
        <v>38703</v>
      </c>
      <c r="D144">
        <v>144</v>
      </c>
      <c r="E144" s="1">
        <v>38703</v>
      </c>
      <c r="F144">
        <v>143</v>
      </c>
      <c r="G144" s="2">
        <v>0.39756944444444442</v>
      </c>
      <c r="H144" t="s">
        <v>152</v>
      </c>
      <c r="I144">
        <v>3</v>
      </c>
      <c r="J144" t="s">
        <v>31</v>
      </c>
      <c r="K144" t="s">
        <v>26</v>
      </c>
      <c r="L144" t="s">
        <v>32</v>
      </c>
      <c r="M144" t="s">
        <v>27</v>
      </c>
      <c r="N144" t="s">
        <v>37</v>
      </c>
      <c r="O144" t="s">
        <v>33</v>
      </c>
      <c r="P144" t="s">
        <v>31</v>
      </c>
      <c r="Q144" t="s">
        <v>27</v>
      </c>
      <c r="R144" t="s">
        <v>76</v>
      </c>
      <c r="S144" s="3" t="s">
        <v>168</v>
      </c>
      <c r="T144" t="s">
        <v>78</v>
      </c>
      <c r="U144">
        <v>11</v>
      </c>
      <c r="V144" t="s">
        <v>30</v>
      </c>
      <c r="W144">
        <v>517541.55</v>
      </c>
      <c r="X144">
        <v>4701356.8899999997</v>
      </c>
    </row>
    <row r="145" spans="1:24" x14ac:dyDescent="0.2">
      <c r="A145">
        <v>1</v>
      </c>
      <c r="B145" s="1">
        <v>38703</v>
      </c>
      <c r="D145">
        <v>145</v>
      </c>
      <c r="E145" s="1">
        <v>38703</v>
      </c>
      <c r="F145">
        <v>144</v>
      </c>
      <c r="G145" s="2">
        <v>0.39803240740740736</v>
      </c>
      <c r="H145" t="s">
        <v>152</v>
      </c>
      <c r="I145">
        <v>3</v>
      </c>
      <c r="J145" t="s">
        <v>31</v>
      </c>
      <c r="K145" t="s">
        <v>26</v>
      </c>
      <c r="L145" t="s">
        <v>32</v>
      </c>
      <c r="M145" t="s">
        <v>27</v>
      </c>
      <c r="N145" t="s">
        <v>37</v>
      </c>
      <c r="O145" t="s">
        <v>33</v>
      </c>
      <c r="P145" t="s">
        <v>31</v>
      </c>
      <c r="Q145" t="s">
        <v>27</v>
      </c>
      <c r="R145" t="s">
        <v>76</v>
      </c>
      <c r="S145" s="3" t="s">
        <v>168</v>
      </c>
      <c r="T145" t="s">
        <v>78</v>
      </c>
      <c r="U145">
        <v>12</v>
      </c>
      <c r="V145" t="s">
        <v>30</v>
      </c>
      <c r="W145">
        <v>517539.31</v>
      </c>
      <c r="X145">
        <v>4701357.1399999997</v>
      </c>
    </row>
    <row r="146" spans="1:24" x14ac:dyDescent="0.2">
      <c r="A146">
        <v>1</v>
      </c>
      <c r="B146" s="1">
        <v>38703</v>
      </c>
      <c r="D146">
        <v>146</v>
      </c>
      <c r="E146" s="1">
        <v>38703</v>
      </c>
      <c r="F146">
        <v>145</v>
      </c>
      <c r="G146" s="2">
        <v>0.39846064814814813</v>
      </c>
      <c r="H146" t="s">
        <v>152</v>
      </c>
      <c r="I146">
        <v>3</v>
      </c>
      <c r="J146" t="s">
        <v>31</v>
      </c>
      <c r="K146" t="s">
        <v>26</v>
      </c>
      <c r="L146" t="s">
        <v>32</v>
      </c>
      <c r="M146" t="s">
        <v>27</v>
      </c>
      <c r="N146" t="s">
        <v>37</v>
      </c>
      <c r="O146" t="s">
        <v>33</v>
      </c>
      <c r="P146" t="s">
        <v>31</v>
      </c>
      <c r="Q146" t="s">
        <v>27</v>
      </c>
      <c r="R146" t="s">
        <v>76</v>
      </c>
      <c r="S146" s="3" t="s">
        <v>168</v>
      </c>
      <c r="T146" t="s">
        <v>78</v>
      </c>
      <c r="U146">
        <v>13</v>
      </c>
      <c r="V146" t="s">
        <v>30</v>
      </c>
      <c r="W146">
        <v>517536.57</v>
      </c>
      <c r="X146">
        <v>4701357.1399999997</v>
      </c>
    </row>
    <row r="147" spans="1:24" x14ac:dyDescent="0.2">
      <c r="A147">
        <v>1</v>
      </c>
      <c r="B147" s="1">
        <v>38703</v>
      </c>
      <c r="D147">
        <v>147</v>
      </c>
      <c r="E147" s="1">
        <v>38703</v>
      </c>
      <c r="F147">
        <v>146</v>
      </c>
      <c r="G147" s="2">
        <v>0.3991898148148148</v>
      </c>
      <c r="H147" t="s">
        <v>56</v>
      </c>
      <c r="I147">
        <v>15</v>
      </c>
      <c r="J147" t="s">
        <v>31</v>
      </c>
      <c r="K147" t="s">
        <v>87</v>
      </c>
      <c r="L147" t="s">
        <v>32</v>
      </c>
      <c r="M147" t="s">
        <v>27</v>
      </c>
      <c r="N147" t="s">
        <v>37</v>
      </c>
      <c r="O147" t="s">
        <v>33</v>
      </c>
      <c r="P147" t="s">
        <v>29</v>
      </c>
      <c r="Q147" t="s">
        <v>27</v>
      </c>
      <c r="R147" t="s">
        <v>76</v>
      </c>
      <c r="S147" s="3" t="s">
        <v>168</v>
      </c>
      <c r="T147" t="s">
        <v>78</v>
      </c>
      <c r="U147">
        <v>14</v>
      </c>
      <c r="V147" t="s">
        <v>30</v>
      </c>
      <c r="W147">
        <v>517543.8</v>
      </c>
      <c r="X147">
        <v>4701353.4000000004</v>
      </c>
    </row>
    <row r="148" spans="1:24" x14ac:dyDescent="0.2">
      <c r="A148">
        <v>1</v>
      </c>
      <c r="B148" s="1">
        <v>38703</v>
      </c>
      <c r="D148">
        <v>148</v>
      </c>
      <c r="E148" s="1">
        <v>38703</v>
      </c>
      <c r="F148">
        <v>147</v>
      </c>
      <c r="G148" s="2">
        <v>0.40045138888888893</v>
      </c>
      <c r="H148" t="s">
        <v>79</v>
      </c>
      <c r="I148">
        <v>15</v>
      </c>
      <c r="J148" t="s">
        <v>31</v>
      </c>
      <c r="K148" t="s">
        <v>26</v>
      </c>
      <c r="L148" t="s">
        <v>32</v>
      </c>
      <c r="M148" t="s">
        <v>27</v>
      </c>
      <c r="N148" t="s">
        <v>37</v>
      </c>
      <c r="O148" t="s">
        <v>33</v>
      </c>
      <c r="P148" t="s">
        <v>29</v>
      </c>
      <c r="Q148" t="s">
        <v>27</v>
      </c>
      <c r="R148" t="s">
        <v>76</v>
      </c>
      <c r="S148" s="3" t="s">
        <v>168</v>
      </c>
      <c r="T148" t="s">
        <v>78</v>
      </c>
      <c r="U148">
        <v>15</v>
      </c>
      <c r="V148" t="s">
        <v>30</v>
      </c>
      <c r="W148">
        <v>517532.58</v>
      </c>
      <c r="X148">
        <v>4701350.66</v>
      </c>
    </row>
    <row r="149" spans="1:24" x14ac:dyDescent="0.2">
      <c r="A149">
        <v>1</v>
      </c>
      <c r="B149" s="1">
        <v>38703</v>
      </c>
      <c r="D149">
        <v>149</v>
      </c>
      <c r="E149" s="1">
        <v>38703</v>
      </c>
      <c r="F149">
        <v>148</v>
      </c>
      <c r="G149" s="2">
        <v>0.40108796296296295</v>
      </c>
      <c r="H149" t="s">
        <v>169</v>
      </c>
      <c r="I149">
        <v>4</v>
      </c>
      <c r="J149" t="s">
        <v>31</v>
      </c>
      <c r="K149" t="s">
        <v>26</v>
      </c>
      <c r="L149" t="s">
        <v>32</v>
      </c>
      <c r="M149" t="s">
        <v>27</v>
      </c>
      <c r="N149" t="s">
        <v>37</v>
      </c>
      <c r="O149" t="s">
        <v>33</v>
      </c>
      <c r="P149" t="s">
        <v>31</v>
      </c>
      <c r="Q149" t="s">
        <v>27</v>
      </c>
      <c r="R149" t="s">
        <v>76</v>
      </c>
      <c r="S149" s="3" t="s">
        <v>168</v>
      </c>
      <c r="T149" t="s">
        <v>78</v>
      </c>
      <c r="U149">
        <v>16</v>
      </c>
      <c r="V149" t="s">
        <v>30</v>
      </c>
      <c r="W149">
        <v>517526.35</v>
      </c>
      <c r="X149">
        <v>4701350.91</v>
      </c>
    </row>
    <row r="150" spans="1:24" x14ac:dyDescent="0.2">
      <c r="A150">
        <v>1</v>
      </c>
      <c r="B150" s="1">
        <v>38703</v>
      </c>
      <c r="D150">
        <v>150</v>
      </c>
      <c r="E150" s="1">
        <v>38703</v>
      </c>
      <c r="F150">
        <v>149</v>
      </c>
      <c r="G150" s="2">
        <v>0.40619212962962964</v>
      </c>
      <c r="H150" t="s">
        <v>75</v>
      </c>
      <c r="I150">
        <v>40</v>
      </c>
      <c r="J150" t="s">
        <v>31</v>
      </c>
      <c r="K150" t="s">
        <v>26</v>
      </c>
      <c r="L150" t="s">
        <v>32</v>
      </c>
      <c r="M150" t="s">
        <v>27</v>
      </c>
      <c r="N150" t="s">
        <v>37</v>
      </c>
      <c r="O150" t="s">
        <v>33</v>
      </c>
      <c r="P150" t="s">
        <v>29</v>
      </c>
      <c r="Q150" t="s">
        <v>27</v>
      </c>
      <c r="R150" t="s">
        <v>76</v>
      </c>
      <c r="S150" s="3" t="s">
        <v>77</v>
      </c>
      <c r="T150" t="s">
        <v>78</v>
      </c>
      <c r="U150">
        <v>3</v>
      </c>
      <c r="V150" t="s">
        <v>30</v>
      </c>
      <c r="W150">
        <v>517514.15</v>
      </c>
      <c r="X150">
        <v>4701346.42</v>
      </c>
    </row>
    <row r="151" spans="1:24" x14ac:dyDescent="0.2">
      <c r="A151">
        <v>1</v>
      </c>
      <c r="B151" s="1">
        <v>38703</v>
      </c>
      <c r="D151">
        <v>151</v>
      </c>
      <c r="E151" s="1">
        <v>38703</v>
      </c>
      <c r="F151">
        <v>150</v>
      </c>
      <c r="G151" s="2">
        <v>0.40780092592592593</v>
      </c>
      <c r="H151" t="s">
        <v>75</v>
      </c>
      <c r="I151">
        <v>40</v>
      </c>
      <c r="J151" t="s">
        <v>31</v>
      </c>
      <c r="K151" t="s">
        <v>26</v>
      </c>
      <c r="L151" t="s">
        <v>32</v>
      </c>
      <c r="M151" t="s">
        <v>27</v>
      </c>
      <c r="N151" t="s">
        <v>37</v>
      </c>
      <c r="O151" t="s">
        <v>33</v>
      </c>
      <c r="P151" t="s">
        <v>29</v>
      </c>
      <c r="Q151" t="s">
        <v>27</v>
      </c>
      <c r="R151" t="s">
        <v>76</v>
      </c>
      <c r="S151" s="3" t="s">
        <v>77</v>
      </c>
      <c r="T151" t="s">
        <v>78</v>
      </c>
      <c r="U151">
        <v>4</v>
      </c>
      <c r="V151" t="s">
        <v>30</v>
      </c>
      <c r="W151">
        <v>517513.65</v>
      </c>
      <c r="X151">
        <v>4701300.83</v>
      </c>
    </row>
    <row r="152" spans="1:24" x14ac:dyDescent="0.2">
      <c r="A152">
        <v>1</v>
      </c>
      <c r="B152" s="1">
        <v>38703</v>
      </c>
      <c r="D152">
        <v>152</v>
      </c>
      <c r="E152" s="1">
        <v>38703</v>
      </c>
      <c r="F152">
        <v>151</v>
      </c>
      <c r="G152" s="2">
        <v>0.40859953703703705</v>
      </c>
      <c r="H152" t="s">
        <v>50</v>
      </c>
      <c r="I152">
        <v>5</v>
      </c>
      <c r="J152" t="s">
        <v>52</v>
      </c>
      <c r="K152" t="s">
        <v>26</v>
      </c>
      <c r="L152" t="s">
        <v>32</v>
      </c>
      <c r="M152" t="s">
        <v>27</v>
      </c>
      <c r="N152" t="s">
        <v>37</v>
      </c>
      <c r="O152" t="s">
        <v>33</v>
      </c>
      <c r="P152" t="s">
        <v>29</v>
      </c>
      <c r="Q152" t="s">
        <v>27</v>
      </c>
      <c r="R152" t="s">
        <v>76</v>
      </c>
      <c r="S152" s="3" t="s">
        <v>77</v>
      </c>
      <c r="T152" t="s">
        <v>78</v>
      </c>
      <c r="U152">
        <v>5</v>
      </c>
      <c r="V152" t="s">
        <v>30</v>
      </c>
      <c r="W152">
        <v>517513.4</v>
      </c>
      <c r="X152">
        <v>4701308.8</v>
      </c>
    </row>
    <row r="153" spans="1:24" x14ac:dyDescent="0.2">
      <c r="A153">
        <v>1</v>
      </c>
      <c r="B153" s="1">
        <v>38703</v>
      </c>
      <c r="D153">
        <v>153</v>
      </c>
      <c r="E153" s="1">
        <v>38703</v>
      </c>
      <c r="F153">
        <v>152</v>
      </c>
      <c r="G153" s="2">
        <v>0.4098148148148148</v>
      </c>
      <c r="H153" t="s">
        <v>94</v>
      </c>
      <c r="I153">
        <v>18</v>
      </c>
      <c r="J153" t="s">
        <v>31</v>
      </c>
      <c r="K153" t="s">
        <v>26</v>
      </c>
      <c r="L153" t="s">
        <v>32</v>
      </c>
      <c r="M153" t="s">
        <v>27</v>
      </c>
      <c r="N153" t="s">
        <v>37</v>
      </c>
      <c r="O153" t="s">
        <v>33</v>
      </c>
      <c r="P153" t="s">
        <v>29</v>
      </c>
      <c r="Q153" t="s">
        <v>27</v>
      </c>
      <c r="R153" t="s">
        <v>76</v>
      </c>
      <c r="S153" s="3" t="s">
        <v>77</v>
      </c>
      <c r="T153" t="s">
        <v>78</v>
      </c>
      <c r="U153">
        <v>6</v>
      </c>
      <c r="V153" t="s">
        <v>30</v>
      </c>
      <c r="W153">
        <v>517513.15</v>
      </c>
      <c r="X153">
        <v>4701322.75</v>
      </c>
    </row>
    <row r="154" spans="1:24" x14ac:dyDescent="0.2">
      <c r="A154">
        <v>1</v>
      </c>
      <c r="B154" s="1">
        <v>38703</v>
      </c>
      <c r="D154">
        <v>154</v>
      </c>
      <c r="E154" s="1">
        <v>38703</v>
      </c>
      <c r="F154">
        <v>153</v>
      </c>
      <c r="G154" s="2">
        <v>0.41076388888888887</v>
      </c>
      <c r="H154" t="s">
        <v>171</v>
      </c>
      <c r="I154">
        <v>16</v>
      </c>
      <c r="J154" t="s">
        <v>31</v>
      </c>
      <c r="K154" t="s">
        <v>26</v>
      </c>
      <c r="L154" t="s">
        <v>32</v>
      </c>
      <c r="M154" t="s">
        <v>27</v>
      </c>
      <c r="N154" t="s">
        <v>37</v>
      </c>
      <c r="O154" t="s">
        <v>33</v>
      </c>
      <c r="P154" t="s">
        <v>31</v>
      </c>
      <c r="Q154" t="s">
        <v>27</v>
      </c>
      <c r="R154" t="s">
        <v>76</v>
      </c>
      <c r="S154" s="3" t="s">
        <v>77</v>
      </c>
      <c r="T154" t="s">
        <v>78</v>
      </c>
      <c r="U154">
        <v>7</v>
      </c>
      <c r="V154" t="s">
        <v>30</v>
      </c>
      <c r="W154">
        <v>517515.39</v>
      </c>
      <c r="X154">
        <v>4701337.95</v>
      </c>
    </row>
    <row r="155" spans="1:24" x14ac:dyDescent="0.2">
      <c r="A155">
        <v>1</v>
      </c>
      <c r="B155" s="1">
        <v>38703</v>
      </c>
      <c r="C155" t="s">
        <v>172</v>
      </c>
      <c r="D155">
        <v>155</v>
      </c>
      <c r="E155" s="1">
        <v>38703</v>
      </c>
      <c r="F155">
        <v>154</v>
      </c>
      <c r="G155" s="2">
        <v>0.41297453703703701</v>
      </c>
      <c r="H155" t="s">
        <v>173</v>
      </c>
      <c r="I155">
        <v>12</v>
      </c>
      <c r="J155" t="s">
        <v>25</v>
      </c>
      <c r="K155" t="s">
        <v>26</v>
      </c>
      <c r="L155" t="s">
        <v>32</v>
      </c>
      <c r="M155" t="s">
        <v>27</v>
      </c>
      <c r="N155" t="s">
        <v>37</v>
      </c>
      <c r="O155" t="s">
        <v>33</v>
      </c>
      <c r="P155" t="s">
        <v>29</v>
      </c>
      <c r="Q155" t="s">
        <v>27</v>
      </c>
      <c r="R155" t="s">
        <v>76</v>
      </c>
      <c r="S155" s="3" t="s">
        <v>77</v>
      </c>
      <c r="T155" t="s">
        <v>78</v>
      </c>
      <c r="U155">
        <v>8</v>
      </c>
      <c r="V155" t="s">
        <v>30</v>
      </c>
      <c r="W155">
        <v>517532.83</v>
      </c>
      <c r="X155">
        <v>4701340.1900000004</v>
      </c>
    </row>
    <row r="156" spans="1:24" x14ac:dyDescent="0.2">
      <c r="A156">
        <v>1</v>
      </c>
      <c r="B156" s="1">
        <v>38703</v>
      </c>
      <c r="D156">
        <v>156</v>
      </c>
      <c r="E156" s="1">
        <v>38703</v>
      </c>
      <c r="F156">
        <v>155</v>
      </c>
      <c r="G156" s="2">
        <v>0.41425925925925927</v>
      </c>
      <c r="H156" t="s">
        <v>94</v>
      </c>
      <c r="I156">
        <v>10</v>
      </c>
      <c r="J156" t="s">
        <v>25</v>
      </c>
      <c r="K156" t="s">
        <v>26</v>
      </c>
      <c r="L156" t="s">
        <v>32</v>
      </c>
      <c r="M156" t="s">
        <v>27</v>
      </c>
      <c r="N156" t="s">
        <v>37</v>
      </c>
      <c r="O156" t="s">
        <v>33</v>
      </c>
      <c r="P156" t="s">
        <v>29</v>
      </c>
      <c r="Q156" t="s">
        <v>27</v>
      </c>
      <c r="R156" t="s">
        <v>76</v>
      </c>
      <c r="S156" s="3" t="s">
        <v>174</v>
      </c>
      <c r="T156" t="s">
        <v>78</v>
      </c>
      <c r="U156">
        <v>1</v>
      </c>
      <c r="V156" t="s">
        <v>30</v>
      </c>
      <c r="W156">
        <v>517540.56</v>
      </c>
      <c r="X156">
        <v>4701340.4400000004</v>
      </c>
    </row>
    <row r="157" spans="1:24" x14ac:dyDescent="0.2">
      <c r="A157">
        <v>1</v>
      </c>
      <c r="B157" s="1">
        <v>38703</v>
      </c>
      <c r="D157">
        <v>157</v>
      </c>
      <c r="E157" s="1">
        <v>38703</v>
      </c>
      <c r="F157">
        <v>156</v>
      </c>
      <c r="G157" s="2">
        <v>0.41638888888888892</v>
      </c>
      <c r="H157" t="s">
        <v>79</v>
      </c>
      <c r="I157">
        <v>8</v>
      </c>
      <c r="J157" t="s">
        <v>52</v>
      </c>
      <c r="K157" t="s">
        <v>26</v>
      </c>
      <c r="L157" t="s">
        <v>32</v>
      </c>
      <c r="M157" t="s">
        <v>27</v>
      </c>
      <c r="N157" t="s">
        <v>37</v>
      </c>
      <c r="O157" t="s">
        <v>33</v>
      </c>
      <c r="P157" t="s">
        <v>29</v>
      </c>
      <c r="Q157" t="s">
        <v>27</v>
      </c>
      <c r="R157" t="s">
        <v>76</v>
      </c>
      <c r="S157" s="3" t="s">
        <v>174</v>
      </c>
      <c r="T157" t="s">
        <v>78</v>
      </c>
      <c r="U157">
        <v>2</v>
      </c>
      <c r="V157" t="s">
        <v>30</v>
      </c>
      <c r="W157">
        <v>517561.24</v>
      </c>
      <c r="X157">
        <v>4701348.17</v>
      </c>
    </row>
    <row r="158" spans="1:24" x14ac:dyDescent="0.2">
      <c r="A158">
        <v>1</v>
      </c>
      <c r="B158" s="1">
        <v>38703</v>
      </c>
      <c r="D158">
        <v>158</v>
      </c>
      <c r="E158" s="1">
        <v>38703</v>
      </c>
      <c r="F158">
        <v>157</v>
      </c>
      <c r="G158" s="2">
        <v>0.41734953703703703</v>
      </c>
      <c r="H158" t="s">
        <v>79</v>
      </c>
      <c r="I158">
        <v>8</v>
      </c>
      <c r="J158" t="s">
        <v>52</v>
      </c>
      <c r="K158" t="s">
        <v>26</v>
      </c>
      <c r="L158" t="s">
        <v>32</v>
      </c>
      <c r="M158" t="s">
        <v>27</v>
      </c>
      <c r="N158" t="s">
        <v>37</v>
      </c>
      <c r="O158" t="s">
        <v>33</v>
      </c>
      <c r="P158" t="s">
        <v>29</v>
      </c>
      <c r="Q158" t="s">
        <v>27</v>
      </c>
      <c r="R158" t="s">
        <v>76</v>
      </c>
      <c r="S158" s="3" t="s">
        <v>174</v>
      </c>
      <c r="T158" t="s">
        <v>78</v>
      </c>
      <c r="U158">
        <v>3</v>
      </c>
      <c r="V158" t="s">
        <v>30</v>
      </c>
      <c r="W158">
        <v>517563.23</v>
      </c>
      <c r="X158">
        <v>4701334.96</v>
      </c>
    </row>
    <row r="159" spans="1:24" x14ac:dyDescent="0.2">
      <c r="A159">
        <v>1</v>
      </c>
      <c r="B159" s="1">
        <v>38703</v>
      </c>
      <c r="D159">
        <v>159</v>
      </c>
      <c r="E159" s="1">
        <v>38703</v>
      </c>
      <c r="F159">
        <v>158</v>
      </c>
      <c r="G159" s="2">
        <v>0.41782407407407413</v>
      </c>
      <c r="H159" t="s">
        <v>75</v>
      </c>
      <c r="I159">
        <v>16</v>
      </c>
      <c r="J159" t="s">
        <v>31</v>
      </c>
      <c r="K159" t="s">
        <v>26</v>
      </c>
      <c r="L159" t="s">
        <v>32</v>
      </c>
      <c r="M159" t="s">
        <v>27</v>
      </c>
      <c r="N159" t="s">
        <v>37</v>
      </c>
      <c r="O159" t="s">
        <v>33</v>
      </c>
      <c r="P159" t="s">
        <v>29</v>
      </c>
      <c r="Q159" t="s">
        <v>27</v>
      </c>
      <c r="R159" t="s">
        <v>76</v>
      </c>
      <c r="S159" s="3" t="s">
        <v>174</v>
      </c>
      <c r="T159" t="s">
        <v>78</v>
      </c>
      <c r="U159">
        <v>4</v>
      </c>
      <c r="V159" t="s">
        <v>30</v>
      </c>
      <c r="W159">
        <v>517563.23</v>
      </c>
      <c r="X159">
        <v>4701323</v>
      </c>
    </row>
    <row r="160" spans="1:24" x14ac:dyDescent="0.2">
      <c r="A160">
        <v>1</v>
      </c>
      <c r="B160" s="1">
        <v>38703</v>
      </c>
      <c r="C160" t="s">
        <v>175</v>
      </c>
      <c r="D160">
        <v>160</v>
      </c>
      <c r="E160" s="1">
        <v>38703</v>
      </c>
      <c r="F160">
        <v>159</v>
      </c>
      <c r="G160" s="2">
        <v>0.42506944444444444</v>
      </c>
      <c r="H160" t="s">
        <v>94</v>
      </c>
      <c r="I160">
        <v>14</v>
      </c>
      <c r="J160" t="s">
        <v>38</v>
      </c>
      <c r="K160" t="s">
        <v>42</v>
      </c>
      <c r="L160" t="s">
        <v>32</v>
      </c>
      <c r="M160" t="s">
        <v>27</v>
      </c>
      <c r="N160" t="s">
        <v>28</v>
      </c>
      <c r="O160" t="s">
        <v>33</v>
      </c>
      <c r="P160" t="s">
        <v>31</v>
      </c>
      <c r="Q160" t="s">
        <v>27</v>
      </c>
      <c r="R160" t="s">
        <v>76</v>
      </c>
      <c r="S160" s="3" t="s">
        <v>174</v>
      </c>
      <c r="T160" t="s">
        <v>78</v>
      </c>
      <c r="U160">
        <v>5</v>
      </c>
      <c r="V160" t="s">
        <v>30</v>
      </c>
      <c r="W160">
        <v>517556.75</v>
      </c>
      <c r="X160">
        <v>4701315.28</v>
      </c>
    </row>
    <row r="161" spans="1:24" x14ac:dyDescent="0.2">
      <c r="A161">
        <v>1</v>
      </c>
      <c r="B161" s="1">
        <v>38703</v>
      </c>
      <c r="C161" t="s">
        <v>176</v>
      </c>
      <c r="D161">
        <v>161</v>
      </c>
      <c r="E161" s="1">
        <v>38703</v>
      </c>
      <c r="F161">
        <v>160</v>
      </c>
      <c r="G161" s="2">
        <v>0.42137731481481483</v>
      </c>
      <c r="H161" t="s">
        <v>119</v>
      </c>
      <c r="I161">
        <v>5</v>
      </c>
      <c r="J161" t="s">
        <v>38</v>
      </c>
      <c r="K161" t="s">
        <v>42</v>
      </c>
      <c r="L161" t="s">
        <v>32</v>
      </c>
      <c r="M161" t="s">
        <v>27</v>
      </c>
      <c r="N161" t="s">
        <v>37</v>
      </c>
      <c r="O161" t="s">
        <v>33</v>
      </c>
      <c r="P161" t="s">
        <v>31</v>
      </c>
      <c r="Q161" t="s">
        <v>27</v>
      </c>
      <c r="R161" t="s">
        <v>76</v>
      </c>
      <c r="S161" s="3" t="s">
        <v>174</v>
      </c>
      <c r="T161" t="s">
        <v>78</v>
      </c>
      <c r="U161">
        <v>6</v>
      </c>
      <c r="V161" t="s">
        <v>30</v>
      </c>
      <c r="W161">
        <v>517563.73</v>
      </c>
      <c r="X161">
        <v>4701307.3099999996</v>
      </c>
    </row>
    <row r="162" spans="1:24" x14ac:dyDescent="0.2">
      <c r="A162">
        <v>1</v>
      </c>
      <c r="B162" s="1">
        <v>38703</v>
      </c>
      <c r="C162" t="s">
        <v>49</v>
      </c>
      <c r="D162">
        <v>162</v>
      </c>
      <c r="E162" s="1">
        <v>38703</v>
      </c>
      <c r="F162">
        <v>161</v>
      </c>
      <c r="G162" s="2">
        <v>0.42386574074074074</v>
      </c>
      <c r="H162" t="s">
        <v>94</v>
      </c>
      <c r="I162">
        <v>10</v>
      </c>
      <c r="J162" t="s">
        <v>38</v>
      </c>
      <c r="K162" t="s">
        <v>35</v>
      </c>
      <c r="L162" t="s">
        <v>32</v>
      </c>
      <c r="M162" t="s">
        <v>27</v>
      </c>
      <c r="N162" t="s">
        <v>34</v>
      </c>
      <c r="O162" t="s">
        <v>33</v>
      </c>
      <c r="P162" t="s">
        <v>31</v>
      </c>
      <c r="Q162" t="s">
        <v>27</v>
      </c>
      <c r="R162" t="s">
        <v>76</v>
      </c>
      <c r="S162" s="3" t="s">
        <v>174</v>
      </c>
      <c r="T162" t="s">
        <v>78</v>
      </c>
      <c r="U162">
        <v>7</v>
      </c>
      <c r="V162" t="s">
        <v>30</v>
      </c>
      <c r="W162">
        <v>517561.24</v>
      </c>
      <c r="X162">
        <v>4701282.8899999997</v>
      </c>
    </row>
    <row r="163" spans="1:24" x14ac:dyDescent="0.2">
      <c r="A163">
        <v>1</v>
      </c>
      <c r="B163" s="1">
        <v>38703</v>
      </c>
      <c r="C163" t="s">
        <v>43</v>
      </c>
      <c r="D163">
        <v>163</v>
      </c>
      <c r="E163" s="1">
        <v>38703</v>
      </c>
      <c r="F163">
        <v>162</v>
      </c>
      <c r="G163" s="2">
        <v>0.4259027777777778</v>
      </c>
      <c r="H163" t="s">
        <v>177</v>
      </c>
      <c r="I163">
        <v>9</v>
      </c>
      <c r="J163" t="s">
        <v>31</v>
      </c>
      <c r="K163" t="s">
        <v>26</v>
      </c>
      <c r="L163" t="s">
        <v>32</v>
      </c>
      <c r="M163" t="s">
        <v>27</v>
      </c>
      <c r="N163" t="s">
        <v>37</v>
      </c>
      <c r="O163" t="s">
        <v>33</v>
      </c>
      <c r="P163" t="s">
        <v>31</v>
      </c>
      <c r="Q163" t="s">
        <v>27</v>
      </c>
      <c r="R163" t="s">
        <v>76</v>
      </c>
      <c r="S163" s="3" t="s">
        <v>174</v>
      </c>
      <c r="T163" t="s">
        <v>78</v>
      </c>
      <c r="U163">
        <v>8</v>
      </c>
      <c r="V163" t="s">
        <v>30</v>
      </c>
      <c r="W163">
        <v>517555.01</v>
      </c>
      <c r="X163">
        <v>4701274.92</v>
      </c>
    </row>
    <row r="164" spans="1:24" x14ac:dyDescent="0.2">
      <c r="A164">
        <v>1</v>
      </c>
      <c r="B164" s="1">
        <v>38703</v>
      </c>
      <c r="C164" t="s">
        <v>43</v>
      </c>
      <c r="D164">
        <v>164</v>
      </c>
      <c r="E164" s="1">
        <v>38703</v>
      </c>
      <c r="F164">
        <v>163</v>
      </c>
      <c r="G164" s="2">
        <v>0.42660879629629633</v>
      </c>
      <c r="H164" t="s">
        <v>177</v>
      </c>
      <c r="I164">
        <v>9</v>
      </c>
      <c r="J164" t="s">
        <v>31</v>
      </c>
      <c r="K164" t="s">
        <v>26</v>
      </c>
      <c r="L164" t="s">
        <v>32</v>
      </c>
      <c r="M164" t="s">
        <v>27</v>
      </c>
      <c r="N164" t="s">
        <v>37</v>
      </c>
      <c r="O164" t="s">
        <v>33</v>
      </c>
      <c r="P164" t="s">
        <v>31</v>
      </c>
      <c r="Q164" t="s">
        <v>27</v>
      </c>
      <c r="R164" t="s">
        <v>76</v>
      </c>
      <c r="S164" s="3" t="s">
        <v>77</v>
      </c>
      <c r="T164" t="s">
        <v>178</v>
      </c>
      <c r="U164">
        <v>1</v>
      </c>
      <c r="V164" t="s">
        <v>30</v>
      </c>
      <c r="W164">
        <v>517551.02</v>
      </c>
      <c r="X164">
        <v>4701272.43</v>
      </c>
    </row>
    <row r="165" spans="1:24" x14ac:dyDescent="0.2">
      <c r="A165">
        <v>1</v>
      </c>
      <c r="B165" s="1">
        <v>38703</v>
      </c>
      <c r="D165">
        <v>165</v>
      </c>
      <c r="E165" s="1">
        <v>38703</v>
      </c>
      <c r="F165">
        <v>164</v>
      </c>
      <c r="G165" s="2">
        <v>0.42855324074074069</v>
      </c>
      <c r="H165" t="s">
        <v>171</v>
      </c>
      <c r="I165">
        <v>4</v>
      </c>
      <c r="J165" t="s">
        <v>52</v>
      </c>
      <c r="K165" t="s">
        <v>26</v>
      </c>
      <c r="L165" t="s">
        <v>32</v>
      </c>
      <c r="M165" t="s">
        <v>27</v>
      </c>
      <c r="N165" t="s">
        <v>37</v>
      </c>
      <c r="O165" t="s">
        <v>33</v>
      </c>
      <c r="P165" t="s">
        <v>31</v>
      </c>
      <c r="Q165" t="s">
        <v>27</v>
      </c>
      <c r="R165" t="s">
        <v>76</v>
      </c>
      <c r="S165" s="3" t="s">
        <v>174</v>
      </c>
      <c r="T165" t="s">
        <v>78</v>
      </c>
      <c r="U165">
        <v>9</v>
      </c>
      <c r="V165" t="s">
        <v>30</v>
      </c>
      <c r="W165">
        <v>517545.54</v>
      </c>
      <c r="X165">
        <v>4701275.66</v>
      </c>
    </row>
    <row r="166" spans="1:24" x14ac:dyDescent="0.2">
      <c r="A166">
        <v>1</v>
      </c>
      <c r="B166" s="1">
        <v>38703</v>
      </c>
      <c r="D166">
        <v>166</v>
      </c>
      <c r="E166" s="1">
        <v>38703</v>
      </c>
      <c r="F166">
        <v>165</v>
      </c>
      <c r="G166" s="2">
        <v>0.4611574074074074</v>
      </c>
      <c r="H166" t="s">
        <v>179</v>
      </c>
      <c r="I166">
        <v>8</v>
      </c>
      <c r="J166" t="s">
        <v>31</v>
      </c>
      <c r="K166" t="s">
        <v>87</v>
      </c>
      <c r="L166" t="s">
        <v>32</v>
      </c>
      <c r="M166" t="s">
        <v>27</v>
      </c>
      <c r="N166" t="s">
        <v>37</v>
      </c>
      <c r="O166" t="s">
        <v>33</v>
      </c>
      <c r="P166" t="s">
        <v>31</v>
      </c>
      <c r="Q166" t="s">
        <v>27</v>
      </c>
      <c r="R166" t="s">
        <v>76</v>
      </c>
      <c r="S166" s="3" t="s">
        <v>174</v>
      </c>
      <c r="T166" t="s">
        <v>78</v>
      </c>
      <c r="U166">
        <v>10</v>
      </c>
      <c r="V166" t="s">
        <v>30</v>
      </c>
      <c r="W166">
        <v>517531.84</v>
      </c>
      <c r="X166">
        <v>4701275.66</v>
      </c>
    </row>
    <row r="167" spans="1:24" x14ac:dyDescent="0.2">
      <c r="A167">
        <v>1</v>
      </c>
      <c r="B167" s="1">
        <v>38703</v>
      </c>
      <c r="D167">
        <v>167</v>
      </c>
      <c r="E167" s="1">
        <v>38703</v>
      </c>
      <c r="F167">
        <v>166</v>
      </c>
      <c r="G167" s="2">
        <v>0.46567129629629633</v>
      </c>
      <c r="H167" t="s">
        <v>146</v>
      </c>
      <c r="I167">
        <v>2</v>
      </c>
      <c r="J167" t="s">
        <v>52</v>
      </c>
      <c r="K167" t="s">
        <v>26</v>
      </c>
      <c r="L167" t="s">
        <v>32</v>
      </c>
      <c r="M167" t="s">
        <v>27</v>
      </c>
      <c r="N167" t="s">
        <v>37</v>
      </c>
      <c r="O167" t="s">
        <v>33</v>
      </c>
      <c r="P167" t="s">
        <v>29</v>
      </c>
      <c r="Q167" t="s">
        <v>27</v>
      </c>
      <c r="R167" t="s">
        <v>76</v>
      </c>
      <c r="S167" s="3" t="s">
        <v>174</v>
      </c>
      <c r="T167" t="s">
        <v>78</v>
      </c>
      <c r="U167">
        <v>11</v>
      </c>
      <c r="V167" t="s">
        <v>30</v>
      </c>
      <c r="W167">
        <v>517529.06</v>
      </c>
      <c r="X167">
        <v>4701276.18</v>
      </c>
    </row>
    <row r="168" spans="1:24" x14ac:dyDescent="0.2">
      <c r="A168">
        <v>1</v>
      </c>
      <c r="B168" s="1">
        <v>38703</v>
      </c>
      <c r="D168">
        <v>168</v>
      </c>
      <c r="E168" s="1">
        <v>38703</v>
      </c>
      <c r="F168">
        <v>167</v>
      </c>
      <c r="G168" s="2">
        <v>0.46674768518518522</v>
      </c>
      <c r="H168" t="s">
        <v>152</v>
      </c>
      <c r="I168">
        <v>7</v>
      </c>
      <c r="J168" t="s">
        <v>31</v>
      </c>
      <c r="K168" t="s">
        <v>26</v>
      </c>
      <c r="L168" t="s">
        <v>32</v>
      </c>
      <c r="M168" t="s">
        <v>27</v>
      </c>
      <c r="N168" t="s">
        <v>37</v>
      </c>
      <c r="O168" t="s">
        <v>33</v>
      </c>
      <c r="P168" t="s">
        <v>31</v>
      </c>
      <c r="Q168" t="s">
        <v>27</v>
      </c>
      <c r="R168" t="s">
        <v>76</v>
      </c>
      <c r="S168" s="3" t="s">
        <v>174</v>
      </c>
      <c r="T168" t="s">
        <v>78</v>
      </c>
      <c r="U168">
        <v>12</v>
      </c>
      <c r="V168" t="s">
        <v>30</v>
      </c>
      <c r="W168">
        <v>517524.71</v>
      </c>
      <c r="X168">
        <v>4701275.74</v>
      </c>
    </row>
    <row r="169" spans="1:24" x14ac:dyDescent="0.2">
      <c r="A169">
        <v>1</v>
      </c>
      <c r="B169" s="1">
        <v>38703</v>
      </c>
      <c r="C169" t="s">
        <v>51</v>
      </c>
      <c r="D169">
        <v>211</v>
      </c>
      <c r="E169" s="1">
        <v>38703</v>
      </c>
      <c r="F169">
        <v>210</v>
      </c>
      <c r="G169" s="2">
        <v>0.55644675925925924</v>
      </c>
      <c r="H169" t="s">
        <v>180</v>
      </c>
      <c r="I169">
        <v>6</v>
      </c>
      <c r="J169" t="s">
        <v>52</v>
      </c>
      <c r="K169" t="s">
        <v>26</v>
      </c>
      <c r="L169" t="s">
        <v>32</v>
      </c>
      <c r="M169" t="s">
        <v>27</v>
      </c>
      <c r="N169" t="s">
        <v>37</v>
      </c>
      <c r="O169" t="s">
        <v>33</v>
      </c>
      <c r="P169" t="s">
        <v>29</v>
      </c>
      <c r="Q169" t="s">
        <v>27</v>
      </c>
      <c r="R169" t="s">
        <v>76</v>
      </c>
      <c r="S169" s="3" t="s">
        <v>181</v>
      </c>
      <c r="T169" t="s">
        <v>78</v>
      </c>
      <c r="U169">
        <v>1</v>
      </c>
      <c r="V169" t="s">
        <v>30</v>
      </c>
      <c r="W169">
        <v>517378.96</v>
      </c>
      <c r="X169">
        <v>4701362.17</v>
      </c>
    </row>
    <row r="170" spans="1:24" x14ac:dyDescent="0.2">
      <c r="A170">
        <v>1</v>
      </c>
      <c r="B170" s="1">
        <v>38703</v>
      </c>
      <c r="C170" t="s">
        <v>51</v>
      </c>
      <c r="D170">
        <v>212</v>
      </c>
      <c r="E170" s="1">
        <v>38703</v>
      </c>
      <c r="F170">
        <v>211</v>
      </c>
      <c r="G170" s="2">
        <v>0.55760416666666668</v>
      </c>
      <c r="H170" t="s">
        <v>180</v>
      </c>
      <c r="I170">
        <v>6</v>
      </c>
      <c r="J170" t="s">
        <v>52</v>
      </c>
      <c r="K170" t="s">
        <v>26</v>
      </c>
      <c r="L170" t="s">
        <v>32</v>
      </c>
      <c r="M170" t="s">
        <v>27</v>
      </c>
      <c r="N170" t="s">
        <v>37</v>
      </c>
      <c r="O170" t="s">
        <v>33</v>
      </c>
      <c r="P170" t="s">
        <v>29</v>
      </c>
      <c r="Q170" t="s">
        <v>27</v>
      </c>
      <c r="R170" t="s">
        <v>76</v>
      </c>
      <c r="S170" s="3" t="s">
        <v>181</v>
      </c>
      <c r="T170" t="s">
        <v>78</v>
      </c>
      <c r="U170">
        <v>2</v>
      </c>
      <c r="V170" t="s">
        <v>30</v>
      </c>
      <c r="W170">
        <v>517398.13</v>
      </c>
      <c r="X170">
        <v>4701361.66</v>
      </c>
    </row>
    <row r="171" spans="1:24" x14ac:dyDescent="0.2">
      <c r="A171">
        <v>1</v>
      </c>
      <c r="B171" s="1">
        <v>38703</v>
      </c>
      <c r="D171">
        <v>213</v>
      </c>
      <c r="E171" s="1">
        <v>38703</v>
      </c>
      <c r="F171">
        <v>212</v>
      </c>
      <c r="G171" s="2">
        <v>0.55788194444444439</v>
      </c>
      <c r="H171" t="s">
        <v>146</v>
      </c>
      <c r="I171">
        <v>3</v>
      </c>
      <c r="J171" t="s">
        <v>52</v>
      </c>
      <c r="K171" t="s">
        <v>26</v>
      </c>
      <c r="L171" t="s">
        <v>32</v>
      </c>
      <c r="M171" t="s">
        <v>27</v>
      </c>
      <c r="N171" t="s">
        <v>37</v>
      </c>
      <c r="O171" t="s">
        <v>33</v>
      </c>
      <c r="P171" t="s">
        <v>29</v>
      </c>
      <c r="Q171" t="s">
        <v>27</v>
      </c>
      <c r="R171" t="s">
        <v>76</v>
      </c>
      <c r="S171" s="3" t="s">
        <v>181</v>
      </c>
      <c r="T171" t="s">
        <v>78</v>
      </c>
      <c r="U171">
        <v>3</v>
      </c>
      <c r="V171" t="s">
        <v>30</v>
      </c>
      <c r="W171">
        <v>517403.25</v>
      </c>
      <c r="X171">
        <v>4701352.1900000004</v>
      </c>
    </row>
    <row r="172" spans="1:24" x14ac:dyDescent="0.2">
      <c r="A172">
        <v>1</v>
      </c>
      <c r="B172" s="1">
        <v>38703</v>
      </c>
      <c r="C172" t="s">
        <v>182</v>
      </c>
      <c r="D172">
        <v>214</v>
      </c>
      <c r="E172" s="1">
        <v>38703</v>
      </c>
      <c r="F172">
        <v>213</v>
      </c>
      <c r="G172" s="2">
        <v>0.55912037037037032</v>
      </c>
      <c r="H172" t="s">
        <v>183</v>
      </c>
      <c r="I172">
        <v>12</v>
      </c>
      <c r="J172" t="s">
        <v>31</v>
      </c>
      <c r="K172" t="s">
        <v>26</v>
      </c>
      <c r="L172" t="s">
        <v>32</v>
      </c>
      <c r="M172" t="s">
        <v>27</v>
      </c>
      <c r="N172" t="s">
        <v>37</v>
      </c>
      <c r="O172" t="s">
        <v>33</v>
      </c>
      <c r="P172" t="s">
        <v>31</v>
      </c>
      <c r="Q172" t="s">
        <v>27</v>
      </c>
      <c r="R172" t="s">
        <v>76</v>
      </c>
      <c r="S172" s="3" t="s">
        <v>181</v>
      </c>
      <c r="T172" t="s">
        <v>78</v>
      </c>
      <c r="U172">
        <v>4</v>
      </c>
      <c r="V172" t="s">
        <v>30</v>
      </c>
      <c r="W172">
        <v>517395.32</v>
      </c>
      <c r="X172">
        <v>4701359.0999999996</v>
      </c>
    </row>
    <row r="173" spans="1:24" x14ac:dyDescent="0.2">
      <c r="A173">
        <v>1</v>
      </c>
      <c r="B173" s="1">
        <v>38703</v>
      </c>
      <c r="D173">
        <v>215</v>
      </c>
      <c r="E173" s="1">
        <v>38703</v>
      </c>
      <c r="F173">
        <v>214</v>
      </c>
      <c r="G173" s="2">
        <v>0.56057870370370366</v>
      </c>
      <c r="H173" t="s">
        <v>79</v>
      </c>
      <c r="I173">
        <v>12</v>
      </c>
      <c r="J173" t="s">
        <v>31</v>
      </c>
      <c r="K173" t="s">
        <v>26</v>
      </c>
      <c r="L173" t="s">
        <v>32</v>
      </c>
      <c r="M173" t="s">
        <v>27</v>
      </c>
      <c r="N173" t="s">
        <v>37</v>
      </c>
      <c r="O173" t="s">
        <v>33</v>
      </c>
      <c r="P173" t="s">
        <v>31</v>
      </c>
      <c r="Q173" t="s">
        <v>27</v>
      </c>
      <c r="R173" t="s">
        <v>76</v>
      </c>
      <c r="S173" s="3" t="s">
        <v>181</v>
      </c>
      <c r="T173" t="s">
        <v>78</v>
      </c>
      <c r="U173">
        <v>5</v>
      </c>
      <c r="V173" t="s">
        <v>30</v>
      </c>
      <c r="W173">
        <v>517386.88</v>
      </c>
      <c r="X173">
        <v>4701359.3499999996</v>
      </c>
    </row>
    <row r="174" spans="1:24" x14ac:dyDescent="0.2">
      <c r="A174">
        <v>1</v>
      </c>
      <c r="B174" s="1">
        <v>38703</v>
      </c>
      <c r="D174">
        <v>216</v>
      </c>
      <c r="E174" s="1">
        <v>38703</v>
      </c>
      <c r="F174">
        <v>215</v>
      </c>
      <c r="G174" s="2">
        <v>0.56137731481481479</v>
      </c>
      <c r="H174" t="s">
        <v>79</v>
      </c>
      <c r="I174">
        <v>10</v>
      </c>
      <c r="J174" t="s">
        <v>31</v>
      </c>
      <c r="K174" t="s">
        <v>26</v>
      </c>
      <c r="L174" t="s">
        <v>32</v>
      </c>
      <c r="M174" t="s">
        <v>27</v>
      </c>
      <c r="N174" t="s">
        <v>37</v>
      </c>
      <c r="O174" t="s">
        <v>33</v>
      </c>
      <c r="P174" t="s">
        <v>29</v>
      </c>
      <c r="Q174" t="s">
        <v>27</v>
      </c>
      <c r="R174" t="s">
        <v>76</v>
      </c>
      <c r="S174" s="3" t="s">
        <v>181</v>
      </c>
      <c r="T174" t="s">
        <v>78</v>
      </c>
      <c r="U174">
        <v>6</v>
      </c>
      <c r="V174" t="s">
        <v>30</v>
      </c>
      <c r="W174">
        <v>517375.38</v>
      </c>
      <c r="X174">
        <v>4701359.87</v>
      </c>
    </row>
    <row r="175" spans="1:24" x14ac:dyDescent="0.2">
      <c r="A175">
        <v>1</v>
      </c>
      <c r="B175" s="1">
        <v>38703</v>
      </c>
      <c r="D175">
        <v>217</v>
      </c>
      <c r="E175" s="1">
        <v>38703</v>
      </c>
      <c r="F175">
        <v>216</v>
      </c>
      <c r="G175" s="2">
        <v>0.56208333333333338</v>
      </c>
      <c r="H175" t="s">
        <v>135</v>
      </c>
      <c r="I175">
        <v>1</v>
      </c>
      <c r="J175" t="s">
        <v>52</v>
      </c>
      <c r="K175" t="s">
        <v>87</v>
      </c>
      <c r="L175" t="s">
        <v>32</v>
      </c>
      <c r="M175" t="s">
        <v>27</v>
      </c>
      <c r="N175" t="s">
        <v>37</v>
      </c>
      <c r="O175" t="s">
        <v>33</v>
      </c>
      <c r="P175" t="s">
        <v>29</v>
      </c>
      <c r="Q175" t="s">
        <v>27</v>
      </c>
      <c r="R175" t="s">
        <v>76</v>
      </c>
      <c r="S175" s="3" t="s">
        <v>181</v>
      </c>
      <c r="T175" t="s">
        <v>78</v>
      </c>
      <c r="U175">
        <v>7</v>
      </c>
      <c r="V175" t="s">
        <v>30</v>
      </c>
      <c r="W175">
        <v>517380.75</v>
      </c>
      <c r="X175">
        <v>4701352.1900000004</v>
      </c>
    </row>
    <row r="176" spans="1:24" x14ac:dyDescent="0.2">
      <c r="A176">
        <v>1</v>
      </c>
      <c r="B176" s="1">
        <v>38703</v>
      </c>
      <c r="D176">
        <v>218</v>
      </c>
      <c r="E176" s="1">
        <v>38703</v>
      </c>
      <c r="F176">
        <v>217</v>
      </c>
      <c r="G176" s="2">
        <v>0.56311342592592595</v>
      </c>
      <c r="H176" t="s">
        <v>135</v>
      </c>
      <c r="I176">
        <v>1</v>
      </c>
      <c r="J176" t="s">
        <v>52</v>
      </c>
      <c r="K176" t="s">
        <v>87</v>
      </c>
      <c r="L176" t="s">
        <v>32</v>
      </c>
      <c r="M176" t="s">
        <v>27</v>
      </c>
      <c r="N176" t="s">
        <v>37</v>
      </c>
      <c r="O176" t="s">
        <v>33</v>
      </c>
      <c r="P176" t="s">
        <v>29</v>
      </c>
      <c r="Q176" t="s">
        <v>27</v>
      </c>
      <c r="R176" t="s">
        <v>76</v>
      </c>
      <c r="S176" s="3" t="s">
        <v>181</v>
      </c>
      <c r="T176" t="s">
        <v>78</v>
      </c>
      <c r="U176">
        <v>8</v>
      </c>
      <c r="V176" t="s">
        <v>30</v>
      </c>
      <c r="W176">
        <v>517385.6</v>
      </c>
      <c r="X176">
        <v>4701340.18</v>
      </c>
    </row>
    <row r="177" spans="1:24" x14ac:dyDescent="0.2">
      <c r="A177">
        <v>1</v>
      </c>
      <c r="B177" s="1">
        <v>38703</v>
      </c>
      <c r="D177">
        <v>219</v>
      </c>
      <c r="E177" s="1">
        <v>38703</v>
      </c>
      <c r="F177">
        <v>218</v>
      </c>
      <c r="G177" s="2">
        <v>0.56366898148148148</v>
      </c>
      <c r="H177" t="s">
        <v>135</v>
      </c>
      <c r="I177">
        <v>1</v>
      </c>
      <c r="J177" t="s">
        <v>52</v>
      </c>
      <c r="K177" t="s">
        <v>87</v>
      </c>
      <c r="L177" t="s">
        <v>32</v>
      </c>
      <c r="M177" t="s">
        <v>27</v>
      </c>
      <c r="N177" t="s">
        <v>37</v>
      </c>
      <c r="O177" t="s">
        <v>33</v>
      </c>
      <c r="P177" t="s">
        <v>29</v>
      </c>
      <c r="Q177" t="s">
        <v>27</v>
      </c>
      <c r="R177" t="s">
        <v>76</v>
      </c>
      <c r="S177" s="3" t="s">
        <v>181</v>
      </c>
      <c r="T177" t="s">
        <v>78</v>
      </c>
      <c r="U177">
        <v>9</v>
      </c>
      <c r="V177" t="s">
        <v>30</v>
      </c>
      <c r="W177">
        <v>517390.21</v>
      </c>
      <c r="X177">
        <v>4701330.46</v>
      </c>
    </row>
    <row r="178" spans="1:24" x14ac:dyDescent="0.2">
      <c r="A178">
        <v>1</v>
      </c>
      <c r="B178" s="1">
        <v>38703</v>
      </c>
      <c r="D178">
        <v>220</v>
      </c>
      <c r="E178" s="1">
        <v>38703</v>
      </c>
      <c r="F178">
        <v>219</v>
      </c>
      <c r="G178" s="2">
        <v>0.56434027777777784</v>
      </c>
      <c r="H178" t="s">
        <v>135</v>
      </c>
      <c r="I178">
        <v>1</v>
      </c>
      <c r="J178" t="s">
        <v>52</v>
      </c>
      <c r="K178" t="s">
        <v>87</v>
      </c>
      <c r="L178" t="s">
        <v>32</v>
      </c>
      <c r="M178" t="s">
        <v>27</v>
      </c>
      <c r="N178" t="s">
        <v>37</v>
      </c>
      <c r="O178" t="s">
        <v>33</v>
      </c>
      <c r="P178" t="s">
        <v>29</v>
      </c>
      <c r="Q178" t="s">
        <v>27</v>
      </c>
      <c r="R178" t="s">
        <v>76</v>
      </c>
      <c r="S178" s="3" t="s">
        <v>181</v>
      </c>
      <c r="T178" t="s">
        <v>78</v>
      </c>
      <c r="U178">
        <v>10</v>
      </c>
      <c r="V178" t="s">
        <v>30</v>
      </c>
      <c r="W178">
        <v>517395.83</v>
      </c>
      <c r="X178">
        <v>4701318.7</v>
      </c>
    </row>
    <row r="179" spans="1:24" x14ac:dyDescent="0.2">
      <c r="A179">
        <v>1</v>
      </c>
      <c r="B179" s="1">
        <v>38703</v>
      </c>
      <c r="D179">
        <v>221</v>
      </c>
      <c r="E179" s="1">
        <v>38703</v>
      </c>
      <c r="F179">
        <v>220</v>
      </c>
      <c r="G179" s="2">
        <v>0.56447916666666664</v>
      </c>
      <c r="H179" t="s">
        <v>135</v>
      </c>
      <c r="I179">
        <v>1</v>
      </c>
      <c r="J179" t="s">
        <v>52</v>
      </c>
      <c r="K179" t="s">
        <v>87</v>
      </c>
      <c r="L179" t="s">
        <v>32</v>
      </c>
      <c r="M179" t="s">
        <v>27</v>
      </c>
      <c r="N179" t="s">
        <v>37</v>
      </c>
      <c r="O179" t="s">
        <v>33</v>
      </c>
      <c r="P179" t="s">
        <v>29</v>
      </c>
      <c r="Q179" t="s">
        <v>27</v>
      </c>
      <c r="R179" t="s">
        <v>76</v>
      </c>
      <c r="S179" s="3" t="s">
        <v>181</v>
      </c>
      <c r="T179" t="s">
        <v>78</v>
      </c>
      <c r="U179">
        <v>11</v>
      </c>
      <c r="V179" t="s">
        <v>30</v>
      </c>
      <c r="W179">
        <v>517403.5</v>
      </c>
      <c r="X179">
        <v>4701307.1900000004</v>
      </c>
    </row>
    <row r="180" spans="1:24" x14ac:dyDescent="0.2">
      <c r="A180">
        <v>1</v>
      </c>
      <c r="B180" s="1">
        <v>38703</v>
      </c>
      <c r="D180">
        <v>222</v>
      </c>
      <c r="E180" s="1">
        <v>38703</v>
      </c>
      <c r="F180">
        <v>221</v>
      </c>
      <c r="G180" s="2">
        <v>0.56556712962962963</v>
      </c>
      <c r="H180" t="s">
        <v>135</v>
      </c>
      <c r="I180">
        <v>1</v>
      </c>
      <c r="J180" t="s">
        <v>52</v>
      </c>
      <c r="K180" t="s">
        <v>87</v>
      </c>
      <c r="L180" t="s">
        <v>32</v>
      </c>
      <c r="M180" t="s">
        <v>27</v>
      </c>
      <c r="N180" t="s">
        <v>37</v>
      </c>
      <c r="O180" t="s">
        <v>33</v>
      </c>
      <c r="P180" t="s">
        <v>29</v>
      </c>
      <c r="Q180" t="s">
        <v>27</v>
      </c>
      <c r="R180" t="s">
        <v>76</v>
      </c>
      <c r="S180" s="3" t="s">
        <v>181</v>
      </c>
      <c r="T180" t="s">
        <v>78</v>
      </c>
      <c r="U180">
        <v>12</v>
      </c>
      <c r="V180" t="s">
        <v>30</v>
      </c>
      <c r="W180">
        <v>517410.92</v>
      </c>
      <c r="X180">
        <v>4701297.7300000004</v>
      </c>
    </row>
    <row r="181" spans="1:24" x14ac:dyDescent="0.2">
      <c r="A181">
        <v>1</v>
      </c>
      <c r="B181" s="1">
        <v>38703</v>
      </c>
      <c r="D181">
        <v>223</v>
      </c>
      <c r="E181" s="1">
        <v>38703</v>
      </c>
      <c r="F181">
        <v>222</v>
      </c>
      <c r="G181" s="2">
        <v>0.56586805555555553</v>
      </c>
      <c r="H181" t="s">
        <v>135</v>
      </c>
      <c r="I181">
        <v>1</v>
      </c>
      <c r="J181" t="s">
        <v>52</v>
      </c>
      <c r="K181" t="s">
        <v>87</v>
      </c>
      <c r="L181" t="s">
        <v>32</v>
      </c>
      <c r="M181" t="s">
        <v>27</v>
      </c>
      <c r="N181" t="s">
        <v>37</v>
      </c>
      <c r="O181" t="s">
        <v>33</v>
      </c>
      <c r="P181" t="s">
        <v>29</v>
      </c>
      <c r="Q181" t="s">
        <v>27</v>
      </c>
      <c r="R181" t="s">
        <v>76</v>
      </c>
      <c r="S181" s="3" t="s">
        <v>181</v>
      </c>
      <c r="T181" t="s">
        <v>78</v>
      </c>
      <c r="U181">
        <v>13</v>
      </c>
      <c r="V181" t="s">
        <v>30</v>
      </c>
      <c r="W181">
        <v>517419.87</v>
      </c>
      <c r="X181">
        <v>4701288.01</v>
      </c>
    </row>
    <row r="182" spans="1:24" x14ac:dyDescent="0.2">
      <c r="A182">
        <v>1</v>
      </c>
      <c r="B182" s="1">
        <v>38703</v>
      </c>
      <c r="D182">
        <v>224</v>
      </c>
      <c r="E182" s="1">
        <v>38703</v>
      </c>
      <c r="F182">
        <v>223</v>
      </c>
      <c r="G182" s="2">
        <v>0.56646990740740744</v>
      </c>
      <c r="H182" t="s">
        <v>135</v>
      </c>
      <c r="I182">
        <v>1</v>
      </c>
      <c r="J182" t="s">
        <v>52</v>
      </c>
      <c r="K182" t="s">
        <v>87</v>
      </c>
      <c r="L182" t="s">
        <v>32</v>
      </c>
      <c r="M182" t="s">
        <v>27</v>
      </c>
      <c r="N182" t="s">
        <v>37</v>
      </c>
      <c r="O182" t="s">
        <v>33</v>
      </c>
      <c r="P182" t="s">
        <v>29</v>
      </c>
      <c r="Q182" t="s">
        <v>27</v>
      </c>
      <c r="R182" t="s">
        <v>76</v>
      </c>
      <c r="S182" s="3" t="s">
        <v>181</v>
      </c>
      <c r="T182" t="s">
        <v>78</v>
      </c>
      <c r="U182">
        <v>14</v>
      </c>
      <c r="V182" t="s">
        <v>30</v>
      </c>
      <c r="W182">
        <v>517431.12</v>
      </c>
      <c r="X182">
        <v>4701277.0199999996</v>
      </c>
    </row>
    <row r="183" spans="1:24" x14ac:dyDescent="0.2">
      <c r="A183">
        <v>1</v>
      </c>
      <c r="B183" s="1">
        <v>38703</v>
      </c>
      <c r="D183">
        <v>225</v>
      </c>
      <c r="E183" s="1">
        <v>38703</v>
      </c>
      <c r="F183">
        <v>224</v>
      </c>
      <c r="G183" s="2">
        <v>0.56674768518518526</v>
      </c>
      <c r="H183" t="s">
        <v>135</v>
      </c>
      <c r="I183">
        <v>1</v>
      </c>
      <c r="J183" t="s">
        <v>52</v>
      </c>
      <c r="K183" t="s">
        <v>87</v>
      </c>
      <c r="L183" t="s">
        <v>32</v>
      </c>
      <c r="M183" t="s">
        <v>27</v>
      </c>
      <c r="N183" t="s">
        <v>37</v>
      </c>
      <c r="O183" t="s">
        <v>33</v>
      </c>
      <c r="P183" t="s">
        <v>29</v>
      </c>
      <c r="Q183" t="s">
        <v>27</v>
      </c>
      <c r="R183" t="s">
        <v>76</v>
      </c>
      <c r="S183" s="3" t="s">
        <v>181</v>
      </c>
      <c r="T183" t="s">
        <v>78</v>
      </c>
      <c r="U183">
        <v>15</v>
      </c>
      <c r="V183" t="s">
        <v>30</v>
      </c>
      <c r="W183">
        <v>517449.57</v>
      </c>
      <c r="X183">
        <v>4701262.84</v>
      </c>
    </row>
    <row r="184" spans="1:24" x14ac:dyDescent="0.2">
      <c r="A184">
        <v>1</v>
      </c>
      <c r="B184" s="1">
        <v>38703</v>
      </c>
      <c r="D184">
        <v>240</v>
      </c>
      <c r="E184" s="1">
        <v>38703</v>
      </c>
      <c r="F184">
        <v>239</v>
      </c>
      <c r="G184" s="2">
        <v>0.58795138888888887</v>
      </c>
      <c r="H184" t="s">
        <v>135</v>
      </c>
      <c r="I184">
        <v>3</v>
      </c>
      <c r="J184" t="s">
        <v>52</v>
      </c>
      <c r="K184" t="s">
        <v>87</v>
      </c>
      <c r="L184" t="s">
        <v>32</v>
      </c>
      <c r="M184" t="s">
        <v>27</v>
      </c>
      <c r="N184" t="s">
        <v>37</v>
      </c>
      <c r="O184" t="s">
        <v>33</v>
      </c>
      <c r="P184" t="s">
        <v>29</v>
      </c>
      <c r="Q184" t="s">
        <v>27</v>
      </c>
      <c r="R184" t="s">
        <v>76</v>
      </c>
      <c r="S184" s="3" t="s">
        <v>184</v>
      </c>
      <c r="T184" t="s">
        <v>185</v>
      </c>
      <c r="U184">
        <v>19</v>
      </c>
      <c r="V184" t="s">
        <v>30</v>
      </c>
      <c r="W184">
        <v>517368.43</v>
      </c>
      <c r="X184">
        <v>4701431.59</v>
      </c>
    </row>
    <row r="185" spans="1:24" x14ac:dyDescent="0.2">
      <c r="A185">
        <v>1</v>
      </c>
      <c r="B185" s="1">
        <v>38703</v>
      </c>
      <c r="D185">
        <v>241</v>
      </c>
      <c r="E185" s="1">
        <v>38703</v>
      </c>
      <c r="F185">
        <v>240</v>
      </c>
      <c r="G185" s="2">
        <v>0.5886689814814815</v>
      </c>
      <c r="H185" t="s">
        <v>135</v>
      </c>
      <c r="I185">
        <v>1</v>
      </c>
      <c r="J185" t="s">
        <v>52</v>
      </c>
      <c r="K185" t="s">
        <v>87</v>
      </c>
      <c r="L185" t="s">
        <v>32</v>
      </c>
      <c r="M185" t="s">
        <v>27</v>
      </c>
      <c r="N185" t="s">
        <v>37</v>
      </c>
      <c r="O185" t="s">
        <v>33</v>
      </c>
      <c r="P185" t="s">
        <v>29</v>
      </c>
      <c r="Q185" t="s">
        <v>27</v>
      </c>
      <c r="R185" t="s">
        <v>76</v>
      </c>
      <c r="S185" s="3" t="s">
        <v>184</v>
      </c>
      <c r="T185" t="s">
        <v>78</v>
      </c>
      <c r="U185">
        <v>1</v>
      </c>
      <c r="V185" t="s">
        <v>30</v>
      </c>
      <c r="W185">
        <v>517368.12</v>
      </c>
      <c r="X185">
        <v>4701424.82</v>
      </c>
    </row>
    <row r="186" spans="1:24" x14ac:dyDescent="0.2">
      <c r="A186">
        <v>1</v>
      </c>
      <c r="B186" s="1">
        <v>38703</v>
      </c>
      <c r="D186">
        <v>242</v>
      </c>
      <c r="E186" s="1">
        <v>38703</v>
      </c>
      <c r="F186">
        <v>241</v>
      </c>
      <c r="G186" s="2">
        <v>0.58954861111111112</v>
      </c>
      <c r="H186" t="s">
        <v>135</v>
      </c>
      <c r="I186">
        <v>1</v>
      </c>
      <c r="J186" t="s">
        <v>52</v>
      </c>
      <c r="K186" t="s">
        <v>87</v>
      </c>
      <c r="L186" t="s">
        <v>32</v>
      </c>
      <c r="M186" t="s">
        <v>27</v>
      </c>
      <c r="N186" t="s">
        <v>37</v>
      </c>
      <c r="O186" t="s">
        <v>33</v>
      </c>
      <c r="P186" t="s">
        <v>29</v>
      </c>
      <c r="Q186" t="s">
        <v>27</v>
      </c>
      <c r="R186" t="s">
        <v>76</v>
      </c>
      <c r="S186" s="3" t="s">
        <v>184</v>
      </c>
      <c r="T186" t="s">
        <v>78</v>
      </c>
      <c r="U186">
        <v>2</v>
      </c>
      <c r="V186" t="s">
        <v>30</v>
      </c>
      <c r="W186">
        <v>517367.2</v>
      </c>
      <c r="X186">
        <v>4701440.5</v>
      </c>
    </row>
    <row r="187" spans="1:24" x14ac:dyDescent="0.2">
      <c r="A187">
        <v>1</v>
      </c>
      <c r="B187" s="1">
        <v>38703</v>
      </c>
      <c r="D187">
        <v>243</v>
      </c>
      <c r="E187" s="1">
        <v>38703</v>
      </c>
      <c r="F187">
        <v>242</v>
      </c>
      <c r="G187" s="2">
        <v>0.58968750000000003</v>
      </c>
      <c r="H187" t="s">
        <v>135</v>
      </c>
      <c r="I187">
        <v>1</v>
      </c>
      <c r="J187" t="s">
        <v>52</v>
      </c>
      <c r="K187" t="s">
        <v>87</v>
      </c>
      <c r="L187" t="s">
        <v>32</v>
      </c>
      <c r="M187" t="s">
        <v>27</v>
      </c>
      <c r="N187" t="s">
        <v>37</v>
      </c>
      <c r="O187" t="s">
        <v>33</v>
      </c>
      <c r="P187" t="s">
        <v>29</v>
      </c>
      <c r="Q187" t="s">
        <v>27</v>
      </c>
      <c r="R187" t="s">
        <v>76</v>
      </c>
      <c r="S187" s="3" t="s">
        <v>184</v>
      </c>
      <c r="T187" t="s">
        <v>78</v>
      </c>
      <c r="U187">
        <v>3</v>
      </c>
      <c r="V187" t="s">
        <v>30</v>
      </c>
      <c r="W187">
        <v>517365.04</v>
      </c>
      <c r="X187">
        <v>4701453.0999999996</v>
      </c>
    </row>
    <row r="188" spans="1:24" x14ac:dyDescent="0.2">
      <c r="A188">
        <v>1</v>
      </c>
      <c r="B188" s="1">
        <v>38703</v>
      </c>
      <c r="D188">
        <v>244</v>
      </c>
      <c r="E188" s="1">
        <v>38703</v>
      </c>
      <c r="F188">
        <v>243</v>
      </c>
      <c r="G188" s="2">
        <v>0.59035879629629628</v>
      </c>
      <c r="H188" t="s">
        <v>135</v>
      </c>
      <c r="I188">
        <v>1</v>
      </c>
      <c r="J188" t="s">
        <v>52</v>
      </c>
      <c r="K188" t="s">
        <v>87</v>
      </c>
      <c r="L188" t="s">
        <v>32</v>
      </c>
      <c r="M188" t="s">
        <v>27</v>
      </c>
      <c r="N188" t="s">
        <v>37</v>
      </c>
      <c r="O188" t="s">
        <v>33</v>
      </c>
      <c r="P188" t="s">
        <v>29</v>
      </c>
      <c r="Q188" t="s">
        <v>27</v>
      </c>
      <c r="R188" t="s">
        <v>76</v>
      </c>
      <c r="S188" s="3" t="s">
        <v>184</v>
      </c>
      <c r="T188" t="s">
        <v>78</v>
      </c>
      <c r="U188">
        <v>4</v>
      </c>
      <c r="V188" t="s">
        <v>30</v>
      </c>
      <c r="W188">
        <v>517363.20000000001</v>
      </c>
      <c r="X188">
        <v>4701464.17</v>
      </c>
    </row>
    <row r="189" spans="1:24" x14ac:dyDescent="0.2">
      <c r="A189">
        <v>1</v>
      </c>
      <c r="B189" s="1">
        <v>38703</v>
      </c>
      <c r="D189">
        <v>245</v>
      </c>
      <c r="E189" s="1">
        <v>38703</v>
      </c>
      <c r="F189">
        <v>244</v>
      </c>
      <c r="G189" s="2">
        <v>0.59052083333333327</v>
      </c>
      <c r="H189" t="s">
        <v>135</v>
      </c>
      <c r="I189">
        <v>1</v>
      </c>
      <c r="J189" t="s">
        <v>52</v>
      </c>
      <c r="K189" t="s">
        <v>87</v>
      </c>
      <c r="L189" t="s">
        <v>32</v>
      </c>
      <c r="M189" t="s">
        <v>27</v>
      </c>
      <c r="N189" t="s">
        <v>37</v>
      </c>
      <c r="O189" t="s">
        <v>33</v>
      </c>
      <c r="P189" t="s">
        <v>29</v>
      </c>
      <c r="Q189" t="s">
        <v>27</v>
      </c>
      <c r="R189" t="s">
        <v>76</v>
      </c>
      <c r="S189" s="3" t="s">
        <v>184</v>
      </c>
      <c r="T189" t="s">
        <v>78</v>
      </c>
      <c r="U189">
        <v>5</v>
      </c>
      <c r="V189" t="s">
        <v>30</v>
      </c>
      <c r="W189">
        <v>517361.05</v>
      </c>
      <c r="X189">
        <v>4701478.3099999996</v>
      </c>
    </row>
    <row r="190" spans="1:24" x14ac:dyDescent="0.2">
      <c r="A190">
        <v>1</v>
      </c>
      <c r="B190" s="1">
        <v>38703</v>
      </c>
      <c r="D190">
        <v>246</v>
      </c>
      <c r="E190" s="1">
        <v>38703</v>
      </c>
      <c r="F190">
        <v>245</v>
      </c>
      <c r="G190" s="2">
        <v>0.5940509259259259</v>
      </c>
      <c r="H190" t="s">
        <v>186</v>
      </c>
      <c r="I190">
        <v>2</v>
      </c>
      <c r="J190" t="s">
        <v>52</v>
      </c>
      <c r="K190" t="s">
        <v>87</v>
      </c>
      <c r="L190" t="s">
        <v>32</v>
      </c>
      <c r="M190" t="s">
        <v>27</v>
      </c>
      <c r="N190" t="s">
        <v>37</v>
      </c>
      <c r="O190" t="s">
        <v>33</v>
      </c>
      <c r="P190" t="s">
        <v>29</v>
      </c>
      <c r="Q190" t="s">
        <v>27</v>
      </c>
      <c r="R190" t="s">
        <v>76</v>
      </c>
      <c r="S190" s="3" t="s">
        <v>184</v>
      </c>
      <c r="T190" t="s">
        <v>78</v>
      </c>
      <c r="U190">
        <v>6</v>
      </c>
      <c r="V190" t="s">
        <v>30</v>
      </c>
      <c r="W190">
        <v>517397.01</v>
      </c>
      <c r="X190">
        <v>4701426.05</v>
      </c>
    </row>
    <row r="191" spans="1:24" x14ac:dyDescent="0.2">
      <c r="A191">
        <v>1</v>
      </c>
      <c r="B191" s="1">
        <v>38703</v>
      </c>
      <c r="D191">
        <v>247</v>
      </c>
      <c r="E191" s="1">
        <v>38703</v>
      </c>
      <c r="F191">
        <v>246</v>
      </c>
      <c r="G191" s="2">
        <v>0.5947337962962963</v>
      </c>
      <c r="H191" t="s">
        <v>75</v>
      </c>
      <c r="I191">
        <v>5</v>
      </c>
      <c r="J191" t="s">
        <v>52</v>
      </c>
      <c r="K191" t="s">
        <v>26</v>
      </c>
      <c r="L191" t="s">
        <v>32</v>
      </c>
      <c r="M191" t="s">
        <v>27</v>
      </c>
      <c r="N191" t="s">
        <v>37</v>
      </c>
      <c r="O191" t="s">
        <v>33</v>
      </c>
      <c r="P191" t="s">
        <v>29</v>
      </c>
      <c r="Q191" t="s">
        <v>27</v>
      </c>
      <c r="R191" t="s">
        <v>76</v>
      </c>
      <c r="S191" s="3" t="s">
        <v>184</v>
      </c>
      <c r="T191" t="s">
        <v>78</v>
      </c>
      <c r="U191">
        <v>7</v>
      </c>
      <c r="V191" t="s">
        <v>30</v>
      </c>
      <c r="W191">
        <v>517398.24</v>
      </c>
      <c r="X191">
        <v>4701429.43</v>
      </c>
    </row>
    <row r="192" spans="1:24" x14ac:dyDescent="0.2">
      <c r="A192">
        <v>1</v>
      </c>
      <c r="B192" s="1">
        <v>38703</v>
      </c>
      <c r="C192" t="s">
        <v>170</v>
      </c>
      <c r="D192">
        <v>248</v>
      </c>
      <c r="E192" s="1">
        <v>38703</v>
      </c>
      <c r="F192">
        <v>247</v>
      </c>
      <c r="G192" s="2">
        <v>0.59556712962962965</v>
      </c>
      <c r="H192" t="s">
        <v>82</v>
      </c>
      <c r="I192">
        <v>4</v>
      </c>
      <c r="J192" t="s">
        <v>38</v>
      </c>
      <c r="K192" t="s">
        <v>42</v>
      </c>
      <c r="L192" t="s">
        <v>32</v>
      </c>
      <c r="M192" t="s">
        <v>27</v>
      </c>
      <c r="N192" t="s">
        <v>37</v>
      </c>
      <c r="O192" t="s">
        <v>33</v>
      </c>
      <c r="P192" t="s">
        <v>31</v>
      </c>
      <c r="Q192" t="s">
        <v>27</v>
      </c>
      <c r="R192" t="s">
        <v>76</v>
      </c>
      <c r="S192" s="3" t="s">
        <v>184</v>
      </c>
      <c r="T192" t="s">
        <v>78</v>
      </c>
      <c r="U192">
        <v>8</v>
      </c>
      <c r="V192" t="s">
        <v>30</v>
      </c>
      <c r="W192">
        <v>517397.93</v>
      </c>
      <c r="X192">
        <v>4701442.96</v>
      </c>
    </row>
    <row r="193" spans="1:24" x14ac:dyDescent="0.2">
      <c r="A193">
        <v>1</v>
      </c>
      <c r="B193" s="1">
        <v>38703</v>
      </c>
      <c r="C193" t="s">
        <v>187</v>
      </c>
      <c r="D193">
        <v>249</v>
      </c>
      <c r="E193" s="1">
        <v>38703</v>
      </c>
      <c r="F193">
        <v>248</v>
      </c>
      <c r="G193" s="2">
        <v>0.60339120370370369</v>
      </c>
      <c r="H193" t="s">
        <v>152</v>
      </c>
      <c r="I193">
        <v>2</v>
      </c>
      <c r="J193" t="s">
        <v>53</v>
      </c>
      <c r="K193" t="s">
        <v>42</v>
      </c>
      <c r="L193" t="s">
        <v>32</v>
      </c>
      <c r="M193" t="s">
        <v>27</v>
      </c>
      <c r="N193" t="s">
        <v>37</v>
      </c>
      <c r="O193" t="s">
        <v>33</v>
      </c>
      <c r="P193" t="s">
        <v>31</v>
      </c>
      <c r="Q193" t="s">
        <v>27</v>
      </c>
      <c r="R193" t="s">
        <v>76</v>
      </c>
      <c r="S193" s="3" t="s">
        <v>184</v>
      </c>
      <c r="T193" t="s">
        <v>78</v>
      </c>
      <c r="U193">
        <v>9</v>
      </c>
      <c r="V193" t="s">
        <v>30</v>
      </c>
      <c r="W193">
        <v>517411.76</v>
      </c>
      <c r="X193">
        <v>4701451.87</v>
      </c>
    </row>
    <row r="194" spans="1:24" x14ac:dyDescent="0.2">
      <c r="A194">
        <v>1</v>
      </c>
      <c r="B194" s="1">
        <v>38703</v>
      </c>
      <c r="C194" t="s">
        <v>188</v>
      </c>
      <c r="D194">
        <v>250</v>
      </c>
      <c r="E194" s="1">
        <v>38703</v>
      </c>
      <c r="F194">
        <v>249</v>
      </c>
      <c r="G194" s="2">
        <v>0.60499999999999998</v>
      </c>
      <c r="H194" t="s">
        <v>152</v>
      </c>
      <c r="I194">
        <v>2</v>
      </c>
      <c r="J194" t="s">
        <v>25</v>
      </c>
      <c r="K194" t="s">
        <v>26</v>
      </c>
      <c r="L194" t="s">
        <v>32</v>
      </c>
      <c r="M194" t="s">
        <v>27</v>
      </c>
      <c r="N194" t="s">
        <v>37</v>
      </c>
      <c r="O194" t="s">
        <v>33</v>
      </c>
      <c r="P194" t="s">
        <v>31</v>
      </c>
      <c r="Q194" t="s">
        <v>27</v>
      </c>
      <c r="R194" t="s">
        <v>76</v>
      </c>
      <c r="S194" s="3" t="s">
        <v>184</v>
      </c>
      <c r="T194" t="s">
        <v>78</v>
      </c>
      <c r="U194">
        <v>10</v>
      </c>
      <c r="V194" t="s">
        <v>30</v>
      </c>
      <c r="W194">
        <v>517411.15</v>
      </c>
      <c r="X194">
        <v>4701458.33</v>
      </c>
    </row>
    <row r="195" spans="1:24" x14ac:dyDescent="0.2">
      <c r="A195">
        <v>1</v>
      </c>
      <c r="B195" s="1">
        <v>38703</v>
      </c>
      <c r="D195">
        <v>251</v>
      </c>
      <c r="E195" s="1">
        <v>38703</v>
      </c>
      <c r="F195">
        <v>250</v>
      </c>
      <c r="G195" s="2">
        <v>0.60590277777777779</v>
      </c>
      <c r="H195" t="s">
        <v>189</v>
      </c>
      <c r="I195">
        <v>8</v>
      </c>
      <c r="J195" t="s">
        <v>31</v>
      </c>
      <c r="K195" t="s">
        <v>26</v>
      </c>
      <c r="L195" t="s">
        <v>32</v>
      </c>
      <c r="M195" t="s">
        <v>27</v>
      </c>
      <c r="N195" t="s">
        <v>37</v>
      </c>
      <c r="O195" t="s">
        <v>33</v>
      </c>
      <c r="P195" t="s">
        <v>29</v>
      </c>
      <c r="Q195" t="s">
        <v>27</v>
      </c>
      <c r="R195" t="s">
        <v>76</v>
      </c>
      <c r="S195" s="3" t="s">
        <v>184</v>
      </c>
      <c r="T195" t="s">
        <v>78</v>
      </c>
      <c r="U195">
        <v>11</v>
      </c>
      <c r="V195" t="s">
        <v>30</v>
      </c>
      <c r="W195">
        <v>517409.61</v>
      </c>
      <c r="X195">
        <v>4701473.08</v>
      </c>
    </row>
    <row r="196" spans="1:24" x14ac:dyDescent="0.2">
      <c r="A196">
        <v>1</v>
      </c>
      <c r="B196" s="1">
        <v>38703</v>
      </c>
      <c r="D196">
        <v>252</v>
      </c>
      <c r="E196" s="1">
        <v>38703</v>
      </c>
      <c r="F196">
        <v>251</v>
      </c>
      <c r="G196" s="2">
        <v>0.59957175925925921</v>
      </c>
      <c r="H196" t="s">
        <v>88</v>
      </c>
      <c r="I196">
        <v>5</v>
      </c>
      <c r="J196" t="s">
        <v>52</v>
      </c>
      <c r="K196" t="s">
        <v>26</v>
      </c>
      <c r="L196" t="s">
        <v>32</v>
      </c>
      <c r="M196" t="s">
        <v>27</v>
      </c>
      <c r="N196" t="s">
        <v>37</v>
      </c>
      <c r="O196" t="s">
        <v>33</v>
      </c>
      <c r="P196" t="s">
        <v>29</v>
      </c>
      <c r="Q196" t="s">
        <v>27</v>
      </c>
      <c r="R196" t="s">
        <v>76</v>
      </c>
      <c r="S196" s="3" t="s">
        <v>184</v>
      </c>
      <c r="T196" t="s">
        <v>78</v>
      </c>
      <c r="U196">
        <v>12</v>
      </c>
      <c r="V196" t="s">
        <v>30</v>
      </c>
      <c r="W196">
        <v>517410.23</v>
      </c>
      <c r="X196">
        <v>4701478.92</v>
      </c>
    </row>
    <row r="197" spans="1:24" x14ac:dyDescent="0.2">
      <c r="A197">
        <v>1</v>
      </c>
      <c r="B197" s="1">
        <v>38703</v>
      </c>
      <c r="D197">
        <v>253</v>
      </c>
      <c r="E197" s="1">
        <v>38703</v>
      </c>
      <c r="F197">
        <v>252</v>
      </c>
      <c r="G197" s="2">
        <v>0.60684027777777783</v>
      </c>
      <c r="H197" t="s">
        <v>88</v>
      </c>
      <c r="I197">
        <v>5</v>
      </c>
      <c r="J197" t="s">
        <v>52</v>
      </c>
      <c r="K197" t="s">
        <v>26</v>
      </c>
      <c r="L197" t="s">
        <v>32</v>
      </c>
      <c r="M197" t="s">
        <v>27</v>
      </c>
      <c r="N197" t="s">
        <v>37</v>
      </c>
      <c r="O197" t="s">
        <v>33</v>
      </c>
      <c r="P197" t="s">
        <v>29</v>
      </c>
      <c r="Q197" t="s">
        <v>27</v>
      </c>
      <c r="R197" t="s">
        <v>76</v>
      </c>
      <c r="S197" s="3" t="s">
        <v>184</v>
      </c>
      <c r="T197" t="s">
        <v>78</v>
      </c>
      <c r="U197">
        <v>13</v>
      </c>
      <c r="V197" t="s">
        <v>30</v>
      </c>
      <c r="W197">
        <v>517390.86</v>
      </c>
      <c r="X197">
        <v>4701461.71</v>
      </c>
    </row>
    <row r="198" spans="1:24" x14ac:dyDescent="0.2">
      <c r="A198">
        <v>1</v>
      </c>
      <c r="B198" s="1">
        <v>38703</v>
      </c>
      <c r="D198">
        <v>254</v>
      </c>
      <c r="E198" s="1">
        <v>38703</v>
      </c>
      <c r="F198">
        <v>253</v>
      </c>
      <c r="G198" s="2">
        <v>0.60741898148148155</v>
      </c>
      <c r="H198" t="s">
        <v>190</v>
      </c>
      <c r="I198">
        <v>3</v>
      </c>
      <c r="J198" t="s">
        <v>31</v>
      </c>
      <c r="K198" t="s">
        <v>87</v>
      </c>
      <c r="L198" t="s">
        <v>32</v>
      </c>
      <c r="M198" t="s">
        <v>27</v>
      </c>
      <c r="N198" t="s">
        <v>37</v>
      </c>
      <c r="O198" t="s">
        <v>33</v>
      </c>
      <c r="P198" t="s">
        <v>29</v>
      </c>
      <c r="Q198" t="s">
        <v>27</v>
      </c>
      <c r="R198" t="s">
        <v>76</v>
      </c>
      <c r="S198" s="3" t="s">
        <v>184</v>
      </c>
      <c r="T198" t="s">
        <v>191</v>
      </c>
      <c r="U198">
        <v>14</v>
      </c>
      <c r="V198" t="s">
        <v>30</v>
      </c>
      <c r="W198">
        <v>517382.26</v>
      </c>
      <c r="X198">
        <v>4701476.1500000004</v>
      </c>
    </row>
    <row r="199" spans="1:24" x14ac:dyDescent="0.2">
      <c r="A199">
        <v>1</v>
      </c>
      <c r="B199" s="1">
        <v>38703</v>
      </c>
      <c r="C199" t="s">
        <v>192</v>
      </c>
      <c r="D199">
        <v>255</v>
      </c>
      <c r="E199" s="1">
        <v>38703</v>
      </c>
      <c r="F199">
        <v>254</v>
      </c>
      <c r="G199" s="2">
        <v>0.60947916666666668</v>
      </c>
      <c r="H199" t="s">
        <v>24</v>
      </c>
      <c r="I199">
        <v>2</v>
      </c>
      <c r="J199" t="s">
        <v>38</v>
      </c>
      <c r="K199" t="s">
        <v>42</v>
      </c>
      <c r="L199" t="s">
        <v>32</v>
      </c>
      <c r="M199" t="s">
        <v>27</v>
      </c>
      <c r="N199" t="s">
        <v>37</v>
      </c>
      <c r="O199" t="s">
        <v>33</v>
      </c>
      <c r="P199" t="s">
        <v>38</v>
      </c>
      <c r="Q199" t="s">
        <v>193</v>
      </c>
      <c r="R199" t="s">
        <v>76</v>
      </c>
      <c r="S199" s="3" t="s">
        <v>184</v>
      </c>
      <c r="T199" t="s">
        <v>194</v>
      </c>
      <c r="U199">
        <v>15</v>
      </c>
      <c r="V199" t="s">
        <v>30</v>
      </c>
      <c r="W199">
        <v>517377.03</v>
      </c>
      <c r="X199">
        <v>4701464.78</v>
      </c>
    </row>
    <row r="200" spans="1:24" x14ac:dyDescent="0.2">
      <c r="A200">
        <v>1</v>
      </c>
      <c r="B200" s="1">
        <v>38703</v>
      </c>
      <c r="C200" t="s">
        <v>195</v>
      </c>
      <c r="D200">
        <v>256</v>
      </c>
      <c r="E200" s="1">
        <v>38703</v>
      </c>
      <c r="F200">
        <v>255</v>
      </c>
      <c r="G200" s="2">
        <v>0.61121527777777784</v>
      </c>
      <c r="H200" t="s">
        <v>196</v>
      </c>
      <c r="I200">
        <v>4</v>
      </c>
      <c r="J200" t="s">
        <v>38</v>
      </c>
      <c r="K200" t="s">
        <v>42</v>
      </c>
      <c r="L200" t="s">
        <v>32</v>
      </c>
      <c r="M200" t="s">
        <v>27</v>
      </c>
      <c r="N200" t="s">
        <v>37</v>
      </c>
      <c r="O200" t="s">
        <v>33</v>
      </c>
      <c r="P200" t="s">
        <v>38</v>
      </c>
      <c r="Q200" t="s">
        <v>193</v>
      </c>
      <c r="R200" t="s">
        <v>76</v>
      </c>
      <c r="S200" s="3" t="s">
        <v>184</v>
      </c>
      <c r="T200" t="s">
        <v>78</v>
      </c>
      <c r="U200">
        <v>16</v>
      </c>
      <c r="V200" t="s">
        <v>30</v>
      </c>
      <c r="W200">
        <v>517367.2</v>
      </c>
      <c r="X200">
        <v>4701465.4000000004</v>
      </c>
    </row>
    <row r="201" spans="1:24" x14ac:dyDescent="0.2">
      <c r="A201">
        <v>1</v>
      </c>
      <c r="B201" s="1">
        <v>38703</v>
      </c>
      <c r="C201" t="s">
        <v>192</v>
      </c>
      <c r="D201">
        <v>257</v>
      </c>
      <c r="E201" s="1">
        <v>38703</v>
      </c>
      <c r="F201">
        <v>256</v>
      </c>
      <c r="G201" s="2">
        <v>0.6124074074074074</v>
      </c>
      <c r="H201" t="s">
        <v>88</v>
      </c>
      <c r="I201">
        <v>2</v>
      </c>
      <c r="J201" t="s">
        <v>38</v>
      </c>
      <c r="K201" t="s">
        <v>42</v>
      </c>
      <c r="L201" t="s">
        <v>32</v>
      </c>
      <c r="M201" t="s">
        <v>27</v>
      </c>
      <c r="N201" t="s">
        <v>37</v>
      </c>
      <c r="O201" t="s">
        <v>33</v>
      </c>
      <c r="P201" t="s">
        <v>38</v>
      </c>
      <c r="Q201" t="s">
        <v>27</v>
      </c>
      <c r="R201" t="s">
        <v>76</v>
      </c>
      <c r="S201" s="3" t="s">
        <v>184</v>
      </c>
      <c r="T201" t="s">
        <v>78</v>
      </c>
      <c r="U201">
        <v>17</v>
      </c>
      <c r="V201" t="s">
        <v>30</v>
      </c>
      <c r="W201">
        <v>517368.43</v>
      </c>
      <c r="X201">
        <v>4701450.03</v>
      </c>
    </row>
    <row r="202" spans="1:24" x14ac:dyDescent="0.2">
      <c r="A202">
        <v>1</v>
      </c>
      <c r="B202" s="1">
        <v>38703</v>
      </c>
      <c r="D202">
        <v>258</v>
      </c>
      <c r="E202" s="1">
        <v>38703</v>
      </c>
      <c r="F202">
        <v>257</v>
      </c>
      <c r="G202" s="2">
        <v>0.61567129629629636</v>
      </c>
      <c r="H202" t="s">
        <v>119</v>
      </c>
      <c r="I202">
        <v>2</v>
      </c>
      <c r="J202" t="s">
        <v>25</v>
      </c>
      <c r="K202" t="s">
        <v>26</v>
      </c>
      <c r="L202" t="s">
        <v>32</v>
      </c>
      <c r="M202" t="s">
        <v>27</v>
      </c>
      <c r="N202" t="s">
        <v>37</v>
      </c>
      <c r="O202" t="s">
        <v>33</v>
      </c>
      <c r="P202" t="s">
        <v>38</v>
      </c>
      <c r="Q202" t="s">
        <v>27</v>
      </c>
      <c r="R202" t="s">
        <v>76</v>
      </c>
      <c r="S202" s="3" t="s">
        <v>184</v>
      </c>
      <c r="T202" t="s">
        <v>197</v>
      </c>
      <c r="U202">
        <v>18</v>
      </c>
      <c r="V202" t="s">
        <v>30</v>
      </c>
      <c r="W202">
        <v>517368.73</v>
      </c>
      <c r="X202">
        <v>4701444.49</v>
      </c>
    </row>
    <row r="203" spans="1:24" x14ac:dyDescent="0.2">
      <c r="A203">
        <v>1</v>
      </c>
      <c r="B203" s="1">
        <v>38703</v>
      </c>
      <c r="D203">
        <v>259</v>
      </c>
      <c r="E203" s="1">
        <v>38703</v>
      </c>
      <c r="F203">
        <v>258</v>
      </c>
      <c r="G203" s="2">
        <v>0.61902777777777784</v>
      </c>
      <c r="H203" t="s">
        <v>152</v>
      </c>
      <c r="I203">
        <v>4</v>
      </c>
      <c r="J203" t="s">
        <v>31</v>
      </c>
      <c r="K203" t="s">
        <v>26</v>
      </c>
      <c r="L203" t="s">
        <v>32</v>
      </c>
      <c r="M203" t="s">
        <v>27</v>
      </c>
      <c r="N203" t="s">
        <v>37</v>
      </c>
      <c r="O203" t="s">
        <v>33</v>
      </c>
      <c r="P203" t="s">
        <v>31</v>
      </c>
      <c r="Q203" t="s">
        <v>27</v>
      </c>
      <c r="R203" t="s">
        <v>76</v>
      </c>
      <c r="S203" s="3" t="s">
        <v>184</v>
      </c>
      <c r="T203" t="s">
        <v>198</v>
      </c>
      <c r="U203">
        <v>20</v>
      </c>
      <c r="V203" t="s">
        <v>30</v>
      </c>
      <c r="W203">
        <v>517371.5</v>
      </c>
      <c r="X203">
        <v>4701426.67</v>
      </c>
    </row>
    <row r="204" spans="1:24" x14ac:dyDescent="0.2">
      <c r="A204">
        <v>1</v>
      </c>
      <c r="B204" s="1">
        <v>38703</v>
      </c>
      <c r="C204" t="s">
        <v>192</v>
      </c>
      <c r="D204">
        <v>260</v>
      </c>
      <c r="E204" s="1">
        <v>38703</v>
      </c>
      <c r="F204">
        <v>259</v>
      </c>
      <c r="G204" s="2">
        <v>0.62449074074074074</v>
      </c>
      <c r="H204" t="s">
        <v>88</v>
      </c>
      <c r="I204">
        <v>2</v>
      </c>
      <c r="J204" t="s">
        <v>38</v>
      </c>
      <c r="K204" t="s">
        <v>42</v>
      </c>
      <c r="L204" t="s">
        <v>32</v>
      </c>
      <c r="M204" t="s">
        <v>27</v>
      </c>
      <c r="N204" t="s">
        <v>37</v>
      </c>
      <c r="O204" t="s">
        <v>33</v>
      </c>
      <c r="P204" t="s">
        <v>31</v>
      </c>
      <c r="Q204" t="s">
        <v>27</v>
      </c>
      <c r="R204" t="s">
        <v>76</v>
      </c>
      <c r="S204" s="3" t="s">
        <v>199</v>
      </c>
      <c r="T204" t="s">
        <v>78</v>
      </c>
      <c r="U204">
        <v>6</v>
      </c>
      <c r="V204" t="s">
        <v>30</v>
      </c>
      <c r="W204">
        <v>517382.56</v>
      </c>
      <c r="X204">
        <v>4701417.75</v>
      </c>
    </row>
    <row r="205" spans="1:24" x14ac:dyDescent="0.2">
      <c r="A205">
        <v>1</v>
      </c>
      <c r="B205" s="1">
        <v>38703</v>
      </c>
      <c r="C205" t="s">
        <v>192</v>
      </c>
      <c r="D205">
        <v>261</v>
      </c>
      <c r="E205" s="1">
        <v>38703</v>
      </c>
      <c r="F205">
        <v>260</v>
      </c>
      <c r="G205" s="2">
        <v>0.62586805555555558</v>
      </c>
      <c r="H205" t="s">
        <v>186</v>
      </c>
      <c r="I205">
        <v>1</v>
      </c>
      <c r="J205" t="s">
        <v>25</v>
      </c>
      <c r="K205" t="s">
        <v>42</v>
      </c>
      <c r="L205" t="s">
        <v>32</v>
      </c>
      <c r="M205" t="s">
        <v>27</v>
      </c>
      <c r="N205" t="s">
        <v>37</v>
      </c>
      <c r="O205" t="s">
        <v>33</v>
      </c>
      <c r="P205" t="s">
        <v>31</v>
      </c>
      <c r="Q205" t="s">
        <v>27</v>
      </c>
      <c r="R205" t="s">
        <v>76</v>
      </c>
      <c r="S205" s="3" t="s">
        <v>199</v>
      </c>
      <c r="T205" t="s">
        <v>200</v>
      </c>
      <c r="U205">
        <v>7</v>
      </c>
      <c r="V205" t="s">
        <v>30</v>
      </c>
      <c r="W205">
        <v>517389.63</v>
      </c>
      <c r="X205">
        <v>4701417.75</v>
      </c>
    </row>
    <row r="206" spans="1:24" x14ac:dyDescent="0.2">
      <c r="A206">
        <v>1</v>
      </c>
      <c r="B206" s="1">
        <v>38703</v>
      </c>
      <c r="C206" t="s">
        <v>192</v>
      </c>
      <c r="D206">
        <v>262</v>
      </c>
      <c r="E206" s="1">
        <v>38703</v>
      </c>
      <c r="F206">
        <v>261</v>
      </c>
      <c r="G206" s="2">
        <v>0.62719907407407405</v>
      </c>
      <c r="H206" t="s">
        <v>201</v>
      </c>
      <c r="I206">
        <v>1</v>
      </c>
      <c r="J206" t="s">
        <v>38</v>
      </c>
      <c r="K206" t="s">
        <v>42</v>
      </c>
      <c r="L206" t="s">
        <v>32</v>
      </c>
      <c r="M206" t="s">
        <v>27</v>
      </c>
      <c r="N206" t="s">
        <v>37</v>
      </c>
      <c r="O206" t="s">
        <v>33</v>
      </c>
      <c r="P206" t="s">
        <v>31</v>
      </c>
      <c r="Q206" t="s">
        <v>27</v>
      </c>
      <c r="R206" t="s">
        <v>76</v>
      </c>
      <c r="S206" s="3" t="s">
        <v>199</v>
      </c>
      <c r="T206" t="s">
        <v>78</v>
      </c>
      <c r="U206">
        <v>8</v>
      </c>
      <c r="V206" t="s">
        <v>30</v>
      </c>
      <c r="W206">
        <v>517396.4</v>
      </c>
      <c r="X206">
        <v>4701418.37</v>
      </c>
    </row>
    <row r="207" spans="1:24" x14ac:dyDescent="0.2">
      <c r="A207">
        <v>1</v>
      </c>
      <c r="B207" s="1">
        <v>38703</v>
      </c>
      <c r="D207">
        <v>263</v>
      </c>
      <c r="E207" s="1">
        <v>38703</v>
      </c>
      <c r="F207">
        <v>262</v>
      </c>
      <c r="G207" s="2">
        <v>0.62875000000000003</v>
      </c>
      <c r="H207" t="s">
        <v>82</v>
      </c>
      <c r="I207">
        <v>3</v>
      </c>
      <c r="J207" t="s">
        <v>31</v>
      </c>
      <c r="K207" t="s">
        <v>26</v>
      </c>
      <c r="L207" t="s">
        <v>32</v>
      </c>
      <c r="M207" t="s">
        <v>27</v>
      </c>
      <c r="N207" t="s">
        <v>37</v>
      </c>
      <c r="O207" t="s">
        <v>33</v>
      </c>
      <c r="P207" t="s">
        <v>31</v>
      </c>
      <c r="Q207" t="s">
        <v>27</v>
      </c>
      <c r="R207" t="s">
        <v>76</v>
      </c>
      <c r="S207" s="3" t="s">
        <v>202</v>
      </c>
      <c r="T207" t="s">
        <v>78</v>
      </c>
      <c r="U207">
        <v>1</v>
      </c>
      <c r="V207" t="s">
        <v>30</v>
      </c>
      <c r="W207">
        <v>517419.14</v>
      </c>
      <c r="X207">
        <v>4701457.71</v>
      </c>
    </row>
    <row r="208" spans="1:24" x14ac:dyDescent="0.2">
      <c r="A208">
        <v>1</v>
      </c>
      <c r="B208" s="1">
        <v>38703</v>
      </c>
      <c r="D208">
        <v>264</v>
      </c>
      <c r="E208" s="1">
        <v>38703</v>
      </c>
      <c r="F208">
        <v>263</v>
      </c>
      <c r="G208" s="2">
        <v>0.62975694444444441</v>
      </c>
      <c r="H208" t="s">
        <v>203</v>
      </c>
      <c r="I208">
        <v>5</v>
      </c>
      <c r="J208" t="s">
        <v>52</v>
      </c>
      <c r="K208" t="s">
        <v>26</v>
      </c>
      <c r="L208" t="s">
        <v>32</v>
      </c>
      <c r="M208" t="s">
        <v>27</v>
      </c>
      <c r="N208" t="s">
        <v>37</v>
      </c>
      <c r="O208" t="s">
        <v>33</v>
      </c>
      <c r="P208" t="s">
        <v>29</v>
      </c>
      <c r="Q208" t="s">
        <v>27</v>
      </c>
      <c r="R208" t="s">
        <v>76</v>
      </c>
      <c r="S208" s="3" t="s">
        <v>202</v>
      </c>
      <c r="T208" t="s">
        <v>78</v>
      </c>
      <c r="U208">
        <v>2</v>
      </c>
      <c r="V208" t="s">
        <v>30</v>
      </c>
      <c r="W208">
        <v>517420.68</v>
      </c>
      <c r="X208">
        <v>4701462.63</v>
      </c>
    </row>
    <row r="209" spans="1:24" x14ac:dyDescent="0.2">
      <c r="A209">
        <v>1</v>
      </c>
      <c r="B209" s="1">
        <v>38703</v>
      </c>
      <c r="D209">
        <v>265</v>
      </c>
      <c r="E209" s="1">
        <v>38703</v>
      </c>
      <c r="F209">
        <v>264</v>
      </c>
      <c r="G209" s="2">
        <v>0.63052083333333331</v>
      </c>
      <c r="H209" t="s">
        <v>201</v>
      </c>
      <c r="I209">
        <v>6</v>
      </c>
      <c r="J209" t="s">
        <v>52</v>
      </c>
      <c r="K209" t="s">
        <v>26</v>
      </c>
      <c r="L209" t="s">
        <v>32</v>
      </c>
      <c r="M209" t="s">
        <v>27</v>
      </c>
      <c r="N209" t="s">
        <v>37</v>
      </c>
      <c r="O209" t="s">
        <v>33</v>
      </c>
      <c r="P209" t="s">
        <v>38</v>
      </c>
      <c r="Q209" t="s">
        <v>27</v>
      </c>
      <c r="R209" t="s">
        <v>76</v>
      </c>
      <c r="S209" s="3" t="s">
        <v>202</v>
      </c>
      <c r="T209" t="s">
        <v>78</v>
      </c>
      <c r="U209">
        <v>3</v>
      </c>
      <c r="V209" t="s">
        <v>30</v>
      </c>
      <c r="W209">
        <v>517427.44</v>
      </c>
      <c r="X209">
        <v>4701460.79</v>
      </c>
    </row>
    <row r="210" spans="1:24" x14ac:dyDescent="0.2">
      <c r="A210">
        <v>1</v>
      </c>
      <c r="B210" s="1">
        <v>38703</v>
      </c>
      <c r="C210" t="s">
        <v>204</v>
      </c>
      <c r="D210">
        <v>266</v>
      </c>
      <c r="E210" s="1">
        <v>38703</v>
      </c>
      <c r="F210">
        <v>265</v>
      </c>
      <c r="G210" s="2">
        <v>0.63156250000000003</v>
      </c>
      <c r="H210" t="s">
        <v>169</v>
      </c>
      <c r="I210">
        <v>5</v>
      </c>
      <c r="J210" t="s">
        <v>38</v>
      </c>
      <c r="K210" t="s">
        <v>42</v>
      </c>
      <c r="L210" t="s">
        <v>32</v>
      </c>
      <c r="M210" t="s">
        <v>27</v>
      </c>
      <c r="N210" t="s">
        <v>34</v>
      </c>
      <c r="O210" t="s">
        <v>33</v>
      </c>
      <c r="P210" t="s">
        <v>31</v>
      </c>
      <c r="Q210" t="s">
        <v>27</v>
      </c>
      <c r="R210" t="s">
        <v>76</v>
      </c>
      <c r="S210" s="3" t="s">
        <v>202</v>
      </c>
      <c r="T210" t="s">
        <v>205</v>
      </c>
      <c r="U210">
        <v>4</v>
      </c>
      <c r="V210" t="s">
        <v>30</v>
      </c>
      <c r="W210">
        <v>517445.27</v>
      </c>
      <c r="X210">
        <v>4701470.62</v>
      </c>
    </row>
    <row r="211" spans="1:24" x14ac:dyDescent="0.2">
      <c r="A211">
        <v>1</v>
      </c>
      <c r="B211" s="1">
        <v>38703</v>
      </c>
      <c r="D211">
        <v>267</v>
      </c>
      <c r="E211" s="1">
        <v>38703</v>
      </c>
      <c r="F211">
        <v>266</v>
      </c>
      <c r="G211" s="2">
        <v>0.63321759259259258</v>
      </c>
      <c r="H211" t="s">
        <v>152</v>
      </c>
      <c r="I211">
        <v>5</v>
      </c>
      <c r="J211" t="s">
        <v>31</v>
      </c>
      <c r="K211" t="s">
        <v>26</v>
      </c>
      <c r="L211" t="s">
        <v>32</v>
      </c>
      <c r="M211" t="s">
        <v>27</v>
      </c>
      <c r="N211" t="s">
        <v>34</v>
      </c>
      <c r="O211" t="s">
        <v>33</v>
      </c>
      <c r="P211" t="s">
        <v>31</v>
      </c>
      <c r="Q211" t="s">
        <v>27</v>
      </c>
      <c r="R211" t="s">
        <v>76</v>
      </c>
      <c r="S211" s="3" t="s">
        <v>202</v>
      </c>
      <c r="T211" t="s">
        <v>206</v>
      </c>
      <c r="U211">
        <v>5</v>
      </c>
      <c r="V211" t="s">
        <v>30</v>
      </c>
      <c r="W211">
        <v>517452.95</v>
      </c>
      <c r="X211">
        <v>4701472.16</v>
      </c>
    </row>
    <row r="212" spans="1:24" x14ac:dyDescent="0.2">
      <c r="A212">
        <v>1</v>
      </c>
      <c r="B212" s="1">
        <v>38703</v>
      </c>
      <c r="D212">
        <v>268</v>
      </c>
      <c r="E212" s="1">
        <v>38703</v>
      </c>
      <c r="F212">
        <v>267</v>
      </c>
      <c r="G212" s="2">
        <v>0.63446759259259256</v>
      </c>
      <c r="H212" t="s">
        <v>82</v>
      </c>
      <c r="I212">
        <v>10</v>
      </c>
      <c r="J212" t="s">
        <v>52</v>
      </c>
      <c r="K212" t="s">
        <v>26</v>
      </c>
      <c r="L212" t="s">
        <v>32</v>
      </c>
      <c r="M212" t="s">
        <v>27</v>
      </c>
      <c r="N212" t="s">
        <v>37</v>
      </c>
      <c r="O212" t="s">
        <v>33</v>
      </c>
      <c r="P212" t="s">
        <v>31</v>
      </c>
      <c r="Q212" t="s">
        <v>27</v>
      </c>
      <c r="R212" t="s">
        <v>76</v>
      </c>
      <c r="S212" s="3" t="s">
        <v>202</v>
      </c>
      <c r="T212" t="s">
        <v>207</v>
      </c>
      <c r="U212">
        <v>5</v>
      </c>
      <c r="V212" t="s">
        <v>30</v>
      </c>
      <c r="W212">
        <v>517453.87</v>
      </c>
      <c r="X212">
        <v>4701475.8499999996</v>
      </c>
    </row>
    <row r="213" spans="1:24" x14ac:dyDescent="0.2">
      <c r="A213">
        <v>1</v>
      </c>
      <c r="B213" s="1">
        <v>38703</v>
      </c>
      <c r="C213" t="s">
        <v>208</v>
      </c>
      <c r="D213">
        <v>269</v>
      </c>
      <c r="E213" s="1">
        <v>38703</v>
      </c>
      <c r="F213">
        <v>268</v>
      </c>
      <c r="G213" s="2">
        <v>0.63583333333333336</v>
      </c>
      <c r="H213" t="s">
        <v>82</v>
      </c>
      <c r="I213">
        <v>2</v>
      </c>
      <c r="J213" t="s">
        <v>31</v>
      </c>
      <c r="K213" t="s">
        <v>26</v>
      </c>
      <c r="L213" t="s">
        <v>32</v>
      </c>
      <c r="M213" t="s">
        <v>27</v>
      </c>
      <c r="N213" t="s">
        <v>37</v>
      </c>
      <c r="O213" t="s">
        <v>33</v>
      </c>
      <c r="P213" t="s">
        <v>38</v>
      </c>
      <c r="Q213" t="s">
        <v>27</v>
      </c>
      <c r="R213" t="s">
        <v>76</v>
      </c>
      <c r="S213" s="3" t="s">
        <v>202</v>
      </c>
      <c r="T213" t="s">
        <v>78</v>
      </c>
      <c r="U213">
        <v>6</v>
      </c>
      <c r="V213" t="s">
        <v>30</v>
      </c>
      <c r="W213">
        <v>517456.33</v>
      </c>
      <c r="X213">
        <v>4701472.16</v>
      </c>
    </row>
    <row r="214" spans="1:24" x14ac:dyDescent="0.2">
      <c r="A214">
        <v>1</v>
      </c>
      <c r="B214" s="1">
        <v>38703</v>
      </c>
      <c r="D214">
        <v>270</v>
      </c>
      <c r="E214" s="1">
        <v>38703</v>
      </c>
      <c r="F214">
        <v>269</v>
      </c>
      <c r="G214" s="2">
        <v>0.6385763888888889</v>
      </c>
      <c r="H214" t="s">
        <v>94</v>
      </c>
      <c r="I214">
        <v>15</v>
      </c>
      <c r="J214" t="s">
        <v>31</v>
      </c>
      <c r="K214" t="s">
        <v>26</v>
      </c>
      <c r="L214" t="s">
        <v>32</v>
      </c>
      <c r="M214" t="s">
        <v>27</v>
      </c>
      <c r="N214" t="s">
        <v>37</v>
      </c>
      <c r="O214" t="s">
        <v>33</v>
      </c>
      <c r="P214" t="s">
        <v>29</v>
      </c>
      <c r="Q214" t="s">
        <v>27</v>
      </c>
      <c r="R214" t="s">
        <v>76</v>
      </c>
      <c r="S214" s="3">
        <v>14</v>
      </c>
      <c r="T214" t="s">
        <v>78</v>
      </c>
      <c r="U214">
        <v>2</v>
      </c>
      <c r="V214" t="s">
        <v>30</v>
      </c>
      <c r="W214">
        <v>517496.6</v>
      </c>
      <c r="X214">
        <v>4701453.0999999996</v>
      </c>
    </row>
    <row r="215" spans="1:24" x14ac:dyDescent="0.2">
      <c r="A215">
        <v>1</v>
      </c>
      <c r="B215" s="1">
        <v>38703</v>
      </c>
      <c r="D215">
        <v>271</v>
      </c>
      <c r="E215" s="1">
        <v>38703</v>
      </c>
      <c r="F215">
        <v>270</v>
      </c>
      <c r="G215" s="2">
        <v>0.63996527777777779</v>
      </c>
      <c r="H215" t="s">
        <v>45</v>
      </c>
      <c r="I215">
        <v>3</v>
      </c>
      <c r="J215" t="s">
        <v>52</v>
      </c>
      <c r="K215" t="s">
        <v>26</v>
      </c>
      <c r="L215" t="s">
        <v>32</v>
      </c>
      <c r="M215" t="s">
        <v>27</v>
      </c>
      <c r="N215" t="s">
        <v>37</v>
      </c>
      <c r="O215" t="s">
        <v>33</v>
      </c>
      <c r="P215" t="s">
        <v>29</v>
      </c>
      <c r="Q215" t="s">
        <v>27</v>
      </c>
      <c r="R215" t="s">
        <v>76</v>
      </c>
      <c r="S215" s="3">
        <v>14</v>
      </c>
      <c r="T215" t="s">
        <v>78</v>
      </c>
      <c r="U215">
        <v>3</v>
      </c>
      <c r="V215" t="s">
        <v>30</v>
      </c>
      <c r="W215">
        <v>517497.21</v>
      </c>
      <c r="X215">
        <v>4701461.09</v>
      </c>
    </row>
    <row r="216" spans="1:24" x14ac:dyDescent="0.2">
      <c r="A216">
        <v>1</v>
      </c>
      <c r="B216" s="1">
        <v>38703</v>
      </c>
      <c r="D216">
        <v>272</v>
      </c>
      <c r="E216" s="1">
        <v>38703</v>
      </c>
      <c r="F216">
        <v>271</v>
      </c>
      <c r="G216" s="2">
        <v>0.64107638888888896</v>
      </c>
      <c r="H216" t="s">
        <v>173</v>
      </c>
      <c r="I216">
        <v>3</v>
      </c>
      <c r="J216" t="s">
        <v>52</v>
      </c>
      <c r="K216" t="s">
        <v>26</v>
      </c>
      <c r="L216" t="s">
        <v>32</v>
      </c>
      <c r="M216" t="s">
        <v>27</v>
      </c>
      <c r="N216" t="s">
        <v>37</v>
      </c>
      <c r="O216" t="s">
        <v>33</v>
      </c>
      <c r="P216" t="s">
        <v>29</v>
      </c>
      <c r="Q216" t="s">
        <v>27</v>
      </c>
      <c r="R216" t="s">
        <v>76</v>
      </c>
      <c r="S216" s="3">
        <v>14</v>
      </c>
      <c r="T216" t="s">
        <v>78</v>
      </c>
      <c r="U216">
        <v>4</v>
      </c>
      <c r="V216" t="s">
        <v>30</v>
      </c>
      <c r="W216">
        <v>517499.37</v>
      </c>
      <c r="X216">
        <v>4701427.28</v>
      </c>
    </row>
    <row r="217" spans="1:24" x14ac:dyDescent="0.2">
      <c r="A217">
        <v>1</v>
      </c>
      <c r="B217" s="1">
        <v>38703</v>
      </c>
      <c r="D217">
        <v>273</v>
      </c>
      <c r="E217" s="1">
        <v>38703</v>
      </c>
      <c r="F217">
        <v>272</v>
      </c>
      <c r="G217" s="2">
        <v>0.64271990740740736</v>
      </c>
      <c r="H217" t="s">
        <v>186</v>
      </c>
      <c r="I217">
        <v>8</v>
      </c>
      <c r="J217" t="s">
        <v>52</v>
      </c>
      <c r="K217" t="s">
        <v>26</v>
      </c>
      <c r="L217" t="s">
        <v>32</v>
      </c>
      <c r="M217" t="s">
        <v>27</v>
      </c>
      <c r="N217" t="s">
        <v>37</v>
      </c>
      <c r="O217" t="s">
        <v>33</v>
      </c>
      <c r="P217" t="s">
        <v>29</v>
      </c>
      <c r="Q217" t="s">
        <v>27</v>
      </c>
      <c r="R217" t="s">
        <v>76</v>
      </c>
      <c r="S217" s="3">
        <v>14</v>
      </c>
      <c r="T217" t="s">
        <v>78</v>
      </c>
      <c r="U217">
        <v>5</v>
      </c>
      <c r="V217" t="s">
        <v>30</v>
      </c>
      <c r="W217">
        <v>517493.53</v>
      </c>
      <c r="X217">
        <v>4701457.0999999996</v>
      </c>
    </row>
    <row r="218" spans="1:24" x14ac:dyDescent="0.2">
      <c r="A218">
        <v>1</v>
      </c>
      <c r="B218" s="1">
        <v>38703</v>
      </c>
      <c r="D218">
        <v>274</v>
      </c>
      <c r="E218" s="1">
        <v>38703</v>
      </c>
      <c r="F218">
        <v>273</v>
      </c>
      <c r="G218" s="2">
        <v>0.64358796296296295</v>
      </c>
      <c r="H218" t="s">
        <v>209</v>
      </c>
      <c r="I218">
        <v>7</v>
      </c>
      <c r="J218" t="s">
        <v>52</v>
      </c>
      <c r="K218" t="s">
        <v>26</v>
      </c>
      <c r="L218" t="s">
        <v>32</v>
      </c>
      <c r="M218" t="s">
        <v>27</v>
      </c>
      <c r="N218" t="s">
        <v>37</v>
      </c>
      <c r="O218" t="s">
        <v>33</v>
      </c>
      <c r="P218" t="s">
        <v>29</v>
      </c>
      <c r="Q218" t="s">
        <v>27</v>
      </c>
      <c r="R218" t="s">
        <v>76</v>
      </c>
      <c r="S218" s="3">
        <v>14</v>
      </c>
      <c r="T218" t="s">
        <v>210</v>
      </c>
      <c r="U218">
        <v>5</v>
      </c>
      <c r="V218" t="s">
        <v>30</v>
      </c>
      <c r="W218">
        <v>517487.38</v>
      </c>
      <c r="X218">
        <v>4701459.25</v>
      </c>
    </row>
    <row r="219" spans="1:24" x14ac:dyDescent="0.2">
      <c r="A219">
        <v>1</v>
      </c>
      <c r="B219" s="1">
        <v>38703</v>
      </c>
      <c r="D219">
        <v>275</v>
      </c>
      <c r="E219" s="1">
        <v>38703</v>
      </c>
      <c r="F219">
        <v>274</v>
      </c>
      <c r="G219" s="2">
        <v>0.64453703703703702</v>
      </c>
      <c r="H219" t="s">
        <v>82</v>
      </c>
      <c r="I219">
        <v>10</v>
      </c>
      <c r="J219" t="s">
        <v>52</v>
      </c>
      <c r="K219" t="s">
        <v>26</v>
      </c>
      <c r="L219" t="s">
        <v>32</v>
      </c>
      <c r="M219" t="s">
        <v>27</v>
      </c>
      <c r="N219" t="s">
        <v>37</v>
      </c>
      <c r="O219" t="s">
        <v>33</v>
      </c>
      <c r="P219" t="s">
        <v>29</v>
      </c>
      <c r="Q219" t="s">
        <v>27</v>
      </c>
      <c r="R219" t="s">
        <v>76</v>
      </c>
      <c r="S219" s="3">
        <v>14</v>
      </c>
      <c r="T219" t="s">
        <v>211</v>
      </c>
      <c r="U219">
        <v>6</v>
      </c>
      <c r="V219" t="s">
        <v>30</v>
      </c>
      <c r="W219">
        <v>517469.86</v>
      </c>
      <c r="X219">
        <v>4701457.71</v>
      </c>
    </row>
    <row r="220" spans="1:24" x14ac:dyDescent="0.2">
      <c r="A220">
        <v>1</v>
      </c>
      <c r="B220" s="1">
        <v>38703</v>
      </c>
      <c r="D220">
        <v>276</v>
      </c>
      <c r="E220" s="1">
        <v>38703</v>
      </c>
      <c r="F220">
        <v>275</v>
      </c>
      <c r="G220" s="2">
        <v>0.64596064814814813</v>
      </c>
      <c r="H220" t="s">
        <v>79</v>
      </c>
      <c r="I220">
        <v>14</v>
      </c>
      <c r="J220" t="s">
        <v>52</v>
      </c>
      <c r="K220" t="s">
        <v>26</v>
      </c>
      <c r="L220" t="s">
        <v>32</v>
      </c>
      <c r="M220" t="s">
        <v>27</v>
      </c>
      <c r="N220" t="s">
        <v>37</v>
      </c>
      <c r="O220" t="s">
        <v>33</v>
      </c>
      <c r="P220" t="s">
        <v>29</v>
      </c>
      <c r="Q220" t="s">
        <v>27</v>
      </c>
      <c r="R220" t="s">
        <v>76</v>
      </c>
      <c r="S220" s="3">
        <v>14</v>
      </c>
      <c r="T220" t="s">
        <v>212</v>
      </c>
      <c r="U220">
        <v>7</v>
      </c>
      <c r="V220" t="s">
        <v>30</v>
      </c>
      <c r="W220">
        <v>517474.78</v>
      </c>
      <c r="X220">
        <v>4701426.05</v>
      </c>
    </row>
    <row r="221" spans="1:24" x14ac:dyDescent="0.2">
      <c r="A221">
        <v>1</v>
      </c>
      <c r="B221" s="1">
        <v>38703</v>
      </c>
      <c r="D221">
        <v>277</v>
      </c>
      <c r="E221" s="1">
        <v>38703</v>
      </c>
      <c r="F221">
        <v>276</v>
      </c>
      <c r="G221" s="2">
        <v>0.64692129629629636</v>
      </c>
      <c r="H221" t="s">
        <v>79</v>
      </c>
      <c r="I221">
        <v>14</v>
      </c>
      <c r="J221" t="s">
        <v>52</v>
      </c>
      <c r="K221" t="s">
        <v>26</v>
      </c>
      <c r="L221" t="s">
        <v>32</v>
      </c>
      <c r="M221" t="s">
        <v>27</v>
      </c>
      <c r="N221" t="s">
        <v>37</v>
      </c>
      <c r="O221" t="s">
        <v>33</v>
      </c>
      <c r="P221" t="s">
        <v>29</v>
      </c>
      <c r="Q221" t="s">
        <v>27</v>
      </c>
      <c r="R221" t="s">
        <v>76</v>
      </c>
      <c r="S221" s="3">
        <v>14</v>
      </c>
      <c r="T221" t="s">
        <v>213</v>
      </c>
      <c r="U221">
        <v>8</v>
      </c>
      <c r="V221" t="s">
        <v>30</v>
      </c>
      <c r="W221">
        <v>517482.77</v>
      </c>
      <c r="X221">
        <v>4701422.67</v>
      </c>
    </row>
    <row r="222" spans="1:24" x14ac:dyDescent="0.2">
      <c r="A222">
        <v>1</v>
      </c>
      <c r="B222" s="1">
        <v>38703</v>
      </c>
      <c r="D222">
        <v>278</v>
      </c>
      <c r="E222" s="1">
        <v>38703</v>
      </c>
      <c r="F222">
        <v>277</v>
      </c>
      <c r="G222" s="2">
        <v>0.64733796296296298</v>
      </c>
      <c r="H222" t="s">
        <v>79</v>
      </c>
      <c r="I222">
        <v>14</v>
      </c>
      <c r="J222" t="s">
        <v>52</v>
      </c>
      <c r="K222" t="s">
        <v>26</v>
      </c>
      <c r="L222" t="s">
        <v>32</v>
      </c>
      <c r="M222" t="s">
        <v>27</v>
      </c>
      <c r="N222" t="s">
        <v>37</v>
      </c>
      <c r="O222" t="s">
        <v>33</v>
      </c>
      <c r="P222" t="s">
        <v>29</v>
      </c>
      <c r="Q222" t="s">
        <v>27</v>
      </c>
      <c r="R222" t="s">
        <v>76</v>
      </c>
      <c r="S222" s="3">
        <v>14</v>
      </c>
      <c r="T222" t="s">
        <v>214</v>
      </c>
      <c r="U222">
        <v>9</v>
      </c>
      <c r="V222" t="s">
        <v>30</v>
      </c>
      <c r="W222">
        <v>517489.22</v>
      </c>
      <c r="X222">
        <v>4701423.59</v>
      </c>
    </row>
    <row r="223" spans="1:24" x14ac:dyDescent="0.2">
      <c r="A223">
        <v>1</v>
      </c>
      <c r="B223" s="1">
        <v>38703</v>
      </c>
      <c r="D223">
        <v>279</v>
      </c>
      <c r="E223" s="1">
        <v>38703</v>
      </c>
      <c r="F223">
        <v>278</v>
      </c>
      <c r="G223" s="2">
        <v>0.64834490740740736</v>
      </c>
      <c r="H223" t="s">
        <v>79</v>
      </c>
      <c r="I223">
        <v>14</v>
      </c>
      <c r="J223" t="s">
        <v>52</v>
      </c>
      <c r="K223" t="s">
        <v>26</v>
      </c>
      <c r="L223" t="s">
        <v>32</v>
      </c>
      <c r="M223" t="s">
        <v>27</v>
      </c>
      <c r="N223" t="s">
        <v>37</v>
      </c>
      <c r="O223" t="s">
        <v>33</v>
      </c>
      <c r="P223" t="s">
        <v>29</v>
      </c>
      <c r="Q223" t="s">
        <v>27</v>
      </c>
      <c r="R223" t="s">
        <v>76</v>
      </c>
      <c r="S223" s="3">
        <v>14</v>
      </c>
      <c r="T223" t="s">
        <v>215</v>
      </c>
      <c r="U223">
        <v>10</v>
      </c>
      <c r="V223" t="s">
        <v>30</v>
      </c>
      <c r="W223">
        <v>517462.79</v>
      </c>
      <c r="X223">
        <v>4701420.21</v>
      </c>
    </row>
    <row r="224" spans="1:24" x14ac:dyDescent="0.2">
      <c r="A224">
        <v>1</v>
      </c>
      <c r="B224" s="1">
        <v>38703</v>
      </c>
      <c r="D224">
        <v>280</v>
      </c>
      <c r="E224" s="1">
        <v>38703</v>
      </c>
      <c r="F224">
        <v>279</v>
      </c>
      <c r="G224" s="2">
        <v>0.64929398148148143</v>
      </c>
      <c r="H224" t="s">
        <v>79</v>
      </c>
      <c r="I224">
        <v>14</v>
      </c>
      <c r="J224" t="s">
        <v>52</v>
      </c>
      <c r="K224" t="s">
        <v>26</v>
      </c>
      <c r="L224" t="s">
        <v>32</v>
      </c>
      <c r="M224" t="s">
        <v>27</v>
      </c>
      <c r="N224" t="s">
        <v>37</v>
      </c>
      <c r="O224" t="s">
        <v>33</v>
      </c>
      <c r="P224" t="s">
        <v>29</v>
      </c>
      <c r="Q224" t="s">
        <v>27</v>
      </c>
      <c r="R224" t="s">
        <v>76</v>
      </c>
      <c r="S224" s="3">
        <v>14</v>
      </c>
      <c r="T224" t="s">
        <v>216</v>
      </c>
      <c r="U224">
        <v>11</v>
      </c>
      <c r="V224" t="s">
        <v>30</v>
      </c>
      <c r="W224">
        <v>517484.61</v>
      </c>
      <c r="X224">
        <v>4701397.47</v>
      </c>
    </row>
    <row r="225" spans="1:24" x14ac:dyDescent="0.2">
      <c r="A225">
        <v>1</v>
      </c>
      <c r="B225" s="1">
        <v>38703</v>
      </c>
      <c r="D225">
        <v>169</v>
      </c>
      <c r="E225" s="1">
        <v>38703</v>
      </c>
      <c r="F225">
        <v>168</v>
      </c>
      <c r="G225" s="2">
        <v>0.46798611111111116</v>
      </c>
      <c r="H225" t="s">
        <v>152</v>
      </c>
      <c r="I225">
        <v>7</v>
      </c>
      <c r="J225" t="s">
        <v>31</v>
      </c>
      <c r="K225" t="s">
        <v>26</v>
      </c>
      <c r="L225" t="s">
        <v>32</v>
      </c>
      <c r="M225" t="s">
        <v>27</v>
      </c>
      <c r="N225" t="s">
        <v>37</v>
      </c>
      <c r="O225" t="s">
        <v>33</v>
      </c>
      <c r="P225" t="s">
        <v>31</v>
      </c>
      <c r="Q225" t="s">
        <v>27</v>
      </c>
      <c r="R225" t="s">
        <v>76</v>
      </c>
      <c r="S225" s="3" t="s">
        <v>174</v>
      </c>
      <c r="T225" t="s">
        <v>78</v>
      </c>
      <c r="U225">
        <v>13</v>
      </c>
      <c r="V225" t="s">
        <v>30</v>
      </c>
      <c r="W225">
        <v>517523.69</v>
      </c>
      <c r="X225">
        <v>4701282.6399999997</v>
      </c>
    </row>
    <row r="226" spans="1:24" x14ac:dyDescent="0.2">
      <c r="A226">
        <v>1</v>
      </c>
      <c r="B226" s="1">
        <v>38703</v>
      </c>
      <c r="D226">
        <v>170</v>
      </c>
      <c r="E226" s="1">
        <v>38703</v>
      </c>
      <c r="F226">
        <v>169</v>
      </c>
      <c r="G226" s="2">
        <v>0.46839120370370368</v>
      </c>
      <c r="H226" t="s">
        <v>179</v>
      </c>
      <c r="I226">
        <v>14</v>
      </c>
      <c r="J226" t="s">
        <v>52</v>
      </c>
      <c r="K226" t="s">
        <v>26</v>
      </c>
      <c r="L226" t="s">
        <v>32</v>
      </c>
      <c r="M226" t="s">
        <v>27</v>
      </c>
      <c r="N226" t="s">
        <v>37</v>
      </c>
      <c r="O226" t="s">
        <v>33</v>
      </c>
      <c r="P226" t="s">
        <v>31</v>
      </c>
      <c r="Q226" t="s">
        <v>27</v>
      </c>
      <c r="R226" t="s">
        <v>76</v>
      </c>
      <c r="S226" s="3" t="s">
        <v>174</v>
      </c>
      <c r="T226" t="s">
        <v>78</v>
      </c>
      <c r="U226">
        <v>14</v>
      </c>
      <c r="V226" t="s">
        <v>30</v>
      </c>
      <c r="W226">
        <v>517526.24</v>
      </c>
      <c r="X226">
        <v>4701286.99</v>
      </c>
    </row>
    <row r="227" spans="1:24" x14ac:dyDescent="0.2">
      <c r="A227">
        <v>1</v>
      </c>
      <c r="B227" s="1">
        <v>38703</v>
      </c>
      <c r="D227">
        <v>171</v>
      </c>
      <c r="E227" s="1">
        <v>38703</v>
      </c>
      <c r="F227">
        <v>170</v>
      </c>
      <c r="G227" s="2">
        <v>0.47069444444444447</v>
      </c>
      <c r="H227" t="s">
        <v>56</v>
      </c>
      <c r="I227">
        <v>12</v>
      </c>
      <c r="J227" t="s">
        <v>31</v>
      </c>
      <c r="K227" t="s">
        <v>26</v>
      </c>
      <c r="L227" t="s">
        <v>32</v>
      </c>
      <c r="M227" t="s">
        <v>27</v>
      </c>
      <c r="N227" t="s">
        <v>37</v>
      </c>
      <c r="O227" t="s">
        <v>33</v>
      </c>
      <c r="P227" t="s">
        <v>31</v>
      </c>
      <c r="Q227" t="s">
        <v>27</v>
      </c>
      <c r="R227" t="s">
        <v>76</v>
      </c>
      <c r="S227" s="3" t="s">
        <v>174</v>
      </c>
      <c r="T227" t="s">
        <v>78</v>
      </c>
      <c r="U227">
        <v>15</v>
      </c>
      <c r="V227" t="s">
        <v>30</v>
      </c>
      <c r="W227">
        <v>517538.01</v>
      </c>
      <c r="X227">
        <v>4701300.29</v>
      </c>
    </row>
    <row r="228" spans="1:24" x14ac:dyDescent="0.2">
      <c r="A228">
        <v>1</v>
      </c>
      <c r="B228" s="1">
        <v>38703</v>
      </c>
      <c r="D228">
        <v>172</v>
      </c>
      <c r="E228" s="1">
        <v>38703</v>
      </c>
      <c r="F228">
        <v>171</v>
      </c>
      <c r="G228" s="2">
        <v>0.47212962962962962</v>
      </c>
      <c r="H228" t="s">
        <v>217</v>
      </c>
      <c r="I228">
        <v>32</v>
      </c>
      <c r="J228" t="s">
        <v>31</v>
      </c>
      <c r="K228" t="s">
        <v>26</v>
      </c>
      <c r="L228" t="s">
        <v>32</v>
      </c>
      <c r="M228" t="s">
        <v>27</v>
      </c>
      <c r="N228" t="s">
        <v>37</v>
      </c>
      <c r="O228" t="s">
        <v>33</v>
      </c>
      <c r="P228" t="s">
        <v>31</v>
      </c>
      <c r="Q228" t="s">
        <v>27</v>
      </c>
      <c r="R228" t="s">
        <v>76</v>
      </c>
      <c r="S228" s="3" t="s">
        <v>174</v>
      </c>
      <c r="T228" t="s">
        <v>78</v>
      </c>
      <c r="U228">
        <v>16</v>
      </c>
      <c r="V228" t="s">
        <v>30</v>
      </c>
      <c r="W228">
        <v>517532.64</v>
      </c>
      <c r="X228">
        <v>4701301.82</v>
      </c>
    </row>
    <row r="229" spans="1:24" x14ac:dyDescent="0.2">
      <c r="A229">
        <v>1</v>
      </c>
      <c r="B229" s="1">
        <v>38703</v>
      </c>
      <c r="D229">
        <v>173</v>
      </c>
      <c r="E229" s="1">
        <v>38703</v>
      </c>
      <c r="F229">
        <v>172</v>
      </c>
      <c r="G229" s="2">
        <v>0.473599537037037</v>
      </c>
      <c r="H229" t="s">
        <v>82</v>
      </c>
      <c r="I229">
        <v>10</v>
      </c>
      <c r="J229" t="s">
        <v>52</v>
      </c>
      <c r="K229" t="s">
        <v>26</v>
      </c>
      <c r="L229" t="s">
        <v>32</v>
      </c>
      <c r="M229" t="s">
        <v>27</v>
      </c>
      <c r="N229" t="s">
        <v>37</v>
      </c>
      <c r="O229" t="s">
        <v>33</v>
      </c>
      <c r="P229" t="s">
        <v>31</v>
      </c>
      <c r="Q229" t="s">
        <v>27</v>
      </c>
      <c r="R229" t="s">
        <v>76</v>
      </c>
      <c r="S229" s="3" t="s">
        <v>77</v>
      </c>
      <c r="T229" t="s">
        <v>78</v>
      </c>
      <c r="U229">
        <v>1</v>
      </c>
      <c r="V229" t="s">
        <v>30</v>
      </c>
      <c r="W229">
        <v>517510.9</v>
      </c>
      <c r="X229">
        <v>4701257.07</v>
      </c>
    </row>
    <row r="230" spans="1:24" x14ac:dyDescent="0.2">
      <c r="A230">
        <v>1</v>
      </c>
      <c r="B230" s="1">
        <v>38703</v>
      </c>
      <c r="D230">
        <v>174</v>
      </c>
      <c r="E230" s="1">
        <v>38703</v>
      </c>
      <c r="F230">
        <v>173</v>
      </c>
      <c r="G230" s="2">
        <v>0.47605324074074074</v>
      </c>
      <c r="H230" t="s">
        <v>50</v>
      </c>
      <c r="I230">
        <v>5</v>
      </c>
      <c r="J230" t="s">
        <v>31</v>
      </c>
      <c r="K230" t="s">
        <v>26</v>
      </c>
      <c r="L230" t="s">
        <v>32</v>
      </c>
      <c r="M230" t="s">
        <v>27</v>
      </c>
      <c r="N230" t="s">
        <v>37</v>
      </c>
      <c r="O230" t="s">
        <v>33</v>
      </c>
      <c r="P230" t="s">
        <v>29</v>
      </c>
      <c r="Q230" t="s">
        <v>27</v>
      </c>
      <c r="R230" t="s">
        <v>76</v>
      </c>
      <c r="S230" s="3" t="s">
        <v>77</v>
      </c>
      <c r="T230" t="s">
        <v>218</v>
      </c>
      <c r="U230">
        <v>5</v>
      </c>
      <c r="V230" t="s">
        <v>30</v>
      </c>
      <c r="W230">
        <v>517516.02</v>
      </c>
      <c r="X230">
        <v>4701279.83</v>
      </c>
    </row>
    <row r="231" spans="1:24" x14ac:dyDescent="0.2">
      <c r="A231">
        <v>1</v>
      </c>
      <c r="B231" s="1">
        <v>38703</v>
      </c>
      <c r="C231" t="s">
        <v>219</v>
      </c>
      <c r="D231">
        <v>175</v>
      </c>
      <c r="E231" s="1">
        <v>38703</v>
      </c>
      <c r="F231">
        <v>174</v>
      </c>
      <c r="G231" s="2">
        <v>0.47671296296296295</v>
      </c>
      <c r="H231" t="s">
        <v>152</v>
      </c>
      <c r="I231">
        <v>3</v>
      </c>
      <c r="J231" t="s">
        <v>38</v>
      </c>
      <c r="K231" t="s">
        <v>42</v>
      </c>
      <c r="L231" t="s">
        <v>32</v>
      </c>
      <c r="M231" t="s">
        <v>27</v>
      </c>
      <c r="N231" t="s">
        <v>37</v>
      </c>
      <c r="O231" t="s">
        <v>33</v>
      </c>
      <c r="P231" t="s">
        <v>31</v>
      </c>
      <c r="Q231" t="s">
        <v>27</v>
      </c>
      <c r="R231" t="s">
        <v>76</v>
      </c>
      <c r="S231" s="3" t="s">
        <v>77</v>
      </c>
      <c r="T231" t="s">
        <v>220</v>
      </c>
      <c r="U231">
        <v>4</v>
      </c>
      <c r="V231" t="s">
        <v>30</v>
      </c>
      <c r="W231">
        <v>517515.76</v>
      </c>
      <c r="X231">
        <v>4701285.2</v>
      </c>
    </row>
    <row r="232" spans="1:24" x14ac:dyDescent="0.2">
      <c r="A232">
        <v>1</v>
      </c>
      <c r="B232" s="1">
        <v>38703</v>
      </c>
      <c r="D232">
        <v>176</v>
      </c>
      <c r="E232" s="1">
        <v>38703</v>
      </c>
      <c r="F232">
        <v>175</v>
      </c>
      <c r="G232" s="2">
        <v>0.47996527777777781</v>
      </c>
      <c r="H232" t="s">
        <v>82</v>
      </c>
      <c r="I232">
        <v>9</v>
      </c>
      <c r="J232" t="s">
        <v>52</v>
      </c>
      <c r="K232" t="s">
        <v>26</v>
      </c>
      <c r="L232" t="s">
        <v>32</v>
      </c>
      <c r="M232" t="s">
        <v>27</v>
      </c>
      <c r="N232" t="s">
        <v>37</v>
      </c>
      <c r="O232" t="s">
        <v>33</v>
      </c>
      <c r="P232" t="s">
        <v>31</v>
      </c>
      <c r="Q232" t="s">
        <v>27</v>
      </c>
      <c r="R232" t="s">
        <v>76</v>
      </c>
      <c r="S232" s="3">
        <v>26</v>
      </c>
      <c r="T232" t="s">
        <v>78</v>
      </c>
      <c r="U232">
        <v>1</v>
      </c>
      <c r="V232" t="s">
        <v>30</v>
      </c>
      <c r="W232">
        <v>517498.37</v>
      </c>
      <c r="X232">
        <v>4701259.37</v>
      </c>
    </row>
    <row r="233" spans="1:24" x14ac:dyDescent="0.2">
      <c r="A233">
        <v>1</v>
      </c>
      <c r="B233" s="1">
        <v>38703</v>
      </c>
      <c r="C233" t="s">
        <v>221</v>
      </c>
      <c r="D233">
        <v>177</v>
      </c>
      <c r="E233" s="1">
        <v>38703</v>
      </c>
      <c r="F233">
        <v>176</v>
      </c>
      <c r="G233" s="2">
        <v>0.4812731481481482</v>
      </c>
      <c r="H233" t="s">
        <v>222</v>
      </c>
      <c r="I233">
        <v>2</v>
      </c>
      <c r="J233" t="s">
        <v>25</v>
      </c>
      <c r="K233" t="s">
        <v>42</v>
      </c>
      <c r="L233" t="s">
        <v>32</v>
      </c>
      <c r="M233" t="s">
        <v>27</v>
      </c>
      <c r="N233" t="s">
        <v>37</v>
      </c>
      <c r="O233" t="s">
        <v>33</v>
      </c>
      <c r="P233" t="s">
        <v>38</v>
      </c>
      <c r="Q233" t="s">
        <v>84</v>
      </c>
      <c r="R233" t="s">
        <v>76</v>
      </c>
      <c r="S233" s="3">
        <v>26</v>
      </c>
      <c r="T233" t="s">
        <v>223</v>
      </c>
      <c r="U233">
        <v>2</v>
      </c>
      <c r="V233" t="s">
        <v>30</v>
      </c>
      <c r="W233">
        <v>517497.35</v>
      </c>
      <c r="X233">
        <v>4701261.93</v>
      </c>
    </row>
    <row r="234" spans="1:24" x14ac:dyDescent="0.2">
      <c r="A234">
        <v>1</v>
      </c>
      <c r="B234" s="1">
        <v>38703</v>
      </c>
      <c r="D234">
        <v>178</v>
      </c>
      <c r="E234" s="1">
        <v>38703</v>
      </c>
      <c r="F234">
        <v>177</v>
      </c>
      <c r="G234" s="2">
        <v>0.48355324074074074</v>
      </c>
      <c r="H234" t="s">
        <v>82</v>
      </c>
      <c r="I234">
        <v>3</v>
      </c>
      <c r="J234" t="s">
        <v>31</v>
      </c>
      <c r="K234" t="s">
        <v>26</v>
      </c>
      <c r="L234" t="s">
        <v>32</v>
      </c>
      <c r="M234" t="s">
        <v>27</v>
      </c>
      <c r="N234" t="s">
        <v>37</v>
      </c>
      <c r="O234" t="s">
        <v>33</v>
      </c>
      <c r="P234" t="s">
        <v>31</v>
      </c>
      <c r="Q234" t="s">
        <v>27</v>
      </c>
      <c r="R234" t="s">
        <v>76</v>
      </c>
      <c r="S234" s="3">
        <v>26</v>
      </c>
      <c r="T234" t="s">
        <v>224</v>
      </c>
      <c r="U234">
        <v>3</v>
      </c>
      <c r="V234" t="s">
        <v>30</v>
      </c>
      <c r="W234">
        <v>517490.7</v>
      </c>
      <c r="X234">
        <v>4701263.21</v>
      </c>
    </row>
    <row r="235" spans="1:24" x14ac:dyDescent="0.2">
      <c r="A235">
        <v>1</v>
      </c>
      <c r="B235" s="1">
        <v>38703</v>
      </c>
      <c r="D235">
        <v>179</v>
      </c>
      <c r="E235" s="1">
        <v>38703</v>
      </c>
      <c r="F235">
        <v>178</v>
      </c>
      <c r="G235" s="2">
        <v>0.48560185185185184</v>
      </c>
      <c r="H235" t="s">
        <v>79</v>
      </c>
      <c r="I235">
        <v>12</v>
      </c>
      <c r="J235" t="s">
        <v>52</v>
      </c>
      <c r="K235" t="s">
        <v>26</v>
      </c>
      <c r="L235" t="s">
        <v>32</v>
      </c>
      <c r="M235" t="s">
        <v>27</v>
      </c>
      <c r="N235" t="s">
        <v>37</v>
      </c>
      <c r="O235" t="s">
        <v>33</v>
      </c>
      <c r="P235" t="s">
        <v>29</v>
      </c>
      <c r="Q235" t="s">
        <v>27</v>
      </c>
      <c r="R235" t="s">
        <v>76</v>
      </c>
      <c r="S235" s="3">
        <v>25</v>
      </c>
      <c r="T235" t="s">
        <v>225</v>
      </c>
      <c r="U235">
        <v>1</v>
      </c>
      <c r="V235" t="s">
        <v>30</v>
      </c>
      <c r="W235">
        <v>517465.39</v>
      </c>
      <c r="X235">
        <v>4701278.8099999996</v>
      </c>
    </row>
    <row r="236" spans="1:24" x14ac:dyDescent="0.2">
      <c r="A236">
        <v>1</v>
      </c>
      <c r="B236" s="1">
        <v>38703</v>
      </c>
      <c r="D236">
        <v>180</v>
      </c>
      <c r="E236" s="1">
        <v>38703</v>
      </c>
      <c r="F236">
        <v>179</v>
      </c>
      <c r="G236" s="2">
        <v>0.4883912037037037</v>
      </c>
      <c r="H236" t="s">
        <v>79</v>
      </c>
      <c r="I236">
        <v>10</v>
      </c>
      <c r="J236" t="s">
        <v>52</v>
      </c>
      <c r="K236" t="s">
        <v>26</v>
      </c>
      <c r="L236" t="s">
        <v>32</v>
      </c>
      <c r="M236" t="s">
        <v>27</v>
      </c>
      <c r="N236" t="s">
        <v>37</v>
      </c>
      <c r="O236" t="s">
        <v>33</v>
      </c>
      <c r="P236" t="s">
        <v>29</v>
      </c>
      <c r="Q236" t="s">
        <v>27</v>
      </c>
      <c r="R236" t="s">
        <v>76</v>
      </c>
      <c r="S236" s="3">
        <v>25</v>
      </c>
      <c r="T236" t="s">
        <v>225</v>
      </c>
      <c r="U236">
        <v>2</v>
      </c>
      <c r="V236" t="s">
        <v>30</v>
      </c>
      <c r="W236">
        <v>517463.6</v>
      </c>
      <c r="X236">
        <v>4701284.18</v>
      </c>
    </row>
    <row r="237" spans="1:24" x14ac:dyDescent="0.2">
      <c r="A237">
        <v>1</v>
      </c>
      <c r="B237" s="1">
        <v>38703</v>
      </c>
      <c r="C237" t="s">
        <v>226</v>
      </c>
      <c r="D237">
        <v>181</v>
      </c>
      <c r="E237" s="1">
        <v>38703</v>
      </c>
      <c r="F237">
        <v>180</v>
      </c>
      <c r="G237" s="2">
        <v>0.48979166666666668</v>
      </c>
      <c r="H237" t="s">
        <v>152</v>
      </c>
      <c r="I237">
        <v>10</v>
      </c>
      <c r="J237" t="s">
        <v>25</v>
      </c>
      <c r="K237" t="s">
        <v>26</v>
      </c>
      <c r="L237" t="s">
        <v>32</v>
      </c>
      <c r="M237" t="s">
        <v>27</v>
      </c>
      <c r="N237" t="s">
        <v>37</v>
      </c>
      <c r="O237" t="s">
        <v>33</v>
      </c>
      <c r="P237" t="s">
        <v>31</v>
      </c>
      <c r="Q237" t="s">
        <v>27</v>
      </c>
      <c r="R237" t="s">
        <v>76</v>
      </c>
      <c r="S237" s="3">
        <v>25</v>
      </c>
      <c r="T237" t="s">
        <v>227</v>
      </c>
      <c r="U237">
        <v>3</v>
      </c>
      <c r="V237" t="s">
        <v>30</v>
      </c>
      <c r="W237">
        <v>517500.67</v>
      </c>
      <c r="X237">
        <v>4701283.1500000004</v>
      </c>
    </row>
    <row r="238" spans="1:24" x14ac:dyDescent="0.2">
      <c r="A238">
        <v>1</v>
      </c>
      <c r="B238" s="1">
        <v>38703</v>
      </c>
      <c r="C238" t="s">
        <v>226</v>
      </c>
      <c r="D238">
        <v>182</v>
      </c>
      <c r="E238" s="1">
        <v>38703</v>
      </c>
      <c r="F238">
        <v>181</v>
      </c>
      <c r="G238" s="2">
        <v>0.49142361111111116</v>
      </c>
      <c r="H238" t="s">
        <v>152</v>
      </c>
      <c r="I238">
        <v>10</v>
      </c>
      <c r="J238" t="s">
        <v>25</v>
      </c>
      <c r="K238" t="s">
        <v>26</v>
      </c>
      <c r="L238" t="s">
        <v>32</v>
      </c>
      <c r="M238" t="s">
        <v>27</v>
      </c>
      <c r="N238" t="s">
        <v>37</v>
      </c>
      <c r="O238" t="s">
        <v>33</v>
      </c>
      <c r="P238" t="s">
        <v>31</v>
      </c>
      <c r="Q238" t="s">
        <v>27</v>
      </c>
      <c r="R238" t="s">
        <v>76</v>
      </c>
      <c r="S238" s="3">
        <v>25</v>
      </c>
      <c r="T238" t="s">
        <v>227</v>
      </c>
      <c r="U238">
        <v>4</v>
      </c>
      <c r="V238" t="s">
        <v>30</v>
      </c>
      <c r="W238">
        <v>517498.37</v>
      </c>
      <c r="X238">
        <v>4701286.4800000004</v>
      </c>
    </row>
    <row r="239" spans="1:24" x14ac:dyDescent="0.2">
      <c r="A239">
        <v>1</v>
      </c>
      <c r="B239" s="1">
        <v>38703</v>
      </c>
      <c r="C239" t="s">
        <v>192</v>
      </c>
      <c r="D239">
        <v>281</v>
      </c>
      <c r="E239" s="1">
        <v>38703</v>
      </c>
      <c r="F239">
        <v>280</v>
      </c>
      <c r="G239" s="2">
        <v>0.64997685185185183</v>
      </c>
      <c r="H239" t="s">
        <v>152</v>
      </c>
      <c r="I239">
        <v>3</v>
      </c>
      <c r="J239" t="s">
        <v>38</v>
      </c>
      <c r="K239" t="s">
        <v>42</v>
      </c>
      <c r="L239" t="s">
        <v>32</v>
      </c>
      <c r="M239" t="s">
        <v>27</v>
      </c>
      <c r="N239" t="s">
        <v>37</v>
      </c>
      <c r="O239" t="s">
        <v>33</v>
      </c>
      <c r="P239" t="s">
        <v>38</v>
      </c>
      <c r="Q239" t="s">
        <v>41</v>
      </c>
      <c r="R239" t="s">
        <v>76</v>
      </c>
      <c r="S239" s="3">
        <v>14</v>
      </c>
      <c r="T239" t="s">
        <v>228</v>
      </c>
      <c r="U239">
        <v>12</v>
      </c>
      <c r="V239" t="s">
        <v>30</v>
      </c>
      <c r="W239">
        <v>517470.47</v>
      </c>
      <c r="X239">
        <v>4701422.3600000003</v>
      </c>
    </row>
    <row r="240" spans="1:24" x14ac:dyDescent="0.2">
      <c r="A240">
        <v>1</v>
      </c>
      <c r="B240" s="1">
        <v>38703</v>
      </c>
      <c r="D240">
        <v>282</v>
      </c>
      <c r="E240" s="1">
        <v>38703</v>
      </c>
      <c r="F240">
        <v>281</v>
      </c>
      <c r="G240" s="2">
        <v>0.65119212962962958</v>
      </c>
      <c r="H240" t="s">
        <v>94</v>
      </c>
      <c r="I240">
        <v>24</v>
      </c>
      <c r="J240" t="s">
        <v>52</v>
      </c>
      <c r="K240" t="s">
        <v>26</v>
      </c>
      <c r="L240" t="s">
        <v>32</v>
      </c>
      <c r="M240" t="s">
        <v>27</v>
      </c>
      <c r="N240" t="s">
        <v>37</v>
      </c>
      <c r="O240" t="s">
        <v>33</v>
      </c>
      <c r="P240" t="s">
        <v>29</v>
      </c>
      <c r="Q240" t="s">
        <v>41</v>
      </c>
      <c r="R240" t="s">
        <v>76</v>
      </c>
      <c r="S240" s="3">
        <v>14</v>
      </c>
      <c r="T240" t="s">
        <v>229</v>
      </c>
      <c r="U240">
        <v>13</v>
      </c>
      <c r="V240" t="s">
        <v>30</v>
      </c>
      <c r="W240">
        <v>517462.79</v>
      </c>
      <c r="X240">
        <v>4701407.92</v>
      </c>
    </row>
    <row r="241" spans="1:24" x14ac:dyDescent="0.2">
      <c r="A241">
        <v>1</v>
      </c>
      <c r="B241" s="1">
        <v>38703</v>
      </c>
      <c r="D241">
        <v>283</v>
      </c>
      <c r="E241" s="1">
        <v>38703</v>
      </c>
      <c r="F241">
        <v>282</v>
      </c>
      <c r="G241" s="2">
        <v>0.6524537037037037</v>
      </c>
      <c r="H241" t="s">
        <v>94</v>
      </c>
      <c r="I241">
        <v>24</v>
      </c>
      <c r="J241" t="s">
        <v>52</v>
      </c>
      <c r="K241" t="s">
        <v>26</v>
      </c>
      <c r="L241" t="s">
        <v>32</v>
      </c>
      <c r="M241" t="s">
        <v>27</v>
      </c>
      <c r="N241" t="s">
        <v>37</v>
      </c>
      <c r="O241" t="s">
        <v>33</v>
      </c>
      <c r="P241" t="s">
        <v>29</v>
      </c>
      <c r="Q241" t="s">
        <v>41</v>
      </c>
      <c r="R241" t="s">
        <v>76</v>
      </c>
      <c r="S241" s="3">
        <v>14</v>
      </c>
      <c r="T241" t="s">
        <v>230</v>
      </c>
      <c r="U241">
        <v>14</v>
      </c>
      <c r="V241" t="s">
        <v>30</v>
      </c>
      <c r="W241">
        <v>517471.09</v>
      </c>
      <c r="X241">
        <v>4701401.16</v>
      </c>
    </row>
    <row r="242" spans="1:24" x14ac:dyDescent="0.2">
      <c r="A242">
        <v>1</v>
      </c>
      <c r="B242" s="1">
        <v>38703</v>
      </c>
      <c r="D242">
        <v>284</v>
      </c>
      <c r="E242" s="1">
        <v>38703</v>
      </c>
      <c r="F242">
        <v>283</v>
      </c>
      <c r="G242" s="2">
        <v>0.65348379629629627</v>
      </c>
      <c r="H242" t="s">
        <v>94</v>
      </c>
      <c r="I242">
        <v>24</v>
      </c>
      <c r="J242" t="s">
        <v>52</v>
      </c>
      <c r="K242" t="s">
        <v>26</v>
      </c>
      <c r="L242" t="s">
        <v>32</v>
      </c>
      <c r="M242" t="s">
        <v>27</v>
      </c>
      <c r="N242" t="s">
        <v>37</v>
      </c>
      <c r="O242" t="s">
        <v>33</v>
      </c>
      <c r="P242" t="s">
        <v>29</v>
      </c>
      <c r="Q242" t="s">
        <v>41</v>
      </c>
      <c r="R242" t="s">
        <v>76</v>
      </c>
      <c r="S242" s="3">
        <v>14</v>
      </c>
      <c r="T242" t="s">
        <v>231</v>
      </c>
      <c r="U242">
        <v>15</v>
      </c>
      <c r="V242" t="s">
        <v>30</v>
      </c>
      <c r="W242">
        <v>517479.08</v>
      </c>
      <c r="X242">
        <v>4701393.16</v>
      </c>
    </row>
    <row r="243" spans="1:24" x14ac:dyDescent="0.2">
      <c r="A243">
        <v>1</v>
      </c>
      <c r="B243" s="1">
        <v>38703</v>
      </c>
      <c r="D243">
        <v>285</v>
      </c>
      <c r="E243" s="1">
        <v>38703</v>
      </c>
      <c r="F243">
        <v>284</v>
      </c>
      <c r="G243" s="2">
        <v>0.65437500000000004</v>
      </c>
      <c r="H243" t="s">
        <v>196</v>
      </c>
      <c r="I243">
        <v>8</v>
      </c>
      <c r="J243" t="s">
        <v>31</v>
      </c>
      <c r="K243" t="s">
        <v>26</v>
      </c>
      <c r="L243" t="s">
        <v>32</v>
      </c>
      <c r="M243" t="s">
        <v>27</v>
      </c>
      <c r="N243" t="s">
        <v>37</v>
      </c>
      <c r="O243" t="s">
        <v>33</v>
      </c>
      <c r="P243" t="s">
        <v>29</v>
      </c>
      <c r="Q243" t="s">
        <v>27</v>
      </c>
      <c r="R243" t="s">
        <v>76</v>
      </c>
      <c r="S243" s="3">
        <v>14</v>
      </c>
      <c r="T243" t="s">
        <v>78</v>
      </c>
      <c r="U243">
        <v>6</v>
      </c>
      <c r="V243" t="s">
        <v>30</v>
      </c>
      <c r="W243">
        <v>517496.91</v>
      </c>
      <c r="X243">
        <v>4701395.93</v>
      </c>
    </row>
    <row r="244" spans="1:24" x14ac:dyDescent="0.2">
      <c r="A244">
        <v>1</v>
      </c>
      <c r="B244" s="1">
        <v>38703</v>
      </c>
      <c r="D244">
        <v>286</v>
      </c>
      <c r="E244" s="1">
        <v>38703</v>
      </c>
      <c r="F244">
        <v>285</v>
      </c>
      <c r="G244" s="2">
        <v>0.6559490740740741</v>
      </c>
      <c r="H244" t="s">
        <v>196</v>
      </c>
      <c r="I244">
        <v>8</v>
      </c>
      <c r="J244" t="s">
        <v>31</v>
      </c>
      <c r="K244" t="s">
        <v>26</v>
      </c>
      <c r="L244" t="s">
        <v>32</v>
      </c>
      <c r="M244" t="s">
        <v>27</v>
      </c>
      <c r="N244" t="s">
        <v>37</v>
      </c>
      <c r="O244" t="s">
        <v>33</v>
      </c>
      <c r="P244" t="s">
        <v>29</v>
      </c>
      <c r="Q244" t="s">
        <v>27</v>
      </c>
      <c r="R244" t="s">
        <v>76</v>
      </c>
      <c r="S244" s="3">
        <v>14</v>
      </c>
      <c r="T244" t="s">
        <v>78</v>
      </c>
      <c r="U244">
        <v>7</v>
      </c>
      <c r="V244" t="s">
        <v>30</v>
      </c>
      <c r="W244">
        <v>517496.29</v>
      </c>
      <c r="X244">
        <v>4701391.01</v>
      </c>
    </row>
    <row r="245" spans="1:24" x14ac:dyDescent="0.2">
      <c r="A245">
        <v>1</v>
      </c>
      <c r="B245" s="1">
        <v>38703</v>
      </c>
      <c r="D245">
        <v>287</v>
      </c>
      <c r="E245" s="1">
        <v>38703</v>
      </c>
      <c r="F245">
        <v>286</v>
      </c>
      <c r="G245" s="2">
        <v>0.65621527777777777</v>
      </c>
      <c r="H245" t="s">
        <v>196</v>
      </c>
      <c r="I245">
        <v>8</v>
      </c>
      <c r="J245" t="s">
        <v>31</v>
      </c>
      <c r="K245" t="s">
        <v>26</v>
      </c>
      <c r="L245" t="s">
        <v>32</v>
      </c>
      <c r="M245" t="s">
        <v>27</v>
      </c>
      <c r="N245" t="s">
        <v>37</v>
      </c>
      <c r="O245" t="s">
        <v>33</v>
      </c>
      <c r="P245" t="s">
        <v>29</v>
      </c>
      <c r="Q245" t="s">
        <v>27</v>
      </c>
      <c r="R245" t="s">
        <v>76</v>
      </c>
      <c r="S245" s="3">
        <v>14</v>
      </c>
      <c r="T245" t="s">
        <v>78</v>
      </c>
      <c r="U245">
        <v>8</v>
      </c>
      <c r="V245" t="s">
        <v>30</v>
      </c>
      <c r="W245">
        <v>517491.07</v>
      </c>
      <c r="X245">
        <v>4701388.55</v>
      </c>
    </row>
    <row r="246" spans="1:24" x14ac:dyDescent="0.2">
      <c r="A246">
        <v>1</v>
      </c>
      <c r="B246" s="1">
        <v>38703</v>
      </c>
      <c r="D246">
        <v>288</v>
      </c>
      <c r="E246" s="1">
        <v>38703</v>
      </c>
      <c r="F246">
        <v>287</v>
      </c>
      <c r="G246" s="2">
        <v>0.65643518518518518</v>
      </c>
      <c r="H246" t="s">
        <v>152</v>
      </c>
      <c r="I246">
        <v>8</v>
      </c>
      <c r="J246" t="s">
        <v>31</v>
      </c>
      <c r="K246" t="s">
        <v>26</v>
      </c>
      <c r="L246" t="s">
        <v>32</v>
      </c>
      <c r="M246" t="s">
        <v>27</v>
      </c>
      <c r="N246" t="s">
        <v>37</v>
      </c>
      <c r="O246" t="s">
        <v>33</v>
      </c>
      <c r="P246" t="s">
        <v>29</v>
      </c>
      <c r="Q246" t="s">
        <v>27</v>
      </c>
      <c r="R246" t="s">
        <v>76</v>
      </c>
      <c r="S246" s="3">
        <v>14</v>
      </c>
      <c r="T246" t="s">
        <v>78</v>
      </c>
      <c r="U246">
        <v>9</v>
      </c>
      <c r="V246" t="s">
        <v>30</v>
      </c>
      <c r="W246">
        <v>517487.38</v>
      </c>
      <c r="X246">
        <v>4701387.32</v>
      </c>
    </row>
    <row r="247" spans="1:24" x14ac:dyDescent="0.2">
      <c r="A247">
        <v>1</v>
      </c>
      <c r="B247" s="1">
        <v>38703</v>
      </c>
      <c r="D247">
        <v>289</v>
      </c>
      <c r="E247" s="1">
        <v>38703</v>
      </c>
      <c r="F247">
        <v>288</v>
      </c>
      <c r="G247" s="2">
        <v>0.65870370370370368</v>
      </c>
      <c r="H247" t="s">
        <v>196</v>
      </c>
      <c r="I247">
        <v>8</v>
      </c>
      <c r="J247" t="s">
        <v>31</v>
      </c>
      <c r="K247" t="s">
        <v>26</v>
      </c>
      <c r="L247" t="s">
        <v>32</v>
      </c>
      <c r="M247" t="s">
        <v>27</v>
      </c>
      <c r="N247" t="s">
        <v>37</v>
      </c>
      <c r="O247" t="s">
        <v>33</v>
      </c>
      <c r="P247" t="s">
        <v>29</v>
      </c>
      <c r="Q247" t="s">
        <v>27</v>
      </c>
      <c r="R247" t="s">
        <v>76</v>
      </c>
      <c r="S247" s="3">
        <v>14</v>
      </c>
      <c r="T247" t="s">
        <v>78</v>
      </c>
      <c r="U247">
        <v>10</v>
      </c>
      <c r="V247" t="s">
        <v>30</v>
      </c>
      <c r="W247">
        <v>517481.19</v>
      </c>
      <c r="X247">
        <v>4701388.2300000004</v>
      </c>
    </row>
    <row r="248" spans="1:24" x14ac:dyDescent="0.2">
      <c r="A248">
        <v>1</v>
      </c>
      <c r="B248" s="1">
        <v>38703</v>
      </c>
      <c r="D248">
        <v>290</v>
      </c>
      <c r="E248" s="1">
        <v>38703</v>
      </c>
      <c r="F248">
        <v>289</v>
      </c>
      <c r="G248" s="2">
        <v>0.65913194444444445</v>
      </c>
      <c r="H248" t="s">
        <v>196</v>
      </c>
      <c r="I248">
        <v>8</v>
      </c>
      <c r="J248" t="s">
        <v>31</v>
      </c>
      <c r="K248" t="s">
        <v>26</v>
      </c>
      <c r="L248" t="s">
        <v>32</v>
      </c>
      <c r="M248" t="s">
        <v>27</v>
      </c>
      <c r="N248" t="s">
        <v>37</v>
      </c>
      <c r="O248" t="s">
        <v>33</v>
      </c>
      <c r="P248" t="s">
        <v>29</v>
      </c>
      <c r="Q248" t="s">
        <v>27</v>
      </c>
      <c r="R248" t="s">
        <v>76</v>
      </c>
      <c r="S248" s="3">
        <v>14</v>
      </c>
      <c r="T248" t="s">
        <v>78</v>
      </c>
      <c r="U248">
        <v>11</v>
      </c>
      <c r="V248" t="s">
        <v>30</v>
      </c>
      <c r="W248">
        <v>517470.48</v>
      </c>
      <c r="X248">
        <v>4701388.96</v>
      </c>
    </row>
    <row r="249" spans="1:24" x14ac:dyDescent="0.2">
      <c r="A249">
        <v>1</v>
      </c>
      <c r="B249" s="1">
        <v>38703</v>
      </c>
      <c r="D249">
        <v>291</v>
      </c>
      <c r="E249" s="1">
        <v>38703</v>
      </c>
      <c r="F249">
        <v>290</v>
      </c>
      <c r="G249" s="2">
        <v>0.65952546296296299</v>
      </c>
      <c r="H249" t="s">
        <v>196</v>
      </c>
      <c r="I249">
        <v>8</v>
      </c>
      <c r="J249" t="s">
        <v>31</v>
      </c>
      <c r="K249" t="s">
        <v>26</v>
      </c>
      <c r="L249" t="s">
        <v>32</v>
      </c>
      <c r="M249" t="s">
        <v>27</v>
      </c>
      <c r="N249" t="s">
        <v>37</v>
      </c>
      <c r="O249" t="s">
        <v>33</v>
      </c>
      <c r="P249" t="s">
        <v>29</v>
      </c>
      <c r="Q249" t="s">
        <v>27</v>
      </c>
      <c r="R249" t="s">
        <v>76</v>
      </c>
      <c r="S249" s="3">
        <v>14</v>
      </c>
      <c r="T249" t="s">
        <v>78</v>
      </c>
      <c r="U249">
        <v>12</v>
      </c>
      <c r="V249" t="s">
        <v>30</v>
      </c>
      <c r="W249">
        <v>517464.2</v>
      </c>
      <c r="X249">
        <v>4701389.33</v>
      </c>
    </row>
    <row r="250" spans="1:24" x14ac:dyDescent="0.2">
      <c r="A250">
        <v>1</v>
      </c>
      <c r="B250" s="1">
        <v>38703</v>
      </c>
      <c r="D250">
        <v>292</v>
      </c>
      <c r="E250" s="1">
        <v>38703</v>
      </c>
      <c r="F250">
        <v>291</v>
      </c>
      <c r="G250" s="2">
        <v>0.6636805555555555</v>
      </c>
      <c r="H250" t="s">
        <v>88</v>
      </c>
      <c r="I250">
        <v>8</v>
      </c>
      <c r="J250" t="s">
        <v>52</v>
      </c>
      <c r="K250" t="s">
        <v>26</v>
      </c>
      <c r="L250" t="s">
        <v>32</v>
      </c>
      <c r="M250" t="s">
        <v>27</v>
      </c>
      <c r="N250" t="s">
        <v>37</v>
      </c>
      <c r="O250" t="s">
        <v>33</v>
      </c>
      <c r="P250" t="s">
        <v>29</v>
      </c>
      <c r="Q250" t="s">
        <v>27</v>
      </c>
      <c r="R250" t="s">
        <v>76</v>
      </c>
      <c r="S250" s="3" t="s">
        <v>232</v>
      </c>
      <c r="T250" t="s">
        <v>78</v>
      </c>
      <c r="U250">
        <v>7</v>
      </c>
      <c r="V250" t="s">
        <v>30</v>
      </c>
      <c r="W250">
        <v>517435.75</v>
      </c>
      <c r="X250">
        <v>4701420.37</v>
      </c>
    </row>
    <row r="251" spans="1:24" x14ac:dyDescent="0.2">
      <c r="A251">
        <v>1</v>
      </c>
      <c r="B251" s="1">
        <v>38703</v>
      </c>
      <c r="D251">
        <v>293</v>
      </c>
      <c r="E251" s="1">
        <v>38703</v>
      </c>
      <c r="F251">
        <v>292</v>
      </c>
      <c r="G251" s="2">
        <v>0.66472222222222221</v>
      </c>
      <c r="H251" t="s">
        <v>233</v>
      </c>
      <c r="I251">
        <v>18</v>
      </c>
      <c r="J251" t="s">
        <v>52</v>
      </c>
      <c r="K251" t="s">
        <v>26</v>
      </c>
      <c r="L251" t="s">
        <v>32</v>
      </c>
      <c r="M251" t="s">
        <v>27</v>
      </c>
      <c r="N251" t="s">
        <v>37</v>
      </c>
      <c r="O251" t="s">
        <v>33</v>
      </c>
      <c r="P251" t="s">
        <v>29</v>
      </c>
      <c r="Q251" t="s">
        <v>27</v>
      </c>
      <c r="R251" t="s">
        <v>76</v>
      </c>
      <c r="S251" s="3" t="s">
        <v>232</v>
      </c>
      <c r="T251" t="s">
        <v>78</v>
      </c>
      <c r="U251">
        <v>8</v>
      </c>
      <c r="V251" t="s">
        <v>30</v>
      </c>
      <c r="W251">
        <v>517426.88</v>
      </c>
      <c r="X251">
        <v>4701413.72</v>
      </c>
    </row>
    <row r="252" spans="1:24" x14ac:dyDescent="0.2">
      <c r="A252">
        <v>1</v>
      </c>
      <c r="B252" s="1">
        <v>38703</v>
      </c>
      <c r="D252">
        <v>294</v>
      </c>
      <c r="E252" s="1">
        <v>38703</v>
      </c>
      <c r="F252">
        <v>293</v>
      </c>
      <c r="G252" s="2">
        <v>0.6654282407407407</v>
      </c>
      <c r="H252" t="s">
        <v>233</v>
      </c>
      <c r="I252">
        <v>15</v>
      </c>
      <c r="J252" t="s">
        <v>52</v>
      </c>
      <c r="K252" t="s">
        <v>26</v>
      </c>
      <c r="L252" t="s">
        <v>32</v>
      </c>
      <c r="M252" t="s">
        <v>27</v>
      </c>
      <c r="N252" t="s">
        <v>37</v>
      </c>
      <c r="O252" t="s">
        <v>33</v>
      </c>
      <c r="P252" t="s">
        <v>29</v>
      </c>
      <c r="Q252" t="s">
        <v>27</v>
      </c>
      <c r="R252" t="s">
        <v>76</v>
      </c>
      <c r="S252" s="3" t="s">
        <v>232</v>
      </c>
      <c r="T252" t="s">
        <v>78</v>
      </c>
      <c r="U252">
        <v>9</v>
      </c>
      <c r="V252" t="s">
        <v>30</v>
      </c>
      <c r="W252">
        <v>517424.29</v>
      </c>
      <c r="X252">
        <v>4701427.3899999997</v>
      </c>
    </row>
    <row r="253" spans="1:24" x14ac:dyDescent="0.2">
      <c r="A253">
        <v>1</v>
      </c>
      <c r="B253" s="1">
        <v>38703</v>
      </c>
      <c r="D253">
        <v>295</v>
      </c>
      <c r="E253" s="1">
        <v>38703</v>
      </c>
      <c r="F253">
        <v>294</v>
      </c>
      <c r="G253" s="2">
        <v>0.67039351851851858</v>
      </c>
      <c r="H253" t="s">
        <v>203</v>
      </c>
      <c r="I253">
        <v>5</v>
      </c>
      <c r="J253" t="s">
        <v>52</v>
      </c>
      <c r="K253" t="s">
        <v>26</v>
      </c>
      <c r="L253" t="s">
        <v>32</v>
      </c>
      <c r="M253" t="s">
        <v>27</v>
      </c>
      <c r="N253" t="s">
        <v>37</v>
      </c>
      <c r="O253" t="s">
        <v>33</v>
      </c>
      <c r="P253" t="s">
        <v>29</v>
      </c>
      <c r="Q253" t="s">
        <v>27</v>
      </c>
      <c r="R253" t="s">
        <v>76</v>
      </c>
      <c r="S253" s="3">
        <v>22</v>
      </c>
      <c r="T253" t="s">
        <v>78</v>
      </c>
      <c r="U253">
        <v>16</v>
      </c>
      <c r="V253" t="s">
        <v>30</v>
      </c>
      <c r="W253">
        <v>517694.37</v>
      </c>
      <c r="X253">
        <v>4701430.71</v>
      </c>
    </row>
    <row r="254" spans="1:24" x14ac:dyDescent="0.2">
      <c r="A254">
        <v>1</v>
      </c>
      <c r="B254" s="1">
        <v>38703</v>
      </c>
      <c r="C254" t="s">
        <v>195</v>
      </c>
      <c r="D254">
        <v>296</v>
      </c>
      <c r="E254" s="1">
        <v>38703</v>
      </c>
      <c r="F254">
        <v>295</v>
      </c>
      <c r="G254" s="2">
        <v>0.67212962962962963</v>
      </c>
      <c r="H254" t="s">
        <v>234</v>
      </c>
      <c r="I254">
        <v>3</v>
      </c>
      <c r="J254" t="s">
        <v>31</v>
      </c>
      <c r="K254" t="s">
        <v>42</v>
      </c>
      <c r="L254" t="s">
        <v>32</v>
      </c>
      <c r="M254" t="s">
        <v>27</v>
      </c>
      <c r="N254" t="s">
        <v>37</v>
      </c>
      <c r="O254" t="s">
        <v>33</v>
      </c>
      <c r="P254" t="s">
        <v>38</v>
      </c>
      <c r="Q254" t="s">
        <v>27</v>
      </c>
      <c r="R254" t="s">
        <v>76</v>
      </c>
      <c r="S254" s="3">
        <v>22</v>
      </c>
      <c r="T254" t="s">
        <v>78</v>
      </c>
      <c r="U254">
        <v>17</v>
      </c>
      <c r="V254" t="s">
        <v>30</v>
      </c>
      <c r="W254">
        <v>517694.37</v>
      </c>
      <c r="X254">
        <v>4701434.78</v>
      </c>
    </row>
    <row r="255" spans="1:24" x14ac:dyDescent="0.2">
      <c r="A255">
        <v>1</v>
      </c>
      <c r="B255" s="1">
        <v>38703</v>
      </c>
      <c r="C255" t="s">
        <v>43</v>
      </c>
      <c r="D255">
        <v>297</v>
      </c>
      <c r="E255" s="1">
        <v>38703</v>
      </c>
      <c r="F255">
        <v>296</v>
      </c>
      <c r="G255" s="2">
        <v>0.67351851851851852</v>
      </c>
      <c r="H255" t="s">
        <v>235</v>
      </c>
      <c r="I255">
        <v>5</v>
      </c>
      <c r="J255" t="s">
        <v>52</v>
      </c>
      <c r="K255" t="s">
        <v>26</v>
      </c>
      <c r="L255" t="s">
        <v>32</v>
      </c>
      <c r="M255" t="s">
        <v>27</v>
      </c>
      <c r="N255" t="s">
        <v>37</v>
      </c>
      <c r="O255" t="s">
        <v>33</v>
      </c>
      <c r="P255" t="s">
        <v>29</v>
      </c>
      <c r="Q255" t="s">
        <v>27</v>
      </c>
      <c r="R255" t="s">
        <v>76</v>
      </c>
      <c r="S255" s="3">
        <v>22</v>
      </c>
      <c r="T255" t="s">
        <v>78</v>
      </c>
      <c r="U255">
        <v>18</v>
      </c>
      <c r="V255" t="s">
        <v>30</v>
      </c>
      <c r="W255">
        <v>517694.01</v>
      </c>
      <c r="X255">
        <v>4701437.7300000004</v>
      </c>
    </row>
    <row r="256" spans="1:24" x14ac:dyDescent="0.2">
      <c r="A256">
        <v>1</v>
      </c>
      <c r="B256" s="1">
        <v>38703</v>
      </c>
      <c r="C256" t="s">
        <v>195</v>
      </c>
      <c r="D256">
        <v>298</v>
      </c>
      <c r="E256" s="1">
        <v>38703</v>
      </c>
      <c r="F256">
        <v>297</v>
      </c>
      <c r="G256" s="2">
        <v>0.67480324074074083</v>
      </c>
      <c r="H256" t="s">
        <v>88</v>
      </c>
      <c r="I256">
        <v>3</v>
      </c>
      <c r="J256" t="s">
        <v>25</v>
      </c>
      <c r="K256" t="s">
        <v>42</v>
      </c>
      <c r="L256" t="s">
        <v>32</v>
      </c>
      <c r="M256" t="s">
        <v>27</v>
      </c>
      <c r="N256" t="s">
        <v>37</v>
      </c>
      <c r="O256" t="s">
        <v>33</v>
      </c>
      <c r="P256" t="s">
        <v>38</v>
      </c>
      <c r="Q256" t="s">
        <v>27</v>
      </c>
      <c r="R256" t="s">
        <v>76</v>
      </c>
      <c r="S256" s="3">
        <v>22</v>
      </c>
      <c r="T256" t="s">
        <v>78</v>
      </c>
      <c r="U256">
        <v>19</v>
      </c>
      <c r="V256" t="s">
        <v>30</v>
      </c>
      <c r="W256">
        <v>517694.01</v>
      </c>
      <c r="X256">
        <v>4701439.95</v>
      </c>
    </row>
    <row r="257" spans="1:24" x14ac:dyDescent="0.2">
      <c r="A257">
        <v>1</v>
      </c>
      <c r="B257" s="1">
        <v>38703</v>
      </c>
      <c r="C257" t="s">
        <v>236</v>
      </c>
      <c r="D257">
        <v>299</v>
      </c>
      <c r="E257" s="1">
        <v>38703</v>
      </c>
      <c r="F257">
        <v>298</v>
      </c>
      <c r="G257" s="2">
        <v>0.67535879629629625</v>
      </c>
      <c r="H257" t="s">
        <v>235</v>
      </c>
      <c r="I257">
        <v>6</v>
      </c>
      <c r="J257" t="s">
        <v>31</v>
      </c>
      <c r="K257" t="s">
        <v>42</v>
      </c>
      <c r="L257" t="s">
        <v>32</v>
      </c>
      <c r="M257" t="s">
        <v>27</v>
      </c>
      <c r="N257" t="s">
        <v>37</v>
      </c>
      <c r="O257" t="s">
        <v>33</v>
      </c>
      <c r="P257" t="s">
        <v>38</v>
      </c>
      <c r="Q257" t="s">
        <v>27</v>
      </c>
      <c r="R257" t="s">
        <v>76</v>
      </c>
      <c r="S257" s="3">
        <v>22</v>
      </c>
      <c r="T257" t="s">
        <v>78</v>
      </c>
      <c r="U257">
        <v>20</v>
      </c>
      <c r="V257" t="s">
        <v>30</v>
      </c>
      <c r="W257">
        <v>517697.33</v>
      </c>
      <c r="X257">
        <v>4701443.6500000004</v>
      </c>
    </row>
    <row r="258" spans="1:24" x14ac:dyDescent="0.2">
      <c r="A258">
        <v>1</v>
      </c>
      <c r="B258" s="1">
        <v>38703</v>
      </c>
      <c r="C258" t="s">
        <v>236</v>
      </c>
      <c r="D258">
        <v>300</v>
      </c>
      <c r="E258" s="1">
        <v>38703</v>
      </c>
      <c r="F258">
        <v>299</v>
      </c>
      <c r="G258" s="2">
        <v>0.67678240740740747</v>
      </c>
      <c r="H258" t="s">
        <v>235</v>
      </c>
      <c r="I258">
        <v>6</v>
      </c>
      <c r="J258" t="s">
        <v>31</v>
      </c>
      <c r="K258" t="s">
        <v>42</v>
      </c>
      <c r="L258" t="s">
        <v>32</v>
      </c>
      <c r="M258" t="s">
        <v>27</v>
      </c>
      <c r="N258" t="s">
        <v>37</v>
      </c>
      <c r="O258" t="s">
        <v>33</v>
      </c>
      <c r="P258" t="s">
        <v>38</v>
      </c>
      <c r="Q258" t="s">
        <v>27</v>
      </c>
      <c r="R258" t="s">
        <v>76</v>
      </c>
      <c r="S258" s="3">
        <v>22</v>
      </c>
      <c r="T258" t="s">
        <v>78</v>
      </c>
      <c r="U258">
        <v>21</v>
      </c>
      <c r="V258" t="s">
        <v>30</v>
      </c>
      <c r="W258">
        <v>517697.33</v>
      </c>
      <c r="X258">
        <v>4701446.2300000004</v>
      </c>
    </row>
    <row r="259" spans="1:24" x14ac:dyDescent="0.2">
      <c r="A259">
        <v>1</v>
      </c>
      <c r="B259" s="1">
        <v>38703</v>
      </c>
      <c r="D259">
        <v>301</v>
      </c>
      <c r="E259" s="1">
        <v>38703</v>
      </c>
      <c r="F259">
        <v>300</v>
      </c>
      <c r="G259" s="2">
        <v>0.67710648148148145</v>
      </c>
      <c r="H259" t="s">
        <v>203</v>
      </c>
      <c r="I259">
        <v>4</v>
      </c>
      <c r="J259" t="s">
        <v>52</v>
      </c>
      <c r="K259" t="s">
        <v>26</v>
      </c>
      <c r="L259" t="s">
        <v>32</v>
      </c>
      <c r="M259" t="s">
        <v>27</v>
      </c>
      <c r="N259" t="s">
        <v>37</v>
      </c>
      <c r="O259" t="s">
        <v>33</v>
      </c>
      <c r="P259" t="s">
        <v>29</v>
      </c>
      <c r="Q259" t="s">
        <v>27</v>
      </c>
      <c r="R259" t="s">
        <v>76</v>
      </c>
      <c r="S259" s="3">
        <v>22</v>
      </c>
      <c r="T259" t="s">
        <v>78</v>
      </c>
      <c r="U259">
        <v>22</v>
      </c>
      <c r="V259" t="s">
        <v>30</v>
      </c>
      <c r="W259">
        <v>517697.7</v>
      </c>
      <c r="X259">
        <v>4701449.93</v>
      </c>
    </row>
    <row r="260" spans="1:24" x14ac:dyDescent="0.2">
      <c r="A260">
        <v>1</v>
      </c>
      <c r="B260" s="1">
        <v>38703</v>
      </c>
      <c r="C260" t="s">
        <v>236</v>
      </c>
      <c r="D260">
        <v>302</v>
      </c>
      <c r="E260" s="1">
        <v>38703</v>
      </c>
      <c r="F260">
        <v>301</v>
      </c>
      <c r="G260" s="2">
        <v>0.67797453703703703</v>
      </c>
      <c r="H260" t="s">
        <v>235</v>
      </c>
      <c r="I260">
        <v>6</v>
      </c>
      <c r="J260" t="s">
        <v>31</v>
      </c>
      <c r="K260" t="s">
        <v>42</v>
      </c>
      <c r="L260" t="s">
        <v>32</v>
      </c>
      <c r="M260" t="s">
        <v>27</v>
      </c>
      <c r="N260" t="s">
        <v>37</v>
      </c>
      <c r="O260" t="s">
        <v>33</v>
      </c>
      <c r="P260" t="s">
        <v>25</v>
      </c>
      <c r="Q260" t="s">
        <v>27</v>
      </c>
      <c r="R260" t="s">
        <v>76</v>
      </c>
      <c r="S260" s="3">
        <v>22</v>
      </c>
      <c r="T260" t="s">
        <v>78</v>
      </c>
      <c r="U260">
        <v>23</v>
      </c>
      <c r="V260" t="s">
        <v>30</v>
      </c>
      <c r="W260">
        <v>517698.07</v>
      </c>
      <c r="X260">
        <v>4701455.47</v>
      </c>
    </row>
    <row r="261" spans="1:24" x14ac:dyDescent="0.2">
      <c r="A261">
        <v>1</v>
      </c>
      <c r="B261" s="1">
        <v>38703</v>
      </c>
      <c r="D261">
        <v>303</v>
      </c>
      <c r="E261" s="1">
        <v>38703</v>
      </c>
      <c r="F261">
        <v>302</v>
      </c>
      <c r="G261" s="2">
        <v>0.67921296296296296</v>
      </c>
      <c r="H261" t="s">
        <v>75</v>
      </c>
      <c r="I261">
        <v>5</v>
      </c>
      <c r="J261" t="s">
        <v>52</v>
      </c>
      <c r="K261" t="s">
        <v>26</v>
      </c>
      <c r="L261" t="s">
        <v>32</v>
      </c>
      <c r="M261" t="s">
        <v>27</v>
      </c>
      <c r="N261" t="s">
        <v>37</v>
      </c>
      <c r="O261" t="s">
        <v>33</v>
      </c>
      <c r="P261" t="s">
        <v>25</v>
      </c>
      <c r="Q261" t="s">
        <v>27</v>
      </c>
      <c r="R261" t="s">
        <v>76</v>
      </c>
      <c r="S261" s="3">
        <v>22</v>
      </c>
      <c r="T261" t="s">
        <v>78</v>
      </c>
      <c r="U261">
        <v>24</v>
      </c>
      <c r="V261" t="s">
        <v>30</v>
      </c>
      <c r="W261">
        <v>517698.44</v>
      </c>
      <c r="X261">
        <v>4701460.6399999997</v>
      </c>
    </row>
    <row r="262" spans="1:24" x14ac:dyDescent="0.2">
      <c r="A262">
        <v>1</v>
      </c>
      <c r="B262" s="1">
        <v>38703</v>
      </c>
      <c r="C262" t="s">
        <v>237</v>
      </c>
      <c r="D262">
        <v>304</v>
      </c>
      <c r="E262" s="1">
        <v>38703</v>
      </c>
      <c r="F262">
        <v>303</v>
      </c>
      <c r="G262" s="2">
        <v>0.68009259259259258</v>
      </c>
      <c r="H262" t="s">
        <v>235</v>
      </c>
      <c r="I262">
        <v>5</v>
      </c>
      <c r="J262" t="s">
        <v>31</v>
      </c>
      <c r="K262" t="s">
        <v>42</v>
      </c>
      <c r="L262" t="s">
        <v>32</v>
      </c>
      <c r="M262" t="s">
        <v>27</v>
      </c>
      <c r="N262" t="s">
        <v>37</v>
      </c>
      <c r="O262" t="s">
        <v>33</v>
      </c>
      <c r="P262" t="s">
        <v>38</v>
      </c>
      <c r="Q262" t="s">
        <v>27</v>
      </c>
      <c r="R262" t="s">
        <v>76</v>
      </c>
      <c r="S262" s="3">
        <v>22</v>
      </c>
      <c r="T262" t="s">
        <v>78</v>
      </c>
      <c r="U262">
        <v>25</v>
      </c>
      <c r="V262" t="s">
        <v>30</v>
      </c>
      <c r="W262">
        <v>517698.44</v>
      </c>
      <c r="X262">
        <v>4701466.55</v>
      </c>
    </row>
    <row r="263" spans="1:24" x14ac:dyDescent="0.2">
      <c r="A263">
        <v>1</v>
      </c>
      <c r="B263" s="1">
        <v>38703</v>
      </c>
      <c r="C263" t="s">
        <v>237</v>
      </c>
      <c r="D263">
        <v>305</v>
      </c>
      <c r="E263" s="1">
        <v>38703</v>
      </c>
      <c r="F263">
        <v>304</v>
      </c>
      <c r="G263" s="2">
        <v>0.68108796296296292</v>
      </c>
      <c r="H263" t="s">
        <v>235</v>
      </c>
      <c r="I263">
        <v>5</v>
      </c>
      <c r="J263" t="s">
        <v>31</v>
      </c>
      <c r="K263" t="s">
        <v>42</v>
      </c>
      <c r="L263" t="s">
        <v>32</v>
      </c>
      <c r="M263" t="s">
        <v>27</v>
      </c>
      <c r="N263" t="s">
        <v>37</v>
      </c>
      <c r="O263" t="s">
        <v>33</v>
      </c>
      <c r="P263" t="s">
        <v>38</v>
      </c>
      <c r="Q263" t="s">
        <v>27</v>
      </c>
      <c r="R263" t="s">
        <v>76</v>
      </c>
      <c r="S263" s="3">
        <v>22</v>
      </c>
      <c r="T263" t="s">
        <v>78</v>
      </c>
      <c r="U263">
        <v>26</v>
      </c>
      <c r="V263" t="s">
        <v>30</v>
      </c>
      <c r="W263">
        <v>517697.33</v>
      </c>
      <c r="X263">
        <v>4701469.88</v>
      </c>
    </row>
    <row r="264" spans="1:24" x14ac:dyDescent="0.2">
      <c r="A264">
        <v>1</v>
      </c>
      <c r="B264" s="1">
        <v>38703</v>
      </c>
      <c r="C264" t="s">
        <v>44</v>
      </c>
      <c r="D264">
        <v>306</v>
      </c>
      <c r="E264" s="1">
        <v>38703</v>
      </c>
      <c r="F264">
        <v>305</v>
      </c>
      <c r="G264" s="2">
        <v>0.68135416666666659</v>
      </c>
      <c r="H264" t="s">
        <v>94</v>
      </c>
      <c r="I264">
        <v>24</v>
      </c>
      <c r="J264" t="s">
        <v>31</v>
      </c>
      <c r="K264" t="s">
        <v>26</v>
      </c>
      <c r="L264" t="s">
        <v>32</v>
      </c>
      <c r="M264" t="s">
        <v>27</v>
      </c>
      <c r="N264" t="s">
        <v>37</v>
      </c>
      <c r="O264" t="s">
        <v>33</v>
      </c>
      <c r="P264" t="s">
        <v>31</v>
      </c>
      <c r="Q264" t="s">
        <v>27</v>
      </c>
      <c r="R264" t="s">
        <v>76</v>
      </c>
      <c r="S264" s="3">
        <v>22</v>
      </c>
      <c r="T264" t="s">
        <v>78</v>
      </c>
      <c r="U264">
        <v>27</v>
      </c>
      <c r="V264" t="s">
        <v>30</v>
      </c>
      <c r="W264">
        <v>517694.01</v>
      </c>
      <c r="X264">
        <v>4701472.83</v>
      </c>
    </row>
    <row r="265" spans="1:24" x14ac:dyDescent="0.2">
      <c r="A265">
        <v>1</v>
      </c>
      <c r="B265" s="1">
        <v>38703</v>
      </c>
      <c r="D265">
        <v>307</v>
      </c>
      <c r="E265" s="1">
        <v>38703</v>
      </c>
      <c r="F265">
        <v>306</v>
      </c>
      <c r="G265" s="2">
        <v>0.68428240740740742</v>
      </c>
      <c r="H265" t="s">
        <v>201</v>
      </c>
      <c r="I265">
        <v>3</v>
      </c>
      <c r="J265" t="s">
        <v>52</v>
      </c>
      <c r="K265" t="s">
        <v>26</v>
      </c>
      <c r="L265" t="s">
        <v>32</v>
      </c>
      <c r="M265" t="s">
        <v>27</v>
      </c>
      <c r="N265" t="s">
        <v>37</v>
      </c>
      <c r="O265" t="s">
        <v>33</v>
      </c>
      <c r="P265" t="s">
        <v>31</v>
      </c>
      <c r="Q265" t="s">
        <v>27</v>
      </c>
      <c r="R265" t="s">
        <v>76</v>
      </c>
      <c r="S265" s="3" t="s">
        <v>238</v>
      </c>
      <c r="T265" t="s">
        <v>78</v>
      </c>
      <c r="U265">
        <v>1</v>
      </c>
      <c r="V265" t="s">
        <v>30</v>
      </c>
      <c r="W265">
        <v>517577.62</v>
      </c>
      <c r="X265">
        <v>4701300.29</v>
      </c>
    </row>
    <row r="266" spans="1:24" x14ac:dyDescent="0.2">
      <c r="A266">
        <v>1</v>
      </c>
      <c r="B266" s="1">
        <v>38703</v>
      </c>
      <c r="D266">
        <v>183</v>
      </c>
      <c r="E266" s="1">
        <v>38703</v>
      </c>
      <c r="F266">
        <v>182</v>
      </c>
      <c r="G266" s="2">
        <v>0.49225694444444446</v>
      </c>
      <c r="H266" t="s">
        <v>75</v>
      </c>
      <c r="I266">
        <v>45</v>
      </c>
      <c r="J266" t="s">
        <v>52</v>
      </c>
      <c r="K266" t="s">
        <v>26</v>
      </c>
      <c r="L266" t="s">
        <v>32</v>
      </c>
      <c r="M266" t="s">
        <v>27</v>
      </c>
      <c r="N266" t="s">
        <v>37</v>
      </c>
      <c r="O266" t="s">
        <v>33</v>
      </c>
      <c r="P266" t="s">
        <v>29</v>
      </c>
      <c r="Q266" t="s">
        <v>27</v>
      </c>
      <c r="R266" t="s">
        <v>76</v>
      </c>
      <c r="S266" s="3">
        <v>16</v>
      </c>
      <c r="T266" t="s">
        <v>239</v>
      </c>
      <c r="U266">
        <v>1</v>
      </c>
      <c r="V266" t="s">
        <v>30</v>
      </c>
      <c r="W266">
        <v>517500.93</v>
      </c>
      <c r="X266">
        <v>4701299.26</v>
      </c>
    </row>
    <row r="267" spans="1:24" x14ac:dyDescent="0.2">
      <c r="A267">
        <v>1</v>
      </c>
      <c r="B267" s="1">
        <v>38703</v>
      </c>
      <c r="D267">
        <v>184</v>
      </c>
      <c r="E267" s="1">
        <v>38703</v>
      </c>
      <c r="F267">
        <v>183</v>
      </c>
      <c r="G267" s="2">
        <v>0.49409722222222219</v>
      </c>
      <c r="H267" t="s">
        <v>56</v>
      </c>
      <c r="I267">
        <v>36</v>
      </c>
      <c r="J267" t="s">
        <v>31</v>
      </c>
      <c r="K267" t="s">
        <v>26</v>
      </c>
      <c r="L267" t="s">
        <v>32</v>
      </c>
      <c r="M267" t="s">
        <v>27</v>
      </c>
      <c r="N267" t="s">
        <v>37</v>
      </c>
      <c r="O267" t="s">
        <v>33</v>
      </c>
      <c r="P267" t="s">
        <v>29</v>
      </c>
      <c r="Q267" t="s">
        <v>27</v>
      </c>
      <c r="R267" t="s">
        <v>76</v>
      </c>
      <c r="S267" s="3">
        <v>16</v>
      </c>
      <c r="T267" t="s">
        <v>240</v>
      </c>
      <c r="U267">
        <v>2</v>
      </c>
      <c r="V267" t="s">
        <v>30</v>
      </c>
      <c r="W267">
        <v>517491.21</v>
      </c>
      <c r="X267">
        <v>4701317.42</v>
      </c>
    </row>
    <row r="268" spans="1:24" x14ac:dyDescent="0.2">
      <c r="A268">
        <v>1</v>
      </c>
      <c r="B268" s="1">
        <v>38703</v>
      </c>
      <c r="C268" t="s">
        <v>241</v>
      </c>
      <c r="D268">
        <v>185</v>
      </c>
      <c r="E268" s="1">
        <v>38703</v>
      </c>
      <c r="F268">
        <v>184</v>
      </c>
      <c r="G268" s="2">
        <v>0.49597222222222226</v>
      </c>
      <c r="H268" t="s">
        <v>233</v>
      </c>
      <c r="I268">
        <v>8</v>
      </c>
      <c r="J268" t="s">
        <v>25</v>
      </c>
      <c r="K268" t="s">
        <v>42</v>
      </c>
      <c r="L268" t="s">
        <v>32</v>
      </c>
      <c r="M268" t="s">
        <v>27</v>
      </c>
      <c r="N268" t="s">
        <v>34</v>
      </c>
      <c r="O268" t="s">
        <v>33</v>
      </c>
      <c r="P268" t="s">
        <v>31</v>
      </c>
      <c r="Q268" t="s">
        <v>27</v>
      </c>
      <c r="R268" t="s">
        <v>76</v>
      </c>
      <c r="S268" s="3">
        <v>20</v>
      </c>
      <c r="T268" t="s">
        <v>54</v>
      </c>
      <c r="U268">
        <v>1</v>
      </c>
      <c r="V268" t="s">
        <v>30</v>
      </c>
      <c r="W268">
        <v>517488.91</v>
      </c>
      <c r="X268">
        <v>4701311.79</v>
      </c>
    </row>
    <row r="269" spans="1:24" x14ac:dyDescent="0.2">
      <c r="A269">
        <v>1</v>
      </c>
      <c r="B269" s="1">
        <v>38703</v>
      </c>
      <c r="D269">
        <v>186</v>
      </c>
      <c r="E269" s="1">
        <v>38703</v>
      </c>
      <c r="F269">
        <v>185</v>
      </c>
      <c r="G269" s="2">
        <v>0.49865740740740744</v>
      </c>
      <c r="H269" t="s">
        <v>186</v>
      </c>
      <c r="I269">
        <v>8</v>
      </c>
      <c r="J269" t="s">
        <v>52</v>
      </c>
      <c r="K269" t="s">
        <v>26</v>
      </c>
      <c r="L269" t="s">
        <v>32</v>
      </c>
      <c r="M269" t="s">
        <v>27</v>
      </c>
      <c r="N269" t="s">
        <v>34</v>
      </c>
      <c r="O269" t="s">
        <v>33</v>
      </c>
      <c r="P269" t="s">
        <v>29</v>
      </c>
      <c r="Q269" t="s">
        <v>27</v>
      </c>
      <c r="R269" t="s">
        <v>76</v>
      </c>
      <c r="S269" s="3">
        <v>20</v>
      </c>
      <c r="T269" t="s">
        <v>242</v>
      </c>
      <c r="U269">
        <v>2</v>
      </c>
      <c r="V269" t="s">
        <v>30</v>
      </c>
      <c r="W269">
        <v>517488.65</v>
      </c>
      <c r="X269">
        <v>4701295.43</v>
      </c>
    </row>
    <row r="270" spans="1:24" x14ac:dyDescent="0.2">
      <c r="A270">
        <v>1</v>
      </c>
      <c r="B270" s="1">
        <v>38703</v>
      </c>
      <c r="D270">
        <v>187</v>
      </c>
      <c r="E270" s="1">
        <v>38703</v>
      </c>
      <c r="F270">
        <v>186</v>
      </c>
      <c r="G270" s="2">
        <v>0.49997685185185187</v>
      </c>
      <c r="H270" t="s">
        <v>94</v>
      </c>
      <c r="I270">
        <v>20</v>
      </c>
      <c r="J270" t="s">
        <v>31</v>
      </c>
      <c r="K270" t="s">
        <v>26</v>
      </c>
      <c r="L270" t="s">
        <v>32</v>
      </c>
      <c r="M270" t="s">
        <v>27</v>
      </c>
      <c r="N270" t="s">
        <v>37</v>
      </c>
      <c r="O270" t="s">
        <v>33</v>
      </c>
      <c r="P270" t="s">
        <v>29</v>
      </c>
      <c r="Q270" t="s">
        <v>27</v>
      </c>
      <c r="R270" t="s">
        <v>76</v>
      </c>
      <c r="S270" s="3">
        <v>20</v>
      </c>
      <c r="T270" t="s">
        <v>243</v>
      </c>
      <c r="U270">
        <v>3</v>
      </c>
      <c r="V270" t="s">
        <v>30</v>
      </c>
      <c r="W270">
        <v>517485.59</v>
      </c>
      <c r="X270">
        <v>4701287.24</v>
      </c>
    </row>
    <row r="271" spans="1:24" x14ac:dyDescent="0.2">
      <c r="A271">
        <v>1</v>
      </c>
      <c r="B271" s="1">
        <v>38703</v>
      </c>
      <c r="D271">
        <v>188</v>
      </c>
      <c r="E271" s="1">
        <v>38703</v>
      </c>
      <c r="F271">
        <v>187</v>
      </c>
      <c r="G271" s="2">
        <v>0.50200231481481483</v>
      </c>
      <c r="H271" t="s">
        <v>79</v>
      </c>
      <c r="I271">
        <v>16</v>
      </c>
      <c r="J271" t="s">
        <v>52</v>
      </c>
      <c r="K271" t="s">
        <v>26</v>
      </c>
      <c r="L271" t="s">
        <v>32</v>
      </c>
      <c r="M271" t="s">
        <v>27</v>
      </c>
      <c r="N271" t="s">
        <v>37</v>
      </c>
      <c r="O271" t="s">
        <v>33</v>
      </c>
      <c r="P271" t="s">
        <v>29</v>
      </c>
      <c r="Q271" t="s">
        <v>27</v>
      </c>
      <c r="R271" t="s">
        <v>76</v>
      </c>
      <c r="S271" s="3">
        <v>24</v>
      </c>
      <c r="T271" t="s">
        <v>244</v>
      </c>
      <c r="U271">
        <v>1</v>
      </c>
      <c r="V271" t="s">
        <v>30</v>
      </c>
      <c r="W271">
        <v>517466.41</v>
      </c>
      <c r="X271">
        <v>4701290.3099999996</v>
      </c>
    </row>
    <row r="272" spans="1:24" x14ac:dyDescent="0.2">
      <c r="A272">
        <v>1</v>
      </c>
      <c r="B272" s="1">
        <v>38703</v>
      </c>
      <c r="D272">
        <v>189</v>
      </c>
      <c r="E272" s="1">
        <v>38703</v>
      </c>
      <c r="F272">
        <v>188</v>
      </c>
      <c r="G272" s="2">
        <v>0.51234953703703701</v>
      </c>
      <c r="H272" t="s">
        <v>201</v>
      </c>
      <c r="I272">
        <v>18</v>
      </c>
      <c r="J272" t="s">
        <v>52</v>
      </c>
      <c r="K272" t="s">
        <v>26</v>
      </c>
      <c r="L272" t="s">
        <v>32</v>
      </c>
      <c r="M272" t="s">
        <v>27</v>
      </c>
      <c r="N272" t="s">
        <v>37</v>
      </c>
      <c r="O272" t="s">
        <v>33</v>
      </c>
      <c r="P272" t="s">
        <v>29</v>
      </c>
      <c r="Q272" t="s">
        <v>27</v>
      </c>
      <c r="R272" t="s">
        <v>76</v>
      </c>
      <c r="S272" s="3">
        <v>15</v>
      </c>
      <c r="T272" t="s">
        <v>78</v>
      </c>
      <c r="U272">
        <v>1</v>
      </c>
      <c r="V272" t="s">
        <v>30</v>
      </c>
      <c r="W272">
        <v>517493.51</v>
      </c>
      <c r="X272">
        <v>4701355.7699999996</v>
      </c>
    </row>
    <row r="273" spans="1:24" x14ac:dyDescent="0.2">
      <c r="A273">
        <v>1</v>
      </c>
      <c r="B273" s="1">
        <v>38703</v>
      </c>
      <c r="D273">
        <v>190</v>
      </c>
      <c r="E273" s="1">
        <v>38703</v>
      </c>
      <c r="F273">
        <v>189</v>
      </c>
      <c r="G273" s="2">
        <v>0.51458333333333328</v>
      </c>
      <c r="H273" t="s">
        <v>201</v>
      </c>
      <c r="I273">
        <v>18</v>
      </c>
      <c r="J273" t="s">
        <v>52</v>
      </c>
      <c r="K273" t="s">
        <v>26</v>
      </c>
      <c r="L273" t="s">
        <v>32</v>
      </c>
      <c r="M273" t="s">
        <v>27</v>
      </c>
      <c r="N273" t="s">
        <v>37</v>
      </c>
      <c r="O273" t="s">
        <v>33</v>
      </c>
      <c r="P273" t="s">
        <v>29</v>
      </c>
      <c r="Q273" t="s">
        <v>27</v>
      </c>
      <c r="R273" t="s">
        <v>76</v>
      </c>
      <c r="S273" s="3">
        <v>15</v>
      </c>
      <c r="T273" t="s">
        <v>78</v>
      </c>
      <c r="U273">
        <v>2</v>
      </c>
      <c r="V273" t="s">
        <v>30</v>
      </c>
      <c r="W273">
        <v>517501.18</v>
      </c>
      <c r="X273">
        <v>4701351.43</v>
      </c>
    </row>
    <row r="274" spans="1:24" x14ac:dyDescent="0.2">
      <c r="A274">
        <v>1</v>
      </c>
      <c r="B274" s="1">
        <v>38703</v>
      </c>
      <c r="D274">
        <v>191</v>
      </c>
      <c r="E274" s="1">
        <v>38703</v>
      </c>
      <c r="F274">
        <v>190</v>
      </c>
      <c r="G274" s="2">
        <v>0.51543981481481482</v>
      </c>
      <c r="H274" t="s">
        <v>173</v>
      </c>
      <c r="I274">
        <v>18</v>
      </c>
      <c r="J274" t="s">
        <v>52</v>
      </c>
      <c r="K274" t="s">
        <v>26</v>
      </c>
      <c r="L274" t="s">
        <v>32</v>
      </c>
      <c r="M274" t="s">
        <v>27</v>
      </c>
      <c r="N274" t="s">
        <v>37</v>
      </c>
      <c r="O274" t="s">
        <v>33</v>
      </c>
      <c r="P274" t="s">
        <v>29</v>
      </c>
      <c r="Q274" t="s">
        <v>27</v>
      </c>
      <c r="R274" t="s">
        <v>76</v>
      </c>
      <c r="S274" s="3">
        <v>15</v>
      </c>
      <c r="T274" t="s">
        <v>78</v>
      </c>
      <c r="U274">
        <v>3</v>
      </c>
      <c r="V274" t="s">
        <v>30</v>
      </c>
      <c r="W274">
        <v>517503.74</v>
      </c>
      <c r="X274">
        <v>4701342.7300000004</v>
      </c>
    </row>
    <row r="275" spans="1:24" x14ac:dyDescent="0.2">
      <c r="A275">
        <v>1</v>
      </c>
      <c r="B275" s="1">
        <v>38703</v>
      </c>
      <c r="D275">
        <v>192</v>
      </c>
      <c r="E275" s="1">
        <v>38703</v>
      </c>
      <c r="F275">
        <v>191</v>
      </c>
      <c r="G275" s="2">
        <v>0.51684027777777775</v>
      </c>
      <c r="H275" t="s">
        <v>201</v>
      </c>
      <c r="I275">
        <v>24</v>
      </c>
      <c r="J275" t="s">
        <v>52</v>
      </c>
      <c r="K275" t="s">
        <v>26</v>
      </c>
      <c r="L275" t="s">
        <v>32</v>
      </c>
      <c r="M275" t="s">
        <v>27</v>
      </c>
      <c r="N275" t="s">
        <v>37</v>
      </c>
      <c r="O275" t="s">
        <v>33</v>
      </c>
      <c r="P275" t="s">
        <v>29</v>
      </c>
      <c r="Q275" t="s">
        <v>27</v>
      </c>
      <c r="R275" t="s">
        <v>76</v>
      </c>
      <c r="S275" s="3">
        <v>15</v>
      </c>
      <c r="T275" t="s">
        <v>78</v>
      </c>
      <c r="U275">
        <v>4</v>
      </c>
      <c r="V275" t="s">
        <v>30</v>
      </c>
      <c r="W275">
        <v>517504.25</v>
      </c>
      <c r="X275">
        <v>4701333.0199999996</v>
      </c>
    </row>
    <row r="276" spans="1:24" x14ac:dyDescent="0.2">
      <c r="A276">
        <v>1</v>
      </c>
      <c r="B276" s="1">
        <v>38703</v>
      </c>
      <c r="D276">
        <v>193</v>
      </c>
      <c r="E276" s="1">
        <v>38703</v>
      </c>
      <c r="F276">
        <v>192</v>
      </c>
      <c r="G276" s="2">
        <v>0.51853009259259253</v>
      </c>
      <c r="H276" t="s">
        <v>201</v>
      </c>
      <c r="I276">
        <v>8</v>
      </c>
      <c r="J276" t="s">
        <v>52</v>
      </c>
      <c r="K276" t="s">
        <v>26</v>
      </c>
      <c r="L276" t="s">
        <v>32</v>
      </c>
      <c r="M276" t="s">
        <v>27</v>
      </c>
      <c r="N276" t="s">
        <v>37</v>
      </c>
      <c r="O276" t="s">
        <v>33</v>
      </c>
      <c r="P276" t="s">
        <v>29</v>
      </c>
      <c r="Q276" t="s">
        <v>27</v>
      </c>
      <c r="R276" t="s">
        <v>76</v>
      </c>
      <c r="S276" s="3">
        <v>15</v>
      </c>
      <c r="T276" t="s">
        <v>78</v>
      </c>
      <c r="U276">
        <v>5</v>
      </c>
      <c r="V276" t="s">
        <v>30</v>
      </c>
      <c r="W276">
        <v>517495.56</v>
      </c>
      <c r="X276">
        <v>4701354.24</v>
      </c>
    </row>
    <row r="277" spans="1:24" x14ac:dyDescent="0.2">
      <c r="A277">
        <v>1</v>
      </c>
      <c r="B277" s="1">
        <v>38703</v>
      </c>
      <c r="D277">
        <v>194</v>
      </c>
      <c r="E277" s="1">
        <v>38703</v>
      </c>
      <c r="F277">
        <v>193</v>
      </c>
      <c r="G277" s="2">
        <v>0.52098379629629632</v>
      </c>
      <c r="H277" t="s">
        <v>82</v>
      </c>
      <c r="I277">
        <v>6</v>
      </c>
      <c r="J277" t="s">
        <v>31</v>
      </c>
      <c r="K277" t="s">
        <v>26</v>
      </c>
      <c r="L277" t="s">
        <v>32</v>
      </c>
      <c r="M277" t="s">
        <v>27</v>
      </c>
      <c r="N277" t="s">
        <v>37</v>
      </c>
      <c r="O277" t="s">
        <v>33</v>
      </c>
      <c r="P277" t="s">
        <v>31</v>
      </c>
      <c r="Q277" t="s">
        <v>27</v>
      </c>
      <c r="R277" t="s">
        <v>76</v>
      </c>
      <c r="S277" s="3">
        <v>19</v>
      </c>
      <c r="T277" t="s">
        <v>78</v>
      </c>
      <c r="U277">
        <v>1</v>
      </c>
      <c r="V277" t="s">
        <v>30</v>
      </c>
      <c r="W277">
        <v>517475.87</v>
      </c>
      <c r="X277">
        <v>4701349.38</v>
      </c>
    </row>
    <row r="278" spans="1:24" x14ac:dyDescent="0.2">
      <c r="A278">
        <v>1</v>
      </c>
      <c r="B278" s="1">
        <v>38703</v>
      </c>
      <c r="D278">
        <v>195</v>
      </c>
      <c r="E278" s="1">
        <v>38703</v>
      </c>
      <c r="F278">
        <v>194</v>
      </c>
      <c r="G278" s="2">
        <v>0.52865740740740741</v>
      </c>
      <c r="H278" t="s">
        <v>233</v>
      </c>
      <c r="I278">
        <v>16</v>
      </c>
      <c r="J278" t="s">
        <v>31</v>
      </c>
      <c r="K278" t="s">
        <v>26</v>
      </c>
      <c r="L278" t="s">
        <v>32</v>
      </c>
      <c r="M278" t="s">
        <v>27</v>
      </c>
      <c r="N278" t="s">
        <v>37</v>
      </c>
      <c r="O278" t="s">
        <v>33</v>
      </c>
      <c r="P278" t="s">
        <v>31</v>
      </c>
      <c r="Q278" t="s">
        <v>27</v>
      </c>
      <c r="R278" t="s">
        <v>76</v>
      </c>
      <c r="S278" s="3">
        <v>19</v>
      </c>
      <c r="T278" t="s">
        <v>78</v>
      </c>
      <c r="U278">
        <v>2</v>
      </c>
      <c r="V278" t="s">
        <v>30</v>
      </c>
      <c r="W278">
        <v>517475.87</v>
      </c>
      <c r="X278">
        <v>4701345.8</v>
      </c>
    </row>
    <row r="279" spans="1:24" x14ac:dyDescent="0.2">
      <c r="A279">
        <v>1</v>
      </c>
      <c r="B279" s="1">
        <v>38703</v>
      </c>
      <c r="D279">
        <v>196</v>
      </c>
      <c r="E279" s="1">
        <v>38703</v>
      </c>
      <c r="F279">
        <v>195</v>
      </c>
      <c r="G279" s="2">
        <v>0.52633101851851849</v>
      </c>
      <c r="H279" t="s">
        <v>39</v>
      </c>
      <c r="I279">
        <v>8</v>
      </c>
      <c r="J279" t="s">
        <v>52</v>
      </c>
      <c r="K279" t="s">
        <v>26</v>
      </c>
      <c r="L279" t="s">
        <v>32</v>
      </c>
      <c r="M279" t="s">
        <v>27</v>
      </c>
      <c r="N279" t="s">
        <v>37</v>
      </c>
      <c r="O279" t="s">
        <v>33</v>
      </c>
      <c r="P279" t="s">
        <v>29</v>
      </c>
      <c r="Q279" t="s">
        <v>27</v>
      </c>
      <c r="R279" t="s">
        <v>76</v>
      </c>
      <c r="S279" s="3">
        <v>19</v>
      </c>
      <c r="T279" t="s">
        <v>78</v>
      </c>
      <c r="U279">
        <v>3</v>
      </c>
      <c r="V279" t="s">
        <v>30</v>
      </c>
      <c r="W279">
        <v>517475.87</v>
      </c>
      <c r="X279">
        <v>4701354.75</v>
      </c>
    </row>
    <row r="280" spans="1:24" x14ac:dyDescent="0.2">
      <c r="A280">
        <v>1</v>
      </c>
      <c r="B280" s="1">
        <v>38703</v>
      </c>
      <c r="C280" t="s">
        <v>245</v>
      </c>
      <c r="D280">
        <v>197</v>
      </c>
      <c r="E280" s="1">
        <v>38703</v>
      </c>
      <c r="F280">
        <v>196</v>
      </c>
      <c r="G280" s="2">
        <v>0.52914351851851849</v>
      </c>
      <c r="H280" t="s">
        <v>94</v>
      </c>
      <c r="I280">
        <v>24</v>
      </c>
      <c r="J280" t="s">
        <v>38</v>
      </c>
      <c r="K280" t="s">
        <v>42</v>
      </c>
      <c r="L280" t="s">
        <v>32</v>
      </c>
      <c r="M280" t="s">
        <v>27</v>
      </c>
      <c r="N280" t="s">
        <v>28</v>
      </c>
      <c r="O280" t="s">
        <v>33</v>
      </c>
      <c r="P280" t="s">
        <v>29</v>
      </c>
      <c r="Q280" t="s">
        <v>27</v>
      </c>
      <c r="R280" t="s">
        <v>76</v>
      </c>
      <c r="S280" s="3">
        <v>19</v>
      </c>
      <c r="T280" t="s">
        <v>78</v>
      </c>
      <c r="U280">
        <v>4</v>
      </c>
      <c r="V280" t="s">
        <v>30</v>
      </c>
      <c r="W280">
        <v>517475.87</v>
      </c>
      <c r="X280">
        <v>4701332.5</v>
      </c>
    </row>
    <row r="281" spans="1:24" x14ac:dyDescent="0.2">
      <c r="A281">
        <v>1</v>
      </c>
      <c r="B281" s="1">
        <v>38703</v>
      </c>
      <c r="D281">
        <v>198</v>
      </c>
      <c r="E281" s="1">
        <v>38703</v>
      </c>
      <c r="F281">
        <v>197</v>
      </c>
      <c r="G281" s="2">
        <v>0.53071759259259255</v>
      </c>
      <c r="H281" t="s">
        <v>233</v>
      </c>
      <c r="I281">
        <v>12</v>
      </c>
      <c r="J281" t="s">
        <v>31</v>
      </c>
      <c r="K281" t="s">
        <v>26</v>
      </c>
      <c r="L281" t="s">
        <v>32</v>
      </c>
      <c r="M281" t="s">
        <v>27</v>
      </c>
      <c r="N281" t="s">
        <v>37</v>
      </c>
      <c r="O281" t="s">
        <v>33</v>
      </c>
      <c r="P281" t="s">
        <v>29</v>
      </c>
      <c r="Q281" t="s">
        <v>27</v>
      </c>
      <c r="R281" t="s">
        <v>76</v>
      </c>
      <c r="S281" s="3">
        <v>19</v>
      </c>
      <c r="T281" t="s">
        <v>78</v>
      </c>
      <c r="U281">
        <v>5</v>
      </c>
      <c r="V281" t="s">
        <v>30</v>
      </c>
      <c r="W281">
        <v>517488.4</v>
      </c>
      <c r="X281">
        <v>4701326.1100000003</v>
      </c>
    </row>
    <row r="282" spans="1:24" x14ac:dyDescent="0.2">
      <c r="A282">
        <v>1</v>
      </c>
      <c r="B282" s="1">
        <v>38703</v>
      </c>
      <c r="C282" t="s">
        <v>36</v>
      </c>
      <c r="D282">
        <v>199</v>
      </c>
      <c r="E282" s="1">
        <v>38703</v>
      </c>
      <c r="F282">
        <v>198</v>
      </c>
      <c r="G282" s="2">
        <v>0.53240740740740744</v>
      </c>
      <c r="H282" t="s">
        <v>94</v>
      </c>
      <c r="I282">
        <v>28</v>
      </c>
      <c r="J282" t="s">
        <v>52</v>
      </c>
      <c r="K282" t="s">
        <v>26</v>
      </c>
      <c r="L282" t="s">
        <v>32</v>
      </c>
      <c r="M282" t="s">
        <v>27</v>
      </c>
      <c r="N282" t="s">
        <v>37</v>
      </c>
      <c r="O282" t="s">
        <v>33</v>
      </c>
      <c r="P282" t="s">
        <v>29</v>
      </c>
      <c r="Q282" t="s">
        <v>27</v>
      </c>
      <c r="R282" t="s">
        <v>76</v>
      </c>
      <c r="S282" s="3">
        <v>19</v>
      </c>
      <c r="T282" t="s">
        <v>78</v>
      </c>
      <c r="U282">
        <v>6</v>
      </c>
      <c r="V282" t="s">
        <v>30</v>
      </c>
      <c r="W282">
        <v>517488.65</v>
      </c>
      <c r="X282">
        <v>4701336.5999999996</v>
      </c>
    </row>
    <row r="283" spans="1:24" x14ac:dyDescent="0.2">
      <c r="A283">
        <v>1</v>
      </c>
      <c r="B283" s="1">
        <v>38703</v>
      </c>
      <c r="D283">
        <v>200</v>
      </c>
      <c r="E283" s="1">
        <v>38703</v>
      </c>
      <c r="F283">
        <v>199</v>
      </c>
      <c r="G283" s="2">
        <v>0.53372685185185187</v>
      </c>
      <c r="H283" t="s">
        <v>82</v>
      </c>
      <c r="I283">
        <v>8</v>
      </c>
      <c r="J283" t="s">
        <v>31</v>
      </c>
      <c r="K283" t="s">
        <v>26</v>
      </c>
      <c r="L283" t="s">
        <v>32</v>
      </c>
      <c r="M283" t="s">
        <v>27</v>
      </c>
      <c r="N283" t="s">
        <v>37</v>
      </c>
      <c r="O283" t="s">
        <v>33</v>
      </c>
      <c r="P283" t="s">
        <v>29</v>
      </c>
      <c r="Q283" t="s">
        <v>27</v>
      </c>
      <c r="R283" t="s">
        <v>76</v>
      </c>
      <c r="S283" s="3">
        <v>23</v>
      </c>
      <c r="T283" t="s">
        <v>78</v>
      </c>
      <c r="U283">
        <v>1</v>
      </c>
      <c r="V283" t="s">
        <v>30</v>
      </c>
      <c r="W283">
        <v>517461.55</v>
      </c>
      <c r="X283">
        <v>4701353.7300000004</v>
      </c>
    </row>
    <row r="284" spans="1:24" x14ac:dyDescent="0.2">
      <c r="A284">
        <v>1</v>
      </c>
      <c r="B284" s="1">
        <v>38703</v>
      </c>
      <c r="D284">
        <v>201</v>
      </c>
      <c r="E284" s="1">
        <v>38703</v>
      </c>
      <c r="F284">
        <v>200</v>
      </c>
      <c r="G284" s="2">
        <v>0.5352083333333334</v>
      </c>
      <c r="H284" t="s">
        <v>196</v>
      </c>
      <c r="I284">
        <v>6</v>
      </c>
      <c r="J284" t="s">
        <v>31</v>
      </c>
      <c r="K284" t="s">
        <v>26</v>
      </c>
      <c r="L284" t="s">
        <v>32</v>
      </c>
      <c r="M284" t="s">
        <v>27</v>
      </c>
      <c r="N284" t="s">
        <v>37</v>
      </c>
      <c r="O284" t="s">
        <v>33</v>
      </c>
      <c r="P284" t="s">
        <v>29</v>
      </c>
      <c r="Q284" t="s">
        <v>27</v>
      </c>
      <c r="R284" t="s">
        <v>76</v>
      </c>
      <c r="S284" s="3" t="s">
        <v>232</v>
      </c>
      <c r="T284" t="s">
        <v>246</v>
      </c>
      <c r="U284">
        <v>1</v>
      </c>
      <c r="V284" t="s">
        <v>30</v>
      </c>
      <c r="W284">
        <v>517459.25</v>
      </c>
      <c r="X284">
        <v>4701356.29</v>
      </c>
    </row>
    <row r="285" spans="1:24" x14ac:dyDescent="0.2">
      <c r="A285">
        <v>1</v>
      </c>
      <c r="B285" s="1">
        <v>38703</v>
      </c>
      <c r="D285">
        <v>202</v>
      </c>
      <c r="E285" s="1">
        <v>38703</v>
      </c>
      <c r="F285">
        <v>201</v>
      </c>
      <c r="G285" s="2">
        <v>0.53690972222222222</v>
      </c>
      <c r="H285" t="s">
        <v>82</v>
      </c>
      <c r="I285">
        <v>14</v>
      </c>
      <c r="J285" t="s">
        <v>52</v>
      </c>
      <c r="K285" t="s">
        <v>26</v>
      </c>
      <c r="L285" t="s">
        <v>32</v>
      </c>
      <c r="M285" t="s">
        <v>27</v>
      </c>
      <c r="N285" t="s">
        <v>37</v>
      </c>
      <c r="O285" t="s">
        <v>33</v>
      </c>
      <c r="P285" t="s">
        <v>29</v>
      </c>
      <c r="Q285" t="s">
        <v>27</v>
      </c>
      <c r="R285" t="s">
        <v>76</v>
      </c>
      <c r="S285" s="3">
        <v>14</v>
      </c>
      <c r="T285" t="s">
        <v>78</v>
      </c>
      <c r="U285">
        <v>1</v>
      </c>
      <c r="V285" t="s">
        <v>30</v>
      </c>
      <c r="W285">
        <v>517471.78</v>
      </c>
      <c r="X285">
        <v>4701371.12</v>
      </c>
    </row>
    <row r="286" spans="1:24" x14ac:dyDescent="0.2">
      <c r="A286">
        <v>1</v>
      </c>
      <c r="B286" s="1">
        <v>38703</v>
      </c>
      <c r="C286" t="s">
        <v>226</v>
      </c>
      <c r="D286">
        <v>203</v>
      </c>
      <c r="E286" s="1">
        <v>38703</v>
      </c>
      <c r="F286">
        <v>202</v>
      </c>
      <c r="G286" s="2">
        <v>0.53954861111111108</v>
      </c>
      <c r="H286" t="s">
        <v>196</v>
      </c>
      <c r="I286">
        <v>4</v>
      </c>
      <c r="J286" t="s">
        <v>25</v>
      </c>
      <c r="K286" t="s">
        <v>26</v>
      </c>
      <c r="L286" t="s">
        <v>32</v>
      </c>
      <c r="M286" t="s">
        <v>27</v>
      </c>
      <c r="N286" t="s">
        <v>37</v>
      </c>
      <c r="O286" t="s">
        <v>33</v>
      </c>
      <c r="P286" t="s">
        <v>31</v>
      </c>
      <c r="Q286" t="s">
        <v>27</v>
      </c>
      <c r="R286" t="s">
        <v>76</v>
      </c>
      <c r="S286" s="3" t="s">
        <v>232</v>
      </c>
      <c r="T286" t="s">
        <v>247</v>
      </c>
      <c r="U286">
        <v>2</v>
      </c>
      <c r="V286" t="s">
        <v>30</v>
      </c>
      <c r="W286">
        <v>517458.99</v>
      </c>
      <c r="X286">
        <v>4701381.8600000003</v>
      </c>
    </row>
    <row r="287" spans="1:24" x14ac:dyDescent="0.2">
      <c r="A287">
        <v>1</v>
      </c>
      <c r="B287" s="1">
        <v>38703</v>
      </c>
      <c r="D287">
        <v>204</v>
      </c>
      <c r="E287" s="1">
        <v>38703</v>
      </c>
      <c r="F287">
        <v>203</v>
      </c>
      <c r="G287" s="2">
        <v>0.54100694444444442</v>
      </c>
      <c r="H287" t="s">
        <v>186</v>
      </c>
      <c r="I287">
        <v>7</v>
      </c>
      <c r="J287" t="s">
        <v>52</v>
      </c>
      <c r="K287" t="s">
        <v>26</v>
      </c>
      <c r="L287" t="s">
        <v>32</v>
      </c>
      <c r="M287" t="s">
        <v>27</v>
      </c>
      <c r="N287" t="s">
        <v>37</v>
      </c>
      <c r="O287" t="s">
        <v>33</v>
      </c>
      <c r="P287" t="s">
        <v>29</v>
      </c>
      <c r="Q287" t="s">
        <v>27</v>
      </c>
      <c r="R287" t="s">
        <v>76</v>
      </c>
      <c r="S287" s="3" t="s">
        <v>232</v>
      </c>
      <c r="T287" t="s">
        <v>247</v>
      </c>
      <c r="U287">
        <v>3</v>
      </c>
      <c r="V287" t="s">
        <v>30</v>
      </c>
      <c r="W287">
        <v>517452.34</v>
      </c>
      <c r="X287">
        <v>4701385.6900000004</v>
      </c>
    </row>
    <row r="288" spans="1:24" x14ac:dyDescent="0.2">
      <c r="A288">
        <v>1</v>
      </c>
      <c r="B288" s="1">
        <v>38703</v>
      </c>
      <c r="D288">
        <v>205</v>
      </c>
      <c r="E288" s="1">
        <v>38703</v>
      </c>
      <c r="F288">
        <v>204</v>
      </c>
      <c r="G288" s="2">
        <v>0.54290509259259256</v>
      </c>
      <c r="H288" t="s">
        <v>79</v>
      </c>
      <c r="I288">
        <v>10</v>
      </c>
      <c r="J288" t="s">
        <v>31</v>
      </c>
      <c r="K288" t="s">
        <v>26</v>
      </c>
      <c r="L288" t="s">
        <v>32</v>
      </c>
      <c r="M288" t="s">
        <v>27</v>
      </c>
      <c r="N288" t="s">
        <v>37</v>
      </c>
      <c r="O288" t="s">
        <v>33</v>
      </c>
      <c r="P288" t="s">
        <v>31</v>
      </c>
      <c r="Q288" t="s">
        <v>27</v>
      </c>
      <c r="R288" t="s">
        <v>76</v>
      </c>
      <c r="S288" s="3" t="s">
        <v>232</v>
      </c>
      <c r="T288" t="s">
        <v>248</v>
      </c>
      <c r="U288">
        <v>3</v>
      </c>
      <c r="V288" t="s">
        <v>30</v>
      </c>
      <c r="W288">
        <v>517407.85</v>
      </c>
      <c r="X288">
        <v>4701378.53</v>
      </c>
    </row>
    <row r="289" spans="1:24" x14ac:dyDescent="0.2">
      <c r="A289">
        <v>1</v>
      </c>
      <c r="B289" s="1">
        <v>38703</v>
      </c>
      <c r="D289">
        <v>206</v>
      </c>
      <c r="E289" s="1">
        <v>38703</v>
      </c>
      <c r="F289">
        <v>205</v>
      </c>
      <c r="G289" s="2">
        <v>0.54418981481481488</v>
      </c>
      <c r="H289" t="s">
        <v>180</v>
      </c>
      <c r="I289">
        <v>6</v>
      </c>
      <c r="J289" t="s">
        <v>31</v>
      </c>
      <c r="K289" t="s">
        <v>26</v>
      </c>
      <c r="L289" t="s">
        <v>32</v>
      </c>
      <c r="M289" t="s">
        <v>27</v>
      </c>
      <c r="N289" t="s">
        <v>37</v>
      </c>
      <c r="O289" t="s">
        <v>33</v>
      </c>
      <c r="P289" t="s">
        <v>29</v>
      </c>
      <c r="Q289" t="s">
        <v>27</v>
      </c>
      <c r="R289" t="s">
        <v>76</v>
      </c>
      <c r="S289" s="3" t="s">
        <v>232</v>
      </c>
      <c r="T289" t="s">
        <v>249</v>
      </c>
      <c r="U289">
        <v>4</v>
      </c>
      <c r="V289" t="s">
        <v>30</v>
      </c>
      <c r="W289">
        <v>517407.85</v>
      </c>
      <c r="X289">
        <v>4701374.1900000004</v>
      </c>
    </row>
    <row r="290" spans="1:24" x14ac:dyDescent="0.2">
      <c r="A290">
        <v>1</v>
      </c>
      <c r="B290" s="1">
        <v>38703</v>
      </c>
      <c r="D290">
        <v>207</v>
      </c>
      <c r="E290" s="1">
        <v>38703</v>
      </c>
      <c r="F290">
        <v>206</v>
      </c>
      <c r="G290" s="2">
        <v>0.54724537037037035</v>
      </c>
      <c r="H290" t="s">
        <v>180</v>
      </c>
      <c r="I290">
        <v>6</v>
      </c>
      <c r="J290" t="s">
        <v>31</v>
      </c>
      <c r="K290" t="s">
        <v>26</v>
      </c>
      <c r="L290" t="s">
        <v>32</v>
      </c>
      <c r="M290" t="s">
        <v>27</v>
      </c>
      <c r="N290" t="s">
        <v>37</v>
      </c>
      <c r="O290" t="s">
        <v>33</v>
      </c>
      <c r="P290" t="s">
        <v>29</v>
      </c>
      <c r="Q290" t="s">
        <v>27</v>
      </c>
      <c r="R290" t="s">
        <v>76</v>
      </c>
      <c r="S290" s="3" t="s">
        <v>232</v>
      </c>
      <c r="T290" t="s">
        <v>250</v>
      </c>
      <c r="U290">
        <v>5</v>
      </c>
      <c r="V290" t="s">
        <v>30</v>
      </c>
      <c r="W290">
        <v>517409.39</v>
      </c>
      <c r="X290">
        <v>4701362.17</v>
      </c>
    </row>
    <row r="291" spans="1:24" x14ac:dyDescent="0.2">
      <c r="A291">
        <v>1</v>
      </c>
      <c r="B291" s="1">
        <v>38703</v>
      </c>
      <c r="D291">
        <v>208</v>
      </c>
      <c r="E291" s="1">
        <v>38703</v>
      </c>
      <c r="F291">
        <v>207</v>
      </c>
      <c r="G291" s="2">
        <v>0.54850694444444448</v>
      </c>
      <c r="H291" t="s">
        <v>79</v>
      </c>
      <c r="I291">
        <v>8</v>
      </c>
      <c r="J291" t="s">
        <v>52</v>
      </c>
      <c r="K291" t="s">
        <v>26</v>
      </c>
      <c r="L291" t="s">
        <v>32</v>
      </c>
      <c r="M291" t="s">
        <v>27</v>
      </c>
      <c r="N291" t="s">
        <v>37</v>
      </c>
      <c r="O291" t="s">
        <v>33</v>
      </c>
      <c r="P291" t="s">
        <v>29</v>
      </c>
      <c r="Q291" t="s">
        <v>27</v>
      </c>
      <c r="R291" t="s">
        <v>76</v>
      </c>
      <c r="S291" s="3" t="s">
        <v>232</v>
      </c>
      <c r="T291" t="s">
        <v>251</v>
      </c>
      <c r="U291">
        <v>6</v>
      </c>
      <c r="V291" t="s">
        <v>30</v>
      </c>
      <c r="W291">
        <v>517411.18</v>
      </c>
      <c r="X291">
        <v>4701357.05</v>
      </c>
    </row>
    <row r="292" spans="1:24" x14ac:dyDescent="0.2">
      <c r="A292">
        <v>1</v>
      </c>
      <c r="B292" s="1">
        <v>38703</v>
      </c>
      <c r="D292">
        <v>209</v>
      </c>
      <c r="E292" s="1">
        <v>38703</v>
      </c>
      <c r="F292">
        <v>208</v>
      </c>
      <c r="G292" s="2">
        <v>0.55156249999999996</v>
      </c>
      <c r="H292" t="s">
        <v>169</v>
      </c>
      <c r="I292">
        <v>4</v>
      </c>
      <c r="J292" t="s">
        <v>52</v>
      </c>
      <c r="K292" t="s">
        <v>26</v>
      </c>
      <c r="L292" t="s">
        <v>32</v>
      </c>
      <c r="M292" t="s">
        <v>27</v>
      </c>
      <c r="N292" t="s">
        <v>37</v>
      </c>
      <c r="O292" t="s">
        <v>33</v>
      </c>
      <c r="P292" t="s">
        <v>29</v>
      </c>
      <c r="Q292" t="s">
        <v>27</v>
      </c>
      <c r="R292" t="s">
        <v>76</v>
      </c>
      <c r="S292" s="3" t="s">
        <v>232</v>
      </c>
      <c r="T292" t="s">
        <v>252</v>
      </c>
      <c r="U292">
        <v>7</v>
      </c>
      <c r="V292" t="s">
        <v>30</v>
      </c>
      <c r="W292">
        <v>517435.21</v>
      </c>
      <c r="X292">
        <v>4701316.6500000004</v>
      </c>
    </row>
    <row r="293" spans="1:24" x14ac:dyDescent="0.2">
      <c r="A293">
        <v>1</v>
      </c>
      <c r="B293" s="1">
        <v>38703</v>
      </c>
      <c r="C293" t="s">
        <v>253</v>
      </c>
      <c r="D293">
        <v>210</v>
      </c>
      <c r="E293" s="1">
        <v>38703</v>
      </c>
      <c r="F293">
        <v>209</v>
      </c>
      <c r="G293" s="2">
        <v>0.55290509259259257</v>
      </c>
      <c r="H293" t="s">
        <v>91</v>
      </c>
      <c r="I293">
        <v>3</v>
      </c>
      <c r="J293" t="s">
        <v>38</v>
      </c>
      <c r="K293" t="s">
        <v>42</v>
      </c>
      <c r="L293" t="s">
        <v>32</v>
      </c>
      <c r="M293" t="s">
        <v>27</v>
      </c>
      <c r="N293" t="s">
        <v>37</v>
      </c>
      <c r="O293" t="s">
        <v>33</v>
      </c>
      <c r="P293" t="s">
        <v>29</v>
      </c>
      <c r="Q293" t="s">
        <v>27</v>
      </c>
      <c r="R293" t="s">
        <v>76</v>
      </c>
      <c r="S293" s="3" t="s">
        <v>232</v>
      </c>
      <c r="T293" t="s">
        <v>254</v>
      </c>
      <c r="U293">
        <v>7</v>
      </c>
      <c r="V293" t="s">
        <v>30</v>
      </c>
      <c r="W293">
        <v>517440.07</v>
      </c>
      <c r="X293">
        <v>4701308.9800000004</v>
      </c>
    </row>
    <row r="294" spans="1:24" x14ac:dyDescent="0.2">
      <c r="A294">
        <v>1</v>
      </c>
      <c r="B294" s="1">
        <v>38703</v>
      </c>
      <c r="D294">
        <v>226</v>
      </c>
      <c r="E294" s="1">
        <v>38703</v>
      </c>
      <c r="F294">
        <v>225</v>
      </c>
      <c r="G294" s="2">
        <v>0.56925925925925924</v>
      </c>
      <c r="H294" t="s">
        <v>135</v>
      </c>
      <c r="I294">
        <v>1</v>
      </c>
      <c r="J294" t="s">
        <v>52</v>
      </c>
      <c r="K294" t="s">
        <v>87</v>
      </c>
      <c r="L294" t="s">
        <v>32</v>
      </c>
      <c r="M294" t="s">
        <v>27</v>
      </c>
      <c r="N294" t="s">
        <v>37</v>
      </c>
      <c r="O294" t="s">
        <v>33</v>
      </c>
      <c r="P294" t="s">
        <v>29</v>
      </c>
      <c r="Q294" t="s">
        <v>27</v>
      </c>
      <c r="R294" t="s">
        <v>76</v>
      </c>
      <c r="S294" s="3" t="s">
        <v>181</v>
      </c>
      <c r="T294" t="s">
        <v>78</v>
      </c>
      <c r="U294">
        <v>16</v>
      </c>
      <c r="V294" t="s">
        <v>30</v>
      </c>
      <c r="W294">
        <v>517466.48</v>
      </c>
      <c r="X294">
        <v>4701251.7699999996</v>
      </c>
    </row>
    <row r="295" spans="1:24" x14ac:dyDescent="0.2">
      <c r="A295">
        <v>1</v>
      </c>
      <c r="B295" s="1">
        <v>38703</v>
      </c>
      <c r="D295">
        <v>227</v>
      </c>
      <c r="E295" s="1">
        <v>38703</v>
      </c>
      <c r="F295">
        <v>226</v>
      </c>
      <c r="G295" s="2">
        <v>0.56958333333333333</v>
      </c>
      <c r="H295" t="s">
        <v>135</v>
      </c>
      <c r="I295">
        <v>1</v>
      </c>
      <c r="J295" t="s">
        <v>52</v>
      </c>
      <c r="K295" t="s">
        <v>87</v>
      </c>
      <c r="L295" t="s">
        <v>32</v>
      </c>
      <c r="M295" t="s">
        <v>27</v>
      </c>
      <c r="N295" t="s">
        <v>37</v>
      </c>
      <c r="O295" t="s">
        <v>33</v>
      </c>
      <c r="P295" t="s">
        <v>29</v>
      </c>
      <c r="Q295" t="s">
        <v>27</v>
      </c>
      <c r="R295" t="s">
        <v>76</v>
      </c>
      <c r="S295" s="3" t="s">
        <v>181</v>
      </c>
      <c r="T295" t="s">
        <v>78</v>
      </c>
      <c r="U295">
        <v>17</v>
      </c>
      <c r="V295" t="s">
        <v>30</v>
      </c>
      <c r="W295">
        <v>517480</v>
      </c>
      <c r="X295">
        <v>4701242.8600000003</v>
      </c>
    </row>
    <row r="296" spans="1:24" x14ac:dyDescent="0.2">
      <c r="A296">
        <v>1</v>
      </c>
      <c r="B296" s="1">
        <v>38703</v>
      </c>
      <c r="D296">
        <v>228</v>
      </c>
      <c r="E296" s="1">
        <v>38703</v>
      </c>
      <c r="F296">
        <v>227</v>
      </c>
      <c r="G296" s="2">
        <v>0.56972222222222224</v>
      </c>
      <c r="H296" t="s">
        <v>135</v>
      </c>
      <c r="I296">
        <v>1</v>
      </c>
      <c r="J296" t="s">
        <v>52</v>
      </c>
      <c r="K296" t="s">
        <v>87</v>
      </c>
      <c r="L296" t="s">
        <v>32</v>
      </c>
      <c r="M296" t="s">
        <v>27</v>
      </c>
      <c r="N296" t="s">
        <v>37</v>
      </c>
      <c r="O296" t="s">
        <v>33</v>
      </c>
      <c r="P296" t="s">
        <v>29</v>
      </c>
      <c r="Q296" t="s">
        <v>27</v>
      </c>
      <c r="R296" t="s">
        <v>76</v>
      </c>
      <c r="S296" s="3" t="s">
        <v>181</v>
      </c>
      <c r="T296" t="s">
        <v>78</v>
      </c>
      <c r="U296">
        <v>18</v>
      </c>
      <c r="V296" t="s">
        <v>30</v>
      </c>
      <c r="W296">
        <v>517490.76</v>
      </c>
      <c r="X296">
        <v>4701236.71</v>
      </c>
    </row>
    <row r="297" spans="1:24" x14ac:dyDescent="0.2">
      <c r="A297">
        <v>1</v>
      </c>
      <c r="B297" s="1">
        <v>38703</v>
      </c>
      <c r="D297">
        <v>229</v>
      </c>
      <c r="E297" s="1">
        <v>38703</v>
      </c>
      <c r="F297">
        <v>228</v>
      </c>
      <c r="G297" s="2">
        <v>0.5701504629629629</v>
      </c>
      <c r="H297" t="s">
        <v>135</v>
      </c>
      <c r="I297">
        <v>1</v>
      </c>
      <c r="J297" t="s">
        <v>52</v>
      </c>
      <c r="K297" t="s">
        <v>87</v>
      </c>
      <c r="L297" t="s">
        <v>32</v>
      </c>
      <c r="M297" t="s">
        <v>27</v>
      </c>
      <c r="N297" t="s">
        <v>37</v>
      </c>
      <c r="O297" t="s">
        <v>33</v>
      </c>
      <c r="P297" t="s">
        <v>29</v>
      </c>
      <c r="Q297" t="s">
        <v>27</v>
      </c>
      <c r="R297" t="s">
        <v>76</v>
      </c>
      <c r="S297" s="3" t="s">
        <v>181</v>
      </c>
      <c r="T297" t="s">
        <v>78</v>
      </c>
      <c r="U297">
        <v>19</v>
      </c>
      <c r="V297" t="s">
        <v>30</v>
      </c>
      <c r="W297">
        <v>517503.98</v>
      </c>
      <c r="X297">
        <v>4701226.88</v>
      </c>
    </row>
    <row r="298" spans="1:24" x14ac:dyDescent="0.2">
      <c r="A298">
        <v>1</v>
      </c>
      <c r="B298" s="1">
        <v>38703</v>
      </c>
      <c r="D298">
        <v>230</v>
      </c>
      <c r="E298" s="1">
        <v>38703</v>
      </c>
      <c r="F298">
        <v>229</v>
      </c>
      <c r="G298" s="2">
        <v>0.57028935185185181</v>
      </c>
      <c r="H298" t="s">
        <v>135</v>
      </c>
      <c r="I298">
        <v>1</v>
      </c>
      <c r="J298" t="s">
        <v>52</v>
      </c>
      <c r="K298" t="s">
        <v>87</v>
      </c>
      <c r="L298" t="s">
        <v>32</v>
      </c>
      <c r="M298" t="s">
        <v>27</v>
      </c>
      <c r="N298" t="s">
        <v>37</v>
      </c>
      <c r="O298" t="s">
        <v>33</v>
      </c>
      <c r="P298" t="s">
        <v>29</v>
      </c>
      <c r="Q298" t="s">
        <v>27</v>
      </c>
      <c r="R298" t="s">
        <v>76</v>
      </c>
      <c r="S298" s="3" t="s">
        <v>181</v>
      </c>
      <c r="T298" t="s">
        <v>78</v>
      </c>
      <c r="U298">
        <v>20</v>
      </c>
      <c r="V298" t="s">
        <v>30</v>
      </c>
      <c r="W298">
        <v>517513.2</v>
      </c>
      <c r="X298">
        <v>4701218.8899999997</v>
      </c>
    </row>
    <row r="299" spans="1:24" x14ac:dyDescent="0.2">
      <c r="A299">
        <v>1</v>
      </c>
      <c r="B299" s="1">
        <v>38703</v>
      </c>
      <c r="C299" t="s">
        <v>255</v>
      </c>
      <c r="D299">
        <v>231</v>
      </c>
      <c r="E299" s="1">
        <v>38703</v>
      </c>
      <c r="F299">
        <v>230</v>
      </c>
      <c r="G299" s="2">
        <v>0.5716782407407407</v>
      </c>
      <c r="H299" t="s">
        <v>114</v>
      </c>
      <c r="I299">
        <v>4</v>
      </c>
      <c r="J299" t="s">
        <v>38</v>
      </c>
      <c r="K299" t="s">
        <v>42</v>
      </c>
      <c r="L299" t="s">
        <v>32</v>
      </c>
      <c r="M299" t="s">
        <v>27</v>
      </c>
      <c r="N299" t="s">
        <v>37</v>
      </c>
      <c r="O299" t="s">
        <v>33</v>
      </c>
      <c r="P299" t="s">
        <v>31</v>
      </c>
      <c r="Q299" t="s">
        <v>27</v>
      </c>
      <c r="R299" t="s">
        <v>76</v>
      </c>
      <c r="S299" s="3" t="s">
        <v>181</v>
      </c>
      <c r="T299" t="s">
        <v>78</v>
      </c>
      <c r="U299">
        <v>21</v>
      </c>
      <c r="V299" t="s">
        <v>30</v>
      </c>
      <c r="W299">
        <v>517482.77</v>
      </c>
      <c r="X299">
        <v>4701253.49</v>
      </c>
    </row>
    <row r="300" spans="1:24" x14ac:dyDescent="0.2">
      <c r="A300">
        <v>1</v>
      </c>
      <c r="B300" s="1">
        <v>38703</v>
      </c>
      <c r="C300" t="s">
        <v>40</v>
      </c>
      <c r="D300">
        <v>232</v>
      </c>
      <c r="E300" s="1">
        <v>38703</v>
      </c>
      <c r="F300">
        <v>231</v>
      </c>
      <c r="G300" s="2">
        <v>0.57329861111111113</v>
      </c>
      <c r="H300" t="s">
        <v>177</v>
      </c>
      <c r="I300">
        <v>6</v>
      </c>
      <c r="J300" t="s">
        <v>31</v>
      </c>
      <c r="K300" t="s">
        <v>26</v>
      </c>
      <c r="L300" t="s">
        <v>32</v>
      </c>
      <c r="M300" t="s">
        <v>27</v>
      </c>
      <c r="N300" t="s">
        <v>37</v>
      </c>
      <c r="O300" t="s">
        <v>33</v>
      </c>
      <c r="P300" t="s">
        <v>29</v>
      </c>
      <c r="Q300" t="s">
        <v>27</v>
      </c>
      <c r="R300" t="s">
        <v>76</v>
      </c>
      <c r="S300" s="3" t="s">
        <v>181</v>
      </c>
      <c r="T300" t="s">
        <v>78</v>
      </c>
      <c r="U300">
        <v>22</v>
      </c>
      <c r="V300" t="s">
        <v>30</v>
      </c>
      <c r="W300">
        <v>517484.82</v>
      </c>
      <c r="X300">
        <v>4701248.38</v>
      </c>
    </row>
    <row r="301" spans="1:24" x14ac:dyDescent="0.2">
      <c r="A301">
        <v>1</v>
      </c>
      <c r="B301" s="1">
        <v>38703</v>
      </c>
      <c r="C301" t="s">
        <v>51</v>
      </c>
      <c r="D301">
        <v>233</v>
      </c>
      <c r="E301" s="1">
        <v>38703</v>
      </c>
      <c r="F301">
        <v>232</v>
      </c>
      <c r="G301" s="2">
        <v>0.57393518518518516</v>
      </c>
      <c r="H301" t="s">
        <v>177</v>
      </c>
      <c r="I301">
        <v>7</v>
      </c>
      <c r="J301" t="s">
        <v>31</v>
      </c>
      <c r="K301" t="s">
        <v>26</v>
      </c>
      <c r="L301" t="s">
        <v>32</v>
      </c>
      <c r="M301" t="s">
        <v>27</v>
      </c>
      <c r="N301" t="s">
        <v>37</v>
      </c>
      <c r="O301" t="s">
        <v>33</v>
      </c>
      <c r="P301" t="s">
        <v>31</v>
      </c>
      <c r="Q301" t="s">
        <v>27</v>
      </c>
      <c r="R301" t="s">
        <v>76</v>
      </c>
      <c r="S301" s="3" t="s">
        <v>181</v>
      </c>
      <c r="T301" t="s">
        <v>78</v>
      </c>
      <c r="U301">
        <v>23</v>
      </c>
      <c r="V301" t="s">
        <v>30</v>
      </c>
      <c r="W301">
        <v>517488.4</v>
      </c>
      <c r="X301">
        <v>4701247.3499999996</v>
      </c>
    </row>
    <row r="302" spans="1:24" x14ac:dyDescent="0.2">
      <c r="A302">
        <v>1</v>
      </c>
      <c r="B302" s="1">
        <v>38703</v>
      </c>
      <c r="D302">
        <v>234</v>
      </c>
      <c r="E302" s="1">
        <v>38703</v>
      </c>
      <c r="F302">
        <v>233</v>
      </c>
      <c r="G302" s="2">
        <v>0.58273148148148146</v>
      </c>
      <c r="H302" t="s">
        <v>135</v>
      </c>
      <c r="I302">
        <v>1</v>
      </c>
      <c r="J302" t="s">
        <v>52</v>
      </c>
      <c r="K302" t="s">
        <v>87</v>
      </c>
      <c r="L302" t="s">
        <v>32</v>
      </c>
      <c r="M302" t="s">
        <v>27</v>
      </c>
      <c r="N302" t="s">
        <v>37</v>
      </c>
      <c r="O302" t="s">
        <v>33</v>
      </c>
      <c r="P302" t="s">
        <v>31</v>
      </c>
      <c r="Q302" t="s">
        <v>27</v>
      </c>
      <c r="R302" t="s">
        <v>76</v>
      </c>
      <c r="S302" s="3" t="s">
        <v>181</v>
      </c>
      <c r="T302" t="s">
        <v>78</v>
      </c>
      <c r="U302">
        <v>24</v>
      </c>
      <c r="V302" t="s">
        <v>30</v>
      </c>
      <c r="W302">
        <v>517522.11</v>
      </c>
      <c r="X302">
        <v>4701209.66</v>
      </c>
    </row>
    <row r="303" spans="1:24" x14ac:dyDescent="0.2">
      <c r="A303">
        <v>1</v>
      </c>
      <c r="B303" s="1">
        <v>38703</v>
      </c>
      <c r="D303">
        <v>235</v>
      </c>
      <c r="E303" s="1">
        <v>38703</v>
      </c>
      <c r="F303">
        <v>234</v>
      </c>
      <c r="G303" s="2">
        <v>0.58409722222222216</v>
      </c>
      <c r="H303" t="s">
        <v>180</v>
      </c>
      <c r="I303">
        <v>4</v>
      </c>
      <c r="J303" t="s">
        <v>52</v>
      </c>
      <c r="K303" t="s">
        <v>26</v>
      </c>
      <c r="L303" t="s">
        <v>32</v>
      </c>
      <c r="M303" t="s">
        <v>27</v>
      </c>
      <c r="N303" t="s">
        <v>37</v>
      </c>
      <c r="O303" t="s">
        <v>33</v>
      </c>
      <c r="P303" t="s">
        <v>29</v>
      </c>
      <c r="Q303" t="s">
        <v>27</v>
      </c>
      <c r="R303" t="s">
        <v>76</v>
      </c>
      <c r="S303" s="3" t="s">
        <v>199</v>
      </c>
      <c r="T303" t="s">
        <v>78</v>
      </c>
      <c r="U303">
        <v>2</v>
      </c>
      <c r="V303" t="s">
        <v>30</v>
      </c>
      <c r="W303">
        <v>517376.11</v>
      </c>
      <c r="X303">
        <v>4701371.6500000004</v>
      </c>
    </row>
    <row r="304" spans="1:24" x14ac:dyDescent="0.2">
      <c r="A304">
        <v>1</v>
      </c>
      <c r="B304" s="1">
        <v>38703</v>
      </c>
      <c r="D304">
        <v>236</v>
      </c>
      <c r="E304" s="1">
        <v>38703</v>
      </c>
      <c r="F304">
        <v>235</v>
      </c>
      <c r="G304" s="2">
        <v>0.58526620370370364</v>
      </c>
      <c r="H304" t="s">
        <v>79</v>
      </c>
      <c r="I304">
        <v>8</v>
      </c>
      <c r="J304" t="s">
        <v>52</v>
      </c>
      <c r="K304" t="s">
        <v>26</v>
      </c>
      <c r="L304" t="s">
        <v>32</v>
      </c>
      <c r="M304" t="s">
        <v>27</v>
      </c>
      <c r="N304" t="s">
        <v>37</v>
      </c>
      <c r="O304" t="s">
        <v>33</v>
      </c>
      <c r="P304" t="s">
        <v>29</v>
      </c>
      <c r="Q304" t="s">
        <v>27</v>
      </c>
      <c r="R304" t="s">
        <v>76</v>
      </c>
      <c r="S304" s="3" t="s">
        <v>199</v>
      </c>
      <c r="T304" t="s">
        <v>78</v>
      </c>
      <c r="U304">
        <v>1</v>
      </c>
      <c r="V304" t="s">
        <v>30</v>
      </c>
      <c r="W304">
        <v>517372.11</v>
      </c>
      <c r="X304">
        <v>4701376.26</v>
      </c>
    </row>
    <row r="305" spans="1:24" x14ac:dyDescent="0.2">
      <c r="A305">
        <v>1</v>
      </c>
      <c r="B305" s="1">
        <v>38703</v>
      </c>
      <c r="D305">
        <v>237</v>
      </c>
      <c r="E305" s="1">
        <v>38703</v>
      </c>
      <c r="F305">
        <v>236</v>
      </c>
      <c r="G305" s="2">
        <v>0.58697916666666672</v>
      </c>
      <c r="H305" t="s">
        <v>135</v>
      </c>
      <c r="I305">
        <v>1</v>
      </c>
      <c r="J305" t="s">
        <v>52</v>
      </c>
      <c r="K305" t="s">
        <v>87</v>
      </c>
      <c r="L305" t="s">
        <v>32</v>
      </c>
      <c r="M305" t="s">
        <v>27</v>
      </c>
      <c r="N305" t="s">
        <v>37</v>
      </c>
      <c r="O305" t="s">
        <v>33</v>
      </c>
      <c r="P305" t="s">
        <v>29</v>
      </c>
      <c r="Q305" t="s">
        <v>27</v>
      </c>
      <c r="R305" t="s">
        <v>76</v>
      </c>
      <c r="S305" s="3" t="s">
        <v>199</v>
      </c>
      <c r="T305" t="s">
        <v>78</v>
      </c>
      <c r="U305">
        <v>3</v>
      </c>
      <c r="V305" t="s">
        <v>30</v>
      </c>
      <c r="W305">
        <v>517375.8</v>
      </c>
      <c r="X305">
        <v>4701380.87</v>
      </c>
    </row>
    <row r="306" spans="1:24" x14ac:dyDescent="0.2">
      <c r="A306">
        <v>1</v>
      </c>
      <c r="B306" s="1">
        <v>38703</v>
      </c>
      <c r="D306">
        <v>238</v>
      </c>
      <c r="E306" s="1">
        <v>38703</v>
      </c>
      <c r="F306">
        <v>237</v>
      </c>
      <c r="G306" s="2">
        <v>0.58756944444444448</v>
      </c>
      <c r="H306" t="s">
        <v>135</v>
      </c>
      <c r="I306">
        <v>1</v>
      </c>
      <c r="J306" t="s">
        <v>52</v>
      </c>
      <c r="K306" t="s">
        <v>87</v>
      </c>
      <c r="L306" t="s">
        <v>32</v>
      </c>
      <c r="M306" t="s">
        <v>27</v>
      </c>
      <c r="N306" t="s">
        <v>37</v>
      </c>
      <c r="O306" t="s">
        <v>33</v>
      </c>
      <c r="P306" t="s">
        <v>29</v>
      </c>
      <c r="Q306" t="s">
        <v>27</v>
      </c>
      <c r="R306" t="s">
        <v>76</v>
      </c>
      <c r="S306" s="3" t="s">
        <v>199</v>
      </c>
      <c r="T306" t="s">
        <v>78</v>
      </c>
      <c r="U306">
        <v>4</v>
      </c>
      <c r="V306" t="s">
        <v>30</v>
      </c>
      <c r="W306">
        <v>517373.96</v>
      </c>
      <c r="X306">
        <v>4701397.16</v>
      </c>
    </row>
    <row r="307" spans="1:24" x14ac:dyDescent="0.2">
      <c r="A307">
        <v>1</v>
      </c>
      <c r="B307" s="1">
        <v>38703</v>
      </c>
      <c r="D307">
        <v>239</v>
      </c>
      <c r="E307" s="1">
        <v>38703</v>
      </c>
      <c r="F307">
        <v>238</v>
      </c>
      <c r="G307" s="2">
        <v>0.58784722222222219</v>
      </c>
      <c r="H307" t="s">
        <v>88</v>
      </c>
      <c r="I307">
        <v>1</v>
      </c>
      <c r="J307" t="s">
        <v>52</v>
      </c>
      <c r="K307" t="s">
        <v>87</v>
      </c>
      <c r="L307" t="s">
        <v>32</v>
      </c>
      <c r="M307" t="s">
        <v>27</v>
      </c>
      <c r="N307" t="s">
        <v>37</v>
      </c>
      <c r="O307" t="s">
        <v>33</v>
      </c>
      <c r="P307" t="s">
        <v>29</v>
      </c>
      <c r="Q307" t="s">
        <v>27</v>
      </c>
      <c r="R307" t="s">
        <v>76</v>
      </c>
      <c r="S307" s="3" t="s">
        <v>199</v>
      </c>
      <c r="T307" t="s">
        <v>78</v>
      </c>
      <c r="U307">
        <v>5</v>
      </c>
      <c r="V307" t="s">
        <v>30</v>
      </c>
      <c r="W307">
        <v>517371.19</v>
      </c>
      <c r="X307">
        <v>4701411.6100000003</v>
      </c>
    </row>
    <row r="308" spans="1:24" x14ac:dyDescent="0.2">
      <c r="A308">
        <v>1</v>
      </c>
      <c r="B308" s="1">
        <v>38703</v>
      </c>
      <c r="D308">
        <v>308</v>
      </c>
      <c r="E308" s="1">
        <v>38703</v>
      </c>
      <c r="F308">
        <v>307</v>
      </c>
      <c r="G308" s="2">
        <v>0.68581018518518511</v>
      </c>
      <c r="H308" t="s">
        <v>201</v>
      </c>
      <c r="I308">
        <v>3</v>
      </c>
      <c r="J308" t="s">
        <v>52</v>
      </c>
      <c r="K308" t="s">
        <v>26</v>
      </c>
      <c r="L308" t="s">
        <v>32</v>
      </c>
      <c r="M308" t="s">
        <v>27</v>
      </c>
      <c r="N308" t="s">
        <v>37</v>
      </c>
      <c r="O308" t="s">
        <v>33</v>
      </c>
      <c r="P308" t="s">
        <v>31</v>
      </c>
      <c r="Q308" t="s">
        <v>27</v>
      </c>
      <c r="R308" t="s">
        <v>76</v>
      </c>
      <c r="S308" s="3" t="s">
        <v>238</v>
      </c>
      <c r="T308" t="s">
        <v>78</v>
      </c>
      <c r="U308">
        <v>2</v>
      </c>
      <c r="V308" t="s">
        <v>30</v>
      </c>
      <c r="W308">
        <v>517576.14</v>
      </c>
      <c r="X308">
        <v>4701302.1399999997</v>
      </c>
    </row>
    <row r="309" spans="1:24" x14ac:dyDescent="0.2">
      <c r="A309">
        <v>1</v>
      </c>
      <c r="B309" s="1">
        <v>38703</v>
      </c>
      <c r="D309">
        <v>309</v>
      </c>
      <c r="E309" s="1">
        <v>38703</v>
      </c>
      <c r="F309">
        <v>308</v>
      </c>
      <c r="G309" s="2">
        <v>0.6861342592592593</v>
      </c>
      <c r="H309" t="s">
        <v>201</v>
      </c>
      <c r="I309">
        <v>3</v>
      </c>
      <c r="J309" t="s">
        <v>52</v>
      </c>
      <c r="K309" t="s">
        <v>26</v>
      </c>
      <c r="L309" t="s">
        <v>32</v>
      </c>
      <c r="M309" t="s">
        <v>27</v>
      </c>
      <c r="N309" t="s">
        <v>37</v>
      </c>
      <c r="O309" t="s">
        <v>33</v>
      </c>
      <c r="P309" t="s">
        <v>31</v>
      </c>
      <c r="Q309" t="s">
        <v>27</v>
      </c>
      <c r="R309" t="s">
        <v>76</v>
      </c>
      <c r="S309" s="3" t="s">
        <v>238</v>
      </c>
      <c r="T309" t="s">
        <v>78</v>
      </c>
      <c r="U309">
        <v>3</v>
      </c>
      <c r="V309" t="s">
        <v>30</v>
      </c>
      <c r="W309">
        <v>517575.41</v>
      </c>
      <c r="X309">
        <v>4701306.9400000004</v>
      </c>
    </row>
    <row r="310" spans="1:24" x14ac:dyDescent="0.2">
      <c r="A310">
        <v>1</v>
      </c>
      <c r="B310" s="1">
        <v>38703</v>
      </c>
      <c r="D310">
        <v>310</v>
      </c>
      <c r="E310" s="1">
        <v>38703</v>
      </c>
      <c r="F310">
        <v>309</v>
      </c>
      <c r="G310" s="2">
        <v>0.6871990740740741</v>
      </c>
      <c r="H310" t="s">
        <v>201</v>
      </c>
      <c r="I310">
        <v>3</v>
      </c>
      <c r="J310" t="s">
        <v>52</v>
      </c>
      <c r="K310" t="s">
        <v>26</v>
      </c>
      <c r="L310" t="s">
        <v>32</v>
      </c>
      <c r="M310" t="s">
        <v>27</v>
      </c>
      <c r="N310" t="s">
        <v>37</v>
      </c>
      <c r="O310" t="s">
        <v>33</v>
      </c>
      <c r="P310" t="s">
        <v>31</v>
      </c>
      <c r="Q310" t="s">
        <v>27</v>
      </c>
      <c r="R310" t="s">
        <v>76</v>
      </c>
      <c r="S310" s="3" t="s">
        <v>238</v>
      </c>
      <c r="T310" t="s">
        <v>78</v>
      </c>
      <c r="U310">
        <v>4</v>
      </c>
      <c r="V310" t="s">
        <v>30</v>
      </c>
      <c r="W310">
        <v>517578.73</v>
      </c>
      <c r="X310">
        <v>4701292.16</v>
      </c>
    </row>
    <row r="311" spans="1:24" x14ac:dyDescent="0.2">
      <c r="A311">
        <v>1</v>
      </c>
      <c r="B311" s="1">
        <v>38703</v>
      </c>
      <c r="D311">
        <v>311</v>
      </c>
      <c r="E311" s="1">
        <v>38703</v>
      </c>
      <c r="F311">
        <v>310</v>
      </c>
      <c r="G311" s="2">
        <v>0.68737268518518524</v>
      </c>
      <c r="H311" t="s">
        <v>201</v>
      </c>
      <c r="I311">
        <v>3</v>
      </c>
      <c r="J311" t="s">
        <v>52</v>
      </c>
      <c r="K311" t="s">
        <v>26</v>
      </c>
      <c r="L311" t="s">
        <v>32</v>
      </c>
      <c r="M311" t="s">
        <v>27</v>
      </c>
      <c r="N311" t="s">
        <v>37</v>
      </c>
      <c r="O311" t="s">
        <v>33</v>
      </c>
      <c r="P311" t="s">
        <v>31</v>
      </c>
      <c r="Q311" t="s">
        <v>27</v>
      </c>
      <c r="R311" t="s">
        <v>76</v>
      </c>
      <c r="S311" s="3" t="s">
        <v>238</v>
      </c>
      <c r="T311" t="s">
        <v>78</v>
      </c>
      <c r="U311">
        <v>5</v>
      </c>
      <c r="V311" t="s">
        <v>30</v>
      </c>
      <c r="W311">
        <v>517578.36</v>
      </c>
      <c r="X311">
        <v>4701289.58</v>
      </c>
    </row>
    <row r="312" spans="1:24" x14ac:dyDescent="0.2">
      <c r="A312">
        <v>1</v>
      </c>
      <c r="B312" s="1">
        <v>38703</v>
      </c>
      <c r="D312">
        <v>312</v>
      </c>
      <c r="E312" s="1">
        <v>38703</v>
      </c>
      <c r="F312">
        <v>311</v>
      </c>
      <c r="G312" s="2">
        <v>0.68766203703703699</v>
      </c>
      <c r="H312" t="s">
        <v>201</v>
      </c>
      <c r="I312">
        <v>3</v>
      </c>
      <c r="J312" t="s">
        <v>52</v>
      </c>
      <c r="K312" t="s">
        <v>26</v>
      </c>
      <c r="L312" t="s">
        <v>32</v>
      </c>
      <c r="M312" t="s">
        <v>27</v>
      </c>
      <c r="N312" t="s">
        <v>37</v>
      </c>
      <c r="O312" t="s">
        <v>33</v>
      </c>
      <c r="P312" t="s">
        <v>31</v>
      </c>
      <c r="Q312" t="s">
        <v>27</v>
      </c>
      <c r="R312" t="s">
        <v>76</v>
      </c>
      <c r="S312" s="3" t="s">
        <v>238</v>
      </c>
      <c r="T312" t="s">
        <v>78</v>
      </c>
      <c r="U312">
        <v>6</v>
      </c>
      <c r="V312" t="s">
        <v>30</v>
      </c>
      <c r="W312">
        <v>517577.99</v>
      </c>
      <c r="X312">
        <v>4701286.99</v>
      </c>
    </row>
    <row r="313" spans="1:24" x14ac:dyDescent="0.2">
      <c r="A313">
        <v>1</v>
      </c>
      <c r="B313" s="1">
        <v>38703</v>
      </c>
      <c r="D313">
        <v>313</v>
      </c>
      <c r="E313" s="1">
        <v>38703</v>
      </c>
      <c r="F313">
        <v>312</v>
      </c>
      <c r="G313" s="2">
        <v>0.68787037037037047</v>
      </c>
      <c r="H313" t="s">
        <v>201</v>
      </c>
      <c r="I313">
        <v>3</v>
      </c>
      <c r="J313" t="s">
        <v>52</v>
      </c>
      <c r="K313" t="s">
        <v>26</v>
      </c>
      <c r="L313" t="s">
        <v>32</v>
      </c>
      <c r="M313" t="s">
        <v>27</v>
      </c>
      <c r="N313" t="s">
        <v>37</v>
      </c>
      <c r="O313" t="s">
        <v>33</v>
      </c>
      <c r="P313" t="s">
        <v>31</v>
      </c>
      <c r="Q313" t="s">
        <v>27</v>
      </c>
      <c r="R313" t="s">
        <v>76</v>
      </c>
      <c r="S313" s="3" t="s">
        <v>238</v>
      </c>
      <c r="T313" t="s">
        <v>78</v>
      </c>
      <c r="U313">
        <v>7</v>
      </c>
      <c r="V313" t="s">
        <v>30</v>
      </c>
      <c r="W313">
        <v>517577.62</v>
      </c>
      <c r="X313">
        <v>4701285.1399999997</v>
      </c>
    </row>
    <row r="314" spans="1:24" x14ac:dyDescent="0.2">
      <c r="A314">
        <v>1</v>
      </c>
      <c r="B314" s="1">
        <v>38703</v>
      </c>
      <c r="D314">
        <v>314</v>
      </c>
      <c r="E314" s="1">
        <v>38703</v>
      </c>
      <c r="F314">
        <v>313</v>
      </c>
      <c r="G314" s="2">
        <v>0.68901620370370376</v>
      </c>
      <c r="H314" t="s">
        <v>75</v>
      </c>
      <c r="I314">
        <v>30</v>
      </c>
      <c r="J314" t="s">
        <v>52</v>
      </c>
      <c r="K314" t="s">
        <v>26</v>
      </c>
      <c r="L314" t="s">
        <v>32</v>
      </c>
      <c r="M314" t="s">
        <v>27</v>
      </c>
      <c r="N314" t="s">
        <v>37</v>
      </c>
      <c r="O314" t="s">
        <v>33</v>
      </c>
      <c r="P314" t="s">
        <v>31</v>
      </c>
      <c r="Q314" t="s">
        <v>27</v>
      </c>
      <c r="R314" t="s">
        <v>76</v>
      </c>
      <c r="S314" s="3" t="s">
        <v>238</v>
      </c>
      <c r="T314" t="s">
        <v>78</v>
      </c>
      <c r="U314">
        <v>8</v>
      </c>
      <c r="V314" t="s">
        <v>30</v>
      </c>
      <c r="W314">
        <v>517576.88</v>
      </c>
      <c r="X314">
        <v>4701281.45</v>
      </c>
    </row>
    <row r="315" spans="1:24" x14ac:dyDescent="0.2">
      <c r="A315">
        <v>1</v>
      </c>
      <c r="B315" s="1">
        <v>38703</v>
      </c>
      <c r="D315">
        <v>315</v>
      </c>
      <c r="E315" s="1">
        <v>38703</v>
      </c>
      <c r="F315">
        <v>314</v>
      </c>
      <c r="G315" s="2">
        <v>0.69074074074074077</v>
      </c>
      <c r="H315" t="s">
        <v>94</v>
      </c>
      <c r="I315">
        <v>4</v>
      </c>
      <c r="J315" t="s">
        <v>31</v>
      </c>
      <c r="K315" t="s">
        <v>26</v>
      </c>
      <c r="L315" t="s">
        <v>32</v>
      </c>
      <c r="M315" t="s">
        <v>27</v>
      </c>
      <c r="N315" t="s">
        <v>37</v>
      </c>
      <c r="O315" t="s">
        <v>33</v>
      </c>
      <c r="P315" t="s">
        <v>25</v>
      </c>
      <c r="Q315" t="s">
        <v>27</v>
      </c>
      <c r="R315" t="s">
        <v>76</v>
      </c>
      <c r="S315" s="3" t="s">
        <v>238</v>
      </c>
      <c r="T315" t="s">
        <v>78</v>
      </c>
      <c r="U315">
        <v>9</v>
      </c>
      <c r="V315" t="s">
        <v>30</v>
      </c>
      <c r="W315">
        <v>517575.04</v>
      </c>
      <c r="X315">
        <v>4701298.08</v>
      </c>
    </row>
    <row r="316" spans="1:24" x14ac:dyDescent="0.2">
      <c r="A316">
        <v>1</v>
      </c>
      <c r="B316" s="1">
        <v>38703</v>
      </c>
      <c r="D316">
        <v>316</v>
      </c>
      <c r="E316" s="1">
        <v>38703</v>
      </c>
      <c r="F316">
        <v>315</v>
      </c>
      <c r="G316" s="2">
        <v>0.69158564814814805</v>
      </c>
      <c r="H316" t="s">
        <v>94</v>
      </c>
      <c r="I316">
        <v>12</v>
      </c>
      <c r="J316" t="s">
        <v>31</v>
      </c>
      <c r="K316" t="s">
        <v>26</v>
      </c>
      <c r="L316" t="s">
        <v>32</v>
      </c>
      <c r="M316" t="s">
        <v>27</v>
      </c>
      <c r="N316" t="s">
        <v>37</v>
      </c>
      <c r="O316" t="s">
        <v>33</v>
      </c>
      <c r="P316" t="s">
        <v>31</v>
      </c>
      <c r="Q316" t="s">
        <v>27</v>
      </c>
      <c r="R316" t="s">
        <v>76</v>
      </c>
      <c r="S316" s="3" t="s">
        <v>238</v>
      </c>
      <c r="T316" t="s">
        <v>78</v>
      </c>
      <c r="U316">
        <v>10</v>
      </c>
      <c r="V316" t="s">
        <v>30</v>
      </c>
      <c r="W316">
        <v>517575.04</v>
      </c>
      <c r="X316">
        <v>4701294.38</v>
      </c>
    </row>
    <row r="317" spans="1:24" x14ac:dyDescent="0.2">
      <c r="A317">
        <v>1</v>
      </c>
      <c r="B317" s="1">
        <v>38703</v>
      </c>
      <c r="D317">
        <v>317</v>
      </c>
      <c r="E317" s="1">
        <v>38703</v>
      </c>
      <c r="F317">
        <v>316</v>
      </c>
      <c r="G317" s="2">
        <v>0.69208333333333327</v>
      </c>
      <c r="H317" t="s">
        <v>119</v>
      </c>
      <c r="I317">
        <v>2</v>
      </c>
      <c r="J317" t="s">
        <v>25</v>
      </c>
      <c r="K317" t="s">
        <v>26</v>
      </c>
      <c r="L317" t="s">
        <v>32</v>
      </c>
      <c r="M317" t="s">
        <v>27</v>
      </c>
      <c r="N317" t="s">
        <v>37</v>
      </c>
      <c r="O317" t="s">
        <v>33</v>
      </c>
      <c r="P317" t="s">
        <v>25</v>
      </c>
      <c r="Q317" t="s">
        <v>27</v>
      </c>
      <c r="R317" t="s">
        <v>76</v>
      </c>
      <c r="S317" s="3" t="s">
        <v>238</v>
      </c>
      <c r="T317" t="s">
        <v>78</v>
      </c>
      <c r="U317">
        <v>11</v>
      </c>
      <c r="V317" t="s">
        <v>30</v>
      </c>
      <c r="W317">
        <v>517575.41</v>
      </c>
      <c r="X317">
        <v>4701288.47</v>
      </c>
    </row>
    <row r="318" spans="1:24" x14ac:dyDescent="0.2">
      <c r="A318">
        <v>1</v>
      </c>
      <c r="B318" s="1">
        <v>38703</v>
      </c>
      <c r="C318" t="s">
        <v>256</v>
      </c>
      <c r="D318">
        <v>318</v>
      </c>
      <c r="E318" s="1">
        <v>38703</v>
      </c>
      <c r="F318">
        <v>317</v>
      </c>
      <c r="G318" s="2">
        <v>0.69299768518518512</v>
      </c>
      <c r="H318" t="s">
        <v>152</v>
      </c>
      <c r="I318">
        <v>2</v>
      </c>
      <c r="J318" t="s">
        <v>38</v>
      </c>
      <c r="K318" t="s">
        <v>42</v>
      </c>
      <c r="L318" t="s">
        <v>32</v>
      </c>
      <c r="M318" t="s">
        <v>27</v>
      </c>
      <c r="N318" t="s">
        <v>37</v>
      </c>
      <c r="O318" t="s">
        <v>33</v>
      </c>
      <c r="P318" t="s">
        <v>25</v>
      </c>
      <c r="Q318" t="s">
        <v>27</v>
      </c>
      <c r="R318" t="s">
        <v>76</v>
      </c>
      <c r="S318" s="3" t="s">
        <v>238</v>
      </c>
      <c r="T318" t="s">
        <v>78</v>
      </c>
      <c r="U318">
        <v>12</v>
      </c>
      <c r="V318" t="s">
        <v>30</v>
      </c>
      <c r="W318">
        <v>517575.04</v>
      </c>
      <c r="X318">
        <v>4701279.5999999996</v>
      </c>
    </row>
    <row r="319" spans="1:24" x14ac:dyDescent="0.2">
      <c r="A319">
        <v>1</v>
      </c>
      <c r="B319" s="1">
        <v>38703</v>
      </c>
      <c r="D319">
        <v>319</v>
      </c>
      <c r="E319" s="1">
        <v>38703</v>
      </c>
      <c r="F319">
        <v>318</v>
      </c>
      <c r="G319" s="2">
        <v>0.6944907407407408</v>
      </c>
      <c r="H319" t="s">
        <v>177</v>
      </c>
      <c r="I319">
        <v>2</v>
      </c>
      <c r="J319" t="s">
        <v>31</v>
      </c>
      <c r="K319" t="s">
        <v>26</v>
      </c>
      <c r="L319" t="s">
        <v>32</v>
      </c>
      <c r="M319" t="s">
        <v>27</v>
      </c>
      <c r="N319" t="s">
        <v>37</v>
      </c>
      <c r="O319" t="s">
        <v>33</v>
      </c>
      <c r="P319" t="s">
        <v>31</v>
      </c>
      <c r="Q319" t="s">
        <v>27</v>
      </c>
      <c r="R319" t="s">
        <v>76</v>
      </c>
      <c r="S319" s="3" t="s">
        <v>238</v>
      </c>
      <c r="T319" t="s">
        <v>78</v>
      </c>
      <c r="U319">
        <v>13</v>
      </c>
      <c r="V319" t="s">
        <v>30</v>
      </c>
      <c r="W319">
        <v>517570.97</v>
      </c>
      <c r="X319">
        <v>4701262.9800000004</v>
      </c>
    </row>
    <row r="320" spans="1:24" x14ac:dyDescent="0.2">
      <c r="A320">
        <v>1</v>
      </c>
      <c r="B320" s="1">
        <v>38703</v>
      </c>
      <c r="D320">
        <v>320</v>
      </c>
      <c r="E320" s="1">
        <v>38703</v>
      </c>
      <c r="F320">
        <v>319</v>
      </c>
      <c r="G320" s="2">
        <v>0.69505787037037037</v>
      </c>
      <c r="H320" t="s">
        <v>177</v>
      </c>
      <c r="I320">
        <v>2</v>
      </c>
      <c r="J320" t="s">
        <v>31</v>
      </c>
      <c r="K320" t="s">
        <v>26</v>
      </c>
      <c r="L320" t="s">
        <v>32</v>
      </c>
      <c r="M320" t="s">
        <v>27</v>
      </c>
      <c r="N320" t="s">
        <v>37</v>
      </c>
      <c r="O320" t="s">
        <v>33</v>
      </c>
      <c r="P320" t="s">
        <v>31</v>
      </c>
      <c r="Q320" t="s">
        <v>27</v>
      </c>
      <c r="R320" t="s">
        <v>76</v>
      </c>
      <c r="S320" s="3" t="s">
        <v>238</v>
      </c>
      <c r="T320" t="s">
        <v>78</v>
      </c>
      <c r="U320">
        <v>14</v>
      </c>
      <c r="V320" t="s">
        <v>30</v>
      </c>
      <c r="W320">
        <v>517573.19</v>
      </c>
      <c r="X320">
        <v>4701263.71</v>
      </c>
    </row>
    <row r="321" spans="1:24" x14ac:dyDescent="0.2">
      <c r="A321">
        <v>1</v>
      </c>
      <c r="B321" s="1">
        <v>38703</v>
      </c>
      <c r="D321">
        <v>321</v>
      </c>
      <c r="E321" s="1">
        <v>38703</v>
      </c>
      <c r="F321">
        <v>320</v>
      </c>
      <c r="G321" s="2">
        <v>0.69549768518518518</v>
      </c>
      <c r="H321" t="s">
        <v>146</v>
      </c>
      <c r="I321">
        <v>2</v>
      </c>
      <c r="J321" t="s">
        <v>31</v>
      </c>
      <c r="K321" t="s">
        <v>26</v>
      </c>
      <c r="L321" t="s">
        <v>32</v>
      </c>
      <c r="M321" t="s">
        <v>27</v>
      </c>
      <c r="N321" t="s">
        <v>37</v>
      </c>
      <c r="O321" t="s">
        <v>33</v>
      </c>
      <c r="P321" t="s">
        <v>31</v>
      </c>
      <c r="Q321" t="s">
        <v>27</v>
      </c>
      <c r="R321" t="s">
        <v>76</v>
      </c>
      <c r="S321" s="3" t="s">
        <v>238</v>
      </c>
      <c r="T321" t="s">
        <v>78</v>
      </c>
      <c r="U321">
        <v>15</v>
      </c>
      <c r="V321" t="s">
        <v>30</v>
      </c>
      <c r="W321">
        <v>517573.19</v>
      </c>
      <c r="X321">
        <v>4701268.5199999996</v>
      </c>
    </row>
    <row r="322" spans="1:24" x14ac:dyDescent="0.2">
      <c r="A322">
        <v>1</v>
      </c>
      <c r="B322" s="1">
        <v>38703</v>
      </c>
      <c r="D322">
        <v>323</v>
      </c>
      <c r="E322" s="1">
        <v>38703</v>
      </c>
      <c r="F322">
        <v>322</v>
      </c>
      <c r="G322" s="2">
        <v>0.71381944444444445</v>
      </c>
      <c r="H322" t="s">
        <v>257</v>
      </c>
      <c r="I322">
        <v>1</v>
      </c>
      <c r="J322" t="s">
        <v>52</v>
      </c>
      <c r="K322" t="s">
        <v>26</v>
      </c>
      <c r="L322" t="s">
        <v>32</v>
      </c>
      <c r="M322" t="s">
        <v>27</v>
      </c>
      <c r="N322" t="s">
        <v>37</v>
      </c>
      <c r="O322" t="s">
        <v>33</v>
      </c>
      <c r="P322" t="s">
        <v>31</v>
      </c>
      <c r="Q322" t="s">
        <v>27</v>
      </c>
      <c r="R322" t="s">
        <v>76</v>
      </c>
      <c r="S322" s="3" t="s">
        <v>238</v>
      </c>
      <c r="T322" t="s">
        <v>78</v>
      </c>
      <c r="U322">
        <v>17</v>
      </c>
      <c r="V322" t="s">
        <v>30</v>
      </c>
      <c r="W322">
        <v>517561</v>
      </c>
      <c r="X322">
        <v>4701252.63</v>
      </c>
    </row>
    <row r="323" spans="1:24" x14ac:dyDescent="0.2">
      <c r="A323">
        <v>1</v>
      </c>
      <c r="B323" s="1">
        <v>38703</v>
      </c>
      <c r="D323">
        <v>324</v>
      </c>
      <c r="E323" s="1">
        <v>38703</v>
      </c>
      <c r="F323">
        <v>323</v>
      </c>
      <c r="G323" s="2">
        <v>0.69817129629629626</v>
      </c>
      <c r="H323" t="s">
        <v>257</v>
      </c>
      <c r="I323">
        <v>1</v>
      </c>
      <c r="J323" t="s">
        <v>52</v>
      </c>
      <c r="K323" t="s">
        <v>26</v>
      </c>
      <c r="L323" t="s">
        <v>32</v>
      </c>
      <c r="M323" t="s">
        <v>27</v>
      </c>
      <c r="N323" t="s">
        <v>37</v>
      </c>
      <c r="O323" t="s">
        <v>33</v>
      </c>
      <c r="P323" t="s">
        <v>31</v>
      </c>
      <c r="Q323" t="s">
        <v>27</v>
      </c>
      <c r="R323" t="s">
        <v>76</v>
      </c>
      <c r="S323" s="3" t="s">
        <v>238</v>
      </c>
      <c r="T323" t="s">
        <v>78</v>
      </c>
      <c r="U323">
        <v>18</v>
      </c>
      <c r="V323" t="s">
        <v>30</v>
      </c>
      <c r="W323">
        <v>517563.21</v>
      </c>
      <c r="X323">
        <v>4701253</v>
      </c>
    </row>
    <row r="324" spans="1:24" x14ac:dyDescent="0.2">
      <c r="A324">
        <v>1</v>
      </c>
      <c r="B324" s="1">
        <v>38703</v>
      </c>
      <c r="D324">
        <v>325</v>
      </c>
      <c r="E324" s="1">
        <v>38703</v>
      </c>
      <c r="F324">
        <v>324</v>
      </c>
      <c r="G324" s="2">
        <v>0.69854166666666673</v>
      </c>
      <c r="H324" t="s">
        <v>257</v>
      </c>
      <c r="I324">
        <v>1</v>
      </c>
      <c r="J324" t="s">
        <v>52</v>
      </c>
      <c r="K324" t="s">
        <v>26</v>
      </c>
      <c r="L324" t="s">
        <v>32</v>
      </c>
      <c r="M324" t="s">
        <v>27</v>
      </c>
      <c r="N324" t="s">
        <v>37</v>
      </c>
      <c r="O324" t="s">
        <v>33</v>
      </c>
      <c r="P324" t="s">
        <v>31</v>
      </c>
      <c r="Q324" t="s">
        <v>27</v>
      </c>
      <c r="R324" t="s">
        <v>76</v>
      </c>
      <c r="S324" s="3" t="s">
        <v>238</v>
      </c>
      <c r="T324" t="s">
        <v>78</v>
      </c>
      <c r="U324">
        <v>19</v>
      </c>
      <c r="V324" t="s">
        <v>30</v>
      </c>
      <c r="W324">
        <v>517565.06</v>
      </c>
      <c r="X324">
        <v>4701253.37</v>
      </c>
    </row>
    <row r="325" spans="1:24" x14ac:dyDescent="0.2">
      <c r="A325">
        <v>1</v>
      </c>
      <c r="B325" s="1">
        <v>38703</v>
      </c>
      <c r="D325">
        <v>326</v>
      </c>
      <c r="E325" s="1">
        <v>38703</v>
      </c>
      <c r="F325">
        <v>325</v>
      </c>
      <c r="G325" s="2">
        <v>0.69876157407407413</v>
      </c>
      <c r="H325" t="s">
        <v>257</v>
      </c>
      <c r="I325">
        <v>1</v>
      </c>
      <c r="J325" t="s">
        <v>52</v>
      </c>
      <c r="K325" t="s">
        <v>26</v>
      </c>
      <c r="L325" t="s">
        <v>32</v>
      </c>
      <c r="M325" t="s">
        <v>27</v>
      </c>
      <c r="N325" t="s">
        <v>37</v>
      </c>
      <c r="O325" t="s">
        <v>33</v>
      </c>
      <c r="P325" t="s">
        <v>31</v>
      </c>
      <c r="Q325" t="s">
        <v>27</v>
      </c>
      <c r="R325" t="s">
        <v>76</v>
      </c>
      <c r="S325" s="3" t="s">
        <v>238</v>
      </c>
      <c r="T325" t="s">
        <v>78</v>
      </c>
      <c r="U325">
        <v>20</v>
      </c>
      <c r="V325" t="s">
        <v>30</v>
      </c>
      <c r="W325">
        <v>517566.17</v>
      </c>
      <c r="X325">
        <v>4701252.63</v>
      </c>
    </row>
    <row r="326" spans="1:24" x14ac:dyDescent="0.2">
      <c r="A326">
        <v>1</v>
      </c>
      <c r="B326" s="1">
        <v>38703</v>
      </c>
      <c r="D326">
        <v>327</v>
      </c>
      <c r="E326" s="1">
        <v>38703</v>
      </c>
      <c r="F326">
        <v>326</v>
      </c>
      <c r="G326" s="2">
        <v>0.69894675925925931</v>
      </c>
      <c r="H326" t="s">
        <v>257</v>
      </c>
      <c r="I326">
        <v>1</v>
      </c>
      <c r="J326" t="s">
        <v>52</v>
      </c>
      <c r="K326" t="s">
        <v>26</v>
      </c>
      <c r="L326" t="s">
        <v>32</v>
      </c>
      <c r="M326" t="s">
        <v>27</v>
      </c>
      <c r="N326" t="s">
        <v>37</v>
      </c>
      <c r="O326" t="s">
        <v>33</v>
      </c>
      <c r="P326" t="s">
        <v>31</v>
      </c>
      <c r="Q326" t="s">
        <v>27</v>
      </c>
      <c r="R326" t="s">
        <v>76</v>
      </c>
      <c r="S326" s="3" t="s">
        <v>238</v>
      </c>
      <c r="T326" t="s">
        <v>78</v>
      </c>
      <c r="U326">
        <v>21</v>
      </c>
      <c r="V326" t="s">
        <v>30</v>
      </c>
      <c r="W326">
        <v>517566.91</v>
      </c>
      <c r="X326">
        <v>4701253.37</v>
      </c>
    </row>
    <row r="327" spans="1:24" x14ac:dyDescent="0.2">
      <c r="A327">
        <v>1</v>
      </c>
      <c r="B327" s="1">
        <v>38703</v>
      </c>
      <c r="D327">
        <v>328</v>
      </c>
      <c r="E327" s="1">
        <v>38703</v>
      </c>
      <c r="F327">
        <v>327</v>
      </c>
      <c r="G327" s="2">
        <v>0.7015162037037036</v>
      </c>
      <c r="H327" t="s">
        <v>201</v>
      </c>
      <c r="I327">
        <v>6</v>
      </c>
      <c r="J327" t="s">
        <v>52</v>
      </c>
      <c r="K327" t="s">
        <v>26</v>
      </c>
      <c r="L327" t="s">
        <v>32</v>
      </c>
      <c r="M327" t="s">
        <v>27</v>
      </c>
      <c r="N327" t="s">
        <v>37</v>
      </c>
      <c r="O327" t="s">
        <v>33</v>
      </c>
      <c r="P327" t="s">
        <v>31</v>
      </c>
      <c r="Q327" t="s">
        <v>27</v>
      </c>
      <c r="R327" t="s">
        <v>76</v>
      </c>
      <c r="S327" s="3" t="s">
        <v>238</v>
      </c>
      <c r="T327" t="s">
        <v>78</v>
      </c>
      <c r="U327">
        <v>22</v>
      </c>
      <c r="V327" t="s">
        <v>30</v>
      </c>
      <c r="W327">
        <v>517581.46</v>
      </c>
      <c r="X327">
        <v>4701279.34</v>
      </c>
    </row>
    <row r="328" spans="1:24" x14ac:dyDescent="0.2">
      <c r="A328">
        <v>1</v>
      </c>
      <c r="B328" s="1">
        <v>38703</v>
      </c>
      <c r="D328">
        <v>329</v>
      </c>
      <c r="E328" s="1">
        <v>38703</v>
      </c>
      <c r="F328">
        <v>328</v>
      </c>
      <c r="G328" s="2">
        <v>0.70192129629629629</v>
      </c>
      <c r="H328" t="s">
        <v>201</v>
      </c>
      <c r="I328">
        <v>6</v>
      </c>
      <c r="J328" t="s">
        <v>52</v>
      </c>
      <c r="K328" t="s">
        <v>26</v>
      </c>
      <c r="L328" t="s">
        <v>32</v>
      </c>
      <c r="M328" t="s">
        <v>27</v>
      </c>
      <c r="N328" t="s">
        <v>37</v>
      </c>
      <c r="O328" t="s">
        <v>33</v>
      </c>
      <c r="P328" t="s">
        <v>31</v>
      </c>
      <c r="Q328" t="s">
        <v>27</v>
      </c>
      <c r="R328" t="s">
        <v>76</v>
      </c>
      <c r="S328" s="3" t="s">
        <v>238</v>
      </c>
      <c r="T328" t="s">
        <v>78</v>
      </c>
      <c r="U328">
        <v>23</v>
      </c>
      <c r="V328" t="s">
        <v>30</v>
      </c>
      <c r="W328">
        <v>517583.62</v>
      </c>
      <c r="X328">
        <v>4701278.26</v>
      </c>
    </row>
    <row r="329" spans="1:24" x14ac:dyDescent="0.2">
      <c r="A329">
        <v>1</v>
      </c>
      <c r="B329" s="1">
        <v>38703</v>
      </c>
      <c r="D329">
        <v>330</v>
      </c>
      <c r="E329" s="1">
        <v>38703</v>
      </c>
      <c r="F329">
        <v>329</v>
      </c>
      <c r="G329" s="2">
        <v>0.7021412037037037</v>
      </c>
      <c r="H329" t="s">
        <v>201</v>
      </c>
      <c r="I329">
        <v>6</v>
      </c>
      <c r="J329" t="s">
        <v>52</v>
      </c>
      <c r="K329" t="s">
        <v>26</v>
      </c>
      <c r="L329" t="s">
        <v>32</v>
      </c>
      <c r="M329" t="s">
        <v>27</v>
      </c>
      <c r="N329" t="s">
        <v>37</v>
      </c>
      <c r="O329" t="s">
        <v>33</v>
      </c>
      <c r="P329" t="s">
        <v>31</v>
      </c>
      <c r="Q329" t="s">
        <v>27</v>
      </c>
      <c r="R329" t="s">
        <v>76</v>
      </c>
      <c r="S329" s="3" t="s">
        <v>238</v>
      </c>
      <c r="T329" t="s">
        <v>78</v>
      </c>
      <c r="U329">
        <v>24</v>
      </c>
      <c r="V329" t="s">
        <v>30</v>
      </c>
      <c r="W329">
        <v>517584.43</v>
      </c>
      <c r="X329">
        <v>4701276.92</v>
      </c>
    </row>
    <row r="330" spans="1:24" x14ac:dyDescent="0.2">
      <c r="A330">
        <v>1</v>
      </c>
      <c r="B330" s="1">
        <v>38703</v>
      </c>
      <c r="D330">
        <v>331</v>
      </c>
      <c r="E330" s="1">
        <v>38703</v>
      </c>
      <c r="F330">
        <v>330</v>
      </c>
      <c r="G330" s="2">
        <v>0.7023032407407408</v>
      </c>
      <c r="H330" t="s">
        <v>201</v>
      </c>
      <c r="I330">
        <v>6</v>
      </c>
      <c r="J330" t="s">
        <v>52</v>
      </c>
      <c r="K330" t="s">
        <v>26</v>
      </c>
      <c r="L330" t="s">
        <v>32</v>
      </c>
      <c r="M330" t="s">
        <v>27</v>
      </c>
      <c r="N330" t="s">
        <v>37</v>
      </c>
      <c r="O330" t="s">
        <v>33</v>
      </c>
      <c r="P330" t="s">
        <v>31</v>
      </c>
      <c r="Q330" t="s">
        <v>27</v>
      </c>
      <c r="R330" t="s">
        <v>76</v>
      </c>
      <c r="S330" s="3" t="s">
        <v>238</v>
      </c>
      <c r="T330" t="s">
        <v>78</v>
      </c>
      <c r="U330">
        <v>25</v>
      </c>
      <c r="V330" t="s">
        <v>30</v>
      </c>
      <c r="W330">
        <v>517585.77</v>
      </c>
      <c r="X330">
        <v>4701275.57</v>
      </c>
    </row>
    <row r="331" spans="1:24" x14ac:dyDescent="0.2">
      <c r="A331">
        <v>1</v>
      </c>
      <c r="B331" s="1">
        <v>38703</v>
      </c>
      <c r="D331">
        <v>332</v>
      </c>
      <c r="E331" s="1">
        <v>38703</v>
      </c>
      <c r="F331">
        <v>331</v>
      </c>
      <c r="G331" s="2">
        <v>0.70289351851851845</v>
      </c>
      <c r="H331" t="s">
        <v>201</v>
      </c>
      <c r="I331">
        <v>6</v>
      </c>
      <c r="J331" t="s">
        <v>52</v>
      </c>
      <c r="K331" t="s">
        <v>26</v>
      </c>
      <c r="L331" t="s">
        <v>32</v>
      </c>
      <c r="M331" t="s">
        <v>27</v>
      </c>
      <c r="N331" t="s">
        <v>37</v>
      </c>
      <c r="O331" t="s">
        <v>33</v>
      </c>
      <c r="P331" t="s">
        <v>31</v>
      </c>
      <c r="Q331" t="s">
        <v>27</v>
      </c>
      <c r="R331" t="s">
        <v>76</v>
      </c>
      <c r="S331" s="3" t="s">
        <v>238</v>
      </c>
      <c r="T331" t="s">
        <v>78</v>
      </c>
      <c r="U331">
        <v>26</v>
      </c>
      <c r="V331" t="s">
        <v>30</v>
      </c>
      <c r="W331">
        <v>517594.93</v>
      </c>
      <c r="X331">
        <v>4701270.7300000004</v>
      </c>
    </row>
    <row r="332" spans="1:24" x14ac:dyDescent="0.2">
      <c r="A332">
        <v>1</v>
      </c>
      <c r="B332" s="1">
        <v>38703</v>
      </c>
      <c r="D332">
        <v>333</v>
      </c>
      <c r="E332" s="1">
        <v>38703</v>
      </c>
      <c r="F332">
        <v>332</v>
      </c>
      <c r="G332" s="2">
        <v>0.70314814814814808</v>
      </c>
      <c r="H332" t="s">
        <v>201</v>
      </c>
      <c r="I332">
        <v>6</v>
      </c>
      <c r="J332" t="s">
        <v>52</v>
      </c>
      <c r="K332" t="s">
        <v>26</v>
      </c>
      <c r="L332" t="s">
        <v>32</v>
      </c>
      <c r="M332" t="s">
        <v>27</v>
      </c>
      <c r="N332" t="s">
        <v>37</v>
      </c>
      <c r="O332" t="s">
        <v>33</v>
      </c>
      <c r="P332" t="s">
        <v>31</v>
      </c>
      <c r="Q332" t="s">
        <v>27</v>
      </c>
      <c r="R332" t="s">
        <v>76</v>
      </c>
      <c r="S332" s="3" t="s">
        <v>238</v>
      </c>
      <c r="T332" t="s">
        <v>78</v>
      </c>
      <c r="U332">
        <v>27</v>
      </c>
      <c r="V332" t="s">
        <v>30</v>
      </c>
      <c r="W332">
        <v>517595.73</v>
      </c>
      <c r="X332">
        <v>4701269.92</v>
      </c>
    </row>
    <row r="333" spans="1:24" x14ac:dyDescent="0.2">
      <c r="A333">
        <v>1</v>
      </c>
      <c r="B333" s="1">
        <v>38703</v>
      </c>
      <c r="D333">
        <v>334</v>
      </c>
      <c r="E333" s="1">
        <v>38703</v>
      </c>
      <c r="F333">
        <v>333</v>
      </c>
      <c r="G333" s="2">
        <v>0.7033449074074074</v>
      </c>
      <c r="H333" t="s">
        <v>201</v>
      </c>
      <c r="I333">
        <v>6</v>
      </c>
      <c r="J333" t="s">
        <v>52</v>
      </c>
      <c r="K333" t="s">
        <v>26</v>
      </c>
      <c r="L333" t="s">
        <v>32</v>
      </c>
      <c r="M333" t="s">
        <v>27</v>
      </c>
      <c r="N333" t="s">
        <v>37</v>
      </c>
      <c r="O333" t="s">
        <v>33</v>
      </c>
      <c r="P333" t="s">
        <v>31</v>
      </c>
      <c r="Q333" t="s">
        <v>27</v>
      </c>
      <c r="R333" t="s">
        <v>76</v>
      </c>
      <c r="S333" s="3" t="s">
        <v>238</v>
      </c>
      <c r="T333" t="s">
        <v>78</v>
      </c>
      <c r="U333">
        <v>28</v>
      </c>
      <c r="V333" t="s">
        <v>30</v>
      </c>
      <c r="W333">
        <v>517597.08</v>
      </c>
      <c r="X333">
        <v>4701269.1100000003</v>
      </c>
    </row>
    <row r="334" spans="1:24" x14ac:dyDescent="0.2">
      <c r="A334">
        <v>1</v>
      </c>
      <c r="B334" s="1">
        <v>38703</v>
      </c>
      <c r="D334">
        <v>335</v>
      </c>
      <c r="E334" s="1">
        <v>38703</v>
      </c>
      <c r="F334">
        <v>334</v>
      </c>
      <c r="G334" s="2">
        <v>0.70377314814814806</v>
      </c>
      <c r="H334" t="s">
        <v>201</v>
      </c>
      <c r="I334">
        <v>6</v>
      </c>
      <c r="J334" t="s">
        <v>52</v>
      </c>
      <c r="K334" t="s">
        <v>26</v>
      </c>
      <c r="L334" t="s">
        <v>32</v>
      </c>
      <c r="M334" t="s">
        <v>27</v>
      </c>
      <c r="N334" t="s">
        <v>37</v>
      </c>
      <c r="O334" t="s">
        <v>33</v>
      </c>
      <c r="P334" t="s">
        <v>31</v>
      </c>
      <c r="Q334" t="s">
        <v>27</v>
      </c>
      <c r="R334" t="s">
        <v>76</v>
      </c>
      <c r="S334" s="3" t="s">
        <v>238</v>
      </c>
      <c r="T334" t="s">
        <v>78</v>
      </c>
      <c r="U334">
        <v>29</v>
      </c>
      <c r="V334" t="s">
        <v>30</v>
      </c>
      <c r="W334">
        <v>517589</v>
      </c>
      <c r="X334">
        <v>4701256.1900000004</v>
      </c>
    </row>
    <row r="335" spans="1:24" x14ac:dyDescent="0.2">
      <c r="A335">
        <v>1</v>
      </c>
      <c r="B335" s="1">
        <v>38703</v>
      </c>
      <c r="D335">
        <v>336</v>
      </c>
      <c r="E335" s="1">
        <v>38703</v>
      </c>
      <c r="F335">
        <v>335</v>
      </c>
      <c r="G335" s="2">
        <v>0.70406250000000004</v>
      </c>
      <c r="H335" t="s">
        <v>201</v>
      </c>
      <c r="I335">
        <v>6</v>
      </c>
      <c r="J335" t="s">
        <v>52</v>
      </c>
      <c r="K335" t="s">
        <v>26</v>
      </c>
      <c r="L335" t="s">
        <v>32</v>
      </c>
      <c r="M335" t="s">
        <v>27</v>
      </c>
      <c r="N335" t="s">
        <v>37</v>
      </c>
      <c r="O335" t="s">
        <v>33</v>
      </c>
      <c r="P335" t="s">
        <v>31</v>
      </c>
      <c r="Q335" t="s">
        <v>27</v>
      </c>
      <c r="R335" t="s">
        <v>76</v>
      </c>
      <c r="S335" s="3" t="s">
        <v>238</v>
      </c>
      <c r="T335" t="s">
        <v>78</v>
      </c>
      <c r="U335">
        <v>30</v>
      </c>
      <c r="V335" t="s">
        <v>30</v>
      </c>
      <c r="W335">
        <v>517588.2</v>
      </c>
      <c r="X335">
        <v>4701252.6900000004</v>
      </c>
    </row>
    <row r="336" spans="1:24" x14ac:dyDescent="0.2">
      <c r="A336">
        <v>1</v>
      </c>
      <c r="B336" s="1">
        <v>38703</v>
      </c>
      <c r="D336">
        <v>337</v>
      </c>
      <c r="E336" s="1">
        <v>38703</v>
      </c>
      <c r="F336">
        <v>336</v>
      </c>
      <c r="G336" s="2">
        <v>0.70430555555555552</v>
      </c>
      <c r="H336" t="s">
        <v>201</v>
      </c>
      <c r="I336">
        <v>6</v>
      </c>
      <c r="J336" t="s">
        <v>52</v>
      </c>
      <c r="K336" t="s">
        <v>26</v>
      </c>
      <c r="L336" t="s">
        <v>32</v>
      </c>
      <c r="M336" t="s">
        <v>27</v>
      </c>
      <c r="N336" t="s">
        <v>37</v>
      </c>
      <c r="O336" t="s">
        <v>33</v>
      </c>
      <c r="P336" t="s">
        <v>31</v>
      </c>
      <c r="Q336" t="s">
        <v>27</v>
      </c>
      <c r="R336" t="s">
        <v>76</v>
      </c>
      <c r="S336" s="3" t="s">
        <v>238</v>
      </c>
      <c r="T336" t="s">
        <v>78</v>
      </c>
      <c r="U336">
        <v>31</v>
      </c>
      <c r="V336" t="s">
        <v>30</v>
      </c>
      <c r="W336">
        <v>517588.73</v>
      </c>
      <c r="X336">
        <v>4701250.26</v>
      </c>
    </row>
    <row r="337" spans="1:24" x14ac:dyDescent="0.2">
      <c r="A337">
        <v>1</v>
      </c>
      <c r="B337" s="1">
        <v>38703</v>
      </c>
      <c r="D337">
        <v>338</v>
      </c>
      <c r="E337" s="1">
        <v>38703</v>
      </c>
      <c r="F337">
        <v>337</v>
      </c>
      <c r="G337" s="2">
        <v>0.70502314814814815</v>
      </c>
      <c r="H337" t="s">
        <v>114</v>
      </c>
      <c r="I337">
        <v>5</v>
      </c>
      <c r="J337" t="s">
        <v>31</v>
      </c>
      <c r="K337" t="s">
        <v>26</v>
      </c>
      <c r="L337" t="s">
        <v>32</v>
      </c>
      <c r="M337" t="s">
        <v>27</v>
      </c>
      <c r="N337" t="s">
        <v>37</v>
      </c>
      <c r="O337" t="s">
        <v>33</v>
      </c>
      <c r="P337" t="s">
        <v>31</v>
      </c>
      <c r="Q337" t="s">
        <v>27</v>
      </c>
      <c r="R337" t="s">
        <v>76</v>
      </c>
      <c r="S337" s="3" t="s">
        <v>238</v>
      </c>
      <c r="T337" t="s">
        <v>78</v>
      </c>
      <c r="U337">
        <v>32</v>
      </c>
      <c r="V337" t="s">
        <v>30</v>
      </c>
      <c r="W337">
        <v>517582.81</v>
      </c>
      <c r="X337">
        <v>4701269.6500000004</v>
      </c>
    </row>
    <row r="338" spans="1:24" x14ac:dyDescent="0.2">
      <c r="A338">
        <v>1</v>
      </c>
      <c r="B338" s="1">
        <v>38703</v>
      </c>
      <c r="D338">
        <v>339</v>
      </c>
      <c r="E338" s="1">
        <v>38703</v>
      </c>
      <c r="F338">
        <v>338</v>
      </c>
      <c r="G338" s="2">
        <v>0.70571759259259259</v>
      </c>
      <c r="H338" t="s">
        <v>258</v>
      </c>
      <c r="I338">
        <v>5</v>
      </c>
      <c r="J338" t="s">
        <v>52</v>
      </c>
      <c r="K338" t="s">
        <v>26</v>
      </c>
      <c r="L338" t="s">
        <v>32</v>
      </c>
      <c r="M338" t="s">
        <v>27</v>
      </c>
      <c r="N338" t="s">
        <v>37</v>
      </c>
      <c r="O338" t="s">
        <v>33</v>
      </c>
      <c r="P338" t="s">
        <v>31</v>
      </c>
      <c r="Q338" t="s">
        <v>27</v>
      </c>
      <c r="R338" t="s">
        <v>76</v>
      </c>
      <c r="S338" s="3" t="s">
        <v>238</v>
      </c>
      <c r="T338" t="s">
        <v>78</v>
      </c>
      <c r="U338">
        <v>33</v>
      </c>
      <c r="V338" t="s">
        <v>30</v>
      </c>
      <c r="W338">
        <v>517586.31</v>
      </c>
      <c r="X338">
        <v>4701266.1500000004</v>
      </c>
    </row>
    <row r="339" spans="1:24" x14ac:dyDescent="0.2">
      <c r="A339">
        <v>1</v>
      </c>
      <c r="B339" s="1">
        <v>38703</v>
      </c>
      <c r="D339">
        <v>340</v>
      </c>
      <c r="E339" s="1">
        <v>38703</v>
      </c>
      <c r="F339">
        <v>339</v>
      </c>
      <c r="G339" s="2">
        <v>0.7066203703703704</v>
      </c>
      <c r="H339" t="s">
        <v>45</v>
      </c>
      <c r="I339">
        <v>3</v>
      </c>
      <c r="J339" t="s">
        <v>31</v>
      </c>
      <c r="K339" t="s">
        <v>26</v>
      </c>
      <c r="L339" t="s">
        <v>32</v>
      </c>
      <c r="M339" t="s">
        <v>27</v>
      </c>
      <c r="N339" t="s">
        <v>37</v>
      </c>
      <c r="O339" t="s">
        <v>33</v>
      </c>
      <c r="P339" t="s">
        <v>31</v>
      </c>
      <c r="Q339" t="s">
        <v>27</v>
      </c>
      <c r="R339" t="s">
        <v>76</v>
      </c>
      <c r="S339" s="3" t="s">
        <v>238</v>
      </c>
      <c r="T339" t="s">
        <v>78</v>
      </c>
      <c r="U339">
        <v>34</v>
      </c>
      <c r="V339" t="s">
        <v>30</v>
      </c>
      <c r="W339">
        <v>517587.93</v>
      </c>
      <c r="X339">
        <v>4701262.38</v>
      </c>
    </row>
    <row r="340" spans="1:24" x14ac:dyDescent="0.2">
      <c r="A340">
        <v>1</v>
      </c>
      <c r="B340" s="1">
        <v>38703</v>
      </c>
      <c r="D340">
        <v>341</v>
      </c>
      <c r="E340" s="1">
        <v>38703</v>
      </c>
      <c r="F340">
        <v>340</v>
      </c>
      <c r="G340" s="2">
        <v>0.70708333333333329</v>
      </c>
      <c r="H340" t="s">
        <v>45</v>
      </c>
      <c r="I340">
        <v>5</v>
      </c>
      <c r="J340" t="s">
        <v>31</v>
      </c>
      <c r="K340" t="s">
        <v>26</v>
      </c>
      <c r="L340" t="s">
        <v>32</v>
      </c>
      <c r="M340" t="s">
        <v>27</v>
      </c>
      <c r="N340" t="s">
        <v>37</v>
      </c>
      <c r="O340" t="s">
        <v>33</v>
      </c>
      <c r="P340" t="s">
        <v>31</v>
      </c>
      <c r="Q340" t="s">
        <v>27</v>
      </c>
      <c r="R340" t="s">
        <v>76</v>
      </c>
      <c r="S340" s="3" t="s">
        <v>238</v>
      </c>
      <c r="T340" t="s">
        <v>78</v>
      </c>
      <c r="U340">
        <v>35</v>
      </c>
      <c r="V340" t="s">
        <v>30</v>
      </c>
      <c r="W340">
        <v>517589</v>
      </c>
      <c r="X340">
        <v>4701260.49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6"/>
  <sheetViews>
    <sheetView workbookViewId="0">
      <selection activeCell="G24" sqref="G24"/>
    </sheetView>
  </sheetViews>
  <sheetFormatPr defaultRowHeight="12.75" x14ac:dyDescent="0.2"/>
  <cols>
    <col min="1" max="1" width="20.7109375" bestFit="1" customWidth="1"/>
    <col min="2" max="2" width="5" bestFit="1" customWidth="1"/>
    <col min="3" max="3" width="15.7109375" bestFit="1" customWidth="1"/>
    <col min="4" max="4" width="13.42578125" bestFit="1" customWidth="1"/>
    <col min="5" max="5" width="5.7109375" bestFit="1" customWidth="1"/>
    <col min="6" max="6" width="22.5703125" bestFit="1" customWidth="1"/>
    <col min="7" max="7" width="5.42578125" bestFit="1" customWidth="1"/>
    <col min="8" max="8" width="9.5703125" bestFit="1" customWidth="1"/>
    <col min="9" max="9" width="9.85546875" bestFit="1" customWidth="1"/>
    <col min="10" max="10" width="11" bestFit="1" customWidth="1"/>
    <col min="11" max="11" width="15.5703125" bestFit="1" customWidth="1"/>
    <col min="12" max="13" width="11.7109375" bestFit="1" customWidth="1"/>
    <col min="14" max="14" width="10" bestFit="1" customWidth="1"/>
    <col min="15" max="15" width="14.28515625" bestFit="1" customWidth="1"/>
    <col min="16" max="16" width="13.42578125" bestFit="1" customWidth="1"/>
  </cols>
  <sheetData>
    <row r="1" spans="1:16" s="4" customFormat="1" x14ac:dyDescent="0.2">
      <c r="B1" s="4" t="s">
        <v>3</v>
      </c>
      <c r="C1" s="5" t="s">
        <v>57</v>
      </c>
      <c r="D1" s="5" t="s">
        <v>58</v>
      </c>
      <c r="E1" s="5" t="s">
        <v>59</v>
      </c>
      <c r="F1" s="6" t="s">
        <v>64</v>
      </c>
      <c r="G1" s="4" t="s">
        <v>8</v>
      </c>
      <c r="H1" s="7" t="s">
        <v>65</v>
      </c>
      <c r="I1" s="4" t="s">
        <v>9</v>
      </c>
      <c r="J1" s="5" t="s">
        <v>66</v>
      </c>
      <c r="K1" s="4" t="s">
        <v>67</v>
      </c>
      <c r="L1" s="4" t="s">
        <v>68</v>
      </c>
      <c r="M1" s="4" t="s">
        <v>13</v>
      </c>
      <c r="N1" s="5" t="s">
        <v>69</v>
      </c>
      <c r="O1" s="5" t="s">
        <v>70</v>
      </c>
      <c r="P1" s="4" t="s">
        <v>2</v>
      </c>
    </row>
    <row r="2" spans="1:16" s="4" customFormat="1" x14ac:dyDescent="0.2">
      <c r="A2" s="4" t="s">
        <v>71</v>
      </c>
      <c r="B2" s="8"/>
      <c r="C2" s="7"/>
      <c r="D2" s="7"/>
      <c r="E2" s="7"/>
      <c r="F2" s="8"/>
      <c r="G2" s="8">
        <v>3</v>
      </c>
      <c r="H2" s="7"/>
      <c r="I2" s="8">
        <v>5</v>
      </c>
      <c r="J2" s="7"/>
      <c r="K2" s="8">
        <v>6</v>
      </c>
      <c r="L2" s="8"/>
      <c r="M2" s="8">
        <v>10</v>
      </c>
      <c r="N2" s="7"/>
      <c r="O2" s="7"/>
      <c r="P2" s="8"/>
    </row>
    <row r="3" spans="1:16" x14ac:dyDescent="0.2">
      <c r="B3">
        <v>90</v>
      </c>
      <c r="C3" s="3" t="s">
        <v>160</v>
      </c>
      <c r="D3" s="3" t="s">
        <v>78</v>
      </c>
      <c r="E3">
        <v>9</v>
      </c>
      <c r="F3" t="s">
        <v>263</v>
      </c>
      <c r="G3">
        <v>1</v>
      </c>
      <c r="H3" s="9">
        <f t="shared" ref="H3:H34" si="0">G3/10</f>
        <v>0.1</v>
      </c>
      <c r="I3" t="s">
        <v>52</v>
      </c>
      <c r="J3" s="3" t="str">
        <f t="shared" ref="J3:J34" si="1">IF(I3="N/A","0",IF(I3="Excellent","1",IF(I3="Very Good","1",IF(I3="Good","2",IF(I3="Fair","3",IF(I3="Poor","4",IF(I3="Critical","5",IF(I3="Dead","5"))))))))</f>
        <v>1</v>
      </c>
      <c r="K3" t="s">
        <v>87</v>
      </c>
      <c r="L3" s="10" t="str">
        <f t="shared" ref="L3:L34" si="2">IF(K3="Removal","5",IF(K3="Pruning: Deadwood 1","4",IF(K3="Pruning: Deadwood 2","3",IF(K3="Pruning: Routine","2",IF(K3="Pruning: Training","1",IF(K3="Plant","0",IF(K3="Other - see notes","0",)))))))</f>
        <v>1</v>
      </c>
      <c r="M3" t="s">
        <v>37</v>
      </c>
      <c r="N3" s="3" t="str">
        <f t="shared" ref="N3:N34" si="3">IF(M3="no risk","0",IF(M3="None","0",IF(M3="Minimal Risk","1",IF(M3="Moderate Risk","2",IF(M3="High Risk","4",IF(M3="Severe Risk","5"))))))</f>
        <v>0</v>
      </c>
      <c r="O3" s="9">
        <f t="shared" ref="O3:O34" si="4">($G$2*H3)+($I$2*J3)+($K$2*L3)+($M$2*N3)</f>
        <v>11.3</v>
      </c>
      <c r="P3" t="s">
        <v>162</v>
      </c>
    </row>
    <row r="4" spans="1:16" x14ac:dyDescent="0.2">
      <c r="B4">
        <v>91</v>
      </c>
      <c r="C4" s="3" t="s">
        <v>160</v>
      </c>
      <c r="D4" s="3" t="s">
        <v>78</v>
      </c>
      <c r="E4">
        <v>10</v>
      </c>
      <c r="F4" t="s">
        <v>263</v>
      </c>
      <c r="G4">
        <v>1</v>
      </c>
      <c r="H4" s="9">
        <f t="shared" si="0"/>
        <v>0.1</v>
      </c>
      <c r="I4" t="s">
        <v>52</v>
      </c>
      <c r="J4" s="3" t="str">
        <f t="shared" si="1"/>
        <v>1</v>
      </c>
      <c r="K4" t="s">
        <v>87</v>
      </c>
      <c r="L4" s="10" t="str">
        <f t="shared" si="2"/>
        <v>1</v>
      </c>
      <c r="M4" t="s">
        <v>37</v>
      </c>
      <c r="N4" s="3" t="str">
        <f t="shared" si="3"/>
        <v>0</v>
      </c>
      <c r="O4" s="9">
        <f t="shared" si="4"/>
        <v>11.3</v>
      </c>
      <c r="P4" t="s">
        <v>162</v>
      </c>
    </row>
    <row r="5" spans="1:16" x14ac:dyDescent="0.2">
      <c r="B5">
        <v>241</v>
      </c>
      <c r="C5" s="3" t="s">
        <v>184</v>
      </c>
      <c r="D5" s="3" t="s">
        <v>78</v>
      </c>
      <c r="E5">
        <v>1</v>
      </c>
      <c r="F5" t="s">
        <v>289</v>
      </c>
      <c r="G5">
        <v>1</v>
      </c>
      <c r="H5" s="9">
        <f t="shared" si="0"/>
        <v>0.1</v>
      </c>
      <c r="I5" t="s">
        <v>52</v>
      </c>
      <c r="J5" s="3" t="str">
        <f t="shared" si="1"/>
        <v>1</v>
      </c>
      <c r="K5" t="s">
        <v>87</v>
      </c>
      <c r="L5" s="10" t="str">
        <f t="shared" si="2"/>
        <v>1</v>
      </c>
      <c r="M5" t="s">
        <v>37</v>
      </c>
      <c r="N5" s="3" t="str">
        <f t="shared" si="3"/>
        <v>0</v>
      </c>
      <c r="O5" s="9">
        <f t="shared" si="4"/>
        <v>11.3</v>
      </c>
    </row>
    <row r="6" spans="1:16" x14ac:dyDescent="0.2">
      <c r="B6">
        <v>242</v>
      </c>
      <c r="C6" s="3" t="s">
        <v>184</v>
      </c>
      <c r="D6" s="3" t="s">
        <v>78</v>
      </c>
      <c r="E6">
        <v>2</v>
      </c>
      <c r="F6" t="s">
        <v>289</v>
      </c>
      <c r="G6">
        <v>1</v>
      </c>
      <c r="H6" s="9">
        <f t="shared" si="0"/>
        <v>0.1</v>
      </c>
      <c r="I6" t="s">
        <v>52</v>
      </c>
      <c r="J6" s="3" t="str">
        <f t="shared" si="1"/>
        <v>1</v>
      </c>
      <c r="K6" t="s">
        <v>87</v>
      </c>
      <c r="L6" s="10" t="str">
        <f t="shared" si="2"/>
        <v>1</v>
      </c>
      <c r="M6" t="s">
        <v>37</v>
      </c>
      <c r="N6" s="3" t="str">
        <f t="shared" si="3"/>
        <v>0</v>
      </c>
      <c r="O6" s="9">
        <f t="shared" si="4"/>
        <v>11.3</v>
      </c>
    </row>
    <row r="7" spans="1:16" x14ac:dyDescent="0.2">
      <c r="B7">
        <v>243</v>
      </c>
      <c r="C7" s="3" t="s">
        <v>184</v>
      </c>
      <c r="D7" s="3" t="s">
        <v>78</v>
      </c>
      <c r="E7">
        <v>3</v>
      </c>
      <c r="F7" t="s">
        <v>289</v>
      </c>
      <c r="G7">
        <v>1</v>
      </c>
      <c r="H7" s="9">
        <f t="shared" si="0"/>
        <v>0.1</v>
      </c>
      <c r="I7" t="s">
        <v>52</v>
      </c>
      <c r="J7" s="3" t="str">
        <f t="shared" si="1"/>
        <v>1</v>
      </c>
      <c r="K7" t="s">
        <v>87</v>
      </c>
      <c r="L7" s="10" t="str">
        <f t="shared" si="2"/>
        <v>1</v>
      </c>
      <c r="M7" t="s">
        <v>37</v>
      </c>
      <c r="N7" s="3" t="str">
        <f t="shared" si="3"/>
        <v>0</v>
      </c>
      <c r="O7" s="9">
        <f t="shared" si="4"/>
        <v>11.3</v>
      </c>
    </row>
    <row r="8" spans="1:16" x14ac:dyDescent="0.2">
      <c r="B8">
        <v>244</v>
      </c>
      <c r="C8" s="3" t="s">
        <v>184</v>
      </c>
      <c r="D8" s="3" t="s">
        <v>78</v>
      </c>
      <c r="E8">
        <v>4</v>
      </c>
      <c r="F8" t="s">
        <v>289</v>
      </c>
      <c r="G8">
        <v>1</v>
      </c>
      <c r="H8" s="9">
        <f t="shared" si="0"/>
        <v>0.1</v>
      </c>
      <c r="I8" t="s">
        <v>52</v>
      </c>
      <c r="J8" s="3" t="str">
        <f t="shared" si="1"/>
        <v>1</v>
      </c>
      <c r="K8" t="s">
        <v>87</v>
      </c>
      <c r="L8" s="10" t="str">
        <f t="shared" si="2"/>
        <v>1</v>
      </c>
      <c r="M8" t="s">
        <v>37</v>
      </c>
      <c r="N8" s="3" t="str">
        <f t="shared" si="3"/>
        <v>0</v>
      </c>
      <c r="O8" s="9">
        <f t="shared" si="4"/>
        <v>11.3</v>
      </c>
    </row>
    <row r="9" spans="1:16" x14ac:dyDescent="0.2">
      <c r="B9">
        <v>245</v>
      </c>
      <c r="C9" s="3" t="s">
        <v>184</v>
      </c>
      <c r="D9" s="3" t="s">
        <v>78</v>
      </c>
      <c r="E9">
        <v>5</v>
      </c>
      <c r="F9" t="s">
        <v>289</v>
      </c>
      <c r="G9">
        <v>1</v>
      </c>
      <c r="H9" s="9">
        <f t="shared" si="0"/>
        <v>0.1</v>
      </c>
      <c r="I9" t="s">
        <v>52</v>
      </c>
      <c r="J9" s="3" t="str">
        <f t="shared" si="1"/>
        <v>1</v>
      </c>
      <c r="K9" t="s">
        <v>87</v>
      </c>
      <c r="L9" s="10" t="str">
        <f t="shared" si="2"/>
        <v>1</v>
      </c>
      <c r="M9" t="s">
        <v>37</v>
      </c>
      <c r="N9" s="3" t="str">
        <f t="shared" si="3"/>
        <v>0</v>
      </c>
      <c r="O9" s="9">
        <f t="shared" si="4"/>
        <v>11.3</v>
      </c>
    </row>
    <row r="10" spans="1:16" x14ac:dyDescent="0.2">
      <c r="B10">
        <v>237</v>
      </c>
      <c r="C10" s="3" t="s">
        <v>199</v>
      </c>
      <c r="D10" s="3" t="s">
        <v>78</v>
      </c>
      <c r="E10">
        <v>3</v>
      </c>
      <c r="F10" t="s">
        <v>289</v>
      </c>
      <c r="G10">
        <v>1</v>
      </c>
      <c r="H10" s="9">
        <f t="shared" si="0"/>
        <v>0.1</v>
      </c>
      <c r="I10" t="s">
        <v>52</v>
      </c>
      <c r="J10" s="3" t="str">
        <f t="shared" si="1"/>
        <v>1</v>
      </c>
      <c r="K10" t="s">
        <v>87</v>
      </c>
      <c r="L10" s="10" t="str">
        <f t="shared" si="2"/>
        <v>1</v>
      </c>
      <c r="M10" t="s">
        <v>37</v>
      </c>
      <c r="N10" s="3" t="str">
        <f t="shared" si="3"/>
        <v>0</v>
      </c>
      <c r="O10" s="9">
        <f t="shared" si="4"/>
        <v>11.3</v>
      </c>
    </row>
    <row r="11" spans="1:16" x14ac:dyDescent="0.2">
      <c r="B11">
        <v>238</v>
      </c>
      <c r="C11" s="3" t="s">
        <v>199</v>
      </c>
      <c r="D11" s="3" t="s">
        <v>78</v>
      </c>
      <c r="E11">
        <v>4</v>
      </c>
      <c r="F11" t="s">
        <v>289</v>
      </c>
      <c r="G11">
        <v>1</v>
      </c>
      <c r="H11" s="9">
        <f t="shared" si="0"/>
        <v>0.1</v>
      </c>
      <c r="I11" t="s">
        <v>52</v>
      </c>
      <c r="J11" s="3" t="str">
        <f t="shared" si="1"/>
        <v>1</v>
      </c>
      <c r="K11" t="s">
        <v>87</v>
      </c>
      <c r="L11" s="10" t="str">
        <f t="shared" si="2"/>
        <v>1</v>
      </c>
      <c r="M11" t="s">
        <v>37</v>
      </c>
      <c r="N11" s="3" t="str">
        <f t="shared" si="3"/>
        <v>0</v>
      </c>
      <c r="O11" s="9">
        <f t="shared" si="4"/>
        <v>11.3</v>
      </c>
    </row>
    <row r="12" spans="1:16" x14ac:dyDescent="0.2">
      <c r="B12">
        <v>239</v>
      </c>
      <c r="C12" s="3" t="s">
        <v>199</v>
      </c>
      <c r="D12" s="3" t="s">
        <v>78</v>
      </c>
      <c r="E12">
        <v>5</v>
      </c>
      <c r="F12" t="s">
        <v>263</v>
      </c>
      <c r="G12">
        <v>1</v>
      </c>
      <c r="H12" s="9">
        <f t="shared" si="0"/>
        <v>0.1</v>
      </c>
      <c r="I12" t="s">
        <v>52</v>
      </c>
      <c r="J12" s="3" t="str">
        <f t="shared" si="1"/>
        <v>1</v>
      </c>
      <c r="K12" t="s">
        <v>87</v>
      </c>
      <c r="L12" s="10" t="str">
        <f t="shared" si="2"/>
        <v>1</v>
      </c>
      <c r="M12" t="s">
        <v>37</v>
      </c>
      <c r="N12" s="3" t="str">
        <f t="shared" si="3"/>
        <v>0</v>
      </c>
      <c r="O12" s="9">
        <f t="shared" si="4"/>
        <v>11.3</v>
      </c>
    </row>
    <row r="13" spans="1:16" x14ac:dyDescent="0.2">
      <c r="B13">
        <v>217</v>
      </c>
      <c r="C13" s="3" t="s">
        <v>300</v>
      </c>
      <c r="D13" s="3" t="s">
        <v>78</v>
      </c>
      <c r="E13">
        <v>7</v>
      </c>
      <c r="F13" t="s">
        <v>289</v>
      </c>
      <c r="G13">
        <v>1</v>
      </c>
      <c r="H13" s="9">
        <f t="shared" si="0"/>
        <v>0.1</v>
      </c>
      <c r="I13" t="s">
        <v>52</v>
      </c>
      <c r="J13" s="3" t="str">
        <f t="shared" si="1"/>
        <v>1</v>
      </c>
      <c r="K13" t="s">
        <v>87</v>
      </c>
      <c r="L13" s="10" t="str">
        <f t="shared" si="2"/>
        <v>1</v>
      </c>
      <c r="M13" t="s">
        <v>37</v>
      </c>
      <c r="N13" s="3" t="str">
        <f t="shared" si="3"/>
        <v>0</v>
      </c>
      <c r="O13" s="9">
        <f t="shared" si="4"/>
        <v>11.3</v>
      </c>
    </row>
    <row r="14" spans="1:16" x14ac:dyDescent="0.2">
      <c r="B14">
        <v>218</v>
      </c>
      <c r="C14" s="3" t="s">
        <v>300</v>
      </c>
      <c r="D14" s="3" t="s">
        <v>78</v>
      </c>
      <c r="E14">
        <v>8</v>
      </c>
      <c r="F14" t="s">
        <v>289</v>
      </c>
      <c r="G14">
        <v>1</v>
      </c>
      <c r="H14" s="9">
        <f t="shared" si="0"/>
        <v>0.1</v>
      </c>
      <c r="I14" t="s">
        <v>52</v>
      </c>
      <c r="J14" s="3" t="str">
        <f t="shared" si="1"/>
        <v>1</v>
      </c>
      <c r="K14" t="s">
        <v>87</v>
      </c>
      <c r="L14" s="10" t="str">
        <f t="shared" si="2"/>
        <v>1</v>
      </c>
      <c r="M14" t="s">
        <v>37</v>
      </c>
      <c r="N14" s="3" t="str">
        <f t="shared" si="3"/>
        <v>0</v>
      </c>
      <c r="O14" s="9">
        <f t="shared" si="4"/>
        <v>11.3</v>
      </c>
    </row>
    <row r="15" spans="1:16" x14ac:dyDescent="0.2">
      <c r="B15">
        <v>219</v>
      </c>
      <c r="C15" s="3" t="s">
        <v>300</v>
      </c>
      <c r="D15" s="3" t="s">
        <v>78</v>
      </c>
      <c r="E15">
        <v>9</v>
      </c>
      <c r="F15" t="s">
        <v>289</v>
      </c>
      <c r="G15">
        <v>1</v>
      </c>
      <c r="H15" s="9">
        <f t="shared" si="0"/>
        <v>0.1</v>
      </c>
      <c r="I15" t="s">
        <v>52</v>
      </c>
      <c r="J15" s="3" t="str">
        <f t="shared" si="1"/>
        <v>1</v>
      </c>
      <c r="K15" t="s">
        <v>87</v>
      </c>
      <c r="L15" s="10" t="str">
        <f t="shared" si="2"/>
        <v>1</v>
      </c>
      <c r="M15" t="s">
        <v>37</v>
      </c>
      <c r="N15" s="3" t="str">
        <f t="shared" si="3"/>
        <v>0</v>
      </c>
      <c r="O15" s="9">
        <f t="shared" si="4"/>
        <v>11.3</v>
      </c>
    </row>
    <row r="16" spans="1:16" x14ac:dyDescent="0.2">
      <c r="B16">
        <v>220</v>
      </c>
      <c r="C16" s="3" t="s">
        <v>300</v>
      </c>
      <c r="D16" s="3" t="s">
        <v>78</v>
      </c>
      <c r="E16">
        <v>10</v>
      </c>
      <c r="F16" t="s">
        <v>289</v>
      </c>
      <c r="G16">
        <v>1</v>
      </c>
      <c r="H16" s="9">
        <f t="shared" si="0"/>
        <v>0.1</v>
      </c>
      <c r="I16" t="s">
        <v>52</v>
      </c>
      <c r="J16" s="3" t="str">
        <f t="shared" si="1"/>
        <v>1</v>
      </c>
      <c r="K16" t="s">
        <v>87</v>
      </c>
      <c r="L16" s="10" t="str">
        <f t="shared" si="2"/>
        <v>1</v>
      </c>
      <c r="M16" t="s">
        <v>37</v>
      </c>
      <c r="N16" s="3" t="str">
        <f t="shared" si="3"/>
        <v>0</v>
      </c>
      <c r="O16" s="9">
        <f t="shared" si="4"/>
        <v>11.3</v>
      </c>
    </row>
    <row r="17" spans="2:16" x14ac:dyDescent="0.2">
      <c r="B17">
        <v>221</v>
      </c>
      <c r="C17" s="3" t="s">
        <v>300</v>
      </c>
      <c r="D17" s="3" t="s">
        <v>78</v>
      </c>
      <c r="E17">
        <v>11</v>
      </c>
      <c r="F17" t="s">
        <v>289</v>
      </c>
      <c r="G17">
        <v>1</v>
      </c>
      <c r="H17" s="9">
        <f t="shared" si="0"/>
        <v>0.1</v>
      </c>
      <c r="I17" t="s">
        <v>52</v>
      </c>
      <c r="J17" s="3" t="str">
        <f t="shared" si="1"/>
        <v>1</v>
      </c>
      <c r="K17" t="s">
        <v>87</v>
      </c>
      <c r="L17" s="10" t="str">
        <f t="shared" si="2"/>
        <v>1</v>
      </c>
      <c r="M17" t="s">
        <v>37</v>
      </c>
      <c r="N17" s="3" t="str">
        <f t="shared" si="3"/>
        <v>0</v>
      </c>
      <c r="O17" s="9">
        <f t="shared" si="4"/>
        <v>11.3</v>
      </c>
    </row>
    <row r="18" spans="2:16" x14ac:dyDescent="0.2">
      <c r="B18">
        <v>222</v>
      </c>
      <c r="C18" s="3" t="s">
        <v>300</v>
      </c>
      <c r="D18" s="3" t="s">
        <v>78</v>
      </c>
      <c r="E18">
        <v>12</v>
      </c>
      <c r="F18" t="s">
        <v>289</v>
      </c>
      <c r="G18">
        <v>1</v>
      </c>
      <c r="H18" s="9">
        <f t="shared" si="0"/>
        <v>0.1</v>
      </c>
      <c r="I18" t="s">
        <v>52</v>
      </c>
      <c r="J18" s="3" t="str">
        <f t="shared" si="1"/>
        <v>1</v>
      </c>
      <c r="K18" t="s">
        <v>87</v>
      </c>
      <c r="L18" s="10" t="str">
        <f t="shared" si="2"/>
        <v>1</v>
      </c>
      <c r="M18" t="s">
        <v>37</v>
      </c>
      <c r="N18" s="3" t="str">
        <f t="shared" si="3"/>
        <v>0</v>
      </c>
      <c r="O18" s="9">
        <f t="shared" si="4"/>
        <v>11.3</v>
      </c>
    </row>
    <row r="19" spans="2:16" x14ac:dyDescent="0.2">
      <c r="B19">
        <v>223</v>
      </c>
      <c r="C19" s="3" t="s">
        <v>300</v>
      </c>
      <c r="D19" s="3" t="s">
        <v>78</v>
      </c>
      <c r="E19">
        <v>13</v>
      </c>
      <c r="F19" t="s">
        <v>289</v>
      </c>
      <c r="G19">
        <v>1</v>
      </c>
      <c r="H19" s="9">
        <f t="shared" si="0"/>
        <v>0.1</v>
      </c>
      <c r="I19" t="s">
        <v>52</v>
      </c>
      <c r="J19" s="3" t="str">
        <f t="shared" si="1"/>
        <v>1</v>
      </c>
      <c r="K19" t="s">
        <v>87</v>
      </c>
      <c r="L19" s="10" t="str">
        <f t="shared" si="2"/>
        <v>1</v>
      </c>
      <c r="M19" t="s">
        <v>37</v>
      </c>
      <c r="N19" s="3" t="str">
        <f t="shared" si="3"/>
        <v>0</v>
      </c>
      <c r="O19" s="9">
        <f t="shared" si="4"/>
        <v>11.3</v>
      </c>
    </row>
    <row r="20" spans="2:16" x14ac:dyDescent="0.2">
      <c r="B20">
        <v>224</v>
      </c>
      <c r="C20" s="3" t="s">
        <v>300</v>
      </c>
      <c r="D20" s="3" t="s">
        <v>78</v>
      </c>
      <c r="E20">
        <v>14</v>
      </c>
      <c r="F20" t="s">
        <v>289</v>
      </c>
      <c r="G20">
        <v>1</v>
      </c>
      <c r="H20" s="9">
        <f t="shared" si="0"/>
        <v>0.1</v>
      </c>
      <c r="I20" t="s">
        <v>52</v>
      </c>
      <c r="J20" s="3" t="str">
        <f t="shared" si="1"/>
        <v>1</v>
      </c>
      <c r="K20" t="s">
        <v>87</v>
      </c>
      <c r="L20" s="10" t="str">
        <f t="shared" si="2"/>
        <v>1</v>
      </c>
      <c r="M20" t="s">
        <v>37</v>
      </c>
      <c r="N20" s="3" t="str">
        <f t="shared" si="3"/>
        <v>0</v>
      </c>
      <c r="O20" s="9">
        <f t="shared" si="4"/>
        <v>11.3</v>
      </c>
    </row>
    <row r="21" spans="2:16" x14ac:dyDescent="0.2">
      <c r="B21">
        <v>225</v>
      </c>
      <c r="C21" s="3" t="s">
        <v>300</v>
      </c>
      <c r="D21" s="3" t="s">
        <v>78</v>
      </c>
      <c r="E21">
        <v>15</v>
      </c>
      <c r="F21" t="s">
        <v>289</v>
      </c>
      <c r="G21">
        <v>1</v>
      </c>
      <c r="H21" s="9">
        <f t="shared" si="0"/>
        <v>0.1</v>
      </c>
      <c r="I21" t="s">
        <v>52</v>
      </c>
      <c r="J21" s="3" t="str">
        <f t="shared" si="1"/>
        <v>1</v>
      </c>
      <c r="K21" t="s">
        <v>87</v>
      </c>
      <c r="L21" s="10" t="str">
        <f t="shared" si="2"/>
        <v>1</v>
      </c>
      <c r="M21" t="s">
        <v>37</v>
      </c>
      <c r="N21" s="3" t="str">
        <f t="shared" si="3"/>
        <v>0</v>
      </c>
      <c r="O21" s="9">
        <f t="shared" si="4"/>
        <v>11.3</v>
      </c>
    </row>
    <row r="22" spans="2:16" x14ac:dyDescent="0.2">
      <c r="B22">
        <v>226</v>
      </c>
      <c r="C22" s="3" t="s">
        <v>300</v>
      </c>
      <c r="D22" s="3" t="s">
        <v>78</v>
      </c>
      <c r="E22">
        <v>16</v>
      </c>
      <c r="F22" t="s">
        <v>289</v>
      </c>
      <c r="G22">
        <v>1</v>
      </c>
      <c r="H22" s="9">
        <f t="shared" si="0"/>
        <v>0.1</v>
      </c>
      <c r="I22" t="s">
        <v>52</v>
      </c>
      <c r="J22" s="3" t="str">
        <f t="shared" si="1"/>
        <v>1</v>
      </c>
      <c r="K22" t="s">
        <v>87</v>
      </c>
      <c r="L22" s="10" t="str">
        <f t="shared" si="2"/>
        <v>1</v>
      </c>
      <c r="M22" t="s">
        <v>37</v>
      </c>
      <c r="N22" s="3" t="str">
        <f t="shared" si="3"/>
        <v>0</v>
      </c>
      <c r="O22" s="9">
        <f t="shared" si="4"/>
        <v>11.3</v>
      </c>
    </row>
    <row r="23" spans="2:16" x14ac:dyDescent="0.2">
      <c r="B23">
        <v>227</v>
      </c>
      <c r="C23" s="3" t="s">
        <v>300</v>
      </c>
      <c r="D23" s="3" t="s">
        <v>78</v>
      </c>
      <c r="E23">
        <v>17</v>
      </c>
      <c r="F23" t="s">
        <v>289</v>
      </c>
      <c r="G23">
        <v>1</v>
      </c>
      <c r="H23" s="9">
        <f t="shared" si="0"/>
        <v>0.1</v>
      </c>
      <c r="I23" t="s">
        <v>52</v>
      </c>
      <c r="J23" s="3" t="str">
        <f t="shared" si="1"/>
        <v>1</v>
      </c>
      <c r="K23" t="s">
        <v>87</v>
      </c>
      <c r="L23" s="10" t="str">
        <f t="shared" si="2"/>
        <v>1</v>
      </c>
      <c r="M23" t="s">
        <v>37</v>
      </c>
      <c r="N23" s="3" t="str">
        <f t="shared" si="3"/>
        <v>0</v>
      </c>
      <c r="O23" s="9">
        <f t="shared" si="4"/>
        <v>11.3</v>
      </c>
    </row>
    <row r="24" spans="2:16" x14ac:dyDescent="0.2">
      <c r="B24">
        <v>228</v>
      </c>
      <c r="C24" s="3" t="s">
        <v>300</v>
      </c>
      <c r="D24" s="3" t="s">
        <v>78</v>
      </c>
      <c r="E24">
        <v>18</v>
      </c>
      <c r="F24" t="s">
        <v>289</v>
      </c>
      <c r="G24">
        <v>1</v>
      </c>
      <c r="H24" s="9">
        <f t="shared" si="0"/>
        <v>0.1</v>
      </c>
      <c r="I24" t="s">
        <v>52</v>
      </c>
      <c r="J24" s="3" t="str">
        <f t="shared" si="1"/>
        <v>1</v>
      </c>
      <c r="K24" t="s">
        <v>87</v>
      </c>
      <c r="L24" s="10" t="str">
        <f t="shared" si="2"/>
        <v>1</v>
      </c>
      <c r="M24" t="s">
        <v>37</v>
      </c>
      <c r="N24" s="3" t="str">
        <f t="shared" si="3"/>
        <v>0</v>
      </c>
      <c r="O24" s="9">
        <f t="shared" si="4"/>
        <v>11.3</v>
      </c>
    </row>
    <row r="25" spans="2:16" x14ac:dyDescent="0.2">
      <c r="B25">
        <v>229</v>
      </c>
      <c r="C25" s="3" t="s">
        <v>300</v>
      </c>
      <c r="D25" s="3" t="s">
        <v>78</v>
      </c>
      <c r="E25">
        <v>19</v>
      </c>
      <c r="F25" t="s">
        <v>289</v>
      </c>
      <c r="G25">
        <v>1</v>
      </c>
      <c r="H25" s="9">
        <f t="shared" si="0"/>
        <v>0.1</v>
      </c>
      <c r="I25" t="s">
        <v>52</v>
      </c>
      <c r="J25" s="3" t="str">
        <f t="shared" si="1"/>
        <v>1</v>
      </c>
      <c r="K25" t="s">
        <v>87</v>
      </c>
      <c r="L25" s="10" t="str">
        <f t="shared" si="2"/>
        <v>1</v>
      </c>
      <c r="M25" t="s">
        <v>37</v>
      </c>
      <c r="N25" s="3" t="str">
        <f t="shared" si="3"/>
        <v>0</v>
      </c>
      <c r="O25" s="9">
        <f t="shared" si="4"/>
        <v>11.3</v>
      </c>
    </row>
    <row r="26" spans="2:16" x14ac:dyDescent="0.2">
      <c r="B26">
        <v>230</v>
      </c>
      <c r="C26" s="3" t="s">
        <v>300</v>
      </c>
      <c r="D26" s="3" t="s">
        <v>78</v>
      </c>
      <c r="E26">
        <v>20</v>
      </c>
      <c r="F26" t="s">
        <v>289</v>
      </c>
      <c r="G26">
        <v>1</v>
      </c>
      <c r="H26" s="9">
        <f t="shared" si="0"/>
        <v>0.1</v>
      </c>
      <c r="I26" t="s">
        <v>52</v>
      </c>
      <c r="J26" s="3" t="str">
        <f t="shared" si="1"/>
        <v>1</v>
      </c>
      <c r="K26" t="s">
        <v>87</v>
      </c>
      <c r="L26" s="10" t="str">
        <f t="shared" si="2"/>
        <v>1</v>
      </c>
      <c r="M26" t="s">
        <v>37</v>
      </c>
      <c r="N26" s="3" t="str">
        <f t="shared" si="3"/>
        <v>0</v>
      </c>
      <c r="O26" s="9">
        <f t="shared" si="4"/>
        <v>11.3</v>
      </c>
    </row>
    <row r="27" spans="2:16" x14ac:dyDescent="0.2">
      <c r="B27">
        <v>234</v>
      </c>
      <c r="C27" s="3" t="s">
        <v>300</v>
      </c>
      <c r="D27" s="3" t="s">
        <v>78</v>
      </c>
      <c r="E27">
        <v>24</v>
      </c>
      <c r="F27" t="s">
        <v>289</v>
      </c>
      <c r="G27">
        <v>1</v>
      </c>
      <c r="H27" s="9">
        <f t="shared" si="0"/>
        <v>0.1</v>
      </c>
      <c r="I27" t="s">
        <v>52</v>
      </c>
      <c r="J27" s="3" t="str">
        <f t="shared" si="1"/>
        <v>1</v>
      </c>
      <c r="K27" t="s">
        <v>87</v>
      </c>
      <c r="L27" s="10" t="str">
        <f t="shared" si="2"/>
        <v>1</v>
      </c>
      <c r="M27" t="s">
        <v>37</v>
      </c>
      <c r="N27" s="3" t="str">
        <f t="shared" si="3"/>
        <v>0</v>
      </c>
      <c r="O27" s="9">
        <f t="shared" si="4"/>
        <v>11.3</v>
      </c>
    </row>
    <row r="28" spans="2:16" x14ac:dyDescent="0.2">
      <c r="B28">
        <v>119</v>
      </c>
      <c r="C28" s="3" t="s">
        <v>164</v>
      </c>
      <c r="D28" s="3" t="s">
        <v>78</v>
      </c>
      <c r="E28">
        <v>38</v>
      </c>
      <c r="F28" t="s">
        <v>263</v>
      </c>
      <c r="G28">
        <v>1</v>
      </c>
      <c r="H28" s="9">
        <f t="shared" si="0"/>
        <v>0.1</v>
      </c>
      <c r="I28" t="s">
        <v>52</v>
      </c>
      <c r="J28" s="3" t="str">
        <f t="shared" si="1"/>
        <v>1</v>
      </c>
      <c r="K28" t="s">
        <v>87</v>
      </c>
      <c r="L28" s="10" t="str">
        <f t="shared" si="2"/>
        <v>1</v>
      </c>
      <c r="M28" t="s">
        <v>37</v>
      </c>
      <c r="N28" s="3" t="str">
        <f t="shared" si="3"/>
        <v>0</v>
      </c>
      <c r="O28" s="9">
        <f t="shared" si="4"/>
        <v>11.3</v>
      </c>
      <c r="P28" t="s">
        <v>162</v>
      </c>
    </row>
    <row r="29" spans="2:16" x14ac:dyDescent="0.2">
      <c r="B29">
        <v>120</v>
      </c>
      <c r="C29" s="3" t="s">
        <v>164</v>
      </c>
      <c r="D29" s="3" t="s">
        <v>78</v>
      </c>
      <c r="E29">
        <v>39</v>
      </c>
      <c r="F29" t="s">
        <v>263</v>
      </c>
      <c r="G29">
        <v>1</v>
      </c>
      <c r="H29" s="9">
        <f t="shared" si="0"/>
        <v>0.1</v>
      </c>
      <c r="I29" t="s">
        <v>52</v>
      </c>
      <c r="J29" s="3" t="str">
        <f t="shared" si="1"/>
        <v>1</v>
      </c>
      <c r="K29" t="s">
        <v>87</v>
      </c>
      <c r="L29" s="10" t="str">
        <f t="shared" si="2"/>
        <v>1</v>
      </c>
      <c r="M29" t="s">
        <v>37</v>
      </c>
      <c r="N29" s="3" t="str">
        <f t="shared" si="3"/>
        <v>0</v>
      </c>
      <c r="O29" s="9">
        <f t="shared" si="4"/>
        <v>11.3</v>
      </c>
      <c r="P29" t="s">
        <v>162</v>
      </c>
    </row>
    <row r="30" spans="2:16" x14ac:dyDescent="0.2">
      <c r="B30">
        <v>121</v>
      </c>
      <c r="C30" s="3" t="s">
        <v>164</v>
      </c>
      <c r="D30" s="3" t="s">
        <v>78</v>
      </c>
      <c r="E30">
        <v>40</v>
      </c>
      <c r="F30" t="s">
        <v>263</v>
      </c>
      <c r="G30">
        <v>1</v>
      </c>
      <c r="H30" s="9">
        <f t="shared" si="0"/>
        <v>0.1</v>
      </c>
      <c r="I30" t="s">
        <v>52</v>
      </c>
      <c r="J30" s="3" t="str">
        <f t="shared" si="1"/>
        <v>1</v>
      </c>
      <c r="K30" t="s">
        <v>87</v>
      </c>
      <c r="L30" s="10" t="str">
        <f t="shared" si="2"/>
        <v>1</v>
      </c>
      <c r="M30" t="s">
        <v>37</v>
      </c>
      <c r="N30" s="3" t="str">
        <f t="shared" si="3"/>
        <v>0</v>
      </c>
      <c r="O30" s="9">
        <f t="shared" si="4"/>
        <v>11.3</v>
      </c>
      <c r="P30" t="s">
        <v>162</v>
      </c>
    </row>
    <row r="31" spans="2:16" x14ac:dyDescent="0.2">
      <c r="B31">
        <v>122</v>
      </c>
      <c r="C31" s="3" t="s">
        <v>164</v>
      </c>
      <c r="D31" s="3" t="s">
        <v>78</v>
      </c>
      <c r="E31">
        <v>41</v>
      </c>
      <c r="F31" t="s">
        <v>263</v>
      </c>
      <c r="G31">
        <v>1</v>
      </c>
      <c r="H31" s="9">
        <f t="shared" si="0"/>
        <v>0.1</v>
      </c>
      <c r="I31" t="s">
        <v>52</v>
      </c>
      <c r="J31" s="3" t="str">
        <f t="shared" si="1"/>
        <v>1</v>
      </c>
      <c r="K31" t="s">
        <v>87</v>
      </c>
      <c r="L31" s="10" t="str">
        <f t="shared" si="2"/>
        <v>1</v>
      </c>
      <c r="M31" t="s">
        <v>37</v>
      </c>
      <c r="N31" s="3" t="str">
        <f t="shared" si="3"/>
        <v>0</v>
      </c>
      <c r="O31" s="9">
        <f t="shared" si="4"/>
        <v>11.3</v>
      </c>
      <c r="P31" t="s">
        <v>162</v>
      </c>
    </row>
    <row r="32" spans="2:16" x14ac:dyDescent="0.2">
      <c r="B32">
        <v>123</v>
      </c>
      <c r="C32" s="3" t="s">
        <v>164</v>
      </c>
      <c r="D32" s="3" t="s">
        <v>78</v>
      </c>
      <c r="E32">
        <v>42</v>
      </c>
      <c r="F32" t="s">
        <v>263</v>
      </c>
      <c r="G32">
        <v>1</v>
      </c>
      <c r="H32" s="9">
        <f t="shared" si="0"/>
        <v>0.1</v>
      </c>
      <c r="I32" t="s">
        <v>52</v>
      </c>
      <c r="J32" s="3" t="str">
        <f t="shared" si="1"/>
        <v>1</v>
      </c>
      <c r="K32" t="s">
        <v>87</v>
      </c>
      <c r="L32" s="10" t="str">
        <f t="shared" si="2"/>
        <v>1</v>
      </c>
      <c r="M32" t="s">
        <v>37</v>
      </c>
      <c r="N32" s="3" t="str">
        <f t="shared" si="3"/>
        <v>0</v>
      </c>
      <c r="O32" s="9">
        <f t="shared" si="4"/>
        <v>11.3</v>
      </c>
      <c r="P32" t="s">
        <v>162</v>
      </c>
    </row>
    <row r="33" spans="2:16" x14ac:dyDescent="0.2">
      <c r="B33">
        <v>124</v>
      </c>
      <c r="C33" s="3" t="s">
        <v>164</v>
      </c>
      <c r="D33" s="3" t="s">
        <v>78</v>
      </c>
      <c r="E33">
        <v>43</v>
      </c>
      <c r="F33" t="s">
        <v>263</v>
      </c>
      <c r="G33">
        <v>1</v>
      </c>
      <c r="H33" s="9">
        <f t="shared" si="0"/>
        <v>0.1</v>
      </c>
      <c r="I33" t="s">
        <v>52</v>
      </c>
      <c r="J33" s="3" t="str">
        <f t="shared" si="1"/>
        <v>1</v>
      </c>
      <c r="K33" t="s">
        <v>87</v>
      </c>
      <c r="L33" s="10" t="str">
        <f t="shared" si="2"/>
        <v>1</v>
      </c>
      <c r="M33" t="s">
        <v>37</v>
      </c>
      <c r="N33" s="3" t="str">
        <f t="shared" si="3"/>
        <v>0</v>
      </c>
      <c r="O33" s="9">
        <f t="shared" si="4"/>
        <v>11.3</v>
      </c>
      <c r="P33" t="s">
        <v>162</v>
      </c>
    </row>
    <row r="34" spans="2:16" x14ac:dyDescent="0.2">
      <c r="B34">
        <v>125</v>
      </c>
      <c r="C34" s="3" t="s">
        <v>164</v>
      </c>
      <c r="D34" s="3" t="s">
        <v>78</v>
      </c>
      <c r="E34">
        <v>44</v>
      </c>
      <c r="F34" t="s">
        <v>263</v>
      </c>
      <c r="G34">
        <v>1</v>
      </c>
      <c r="H34" s="9">
        <f t="shared" si="0"/>
        <v>0.1</v>
      </c>
      <c r="I34" t="s">
        <v>52</v>
      </c>
      <c r="J34" s="3" t="str">
        <f t="shared" si="1"/>
        <v>1</v>
      </c>
      <c r="K34" t="s">
        <v>87</v>
      </c>
      <c r="L34" s="10" t="str">
        <f t="shared" si="2"/>
        <v>1</v>
      </c>
      <c r="M34" t="s">
        <v>37</v>
      </c>
      <c r="N34" s="3" t="str">
        <f t="shared" si="3"/>
        <v>0</v>
      </c>
      <c r="O34" s="9">
        <f t="shared" si="4"/>
        <v>11.3</v>
      </c>
      <c r="P34" t="s">
        <v>162</v>
      </c>
    </row>
    <row r="35" spans="2:16" x14ac:dyDescent="0.2">
      <c r="B35">
        <v>126</v>
      </c>
      <c r="C35" s="3" t="s">
        <v>164</v>
      </c>
      <c r="D35" s="3" t="s">
        <v>78</v>
      </c>
      <c r="E35">
        <v>45</v>
      </c>
      <c r="F35" t="s">
        <v>263</v>
      </c>
      <c r="G35">
        <v>1</v>
      </c>
      <c r="H35" s="9">
        <f t="shared" ref="H35:H66" si="5">G35/10</f>
        <v>0.1</v>
      </c>
      <c r="I35" t="s">
        <v>52</v>
      </c>
      <c r="J35" s="3" t="str">
        <f t="shared" ref="J35:J66" si="6">IF(I35="N/A","0",IF(I35="Excellent","1",IF(I35="Very Good","1",IF(I35="Good","2",IF(I35="Fair","3",IF(I35="Poor","4",IF(I35="Critical","5",IF(I35="Dead","5"))))))))</f>
        <v>1</v>
      </c>
      <c r="K35" t="s">
        <v>87</v>
      </c>
      <c r="L35" s="10" t="str">
        <f t="shared" ref="L35:L66" si="7">IF(K35="Removal","5",IF(K35="Pruning: Deadwood 1","4",IF(K35="Pruning: Deadwood 2","3",IF(K35="Pruning: Routine","2",IF(K35="Pruning: Training","1",IF(K35="Plant","0",IF(K35="Other - see notes","0",)))))))</f>
        <v>1</v>
      </c>
      <c r="M35" t="s">
        <v>37</v>
      </c>
      <c r="N35" s="3" t="str">
        <f t="shared" ref="N35:N66" si="8">IF(M35="no risk","0",IF(M35="None","0",IF(M35="Minimal Risk","1",IF(M35="Moderate Risk","2",IF(M35="High Risk","4",IF(M35="Severe Risk","5"))))))</f>
        <v>0</v>
      </c>
      <c r="O35" s="9">
        <f t="shared" ref="O35:O66" si="9">($G$2*H35)+($I$2*J35)+($K$2*L35)+($M$2*N35)</f>
        <v>11.3</v>
      </c>
      <c r="P35" t="s">
        <v>162</v>
      </c>
    </row>
    <row r="36" spans="2:16" x14ac:dyDescent="0.2">
      <c r="B36">
        <v>127</v>
      </c>
      <c r="C36" s="3" t="s">
        <v>164</v>
      </c>
      <c r="D36" s="3" t="s">
        <v>78</v>
      </c>
      <c r="E36">
        <v>46</v>
      </c>
      <c r="F36" t="s">
        <v>263</v>
      </c>
      <c r="G36">
        <v>1</v>
      </c>
      <c r="H36" s="9">
        <f t="shared" si="5"/>
        <v>0.1</v>
      </c>
      <c r="I36" t="s">
        <v>52</v>
      </c>
      <c r="J36" s="3" t="str">
        <f t="shared" si="6"/>
        <v>1</v>
      </c>
      <c r="K36" t="s">
        <v>87</v>
      </c>
      <c r="L36" s="10" t="str">
        <f t="shared" si="7"/>
        <v>1</v>
      </c>
      <c r="M36" t="s">
        <v>37</v>
      </c>
      <c r="N36" s="3" t="str">
        <f t="shared" si="8"/>
        <v>0</v>
      </c>
      <c r="O36" s="9">
        <f t="shared" si="9"/>
        <v>11.3</v>
      </c>
      <c r="P36" t="s">
        <v>162</v>
      </c>
    </row>
    <row r="37" spans="2:16" x14ac:dyDescent="0.2">
      <c r="B37">
        <v>128</v>
      </c>
      <c r="C37" s="3" t="s">
        <v>164</v>
      </c>
      <c r="D37" s="3" t="s">
        <v>78</v>
      </c>
      <c r="E37">
        <v>47</v>
      </c>
      <c r="F37" t="s">
        <v>263</v>
      </c>
      <c r="G37">
        <v>1</v>
      </c>
      <c r="H37" s="9">
        <f t="shared" si="5"/>
        <v>0.1</v>
      </c>
      <c r="I37" t="s">
        <v>52</v>
      </c>
      <c r="J37" s="3" t="str">
        <f t="shared" si="6"/>
        <v>1</v>
      </c>
      <c r="K37" t="s">
        <v>87</v>
      </c>
      <c r="L37" s="10" t="str">
        <f t="shared" si="7"/>
        <v>1</v>
      </c>
      <c r="M37" t="s">
        <v>37</v>
      </c>
      <c r="N37" s="3" t="str">
        <f t="shared" si="8"/>
        <v>0</v>
      </c>
      <c r="O37" s="9">
        <f t="shared" si="9"/>
        <v>11.3</v>
      </c>
      <c r="P37" t="s">
        <v>162</v>
      </c>
    </row>
    <row r="38" spans="2:16" x14ac:dyDescent="0.2">
      <c r="B38">
        <v>129</v>
      </c>
      <c r="C38" s="3" t="s">
        <v>164</v>
      </c>
      <c r="D38" s="3" t="s">
        <v>78</v>
      </c>
      <c r="E38">
        <v>48</v>
      </c>
      <c r="F38" t="s">
        <v>263</v>
      </c>
      <c r="G38">
        <v>1</v>
      </c>
      <c r="H38" s="9">
        <f t="shared" si="5"/>
        <v>0.1</v>
      </c>
      <c r="I38" t="s">
        <v>52</v>
      </c>
      <c r="J38" s="3" t="str">
        <f t="shared" si="6"/>
        <v>1</v>
      </c>
      <c r="K38" t="s">
        <v>87</v>
      </c>
      <c r="L38" s="10" t="str">
        <f t="shared" si="7"/>
        <v>1</v>
      </c>
      <c r="M38" t="s">
        <v>37</v>
      </c>
      <c r="N38" s="3" t="str">
        <f t="shared" si="8"/>
        <v>0</v>
      </c>
      <c r="O38" s="9">
        <f t="shared" si="9"/>
        <v>11.3</v>
      </c>
      <c r="P38" t="s">
        <v>162</v>
      </c>
    </row>
    <row r="39" spans="2:16" x14ac:dyDescent="0.2">
      <c r="B39">
        <v>130</v>
      </c>
      <c r="C39" s="3" t="s">
        <v>164</v>
      </c>
      <c r="D39" s="3" t="s">
        <v>78</v>
      </c>
      <c r="E39">
        <v>49</v>
      </c>
      <c r="F39" t="s">
        <v>263</v>
      </c>
      <c r="G39">
        <v>1</v>
      </c>
      <c r="H39" s="9">
        <f t="shared" si="5"/>
        <v>0.1</v>
      </c>
      <c r="I39" t="s">
        <v>52</v>
      </c>
      <c r="J39" s="3" t="str">
        <f t="shared" si="6"/>
        <v>1</v>
      </c>
      <c r="K39" t="s">
        <v>87</v>
      </c>
      <c r="L39" s="10" t="str">
        <f t="shared" si="7"/>
        <v>1</v>
      </c>
      <c r="M39" t="s">
        <v>37</v>
      </c>
      <c r="N39" s="3" t="str">
        <f t="shared" si="8"/>
        <v>0</v>
      </c>
      <c r="O39" s="9">
        <f t="shared" si="9"/>
        <v>11.3</v>
      </c>
      <c r="P39" t="s">
        <v>162</v>
      </c>
    </row>
    <row r="40" spans="2:16" x14ac:dyDescent="0.2">
      <c r="B40">
        <v>92</v>
      </c>
      <c r="C40" s="3" t="s">
        <v>163</v>
      </c>
      <c r="D40" s="3" t="s">
        <v>78</v>
      </c>
      <c r="E40">
        <v>11</v>
      </c>
      <c r="F40" t="s">
        <v>263</v>
      </c>
      <c r="G40">
        <v>1</v>
      </c>
      <c r="H40" s="9">
        <f t="shared" si="5"/>
        <v>0.1</v>
      </c>
      <c r="I40" t="s">
        <v>52</v>
      </c>
      <c r="J40" s="3" t="str">
        <f t="shared" si="6"/>
        <v>1</v>
      </c>
      <c r="K40" t="s">
        <v>87</v>
      </c>
      <c r="L40" s="10" t="str">
        <f t="shared" si="7"/>
        <v>1</v>
      </c>
      <c r="M40" t="s">
        <v>37</v>
      </c>
      <c r="N40" s="3" t="str">
        <f t="shared" si="8"/>
        <v>0</v>
      </c>
      <c r="O40" s="9">
        <f t="shared" si="9"/>
        <v>11.3</v>
      </c>
      <c r="P40" t="s">
        <v>162</v>
      </c>
    </row>
    <row r="41" spans="2:16" x14ac:dyDescent="0.2">
      <c r="B41">
        <v>93</v>
      </c>
      <c r="C41" s="3" t="s">
        <v>163</v>
      </c>
      <c r="D41" s="3" t="s">
        <v>78</v>
      </c>
      <c r="E41">
        <v>12</v>
      </c>
      <c r="F41" t="s">
        <v>263</v>
      </c>
      <c r="G41">
        <v>1</v>
      </c>
      <c r="H41" s="9">
        <f t="shared" si="5"/>
        <v>0.1</v>
      </c>
      <c r="I41" t="s">
        <v>52</v>
      </c>
      <c r="J41" s="3" t="str">
        <f t="shared" si="6"/>
        <v>1</v>
      </c>
      <c r="K41" t="s">
        <v>87</v>
      </c>
      <c r="L41" s="10" t="str">
        <f t="shared" si="7"/>
        <v>1</v>
      </c>
      <c r="M41" t="s">
        <v>37</v>
      </c>
      <c r="N41" s="3" t="str">
        <f t="shared" si="8"/>
        <v>0</v>
      </c>
      <c r="O41" s="9">
        <f t="shared" si="9"/>
        <v>11.3</v>
      </c>
      <c r="P41" t="s">
        <v>162</v>
      </c>
    </row>
    <row r="42" spans="2:16" x14ac:dyDescent="0.2">
      <c r="B42">
        <v>94</v>
      </c>
      <c r="C42" s="3" t="s">
        <v>163</v>
      </c>
      <c r="D42" s="3" t="s">
        <v>78</v>
      </c>
      <c r="E42">
        <v>13</v>
      </c>
      <c r="F42" t="s">
        <v>263</v>
      </c>
      <c r="G42">
        <v>1</v>
      </c>
      <c r="H42" s="9">
        <f t="shared" si="5"/>
        <v>0.1</v>
      </c>
      <c r="I42" t="s">
        <v>52</v>
      </c>
      <c r="J42" s="3" t="str">
        <f t="shared" si="6"/>
        <v>1</v>
      </c>
      <c r="K42" t="s">
        <v>87</v>
      </c>
      <c r="L42" s="10" t="str">
        <f t="shared" si="7"/>
        <v>1</v>
      </c>
      <c r="M42" t="s">
        <v>37</v>
      </c>
      <c r="N42" s="3" t="str">
        <f t="shared" si="8"/>
        <v>0</v>
      </c>
      <c r="O42" s="9">
        <f t="shared" si="9"/>
        <v>11.3</v>
      </c>
      <c r="P42" t="s">
        <v>162</v>
      </c>
    </row>
    <row r="43" spans="2:16" x14ac:dyDescent="0.2">
      <c r="B43">
        <v>95</v>
      </c>
      <c r="C43" s="3" t="s">
        <v>163</v>
      </c>
      <c r="D43" s="3" t="s">
        <v>78</v>
      </c>
      <c r="E43">
        <v>14</v>
      </c>
      <c r="F43" t="s">
        <v>263</v>
      </c>
      <c r="G43">
        <v>1</v>
      </c>
      <c r="H43" s="9">
        <f t="shared" si="5"/>
        <v>0.1</v>
      </c>
      <c r="I43" t="s">
        <v>52</v>
      </c>
      <c r="J43" s="3" t="str">
        <f t="shared" si="6"/>
        <v>1</v>
      </c>
      <c r="K43" t="s">
        <v>87</v>
      </c>
      <c r="L43" s="10" t="str">
        <f t="shared" si="7"/>
        <v>1</v>
      </c>
      <c r="M43" t="s">
        <v>37</v>
      </c>
      <c r="N43" s="3" t="str">
        <f t="shared" si="8"/>
        <v>0</v>
      </c>
      <c r="O43" s="9">
        <f t="shared" si="9"/>
        <v>11.3</v>
      </c>
      <c r="P43" t="s">
        <v>162</v>
      </c>
    </row>
    <row r="44" spans="2:16" x14ac:dyDescent="0.2">
      <c r="B44">
        <v>96</v>
      </c>
      <c r="C44" s="3" t="s">
        <v>163</v>
      </c>
      <c r="D44" s="3" t="s">
        <v>78</v>
      </c>
      <c r="E44">
        <v>15</v>
      </c>
      <c r="F44" t="s">
        <v>263</v>
      </c>
      <c r="G44">
        <v>1</v>
      </c>
      <c r="H44" s="9">
        <f t="shared" si="5"/>
        <v>0.1</v>
      </c>
      <c r="I44" t="s">
        <v>52</v>
      </c>
      <c r="J44" s="3" t="str">
        <f t="shared" si="6"/>
        <v>1</v>
      </c>
      <c r="K44" t="s">
        <v>87</v>
      </c>
      <c r="L44" s="10" t="str">
        <f t="shared" si="7"/>
        <v>1</v>
      </c>
      <c r="M44" t="s">
        <v>37</v>
      </c>
      <c r="N44" s="3" t="str">
        <f t="shared" si="8"/>
        <v>0</v>
      </c>
      <c r="O44" s="9">
        <f t="shared" si="9"/>
        <v>11.3</v>
      </c>
      <c r="P44" t="s">
        <v>162</v>
      </c>
    </row>
    <row r="45" spans="2:16" x14ac:dyDescent="0.2">
      <c r="B45">
        <v>97</v>
      </c>
      <c r="C45" s="3" t="s">
        <v>163</v>
      </c>
      <c r="D45" s="3" t="s">
        <v>78</v>
      </c>
      <c r="E45">
        <v>16</v>
      </c>
      <c r="F45" t="s">
        <v>263</v>
      </c>
      <c r="G45">
        <v>1</v>
      </c>
      <c r="H45" s="9">
        <f t="shared" si="5"/>
        <v>0.1</v>
      </c>
      <c r="I45" t="s">
        <v>52</v>
      </c>
      <c r="J45" s="3" t="str">
        <f t="shared" si="6"/>
        <v>1</v>
      </c>
      <c r="K45" t="s">
        <v>87</v>
      </c>
      <c r="L45" s="10" t="str">
        <f t="shared" si="7"/>
        <v>1</v>
      </c>
      <c r="M45" t="s">
        <v>37</v>
      </c>
      <c r="N45" s="3" t="str">
        <f t="shared" si="8"/>
        <v>0</v>
      </c>
      <c r="O45" s="9">
        <f t="shared" si="9"/>
        <v>11.3</v>
      </c>
      <c r="P45" t="s">
        <v>162</v>
      </c>
    </row>
    <row r="46" spans="2:16" x14ac:dyDescent="0.2">
      <c r="B46">
        <v>98</v>
      </c>
      <c r="C46" s="3" t="s">
        <v>163</v>
      </c>
      <c r="D46" s="3" t="s">
        <v>78</v>
      </c>
      <c r="E46">
        <v>17</v>
      </c>
      <c r="F46" t="s">
        <v>263</v>
      </c>
      <c r="G46">
        <v>1</v>
      </c>
      <c r="H46" s="9">
        <f t="shared" si="5"/>
        <v>0.1</v>
      </c>
      <c r="I46" t="s">
        <v>52</v>
      </c>
      <c r="J46" s="3" t="str">
        <f t="shared" si="6"/>
        <v>1</v>
      </c>
      <c r="K46" t="s">
        <v>87</v>
      </c>
      <c r="L46" s="10" t="str">
        <f t="shared" si="7"/>
        <v>1</v>
      </c>
      <c r="M46" t="s">
        <v>37</v>
      </c>
      <c r="N46" s="3" t="str">
        <f t="shared" si="8"/>
        <v>0</v>
      </c>
      <c r="O46" s="9">
        <f t="shared" si="9"/>
        <v>11.3</v>
      </c>
      <c r="P46" t="s">
        <v>162</v>
      </c>
    </row>
    <row r="47" spans="2:16" x14ac:dyDescent="0.2">
      <c r="B47">
        <v>99</v>
      </c>
      <c r="C47" s="3" t="s">
        <v>163</v>
      </c>
      <c r="D47" s="3" t="s">
        <v>78</v>
      </c>
      <c r="E47">
        <v>18</v>
      </c>
      <c r="F47" t="s">
        <v>263</v>
      </c>
      <c r="G47">
        <v>1</v>
      </c>
      <c r="H47" s="9">
        <f t="shared" si="5"/>
        <v>0.1</v>
      </c>
      <c r="I47" t="s">
        <v>52</v>
      </c>
      <c r="J47" s="3" t="str">
        <f t="shared" si="6"/>
        <v>1</v>
      </c>
      <c r="K47" t="s">
        <v>87</v>
      </c>
      <c r="L47" s="10" t="str">
        <f t="shared" si="7"/>
        <v>1</v>
      </c>
      <c r="M47" t="s">
        <v>37</v>
      </c>
      <c r="N47" s="3" t="str">
        <f t="shared" si="8"/>
        <v>0</v>
      </c>
      <c r="O47" s="9">
        <f t="shared" si="9"/>
        <v>11.3</v>
      </c>
      <c r="P47" t="s">
        <v>162</v>
      </c>
    </row>
    <row r="48" spans="2:16" x14ac:dyDescent="0.2">
      <c r="B48">
        <v>100</v>
      </c>
      <c r="C48" s="3" t="s">
        <v>163</v>
      </c>
      <c r="D48" s="3" t="s">
        <v>78</v>
      </c>
      <c r="E48">
        <v>19</v>
      </c>
      <c r="F48" t="s">
        <v>263</v>
      </c>
      <c r="G48">
        <v>1</v>
      </c>
      <c r="H48" s="9">
        <f t="shared" si="5"/>
        <v>0.1</v>
      </c>
      <c r="I48" t="s">
        <v>52</v>
      </c>
      <c r="J48" s="3" t="str">
        <f t="shared" si="6"/>
        <v>1</v>
      </c>
      <c r="K48" t="s">
        <v>87</v>
      </c>
      <c r="L48" s="10" t="str">
        <f t="shared" si="7"/>
        <v>1</v>
      </c>
      <c r="M48" t="s">
        <v>37</v>
      </c>
      <c r="N48" s="3" t="str">
        <f t="shared" si="8"/>
        <v>0</v>
      </c>
      <c r="O48" s="9">
        <f t="shared" si="9"/>
        <v>11.3</v>
      </c>
      <c r="P48" t="s">
        <v>162</v>
      </c>
    </row>
    <row r="49" spans="2:16" x14ac:dyDescent="0.2">
      <c r="B49">
        <v>101</v>
      </c>
      <c r="C49" s="3" t="s">
        <v>163</v>
      </c>
      <c r="D49" s="3" t="s">
        <v>78</v>
      </c>
      <c r="E49">
        <v>20</v>
      </c>
      <c r="F49" t="s">
        <v>263</v>
      </c>
      <c r="G49">
        <v>1</v>
      </c>
      <c r="H49" s="9">
        <f t="shared" si="5"/>
        <v>0.1</v>
      </c>
      <c r="I49" t="s">
        <v>52</v>
      </c>
      <c r="J49" s="3" t="str">
        <f t="shared" si="6"/>
        <v>1</v>
      </c>
      <c r="K49" t="s">
        <v>87</v>
      </c>
      <c r="L49" s="10" t="str">
        <f t="shared" si="7"/>
        <v>1</v>
      </c>
      <c r="M49" t="s">
        <v>37</v>
      </c>
      <c r="N49" s="3" t="str">
        <f t="shared" si="8"/>
        <v>0</v>
      </c>
      <c r="O49" s="9">
        <f t="shared" si="9"/>
        <v>11.3</v>
      </c>
      <c r="P49" t="s">
        <v>162</v>
      </c>
    </row>
    <row r="50" spans="2:16" x14ac:dyDescent="0.2">
      <c r="B50">
        <v>102</v>
      </c>
      <c r="C50" s="3" t="s">
        <v>163</v>
      </c>
      <c r="D50" s="3" t="s">
        <v>78</v>
      </c>
      <c r="E50">
        <v>21</v>
      </c>
      <c r="F50" t="s">
        <v>263</v>
      </c>
      <c r="G50">
        <v>1</v>
      </c>
      <c r="H50" s="9">
        <f t="shared" si="5"/>
        <v>0.1</v>
      </c>
      <c r="I50" t="s">
        <v>52</v>
      </c>
      <c r="J50" s="3" t="str">
        <f t="shared" si="6"/>
        <v>1</v>
      </c>
      <c r="K50" t="s">
        <v>87</v>
      </c>
      <c r="L50" s="10" t="str">
        <f t="shared" si="7"/>
        <v>1</v>
      </c>
      <c r="M50" t="s">
        <v>37</v>
      </c>
      <c r="N50" s="3" t="str">
        <f t="shared" si="8"/>
        <v>0</v>
      </c>
      <c r="O50" s="9">
        <f t="shared" si="9"/>
        <v>11.3</v>
      </c>
      <c r="P50" t="s">
        <v>162</v>
      </c>
    </row>
    <row r="51" spans="2:16" x14ac:dyDescent="0.2">
      <c r="B51">
        <v>103</v>
      </c>
      <c r="C51" s="3" t="s">
        <v>163</v>
      </c>
      <c r="D51" s="3" t="s">
        <v>78</v>
      </c>
      <c r="E51">
        <v>22</v>
      </c>
      <c r="F51" t="s">
        <v>263</v>
      </c>
      <c r="G51">
        <v>1</v>
      </c>
      <c r="H51" s="9">
        <f t="shared" si="5"/>
        <v>0.1</v>
      </c>
      <c r="I51" t="s">
        <v>52</v>
      </c>
      <c r="J51" s="3" t="str">
        <f t="shared" si="6"/>
        <v>1</v>
      </c>
      <c r="K51" t="s">
        <v>87</v>
      </c>
      <c r="L51" s="10" t="str">
        <f t="shared" si="7"/>
        <v>1</v>
      </c>
      <c r="M51" t="s">
        <v>37</v>
      </c>
      <c r="N51" s="3" t="str">
        <f t="shared" si="8"/>
        <v>0</v>
      </c>
      <c r="O51" s="9">
        <f t="shared" si="9"/>
        <v>11.3</v>
      </c>
      <c r="P51" t="s">
        <v>162</v>
      </c>
    </row>
    <row r="52" spans="2:16" x14ac:dyDescent="0.2">
      <c r="B52">
        <v>104</v>
      </c>
      <c r="C52" s="3" t="s">
        <v>163</v>
      </c>
      <c r="D52" s="3" t="s">
        <v>78</v>
      </c>
      <c r="E52">
        <v>23</v>
      </c>
      <c r="F52" t="s">
        <v>263</v>
      </c>
      <c r="G52">
        <v>1</v>
      </c>
      <c r="H52" s="9">
        <f t="shared" si="5"/>
        <v>0.1</v>
      </c>
      <c r="I52" t="s">
        <v>52</v>
      </c>
      <c r="J52" s="3" t="str">
        <f t="shared" si="6"/>
        <v>1</v>
      </c>
      <c r="K52" t="s">
        <v>87</v>
      </c>
      <c r="L52" s="10" t="str">
        <f t="shared" si="7"/>
        <v>1</v>
      </c>
      <c r="M52" t="s">
        <v>37</v>
      </c>
      <c r="N52" s="3" t="str">
        <f t="shared" si="8"/>
        <v>0</v>
      </c>
      <c r="O52" s="9">
        <f t="shared" si="9"/>
        <v>11.3</v>
      </c>
      <c r="P52" t="s">
        <v>162</v>
      </c>
    </row>
    <row r="53" spans="2:16" x14ac:dyDescent="0.2">
      <c r="B53">
        <v>105</v>
      </c>
      <c r="C53" s="3" t="s">
        <v>163</v>
      </c>
      <c r="D53" s="3" t="s">
        <v>78</v>
      </c>
      <c r="E53">
        <v>24</v>
      </c>
      <c r="F53" t="s">
        <v>263</v>
      </c>
      <c r="G53">
        <v>1</v>
      </c>
      <c r="H53" s="9">
        <f t="shared" si="5"/>
        <v>0.1</v>
      </c>
      <c r="I53" t="s">
        <v>52</v>
      </c>
      <c r="J53" s="3" t="str">
        <f t="shared" si="6"/>
        <v>1</v>
      </c>
      <c r="K53" t="s">
        <v>87</v>
      </c>
      <c r="L53" s="10" t="str">
        <f t="shared" si="7"/>
        <v>1</v>
      </c>
      <c r="M53" t="s">
        <v>37</v>
      </c>
      <c r="N53" s="3" t="str">
        <f t="shared" si="8"/>
        <v>0</v>
      </c>
      <c r="O53" s="9">
        <f t="shared" si="9"/>
        <v>11.3</v>
      </c>
      <c r="P53" t="s">
        <v>162</v>
      </c>
    </row>
    <row r="54" spans="2:16" x14ac:dyDescent="0.2">
      <c r="B54">
        <v>106</v>
      </c>
      <c r="C54" s="3" t="s">
        <v>163</v>
      </c>
      <c r="D54" s="3" t="s">
        <v>78</v>
      </c>
      <c r="E54">
        <v>25</v>
      </c>
      <c r="F54" t="s">
        <v>263</v>
      </c>
      <c r="G54">
        <v>1</v>
      </c>
      <c r="H54" s="9">
        <f t="shared" si="5"/>
        <v>0.1</v>
      </c>
      <c r="I54" t="s">
        <v>52</v>
      </c>
      <c r="J54" s="3" t="str">
        <f t="shared" si="6"/>
        <v>1</v>
      </c>
      <c r="K54" t="s">
        <v>87</v>
      </c>
      <c r="L54" s="10" t="str">
        <f t="shared" si="7"/>
        <v>1</v>
      </c>
      <c r="M54" t="s">
        <v>37</v>
      </c>
      <c r="N54" s="3" t="str">
        <f t="shared" si="8"/>
        <v>0</v>
      </c>
      <c r="O54" s="9">
        <f t="shared" si="9"/>
        <v>11.3</v>
      </c>
      <c r="P54" t="s">
        <v>162</v>
      </c>
    </row>
    <row r="55" spans="2:16" x14ac:dyDescent="0.2">
      <c r="B55">
        <v>107</v>
      </c>
      <c r="C55" s="3" t="s">
        <v>163</v>
      </c>
      <c r="D55" s="3" t="s">
        <v>78</v>
      </c>
      <c r="E55">
        <v>26</v>
      </c>
      <c r="F55" t="s">
        <v>263</v>
      </c>
      <c r="G55">
        <v>1</v>
      </c>
      <c r="H55" s="9">
        <f t="shared" si="5"/>
        <v>0.1</v>
      </c>
      <c r="I55" t="s">
        <v>52</v>
      </c>
      <c r="J55" s="3" t="str">
        <f t="shared" si="6"/>
        <v>1</v>
      </c>
      <c r="K55" t="s">
        <v>87</v>
      </c>
      <c r="L55" s="10" t="str">
        <f t="shared" si="7"/>
        <v>1</v>
      </c>
      <c r="M55" t="s">
        <v>37</v>
      </c>
      <c r="N55" s="3" t="str">
        <f t="shared" si="8"/>
        <v>0</v>
      </c>
      <c r="O55" s="9">
        <f t="shared" si="9"/>
        <v>11.3</v>
      </c>
      <c r="P55" t="s">
        <v>162</v>
      </c>
    </row>
    <row r="56" spans="2:16" x14ac:dyDescent="0.2">
      <c r="B56">
        <v>108</v>
      </c>
      <c r="C56" s="3" t="s">
        <v>163</v>
      </c>
      <c r="D56" s="3" t="s">
        <v>78</v>
      </c>
      <c r="E56">
        <v>27</v>
      </c>
      <c r="F56" t="s">
        <v>263</v>
      </c>
      <c r="G56">
        <v>1</v>
      </c>
      <c r="H56" s="9">
        <f t="shared" si="5"/>
        <v>0.1</v>
      </c>
      <c r="I56" t="s">
        <v>52</v>
      </c>
      <c r="J56" s="3" t="str">
        <f t="shared" si="6"/>
        <v>1</v>
      </c>
      <c r="K56" t="s">
        <v>87</v>
      </c>
      <c r="L56" s="10" t="str">
        <f t="shared" si="7"/>
        <v>1</v>
      </c>
      <c r="M56" t="s">
        <v>37</v>
      </c>
      <c r="N56" s="3" t="str">
        <f t="shared" si="8"/>
        <v>0</v>
      </c>
      <c r="O56" s="9">
        <f t="shared" si="9"/>
        <v>11.3</v>
      </c>
      <c r="P56" t="s">
        <v>162</v>
      </c>
    </row>
    <row r="57" spans="2:16" x14ac:dyDescent="0.2">
      <c r="B57">
        <v>109</v>
      </c>
      <c r="C57" s="3" t="s">
        <v>163</v>
      </c>
      <c r="D57" s="3" t="s">
        <v>78</v>
      </c>
      <c r="E57">
        <v>28</v>
      </c>
      <c r="F57" t="s">
        <v>263</v>
      </c>
      <c r="G57">
        <v>1</v>
      </c>
      <c r="H57" s="9">
        <f t="shared" si="5"/>
        <v>0.1</v>
      </c>
      <c r="I57" t="s">
        <v>52</v>
      </c>
      <c r="J57" s="3" t="str">
        <f t="shared" si="6"/>
        <v>1</v>
      </c>
      <c r="K57" t="s">
        <v>87</v>
      </c>
      <c r="L57" s="10" t="str">
        <f t="shared" si="7"/>
        <v>1</v>
      </c>
      <c r="M57" t="s">
        <v>37</v>
      </c>
      <c r="N57" s="3" t="str">
        <f t="shared" si="8"/>
        <v>0</v>
      </c>
      <c r="O57" s="9">
        <f t="shared" si="9"/>
        <v>11.3</v>
      </c>
      <c r="P57" t="s">
        <v>162</v>
      </c>
    </row>
    <row r="58" spans="2:16" x14ac:dyDescent="0.2">
      <c r="B58">
        <v>110</v>
      </c>
      <c r="C58" s="3" t="s">
        <v>163</v>
      </c>
      <c r="D58" s="3" t="s">
        <v>78</v>
      </c>
      <c r="E58">
        <v>29</v>
      </c>
      <c r="F58" t="s">
        <v>263</v>
      </c>
      <c r="G58">
        <v>1</v>
      </c>
      <c r="H58" s="9">
        <f t="shared" si="5"/>
        <v>0.1</v>
      </c>
      <c r="I58" t="s">
        <v>52</v>
      </c>
      <c r="J58" s="3" t="str">
        <f t="shared" si="6"/>
        <v>1</v>
      </c>
      <c r="K58" t="s">
        <v>87</v>
      </c>
      <c r="L58" s="10" t="str">
        <f t="shared" si="7"/>
        <v>1</v>
      </c>
      <c r="M58" t="s">
        <v>37</v>
      </c>
      <c r="N58" s="3" t="str">
        <f t="shared" si="8"/>
        <v>0</v>
      </c>
      <c r="O58" s="9">
        <f t="shared" si="9"/>
        <v>11.3</v>
      </c>
      <c r="P58" t="s">
        <v>162</v>
      </c>
    </row>
    <row r="59" spans="2:16" x14ac:dyDescent="0.2">
      <c r="B59">
        <v>111</v>
      </c>
      <c r="C59" s="3" t="s">
        <v>163</v>
      </c>
      <c r="D59" s="3" t="s">
        <v>78</v>
      </c>
      <c r="E59">
        <v>30</v>
      </c>
      <c r="F59" t="s">
        <v>263</v>
      </c>
      <c r="G59">
        <v>1</v>
      </c>
      <c r="H59" s="9">
        <f t="shared" si="5"/>
        <v>0.1</v>
      </c>
      <c r="I59" t="s">
        <v>52</v>
      </c>
      <c r="J59" s="3" t="str">
        <f t="shared" si="6"/>
        <v>1</v>
      </c>
      <c r="K59" t="s">
        <v>87</v>
      </c>
      <c r="L59" s="10" t="str">
        <f t="shared" si="7"/>
        <v>1</v>
      </c>
      <c r="M59" t="s">
        <v>37</v>
      </c>
      <c r="N59" s="3" t="str">
        <f t="shared" si="8"/>
        <v>0</v>
      </c>
      <c r="O59" s="9">
        <f t="shared" si="9"/>
        <v>11.3</v>
      </c>
      <c r="P59" t="s">
        <v>162</v>
      </c>
    </row>
    <row r="60" spans="2:16" x14ac:dyDescent="0.2">
      <c r="B60">
        <v>112</v>
      </c>
      <c r="C60" s="3" t="s">
        <v>163</v>
      </c>
      <c r="D60" s="3" t="s">
        <v>78</v>
      </c>
      <c r="E60">
        <v>31</v>
      </c>
      <c r="F60" t="s">
        <v>263</v>
      </c>
      <c r="G60">
        <v>1</v>
      </c>
      <c r="H60" s="9">
        <f t="shared" si="5"/>
        <v>0.1</v>
      </c>
      <c r="I60" t="s">
        <v>52</v>
      </c>
      <c r="J60" s="3" t="str">
        <f t="shared" si="6"/>
        <v>1</v>
      </c>
      <c r="K60" t="s">
        <v>87</v>
      </c>
      <c r="L60" s="10" t="str">
        <f t="shared" si="7"/>
        <v>1</v>
      </c>
      <c r="M60" t="s">
        <v>37</v>
      </c>
      <c r="N60" s="3" t="str">
        <f t="shared" si="8"/>
        <v>0</v>
      </c>
      <c r="O60" s="9">
        <f t="shared" si="9"/>
        <v>11.3</v>
      </c>
      <c r="P60" t="s">
        <v>162</v>
      </c>
    </row>
    <row r="61" spans="2:16" x14ac:dyDescent="0.2">
      <c r="B61">
        <v>113</v>
      </c>
      <c r="C61" s="3" t="s">
        <v>163</v>
      </c>
      <c r="D61" s="3" t="s">
        <v>78</v>
      </c>
      <c r="E61">
        <v>32</v>
      </c>
      <c r="F61" t="s">
        <v>263</v>
      </c>
      <c r="G61">
        <v>1</v>
      </c>
      <c r="H61" s="9">
        <f t="shared" si="5"/>
        <v>0.1</v>
      </c>
      <c r="I61" t="s">
        <v>52</v>
      </c>
      <c r="J61" s="3" t="str">
        <f t="shared" si="6"/>
        <v>1</v>
      </c>
      <c r="K61" t="s">
        <v>87</v>
      </c>
      <c r="L61" s="10" t="str">
        <f t="shared" si="7"/>
        <v>1</v>
      </c>
      <c r="M61" t="s">
        <v>37</v>
      </c>
      <c r="N61" s="3" t="str">
        <f t="shared" si="8"/>
        <v>0</v>
      </c>
      <c r="O61" s="9">
        <f t="shared" si="9"/>
        <v>11.3</v>
      </c>
      <c r="P61" t="s">
        <v>162</v>
      </c>
    </row>
    <row r="62" spans="2:16" x14ac:dyDescent="0.2">
      <c r="B62">
        <v>114</v>
      </c>
      <c r="C62" s="3" t="s">
        <v>163</v>
      </c>
      <c r="D62" s="3" t="s">
        <v>78</v>
      </c>
      <c r="E62">
        <v>33</v>
      </c>
      <c r="F62" t="s">
        <v>263</v>
      </c>
      <c r="G62">
        <v>1</v>
      </c>
      <c r="H62" s="9">
        <f t="shared" si="5"/>
        <v>0.1</v>
      </c>
      <c r="I62" t="s">
        <v>52</v>
      </c>
      <c r="J62" s="3" t="str">
        <f t="shared" si="6"/>
        <v>1</v>
      </c>
      <c r="K62" t="s">
        <v>87</v>
      </c>
      <c r="L62" s="10" t="str">
        <f t="shared" si="7"/>
        <v>1</v>
      </c>
      <c r="M62" t="s">
        <v>37</v>
      </c>
      <c r="N62" s="3" t="str">
        <f t="shared" si="8"/>
        <v>0</v>
      </c>
      <c r="O62" s="9">
        <f t="shared" si="9"/>
        <v>11.3</v>
      </c>
      <c r="P62" t="s">
        <v>162</v>
      </c>
    </row>
    <row r="63" spans="2:16" x14ac:dyDescent="0.2">
      <c r="B63">
        <v>115</v>
      </c>
      <c r="C63" s="3" t="s">
        <v>163</v>
      </c>
      <c r="D63" s="3" t="s">
        <v>78</v>
      </c>
      <c r="E63">
        <v>34</v>
      </c>
      <c r="F63" t="s">
        <v>263</v>
      </c>
      <c r="G63">
        <v>1</v>
      </c>
      <c r="H63" s="9">
        <f t="shared" si="5"/>
        <v>0.1</v>
      </c>
      <c r="I63" t="s">
        <v>52</v>
      </c>
      <c r="J63" s="3" t="str">
        <f t="shared" si="6"/>
        <v>1</v>
      </c>
      <c r="K63" t="s">
        <v>87</v>
      </c>
      <c r="L63" s="10" t="str">
        <f t="shared" si="7"/>
        <v>1</v>
      </c>
      <c r="M63" t="s">
        <v>37</v>
      </c>
      <c r="N63" s="3" t="str">
        <f t="shared" si="8"/>
        <v>0</v>
      </c>
      <c r="O63" s="9">
        <f t="shared" si="9"/>
        <v>11.3</v>
      </c>
      <c r="P63" t="s">
        <v>162</v>
      </c>
    </row>
    <row r="64" spans="2:16" x14ac:dyDescent="0.2">
      <c r="B64">
        <v>116</v>
      </c>
      <c r="C64" s="3" t="s">
        <v>163</v>
      </c>
      <c r="D64" s="3" t="s">
        <v>78</v>
      </c>
      <c r="E64">
        <v>35</v>
      </c>
      <c r="F64" t="s">
        <v>263</v>
      </c>
      <c r="G64">
        <v>1</v>
      </c>
      <c r="H64" s="9">
        <f t="shared" si="5"/>
        <v>0.1</v>
      </c>
      <c r="I64" t="s">
        <v>52</v>
      </c>
      <c r="J64" s="3" t="str">
        <f t="shared" si="6"/>
        <v>1</v>
      </c>
      <c r="K64" t="s">
        <v>87</v>
      </c>
      <c r="L64" s="10" t="str">
        <f t="shared" si="7"/>
        <v>1</v>
      </c>
      <c r="M64" t="s">
        <v>37</v>
      </c>
      <c r="N64" s="3" t="str">
        <f t="shared" si="8"/>
        <v>0</v>
      </c>
      <c r="O64" s="9">
        <f t="shared" si="9"/>
        <v>11.3</v>
      </c>
      <c r="P64" t="s">
        <v>162</v>
      </c>
    </row>
    <row r="65" spans="2:16" x14ac:dyDescent="0.2">
      <c r="B65">
        <v>117</v>
      </c>
      <c r="C65" s="3" t="s">
        <v>163</v>
      </c>
      <c r="D65" s="3" t="s">
        <v>78</v>
      </c>
      <c r="E65">
        <v>36</v>
      </c>
      <c r="F65" t="s">
        <v>263</v>
      </c>
      <c r="G65">
        <v>1</v>
      </c>
      <c r="H65" s="9">
        <f t="shared" si="5"/>
        <v>0.1</v>
      </c>
      <c r="I65" t="s">
        <v>52</v>
      </c>
      <c r="J65" s="3" t="str">
        <f t="shared" si="6"/>
        <v>1</v>
      </c>
      <c r="K65" t="s">
        <v>87</v>
      </c>
      <c r="L65" s="10" t="str">
        <f t="shared" si="7"/>
        <v>1</v>
      </c>
      <c r="M65" t="s">
        <v>37</v>
      </c>
      <c r="N65" s="3" t="str">
        <f t="shared" si="8"/>
        <v>0</v>
      </c>
      <c r="O65" s="9">
        <f t="shared" si="9"/>
        <v>11.3</v>
      </c>
      <c r="P65" t="s">
        <v>162</v>
      </c>
    </row>
    <row r="66" spans="2:16" x14ac:dyDescent="0.2">
      <c r="B66">
        <v>118</v>
      </c>
      <c r="C66" s="3" t="s">
        <v>163</v>
      </c>
      <c r="D66" s="3" t="s">
        <v>78</v>
      </c>
      <c r="E66">
        <v>37</v>
      </c>
      <c r="F66" t="s">
        <v>263</v>
      </c>
      <c r="G66">
        <v>1</v>
      </c>
      <c r="H66" s="9">
        <f t="shared" si="5"/>
        <v>0.1</v>
      </c>
      <c r="I66" t="s">
        <v>52</v>
      </c>
      <c r="J66" s="3" t="str">
        <f t="shared" si="6"/>
        <v>1</v>
      </c>
      <c r="K66" t="s">
        <v>87</v>
      </c>
      <c r="L66" s="10" t="str">
        <f t="shared" si="7"/>
        <v>1</v>
      </c>
      <c r="M66" t="s">
        <v>37</v>
      </c>
      <c r="N66" s="3" t="str">
        <f t="shared" si="8"/>
        <v>0</v>
      </c>
      <c r="O66" s="9">
        <f t="shared" si="9"/>
        <v>11.3</v>
      </c>
      <c r="P66" t="s">
        <v>162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7"/>
  <sheetViews>
    <sheetView topLeftCell="D1" workbookViewId="0">
      <selection activeCell="G3" sqref="G3"/>
    </sheetView>
  </sheetViews>
  <sheetFormatPr defaultRowHeight="12.75" x14ac:dyDescent="0.2"/>
  <cols>
    <col min="1" max="1" width="20.7109375" bestFit="1" customWidth="1"/>
    <col min="2" max="2" width="5" bestFit="1" customWidth="1"/>
    <col min="3" max="3" width="9.7109375" bestFit="1" customWidth="1"/>
    <col min="4" max="4" width="13.42578125" bestFit="1" customWidth="1"/>
    <col min="5" max="5" width="5.7109375" bestFit="1" customWidth="1"/>
    <col min="6" max="6" width="24.28515625" bestFit="1" customWidth="1"/>
    <col min="7" max="7" width="5.42578125" bestFit="1" customWidth="1"/>
    <col min="8" max="8" width="9.5703125" bestFit="1" customWidth="1"/>
    <col min="9" max="9" width="6.85546875" bestFit="1" customWidth="1"/>
    <col min="10" max="10" width="11" bestFit="1" customWidth="1"/>
    <col min="11" max="11" width="18.85546875" bestFit="1" customWidth="1"/>
    <col min="12" max="12" width="11.7109375" bestFit="1" customWidth="1"/>
    <col min="13" max="13" width="13.140625" bestFit="1" customWidth="1"/>
    <col min="14" max="14" width="10" bestFit="1" customWidth="1"/>
    <col min="15" max="15" width="14.28515625" bestFit="1" customWidth="1"/>
    <col min="16" max="16" width="12.7109375" bestFit="1" customWidth="1"/>
  </cols>
  <sheetData>
    <row r="1" spans="1:16" s="4" customFormat="1" x14ac:dyDescent="0.2">
      <c r="B1" s="4" t="s">
        <v>3</v>
      </c>
      <c r="C1" s="5" t="s">
        <v>57</v>
      </c>
      <c r="D1" s="5" t="s">
        <v>58</v>
      </c>
      <c r="E1" s="5" t="s">
        <v>59</v>
      </c>
      <c r="F1" s="6" t="s">
        <v>64</v>
      </c>
      <c r="G1" s="4" t="s">
        <v>8</v>
      </c>
      <c r="H1" s="7" t="s">
        <v>65</v>
      </c>
      <c r="I1" s="4" t="s">
        <v>9</v>
      </c>
      <c r="J1" s="5" t="s">
        <v>66</v>
      </c>
      <c r="K1" s="4" t="s">
        <v>67</v>
      </c>
      <c r="L1" s="4" t="s">
        <v>68</v>
      </c>
      <c r="M1" s="4" t="s">
        <v>13</v>
      </c>
      <c r="N1" s="5" t="s">
        <v>69</v>
      </c>
      <c r="O1" s="5" t="s">
        <v>70</v>
      </c>
      <c r="P1" s="4" t="s">
        <v>2</v>
      </c>
    </row>
    <row r="2" spans="1:16" s="4" customFormat="1" x14ac:dyDescent="0.2">
      <c r="A2" s="4" t="s">
        <v>71</v>
      </c>
      <c r="B2" s="8"/>
      <c r="C2" s="7"/>
      <c r="D2" s="7"/>
      <c r="E2" s="7"/>
      <c r="F2" s="8"/>
      <c r="G2" s="8">
        <v>3</v>
      </c>
      <c r="H2" s="7"/>
      <c r="I2" s="8">
        <v>5</v>
      </c>
      <c r="J2" s="7"/>
      <c r="K2" s="8">
        <v>6</v>
      </c>
      <c r="L2" s="8"/>
      <c r="M2" s="8">
        <v>10</v>
      </c>
      <c r="N2" s="7"/>
      <c r="O2" s="7"/>
      <c r="P2" s="8"/>
    </row>
    <row r="3" spans="1:16" x14ac:dyDescent="0.2">
      <c r="B3">
        <v>333</v>
      </c>
      <c r="C3" s="3" t="s">
        <v>238</v>
      </c>
      <c r="D3" s="3" t="s">
        <v>78</v>
      </c>
      <c r="E3">
        <v>27</v>
      </c>
      <c r="F3" t="s">
        <v>288</v>
      </c>
      <c r="G3">
        <v>6</v>
      </c>
      <c r="H3" s="9">
        <f t="shared" ref="H3:H34" si="0">G3/10</f>
        <v>0.6</v>
      </c>
      <c r="I3" t="s">
        <v>52</v>
      </c>
      <c r="J3" s="3" t="str">
        <f t="shared" ref="J3:J34" si="1">IF(I3="N/A","0",IF(I3="Excellent","1",IF(I3="Very Good","1",IF(I3="Good","2",IF(I3="Fair","3",IF(I3="Poor","4",IF(I3="Critical","5",IF(I3="Dead","5"))))))))</f>
        <v>1</v>
      </c>
      <c r="K3" t="s">
        <v>26</v>
      </c>
      <c r="L3" s="10" t="str">
        <f t="shared" ref="L3:L34" si="2">IF(K3="Removal","5",IF(K3="Pruning: Deadwood 1","4",IF(K3="Pruning: Deadwood 2","3",IF(K3="Pruning: Routine","2",IF(K3="Pruning: Training","1",IF(K3="Plant","0",IF(K3="Other - see notes","0",)))))))</f>
        <v>2</v>
      </c>
      <c r="M3" t="s">
        <v>37</v>
      </c>
      <c r="N3" s="3" t="str">
        <f t="shared" ref="N3:N34" si="3">IF(M3="no risk","0",IF(M3="None","0",IF(M3="Minimal Risk","1",IF(M3="Moderate Risk","2",IF(M3="High Risk","4",IF(M3="Severe Risk","5"))))))</f>
        <v>0</v>
      </c>
      <c r="O3" s="9">
        <f t="shared" ref="O3:O34" si="4">($G$2*H3)+($I$2*J3)+($K$2*L3)+($M$2*N3)</f>
        <v>18.8</v>
      </c>
    </row>
    <row r="4" spans="1:16" x14ac:dyDescent="0.2">
      <c r="B4">
        <v>334</v>
      </c>
      <c r="C4" s="3" t="s">
        <v>238</v>
      </c>
      <c r="D4" s="3" t="s">
        <v>78</v>
      </c>
      <c r="E4">
        <v>28</v>
      </c>
      <c r="F4" t="s">
        <v>288</v>
      </c>
      <c r="G4">
        <v>6</v>
      </c>
      <c r="H4" s="9">
        <f t="shared" si="0"/>
        <v>0.6</v>
      </c>
      <c r="I4" t="s">
        <v>52</v>
      </c>
      <c r="J4" s="3" t="str">
        <f t="shared" si="1"/>
        <v>1</v>
      </c>
      <c r="K4" t="s">
        <v>26</v>
      </c>
      <c r="L4" s="10" t="str">
        <f t="shared" si="2"/>
        <v>2</v>
      </c>
      <c r="M4" t="s">
        <v>37</v>
      </c>
      <c r="N4" s="3" t="str">
        <f t="shared" si="3"/>
        <v>0</v>
      </c>
      <c r="O4" s="9">
        <f t="shared" si="4"/>
        <v>18.8</v>
      </c>
    </row>
    <row r="5" spans="1:16" x14ac:dyDescent="0.2">
      <c r="B5">
        <v>335</v>
      </c>
      <c r="C5" s="3" t="s">
        <v>238</v>
      </c>
      <c r="D5" s="3" t="s">
        <v>78</v>
      </c>
      <c r="E5">
        <v>29</v>
      </c>
      <c r="F5" t="s">
        <v>288</v>
      </c>
      <c r="G5">
        <v>6</v>
      </c>
      <c r="H5" s="9">
        <f t="shared" si="0"/>
        <v>0.6</v>
      </c>
      <c r="I5" t="s">
        <v>52</v>
      </c>
      <c r="J5" s="3" t="str">
        <f t="shared" si="1"/>
        <v>1</v>
      </c>
      <c r="K5" t="s">
        <v>26</v>
      </c>
      <c r="L5" s="10" t="str">
        <f t="shared" si="2"/>
        <v>2</v>
      </c>
      <c r="M5" t="s">
        <v>37</v>
      </c>
      <c r="N5" s="3" t="str">
        <f t="shared" si="3"/>
        <v>0</v>
      </c>
      <c r="O5" s="9">
        <f t="shared" si="4"/>
        <v>18.8</v>
      </c>
    </row>
    <row r="6" spans="1:16" x14ac:dyDescent="0.2">
      <c r="B6">
        <v>336</v>
      </c>
      <c r="C6" s="3" t="s">
        <v>238</v>
      </c>
      <c r="D6" s="3" t="s">
        <v>78</v>
      </c>
      <c r="E6">
        <v>30</v>
      </c>
      <c r="F6" t="s">
        <v>288</v>
      </c>
      <c r="G6">
        <v>6</v>
      </c>
      <c r="H6" s="9">
        <f t="shared" si="0"/>
        <v>0.6</v>
      </c>
      <c r="I6" t="s">
        <v>52</v>
      </c>
      <c r="J6" s="3" t="str">
        <f t="shared" si="1"/>
        <v>1</v>
      </c>
      <c r="K6" t="s">
        <v>26</v>
      </c>
      <c r="L6" s="10" t="str">
        <f t="shared" si="2"/>
        <v>2</v>
      </c>
      <c r="M6" t="s">
        <v>37</v>
      </c>
      <c r="N6" s="3" t="str">
        <f t="shared" si="3"/>
        <v>0</v>
      </c>
      <c r="O6" s="9">
        <f t="shared" si="4"/>
        <v>18.8</v>
      </c>
    </row>
    <row r="7" spans="1:16" x14ac:dyDescent="0.2">
      <c r="B7">
        <v>337</v>
      </c>
      <c r="C7" s="3" t="s">
        <v>238</v>
      </c>
      <c r="D7" s="3" t="s">
        <v>78</v>
      </c>
      <c r="E7">
        <v>31</v>
      </c>
      <c r="F7" t="s">
        <v>288</v>
      </c>
      <c r="G7">
        <v>6</v>
      </c>
      <c r="H7" s="9">
        <f t="shared" si="0"/>
        <v>0.6</v>
      </c>
      <c r="I7" t="s">
        <v>52</v>
      </c>
      <c r="J7" s="3" t="str">
        <f t="shared" si="1"/>
        <v>1</v>
      </c>
      <c r="K7" t="s">
        <v>26</v>
      </c>
      <c r="L7" s="10" t="str">
        <f t="shared" si="2"/>
        <v>2</v>
      </c>
      <c r="M7" t="s">
        <v>37</v>
      </c>
      <c r="N7" s="3" t="str">
        <f t="shared" si="3"/>
        <v>0</v>
      </c>
      <c r="O7" s="9">
        <f t="shared" si="4"/>
        <v>18.8</v>
      </c>
    </row>
    <row r="8" spans="1:16" x14ac:dyDescent="0.2">
      <c r="B8">
        <v>211</v>
      </c>
      <c r="C8" s="3" t="s">
        <v>300</v>
      </c>
      <c r="D8" s="3" t="s">
        <v>78</v>
      </c>
      <c r="E8">
        <v>1</v>
      </c>
      <c r="F8" t="s">
        <v>274</v>
      </c>
      <c r="G8">
        <v>6</v>
      </c>
      <c r="H8" s="9">
        <f t="shared" si="0"/>
        <v>0.6</v>
      </c>
      <c r="I8" t="s">
        <v>52</v>
      </c>
      <c r="J8" s="3" t="str">
        <f t="shared" si="1"/>
        <v>1</v>
      </c>
      <c r="K8" t="s">
        <v>26</v>
      </c>
      <c r="L8" s="10" t="str">
        <f t="shared" si="2"/>
        <v>2</v>
      </c>
      <c r="M8" t="s">
        <v>37</v>
      </c>
      <c r="N8" s="3" t="str">
        <f t="shared" si="3"/>
        <v>0</v>
      </c>
      <c r="O8" s="9">
        <f t="shared" si="4"/>
        <v>18.8</v>
      </c>
      <c r="P8" t="s">
        <v>51</v>
      </c>
    </row>
    <row r="9" spans="1:16" x14ac:dyDescent="0.2">
      <c r="B9">
        <v>212</v>
      </c>
      <c r="C9" s="3" t="s">
        <v>300</v>
      </c>
      <c r="D9" s="3" t="s">
        <v>78</v>
      </c>
      <c r="E9">
        <v>2</v>
      </c>
      <c r="F9" t="s">
        <v>274</v>
      </c>
      <c r="G9">
        <v>6</v>
      </c>
      <c r="H9" s="9">
        <f t="shared" si="0"/>
        <v>0.6</v>
      </c>
      <c r="I9" t="s">
        <v>52</v>
      </c>
      <c r="J9" s="3" t="str">
        <f t="shared" si="1"/>
        <v>1</v>
      </c>
      <c r="K9" t="s">
        <v>26</v>
      </c>
      <c r="L9" s="10" t="str">
        <f t="shared" si="2"/>
        <v>2</v>
      </c>
      <c r="M9" t="s">
        <v>37</v>
      </c>
      <c r="N9" s="3" t="str">
        <f t="shared" si="3"/>
        <v>0</v>
      </c>
      <c r="O9" s="9">
        <f t="shared" si="4"/>
        <v>18.8</v>
      </c>
      <c r="P9" t="s">
        <v>51</v>
      </c>
    </row>
    <row r="10" spans="1:16" x14ac:dyDescent="0.2">
      <c r="B10">
        <v>25</v>
      </c>
      <c r="C10" s="3">
        <v>21</v>
      </c>
      <c r="D10" s="3" t="s">
        <v>110</v>
      </c>
      <c r="E10">
        <v>24</v>
      </c>
      <c r="F10" t="s">
        <v>262</v>
      </c>
      <c r="G10">
        <v>5</v>
      </c>
      <c r="H10" s="9">
        <f t="shared" si="0"/>
        <v>0.5</v>
      </c>
      <c r="I10" t="s">
        <v>52</v>
      </c>
      <c r="J10" s="3" t="str">
        <f t="shared" si="1"/>
        <v>1</v>
      </c>
      <c r="K10" t="s">
        <v>26</v>
      </c>
      <c r="L10" s="10" t="str">
        <f t="shared" si="2"/>
        <v>2</v>
      </c>
      <c r="M10" t="s">
        <v>37</v>
      </c>
      <c r="N10" s="3" t="str">
        <f t="shared" si="3"/>
        <v>0</v>
      </c>
      <c r="O10" s="9">
        <f t="shared" si="4"/>
        <v>18.5</v>
      </c>
    </row>
    <row r="11" spans="1:16" x14ac:dyDescent="0.2">
      <c r="B11">
        <v>295</v>
      </c>
      <c r="C11" s="3">
        <v>22</v>
      </c>
      <c r="D11" s="3" t="s">
        <v>78</v>
      </c>
      <c r="E11">
        <v>16</v>
      </c>
      <c r="F11" t="s">
        <v>291</v>
      </c>
      <c r="G11">
        <v>5</v>
      </c>
      <c r="H11" s="9">
        <f t="shared" si="0"/>
        <v>0.5</v>
      </c>
      <c r="I11" t="s">
        <v>52</v>
      </c>
      <c r="J11" s="3" t="str">
        <f t="shared" si="1"/>
        <v>1</v>
      </c>
      <c r="K11" t="s">
        <v>26</v>
      </c>
      <c r="L11" s="10" t="str">
        <f t="shared" si="2"/>
        <v>2</v>
      </c>
      <c r="M11" t="s">
        <v>37</v>
      </c>
      <c r="N11" s="3" t="str">
        <f t="shared" si="3"/>
        <v>0</v>
      </c>
      <c r="O11" s="9">
        <f t="shared" si="4"/>
        <v>18.5</v>
      </c>
    </row>
    <row r="12" spans="1:16" x14ac:dyDescent="0.2">
      <c r="B12">
        <v>297</v>
      </c>
      <c r="C12" s="3">
        <v>22</v>
      </c>
      <c r="D12" s="3" t="s">
        <v>78</v>
      </c>
      <c r="E12">
        <v>18</v>
      </c>
      <c r="F12" t="s">
        <v>299</v>
      </c>
      <c r="G12">
        <v>5</v>
      </c>
      <c r="H12" s="9">
        <f t="shared" si="0"/>
        <v>0.5</v>
      </c>
      <c r="I12" t="s">
        <v>52</v>
      </c>
      <c r="J12" s="3" t="str">
        <f t="shared" si="1"/>
        <v>1</v>
      </c>
      <c r="K12" t="s">
        <v>26</v>
      </c>
      <c r="L12" s="10" t="str">
        <f t="shared" si="2"/>
        <v>2</v>
      </c>
      <c r="M12" t="s">
        <v>37</v>
      </c>
      <c r="N12" s="3" t="str">
        <f t="shared" si="3"/>
        <v>0</v>
      </c>
      <c r="O12" s="9">
        <f t="shared" si="4"/>
        <v>18.5</v>
      </c>
      <c r="P12" t="s">
        <v>43</v>
      </c>
    </row>
    <row r="13" spans="1:16" x14ac:dyDescent="0.2">
      <c r="B13">
        <v>303</v>
      </c>
      <c r="C13" s="3">
        <v>22</v>
      </c>
      <c r="D13" s="3" t="s">
        <v>78</v>
      </c>
      <c r="E13">
        <v>24</v>
      </c>
      <c r="F13" t="s">
        <v>297</v>
      </c>
      <c r="G13">
        <v>5</v>
      </c>
      <c r="H13" s="9">
        <f t="shared" si="0"/>
        <v>0.5</v>
      </c>
      <c r="I13" t="s">
        <v>52</v>
      </c>
      <c r="J13" s="3" t="str">
        <f t="shared" si="1"/>
        <v>1</v>
      </c>
      <c r="K13" t="s">
        <v>26</v>
      </c>
      <c r="L13" s="10" t="str">
        <f t="shared" si="2"/>
        <v>2</v>
      </c>
      <c r="M13" t="s">
        <v>37</v>
      </c>
      <c r="N13" s="3" t="str">
        <f t="shared" si="3"/>
        <v>0</v>
      </c>
      <c r="O13" s="9">
        <f t="shared" si="4"/>
        <v>18.5</v>
      </c>
    </row>
    <row r="14" spans="1:16" x14ac:dyDescent="0.2">
      <c r="B14">
        <v>264</v>
      </c>
      <c r="C14" s="3" t="s">
        <v>202</v>
      </c>
      <c r="D14" s="3" t="s">
        <v>78</v>
      </c>
      <c r="E14">
        <v>2</v>
      </c>
      <c r="F14" t="s">
        <v>291</v>
      </c>
      <c r="G14">
        <v>5</v>
      </c>
      <c r="H14" s="9">
        <f t="shared" si="0"/>
        <v>0.5</v>
      </c>
      <c r="I14" t="s">
        <v>52</v>
      </c>
      <c r="J14" s="3" t="str">
        <f t="shared" si="1"/>
        <v>1</v>
      </c>
      <c r="K14" t="s">
        <v>26</v>
      </c>
      <c r="L14" s="10" t="str">
        <f t="shared" si="2"/>
        <v>2</v>
      </c>
      <c r="M14" t="s">
        <v>37</v>
      </c>
      <c r="N14" s="3" t="str">
        <f t="shared" si="3"/>
        <v>0</v>
      </c>
      <c r="O14" s="9">
        <f t="shared" si="4"/>
        <v>18.5</v>
      </c>
    </row>
    <row r="15" spans="1:16" x14ac:dyDescent="0.2">
      <c r="B15">
        <v>152</v>
      </c>
      <c r="C15" s="3" t="s">
        <v>77</v>
      </c>
      <c r="D15" s="3" t="s">
        <v>78</v>
      </c>
      <c r="E15">
        <v>5</v>
      </c>
      <c r="F15" t="s">
        <v>63</v>
      </c>
      <c r="G15">
        <v>5</v>
      </c>
      <c r="H15" s="9">
        <f t="shared" si="0"/>
        <v>0.5</v>
      </c>
      <c r="I15" t="s">
        <v>52</v>
      </c>
      <c r="J15" s="3" t="str">
        <f t="shared" si="1"/>
        <v>1</v>
      </c>
      <c r="K15" t="s">
        <v>26</v>
      </c>
      <c r="L15" s="10" t="str">
        <f t="shared" si="2"/>
        <v>2</v>
      </c>
      <c r="M15" t="s">
        <v>37</v>
      </c>
      <c r="N15" s="3" t="str">
        <f t="shared" si="3"/>
        <v>0</v>
      </c>
      <c r="O15" s="9">
        <f t="shared" si="4"/>
        <v>18.5</v>
      </c>
    </row>
    <row r="16" spans="1:16" x14ac:dyDescent="0.2">
      <c r="B16">
        <v>339</v>
      </c>
      <c r="C16" s="3" t="s">
        <v>238</v>
      </c>
      <c r="D16" s="3" t="s">
        <v>78</v>
      </c>
      <c r="E16">
        <v>33</v>
      </c>
      <c r="F16" t="s">
        <v>282</v>
      </c>
      <c r="G16">
        <v>5</v>
      </c>
      <c r="H16" s="9">
        <f t="shared" si="0"/>
        <v>0.5</v>
      </c>
      <c r="I16" t="s">
        <v>52</v>
      </c>
      <c r="J16" s="3" t="str">
        <f t="shared" si="1"/>
        <v>1</v>
      </c>
      <c r="K16" t="s">
        <v>26</v>
      </c>
      <c r="L16" s="10" t="str">
        <f t="shared" si="2"/>
        <v>2</v>
      </c>
      <c r="M16" t="s">
        <v>37</v>
      </c>
      <c r="N16" s="3" t="str">
        <f t="shared" si="3"/>
        <v>0</v>
      </c>
      <c r="O16" s="9">
        <f t="shared" si="4"/>
        <v>18.5</v>
      </c>
    </row>
    <row r="17" spans="2:16" x14ac:dyDescent="0.2">
      <c r="B17">
        <v>247</v>
      </c>
      <c r="C17" s="3" t="s">
        <v>184</v>
      </c>
      <c r="D17" s="3" t="s">
        <v>78</v>
      </c>
      <c r="E17">
        <v>7</v>
      </c>
      <c r="F17" t="s">
        <v>297</v>
      </c>
      <c r="G17">
        <v>5</v>
      </c>
      <c r="H17" s="9">
        <f t="shared" si="0"/>
        <v>0.5</v>
      </c>
      <c r="I17" t="s">
        <v>52</v>
      </c>
      <c r="J17" s="3" t="str">
        <f t="shared" si="1"/>
        <v>1</v>
      </c>
      <c r="K17" t="s">
        <v>26</v>
      </c>
      <c r="L17" s="10" t="str">
        <f t="shared" si="2"/>
        <v>2</v>
      </c>
      <c r="M17" t="s">
        <v>37</v>
      </c>
      <c r="N17" s="3" t="str">
        <f t="shared" si="3"/>
        <v>0</v>
      </c>
      <c r="O17" s="9">
        <f t="shared" si="4"/>
        <v>18.5</v>
      </c>
    </row>
    <row r="18" spans="2:16" x14ac:dyDescent="0.2">
      <c r="B18">
        <v>252</v>
      </c>
      <c r="C18" s="3" t="s">
        <v>184</v>
      </c>
      <c r="D18" s="3" t="s">
        <v>78</v>
      </c>
      <c r="E18">
        <v>12</v>
      </c>
      <c r="F18" t="s">
        <v>263</v>
      </c>
      <c r="G18">
        <v>5</v>
      </c>
      <c r="H18" s="9">
        <f t="shared" si="0"/>
        <v>0.5</v>
      </c>
      <c r="I18" t="s">
        <v>52</v>
      </c>
      <c r="J18" s="3" t="str">
        <f t="shared" si="1"/>
        <v>1</v>
      </c>
      <c r="K18" t="s">
        <v>26</v>
      </c>
      <c r="L18" s="10" t="str">
        <f t="shared" si="2"/>
        <v>2</v>
      </c>
      <c r="M18" t="s">
        <v>37</v>
      </c>
      <c r="N18" s="3" t="str">
        <f t="shared" si="3"/>
        <v>0</v>
      </c>
      <c r="O18" s="9">
        <f t="shared" si="4"/>
        <v>18.5</v>
      </c>
    </row>
    <row r="19" spans="2:16" x14ac:dyDescent="0.2">
      <c r="B19">
        <v>253</v>
      </c>
      <c r="C19" s="3" t="s">
        <v>184</v>
      </c>
      <c r="D19" s="3" t="s">
        <v>78</v>
      </c>
      <c r="E19">
        <v>13</v>
      </c>
      <c r="F19" t="s">
        <v>263</v>
      </c>
      <c r="G19">
        <v>5</v>
      </c>
      <c r="H19" s="9">
        <f t="shared" si="0"/>
        <v>0.5</v>
      </c>
      <c r="I19" t="s">
        <v>52</v>
      </c>
      <c r="J19" s="3" t="str">
        <f t="shared" si="1"/>
        <v>1</v>
      </c>
      <c r="K19" t="s">
        <v>26</v>
      </c>
      <c r="L19" s="10" t="str">
        <f t="shared" si="2"/>
        <v>2</v>
      </c>
      <c r="M19" t="s">
        <v>37</v>
      </c>
      <c r="N19" s="3" t="str">
        <f t="shared" si="3"/>
        <v>0</v>
      </c>
      <c r="O19" s="9">
        <f t="shared" si="4"/>
        <v>18.5</v>
      </c>
    </row>
    <row r="20" spans="2:16" x14ac:dyDescent="0.2">
      <c r="B20">
        <v>166</v>
      </c>
      <c r="C20" s="3" t="s">
        <v>174</v>
      </c>
      <c r="D20" s="3" t="s">
        <v>78</v>
      </c>
      <c r="E20">
        <v>10</v>
      </c>
      <c r="F20" t="s">
        <v>266</v>
      </c>
      <c r="G20">
        <v>8</v>
      </c>
      <c r="H20" s="9">
        <f t="shared" si="0"/>
        <v>0.8</v>
      </c>
      <c r="I20" t="s">
        <v>31</v>
      </c>
      <c r="J20" s="3" t="str">
        <f t="shared" si="1"/>
        <v>2</v>
      </c>
      <c r="K20" t="s">
        <v>87</v>
      </c>
      <c r="L20" s="10" t="str">
        <f t="shared" si="2"/>
        <v>1</v>
      </c>
      <c r="M20" t="s">
        <v>37</v>
      </c>
      <c r="N20" s="3" t="str">
        <f t="shared" si="3"/>
        <v>0</v>
      </c>
      <c r="O20" s="9">
        <f t="shared" si="4"/>
        <v>18.399999999999999</v>
      </c>
    </row>
    <row r="21" spans="2:16" x14ac:dyDescent="0.2">
      <c r="B21">
        <v>301</v>
      </c>
      <c r="C21" s="3">
        <v>22</v>
      </c>
      <c r="D21" s="3" t="s">
        <v>78</v>
      </c>
      <c r="E21">
        <v>22</v>
      </c>
      <c r="F21" t="s">
        <v>291</v>
      </c>
      <c r="G21">
        <v>4</v>
      </c>
      <c r="H21" s="9">
        <f t="shared" si="0"/>
        <v>0.4</v>
      </c>
      <c r="I21" t="s">
        <v>52</v>
      </c>
      <c r="J21" s="3" t="str">
        <f t="shared" si="1"/>
        <v>1</v>
      </c>
      <c r="K21" t="s">
        <v>26</v>
      </c>
      <c r="L21" s="10" t="str">
        <f t="shared" si="2"/>
        <v>2</v>
      </c>
      <c r="M21" t="s">
        <v>37</v>
      </c>
      <c r="N21" s="3" t="str">
        <f t="shared" si="3"/>
        <v>0</v>
      </c>
      <c r="O21" s="9">
        <f t="shared" si="4"/>
        <v>18.2</v>
      </c>
    </row>
    <row r="22" spans="2:16" x14ac:dyDescent="0.2">
      <c r="B22">
        <v>209</v>
      </c>
      <c r="C22" s="3" t="s">
        <v>232</v>
      </c>
      <c r="D22" s="3" t="s">
        <v>252</v>
      </c>
      <c r="E22">
        <v>7</v>
      </c>
      <c r="F22" t="s">
        <v>287</v>
      </c>
      <c r="G22">
        <v>4</v>
      </c>
      <c r="H22" s="9">
        <f t="shared" si="0"/>
        <v>0.4</v>
      </c>
      <c r="I22" t="s">
        <v>52</v>
      </c>
      <c r="J22" s="3" t="str">
        <f t="shared" si="1"/>
        <v>1</v>
      </c>
      <c r="K22" t="s">
        <v>26</v>
      </c>
      <c r="L22" s="10" t="str">
        <f t="shared" si="2"/>
        <v>2</v>
      </c>
      <c r="M22" t="s">
        <v>37</v>
      </c>
      <c r="N22" s="3" t="str">
        <f t="shared" si="3"/>
        <v>0</v>
      </c>
      <c r="O22" s="9">
        <f t="shared" si="4"/>
        <v>18.2</v>
      </c>
    </row>
    <row r="23" spans="2:16" x14ac:dyDescent="0.2">
      <c r="B23">
        <v>235</v>
      </c>
      <c r="C23" s="3" t="s">
        <v>199</v>
      </c>
      <c r="D23" s="3" t="s">
        <v>78</v>
      </c>
      <c r="E23">
        <v>2</v>
      </c>
      <c r="F23" t="s">
        <v>274</v>
      </c>
      <c r="G23">
        <v>4</v>
      </c>
      <c r="H23" s="9">
        <f t="shared" si="0"/>
        <v>0.4</v>
      </c>
      <c r="I23" t="s">
        <v>52</v>
      </c>
      <c r="J23" s="3" t="str">
        <f t="shared" si="1"/>
        <v>1</v>
      </c>
      <c r="K23" t="s">
        <v>26</v>
      </c>
      <c r="L23" s="10" t="str">
        <f t="shared" si="2"/>
        <v>2</v>
      </c>
      <c r="M23" t="s">
        <v>37</v>
      </c>
      <c r="N23" s="3" t="str">
        <f t="shared" si="3"/>
        <v>0</v>
      </c>
      <c r="O23" s="9">
        <f t="shared" si="4"/>
        <v>18.2</v>
      </c>
    </row>
    <row r="24" spans="2:16" x14ac:dyDescent="0.2">
      <c r="B24">
        <v>58</v>
      </c>
      <c r="C24" s="3" t="s">
        <v>122</v>
      </c>
      <c r="D24" s="3" t="s">
        <v>78</v>
      </c>
      <c r="E24">
        <v>9</v>
      </c>
      <c r="F24" t="s">
        <v>285</v>
      </c>
      <c r="G24">
        <v>4</v>
      </c>
      <c r="H24" s="9">
        <f t="shared" si="0"/>
        <v>0.4</v>
      </c>
      <c r="I24" t="s">
        <v>52</v>
      </c>
      <c r="J24" s="3" t="str">
        <f t="shared" si="1"/>
        <v>1</v>
      </c>
      <c r="K24" t="s">
        <v>26</v>
      </c>
      <c r="L24" s="10" t="str">
        <f t="shared" si="2"/>
        <v>2</v>
      </c>
      <c r="M24" t="s">
        <v>37</v>
      </c>
      <c r="N24" s="3" t="str">
        <f t="shared" si="3"/>
        <v>0</v>
      </c>
      <c r="O24" s="9">
        <f t="shared" si="4"/>
        <v>18.2</v>
      </c>
      <c r="P24" t="s">
        <v>124</v>
      </c>
    </row>
    <row r="25" spans="2:16" x14ac:dyDescent="0.2">
      <c r="B25">
        <v>165</v>
      </c>
      <c r="C25" s="3" t="s">
        <v>174</v>
      </c>
      <c r="D25" s="3" t="s">
        <v>78</v>
      </c>
      <c r="E25">
        <v>9</v>
      </c>
      <c r="F25" t="s">
        <v>281</v>
      </c>
      <c r="G25">
        <v>4</v>
      </c>
      <c r="H25" s="9">
        <f t="shared" si="0"/>
        <v>0.4</v>
      </c>
      <c r="I25" t="s">
        <v>52</v>
      </c>
      <c r="J25" s="3" t="str">
        <f t="shared" si="1"/>
        <v>1</v>
      </c>
      <c r="K25" t="s">
        <v>26</v>
      </c>
      <c r="L25" s="10" t="str">
        <f t="shared" si="2"/>
        <v>2</v>
      </c>
      <c r="M25" t="s">
        <v>37</v>
      </c>
      <c r="N25" s="3" t="str">
        <f t="shared" si="3"/>
        <v>0</v>
      </c>
      <c r="O25" s="9">
        <f t="shared" si="4"/>
        <v>18.2</v>
      </c>
    </row>
    <row r="26" spans="2:16" x14ac:dyDescent="0.2">
      <c r="B26">
        <v>271</v>
      </c>
      <c r="C26" s="3">
        <v>14</v>
      </c>
      <c r="D26" s="3" t="s">
        <v>78</v>
      </c>
      <c r="E26">
        <v>3</v>
      </c>
      <c r="F26" t="s">
        <v>283</v>
      </c>
      <c r="G26">
        <v>3</v>
      </c>
      <c r="H26" s="9">
        <f t="shared" si="0"/>
        <v>0.3</v>
      </c>
      <c r="I26" t="s">
        <v>52</v>
      </c>
      <c r="J26" s="3" t="str">
        <f t="shared" si="1"/>
        <v>1</v>
      </c>
      <c r="K26" t="s">
        <v>26</v>
      </c>
      <c r="L26" s="10" t="str">
        <f t="shared" si="2"/>
        <v>2</v>
      </c>
      <c r="M26" t="s">
        <v>37</v>
      </c>
      <c r="N26" s="3" t="str">
        <f t="shared" si="3"/>
        <v>0</v>
      </c>
      <c r="O26" s="9">
        <f t="shared" si="4"/>
        <v>17.899999999999999</v>
      </c>
    </row>
    <row r="27" spans="2:16" x14ac:dyDescent="0.2">
      <c r="B27">
        <v>272</v>
      </c>
      <c r="C27" s="3">
        <v>14</v>
      </c>
      <c r="D27" s="3" t="s">
        <v>78</v>
      </c>
      <c r="E27">
        <v>4</v>
      </c>
      <c r="F27" t="s">
        <v>270</v>
      </c>
      <c r="G27">
        <v>3</v>
      </c>
      <c r="H27" s="9">
        <f t="shared" si="0"/>
        <v>0.3</v>
      </c>
      <c r="I27" t="s">
        <v>52</v>
      </c>
      <c r="J27" s="3" t="str">
        <f t="shared" si="1"/>
        <v>1</v>
      </c>
      <c r="K27" t="s">
        <v>26</v>
      </c>
      <c r="L27" s="10" t="str">
        <f t="shared" si="2"/>
        <v>2</v>
      </c>
      <c r="M27" t="s">
        <v>37</v>
      </c>
      <c r="N27" s="3" t="str">
        <f t="shared" si="3"/>
        <v>0</v>
      </c>
      <c r="O27" s="9">
        <f t="shared" si="4"/>
        <v>17.899999999999999</v>
      </c>
    </row>
    <row r="28" spans="2:16" x14ac:dyDescent="0.2">
      <c r="B28">
        <v>307</v>
      </c>
      <c r="C28" s="3" t="s">
        <v>238</v>
      </c>
      <c r="D28" s="3" t="s">
        <v>78</v>
      </c>
      <c r="E28">
        <v>1</v>
      </c>
      <c r="F28" t="s">
        <v>288</v>
      </c>
      <c r="G28">
        <v>3</v>
      </c>
      <c r="H28" s="9">
        <f t="shared" si="0"/>
        <v>0.3</v>
      </c>
      <c r="I28" t="s">
        <v>52</v>
      </c>
      <c r="J28" s="3" t="str">
        <f t="shared" si="1"/>
        <v>1</v>
      </c>
      <c r="K28" t="s">
        <v>26</v>
      </c>
      <c r="L28" s="10" t="str">
        <f t="shared" si="2"/>
        <v>2</v>
      </c>
      <c r="M28" t="s">
        <v>37</v>
      </c>
      <c r="N28" s="3" t="str">
        <f t="shared" si="3"/>
        <v>0</v>
      </c>
      <c r="O28" s="9">
        <f t="shared" si="4"/>
        <v>17.899999999999999</v>
      </c>
    </row>
    <row r="29" spans="2:16" x14ac:dyDescent="0.2">
      <c r="B29">
        <v>308</v>
      </c>
      <c r="C29" s="3" t="s">
        <v>238</v>
      </c>
      <c r="D29" s="3" t="s">
        <v>78</v>
      </c>
      <c r="E29">
        <v>2</v>
      </c>
      <c r="F29" t="s">
        <v>288</v>
      </c>
      <c r="G29">
        <v>3</v>
      </c>
      <c r="H29" s="9">
        <f t="shared" si="0"/>
        <v>0.3</v>
      </c>
      <c r="I29" t="s">
        <v>52</v>
      </c>
      <c r="J29" s="3" t="str">
        <f t="shared" si="1"/>
        <v>1</v>
      </c>
      <c r="K29" t="s">
        <v>26</v>
      </c>
      <c r="L29" s="10" t="str">
        <f t="shared" si="2"/>
        <v>2</v>
      </c>
      <c r="M29" t="s">
        <v>37</v>
      </c>
      <c r="N29" s="3" t="str">
        <f t="shared" si="3"/>
        <v>0</v>
      </c>
      <c r="O29" s="9">
        <f t="shared" si="4"/>
        <v>17.899999999999999</v>
      </c>
    </row>
    <row r="30" spans="2:16" x14ac:dyDescent="0.2">
      <c r="B30">
        <v>309</v>
      </c>
      <c r="C30" s="3" t="s">
        <v>238</v>
      </c>
      <c r="D30" s="3" t="s">
        <v>78</v>
      </c>
      <c r="E30">
        <v>3</v>
      </c>
      <c r="F30" t="s">
        <v>288</v>
      </c>
      <c r="G30">
        <v>3</v>
      </c>
      <c r="H30" s="9">
        <f t="shared" si="0"/>
        <v>0.3</v>
      </c>
      <c r="I30" t="s">
        <v>52</v>
      </c>
      <c r="J30" s="3" t="str">
        <f t="shared" si="1"/>
        <v>1</v>
      </c>
      <c r="K30" t="s">
        <v>26</v>
      </c>
      <c r="L30" s="10" t="str">
        <f t="shared" si="2"/>
        <v>2</v>
      </c>
      <c r="M30" t="s">
        <v>37</v>
      </c>
      <c r="N30" s="3" t="str">
        <f t="shared" si="3"/>
        <v>0</v>
      </c>
      <c r="O30" s="9">
        <f t="shared" si="4"/>
        <v>17.899999999999999</v>
      </c>
    </row>
    <row r="31" spans="2:16" x14ac:dyDescent="0.2">
      <c r="B31">
        <v>310</v>
      </c>
      <c r="C31" s="3" t="s">
        <v>238</v>
      </c>
      <c r="D31" s="3" t="s">
        <v>78</v>
      </c>
      <c r="E31">
        <v>4</v>
      </c>
      <c r="F31" t="s">
        <v>288</v>
      </c>
      <c r="G31">
        <v>3</v>
      </c>
      <c r="H31" s="9">
        <f t="shared" si="0"/>
        <v>0.3</v>
      </c>
      <c r="I31" t="s">
        <v>52</v>
      </c>
      <c r="J31" s="3" t="str">
        <f t="shared" si="1"/>
        <v>1</v>
      </c>
      <c r="K31" t="s">
        <v>26</v>
      </c>
      <c r="L31" s="10" t="str">
        <f t="shared" si="2"/>
        <v>2</v>
      </c>
      <c r="M31" t="s">
        <v>37</v>
      </c>
      <c r="N31" s="3" t="str">
        <f t="shared" si="3"/>
        <v>0</v>
      </c>
      <c r="O31" s="9">
        <f t="shared" si="4"/>
        <v>17.899999999999999</v>
      </c>
    </row>
    <row r="32" spans="2:16" x14ac:dyDescent="0.2">
      <c r="B32">
        <v>311</v>
      </c>
      <c r="C32" s="3" t="s">
        <v>238</v>
      </c>
      <c r="D32" s="3" t="s">
        <v>78</v>
      </c>
      <c r="E32">
        <v>5</v>
      </c>
      <c r="F32" t="s">
        <v>288</v>
      </c>
      <c r="G32">
        <v>3</v>
      </c>
      <c r="H32" s="9">
        <f t="shared" si="0"/>
        <v>0.3</v>
      </c>
      <c r="I32" t="s">
        <v>52</v>
      </c>
      <c r="J32" s="3" t="str">
        <f t="shared" si="1"/>
        <v>1</v>
      </c>
      <c r="K32" t="s">
        <v>26</v>
      </c>
      <c r="L32" s="10" t="str">
        <f t="shared" si="2"/>
        <v>2</v>
      </c>
      <c r="M32" t="s">
        <v>37</v>
      </c>
      <c r="N32" s="3" t="str">
        <f t="shared" si="3"/>
        <v>0</v>
      </c>
      <c r="O32" s="9">
        <f t="shared" si="4"/>
        <v>17.899999999999999</v>
      </c>
    </row>
    <row r="33" spans="2:16" x14ac:dyDescent="0.2">
      <c r="B33">
        <v>312</v>
      </c>
      <c r="C33" s="3" t="s">
        <v>238</v>
      </c>
      <c r="D33" s="3" t="s">
        <v>78</v>
      </c>
      <c r="E33">
        <v>6</v>
      </c>
      <c r="F33" t="s">
        <v>288</v>
      </c>
      <c r="G33">
        <v>3</v>
      </c>
      <c r="H33" s="9">
        <f t="shared" si="0"/>
        <v>0.3</v>
      </c>
      <c r="I33" t="s">
        <v>52</v>
      </c>
      <c r="J33" s="3" t="str">
        <f t="shared" si="1"/>
        <v>1</v>
      </c>
      <c r="K33" t="s">
        <v>26</v>
      </c>
      <c r="L33" s="10" t="str">
        <f t="shared" si="2"/>
        <v>2</v>
      </c>
      <c r="M33" t="s">
        <v>37</v>
      </c>
      <c r="N33" s="3" t="str">
        <f t="shared" si="3"/>
        <v>0</v>
      </c>
      <c r="O33" s="9">
        <f t="shared" si="4"/>
        <v>17.899999999999999</v>
      </c>
    </row>
    <row r="34" spans="2:16" x14ac:dyDescent="0.2">
      <c r="B34">
        <v>313</v>
      </c>
      <c r="C34" s="3" t="s">
        <v>238</v>
      </c>
      <c r="D34" s="3" t="s">
        <v>78</v>
      </c>
      <c r="E34">
        <v>7</v>
      </c>
      <c r="F34" t="s">
        <v>288</v>
      </c>
      <c r="G34">
        <v>3</v>
      </c>
      <c r="H34" s="9">
        <f t="shared" si="0"/>
        <v>0.3</v>
      </c>
      <c r="I34" t="s">
        <v>52</v>
      </c>
      <c r="J34" s="3" t="str">
        <f t="shared" si="1"/>
        <v>1</v>
      </c>
      <c r="K34" t="s">
        <v>26</v>
      </c>
      <c r="L34" s="10" t="str">
        <f t="shared" si="2"/>
        <v>2</v>
      </c>
      <c r="M34" t="s">
        <v>37</v>
      </c>
      <c r="N34" s="3" t="str">
        <f t="shared" si="3"/>
        <v>0</v>
      </c>
      <c r="O34" s="9">
        <f t="shared" si="4"/>
        <v>17.899999999999999</v>
      </c>
    </row>
    <row r="35" spans="2:16" x14ac:dyDescent="0.2">
      <c r="B35">
        <v>213</v>
      </c>
      <c r="C35" s="3" t="s">
        <v>300</v>
      </c>
      <c r="D35" s="3" t="s">
        <v>78</v>
      </c>
      <c r="E35">
        <v>3</v>
      </c>
      <c r="F35" t="s">
        <v>280</v>
      </c>
      <c r="G35">
        <v>3</v>
      </c>
      <c r="H35" s="9">
        <f t="shared" ref="H35:H66" si="5">G35/10</f>
        <v>0.3</v>
      </c>
      <c r="I35" t="s">
        <v>52</v>
      </c>
      <c r="J35" s="3" t="str">
        <f t="shared" ref="J35:J66" si="6">IF(I35="N/A","0",IF(I35="Excellent","1",IF(I35="Very Good","1",IF(I35="Good","2",IF(I35="Fair","3",IF(I35="Poor","4",IF(I35="Critical","5",IF(I35="Dead","5"))))))))</f>
        <v>1</v>
      </c>
      <c r="K35" t="s">
        <v>26</v>
      </c>
      <c r="L35" s="10" t="str">
        <f t="shared" ref="L35:L66" si="7">IF(K35="Removal","5",IF(K35="Pruning: Deadwood 1","4",IF(K35="Pruning: Deadwood 2","3",IF(K35="Pruning: Routine","2",IF(K35="Pruning: Training","1",IF(K35="Plant","0",IF(K35="Other - see notes","0",)))))))</f>
        <v>2</v>
      </c>
      <c r="M35" t="s">
        <v>37</v>
      </c>
      <c r="N35" s="3" t="str">
        <f t="shared" ref="N35:N66" si="8">IF(M35="no risk","0",IF(M35="None","0",IF(M35="Minimal Risk","1",IF(M35="Moderate Risk","2",IF(M35="High Risk","4",IF(M35="Severe Risk","5"))))))</f>
        <v>0</v>
      </c>
      <c r="O35" s="9">
        <f t="shared" ref="O35:O66" si="9">($G$2*H35)+($I$2*J35)+($K$2*L35)+($M$2*N35)</f>
        <v>17.899999999999999</v>
      </c>
    </row>
    <row r="36" spans="2:16" x14ac:dyDescent="0.2">
      <c r="B36">
        <v>73</v>
      </c>
      <c r="C36" s="3" t="s">
        <v>144</v>
      </c>
      <c r="D36" s="3" t="s">
        <v>147</v>
      </c>
      <c r="E36">
        <v>7</v>
      </c>
      <c r="F36" t="s">
        <v>280</v>
      </c>
      <c r="G36">
        <v>3</v>
      </c>
      <c r="H36" s="9">
        <f t="shared" si="5"/>
        <v>0.3</v>
      </c>
      <c r="I36" t="s">
        <v>52</v>
      </c>
      <c r="J36" s="3" t="str">
        <f t="shared" si="6"/>
        <v>1</v>
      </c>
      <c r="K36" t="s">
        <v>26</v>
      </c>
      <c r="L36" s="10" t="str">
        <f t="shared" si="7"/>
        <v>2</v>
      </c>
      <c r="M36" t="s">
        <v>37</v>
      </c>
      <c r="N36" s="3" t="str">
        <f t="shared" si="8"/>
        <v>0</v>
      </c>
      <c r="O36" s="9">
        <f t="shared" si="9"/>
        <v>17.899999999999999</v>
      </c>
    </row>
    <row r="37" spans="2:16" x14ac:dyDescent="0.2">
      <c r="B37">
        <v>48</v>
      </c>
      <c r="C37" s="3">
        <v>21</v>
      </c>
      <c r="D37" s="3">
        <v>1425</v>
      </c>
      <c r="E37">
        <v>47</v>
      </c>
      <c r="F37" t="s">
        <v>284</v>
      </c>
      <c r="G37">
        <v>2</v>
      </c>
      <c r="H37" s="9">
        <f t="shared" si="5"/>
        <v>0.2</v>
      </c>
      <c r="I37" t="s">
        <v>52</v>
      </c>
      <c r="J37" s="3" t="str">
        <f t="shared" si="6"/>
        <v>1</v>
      </c>
      <c r="K37" t="s">
        <v>26</v>
      </c>
      <c r="L37" s="10" t="str">
        <f t="shared" si="7"/>
        <v>2</v>
      </c>
      <c r="M37" t="s">
        <v>37</v>
      </c>
      <c r="N37" s="3" t="str">
        <f t="shared" si="8"/>
        <v>0</v>
      </c>
      <c r="O37" s="9">
        <f t="shared" si="9"/>
        <v>17.600000000000001</v>
      </c>
    </row>
    <row r="38" spans="2:16" x14ac:dyDescent="0.2">
      <c r="B38">
        <v>167</v>
      </c>
      <c r="C38" s="3" t="s">
        <v>174</v>
      </c>
      <c r="D38" s="3" t="s">
        <v>78</v>
      </c>
      <c r="E38">
        <v>11</v>
      </c>
      <c r="F38" t="s">
        <v>280</v>
      </c>
      <c r="G38">
        <v>2</v>
      </c>
      <c r="H38" s="9">
        <f t="shared" si="5"/>
        <v>0.2</v>
      </c>
      <c r="I38" t="s">
        <v>52</v>
      </c>
      <c r="J38" s="3" t="str">
        <f t="shared" si="6"/>
        <v>1</v>
      </c>
      <c r="K38" t="s">
        <v>26</v>
      </c>
      <c r="L38" s="10" t="str">
        <f t="shared" si="7"/>
        <v>2</v>
      </c>
      <c r="M38" t="s">
        <v>37</v>
      </c>
      <c r="N38" s="3" t="str">
        <f t="shared" si="8"/>
        <v>0</v>
      </c>
      <c r="O38" s="9">
        <f t="shared" si="9"/>
        <v>17.600000000000001</v>
      </c>
    </row>
    <row r="39" spans="2:16" x14ac:dyDescent="0.2">
      <c r="B39">
        <v>323</v>
      </c>
      <c r="C39" s="3" t="s">
        <v>238</v>
      </c>
      <c r="D39" s="3" t="s">
        <v>78</v>
      </c>
      <c r="E39">
        <v>17</v>
      </c>
      <c r="F39" t="s">
        <v>279</v>
      </c>
      <c r="G39">
        <v>1</v>
      </c>
      <c r="H39" s="9">
        <f t="shared" si="5"/>
        <v>0.1</v>
      </c>
      <c r="I39" t="s">
        <v>52</v>
      </c>
      <c r="J39" s="3" t="str">
        <f t="shared" si="6"/>
        <v>1</v>
      </c>
      <c r="K39" t="s">
        <v>26</v>
      </c>
      <c r="L39" s="10" t="str">
        <f t="shared" si="7"/>
        <v>2</v>
      </c>
      <c r="M39" t="s">
        <v>37</v>
      </c>
      <c r="N39" s="3" t="str">
        <f t="shared" si="8"/>
        <v>0</v>
      </c>
      <c r="O39" s="9">
        <f t="shared" si="9"/>
        <v>17.3</v>
      </c>
    </row>
    <row r="40" spans="2:16" x14ac:dyDescent="0.2">
      <c r="B40">
        <v>324</v>
      </c>
      <c r="C40" s="3" t="s">
        <v>238</v>
      </c>
      <c r="D40" s="3" t="s">
        <v>78</v>
      </c>
      <c r="E40">
        <v>18</v>
      </c>
      <c r="F40" t="s">
        <v>279</v>
      </c>
      <c r="G40">
        <v>1</v>
      </c>
      <c r="H40" s="9">
        <f t="shared" si="5"/>
        <v>0.1</v>
      </c>
      <c r="I40" t="s">
        <v>52</v>
      </c>
      <c r="J40" s="3" t="str">
        <f t="shared" si="6"/>
        <v>1</v>
      </c>
      <c r="K40" t="s">
        <v>26</v>
      </c>
      <c r="L40" s="10" t="str">
        <f t="shared" si="7"/>
        <v>2</v>
      </c>
      <c r="M40" t="s">
        <v>37</v>
      </c>
      <c r="N40" s="3" t="str">
        <f t="shared" si="8"/>
        <v>0</v>
      </c>
      <c r="O40" s="9">
        <f t="shared" si="9"/>
        <v>17.3</v>
      </c>
    </row>
    <row r="41" spans="2:16" x14ac:dyDescent="0.2">
      <c r="B41">
        <v>325</v>
      </c>
      <c r="C41" s="3" t="s">
        <v>238</v>
      </c>
      <c r="D41" s="3" t="s">
        <v>78</v>
      </c>
      <c r="E41">
        <v>19</v>
      </c>
      <c r="F41" t="s">
        <v>279</v>
      </c>
      <c r="G41">
        <v>1</v>
      </c>
      <c r="H41" s="9">
        <f t="shared" si="5"/>
        <v>0.1</v>
      </c>
      <c r="I41" t="s">
        <v>52</v>
      </c>
      <c r="J41" s="3" t="str">
        <f t="shared" si="6"/>
        <v>1</v>
      </c>
      <c r="K41" t="s">
        <v>26</v>
      </c>
      <c r="L41" s="10" t="str">
        <f t="shared" si="7"/>
        <v>2</v>
      </c>
      <c r="M41" t="s">
        <v>37</v>
      </c>
      <c r="N41" s="3" t="str">
        <f t="shared" si="8"/>
        <v>0</v>
      </c>
      <c r="O41" s="9">
        <f t="shared" si="9"/>
        <v>17.3</v>
      </c>
    </row>
    <row r="42" spans="2:16" x14ac:dyDescent="0.2">
      <c r="B42">
        <v>326</v>
      </c>
      <c r="C42" s="3" t="s">
        <v>238</v>
      </c>
      <c r="D42" s="3" t="s">
        <v>78</v>
      </c>
      <c r="E42">
        <v>20</v>
      </c>
      <c r="F42" t="s">
        <v>279</v>
      </c>
      <c r="G42">
        <v>1</v>
      </c>
      <c r="H42" s="9">
        <f t="shared" si="5"/>
        <v>0.1</v>
      </c>
      <c r="I42" t="s">
        <v>52</v>
      </c>
      <c r="J42" s="3" t="str">
        <f t="shared" si="6"/>
        <v>1</v>
      </c>
      <c r="K42" t="s">
        <v>26</v>
      </c>
      <c r="L42" s="10" t="str">
        <f t="shared" si="7"/>
        <v>2</v>
      </c>
      <c r="M42" t="s">
        <v>37</v>
      </c>
      <c r="N42" s="3" t="str">
        <f t="shared" si="8"/>
        <v>0</v>
      </c>
      <c r="O42" s="9">
        <f t="shared" si="9"/>
        <v>17.3</v>
      </c>
    </row>
    <row r="43" spans="2:16" x14ac:dyDescent="0.2">
      <c r="B43">
        <v>327</v>
      </c>
      <c r="C43" s="3" t="s">
        <v>238</v>
      </c>
      <c r="D43" s="3" t="s">
        <v>78</v>
      </c>
      <c r="E43">
        <v>21</v>
      </c>
      <c r="F43" t="s">
        <v>279</v>
      </c>
      <c r="G43">
        <v>1</v>
      </c>
      <c r="H43" s="9">
        <f t="shared" si="5"/>
        <v>0.1</v>
      </c>
      <c r="I43" t="s">
        <v>52</v>
      </c>
      <c r="J43" s="3" t="str">
        <f t="shared" si="6"/>
        <v>1</v>
      </c>
      <c r="K43" t="s">
        <v>26</v>
      </c>
      <c r="L43" s="10" t="str">
        <f t="shared" si="7"/>
        <v>2</v>
      </c>
      <c r="M43" t="s">
        <v>37</v>
      </c>
      <c r="N43" s="3" t="str">
        <f t="shared" si="8"/>
        <v>0</v>
      </c>
      <c r="O43" s="9">
        <f t="shared" si="9"/>
        <v>17.3</v>
      </c>
    </row>
    <row r="44" spans="2:16" x14ac:dyDescent="0.2">
      <c r="B44">
        <v>254</v>
      </c>
      <c r="C44" s="3" t="s">
        <v>184</v>
      </c>
      <c r="D44" s="3" t="s">
        <v>191</v>
      </c>
      <c r="E44">
        <v>14</v>
      </c>
      <c r="F44" t="s">
        <v>278</v>
      </c>
      <c r="G44">
        <v>3</v>
      </c>
      <c r="H44" s="9">
        <f t="shared" si="5"/>
        <v>0.3</v>
      </c>
      <c r="I44" t="s">
        <v>31</v>
      </c>
      <c r="J44" s="3" t="str">
        <f t="shared" si="6"/>
        <v>2</v>
      </c>
      <c r="K44" t="s">
        <v>87</v>
      </c>
      <c r="L44" s="10" t="str">
        <f t="shared" si="7"/>
        <v>1</v>
      </c>
      <c r="M44" t="s">
        <v>37</v>
      </c>
      <c r="N44" s="3" t="str">
        <f t="shared" si="8"/>
        <v>0</v>
      </c>
      <c r="O44" s="9">
        <f t="shared" si="9"/>
        <v>16.899999999999999</v>
      </c>
    </row>
    <row r="45" spans="2:16" x14ac:dyDescent="0.2">
      <c r="B45">
        <v>67</v>
      </c>
      <c r="C45" s="3" t="s">
        <v>136</v>
      </c>
      <c r="D45" s="3" t="s">
        <v>137</v>
      </c>
      <c r="E45">
        <v>1</v>
      </c>
      <c r="F45" t="s">
        <v>289</v>
      </c>
      <c r="G45">
        <v>2</v>
      </c>
      <c r="H45" s="9">
        <f t="shared" si="5"/>
        <v>0.2</v>
      </c>
      <c r="I45" t="s">
        <v>31</v>
      </c>
      <c r="J45" s="3" t="str">
        <f t="shared" si="6"/>
        <v>2</v>
      </c>
      <c r="K45" t="s">
        <v>87</v>
      </c>
      <c r="L45" s="10" t="str">
        <f t="shared" si="7"/>
        <v>1</v>
      </c>
      <c r="M45" t="s">
        <v>37</v>
      </c>
      <c r="N45" s="3" t="str">
        <f t="shared" si="8"/>
        <v>0</v>
      </c>
      <c r="O45" s="9">
        <f t="shared" si="9"/>
        <v>16.600000000000001</v>
      </c>
      <c r="P45" t="s">
        <v>134</v>
      </c>
    </row>
    <row r="46" spans="2:16" x14ac:dyDescent="0.2">
      <c r="B46">
        <v>33</v>
      </c>
      <c r="C46" s="3">
        <v>21</v>
      </c>
      <c r="D46" s="3">
        <v>20</v>
      </c>
      <c r="E46">
        <v>1</v>
      </c>
      <c r="F46" t="s">
        <v>263</v>
      </c>
      <c r="G46">
        <v>1</v>
      </c>
      <c r="H46" s="9">
        <f t="shared" si="5"/>
        <v>0.1</v>
      </c>
      <c r="I46" t="s">
        <v>31</v>
      </c>
      <c r="J46" s="3" t="str">
        <f t="shared" si="6"/>
        <v>2</v>
      </c>
      <c r="K46" t="s">
        <v>87</v>
      </c>
      <c r="L46" s="10" t="str">
        <f t="shared" si="7"/>
        <v>1</v>
      </c>
      <c r="M46" t="s">
        <v>37</v>
      </c>
      <c r="N46" s="3" t="str">
        <f t="shared" si="8"/>
        <v>0</v>
      </c>
      <c r="O46" s="9">
        <f t="shared" si="9"/>
        <v>16.3</v>
      </c>
    </row>
    <row r="47" spans="2:16" x14ac:dyDescent="0.2">
      <c r="B47">
        <v>29</v>
      </c>
      <c r="C47" s="3">
        <v>21</v>
      </c>
      <c r="D47" s="3">
        <v>388</v>
      </c>
      <c r="E47">
        <v>28</v>
      </c>
      <c r="F47" t="s">
        <v>263</v>
      </c>
      <c r="G47">
        <v>1</v>
      </c>
      <c r="H47" s="9">
        <f t="shared" si="5"/>
        <v>0.1</v>
      </c>
      <c r="I47" t="s">
        <v>31</v>
      </c>
      <c r="J47" s="3" t="str">
        <f t="shared" si="6"/>
        <v>2</v>
      </c>
      <c r="K47" t="s">
        <v>87</v>
      </c>
      <c r="L47" s="10" t="str">
        <f t="shared" si="7"/>
        <v>1</v>
      </c>
      <c r="M47" t="s">
        <v>37</v>
      </c>
      <c r="N47" s="3" t="str">
        <f t="shared" si="8"/>
        <v>0</v>
      </c>
      <c r="O47" s="9">
        <f t="shared" si="9"/>
        <v>16.3</v>
      </c>
    </row>
    <row r="48" spans="2:16" x14ac:dyDescent="0.2">
      <c r="B48">
        <v>14</v>
      </c>
      <c r="C48" s="3">
        <v>21</v>
      </c>
      <c r="D48" s="3" t="s">
        <v>99</v>
      </c>
      <c r="E48">
        <v>11</v>
      </c>
      <c r="F48" t="s">
        <v>263</v>
      </c>
      <c r="G48">
        <v>3</v>
      </c>
      <c r="H48" s="9">
        <f t="shared" si="5"/>
        <v>0.3</v>
      </c>
      <c r="I48" t="s">
        <v>52</v>
      </c>
      <c r="J48" s="3" t="str">
        <f t="shared" si="6"/>
        <v>1</v>
      </c>
      <c r="K48" t="s">
        <v>87</v>
      </c>
      <c r="L48" s="10" t="str">
        <f t="shared" si="7"/>
        <v>1</v>
      </c>
      <c r="M48" t="s">
        <v>37</v>
      </c>
      <c r="N48" s="3" t="str">
        <f t="shared" si="8"/>
        <v>0</v>
      </c>
      <c r="O48" s="9">
        <f t="shared" si="9"/>
        <v>11.9</v>
      </c>
    </row>
    <row r="49" spans="2:16" x14ac:dyDescent="0.2">
      <c r="B49">
        <v>4</v>
      </c>
      <c r="C49" s="3">
        <v>22</v>
      </c>
      <c r="D49" s="3" t="s">
        <v>80</v>
      </c>
      <c r="E49">
        <v>3</v>
      </c>
      <c r="F49" t="s">
        <v>86</v>
      </c>
      <c r="G49">
        <v>3</v>
      </c>
      <c r="H49" s="9">
        <f t="shared" si="5"/>
        <v>0.3</v>
      </c>
      <c r="I49" t="s">
        <v>52</v>
      </c>
      <c r="J49" s="3" t="str">
        <f t="shared" si="6"/>
        <v>1</v>
      </c>
      <c r="K49" t="s">
        <v>87</v>
      </c>
      <c r="L49" s="10" t="str">
        <f t="shared" si="7"/>
        <v>1</v>
      </c>
      <c r="M49" t="s">
        <v>37</v>
      </c>
      <c r="N49" s="3" t="str">
        <f t="shared" si="8"/>
        <v>0</v>
      </c>
      <c r="O49" s="9">
        <f t="shared" si="9"/>
        <v>11.9</v>
      </c>
    </row>
    <row r="50" spans="2:16" x14ac:dyDescent="0.2">
      <c r="B50">
        <v>5</v>
      </c>
      <c r="C50" s="3">
        <v>22</v>
      </c>
      <c r="D50" s="3" t="s">
        <v>80</v>
      </c>
      <c r="E50">
        <v>4</v>
      </c>
      <c r="F50" t="s">
        <v>263</v>
      </c>
      <c r="G50">
        <v>3</v>
      </c>
      <c r="H50" s="9">
        <f t="shared" si="5"/>
        <v>0.3</v>
      </c>
      <c r="I50" t="s">
        <v>52</v>
      </c>
      <c r="J50" s="3" t="str">
        <f t="shared" si="6"/>
        <v>1</v>
      </c>
      <c r="K50" t="s">
        <v>87</v>
      </c>
      <c r="L50" s="10" t="str">
        <f t="shared" si="7"/>
        <v>1</v>
      </c>
      <c r="M50" t="s">
        <v>37</v>
      </c>
      <c r="N50" s="3" t="str">
        <f t="shared" si="8"/>
        <v>0</v>
      </c>
      <c r="O50" s="9">
        <f t="shared" si="9"/>
        <v>11.9</v>
      </c>
    </row>
    <row r="51" spans="2:16" x14ac:dyDescent="0.2">
      <c r="B51">
        <v>240</v>
      </c>
      <c r="C51" s="3" t="s">
        <v>184</v>
      </c>
      <c r="D51" s="3" t="s">
        <v>185</v>
      </c>
      <c r="E51">
        <v>19</v>
      </c>
      <c r="F51" t="s">
        <v>289</v>
      </c>
      <c r="G51">
        <v>3</v>
      </c>
      <c r="H51" s="9">
        <f t="shared" si="5"/>
        <v>0.3</v>
      </c>
      <c r="I51" t="s">
        <v>52</v>
      </c>
      <c r="J51" s="3" t="str">
        <f t="shared" si="6"/>
        <v>1</v>
      </c>
      <c r="K51" t="s">
        <v>87</v>
      </c>
      <c r="L51" s="10" t="str">
        <f t="shared" si="7"/>
        <v>1</v>
      </c>
      <c r="M51" t="s">
        <v>37</v>
      </c>
      <c r="N51" s="3" t="str">
        <f t="shared" si="8"/>
        <v>0</v>
      </c>
      <c r="O51" s="9">
        <f t="shared" si="9"/>
        <v>11.9</v>
      </c>
    </row>
    <row r="52" spans="2:16" x14ac:dyDescent="0.2">
      <c r="B52">
        <v>57</v>
      </c>
      <c r="C52" s="3" t="s">
        <v>122</v>
      </c>
      <c r="D52" s="3" t="s">
        <v>78</v>
      </c>
      <c r="E52">
        <v>8</v>
      </c>
      <c r="F52" t="s">
        <v>285</v>
      </c>
      <c r="G52">
        <v>3</v>
      </c>
      <c r="H52" s="9">
        <f t="shared" si="5"/>
        <v>0.3</v>
      </c>
      <c r="I52" t="s">
        <v>52</v>
      </c>
      <c r="J52" s="3" t="str">
        <f t="shared" si="6"/>
        <v>1</v>
      </c>
      <c r="K52" t="s">
        <v>87</v>
      </c>
      <c r="L52" s="10" t="str">
        <f t="shared" si="7"/>
        <v>1</v>
      </c>
      <c r="M52" t="s">
        <v>37</v>
      </c>
      <c r="N52" s="3" t="str">
        <f t="shared" si="8"/>
        <v>0</v>
      </c>
      <c r="O52" s="9">
        <f t="shared" si="9"/>
        <v>11.9</v>
      </c>
    </row>
    <row r="53" spans="2:16" x14ac:dyDescent="0.2">
      <c r="B53">
        <v>38</v>
      </c>
      <c r="C53" s="3">
        <v>21</v>
      </c>
      <c r="D53" s="3">
        <v>126</v>
      </c>
      <c r="E53">
        <v>37</v>
      </c>
      <c r="F53" t="s">
        <v>263</v>
      </c>
      <c r="G53">
        <v>2</v>
      </c>
      <c r="H53" s="9">
        <f t="shared" si="5"/>
        <v>0.2</v>
      </c>
      <c r="I53" t="s">
        <v>52</v>
      </c>
      <c r="J53" s="3" t="str">
        <f t="shared" si="6"/>
        <v>1</v>
      </c>
      <c r="K53" t="s">
        <v>87</v>
      </c>
      <c r="L53" s="10" t="str">
        <f t="shared" si="7"/>
        <v>1</v>
      </c>
      <c r="M53" t="s">
        <v>37</v>
      </c>
      <c r="N53" s="3" t="str">
        <f t="shared" si="8"/>
        <v>0</v>
      </c>
      <c r="O53" s="9">
        <f t="shared" si="9"/>
        <v>11.6</v>
      </c>
    </row>
    <row r="54" spans="2:16" x14ac:dyDescent="0.2">
      <c r="B54">
        <v>49</v>
      </c>
      <c r="C54" s="3">
        <v>21</v>
      </c>
      <c r="D54" s="3">
        <v>1673</v>
      </c>
      <c r="E54">
        <v>48</v>
      </c>
      <c r="F54" t="s">
        <v>263</v>
      </c>
      <c r="G54">
        <v>2</v>
      </c>
      <c r="H54" s="9">
        <f t="shared" si="5"/>
        <v>0.2</v>
      </c>
      <c r="I54" t="s">
        <v>52</v>
      </c>
      <c r="J54" s="3" t="str">
        <f t="shared" si="6"/>
        <v>1</v>
      </c>
      <c r="K54" t="s">
        <v>87</v>
      </c>
      <c r="L54" s="10" t="str">
        <f t="shared" si="7"/>
        <v>1</v>
      </c>
      <c r="M54" t="s">
        <v>37</v>
      </c>
      <c r="N54" s="3" t="str">
        <f t="shared" si="8"/>
        <v>0</v>
      </c>
      <c r="O54" s="9">
        <f t="shared" si="9"/>
        <v>11.6</v>
      </c>
      <c r="P54" t="s">
        <v>120</v>
      </c>
    </row>
    <row r="55" spans="2:16" x14ac:dyDescent="0.2">
      <c r="B55">
        <v>246</v>
      </c>
      <c r="C55" s="3" t="s">
        <v>184</v>
      </c>
      <c r="D55" s="3" t="s">
        <v>78</v>
      </c>
      <c r="E55">
        <v>6</v>
      </c>
      <c r="F55" t="s">
        <v>265</v>
      </c>
      <c r="G55">
        <v>2</v>
      </c>
      <c r="H55" s="9">
        <f t="shared" si="5"/>
        <v>0.2</v>
      </c>
      <c r="I55" t="s">
        <v>52</v>
      </c>
      <c r="J55" s="3" t="str">
        <f t="shared" si="6"/>
        <v>1</v>
      </c>
      <c r="K55" t="s">
        <v>87</v>
      </c>
      <c r="L55" s="10" t="str">
        <f t="shared" si="7"/>
        <v>1</v>
      </c>
      <c r="M55" t="s">
        <v>37</v>
      </c>
      <c r="N55" s="3" t="str">
        <f t="shared" si="8"/>
        <v>0</v>
      </c>
      <c r="O55" s="9">
        <f t="shared" si="9"/>
        <v>11.6</v>
      </c>
    </row>
    <row r="56" spans="2:16" x14ac:dyDescent="0.2">
      <c r="B56">
        <v>55</v>
      </c>
      <c r="C56" s="3" t="s">
        <v>122</v>
      </c>
      <c r="D56" s="3" t="s">
        <v>78</v>
      </c>
      <c r="E56">
        <v>6</v>
      </c>
      <c r="F56" t="s">
        <v>285</v>
      </c>
      <c r="G56">
        <v>2</v>
      </c>
      <c r="H56" s="9">
        <f t="shared" si="5"/>
        <v>0.2</v>
      </c>
      <c r="I56" t="s">
        <v>52</v>
      </c>
      <c r="J56" s="3" t="str">
        <f t="shared" si="6"/>
        <v>1</v>
      </c>
      <c r="K56" t="s">
        <v>87</v>
      </c>
      <c r="L56" s="10" t="str">
        <f t="shared" si="7"/>
        <v>1</v>
      </c>
      <c r="M56" t="s">
        <v>37</v>
      </c>
      <c r="N56" s="3" t="str">
        <f t="shared" si="8"/>
        <v>0</v>
      </c>
      <c r="O56" s="9">
        <f t="shared" si="9"/>
        <v>11.6</v>
      </c>
    </row>
    <row r="57" spans="2:16" x14ac:dyDescent="0.2">
      <c r="B57">
        <v>56</v>
      </c>
      <c r="C57" s="3" t="s">
        <v>122</v>
      </c>
      <c r="D57" s="3" t="s">
        <v>78</v>
      </c>
      <c r="E57">
        <v>7</v>
      </c>
      <c r="F57" t="s">
        <v>285</v>
      </c>
      <c r="G57">
        <v>2</v>
      </c>
      <c r="H57" s="9">
        <f t="shared" si="5"/>
        <v>0.2</v>
      </c>
      <c r="I57" t="s">
        <v>52</v>
      </c>
      <c r="J57" s="3" t="str">
        <f t="shared" si="6"/>
        <v>1</v>
      </c>
      <c r="K57" t="s">
        <v>87</v>
      </c>
      <c r="L57" s="10" t="str">
        <f t="shared" si="7"/>
        <v>1</v>
      </c>
      <c r="M57" t="s">
        <v>37</v>
      </c>
      <c r="N57" s="3" t="str">
        <f t="shared" si="8"/>
        <v>0</v>
      </c>
      <c r="O57" s="9">
        <f t="shared" si="9"/>
        <v>11.6</v>
      </c>
    </row>
    <row r="58" spans="2:16" x14ac:dyDescent="0.2">
      <c r="B58">
        <v>34</v>
      </c>
      <c r="C58" s="3">
        <v>21</v>
      </c>
      <c r="D58" s="3">
        <v>10</v>
      </c>
      <c r="E58">
        <v>33</v>
      </c>
      <c r="F58" t="s">
        <v>263</v>
      </c>
      <c r="G58">
        <v>1</v>
      </c>
      <c r="H58" s="9">
        <f t="shared" si="5"/>
        <v>0.1</v>
      </c>
      <c r="I58" t="s">
        <v>52</v>
      </c>
      <c r="J58" s="3" t="str">
        <f t="shared" si="6"/>
        <v>1</v>
      </c>
      <c r="K58" t="s">
        <v>87</v>
      </c>
      <c r="L58" s="10" t="str">
        <f t="shared" si="7"/>
        <v>1</v>
      </c>
      <c r="M58" t="s">
        <v>37</v>
      </c>
      <c r="N58" s="3" t="str">
        <f t="shared" si="8"/>
        <v>0</v>
      </c>
      <c r="O58" s="9">
        <f t="shared" si="9"/>
        <v>11.3</v>
      </c>
    </row>
    <row r="59" spans="2:16" x14ac:dyDescent="0.2">
      <c r="B59">
        <v>32</v>
      </c>
      <c r="C59" s="3">
        <v>21</v>
      </c>
      <c r="D59" s="3">
        <v>54</v>
      </c>
      <c r="E59">
        <v>1</v>
      </c>
      <c r="F59" t="s">
        <v>263</v>
      </c>
      <c r="G59">
        <v>1</v>
      </c>
      <c r="H59" s="9">
        <f t="shared" si="5"/>
        <v>0.1</v>
      </c>
      <c r="I59" t="s">
        <v>52</v>
      </c>
      <c r="J59" s="3" t="str">
        <f t="shared" si="6"/>
        <v>1</v>
      </c>
      <c r="K59" t="s">
        <v>87</v>
      </c>
      <c r="L59" s="10" t="str">
        <f t="shared" si="7"/>
        <v>1</v>
      </c>
      <c r="M59" t="s">
        <v>37</v>
      </c>
      <c r="N59" s="3" t="str">
        <f t="shared" si="8"/>
        <v>0</v>
      </c>
      <c r="O59" s="9">
        <f t="shared" si="9"/>
        <v>11.3</v>
      </c>
    </row>
    <row r="60" spans="2:16" x14ac:dyDescent="0.2">
      <c r="B60">
        <v>31</v>
      </c>
      <c r="C60" s="3">
        <v>21</v>
      </c>
      <c r="D60" s="3">
        <v>124</v>
      </c>
      <c r="E60">
        <v>30</v>
      </c>
      <c r="F60" t="s">
        <v>263</v>
      </c>
      <c r="G60">
        <v>1</v>
      </c>
      <c r="H60" s="9">
        <f t="shared" si="5"/>
        <v>0.1</v>
      </c>
      <c r="I60" t="s">
        <v>52</v>
      </c>
      <c r="J60" s="3" t="str">
        <f t="shared" si="6"/>
        <v>1</v>
      </c>
      <c r="K60" t="s">
        <v>87</v>
      </c>
      <c r="L60" s="10" t="str">
        <f t="shared" si="7"/>
        <v>1</v>
      </c>
      <c r="M60" t="s">
        <v>37</v>
      </c>
      <c r="N60" s="3" t="str">
        <f t="shared" si="8"/>
        <v>0</v>
      </c>
      <c r="O60" s="9">
        <f t="shared" si="9"/>
        <v>11.3</v>
      </c>
    </row>
    <row r="61" spans="2:16" x14ac:dyDescent="0.2">
      <c r="B61">
        <v>30</v>
      </c>
      <c r="C61" s="3">
        <v>21</v>
      </c>
      <c r="D61" s="3">
        <v>203</v>
      </c>
      <c r="E61">
        <v>29</v>
      </c>
      <c r="F61" t="s">
        <v>263</v>
      </c>
      <c r="G61">
        <v>1</v>
      </c>
      <c r="H61" s="9">
        <f t="shared" si="5"/>
        <v>0.1</v>
      </c>
      <c r="I61" t="s">
        <v>52</v>
      </c>
      <c r="J61" s="3" t="str">
        <f t="shared" si="6"/>
        <v>1</v>
      </c>
      <c r="K61" t="s">
        <v>87</v>
      </c>
      <c r="L61" s="10" t="str">
        <f t="shared" si="7"/>
        <v>1</v>
      </c>
      <c r="M61" t="s">
        <v>37</v>
      </c>
      <c r="N61" s="3" t="str">
        <f t="shared" si="8"/>
        <v>0</v>
      </c>
      <c r="O61" s="9">
        <f t="shared" si="9"/>
        <v>11.3</v>
      </c>
    </row>
    <row r="62" spans="2:16" x14ac:dyDescent="0.2">
      <c r="B62">
        <v>42</v>
      </c>
      <c r="C62" s="3">
        <v>21</v>
      </c>
      <c r="D62" s="3">
        <v>452</v>
      </c>
      <c r="E62">
        <v>41</v>
      </c>
      <c r="F62" t="s">
        <v>269</v>
      </c>
      <c r="G62">
        <v>1</v>
      </c>
      <c r="H62" s="9">
        <f t="shared" si="5"/>
        <v>0.1</v>
      </c>
      <c r="I62" t="s">
        <v>52</v>
      </c>
      <c r="J62" s="3" t="str">
        <f t="shared" si="6"/>
        <v>1</v>
      </c>
      <c r="K62" t="s">
        <v>87</v>
      </c>
      <c r="L62" s="10" t="str">
        <f t="shared" si="7"/>
        <v>1</v>
      </c>
      <c r="M62" t="s">
        <v>37</v>
      </c>
      <c r="N62" s="3" t="str">
        <f t="shared" si="8"/>
        <v>0</v>
      </c>
      <c r="O62" s="9">
        <f t="shared" si="9"/>
        <v>11.3</v>
      </c>
    </row>
    <row r="63" spans="2:16" x14ac:dyDescent="0.2">
      <c r="B63">
        <v>43</v>
      </c>
      <c r="C63" s="3">
        <v>21</v>
      </c>
      <c r="D63" s="3">
        <v>599</v>
      </c>
      <c r="E63">
        <v>42</v>
      </c>
      <c r="F63" t="s">
        <v>271</v>
      </c>
      <c r="G63">
        <v>1</v>
      </c>
      <c r="H63" s="9">
        <f t="shared" si="5"/>
        <v>0.1</v>
      </c>
      <c r="I63" t="s">
        <v>52</v>
      </c>
      <c r="J63" s="3" t="str">
        <f t="shared" si="6"/>
        <v>1</v>
      </c>
      <c r="K63" t="s">
        <v>87</v>
      </c>
      <c r="L63" s="10" t="str">
        <f t="shared" si="7"/>
        <v>1</v>
      </c>
      <c r="M63" t="s">
        <v>37</v>
      </c>
      <c r="N63" s="3" t="str">
        <f t="shared" si="8"/>
        <v>0</v>
      </c>
      <c r="O63" s="9">
        <f t="shared" si="9"/>
        <v>11.3</v>
      </c>
    </row>
    <row r="64" spans="2:16" x14ac:dyDescent="0.2">
      <c r="B64">
        <v>21</v>
      </c>
      <c r="C64" s="3">
        <v>21</v>
      </c>
      <c r="D64" s="3" t="s">
        <v>105</v>
      </c>
      <c r="E64">
        <v>20</v>
      </c>
      <c r="F64" t="s">
        <v>263</v>
      </c>
      <c r="G64">
        <v>1</v>
      </c>
      <c r="H64" s="9">
        <f t="shared" si="5"/>
        <v>0.1</v>
      </c>
      <c r="I64" t="s">
        <v>52</v>
      </c>
      <c r="J64" s="3" t="str">
        <f t="shared" si="6"/>
        <v>1</v>
      </c>
      <c r="K64" t="s">
        <v>87</v>
      </c>
      <c r="L64" s="10" t="str">
        <f t="shared" si="7"/>
        <v>1</v>
      </c>
      <c r="M64" t="s">
        <v>37</v>
      </c>
      <c r="N64" s="3" t="str">
        <f t="shared" si="8"/>
        <v>0</v>
      </c>
      <c r="O64" s="9">
        <f t="shared" si="9"/>
        <v>11.3</v>
      </c>
    </row>
    <row r="65" spans="2:16" x14ac:dyDescent="0.2">
      <c r="B65">
        <v>20</v>
      </c>
      <c r="C65" s="3">
        <v>21</v>
      </c>
      <c r="D65" s="3" t="s">
        <v>47</v>
      </c>
      <c r="E65">
        <v>19</v>
      </c>
      <c r="F65" t="s">
        <v>285</v>
      </c>
      <c r="G65">
        <v>1</v>
      </c>
      <c r="H65" s="9">
        <f t="shared" si="5"/>
        <v>0.1</v>
      </c>
      <c r="I65" t="s">
        <v>52</v>
      </c>
      <c r="J65" s="3" t="str">
        <f t="shared" si="6"/>
        <v>1</v>
      </c>
      <c r="K65" t="s">
        <v>87</v>
      </c>
      <c r="L65" s="10" t="str">
        <f t="shared" si="7"/>
        <v>1</v>
      </c>
      <c r="M65" t="s">
        <v>37</v>
      </c>
      <c r="N65" s="3" t="str">
        <f t="shared" si="8"/>
        <v>0</v>
      </c>
      <c r="O65" s="9">
        <f t="shared" si="9"/>
        <v>11.3</v>
      </c>
    </row>
    <row r="66" spans="2:16" x14ac:dyDescent="0.2">
      <c r="B66">
        <v>24</v>
      </c>
      <c r="C66" s="3">
        <v>21</v>
      </c>
      <c r="D66" s="3" t="s">
        <v>109</v>
      </c>
      <c r="E66">
        <v>23</v>
      </c>
      <c r="F66" t="s">
        <v>263</v>
      </c>
      <c r="G66">
        <v>1</v>
      </c>
      <c r="H66" s="9">
        <f t="shared" si="5"/>
        <v>0.1</v>
      </c>
      <c r="I66" t="s">
        <v>52</v>
      </c>
      <c r="J66" s="3" t="str">
        <f t="shared" si="6"/>
        <v>1</v>
      </c>
      <c r="K66" t="s">
        <v>87</v>
      </c>
      <c r="L66" s="10" t="str">
        <f t="shared" si="7"/>
        <v>1</v>
      </c>
      <c r="M66" t="s">
        <v>37</v>
      </c>
      <c r="N66" s="3" t="str">
        <f t="shared" si="8"/>
        <v>0</v>
      </c>
      <c r="O66" s="9">
        <f t="shared" si="9"/>
        <v>11.3</v>
      </c>
    </row>
    <row r="67" spans="2:16" x14ac:dyDescent="0.2">
      <c r="B67">
        <v>23</v>
      </c>
      <c r="C67" s="3">
        <v>21</v>
      </c>
      <c r="D67" s="3" t="s">
        <v>108</v>
      </c>
      <c r="E67">
        <v>22</v>
      </c>
      <c r="F67" t="s">
        <v>263</v>
      </c>
      <c r="G67">
        <v>1</v>
      </c>
      <c r="H67" s="9">
        <f t="shared" ref="H67:H77" si="10">G67/10</f>
        <v>0.1</v>
      </c>
      <c r="I67" t="s">
        <v>52</v>
      </c>
      <c r="J67" s="3" t="str">
        <f t="shared" ref="J67:J77" si="11">IF(I67="N/A","0",IF(I67="Excellent","1",IF(I67="Very Good","1",IF(I67="Good","2",IF(I67="Fair","3",IF(I67="Poor","4",IF(I67="Critical","5",IF(I67="Dead","5"))))))))</f>
        <v>1</v>
      </c>
      <c r="K67" t="s">
        <v>87</v>
      </c>
      <c r="L67" s="10" t="str">
        <f t="shared" ref="L67:L77" si="12">IF(K67="Removal","5",IF(K67="Pruning: Deadwood 1","4",IF(K67="Pruning: Deadwood 2","3",IF(K67="Pruning: Routine","2",IF(K67="Pruning: Training","1",IF(K67="Plant","0",IF(K67="Other - see notes","0",)))))))</f>
        <v>1</v>
      </c>
      <c r="M67" t="s">
        <v>37</v>
      </c>
      <c r="N67" s="3" t="str">
        <f t="shared" ref="N67:N77" si="13">IF(M67="no risk","0",IF(M67="None","0",IF(M67="Minimal Risk","1",IF(M67="Moderate Risk","2",IF(M67="High Risk","4",IF(M67="Severe Risk","5"))))))</f>
        <v>0</v>
      </c>
      <c r="O67" s="9">
        <f t="shared" ref="O67:O77" si="14">($G$2*H67)+($I$2*J67)+($K$2*L67)+($M$2*N67)</f>
        <v>11.3</v>
      </c>
    </row>
    <row r="68" spans="2:16" x14ac:dyDescent="0.2">
      <c r="B68">
        <v>26</v>
      </c>
      <c r="C68" s="3">
        <v>21</v>
      </c>
      <c r="D68" s="3" t="s">
        <v>110</v>
      </c>
      <c r="E68">
        <v>25</v>
      </c>
      <c r="F68" t="s">
        <v>263</v>
      </c>
      <c r="G68">
        <v>1</v>
      </c>
      <c r="H68" s="9">
        <f t="shared" si="10"/>
        <v>0.1</v>
      </c>
      <c r="I68" t="s">
        <v>52</v>
      </c>
      <c r="J68" s="3" t="str">
        <f t="shared" si="11"/>
        <v>1</v>
      </c>
      <c r="K68" t="s">
        <v>87</v>
      </c>
      <c r="L68" s="10" t="str">
        <f t="shared" si="12"/>
        <v>1</v>
      </c>
      <c r="M68" t="s">
        <v>37</v>
      </c>
      <c r="N68" s="3" t="str">
        <f t="shared" si="13"/>
        <v>0</v>
      </c>
      <c r="O68" s="9">
        <f t="shared" si="14"/>
        <v>11.3</v>
      </c>
    </row>
    <row r="69" spans="2:16" x14ac:dyDescent="0.2">
      <c r="B69">
        <v>27</v>
      </c>
      <c r="C69" s="3">
        <v>21</v>
      </c>
      <c r="D69" s="3" t="s">
        <v>111</v>
      </c>
      <c r="E69">
        <v>26</v>
      </c>
      <c r="F69" t="s">
        <v>263</v>
      </c>
      <c r="G69">
        <v>1</v>
      </c>
      <c r="H69" s="9">
        <f t="shared" si="10"/>
        <v>0.1</v>
      </c>
      <c r="I69" t="s">
        <v>52</v>
      </c>
      <c r="J69" s="3" t="str">
        <f t="shared" si="11"/>
        <v>1</v>
      </c>
      <c r="K69" t="s">
        <v>87</v>
      </c>
      <c r="L69" s="10" t="str">
        <f t="shared" si="12"/>
        <v>1</v>
      </c>
      <c r="M69" t="s">
        <v>37</v>
      </c>
      <c r="N69" s="3" t="str">
        <f t="shared" si="13"/>
        <v>0</v>
      </c>
      <c r="O69" s="9">
        <f t="shared" si="14"/>
        <v>11.3</v>
      </c>
    </row>
    <row r="70" spans="2:16" x14ac:dyDescent="0.2">
      <c r="B70">
        <v>82</v>
      </c>
      <c r="C70" s="3" t="s">
        <v>160</v>
      </c>
      <c r="D70" s="3" t="s">
        <v>78</v>
      </c>
      <c r="E70">
        <v>1</v>
      </c>
      <c r="F70" t="s">
        <v>263</v>
      </c>
      <c r="G70">
        <v>1</v>
      </c>
      <c r="H70" s="9">
        <f t="shared" si="10"/>
        <v>0.1</v>
      </c>
      <c r="I70" t="s">
        <v>52</v>
      </c>
      <c r="J70" s="3" t="str">
        <f t="shared" si="11"/>
        <v>1</v>
      </c>
      <c r="K70" t="s">
        <v>87</v>
      </c>
      <c r="L70" s="10" t="str">
        <f t="shared" si="12"/>
        <v>1</v>
      </c>
      <c r="M70" t="s">
        <v>37</v>
      </c>
      <c r="N70" s="3" t="str">
        <f t="shared" si="13"/>
        <v>0</v>
      </c>
      <c r="O70" s="9">
        <f t="shared" si="14"/>
        <v>11.3</v>
      </c>
      <c r="P70" t="s">
        <v>159</v>
      </c>
    </row>
    <row r="71" spans="2:16" x14ac:dyDescent="0.2">
      <c r="B71">
        <v>83</v>
      </c>
      <c r="C71" s="3" t="s">
        <v>160</v>
      </c>
      <c r="D71" s="3" t="s">
        <v>78</v>
      </c>
      <c r="E71">
        <v>2</v>
      </c>
      <c r="F71" t="s">
        <v>263</v>
      </c>
      <c r="G71">
        <v>1</v>
      </c>
      <c r="H71" s="9">
        <f t="shared" si="10"/>
        <v>0.1</v>
      </c>
      <c r="I71" t="s">
        <v>52</v>
      </c>
      <c r="J71" s="3" t="str">
        <f t="shared" si="11"/>
        <v>1</v>
      </c>
      <c r="K71" t="s">
        <v>87</v>
      </c>
      <c r="L71" s="10" t="str">
        <f t="shared" si="12"/>
        <v>1</v>
      </c>
      <c r="M71" t="s">
        <v>37</v>
      </c>
      <c r="N71" s="3" t="str">
        <f t="shared" si="13"/>
        <v>0</v>
      </c>
      <c r="O71" s="9">
        <f t="shared" si="14"/>
        <v>11.3</v>
      </c>
      <c r="P71" t="s">
        <v>161</v>
      </c>
    </row>
    <row r="72" spans="2:16" x14ac:dyDescent="0.2">
      <c r="B72">
        <v>84</v>
      </c>
      <c r="C72" s="3" t="s">
        <v>160</v>
      </c>
      <c r="D72" s="3" t="s">
        <v>78</v>
      </c>
      <c r="E72">
        <v>3</v>
      </c>
      <c r="F72" t="s">
        <v>263</v>
      </c>
      <c r="G72">
        <v>1</v>
      </c>
      <c r="H72" s="9">
        <f t="shared" si="10"/>
        <v>0.1</v>
      </c>
      <c r="I72" t="s">
        <v>52</v>
      </c>
      <c r="J72" s="3" t="str">
        <f t="shared" si="11"/>
        <v>1</v>
      </c>
      <c r="K72" t="s">
        <v>87</v>
      </c>
      <c r="L72" s="10" t="str">
        <f t="shared" si="12"/>
        <v>1</v>
      </c>
      <c r="M72" t="s">
        <v>37</v>
      </c>
      <c r="N72" s="3" t="str">
        <f t="shared" si="13"/>
        <v>0</v>
      </c>
      <c r="O72" s="9">
        <f t="shared" si="14"/>
        <v>11.3</v>
      </c>
    </row>
    <row r="73" spans="2:16" x14ac:dyDescent="0.2">
      <c r="B73">
        <v>85</v>
      </c>
      <c r="C73" s="3" t="s">
        <v>160</v>
      </c>
      <c r="D73" s="3" t="s">
        <v>78</v>
      </c>
      <c r="E73">
        <v>4</v>
      </c>
      <c r="F73" t="s">
        <v>263</v>
      </c>
      <c r="G73">
        <v>1</v>
      </c>
      <c r="H73" s="9">
        <f t="shared" si="10"/>
        <v>0.1</v>
      </c>
      <c r="I73" t="s">
        <v>52</v>
      </c>
      <c r="J73" s="3" t="str">
        <f t="shared" si="11"/>
        <v>1</v>
      </c>
      <c r="K73" t="s">
        <v>87</v>
      </c>
      <c r="L73" s="10" t="str">
        <f t="shared" si="12"/>
        <v>1</v>
      </c>
      <c r="M73" t="s">
        <v>37</v>
      </c>
      <c r="N73" s="3" t="str">
        <f t="shared" si="13"/>
        <v>0</v>
      </c>
      <c r="O73" s="9">
        <f t="shared" si="14"/>
        <v>11.3</v>
      </c>
      <c r="P73" t="s">
        <v>161</v>
      </c>
    </row>
    <row r="74" spans="2:16" x14ac:dyDescent="0.2">
      <c r="B74">
        <v>86</v>
      </c>
      <c r="C74" s="3" t="s">
        <v>160</v>
      </c>
      <c r="D74" s="3" t="s">
        <v>78</v>
      </c>
      <c r="E74">
        <v>5</v>
      </c>
      <c r="F74" t="s">
        <v>263</v>
      </c>
      <c r="G74">
        <v>1</v>
      </c>
      <c r="H74" s="9">
        <f t="shared" si="10"/>
        <v>0.1</v>
      </c>
      <c r="I74" t="s">
        <v>52</v>
      </c>
      <c r="J74" s="3" t="str">
        <f t="shared" si="11"/>
        <v>1</v>
      </c>
      <c r="K74" t="s">
        <v>87</v>
      </c>
      <c r="L74" s="10" t="str">
        <f t="shared" si="12"/>
        <v>1</v>
      </c>
      <c r="M74" t="s">
        <v>37</v>
      </c>
      <c r="N74" s="3" t="str">
        <f t="shared" si="13"/>
        <v>0</v>
      </c>
      <c r="O74" s="9">
        <f t="shared" si="14"/>
        <v>11.3</v>
      </c>
      <c r="P74" t="s">
        <v>161</v>
      </c>
    </row>
    <row r="75" spans="2:16" x14ac:dyDescent="0.2">
      <c r="B75">
        <v>87</v>
      </c>
      <c r="C75" s="3" t="s">
        <v>160</v>
      </c>
      <c r="D75" s="3" t="s">
        <v>78</v>
      </c>
      <c r="E75">
        <v>6</v>
      </c>
      <c r="F75" t="s">
        <v>263</v>
      </c>
      <c r="G75">
        <v>1</v>
      </c>
      <c r="H75" s="9">
        <f t="shared" si="10"/>
        <v>0.1</v>
      </c>
      <c r="I75" t="s">
        <v>52</v>
      </c>
      <c r="J75" s="3" t="str">
        <f t="shared" si="11"/>
        <v>1</v>
      </c>
      <c r="K75" t="s">
        <v>87</v>
      </c>
      <c r="L75" s="10" t="str">
        <f t="shared" si="12"/>
        <v>1</v>
      </c>
      <c r="M75" t="s">
        <v>37</v>
      </c>
      <c r="N75" s="3" t="str">
        <f t="shared" si="13"/>
        <v>0</v>
      </c>
      <c r="O75" s="9">
        <f t="shared" si="14"/>
        <v>11.3</v>
      </c>
      <c r="P75" t="s">
        <v>162</v>
      </c>
    </row>
    <row r="76" spans="2:16" x14ac:dyDescent="0.2">
      <c r="B76">
        <v>88</v>
      </c>
      <c r="C76" s="3" t="s">
        <v>160</v>
      </c>
      <c r="D76" s="3" t="s">
        <v>78</v>
      </c>
      <c r="E76">
        <v>7</v>
      </c>
      <c r="F76" t="s">
        <v>263</v>
      </c>
      <c r="G76">
        <v>1</v>
      </c>
      <c r="H76" s="9">
        <f t="shared" si="10"/>
        <v>0.1</v>
      </c>
      <c r="I76" t="s">
        <v>52</v>
      </c>
      <c r="J76" s="3" t="str">
        <f t="shared" si="11"/>
        <v>1</v>
      </c>
      <c r="K76" t="s">
        <v>87</v>
      </c>
      <c r="L76" s="10" t="str">
        <f t="shared" si="12"/>
        <v>1</v>
      </c>
      <c r="M76" t="s">
        <v>37</v>
      </c>
      <c r="N76" s="3" t="str">
        <f t="shared" si="13"/>
        <v>0</v>
      </c>
      <c r="O76" s="9">
        <f t="shared" si="14"/>
        <v>11.3</v>
      </c>
      <c r="P76" t="s">
        <v>162</v>
      </c>
    </row>
    <row r="77" spans="2:16" x14ac:dyDescent="0.2">
      <c r="B77">
        <v>89</v>
      </c>
      <c r="C77" s="3" t="s">
        <v>160</v>
      </c>
      <c r="D77" s="3" t="s">
        <v>78</v>
      </c>
      <c r="E77">
        <v>8</v>
      </c>
      <c r="F77" t="s">
        <v>263</v>
      </c>
      <c r="G77">
        <v>1</v>
      </c>
      <c r="H77" s="9">
        <f t="shared" si="10"/>
        <v>0.1</v>
      </c>
      <c r="I77" t="s">
        <v>52</v>
      </c>
      <c r="J77" s="3" t="str">
        <f t="shared" si="11"/>
        <v>1</v>
      </c>
      <c r="K77" t="s">
        <v>87</v>
      </c>
      <c r="L77" s="10" t="str">
        <f t="shared" si="12"/>
        <v>1</v>
      </c>
      <c r="M77" t="s">
        <v>37</v>
      </c>
      <c r="N77" s="3" t="str">
        <f t="shared" si="13"/>
        <v>0</v>
      </c>
      <c r="O77" s="9">
        <f t="shared" si="14"/>
        <v>11.3</v>
      </c>
      <c r="P77" t="s">
        <v>162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7"/>
  <sheetViews>
    <sheetView workbookViewId="0">
      <selection activeCell="G62" sqref="G62"/>
    </sheetView>
  </sheetViews>
  <sheetFormatPr defaultRowHeight="12.75" x14ac:dyDescent="0.2"/>
  <cols>
    <col min="1" max="1" width="20.7109375" bestFit="1" customWidth="1"/>
    <col min="2" max="2" width="4" bestFit="1" customWidth="1"/>
    <col min="3" max="3" width="9.7109375" bestFit="1" customWidth="1"/>
    <col min="4" max="4" width="13.42578125" bestFit="1" customWidth="1"/>
    <col min="5" max="5" width="5.7109375" bestFit="1" customWidth="1"/>
    <col min="6" max="6" width="22.5703125" bestFit="1" customWidth="1"/>
    <col min="7" max="7" width="5.42578125" bestFit="1" customWidth="1"/>
    <col min="8" max="8" width="9.5703125" bestFit="1" customWidth="1"/>
    <col min="9" max="9" width="6.85546875" bestFit="1" customWidth="1"/>
    <col min="10" max="10" width="11" bestFit="1" customWidth="1"/>
    <col min="11" max="11" width="18.85546875" bestFit="1" customWidth="1"/>
    <col min="12" max="12" width="11.7109375" bestFit="1" customWidth="1"/>
    <col min="13" max="13" width="13.140625" bestFit="1" customWidth="1"/>
    <col min="14" max="14" width="10" bestFit="1" customWidth="1"/>
    <col min="15" max="15" width="14.28515625" bestFit="1" customWidth="1"/>
    <col min="16" max="16" width="23.42578125" bestFit="1" customWidth="1"/>
  </cols>
  <sheetData>
    <row r="1" spans="1:16" s="4" customFormat="1" x14ac:dyDescent="0.2">
      <c r="B1" s="4" t="s">
        <v>3</v>
      </c>
      <c r="C1" s="5" t="s">
        <v>57</v>
      </c>
      <c r="D1" s="5" t="s">
        <v>58</v>
      </c>
      <c r="E1" s="5" t="s">
        <v>59</v>
      </c>
      <c r="F1" s="6" t="s">
        <v>64</v>
      </c>
      <c r="G1" s="4" t="s">
        <v>8</v>
      </c>
      <c r="H1" s="7" t="s">
        <v>65</v>
      </c>
      <c r="I1" s="4" t="s">
        <v>9</v>
      </c>
      <c r="J1" s="5" t="s">
        <v>66</v>
      </c>
      <c r="K1" s="4" t="s">
        <v>67</v>
      </c>
      <c r="L1" s="4" t="s">
        <v>68</v>
      </c>
      <c r="M1" s="4" t="s">
        <v>13</v>
      </c>
      <c r="N1" s="5" t="s">
        <v>69</v>
      </c>
      <c r="O1" s="5" t="s">
        <v>70</v>
      </c>
      <c r="P1" s="4" t="s">
        <v>2</v>
      </c>
    </row>
    <row r="2" spans="1:16" s="4" customFormat="1" x14ac:dyDescent="0.2">
      <c r="A2" s="4" t="s">
        <v>71</v>
      </c>
      <c r="B2" s="8"/>
      <c r="C2" s="7"/>
      <c r="D2" s="7"/>
      <c r="E2" s="7"/>
      <c r="F2" s="8"/>
      <c r="G2" s="8">
        <v>3</v>
      </c>
      <c r="H2" s="7"/>
      <c r="I2" s="8">
        <v>5</v>
      </c>
      <c r="J2" s="7"/>
      <c r="K2" s="8">
        <v>6</v>
      </c>
      <c r="L2" s="8"/>
      <c r="M2" s="8">
        <v>10</v>
      </c>
      <c r="N2" s="7"/>
      <c r="O2" s="7"/>
      <c r="P2" s="8"/>
    </row>
    <row r="3" spans="1:16" x14ac:dyDescent="0.2">
      <c r="B3">
        <v>147</v>
      </c>
      <c r="C3" s="3" t="s">
        <v>168</v>
      </c>
      <c r="D3" s="3" t="s">
        <v>78</v>
      </c>
      <c r="E3">
        <v>14</v>
      </c>
      <c r="F3" t="s">
        <v>294</v>
      </c>
      <c r="G3">
        <v>15</v>
      </c>
      <c r="H3" s="9">
        <f t="shared" ref="H3:H34" si="0">G3/10</f>
        <v>1.5</v>
      </c>
      <c r="I3" t="s">
        <v>31</v>
      </c>
      <c r="J3" s="3" t="str">
        <f t="shared" ref="J3:J34" si="1">IF(I3="N/A","0",IF(I3="Excellent","1",IF(I3="Very Good","1",IF(I3="Good","2",IF(I3="Fair","3",IF(I3="Poor","4",IF(I3="Critical","5",IF(I3="Dead","5"))))))))</f>
        <v>2</v>
      </c>
      <c r="K3" t="s">
        <v>87</v>
      </c>
      <c r="L3" s="10" t="str">
        <f t="shared" ref="L3:L34" si="2">IF(K3="Removal","5",IF(K3="Pruning: Deadwood 1","4",IF(K3="Pruning: Deadwood 2","3",IF(K3="Pruning: Routine","2",IF(K3="Pruning: Training","1",IF(K3="Plant","0",IF(K3="Other - see notes","0",)))))))</f>
        <v>1</v>
      </c>
      <c r="M3" t="s">
        <v>37</v>
      </c>
      <c r="N3" s="3" t="str">
        <f t="shared" ref="N3:N34" si="3">IF(M3="no risk","0",IF(M3="None","0",IF(M3="Minimal Risk","1",IF(M3="Moderate Risk","2",IF(M3="High Risk","4",IF(M3="Severe Risk","5"))))))</f>
        <v>0</v>
      </c>
      <c r="O3" s="9">
        <f t="shared" ref="O3:O34" si="4">($G$2*H3)+($I$2*J3)+($K$2*L3)+($M$2*N3)</f>
        <v>20.5</v>
      </c>
    </row>
    <row r="4" spans="1:16" x14ac:dyDescent="0.2">
      <c r="B4">
        <v>28</v>
      </c>
      <c r="C4" s="3">
        <v>21</v>
      </c>
      <c r="D4" s="3" t="s">
        <v>48</v>
      </c>
      <c r="E4">
        <v>27</v>
      </c>
      <c r="F4" t="s">
        <v>263</v>
      </c>
      <c r="G4">
        <v>1</v>
      </c>
      <c r="H4" s="9">
        <f t="shared" si="0"/>
        <v>0.1</v>
      </c>
      <c r="I4" t="s">
        <v>52</v>
      </c>
      <c r="J4" s="3" t="str">
        <f t="shared" si="1"/>
        <v>1</v>
      </c>
      <c r="K4" t="s">
        <v>87</v>
      </c>
      <c r="L4" s="10" t="str">
        <f t="shared" si="2"/>
        <v>1</v>
      </c>
      <c r="M4" t="s">
        <v>34</v>
      </c>
      <c r="N4" s="3" t="str">
        <f t="shared" si="3"/>
        <v>1</v>
      </c>
      <c r="O4" s="9">
        <f t="shared" si="4"/>
        <v>21.3</v>
      </c>
    </row>
    <row r="5" spans="1:16" x14ac:dyDescent="0.2">
      <c r="B5">
        <v>72</v>
      </c>
      <c r="C5" s="3" t="s">
        <v>144</v>
      </c>
      <c r="D5" s="3" t="s">
        <v>145</v>
      </c>
      <c r="E5">
        <v>6</v>
      </c>
      <c r="F5" t="s">
        <v>293</v>
      </c>
      <c r="G5">
        <v>20</v>
      </c>
      <c r="H5" s="9">
        <f t="shared" si="0"/>
        <v>2</v>
      </c>
      <c r="I5" t="s">
        <v>52</v>
      </c>
      <c r="J5" s="3" t="str">
        <f t="shared" si="1"/>
        <v>1</v>
      </c>
      <c r="K5" t="s">
        <v>26</v>
      </c>
      <c r="L5" s="10" t="str">
        <f t="shared" si="2"/>
        <v>2</v>
      </c>
      <c r="M5" t="s">
        <v>37</v>
      </c>
      <c r="N5" s="3" t="str">
        <f t="shared" si="3"/>
        <v>0</v>
      </c>
      <c r="O5" s="9">
        <f t="shared" si="4"/>
        <v>23</v>
      </c>
    </row>
    <row r="6" spans="1:16" x14ac:dyDescent="0.2">
      <c r="B6">
        <v>71</v>
      </c>
      <c r="C6" s="3" t="s">
        <v>55</v>
      </c>
      <c r="D6" s="3" t="s">
        <v>143</v>
      </c>
      <c r="E6">
        <v>1</v>
      </c>
      <c r="F6" t="s">
        <v>293</v>
      </c>
      <c r="G6">
        <v>20</v>
      </c>
      <c r="H6" s="9">
        <f t="shared" si="0"/>
        <v>2</v>
      </c>
      <c r="I6" t="s">
        <v>52</v>
      </c>
      <c r="J6" s="3" t="str">
        <f t="shared" si="1"/>
        <v>1</v>
      </c>
      <c r="K6" t="s">
        <v>26</v>
      </c>
      <c r="L6" s="10" t="str">
        <f t="shared" si="2"/>
        <v>2</v>
      </c>
      <c r="M6" t="s">
        <v>37</v>
      </c>
      <c r="N6" s="3" t="str">
        <f t="shared" si="3"/>
        <v>0</v>
      </c>
      <c r="O6" s="9">
        <f t="shared" si="4"/>
        <v>23</v>
      </c>
    </row>
    <row r="7" spans="1:16" x14ac:dyDescent="0.2">
      <c r="B7">
        <v>70</v>
      </c>
      <c r="C7" s="3" t="s">
        <v>55</v>
      </c>
      <c r="D7" s="3" t="s">
        <v>142</v>
      </c>
      <c r="E7">
        <v>4</v>
      </c>
      <c r="F7" t="s">
        <v>293</v>
      </c>
      <c r="G7">
        <v>20</v>
      </c>
      <c r="H7" s="9">
        <f t="shared" si="0"/>
        <v>2</v>
      </c>
      <c r="I7" t="s">
        <v>52</v>
      </c>
      <c r="J7" s="3" t="str">
        <f t="shared" si="1"/>
        <v>1</v>
      </c>
      <c r="K7" t="s">
        <v>26</v>
      </c>
      <c r="L7" s="10" t="str">
        <f t="shared" si="2"/>
        <v>2</v>
      </c>
      <c r="M7" t="s">
        <v>37</v>
      </c>
      <c r="N7" s="3" t="str">
        <f t="shared" si="3"/>
        <v>0</v>
      </c>
      <c r="O7" s="9">
        <f t="shared" si="4"/>
        <v>23</v>
      </c>
    </row>
    <row r="8" spans="1:16" x14ac:dyDescent="0.2">
      <c r="B8">
        <v>189</v>
      </c>
      <c r="C8" s="3">
        <v>15</v>
      </c>
      <c r="D8" s="3" t="s">
        <v>78</v>
      </c>
      <c r="E8">
        <v>1</v>
      </c>
      <c r="F8" t="s">
        <v>288</v>
      </c>
      <c r="G8">
        <v>18</v>
      </c>
      <c r="H8" s="9">
        <f t="shared" si="0"/>
        <v>1.8</v>
      </c>
      <c r="I8" t="s">
        <v>52</v>
      </c>
      <c r="J8" s="3" t="str">
        <f t="shared" si="1"/>
        <v>1</v>
      </c>
      <c r="K8" t="s">
        <v>26</v>
      </c>
      <c r="L8" s="10" t="str">
        <f t="shared" si="2"/>
        <v>2</v>
      </c>
      <c r="M8" t="s">
        <v>37</v>
      </c>
      <c r="N8" s="3" t="str">
        <f t="shared" si="3"/>
        <v>0</v>
      </c>
      <c r="O8" s="9">
        <f t="shared" si="4"/>
        <v>22.4</v>
      </c>
    </row>
    <row r="9" spans="1:16" x14ac:dyDescent="0.2">
      <c r="B9">
        <v>190</v>
      </c>
      <c r="C9" s="3">
        <v>15</v>
      </c>
      <c r="D9" s="3" t="s">
        <v>78</v>
      </c>
      <c r="E9">
        <v>2</v>
      </c>
      <c r="F9" t="s">
        <v>288</v>
      </c>
      <c r="G9">
        <v>18</v>
      </c>
      <c r="H9" s="9">
        <f t="shared" si="0"/>
        <v>1.8</v>
      </c>
      <c r="I9" t="s">
        <v>52</v>
      </c>
      <c r="J9" s="3" t="str">
        <f t="shared" si="1"/>
        <v>1</v>
      </c>
      <c r="K9" t="s">
        <v>26</v>
      </c>
      <c r="L9" s="10" t="str">
        <f t="shared" si="2"/>
        <v>2</v>
      </c>
      <c r="M9" t="s">
        <v>37</v>
      </c>
      <c r="N9" s="3" t="str">
        <f t="shared" si="3"/>
        <v>0</v>
      </c>
      <c r="O9" s="9">
        <f t="shared" si="4"/>
        <v>22.4</v>
      </c>
    </row>
    <row r="10" spans="1:16" x14ac:dyDescent="0.2">
      <c r="B10">
        <v>191</v>
      </c>
      <c r="C10" s="3">
        <v>15</v>
      </c>
      <c r="D10" s="3" t="s">
        <v>78</v>
      </c>
      <c r="E10">
        <v>3</v>
      </c>
      <c r="F10" t="s">
        <v>270</v>
      </c>
      <c r="G10">
        <v>18</v>
      </c>
      <c r="H10" s="9">
        <f t="shared" si="0"/>
        <v>1.8</v>
      </c>
      <c r="I10" t="s">
        <v>52</v>
      </c>
      <c r="J10" s="3" t="str">
        <f t="shared" si="1"/>
        <v>1</v>
      </c>
      <c r="K10" t="s">
        <v>26</v>
      </c>
      <c r="L10" s="10" t="str">
        <f t="shared" si="2"/>
        <v>2</v>
      </c>
      <c r="M10" t="s">
        <v>37</v>
      </c>
      <c r="N10" s="3" t="str">
        <f t="shared" si="3"/>
        <v>0</v>
      </c>
      <c r="O10" s="9">
        <f t="shared" si="4"/>
        <v>22.4</v>
      </c>
    </row>
    <row r="11" spans="1:16" x14ac:dyDescent="0.2">
      <c r="B11">
        <v>293</v>
      </c>
      <c r="C11" s="3" t="s">
        <v>232</v>
      </c>
      <c r="D11" s="3" t="s">
        <v>78</v>
      </c>
      <c r="E11">
        <v>8</v>
      </c>
      <c r="F11" t="s">
        <v>264</v>
      </c>
      <c r="G11">
        <v>18</v>
      </c>
      <c r="H11" s="9">
        <f t="shared" si="0"/>
        <v>1.8</v>
      </c>
      <c r="I11" t="s">
        <v>52</v>
      </c>
      <c r="J11" s="3" t="str">
        <f t="shared" si="1"/>
        <v>1</v>
      </c>
      <c r="K11" t="s">
        <v>26</v>
      </c>
      <c r="L11" s="10" t="str">
        <f t="shared" si="2"/>
        <v>2</v>
      </c>
      <c r="M11" t="s">
        <v>37</v>
      </c>
      <c r="N11" s="3" t="str">
        <f t="shared" si="3"/>
        <v>0</v>
      </c>
      <c r="O11" s="9">
        <f t="shared" si="4"/>
        <v>22.4</v>
      </c>
    </row>
    <row r="12" spans="1:16" x14ac:dyDescent="0.2">
      <c r="B12">
        <v>69</v>
      </c>
      <c r="C12" s="3" t="s">
        <v>140</v>
      </c>
      <c r="D12" s="3" t="s">
        <v>141</v>
      </c>
      <c r="E12">
        <v>3</v>
      </c>
      <c r="F12" t="s">
        <v>293</v>
      </c>
      <c r="G12">
        <v>18</v>
      </c>
      <c r="H12" s="9">
        <f t="shared" si="0"/>
        <v>1.8</v>
      </c>
      <c r="I12" t="s">
        <v>52</v>
      </c>
      <c r="J12" s="3" t="str">
        <f t="shared" si="1"/>
        <v>1</v>
      </c>
      <c r="K12" t="s">
        <v>26</v>
      </c>
      <c r="L12" s="10" t="str">
        <f t="shared" si="2"/>
        <v>2</v>
      </c>
      <c r="M12" t="s">
        <v>37</v>
      </c>
      <c r="N12" s="3" t="str">
        <f t="shared" si="3"/>
        <v>0</v>
      </c>
      <c r="O12" s="9">
        <f t="shared" si="4"/>
        <v>22.4</v>
      </c>
    </row>
    <row r="13" spans="1:16" x14ac:dyDescent="0.2">
      <c r="B13">
        <v>74</v>
      </c>
      <c r="C13" s="3">
        <v>10</v>
      </c>
      <c r="D13" s="3" t="s">
        <v>148</v>
      </c>
      <c r="E13">
        <v>1</v>
      </c>
      <c r="F13" t="s">
        <v>285</v>
      </c>
      <c r="G13">
        <v>16</v>
      </c>
      <c r="H13" s="9">
        <f t="shared" si="0"/>
        <v>1.6</v>
      </c>
      <c r="I13" t="s">
        <v>52</v>
      </c>
      <c r="J13" s="3" t="str">
        <f t="shared" si="1"/>
        <v>1</v>
      </c>
      <c r="K13" t="s">
        <v>26</v>
      </c>
      <c r="L13" s="10" t="str">
        <f t="shared" si="2"/>
        <v>2</v>
      </c>
      <c r="M13" t="s">
        <v>37</v>
      </c>
      <c r="N13" s="3" t="str">
        <f t="shared" si="3"/>
        <v>0</v>
      </c>
      <c r="O13" s="9">
        <f t="shared" si="4"/>
        <v>21.8</v>
      </c>
    </row>
    <row r="14" spans="1:16" x14ac:dyDescent="0.2">
      <c r="B14">
        <v>188</v>
      </c>
      <c r="C14" s="3">
        <v>24</v>
      </c>
      <c r="D14" s="3" t="s">
        <v>244</v>
      </c>
      <c r="E14">
        <v>1</v>
      </c>
      <c r="F14" t="s">
        <v>285</v>
      </c>
      <c r="G14">
        <v>16</v>
      </c>
      <c r="H14" s="9">
        <f t="shared" si="0"/>
        <v>1.6</v>
      </c>
      <c r="I14" t="s">
        <v>52</v>
      </c>
      <c r="J14" s="3" t="str">
        <f t="shared" si="1"/>
        <v>1</v>
      </c>
      <c r="K14" t="s">
        <v>26</v>
      </c>
      <c r="L14" s="10" t="str">
        <f t="shared" si="2"/>
        <v>2</v>
      </c>
      <c r="M14" t="s">
        <v>37</v>
      </c>
      <c r="N14" s="3" t="str">
        <f t="shared" si="3"/>
        <v>0</v>
      </c>
      <c r="O14" s="9">
        <f t="shared" si="4"/>
        <v>21.8</v>
      </c>
    </row>
    <row r="15" spans="1:16" x14ac:dyDescent="0.2">
      <c r="B15">
        <v>294</v>
      </c>
      <c r="C15" s="3" t="s">
        <v>232</v>
      </c>
      <c r="D15" s="3" t="s">
        <v>78</v>
      </c>
      <c r="E15">
        <v>9</v>
      </c>
      <c r="F15" t="s">
        <v>264</v>
      </c>
      <c r="G15">
        <v>15</v>
      </c>
      <c r="H15" s="9">
        <f t="shared" si="0"/>
        <v>1.5</v>
      </c>
      <c r="I15" t="s">
        <v>52</v>
      </c>
      <c r="J15" s="3" t="str">
        <f t="shared" si="1"/>
        <v>1</v>
      </c>
      <c r="K15" t="s">
        <v>26</v>
      </c>
      <c r="L15" s="10" t="str">
        <f t="shared" si="2"/>
        <v>2</v>
      </c>
      <c r="M15" t="s">
        <v>37</v>
      </c>
      <c r="N15" s="3" t="str">
        <f t="shared" si="3"/>
        <v>0</v>
      </c>
      <c r="O15" s="9">
        <f t="shared" si="4"/>
        <v>21.5</v>
      </c>
    </row>
    <row r="16" spans="1:16" x14ac:dyDescent="0.2">
      <c r="B16">
        <v>76</v>
      </c>
      <c r="C16" s="3">
        <v>6</v>
      </c>
      <c r="D16" s="3" t="s">
        <v>150</v>
      </c>
      <c r="E16">
        <v>1</v>
      </c>
      <c r="F16" t="s">
        <v>285</v>
      </c>
      <c r="G16">
        <v>14</v>
      </c>
      <c r="H16" s="9">
        <f t="shared" si="0"/>
        <v>1.4</v>
      </c>
      <c r="I16" t="s">
        <v>52</v>
      </c>
      <c r="J16" s="3" t="str">
        <f t="shared" si="1"/>
        <v>1</v>
      </c>
      <c r="K16" t="s">
        <v>26</v>
      </c>
      <c r="L16" s="10" t="str">
        <f t="shared" si="2"/>
        <v>2</v>
      </c>
      <c r="M16" t="s">
        <v>37</v>
      </c>
      <c r="N16" s="3" t="str">
        <f t="shared" si="3"/>
        <v>0</v>
      </c>
      <c r="O16" s="9">
        <f t="shared" si="4"/>
        <v>21.2</v>
      </c>
    </row>
    <row r="17" spans="2:15" x14ac:dyDescent="0.2">
      <c r="B17">
        <v>63</v>
      </c>
      <c r="C17" s="3">
        <v>9</v>
      </c>
      <c r="D17" s="3" t="s">
        <v>129</v>
      </c>
      <c r="E17">
        <v>1</v>
      </c>
      <c r="F17" t="s">
        <v>285</v>
      </c>
      <c r="G17">
        <v>14</v>
      </c>
      <c r="H17" s="9">
        <f t="shared" si="0"/>
        <v>1.4</v>
      </c>
      <c r="I17" t="s">
        <v>52</v>
      </c>
      <c r="J17" s="3" t="str">
        <f t="shared" si="1"/>
        <v>1</v>
      </c>
      <c r="K17" t="s">
        <v>26</v>
      </c>
      <c r="L17" s="10" t="str">
        <f t="shared" si="2"/>
        <v>2</v>
      </c>
      <c r="M17" t="s">
        <v>37</v>
      </c>
      <c r="N17" s="3" t="str">
        <f t="shared" si="3"/>
        <v>0</v>
      </c>
      <c r="O17" s="9">
        <f t="shared" si="4"/>
        <v>21.2</v>
      </c>
    </row>
    <row r="18" spans="2:15" x14ac:dyDescent="0.2">
      <c r="B18">
        <v>64</v>
      </c>
      <c r="C18" s="3">
        <v>9</v>
      </c>
      <c r="D18" s="3" t="s">
        <v>130</v>
      </c>
      <c r="E18">
        <v>5</v>
      </c>
      <c r="F18" t="s">
        <v>285</v>
      </c>
      <c r="G18">
        <v>14</v>
      </c>
      <c r="H18" s="9">
        <f t="shared" si="0"/>
        <v>1.4</v>
      </c>
      <c r="I18" t="s">
        <v>52</v>
      </c>
      <c r="J18" s="3" t="str">
        <f t="shared" si="1"/>
        <v>1</v>
      </c>
      <c r="K18" t="s">
        <v>26</v>
      </c>
      <c r="L18" s="10" t="str">
        <f t="shared" si="2"/>
        <v>2</v>
      </c>
      <c r="M18" t="s">
        <v>37</v>
      </c>
      <c r="N18" s="3" t="str">
        <f t="shared" si="3"/>
        <v>0</v>
      </c>
      <c r="O18" s="9">
        <f t="shared" si="4"/>
        <v>21.2</v>
      </c>
    </row>
    <row r="19" spans="2:15" x14ac:dyDescent="0.2">
      <c r="B19">
        <v>276</v>
      </c>
      <c r="C19" s="3">
        <v>14</v>
      </c>
      <c r="D19" s="3" t="s">
        <v>212</v>
      </c>
      <c r="E19">
        <v>7</v>
      </c>
      <c r="F19" t="s">
        <v>285</v>
      </c>
      <c r="G19">
        <v>14</v>
      </c>
      <c r="H19" s="9">
        <f t="shared" si="0"/>
        <v>1.4</v>
      </c>
      <c r="I19" t="s">
        <v>52</v>
      </c>
      <c r="J19" s="3" t="str">
        <f t="shared" si="1"/>
        <v>1</v>
      </c>
      <c r="K19" t="s">
        <v>26</v>
      </c>
      <c r="L19" s="10" t="str">
        <f t="shared" si="2"/>
        <v>2</v>
      </c>
      <c r="M19" t="s">
        <v>37</v>
      </c>
      <c r="N19" s="3" t="str">
        <f t="shared" si="3"/>
        <v>0</v>
      </c>
      <c r="O19" s="9">
        <f t="shared" si="4"/>
        <v>21.2</v>
      </c>
    </row>
    <row r="20" spans="2:15" x14ac:dyDescent="0.2">
      <c r="B20">
        <v>277</v>
      </c>
      <c r="C20" s="3">
        <v>14</v>
      </c>
      <c r="D20" s="3" t="s">
        <v>213</v>
      </c>
      <c r="E20">
        <v>8</v>
      </c>
      <c r="F20" t="s">
        <v>285</v>
      </c>
      <c r="G20">
        <v>14</v>
      </c>
      <c r="H20" s="9">
        <f t="shared" si="0"/>
        <v>1.4</v>
      </c>
      <c r="I20" t="s">
        <v>52</v>
      </c>
      <c r="J20" s="3" t="str">
        <f t="shared" si="1"/>
        <v>1</v>
      </c>
      <c r="K20" t="s">
        <v>26</v>
      </c>
      <c r="L20" s="10" t="str">
        <f t="shared" si="2"/>
        <v>2</v>
      </c>
      <c r="M20" t="s">
        <v>37</v>
      </c>
      <c r="N20" s="3" t="str">
        <f t="shared" si="3"/>
        <v>0</v>
      </c>
      <c r="O20" s="9">
        <f t="shared" si="4"/>
        <v>21.2</v>
      </c>
    </row>
    <row r="21" spans="2:15" x14ac:dyDescent="0.2">
      <c r="B21">
        <v>280</v>
      </c>
      <c r="C21" s="3">
        <v>14</v>
      </c>
      <c r="D21" s="3" t="s">
        <v>216</v>
      </c>
      <c r="E21">
        <v>11</v>
      </c>
      <c r="F21" t="s">
        <v>285</v>
      </c>
      <c r="G21">
        <v>14</v>
      </c>
      <c r="H21" s="9">
        <f t="shared" si="0"/>
        <v>1.4</v>
      </c>
      <c r="I21" t="s">
        <v>52</v>
      </c>
      <c r="J21" s="3" t="str">
        <f t="shared" si="1"/>
        <v>1</v>
      </c>
      <c r="K21" t="s">
        <v>26</v>
      </c>
      <c r="L21" s="10" t="str">
        <f t="shared" si="2"/>
        <v>2</v>
      </c>
      <c r="M21" t="s">
        <v>37</v>
      </c>
      <c r="N21" s="3" t="str">
        <f t="shared" si="3"/>
        <v>0</v>
      </c>
      <c r="O21" s="9">
        <f t="shared" si="4"/>
        <v>21.2</v>
      </c>
    </row>
    <row r="22" spans="2:15" x14ac:dyDescent="0.2">
      <c r="B22">
        <v>278</v>
      </c>
      <c r="C22" s="3">
        <v>14</v>
      </c>
      <c r="D22" s="3" t="s">
        <v>214</v>
      </c>
      <c r="E22">
        <v>9</v>
      </c>
      <c r="F22" t="s">
        <v>285</v>
      </c>
      <c r="G22">
        <v>14</v>
      </c>
      <c r="H22" s="9">
        <f t="shared" si="0"/>
        <v>1.4</v>
      </c>
      <c r="I22" t="s">
        <v>52</v>
      </c>
      <c r="J22" s="3" t="str">
        <f t="shared" si="1"/>
        <v>1</v>
      </c>
      <c r="K22" t="s">
        <v>26</v>
      </c>
      <c r="L22" s="10" t="str">
        <f t="shared" si="2"/>
        <v>2</v>
      </c>
      <c r="M22" t="s">
        <v>37</v>
      </c>
      <c r="N22" s="3" t="str">
        <f t="shared" si="3"/>
        <v>0</v>
      </c>
      <c r="O22" s="9">
        <f t="shared" si="4"/>
        <v>21.2</v>
      </c>
    </row>
    <row r="23" spans="2:15" x14ac:dyDescent="0.2">
      <c r="B23">
        <v>279</v>
      </c>
      <c r="C23" s="3">
        <v>14</v>
      </c>
      <c r="D23" s="3" t="s">
        <v>215</v>
      </c>
      <c r="E23">
        <v>10</v>
      </c>
      <c r="F23" t="s">
        <v>285</v>
      </c>
      <c r="G23">
        <v>14</v>
      </c>
      <c r="H23" s="9">
        <f t="shared" si="0"/>
        <v>1.4</v>
      </c>
      <c r="I23" t="s">
        <v>52</v>
      </c>
      <c r="J23" s="3" t="str">
        <f t="shared" si="1"/>
        <v>1</v>
      </c>
      <c r="K23" t="s">
        <v>26</v>
      </c>
      <c r="L23" s="10" t="str">
        <f t="shared" si="2"/>
        <v>2</v>
      </c>
      <c r="M23" t="s">
        <v>37</v>
      </c>
      <c r="N23" s="3" t="str">
        <f t="shared" si="3"/>
        <v>0</v>
      </c>
      <c r="O23" s="9">
        <f t="shared" si="4"/>
        <v>21.2</v>
      </c>
    </row>
    <row r="24" spans="2:15" x14ac:dyDescent="0.2">
      <c r="B24">
        <v>202</v>
      </c>
      <c r="C24" s="3">
        <v>14</v>
      </c>
      <c r="D24" s="3" t="s">
        <v>78</v>
      </c>
      <c r="E24">
        <v>1</v>
      </c>
      <c r="F24" t="s">
        <v>284</v>
      </c>
      <c r="G24">
        <v>14</v>
      </c>
      <c r="H24" s="9">
        <f t="shared" si="0"/>
        <v>1.4</v>
      </c>
      <c r="I24" t="s">
        <v>52</v>
      </c>
      <c r="J24" s="3" t="str">
        <f t="shared" si="1"/>
        <v>1</v>
      </c>
      <c r="K24" t="s">
        <v>26</v>
      </c>
      <c r="L24" s="10" t="str">
        <f t="shared" si="2"/>
        <v>2</v>
      </c>
      <c r="M24" t="s">
        <v>37</v>
      </c>
      <c r="N24" s="3" t="str">
        <f t="shared" si="3"/>
        <v>0</v>
      </c>
      <c r="O24" s="9">
        <f t="shared" si="4"/>
        <v>21.2</v>
      </c>
    </row>
    <row r="25" spans="2:15" x14ac:dyDescent="0.2">
      <c r="B25">
        <v>66</v>
      </c>
      <c r="C25" s="3" t="s">
        <v>132</v>
      </c>
      <c r="D25" s="3" t="s">
        <v>133</v>
      </c>
      <c r="E25">
        <v>1</v>
      </c>
      <c r="F25" t="s">
        <v>290</v>
      </c>
      <c r="G25">
        <v>14</v>
      </c>
      <c r="H25" s="9">
        <f t="shared" si="0"/>
        <v>1.4</v>
      </c>
      <c r="I25" t="s">
        <v>52</v>
      </c>
      <c r="J25" s="3" t="str">
        <f t="shared" si="1"/>
        <v>1</v>
      </c>
      <c r="K25" t="s">
        <v>26</v>
      </c>
      <c r="L25" s="10" t="str">
        <f t="shared" si="2"/>
        <v>2</v>
      </c>
      <c r="M25" t="s">
        <v>37</v>
      </c>
      <c r="N25" s="3" t="str">
        <f t="shared" si="3"/>
        <v>0</v>
      </c>
      <c r="O25" s="9">
        <f t="shared" si="4"/>
        <v>21.2</v>
      </c>
    </row>
    <row r="26" spans="2:15" x14ac:dyDescent="0.2">
      <c r="B26">
        <v>68</v>
      </c>
      <c r="C26" s="3" t="s">
        <v>136</v>
      </c>
      <c r="D26" s="3" t="s">
        <v>139</v>
      </c>
      <c r="E26">
        <v>2</v>
      </c>
      <c r="F26" t="s">
        <v>293</v>
      </c>
      <c r="G26">
        <v>14</v>
      </c>
      <c r="H26" s="9">
        <f t="shared" si="0"/>
        <v>1.4</v>
      </c>
      <c r="I26" t="s">
        <v>52</v>
      </c>
      <c r="J26" s="3" t="str">
        <f t="shared" si="1"/>
        <v>1</v>
      </c>
      <c r="K26" t="s">
        <v>26</v>
      </c>
      <c r="L26" s="10" t="str">
        <f t="shared" si="2"/>
        <v>2</v>
      </c>
      <c r="M26" t="s">
        <v>37</v>
      </c>
      <c r="N26" s="3" t="str">
        <f t="shared" si="3"/>
        <v>0</v>
      </c>
      <c r="O26" s="9">
        <f t="shared" si="4"/>
        <v>21.2</v>
      </c>
    </row>
    <row r="27" spans="2:15" x14ac:dyDescent="0.2">
      <c r="B27">
        <v>170</v>
      </c>
      <c r="C27" s="3" t="s">
        <v>174</v>
      </c>
      <c r="D27" s="3" t="s">
        <v>78</v>
      </c>
      <c r="E27">
        <v>14</v>
      </c>
      <c r="F27" t="s">
        <v>266</v>
      </c>
      <c r="G27">
        <v>14</v>
      </c>
      <c r="H27" s="9">
        <f t="shared" si="0"/>
        <v>1.4</v>
      </c>
      <c r="I27" t="s">
        <v>52</v>
      </c>
      <c r="J27" s="3" t="str">
        <f t="shared" si="1"/>
        <v>1</v>
      </c>
      <c r="K27" t="s">
        <v>26</v>
      </c>
      <c r="L27" s="10" t="str">
        <f t="shared" si="2"/>
        <v>2</v>
      </c>
      <c r="M27" t="s">
        <v>37</v>
      </c>
      <c r="N27" s="3" t="str">
        <f t="shared" si="3"/>
        <v>0</v>
      </c>
      <c r="O27" s="9">
        <f t="shared" si="4"/>
        <v>21.2</v>
      </c>
    </row>
    <row r="28" spans="2:15" x14ac:dyDescent="0.2">
      <c r="B28">
        <v>179</v>
      </c>
      <c r="C28" s="3">
        <v>25</v>
      </c>
      <c r="D28" s="3" t="s">
        <v>225</v>
      </c>
      <c r="E28">
        <v>1</v>
      </c>
      <c r="F28" t="s">
        <v>285</v>
      </c>
      <c r="G28">
        <v>12</v>
      </c>
      <c r="H28" s="9">
        <f t="shared" si="0"/>
        <v>1.2</v>
      </c>
      <c r="I28" t="s">
        <v>52</v>
      </c>
      <c r="J28" s="3" t="str">
        <f t="shared" si="1"/>
        <v>1</v>
      </c>
      <c r="K28" t="s">
        <v>26</v>
      </c>
      <c r="L28" s="10" t="str">
        <f t="shared" si="2"/>
        <v>2</v>
      </c>
      <c r="M28" t="s">
        <v>37</v>
      </c>
      <c r="N28" s="3" t="str">
        <f t="shared" si="3"/>
        <v>0</v>
      </c>
      <c r="O28" s="9">
        <f t="shared" si="4"/>
        <v>20.6</v>
      </c>
    </row>
    <row r="29" spans="2:15" x14ac:dyDescent="0.2">
      <c r="B29">
        <v>275</v>
      </c>
      <c r="C29" s="3">
        <v>14</v>
      </c>
      <c r="D29" s="3" t="s">
        <v>211</v>
      </c>
      <c r="E29">
        <v>6</v>
      </c>
      <c r="F29" t="s">
        <v>284</v>
      </c>
      <c r="G29">
        <v>10</v>
      </c>
      <c r="H29" s="9">
        <f t="shared" si="0"/>
        <v>1</v>
      </c>
      <c r="I29" t="s">
        <v>52</v>
      </c>
      <c r="J29" s="3" t="str">
        <f t="shared" si="1"/>
        <v>1</v>
      </c>
      <c r="K29" t="s">
        <v>26</v>
      </c>
      <c r="L29" s="10" t="str">
        <f t="shared" si="2"/>
        <v>2</v>
      </c>
      <c r="M29" t="s">
        <v>37</v>
      </c>
      <c r="N29" s="3" t="str">
        <f t="shared" si="3"/>
        <v>0</v>
      </c>
      <c r="O29" s="9">
        <f t="shared" si="4"/>
        <v>20</v>
      </c>
    </row>
    <row r="30" spans="2:15" x14ac:dyDescent="0.2">
      <c r="B30">
        <v>2</v>
      </c>
      <c r="C30" s="3">
        <v>22</v>
      </c>
      <c r="D30" s="3" t="s">
        <v>80</v>
      </c>
      <c r="E30">
        <v>1</v>
      </c>
      <c r="F30" t="s">
        <v>285</v>
      </c>
      <c r="G30">
        <v>10</v>
      </c>
      <c r="H30" s="9">
        <f t="shared" si="0"/>
        <v>1</v>
      </c>
      <c r="I30" t="s">
        <v>52</v>
      </c>
      <c r="J30" s="3" t="str">
        <f t="shared" si="1"/>
        <v>1</v>
      </c>
      <c r="K30" t="s">
        <v>26</v>
      </c>
      <c r="L30" s="10" t="str">
        <f t="shared" si="2"/>
        <v>2</v>
      </c>
      <c r="M30" t="s">
        <v>37</v>
      </c>
      <c r="N30" s="3" t="str">
        <f t="shared" si="3"/>
        <v>0</v>
      </c>
      <c r="O30" s="9">
        <f t="shared" si="4"/>
        <v>20</v>
      </c>
    </row>
    <row r="31" spans="2:15" x14ac:dyDescent="0.2">
      <c r="B31">
        <v>180</v>
      </c>
      <c r="C31" s="3">
        <v>25</v>
      </c>
      <c r="D31" s="3" t="s">
        <v>225</v>
      </c>
      <c r="E31">
        <v>2</v>
      </c>
      <c r="F31" t="s">
        <v>285</v>
      </c>
      <c r="G31">
        <v>10</v>
      </c>
      <c r="H31" s="9">
        <f t="shared" si="0"/>
        <v>1</v>
      </c>
      <c r="I31" t="s">
        <v>52</v>
      </c>
      <c r="J31" s="3" t="str">
        <f t="shared" si="1"/>
        <v>1</v>
      </c>
      <c r="K31" t="s">
        <v>26</v>
      </c>
      <c r="L31" s="10" t="str">
        <f t="shared" si="2"/>
        <v>2</v>
      </c>
      <c r="M31" t="s">
        <v>37</v>
      </c>
      <c r="N31" s="3" t="str">
        <f t="shared" si="3"/>
        <v>0</v>
      </c>
      <c r="O31" s="9">
        <f t="shared" si="4"/>
        <v>20</v>
      </c>
    </row>
    <row r="32" spans="2:15" x14ac:dyDescent="0.2">
      <c r="B32">
        <v>268</v>
      </c>
      <c r="C32" s="3" t="s">
        <v>202</v>
      </c>
      <c r="D32" s="3" t="s">
        <v>207</v>
      </c>
      <c r="E32">
        <v>5</v>
      </c>
      <c r="F32" t="s">
        <v>284</v>
      </c>
      <c r="G32">
        <v>10</v>
      </c>
      <c r="H32" s="9">
        <f t="shared" si="0"/>
        <v>1</v>
      </c>
      <c r="I32" t="s">
        <v>52</v>
      </c>
      <c r="J32" s="3" t="str">
        <f t="shared" si="1"/>
        <v>1</v>
      </c>
      <c r="K32" t="s">
        <v>26</v>
      </c>
      <c r="L32" s="10" t="str">
        <f t="shared" si="2"/>
        <v>2</v>
      </c>
      <c r="M32" t="s">
        <v>37</v>
      </c>
      <c r="N32" s="3" t="str">
        <f t="shared" si="3"/>
        <v>0</v>
      </c>
      <c r="O32" s="9">
        <f t="shared" si="4"/>
        <v>20</v>
      </c>
    </row>
    <row r="33" spans="2:15" x14ac:dyDescent="0.2">
      <c r="B33">
        <v>173</v>
      </c>
      <c r="C33" s="3" t="s">
        <v>77</v>
      </c>
      <c r="D33" s="3" t="s">
        <v>78</v>
      </c>
      <c r="E33">
        <v>1</v>
      </c>
      <c r="F33" t="s">
        <v>284</v>
      </c>
      <c r="G33">
        <v>10</v>
      </c>
      <c r="H33" s="9">
        <f t="shared" si="0"/>
        <v>1</v>
      </c>
      <c r="I33" t="s">
        <v>52</v>
      </c>
      <c r="J33" s="3" t="str">
        <f t="shared" si="1"/>
        <v>1</v>
      </c>
      <c r="K33" t="s">
        <v>26</v>
      </c>
      <c r="L33" s="10" t="str">
        <f t="shared" si="2"/>
        <v>2</v>
      </c>
      <c r="M33" t="s">
        <v>37</v>
      </c>
      <c r="N33" s="3" t="str">
        <f t="shared" si="3"/>
        <v>0</v>
      </c>
      <c r="O33" s="9">
        <f t="shared" si="4"/>
        <v>20</v>
      </c>
    </row>
    <row r="34" spans="2:15" x14ac:dyDescent="0.2">
      <c r="B34">
        <v>37</v>
      </c>
      <c r="C34" s="3">
        <v>21</v>
      </c>
      <c r="D34" s="3">
        <v>2</v>
      </c>
      <c r="E34">
        <v>36</v>
      </c>
      <c r="F34" t="s">
        <v>284</v>
      </c>
      <c r="G34">
        <v>9</v>
      </c>
      <c r="H34" s="9">
        <f t="shared" si="0"/>
        <v>0.9</v>
      </c>
      <c r="I34" t="s">
        <v>52</v>
      </c>
      <c r="J34" s="3" t="str">
        <f t="shared" si="1"/>
        <v>1</v>
      </c>
      <c r="K34" t="s">
        <v>26</v>
      </c>
      <c r="L34" s="10" t="str">
        <f t="shared" si="2"/>
        <v>2</v>
      </c>
      <c r="M34" t="s">
        <v>37</v>
      </c>
      <c r="N34" s="3" t="str">
        <f t="shared" si="3"/>
        <v>0</v>
      </c>
      <c r="O34" s="9">
        <f t="shared" si="4"/>
        <v>19.7</v>
      </c>
    </row>
    <row r="35" spans="2:15" x14ac:dyDescent="0.2">
      <c r="B35">
        <v>176</v>
      </c>
      <c r="C35" s="3">
        <v>26</v>
      </c>
      <c r="D35" s="3" t="s">
        <v>78</v>
      </c>
      <c r="E35">
        <v>1</v>
      </c>
      <c r="F35" t="s">
        <v>284</v>
      </c>
      <c r="G35">
        <v>9</v>
      </c>
      <c r="H35" s="9">
        <f t="shared" ref="H35:H66" si="5">G35/10</f>
        <v>0.9</v>
      </c>
      <c r="I35" t="s">
        <v>52</v>
      </c>
      <c r="J35" s="3" t="str">
        <f t="shared" ref="J35:J66" si="6">IF(I35="N/A","0",IF(I35="Excellent","1",IF(I35="Very Good","1",IF(I35="Good","2",IF(I35="Fair","3",IF(I35="Poor","4",IF(I35="Critical","5",IF(I35="Dead","5"))))))))</f>
        <v>1</v>
      </c>
      <c r="K35" t="s">
        <v>26</v>
      </c>
      <c r="L35" s="10" t="str">
        <f t="shared" ref="L35:L66" si="7">IF(K35="Removal","5",IF(K35="Pruning: Deadwood 1","4",IF(K35="Pruning: Deadwood 2","3",IF(K35="Pruning: Routine","2",IF(K35="Pruning: Training","1",IF(K35="Plant","0",IF(K35="Other - see notes","0",)))))))</f>
        <v>2</v>
      </c>
      <c r="M35" t="s">
        <v>37</v>
      </c>
      <c r="N35" s="3" t="str">
        <f t="shared" ref="N35:N66" si="8">IF(M35="no risk","0",IF(M35="None","0",IF(M35="Minimal Risk","1",IF(M35="Moderate Risk","2",IF(M35="High Risk","4",IF(M35="Severe Risk","5"))))))</f>
        <v>0</v>
      </c>
      <c r="O35" s="9">
        <f t="shared" ref="O35:O66" si="9">($G$2*H35)+($I$2*J35)+($K$2*L35)+($M$2*N35)</f>
        <v>19.7</v>
      </c>
    </row>
    <row r="36" spans="2:15" x14ac:dyDescent="0.2">
      <c r="B36">
        <v>273</v>
      </c>
      <c r="C36" s="3">
        <v>14</v>
      </c>
      <c r="D36" s="3" t="s">
        <v>78</v>
      </c>
      <c r="E36">
        <v>5</v>
      </c>
      <c r="F36" t="s">
        <v>265</v>
      </c>
      <c r="G36">
        <v>8</v>
      </c>
      <c r="H36" s="9">
        <f t="shared" si="5"/>
        <v>0.8</v>
      </c>
      <c r="I36" t="s">
        <v>52</v>
      </c>
      <c r="J36" s="3" t="str">
        <f t="shared" si="6"/>
        <v>1</v>
      </c>
      <c r="K36" t="s">
        <v>26</v>
      </c>
      <c r="L36" s="10" t="str">
        <f t="shared" si="7"/>
        <v>2</v>
      </c>
      <c r="M36" t="s">
        <v>37</v>
      </c>
      <c r="N36" s="3" t="str">
        <f t="shared" si="8"/>
        <v>0</v>
      </c>
      <c r="O36" s="9">
        <f t="shared" si="9"/>
        <v>19.399999999999999</v>
      </c>
    </row>
    <row r="37" spans="2:15" x14ac:dyDescent="0.2">
      <c r="B37">
        <v>193</v>
      </c>
      <c r="C37" s="3">
        <v>15</v>
      </c>
      <c r="D37" s="3" t="s">
        <v>78</v>
      </c>
      <c r="E37">
        <v>5</v>
      </c>
      <c r="F37" t="s">
        <v>288</v>
      </c>
      <c r="G37">
        <v>8</v>
      </c>
      <c r="H37" s="9">
        <f t="shared" si="5"/>
        <v>0.8</v>
      </c>
      <c r="I37" t="s">
        <v>52</v>
      </c>
      <c r="J37" s="3" t="str">
        <f t="shared" si="6"/>
        <v>1</v>
      </c>
      <c r="K37" t="s">
        <v>26</v>
      </c>
      <c r="L37" s="10" t="str">
        <f t="shared" si="7"/>
        <v>2</v>
      </c>
      <c r="M37" t="s">
        <v>37</v>
      </c>
      <c r="N37" s="3" t="str">
        <f t="shared" si="8"/>
        <v>0</v>
      </c>
      <c r="O37" s="9">
        <f t="shared" si="9"/>
        <v>19.399999999999999</v>
      </c>
    </row>
    <row r="38" spans="2:15" x14ac:dyDescent="0.2">
      <c r="B38">
        <v>196</v>
      </c>
      <c r="C38" s="3">
        <v>19</v>
      </c>
      <c r="D38" s="3" t="s">
        <v>78</v>
      </c>
      <c r="E38">
        <v>3</v>
      </c>
      <c r="F38" t="s">
        <v>62</v>
      </c>
      <c r="G38">
        <v>8</v>
      </c>
      <c r="H38" s="9">
        <f t="shared" si="5"/>
        <v>0.8</v>
      </c>
      <c r="I38" t="s">
        <v>52</v>
      </c>
      <c r="J38" s="3" t="str">
        <f t="shared" si="6"/>
        <v>1</v>
      </c>
      <c r="K38" t="s">
        <v>26</v>
      </c>
      <c r="L38" s="10" t="str">
        <f t="shared" si="7"/>
        <v>2</v>
      </c>
      <c r="M38" t="s">
        <v>37</v>
      </c>
      <c r="N38" s="3" t="str">
        <f t="shared" si="8"/>
        <v>0</v>
      </c>
      <c r="O38" s="9">
        <f t="shared" si="9"/>
        <v>19.399999999999999</v>
      </c>
    </row>
    <row r="39" spans="2:15" x14ac:dyDescent="0.2">
      <c r="B39">
        <v>208</v>
      </c>
      <c r="C39" s="3" t="s">
        <v>232</v>
      </c>
      <c r="D39" s="3" t="s">
        <v>251</v>
      </c>
      <c r="E39">
        <v>6</v>
      </c>
      <c r="F39" t="s">
        <v>285</v>
      </c>
      <c r="G39">
        <v>8</v>
      </c>
      <c r="H39" s="9">
        <f t="shared" si="5"/>
        <v>0.8</v>
      </c>
      <c r="I39" t="s">
        <v>52</v>
      </c>
      <c r="J39" s="3" t="str">
        <f t="shared" si="6"/>
        <v>1</v>
      </c>
      <c r="K39" t="s">
        <v>26</v>
      </c>
      <c r="L39" s="10" t="str">
        <f t="shared" si="7"/>
        <v>2</v>
      </c>
      <c r="M39" t="s">
        <v>37</v>
      </c>
      <c r="N39" s="3" t="str">
        <f t="shared" si="8"/>
        <v>0</v>
      </c>
      <c r="O39" s="9">
        <f t="shared" si="9"/>
        <v>19.399999999999999</v>
      </c>
    </row>
    <row r="40" spans="2:15" x14ac:dyDescent="0.2">
      <c r="B40">
        <v>292</v>
      </c>
      <c r="C40" s="3" t="s">
        <v>232</v>
      </c>
      <c r="D40" s="3" t="s">
        <v>78</v>
      </c>
      <c r="E40">
        <v>7</v>
      </c>
      <c r="F40" t="s">
        <v>263</v>
      </c>
      <c r="G40">
        <v>8</v>
      </c>
      <c r="H40" s="9">
        <f t="shared" si="5"/>
        <v>0.8</v>
      </c>
      <c r="I40" t="s">
        <v>52</v>
      </c>
      <c r="J40" s="3" t="str">
        <f t="shared" si="6"/>
        <v>1</v>
      </c>
      <c r="K40" t="s">
        <v>26</v>
      </c>
      <c r="L40" s="10" t="str">
        <f t="shared" si="7"/>
        <v>2</v>
      </c>
      <c r="M40" t="s">
        <v>37</v>
      </c>
      <c r="N40" s="3" t="str">
        <f t="shared" si="8"/>
        <v>0</v>
      </c>
      <c r="O40" s="9">
        <f t="shared" si="9"/>
        <v>19.399999999999999</v>
      </c>
    </row>
    <row r="41" spans="2:15" x14ac:dyDescent="0.2">
      <c r="B41">
        <v>236</v>
      </c>
      <c r="C41" s="3" t="s">
        <v>199</v>
      </c>
      <c r="D41" s="3" t="s">
        <v>78</v>
      </c>
      <c r="E41">
        <v>1</v>
      </c>
      <c r="F41" t="s">
        <v>285</v>
      </c>
      <c r="G41">
        <v>8</v>
      </c>
      <c r="H41" s="9">
        <f t="shared" si="5"/>
        <v>0.8</v>
      </c>
      <c r="I41" t="s">
        <v>52</v>
      </c>
      <c r="J41" s="3" t="str">
        <f t="shared" si="6"/>
        <v>1</v>
      </c>
      <c r="K41" t="s">
        <v>26</v>
      </c>
      <c r="L41" s="10" t="str">
        <f t="shared" si="7"/>
        <v>2</v>
      </c>
      <c r="M41" t="s">
        <v>37</v>
      </c>
      <c r="N41" s="3" t="str">
        <f t="shared" si="8"/>
        <v>0</v>
      </c>
      <c r="O41" s="9">
        <f t="shared" si="9"/>
        <v>19.399999999999999</v>
      </c>
    </row>
    <row r="42" spans="2:15" x14ac:dyDescent="0.2">
      <c r="B42">
        <v>157</v>
      </c>
      <c r="C42" s="3" t="s">
        <v>174</v>
      </c>
      <c r="D42" s="3" t="s">
        <v>78</v>
      </c>
      <c r="E42">
        <v>2</v>
      </c>
      <c r="F42" t="s">
        <v>285</v>
      </c>
      <c r="G42">
        <v>8</v>
      </c>
      <c r="H42" s="9">
        <f t="shared" si="5"/>
        <v>0.8</v>
      </c>
      <c r="I42" t="s">
        <v>52</v>
      </c>
      <c r="J42" s="3" t="str">
        <f t="shared" si="6"/>
        <v>1</v>
      </c>
      <c r="K42" t="s">
        <v>26</v>
      </c>
      <c r="L42" s="10" t="str">
        <f t="shared" si="7"/>
        <v>2</v>
      </c>
      <c r="M42" t="s">
        <v>37</v>
      </c>
      <c r="N42" s="3" t="str">
        <f t="shared" si="8"/>
        <v>0</v>
      </c>
      <c r="O42" s="9">
        <f t="shared" si="9"/>
        <v>19.399999999999999</v>
      </c>
    </row>
    <row r="43" spans="2:15" x14ac:dyDescent="0.2">
      <c r="B43">
        <v>158</v>
      </c>
      <c r="C43" s="3" t="s">
        <v>174</v>
      </c>
      <c r="D43" s="3" t="s">
        <v>78</v>
      </c>
      <c r="E43">
        <v>3</v>
      </c>
      <c r="F43" t="s">
        <v>285</v>
      </c>
      <c r="G43">
        <v>8</v>
      </c>
      <c r="H43" s="9">
        <f t="shared" si="5"/>
        <v>0.8</v>
      </c>
      <c r="I43" t="s">
        <v>52</v>
      </c>
      <c r="J43" s="3" t="str">
        <f t="shared" si="6"/>
        <v>1</v>
      </c>
      <c r="K43" t="s">
        <v>26</v>
      </c>
      <c r="L43" s="10" t="str">
        <f t="shared" si="7"/>
        <v>2</v>
      </c>
      <c r="M43" t="s">
        <v>37</v>
      </c>
      <c r="N43" s="3" t="str">
        <f t="shared" si="8"/>
        <v>0</v>
      </c>
      <c r="O43" s="9">
        <f t="shared" si="9"/>
        <v>19.399999999999999</v>
      </c>
    </row>
    <row r="44" spans="2:15" x14ac:dyDescent="0.2">
      <c r="B44">
        <v>62</v>
      </c>
      <c r="C44" s="3">
        <v>1</v>
      </c>
      <c r="D44" s="3" t="s">
        <v>128</v>
      </c>
      <c r="E44">
        <v>3</v>
      </c>
      <c r="F44" t="s">
        <v>284</v>
      </c>
      <c r="G44">
        <v>7</v>
      </c>
      <c r="H44" s="9">
        <f t="shared" si="5"/>
        <v>0.7</v>
      </c>
      <c r="I44" t="s">
        <v>52</v>
      </c>
      <c r="J44" s="3" t="str">
        <f t="shared" si="6"/>
        <v>1</v>
      </c>
      <c r="K44" t="s">
        <v>26</v>
      </c>
      <c r="L44" s="10" t="str">
        <f t="shared" si="7"/>
        <v>2</v>
      </c>
      <c r="M44" t="s">
        <v>37</v>
      </c>
      <c r="N44" s="3" t="str">
        <f t="shared" si="8"/>
        <v>0</v>
      </c>
      <c r="O44" s="9">
        <f t="shared" si="9"/>
        <v>19.100000000000001</v>
      </c>
    </row>
    <row r="45" spans="2:15" x14ac:dyDescent="0.2">
      <c r="B45">
        <v>274</v>
      </c>
      <c r="C45" s="3">
        <v>14</v>
      </c>
      <c r="D45" s="3" t="s">
        <v>210</v>
      </c>
      <c r="E45">
        <v>5</v>
      </c>
      <c r="F45" t="s">
        <v>275</v>
      </c>
      <c r="G45">
        <v>7</v>
      </c>
      <c r="H45" s="9">
        <f t="shared" si="5"/>
        <v>0.7</v>
      </c>
      <c r="I45" t="s">
        <v>52</v>
      </c>
      <c r="J45" s="3" t="str">
        <f t="shared" si="6"/>
        <v>1</v>
      </c>
      <c r="K45" t="s">
        <v>26</v>
      </c>
      <c r="L45" s="10" t="str">
        <f t="shared" si="7"/>
        <v>2</v>
      </c>
      <c r="M45" t="s">
        <v>37</v>
      </c>
      <c r="N45" s="3" t="str">
        <f t="shared" si="8"/>
        <v>0</v>
      </c>
      <c r="O45" s="9">
        <f t="shared" si="9"/>
        <v>19.100000000000001</v>
      </c>
    </row>
    <row r="46" spans="2:15" x14ac:dyDescent="0.2">
      <c r="B46">
        <v>204</v>
      </c>
      <c r="C46" s="3" t="s">
        <v>232</v>
      </c>
      <c r="D46" s="3" t="s">
        <v>247</v>
      </c>
      <c r="E46">
        <v>3</v>
      </c>
      <c r="F46" t="s">
        <v>265</v>
      </c>
      <c r="G46">
        <v>7</v>
      </c>
      <c r="H46" s="9">
        <f t="shared" si="5"/>
        <v>0.7</v>
      </c>
      <c r="I46" t="s">
        <v>52</v>
      </c>
      <c r="J46" s="3" t="str">
        <f t="shared" si="6"/>
        <v>1</v>
      </c>
      <c r="K46" t="s">
        <v>26</v>
      </c>
      <c r="L46" s="10" t="str">
        <f t="shared" si="7"/>
        <v>2</v>
      </c>
      <c r="M46" t="s">
        <v>37</v>
      </c>
      <c r="N46" s="3" t="str">
        <f t="shared" si="8"/>
        <v>0</v>
      </c>
      <c r="O46" s="9">
        <f t="shared" si="9"/>
        <v>19.100000000000001</v>
      </c>
    </row>
    <row r="47" spans="2:15" x14ac:dyDescent="0.2">
      <c r="B47">
        <v>265</v>
      </c>
      <c r="C47" s="3" t="s">
        <v>202</v>
      </c>
      <c r="D47" s="3" t="s">
        <v>78</v>
      </c>
      <c r="E47">
        <v>3</v>
      </c>
      <c r="F47" t="s">
        <v>288</v>
      </c>
      <c r="G47">
        <v>6</v>
      </c>
      <c r="H47" s="9">
        <f t="shared" si="5"/>
        <v>0.6</v>
      </c>
      <c r="I47" t="s">
        <v>52</v>
      </c>
      <c r="J47" s="3" t="str">
        <f t="shared" si="6"/>
        <v>1</v>
      </c>
      <c r="K47" t="s">
        <v>26</v>
      </c>
      <c r="L47" s="10" t="str">
        <f t="shared" si="7"/>
        <v>2</v>
      </c>
      <c r="M47" t="s">
        <v>37</v>
      </c>
      <c r="N47" s="3" t="str">
        <f t="shared" si="8"/>
        <v>0</v>
      </c>
      <c r="O47" s="9">
        <f t="shared" si="9"/>
        <v>18.8</v>
      </c>
    </row>
    <row r="48" spans="2:15" x14ac:dyDescent="0.2">
      <c r="B48">
        <v>328</v>
      </c>
      <c r="C48" s="3" t="s">
        <v>238</v>
      </c>
      <c r="D48" s="3" t="s">
        <v>78</v>
      </c>
      <c r="E48">
        <v>22</v>
      </c>
      <c r="F48" t="s">
        <v>288</v>
      </c>
      <c r="G48">
        <v>6</v>
      </c>
      <c r="H48" s="9">
        <f t="shared" si="5"/>
        <v>0.6</v>
      </c>
      <c r="I48" t="s">
        <v>52</v>
      </c>
      <c r="J48" s="3" t="str">
        <f t="shared" si="6"/>
        <v>1</v>
      </c>
      <c r="K48" t="s">
        <v>26</v>
      </c>
      <c r="L48" s="10" t="str">
        <f t="shared" si="7"/>
        <v>2</v>
      </c>
      <c r="M48" t="s">
        <v>37</v>
      </c>
      <c r="N48" s="3" t="str">
        <f t="shared" si="8"/>
        <v>0</v>
      </c>
      <c r="O48" s="9">
        <f t="shared" si="9"/>
        <v>18.8</v>
      </c>
    </row>
    <row r="49" spans="2:16" x14ac:dyDescent="0.2">
      <c r="B49">
        <v>329</v>
      </c>
      <c r="C49" s="3" t="s">
        <v>238</v>
      </c>
      <c r="D49" s="3" t="s">
        <v>78</v>
      </c>
      <c r="E49">
        <v>23</v>
      </c>
      <c r="F49" t="s">
        <v>288</v>
      </c>
      <c r="G49">
        <v>6</v>
      </c>
      <c r="H49" s="9">
        <f t="shared" si="5"/>
        <v>0.6</v>
      </c>
      <c r="I49" t="s">
        <v>52</v>
      </c>
      <c r="J49" s="3" t="str">
        <f t="shared" si="6"/>
        <v>1</v>
      </c>
      <c r="K49" t="s">
        <v>26</v>
      </c>
      <c r="L49" s="10" t="str">
        <f t="shared" si="7"/>
        <v>2</v>
      </c>
      <c r="M49" t="s">
        <v>37</v>
      </c>
      <c r="N49" s="3" t="str">
        <f t="shared" si="8"/>
        <v>0</v>
      </c>
      <c r="O49" s="9">
        <f t="shared" si="9"/>
        <v>18.8</v>
      </c>
    </row>
    <row r="50" spans="2:16" x14ac:dyDescent="0.2">
      <c r="B50">
        <v>330</v>
      </c>
      <c r="C50" s="3" t="s">
        <v>238</v>
      </c>
      <c r="D50" s="3" t="s">
        <v>78</v>
      </c>
      <c r="E50">
        <v>24</v>
      </c>
      <c r="F50" t="s">
        <v>288</v>
      </c>
      <c r="G50">
        <v>6</v>
      </c>
      <c r="H50" s="9">
        <f t="shared" si="5"/>
        <v>0.6</v>
      </c>
      <c r="I50" t="s">
        <v>52</v>
      </c>
      <c r="J50" s="3" t="str">
        <f t="shared" si="6"/>
        <v>1</v>
      </c>
      <c r="K50" t="s">
        <v>26</v>
      </c>
      <c r="L50" s="10" t="str">
        <f t="shared" si="7"/>
        <v>2</v>
      </c>
      <c r="M50" t="s">
        <v>37</v>
      </c>
      <c r="N50" s="3" t="str">
        <f t="shared" si="8"/>
        <v>0</v>
      </c>
      <c r="O50" s="9">
        <f t="shared" si="9"/>
        <v>18.8</v>
      </c>
    </row>
    <row r="51" spans="2:16" x14ac:dyDescent="0.2">
      <c r="B51">
        <v>331</v>
      </c>
      <c r="C51" s="3" t="s">
        <v>238</v>
      </c>
      <c r="D51" s="3" t="s">
        <v>78</v>
      </c>
      <c r="E51">
        <v>25</v>
      </c>
      <c r="F51" t="s">
        <v>288</v>
      </c>
      <c r="G51">
        <v>6</v>
      </c>
      <c r="H51" s="9">
        <f t="shared" si="5"/>
        <v>0.6</v>
      </c>
      <c r="I51" t="s">
        <v>52</v>
      </c>
      <c r="J51" s="3" t="str">
        <f t="shared" si="6"/>
        <v>1</v>
      </c>
      <c r="K51" t="s">
        <v>26</v>
      </c>
      <c r="L51" s="10" t="str">
        <f t="shared" si="7"/>
        <v>2</v>
      </c>
      <c r="M51" t="s">
        <v>37</v>
      </c>
      <c r="N51" s="3" t="str">
        <f t="shared" si="8"/>
        <v>0</v>
      </c>
      <c r="O51" s="9">
        <f t="shared" si="9"/>
        <v>18.8</v>
      </c>
    </row>
    <row r="52" spans="2:16" x14ac:dyDescent="0.2">
      <c r="B52">
        <v>332</v>
      </c>
      <c r="C52" s="3" t="s">
        <v>238</v>
      </c>
      <c r="D52" s="3" t="s">
        <v>78</v>
      </c>
      <c r="E52">
        <v>26</v>
      </c>
      <c r="F52" t="s">
        <v>288</v>
      </c>
      <c r="G52">
        <v>6</v>
      </c>
      <c r="H52" s="9">
        <f t="shared" si="5"/>
        <v>0.6</v>
      </c>
      <c r="I52" t="s">
        <v>52</v>
      </c>
      <c r="J52" s="3" t="str">
        <f t="shared" si="6"/>
        <v>1</v>
      </c>
      <c r="K52" t="s">
        <v>26</v>
      </c>
      <c r="L52" s="10" t="str">
        <f t="shared" si="7"/>
        <v>2</v>
      </c>
      <c r="M52" t="s">
        <v>37</v>
      </c>
      <c r="N52" s="3" t="str">
        <f t="shared" si="8"/>
        <v>0</v>
      </c>
      <c r="O52" s="9">
        <f t="shared" si="9"/>
        <v>18.8</v>
      </c>
    </row>
    <row r="53" spans="2:16" x14ac:dyDescent="0.2">
      <c r="B53">
        <v>315</v>
      </c>
      <c r="C53" s="3" t="s">
        <v>238</v>
      </c>
      <c r="D53" s="3" t="s">
        <v>78</v>
      </c>
      <c r="E53">
        <v>9</v>
      </c>
      <c r="F53" t="s">
        <v>290</v>
      </c>
      <c r="G53">
        <v>4</v>
      </c>
      <c r="H53" s="9">
        <f t="shared" si="5"/>
        <v>0.4</v>
      </c>
      <c r="I53" t="s">
        <v>31</v>
      </c>
      <c r="J53" s="3" t="str">
        <f t="shared" si="6"/>
        <v>2</v>
      </c>
      <c r="K53" t="s">
        <v>26</v>
      </c>
      <c r="L53" s="10" t="str">
        <f t="shared" si="7"/>
        <v>2</v>
      </c>
      <c r="M53" t="s">
        <v>37</v>
      </c>
      <c r="N53" s="3" t="str">
        <f t="shared" si="8"/>
        <v>0</v>
      </c>
      <c r="O53" s="9">
        <f t="shared" si="9"/>
        <v>23.2</v>
      </c>
    </row>
    <row r="54" spans="2:16" x14ac:dyDescent="0.2">
      <c r="B54">
        <v>259</v>
      </c>
      <c r="C54" s="3" t="s">
        <v>184</v>
      </c>
      <c r="D54" s="3" t="s">
        <v>198</v>
      </c>
      <c r="E54">
        <v>20</v>
      </c>
      <c r="F54" t="s">
        <v>276</v>
      </c>
      <c r="G54">
        <v>4</v>
      </c>
      <c r="H54" s="9">
        <f t="shared" si="5"/>
        <v>0.4</v>
      </c>
      <c r="I54" t="s">
        <v>31</v>
      </c>
      <c r="J54" s="3" t="str">
        <f t="shared" si="6"/>
        <v>2</v>
      </c>
      <c r="K54" t="s">
        <v>26</v>
      </c>
      <c r="L54" s="10" t="str">
        <f t="shared" si="7"/>
        <v>2</v>
      </c>
      <c r="M54" t="s">
        <v>37</v>
      </c>
      <c r="N54" s="3" t="str">
        <f t="shared" si="8"/>
        <v>0</v>
      </c>
      <c r="O54" s="9">
        <f t="shared" si="9"/>
        <v>23.2</v>
      </c>
    </row>
    <row r="55" spans="2:16" x14ac:dyDescent="0.2">
      <c r="B55">
        <v>137</v>
      </c>
      <c r="C55" s="3" t="s">
        <v>168</v>
      </c>
      <c r="D55" s="3" t="s">
        <v>78</v>
      </c>
      <c r="E55">
        <v>4</v>
      </c>
      <c r="F55" t="s">
        <v>287</v>
      </c>
      <c r="G55">
        <v>4</v>
      </c>
      <c r="H55" s="9">
        <f t="shared" si="5"/>
        <v>0.4</v>
      </c>
      <c r="I55" t="s">
        <v>31</v>
      </c>
      <c r="J55" s="3" t="str">
        <f t="shared" si="6"/>
        <v>2</v>
      </c>
      <c r="K55" t="s">
        <v>26</v>
      </c>
      <c r="L55" s="10" t="str">
        <f t="shared" si="7"/>
        <v>2</v>
      </c>
      <c r="M55" t="s">
        <v>37</v>
      </c>
      <c r="N55" s="3" t="str">
        <f t="shared" si="8"/>
        <v>0</v>
      </c>
      <c r="O55" s="9">
        <f t="shared" si="9"/>
        <v>23.2</v>
      </c>
    </row>
    <row r="56" spans="2:16" x14ac:dyDescent="0.2">
      <c r="B56">
        <v>138</v>
      </c>
      <c r="C56" s="3" t="s">
        <v>168</v>
      </c>
      <c r="D56" s="3" t="s">
        <v>78</v>
      </c>
      <c r="E56">
        <v>5</v>
      </c>
      <c r="F56" t="s">
        <v>287</v>
      </c>
      <c r="G56">
        <v>4</v>
      </c>
      <c r="H56" s="9">
        <f t="shared" si="5"/>
        <v>0.4</v>
      </c>
      <c r="I56" t="s">
        <v>31</v>
      </c>
      <c r="J56" s="3" t="str">
        <f t="shared" si="6"/>
        <v>2</v>
      </c>
      <c r="K56" t="s">
        <v>26</v>
      </c>
      <c r="L56" s="10" t="str">
        <f t="shared" si="7"/>
        <v>2</v>
      </c>
      <c r="M56" t="s">
        <v>37</v>
      </c>
      <c r="N56" s="3" t="str">
        <f t="shared" si="8"/>
        <v>0</v>
      </c>
      <c r="O56" s="9">
        <f t="shared" si="9"/>
        <v>23.2</v>
      </c>
    </row>
    <row r="57" spans="2:16" x14ac:dyDescent="0.2">
      <c r="B57">
        <v>139</v>
      </c>
      <c r="C57" s="3" t="s">
        <v>168</v>
      </c>
      <c r="D57" s="3" t="s">
        <v>78</v>
      </c>
      <c r="E57">
        <v>6</v>
      </c>
      <c r="F57" t="s">
        <v>298</v>
      </c>
      <c r="G57">
        <v>4</v>
      </c>
      <c r="H57" s="9">
        <f t="shared" si="5"/>
        <v>0.4</v>
      </c>
      <c r="I57" t="s">
        <v>31</v>
      </c>
      <c r="J57" s="3" t="str">
        <f t="shared" si="6"/>
        <v>2</v>
      </c>
      <c r="K57" t="s">
        <v>26</v>
      </c>
      <c r="L57" s="10" t="str">
        <f t="shared" si="7"/>
        <v>2</v>
      </c>
      <c r="M57" t="s">
        <v>37</v>
      </c>
      <c r="N57" s="3" t="str">
        <f t="shared" si="8"/>
        <v>0</v>
      </c>
      <c r="O57" s="9">
        <f t="shared" si="9"/>
        <v>23.2</v>
      </c>
      <c r="P57" t="s">
        <v>43</v>
      </c>
    </row>
    <row r="58" spans="2:16" x14ac:dyDescent="0.2">
      <c r="B58">
        <v>140</v>
      </c>
      <c r="C58" s="3" t="s">
        <v>168</v>
      </c>
      <c r="D58" s="3" t="s">
        <v>78</v>
      </c>
      <c r="E58">
        <v>7</v>
      </c>
      <c r="F58" t="s">
        <v>298</v>
      </c>
      <c r="G58">
        <v>4</v>
      </c>
      <c r="H58" s="9">
        <f t="shared" si="5"/>
        <v>0.4</v>
      </c>
      <c r="I58" t="s">
        <v>31</v>
      </c>
      <c r="J58" s="3" t="str">
        <f t="shared" si="6"/>
        <v>2</v>
      </c>
      <c r="K58" t="s">
        <v>26</v>
      </c>
      <c r="L58" s="10" t="str">
        <f t="shared" si="7"/>
        <v>2</v>
      </c>
      <c r="M58" t="s">
        <v>37</v>
      </c>
      <c r="N58" s="3" t="str">
        <f t="shared" si="8"/>
        <v>0</v>
      </c>
      <c r="O58" s="9">
        <f t="shared" si="9"/>
        <v>23.2</v>
      </c>
      <c r="P58" t="s">
        <v>43</v>
      </c>
    </row>
    <row r="59" spans="2:16" x14ac:dyDescent="0.2">
      <c r="B59">
        <v>141</v>
      </c>
      <c r="C59" s="3" t="s">
        <v>168</v>
      </c>
      <c r="D59" s="3" t="s">
        <v>78</v>
      </c>
      <c r="E59">
        <v>8</v>
      </c>
      <c r="F59" t="s">
        <v>298</v>
      </c>
      <c r="G59">
        <v>4</v>
      </c>
      <c r="H59" s="9">
        <f t="shared" si="5"/>
        <v>0.4</v>
      </c>
      <c r="I59" t="s">
        <v>31</v>
      </c>
      <c r="J59" s="3" t="str">
        <f t="shared" si="6"/>
        <v>2</v>
      </c>
      <c r="K59" t="s">
        <v>26</v>
      </c>
      <c r="L59" s="10" t="str">
        <f t="shared" si="7"/>
        <v>2</v>
      </c>
      <c r="M59" t="s">
        <v>37</v>
      </c>
      <c r="N59" s="3" t="str">
        <f t="shared" si="8"/>
        <v>0</v>
      </c>
      <c r="O59" s="9">
        <f t="shared" si="9"/>
        <v>23.2</v>
      </c>
      <c r="P59" t="s">
        <v>43</v>
      </c>
    </row>
    <row r="60" spans="2:16" x14ac:dyDescent="0.2">
      <c r="B60">
        <v>142</v>
      </c>
      <c r="C60" s="3" t="s">
        <v>168</v>
      </c>
      <c r="D60" s="3" t="s">
        <v>78</v>
      </c>
      <c r="E60">
        <v>9</v>
      </c>
      <c r="F60" t="s">
        <v>298</v>
      </c>
      <c r="G60">
        <v>4</v>
      </c>
      <c r="H60" s="9">
        <f t="shared" si="5"/>
        <v>0.4</v>
      </c>
      <c r="I60" t="s">
        <v>31</v>
      </c>
      <c r="J60" s="3" t="str">
        <f t="shared" si="6"/>
        <v>2</v>
      </c>
      <c r="K60" t="s">
        <v>26</v>
      </c>
      <c r="L60" s="10" t="str">
        <f t="shared" si="7"/>
        <v>2</v>
      </c>
      <c r="M60" t="s">
        <v>37</v>
      </c>
      <c r="N60" s="3" t="str">
        <f t="shared" si="8"/>
        <v>0</v>
      </c>
      <c r="O60" s="9">
        <f t="shared" si="9"/>
        <v>23.2</v>
      </c>
      <c r="P60" t="s">
        <v>43</v>
      </c>
    </row>
    <row r="61" spans="2:16" x14ac:dyDescent="0.2">
      <c r="B61">
        <v>149</v>
      </c>
      <c r="C61" s="3" t="s">
        <v>168</v>
      </c>
      <c r="D61" s="3" t="s">
        <v>78</v>
      </c>
      <c r="E61">
        <v>16</v>
      </c>
      <c r="F61" t="s">
        <v>287</v>
      </c>
      <c r="G61">
        <v>4</v>
      </c>
      <c r="H61" s="9">
        <f t="shared" si="5"/>
        <v>0.4</v>
      </c>
      <c r="I61" t="s">
        <v>31</v>
      </c>
      <c r="J61" s="3" t="str">
        <f t="shared" si="6"/>
        <v>2</v>
      </c>
      <c r="K61" t="s">
        <v>26</v>
      </c>
      <c r="L61" s="10" t="str">
        <f t="shared" si="7"/>
        <v>2</v>
      </c>
      <c r="M61" t="s">
        <v>37</v>
      </c>
      <c r="N61" s="3" t="str">
        <f t="shared" si="8"/>
        <v>0</v>
      </c>
      <c r="O61" s="9">
        <f t="shared" si="9"/>
        <v>23.2</v>
      </c>
    </row>
    <row r="62" spans="2:16" x14ac:dyDescent="0.2">
      <c r="B62">
        <v>40</v>
      </c>
      <c r="C62" s="3">
        <v>21</v>
      </c>
      <c r="D62" s="3">
        <v>294</v>
      </c>
      <c r="E62">
        <v>39</v>
      </c>
      <c r="F62" t="s">
        <v>268</v>
      </c>
      <c r="G62">
        <v>3</v>
      </c>
      <c r="H62" s="9">
        <f t="shared" si="5"/>
        <v>0.3</v>
      </c>
      <c r="I62" t="s">
        <v>31</v>
      </c>
      <c r="J62" s="3" t="str">
        <f t="shared" si="6"/>
        <v>2</v>
      </c>
      <c r="K62" t="s">
        <v>26</v>
      </c>
      <c r="L62" s="10" t="str">
        <f t="shared" si="7"/>
        <v>2</v>
      </c>
      <c r="M62" t="s">
        <v>37</v>
      </c>
      <c r="N62" s="3" t="str">
        <f t="shared" si="8"/>
        <v>0</v>
      </c>
      <c r="O62" s="9">
        <f t="shared" si="9"/>
        <v>22.9</v>
      </c>
    </row>
    <row r="63" spans="2:16" x14ac:dyDescent="0.2">
      <c r="B63">
        <v>47</v>
      </c>
      <c r="C63" s="3">
        <v>21</v>
      </c>
      <c r="D63" s="3">
        <v>1301</v>
      </c>
      <c r="E63">
        <v>46</v>
      </c>
      <c r="F63" t="s">
        <v>286</v>
      </c>
      <c r="G63">
        <v>3</v>
      </c>
      <c r="H63" s="9">
        <f t="shared" si="5"/>
        <v>0.3</v>
      </c>
      <c r="I63" t="s">
        <v>31</v>
      </c>
      <c r="J63" s="3" t="str">
        <f t="shared" si="6"/>
        <v>2</v>
      </c>
      <c r="K63" t="s">
        <v>26</v>
      </c>
      <c r="L63" s="10" t="str">
        <f t="shared" si="7"/>
        <v>2</v>
      </c>
      <c r="M63" t="s">
        <v>37</v>
      </c>
      <c r="N63" s="3" t="str">
        <f t="shared" si="8"/>
        <v>0</v>
      </c>
      <c r="O63" s="9">
        <f t="shared" si="9"/>
        <v>22.9</v>
      </c>
    </row>
    <row r="64" spans="2:16" x14ac:dyDescent="0.2">
      <c r="B64">
        <v>178</v>
      </c>
      <c r="C64" s="3">
        <v>26</v>
      </c>
      <c r="D64" s="3" t="s">
        <v>224</v>
      </c>
      <c r="E64">
        <v>3</v>
      </c>
      <c r="F64" t="s">
        <v>284</v>
      </c>
      <c r="G64">
        <v>3</v>
      </c>
      <c r="H64" s="9">
        <f t="shared" si="5"/>
        <v>0.3</v>
      </c>
      <c r="I64" t="s">
        <v>31</v>
      </c>
      <c r="J64" s="3" t="str">
        <f t="shared" si="6"/>
        <v>2</v>
      </c>
      <c r="K64" t="s">
        <v>26</v>
      </c>
      <c r="L64" s="10" t="str">
        <f t="shared" si="7"/>
        <v>2</v>
      </c>
      <c r="M64" t="s">
        <v>37</v>
      </c>
      <c r="N64" s="3" t="str">
        <f t="shared" si="8"/>
        <v>0</v>
      </c>
      <c r="O64" s="9">
        <f t="shared" si="9"/>
        <v>22.9</v>
      </c>
    </row>
    <row r="65" spans="2:16" x14ac:dyDescent="0.2">
      <c r="B65">
        <v>263</v>
      </c>
      <c r="C65" s="3" t="s">
        <v>202</v>
      </c>
      <c r="D65" s="3" t="s">
        <v>78</v>
      </c>
      <c r="E65">
        <v>1</v>
      </c>
      <c r="F65" t="s">
        <v>284</v>
      </c>
      <c r="G65">
        <v>3</v>
      </c>
      <c r="H65" s="9">
        <f t="shared" si="5"/>
        <v>0.3</v>
      </c>
      <c r="I65" t="s">
        <v>31</v>
      </c>
      <c r="J65" s="3" t="str">
        <f t="shared" si="6"/>
        <v>2</v>
      </c>
      <c r="K65" t="s">
        <v>26</v>
      </c>
      <c r="L65" s="10" t="str">
        <f t="shared" si="7"/>
        <v>2</v>
      </c>
      <c r="M65" t="s">
        <v>37</v>
      </c>
      <c r="N65" s="3" t="str">
        <f t="shared" si="8"/>
        <v>0</v>
      </c>
      <c r="O65" s="9">
        <f t="shared" si="9"/>
        <v>22.9</v>
      </c>
    </row>
    <row r="66" spans="2:16" x14ac:dyDescent="0.2">
      <c r="B66">
        <v>340</v>
      </c>
      <c r="C66" s="3" t="s">
        <v>238</v>
      </c>
      <c r="D66" s="3" t="s">
        <v>78</v>
      </c>
      <c r="E66">
        <v>34</v>
      </c>
      <c r="F66" t="s">
        <v>283</v>
      </c>
      <c r="G66">
        <v>3</v>
      </c>
      <c r="H66" s="9">
        <f t="shared" si="5"/>
        <v>0.3</v>
      </c>
      <c r="I66" t="s">
        <v>31</v>
      </c>
      <c r="J66" s="3" t="str">
        <f t="shared" si="6"/>
        <v>2</v>
      </c>
      <c r="K66" t="s">
        <v>26</v>
      </c>
      <c r="L66" s="10" t="str">
        <f t="shared" si="7"/>
        <v>2</v>
      </c>
      <c r="M66" t="s">
        <v>37</v>
      </c>
      <c r="N66" s="3" t="str">
        <f t="shared" si="8"/>
        <v>0</v>
      </c>
      <c r="O66" s="9">
        <f t="shared" si="9"/>
        <v>22.9</v>
      </c>
    </row>
    <row r="67" spans="2:16" x14ac:dyDescent="0.2">
      <c r="B67">
        <v>144</v>
      </c>
      <c r="C67" s="3" t="s">
        <v>168</v>
      </c>
      <c r="D67" s="3" t="s">
        <v>78</v>
      </c>
      <c r="E67">
        <v>11</v>
      </c>
      <c r="F67" t="s">
        <v>276</v>
      </c>
      <c r="G67">
        <v>3</v>
      </c>
      <c r="H67" s="9">
        <f t="shared" ref="H67:H77" si="10">G67/10</f>
        <v>0.3</v>
      </c>
      <c r="I67" t="s">
        <v>31</v>
      </c>
      <c r="J67" s="3" t="str">
        <f t="shared" ref="J67:J77" si="11">IF(I67="N/A","0",IF(I67="Excellent","1",IF(I67="Very Good","1",IF(I67="Good","2",IF(I67="Fair","3",IF(I67="Poor","4",IF(I67="Critical","5",IF(I67="Dead","5"))))))))</f>
        <v>2</v>
      </c>
      <c r="K67" t="s">
        <v>26</v>
      </c>
      <c r="L67" s="10" t="str">
        <f t="shared" ref="L67:L77" si="12">IF(K67="Removal","5",IF(K67="Pruning: Deadwood 1","4",IF(K67="Pruning: Deadwood 2","3",IF(K67="Pruning: Routine","2",IF(K67="Pruning: Training","1",IF(K67="Plant","0",IF(K67="Other - see notes","0",)))))))</f>
        <v>2</v>
      </c>
      <c r="M67" t="s">
        <v>37</v>
      </c>
      <c r="N67" s="3" t="str">
        <f t="shared" ref="N67:N77" si="13">IF(M67="no risk","0",IF(M67="None","0",IF(M67="Minimal Risk","1",IF(M67="Moderate Risk","2",IF(M67="High Risk","4",IF(M67="Severe Risk","5"))))))</f>
        <v>0</v>
      </c>
      <c r="O67" s="9">
        <f t="shared" ref="O67:O77" si="14">($G$2*H67)+($I$2*J67)+($K$2*L67)+($M$2*N67)</f>
        <v>22.9</v>
      </c>
    </row>
    <row r="68" spans="2:16" x14ac:dyDescent="0.2">
      <c r="B68">
        <v>145</v>
      </c>
      <c r="C68" s="3" t="s">
        <v>168</v>
      </c>
      <c r="D68" s="3" t="s">
        <v>78</v>
      </c>
      <c r="E68">
        <v>12</v>
      </c>
      <c r="F68" t="s">
        <v>276</v>
      </c>
      <c r="G68">
        <v>3</v>
      </c>
      <c r="H68" s="9">
        <f t="shared" si="10"/>
        <v>0.3</v>
      </c>
      <c r="I68" t="s">
        <v>31</v>
      </c>
      <c r="J68" s="3" t="str">
        <f t="shared" si="11"/>
        <v>2</v>
      </c>
      <c r="K68" t="s">
        <v>26</v>
      </c>
      <c r="L68" s="10" t="str">
        <f t="shared" si="12"/>
        <v>2</v>
      </c>
      <c r="M68" t="s">
        <v>37</v>
      </c>
      <c r="N68" s="3" t="str">
        <f t="shared" si="13"/>
        <v>0</v>
      </c>
      <c r="O68" s="9">
        <f t="shared" si="14"/>
        <v>22.9</v>
      </c>
    </row>
    <row r="69" spans="2:16" x14ac:dyDescent="0.2">
      <c r="B69">
        <v>146</v>
      </c>
      <c r="C69" s="3" t="s">
        <v>168</v>
      </c>
      <c r="D69" s="3" t="s">
        <v>78</v>
      </c>
      <c r="E69">
        <v>13</v>
      </c>
      <c r="F69" t="s">
        <v>276</v>
      </c>
      <c r="G69">
        <v>3</v>
      </c>
      <c r="H69" s="9">
        <f t="shared" si="10"/>
        <v>0.3</v>
      </c>
      <c r="I69" t="s">
        <v>31</v>
      </c>
      <c r="J69" s="3" t="str">
        <f t="shared" si="11"/>
        <v>2</v>
      </c>
      <c r="K69" t="s">
        <v>26</v>
      </c>
      <c r="L69" s="10" t="str">
        <f t="shared" si="12"/>
        <v>2</v>
      </c>
      <c r="M69" t="s">
        <v>37</v>
      </c>
      <c r="N69" s="3" t="str">
        <f t="shared" si="13"/>
        <v>0</v>
      </c>
      <c r="O69" s="9">
        <f t="shared" si="14"/>
        <v>22.9</v>
      </c>
    </row>
    <row r="70" spans="2:16" x14ac:dyDescent="0.2">
      <c r="B70">
        <v>131</v>
      </c>
      <c r="C70" s="3" t="s">
        <v>164</v>
      </c>
      <c r="D70" s="3" t="s">
        <v>78</v>
      </c>
      <c r="E70">
        <v>50</v>
      </c>
      <c r="F70" t="s">
        <v>286</v>
      </c>
      <c r="G70">
        <v>3</v>
      </c>
      <c r="H70" s="9">
        <f t="shared" si="10"/>
        <v>0.3</v>
      </c>
      <c r="I70" t="s">
        <v>31</v>
      </c>
      <c r="J70" s="3" t="str">
        <f t="shared" si="11"/>
        <v>2</v>
      </c>
      <c r="K70" t="s">
        <v>26</v>
      </c>
      <c r="L70" s="10" t="str">
        <f t="shared" si="12"/>
        <v>2</v>
      </c>
      <c r="M70" t="s">
        <v>37</v>
      </c>
      <c r="N70" s="3" t="str">
        <f t="shared" si="13"/>
        <v>0</v>
      </c>
      <c r="O70" s="9">
        <f t="shared" si="14"/>
        <v>22.9</v>
      </c>
    </row>
    <row r="71" spans="2:16" x14ac:dyDescent="0.2">
      <c r="B71">
        <v>132</v>
      </c>
      <c r="C71" s="3" t="s">
        <v>164</v>
      </c>
      <c r="D71" s="3" t="s">
        <v>78</v>
      </c>
      <c r="E71">
        <v>51</v>
      </c>
      <c r="F71" t="s">
        <v>273</v>
      </c>
      <c r="G71">
        <v>3</v>
      </c>
      <c r="H71" s="9">
        <f t="shared" si="10"/>
        <v>0.3</v>
      </c>
      <c r="I71" t="s">
        <v>31</v>
      </c>
      <c r="J71" s="3" t="str">
        <f t="shared" si="11"/>
        <v>2</v>
      </c>
      <c r="K71" t="s">
        <v>26</v>
      </c>
      <c r="L71" s="10" t="str">
        <f t="shared" si="12"/>
        <v>2</v>
      </c>
      <c r="M71" t="s">
        <v>37</v>
      </c>
      <c r="N71" s="3" t="str">
        <f t="shared" si="13"/>
        <v>0</v>
      </c>
      <c r="O71" s="9">
        <f t="shared" si="14"/>
        <v>22.9</v>
      </c>
      <c r="P71" t="s">
        <v>165</v>
      </c>
    </row>
    <row r="72" spans="2:16" x14ac:dyDescent="0.2">
      <c r="B72">
        <v>65</v>
      </c>
      <c r="C72" s="3">
        <v>9</v>
      </c>
      <c r="D72" s="3" t="s">
        <v>131</v>
      </c>
      <c r="E72">
        <v>1</v>
      </c>
      <c r="F72" t="s">
        <v>286</v>
      </c>
      <c r="G72">
        <v>2</v>
      </c>
      <c r="H72" s="9">
        <f t="shared" si="10"/>
        <v>0.2</v>
      </c>
      <c r="I72" t="s">
        <v>31</v>
      </c>
      <c r="J72" s="3" t="str">
        <f t="shared" si="11"/>
        <v>2</v>
      </c>
      <c r="K72" t="s">
        <v>26</v>
      </c>
      <c r="L72" s="10" t="str">
        <f t="shared" si="12"/>
        <v>2</v>
      </c>
      <c r="M72" t="s">
        <v>37</v>
      </c>
      <c r="N72" s="3" t="str">
        <f t="shared" si="13"/>
        <v>0</v>
      </c>
      <c r="O72" s="9">
        <f t="shared" si="14"/>
        <v>22.6</v>
      </c>
    </row>
    <row r="73" spans="2:16" x14ac:dyDescent="0.2">
      <c r="B73">
        <v>41</v>
      </c>
      <c r="C73" s="3">
        <v>21</v>
      </c>
      <c r="D73" s="3">
        <v>350</v>
      </c>
      <c r="E73">
        <v>40</v>
      </c>
      <c r="F73" t="s">
        <v>86</v>
      </c>
      <c r="G73">
        <v>2</v>
      </c>
      <c r="H73" s="9">
        <f t="shared" si="10"/>
        <v>0.2</v>
      </c>
      <c r="I73" t="s">
        <v>31</v>
      </c>
      <c r="J73" s="3" t="str">
        <f t="shared" si="11"/>
        <v>2</v>
      </c>
      <c r="K73" t="s">
        <v>26</v>
      </c>
      <c r="L73" s="10" t="str">
        <f t="shared" si="12"/>
        <v>2</v>
      </c>
      <c r="M73" t="s">
        <v>37</v>
      </c>
      <c r="N73" s="3" t="str">
        <f t="shared" si="13"/>
        <v>0</v>
      </c>
      <c r="O73" s="9">
        <f t="shared" si="14"/>
        <v>22.6</v>
      </c>
      <c r="P73" t="s">
        <v>115</v>
      </c>
    </row>
    <row r="74" spans="2:16" x14ac:dyDescent="0.2">
      <c r="B74">
        <v>269</v>
      </c>
      <c r="C74" s="3" t="s">
        <v>202</v>
      </c>
      <c r="D74" s="3" t="s">
        <v>78</v>
      </c>
      <c r="E74">
        <v>6</v>
      </c>
      <c r="F74" t="s">
        <v>284</v>
      </c>
      <c r="G74">
        <v>2</v>
      </c>
      <c r="H74" s="9">
        <f t="shared" si="10"/>
        <v>0.2</v>
      </c>
      <c r="I74" t="s">
        <v>31</v>
      </c>
      <c r="J74" s="3" t="str">
        <f t="shared" si="11"/>
        <v>2</v>
      </c>
      <c r="K74" t="s">
        <v>26</v>
      </c>
      <c r="L74" s="10" t="str">
        <f t="shared" si="12"/>
        <v>2</v>
      </c>
      <c r="M74" t="s">
        <v>37</v>
      </c>
      <c r="N74" s="3" t="str">
        <f t="shared" si="13"/>
        <v>0</v>
      </c>
      <c r="O74" s="9">
        <f t="shared" si="14"/>
        <v>22.6</v>
      </c>
      <c r="P74" t="s">
        <v>208</v>
      </c>
    </row>
    <row r="75" spans="2:16" x14ac:dyDescent="0.2">
      <c r="B75">
        <v>319</v>
      </c>
      <c r="C75" s="3" t="s">
        <v>238</v>
      </c>
      <c r="D75" s="3" t="s">
        <v>78</v>
      </c>
      <c r="E75">
        <v>13</v>
      </c>
      <c r="F75" t="s">
        <v>260</v>
      </c>
      <c r="G75">
        <v>2</v>
      </c>
      <c r="H75" s="9">
        <f t="shared" si="10"/>
        <v>0.2</v>
      </c>
      <c r="I75" t="s">
        <v>31</v>
      </c>
      <c r="J75" s="3" t="str">
        <f t="shared" si="11"/>
        <v>2</v>
      </c>
      <c r="K75" t="s">
        <v>26</v>
      </c>
      <c r="L75" s="10" t="str">
        <f t="shared" si="12"/>
        <v>2</v>
      </c>
      <c r="M75" t="s">
        <v>37</v>
      </c>
      <c r="N75" s="3" t="str">
        <f t="shared" si="13"/>
        <v>0</v>
      </c>
      <c r="O75" s="9">
        <f t="shared" si="14"/>
        <v>22.6</v>
      </c>
    </row>
    <row r="76" spans="2:16" x14ac:dyDescent="0.2">
      <c r="B76">
        <v>320</v>
      </c>
      <c r="C76" s="3" t="s">
        <v>238</v>
      </c>
      <c r="D76" s="3" t="s">
        <v>78</v>
      </c>
      <c r="E76">
        <v>14</v>
      </c>
      <c r="F76" t="s">
        <v>260</v>
      </c>
      <c r="G76">
        <v>2</v>
      </c>
      <c r="H76" s="9">
        <f t="shared" si="10"/>
        <v>0.2</v>
      </c>
      <c r="I76" t="s">
        <v>31</v>
      </c>
      <c r="J76" s="3" t="str">
        <f t="shared" si="11"/>
        <v>2</v>
      </c>
      <c r="K76" t="s">
        <v>26</v>
      </c>
      <c r="L76" s="10" t="str">
        <f t="shared" si="12"/>
        <v>2</v>
      </c>
      <c r="M76" t="s">
        <v>37</v>
      </c>
      <c r="N76" s="3" t="str">
        <f t="shared" si="13"/>
        <v>0</v>
      </c>
      <c r="O76" s="9">
        <f t="shared" si="14"/>
        <v>22.6</v>
      </c>
    </row>
    <row r="77" spans="2:16" x14ac:dyDescent="0.2">
      <c r="B77">
        <v>321</v>
      </c>
      <c r="C77" s="3" t="s">
        <v>238</v>
      </c>
      <c r="D77" s="3" t="s">
        <v>78</v>
      </c>
      <c r="E77">
        <v>15</v>
      </c>
      <c r="F77" t="s">
        <v>280</v>
      </c>
      <c r="G77">
        <v>2</v>
      </c>
      <c r="H77" s="9">
        <f t="shared" si="10"/>
        <v>0.2</v>
      </c>
      <c r="I77" t="s">
        <v>31</v>
      </c>
      <c r="J77" s="3" t="str">
        <f t="shared" si="11"/>
        <v>2</v>
      </c>
      <c r="K77" t="s">
        <v>26</v>
      </c>
      <c r="L77" s="10" t="str">
        <f t="shared" si="12"/>
        <v>2</v>
      </c>
      <c r="M77" t="s">
        <v>37</v>
      </c>
      <c r="N77" s="3" t="str">
        <f t="shared" si="13"/>
        <v>0</v>
      </c>
      <c r="O77" s="9">
        <f t="shared" si="14"/>
        <v>22.6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7"/>
  <sheetViews>
    <sheetView workbookViewId="0">
      <selection activeCell="G3" sqref="G3"/>
    </sheetView>
  </sheetViews>
  <sheetFormatPr defaultRowHeight="12.75" x14ac:dyDescent="0.2"/>
  <cols>
    <col min="1" max="1" width="20.7109375" bestFit="1" customWidth="1"/>
    <col min="2" max="2" width="5" bestFit="1" customWidth="1"/>
    <col min="3" max="3" width="9.7109375" bestFit="1" customWidth="1"/>
    <col min="4" max="4" width="15" bestFit="1" customWidth="1"/>
    <col min="5" max="5" width="5.7109375" bestFit="1" customWidth="1"/>
    <col min="6" max="6" width="21.5703125" bestFit="1" customWidth="1"/>
    <col min="7" max="7" width="5.42578125" bestFit="1" customWidth="1"/>
    <col min="8" max="8" width="9.5703125" bestFit="1" customWidth="1"/>
    <col min="9" max="9" width="6.85546875" bestFit="1" customWidth="1"/>
    <col min="10" max="10" width="11" bestFit="1" customWidth="1"/>
    <col min="11" max="11" width="18.85546875" bestFit="1" customWidth="1"/>
    <col min="12" max="12" width="11.7109375" bestFit="1" customWidth="1"/>
    <col min="13" max="13" width="13.140625" bestFit="1" customWidth="1"/>
    <col min="14" max="14" width="10" bestFit="1" customWidth="1"/>
    <col min="15" max="15" width="14.28515625" bestFit="1" customWidth="1"/>
    <col min="16" max="16" width="34.28515625" bestFit="1" customWidth="1"/>
  </cols>
  <sheetData>
    <row r="1" spans="1:16" s="4" customFormat="1" x14ac:dyDescent="0.2">
      <c r="B1" s="4" t="s">
        <v>3</v>
      </c>
      <c r="C1" s="5" t="s">
        <v>57</v>
      </c>
      <c r="D1" s="5" t="s">
        <v>58</v>
      </c>
      <c r="E1" s="5" t="s">
        <v>59</v>
      </c>
      <c r="F1" s="6" t="s">
        <v>64</v>
      </c>
      <c r="G1" s="4" t="s">
        <v>8</v>
      </c>
      <c r="H1" s="7" t="s">
        <v>65</v>
      </c>
      <c r="I1" s="4" t="s">
        <v>9</v>
      </c>
      <c r="J1" s="5" t="s">
        <v>66</v>
      </c>
      <c r="K1" s="4" t="s">
        <v>67</v>
      </c>
      <c r="L1" s="4" t="s">
        <v>68</v>
      </c>
      <c r="M1" s="4" t="s">
        <v>13</v>
      </c>
      <c r="N1" s="5" t="s">
        <v>69</v>
      </c>
      <c r="O1" s="5" t="s">
        <v>70</v>
      </c>
      <c r="P1" s="4" t="s">
        <v>2</v>
      </c>
    </row>
    <row r="2" spans="1:16" s="4" customFormat="1" x14ac:dyDescent="0.2">
      <c r="A2" s="4" t="s">
        <v>71</v>
      </c>
      <c r="B2" s="8"/>
      <c r="C2" s="7"/>
      <c r="D2" s="7"/>
      <c r="E2" s="7"/>
      <c r="F2" s="8"/>
      <c r="G2" s="8">
        <v>3</v>
      </c>
      <c r="H2" s="7"/>
      <c r="I2" s="8">
        <v>5</v>
      </c>
      <c r="J2" s="7"/>
      <c r="K2" s="8">
        <v>6</v>
      </c>
      <c r="L2" s="8"/>
      <c r="M2" s="8">
        <v>10</v>
      </c>
      <c r="N2" s="7"/>
      <c r="O2" s="7"/>
      <c r="P2" s="8"/>
    </row>
    <row r="3" spans="1:16" x14ac:dyDescent="0.2">
      <c r="B3">
        <v>314</v>
      </c>
      <c r="C3" s="3" t="s">
        <v>238</v>
      </c>
      <c r="D3" s="3" t="s">
        <v>78</v>
      </c>
      <c r="E3">
        <v>8</v>
      </c>
      <c r="F3" t="s">
        <v>297</v>
      </c>
      <c r="G3">
        <v>30</v>
      </c>
      <c r="H3" s="9">
        <f t="shared" ref="H3:H34" si="0">G3/10</f>
        <v>3</v>
      </c>
      <c r="I3" t="s">
        <v>52</v>
      </c>
      <c r="J3" s="3" t="str">
        <f t="shared" ref="J3:J34" si="1">IF(I3="N/A","0",IF(I3="Excellent","1",IF(I3="Very Good","1",IF(I3="Good","2",IF(I3="Fair","3",IF(I3="Poor","4",IF(I3="Critical","5",IF(I3="Dead","5"))))))))</f>
        <v>1</v>
      </c>
      <c r="K3" t="s">
        <v>26</v>
      </c>
      <c r="L3" s="10" t="str">
        <f t="shared" ref="L3:L34" si="2">IF(K3="Removal","5",IF(K3="Pruning: Deadwood 1","4",IF(K3="Pruning: Deadwood 2","3",IF(K3="Pruning: Routine","2",IF(K3="Pruning: Training","1",IF(K3="Plant","0",IF(K3="Other - see notes","0",)))))))</f>
        <v>2</v>
      </c>
      <c r="M3" t="s">
        <v>37</v>
      </c>
      <c r="N3" s="3" t="str">
        <f t="shared" ref="N3:N34" si="3">IF(M3="no risk","0",IF(M3="None","0",IF(M3="Minimal Risk","1",IF(M3="Moderate Risk","2",IF(M3="High Risk","4",IF(M3="Severe Risk","5"))))))</f>
        <v>0</v>
      </c>
      <c r="O3" s="9">
        <f t="shared" ref="O3:O34" si="4">($G$2*H3)+($I$2*J3)+($K$2*L3)+($M$2*N3)</f>
        <v>26</v>
      </c>
    </row>
    <row r="4" spans="1:16" x14ac:dyDescent="0.2">
      <c r="B4">
        <v>199</v>
      </c>
      <c r="C4" s="3">
        <v>19</v>
      </c>
      <c r="D4" s="3" t="s">
        <v>78</v>
      </c>
      <c r="E4">
        <v>6</v>
      </c>
      <c r="F4" t="s">
        <v>290</v>
      </c>
      <c r="G4">
        <v>28</v>
      </c>
      <c r="H4" s="9">
        <f t="shared" si="0"/>
        <v>2.8</v>
      </c>
      <c r="I4" t="s">
        <v>52</v>
      </c>
      <c r="J4" s="3" t="str">
        <f t="shared" si="1"/>
        <v>1</v>
      </c>
      <c r="K4" t="s">
        <v>26</v>
      </c>
      <c r="L4" s="10" t="str">
        <f t="shared" si="2"/>
        <v>2</v>
      </c>
      <c r="M4" t="s">
        <v>37</v>
      </c>
      <c r="N4" s="3" t="str">
        <f t="shared" si="3"/>
        <v>0</v>
      </c>
      <c r="O4" s="9">
        <f t="shared" si="4"/>
        <v>25.4</v>
      </c>
      <c r="P4" t="s">
        <v>36</v>
      </c>
    </row>
    <row r="5" spans="1:16" x14ac:dyDescent="0.2">
      <c r="B5">
        <v>78</v>
      </c>
      <c r="C5" s="3">
        <v>10</v>
      </c>
      <c r="D5" s="3" t="s">
        <v>154</v>
      </c>
      <c r="E5">
        <v>1</v>
      </c>
      <c r="F5" t="s">
        <v>290</v>
      </c>
      <c r="G5">
        <v>24</v>
      </c>
      <c r="H5" s="9">
        <f t="shared" si="0"/>
        <v>2.4</v>
      </c>
      <c r="I5" t="s">
        <v>31</v>
      </c>
      <c r="J5" s="3" t="str">
        <f t="shared" si="1"/>
        <v>2</v>
      </c>
      <c r="K5" t="s">
        <v>26</v>
      </c>
      <c r="L5" s="10" t="str">
        <f t="shared" si="2"/>
        <v>2</v>
      </c>
      <c r="M5" t="s">
        <v>37</v>
      </c>
      <c r="N5" s="3" t="str">
        <f t="shared" si="3"/>
        <v>0</v>
      </c>
      <c r="O5" s="9">
        <f t="shared" si="4"/>
        <v>29.2</v>
      </c>
      <c r="P5" t="s">
        <v>36</v>
      </c>
    </row>
    <row r="6" spans="1:16" x14ac:dyDescent="0.2">
      <c r="B6">
        <v>306</v>
      </c>
      <c r="C6" s="3">
        <v>22</v>
      </c>
      <c r="D6" s="3" t="s">
        <v>78</v>
      </c>
      <c r="E6">
        <v>27</v>
      </c>
      <c r="F6" t="s">
        <v>290</v>
      </c>
      <c r="G6">
        <v>24</v>
      </c>
      <c r="H6" s="9">
        <f t="shared" si="0"/>
        <v>2.4</v>
      </c>
      <c r="I6" t="s">
        <v>31</v>
      </c>
      <c r="J6" s="3" t="str">
        <f t="shared" si="1"/>
        <v>2</v>
      </c>
      <c r="K6" t="s">
        <v>26</v>
      </c>
      <c r="L6" s="10" t="str">
        <f t="shared" si="2"/>
        <v>2</v>
      </c>
      <c r="M6" t="s">
        <v>37</v>
      </c>
      <c r="N6" s="3" t="str">
        <f t="shared" si="3"/>
        <v>0</v>
      </c>
      <c r="O6" s="9">
        <f t="shared" si="4"/>
        <v>29.2</v>
      </c>
      <c r="P6" t="s">
        <v>44</v>
      </c>
    </row>
    <row r="7" spans="1:16" x14ac:dyDescent="0.2">
      <c r="B7">
        <v>283</v>
      </c>
      <c r="C7" s="3">
        <v>14</v>
      </c>
      <c r="D7" s="3" t="s">
        <v>230</v>
      </c>
      <c r="E7">
        <v>14</v>
      </c>
      <c r="F7" t="s">
        <v>290</v>
      </c>
      <c r="G7">
        <v>24</v>
      </c>
      <c r="H7" s="9">
        <f t="shared" si="0"/>
        <v>2.4</v>
      </c>
      <c r="I7" t="s">
        <v>52</v>
      </c>
      <c r="J7" s="3" t="str">
        <f t="shared" si="1"/>
        <v>1</v>
      </c>
      <c r="K7" t="s">
        <v>26</v>
      </c>
      <c r="L7" s="10" t="str">
        <f t="shared" si="2"/>
        <v>2</v>
      </c>
      <c r="M7" t="s">
        <v>37</v>
      </c>
      <c r="N7" s="3" t="str">
        <f t="shared" si="3"/>
        <v>0</v>
      </c>
      <c r="O7" s="9">
        <f t="shared" si="4"/>
        <v>24.2</v>
      </c>
    </row>
    <row r="8" spans="1:16" x14ac:dyDescent="0.2">
      <c r="B8">
        <v>284</v>
      </c>
      <c r="C8" s="3">
        <v>14</v>
      </c>
      <c r="D8" s="3" t="s">
        <v>231</v>
      </c>
      <c r="E8">
        <v>15</v>
      </c>
      <c r="F8" t="s">
        <v>290</v>
      </c>
      <c r="G8">
        <v>24</v>
      </c>
      <c r="H8" s="9">
        <f t="shared" si="0"/>
        <v>2.4</v>
      </c>
      <c r="I8" t="s">
        <v>52</v>
      </c>
      <c r="J8" s="3" t="str">
        <f t="shared" si="1"/>
        <v>1</v>
      </c>
      <c r="K8" t="s">
        <v>26</v>
      </c>
      <c r="L8" s="10" t="str">
        <f t="shared" si="2"/>
        <v>2</v>
      </c>
      <c r="M8" t="s">
        <v>37</v>
      </c>
      <c r="N8" s="3" t="str">
        <f t="shared" si="3"/>
        <v>0</v>
      </c>
      <c r="O8" s="9">
        <f t="shared" si="4"/>
        <v>24.2</v>
      </c>
    </row>
    <row r="9" spans="1:16" x14ac:dyDescent="0.2">
      <c r="B9">
        <v>282</v>
      </c>
      <c r="C9" s="3">
        <v>14</v>
      </c>
      <c r="D9" s="3" t="s">
        <v>229</v>
      </c>
      <c r="E9">
        <v>13</v>
      </c>
      <c r="F9" t="s">
        <v>290</v>
      </c>
      <c r="G9">
        <v>24</v>
      </c>
      <c r="H9" s="9">
        <f t="shared" si="0"/>
        <v>2.4</v>
      </c>
      <c r="I9" t="s">
        <v>52</v>
      </c>
      <c r="J9" s="3" t="str">
        <f t="shared" si="1"/>
        <v>1</v>
      </c>
      <c r="K9" t="s">
        <v>26</v>
      </c>
      <c r="L9" s="10" t="str">
        <f t="shared" si="2"/>
        <v>2</v>
      </c>
      <c r="M9" t="s">
        <v>37</v>
      </c>
      <c r="N9" s="3" t="str">
        <f t="shared" si="3"/>
        <v>0</v>
      </c>
      <c r="O9" s="9">
        <f t="shared" si="4"/>
        <v>24.2</v>
      </c>
    </row>
    <row r="10" spans="1:16" x14ac:dyDescent="0.2">
      <c r="B10">
        <v>192</v>
      </c>
      <c r="C10" s="3">
        <v>15</v>
      </c>
      <c r="D10" s="3" t="s">
        <v>78</v>
      </c>
      <c r="E10">
        <v>4</v>
      </c>
      <c r="F10" t="s">
        <v>288</v>
      </c>
      <c r="G10">
        <v>24</v>
      </c>
      <c r="H10" s="9">
        <f t="shared" si="0"/>
        <v>2.4</v>
      </c>
      <c r="I10" t="s">
        <v>52</v>
      </c>
      <c r="J10" s="3" t="str">
        <f t="shared" si="1"/>
        <v>1</v>
      </c>
      <c r="K10" t="s">
        <v>26</v>
      </c>
      <c r="L10" s="10" t="str">
        <f t="shared" si="2"/>
        <v>2</v>
      </c>
      <c r="M10" t="s">
        <v>37</v>
      </c>
      <c r="N10" s="3" t="str">
        <f t="shared" si="3"/>
        <v>0</v>
      </c>
      <c r="O10" s="9">
        <f t="shared" si="4"/>
        <v>24.2</v>
      </c>
    </row>
    <row r="11" spans="1:16" x14ac:dyDescent="0.2">
      <c r="B11">
        <v>187</v>
      </c>
      <c r="C11" s="3">
        <v>20</v>
      </c>
      <c r="D11" s="3" t="s">
        <v>243</v>
      </c>
      <c r="E11">
        <v>3</v>
      </c>
      <c r="F11" t="s">
        <v>290</v>
      </c>
      <c r="G11">
        <v>20</v>
      </c>
      <c r="H11" s="9">
        <f t="shared" si="0"/>
        <v>2</v>
      </c>
      <c r="I11" t="s">
        <v>31</v>
      </c>
      <c r="J11" s="3" t="str">
        <f t="shared" si="1"/>
        <v>2</v>
      </c>
      <c r="K11" t="s">
        <v>26</v>
      </c>
      <c r="L11" s="10" t="str">
        <f t="shared" si="2"/>
        <v>2</v>
      </c>
      <c r="M11" t="s">
        <v>37</v>
      </c>
      <c r="N11" s="3" t="str">
        <f t="shared" si="3"/>
        <v>0</v>
      </c>
      <c r="O11" s="9">
        <f t="shared" si="4"/>
        <v>28</v>
      </c>
    </row>
    <row r="12" spans="1:16" x14ac:dyDescent="0.2">
      <c r="B12">
        <v>134</v>
      </c>
      <c r="C12" s="3" t="s">
        <v>168</v>
      </c>
      <c r="D12" s="3" t="s">
        <v>78</v>
      </c>
      <c r="E12">
        <v>1</v>
      </c>
      <c r="F12" t="s">
        <v>285</v>
      </c>
      <c r="G12">
        <v>20</v>
      </c>
      <c r="H12" s="9">
        <f t="shared" si="0"/>
        <v>2</v>
      </c>
      <c r="I12" t="s">
        <v>31</v>
      </c>
      <c r="J12" s="3" t="str">
        <f t="shared" si="1"/>
        <v>2</v>
      </c>
      <c r="K12" t="s">
        <v>26</v>
      </c>
      <c r="L12" s="10" t="str">
        <f t="shared" si="2"/>
        <v>2</v>
      </c>
      <c r="M12" t="s">
        <v>37</v>
      </c>
      <c r="N12" s="3" t="str">
        <f t="shared" si="3"/>
        <v>0</v>
      </c>
      <c r="O12" s="9">
        <f t="shared" si="4"/>
        <v>28</v>
      </c>
    </row>
    <row r="13" spans="1:16" x14ac:dyDescent="0.2">
      <c r="B13">
        <v>135</v>
      </c>
      <c r="C13" s="3" t="s">
        <v>168</v>
      </c>
      <c r="D13" s="3" t="s">
        <v>78</v>
      </c>
      <c r="E13">
        <v>2</v>
      </c>
      <c r="F13" t="s">
        <v>285</v>
      </c>
      <c r="G13">
        <v>20</v>
      </c>
      <c r="H13" s="9">
        <f t="shared" si="0"/>
        <v>2</v>
      </c>
      <c r="I13" t="s">
        <v>31</v>
      </c>
      <c r="J13" s="3" t="str">
        <f t="shared" si="1"/>
        <v>2</v>
      </c>
      <c r="K13" t="s">
        <v>26</v>
      </c>
      <c r="L13" s="10" t="str">
        <f t="shared" si="2"/>
        <v>2</v>
      </c>
      <c r="M13" t="s">
        <v>37</v>
      </c>
      <c r="N13" s="3" t="str">
        <f t="shared" si="3"/>
        <v>0</v>
      </c>
      <c r="O13" s="9">
        <f t="shared" si="4"/>
        <v>28</v>
      </c>
    </row>
    <row r="14" spans="1:16" x14ac:dyDescent="0.2">
      <c r="B14">
        <v>136</v>
      </c>
      <c r="C14" s="3" t="s">
        <v>168</v>
      </c>
      <c r="D14" s="3" t="s">
        <v>78</v>
      </c>
      <c r="E14">
        <v>3</v>
      </c>
      <c r="F14" t="s">
        <v>285</v>
      </c>
      <c r="G14">
        <v>20</v>
      </c>
      <c r="H14" s="9">
        <f t="shared" si="0"/>
        <v>2</v>
      </c>
      <c r="I14" t="s">
        <v>31</v>
      </c>
      <c r="J14" s="3" t="str">
        <f t="shared" si="1"/>
        <v>2</v>
      </c>
      <c r="K14" t="s">
        <v>26</v>
      </c>
      <c r="L14" s="10" t="str">
        <f t="shared" si="2"/>
        <v>2</v>
      </c>
      <c r="M14" t="s">
        <v>37</v>
      </c>
      <c r="N14" s="3" t="str">
        <f t="shared" si="3"/>
        <v>0</v>
      </c>
      <c r="O14" s="9">
        <f t="shared" si="4"/>
        <v>28</v>
      </c>
    </row>
    <row r="15" spans="1:16" x14ac:dyDescent="0.2">
      <c r="B15">
        <v>153</v>
      </c>
      <c r="C15" s="3" t="s">
        <v>77</v>
      </c>
      <c r="D15" s="3" t="s">
        <v>78</v>
      </c>
      <c r="E15">
        <v>6</v>
      </c>
      <c r="F15" t="s">
        <v>290</v>
      </c>
      <c r="G15">
        <v>18</v>
      </c>
      <c r="H15" s="9">
        <f t="shared" si="0"/>
        <v>1.8</v>
      </c>
      <c r="I15" t="s">
        <v>31</v>
      </c>
      <c r="J15" s="3" t="str">
        <f t="shared" si="1"/>
        <v>2</v>
      </c>
      <c r="K15" t="s">
        <v>26</v>
      </c>
      <c r="L15" s="10" t="str">
        <f t="shared" si="2"/>
        <v>2</v>
      </c>
      <c r="M15" t="s">
        <v>37</v>
      </c>
      <c r="N15" s="3" t="str">
        <f t="shared" si="3"/>
        <v>0</v>
      </c>
      <c r="O15" s="9">
        <f t="shared" si="4"/>
        <v>27.4</v>
      </c>
    </row>
    <row r="16" spans="1:16" x14ac:dyDescent="0.2">
      <c r="B16">
        <v>195</v>
      </c>
      <c r="C16" s="3">
        <v>19</v>
      </c>
      <c r="D16" s="3" t="s">
        <v>78</v>
      </c>
      <c r="E16">
        <v>2</v>
      </c>
      <c r="F16" t="s">
        <v>264</v>
      </c>
      <c r="G16">
        <v>16</v>
      </c>
      <c r="H16" s="9">
        <f t="shared" si="0"/>
        <v>1.6</v>
      </c>
      <c r="I16" t="s">
        <v>31</v>
      </c>
      <c r="J16" s="3" t="str">
        <f t="shared" si="1"/>
        <v>2</v>
      </c>
      <c r="K16" t="s">
        <v>26</v>
      </c>
      <c r="L16" s="10" t="str">
        <f t="shared" si="2"/>
        <v>2</v>
      </c>
      <c r="M16" t="s">
        <v>37</v>
      </c>
      <c r="N16" s="3" t="str">
        <f t="shared" si="3"/>
        <v>0</v>
      </c>
      <c r="O16" s="9">
        <f t="shared" si="4"/>
        <v>26.8</v>
      </c>
    </row>
    <row r="17" spans="2:16" x14ac:dyDescent="0.2">
      <c r="B17">
        <v>154</v>
      </c>
      <c r="C17" s="3" t="s">
        <v>77</v>
      </c>
      <c r="D17" s="3" t="s">
        <v>78</v>
      </c>
      <c r="E17">
        <v>7</v>
      </c>
      <c r="F17" t="s">
        <v>281</v>
      </c>
      <c r="G17">
        <v>16</v>
      </c>
      <c r="H17" s="9">
        <f t="shared" si="0"/>
        <v>1.6</v>
      </c>
      <c r="I17" t="s">
        <v>31</v>
      </c>
      <c r="J17" s="3" t="str">
        <f t="shared" si="1"/>
        <v>2</v>
      </c>
      <c r="K17" t="s">
        <v>26</v>
      </c>
      <c r="L17" s="10" t="str">
        <f t="shared" si="2"/>
        <v>2</v>
      </c>
      <c r="M17" t="s">
        <v>37</v>
      </c>
      <c r="N17" s="3" t="str">
        <f t="shared" si="3"/>
        <v>0</v>
      </c>
      <c r="O17" s="9">
        <f t="shared" si="4"/>
        <v>26.8</v>
      </c>
    </row>
    <row r="18" spans="2:16" x14ac:dyDescent="0.2">
      <c r="B18">
        <v>159</v>
      </c>
      <c r="C18" s="3" t="s">
        <v>174</v>
      </c>
      <c r="D18" s="3" t="s">
        <v>78</v>
      </c>
      <c r="E18">
        <v>4</v>
      </c>
      <c r="F18" t="s">
        <v>297</v>
      </c>
      <c r="G18">
        <v>16</v>
      </c>
      <c r="H18" s="9">
        <f t="shared" si="0"/>
        <v>1.6</v>
      </c>
      <c r="I18" t="s">
        <v>31</v>
      </c>
      <c r="J18" s="3" t="str">
        <f t="shared" si="1"/>
        <v>2</v>
      </c>
      <c r="K18" t="s">
        <v>26</v>
      </c>
      <c r="L18" s="10" t="str">
        <f t="shared" si="2"/>
        <v>2</v>
      </c>
      <c r="M18" t="s">
        <v>37</v>
      </c>
      <c r="N18" s="3" t="str">
        <f t="shared" si="3"/>
        <v>0</v>
      </c>
      <c r="O18" s="9">
        <f t="shared" si="4"/>
        <v>26.8</v>
      </c>
    </row>
    <row r="19" spans="2:16" x14ac:dyDescent="0.2">
      <c r="B19">
        <v>270</v>
      </c>
      <c r="C19" s="3">
        <v>14</v>
      </c>
      <c r="D19" s="3" t="s">
        <v>78</v>
      </c>
      <c r="E19">
        <v>2</v>
      </c>
      <c r="F19" t="s">
        <v>290</v>
      </c>
      <c r="G19">
        <v>15</v>
      </c>
      <c r="H19" s="9">
        <f t="shared" si="0"/>
        <v>1.5</v>
      </c>
      <c r="I19" t="s">
        <v>31</v>
      </c>
      <c r="J19" s="3" t="str">
        <f t="shared" si="1"/>
        <v>2</v>
      </c>
      <c r="K19" t="s">
        <v>26</v>
      </c>
      <c r="L19" s="10" t="str">
        <f t="shared" si="2"/>
        <v>2</v>
      </c>
      <c r="M19" t="s">
        <v>37</v>
      </c>
      <c r="N19" s="3" t="str">
        <f t="shared" si="3"/>
        <v>0</v>
      </c>
      <c r="O19" s="9">
        <f t="shared" si="4"/>
        <v>26.5</v>
      </c>
    </row>
    <row r="20" spans="2:16" x14ac:dyDescent="0.2">
      <c r="B20">
        <v>148</v>
      </c>
      <c r="C20" s="3" t="s">
        <v>168</v>
      </c>
      <c r="D20" s="3" t="s">
        <v>78</v>
      </c>
      <c r="E20">
        <v>15</v>
      </c>
      <c r="F20" t="s">
        <v>285</v>
      </c>
      <c r="G20">
        <v>15</v>
      </c>
      <c r="H20" s="9">
        <f t="shared" si="0"/>
        <v>1.5</v>
      </c>
      <c r="I20" t="s">
        <v>31</v>
      </c>
      <c r="J20" s="3" t="str">
        <f t="shared" si="1"/>
        <v>2</v>
      </c>
      <c r="K20" t="s">
        <v>26</v>
      </c>
      <c r="L20" s="10" t="str">
        <f t="shared" si="2"/>
        <v>2</v>
      </c>
      <c r="M20" t="s">
        <v>37</v>
      </c>
      <c r="N20" s="3" t="str">
        <f t="shared" si="3"/>
        <v>0</v>
      </c>
      <c r="O20" s="9">
        <f t="shared" si="4"/>
        <v>26.5</v>
      </c>
    </row>
    <row r="21" spans="2:16" x14ac:dyDescent="0.2">
      <c r="B21">
        <v>198</v>
      </c>
      <c r="C21" s="3">
        <v>19</v>
      </c>
      <c r="D21" s="3" t="s">
        <v>78</v>
      </c>
      <c r="E21">
        <v>5</v>
      </c>
      <c r="F21" t="s">
        <v>264</v>
      </c>
      <c r="G21">
        <v>12</v>
      </c>
      <c r="H21" s="9">
        <f t="shared" si="0"/>
        <v>1.2</v>
      </c>
      <c r="I21" t="s">
        <v>31</v>
      </c>
      <c r="J21" s="3" t="str">
        <f t="shared" si="1"/>
        <v>2</v>
      </c>
      <c r="K21" t="s">
        <v>26</v>
      </c>
      <c r="L21" s="10" t="str">
        <f t="shared" si="2"/>
        <v>2</v>
      </c>
      <c r="M21" t="s">
        <v>37</v>
      </c>
      <c r="N21" s="3" t="str">
        <f t="shared" si="3"/>
        <v>0</v>
      </c>
      <c r="O21" s="9">
        <f t="shared" si="4"/>
        <v>25.6</v>
      </c>
    </row>
    <row r="22" spans="2:16" x14ac:dyDescent="0.2">
      <c r="B22">
        <v>316</v>
      </c>
      <c r="C22" s="3" t="s">
        <v>238</v>
      </c>
      <c r="D22" s="3" t="s">
        <v>78</v>
      </c>
      <c r="E22">
        <v>10</v>
      </c>
      <c r="F22" t="s">
        <v>290</v>
      </c>
      <c r="G22">
        <v>12</v>
      </c>
      <c r="H22" s="9">
        <f t="shared" si="0"/>
        <v>1.2</v>
      </c>
      <c r="I22" t="s">
        <v>31</v>
      </c>
      <c r="J22" s="3" t="str">
        <f t="shared" si="1"/>
        <v>2</v>
      </c>
      <c r="K22" t="s">
        <v>26</v>
      </c>
      <c r="L22" s="10" t="str">
        <f t="shared" si="2"/>
        <v>2</v>
      </c>
      <c r="M22" t="s">
        <v>37</v>
      </c>
      <c r="N22" s="3" t="str">
        <f t="shared" si="3"/>
        <v>0</v>
      </c>
      <c r="O22" s="9">
        <f t="shared" si="4"/>
        <v>25.6</v>
      </c>
    </row>
    <row r="23" spans="2:16" x14ac:dyDescent="0.2">
      <c r="B23">
        <v>214</v>
      </c>
      <c r="C23" s="3" t="s">
        <v>300</v>
      </c>
      <c r="D23" s="3" t="s">
        <v>78</v>
      </c>
      <c r="E23">
        <v>4</v>
      </c>
      <c r="F23" t="s">
        <v>296</v>
      </c>
      <c r="G23">
        <v>12</v>
      </c>
      <c r="H23" s="9">
        <f t="shared" si="0"/>
        <v>1.2</v>
      </c>
      <c r="I23" t="s">
        <v>31</v>
      </c>
      <c r="J23" s="3" t="str">
        <f t="shared" si="1"/>
        <v>2</v>
      </c>
      <c r="K23" t="s">
        <v>26</v>
      </c>
      <c r="L23" s="10" t="str">
        <f t="shared" si="2"/>
        <v>2</v>
      </c>
      <c r="M23" t="s">
        <v>37</v>
      </c>
      <c r="N23" s="3" t="str">
        <f t="shared" si="3"/>
        <v>0</v>
      </c>
      <c r="O23" s="9">
        <f t="shared" si="4"/>
        <v>25.6</v>
      </c>
      <c r="P23" t="s">
        <v>182</v>
      </c>
    </row>
    <row r="24" spans="2:16" x14ac:dyDescent="0.2">
      <c r="B24">
        <v>215</v>
      </c>
      <c r="C24" s="3" t="s">
        <v>300</v>
      </c>
      <c r="D24" s="3" t="s">
        <v>78</v>
      </c>
      <c r="E24">
        <v>5</v>
      </c>
      <c r="F24" t="s">
        <v>285</v>
      </c>
      <c r="G24">
        <v>12</v>
      </c>
      <c r="H24" s="9">
        <f t="shared" si="0"/>
        <v>1.2</v>
      </c>
      <c r="I24" t="s">
        <v>31</v>
      </c>
      <c r="J24" s="3" t="str">
        <f t="shared" si="1"/>
        <v>2</v>
      </c>
      <c r="K24" t="s">
        <v>26</v>
      </c>
      <c r="L24" s="10" t="str">
        <f t="shared" si="2"/>
        <v>2</v>
      </c>
      <c r="M24" t="s">
        <v>37</v>
      </c>
      <c r="N24" s="3" t="str">
        <f t="shared" si="3"/>
        <v>0</v>
      </c>
      <c r="O24" s="9">
        <f t="shared" si="4"/>
        <v>25.6</v>
      </c>
    </row>
    <row r="25" spans="2:16" x14ac:dyDescent="0.2">
      <c r="B25">
        <v>171</v>
      </c>
      <c r="C25" s="3" t="s">
        <v>174</v>
      </c>
      <c r="D25" s="3" t="s">
        <v>78</v>
      </c>
      <c r="E25">
        <v>15</v>
      </c>
      <c r="F25" t="s">
        <v>294</v>
      </c>
      <c r="G25">
        <v>12</v>
      </c>
      <c r="H25" s="9">
        <f t="shared" si="0"/>
        <v>1.2</v>
      </c>
      <c r="I25" t="s">
        <v>31</v>
      </c>
      <c r="J25" s="3" t="str">
        <f t="shared" si="1"/>
        <v>2</v>
      </c>
      <c r="K25" t="s">
        <v>26</v>
      </c>
      <c r="L25" s="10" t="str">
        <f t="shared" si="2"/>
        <v>2</v>
      </c>
      <c r="M25" t="s">
        <v>37</v>
      </c>
      <c r="N25" s="3" t="str">
        <f t="shared" si="3"/>
        <v>0</v>
      </c>
      <c r="O25" s="9">
        <f t="shared" si="4"/>
        <v>25.6</v>
      </c>
    </row>
    <row r="26" spans="2:16" x14ac:dyDescent="0.2">
      <c r="B26">
        <v>60</v>
      </c>
      <c r="C26" s="3">
        <v>2</v>
      </c>
      <c r="D26" s="3" t="s">
        <v>78</v>
      </c>
      <c r="E26">
        <v>1</v>
      </c>
      <c r="F26" t="s">
        <v>285</v>
      </c>
      <c r="G26">
        <v>10</v>
      </c>
      <c r="H26" s="9">
        <f t="shared" si="0"/>
        <v>1</v>
      </c>
      <c r="I26" t="s">
        <v>31</v>
      </c>
      <c r="J26" s="3" t="str">
        <f t="shared" si="1"/>
        <v>2</v>
      </c>
      <c r="K26" t="s">
        <v>26</v>
      </c>
      <c r="L26" s="10" t="str">
        <f t="shared" si="2"/>
        <v>2</v>
      </c>
      <c r="M26" t="s">
        <v>37</v>
      </c>
      <c r="N26" s="3" t="str">
        <f t="shared" si="3"/>
        <v>0</v>
      </c>
      <c r="O26" s="9">
        <f t="shared" si="4"/>
        <v>25</v>
      </c>
    </row>
    <row r="27" spans="2:16" x14ac:dyDescent="0.2">
      <c r="B27">
        <v>35</v>
      </c>
      <c r="C27" s="3">
        <v>21</v>
      </c>
      <c r="D27" s="3">
        <v>7</v>
      </c>
      <c r="E27">
        <v>34</v>
      </c>
      <c r="F27" t="s">
        <v>285</v>
      </c>
      <c r="G27">
        <v>10</v>
      </c>
      <c r="H27" s="9">
        <f t="shared" si="0"/>
        <v>1</v>
      </c>
      <c r="I27" t="s">
        <v>31</v>
      </c>
      <c r="J27" s="3" t="str">
        <f t="shared" si="1"/>
        <v>2</v>
      </c>
      <c r="K27" t="s">
        <v>26</v>
      </c>
      <c r="L27" s="10" t="str">
        <f t="shared" si="2"/>
        <v>2</v>
      </c>
      <c r="M27" t="s">
        <v>37</v>
      </c>
      <c r="N27" s="3" t="str">
        <f t="shared" si="3"/>
        <v>0</v>
      </c>
      <c r="O27" s="9">
        <f t="shared" si="4"/>
        <v>25</v>
      </c>
    </row>
    <row r="28" spans="2:16" x14ac:dyDescent="0.2">
      <c r="B28">
        <v>205</v>
      </c>
      <c r="C28" s="3" t="s">
        <v>232</v>
      </c>
      <c r="D28" s="3" t="s">
        <v>248</v>
      </c>
      <c r="E28">
        <v>3</v>
      </c>
      <c r="F28" t="s">
        <v>285</v>
      </c>
      <c r="G28">
        <v>10</v>
      </c>
      <c r="H28" s="9">
        <f t="shared" si="0"/>
        <v>1</v>
      </c>
      <c r="I28" t="s">
        <v>31</v>
      </c>
      <c r="J28" s="3" t="str">
        <f t="shared" si="1"/>
        <v>2</v>
      </c>
      <c r="K28" t="s">
        <v>26</v>
      </c>
      <c r="L28" s="10" t="str">
        <f t="shared" si="2"/>
        <v>2</v>
      </c>
      <c r="M28" t="s">
        <v>37</v>
      </c>
      <c r="N28" s="3" t="str">
        <f t="shared" si="3"/>
        <v>0</v>
      </c>
      <c r="O28" s="9">
        <f t="shared" si="4"/>
        <v>25</v>
      </c>
    </row>
    <row r="29" spans="2:16" x14ac:dyDescent="0.2">
      <c r="B29">
        <v>216</v>
      </c>
      <c r="C29" s="3" t="s">
        <v>300</v>
      </c>
      <c r="D29" s="3" t="s">
        <v>78</v>
      </c>
      <c r="E29">
        <v>6</v>
      </c>
      <c r="F29" t="s">
        <v>285</v>
      </c>
      <c r="G29">
        <v>10</v>
      </c>
      <c r="H29" s="9">
        <f t="shared" si="0"/>
        <v>1</v>
      </c>
      <c r="I29" t="s">
        <v>31</v>
      </c>
      <c r="J29" s="3" t="str">
        <f t="shared" si="1"/>
        <v>2</v>
      </c>
      <c r="K29" t="s">
        <v>26</v>
      </c>
      <c r="L29" s="10" t="str">
        <f t="shared" si="2"/>
        <v>2</v>
      </c>
      <c r="M29" t="s">
        <v>37</v>
      </c>
      <c r="N29" s="3" t="str">
        <f t="shared" si="3"/>
        <v>0</v>
      </c>
      <c r="O29" s="9">
        <f t="shared" si="4"/>
        <v>25</v>
      </c>
    </row>
    <row r="30" spans="2:16" x14ac:dyDescent="0.2">
      <c r="B30">
        <v>12</v>
      </c>
      <c r="C30" s="3">
        <v>21</v>
      </c>
      <c r="D30" s="3" t="s">
        <v>96</v>
      </c>
      <c r="E30">
        <v>9</v>
      </c>
      <c r="F30" t="s">
        <v>290</v>
      </c>
      <c r="G30">
        <v>9</v>
      </c>
      <c r="H30" s="9">
        <f t="shared" si="0"/>
        <v>0.9</v>
      </c>
      <c r="I30" t="s">
        <v>31</v>
      </c>
      <c r="J30" s="3" t="str">
        <f t="shared" si="1"/>
        <v>2</v>
      </c>
      <c r="K30" t="s">
        <v>26</v>
      </c>
      <c r="L30" s="10" t="str">
        <f t="shared" si="2"/>
        <v>2</v>
      </c>
      <c r="M30" t="s">
        <v>37</v>
      </c>
      <c r="N30" s="3" t="str">
        <f t="shared" si="3"/>
        <v>0</v>
      </c>
      <c r="O30" s="9">
        <f t="shared" si="4"/>
        <v>24.7</v>
      </c>
      <c r="P30" t="s">
        <v>49</v>
      </c>
    </row>
    <row r="31" spans="2:16" x14ac:dyDescent="0.2">
      <c r="B31">
        <v>164</v>
      </c>
      <c r="C31" s="3" t="s">
        <v>77</v>
      </c>
      <c r="D31" s="3" t="s">
        <v>178</v>
      </c>
      <c r="E31">
        <v>1</v>
      </c>
      <c r="F31" t="s">
        <v>260</v>
      </c>
      <c r="G31">
        <v>9</v>
      </c>
      <c r="H31" s="9">
        <f t="shared" si="0"/>
        <v>0.9</v>
      </c>
      <c r="I31" t="s">
        <v>31</v>
      </c>
      <c r="J31" s="3" t="str">
        <f t="shared" si="1"/>
        <v>2</v>
      </c>
      <c r="K31" t="s">
        <v>26</v>
      </c>
      <c r="L31" s="10" t="str">
        <f t="shared" si="2"/>
        <v>2</v>
      </c>
      <c r="M31" t="s">
        <v>37</v>
      </c>
      <c r="N31" s="3" t="str">
        <f t="shared" si="3"/>
        <v>0</v>
      </c>
      <c r="O31" s="9">
        <f t="shared" si="4"/>
        <v>24.7</v>
      </c>
      <c r="P31" t="s">
        <v>43</v>
      </c>
    </row>
    <row r="32" spans="2:16" x14ac:dyDescent="0.2">
      <c r="B32">
        <v>163</v>
      </c>
      <c r="C32" s="3" t="s">
        <v>174</v>
      </c>
      <c r="D32" s="3" t="s">
        <v>78</v>
      </c>
      <c r="E32">
        <v>8</v>
      </c>
      <c r="F32" t="s">
        <v>260</v>
      </c>
      <c r="G32">
        <v>9</v>
      </c>
      <c r="H32" s="9">
        <f t="shared" si="0"/>
        <v>0.9</v>
      </c>
      <c r="I32" t="s">
        <v>31</v>
      </c>
      <c r="J32" s="3" t="str">
        <f t="shared" si="1"/>
        <v>2</v>
      </c>
      <c r="K32" t="s">
        <v>26</v>
      </c>
      <c r="L32" s="10" t="str">
        <f t="shared" si="2"/>
        <v>2</v>
      </c>
      <c r="M32" t="s">
        <v>37</v>
      </c>
      <c r="N32" s="3" t="str">
        <f t="shared" si="3"/>
        <v>0</v>
      </c>
      <c r="O32" s="9">
        <f t="shared" si="4"/>
        <v>24.7</v>
      </c>
      <c r="P32" t="s">
        <v>43</v>
      </c>
    </row>
    <row r="33" spans="2:16" x14ac:dyDescent="0.2">
      <c r="B33">
        <v>186</v>
      </c>
      <c r="C33" s="3">
        <v>20</v>
      </c>
      <c r="D33" s="3" t="s">
        <v>242</v>
      </c>
      <c r="E33">
        <v>2</v>
      </c>
      <c r="F33" t="s">
        <v>265</v>
      </c>
      <c r="G33">
        <v>8</v>
      </c>
      <c r="H33" s="9">
        <f t="shared" si="0"/>
        <v>0.8</v>
      </c>
      <c r="I33" t="s">
        <v>52</v>
      </c>
      <c r="J33" s="3" t="str">
        <f t="shared" si="1"/>
        <v>1</v>
      </c>
      <c r="K33" t="s">
        <v>26</v>
      </c>
      <c r="L33" s="10" t="str">
        <f t="shared" si="2"/>
        <v>2</v>
      </c>
      <c r="M33" t="s">
        <v>34</v>
      </c>
      <c r="N33" s="3" t="str">
        <f t="shared" si="3"/>
        <v>1</v>
      </c>
      <c r="O33" s="9">
        <f t="shared" si="4"/>
        <v>29.4</v>
      </c>
    </row>
    <row r="34" spans="2:16" x14ac:dyDescent="0.2">
      <c r="B34">
        <v>19</v>
      </c>
      <c r="C34" s="3">
        <v>21</v>
      </c>
      <c r="D34" s="3" t="s">
        <v>104</v>
      </c>
      <c r="E34">
        <v>18</v>
      </c>
      <c r="F34" t="s">
        <v>285</v>
      </c>
      <c r="G34">
        <v>8</v>
      </c>
      <c r="H34" s="9">
        <f t="shared" si="0"/>
        <v>0.8</v>
      </c>
      <c r="I34" t="s">
        <v>25</v>
      </c>
      <c r="J34" s="3" t="str">
        <f t="shared" si="1"/>
        <v>3</v>
      </c>
      <c r="K34" t="s">
        <v>26</v>
      </c>
      <c r="L34" s="10" t="str">
        <f t="shared" si="2"/>
        <v>2</v>
      </c>
      <c r="M34" t="s">
        <v>37</v>
      </c>
      <c r="N34" s="3" t="str">
        <f t="shared" si="3"/>
        <v>0</v>
      </c>
      <c r="O34" s="9">
        <f t="shared" si="4"/>
        <v>29.4</v>
      </c>
      <c r="P34" t="s">
        <v>103</v>
      </c>
    </row>
    <row r="35" spans="2:16" x14ac:dyDescent="0.2">
      <c r="B35">
        <v>285</v>
      </c>
      <c r="C35" s="3">
        <v>14</v>
      </c>
      <c r="D35" s="3" t="s">
        <v>78</v>
      </c>
      <c r="E35">
        <v>6</v>
      </c>
      <c r="F35" t="s">
        <v>277</v>
      </c>
      <c r="G35">
        <v>8</v>
      </c>
      <c r="H35" s="9">
        <f t="shared" ref="H35:H66" si="5">G35/10</f>
        <v>0.8</v>
      </c>
      <c r="I35" t="s">
        <v>31</v>
      </c>
      <c r="J35" s="3" t="str">
        <f t="shared" ref="J35:J66" si="6">IF(I35="N/A","0",IF(I35="Excellent","1",IF(I35="Very Good","1",IF(I35="Good","2",IF(I35="Fair","3",IF(I35="Poor","4",IF(I35="Critical","5",IF(I35="Dead","5"))))))))</f>
        <v>2</v>
      </c>
      <c r="K35" t="s">
        <v>26</v>
      </c>
      <c r="L35" s="10" t="str">
        <f t="shared" ref="L35:L66" si="7">IF(K35="Removal","5",IF(K35="Pruning: Deadwood 1","4",IF(K35="Pruning: Deadwood 2","3",IF(K35="Pruning: Routine","2",IF(K35="Pruning: Training","1",IF(K35="Plant","0",IF(K35="Other - see notes","0",)))))))</f>
        <v>2</v>
      </c>
      <c r="M35" t="s">
        <v>37</v>
      </c>
      <c r="N35" s="3" t="str">
        <f t="shared" ref="N35:N66" si="8">IF(M35="no risk","0",IF(M35="None","0",IF(M35="Minimal Risk","1",IF(M35="Moderate Risk","2",IF(M35="High Risk","4",IF(M35="Severe Risk","5"))))))</f>
        <v>0</v>
      </c>
      <c r="O35" s="9">
        <f t="shared" ref="O35:O66" si="9">($G$2*H35)+($I$2*J35)+($K$2*L35)+($M$2*N35)</f>
        <v>24.4</v>
      </c>
    </row>
    <row r="36" spans="2:16" x14ac:dyDescent="0.2">
      <c r="B36">
        <v>286</v>
      </c>
      <c r="C36" s="3">
        <v>14</v>
      </c>
      <c r="D36" s="3" t="s">
        <v>78</v>
      </c>
      <c r="E36">
        <v>7</v>
      </c>
      <c r="F36" t="s">
        <v>277</v>
      </c>
      <c r="G36">
        <v>8</v>
      </c>
      <c r="H36" s="9">
        <f t="shared" si="5"/>
        <v>0.8</v>
      </c>
      <c r="I36" t="s">
        <v>31</v>
      </c>
      <c r="J36" s="3" t="str">
        <f t="shared" si="6"/>
        <v>2</v>
      </c>
      <c r="K36" t="s">
        <v>26</v>
      </c>
      <c r="L36" s="10" t="str">
        <f t="shared" si="7"/>
        <v>2</v>
      </c>
      <c r="M36" t="s">
        <v>37</v>
      </c>
      <c r="N36" s="3" t="str">
        <f t="shared" si="8"/>
        <v>0</v>
      </c>
      <c r="O36" s="9">
        <f t="shared" si="9"/>
        <v>24.4</v>
      </c>
    </row>
    <row r="37" spans="2:16" x14ac:dyDescent="0.2">
      <c r="B37">
        <v>287</v>
      </c>
      <c r="C37" s="3">
        <v>14</v>
      </c>
      <c r="D37" s="3" t="s">
        <v>78</v>
      </c>
      <c r="E37">
        <v>8</v>
      </c>
      <c r="F37" t="s">
        <v>277</v>
      </c>
      <c r="G37">
        <v>8</v>
      </c>
      <c r="H37" s="9">
        <f t="shared" si="5"/>
        <v>0.8</v>
      </c>
      <c r="I37" t="s">
        <v>31</v>
      </c>
      <c r="J37" s="3" t="str">
        <f t="shared" si="6"/>
        <v>2</v>
      </c>
      <c r="K37" t="s">
        <v>26</v>
      </c>
      <c r="L37" s="10" t="str">
        <f t="shared" si="7"/>
        <v>2</v>
      </c>
      <c r="M37" t="s">
        <v>37</v>
      </c>
      <c r="N37" s="3" t="str">
        <f t="shared" si="8"/>
        <v>0</v>
      </c>
      <c r="O37" s="9">
        <f t="shared" si="9"/>
        <v>24.4</v>
      </c>
    </row>
    <row r="38" spans="2:16" x14ac:dyDescent="0.2">
      <c r="B38">
        <v>288</v>
      </c>
      <c r="C38" s="3">
        <v>14</v>
      </c>
      <c r="D38" s="3" t="s">
        <v>78</v>
      </c>
      <c r="E38">
        <v>9</v>
      </c>
      <c r="F38" t="s">
        <v>276</v>
      </c>
      <c r="G38">
        <v>8</v>
      </c>
      <c r="H38" s="9">
        <f t="shared" si="5"/>
        <v>0.8</v>
      </c>
      <c r="I38" t="s">
        <v>31</v>
      </c>
      <c r="J38" s="3" t="str">
        <f t="shared" si="6"/>
        <v>2</v>
      </c>
      <c r="K38" t="s">
        <v>26</v>
      </c>
      <c r="L38" s="10" t="str">
        <f t="shared" si="7"/>
        <v>2</v>
      </c>
      <c r="M38" t="s">
        <v>37</v>
      </c>
      <c r="N38" s="3" t="str">
        <f t="shared" si="8"/>
        <v>0</v>
      </c>
      <c r="O38" s="9">
        <f t="shared" si="9"/>
        <v>24.4</v>
      </c>
    </row>
    <row r="39" spans="2:16" x14ac:dyDescent="0.2">
      <c r="B39">
        <v>289</v>
      </c>
      <c r="C39" s="3">
        <v>14</v>
      </c>
      <c r="D39" s="3" t="s">
        <v>78</v>
      </c>
      <c r="E39">
        <v>10</v>
      </c>
      <c r="F39" t="s">
        <v>277</v>
      </c>
      <c r="G39">
        <v>8</v>
      </c>
      <c r="H39" s="9">
        <f t="shared" si="5"/>
        <v>0.8</v>
      </c>
      <c r="I39" t="s">
        <v>31</v>
      </c>
      <c r="J39" s="3" t="str">
        <f t="shared" si="6"/>
        <v>2</v>
      </c>
      <c r="K39" t="s">
        <v>26</v>
      </c>
      <c r="L39" s="10" t="str">
        <f t="shared" si="7"/>
        <v>2</v>
      </c>
      <c r="M39" t="s">
        <v>37</v>
      </c>
      <c r="N39" s="3" t="str">
        <f t="shared" si="8"/>
        <v>0</v>
      </c>
      <c r="O39" s="9">
        <f t="shared" si="9"/>
        <v>24.4</v>
      </c>
    </row>
    <row r="40" spans="2:16" x14ac:dyDescent="0.2">
      <c r="B40">
        <v>290</v>
      </c>
      <c r="C40" s="3">
        <v>14</v>
      </c>
      <c r="D40" s="3" t="s">
        <v>78</v>
      </c>
      <c r="E40">
        <v>11</v>
      </c>
      <c r="F40" t="s">
        <v>277</v>
      </c>
      <c r="G40">
        <v>8</v>
      </c>
      <c r="H40" s="9">
        <f t="shared" si="5"/>
        <v>0.8</v>
      </c>
      <c r="I40" t="s">
        <v>31</v>
      </c>
      <c r="J40" s="3" t="str">
        <f t="shared" si="6"/>
        <v>2</v>
      </c>
      <c r="K40" t="s">
        <v>26</v>
      </c>
      <c r="L40" s="10" t="str">
        <f t="shared" si="7"/>
        <v>2</v>
      </c>
      <c r="M40" t="s">
        <v>37</v>
      </c>
      <c r="N40" s="3" t="str">
        <f t="shared" si="8"/>
        <v>0</v>
      </c>
      <c r="O40" s="9">
        <f t="shared" si="9"/>
        <v>24.4</v>
      </c>
    </row>
    <row r="41" spans="2:16" x14ac:dyDescent="0.2">
      <c r="B41">
        <v>291</v>
      </c>
      <c r="C41" s="3">
        <v>14</v>
      </c>
      <c r="D41" s="3" t="s">
        <v>78</v>
      </c>
      <c r="E41">
        <v>12</v>
      </c>
      <c r="F41" t="s">
        <v>277</v>
      </c>
      <c r="G41">
        <v>8</v>
      </c>
      <c r="H41" s="9">
        <f t="shared" si="5"/>
        <v>0.8</v>
      </c>
      <c r="I41" t="s">
        <v>31</v>
      </c>
      <c r="J41" s="3" t="str">
        <f t="shared" si="6"/>
        <v>2</v>
      </c>
      <c r="K41" t="s">
        <v>26</v>
      </c>
      <c r="L41" s="10" t="str">
        <f t="shared" si="7"/>
        <v>2</v>
      </c>
      <c r="M41" t="s">
        <v>37</v>
      </c>
      <c r="N41" s="3" t="str">
        <f t="shared" si="8"/>
        <v>0</v>
      </c>
      <c r="O41" s="9">
        <f t="shared" si="9"/>
        <v>24.4</v>
      </c>
    </row>
    <row r="42" spans="2:16" x14ac:dyDescent="0.2">
      <c r="B42">
        <v>18</v>
      </c>
      <c r="C42" s="3">
        <v>21</v>
      </c>
      <c r="D42" s="3" t="s">
        <v>102</v>
      </c>
      <c r="E42">
        <v>17</v>
      </c>
      <c r="F42" t="s">
        <v>285</v>
      </c>
      <c r="G42">
        <v>8</v>
      </c>
      <c r="H42" s="9">
        <f t="shared" si="5"/>
        <v>0.8</v>
      </c>
      <c r="I42" t="s">
        <v>31</v>
      </c>
      <c r="J42" s="3" t="str">
        <f t="shared" si="6"/>
        <v>2</v>
      </c>
      <c r="K42" t="s">
        <v>26</v>
      </c>
      <c r="L42" s="10" t="str">
        <f t="shared" si="7"/>
        <v>2</v>
      </c>
      <c r="M42" t="s">
        <v>37</v>
      </c>
      <c r="N42" s="3" t="str">
        <f t="shared" si="8"/>
        <v>0</v>
      </c>
      <c r="O42" s="9">
        <f t="shared" si="9"/>
        <v>24.4</v>
      </c>
    </row>
    <row r="43" spans="2:16" x14ac:dyDescent="0.2">
      <c r="B43">
        <v>10</v>
      </c>
      <c r="C43" s="3">
        <v>21</v>
      </c>
      <c r="D43" s="3" t="s">
        <v>46</v>
      </c>
      <c r="E43">
        <v>8</v>
      </c>
      <c r="F43" t="s">
        <v>285</v>
      </c>
      <c r="G43">
        <v>8</v>
      </c>
      <c r="H43" s="9">
        <f t="shared" si="5"/>
        <v>0.8</v>
      </c>
      <c r="I43" t="s">
        <v>31</v>
      </c>
      <c r="J43" s="3" t="str">
        <f t="shared" si="6"/>
        <v>2</v>
      </c>
      <c r="K43" t="s">
        <v>26</v>
      </c>
      <c r="L43" s="10" t="str">
        <f t="shared" si="7"/>
        <v>2</v>
      </c>
      <c r="M43" t="s">
        <v>37</v>
      </c>
      <c r="N43" s="3" t="str">
        <f t="shared" si="8"/>
        <v>0</v>
      </c>
      <c r="O43" s="9">
        <f t="shared" si="9"/>
        <v>24.4</v>
      </c>
    </row>
    <row r="44" spans="2:16" x14ac:dyDescent="0.2">
      <c r="B44">
        <v>16</v>
      </c>
      <c r="C44" s="3">
        <v>21</v>
      </c>
      <c r="D44" s="3" t="s">
        <v>46</v>
      </c>
      <c r="E44">
        <v>15</v>
      </c>
      <c r="F44" t="s">
        <v>285</v>
      </c>
      <c r="G44">
        <v>8</v>
      </c>
      <c r="H44" s="9">
        <f t="shared" si="5"/>
        <v>0.8</v>
      </c>
      <c r="I44" t="s">
        <v>31</v>
      </c>
      <c r="J44" s="3" t="str">
        <f t="shared" si="6"/>
        <v>2</v>
      </c>
      <c r="K44" t="s">
        <v>26</v>
      </c>
      <c r="L44" s="10" t="str">
        <f t="shared" si="7"/>
        <v>2</v>
      </c>
      <c r="M44" t="s">
        <v>37</v>
      </c>
      <c r="N44" s="3" t="str">
        <f t="shared" si="8"/>
        <v>0</v>
      </c>
      <c r="O44" s="9">
        <f t="shared" si="9"/>
        <v>24.4</v>
      </c>
    </row>
    <row r="45" spans="2:16" x14ac:dyDescent="0.2">
      <c r="B45">
        <v>13</v>
      </c>
      <c r="C45" s="3">
        <v>21</v>
      </c>
      <c r="D45" s="3" t="s">
        <v>98</v>
      </c>
      <c r="E45">
        <v>10</v>
      </c>
      <c r="F45" t="s">
        <v>285</v>
      </c>
      <c r="G45">
        <v>8</v>
      </c>
      <c r="H45" s="9">
        <f t="shared" si="5"/>
        <v>0.8</v>
      </c>
      <c r="I45" t="s">
        <v>31</v>
      </c>
      <c r="J45" s="3" t="str">
        <f t="shared" si="6"/>
        <v>2</v>
      </c>
      <c r="K45" t="s">
        <v>26</v>
      </c>
      <c r="L45" s="10" t="str">
        <f t="shared" si="7"/>
        <v>2</v>
      </c>
      <c r="M45" t="s">
        <v>37</v>
      </c>
      <c r="N45" s="3" t="str">
        <f t="shared" si="8"/>
        <v>0</v>
      </c>
      <c r="O45" s="9">
        <f t="shared" si="9"/>
        <v>24.4</v>
      </c>
    </row>
    <row r="46" spans="2:16" x14ac:dyDescent="0.2">
      <c r="B46">
        <v>15</v>
      </c>
      <c r="C46" s="3">
        <v>21</v>
      </c>
      <c r="D46" s="3" t="s">
        <v>100</v>
      </c>
      <c r="E46">
        <v>12</v>
      </c>
      <c r="F46" t="s">
        <v>285</v>
      </c>
      <c r="G46">
        <v>8</v>
      </c>
      <c r="H46" s="9">
        <f t="shared" si="5"/>
        <v>0.8</v>
      </c>
      <c r="I46" t="s">
        <v>31</v>
      </c>
      <c r="J46" s="3" t="str">
        <f t="shared" si="6"/>
        <v>2</v>
      </c>
      <c r="K46" t="s">
        <v>26</v>
      </c>
      <c r="L46" s="10" t="str">
        <f t="shared" si="7"/>
        <v>2</v>
      </c>
      <c r="M46" t="s">
        <v>37</v>
      </c>
      <c r="N46" s="3" t="str">
        <f t="shared" si="8"/>
        <v>0</v>
      </c>
      <c r="O46" s="9">
        <f t="shared" si="9"/>
        <v>24.4</v>
      </c>
    </row>
    <row r="47" spans="2:16" x14ac:dyDescent="0.2">
      <c r="B47">
        <v>17</v>
      </c>
      <c r="C47" s="3">
        <v>21</v>
      </c>
      <c r="D47" s="3" t="s">
        <v>101</v>
      </c>
      <c r="E47">
        <v>16</v>
      </c>
      <c r="F47" t="s">
        <v>285</v>
      </c>
      <c r="G47">
        <v>8</v>
      </c>
      <c r="H47" s="9">
        <f t="shared" si="5"/>
        <v>0.8</v>
      </c>
      <c r="I47" t="s">
        <v>31</v>
      </c>
      <c r="J47" s="3" t="str">
        <f t="shared" si="6"/>
        <v>2</v>
      </c>
      <c r="K47" t="s">
        <v>26</v>
      </c>
      <c r="L47" s="10" t="str">
        <f t="shared" si="7"/>
        <v>2</v>
      </c>
      <c r="M47" t="s">
        <v>37</v>
      </c>
      <c r="N47" s="3" t="str">
        <f t="shared" si="8"/>
        <v>0</v>
      </c>
      <c r="O47" s="9">
        <f t="shared" si="9"/>
        <v>24.4</v>
      </c>
    </row>
    <row r="48" spans="2:16" x14ac:dyDescent="0.2">
      <c r="B48">
        <v>9</v>
      </c>
      <c r="C48" s="3">
        <v>21</v>
      </c>
      <c r="D48" s="3" t="s">
        <v>93</v>
      </c>
      <c r="E48">
        <v>8</v>
      </c>
      <c r="F48" t="s">
        <v>285</v>
      </c>
      <c r="G48">
        <v>8</v>
      </c>
      <c r="H48" s="9">
        <f t="shared" si="5"/>
        <v>0.8</v>
      </c>
      <c r="I48" t="s">
        <v>31</v>
      </c>
      <c r="J48" s="3" t="str">
        <f t="shared" si="6"/>
        <v>2</v>
      </c>
      <c r="K48" t="s">
        <v>26</v>
      </c>
      <c r="L48" s="10" t="str">
        <f t="shared" si="7"/>
        <v>2</v>
      </c>
      <c r="M48" t="s">
        <v>37</v>
      </c>
      <c r="N48" s="3" t="str">
        <f t="shared" si="8"/>
        <v>0</v>
      </c>
      <c r="O48" s="9">
        <f t="shared" si="9"/>
        <v>24.4</v>
      </c>
    </row>
    <row r="49" spans="2:16" x14ac:dyDescent="0.2">
      <c r="B49">
        <v>200</v>
      </c>
      <c r="C49" s="3">
        <v>23</v>
      </c>
      <c r="D49" s="3" t="s">
        <v>78</v>
      </c>
      <c r="E49">
        <v>1</v>
      </c>
      <c r="F49" t="s">
        <v>284</v>
      </c>
      <c r="G49">
        <v>8</v>
      </c>
      <c r="H49" s="9">
        <f t="shared" si="5"/>
        <v>0.8</v>
      </c>
      <c r="I49" t="s">
        <v>31</v>
      </c>
      <c r="J49" s="3" t="str">
        <f t="shared" si="6"/>
        <v>2</v>
      </c>
      <c r="K49" t="s">
        <v>26</v>
      </c>
      <c r="L49" s="10" t="str">
        <f t="shared" si="7"/>
        <v>2</v>
      </c>
      <c r="M49" t="s">
        <v>37</v>
      </c>
      <c r="N49" s="3" t="str">
        <f t="shared" si="8"/>
        <v>0</v>
      </c>
      <c r="O49" s="9">
        <f t="shared" si="9"/>
        <v>24.4</v>
      </c>
    </row>
    <row r="50" spans="2:16" x14ac:dyDescent="0.2">
      <c r="B50">
        <v>251</v>
      </c>
      <c r="C50" s="3" t="s">
        <v>184</v>
      </c>
      <c r="D50" s="3" t="s">
        <v>78</v>
      </c>
      <c r="E50">
        <v>11</v>
      </c>
      <c r="F50" t="s">
        <v>292</v>
      </c>
      <c r="G50">
        <v>8</v>
      </c>
      <c r="H50" s="9">
        <f t="shared" si="5"/>
        <v>0.8</v>
      </c>
      <c r="I50" t="s">
        <v>31</v>
      </c>
      <c r="J50" s="3" t="str">
        <f t="shared" si="6"/>
        <v>2</v>
      </c>
      <c r="K50" t="s">
        <v>26</v>
      </c>
      <c r="L50" s="10" t="str">
        <f t="shared" si="7"/>
        <v>2</v>
      </c>
      <c r="M50" t="s">
        <v>37</v>
      </c>
      <c r="N50" s="3" t="str">
        <f t="shared" si="8"/>
        <v>0</v>
      </c>
      <c r="O50" s="9">
        <f t="shared" si="9"/>
        <v>24.4</v>
      </c>
    </row>
    <row r="51" spans="2:16" x14ac:dyDescent="0.2">
      <c r="B51">
        <v>59</v>
      </c>
      <c r="C51" s="3" t="s">
        <v>122</v>
      </c>
      <c r="D51" s="3" t="s">
        <v>78</v>
      </c>
      <c r="E51">
        <v>10</v>
      </c>
      <c r="F51" t="s">
        <v>284</v>
      </c>
      <c r="G51">
        <v>8</v>
      </c>
      <c r="H51" s="9">
        <f t="shared" si="5"/>
        <v>0.8</v>
      </c>
      <c r="I51" t="s">
        <v>31</v>
      </c>
      <c r="J51" s="3" t="str">
        <f t="shared" si="6"/>
        <v>2</v>
      </c>
      <c r="K51" t="s">
        <v>26</v>
      </c>
      <c r="L51" s="10" t="str">
        <f t="shared" si="7"/>
        <v>2</v>
      </c>
      <c r="M51" t="s">
        <v>37</v>
      </c>
      <c r="N51" s="3" t="str">
        <f t="shared" si="8"/>
        <v>0</v>
      </c>
      <c r="O51" s="9">
        <f t="shared" si="9"/>
        <v>24.4</v>
      </c>
      <c r="P51" t="s">
        <v>125</v>
      </c>
    </row>
    <row r="52" spans="2:16" x14ac:dyDescent="0.2">
      <c r="B52">
        <v>233</v>
      </c>
      <c r="C52" s="3" t="s">
        <v>300</v>
      </c>
      <c r="D52" s="3" t="s">
        <v>78</v>
      </c>
      <c r="E52">
        <v>23</v>
      </c>
      <c r="F52" t="s">
        <v>260</v>
      </c>
      <c r="G52">
        <v>7</v>
      </c>
      <c r="H52" s="9">
        <f t="shared" si="5"/>
        <v>0.7</v>
      </c>
      <c r="I52" t="s">
        <v>31</v>
      </c>
      <c r="J52" s="3" t="str">
        <f t="shared" si="6"/>
        <v>2</v>
      </c>
      <c r="K52" t="s">
        <v>26</v>
      </c>
      <c r="L52" s="10" t="str">
        <f t="shared" si="7"/>
        <v>2</v>
      </c>
      <c r="M52" t="s">
        <v>37</v>
      </c>
      <c r="N52" s="3" t="str">
        <f t="shared" si="8"/>
        <v>0</v>
      </c>
      <c r="O52" s="9">
        <f t="shared" si="9"/>
        <v>24.1</v>
      </c>
      <c r="P52" t="s">
        <v>51</v>
      </c>
    </row>
    <row r="53" spans="2:16" x14ac:dyDescent="0.2">
      <c r="B53">
        <v>168</v>
      </c>
      <c r="C53" s="3" t="s">
        <v>174</v>
      </c>
      <c r="D53" s="3" t="s">
        <v>78</v>
      </c>
      <c r="E53">
        <v>12</v>
      </c>
      <c r="F53" t="s">
        <v>276</v>
      </c>
      <c r="G53">
        <v>7</v>
      </c>
      <c r="H53" s="9">
        <f t="shared" si="5"/>
        <v>0.7</v>
      </c>
      <c r="I53" t="s">
        <v>31</v>
      </c>
      <c r="J53" s="3" t="str">
        <f t="shared" si="6"/>
        <v>2</v>
      </c>
      <c r="K53" t="s">
        <v>26</v>
      </c>
      <c r="L53" s="10" t="str">
        <f t="shared" si="7"/>
        <v>2</v>
      </c>
      <c r="M53" t="s">
        <v>37</v>
      </c>
      <c r="N53" s="3" t="str">
        <f t="shared" si="8"/>
        <v>0</v>
      </c>
      <c r="O53" s="9">
        <f t="shared" si="9"/>
        <v>24.1</v>
      </c>
    </row>
    <row r="54" spans="2:16" x14ac:dyDescent="0.2">
      <c r="B54">
        <v>169</v>
      </c>
      <c r="C54" s="3" t="s">
        <v>174</v>
      </c>
      <c r="D54" s="3" t="s">
        <v>78</v>
      </c>
      <c r="E54">
        <v>13</v>
      </c>
      <c r="F54" t="s">
        <v>276</v>
      </c>
      <c r="G54">
        <v>7</v>
      </c>
      <c r="H54" s="9">
        <f t="shared" si="5"/>
        <v>0.7</v>
      </c>
      <c r="I54" t="s">
        <v>31</v>
      </c>
      <c r="J54" s="3" t="str">
        <f t="shared" si="6"/>
        <v>2</v>
      </c>
      <c r="K54" t="s">
        <v>26</v>
      </c>
      <c r="L54" s="10" t="str">
        <f t="shared" si="7"/>
        <v>2</v>
      </c>
      <c r="M54" t="s">
        <v>37</v>
      </c>
      <c r="N54" s="3" t="str">
        <f t="shared" si="8"/>
        <v>0</v>
      </c>
      <c r="O54" s="9">
        <f t="shared" si="9"/>
        <v>24.1</v>
      </c>
    </row>
    <row r="55" spans="2:16" x14ac:dyDescent="0.2">
      <c r="B55">
        <v>77</v>
      </c>
      <c r="C55" s="3">
        <v>6</v>
      </c>
      <c r="D55" s="3" t="s">
        <v>153</v>
      </c>
      <c r="E55">
        <v>1</v>
      </c>
      <c r="F55" t="s">
        <v>276</v>
      </c>
      <c r="G55">
        <v>6</v>
      </c>
      <c r="H55" s="9">
        <f t="shared" si="5"/>
        <v>0.6</v>
      </c>
      <c r="I55" t="s">
        <v>31</v>
      </c>
      <c r="J55" s="3" t="str">
        <f t="shared" si="6"/>
        <v>2</v>
      </c>
      <c r="K55" t="s">
        <v>26</v>
      </c>
      <c r="L55" s="10" t="str">
        <f t="shared" si="7"/>
        <v>2</v>
      </c>
      <c r="M55" t="s">
        <v>37</v>
      </c>
      <c r="N55" s="3" t="str">
        <f t="shared" si="8"/>
        <v>0</v>
      </c>
      <c r="O55" s="9">
        <f t="shared" si="9"/>
        <v>23.8</v>
      </c>
      <c r="P55" t="s">
        <v>151</v>
      </c>
    </row>
    <row r="56" spans="2:16" x14ac:dyDescent="0.2">
      <c r="B56">
        <v>81</v>
      </c>
      <c r="C56" s="3">
        <v>10</v>
      </c>
      <c r="D56" s="3" t="s">
        <v>158</v>
      </c>
      <c r="E56">
        <v>1</v>
      </c>
      <c r="F56" t="s">
        <v>286</v>
      </c>
      <c r="G56">
        <v>6</v>
      </c>
      <c r="H56" s="9">
        <f t="shared" si="5"/>
        <v>0.6</v>
      </c>
      <c r="I56" t="s">
        <v>31</v>
      </c>
      <c r="J56" s="3" t="str">
        <f t="shared" si="6"/>
        <v>2</v>
      </c>
      <c r="K56" t="s">
        <v>26</v>
      </c>
      <c r="L56" s="10" t="str">
        <f t="shared" si="7"/>
        <v>2</v>
      </c>
      <c r="M56" t="s">
        <v>37</v>
      </c>
      <c r="N56" s="3" t="str">
        <f t="shared" si="8"/>
        <v>0</v>
      </c>
      <c r="O56" s="9">
        <f t="shared" si="9"/>
        <v>23.8</v>
      </c>
      <c r="P56" t="s">
        <v>157</v>
      </c>
    </row>
    <row r="57" spans="2:16" x14ac:dyDescent="0.2">
      <c r="B57">
        <v>194</v>
      </c>
      <c r="C57" s="3">
        <v>19</v>
      </c>
      <c r="D57" s="3" t="s">
        <v>78</v>
      </c>
      <c r="E57">
        <v>1</v>
      </c>
      <c r="F57" t="s">
        <v>284</v>
      </c>
      <c r="G57">
        <v>6</v>
      </c>
      <c r="H57" s="9">
        <f t="shared" si="5"/>
        <v>0.6</v>
      </c>
      <c r="I57" t="s">
        <v>31</v>
      </c>
      <c r="J57" s="3" t="str">
        <f t="shared" si="6"/>
        <v>2</v>
      </c>
      <c r="K57" t="s">
        <v>26</v>
      </c>
      <c r="L57" s="10" t="str">
        <f t="shared" si="7"/>
        <v>2</v>
      </c>
      <c r="M57" t="s">
        <v>37</v>
      </c>
      <c r="N57" s="3" t="str">
        <f t="shared" si="8"/>
        <v>0</v>
      </c>
      <c r="O57" s="9">
        <f t="shared" si="9"/>
        <v>23.8</v>
      </c>
    </row>
    <row r="58" spans="2:16" x14ac:dyDescent="0.2">
      <c r="B58">
        <v>201</v>
      </c>
      <c r="C58" s="3" t="s">
        <v>232</v>
      </c>
      <c r="D58" s="3" t="s">
        <v>246</v>
      </c>
      <c r="E58">
        <v>1</v>
      </c>
      <c r="F58" t="s">
        <v>277</v>
      </c>
      <c r="G58">
        <v>6</v>
      </c>
      <c r="H58" s="9">
        <f t="shared" si="5"/>
        <v>0.6</v>
      </c>
      <c r="I58" t="s">
        <v>31</v>
      </c>
      <c r="J58" s="3" t="str">
        <f t="shared" si="6"/>
        <v>2</v>
      </c>
      <c r="K58" t="s">
        <v>26</v>
      </c>
      <c r="L58" s="10" t="str">
        <f t="shared" si="7"/>
        <v>2</v>
      </c>
      <c r="M58" t="s">
        <v>37</v>
      </c>
      <c r="N58" s="3" t="str">
        <f t="shared" si="8"/>
        <v>0</v>
      </c>
      <c r="O58" s="9">
        <f t="shared" si="9"/>
        <v>23.8</v>
      </c>
    </row>
    <row r="59" spans="2:16" x14ac:dyDescent="0.2">
      <c r="B59">
        <v>206</v>
      </c>
      <c r="C59" s="3" t="s">
        <v>232</v>
      </c>
      <c r="D59" s="3" t="s">
        <v>249</v>
      </c>
      <c r="E59">
        <v>4</v>
      </c>
      <c r="F59" t="s">
        <v>274</v>
      </c>
      <c r="G59">
        <v>6</v>
      </c>
      <c r="H59" s="9">
        <f t="shared" si="5"/>
        <v>0.6</v>
      </c>
      <c r="I59" t="s">
        <v>31</v>
      </c>
      <c r="J59" s="3" t="str">
        <f t="shared" si="6"/>
        <v>2</v>
      </c>
      <c r="K59" t="s">
        <v>26</v>
      </c>
      <c r="L59" s="10" t="str">
        <f t="shared" si="7"/>
        <v>2</v>
      </c>
      <c r="M59" t="s">
        <v>37</v>
      </c>
      <c r="N59" s="3" t="str">
        <f t="shared" si="8"/>
        <v>0</v>
      </c>
      <c r="O59" s="9">
        <f t="shared" si="9"/>
        <v>23.8</v>
      </c>
    </row>
    <row r="60" spans="2:16" x14ac:dyDescent="0.2">
      <c r="B60">
        <v>207</v>
      </c>
      <c r="C60" s="3" t="s">
        <v>232</v>
      </c>
      <c r="D60" s="3" t="s">
        <v>250</v>
      </c>
      <c r="E60">
        <v>5</v>
      </c>
      <c r="F60" t="s">
        <v>274</v>
      </c>
      <c r="G60">
        <v>6</v>
      </c>
      <c r="H60" s="9">
        <f t="shared" si="5"/>
        <v>0.6</v>
      </c>
      <c r="I60" t="s">
        <v>31</v>
      </c>
      <c r="J60" s="3" t="str">
        <f t="shared" si="6"/>
        <v>2</v>
      </c>
      <c r="K60" t="s">
        <v>26</v>
      </c>
      <c r="L60" s="10" t="str">
        <f t="shared" si="7"/>
        <v>2</v>
      </c>
      <c r="M60" t="s">
        <v>37</v>
      </c>
      <c r="N60" s="3" t="str">
        <f t="shared" si="8"/>
        <v>0</v>
      </c>
      <c r="O60" s="9">
        <f t="shared" si="9"/>
        <v>23.8</v>
      </c>
    </row>
    <row r="61" spans="2:16" x14ac:dyDescent="0.2">
      <c r="B61">
        <v>232</v>
      </c>
      <c r="C61" s="3" t="s">
        <v>300</v>
      </c>
      <c r="D61" s="3" t="s">
        <v>78</v>
      </c>
      <c r="E61">
        <v>22</v>
      </c>
      <c r="F61" t="s">
        <v>260</v>
      </c>
      <c r="G61">
        <v>6</v>
      </c>
      <c r="H61" s="9">
        <f t="shared" si="5"/>
        <v>0.6</v>
      </c>
      <c r="I61" t="s">
        <v>31</v>
      </c>
      <c r="J61" s="3" t="str">
        <f t="shared" si="6"/>
        <v>2</v>
      </c>
      <c r="K61" t="s">
        <v>26</v>
      </c>
      <c r="L61" s="10" t="str">
        <f t="shared" si="7"/>
        <v>2</v>
      </c>
      <c r="M61" t="s">
        <v>37</v>
      </c>
      <c r="N61" s="3" t="str">
        <f t="shared" si="8"/>
        <v>0</v>
      </c>
      <c r="O61" s="9">
        <f t="shared" si="9"/>
        <v>23.8</v>
      </c>
      <c r="P61" t="s">
        <v>40</v>
      </c>
    </row>
    <row r="62" spans="2:16" x14ac:dyDescent="0.2">
      <c r="B62">
        <v>174</v>
      </c>
      <c r="C62" s="3" t="s">
        <v>77</v>
      </c>
      <c r="D62" s="3" t="s">
        <v>218</v>
      </c>
      <c r="E62">
        <v>5</v>
      </c>
      <c r="F62" t="s">
        <v>63</v>
      </c>
      <c r="G62">
        <v>5</v>
      </c>
      <c r="H62" s="9">
        <f t="shared" si="5"/>
        <v>0.5</v>
      </c>
      <c r="I62" t="s">
        <v>31</v>
      </c>
      <c r="J62" s="3" t="str">
        <f t="shared" si="6"/>
        <v>2</v>
      </c>
      <c r="K62" t="s">
        <v>26</v>
      </c>
      <c r="L62" s="10" t="str">
        <f t="shared" si="7"/>
        <v>2</v>
      </c>
      <c r="M62" t="s">
        <v>37</v>
      </c>
      <c r="N62" s="3" t="str">
        <f t="shared" si="8"/>
        <v>0</v>
      </c>
      <c r="O62" s="9">
        <f t="shared" si="9"/>
        <v>23.5</v>
      </c>
    </row>
    <row r="63" spans="2:16" x14ac:dyDescent="0.2">
      <c r="B63">
        <v>338</v>
      </c>
      <c r="C63" s="3" t="s">
        <v>238</v>
      </c>
      <c r="D63" s="3" t="s">
        <v>78</v>
      </c>
      <c r="E63">
        <v>32</v>
      </c>
      <c r="F63" t="s">
        <v>268</v>
      </c>
      <c r="G63">
        <v>5</v>
      </c>
      <c r="H63" s="9">
        <f t="shared" si="5"/>
        <v>0.5</v>
      </c>
      <c r="I63" t="s">
        <v>31</v>
      </c>
      <c r="J63" s="3" t="str">
        <f t="shared" si="6"/>
        <v>2</v>
      </c>
      <c r="K63" t="s">
        <v>26</v>
      </c>
      <c r="L63" s="10" t="str">
        <f t="shared" si="7"/>
        <v>2</v>
      </c>
      <c r="M63" t="s">
        <v>37</v>
      </c>
      <c r="N63" s="3" t="str">
        <f t="shared" si="8"/>
        <v>0</v>
      </c>
      <c r="O63" s="9">
        <f t="shared" si="9"/>
        <v>23.5</v>
      </c>
    </row>
    <row r="64" spans="2:16" x14ac:dyDescent="0.2">
      <c r="B64">
        <v>341</v>
      </c>
      <c r="C64" s="3" t="s">
        <v>238</v>
      </c>
      <c r="D64" s="3" t="s">
        <v>78</v>
      </c>
      <c r="E64">
        <v>35</v>
      </c>
      <c r="F64" t="s">
        <v>283</v>
      </c>
      <c r="G64">
        <v>5</v>
      </c>
      <c r="H64" s="9">
        <f t="shared" si="5"/>
        <v>0.5</v>
      </c>
      <c r="I64" t="s">
        <v>31</v>
      </c>
      <c r="J64" s="3" t="str">
        <f t="shared" si="6"/>
        <v>2</v>
      </c>
      <c r="K64" t="s">
        <v>26</v>
      </c>
      <c r="L64" s="10" t="str">
        <f t="shared" si="7"/>
        <v>2</v>
      </c>
      <c r="M64" t="s">
        <v>37</v>
      </c>
      <c r="N64" s="3" t="str">
        <f t="shared" si="8"/>
        <v>0</v>
      </c>
      <c r="O64" s="9">
        <f t="shared" si="9"/>
        <v>23.5</v>
      </c>
    </row>
    <row r="65" spans="2:16" x14ac:dyDescent="0.2">
      <c r="B65">
        <v>50</v>
      </c>
      <c r="C65" s="3" t="s">
        <v>122</v>
      </c>
      <c r="D65" s="3" t="s">
        <v>78</v>
      </c>
      <c r="E65">
        <v>1</v>
      </c>
      <c r="F65" t="s">
        <v>285</v>
      </c>
      <c r="G65">
        <v>5</v>
      </c>
      <c r="H65" s="9">
        <f t="shared" si="5"/>
        <v>0.5</v>
      </c>
      <c r="I65" t="s">
        <v>31</v>
      </c>
      <c r="J65" s="3" t="str">
        <f t="shared" si="6"/>
        <v>2</v>
      </c>
      <c r="K65" t="s">
        <v>26</v>
      </c>
      <c r="L65" s="10" t="str">
        <f t="shared" si="7"/>
        <v>2</v>
      </c>
      <c r="M65" t="s">
        <v>37</v>
      </c>
      <c r="N65" s="3" t="str">
        <f t="shared" si="8"/>
        <v>0</v>
      </c>
      <c r="O65" s="9">
        <f t="shared" si="9"/>
        <v>23.5</v>
      </c>
      <c r="P65" t="s">
        <v>121</v>
      </c>
    </row>
    <row r="66" spans="2:16" x14ac:dyDescent="0.2">
      <c r="B66">
        <v>51</v>
      </c>
      <c r="C66" s="3" t="s">
        <v>122</v>
      </c>
      <c r="D66" s="3" t="s">
        <v>78</v>
      </c>
      <c r="E66">
        <v>2</v>
      </c>
      <c r="F66" t="s">
        <v>285</v>
      </c>
      <c r="G66">
        <v>5</v>
      </c>
      <c r="H66" s="9">
        <f t="shared" si="5"/>
        <v>0.5</v>
      </c>
      <c r="I66" t="s">
        <v>31</v>
      </c>
      <c r="J66" s="3" t="str">
        <f t="shared" si="6"/>
        <v>2</v>
      </c>
      <c r="K66" t="s">
        <v>26</v>
      </c>
      <c r="L66" s="10" t="str">
        <f t="shared" si="7"/>
        <v>2</v>
      </c>
      <c r="M66" t="s">
        <v>37</v>
      </c>
      <c r="N66" s="3" t="str">
        <f t="shared" si="8"/>
        <v>0</v>
      </c>
      <c r="O66" s="9">
        <f t="shared" si="9"/>
        <v>23.5</v>
      </c>
      <c r="P66" t="s">
        <v>123</v>
      </c>
    </row>
    <row r="67" spans="2:16" x14ac:dyDescent="0.2">
      <c r="B67">
        <v>52</v>
      </c>
      <c r="C67" s="3" t="s">
        <v>122</v>
      </c>
      <c r="D67" s="3" t="s">
        <v>78</v>
      </c>
      <c r="E67">
        <v>3</v>
      </c>
      <c r="F67" t="s">
        <v>285</v>
      </c>
      <c r="G67">
        <v>5</v>
      </c>
      <c r="H67" s="9">
        <f t="shared" ref="H67:H77" si="10">G67/10</f>
        <v>0.5</v>
      </c>
      <c r="I67" t="s">
        <v>31</v>
      </c>
      <c r="J67" s="3" t="str">
        <f t="shared" ref="J67:J77" si="11">IF(I67="N/A","0",IF(I67="Excellent","1",IF(I67="Very Good","1",IF(I67="Good","2",IF(I67="Fair","3",IF(I67="Poor","4",IF(I67="Critical","5",IF(I67="Dead","5"))))))))</f>
        <v>2</v>
      </c>
      <c r="K67" t="s">
        <v>26</v>
      </c>
      <c r="L67" s="10" t="str">
        <f t="shared" ref="L67:L77" si="12">IF(K67="Removal","5",IF(K67="Pruning: Deadwood 1","4",IF(K67="Pruning: Deadwood 2","3",IF(K67="Pruning: Routine","2",IF(K67="Pruning: Training","1",IF(K67="Plant","0",IF(K67="Other - see notes","0",)))))))</f>
        <v>2</v>
      </c>
      <c r="M67" t="s">
        <v>37</v>
      </c>
      <c r="N67" s="3" t="str">
        <f t="shared" ref="N67:N77" si="13">IF(M67="no risk","0",IF(M67="None","0",IF(M67="Minimal Risk","1",IF(M67="Moderate Risk","2",IF(M67="High Risk","4",IF(M67="Severe Risk","5"))))))</f>
        <v>0</v>
      </c>
      <c r="O67" s="9">
        <f t="shared" ref="O67:O77" si="14">($G$2*H67)+($I$2*J67)+($K$2*L67)+($M$2*N67)</f>
        <v>23.5</v>
      </c>
    </row>
    <row r="68" spans="2:16" x14ac:dyDescent="0.2">
      <c r="B68">
        <v>53</v>
      </c>
      <c r="C68" s="3" t="s">
        <v>122</v>
      </c>
      <c r="D68" s="3" t="s">
        <v>78</v>
      </c>
      <c r="E68">
        <v>4</v>
      </c>
      <c r="F68" t="s">
        <v>285</v>
      </c>
      <c r="G68">
        <v>5</v>
      </c>
      <c r="H68" s="9">
        <f t="shared" si="10"/>
        <v>0.5</v>
      </c>
      <c r="I68" t="s">
        <v>31</v>
      </c>
      <c r="J68" s="3" t="str">
        <f t="shared" si="11"/>
        <v>2</v>
      </c>
      <c r="K68" t="s">
        <v>26</v>
      </c>
      <c r="L68" s="10" t="str">
        <f t="shared" si="12"/>
        <v>2</v>
      </c>
      <c r="M68" t="s">
        <v>37</v>
      </c>
      <c r="N68" s="3" t="str">
        <f t="shared" si="13"/>
        <v>0</v>
      </c>
      <c r="O68" s="9">
        <f t="shared" si="14"/>
        <v>23.5</v>
      </c>
    </row>
    <row r="69" spans="2:16" x14ac:dyDescent="0.2">
      <c r="B69">
        <v>54</v>
      </c>
      <c r="C69" s="3" t="s">
        <v>122</v>
      </c>
      <c r="D69" s="3" t="s">
        <v>78</v>
      </c>
      <c r="E69">
        <v>5</v>
      </c>
      <c r="F69" t="s">
        <v>285</v>
      </c>
      <c r="G69">
        <v>5</v>
      </c>
      <c r="H69" s="9">
        <f t="shared" si="10"/>
        <v>0.5</v>
      </c>
      <c r="I69" t="s">
        <v>31</v>
      </c>
      <c r="J69" s="3" t="str">
        <f t="shared" si="11"/>
        <v>2</v>
      </c>
      <c r="K69" t="s">
        <v>26</v>
      </c>
      <c r="L69" s="10" t="str">
        <f t="shared" si="12"/>
        <v>2</v>
      </c>
      <c r="M69" t="s">
        <v>37</v>
      </c>
      <c r="N69" s="3" t="str">
        <f t="shared" si="13"/>
        <v>0</v>
      </c>
      <c r="O69" s="9">
        <f t="shared" si="14"/>
        <v>23.5</v>
      </c>
    </row>
    <row r="70" spans="2:16" x14ac:dyDescent="0.2">
      <c r="B70">
        <v>44</v>
      </c>
      <c r="C70" s="3">
        <v>21</v>
      </c>
      <c r="D70" s="3">
        <v>824</v>
      </c>
      <c r="E70">
        <v>43</v>
      </c>
      <c r="F70" t="s">
        <v>268</v>
      </c>
      <c r="G70">
        <v>4</v>
      </c>
      <c r="H70" s="9">
        <f t="shared" si="10"/>
        <v>0.4</v>
      </c>
      <c r="I70" t="s">
        <v>25</v>
      </c>
      <c r="J70" s="3" t="str">
        <f t="shared" si="11"/>
        <v>3</v>
      </c>
      <c r="K70" t="s">
        <v>26</v>
      </c>
      <c r="L70" s="10" t="str">
        <f t="shared" si="12"/>
        <v>2</v>
      </c>
      <c r="M70" t="s">
        <v>37</v>
      </c>
      <c r="N70" s="3" t="str">
        <f t="shared" si="13"/>
        <v>0</v>
      </c>
      <c r="O70" s="9">
        <f t="shared" si="14"/>
        <v>28.2</v>
      </c>
      <c r="P70" t="s">
        <v>118</v>
      </c>
    </row>
    <row r="71" spans="2:16" x14ac:dyDescent="0.2">
      <c r="B71">
        <v>203</v>
      </c>
      <c r="C71" s="3" t="s">
        <v>232</v>
      </c>
      <c r="D71" s="3" t="s">
        <v>247</v>
      </c>
      <c r="E71">
        <v>2</v>
      </c>
      <c r="F71" t="s">
        <v>277</v>
      </c>
      <c r="G71">
        <v>4</v>
      </c>
      <c r="H71" s="9">
        <f t="shared" si="10"/>
        <v>0.4</v>
      </c>
      <c r="I71" t="s">
        <v>25</v>
      </c>
      <c r="J71" s="3" t="str">
        <f t="shared" si="11"/>
        <v>3</v>
      </c>
      <c r="K71" t="s">
        <v>26</v>
      </c>
      <c r="L71" s="10" t="str">
        <f t="shared" si="12"/>
        <v>2</v>
      </c>
      <c r="M71" t="s">
        <v>37</v>
      </c>
      <c r="N71" s="3" t="str">
        <f t="shared" si="13"/>
        <v>0</v>
      </c>
      <c r="O71" s="9">
        <f t="shared" si="14"/>
        <v>28.2</v>
      </c>
      <c r="P71" t="s">
        <v>226</v>
      </c>
    </row>
    <row r="72" spans="2:16" x14ac:dyDescent="0.2">
      <c r="B72">
        <v>22</v>
      </c>
      <c r="C72" s="3">
        <v>21</v>
      </c>
      <c r="D72" s="3" t="s">
        <v>105</v>
      </c>
      <c r="E72">
        <v>21</v>
      </c>
      <c r="F72" t="s">
        <v>262</v>
      </c>
      <c r="G72">
        <v>3</v>
      </c>
      <c r="H72" s="9">
        <f t="shared" si="10"/>
        <v>0.3</v>
      </c>
      <c r="I72" t="s">
        <v>52</v>
      </c>
      <c r="J72" s="3" t="str">
        <f t="shared" si="11"/>
        <v>1</v>
      </c>
      <c r="K72" t="s">
        <v>26</v>
      </c>
      <c r="L72" s="10" t="str">
        <f t="shared" si="12"/>
        <v>2</v>
      </c>
      <c r="M72" t="s">
        <v>34</v>
      </c>
      <c r="N72" s="3" t="str">
        <f t="shared" si="13"/>
        <v>1</v>
      </c>
      <c r="O72" s="9">
        <f t="shared" si="14"/>
        <v>27.9</v>
      </c>
      <c r="P72" t="s">
        <v>106</v>
      </c>
    </row>
    <row r="73" spans="2:16" x14ac:dyDescent="0.2">
      <c r="B73">
        <v>39</v>
      </c>
      <c r="C73" s="3">
        <v>21</v>
      </c>
      <c r="D73" s="3">
        <v>164</v>
      </c>
      <c r="E73">
        <v>38</v>
      </c>
      <c r="F73" t="s">
        <v>298</v>
      </c>
      <c r="G73">
        <v>2</v>
      </c>
      <c r="H73" s="9">
        <f t="shared" si="10"/>
        <v>0.2</v>
      </c>
      <c r="I73" t="s">
        <v>52</v>
      </c>
      <c r="J73" s="3" t="str">
        <f t="shared" si="11"/>
        <v>1</v>
      </c>
      <c r="K73" t="s">
        <v>35</v>
      </c>
      <c r="L73" s="10" t="str">
        <f t="shared" si="12"/>
        <v>4</v>
      </c>
      <c r="M73" t="s">
        <v>37</v>
      </c>
      <c r="N73" s="3" t="str">
        <f t="shared" si="13"/>
        <v>0</v>
      </c>
      <c r="O73" s="9">
        <f t="shared" si="14"/>
        <v>29.6</v>
      </c>
    </row>
    <row r="74" spans="2:16" x14ac:dyDescent="0.2">
      <c r="B74">
        <v>8</v>
      </c>
      <c r="C74" s="3">
        <v>21</v>
      </c>
      <c r="D74" s="3" t="s">
        <v>92</v>
      </c>
      <c r="E74">
        <v>7</v>
      </c>
      <c r="F74" t="s">
        <v>261</v>
      </c>
      <c r="G74">
        <v>2</v>
      </c>
      <c r="H74" s="9">
        <f t="shared" si="10"/>
        <v>0.2</v>
      </c>
      <c r="I74" t="s">
        <v>25</v>
      </c>
      <c r="J74" s="3" t="str">
        <f t="shared" si="11"/>
        <v>3</v>
      </c>
      <c r="K74" t="s">
        <v>26</v>
      </c>
      <c r="L74" s="10" t="str">
        <f t="shared" si="12"/>
        <v>2</v>
      </c>
      <c r="M74" t="s">
        <v>37</v>
      </c>
      <c r="N74" s="3" t="str">
        <f t="shared" si="13"/>
        <v>0</v>
      </c>
      <c r="O74" s="9">
        <f t="shared" si="14"/>
        <v>27.6</v>
      </c>
    </row>
    <row r="75" spans="2:16" x14ac:dyDescent="0.2">
      <c r="B75">
        <v>317</v>
      </c>
      <c r="C75" s="3" t="s">
        <v>238</v>
      </c>
      <c r="D75" s="3" t="s">
        <v>78</v>
      </c>
      <c r="E75">
        <v>11</v>
      </c>
      <c r="F75" t="s">
        <v>286</v>
      </c>
      <c r="G75">
        <v>2</v>
      </c>
      <c r="H75" s="9">
        <f t="shared" si="10"/>
        <v>0.2</v>
      </c>
      <c r="I75" t="s">
        <v>25</v>
      </c>
      <c r="J75" s="3" t="str">
        <f t="shared" si="11"/>
        <v>3</v>
      </c>
      <c r="K75" t="s">
        <v>26</v>
      </c>
      <c r="L75" s="10" t="str">
        <f t="shared" si="12"/>
        <v>2</v>
      </c>
      <c r="M75" t="s">
        <v>37</v>
      </c>
      <c r="N75" s="3" t="str">
        <f t="shared" si="13"/>
        <v>0</v>
      </c>
      <c r="O75" s="9">
        <f t="shared" si="14"/>
        <v>27.6</v>
      </c>
    </row>
    <row r="76" spans="2:16" x14ac:dyDescent="0.2">
      <c r="B76">
        <v>258</v>
      </c>
      <c r="C76" s="3" t="s">
        <v>184</v>
      </c>
      <c r="D76" s="3" t="s">
        <v>197</v>
      </c>
      <c r="E76">
        <v>18</v>
      </c>
      <c r="F76" t="s">
        <v>286</v>
      </c>
      <c r="G76">
        <v>2</v>
      </c>
      <c r="H76" s="9">
        <f t="shared" si="10"/>
        <v>0.2</v>
      </c>
      <c r="I76" t="s">
        <v>25</v>
      </c>
      <c r="J76" s="3" t="str">
        <f t="shared" si="11"/>
        <v>3</v>
      </c>
      <c r="K76" t="s">
        <v>26</v>
      </c>
      <c r="L76" s="10" t="str">
        <f t="shared" si="12"/>
        <v>2</v>
      </c>
      <c r="M76" t="s">
        <v>37</v>
      </c>
      <c r="N76" s="3" t="str">
        <f t="shared" si="13"/>
        <v>0</v>
      </c>
      <c r="O76" s="9">
        <f t="shared" si="14"/>
        <v>27.6</v>
      </c>
    </row>
    <row r="77" spans="2:16" x14ac:dyDescent="0.2">
      <c r="B77">
        <v>250</v>
      </c>
      <c r="C77" s="3" t="s">
        <v>184</v>
      </c>
      <c r="D77" s="3" t="s">
        <v>78</v>
      </c>
      <c r="E77">
        <v>10</v>
      </c>
      <c r="F77" t="s">
        <v>276</v>
      </c>
      <c r="G77">
        <v>2</v>
      </c>
      <c r="H77" s="9">
        <f t="shared" si="10"/>
        <v>0.2</v>
      </c>
      <c r="I77" t="s">
        <v>25</v>
      </c>
      <c r="J77" s="3" t="str">
        <f t="shared" si="11"/>
        <v>3</v>
      </c>
      <c r="K77" t="s">
        <v>26</v>
      </c>
      <c r="L77" s="10" t="str">
        <f t="shared" si="12"/>
        <v>2</v>
      </c>
      <c r="M77" t="s">
        <v>37</v>
      </c>
      <c r="N77" s="3" t="str">
        <f t="shared" si="13"/>
        <v>0</v>
      </c>
      <c r="O77" s="9">
        <f t="shared" si="14"/>
        <v>27.6</v>
      </c>
      <c r="P77" t="s">
        <v>188</v>
      </c>
    </row>
  </sheetData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2"/>
  <sheetViews>
    <sheetView topLeftCell="D26" workbookViewId="0">
      <selection activeCell="K52" sqref="K52"/>
    </sheetView>
  </sheetViews>
  <sheetFormatPr defaultRowHeight="12.75" x14ac:dyDescent="0.2"/>
  <cols>
    <col min="1" max="1" width="20.7109375" bestFit="1" customWidth="1"/>
    <col min="2" max="2" width="5" bestFit="1" customWidth="1"/>
    <col min="3" max="3" width="15.7109375" bestFit="1" customWidth="1"/>
    <col min="4" max="4" width="13.42578125" bestFit="1" customWidth="1"/>
    <col min="5" max="5" width="5.7109375" bestFit="1" customWidth="1"/>
    <col min="6" max="6" width="22.5703125" bestFit="1" customWidth="1"/>
    <col min="7" max="7" width="5.42578125" bestFit="1" customWidth="1"/>
    <col min="8" max="8" width="9.5703125" bestFit="1" customWidth="1"/>
    <col min="9" max="9" width="9.85546875" bestFit="1" customWidth="1"/>
    <col min="10" max="10" width="11" bestFit="1" customWidth="1"/>
    <col min="11" max="11" width="18.85546875" bestFit="1" customWidth="1"/>
    <col min="12" max="12" width="11.7109375" bestFit="1" customWidth="1"/>
    <col min="13" max="13" width="13.140625" bestFit="1" customWidth="1"/>
    <col min="14" max="14" width="10" bestFit="1" customWidth="1"/>
    <col min="15" max="15" width="14.28515625" bestFit="1" customWidth="1"/>
    <col min="16" max="16" width="39.42578125" bestFit="1" customWidth="1"/>
  </cols>
  <sheetData>
    <row r="1" spans="1:16" s="4" customFormat="1" x14ac:dyDescent="0.2">
      <c r="B1" s="4" t="s">
        <v>3</v>
      </c>
      <c r="C1" s="5" t="s">
        <v>57</v>
      </c>
      <c r="D1" s="5" t="s">
        <v>58</v>
      </c>
      <c r="E1" s="5" t="s">
        <v>59</v>
      </c>
      <c r="F1" s="6" t="s">
        <v>64</v>
      </c>
      <c r="G1" s="4" t="s">
        <v>8</v>
      </c>
      <c r="H1" s="7" t="s">
        <v>65</v>
      </c>
      <c r="I1" s="4" t="s">
        <v>9</v>
      </c>
      <c r="J1" s="5" t="s">
        <v>66</v>
      </c>
      <c r="K1" s="4" t="s">
        <v>67</v>
      </c>
      <c r="L1" s="4" t="s">
        <v>68</v>
      </c>
      <c r="M1" s="4" t="s">
        <v>13</v>
      </c>
      <c r="N1" s="5" t="s">
        <v>69</v>
      </c>
      <c r="O1" s="5" t="s">
        <v>70</v>
      </c>
      <c r="P1" s="4" t="s">
        <v>2</v>
      </c>
    </row>
    <row r="2" spans="1:16" s="4" customFormat="1" x14ac:dyDescent="0.2">
      <c r="A2" s="4" t="s">
        <v>71</v>
      </c>
      <c r="B2" s="8"/>
      <c r="C2" s="7"/>
      <c r="D2" s="7"/>
      <c r="E2" s="7"/>
      <c r="F2" s="8"/>
      <c r="G2" s="8">
        <v>3</v>
      </c>
      <c r="H2" s="7"/>
      <c r="I2" s="8">
        <v>5</v>
      </c>
      <c r="J2" s="7"/>
      <c r="K2" s="8">
        <v>6</v>
      </c>
      <c r="L2" s="8"/>
      <c r="M2" s="8">
        <v>10</v>
      </c>
      <c r="N2" s="7"/>
      <c r="O2" s="7"/>
      <c r="P2" s="8"/>
    </row>
    <row r="3" spans="1:16" x14ac:dyDescent="0.2">
      <c r="B3">
        <v>197</v>
      </c>
      <c r="C3" s="3">
        <v>19</v>
      </c>
      <c r="D3" s="3" t="s">
        <v>78</v>
      </c>
      <c r="E3">
        <v>4</v>
      </c>
      <c r="F3" t="s">
        <v>290</v>
      </c>
      <c r="G3">
        <v>24</v>
      </c>
      <c r="H3" s="9">
        <f t="shared" ref="H3:H34" si="0">G3/10</f>
        <v>2.4</v>
      </c>
      <c r="I3" t="s">
        <v>38</v>
      </c>
      <c r="J3" s="3" t="str">
        <f t="shared" ref="J3:J34" si="1">IF(I3="N/A","0",IF(I3="Excellent","1",IF(I3="Very Good","1",IF(I3="Good","2",IF(I3="Fair","3",IF(I3="Poor","4",IF(I3="Critical","5",IF(I3="Dead","5"))))))))</f>
        <v>4</v>
      </c>
      <c r="K3" t="s">
        <v>42</v>
      </c>
      <c r="L3" s="10" t="str">
        <f t="shared" ref="L3:L34" si="2">IF(K3="Removal","5",IF(K3="Pruning: Deadwood 1","4",IF(K3="Pruning: Deadwood 2","3",IF(K3="Pruning: Routine","2",IF(K3="Pruning: Training","1",IF(K3="Plant","0",IF(K3="Other - see notes","0",)))))))</f>
        <v>5</v>
      </c>
      <c r="M3" t="s">
        <v>28</v>
      </c>
      <c r="N3" s="3" t="str">
        <f t="shared" ref="N3:N34" si="3">IF(M3="no risk","0",IF(M3="None","0",IF(M3="Minimal Risk","1",IF(M3="Moderate Risk","2",IF(M3="High Risk","4",IF(M3="Severe Risk","5"))))))</f>
        <v>2</v>
      </c>
      <c r="O3" s="9">
        <f t="shared" ref="O3:O34" si="4">($G$2*H3)+($I$2*J3)+($K$2*L3)+($M$2*N3)</f>
        <v>77.2</v>
      </c>
      <c r="P3" t="s">
        <v>245</v>
      </c>
    </row>
    <row r="4" spans="1:16" x14ac:dyDescent="0.2">
      <c r="B4">
        <v>160</v>
      </c>
      <c r="C4" s="3" t="s">
        <v>174</v>
      </c>
      <c r="D4" s="3" t="s">
        <v>78</v>
      </c>
      <c r="E4">
        <v>5</v>
      </c>
      <c r="F4" t="s">
        <v>290</v>
      </c>
      <c r="G4">
        <v>14</v>
      </c>
      <c r="H4" s="9">
        <f t="shared" si="0"/>
        <v>1.4</v>
      </c>
      <c r="I4" t="s">
        <v>38</v>
      </c>
      <c r="J4" s="3" t="str">
        <f t="shared" si="1"/>
        <v>4</v>
      </c>
      <c r="K4" t="s">
        <v>42</v>
      </c>
      <c r="L4" s="10" t="str">
        <f t="shared" si="2"/>
        <v>5</v>
      </c>
      <c r="M4" t="s">
        <v>28</v>
      </c>
      <c r="N4" s="3" t="str">
        <f t="shared" si="3"/>
        <v>2</v>
      </c>
      <c r="O4" s="9">
        <f t="shared" si="4"/>
        <v>74.2</v>
      </c>
      <c r="P4" t="s">
        <v>175</v>
      </c>
    </row>
    <row r="5" spans="1:16" x14ac:dyDescent="0.2">
      <c r="B5">
        <v>266</v>
      </c>
      <c r="C5" s="3" t="s">
        <v>202</v>
      </c>
      <c r="D5" s="3" t="s">
        <v>205</v>
      </c>
      <c r="E5">
        <v>4</v>
      </c>
      <c r="F5" t="s">
        <v>287</v>
      </c>
      <c r="G5">
        <v>5</v>
      </c>
      <c r="H5" s="9">
        <f t="shared" si="0"/>
        <v>0.5</v>
      </c>
      <c r="I5" t="s">
        <v>38</v>
      </c>
      <c r="J5" s="3" t="str">
        <f t="shared" si="1"/>
        <v>4</v>
      </c>
      <c r="K5" t="s">
        <v>42</v>
      </c>
      <c r="L5" s="10" t="str">
        <f t="shared" si="2"/>
        <v>5</v>
      </c>
      <c r="M5" t="s">
        <v>34</v>
      </c>
      <c r="N5" s="3" t="str">
        <f t="shared" si="3"/>
        <v>1</v>
      </c>
      <c r="O5" s="9">
        <f t="shared" si="4"/>
        <v>61.5</v>
      </c>
      <c r="P5" t="s">
        <v>204</v>
      </c>
    </row>
    <row r="6" spans="1:16" x14ac:dyDescent="0.2">
      <c r="B6">
        <v>185</v>
      </c>
      <c r="C6" s="3">
        <v>20</v>
      </c>
      <c r="D6" s="3" t="s">
        <v>54</v>
      </c>
      <c r="E6">
        <v>1</v>
      </c>
      <c r="F6" t="s">
        <v>264</v>
      </c>
      <c r="G6">
        <v>8</v>
      </c>
      <c r="H6" s="9">
        <f t="shared" si="0"/>
        <v>0.8</v>
      </c>
      <c r="I6" t="s">
        <v>25</v>
      </c>
      <c r="J6" s="3" t="str">
        <f t="shared" si="1"/>
        <v>3</v>
      </c>
      <c r="K6" t="s">
        <v>42</v>
      </c>
      <c r="L6" s="10" t="str">
        <f t="shared" si="2"/>
        <v>5</v>
      </c>
      <c r="M6" t="s">
        <v>34</v>
      </c>
      <c r="N6" s="3" t="str">
        <f t="shared" si="3"/>
        <v>1</v>
      </c>
      <c r="O6" s="9">
        <f t="shared" si="4"/>
        <v>57.4</v>
      </c>
      <c r="P6" t="s">
        <v>241</v>
      </c>
    </row>
    <row r="7" spans="1:16" x14ac:dyDescent="0.2">
      <c r="B7">
        <v>162</v>
      </c>
      <c r="C7" s="3" t="s">
        <v>174</v>
      </c>
      <c r="D7" s="3" t="s">
        <v>78</v>
      </c>
      <c r="E7">
        <v>7</v>
      </c>
      <c r="F7" t="s">
        <v>290</v>
      </c>
      <c r="G7">
        <v>10</v>
      </c>
      <c r="H7" s="9">
        <f t="shared" si="0"/>
        <v>1</v>
      </c>
      <c r="I7" t="s">
        <v>38</v>
      </c>
      <c r="J7" s="3" t="str">
        <f t="shared" si="1"/>
        <v>4</v>
      </c>
      <c r="K7" t="s">
        <v>35</v>
      </c>
      <c r="L7" s="10" t="str">
        <f t="shared" si="2"/>
        <v>4</v>
      </c>
      <c r="M7" t="s">
        <v>34</v>
      </c>
      <c r="N7" s="3" t="str">
        <f t="shared" si="3"/>
        <v>1</v>
      </c>
      <c r="O7" s="9">
        <f t="shared" si="4"/>
        <v>57</v>
      </c>
      <c r="P7" t="s">
        <v>49</v>
      </c>
    </row>
    <row r="8" spans="1:16" x14ac:dyDescent="0.2">
      <c r="B8">
        <v>143</v>
      </c>
      <c r="C8" s="3" t="s">
        <v>168</v>
      </c>
      <c r="D8" s="3" t="s">
        <v>78</v>
      </c>
      <c r="E8">
        <v>10</v>
      </c>
      <c r="F8" t="s">
        <v>276</v>
      </c>
      <c r="G8">
        <v>3</v>
      </c>
      <c r="H8" s="9">
        <f t="shared" si="0"/>
        <v>0.3</v>
      </c>
      <c r="I8" t="s">
        <v>53</v>
      </c>
      <c r="J8" s="3" t="str">
        <f t="shared" si="1"/>
        <v>5</v>
      </c>
      <c r="K8" t="s">
        <v>42</v>
      </c>
      <c r="L8" s="10" t="str">
        <f t="shared" si="2"/>
        <v>5</v>
      </c>
      <c r="M8" t="s">
        <v>37</v>
      </c>
      <c r="N8" s="3" t="str">
        <f t="shared" si="3"/>
        <v>0</v>
      </c>
      <c r="O8" s="9">
        <f t="shared" si="4"/>
        <v>55.9</v>
      </c>
      <c r="P8" t="s">
        <v>170</v>
      </c>
    </row>
    <row r="9" spans="1:16" x14ac:dyDescent="0.2">
      <c r="B9">
        <v>36</v>
      </c>
      <c r="C9" s="3">
        <v>21</v>
      </c>
      <c r="D9" s="3">
        <v>3</v>
      </c>
      <c r="E9">
        <v>35</v>
      </c>
      <c r="F9" t="s">
        <v>263</v>
      </c>
      <c r="G9">
        <v>2</v>
      </c>
      <c r="H9" s="9">
        <f t="shared" si="0"/>
        <v>0.2</v>
      </c>
      <c r="I9" t="s">
        <v>25</v>
      </c>
      <c r="J9" s="3" t="str">
        <f t="shared" si="1"/>
        <v>3</v>
      </c>
      <c r="K9" t="s">
        <v>42</v>
      </c>
      <c r="L9" s="10" t="str">
        <f t="shared" si="2"/>
        <v>5</v>
      </c>
      <c r="M9" t="s">
        <v>34</v>
      </c>
      <c r="N9" s="3" t="str">
        <f t="shared" si="3"/>
        <v>1</v>
      </c>
      <c r="O9" s="9">
        <f t="shared" si="4"/>
        <v>55.6</v>
      </c>
      <c r="P9" t="s">
        <v>112</v>
      </c>
    </row>
    <row r="10" spans="1:16" x14ac:dyDescent="0.2">
      <c r="B10">
        <v>249</v>
      </c>
      <c r="C10" s="3" t="s">
        <v>184</v>
      </c>
      <c r="D10" s="3" t="s">
        <v>78</v>
      </c>
      <c r="E10">
        <v>9</v>
      </c>
      <c r="F10" t="s">
        <v>276</v>
      </c>
      <c r="G10">
        <v>2</v>
      </c>
      <c r="H10" s="9">
        <f t="shared" si="0"/>
        <v>0.2</v>
      </c>
      <c r="I10" t="s">
        <v>53</v>
      </c>
      <c r="J10" s="3" t="str">
        <f t="shared" si="1"/>
        <v>5</v>
      </c>
      <c r="K10" t="s">
        <v>42</v>
      </c>
      <c r="L10" s="10" t="str">
        <f t="shared" si="2"/>
        <v>5</v>
      </c>
      <c r="M10" t="s">
        <v>37</v>
      </c>
      <c r="N10" s="3" t="str">
        <f t="shared" si="3"/>
        <v>0</v>
      </c>
      <c r="O10" s="9">
        <f t="shared" si="4"/>
        <v>55.6</v>
      </c>
      <c r="P10" t="s">
        <v>187</v>
      </c>
    </row>
    <row r="11" spans="1:16" x14ac:dyDescent="0.2">
      <c r="B11">
        <v>161</v>
      </c>
      <c r="C11" s="3" t="s">
        <v>174</v>
      </c>
      <c r="D11" s="3" t="s">
        <v>78</v>
      </c>
      <c r="E11">
        <v>6</v>
      </c>
      <c r="F11" t="s">
        <v>286</v>
      </c>
      <c r="G11">
        <v>5</v>
      </c>
      <c r="H11" s="9">
        <f t="shared" si="0"/>
        <v>0.5</v>
      </c>
      <c r="I11" t="s">
        <v>38</v>
      </c>
      <c r="J11" s="3" t="str">
        <f t="shared" si="1"/>
        <v>4</v>
      </c>
      <c r="K11" t="s">
        <v>42</v>
      </c>
      <c r="L11" s="10" t="str">
        <f t="shared" si="2"/>
        <v>5</v>
      </c>
      <c r="M11" t="s">
        <v>37</v>
      </c>
      <c r="N11" s="3" t="str">
        <f t="shared" si="3"/>
        <v>0</v>
      </c>
      <c r="O11" s="9">
        <f t="shared" si="4"/>
        <v>51.5</v>
      </c>
      <c r="P11" t="s">
        <v>176</v>
      </c>
    </row>
    <row r="12" spans="1:16" x14ac:dyDescent="0.2">
      <c r="B12">
        <v>248</v>
      </c>
      <c r="C12" s="3" t="s">
        <v>184</v>
      </c>
      <c r="D12" s="3" t="s">
        <v>78</v>
      </c>
      <c r="E12">
        <v>8</v>
      </c>
      <c r="F12" t="s">
        <v>284</v>
      </c>
      <c r="G12">
        <v>4</v>
      </c>
      <c r="H12" s="9">
        <f t="shared" si="0"/>
        <v>0.4</v>
      </c>
      <c r="I12" t="s">
        <v>38</v>
      </c>
      <c r="J12" s="3" t="str">
        <f t="shared" si="1"/>
        <v>4</v>
      </c>
      <c r="K12" t="s">
        <v>42</v>
      </c>
      <c r="L12" s="10" t="str">
        <f t="shared" si="2"/>
        <v>5</v>
      </c>
      <c r="M12" t="s">
        <v>37</v>
      </c>
      <c r="N12" s="3" t="str">
        <f t="shared" si="3"/>
        <v>0</v>
      </c>
      <c r="O12" s="9">
        <f t="shared" si="4"/>
        <v>51.2</v>
      </c>
      <c r="P12" t="s">
        <v>170</v>
      </c>
    </row>
    <row r="13" spans="1:16" x14ac:dyDescent="0.2">
      <c r="B13">
        <v>256</v>
      </c>
      <c r="C13" s="3" t="s">
        <v>184</v>
      </c>
      <c r="D13" s="3" t="s">
        <v>78</v>
      </c>
      <c r="E13">
        <v>16</v>
      </c>
      <c r="F13" t="s">
        <v>277</v>
      </c>
      <c r="G13">
        <v>4</v>
      </c>
      <c r="H13" s="9">
        <f t="shared" si="0"/>
        <v>0.4</v>
      </c>
      <c r="I13" t="s">
        <v>38</v>
      </c>
      <c r="J13" s="3" t="str">
        <f t="shared" si="1"/>
        <v>4</v>
      </c>
      <c r="K13" t="s">
        <v>42</v>
      </c>
      <c r="L13" s="10" t="str">
        <f t="shared" si="2"/>
        <v>5</v>
      </c>
      <c r="M13" t="s">
        <v>37</v>
      </c>
      <c r="N13" s="3" t="str">
        <f t="shared" si="3"/>
        <v>0</v>
      </c>
      <c r="O13" s="9">
        <f t="shared" si="4"/>
        <v>51.2</v>
      </c>
      <c r="P13" t="s">
        <v>195</v>
      </c>
    </row>
    <row r="14" spans="1:16" x14ac:dyDescent="0.2">
      <c r="B14">
        <v>231</v>
      </c>
      <c r="C14" s="3" t="s">
        <v>300</v>
      </c>
      <c r="D14" s="3" t="s">
        <v>78</v>
      </c>
      <c r="E14">
        <v>21</v>
      </c>
      <c r="F14" t="s">
        <v>268</v>
      </c>
      <c r="G14">
        <v>4</v>
      </c>
      <c r="H14" s="9">
        <f t="shared" si="0"/>
        <v>0.4</v>
      </c>
      <c r="I14" t="s">
        <v>38</v>
      </c>
      <c r="J14" s="3" t="str">
        <f t="shared" si="1"/>
        <v>4</v>
      </c>
      <c r="K14" t="s">
        <v>42</v>
      </c>
      <c r="L14" s="10" t="str">
        <f t="shared" si="2"/>
        <v>5</v>
      </c>
      <c r="M14" t="s">
        <v>37</v>
      </c>
      <c r="N14" s="3" t="str">
        <f t="shared" si="3"/>
        <v>0</v>
      </c>
      <c r="O14" s="9">
        <f t="shared" si="4"/>
        <v>51.2</v>
      </c>
      <c r="P14" t="s">
        <v>255</v>
      </c>
    </row>
    <row r="15" spans="1:16" x14ac:dyDescent="0.2">
      <c r="B15">
        <v>281</v>
      </c>
      <c r="C15" s="3">
        <v>14</v>
      </c>
      <c r="D15" s="3" t="s">
        <v>228</v>
      </c>
      <c r="E15">
        <v>12</v>
      </c>
      <c r="F15" t="s">
        <v>276</v>
      </c>
      <c r="G15">
        <v>3</v>
      </c>
      <c r="H15" s="9">
        <f t="shared" si="0"/>
        <v>0.3</v>
      </c>
      <c r="I15" t="s">
        <v>38</v>
      </c>
      <c r="J15" s="3" t="str">
        <f t="shared" si="1"/>
        <v>4</v>
      </c>
      <c r="K15" t="s">
        <v>42</v>
      </c>
      <c r="L15" s="10" t="str">
        <f t="shared" si="2"/>
        <v>5</v>
      </c>
      <c r="M15" t="s">
        <v>37</v>
      </c>
      <c r="N15" s="3" t="str">
        <f t="shared" si="3"/>
        <v>0</v>
      </c>
      <c r="O15" s="9">
        <f t="shared" si="4"/>
        <v>50.9</v>
      </c>
      <c r="P15" t="s">
        <v>192</v>
      </c>
    </row>
    <row r="16" spans="1:16" x14ac:dyDescent="0.2">
      <c r="B16">
        <v>210</v>
      </c>
      <c r="C16" s="3" t="s">
        <v>232</v>
      </c>
      <c r="D16" s="3" t="s">
        <v>254</v>
      </c>
      <c r="E16">
        <v>7</v>
      </c>
      <c r="F16" t="s">
        <v>261</v>
      </c>
      <c r="G16">
        <v>3</v>
      </c>
      <c r="H16" s="9">
        <f t="shared" si="0"/>
        <v>0.3</v>
      </c>
      <c r="I16" t="s">
        <v>38</v>
      </c>
      <c r="J16" s="3" t="str">
        <f t="shared" si="1"/>
        <v>4</v>
      </c>
      <c r="K16" t="s">
        <v>42</v>
      </c>
      <c r="L16" s="10" t="str">
        <f t="shared" si="2"/>
        <v>5</v>
      </c>
      <c r="M16" t="s">
        <v>37</v>
      </c>
      <c r="N16" s="3" t="str">
        <f t="shared" si="3"/>
        <v>0</v>
      </c>
      <c r="O16" s="9">
        <f t="shared" si="4"/>
        <v>50.9</v>
      </c>
      <c r="P16" t="s">
        <v>253</v>
      </c>
    </row>
    <row r="17" spans="2:16" x14ac:dyDescent="0.2">
      <c r="B17">
        <v>175</v>
      </c>
      <c r="C17" s="3" t="s">
        <v>77</v>
      </c>
      <c r="D17" s="3" t="s">
        <v>220</v>
      </c>
      <c r="E17">
        <v>4</v>
      </c>
      <c r="F17" t="s">
        <v>276</v>
      </c>
      <c r="G17">
        <v>3</v>
      </c>
      <c r="H17" s="9">
        <f t="shared" si="0"/>
        <v>0.3</v>
      </c>
      <c r="I17" t="s">
        <v>38</v>
      </c>
      <c r="J17" s="3" t="str">
        <f t="shared" si="1"/>
        <v>4</v>
      </c>
      <c r="K17" t="s">
        <v>42</v>
      </c>
      <c r="L17" s="10" t="str">
        <f t="shared" si="2"/>
        <v>5</v>
      </c>
      <c r="M17" t="s">
        <v>37</v>
      </c>
      <c r="N17" s="3" t="str">
        <f t="shared" si="3"/>
        <v>0</v>
      </c>
      <c r="O17" s="9">
        <f t="shared" si="4"/>
        <v>50.9</v>
      </c>
      <c r="P17" t="s">
        <v>219</v>
      </c>
    </row>
    <row r="18" spans="2:16" x14ac:dyDescent="0.2">
      <c r="B18">
        <v>318</v>
      </c>
      <c r="C18" s="3" t="s">
        <v>238</v>
      </c>
      <c r="D18" s="3" t="s">
        <v>78</v>
      </c>
      <c r="E18">
        <v>12</v>
      </c>
      <c r="F18" t="s">
        <v>276</v>
      </c>
      <c r="G18">
        <v>2</v>
      </c>
      <c r="H18" s="9">
        <f t="shared" si="0"/>
        <v>0.2</v>
      </c>
      <c r="I18" t="s">
        <v>38</v>
      </c>
      <c r="J18" s="3" t="str">
        <f t="shared" si="1"/>
        <v>4</v>
      </c>
      <c r="K18" t="s">
        <v>42</v>
      </c>
      <c r="L18" s="10" t="str">
        <f t="shared" si="2"/>
        <v>5</v>
      </c>
      <c r="M18" t="s">
        <v>37</v>
      </c>
      <c r="N18" s="3" t="str">
        <f t="shared" si="3"/>
        <v>0</v>
      </c>
      <c r="O18" s="9">
        <f t="shared" si="4"/>
        <v>50.6</v>
      </c>
      <c r="P18" t="s">
        <v>256</v>
      </c>
    </row>
    <row r="19" spans="2:16" x14ac:dyDescent="0.2">
      <c r="B19">
        <v>255</v>
      </c>
      <c r="C19" s="3" t="s">
        <v>184</v>
      </c>
      <c r="D19" s="3" t="s">
        <v>194</v>
      </c>
      <c r="E19">
        <v>15</v>
      </c>
      <c r="F19" t="s">
        <v>24</v>
      </c>
      <c r="G19">
        <v>2</v>
      </c>
      <c r="H19" s="9">
        <f t="shared" si="0"/>
        <v>0.2</v>
      </c>
      <c r="I19" t="s">
        <v>38</v>
      </c>
      <c r="J19" s="3" t="str">
        <f t="shared" si="1"/>
        <v>4</v>
      </c>
      <c r="K19" t="s">
        <v>42</v>
      </c>
      <c r="L19" s="10" t="str">
        <f t="shared" si="2"/>
        <v>5</v>
      </c>
      <c r="M19" t="s">
        <v>37</v>
      </c>
      <c r="N19" s="3" t="str">
        <f t="shared" si="3"/>
        <v>0</v>
      </c>
      <c r="O19" s="9">
        <f t="shared" si="4"/>
        <v>50.6</v>
      </c>
      <c r="P19" t="s">
        <v>192</v>
      </c>
    </row>
    <row r="20" spans="2:16" x14ac:dyDescent="0.2">
      <c r="B20">
        <v>257</v>
      </c>
      <c r="C20" s="3" t="s">
        <v>184</v>
      </c>
      <c r="D20" s="3" t="s">
        <v>78</v>
      </c>
      <c r="E20">
        <v>17</v>
      </c>
      <c r="F20" t="s">
        <v>263</v>
      </c>
      <c r="G20">
        <v>2</v>
      </c>
      <c r="H20" s="9">
        <f t="shared" si="0"/>
        <v>0.2</v>
      </c>
      <c r="I20" t="s">
        <v>38</v>
      </c>
      <c r="J20" s="3" t="str">
        <f t="shared" si="1"/>
        <v>4</v>
      </c>
      <c r="K20" t="s">
        <v>42</v>
      </c>
      <c r="L20" s="10" t="str">
        <f t="shared" si="2"/>
        <v>5</v>
      </c>
      <c r="M20" t="s">
        <v>37</v>
      </c>
      <c r="N20" s="3" t="str">
        <f t="shared" si="3"/>
        <v>0</v>
      </c>
      <c r="O20" s="9">
        <f t="shared" si="4"/>
        <v>50.6</v>
      </c>
      <c r="P20" t="s">
        <v>192</v>
      </c>
    </row>
    <row r="21" spans="2:16" x14ac:dyDescent="0.2">
      <c r="B21">
        <v>260</v>
      </c>
      <c r="C21" s="3" t="s">
        <v>199</v>
      </c>
      <c r="D21" s="3" t="s">
        <v>78</v>
      </c>
      <c r="E21">
        <v>6</v>
      </c>
      <c r="F21" t="s">
        <v>263</v>
      </c>
      <c r="G21">
        <v>2</v>
      </c>
      <c r="H21" s="9">
        <f t="shared" si="0"/>
        <v>0.2</v>
      </c>
      <c r="I21" t="s">
        <v>38</v>
      </c>
      <c r="J21" s="3" t="str">
        <f t="shared" si="1"/>
        <v>4</v>
      </c>
      <c r="K21" t="s">
        <v>42</v>
      </c>
      <c r="L21" s="10" t="str">
        <f t="shared" si="2"/>
        <v>5</v>
      </c>
      <c r="M21" t="s">
        <v>37</v>
      </c>
      <c r="N21" s="3" t="str">
        <f t="shared" si="3"/>
        <v>0</v>
      </c>
      <c r="O21" s="9">
        <f t="shared" si="4"/>
        <v>50.6</v>
      </c>
      <c r="P21" t="s">
        <v>192</v>
      </c>
    </row>
    <row r="22" spans="2:16" x14ac:dyDescent="0.2">
      <c r="B22">
        <v>133</v>
      </c>
      <c r="C22" s="3" t="s">
        <v>164</v>
      </c>
      <c r="D22" s="3" t="s">
        <v>78</v>
      </c>
      <c r="E22">
        <v>52</v>
      </c>
      <c r="F22" t="s">
        <v>298</v>
      </c>
      <c r="G22">
        <v>2</v>
      </c>
      <c r="H22" s="9">
        <f t="shared" si="0"/>
        <v>0.2</v>
      </c>
      <c r="I22" t="s">
        <v>38</v>
      </c>
      <c r="J22" s="3" t="str">
        <f t="shared" si="1"/>
        <v>4</v>
      </c>
      <c r="K22" t="s">
        <v>42</v>
      </c>
      <c r="L22" s="10" t="str">
        <f t="shared" si="2"/>
        <v>5</v>
      </c>
      <c r="M22" t="s">
        <v>37</v>
      </c>
      <c r="N22" s="3" t="str">
        <f t="shared" si="3"/>
        <v>0</v>
      </c>
      <c r="O22" s="9">
        <f t="shared" si="4"/>
        <v>50.6</v>
      </c>
      <c r="P22" t="s">
        <v>166</v>
      </c>
    </row>
    <row r="23" spans="2:16" x14ac:dyDescent="0.2">
      <c r="B23">
        <v>262</v>
      </c>
      <c r="C23" s="3" t="s">
        <v>199</v>
      </c>
      <c r="D23" s="3" t="s">
        <v>78</v>
      </c>
      <c r="E23">
        <v>8</v>
      </c>
      <c r="F23" t="s">
        <v>288</v>
      </c>
      <c r="G23">
        <v>1</v>
      </c>
      <c r="H23" s="9">
        <f t="shared" si="0"/>
        <v>0.1</v>
      </c>
      <c r="I23" t="s">
        <v>38</v>
      </c>
      <c r="J23" s="3" t="str">
        <f t="shared" si="1"/>
        <v>4</v>
      </c>
      <c r="K23" t="s">
        <v>42</v>
      </c>
      <c r="L23" s="10" t="str">
        <f t="shared" si="2"/>
        <v>5</v>
      </c>
      <c r="M23" t="s">
        <v>37</v>
      </c>
      <c r="N23" s="3" t="str">
        <f t="shared" si="3"/>
        <v>0</v>
      </c>
      <c r="O23" s="9">
        <f t="shared" si="4"/>
        <v>50.3</v>
      </c>
      <c r="P23" t="s">
        <v>192</v>
      </c>
    </row>
    <row r="24" spans="2:16" x14ac:dyDescent="0.2">
      <c r="B24">
        <v>298</v>
      </c>
      <c r="C24" s="3">
        <v>22</v>
      </c>
      <c r="D24" s="3" t="s">
        <v>78</v>
      </c>
      <c r="E24">
        <v>19</v>
      </c>
      <c r="F24" t="s">
        <v>263</v>
      </c>
      <c r="G24">
        <v>3</v>
      </c>
      <c r="H24" s="9">
        <f t="shared" si="0"/>
        <v>0.3</v>
      </c>
      <c r="I24" t="s">
        <v>25</v>
      </c>
      <c r="J24" s="3" t="str">
        <f t="shared" si="1"/>
        <v>3</v>
      </c>
      <c r="K24" t="s">
        <v>42</v>
      </c>
      <c r="L24" s="10" t="str">
        <f t="shared" si="2"/>
        <v>5</v>
      </c>
      <c r="M24" t="s">
        <v>37</v>
      </c>
      <c r="N24" s="3" t="str">
        <f t="shared" si="3"/>
        <v>0</v>
      </c>
      <c r="O24" s="9">
        <f t="shared" si="4"/>
        <v>45.9</v>
      </c>
      <c r="P24" t="s">
        <v>195</v>
      </c>
    </row>
    <row r="25" spans="2:16" x14ac:dyDescent="0.2">
      <c r="B25">
        <v>177</v>
      </c>
      <c r="C25" s="3">
        <v>26</v>
      </c>
      <c r="D25" s="3" t="s">
        <v>223</v>
      </c>
      <c r="E25">
        <v>2</v>
      </c>
      <c r="F25" t="s">
        <v>267</v>
      </c>
      <c r="G25">
        <v>2</v>
      </c>
      <c r="H25" s="9">
        <f t="shared" si="0"/>
        <v>0.2</v>
      </c>
      <c r="I25" t="s">
        <v>25</v>
      </c>
      <c r="J25" s="3" t="str">
        <f t="shared" si="1"/>
        <v>3</v>
      </c>
      <c r="K25" t="s">
        <v>42</v>
      </c>
      <c r="L25" s="10" t="str">
        <f t="shared" si="2"/>
        <v>5</v>
      </c>
      <c r="M25" t="s">
        <v>37</v>
      </c>
      <c r="N25" s="3" t="str">
        <f t="shared" si="3"/>
        <v>0</v>
      </c>
      <c r="O25" s="9">
        <f t="shared" si="4"/>
        <v>45.6</v>
      </c>
      <c r="P25" t="s">
        <v>221</v>
      </c>
    </row>
    <row r="26" spans="2:16" x14ac:dyDescent="0.2">
      <c r="B26">
        <v>261</v>
      </c>
      <c r="C26" s="3" t="s">
        <v>199</v>
      </c>
      <c r="D26" s="3" t="s">
        <v>200</v>
      </c>
      <c r="E26">
        <v>7</v>
      </c>
      <c r="F26" t="s">
        <v>265</v>
      </c>
      <c r="G26">
        <v>1</v>
      </c>
      <c r="H26" s="9">
        <f t="shared" si="0"/>
        <v>0.1</v>
      </c>
      <c r="I26" t="s">
        <v>25</v>
      </c>
      <c r="J26" s="3" t="str">
        <f t="shared" si="1"/>
        <v>3</v>
      </c>
      <c r="K26" t="s">
        <v>42</v>
      </c>
      <c r="L26" s="10" t="str">
        <f t="shared" si="2"/>
        <v>5</v>
      </c>
      <c r="M26" t="s">
        <v>37</v>
      </c>
      <c r="N26" s="3" t="str">
        <f t="shared" si="3"/>
        <v>0</v>
      </c>
      <c r="O26" s="9">
        <f t="shared" si="4"/>
        <v>45.3</v>
      </c>
      <c r="P26" t="s">
        <v>192</v>
      </c>
    </row>
    <row r="27" spans="2:16" x14ac:dyDescent="0.2">
      <c r="B27">
        <v>299</v>
      </c>
      <c r="C27" s="3">
        <v>22</v>
      </c>
      <c r="D27" s="3" t="s">
        <v>78</v>
      </c>
      <c r="E27">
        <v>20</v>
      </c>
      <c r="F27" t="s">
        <v>299</v>
      </c>
      <c r="G27">
        <v>6</v>
      </c>
      <c r="H27" s="9">
        <f t="shared" si="0"/>
        <v>0.6</v>
      </c>
      <c r="I27" t="s">
        <v>31</v>
      </c>
      <c r="J27" s="3" t="str">
        <f t="shared" si="1"/>
        <v>2</v>
      </c>
      <c r="K27" t="s">
        <v>42</v>
      </c>
      <c r="L27" s="10" t="str">
        <f t="shared" si="2"/>
        <v>5</v>
      </c>
      <c r="M27" t="s">
        <v>37</v>
      </c>
      <c r="N27" s="3" t="str">
        <f t="shared" si="3"/>
        <v>0</v>
      </c>
      <c r="O27" s="9">
        <f t="shared" si="4"/>
        <v>41.8</v>
      </c>
      <c r="P27" t="s">
        <v>236</v>
      </c>
    </row>
    <row r="28" spans="2:16" x14ac:dyDescent="0.2">
      <c r="B28">
        <v>300</v>
      </c>
      <c r="C28" s="3">
        <v>22</v>
      </c>
      <c r="D28" s="3" t="s">
        <v>78</v>
      </c>
      <c r="E28">
        <v>21</v>
      </c>
      <c r="F28" t="s">
        <v>299</v>
      </c>
      <c r="G28">
        <v>6</v>
      </c>
      <c r="H28" s="9">
        <f t="shared" si="0"/>
        <v>0.6</v>
      </c>
      <c r="I28" t="s">
        <v>31</v>
      </c>
      <c r="J28" s="3" t="str">
        <f t="shared" si="1"/>
        <v>2</v>
      </c>
      <c r="K28" t="s">
        <v>42</v>
      </c>
      <c r="L28" s="10" t="str">
        <f t="shared" si="2"/>
        <v>5</v>
      </c>
      <c r="M28" t="s">
        <v>37</v>
      </c>
      <c r="N28" s="3" t="str">
        <f t="shared" si="3"/>
        <v>0</v>
      </c>
      <c r="O28" s="9">
        <f t="shared" si="4"/>
        <v>41.8</v>
      </c>
      <c r="P28" t="s">
        <v>236</v>
      </c>
    </row>
    <row r="29" spans="2:16" x14ac:dyDescent="0.2">
      <c r="B29">
        <v>302</v>
      </c>
      <c r="C29" s="3">
        <v>22</v>
      </c>
      <c r="D29" s="3" t="s">
        <v>78</v>
      </c>
      <c r="E29">
        <v>23</v>
      </c>
      <c r="F29" t="s">
        <v>299</v>
      </c>
      <c r="G29">
        <v>6</v>
      </c>
      <c r="H29" s="9">
        <f t="shared" si="0"/>
        <v>0.6</v>
      </c>
      <c r="I29" t="s">
        <v>31</v>
      </c>
      <c r="J29" s="3" t="str">
        <f t="shared" si="1"/>
        <v>2</v>
      </c>
      <c r="K29" t="s">
        <v>42</v>
      </c>
      <c r="L29" s="10" t="str">
        <f t="shared" si="2"/>
        <v>5</v>
      </c>
      <c r="M29" t="s">
        <v>37</v>
      </c>
      <c r="N29" s="3" t="str">
        <f t="shared" si="3"/>
        <v>0</v>
      </c>
      <c r="O29" s="9">
        <f t="shared" si="4"/>
        <v>41.8</v>
      </c>
      <c r="P29" t="s">
        <v>236</v>
      </c>
    </row>
    <row r="30" spans="2:16" x14ac:dyDescent="0.2">
      <c r="B30">
        <v>304</v>
      </c>
      <c r="C30" s="3">
        <v>22</v>
      </c>
      <c r="D30" s="3" t="s">
        <v>78</v>
      </c>
      <c r="E30">
        <v>25</v>
      </c>
      <c r="F30" t="s">
        <v>299</v>
      </c>
      <c r="G30">
        <v>5</v>
      </c>
      <c r="H30" s="9">
        <f t="shared" si="0"/>
        <v>0.5</v>
      </c>
      <c r="I30" t="s">
        <v>31</v>
      </c>
      <c r="J30" s="3" t="str">
        <f t="shared" si="1"/>
        <v>2</v>
      </c>
      <c r="K30" t="s">
        <v>42</v>
      </c>
      <c r="L30" s="10" t="str">
        <f t="shared" si="2"/>
        <v>5</v>
      </c>
      <c r="M30" t="s">
        <v>37</v>
      </c>
      <c r="N30" s="3" t="str">
        <f t="shared" si="3"/>
        <v>0</v>
      </c>
      <c r="O30" s="9">
        <f t="shared" si="4"/>
        <v>41.5</v>
      </c>
      <c r="P30" t="s">
        <v>237</v>
      </c>
    </row>
    <row r="31" spans="2:16" x14ac:dyDescent="0.2">
      <c r="B31">
        <v>305</v>
      </c>
      <c r="C31" s="3">
        <v>22</v>
      </c>
      <c r="D31" s="3" t="s">
        <v>78</v>
      </c>
      <c r="E31">
        <v>26</v>
      </c>
      <c r="F31" t="s">
        <v>299</v>
      </c>
      <c r="G31">
        <v>5</v>
      </c>
      <c r="H31" s="9">
        <f t="shared" si="0"/>
        <v>0.5</v>
      </c>
      <c r="I31" t="s">
        <v>31</v>
      </c>
      <c r="J31" s="3" t="str">
        <f t="shared" si="1"/>
        <v>2</v>
      </c>
      <c r="K31" t="s">
        <v>42</v>
      </c>
      <c r="L31" s="10" t="str">
        <f t="shared" si="2"/>
        <v>5</v>
      </c>
      <c r="M31" t="s">
        <v>37</v>
      </c>
      <c r="N31" s="3" t="str">
        <f t="shared" si="3"/>
        <v>0</v>
      </c>
      <c r="O31" s="9">
        <f t="shared" si="4"/>
        <v>41.5</v>
      </c>
      <c r="P31" t="s">
        <v>237</v>
      </c>
    </row>
    <row r="32" spans="2:16" x14ac:dyDescent="0.2">
      <c r="B32">
        <v>296</v>
      </c>
      <c r="C32" s="3">
        <v>22</v>
      </c>
      <c r="D32" s="3" t="s">
        <v>78</v>
      </c>
      <c r="E32">
        <v>17</v>
      </c>
      <c r="F32" t="s">
        <v>272</v>
      </c>
      <c r="G32">
        <v>3</v>
      </c>
      <c r="H32" s="9">
        <f t="shared" si="0"/>
        <v>0.3</v>
      </c>
      <c r="I32" t="s">
        <v>31</v>
      </c>
      <c r="J32" s="3" t="str">
        <f t="shared" si="1"/>
        <v>2</v>
      </c>
      <c r="K32" t="s">
        <v>42</v>
      </c>
      <c r="L32" s="10" t="str">
        <f t="shared" si="2"/>
        <v>5</v>
      </c>
      <c r="M32" t="s">
        <v>37</v>
      </c>
      <c r="N32" s="3" t="str">
        <f t="shared" si="3"/>
        <v>0</v>
      </c>
      <c r="O32" s="9">
        <f t="shared" si="4"/>
        <v>40.9</v>
      </c>
      <c r="P32" t="s">
        <v>195</v>
      </c>
    </row>
    <row r="33" spans="2:16" x14ac:dyDescent="0.2">
      <c r="B33">
        <v>75</v>
      </c>
      <c r="C33" s="3">
        <v>10</v>
      </c>
      <c r="D33" s="3" t="s">
        <v>149</v>
      </c>
      <c r="E33">
        <v>1</v>
      </c>
      <c r="F33" t="s">
        <v>290</v>
      </c>
      <c r="G33">
        <v>36</v>
      </c>
      <c r="H33" s="9">
        <f t="shared" si="0"/>
        <v>3.6</v>
      </c>
      <c r="I33" t="s">
        <v>25</v>
      </c>
      <c r="J33" s="3" t="str">
        <f t="shared" si="1"/>
        <v>3</v>
      </c>
      <c r="K33" t="s">
        <v>26</v>
      </c>
      <c r="L33" s="10" t="str">
        <f t="shared" si="2"/>
        <v>2</v>
      </c>
      <c r="M33" t="s">
        <v>37</v>
      </c>
      <c r="N33" s="3" t="str">
        <f t="shared" si="3"/>
        <v>0</v>
      </c>
      <c r="O33" s="9">
        <f t="shared" si="4"/>
        <v>37.799999999999997</v>
      </c>
      <c r="P33" t="s">
        <v>40</v>
      </c>
    </row>
    <row r="34" spans="2:16" x14ac:dyDescent="0.2">
      <c r="B34">
        <v>3</v>
      </c>
      <c r="C34" s="3">
        <v>22</v>
      </c>
      <c r="D34" s="3" t="s">
        <v>85</v>
      </c>
      <c r="E34">
        <v>2</v>
      </c>
      <c r="F34" t="s">
        <v>284</v>
      </c>
      <c r="G34">
        <v>12</v>
      </c>
      <c r="H34" s="9">
        <f t="shared" si="0"/>
        <v>1.2</v>
      </c>
      <c r="I34" t="s">
        <v>31</v>
      </c>
      <c r="J34" s="3" t="str">
        <f t="shared" si="1"/>
        <v>2</v>
      </c>
      <c r="K34" t="s">
        <v>35</v>
      </c>
      <c r="L34" s="10" t="str">
        <f t="shared" si="2"/>
        <v>4</v>
      </c>
      <c r="M34" t="s">
        <v>37</v>
      </c>
      <c r="N34" s="3" t="str">
        <f t="shared" si="3"/>
        <v>0</v>
      </c>
      <c r="O34" s="9">
        <f t="shared" si="4"/>
        <v>37.6</v>
      </c>
      <c r="P34" t="s">
        <v>81</v>
      </c>
    </row>
    <row r="35" spans="2:16" x14ac:dyDescent="0.2">
      <c r="B35">
        <v>61</v>
      </c>
      <c r="C35" s="3">
        <v>2</v>
      </c>
      <c r="D35" s="3" t="s">
        <v>127</v>
      </c>
      <c r="E35">
        <v>2</v>
      </c>
      <c r="F35" t="s">
        <v>273</v>
      </c>
      <c r="G35">
        <v>14</v>
      </c>
      <c r="H35" s="9">
        <f t="shared" ref="H35:H52" si="5">G35/10</f>
        <v>1.4</v>
      </c>
      <c r="I35" t="s">
        <v>31</v>
      </c>
      <c r="J35" s="3" t="str">
        <f t="shared" ref="J35:J52" si="6">IF(I35="N/A","0",IF(I35="Excellent","1",IF(I35="Very Good","1",IF(I35="Good","2",IF(I35="Fair","3",IF(I35="Poor","4",IF(I35="Critical","5",IF(I35="Dead","5"))))))))</f>
        <v>2</v>
      </c>
      <c r="K35" t="s">
        <v>26</v>
      </c>
      <c r="L35" s="10" t="str">
        <f t="shared" ref="L35:L52" si="7">IF(K35="Removal","5",IF(K35="Pruning: Deadwood 1","4",IF(K35="Pruning: Deadwood 2","3",IF(K35="Pruning: Routine","2",IF(K35="Pruning: Training","1",IF(K35="Plant","0",IF(K35="Other - see notes","0",)))))))</f>
        <v>2</v>
      </c>
      <c r="M35" t="s">
        <v>34</v>
      </c>
      <c r="N35" s="3" t="str">
        <f t="shared" ref="N35:N52" si="8">IF(M35="no risk","0",IF(M35="None","0",IF(M35="Minimal Risk","1",IF(M35="Moderate Risk","2",IF(M35="High Risk","4",IF(M35="Severe Risk","5"))))))</f>
        <v>1</v>
      </c>
      <c r="O35" s="9">
        <f t="shared" ref="O35:O52" si="9">($G$2*H35)+($I$2*J35)+($K$2*L35)+($M$2*N35)</f>
        <v>36.200000000000003</v>
      </c>
    </row>
    <row r="36" spans="2:16" x14ac:dyDescent="0.2">
      <c r="B36">
        <v>7</v>
      </c>
      <c r="C36" s="3">
        <v>21</v>
      </c>
      <c r="D36" s="3" t="s">
        <v>90</v>
      </c>
      <c r="E36">
        <v>6</v>
      </c>
      <c r="F36" t="s">
        <v>285</v>
      </c>
      <c r="G36">
        <v>6</v>
      </c>
      <c r="H36" s="9">
        <f t="shared" si="5"/>
        <v>0.6</v>
      </c>
      <c r="I36" t="s">
        <v>31</v>
      </c>
      <c r="J36" s="3" t="str">
        <f t="shared" si="6"/>
        <v>2</v>
      </c>
      <c r="K36" t="s">
        <v>35</v>
      </c>
      <c r="L36" s="10" t="str">
        <f t="shared" si="7"/>
        <v>4</v>
      </c>
      <c r="M36" t="s">
        <v>37</v>
      </c>
      <c r="N36" s="3" t="str">
        <f t="shared" si="8"/>
        <v>0</v>
      </c>
      <c r="O36" s="9">
        <f t="shared" si="9"/>
        <v>35.799999999999997</v>
      </c>
    </row>
    <row r="37" spans="2:16" x14ac:dyDescent="0.2">
      <c r="B37">
        <v>79</v>
      </c>
      <c r="C37" s="3">
        <v>10</v>
      </c>
      <c r="D37" s="3" t="s">
        <v>154</v>
      </c>
      <c r="E37">
        <v>2</v>
      </c>
      <c r="F37" t="s">
        <v>290</v>
      </c>
      <c r="G37">
        <v>10</v>
      </c>
      <c r="H37" s="9">
        <f t="shared" si="5"/>
        <v>1</v>
      </c>
      <c r="I37" t="s">
        <v>31</v>
      </c>
      <c r="J37" s="3" t="str">
        <f t="shared" si="6"/>
        <v>2</v>
      </c>
      <c r="K37" t="s">
        <v>26</v>
      </c>
      <c r="L37" s="10" t="str">
        <f t="shared" si="7"/>
        <v>2</v>
      </c>
      <c r="M37" t="s">
        <v>34</v>
      </c>
      <c r="N37" s="3" t="str">
        <f t="shared" si="8"/>
        <v>1</v>
      </c>
      <c r="O37" s="9">
        <f t="shared" si="9"/>
        <v>35</v>
      </c>
    </row>
    <row r="38" spans="2:16" x14ac:dyDescent="0.2">
      <c r="B38">
        <v>150</v>
      </c>
      <c r="C38" s="3" t="s">
        <v>77</v>
      </c>
      <c r="D38" s="3" t="s">
        <v>78</v>
      </c>
      <c r="E38">
        <v>3</v>
      </c>
      <c r="F38" t="s">
        <v>297</v>
      </c>
      <c r="G38">
        <v>40</v>
      </c>
      <c r="H38" s="9">
        <f t="shared" si="5"/>
        <v>4</v>
      </c>
      <c r="I38" t="s">
        <v>31</v>
      </c>
      <c r="J38" s="3" t="str">
        <f t="shared" si="6"/>
        <v>2</v>
      </c>
      <c r="K38" t="s">
        <v>26</v>
      </c>
      <c r="L38" s="10" t="str">
        <f t="shared" si="7"/>
        <v>2</v>
      </c>
      <c r="M38" t="s">
        <v>37</v>
      </c>
      <c r="N38" s="3" t="str">
        <f t="shared" si="8"/>
        <v>0</v>
      </c>
      <c r="O38" s="9">
        <f t="shared" si="9"/>
        <v>34</v>
      </c>
    </row>
    <row r="39" spans="2:16" x14ac:dyDescent="0.2">
      <c r="B39">
        <v>151</v>
      </c>
      <c r="C39" s="3" t="s">
        <v>77</v>
      </c>
      <c r="D39" s="3" t="s">
        <v>78</v>
      </c>
      <c r="E39">
        <v>4</v>
      </c>
      <c r="F39" t="s">
        <v>297</v>
      </c>
      <c r="G39">
        <v>40</v>
      </c>
      <c r="H39" s="9">
        <f t="shared" si="5"/>
        <v>4</v>
      </c>
      <c r="I39" t="s">
        <v>31</v>
      </c>
      <c r="J39" s="3" t="str">
        <f t="shared" si="6"/>
        <v>2</v>
      </c>
      <c r="K39" t="s">
        <v>26</v>
      </c>
      <c r="L39" s="10" t="str">
        <f t="shared" si="7"/>
        <v>2</v>
      </c>
      <c r="M39" t="s">
        <v>37</v>
      </c>
      <c r="N39" s="3" t="str">
        <f t="shared" si="8"/>
        <v>0</v>
      </c>
      <c r="O39" s="9">
        <f t="shared" si="9"/>
        <v>34</v>
      </c>
    </row>
    <row r="40" spans="2:16" x14ac:dyDescent="0.2">
      <c r="B40">
        <v>46</v>
      </c>
      <c r="C40" s="3">
        <v>21</v>
      </c>
      <c r="D40" s="3">
        <v>1060</v>
      </c>
      <c r="E40">
        <v>45</v>
      </c>
      <c r="F40" t="s">
        <v>268</v>
      </c>
      <c r="G40">
        <v>5</v>
      </c>
      <c r="H40" s="9">
        <f t="shared" si="5"/>
        <v>0.5</v>
      </c>
      <c r="I40" t="s">
        <v>31</v>
      </c>
      <c r="J40" s="3" t="str">
        <f t="shared" si="6"/>
        <v>2</v>
      </c>
      <c r="K40" t="s">
        <v>26</v>
      </c>
      <c r="L40" s="10" t="str">
        <f t="shared" si="7"/>
        <v>2</v>
      </c>
      <c r="M40" t="s">
        <v>34</v>
      </c>
      <c r="N40" s="3" t="str">
        <f t="shared" si="8"/>
        <v>1</v>
      </c>
      <c r="O40" s="9">
        <f t="shared" si="9"/>
        <v>33.5</v>
      </c>
    </row>
    <row r="41" spans="2:16" x14ac:dyDescent="0.2">
      <c r="B41">
        <v>267</v>
      </c>
      <c r="C41" s="3" t="s">
        <v>202</v>
      </c>
      <c r="D41" s="3" t="s">
        <v>206</v>
      </c>
      <c r="E41">
        <v>5</v>
      </c>
      <c r="F41" t="s">
        <v>276</v>
      </c>
      <c r="G41">
        <v>5</v>
      </c>
      <c r="H41" s="9">
        <f t="shared" si="5"/>
        <v>0.5</v>
      </c>
      <c r="I41" t="s">
        <v>31</v>
      </c>
      <c r="J41" s="3" t="str">
        <f t="shared" si="6"/>
        <v>2</v>
      </c>
      <c r="K41" t="s">
        <v>26</v>
      </c>
      <c r="L41" s="10" t="str">
        <f t="shared" si="7"/>
        <v>2</v>
      </c>
      <c r="M41" t="s">
        <v>34</v>
      </c>
      <c r="N41" s="3" t="str">
        <f t="shared" si="8"/>
        <v>1</v>
      </c>
      <c r="O41" s="9">
        <f t="shared" si="9"/>
        <v>33.5</v>
      </c>
    </row>
    <row r="42" spans="2:16" x14ac:dyDescent="0.2">
      <c r="B42">
        <v>11</v>
      </c>
      <c r="C42" s="3">
        <v>21</v>
      </c>
      <c r="D42" s="3" t="s">
        <v>95</v>
      </c>
      <c r="E42">
        <v>9</v>
      </c>
      <c r="F42" t="s">
        <v>290</v>
      </c>
      <c r="G42">
        <v>20</v>
      </c>
      <c r="H42" s="9">
        <f t="shared" si="5"/>
        <v>2</v>
      </c>
      <c r="I42" t="s">
        <v>25</v>
      </c>
      <c r="J42" s="3" t="str">
        <f t="shared" si="6"/>
        <v>3</v>
      </c>
      <c r="K42" t="s">
        <v>26</v>
      </c>
      <c r="L42" s="10" t="str">
        <f t="shared" si="7"/>
        <v>2</v>
      </c>
      <c r="M42" t="s">
        <v>37</v>
      </c>
      <c r="N42" s="3" t="str">
        <f t="shared" si="8"/>
        <v>0</v>
      </c>
      <c r="O42" s="9">
        <f t="shared" si="9"/>
        <v>33</v>
      </c>
    </row>
    <row r="43" spans="2:16" x14ac:dyDescent="0.2">
      <c r="B43">
        <v>184</v>
      </c>
      <c r="C43" s="3">
        <v>16</v>
      </c>
      <c r="D43" s="3" t="s">
        <v>240</v>
      </c>
      <c r="E43">
        <v>2</v>
      </c>
      <c r="F43" t="s">
        <v>294</v>
      </c>
      <c r="G43">
        <v>36</v>
      </c>
      <c r="H43" s="9">
        <f t="shared" si="5"/>
        <v>3.6</v>
      </c>
      <c r="I43" t="s">
        <v>31</v>
      </c>
      <c r="J43" s="3" t="str">
        <f t="shared" si="6"/>
        <v>2</v>
      </c>
      <c r="K43" t="s">
        <v>26</v>
      </c>
      <c r="L43" s="10" t="str">
        <f t="shared" si="7"/>
        <v>2</v>
      </c>
      <c r="M43" t="s">
        <v>37</v>
      </c>
      <c r="N43" s="3" t="str">
        <f t="shared" si="8"/>
        <v>0</v>
      </c>
      <c r="O43" s="9">
        <f t="shared" si="9"/>
        <v>32.799999999999997</v>
      </c>
    </row>
    <row r="44" spans="2:16" x14ac:dyDescent="0.2">
      <c r="B44">
        <v>172</v>
      </c>
      <c r="C44" s="3" t="s">
        <v>174</v>
      </c>
      <c r="D44" s="3" t="s">
        <v>78</v>
      </c>
      <c r="E44">
        <v>16</v>
      </c>
      <c r="F44" t="s">
        <v>295</v>
      </c>
      <c r="G44">
        <v>32</v>
      </c>
      <c r="H44" s="9">
        <f t="shared" si="5"/>
        <v>3.2</v>
      </c>
      <c r="I44" t="s">
        <v>31</v>
      </c>
      <c r="J44" s="3" t="str">
        <f t="shared" si="6"/>
        <v>2</v>
      </c>
      <c r="K44" t="s">
        <v>26</v>
      </c>
      <c r="L44" s="10" t="str">
        <f t="shared" si="7"/>
        <v>2</v>
      </c>
      <c r="M44" t="s">
        <v>37</v>
      </c>
      <c r="N44" s="3" t="str">
        <f t="shared" si="8"/>
        <v>0</v>
      </c>
      <c r="O44" s="9">
        <f t="shared" si="9"/>
        <v>31.6</v>
      </c>
    </row>
    <row r="45" spans="2:16" x14ac:dyDescent="0.2">
      <c r="B45">
        <v>6</v>
      </c>
      <c r="C45" s="3">
        <v>21</v>
      </c>
      <c r="D45" s="3" t="s">
        <v>89</v>
      </c>
      <c r="E45">
        <v>5</v>
      </c>
      <c r="F45" t="s">
        <v>285</v>
      </c>
      <c r="G45">
        <v>8</v>
      </c>
      <c r="H45" s="9">
        <f t="shared" si="5"/>
        <v>0.8</v>
      </c>
      <c r="I45" t="s">
        <v>52</v>
      </c>
      <c r="J45" s="3" t="str">
        <f t="shared" si="6"/>
        <v>1</v>
      </c>
      <c r="K45" t="s">
        <v>35</v>
      </c>
      <c r="L45" s="10" t="str">
        <f t="shared" si="7"/>
        <v>4</v>
      </c>
      <c r="M45" t="s">
        <v>37</v>
      </c>
      <c r="N45" s="3" t="str">
        <f t="shared" si="8"/>
        <v>0</v>
      </c>
      <c r="O45" s="9">
        <f t="shared" si="9"/>
        <v>31.4</v>
      </c>
    </row>
    <row r="46" spans="2:16" x14ac:dyDescent="0.2">
      <c r="B46">
        <v>80</v>
      </c>
      <c r="C46" s="3">
        <v>10</v>
      </c>
      <c r="D46" s="3" t="s">
        <v>156</v>
      </c>
      <c r="E46">
        <v>1</v>
      </c>
      <c r="F46" t="s">
        <v>290</v>
      </c>
      <c r="G46">
        <v>14</v>
      </c>
      <c r="H46" s="9">
        <f t="shared" si="5"/>
        <v>1.4</v>
      </c>
      <c r="I46" t="s">
        <v>25</v>
      </c>
      <c r="J46" s="3" t="str">
        <f t="shared" si="6"/>
        <v>3</v>
      </c>
      <c r="K46" t="s">
        <v>26</v>
      </c>
      <c r="L46" s="10" t="str">
        <f t="shared" si="7"/>
        <v>2</v>
      </c>
      <c r="M46" t="s">
        <v>37</v>
      </c>
      <c r="N46" s="3" t="str">
        <f t="shared" si="8"/>
        <v>0</v>
      </c>
      <c r="O46" s="9">
        <f t="shared" si="9"/>
        <v>31.2</v>
      </c>
      <c r="P46" t="s">
        <v>155</v>
      </c>
    </row>
    <row r="47" spans="2:16" x14ac:dyDescent="0.2">
      <c r="B47">
        <v>155</v>
      </c>
      <c r="C47" s="3" t="s">
        <v>77</v>
      </c>
      <c r="D47" s="3" t="s">
        <v>78</v>
      </c>
      <c r="E47">
        <v>8</v>
      </c>
      <c r="F47" t="s">
        <v>270</v>
      </c>
      <c r="G47">
        <v>12</v>
      </c>
      <c r="H47" s="9">
        <f t="shared" si="5"/>
        <v>1.2</v>
      </c>
      <c r="I47" t="s">
        <v>25</v>
      </c>
      <c r="J47" s="3" t="str">
        <f t="shared" si="6"/>
        <v>3</v>
      </c>
      <c r="K47" t="s">
        <v>26</v>
      </c>
      <c r="L47" s="10" t="str">
        <f t="shared" si="7"/>
        <v>2</v>
      </c>
      <c r="M47" t="s">
        <v>37</v>
      </c>
      <c r="N47" s="3" t="str">
        <f t="shared" si="8"/>
        <v>0</v>
      </c>
      <c r="O47" s="9">
        <f t="shared" si="9"/>
        <v>30.6</v>
      </c>
      <c r="P47" t="s">
        <v>172</v>
      </c>
    </row>
    <row r="48" spans="2:16" x14ac:dyDescent="0.2">
      <c r="B48">
        <v>183</v>
      </c>
      <c r="C48" s="3">
        <v>16</v>
      </c>
      <c r="D48" s="3" t="s">
        <v>239</v>
      </c>
      <c r="E48">
        <v>1</v>
      </c>
      <c r="F48" t="s">
        <v>297</v>
      </c>
      <c r="G48">
        <v>45</v>
      </c>
      <c r="H48" s="9">
        <f t="shared" si="5"/>
        <v>4.5</v>
      </c>
      <c r="I48" t="s">
        <v>52</v>
      </c>
      <c r="J48" s="3" t="str">
        <f t="shared" si="6"/>
        <v>1</v>
      </c>
      <c r="K48" t="s">
        <v>26</v>
      </c>
      <c r="L48" s="10" t="str">
        <f t="shared" si="7"/>
        <v>2</v>
      </c>
      <c r="M48" t="s">
        <v>37</v>
      </c>
      <c r="N48" s="3" t="str">
        <f t="shared" si="8"/>
        <v>0</v>
      </c>
      <c r="O48" s="9">
        <f t="shared" si="9"/>
        <v>30.5</v>
      </c>
    </row>
    <row r="49" spans="2:16" x14ac:dyDescent="0.2">
      <c r="B49">
        <v>1</v>
      </c>
      <c r="C49" s="3" t="s">
        <v>77</v>
      </c>
      <c r="D49" s="3" t="s">
        <v>78</v>
      </c>
      <c r="E49">
        <v>2</v>
      </c>
      <c r="F49" t="s">
        <v>297</v>
      </c>
      <c r="G49">
        <v>45</v>
      </c>
      <c r="H49" s="9">
        <f t="shared" si="5"/>
        <v>4.5</v>
      </c>
      <c r="I49" t="s">
        <v>52</v>
      </c>
      <c r="J49" s="3" t="str">
        <f t="shared" si="6"/>
        <v>1</v>
      </c>
      <c r="K49" t="s">
        <v>26</v>
      </c>
      <c r="L49" s="10" t="str">
        <f t="shared" si="7"/>
        <v>2</v>
      </c>
      <c r="M49" t="s">
        <v>37</v>
      </c>
      <c r="N49" s="3" t="str">
        <f t="shared" si="8"/>
        <v>0</v>
      </c>
      <c r="O49" s="9">
        <f t="shared" si="9"/>
        <v>30.5</v>
      </c>
    </row>
    <row r="50" spans="2:16" x14ac:dyDescent="0.2">
      <c r="B50">
        <v>181</v>
      </c>
      <c r="C50" s="3">
        <v>25</v>
      </c>
      <c r="D50" s="3" t="s">
        <v>227</v>
      </c>
      <c r="E50">
        <v>3</v>
      </c>
      <c r="F50" t="s">
        <v>276</v>
      </c>
      <c r="G50">
        <v>10</v>
      </c>
      <c r="H50" s="9">
        <f t="shared" si="5"/>
        <v>1</v>
      </c>
      <c r="I50" t="s">
        <v>25</v>
      </c>
      <c r="J50" s="3" t="str">
        <f t="shared" si="6"/>
        <v>3</v>
      </c>
      <c r="K50" t="s">
        <v>26</v>
      </c>
      <c r="L50" s="10" t="str">
        <f t="shared" si="7"/>
        <v>2</v>
      </c>
      <c r="M50" t="s">
        <v>37</v>
      </c>
      <c r="N50" s="3" t="str">
        <f t="shared" si="8"/>
        <v>0</v>
      </c>
      <c r="O50" s="9">
        <f t="shared" si="9"/>
        <v>30</v>
      </c>
      <c r="P50" t="s">
        <v>226</v>
      </c>
    </row>
    <row r="51" spans="2:16" x14ac:dyDescent="0.2">
      <c r="B51">
        <v>182</v>
      </c>
      <c r="C51" s="3">
        <v>25</v>
      </c>
      <c r="D51" s="3" t="s">
        <v>227</v>
      </c>
      <c r="E51">
        <v>4</v>
      </c>
      <c r="F51" t="s">
        <v>276</v>
      </c>
      <c r="G51">
        <v>10</v>
      </c>
      <c r="H51" s="9">
        <f t="shared" si="5"/>
        <v>1</v>
      </c>
      <c r="I51" t="s">
        <v>25</v>
      </c>
      <c r="J51" s="3" t="str">
        <f t="shared" si="6"/>
        <v>3</v>
      </c>
      <c r="K51" t="s">
        <v>26</v>
      </c>
      <c r="L51" s="10" t="str">
        <f t="shared" si="7"/>
        <v>2</v>
      </c>
      <c r="M51" t="s">
        <v>37</v>
      </c>
      <c r="N51" s="3" t="str">
        <f t="shared" si="8"/>
        <v>0</v>
      </c>
      <c r="O51" s="9">
        <f t="shared" si="9"/>
        <v>30</v>
      </c>
      <c r="P51" t="s">
        <v>226</v>
      </c>
    </row>
    <row r="52" spans="2:16" x14ac:dyDescent="0.2">
      <c r="B52">
        <v>156</v>
      </c>
      <c r="C52" s="3" t="s">
        <v>174</v>
      </c>
      <c r="D52" s="3" t="s">
        <v>78</v>
      </c>
      <c r="E52">
        <v>1</v>
      </c>
      <c r="F52" t="s">
        <v>290</v>
      </c>
      <c r="G52">
        <v>10</v>
      </c>
      <c r="H52" s="9">
        <f t="shared" si="5"/>
        <v>1</v>
      </c>
      <c r="I52" t="s">
        <v>25</v>
      </c>
      <c r="J52" s="3" t="str">
        <f t="shared" si="6"/>
        <v>3</v>
      </c>
      <c r="K52" t="s">
        <v>26</v>
      </c>
      <c r="L52" s="10" t="str">
        <f t="shared" si="7"/>
        <v>2</v>
      </c>
      <c r="M52" t="s">
        <v>37</v>
      </c>
      <c r="N52" s="3" t="str">
        <f t="shared" si="8"/>
        <v>0</v>
      </c>
      <c r="O52" s="9">
        <f t="shared" si="9"/>
        <v>30</v>
      </c>
    </row>
  </sheetData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41"/>
  <sheetViews>
    <sheetView workbookViewId="0">
      <selection activeCell="F3" sqref="F3"/>
    </sheetView>
  </sheetViews>
  <sheetFormatPr defaultRowHeight="12.75" x14ac:dyDescent="0.2"/>
  <cols>
    <col min="2" max="2" width="5" bestFit="1" customWidth="1"/>
    <col min="3" max="3" width="15.7109375" style="3" bestFit="1" customWidth="1"/>
    <col min="4" max="4" width="15" style="3" bestFit="1" customWidth="1"/>
    <col min="5" max="5" width="5" style="3" bestFit="1" customWidth="1"/>
    <col min="6" max="6" width="24.28515625" bestFit="1" customWidth="1"/>
    <col min="7" max="7" width="4.85546875" bestFit="1" customWidth="1"/>
    <col min="8" max="8" width="9.5703125" bestFit="1" customWidth="1"/>
    <col min="9" max="9" width="9.85546875" bestFit="1" customWidth="1"/>
    <col min="10" max="10" width="9.85546875" customWidth="1"/>
    <col min="11" max="11" width="18.85546875" bestFit="1" customWidth="1"/>
    <col min="12" max="12" width="11.7109375" bestFit="1" customWidth="1"/>
    <col min="13" max="13" width="13.140625" bestFit="1" customWidth="1"/>
    <col min="14" max="14" width="10" bestFit="1" customWidth="1"/>
    <col min="15" max="15" width="13.5703125" bestFit="1" customWidth="1"/>
    <col min="16" max="16" width="39.42578125" bestFit="1" customWidth="1"/>
  </cols>
  <sheetData>
    <row r="1" spans="1:16" s="4" customFormat="1" x14ac:dyDescent="0.2">
      <c r="B1" s="4" t="s">
        <v>3</v>
      </c>
      <c r="C1" s="5" t="s">
        <v>57</v>
      </c>
      <c r="D1" s="5" t="s">
        <v>58</v>
      </c>
      <c r="E1" s="5" t="s">
        <v>59</v>
      </c>
      <c r="F1" s="6" t="s">
        <v>64</v>
      </c>
      <c r="G1" s="4" t="s">
        <v>8</v>
      </c>
      <c r="H1" s="7" t="s">
        <v>65</v>
      </c>
      <c r="I1" s="4" t="s">
        <v>9</v>
      </c>
      <c r="J1" s="5" t="s">
        <v>66</v>
      </c>
      <c r="K1" s="4" t="s">
        <v>67</v>
      </c>
      <c r="L1" s="4" t="s">
        <v>68</v>
      </c>
      <c r="M1" s="4" t="s">
        <v>13</v>
      </c>
      <c r="N1" s="5" t="s">
        <v>69</v>
      </c>
      <c r="O1" s="5" t="s">
        <v>70</v>
      </c>
      <c r="P1" s="4" t="s">
        <v>2</v>
      </c>
    </row>
    <row r="2" spans="1:16" s="4" customFormat="1" x14ac:dyDescent="0.2">
      <c r="A2" s="4" t="s">
        <v>71</v>
      </c>
      <c r="B2" s="8"/>
      <c r="C2" s="7"/>
      <c r="D2" s="7"/>
      <c r="E2" s="7"/>
      <c r="F2" s="8"/>
      <c r="G2" s="8">
        <v>3</v>
      </c>
      <c r="H2" s="7"/>
      <c r="I2" s="8">
        <v>5</v>
      </c>
      <c r="J2" s="7"/>
      <c r="K2" s="8">
        <v>6</v>
      </c>
      <c r="L2" s="8"/>
      <c r="M2" s="8">
        <v>10</v>
      </c>
      <c r="N2" s="7"/>
      <c r="O2" s="7"/>
      <c r="P2" s="8"/>
    </row>
    <row r="3" spans="1:16" x14ac:dyDescent="0.2">
      <c r="B3">
        <v>197</v>
      </c>
      <c r="C3" s="3">
        <v>19</v>
      </c>
      <c r="D3" s="3" t="s">
        <v>78</v>
      </c>
      <c r="E3">
        <v>4</v>
      </c>
      <c r="F3" t="s">
        <v>290</v>
      </c>
      <c r="G3">
        <v>24</v>
      </c>
      <c r="H3" s="9">
        <f t="shared" ref="H3:H66" si="0">G3/10</f>
        <v>2.4</v>
      </c>
      <c r="I3" t="s">
        <v>38</v>
      </c>
      <c r="J3" s="3" t="str">
        <f t="shared" ref="J3:J66" si="1">IF(I3="N/A","0",IF(I3="Excellent","1",IF(I3="Very Good","1",IF(I3="Good","2",IF(I3="Fair","3",IF(I3="Poor","4",IF(I3="Critical","5",IF(I3="Dead","5"))))))))</f>
        <v>4</v>
      </c>
      <c r="K3" t="s">
        <v>42</v>
      </c>
      <c r="L3" s="10" t="str">
        <f t="shared" ref="L3:L66" si="2">IF(K3="Removal","5",IF(K3="Pruning: Deadwood 1","4",IF(K3="Pruning: Deadwood 2","3",IF(K3="Pruning: Routine","2",IF(K3="Pruning: Training","1",IF(K3="Plant","0",IF(K3="Other - see notes","0",)))))))</f>
        <v>5</v>
      </c>
      <c r="M3" t="s">
        <v>28</v>
      </c>
      <c r="N3" s="3" t="str">
        <f t="shared" ref="N3:N66" si="3">IF(M3="no risk","0",IF(M3="None","0",IF(M3="Minimal Risk","1",IF(M3="Moderate Risk","2",IF(M3="High Risk","4",IF(M3="Severe Risk","5"))))))</f>
        <v>2</v>
      </c>
      <c r="O3" s="9">
        <f t="shared" ref="O3:O66" si="4">($G$2*H3)+($I$2*J3)+($K$2*L3)+($M$2*N3)</f>
        <v>77.2</v>
      </c>
      <c r="P3" t="s">
        <v>245</v>
      </c>
    </row>
    <row r="4" spans="1:16" x14ac:dyDescent="0.2">
      <c r="B4">
        <v>160</v>
      </c>
      <c r="C4" s="3" t="s">
        <v>174</v>
      </c>
      <c r="D4" s="3" t="s">
        <v>78</v>
      </c>
      <c r="E4">
        <v>5</v>
      </c>
      <c r="F4" t="s">
        <v>290</v>
      </c>
      <c r="G4">
        <v>14</v>
      </c>
      <c r="H4" s="9">
        <f t="shared" si="0"/>
        <v>1.4</v>
      </c>
      <c r="I4" t="s">
        <v>38</v>
      </c>
      <c r="J4" s="3" t="str">
        <f t="shared" si="1"/>
        <v>4</v>
      </c>
      <c r="K4" t="s">
        <v>42</v>
      </c>
      <c r="L4" s="10" t="str">
        <f t="shared" si="2"/>
        <v>5</v>
      </c>
      <c r="M4" t="s">
        <v>28</v>
      </c>
      <c r="N4" s="3" t="str">
        <f t="shared" si="3"/>
        <v>2</v>
      </c>
      <c r="O4" s="9">
        <f t="shared" si="4"/>
        <v>74.2</v>
      </c>
      <c r="P4" t="s">
        <v>175</v>
      </c>
    </row>
    <row r="5" spans="1:16" x14ac:dyDescent="0.2">
      <c r="B5">
        <v>266</v>
      </c>
      <c r="C5" s="3" t="s">
        <v>202</v>
      </c>
      <c r="D5" s="3" t="s">
        <v>205</v>
      </c>
      <c r="E5">
        <v>4</v>
      </c>
      <c r="F5" t="s">
        <v>287</v>
      </c>
      <c r="G5">
        <v>5</v>
      </c>
      <c r="H5" s="9">
        <f t="shared" si="0"/>
        <v>0.5</v>
      </c>
      <c r="I5" t="s">
        <v>38</v>
      </c>
      <c r="J5" s="3" t="str">
        <f t="shared" si="1"/>
        <v>4</v>
      </c>
      <c r="K5" t="s">
        <v>42</v>
      </c>
      <c r="L5" s="10" t="str">
        <f t="shared" si="2"/>
        <v>5</v>
      </c>
      <c r="M5" t="s">
        <v>34</v>
      </c>
      <c r="N5" s="3" t="str">
        <f t="shared" si="3"/>
        <v>1</v>
      </c>
      <c r="O5" s="9">
        <f t="shared" si="4"/>
        <v>61.5</v>
      </c>
      <c r="P5" t="s">
        <v>204</v>
      </c>
    </row>
    <row r="6" spans="1:16" x14ac:dyDescent="0.2">
      <c r="B6">
        <v>185</v>
      </c>
      <c r="C6" s="3">
        <v>20</v>
      </c>
      <c r="D6" s="3" t="s">
        <v>54</v>
      </c>
      <c r="E6">
        <v>1</v>
      </c>
      <c r="F6" t="s">
        <v>264</v>
      </c>
      <c r="G6">
        <v>8</v>
      </c>
      <c r="H6" s="9">
        <f t="shared" si="0"/>
        <v>0.8</v>
      </c>
      <c r="I6" t="s">
        <v>25</v>
      </c>
      <c r="J6" s="3" t="str">
        <f t="shared" si="1"/>
        <v>3</v>
      </c>
      <c r="K6" t="s">
        <v>42</v>
      </c>
      <c r="L6" s="10" t="str">
        <f t="shared" si="2"/>
        <v>5</v>
      </c>
      <c r="M6" t="s">
        <v>34</v>
      </c>
      <c r="N6" s="3" t="str">
        <f t="shared" si="3"/>
        <v>1</v>
      </c>
      <c r="O6" s="9">
        <f t="shared" si="4"/>
        <v>57.4</v>
      </c>
      <c r="P6" t="s">
        <v>241</v>
      </c>
    </row>
    <row r="7" spans="1:16" x14ac:dyDescent="0.2">
      <c r="B7">
        <v>162</v>
      </c>
      <c r="C7" s="3" t="s">
        <v>174</v>
      </c>
      <c r="D7" s="3" t="s">
        <v>78</v>
      </c>
      <c r="E7">
        <v>7</v>
      </c>
      <c r="F7" t="s">
        <v>290</v>
      </c>
      <c r="G7">
        <v>10</v>
      </c>
      <c r="H7" s="9">
        <f t="shared" si="0"/>
        <v>1</v>
      </c>
      <c r="I7" t="s">
        <v>38</v>
      </c>
      <c r="J7" s="3" t="str">
        <f t="shared" si="1"/>
        <v>4</v>
      </c>
      <c r="K7" t="s">
        <v>35</v>
      </c>
      <c r="L7" s="10" t="str">
        <f t="shared" si="2"/>
        <v>4</v>
      </c>
      <c r="M7" t="s">
        <v>34</v>
      </c>
      <c r="N7" s="3" t="str">
        <f t="shared" si="3"/>
        <v>1</v>
      </c>
      <c r="O7" s="9">
        <f t="shared" si="4"/>
        <v>57</v>
      </c>
      <c r="P7" t="s">
        <v>49</v>
      </c>
    </row>
    <row r="8" spans="1:16" x14ac:dyDescent="0.2">
      <c r="B8">
        <v>143</v>
      </c>
      <c r="C8" s="3" t="s">
        <v>168</v>
      </c>
      <c r="D8" s="3" t="s">
        <v>78</v>
      </c>
      <c r="E8">
        <v>10</v>
      </c>
      <c r="F8" t="s">
        <v>276</v>
      </c>
      <c r="G8">
        <v>3</v>
      </c>
      <c r="H8" s="9">
        <f t="shared" si="0"/>
        <v>0.3</v>
      </c>
      <c r="I8" t="s">
        <v>53</v>
      </c>
      <c r="J8" s="3" t="str">
        <f t="shared" si="1"/>
        <v>5</v>
      </c>
      <c r="K8" t="s">
        <v>42</v>
      </c>
      <c r="L8" s="10" t="str">
        <f t="shared" si="2"/>
        <v>5</v>
      </c>
      <c r="M8" t="s">
        <v>37</v>
      </c>
      <c r="N8" s="3" t="str">
        <f t="shared" si="3"/>
        <v>0</v>
      </c>
      <c r="O8" s="9">
        <f t="shared" si="4"/>
        <v>55.9</v>
      </c>
      <c r="P8" t="s">
        <v>170</v>
      </c>
    </row>
    <row r="9" spans="1:16" x14ac:dyDescent="0.2">
      <c r="B9">
        <v>36</v>
      </c>
      <c r="C9" s="3">
        <v>21</v>
      </c>
      <c r="D9" s="3">
        <v>3</v>
      </c>
      <c r="E9">
        <v>35</v>
      </c>
      <c r="F9" t="s">
        <v>263</v>
      </c>
      <c r="G9">
        <v>2</v>
      </c>
      <c r="H9" s="9">
        <f t="shared" si="0"/>
        <v>0.2</v>
      </c>
      <c r="I9" t="s">
        <v>25</v>
      </c>
      <c r="J9" s="3" t="str">
        <f t="shared" si="1"/>
        <v>3</v>
      </c>
      <c r="K9" t="s">
        <v>42</v>
      </c>
      <c r="L9" s="10" t="str">
        <f t="shared" si="2"/>
        <v>5</v>
      </c>
      <c r="M9" t="s">
        <v>34</v>
      </c>
      <c r="N9" s="3" t="str">
        <f t="shared" si="3"/>
        <v>1</v>
      </c>
      <c r="O9" s="9">
        <f t="shared" si="4"/>
        <v>55.6</v>
      </c>
      <c r="P9" t="s">
        <v>112</v>
      </c>
    </row>
    <row r="10" spans="1:16" x14ac:dyDescent="0.2">
      <c r="B10">
        <v>249</v>
      </c>
      <c r="C10" s="3" t="s">
        <v>184</v>
      </c>
      <c r="D10" s="3" t="s">
        <v>78</v>
      </c>
      <c r="E10">
        <v>9</v>
      </c>
      <c r="F10" t="s">
        <v>276</v>
      </c>
      <c r="G10">
        <v>2</v>
      </c>
      <c r="H10" s="9">
        <f t="shared" si="0"/>
        <v>0.2</v>
      </c>
      <c r="I10" t="s">
        <v>53</v>
      </c>
      <c r="J10" s="3" t="str">
        <f t="shared" si="1"/>
        <v>5</v>
      </c>
      <c r="K10" t="s">
        <v>42</v>
      </c>
      <c r="L10" s="10" t="str">
        <f t="shared" si="2"/>
        <v>5</v>
      </c>
      <c r="M10" t="s">
        <v>37</v>
      </c>
      <c r="N10" s="3" t="str">
        <f t="shared" si="3"/>
        <v>0</v>
      </c>
      <c r="O10" s="9">
        <f t="shared" si="4"/>
        <v>55.6</v>
      </c>
      <c r="P10" t="s">
        <v>187</v>
      </c>
    </row>
    <row r="11" spans="1:16" x14ac:dyDescent="0.2">
      <c r="B11">
        <v>161</v>
      </c>
      <c r="C11" s="3" t="s">
        <v>174</v>
      </c>
      <c r="D11" s="3" t="s">
        <v>78</v>
      </c>
      <c r="E11">
        <v>6</v>
      </c>
      <c r="F11" t="s">
        <v>286</v>
      </c>
      <c r="G11">
        <v>5</v>
      </c>
      <c r="H11" s="9">
        <f t="shared" si="0"/>
        <v>0.5</v>
      </c>
      <c r="I11" t="s">
        <v>38</v>
      </c>
      <c r="J11" s="3" t="str">
        <f t="shared" si="1"/>
        <v>4</v>
      </c>
      <c r="K11" t="s">
        <v>42</v>
      </c>
      <c r="L11" s="10" t="str">
        <f t="shared" si="2"/>
        <v>5</v>
      </c>
      <c r="M11" t="s">
        <v>37</v>
      </c>
      <c r="N11" s="3" t="str">
        <f t="shared" si="3"/>
        <v>0</v>
      </c>
      <c r="O11" s="9">
        <f t="shared" si="4"/>
        <v>51.5</v>
      </c>
      <c r="P11" t="s">
        <v>176</v>
      </c>
    </row>
    <row r="12" spans="1:16" x14ac:dyDescent="0.2">
      <c r="B12">
        <v>248</v>
      </c>
      <c r="C12" s="3" t="s">
        <v>184</v>
      </c>
      <c r="D12" s="3" t="s">
        <v>78</v>
      </c>
      <c r="E12">
        <v>8</v>
      </c>
      <c r="F12" t="s">
        <v>284</v>
      </c>
      <c r="G12">
        <v>4</v>
      </c>
      <c r="H12" s="9">
        <f t="shared" si="0"/>
        <v>0.4</v>
      </c>
      <c r="I12" t="s">
        <v>38</v>
      </c>
      <c r="J12" s="3" t="str">
        <f t="shared" si="1"/>
        <v>4</v>
      </c>
      <c r="K12" t="s">
        <v>42</v>
      </c>
      <c r="L12" s="10" t="str">
        <f t="shared" si="2"/>
        <v>5</v>
      </c>
      <c r="M12" t="s">
        <v>37</v>
      </c>
      <c r="N12" s="3" t="str">
        <f t="shared" si="3"/>
        <v>0</v>
      </c>
      <c r="O12" s="9">
        <f t="shared" si="4"/>
        <v>51.2</v>
      </c>
      <c r="P12" t="s">
        <v>170</v>
      </c>
    </row>
    <row r="13" spans="1:16" x14ac:dyDescent="0.2">
      <c r="B13">
        <v>256</v>
      </c>
      <c r="C13" s="3" t="s">
        <v>184</v>
      </c>
      <c r="D13" s="3" t="s">
        <v>78</v>
      </c>
      <c r="E13">
        <v>16</v>
      </c>
      <c r="F13" t="s">
        <v>277</v>
      </c>
      <c r="G13">
        <v>4</v>
      </c>
      <c r="H13" s="9">
        <f t="shared" si="0"/>
        <v>0.4</v>
      </c>
      <c r="I13" t="s">
        <v>38</v>
      </c>
      <c r="J13" s="3" t="str">
        <f t="shared" si="1"/>
        <v>4</v>
      </c>
      <c r="K13" t="s">
        <v>42</v>
      </c>
      <c r="L13" s="10" t="str">
        <f t="shared" si="2"/>
        <v>5</v>
      </c>
      <c r="M13" t="s">
        <v>37</v>
      </c>
      <c r="N13" s="3" t="str">
        <f t="shared" si="3"/>
        <v>0</v>
      </c>
      <c r="O13" s="9">
        <f t="shared" si="4"/>
        <v>51.2</v>
      </c>
      <c r="P13" t="s">
        <v>195</v>
      </c>
    </row>
    <row r="14" spans="1:16" x14ac:dyDescent="0.2">
      <c r="B14">
        <v>231</v>
      </c>
      <c r="C14" s="3" t="s">
        <v>300</v>
      </c>
      <c r="D14" s="3" t="s">
        <v>78</v>
      </c>
      <c r="E14">
        <v>21</v>
      </c>
      <c r="F14" t="s">
        <v>268</v>
      </c>
      <c r="G14">
        <v>4</v>
      </c>
      <c r="H14" s="9">
        <f t="shared" si="0"/>
        <v>0.4</v>
      </c>
      <c r="I14" t="s">
        <v>38</v>
      </c>
      <c r="J14" s="3" t="str">
        <f t="shared" si="1"/>
        <v>4</v>
      </c>
      <c r="K14" t="s">
        <v>42</v>
      </c>
      <c r="L14" s="10" t="str">
        <f t="shared" si="2"/>
        <v>5</v>
      </c>
      <c r="M14" t="s">
        <v>37</v>
      </c>
      <c r="N14" s="3" t="str">
        <f t="shared" si="3"/>
        <v>0</v>
      </c>
      <c r="O14" s="9">
        <f t="shared" si="4"/>
        <v>51.2</v>
      </c>
      <c r="P14" t="s">
        <v>255</v>
      </c>
    </row>
    <row r="15" spans="1:16" x14ac:dyDescent="0.2">
      <c r="B15">
        <v>281</v>
      </c>
      <c r="C15" s="3">
        <v>14</v>
      </c>
      <c r="D15" s="3" t="s">
        <v>228</v>
      </c>
      <c r="E15">
        <v>12</v>
      </c>
      <c r="F15" t="s">
        <v>276</v>
      </c>
      <c r="G15">
        <v>3</v>
      </c>
      <c r="H15" s="9">
        <f t="shared" si="0"/>
        <v>0.3</v>
      </c>
      <c r="I15" t="s">
        <v>38</v>
      </c>
      <c r="J15" s="3" t="str">
        <f t="shared" si="1"/>
        <v>4</v>
      </c>
      <c r="K15" t="s">
        <v>42</v>
      </c>
      <c r="L15" s="10" t="str">
        <f t="shared" si="2"/>
        <v>5</v>
      </c>
      <c r="M15" t="s">
        <v>37</v>
      </c>
      <c r="N15" s="3" t="str">
        <f t="shared" si="3"/>
        <v>0</v>
      </c>
      <c r="O15" s="9">
        <f t="shared" si="4"/>
        <v>50.9</v>
      </c>
      <c r="P15" t="s">
        <v>192</v>
      </c>
    </row>
    <row r="16" spans="1:16" x14ac:dyDescent="0.2">
      <c r="B16">
        <v>210</v>
      </c>
      <c r="C16" s="3" t="s">
        <v>232</v>
      </c>
      <c r="D16" s="3" t="s">
        <v>254</v>
      </c>
      <c r="E16">
        <v>7</v>
      </c>
      <c r="F16" t="s">
        <v>261</v>
      </c>
      <c r="G16">
        <v>3</v>
      </c>
      <c r="H16" s="9">
        <f t="shared" si="0"/>
        <v>0.3</v>
      </c>
      <c r="I16" t="s">
        <v>38</v>
      </c>
      <c r="J16" s="3" t="str">
        <f t="shared" si="1"/>
        <v>4</v>
      </c>
      <c r="K16" t="s">
        <v>42</v>
      </c>
      <c r="L16" s="10" t="str">
        <f t="shared" si="2"/>
        <v>5</v>
      </c>
      <c r="M16" t="s">
        <v>37</v>
      </c>
      <c r="N16" s="3" t="str">
        <f t="shared" si="3"/>
        <v>0</v>
      </c>
      <c r="O16" s="9">
        <f t="shared" si="4"/>
        <v>50.9</v>
      </c>
      <c r="P16" t="s">
        <v>253</v>
      </c>
    </row>
    <row r="17" spans="2:16" x14ac:dyDescent="0.2">
      <c r="B17">
        <v>175</v>
      </c>
      <c r="C17" s="3" t="s">
        <v>77</v>
      </c>
      <c r="D17" s="3" t="s">
        <v>220</v>
      </c>
      <c r="E17">
        <v>4</v>
      </c>
      <c r="F17" t="s">
        <v>276</v>
      </c>
      <c r="G17">
        <v>3</v>
      </c>
      <c r="H17" s="9">
        <f t="shared" si="0"/>
        <v>0.3</v>
      </c>
      <c r="I17" t="s">
        <v>38</v>
      </c>
      <c r="J17" s="3" t="str">
        <f t="shared" si="1"/>
        <v>4</v>
      </c>
      <c r="K17" t="s">
        <v>42</v>
      </c>
      <c r="L17" s="10" t="str">
        <f t="shared" si="2"/>
        <v>5</v>
      </c>
      <c r="M17" t="s">
        <v>37</v>
      </c>
      <c r="N17" s="3" t="str">
        <f t="shared" si="3"/>
        <v>0</v>
      </c>
      <c r="O17" s="9">
        <f t="shared" si="4"/>
        <v>50.9</v>
      </c>
      <c r="P17" t="s">
        <v>219</v>
      </c>
    </row>
    <row r="18" spans="2:16" x14ac:dyDescent="0.2">
      <c r="B18">
        <v>318</v>
      </c>
      <c r="C18" s="3" t="s">
        <v>238</v>
      </c>
      <c r="D18" s="3" t="s">
        <v>78</v>
      </c>
      <c r="E18">
        <v>12</v>
      </c>
      <c r="F18" t="s">
        <v>276</v>
      </c>
      <c r="G18">
        <v>2</v>
      </c>
      <c r="H18" s="9">
        <f t="shared" si="0"/>
        <v>0.2</v>
      </c>
      <c r="I18" t="s">
        <v>38</v>
      </c>
      <c r="J18" s="3" t="str">
        <f t="shared" si="1"/>
        <v>4</v>
      </c>
      <c r="K18" t="s">
        <v>42</v>
      </c>
      <c r="L18" s="10" t="str">
        <f t="shared" si="2"/>
        <v>5</v>
      </c>
      <c r="M18" t="s">
        <v>37</v>
      </c>
      <c r="N18" s="3" t="str">
        <f t="shared" si="3"/>
        <v>0</v>
      </c>
      <c r="O18" s="9">
        <f t="shared" si="4"/>
        <v>50.6</v>
      </c>
      <c r="P18" t="s">
        <v>256</v>
      </c>
    </row>
    <row r="19" spans="2:16" x14ac:dyDescent="0.2">
      <c r="B19">
        <v>255</v>
      </c>
      <c r="C19" s="3" t="s">
        <v>184</v>
      </c>
      <c r="D19" s="3" t="s">
        <v>194</v>
      </c>
      <c r="E19">
        <v>15</v>
      </c>
      <c r="F19" t="s">
        <v>24</v>
      </c>
      <c r="G19">
        <v>2</v>
      </c>
      <c r="H19" s="9">
        <f t="shared" si="0"/>
        <v>0.2</v>
      </c>
      <c r="I19" t="s">
        <v>38</v>
      </c>
      <c r="J19" s="3" t="str">
        <f t="shared" si="1"/>
        <v>4</v>
      </c>
      <c r="K19" t="s">
        <v>42</v>
      </c>
      <c r="L19" s="10" t="str">
        <f t="shared" si="2"/>
        <v>5</v>
      </c>
      <c r="M19" t="s">
        <v>37</v>
      </c>
      <c r="N19" s="3" t="str">
        <f t="shared" si="3"/>
        <v>0</v>
      </c>
      <c r="O19" s="9">
        <f t="shared" si="4"/>
        <v>50.6</v>
      </c>
      <c r="P19" t="s">
        <v>192</v>
      </c>
    </row>
    <row r="20" spans="2:16" x14ac:dyDescent="0.2">
      <c r="B20">
        <v>257</v>
      </c>
      <c r="C20" s="3" t="s">
        <v>184</v>
      </c>
      <c r="D20" s="3" t="s">
        <v>78</v>
      </c>
      <c r="E20">
        <v>17</v>
      </c>
      <c r="F20" t="s">
        <v>263</v>
      </c>
      <c r="G20">
        <v>2</v>
      </c>
      <c r="H20" s="9">
        <f t="shared" si="0"/>
        <v>0.2</v>
      </c>
      <c r="I20" t="s">
        <v>38</v>
      </c>
      <c r="J20" s="3" t="str">
        <f t="shared" si="1"/>
        <v>4</v>
      </c>
      <c r="K20" t="s">
        <v>42</v>
      </c>
      <c r="L20" s="10" t="str">
        <f t="shared" si="2"/>
        <v>5</v>
      </c>
      <c r="M20" t="s">
        <v>37</v>
      </c>
      <c r="N20" s="3" t="str">
        <f t="shared" si="3"/>
        <v>0</v>
      </c>
      <c r="O20" s="9">
        <f t="shared" si="4"/>
        <v>50.6</v>
      </c>
      <c r="P20" t="s">
        <v>192</v>
      </c>
    </row>
    <row r="21" spans="2:16" x14ac:dyDescent="0.2">
      <c r="B21">
        <v>260</v>
      </c>
      <c r="C21" s="3" t="s">
        <v>199</v>
      </c>
      <c r="D21" s="3" t="s">
        <v>78</v>
      </c>
      <c r="E21">
        <v>6</v>
      </c>
      <c r="F21" t="s">
        <v>263</v>
      </c>
      <c r="G21">
        <v>2</v>
      </c>
      <c r="H21" s="9">
        <f t="shared" si="0"/>
        <v>0.2</v>
      </c>
      <c r="I21" t="s">
        <v>38</v>
      </c>
      <c r="J21" s="3" t="str">
        <f t="shared" si="1"/>
        <v>4</v>
      </c>
      <c r="K21" t="s">
        <v>42</v>
      </c>
      <c r="L21" s="10" t="str">
        <f t="shared" si="2"/>
        <v>5</v>
      </c>
      <c r="M21" t="s">
        <v>37</v>
      </c>
      <c r="N21" s="3" t="str">
        <f t="shared" si="3"/>
        <v>0</v>
      </c>
      <c r="O21" s="9">
        <f t="shared" si="4"/>
        <v>50.6</v>
      </c>
      <c r="P21" t="s">
        <v>192</v>
      </c>
    </row>
    <row r="22" spans="2:16" x14ac:dyDescent="0.2">
      <c r="B22">
        <v>133</v>
      </c>
      <c r="C22" s="3" t="s">
        <v>164</v>
      </c>
      <c r="D22" s="3" t="s">
        <v>78</v>
      </c>
      <c r="E22">
        <v>52</v>
      </c>
      <c r="F22" t="s">
        <v>298</v>
      </c>
      <c r="G22">
        <v>2</v>
      </c>
      <c r="H22" s="9">
        <f t="shared" si="0"/>
        <v>0.2</v>
      </c>
      <c r="I22" t="s">
        <v>38</v>
      </c>
      <c r="J22" s="3" t="str">
        <f t="shared" si="1"/>
        <v>4</v>
      </c>
      <c r="K22" t="s">
        <v>42</v>
      </c>
      <c r="L22" s="10" t="str">
        <f t="shared" si="2"/>
        <v>5</v>
      </c>
      <c r="M22" t="s">
        <v>37</v>
      </c>
      <c r="N22" s="3" t="str">
        <f t="shared" si="3"/>
        <v>0</v>
      </c>
      <c r="O22" s="9">
        <f t="shared" si="4"/>
        <v>50.6</v>
      </c>
      <c r="P22" t="s">
        <v>166</v>
      </c>
    </row>
    <row r="23" spans="2:16" x14ac:dyDescent="0.2">
      <c r="B23">
        <v>262</v>
      </c>
      <c r="C23" s="3" t="s">
        <v>199</v>
      </c>
      <c r="D23" s="3" t="s">
        <v>78</v>
      </c>
      <c r="E23">
        <v>8</v>
      </c>
      <c r="F23" t="s">
        <v>288</v>
      </c>
      <c r="G23">
        <v>1</v>
      </c>
      <c r="H23" s="9">
        <f t="shared" si="0"/>
        <v>0.1</v>
      </c>
      <c r="I23" t="s">
        <v>38</v>
      </c>
      <c r="J23" s="3" t="str">
        <f t="shared" si="1"/>
        <v>4</v>
      </c>
      <c r="K23" t="s">
        <v>42</v>
      </c>
      <c r="L23" s="10" t="str">
        <f t="shared" si="2"/>
        <v>5</v>
      </c>
      <c r="M23" t="s">
        <v>37</v>
      </c>
      <c r="N23" s="3" t="str">
        <f t="shared" si="3"/>
        <v>0</v>
      </c>
      <c r="O23" s="9">
        <f t="shared" si="4"/>
        <v>50.3</v>
      </c>
      <c r="P23" t="s">
        <v>192</v>
      </c>
    </row>
    <row r="24" spans="2:16" x14ac:dyDescent="0.2">
      <c r="B24">
        <v>298</v>
      </c>
      <c r="C24" s="3">
        <v>22</v>
      </c>
      <c r="D24" s="3" t="s">
        <v>78</v>
      </c>
      <c r="E24">
        <v>19</v>
      </c>
      <c r="F24" t="s">
        <v>263</v>
      </c>
      <c r="G24">
        <v>3</v>
      </c>
      <c r="H24" s="9">
        <f t="shared" si="0"/>
        <v>0.3</v>
      </c>
      <c r="I24" t="s">
        <v>25</v>
      </c>
      <c r="J24" s="3" t="str">
        <f t="shared" si="1"/>
        <v>3</v>
      </c>
      <c r="K24" t="s">
        <v>42</v>
      </c>
      <c r="L24" s="10" t="str">
        <f t="shared" si="2"/>
        <v>5</v>
      </c>
      <c r="M24" t="s">
        <v>37</v>
      </c>
      <c r="N24" s="3" t="str">
        <f t="shared" si="3"/>
        <v>0</v>
      </c>
      <c r="O24" s="9">
        <f t="shared" si="4"/>
        <v>45.9</v>
      </c>
      <c r="P24" t="s">
        <v>195</v>
      </c>
    </row>
    <row r="25" spans="2:16" x14ac:dyDescent="0.2">
      <c r="B25">
        <v>177</v>
      </c>
      <c r="C25" s="3">
        <v>26</v>
      </c>
      <c r="D25" s="3" t="s">
        <v>223</v>
      </c>
      <c r="E25">
        <v>2</v>
      </c>
      <c r="F25" t="s">
        <v>267</v>
      </c>
      <c r="G25">
        <v>2</v>
      </c>
      <c r="H25" s="9">
        <f t="shared" si="0"/>
        <v>0.2</v>
      </c>
      <c r="I25" t="s">
        <v>25</v>
      </c>
      <c r="J25" s="3" t="str">
        <f t="shared" si="1"/>
        <v>3</v>
      </c>
      <c r="K25" t="s">
        <v>42</v>
      </c>
      <c r="L25" s="10" t="str">
        <f t="shared" si="2"/>
        <v>5</v>
      </c>
      <c r="M25" t="s">
        <v>37</v>
      </c>
      <c r="N25" s="3" t="str">
        <f t="shared" si="3"/>
        <v>0</v>
      </c>
      <c r="O25" s="9">
        <f t="shared" si="4"/>
        <v>45.6</v>
      </c>
      <c r="P25" t="s">
        <v>221</v>
      </c>
    </row>
    <row r="26" spans="2:16" x14ac:dyDescent="0.2">
      <c r="B26">
        <v>261</v>
      </c>
      <c r="C26" s="3" t="s">
        <v>199</v>
      </c>
      <c r="D26" s="3" t="s">
        <v>200</v>
      </c>
      <c r="E26">
        <v>7</v>
      </c>
      <c r="F26" t="s">
        <v>265</v>
      </c>
      <c r="G26">
        <v>1</v>
      </c>
      <c r="H26" s="9">
        <f t="shared" si="0"/>
        <v>0.1</v>
      </c>
      <c r="I26" t="s">
        <v>25</v>
      </c>
      <c r="J26" s="3" t="str">
        <f t="shared" si="1"/>
        <v>3</v>
      </c>
      <c r="K26" t="s">
        <v>42</v>
      </c>
      <c r="L26" s="10" t="str">
        <f t="shared" si="2"/>
        <v>5</v>
      </c>
      <c r="M26" t="s">
        <v>37</v>
      </c>
      <c r="N26" s="3" t="str">
        <f t="shared" si="3"/>
        <v>0</v>
      </c>
      <c r="O26" s="9">
        <f t="shared" si="4"/>
        <v>45.3</v>
      </c>
      <c r="P26" t="s">
        <v>192</v>
      </c>
    </row>
    <row r="27" spans="2:16" x14ac:dyDescent="0.2">
      <c r="B27">
        <v>299</v>
      </c>
      <c r="C27" s="3">
        <v>22</v>
      </c>
      <c r="D27" s="3" t="s">
        <v>78</v>
      </c>
      <c r="E27">
        <v>20</v>
      </c>
      <c r="F27" t="s">
        <v>299</v>
      </c>
      <c r="G27">
        <v>6</v>
      </c>
      <c r="H27" s="9">
        <f t="shared" si="0"/>
        <v>0.6</v>
      </c>
      <c r="I27" t="s">
        <v>31</v>
      </c>
      <c r="J27" s="3" t="str">
        <f t="shared" si="1"/>
        <v>2</v>
      </c>
      <c r="K27" t="s">
        <v>42</v>
      </c>
      <c r="L27" s="10" t="str">
        <f t="shared" si="2"/>
        <v>5</v>
      </c>
      <c r="M27" t="s">
        <v>37</v>
      </c>
      <c r="N27" s="3" t="str">
        <f t="shared" si="3"/>
        <v>0</v>
      </c>
      <c r="O27" s="9">
        <f t="shared" si="4"/>
        <v>41.8</v>
      </c>
      <c r="P27" t="s">
        <v>236</v>
      </c>
    </row>
    <row r="28" spans="2:16" x14ac:dyDescent="0.2">
      <c r="B28">
        <v>300</v>
      </c>
      <c r="C28" s="3">
        <v>22</v>
      </c>
      <c r="D28" s="3" t="s">
        <v>78</v>
      </c>
      <c r="E28">
        <v>21</v>
      </c>
      <c r="F28" t="s">
        <v>299</v>
      </c>
      <c r="G28">
        <v>6</v>
      </c>
      <c r="H28" s="9">
        <f t="shared" si="0"/>
        <v>0.6</v>
      </c>
      <c r="I28" t="s">
        <v>31</v>
      </c>
      <c r="J28" s="3" t="str">
        <f t="shared" si="1"/>
        <v>2</v>
      </c>
      <c r="K28" t="s">
        <v>42</v>
      </c>
      <c r="L28" s="10" t="str">
        <f t="shared" si="2"/>
        <v>5</v>
      </c>
      <c r="M28" t="s">
        <v>37</v>
      </c>
      <c r="N28" s="3" t="str">
        <f t="shared" si="3"/>
        <v>0</v>
      </c>
      <c r="O28" s="9">
        <f t="shared" si="4"/>
        <v>41.8</v>
      </c>
      <c r="P28" t="s">
        <v>236</v>
      </c>
    </row>
    <row r="29" spans="2:16" x14ac:dyDescent="0.2">
      <c r="B29">
        <v>302</v>
      </c>
      <c r="C29" s="3">
        <v>22</v>
      </c>
      <c r="D29" s="3" t="s">
        <v>78</v>
      </c>
      <c r="E29">
        <v>23</v>
      </c>
      <c r="F29" t="s">
        <v>299</v>
      </c>
      <c r="G29">
        <v>6</v>
      </c>
      <c r="H29" s="9">
        <f t="shared" si="0"/>
        <v>0.6</v>
      </c>
      <c r="I29" t="s">
        <v>31</v>
      </c>
      <c r="J29" s="3" t="str">
        <f t="shared" si="1"/>
        <v>2</v>
      </c>
      <c r="K29" t="s">
        <v>42</v>
      </c>
      <c r="L29" s="10" t="str">
        <f t="shared" si="2"/>
        <v>5</v>
      </c>
      <c r="M29" t="s">
        <v>37</v>
      </c>
      <c r="N29" s="3" t="str">
        <f t="shared" si="3"/>
        <v>0</v>
      </c>
      <c r="O29" s="9">
        <f t="shared" si="4"/>
        <v>41.8</v>
      </c>
      <c r="P29" t="s">
        <v>236</v>
      </c>
    </row>
    <row r="30" spans="2:16" x14ac:dyDescent="0.2">
      <c r="B30">
        <v>304</v>
      </c>
      <c r="C30" s="3">
        <v>22</v>
      </c>
      <c r="D30" s="3" t="s">
        <v>78</v>
      </c>
      <c r="E30">
        <v>25</v>
      </c>
      <c r="F30" t="s">
        <v>299</v>
      </c>
      <c r="G30">
        <v>5</v>
      </c>
      <c r="H30" s="9">
        <f t="shared" si="0"/>
        <v>0.5</v>
      </c>
      <c r="I30" t="s">
        <v>31</v>
      </c>
      <c r="J30" s="3" t="str">
        <f t="shared" si="1"/>
        <v>2</v>
      </c>
      <c r="K30" t="s">
        <v>42</v>
      </c>
      <c r="L30" s="10" t="str">
        <f t="shared" si="2"/>
        <v>5</v>
      </c>
      <c r="M30" t="s">
        <v>37</v>
      </c>
      <c r="N30" s="3" t="str">
        <f t="shared" si="3"/>
        <v>0</v>
      </c>
      <c r="O30" s="9">
        <f t="shared" si="4"/>
        <v>41.5</v>
      </c>
      <c r="P30" t="s">
        <v>237</v>
      </c>
    </row>
    <row r="31" spans="2:16" x14ac:dyDescent="0.2">
      <c r="B31">
        <v>305</v>
      </c>
      <c r="C31" s="3">
        <v>22</v>
      </c>
      <c r="D31" s="3" t="s">
        <v>78</v>
      </c>
      <c r="E31">
        <v>26</v>
      </c>
      <c r="F31" t="s">
        <v>299</v>
      </c>
      <c r="G31">
        <v>5</v>
      </c>
      <c r="H31" s="9">
        <f t="shared" si="0"/>
        <v>0.5</v>
      </c>
      <c r="I31" t="s">
        <v>31</v>
      </c>
      <c r="J31" s="3" t="str">
        <f t="shared" si="1"/>
        <v>2</v>
      </c>
      <c r="K31" t="s">
        <v>42</v>
      </c>
      <c r="L31" s="10" t="str">
        <f t="shared" si="2"/>
        <v>5</v>
      </c>
      <c r="M31" t="s">
        <v>37</v>
      </c>
      <c r="N31" s="3" t="str">
        <f t="shared" si="3"/>
        <v>0</v>
      </c>
      <c r="O31" s="9">
        <f t="shared" si="4"/>
        <v>41.5</v>
      </c>
      <c r="P31" t="s">
        <v>237</v>
      </c>
    </row>
    <row r="32" spans="2:16" x14ac:dyDescent="0.2">
      <c r="B32">
        <v>296</v>
      </c>
      <c r="C32" s="3">
        <v>22</v>
      </c>
      <c r="D32" s="3" t="s">
        <v>78</v>
      </c>
      <c r="E32">
        <v>17</v>
      </c>
      <c r="F32" t="s">
        <v>272</v>
      </c>
      <c r="G32">
        <v>3</v>
      </c>
      <c r="H32" s="9">
        <f t="shared" si="0"/>
        <v>0.3</v>
      </c>
      <c r="I32" t="s">
        <v>31</v>
      </c>
      <c r="J32" s="3" t="str">
        <f t="shared" si="1"/>
        <v>2</v>
      </c>
      <c r="K32" t="s">
        <v>42</v>
      </c>
      <c r="L32" s="10" t="str">
        <f t="shared" si="2"/>
        <v>5</v>
      </c>
      <c r="M32" t="s">
        <v>37</v>
      </c>
      <c r="N32" s="3" t="str">
        <f t="shared" si="3"/>
        <v>0</v>
      </c>
      <c r="O32" s="9">
        <f t="shared" si="4"/>
        <v>40.9</v>
      </c>
      <c r="P32" t="s">
        <v>195</v>
      </c>
    </row>
    <row r="33" spans="2:16" x14ac:dyDescent="0.2">
      <c r="B33">
        <v>75</v>
      </c>
      <c r="C33" s="3">
        <v>10</v>
      </c>
      <c r="D33" s="3" t="s">
        <v>149</v>
      </c>
      <c r="E33">
        <v>1</v>
      </c>
      <c r="F33" t="s">
        <v>290</v>
      </c>
      <c r="G33">
        <v>36</v>
      </c>
      <c r="H33" s="9">
        <f t="shared" si="0"/>
        <v>3.6</v>
      </c>
      <c r="I33" t="s">
        <v>25</v>
      </c>
      <c r="J33" s="3" t="str">
        <f t="shared" si="1"/>
        <v>3</v>
      </c>
      <c r="K33" t="s">
        <v>26</v>
      </c>
      <c r="L33" s="10" t="str">
        <f t="shared" si="2"/>
        <v>2</v>
      </c>
      <c r="M33" t="s">
        <v>37</v>
      </c>
      <c r="N33" s="3" t="str">
        <f t="shared" si="3"/>
        <v>0</v>
      </c>
      <c r="O33" s="9">
        <f t="shared" si="4"/>
        <v>37.799999999999997</v>
      </c>
      <c r="P33" t="s">
        <v>40</v>
      </c>
    </row>
    <row r="34" spans="2:16" x14ac:dyDescent="0.2">
      <c r="B34">
        <v>3</v>
      </c>
      <c r="C34" s="3">
        <v>22</v>
      </c>
      <c r="D34" s="3" t="s">
        <v>85</v>
      </c>
      <c r="E34">
        <v>2</v>
      </c>
      <c r="F34" t="s">
        <v>284</v>
      </c>
      <c r="G34">
        <v>12</v>
      </c>
      <c r="H34" s="9">
        <f t="shared" si="0"/>
        <v>1.2</v>
      </c>
      <c r="I34" t="s">
        <v>31</v>
      </c>
      <c r="J34" s="3" t="str">
        <f t="shared" si="1"/>
        <v>2</v>
      </c>
      <c r="K34" t="s">
        <v>35</v>
      </c>
      <c r="L34" s="10" t="str">
        <f t="shared" si="2"/>
        <v>4</v>
      </c>
      <c r="M34" t="s">
        <v>37</v>
      </c>
      <c r="N34" s="3" t="str">
        <f t="shared" si="3"/>
        <v>0</v>
      </c>
      <c r="O34" s="9">
        <f t="shared" si="4"/>
        <v>37.6</v>
      </c>
      <c r="P34" t="s">
        <v>81</v>
      </c>
    </row>
    <row r="35" spans="2:16" x14ac:dyDescent="0.2">
      <c r="B35">
        <v>61</v>
      </c>
      <c r="C35" s="3">
        <v>2</v>
      </c>
      <c r="D35" s="3" t="s">
        <v>127</v>
      </c>
      <c r="E35">
        <v>2</v>
      </c>
      <c r="F35" t="s">
        <v>273</v>
      </c>
      <c r="G35">
        <v>14</v>
      </c>
      <c r="H35" s="9">
        <f t="shared" si="0"/>
        <v>1.4</v>
      </c>
      <c r="I35" t="s">
        <v>31</v>
      </c>
      <c r="J35" s="3" t="str">
        <f t="shared" si="1"/>
        <v>2</v>
      </c>
      <c r="K35" t="s">
        <v>26</v>
      </c>
      <c r="L35" s="10" t="str">
        <f t="shared" si="2"/>
        <v>2</v>
      </c>
      <c r="M35" t="s">
        <v>34</v>
      </c>
      <c r="N35" s="3" t="str">
        <f t="shared" si="3"/>
        <v>1</v>
      </c>
      <c r="O35" s="9">
        <f t="shared" si="4"/>
        <v>36.200000000000003</v>
      </c>
    </row>
    <row r="36" spans="2:16" x14ac:dyDescent="0.2">
      <c r="B36">
        <v>7</v>
      </c>
      <c r="C36" s="3">
        <v>21</v>
      </c>
      <c r="D36" s="3" t="s">
        <v>90</v>
      </c>
      <c r="E36">
        <v>6</v>
      </c>
      <c r="F36" t="s">
        <v>285</v>
      </c>
      <c r="G36">
        <v>6</v>
      </c>
      <c r="H36" s="9">
        <f t="shared" si="0"/>
        <v>0.6</v>
      </c>
      <c r="I36" t="s">
        <v>31</v>
      </c>
      <c r="J36" s="3" t="str">
        <f t="shared" si="1"/>
        <v>2</v>
      </c>
      <c r="K36" t="s">
        <v>35</v>
      </c>
      <c r="L36" s="10" t="str">
        <f t="shared" si="2"/>
        <v>4</v>
      </c>
      <c r="M36" t="s">
        <v>37</v>
      </c>
      <c r="N36" s="3" t="str">
        <f t="shared" si="3"/>
        <v>0</v>
      </c>
      <c r="O36" s="9">
        <f t="shared" si="4"/>
        <v>35.799999999999997</v>
      </c>
    </row>
    <row r="37" spans="2:16" x14ac:dyDescent="0.2">
      <c r="B37">
        <v>79</v>
      </c>
      <c r="C37" s="3">
        <v>10</v>
      </c>
      <c r="D37" s="3" t="s">
        <v>154</v>
      </c>
      <c r="E37">
        <v>2</v>
      </c>
      <c r="F37" t="s">
        <v>290</v>
      </c>
      <c r="G37">
        <v>10</v>
      </c>
      <c r="H37" s="9">
        <f t="shared" si="0"/>
        <v>1</v>
      </c>
      <c r="I37" t="s">
        <v>31</v>
      </c>
      <c r="J37" s="3" t="str">
        <f t="shared" si="1"/>
        <v>2</v>
      </c>
      <c r="K37" t="s">
        <v>26</v>
      </c>
      <c r="L37" s="10" t="str">
        <f t="shared" si="2"/>
        <v>2</v>
      </c>
      <c r="M37" t="s">
        <v>34</v>
      </c>
      <c r="N37" s="3" t="str">
        <f t="shared" si="3"/>
        <v>1</v>
      </c>
      <c r="O37" s="9">
        <f t="shared" si="4"/>
        <v>35</v>
      </c>
    </row>
    <row r="38" spans="2:16" x14ac:dyDescent="0.2">
      <c r="B38">
        <v>150</v>
      </c>
      <c r="C38" s="3" t="s">
        <v>77</v>
      </c>
      <c r="D38" s="3" t="s">
        <v>78</v>
      </c>
      <c r="E38">
        <v>3</v>
      </c>
      <c r="F38" t="s">
        <v>297</v>
      </c>
      <c r="G38">
        <v>40</v>
      </c>
      <c r="H38" s="9">
        <f t="shared" si="0"/>
        <v>4</v>
      </c>
      <c r="I38" t="s">
        <v>31</v>
      </c>
      <c r="J38" s="3" t="str">
        <f t="shared" si="1"/>
        <v>2</v>
      </c>
      <c r="K38" t="s">
        <v>26</v>
      </c>
      <c r="L38" s="10" t="str">
        <f t="shared" si="2"/>
        <v>2</v>
      </c>
      <c r="M38" t="s">
        <v>37</v>
      </c>
      <c r="N38" s="3" t="str">
        <f t="shared" si="3"/>
        <v>0</v>
      </c>
      <c r="O38" s="9">
        <f t="shared" si="4"/>
        <v>34</v>
      </c>
    </row>
    <row r="39" spans="2:16" x14ac:dyDescent="0.2">
      <c r="B39">
        <v>151</v>
      </c>
      <c r="C39" s="3" t="s">
        <v>77</v>
      </c>
      <c r="D39" s="3" t="s">
        <v>78</v>
      </c>
      <c r="E39">
        <v>4</v>
      </c>
      <c r="F39" t="s">
        <v>297</v>
      </c>
      <c r="G39">
        <v>40</v>
      </c>
      <c r="H39" s="9">
        <f t="shared" si="0"/>
        <v>4</v>
      </c>
      <c r="I39" t="s">
        <v>31</v>
      </c>
      <c r="J39" s="3" t="str">
        <f t="shared" si="1"/>
        <v>2</v>
      </c>
      <c r="K39" t="s">
        <v>26</v>
      </c>
      <c r="L39" s="10" t="str">
        <f t="shared" si="2"/>
        <v>2</v>
      </c>
      <c r="M39" t="s">
        <v>37</v>
      </c>
      <c r="N39" s="3" t="str">
        <f t="shared" si="3"/>
        <v>0</v>
      </c>
      <c r="O39" s="9">
        <f t="shared" si="4"/>
        <v>34</v>
      </c>
    </row>
    <row r="40" spans="2:16" x14ac:dyDescent="0.2">
      <c r="B40">
        <v>46</v>
      </c>
      <c r="C40" s="3">
        <v>21</v>
      </c>
      <c r="D40" s="3">
        <v>1060</v>
      </c>
      <c r="E40">
        <v>45</v>
      </c>
      <c r="F40" t="s">
        <v>268</v>
      </c>
      <c r="G40">
        <v>5</v>
      </c>
      <c r="H40" s="9">
        <f t="shared" si="0"/>
        <v>0.5</v>
      </c>
      <c r="I40" t="s">
        <v>31</v>
      </c>
      <c r="J40" s="3" t="str">
        <f t="shared" si="1"/>
        <v>2</v>
      </c>
      <c r="K40" t="s">
        <v>26</v>
      </c>
      <c r="L40" s="10" t="str">
        <f t="shared" si="2"/>
        <v>2</v>
      </c>
      <c r="M40" t="s">
        <v>34</v>
      </c>
      <c r="N40" s="3" t="str">
        <f t="shared" si="3"/>
        <v>1</v>
      </c>
      <c r="O40" s="9">
        <f t="shared" si="4"/>
        <v>33.5</v>
      </c>
    </row>
    <row r="41" spans="2:16" x14ac:dyDescent="0.2">
      <c r="B41">
        <v>267</v>
      </c>
      <c r="C41" s="3" t="s">
        <v>202</v>
      </c>
      <c r="D41" s="3" t="s">
        <v>206</v>
      </c>
      <c r="E41">
        <v>5</v>
      </c>
      <c r="F41" t="s">
        <v>276</v>
      </c>
      <c r="G41">
        <v>5</v>
      </c>
      <c r="H41" s="9">
        <f t="shared" si="0"/>
        <v>0.5</v>
      </c>
      <c r="I41" t="s">
        <v>31</v>
      </c>
      <c r="J41" s="3" t="str">
        <f t="shared" si="1"/>
        <v>2</v>
      </c>
      <c r="K41" t="s">
        <v>26</v>
      </c>
      <c r="L41" s="10" t="str">
        <f t="shared" si="2"/>
        <v>2</v>
      </c>
      <c r="M41" t="s">
        <v>34</v>
      </c>
      <c r="N41" s="3" t="str">
        <f t="shared" si="3"/>
        <v>1</v>
      </c>
      <c r="O41" s="9">
        <f t="shared" si="4"/>
        <v>33.5</v>
      </c>
    </row>
    <row r="42" spans="2:16" x14ac:dyDescent="0.2">
      <c r="B42">
        <v>11</v>
      </c>
      <c r="C42" s="3">
        <v>21</v>
      </c>
      <c r="D42" s="3" t="s">
        <v>95</v>
      </c>
      <c r="E42">
        <v>9</v>
      </c>
      <c r="F42" t="s">
        <v>290</v>
      </c>
      <c r="G42">
        <v>20</v>
      </c>
      <c r="H42" s="9">
        <f t="shared" si="0"/>
        <v>2</v>
      </c>
      <c r="I42" t="s">
        <v>25</v>
      </c>
      <c r="J42" s="3" t="str">
        <f t="shared" si="1"/>
        <v>3</v>
      </c>
      <c r="K42" t="s">
        <v>26</v>
      </c>
      <c r="L42" s="10" t="str">
        <f t="shared" si="2"/>
        <v>2</v>
      </c>
      <c r="M42" t="s">
        <v>37</v>
      </c>
      <c r="N42" s="3" t="str">
        <f t="shared" si="3"/>
        <v>0</v>
      </c>
      <c r="O42" s="9">
        <f t="shared" si="4"/>
        <v>33</v>
      </c>
    </row>
    <row r="43" spans="2:16" x14ac:dyDescent="0.2">
      <c r="B43">
        <v>184</v>
      </c>
      <c r="C43" s="3">
        <v>16</v>
      </c>
      <c r="D43" s="3" t="s">
        <v>240</v>
      </c>
      <c r="E43">
        <v>2</v>
      </c>
      <c r="F43" t="s">
        <v>294</v>
      </c>
      <c r="G43">
        <v>36</v>
      </c>
      <c r="H43" s="9">
        <f t="shared" si="0"/>
        <v>3.6</v>
      </c>
      <c r="I43" t="s">
        <v>31</v>
      </c>
      <c r="J43" s="3" t="str">
        <f t="shared" si="1"/>
        <v>2</v>
      </c>
      <c r="K43" t="s">
        <v>26</v>
      </c>
      <c r="L43" s="10" t="str">
        <f t="shared" si="2"/>
        <v>2</v>
      </c>
      <c r="M43" t="s">
        <v>37</v>
      </c>
      <c r="N43" s="3" t="str">
        <f t="shared" si="3"/>
        <v>0</v>
      </c>
      <c r="O43" s="9">
        <f t="shared" si="4"/>
        <v>32.799999999999997</v>
      </c>
    </row>
    <row r="44" spans="2:16" x14ac:dyDescent="0.2">
      <c r="B44">
        <v>172</v>
      </c>
      <c r="C44" s="3" t="s">
        <v>174</v>
      </c>
      <c r="D44" s="3" t="s">
        <v>78</v>
      </c>
      <c r="E44">
        <v>16</v>
      </c>
      <c r="F44" t="s">
        <v>295</v>
      </c>
      <c r="G44">
        <v>32</v>
      </c>
      <c r="H44" s="9">
        <f t="shared" si="0"/>
        <v>3.2</v>
      </c>
      <c r="I44" t="s">
        <v>31</v>
      </c>
      <c r="J44" s="3" t="str">
        <f t="shared" si="1"/>
        <v>2</v>
      </c>
      <c r="K44" t="s">
        <v>26</v>
      </c>
      <c r="L44" s="10" t="str">
        <f t="shared" si="2"/>
        <v>2</v>
      </c>
      <c r="M44" t="s">
        <v>37</v>
      </c>
      <c r="N44" s="3" t="str">
        <f t="shared" si="3"/>
        <v>0</v>
      </c>
      <c r="O44" s="9">
        <f t="shared" si="4"/>
        <v>31.6</v>
      </c>
    </row>
    <row r="45" spans="2:16" x14ac:dyDescent="0.2">
      <c r="B45">
        <v>6</v>
      </c>
      <c r="C45" s="3">
        <v>21</v>
      </c>
      <c r="D45" s="3" t="s">
        <v>89</v>
      </c>
      <c r="E45">
        <v>5</v>
      </c>
      <c r="F45" t="s">
        <v>285</v>
      </c>
      <c r="G45">
        <v>8</v>
      </c>
      <c r="H45" s="9">
        <f t="shared" si="0"/>
        <v>0.8</v>
      </c>
      <c r="I45" t="s">
        <v>52</v>
      </c>
      <c r="J45" s="3" t="str">
        <f t="shared" si="1"/>
        <v>1</v>
      </c>
      <c r="K45" t="s">
        <v>35</v>
      </c>
      <c r="L45" s="10" t="str">
        <f t="shared" si="2"/>
        <v>4</v>
      </c>
      <c r="M45" t="s">
        <v>37</v>
      </c>
      <c r="N45" s="3" t="str">
        <f t="shared" si="3"/>
        <v>0</v>
      </c>
      <c r="O45" s="9">
        <f t="shared" si="4"/>
        <v>31.4</v>
      </c>
    </row>
    <row r="46" spans="2:16" x14ac:dyDescent="0.2">
      <c r="B46">
        <v>80</v>
      </c>
      <c r="C46" s="3">
        <v>10</v>
      </c>
      <c r="D46" s="3" t="s">
        <v>156</v>
      </c>
      <c r="E46">
        <v>1</v>
      </c>
      <c r="F46" t="s">
        <v>290</v>
      </c>
      <c r="G46">
        <v>14</v>
      </c>
      <c r="H46" s="9">
        <f t="shared" si="0"/>
        <v>1.4</v>
      </c>
      <c r="I46" t="s">
        <v>25</v>
      </c>
      <c r="J46" s="3" t="str">
        <f t="shared" si="1"/>
        <v>3</v>
      </c>
      <c r="K46" t="s">
        <v>26</v>
      </c>
      <c r="L46" s="10" t="str">
        <f t="shared" si="2"/>
        <v>2</v>
      </c>
      <c r="M46" t="s">
        <v>37</v>
      </c>
      <c r="N46" s="3" t="str">
        <f t="shared" si="3"/>
        <v>0</v>
      </c>
      <c r="O46" s="9">
        <f t="shared" si="4"/>
        <v>31.2</v>
      </c>
      <c r="P46" t="s">
        <v>155</v>
      </c>
    </row>
    <row r="47" spans="2:16" x14ac:dyDescent="0.2">
      <c r="B47">
        <v>155</v>
      </c>
      <c r="C47" s="3" t="s">
        <v>77</v>
      </c>
      <c r="D47" s="3" t="s">
        <v>78</v>
      </c>
      <c r="E47">
        <v>8</v>
      </c>
      <c r="F47" t="s">
        <v>270</v>
      </c>
      <c r="G47">
        <v>12</v>
      </c>
      <c r="H47" s="9">
        <f t="shared" si="0"/>
        <v>1.2</v>
      </c>
      <c r="I47" t="s">
        <v>25</v>
      </c>
      <c r="J47" s="3" t="str">
        <f t="shared" si="1"/>
        <v>3</v>
      </c>
      <c r="K47" t="s">
        <v>26</v>
      </c>
      <c r="L47" s="10" t="str">
        <f t="shared" si="2"/>
        <v>2</v>
      </c>
      <c r="M47" t="s">
        <v>37</v>
      </c>
      <c r="N47" s="3" t="str">
        <f t="shared" si="3"/>
        <v>0</v>
      </c>
      <c r="O47" s="9">
        <f t="shared" si="4"/>
        <v>30.6</v>
      </c>
      <c r="P47" t="s">
        <v>172</v>
      </c>
    </row>
    <row r="48" spans="2:16" x14ac:dyDescent="0.2">
      <c r="B48">
        <v>183</v>
      </c>
      <c r="C48" s="3">
        <v>16</v>
      </c>
      <c r="D48" s="3" t="s">
        <v>239</v>
      </c>
      <c r="E48">
        <v>1</v>
      </c>
      <c r="F48" t="s">
        <v>297</v>
      </c>
      <c r="G48">
        <v>45</v>
      </c>
      <c r="H48" s="9">
        <f t="shared" si="0"/>
        <v>4.5</v>
      </c>
      <c r="I48" t="s">
        <v>52</v>
      </c>
      <c r="J48" s="3" t="str">
        <f t="shared" si="1"/>
        <v>1</v>
      </c>
      <c r="K48" t="s">
        <v>26</v>
      </c>
      <c r="L48" s="10" t="str">
        <f t="shared" si="2"/>
        <v>2</v>
      </c>
      <c r="M48" t="s">
        <v>37</v>
      </c>
      <c r="N48" s="3" t="str">
        <f t="shared" si="3"/>
        <v>0</v>
      </c>
      <c r="O48" s="9">
        <f t="shared" si="4"/>
        <v>30.5</v>
      </c>
    </row>
    <row r="49" spans="2:16" x14ac:dyDescent="0.2">
      <c r="B49">
        <v>1</v>
      </c>
      <c r="C49" s="3" t="s">
        <v>77</v>
      </c>
      <c r="D49" s="3" t="s">
        <v>78</v>
      </c>
      <c r="E49">
        <v>2</v>
      </c>
      <c r="F49" t="s">
        <v>297</v>
      </c>
      <c r="G49">
        <v>45</v>
      </c>
      <c r="H49" s="9">
        <f t="shared" si="0"/>
        <v>4.5</v>
      </c>
      <c r="I49" t="s">
        <v>52</v>
      </c>
      <c r="J49" s="3" t="str">
        <f t="shared" si="1"/>
        <v>1</v>
      </c>
      <c r="K49" t="s">
        <v>26</v>
      </c>
      <c r="L49" s="10" t="str">
        <f t="shared" si="2"/>
        <v>2</v>
      </c>
      <c r="M49" t="s">
        <v>37</v>
      </c>
      <c r="N49" s="3" t="str">
        <f t="shared" si="3"/>
        <v>0</v>
      </c>
      <c r="O49" s="9">
        <f t="shared" si="4"/>
        <v>30.5</v>
      </c>
    </row>
    <row r="50" spans="2:16" x14ac:dyDescent="0.2">
      <c r="B50">
        <v>181</v>
      </c>
      <c r="C50" s="3">
        <v>25</v>
      </c>
      <c r="D50" s="3" t="s">
        <v>227</v>
      </c>
      <c r="E50">
        <v>3</v>
      </c>
      <c r="F50" t="s">
        <v>276</v>
      </c>
      <c r="G50">
        <v>10</v>
      </c>
      <c r="H50" s="9">
        <f t="shared" si="0"/>
        <v>1</v>
      </c>
      <c r="I50" t="s">
        <v>25</v>
      </c>
      <c r="J50" s="3" t="str">
        <f t="shared" si="1"/>
        <v>3</v>
      </c>
      <c r="K50" t="s">
        <v>26</v>
      </c>
      <c r="L50" s="10" t="str">
        <f t="shared" si="2"/>
        <v>2</v>
      </c>
      <c r="M50" t="s">
        <v>37</v>
      </c>
      <c r="N50" s="3" t="str">
        <f t="shared" si="3"/>
        <v>0</v>
      </c>
      <c r="O50" s="9">
        <f t="shared" si="4"/>
        <v>30</v>
      </c>
      <c r="P50" t="s">
        <v>226</v>
      </c>
    </row>
    <row r="51" spans="2:16" x14ac:dyDescent="0.2">
      <c r="B51">
        <v>182</v>
      </c>
      <c r="C51" s="3">
        <v>25</v>
      </c>
      <c r="D51" s="3" t="s">
        <v>227</v>
      </c>
      <c r="E51">
        <v>4</v>
      </c>
      <c r="F51" t="s">
        <v>276</v>
      </c>
      <c r="G51">
        <v>10</v>
      </c>
      <c r="H51" s="9">
        <f t="shared" si="0"/>
        <v>1</v>
      </c>
      <c r="I51" t="s">
        <v>25</v>
      </c>
      <c r="J51" s="3" t="str">
        <f t="shared" si="1"/>
        <v>3</v>
      </c>
      <c r="K51" t="s">
        <v>26</v>
      </c>
      <c r="L51" s="10" t="str">
        <f t="shared" si="2"/>
        <v>2</v>
      </c>
      <c r="M51" t="s">
        <v>37</v>
      </c>
      <c r="N51" s="3" t="str">
        <f t="shared" si="3"/>
        <v>0</v>
      </c>
      <c r="O51" s="9">
        <f t="shared" si="4"/>
        <v>30</v>
      </c>
      <c r="P51" t="s">
        <v>226</v>
      </c>
    </row>
    <row r="52" spans="2:16" x14ac:dyDescent="0.2">
      <c r="B52">
        <v>156</v>
      </c>
      <c r="C52" s="3" t="s">
        <v>174</v>
      </c>
      <c r="D52" s="3" t="s">
        <v>78</v>
      </c>
      <c r="E52">
        <v>1</v>
      </c>
      <c r="F52" t="s">
        <v>290</v>
      </c>
      <c r="G52">
        <v>10</v>
      </c>
      <c r="H52" s="9">
        <f t="shared" si="0"/>
        <v>1</v>
      </c>
      <c r="I52" t="s">
        <v>25</v>
      </c>
      <c r="J52" s="3" t="str">
        <f t="shared" si="1"/>
        <v>3</v>
      </c>
      <c r="K52" t="s">
        <v>26</v>
      </c>
      <c r="L52" s="10" t="str">
        <f t="shared" si="2"/>
        <v>2</v>
      </c>
      <c r="M52" t="s">
        <v>37</v>
      </c>
      <c r="N52" s="3" t="str">
        <f t="shared" si="3"/>
        <v>0</v>
      </c>
      <c r="O52" s="9">
        <f t="shared" si="4"/>
        <v>30</v>
      </c>
    </row>
    <row r="53" spans="2:16" x14ac:dyDescent="0.2">
      <c r="B53">
        <v>39</v>
      </c>
      <c r="C53" s="3">
        <v>21</v>
      </c>
      <c r="D53" s="3">
        <v>164</v>
      </c>
      <c r="E53">
        <v>38</v>
      </c>
      <c r="F53" t="s">
        <v>298</v>
      </c>
      <c r="G53">
        <v>2</v>
      </c>
      <c r="H53" s="9">
        <f t="shared" si="0"/>
        <v>0.2</v>
      </c>
      <c r="I53" t="s">
        <v>52</v>
      </c>
      <c r="J53" s="3" t="str">
        <f t="shared" si="1"/>
        <v>1</v>
      </c>
      <c r="K53" t="s">
        <v>35</v>
      </c>
      <c r="L53" s="10" t="str">
        <f t="shared" si="2"/>
        <v>4</v>
      </c>
      <c r="M53" t="s">
        <v>37</v>
      </c>
      <c r="N53" s="3" t="str">
        <f t="shared" si="3"/>
        <v>0</v>
      </c>
      <c r="O53" s="9">
        <f t="shared" si="4"/>
        <v>29.6</v>
      </c>
    </row>
    <row r="54" spans="2:16" x14ac:dyDescent="0.2">
      <c r="B54">
        <v>186</v>
      </c>
      <c r="C54" s="3">
        <v>20</v>
      </c>
      <c r="D54" s="3" t="s">
        <v>242</v>
      </c>
      <c r="E54">
        <v>2</v>
      </c>
      <c r="F54" t="s">
        <v>265</v>
      </c>
      <c r="G54">
        <v>8</v>
      </c>
      <c r="H54" s="9">
        <f t="shared" si="0"/>
        <v>0.8</v>
      </c>
      <c r="I54" t="s">
        <v>52</v>
      </c>
      <c r="J54" s="3" t="str">
        <f t="shared" si="1"/>
        <v>1</v>
      </c>
      <c r="K54" t="s">
        <v>26</v>
      </c>
      <c r="L54" s="10" t="str">
        <f t="shared" si="2"/>
        <v>2</v>
      </c>
      <c r="M54" t="s">
        <v>34</v>
      </c>
      <c r="N54" s="3" t="str">
        <f t="shared" si="3"/>
        <v>1</v>
      </c>
      <c r="O54" s="9">
        <f t="shared" si="4"/>
        <v>29.4</v>
      </c>
    </row>
    <row r="55" spans="2:16" x14ac:dyDescent="0.2">
      <c r="B55">
        <v>19</v>
      </c>
      <c r="C55" s="3">
        <v>21</v>
      </c>
      <c r="D55" s="3" t="s">
        <v>104</v>
      </c>
      <c r="E55">
        <v>18</v>
      </c>
      <c r="F55" t="s">
        <v>285</v>
      </c>
      <c r="G55">
        <v>8</v>
      </c>
      <c r="H55" s="9">
        <f t="shared" si="0"/>
        <v>0.8</v>
      </c>
      <c r="I55" t="s">
        <v>25</v>
      </c>
      <c r="J55" s="3" t="str">
        <f t="shared" si="1"/>
        <v>3</v>
      </c>
      <c r="K55" t="s">
        <v>26</v>
      </c>
      <c r="L55" s="10" t="str">
        <f t="shared" si="2"/>
        <v>2</v>
      </c>
      <c r="M55" t="s">
        <v>37</v>
      </c>
      <c r="N55" s="3" t="str">
        <f t="shared" si="3"/>
        <v>0</v>
      </c>
      <c r="O55" s="9">
        <f t="shared" si="4"/>
        <v>29.4</v>
      </c>
      <c r="P55" t="s">
        <v>103</v>
      </c>
    </row>
    <row r="56" spans="2:16" x14ac:dyDescent="0.2">
      <c r="B56">
        <v>78</v>
      </c>
      <c r="C56" s="3">
        <v>10</v>
      </c>
      <c r="D56" s="3" t="s">
        <v>154</v>
      </c>
      <c r="E56">
        <v>1</v>
      </c>
      <c r="F56" t="s">
        <v>290</v>
      </c>
      <c r="G56">
        <v>24</v>
      </c>
      <c r="H56" s="9">
        <f t="shared" si="0"/>
        <v>2.4</v>
      </c>
      <c r="I56" t="s">
        <v>31</v>
      </c>
      <c r="J56" s="3" t="str">
        <f t="shared" si="1"/>
        <v>2</v>
      </c>
      <c r="K56" t="s">
        <v>26</v>
      </c>
      <c r="L56" s="10" t="str">
        <f t="shared" si="2"/>
        <v>2</v>
      </c>
      <c r="M56" t="s">
        <v>37</v>
      </c>
      <c r="N56" s="3" t="str">
        <f t="shared" si="3"/>
        <v>0</v>
      </c>
      <c r="O56" s="9">
        <f t="shared" si="4"/>
        <v>29.2</v>
      </c>
      <c r="P56" t="s">
        <v>36</v>
      </c>
    </row>
    <row r="57" spans="2:16" x14ac:dyDescent="0.2">
      <c r="B57">
        <v>306</v>
      </c>
      <c r="C57" s="3">
        <v>22</v>
      </c>
      <c r="D57" s="3" t="s">
        <v>78</v>
      </c>
      <c r="E57">
        <v>27</v>
      </c>
      <c r="F57" t="s">
        <v>290</v>
      </c>
      <c r="G57">
        <v>24</v>
      </c>
      <c r="H57" s="9">
        <f t="shared" si="0"/>
        <v>2.4</v>
      </c>
      <c r="I57" t="s">
        <v>31</v>
      </c>
      <c r="J57" s="3" t="str">
        <f t="shared" si="1"/>
        <v>2</v>
      </c>
      <c r="K57" t="s">
        <v>26</v>
      </c>
      <c r="L57" s="10" t="str">
        <f t="shared" si="2"/>
        <v>2</v>
      </c>
      <c r="M57" t="s">
        <v>37</v>
      </c>
      <c r="N57" s="3" t="str">
        <f t="shared" si="3"/>
        <v>0</v>
      </c>
      <c r="O57" s="9">
        <f t="shared" si="4"/>
        <v>29.2</v>
      </c>
      <c r="P57" t="s">
        <v>44</v>
      </c>
    </row>
    <row r="58" spans="2:16" x14ac:dyDescent="0.2">
      <c r="B58">
        <v>44</v>
      </c>
      <c r="C58" s="3">
        <v>21</v>
      </c>
      <c r="D58" s="3">
        <v>824</v>
      </c>
      <c r="E58">
        <v>43</v>
      </c>
      <c r="F58" t="s">
        <v>268</v>
      </c>
      <c r="G58">
        <v>4</v>
      </c>
      <c r="H58" s="9">
        <f t="shared" si="0"/>
        <v>0.4</v>
      </c>
      <c r="I58" t="s">
        <v>25</v>
      </c>
      <c r="J58" s="3" t="str">
        <f t="shared" si="1"/>
        <v>3</v>
      </c>
      <c r="K58" t="s">
        <v>26</v>
      </c>
      <c r="L58" s="10" t="str">
        <f t="shared" si="2"/>
        <v>2</v>
      </c>
      <c r="M58" t="s">
        <v>37</v>
      </c>
      <c r="N58" s="3" t="str">
        <f t="shared" si="3"/>
        <v>0</v>
      </c>
      <c r="O58" s="9">
        <f t="shared" si="4"/>
        <v>28.2</v>
      </c>
      <c r="P58" t="s">
        <v>118</v>
      </c>
    </row>
    <row r="59" spans="2:16" x14ac:dyDescent="0.2">
      <c r="B59">
        <v>203</v>
      </c>
      <c r="C59" s="3" t="s">
        <v>232</v>
      </c>
      <c r="D59" s="3" t="s">
        <v>247</v>
      </c>
      <c r="E59">
        <v>2</v>
      </c>
      <c r="F59" t="s">
        <v>277</v>
      </c>
      <c r="G59">
        <v>4</v>
      </c>
      <c r="H59" s="9">
        <f t="shared" si="0"/>
        <v>0.4</v>
      </c>
      <c r="I59" t="s">
        <v>25</v>
      </c>
      <c r="J59" s="3" t="str">
        <f t="shared" si="1"/>
        <v>3</v>
      </c>
      <c r="K59" t="s">
        <v>26</v>
      </c>
      <c r="L59" s="10" t="str">
        <f t="shared" si="2"/>
        <v>2</v>
      </c>
      <c r="M59" t="s">
        <v>37</v>
      </c>
      <c r="N59" s="3" t="str">
        <f t="shared" si="3"/>
        <v>0</v>
      </c>
      <c r="O59" s="9">
        <f t="shared" si="4"/>
        <v>28.2</v>
      </c>
      <c r="P59" t="s">
        <v>226</v>
      </c>
    </row>
    <row r="60" spans="2:16" x14ac:dyDescent="0.2">
      <c r="B60">
        <v>187</v>
      </c>
      <c r="C60" s="3">
        <v>20</v>
      </c>
      <c r="D60" s="3" t="s">
        <v>243</v>
      </c>
      <c r="E60">
        <v>3</v>
      </c>
      <c r="F60" t="s">
        <v>290</v>
      </c>
      <c r="G60">
        <v>20</v>
      </c>
      <c r="H60" s="9">
        <f t="shared" si="0"/>
        <v>2</v>
      </c>
      <c r="I60" t="s">
        <v>31</v>
      </c>
      <c r="J60" s="3" t="str">
        <f t="shared" si="1"/>
        <v>2</v>
      </c>
      <c r="K60" t="s">
        <v>26</v>
      </c>
      <c r="L60" s="10" t="str">
        <f t="shared" si="2"/>
        <v>2</v>
      </c>
      <c r="M60" t="s">
        <v>37</v>
      </c>
      <c r="N60" s="3" t="str">
        <f t="shared" si="3"/>
        <v>0</v>
      </c>
      <c r="O60" s="9">
        <f t="shared" si="4"/>
        <v>28</v>
      </c>
    </row>
    <row r="61" spans="2:16" x14ac:dyDescent="0.2">
      <c r="B61">
        <v>134</v>
      </c>
      <c r="C61" s="3" t="s">
        <v>168</v>
      </c>
      <c r="D61" s="3" t="s">
        <v>78</v>
      </c>
      <c r="E61">
        <v>1</v>
      </c>
      <c r="F61" t="s">
        <v>285</v>
      </c>
      <c r="G61">
        <v>20</v>
      </c>
      <c r="H61" s="9">
        <f t="shared" si="0"/>
        <v>2</v>
      </c>
      <c r="I61" t="s">
        <v>31</v>
      </c>
      <c r="J61" s="3" t="str">
        <f t="shared" si="1"/>
        <v>2</v>
      </c>
      <c r="K61" t="s">
        <v>26</v>
      </c>
      <c r="L61" s="10" t="str">
        <f t="shared" si="2"/>
        <v>2</v>
      </c>
      <c r="M61" t="s">
        <v>37</v>
      </c>
      <c r="N61" s="3" t="str">
        <f t="shared" si="3"/>
        <v>0</v>
      </c>
      <c r="O61" s="9">
        <f t="shared" si="4"/>
        <v>28</v>
      </c>
    </row>
    <row r="62" spans="2:16" x14ac:dyDescent="0.2">
      <c r="B62">
        <v>135</v>
      </c>
      <c r="C62" s="3" t="s">
        <v>168</v>
      </c>
      <c r="D62" s="3" t="s">
        <v>78</v>
      </c>
      <c r="E62">
        <v>2</v>
      </c>
      <c r="F62" t="s">
        <v>285</v>
      </c>
      <c r="G62">
        <v>20</v>
      </c>
      <c r="H62" s="9">
        <f t="shared" si="0"/>
        <v>2</v>
      </c>
      <c r="I62" t="s">
        <v>31</v>
      </c>
      <c r="J62" s="3" t="str">
        <f t="shared" si="1"/>
        <v>2</v>
      </c>
      <c r="K62" t="s">
        <v>26</v>
      </c>
      <c r="L62" s="10" t="str">
        <f t="shared" si="2"/>
        <v>2</v>
      </c>
      <c r="M62" t="s">
        <v>37</v>
      </c>
      <c r="N62" s="3" t="str">
        <f t="shared" si="3"/>
        <v>0</v>
      </c>
      <c r="O62" s="9">
        <f t="shared" si="4"/>
        <v>28</v>
      </c>
    </row>
    <row r="63" spans="2:16" x14ac:dyDescent="0.2">
      <c r="B63">
        <v>136</v>
      </c>
      <c r="C63" s="3" t="s">
        <v>168</v>
      </c>
      <c r="D63" s="3" t="s">
        <v>78</v>
      </c>
      <c r="E63">
        <v>3</v>
      </c>
      <c r="F63" t="s">
        <v>285</v>
      </c>
      <c r="G63">
        <v>20</v>
      </c>
      <c r="H63" s="9">
        <f t="shared" si="0"/>
        <v>2</v>
      </c>
      <c r="I63" t="s">
        <v>31</v>
      </c>
      <c r="J63" s="3" t="str">
        <f t="shared" si="1"/>
        <v>2</v>
      </c>
      <c r="K63" t="s">
        <v>26</v>
      </c>
      <c r="L63" s="10" t="str">
        <f t="shared" si="2"/>
        <v>2</v>
      </c>
      <c r="M63" t="s">
        <v>37</v>
      </c>
      <c r="N63" s="3" t="str">
        <f t="shared" si="3"/>
        <v>0</v>
      </c>
      <c r="O63" s="9">
        <f t="shared" si="4"/>
        <v>28</v>
      </c>
    </row>
    <row r="64" spans="2:16" x14ac:dyDescent="0.2">
      <c r="B64">
        <v>22</v>
      </c>
      <c r="C64" s="3">
        <v>21</v>
      </c>
      <c r="D64" s="3" t="s">
        <v>105</v>
      </c>
      <c r="E64">
        <v>21</v>
      </c>
      <c r="F64" t="s">
        <v>262</v>
      </c>
      <c r="G64">
        <v>3</v>
      </c>
      <c r="H64" s="9">
        <f t="shared" si="0"/>
        <v>0.3</v>
      </c>
      <c r="I64" t="s">
        <v>52</v>
      </c>
      <c r="J64" s="3" t="str">
        <f t="shared" si="1"/>
        <v>1</v>
      </c>
      <c r="K64" t="s">
        <v>26</v>
      </c>
      <c r="L64" s="10" t="str">
        <f t="shared" si="2"/>
        <v>2</v>
      </c>
      <c r="M64" t="s">
        <v>34</v>
      </c>
      <c r="N64" s="3" t="str">
        <f t="shared" si="3"/>
        <v>1</v>
      </c>
      <c r="O64" s="9">
        <f t="shared" si="4"/>
        <v>27.9</v>
      </c>
      <c r="P64" t="s">
        <v>106</v>
      </c>
    </row>
    <row r="65" spans="2:16" x14ac:dyDescent="0.2">
      <c r="B65">
        <v>8</v>
      </c>
      <c r="C65" s="3">
        <v>21</v>
      </c>
      <c r="D65" s="3" t="s">
        <v>92</v>
      </c>
      <c r="E65">
        <v>7</v>
      </c>
      <c r="F65" t="s">
        <v>261</v>
      </c>
      <c r="G65">
        <v>2</v>
      </c>
      <c r="H65" s="9">
        <f t="shared" si="0"/>
        <v>0.2</v>
      </c>
      <c r="I65" t="s">
        <v>25</v>
      </c>
      <c r="J65" s="3" t="str">
        <f t="shared" si="1"/>
        <v>3</v>
      </c>
      <c r="K65" t="s">
        <v>26</v>
      </c>
      <c r="L65" s="10" t="str">
        <f t="shared" si="2"/>
        <v>2</v>
      </c>
      <c r="M65" t="s">
        <v>37</v>
      </c>
      <c r="N65" s="3" t="str">
        <f t="shared" si="3"/>
        <v>0</v>
      </c>
      <c r="O65" s="9">
        <f t="shared" si="4"/>
        <v>27.6</v>
      </c>
    </row>
    <row r="66" spans="2:16" x14ac:dyDescent="0.2">
      <c r="B66">
        <v>317</v>
      </c>
      <c r="C66" s="3" t="s">
        <v>238</v>
      </c>
      <c r="D66" s="3" t="s">
        <v>78</v>
      </c>
      <c r="E66">
        <v>11</v>
      </c>
      <c r="F66" t="s">
        <v>286</v>
      </c>
      <c r="G66">
        <v>2</v>
      </c>
      <c r="H66" s="9">
        <f t="shared" si="0"/>
        <v>0.2</v>
      </c>
      <c r="I66" t="s">
        <v>25</v>
      </c>
      <c r="J66" s="3" t="str">
        <f t="shared" si="1"/>
        <v>3</v>
      </c>
      <c r="K66" t="s">
        <v>26</v>
      </c>
      <c r="L66" s="10" t="str">
        <f t="shared" si="2"/>
        <v>2</v>
      </c>
      <c r="M66" t="s">
        <v>37</v>
      </c>
      <c r="N66" s="3" t="str">
        <f t="shared" si="3"/>
        <v>0</v>
      </c>
      <c r="O66" s="9">
        <f t="shared" si="4"/>
        <v>27.6</v>
      </c>
    </row>
    <row r="67" spans="2:16" x14ac:dyDescent="0.2">
      <c r="B67">
        <v>258</v>
      </c>
      <c r="C67" s="3" t="s">
        <v>184</v>
      </c>
      <c r="D67" s="3" t="s">
        <v>197</v>
      </c>
      <c r="E67">
        <v>18</v>
      </c>
      <c r="F67" t="s">
        <v>286</v>
      </c>
      <c r="G67">
        <v>2</v>
      </c>
      <c r="H67" s="9">
        <f t="shared" ref="H67:H130" si="5">G67/10</f>
        <v>0.2</v>
      </c>
      <c r="I67" t="s">
        <v>25</v>
      </c>
      <c r="J67" s="3" t="str">
        <f t="shared" ref="J67:J130" si="6">IF(I67="N/A","0",IF(I67="Excellent","1",IF(I67="Very Good","1",IF(I67="Good","2",IF(I67="Fair","3",IF(I67="Poor","4",IF(I67="Critical","5",IF(I67="Dead","5"))))))))</f>
        <v>3</v>
      </c>
      <c r="K67" t="s">
        <v>26</v>
      </c>
      <c r="L67" s="10" t="str">
        <f t="shared" ref="L67:L130" si="7">IF(K67="Removal","5",IF(K67="Pruning: Deadwood 1","4",IF(K67="Pruning: Deadwood 2","3",IF(K67="Pruning: Routine","2",IF(K67="Pruning: Training","1",IF(K67="Plant","0",IF(K67="Other - see notes","0",)))))))</f>
        <v>2</v>
      </c>
      <c r="M67" t="s">
        <v>37</v>
      </c>
      <c r="N67" s="3" t="str">
        <f t="shared" ref="N67:N130" si="8">IF(M67="no risk","0",IF(M67="None","0",IF(M67="Minimal Risk","1",IF(M67="Moderate Risk","2",IF(M67="High Risk","4",IF(M67="Severe Risk","5"))))))</f>
        <v>0</v>
      </c>
      <c r="O67" s="9">
        <f t="shared" ref="O67:O130" si="9">($G$2*H67)+($I$2*J67)+($K$2*L67)+($M$2*N67)</f>
        <v>27.6</v>
      </c>
    </row>
    <row r="68" spans="2:16" x14ac:dyDescent="0.2">
      <c r="B68">
        <v>250</v>
      </c>
      <c r="C68" s="3" t="s">
        <v>184</v>
      </c>
      <c r="D68" s="3" t="s">
        <v>78</v>
      </c>
      <c r="E68">
        <v>10</v>
      </c>
      <c r="F68" t="s">
        <v>276</v>
      </c>
      <c r="G68">
        <v>2</v>
      </c>
      <c r="H68" s="9">
        <f t="shared" si="5"/>
        <v>0.2</v>
      </c>
      <c r="I68" t="s">
        <v>25</v>
      </c>
      <c r="J68" s="3" t="str">
        <f t="shared" si="6"/>
        <v>3</v>
      </c>
      <c r="K68" t="s">
        <v>26</v>
      </c>
      <c r="L68" s="10" t="str">
        <f t="shared" si="7"/>
        <v>2</v>
      </c>
      <c r="M68" t="s">
        <v>37</v>
      </c>
      <c r="N68" s="3" t="str">
        <f t="shared" si="8"/>
        <v>0</v>
      </c>
      <c r="O68" s="9">
        <f t="shared" si="9"/>
        <v>27.6</v>
      </c>
      <c r="P68" t="s">
        <v>188</v>
      </c>
    </row>
    <row r="69" spans="2:16" x14ac:dyDescent="0.2">
      <c r="B69">
        <v>153</v>
      </c>
      <c r="C69" s="3" t="s">
        <v>77</v>
      </c>
      <c r="D69" s="3" t="s">
        <v>78</v>
      </c>
      <c r="E69">
        <v>6</v>
      </c>
      <c r="F69" t="s">
        <v>290</v>
      </c>
      <c r="G69">
        <v>18</v>
      </c>
      <c r="H69" s="9">
        <f t="shared" si="5"/>
        <v>1.8</v>
      </c>
      <c r="I69" t="s">
        <v>31</v>
      </c>
      <c r="J69" s="3" t="str">
        <f t="shared" si="6"/>
        <v>2</v>
      </c>
      <c r="K69" t="s">
        <v>26</v>
      </c>
      <c r="L69" s="10" t="str">
        <f t="shared" si="7"/>
        <v>2</v>
      </c>
      <c r="M69" t="s">
        <v>37</v>
      </c>
      <c r="N69" s="3" t="str">
        <f t="shared" si="8"/>
        <v>0</v>
      </c>
      <c r="O69" s="9">
        <f t="shared" si="9"/>
        <v>27.4</v>
      </c>
    </row>
    <row r="70" spans="2:16" x14ac:dyDescent="0.2">
      <c r="B70">
        <v>195</v>
      </c>
      <c r="C70" s="3">
        <v>19</v>
      </c>
      <c r="D70" s="3" t="s">
        <v>78</v>
      </c>
      <c r="E70">
        <v>2</v>
      </c>
      <c r="F70" t="s">
        <v>264</v>
      </c>
      <c r="G70">
        <v>16</v>
      </c>
      <c r="H70" s="9">
        <f t="shared" si="5"/>
        <v>1.6</v>
      </c>
      <c r="I70" t="s">
        <v>31</v>
      </c>
      <c r="J70" s="3" t="str">
        <f t="shared" si="6"/>
        <v>2</v>
      </c>
      <c r="K70" t="s">
        <v>26</v>
      </c>
      <c r="L70" s="10" t="str">
        <f t="shared" si="7"/>
        <v>2</v>
      </c>
      <c r="M70" t="s">
        <v>37</v>
      </c>
      <c r="N70" s="3" t="str">
        <f t="shared" si="8"/>
        <v>0</v>
      </c>
      <c r="O70" s="9">
        <f t="shared" si="9"/>
        <v>26.8</v>
      </c>
    </row>
    <row r="71" spans="2:16" x14ac:dyDescent="0.2">
      <c r="B71">
        <v>154</v>
      </c>
      <c r="C71" s="3" t="s">
        <v>77</v>
      </c>
      <c r="D71" s="3" t="s">
        <v>78</v>
      </c>
      <c r="E71">
        <v>7</v>
      </c>
      <c r="F71" t="s">
        <v>281</v>
      </c>
      <c r="G71">
        <v>16</v>
      </c>
      <c r="H71" s="9">
        <f t="shared" si="5"/>
        <v>1.6</v>
      </c>
      <c r="I71" t="s">
        <v>31</v>
      </c>
      <c r="J71" s="3" t="str">
        <f t="shared" si="6"/>
        <v>2</v>
      </c>
      <c r="K71" t="s">
        <v>26</v>
      </c>
      <c r="L71" s="10" t="str">
        <f t="shared" si="7"/>
        <v>2</v>
      </c>
      <c r="M71" t="s">
        <v>37</v>
      </c>
      <c r="N71" s="3" t="str">
        <f t="shared" si="8"/>
        <v>0</v>
      </c>
      <c r="O71" s="9">
        <f t="shared" si="9"/>
        <v>26.8</v>
      </c>
    </row>
    <row r="72" spans="2:16" x14ac:dyDescent="0.2">
      <c r="B72">
        <v>159</v>
      </c>
      <c r="C72" s="3" t="s">
        <v>174</v>
      </c>
      <c r="D72" s="3" t="s">
        <v>78</v>
      </c>
      <c r="E72">
        <v>4</v>
      </c>
      <c r="F72" t="s">
        <v>297</v>
      </c>
      <c r="G72">
        <v>16</v>
      </c>
      <c r="H72" s="9">
        <f t="shared" si="5"/>
        <v>1.6</v>
      </c>
      <c r="I72" t="s">
        <v>31</v>
      </c>
      <c r="J72" s="3" t="str">
        <f t="shared" si="6"/>
        <v>2</v>
      </c>
      <c r="K72" t="s">
        <v>26</v>
      </c>
      <c r="L72" s="10" t="str">
        <f t="shared" si="7"/>
        <v>2</v>
      </c>
      <c r="M72" t="s">
        <v>37</v>
      </c>
      <c r="N72" s="3" t="str">
        <f t="shared" si="8"/>
        <v>0</v>
      </c>
      <c r="O72" s="9">
        <f t="shared" si="9"/>
        <v>26.8</v>
      </c>
    </row>
    <row r="73" spans="2:16" x14ac:dyDescent="0.2">
      <c r="B73">
        <v>270</v>
      </c>
      <c r="C73" s="3">
        <v>14</v>
      </c>
      <c r="D73" s="3" t="s">
        <v>78</v>
      </c>
      <c r="E73">
        <v>2</v>
      </c>
      <c r="F73" t="s">
        <v>290</v>
      </c>
      <c r="G73">
        <v>15</v>
      </c>
      <c r="H73" s="9">
        <f t="shared" si="5"/>
        <v>1.5</v>
      </c>
      <c r="I73" t="s">
        <v>31</v>
      </c>
      <c r="J73" s="3" t="str">
        <f t="shared" si="6"/>
        <v>2</v>
      </c>
      <c r="K73" t="s">
        <v>26</v>
      </c>
      <c r="L73" s="10" t="str">
        <f t="shared" si="7"/>
        <v>2</v>
      </c>
      <c r="M73" t="s">
        <v>37</v>
      </c>
      <c r="N73" s="3" t="str">
        <f t="shared" si="8"/>
        <v>0</v>
      </c>
      <c r="O73" s="9">
        <f t="shared" si="9"/>
        <v>26.5</v>
      </c>
    </row>
    <row r="74" spans="2:16" x14ac:dyDescent="0.2">
      <c r="B74">
        <v>148</v>
      </c>
      <c r="C74" s="3" t="s">
        <v>168</v>
      </c>
      <c r="D74" s="3" t="s">
        <v>78</v>
      </c>
      <c r="E74">
        <v>15</v>
      </c>
      <c r="F74" t="s">
        <v>285</v>
      </c>
      <c r="G74">
        <v>15</v>
      </c>
      <c r="H74" s="9">
        <f t="shared" si="5"/>
        <v>1.5</v>
      </c>
      <c r="I74" t="s">
        <v>31</v>
      </c>
      <c r="J74" s="3" t="str">
        <f t="shared" si="6"/>
        <v>2</v>
      </c>
      <c r="K74" t="s">
        <v>26</v>
      </c>
      <c r="L74" s="10" t="str">
        <f t="shared" si="7"/>
        <v>2</v>
      </c>
      <c r="M74" t="s">
        <v>37</v>
      </c>
      <c r="N74" s="3" t="str">
        <f t="shared" si="8"/>
        <v>0</v>
      </c>
      <c r="O74" s="9">
        <f t="shared" si="9"/>
        <v>26.5</v>
      </c>
    </row>
    <row r="75" spans="2:16" x14ac:dyDescent="0.2">
      <c r="B75">
        <v>314</v>
      </c>
      <c r="C75" s="3" t="s">
        <v>238</v>
      </c>
      <c r="D75" s="3" t="s">
        <v>78</v>
      </c>
      <c r="E75">
        <v>8</v>
      </c>
      <c r="F75" t="s">
        <v>297</v>
      </c>
      <c r="G75">
        <v>30</v>
      </c>
      <c r="H75" s="9">
        <f t="shared" si="5"/>
        <v>3</v>
      </c>
      <c r="I75" t="s">
        <v>52</v>
      </c>
      <c r="J75" s="3" t="str">
        <f t="shared" si="6"/>
        <v>1</v>
      </c>
      <c r="K75" t="s">
        <v>26</v>
      </c>
      <c r="L75" s="10" t="str">
        <f t="shared" si="7"/>
        <v>2</v>
      </c>
      <c r="M75" t="s">
        <v>37</v>
      </c>
      <c r="N75" s="3" t="str">
        <f t="shared" si="8"/>
        <v>0</v>
      </c>
      <c r="O75" s="9">
        <f t="shared" si="9"/>
        <v>26</v>
      </c>
    </row>
    <row r="76" spans="2:16" x14ac:dyDescent="0.2">
      <c r="B76">
        <v>198</v>
      </c>
      <c r="C76" s="3">
        <v>19</v>
      </c>
      <c r="D76" s="3" t="s">
        <v>78</v>
      </c>
      <c r="E76">
        <v>5</v>
      </c>
      <c r="F76" t="s">
        <v>264</v>
      </c>
      <c r="G76">
        <v>12</v>
      </c>
      <c r="H76" s="9">
        <f t="shared" si="5"/>
        <v>1.2</v>
      </c>
      <c r="I76" t="s">
        <v>31</v>
      </c>
      <c r="J76" s="3" t="str">
        <f t="shared" si="6"/>
        <v>2</v>
      </c>
      <c r="K76" t="s">
        <v>26</v>
      </c>
      <c r="L76" s="10" t="str">
        <f t="shared" si="7"/>
        <v>2</v>
      </c>
      <c r="M76" t="s">
        <v>37</v>
      </c>
      <c r="N76" s="3" t="str">
        <f t="shared" si="8"/>
        <v>0</v>
      </c>
      <c r="O76" s="9">
        <f t="shared" si="9"/>
        <v>25.6</v>
      </c>
    </row>
    <row r="77" spans="2:16" x14ac:dyDescent="0.2">
      <c r="B77">
        <v>316</v>
      </c>
      <c r="C77" s="3" t="s">
        <v>238</v>
      </c>
      <c r="D77" s="3" t="s">
        <v>78</v>
      </c>
      <c r="E77">
        <v>10</v>
      </c>
      <c r="F77" t="s">
        <v>290</v>
      </c>
      <c r="G77">
        <v>12</v>
      </c>
      <c r="H77" s="9">
        <f t="shared" si="5"/>
        <v>1.2</v>
      </c>
      <c r="I77" t="s">
        <v>31</v>
      </c>
      <c r="J77" s="3" t="str">
        <f t="shared" si="6"/>
        <v>2</v>
      </c>
      <c r="K77" t="s">
        <v>26</v>
      </c>
      <c r="L77" s="10" t="str">
        <f t="shared" si="7"/>
        <v>2</v>
      </c>
      <c r="M77" t="s">
        <v>37</v>
      </c>
      <c r="N77" s="3" t="str">
        <f t="shared" si="8"/>
        <v>0</v>
      </c>
      <c r="O77" s="9">
        <f t="shared" si="9"/>
        <v>25.6</v>
      </c>
    </row>
    <row r="78" spans="2:16" x14ac:dyDescent="0.2">
      <c r="B78">
        <v>214</v>
      </c>
      <c r="C78" s="3" t="s">
        <v>300</v>
      </c>
      <c r="D78" s="3" t="s">
        <v>78</v>
      </c>
      <c r="E78">
        <v>4</v>
      </c>
      <c r="F78" t="s">
        <v>296</v>
      </c>
      <c r="G78">
        <v>12</v>
      </c>
      <c r="H78" s="9">
        <f t="shared" si="5"/>
        <v>1.2</v>
      </c>
      <c r="I78" t="s">
        <v>31</v>
      </c>
      <c r="J78" s="3" t="str">
        <f t="shared" si="6"/>
        <v>2</v>
      </c>
      <c r="K78" t="s">
        <v>26</v>
      </c>
      <c r="L78" s="10" t="str">
        <f t="shared" si="7"/>
        <v>2</v>
      </c>
      <c r="M78" t="s">
        <v>37</v>
      </c>
      <c r="N78" s="3" t="str">
        <f t="shared" si="8"/>
        <v>0</v>
      </c>
      <c r="O78" s="9">
        <f t="shared" si="9"/>
        <v>25.6</v>
      </c>
      <c r="P78" t="s">
        <v>182</v>
      </c>
    </row>
    <row r="79" spans="2:16" x14ac:dyDescent="0.2">
      <c r="B79">
        <v>215</v>
      </c>
      <c r="C79" s="3" t="s">
        <v>300</v>
      </c>
      <c r="D79" s="3" t="s">
        <v>78</v>
      </c>
      <c r="E79">
        <v>5</v>
      </c>
      <c r="F79" t="s">
        <v>285</v>
      </c>
      <c r="G79">
        <v>12</v>
      </c>
      <c r="H79" s="9">
        <f t="shared" si="5"/>
        <v>1.2</v>
      </c>
      <c r="I79" t="s">
        <v>31</v>
      </c>
      <c r="J79" s="3" t="str">
        <f t="shared" si="6"/>
        <v>2</v>
      </c>
      <c r="K79" t="s">
        <v>26</v>
      </c>
      <c r="L79" s="10" t="str">
        <f t="shared" si="7"/>
        <v>2</v>
      </c>
      <c r="M79" t="s">
        <v>37</v>
      </c>
      <c r="N79" s="3" t="str">
        <f t="shared" si="8"/>
        <v>0</v>
      </c>
      <c r="O79" s="9">
        <f t="shared" si="9"/>
        <v>25.6</v>
      </c>
    </row>
    <row r="80" spans="2:16" x14ac:dyDescent="0.2">
      <c r="B80">
        <v>171</v>
      </c>
      <c r="C80" s="3" t="s">
        <v>174</v>
      </c>
      <c r="D80" s="3" t="s">
        <v>78</v>
      </c>
      <c r="E80">
        <v>15</v>
      </c>
      <c r="F80" t="s">
        <v>294</v>
      </c>
      <c r="G80">
        <v>12</v>
      </c>
      <c r="H80" s="9">
        <f t="shared" si="5"/>
        <v>1.2</v>
      </c>
      <c r="I80" t="s">
        <v>31</v>
      </c>
      <c r="J80" s="3" t="str">
        <f t="shared" si="6"/>
        <v>2</v>
      </c>
      <c r="K80" t="s">
        <v>26</v>
      </c>
      <c r="L80" s="10" t="str">
        <f t="shared" si="7"/>
        <v>2</v>
      </c>
      <c r="M80" t="s">
        <v>37</v>
      </c>
      <c r="N80" s="3" t="str">
        <f t="shared" si="8"/>
        <v>0</v>
      </c>
      <c r="O80" s="9">
        <f t="shared" si="9"/>
        <v>25.6</v>
      </c>
    </row>
    <row r="81" spans="2:16" x14ac:dyDescent="0.2">
      <c r="B81">
        <v>199</v>
      </c>
      <c r="C81" s="3">
        <v>19</v>
      </c>
      <c r="D81" s="3" t="s">
        <v>78</v>
      </c>
      <c r="E81">
        <v>6</v>
      </c>
      <c r="F81" t="s">
        <v>290</v>
      </c>
      <c r="G81">
        <v>28</v>
      </c>
      <c r="H81" s="9">
        <f t="shared" si="5"/>
        <v>2.8</v>
      </c>
      <c r="I81" t="s">
        <v>52</v>
      </c>
      <c r="J81" s="3" t="str">
        <f t="shared" si="6"/>
        <v>1</v>
      </c>
      <c r="K81" t="s">
        <v>26</v>
      </c>
      <c r="L81" s="10" t="str">
        <f t="shared" si="7"/>
        <v>2</v>
      </c>
      <c r="M81" t="s">
        <v>37</v>
      </c>
      <c r="N81" s="3" t="str">
        <f t="shared" si="8"/>
        <v>0</v>
      </c>
      <c r="O81" s="9">
        <f t="shared" si="9"/>
        <v>25.4</v>
      </c>
      <c r="P81" t="s">
        <v>36</v>
      </c>
    </row>
    <row r="82" spans="2:16" x14ac:dyDescent="0.2">
      <c r="B82">
        <v>60</v>
      </c>
      <c r="C82" s="3">
        <v>2</v>
      </c>
      <c r="D82" s="3" t="s">
        <v>78</v>
      </c>
      <c r="E82">
        <v>1</v>
      </c>
      <c r="F82" t="s">
        <v>285</v>
      </c>
      <c r="G82">
        <v>10</v>
      </c>
      <c r="H82" s="9">
        <f t="shared" si="5"/>
        <v>1</v>
      </c>
      <c r="I82" t="s">
        <v>31</v>
      </c>
      <c r="J82" s="3" t="str">
        <f t="shared" si="6"/>
        <v>2</v>
      </c>
      <c r="K82" t="s">
        <v>26</v>
      </c>
      <c r="L82" s="10" t="str">
        <f t="shared" si="7"/>
        <v>2</v>
      </c>
      <c r="M82" t="s">
        <v>37</v>
      </c>
      <c r="N82" s="3" t="str">
        <f t="shared" si="8"/>
        <v>0</v>
      </c>
      <c r="O82" s="9">
        <f t="shared" si="9"/>
        <v>25</v>
      </c>
    </row>
    <row r="83" spans="2:16" x14ac:dyDescent="0.2">
      <c r="B83">
        <v>35</v>
      </c>
      <c r="C83" s="3">
        <v>21</v>
      </c>
      <c r="D83" s="3">
        <v>7</v>
      </c>
      <c r="E83">
        <v>34</v>
      </c>
      <c r="F83" t="s">
        <v>285</v>
      </c>
      <c r="G83">
        <v>10</v>
      </c>
      <c r="H83" s="9">
        <f t="shared" si="5"/>
        <v>1</v>
      </c>
      <c r="I83" t="s">
        <v>31</v>
      </c>
      <c r="J83" s="3" t="str">
        <f t="shared" si="6"/>
        <v>2</v>
      </c>
      <c r="K83" t="s">
        <v>26</v>
      </c>
      <c r="L83" s="10" t="str">
        <f t="shared" si="7"/>
        <v>2</v>
      </c>
      <c r="M83" t="s">
        <v>37</v>
      </c>
      <c r="N83" s="3" t="str">
        <f t="shared" si="8"/>
        <v>0</v>
      </c>
      <c r="O83" s="9">
        <f t="shared" si="9"/>
        <v>25</v>
      </c>
    </row>
    <row r="84" spans="2:16" x14ac:dyDescent="0.2">
      <c r="B84">
        <v>205</v>
      </c>
      <c r="C84" s="3" t="s">
        <v>232</v>
      </c>
      <c r="D84" s="3" t="s">
        <v>248</v>
      </c>
      <c r="E84">
        <v>3</v>
      </c>
      <c r="F84" t="s">
        <v>285</v>
      </c>
      <c r="G84">
        <v>10</v>
      </c>
      <c r="H84" s="9">
        <f t="shared" si="5"/>
        <v>1</v>
      </c>
      <c r="I84" t="s">
        <v>31</v>
      </c>
      <c r="J84" s="3" t="str">
        <f t="shared" si="6"/>
        <v>2</v>
      </c>
      <c r="K84" t="s">
        <v>26</v>
      </c>
      <c r="L84" s="10" t="str">
        <f t="shared" si="7"/>
        <v>2</v>
      </c>
      <c r="M84" t="s">
        <v>37</v>
      </c>
      <c r="N84" s="3" t="str">
        <f t="shared" si="8"/>
        <v>0</v>
      </c>
      <c r="O84" s="9">
        <f t="shared" si="9"/>
        <v>25</v>
      </c>
    </row>
    <row r="85" spans="2:16" x14ac:dyDescent="0.2">
      <c r="B85">
        <v>216</v>
      </c>
      <c r="C85" s="3" t="s">
        <v>300</v>
      </c>
      <c r="D85" s="3" t="s">
        <v>78</v>
      </c>
      <c r="E85">
        <v>6</v>
      </c>
      <c r="F85" t="s">
        <v>285</v>
      </c>
      <c r="G85">
        <v>10</v>
      </c>
      <c r="H85" s="9">
        <f t="shared" si="5"/>
        <v>1</v>
      </c>
      <c r="I85" t="s">
        <v>31</v>
      </c>
      <c r="J85" s="3" t="str">
        <f t="shared" si="6"/>
        <v>2</v>
      </c>
      <c r="K85" t="s">
        <v>26</v>
      </c>
      <c r="L85" s="10" t="str">
        <f t="shared" si="7"/>
        <v>2</v>
      </c>
      <c r="M85" t="s">
        <v>37</v>
      </c>
      <c r="N85" s="3" t="str">
        <f t="shared" si="8"/>
        <v>0</v>
      </c>
      <c r="O85" s="9">
        <f t="shared" si="9"/>
        <v>25</v>
      </c>
    </row>
    <row r="86" spans="2:16" x14ac:dyDescent="0.2">
      <c r="B86">
        <v>12</v>
      </c>
      <c r="C86" s="3">
        <v>21</v>
      </c>
      <c r="D86" s="3" t="s">
        <v>96</v>
      </c>
      <c r="E86">
        <v>9</v>
      </c>
      <c r="F86" t="s">
        <v>290</v>
      </c>
      <c r="G86">
        <v>9</v>
      </c>
      <c r="H86" s="9">
        <f t="shared" si="5"/>
        <v>0.9</v>
      </c>
      <c r="I86" t="s">
        <v>31</v>
      </c>
      <c r="J86" s="3" t="str">
        <f t="shared" si="6"/>
        <v>2</v>
      </c>
      <c r="K86" t="s">
        <v>26</v>
      </c>
      <c r="L86" s="10" t="str">
        <f t="shared" si="7"/>
        <v>2</v>
      </c>
      <c r="M86" t="s">
        <v>37</v>
      </c>
      <c r="N86" s="3" t="str">
        <f t="shared" si="8"/>
        <v>0</v>
      </c>
      <c r="O86" s="9">
        <f t="shared" si="9"/>
        <v>24.7</v>
      </c>
      <c r="P86" t="s">
        <v>49</v>
      </c>
    </row>
    <row r="87" spans="2:16" x14ac:dyDescent="0.2">
      <c r="B87">
        <v>164</v>
      </c>
      <c r="C87" s="3" t="s">
        <v>77</v>
      </c>
      <c r="D87" s="3" t="s">
        <v>178</v>
      </c>
      <c r="E87">
        <v>1</v>
      </c>
      <c r="F87" t="s">
        <v>260</v>
      </c>
      <c r="G87">
        <v>9</v>
      </c>
      <c r="H87" s="9">
        <f t="shared" si="5"/>
        <v>0.9</v>
      </c>
      <c r="I87" t="s">
        <v>31</v>
      </c>
      <c r="J87" s="3" t="str">
        <f t="shared" si="6"/>
        <v>2</v>
      </c>
      <c r="K87" t="s">
        <v>26</v>
      </c>
      <c r="L87" s="10" t="str">
        <f t="shared" si="7"/>
        <v>2</v>
      </c>
      <c r="M87" t="s">
        <v>37</v>
      </c>
      <c r="N87" s="3" t="str">
        <f t="shared" si="8"/>
        <v>0</v>
      </c>
      <c r="O87" s="9">
        <f t="shared" si="9"/>
        <v>24.7</v>
      </c>
      <c r="P87" t="s">
        <v>43</v>
      </c>
    </row>
    <row r="88" spans="2:16" x14ac:dyDescent="0.2">
      <c r="B88">
        <v>163</v>
      </c>
      <c r="C88" s="3" t="s">
        <v>174</v>
      </c>
      <c r="D88" s="3" t="s">
        <v>78</v>
      </c>
      <c r="E88">
        <v>8</v>
      </c>
      <c r="F88" t="s">
        <v>260</v>
      </c>
      <c r="G88">
        <v>9</v>
      </c>
      <c r="H88" s="9">
        <f t="shared" si="5"/>
        <v>0.9</v>
      </c>
      <c r="I88" t="s">
        <v>31</v>
      </c>
      <c r="J88" s="3" t="str">
        <f t="shared" si="6"/>
        <v>2</v>
      </c>
      <c r="K88" t="s">
        <v>26</v>
      </c>
      <c r="L88" s="10" t="str">
        <f t="shared" si="7"/>
        <v>2</v>
      </c>
      <c r="M88" t="s">
        <v>37</v>
      </c>
      <c r="N88" s="3" t="str">
        <f t="shared" si="8"/>
        <v>0</v>
      </c>
      <c r="O88" s="9">
        <f t="shared" si="9"/>
        <v>24.7</v>
      </c>
      <c r="P88" t="s">
        <v>43</v>
      </c>
    </row>
    <row r="89" spans="2:16" x14ac:dyDescent="0.2">
      <c r="B89">
        <v>285</v>
      </c>
      <c r="C89" s="3">
        <v>14</v>
      </c>
      <c r="D89" s="3" t="s">
        <v>78</v>
      </c>
      <c r="E89">
        <v>6</v>
      </c>
      <c r="F89" t="s">
        <v>277</v>
      </c>
      <c r="G89">
        <v>8</v>
      </c>
      <c r="H89" s="9">
        <f t="shared" si="5"/>
        <v>0.8</v>
      </c>
      <c r="I89" t="s">
        <v>31</v>
      </c>
      <c r="J89" s="3" t="str">
        <f t="shared" si="6"/>
        <v>2</v>
      </c>
      <c r="K89" t="s">
        <v>26</v>
      </c>
      <c r="L89" s="10" t="str">
        <f t="shared" si="7"/>
        <v>2</v>
      </c>
      <c r="M89" t="s">
        <v>37</v>
      </c>
      <c r="N89" s="3" t="str">
        <f t="shared" si="8"/>
        <v>0</v>
      </c>
      <c r="O89" s="9">
        <f t="shared" si="9"/>
        <v>24.4</v>
      </c>
    </row>
    <row r="90" spans="2:16" x14ac:dyDescent="0.2">
      <c r="B90">
        <v>286</v>
      </c>
      <c r="C90" s="3">
        <v>14</v>
      </c>
      <c r="D90" s="3" t="s">
        <v>78</v>
      </c>
      <c r="E90">
        <v>7</v>
      </c>
      <c r="F90" t="s">
        <v>277</v>
      </c>
      <c r="G90">
        <v>8</v>
      </c>
      <c r="H90" s="9">
        <f t="shared" si="5"/>
        <v>0.8</v>
      </c>
      <c r="I90" t="s">
        <v>31</v>
      </c>
      <c r="J90" s="3" t="str">
        <f t="shared" si="6"/>
        <v>2</v>
      </c>
      <c r="K90" t="s">
        <v>26</v>
      </c>
      <c r="L90" s="10" t="str">
        <f t="shared" si="7"/>
        <v>2</v>
      </c>
      <c r="M90" t="s">
        <v>37</v>
      </c>
      <c r="N90" s="3" t="str">
        <f t="shared" si="8"/>
        <v>0</v>
      </c>
      <c r="O90" s="9">
        <f t="shared" si="9"/>
        <v>24.4</v>
      </c>
    </row>
    <row r="91" spans="2:16" x14ac:dyDescent="0.2">
      <c r="B91">
        <v>287</v>
      </c>
      <c r="C91" s="3">
        <v>14</v>
      </c>
      <c r="D91" s="3" t="s">
        <v>78</v>
      </c>
      <c r="E91">
        <v>8</v>
      </c>
      <c r="F91" t="s">
        <v>277</v>
      </c>
      <c r="G91">
        <v>8</v>
      </c>
      <c r="H91" s="9">
        <f t="shared" si="5"/>
        <v>0.8</v>
      </c>
      <c r="I91" t="s">
        <v>31</v>
      </c>
      <c r="J91" s="3" t="str">
        <f t="shared" si="6"/>
        <v>2</v>
      </c>
      <c r="K91" t="s">
        <v>26</v>
      </c>
      <c r="L91" s="10" t="str">
        <f t="shared" si="7"/>
        <v>2</v>
      </c>
      <c r="M91" t="s">
        <v>37</v>
      </c>
      <c r="N91" s="3" t="str">
        <f t="shared" si="8"/>
        <v>0</v>
      </c>
      <c r="O91" s="9">
        <f t="shared" si="9"/>
        <v>24.4</v>
      </c>
    </row>
    <row r="92" spans="2:16" x14ac:dyDescent="0.2">
      <c r="B92">
        <v>288</v>
      </c>
      <c r="C92" s="3">
        <v>14</v>
      </c>
      <c r="D92" s="3" t="s">
        <v>78</v>
      </c>
      <c r="E92">
        <v>9</v>
      </c>
      <c r="F92" t="s">
        <v>276</v>
      </c>
      <c r="G92">
        <v>8</v>
      </c>
      <c r="H92" s="9">
        <f t="shared" si="5"/>
        <v>0.8</v>
      </c>
      <c r="I92" t="s">
        <v>31</v>
      </c>
      <c r="J92" s="3" t="str">
        <f t="shared" si="6"/>
        <v>2</v>
      </c>
      <c r="K92" t="s">
        <v>26</v>
      </c>
      <c r="L92" s="10" t="str">
        <f t="shared" si="7"/>
        <v>2</v>
      </c>
      <c r="M92" t="s">
        <v>37</v>
      </c>
      <c r="N92" s="3" t="str">
        <f t="shared" si="8"/>
        <v>0</v>
      </c>
      <c r="O92" s="9">
        <f t="shared" si="9"/>
        <v>24.4</v>
      </c>
    </row>
    <row r="93" spans="2:16" x14ac:dyDescent="0.2">
      <c r="B93">
        <v>289</v>
      </c>
      <c r="C93" s="3">
        <v>14</v>
      </c>
      <c r="D93" s="3" t="s">
        <v>78</v>
      </c>
      <c r="E93">
        <v>10</v>
      </c>
      <c r="F93" t="s">
        <v>277</v>
      </c>
      <c r="G93">
        <v>8</v>
      </c>
      <c r="H93" s="9">
        <f t="shared" si="5"/>
        <v>0.8</v>
      </c>
      <c r="I93" t="s">
        <v>31</v>
      </c>
      <c r="J93" s="3" t="str">
        <f t="shared" si="6"/>
        <v>2</v>
      </c>
      <c r="K93" t="s">
        <v>26</v>
      </c>
      <c r="L93" s="10" t="str">
        <f t="shared" si="7"/>
        <v>2</v>
      </c>
      <c r="M93" t="s">
        <v>37</v>
      </c>
      <c r="N93" s="3" t="str">
        <f t="shared" si="8"/>
        <v>0</v>
      </c>
      <c r="O93" s="9">
        <f t="shared" si="9"/>
        <v>24.4</v>
      </c>
    </row>
    <row r="94" spans="2:16" x14ac:dyDescent="0.2">
      <c r="B94">
        <v>290</v>
      </c>
      <c r="C94" s="3">
        <v>14</v>
      </c>
      <c r="D94" s="3" t="s">
        <v>78</v>
      </c>
      <c r="E94">
        <v>11</v>
      </c>
      <c r="F94" t="s">
        <v>277</v>
      </c>
      <c r="G94">
        <v>8</v>
      </c>
      <c r="H94" s="9">
        <f t="shared" si="5"/>
        <v>0.8</v>
      </c>
      <c r="I94" t="s">
        <v>31</v>
      </c>
      <c r="J94" s="3" t="str">
        <f t="shared" si="6"/>
        <v>2</v>
      </c>
      <c r="K94" t="s">
        <v>26</v>
      </c>
      <c r="L94" s="10" t="str">
        <f t="shared" si="7"/>
        <v>2</v>
      </c>
      <c r="M94" t="s">
        <v>37</v>
      </c>
      <c r="N94" s="3" t="str">
        <f t="shared" si="8"/>
        <v>0</v>
      </c>
      <c r="O94" s="9">
        <f t="shared" si="9"/>
        <v>24.4</v>
      </c>
    </row>
    <row r="95" spans="2:16" x14ac:dyDescent="0.2">
      <c r="B95">
        <v>291</v>
      </c>
      <c r="C95" s="3">
        <v>14</v>
      </c>
      <c r="D95" s="3" t="s">
        <v>78</v>
      </c>
      <c r="E95">
        <v>12</v>
      </c>
      <c r="F95" t="s">
        <v>277</v>
      </c>
      <c r="G95">
        <v>8</v>
      </c>
      <c r="H95" s="9">
        <f t="shared" si="5"/>
        <v>0.8</v>
      </c>
      <c r="I95" t="s">
        <v>31</v>
      </c>
      <c r="J95" s="3" t="str">
        <f t="shared" si="6"/>
        <v>2</v>
      </c>
      <c r="K95" t="s">
        <v>26</v>
      </c>
      <c r="L95" s="10" t="str">
        <f t="shared" si="7"/>
        <v>2</v>
      </c>
      <c r="M95" t="s">
        <v>37</v>
      </c>
      <c r="N95" s="3" t="str">
        <f t="shared" si="8"/>
        <v>0</v>
      </c>
      <c r="O95" s="9">
        <f t="shared" si="9"/>
        <v>24.4</v>
      </c>
    </row>
    <row r="96" spans="2:16" x14ac:dyDescent="0.2">
      <c r="B96">
        <v>18</v>
      </c>
      <c r="C96" s="3">
        <v>21</v>
      </c>
      <c r="D96" s="3" t="s">
        <v>102</v>
      </c>
      <c r="E96">
        <v>17</v>
      </c>
      <c r="F96" t="s">
        <v>285</v>
      </c>
      <c r="G96">
        <v>8</v>
      </c>
      <c r="H96" s="9">
        <f t="shared" si="5"/>
        <v>0.8</v>
      </c>
      <c r="I96" t="s">
        <v>31</v>
      </c>
      <c r="J96" s="3" t="str">
        <f t="shared" si="6"/>
        <v>2</v>
      </c>
      <c r="K96" t="s">
        <v>26</v>
      </c>
      <c r="L96" s="10" t="str">
        <f t="shared" si="7"/>
        <v>2</v>
      </c>
      <c r="M96" t="s">
        <v>37</v>
      </c>
      <c r="N96" s="3" t="str">
        <f t="shared" si="8"/>
        <v>0</v>
      </c>
      <c r="O96" s="9">
        <f t="shared" si="9"/>
        <v>24.4</v>
      </c>
    </row>
    <row r="97" spans="2:16" x14ac:dyDescent="0.2">
      <c r="B97">
        <v>10</v>
      </c>
      <c r="C97" s="3">
        <v>21</v>
      </c>
      <c r="D97" s="3" t="s">
        <v>46</v>
      </c>
      <c r="E97">
        <v>8</v>
      </c>
      <c r="F97" t="s">
        <v>285</v>
      </c>
      <c r="G97">
        <v>8</v>
      </c>
      <c r="H97" s="9">
        <f t="shared" si="5"/>
        <v>0.8</v>
      </c>
      <c r="I97" t="s">
        <v>31</v>
      </c>
      <c r="J97" s="3" t="str">
        <f t="shared" si="6"/>
        <v>2</v>
      </c>
      <c r="K97" t="s">
        <v>26</v>
      </c>
      <c r="L97" s="10" t="str">
        <f t="shared" si="7"/>
        <v>2</v>
      </c>
      <c r="M97" t="s">
        <v>37</v>
      </c>
      <c r="N97" s="3" t="str">
        <f t="shared" si="8"/>
        <v>0</v>
      </c>
      <c r="O97" s="9">
        <f t="shared" si="9"/>
        <v>24.4</v>
      </c>
    </row>
    <row r="98" spans="2:16" x14ac:dyDescent="0.2">
      <c r="B98">
        <v>16</v>
      </c>
      <c r="C98" s="3">
        <v>21</v>
      </c>
      <c r="D98" s="3" t="s">
        <v>46</v>
      </c>
      <c r="E98">
        <v>15</v>
      </c>
      <c r="F98" t="s">
        <v>285</v>
      </c>
      <c r="G98">
        <v>8</v>
      </c>
      <c r="H98" s="9">
        <f t="shared" si="5"/>
        <v>0.8</v>
      </c>
      <c r="I98" t="s">
        <v>31</v>
      </c>
      <c r="J98" s="3" t="str">
        <f t="shared" si="6"/>
        <v>2</v>
      </c>
      <c r="K98" t="s">
        <v>26</v>
      </c>
      <c r="L98" s="10" t="str">
        <f t="shared" si="7"/>
        <v>2</v>
      </c>
      <c r="M98" t="s">
        <v>37</v>
      </c>
      <c r="N98" s="3" t="str">
        <f t="shared" si="8"/>
        <v>0</v>
      </c>
      <c r="O98" s="9">
        <f t="shared" si="9"/>
        <v>24.4</v>
      </c>
    </row>
    <row r="99" spans="2:16" x14ac:dyDescent="0.2">
      <c r="B99">
        <v>13</v>
      </c>
      <c r="C99" s="3">
        <v>21</v>
      </c>
      <c r="D99" s="3" t="s">
        <v>98</v>
      </c>
      <c r="E99">
        <v>10</v>
      </c>
      <c r="F99" t="s">
        <v>285</v>
      </c>
      <c r="G99">
        <v>8</v>
      </c>
      <c r="H99" s="9">
        <f t="shared" si="5"/>
        <v>0.8</v>
      </c>
      <c r="I99" t="s">
        <v>31</v>
      </c>
      <c r="J99" s="3" t="str">
        <f t="shared" si="6"/>
        <v>2</v>
      </c>
      <c r="K99" t="s">
        <v>26</v>
      </c>
      <c r="L99" s="10" t="str">
        <f t="shared" si="7"/>
        <v>2</v>
      </c>
      <c r="M99" t="s">
        <v>37</v>
      </c>
      <c r="N99" s="3" t="str">
        <f t="shared" si="8"/>
        <v>0</v>
      </c>
      <c r="O99" s="9">
        <f t="shared" si="9"/>
        <v>24.4</v>
      </c>
    </row>
    <row r="100" spans="2:16" x14ac:dyDescent="0.2">
      <c r="B100">
        <v>15</v>
      </c>
      <c r="C100" s="3">
        <v>21</v>
      </c>
      <c r="D100" s="3" t="s">
        <v>100</v>
      </c>
      <c r="E100">
        <v>12</v>
      </c>
      <c r="F100" t="s">
        <v>285</v>
      </c>
      <c r="G100">
        <v>8</v>
      </c>
      <c r="H100" s="9">
        <f t="shared" si="5"/>
        <v>0.8</v>
      </c>
      <c r="I100" t="s">
        <v>31</v>
      </c>
      <c r="J100" s="3" t="str">
        <f t="shared" si="6"/>
        <v>2</v>
      </c>
      <c r="K100" t="s">
        <v>26</v>
      </c>
      <c r="L100" s="10" t="str">
        <f t="shared" si="7"/>
        <v>2</v>
      </c>
      <c r="M100" t="s">
        <v>37</v>
      </c>
      <c r="N100" s="3" t="str">
        <f t="shared" si="8"/>
        <v>0</v>
      </c>
      <c r="O100" s="9">
        <f t="shared" si="9"/>
        <v>24.4</v>
      </c>
    </row>
    <row r="101" spans="2:16" x14ac:dyDescent="0.2">
      <c r="B101">
        <v>17</v>
      </c>
      <c r="C101" s="3">
        <v>21</v>
      </c>
      <c r="D101" s="3" t="s">
        <v>101</v>
      </c>
      <c r="E101">
        <v>16</v>
      </c>
      <c r="F101" t="s">
        <v>285</v>
      </c>
      <c r="G101">
        <v>8</v>
      </c>
      <c r="H101" s="9">
        <f t="shared" si="5"/>
        <v>0.8</v>
      </c>
      <c r="I101" t="s">
        <v>31</v>
      </c>
      <c r="J101" s="3" t="str">
        <f t="shared" si="6"/>
        <v>2</v>
      </c>
      <c r="K101" t="s">
        <v>26</v>
      </c>
      <c r="L101" s="10" t="str">
        <f t="shared" si="7"/>
        <v>2</v>
      </c>
      <c r="M101" t="s">
        <v>37</v>
      </c>
      <c r="N101" s="3" t="str">
        <f t="shared" si="8"/>
        <v>0</v>
      </c>
      <c r="O101" s="9">
        <f t="shared" si="9"/>
        <v>24.4</v>
      </c>
    </row>
    <row r="102" spans="2:16" x14ac:dyDescent="0.2">
      <c r="B102">
        <v>9</v>
      </c>
      <c r="C102" s="3">
        <v>21</v>
      </c>
      <c r="D102" s="3" t="s">
        <v>93</v>
      </c>
      <c r="E102">
        <v>8</v>
      </c>
      <c r="F102" t="s">
        <v>285</v>
      </c>
      <c r="G102">
        <v>8</v>
      </c>
      <c r="H102" s="9">
        <f t="shared" si="5"/>
        <v>0.8</v>
      </c>
      <c r="I102" t="s">
        <v>31</v>
      </c>
      <c r="J102" s="3" t="str">
        <f t="shared" si="6"/>
        <v>2</v>
      </c>
      <c r="K102" t="s">
        <v>26</v>
      </c>
      <c r="L102" s="10" t="str">
        <f t="shared" si="7"/>
        <v>2</v>
      </c>
      <c r="M102" t="s">
        <v>37</v>
      </c>
      <c r="N102" s="3" t="str">
        <f t="shared" si="8"/>
        <v>0</v>
      </c>
      <c r="O102" s="9">
        <f t="shared" si="9"/>
        <v>24.4</v>
      </c>
    </row>
    <row r="103" spans="2:16" x14ac:dyDescent="0.2">
      <c r="B103">
        <v>200</v>
      </c>
      <c r="C103" s="3">
        <v>23</v>
      </c>
      <c r="D103" s="3" t="s">
        <v>78</v>
      </c>
      <c r="E103">
        <v>1</v>
      </c>
      <c r="F103" t="s">
        <v>284</v>
      </c>
      <c r="G103">
        <v>8</v>
      </c>
      <c r="H103" s="9">
        <f t="shared" si="5"/>
        <v>0.8</v>
      </c>
      <c r="I103" t="s">
        <v>31</v>
      </c>
      <c r="J103" s="3" t="str">
        <f t="shared" si="6"/>
        <v>2</v>
      </c>
      <c r="K103" t="s">
        <v>26</v>
      </c>
      <c r="L103" s="10" t="str">
        <f t="shared" si="7"/>
        <v>2</v>
      </c>
      <c r="M103" t="s">
        <v>37</v>
      </c>
      <c r="N103" s="3" t="str">
        <f t="shared" si="8"/>
        <v>0</v>
      </c>
      <c r="O103" s="9">
        <f t="shared" si="9"/>
        <v>24.4</v>
      </c>
    </row>
    <row r="104" spans="2:16" x14ac:dyDescent="0.2">
      <c r="B104">
        <v>251</v>
      </c>
      <c r="C104" s="3" t="s">
        <v>184</v>
      </c>
      <c r="D104" s="3" t="s">
        <v>78</v>
      </c>
      <c r="E104">
        <v>11</v>
      </c>
      <c r="F104" t="s">
        <v>292</v>
      </c>
      <c r="G104">
        <v>8</v>
      </c>
      <c r="H104" s="9">
        <f t="shared" si="5"/>
        <v>0.8</v>
      </c>
      <c r="I104" t="s">
        <v>31</v>
      </c>
      <c r="J104" s="3" t="str">
        <f t="shared" si="6"/>
        <v>2</v>
      </c>
      <c r="K104" t="s">
        <v>26</v>
      </c>
      <c r="L104" s="10" t="str">
        <f t="shared" si="7"/>
        <v>2</v>
      </c>
      <c r="M104" t="s">
        <v>37</v>
      </c>
      <c r="N104" s="3" t="str">
        <f t="shared" si="8"/>
        <v>0</v>
      </c>
      <c r="O104" s="9">
        <f t="shared" si="9"/>
        <v>24.4</v>
      </c>
    </row>
    <row r="105" spans="2:16" x14ac:dyDescent="0.2">
      <c r="B105">
        <v>59</v>
      </c>
      <c r="C105" s="3" t="s">
        <v>122</v>
      </c>
      <c r="D105" s="3" t="s">
        <v>78</v>
      </c>
      <c r="E105">
        <v>10</v>
      </c>
      <c r="F105" t="s">
        <v>284</v>
      </c>
      <c r="G105">
        <v>8</v>
      </c>
      <c r="H105" s="9">
        <f t="shared" si="5"/>
        <v>0.8</v>
      </c>
      <c r="I105" t="s">
        <v>31</v>
      </c>
      <c r="J105" s="3" t="str">
        <f t="shared" si="6"/>
        <v>2</v>
      </c>
      <c r="K105" t="s">
        <v>26</v>
      </c>
      <c r="L105" s="10" t="str">
        <f t="shared" si="7"/>
        <v>2</v>
      </c>
      <c r="M105" t="s">
        <v>37</v>
      </c>
      <c r="N105" s="3" t="str">
        <f t="shared" si="8"/>
        <v>0</v>
      </c>
      <c r="O105" s="9">
        <f t="shared" si="9"/>
        <v>24.4</v>
      </c>
      <c r="P105" t="s">
        <v>125</v>
      </c>
    </row>
    <row r="106" spans="2:16" x14ac:dyDescent="0.2">
      <c r="B106">
        <v>283</v>
      </c>
      <c r="C106" s="3">
        <v>14</v>
      </c>
      <c r="D106" s="3" t="s">
        <v>230</v>
      </c>
      <c r="E106">
        <v>14</v>
      </c>
      <c r="F106" t="s">
        <v>290</v>
      </c>
      <c r="G106">
        <v>24</v>
      </c>
      <c r="H106" s="9">
        <f t="shared" si="5"/>
        <v>2.4</v>
      </c>
      <c r="I106" t="s">
        <v>52</v>
      </c>
      <c r="J106" s="3" t="str">
        <f t="shared" si="6"/>
        <v>1</v>
      </c>
      <c r="K106" t="s">
        <v>26</v>
      </c>
      <c r="L106" s="10" t="str">
        <f t="shared" si="7"/>
        <v>2</v>
      </c>
      <c r="M106" t="s">
        <v>37</v>
      </c>
      <c r="N106" s="3" t="str">
        <f t="shared" si="8"/>
        <v>0</v>
      </c>
      <c r="O106" s="9">
        <f t="shared" si="9"/>
        <v>24.2</v>
      </c>
    </row>
    <row r="107" spans="2:16" x14ac:dyDescent="0.2">
      <c r="B107">
        <v>284</v>
      </c>
      <c r="C107" s="3">
        <v>14</v>
      </c>
      <c r="D107" s="3" t="s">
        <v>231</v>
      </c>
      <c r="E107">
        <v>15</v>
      </c>
      <c r="F107" t="s">
        <v>290</v>
      </c>
      <c r="G107">
        <v>24</v>
      </c>
      <c r="H107" s="9">
        <f t="shared" si="5"/>
        <v>2.4</v>
      </c>
      <c r="I107" t="s">
        <v>52</v>
      </c>
      <c r="J107" s="3" t="str">
        <f t="shared" si="6"/>
        <v>1</v>
      </c>
      <c r="K107" t="s">
        <v>26</v>
      </c>
      <c r="L107" s="10" t="str">
        <f t="shared" si="7"/>
        <v>2</v>
      </c>
      <c r="M107" t="s">
        <v>37</v>
      </c>
      <c r="N107" s="3" t="str">
        <f t="shared" si="8"/>
        <v>0</v>
      </c>
      <c r="O107" s="9">
        <f t="shared" si="9"/>
        <v>24.2</v>
      </c>
    </row>
    <row r="108" spans="2:16" x14ac:dyDescent="0.2">
      <c r="B108">
        <v>282</v>
      </c>
      <c r="C108" s="3">
        <v>14</v>
      </c>
      <c r="D108" s="3" t="s">
        <v>229</v>
      </c>
      <c r="E108">
        <v>13</v>
      </c>
      <c r="F108" t="s">
        <v>290</v>
      </c>
      <c r="G108">
        <v>24</v>
      </c>
      <c r="H108" s="9">
        <f t="shared" si="5"/>
        <v>2.4</v>
      </c>
      <c r="I108" t="s">
        <v>52</v>
      </c>
      <c r="J108" s="3" t="str">
        <f t="shared" si="6"/>
        <v>1</v>
      </c>
      <c r="K108" t="s">
        <v>26</v>
      </c>
      <c r="L108" s="10" t="str">
        <f t="shared" si="7"/>
        <v>2</v>
      </c>
      <c r="M108" t="s">
        <v>37</v>
      </c>
      <c r="N108" s="3" t="str">
        <f t="shared" si="8"/>
        <v>0</v>
      </c>
      <c r="O108" s="9">
        <f t="shared" si="9"/>
        <v>24.2</v>
      </c>
    </row>
    <row r="109" spans="2:16" x14ac:dyDescent="0.2">
      <c r="B109">
        <v>192</v>
      </c>
      <c r="C109" s="3">
        <v>15</v>
      </c>
      <c r="D109" s="3" t="s">
        <v>78</v>
      </c>
      <c r="E109">
        <v>4</v>
      </c>
      <c r="F109" t="s">
        <v>288</v>
      </c>
      <c r="G109">
        <v>24</v>
      </c>
      <c r="H109" s="9">
        <f t="shared" si="5"/>
        <v>2.4</v>
      </c>
      <c r="I109" t="s">
        <v>52</v>
      </c>
      <c r="J109" s="3" t="str">
        <f t="shared" si="6"/>
        <v>1</v>
      </c>
      <c r="K109" t="s">
        <v>26</v>
      </c>
      <c r="L109" s="10" t="str">
        <f t="shared" si="7"/>
        <v>2</v>
      </c>
      <c r="M109" t="s">
        <v>37</v>
      </c>
      <c r="N109" s="3" t="str">
        <f t="shared" si="8"/>
        <v>0</v>
      </c>
      <c r="O109" s="9">
        <f t="shared" si="9"/>
        <v>24.2</v>
      </c>
    </row>
    <row r="110" spans="2:16" x14ac:dyDescent="0.2">
      <c r="B110">
        <v>233</v>
      </c>
      <c r="C110" s="3" t="s">
        <v>300</v>
      </c>
      <c r="D110" s="3" t="s">
        <v>78</v>
      </c>
      <c r="E110">
        <v>23</v>
      </c>
      <c r="F110" t="s">
        <v>260</v>
      </c>
      <c r="G110">
        <v>7</v>
      </c>
      <c r="H110" s="9">
        <f t="shared" si="5"/>
        <v>0.7</v>
      </c>
      <c r="I110" t="s">
        <v>31</v>
      </c>
      <c r="J110" s="3" t="str">
        <f t="shared" si="6"/>
        <v>2</v>
      </c>
      <c r="K110" t="s">
        <v>26</v>
      </c>
      <c r="L110" s="10" t="str">
        <f t="shared" si="7"/>
        <v>2</v>
      </c>
      <c r="M110" t="s">
        <v>37</v>
      </c>
      <c r="N110" s="3" t="str">
        <f t="shared" si="8"/>
        <v>0</v>
      </c>
      <c r="O110" s="9">
        <f t="shared" si="9"/>
        <v>24.1</v>
      </c>
      <c r="P110" t="s">
        <v>51</v>
      </c>
    </row>
    <row r="111" spans="2:16" x14ac:dyDescent="0.2">
      <c r="B111">
        <v>168</v>
      </c>
      <c r="C111" s="3" t="s">
        <v>174</v>
      </c>
      <c r="D111" s="3" t="s">
        <v>78</v>
      </c>
      <c r="E111">
        <v>12</v>
      </c>
      <c r="F111" t="s">
        <v>276</v>
      </c>
      <c r="G111">
        <v>7</v>
      </c>
      <c r="H111" s="9">
        <f t="shared" si="5"/>
        <v>0.7</v>
      </c>
      <c r="I111" t="s">
        <v>31</v>
      </c>
      <c r="J111" s="3" t="str">
        <f t="shared" si="6"/>
        <v>2</v>
      </c>
      <c r="K111" t="s">
        <v>26</v>
      </c>
      <c r="L111" s="10" t="str">
        <f t="shared" si="7"/>
        <v>2</v>
      </c>
      <c r="M111" t="s">
        <v>37</v>
      </c>
      <c r="N111" s="3" t="str">
        <f t="shared" si="8"/>
        <v>0</v>
      </c>
      <c r="O111" s="9">
        <f t="shared" si="9"/>
        <v>24.1</v>
      </c>
    </row>
    <row r="112" spans="2:16" x14ac:dyDescent="0.2">
      <c r="B112">
        <v>169</v>
      </c>
      <c r="C112" s="3" t="s">
        <v>174</v>
      </c>
      <c r="D112" s="3" t="s">
        <v>78</v>
      </c>
      <c r="E112">
        <v>13</v>
      </c>
      <c r="F112" t="s">
        <v>276</v>
      </c>
      <c r="G112">
        <v>7</v>
      </c>
      <c r="H112" s="9">
        <f t="shared" si="5"/>
        <v>0.7</v>
      </c>
      <c r="I112" t="s">
        <v>31</v>
      </c>
      <c r="J112" s="3" t="str">
        <f t="shared" si="6"/>
        <v>2</v>
      </c>
      <c r="K112" t="s">
        <v>26</v>
      </c>
      <c r="L112" s="10" t="str">
        <f t="shared" si="7"/>
        <v>2</v>
      </c>
      <c r="M112" t="s">
        <v>37</v>
      </c>
      <c r="N112" s="3" t="str">
        <f t="shared" si="8"/>
        <v>0</v>
      </c>
      <c r="O112" s="9">
        <f t="shared" si="9"/>
        <v>24.1</v>
      </c>
    </row>
    <row r="113" spans="2:16" x14ac:dyDescent="0.2">
      <c r="B113">
        <v>77</v>
      </c>
      <c r="C113" s="3">
        <v>6</v>
      </c>
      <c r="D113" s="3" t="s">
        <v>153</v>
      </c>
      <c r="E113">
        <v>1</v>
      </c>
      <c r="F113" t="s">
        <v>276</v>
      </c>
      <c r="G113">
        <v>6</v>
      </c>
      <c r="H113" s="9">
        <f t="shared" si="5"/>
        <v>0.6</v>
      </c>
      <c r="I113" t="s">
        <v>31</v>
      </c>
      <c r="J113" s="3" t="str">
        <f t="shared" si="6"/>
        <v>2</v>
      </c>
      <c r="K113" t="s">
        <v>26</v>
      </c>
      <c r="L113" s="10" t="str">
        <f t="shared" si="7"/>
        <v>2</v>
      </c>
      <c r="M113" t="s">
        <v>37</v>
      </c>
      <c r="N113" s="3" t="str">
        <f t="shared" si="8"/>
        <v>0</v>
      </c>
      <c r="O113" s="9">
        <f t="shared" si="9"/>
        <v>23.8</v>
      </c>
      <c r="P113" t="s">
        <v>151</v>
      </c>
    </row>
    <row r="114" spans="2:16" x14ac:dyDescent="0.2">
      <c r="B114">
        <v>81</v>
      </c>
      <c r="C114" s="3">
        <v>10</v>
      </c>
      <c r="D114" s="3" t="s">
        <v>158</v>
      </c>
      <c r="E114">
        <v>1</v>
      </c>
      <c r="F114" t="s">
        <v>286</v>
      </c>
      <c r="G114">
        <v>6</v>
      </c>
      <c r="H114" s="9">
        <f t="shared" si="5"/>
        <v>0.6</v>
      </c>
      <c r="I114" t="s">
        <v>31</v>
      </c>
      <c r="J114" s="3" t="str">
        <f t="shared" si="6"/>
        <v>2</v>
      </c>
      <c r="K114" t="s">
        <v>26</v>
      </c>
      <c r="L114" s="10" t="str">
        <f t="shared" si="7"/>
        <v>2</v>
      </c>
      <c r="M114" t="s">
        <v>37</v>
      </c>
      <c r="N114" s="3" t="str">
        <f t="shared" si="8"/>
        <v>0</v>
      </c>
      <c r="O114" s="9">
        <f t="shared" si="9"/>
        <v>23.8</v>
      </c>
      <c r="P114" t="s">
        <v>157</v>
      </c>
    </row>
    <row r="115" spans="2:16" x14ac:dyDescent="0.2">
      <c r="B115">
        <v>194</v>
      </c>
      <c r="C115" s="3">
        <v>19</v>
      </c>
      <c r="D115" s="3" t="s">
        <v>78</v>
      </c>
      <c r="E115">
        <v>1</v>
      </c>
      <c r="F115" t="s">
        <v>284</v>
      </c>
      <c r="G115">
        <v>6</v>
      </c>
      <c r="H115" s="9">
        <f t="shared" si="5"/>
        <v>0.6</v>
      </c>
      <c r="I115" t="s">
        <v>31</v>
      </c>
      <c r="J115" s="3" t="str">
        <f t="shared" si="6"/>
        <v>2</v>
      </c>
      <c r="K115" t="s">
        <v>26</v>
      </c>
      <c r="L115" s="10" t="str">
        <f t="shared" si="7"/>
        <v>2</v>
      </c>
      <c r="M115" t="s">
        <v>37</v>
      </c>
      <c r="N115" s="3" t="str">
        <f t="shared" si="8"/>
        <v>0</v>
      </c>
      <c r="O115" s="9">
        <f t="shared" si="9"/>
        <v>23.8</v>
      </c>
    </row>
    <row r="116" spans="2:16" x14ac:dyDescent="0.2">
      <c r="B116">
        <v>201</v>
      </c>
      <c r="C116" s="3" t="s">
        <v>232</v>
      </c>
      <c r="D116" s="3" t="s">
        <v>246</v>
      </c>
      <c r="E116">
        <v>1</v>
      </c>
      <c r="F116" t="s">
        <v>277</v>
      </c>
      <c r="G116">
        <v>6</v>
      </c>
      <c r="H116" s="9">
        <f t="shared" si="5"/>
        <v>0.6</v>
      </c>
      <c r="I116" t="s">
        <v>31</v>
      </c>
      <c r="J116" s="3" t="str">
        <f t="shared" si="6"/>
        <v>2</v>
      </c>
      <c r="K116" t="s">
        <v>26</v>
      </c>
      <c r="L116" s="10" t="str">
        <f t="shared" si="7"/>
        <v>2</v>
      </c>
      <c r="M116" t="s">
        <v>37</v>
      </c>
      <c r="N116" s="3" t="str">
        <f t="shared" si="8"/>
        <v>0</v>
      </c>
      <c r="O116" s="9">
        <f t="shared" si="9"/>
        <v>23.8</v>
      </c>
    </row>
    <row r="117" spans="2:16" x14ac:dyDescent="0.2">
      <c r="B117">
        <v>206</v>
      </c>
      <c r="C117" s="3" t="s">
        <v>232</v>
      </c>
      <c r="D117" s="3" t="s">
        <v>249</v>
      </c>
      <c r="E117">
        <v>4</v>
      </c>
      <c r="F117" t="s">
        <v>274</v>
      </c>
      <c r="G117">
        <v>6</v>
      </c>
      <c r="H117" s="9">
        <f t="shared" si="5"/>
        <v>0.6</v>
      </c>
      <c r="I117" t="s">
        <v>31</v>
      </c>
      <c r="J117" s="3" t="str">
        <f t="shared" si="6"/>
        <v>2</v>
      </c>
      <c r="K117" t="s">
        <v>26</v>
      </c>
      <c r="L117" s="10" t="str">
        <f t="shared" si="7"/>
        <v>2</v>
      </c>
      <c r="M117" t="s">
        <v>37</v>
      </c>
      <c r="N117" s="3" t="str">
        <f t="shared" si="8"/>
        <v>0</v>
      </c>
      <c r="O117" s="9">
        <f t="shared" si="9"/>
        <v>23.8</v>
      </c>
    </row>
    <row r="118" spans="2:16" x14ac:dyDescent="0.2">
      <c r="B118">
        <v>207</v>
      </c>
      <c r="C118" s="3" t="s">
        <v>232</v>
      </c>
      <c r="D118" s="3" t="s">
        <v>250</v>
      </c>
      <c r="E118">
        <v>5</v>
      </c>
      <c r="F118" t="s">
        <v>274</v>
      </c>
      <c r="G118">
        <v>6</v>
      </c>
      <c r="H118" s="9">
        <f t="shared" si="5"/>
        <v>0.6</v>
      </c>
      <c r="I118" t="s">
        <v>31</v>
      </c>
      <c r="J118" s="3" t="str">
        <f t="shared" si="6"/>
        <v>2</v>
      </c>
      <c r="K118" t="s">
        <v>26</v>
      </c>
      <c r="L118" s="10" t="str">
        <f t="shared" si="7"/>
        <v>2</v>
      </c>
      <c r="M118" t="s">
        <v>37</v>
      </c>
      <c r="N118" s="3" t="str">
        <f t="shared" si="8"/>
        <v>0</v>
      </c>
      <c r="O118" s="9">
        <f t="shared" si="9"/>
        <v>23.8</v>
      </c>
    </row>
    <row r="119" spans="2:16" x14ac:dyDescent="0.2">
      <c r="B119">
        <v>232</v>
      </c>
      <c r="C119" s="3" t="s">
        <v>300</v>
      </c>
      <c r="D119" s="3" t="s">
        <v>78</v>
      </c>
      <c r="E119">
        <v>22</v>
      </c>
      <c r="F119" t="s">
        <v>260</v>
      </c>
      <c r="G119">
        <v>6</v>
      </c>
      <c r="H119" s="9">
        <f t="shared" si="5"/>
        <v>0.6</v>
      </c>
      <c r="I119" t="s">
        <v>31</v>
      </c>
      <c r="J119" s="3" t="str">
        <f t="shared" si="6"/>
        <v>2</v>
      </c>
      <c r="K119" t="s">
        <v>26</v>
      </c>
      <c r="L119" s="10" t="str">
        <f t="shared" si="7"/>
        <v>2</v>
      </c>
      <c r="M119" t="s">
        <v>37</v>
      </c>
      <c r="N119" s="3" t="str">
        <f t="shared" si="8"/>
        <v>0</v>
      </c>
      <c r="O119" s="9">
        <f t="shared" si="9"/>
        <v>23.8</v>
      </c>
      <c r="P119" t="s">
        <v>40</v>
      </c>
    </row>
    <row r="120" spans="2:16" x14ac:dyDescent="0.2">
      <c r="B120">
        <v>174</v>
      </c>
      <c r="C120" s="3" t="s">
        <v>77</v>
      </c>
      <c r="D120" s="3" t="s">
        <v>218</v>
      </c>
      <c r="E120">
        <v>5</v>
      </c>
      <c r="F120" t="s">
        <v>63</v>
      </c>
      <c r="G120">
        <v>5</v>
      </c>
      <c r="H120" s="9">
        <f t="shared" si="5"/>
        <v>0.5</v>
      </c>
      <c r="I120" t="s">
        <v>31</v>
      </c>
      <c r="J120" s="3" t="str">
        <f t="shared" si="6"/>
        <v>2</v>
      </c>
      <c r="K120" t="s">
        <v>26</v>
      </c>
      <c r="L120" s="10" t="str">
        <f t="shared" si="7"/>
        <v>2</v>
      </c>
      <c r="M120" t="s">
        <v>37</v>
      </c>
      <c r="N120" s="3" t="str">
        <f t="shared" si="8"/>
        <v>0</v>
      </c>
      <c r="O120" s="9">
        <f t="shared" si="9"/>
        <v>23.5</v>
      </c>
    </row>
    <row r="121" spans="2:16" x14ac:dyDescent="0.2">
      <c r="B121">
        <v>338</v>
      </c>
      <c r="C121" s="3" t="s">
        <v>238</v>
      </c>
      <c r="D121" s="3" t="s">
        <v>78</v>
      </c>
      <c r="E121">
        <v>32</v>
      </c>
      <c r="F121" t="s">
        <v>268</v>
      </c>
      <c r="G121">
        <v>5</v>
      </c>
      <c r="H121" s="9">
        <f t="shared" si="5"/>
        <v>0.5</v>
      </c>
      <c r="I121" t="s">
        <v>31</v>
      </c>
      <c r="J121" s="3" t="str">
        <f t="shared" si="6"/>
        <v>2</v>
      </c>
      <c r="K121" t="s">
        <v>26</v>
      </c>
      <c r="L121" s="10" t="str">
        <f t="shared" si="7"/>
        <v>2</v>
      </c>
      <c r="M121" t="s">
        <v>37</v>
      </c>
      <c r="N121" s="3" t="str">
        <f t="shared" si="8"/>
        <v>0</v>
      </c>
      <c r="O121" s="9">
        <f t="shared" si="9"/>
        <v>23.5</v>
      </c>
    </row>
    <row r="122" spans="2:16" x14ac:dyDescent="0.2">
      <c r="B122">
        <v>341</v>
      </c>
      <c r="C122" s="3" t="s">
        <v>238</v>
      </c>
      <c r="D122" s="3" t="s">
        <v>78</v>
      </c>
      <c r="E122">
        <v>35</v>
      </c>
      <c r="F122" t="s">
        <v>283</v>
      </c>
      <c r="G122">
        <v>5</v>
      </c>
      <c r="H122" s="9">
        <f t="shared" si="5"/>
        <v>0.5</v>
      </c>
      <c r="I122" t="s">
        <v>31</v>
      </c>
      <c r="J122" s="3" t="str">
        <f t="shared" si="6"/>
        <v>2</v>
      </c>
      <c r="K122" t="s">
        <v>26</v>
      </c>
      <c r="L122" s="10" t="str">
        <f t="shared" si="7"/>
        <v>2</v>
      </c>
      <c r="M122" t="s">
        <v>37</v>
      </c>
      <c r="N122" s="3" t="str">
        <f t="shared" si="8"/>
        <v>0</v>
      </c>
      <c r="O122" s="9">
        <f t="shared" si="9"/>
        <v>23.5</v>
      </c>
    </row>
    <row r="123" spans="2:16" x14ac:dyDescent="0.2">
      <c r="B123">
        <v>50</v>
      </c>
      <c r="C123" s="3" t="s">
        <v>122</v>
      </c>
      <c r="D123" s="3" t="s">
        <v>78</v>
      </c>
      <c r="E123">
        <v>1</v>
      </c>
      <c r="F123" t="s">
        <v>285</v>
      </c>
      <c r="G123">
        <v>5</v>
      </c>
      <c r="H123" s="9">
        <f t="shared" si="5"/>
        <v>0.5</v>
      </c>
      <c r="I123" t="s">
        <v>31</v>
      </c>
      <c r="J123" s="3" t="str">
        <f t="shared" si="6"/>
        <v>2</v>
      </c>
      <c r="K123" t="s">
        <v>26</v>
      </c>
      <c r="L123" s="10" t="str">
        <f t="shared" si="7"/>
        <v>2</v>
      </c>
      <c r="M123" t="s">
        <v>37</v>
      </c>
      <c r="N123" s="3" t="str">
        <f t="shared" si="8"/>
        <v>0</v>
      </c>
      <c r="O123" s="9">
        <f t="shared" si="9"/>
        <v>23.5</v>
      </c>
      <c r="P123" t="s">
        <v>121</v>
      </c>
    </row>
    <row r="124" spans="2:16" x14ac:dyDescent="0.2">
      <c r="B124">
        <v>51</v>
      </c>
      <c r="C124" s="3" t="s">
        <v>122</v>
      </c>
      <c r="D124" s="3" t="s">
        <v>78</v>
      </c>
      <c r="E124">
        <v>2</v>
      </c>
      <c r="F124" t="s">
        <v>285</v>
      </c>
      <c r="G124">
        <v>5</v>
      </c>
      <c r="H124" s="9">
        <f t="shared" si="5"/>
        <v>0.5</v>
      </c>
      <c r="I124" t="s">
        <v>31</v>
      </c>
      <c r="J124" s="3" t="str">
        <f t="shared" si="6"/>
        <v>2</v>
      </c>
      <c r="K124" t="s">
        <v>26</v>
      </c>
      <c r="L124" s="10" t="str">
        <f t="shared" si="7"/>
        <v>2</v>
      </c>
      <c r="M124" t="s">
        <v>37</v>
      </c>
      <c r="N124" s="3" t="str">
        <f t="shared" si="8"/>
        <v>0</v>
      </c>
      <c r="O124" s="9">
        <f t="shared" si="9"/>
        <v>23.5</v>
      </c>
      <c r="P124" t="s">
        <v>123</v>
      </c>
    </row>
    <row r="125" spans="2:16" x14ac:dyDescent="0.2">
      <c r="B125">
        <v>52</v>
      </c>
      <c r="C125" s="3" t="s">
        <v>122</v>
      </c>
      <c r="D125" s="3" t="s">
        <v>78</v>
      </c>
      <c r="E125">
        <v>3</v>
      </c>
      <c r="F125" t="s">
        <v>285</v>
      </c>
      <c r="G125">
        <v>5</v>
      </c>
      <c r="H125" s="9">
        <f t="shared" si="5"/>
        <v>0.5</v>
      </c>
      <c r="I125" t="s">
        <v>31</v>
      </c>
      <c r="J125" s="3" t="str">
        <f t="shared" si="6"/>
        <v>2</v>
      </c>
      <c r="K125" t="s">
        <v>26</v>
      </c>
      <c r="L125" s="10" t="str">
        <f t="shared" si="7"/>
        <v>2</v>
      </c>
      <c r="M125" t="s">
        <v>37</v>
      </c>
      <c r="N125" s="3" t="str">
        <f t="shared" si="8"/>
        <v>0</v>
      </c>
      <c r="O125" s="9">
        <f t="shared" si="9"/>
        <v>23.5</v>
      </c>
    </row>
    <row r="126" spans="2:16" x14ac:dyDescent="0.2">
      <c r="B126">
        <v>53</v>
      </c>
      <c r="C126" s="3" t="s">
        <v>122</v>
      </c>
      <c r="D126" s="3" t="s">
        <v>78</v>
      </c>
      <c r="E126">
        <v>4</v>
      </c>
      <c r="F126" t="s">
        <v>285</v>
      </c>
      <c r="G126">
        <v>5</v>
      </c>
      <c r="H126" s="9">
        <f t="shared" si="5"/>
        <v>0.5</v>
      </c>
      <c r="I126" t="s">
        <v>31</v>
      </c>
      <c r="J126" s="3" t="str">
        <f t="shared" si="6"/>
        <v>2</v>
      </c>
      <c r="K126" t="s">
        <v>26</v>
      </c>
      <c r="L126" s="10" t="str">
        <f t="shared" si="7"/>
        <v>2</v>
      </c>
      <c r="M126" t="s">
        <v>37</v>
      </c>
      <c r="N126" s="3" t="str">
        <f t="shared" si="8"/>
        <v>0</v>
      </c>
      <c r="O126" s="9">
        <f t="shared" si="9"/>
        <v>23.5</v>
      </c>
    </row>
    <row r="127" spans="2:16" x14ac:dyDescent="0.2">
      <c r="B127">
        <v>54</v>
      </c>
      <c r="C127" s="3" t="s">
        <v>122</v>
      </c>
      <c r="D127" s="3" t="s">
        <v>78</v>
      </c>
      <c r="E127">
        <v>5</v>
      </c>
      <c r="F127" t="s">
        <v>285</v>
      </c>
      <c r="G127">
        <v>5</v>
      </c>
      <c r="H127" s="9">
        <f t="shared" si="5"/>
        <v>0.5</v>
      </c>
      <c r="I127" t="s">
        <v>31</v>
      </c>
      <c r="J127" s="3" t="str">
        <f t="shared" si="6"/>
        <v>2</v>
      </c>
      <c r="K127" t="s">
        <v>26</v>
      </c>
      <c r="L127" s="10" t="str">
        <f t="shared" si="7"/>
        <v>2</v>
      </c>
      <c r="M127" t="s">
        <v>37</v>
      </c>
      <c r="N127" s="3" t="str">
        <f t="shared" si="8"/>
        <v>0</v>
      </c>
      <c r="O127" s="9">
        <f t="shared" si="9"/>
        <v>23.5</v>
      </c>
    </row>
    <row r="128" spans="2:16" x14ac:dyDescent="0.2">
      <c r="B128">
        <v>315</v>
      </c>
      <c r="C128" s="3" t="s">
        <v>238</v>
      </c>
      <c r="D128" s="3" t="s">
        <v>78</v>
      </c>
      <c r="E128">
        <v>9</v>
      </c>
      <c r="F128" t="s">
        <v>290</v>
      </c>
      <c r="G128">
        <v>4</v>
      </c>
      <c r="H128" s="9">
        <f t="shared" si="5"/>
        <v>0.4</v>
      </c>
      <c r="I128" t="s">
        <v>31</v>
      </c>
      <c r="J128" s="3" t="str">
        <f t="shared" si="6"/>
        <v>2</v>
      </c>
      <c r="K128" t="s">
        <v>26</v>
      </c>
      <c r="L128" s="10" t="str">
        <f t="shared" si="7"/>
        <v>2</v>
      </c>
      <c r="M128" t="s">
        <v>37</v>
      </c>
      <c r="N128" s="3" t="str">
        <f t="shared" si="8"/>
        <v>0</v>
      </c>
      <c r="O128" s="9">
        <f t="shared" si="9"/>
        <v>23.2</v>
      </c>
    </row>
    <row r="129" spans="2:16" x14ac:dyDescent="0.2">
      <c r="B129">
        <v>259</v>
      </c>
      <c r="C129" s="3" t="s">
        <v>184</v>
      </c>
      <c r="D129" s="3" t="s">
        <v>198</v>
      </c>
      <c r="E129">
        <v>20</v>
      </c>
      <c r="F129" t="s">
        <v>276</v>
      </c>
      <c r="G129">
        <v>4</v>
      </c>
      <c r="H129" s="9">
        <f t="shared" si="5"/>
        <v>0.4</v>
      </c>
      <c r="I129" t="s">
        <v>31</v>
      </c>
      <c r="J129" s="3" t="str">
        <f t="shared" si="6"/>
        <v>2</v>
      </c>
      <c r="K129" t="s">
        <v>26</v>
      </c>
      <c r="L129" s="10" t="str">
        <f t="shared" si="7"/>
        <v>2</v>
      </c>
      <c r="M129" t="s">
        <v>37</v>
      </c>
      <c r="N129" s="3" t="str">
        <f t="shared" si="8"/>
        <v>0</v>
      </c>
      <c r="O129" s="9">
        <f t="shared" si="9"/>
        <v>23.2</v>
      </c>
    </row>
    <row r="130" spans="2:16" x14ac:dyDescent="0.2">
      <c r="B130">
        <v>137</v>
      </c>
      <c r="C130" s="3" t="s">
        <v>168</v>
      </c>
      <c r="D130" s="3" t="s">
        <v>78</v>
      </c>
      <c r="E130">
        <v>4</v>
      </c>
      <c r="F130" t="s">
        <v>287</v>
      </c>
      <c r="G130">
        <v>4</v>
      </c>
      <c r="H130" s="9">
        <f t="shared" si="5"/>
        <v>0.4</v>
      </c>
      <c r="I130" t="s">
        <v>31</v>
      </c>
      <c r="J130" s="3" t="str">
        <f t="shared" si="6"/>
        <v>2</v>
      </c>
      <c r="K130" t="s">
        <v>26</v>
      </c>
      <c r="L130" s="10" t="str">
        <f t="shared" si="7"/>
        <v>2</v>
      </c>
      <c r="M130" t="s">
        <v>37</v>
      </c>
      <c r="N130" s="3" t="str">
        <f t="shared" si="8"/>
        <v>0</v>
      </c>
      <c r="O130" s="9">
        <f t="shared" si="9"/>
        <v>23.2</v>
      </c>
    </row>
    <row r="131" spans="2:16" x14ac:dyDescent="0.2">
      <c r="B131">
        <v>138</v>
      </c>
      <c r="C131" s="3" t="s">
        <v>168</v>
      </c>
      <c r="D131" s="3" t="s">
        <v>78</v>
      </c>
      <c r="E131">
        <v>5</v>
      </c>
      <c r="F131" t="s">
        <v>287</v>
      </c>
      <c r="G131">
        <v>4</v>
      </c>
      <c r="H131" s="9">
        <f t="shared" ref="H131:H194" si="10">G131/10</f>
        <v>0.4</v>
      </c>
      <c r="I131" t="s">
        <v>31</v>
      </c>
      <c r="J131" s="3" t="str">
        <f t="shared" ref="J131:J194" si="11">IF(I131="N/A","0",IF(I131="Excellent","1",IF(I131="Very Good","1",IF(I131="Good","2",IF(I131="Fair","3",IF(I131="Poor","4",IF(I131="Critical","5",IF(I131="Dead","5"))))))))</f>
        <v>2</v>
      </c>
      <c r="K131" t="s">
        <v>26</v>
      </c>
      <c r="L131" s="10" t="str">
        <f t="shared" ref="L131:L194" si="12">IF(K131="Removal","5",IF(K131="Pruning: Deadwood 1","4",IF(K131="Pruning: Deadwood 2","3",IF(K131="Pruning: Routine","2",IF(K131="Pruning: Training","1",IF(K131="Plant","0",IF(K131="Other - see notes","0",)))))))</f>
        <v>2</v>
      </c>
      <c r="M131" t="s">
        <v>37</v>
      </c>
      <c r="N131" s="3" t="str">
        <f t="shared" ref="N131:N194" si="13">IF(M131="no risk","0",IF(M131="None","0",IF(M131="Minimal Risk","1",IF(M131="Moderate Risk","2",IF(M131="High Risk","4",IF(M131="Severe Risk","5"))))))</f>
        <v>0</v>
      </c>
      <c r="O131" s="9">
        <f t="shared" ref="O131:O194" si="14">($G$2*H131)+($I$2*J131)+($K$2*L131)+($M$2*N131)</f>
        <v>23.2</v>
      </c>
    </row>
    <row r="132" spans="2:16" x14ac:dyDescent="0.2">
      <c r="B132">
        <v>139</v>
      </c>
      <c r="C132" s="3" t="s">
        <v>168</v>
      </c>
      <c r="D132" s="3" t="s">
        <v>78</v>
      </c>
      <c r="E132">
        <v>6</v>
      </c>
      <c r="F132" t="s">
        <v>298</v>
      </c>
      <c r="G132">
        <v>4</v>
      </c>
      <c r="H132" s="9">
        <f t="shared" si="10"/>
        <v>0.4</v>
      </c>
      <c r="I132" t="s">
        <v>31</v>
      </c>
      <c r="J132" s="3" t="str">
        <f t="shared" si="11"/>
        <v>2</v>
      </c>
      <c r="K132" t="s">
        <v>26</v>
      </c>
      <c r="L132" s="10" t="str">
        <f t="shared" si="12"/>
        <v>2</v>
      </c>
      <c r="M132" t="s">
        <v>37</v>
      </c>
      <c r="N132" s="3" t="str">
        <f t="shared" si="13"/>
        <v>0</v>
      </c>
      <c r="O132" s="9">
        <f t="shared" si="14"/>
        <v>23.2</v>
      </c>
      <c r="P132" t="s">
        <v>43</v>
      </c>
    </row>
    <row r="133" spans="2:16" x14ac:dyDescent="0.2">
      <c r="B133">
        <v>140</v>
      </c>
      <c r="C133" s="3" t="s">
        <v>168</v>
      </c>
      <c r="D133" s="3" t="s">
        <v>78</v>
      </c>
      <c r="E133">
        <v>7</v>
      </c>
      <c r="F133" t="s">
        <v>298</v>
      </c>
      <c r="G133">
        <v>4</v>
      </c>
      <c r="H133" s="9">
        <f t="shared" si="10"/>
        <v>0.4</v>
      </c>
      <c r="I133" t="s">
        <v>31</v>
      </c>
      <c r="J133" s="3" t="str">
        <f t="shared" si="11"/>
        <v>2</v>
      </c>
      <c r="K133" t="s">
        <v>26</v>
      </c>
      <c r="L133" s="10" t="str">
        <f t="shared" si="12"/>
        <v>2</v>
      </c>
      <c r="M133" t="s">
        <v>37</v>
      </c>
      <c r="N133" s="3" t="str">
        <f t="shared" si="13"/>
        <v>0</v>
      </c>
      <c r="O133" s="9">
        <f t="shared" si="14"/>
        <v>23.2</v>
      </c>
      <c r="P133" t="s">
        <v>43</v>
      </c>
    </row>
    <row r="134" spans="2:16" x14ac:dyDescent="0.2">
      <c r="B134">
        <v>141</v>
      </c>
      <c r="C134" s="3" t="s">
        <v>168</v>
      </c>
      <c r="D134" s="3" t="s">
        <v>78</v>
      </c>
      <c r="E134">
        <v>8</v>
      </c>
      <c r="F134" t="s">
        <v>298</v>
      </c>
      <c r="G134">
        <v>4</v>
      </c>
      <c r="H134" s="9">
        <f t="shared" si="10"/>
        <v>0.4</v>
      </c>
      <c r="I134" t="s">
        <v>31</v>
      </c>
      <c r="J134" s="3" t="str">
        <f t="shared" si="11"/>
        <v>2</v>
      </c>
      <c r="K134" t="s">
        <v>26</v>
      </c>
      <c r="L134" s="10" t="str">
        <f t="shared" si="12"/>
        <v>2</v>
      </c>
      <c r="M134" t="s">
        <v>37</v>
      </c>
      <c r="N134" s="3" t="str">
        <f t="shared" si="13"/>
        <v>0</v>
      </c>
      <c r="O134" s="9">
        <f t="shared" si="14"/>
        <v>23.2</v>
      </c>
      <c r="P134" t="s">
        <v>43</v>
      </c>
    </row>
    <row r="135" spans="2:16" x14ac:dyDescent="0.2">
      <c r="B135">
        <v>142</v>
      </c>
      <c r="C135" s="3" t="s">
        <v>168</v>
      </c>
      <c r="D135" s="3" t="s">
        <v>78</v>
      </c>
      <c r="E135">
        <v>9</v>
      </c>
      <c r="F135" t="s">
        <v>298</v>
      </c>
      <c r="G135">
        <v>4</v>
      </c>
      <c r="H135" s="9">
        <f t="shared" si="10"/>
        <v>0.4</v>
      </c>
      <c r="I135" t="s">
        <v>31</v>
      </c>
      <c r="J135" s="3" t="str">
        <f t="shared" si="11"/>
        <v>2</v>
      </c>
      <c r="K135" t="s">
        <v>26</v>
      </c>
      <c r="L135" s="10" t="str">
        <f t="shared" si="12"/>
        <v>2</v>
      </c>
      <c r="M135" t="s">
        <v>37</v>
      </c>
      <c r="N135" s="3" t="str">
        <f t="shared" si="13"/>
        <v>0</v>
      </c>
      <c r="O135" s="9">
        <f t="shared" si="14"/>
        <v>23.2</v>
      </c>
      <c r="P135" t="s">
        <v>43</v>
      </c>
    </row>
    <row r="136" spans="2:16" x14ac:dyDescent="0.2">
      <c r="B136">
        <v>149</v>
      </c>
      <c r="C136" s="3" t="s">
        <v>168</v>
      </c>
      <c r="D136" s="3" t="s">
        <v>78</v>
      </c>
      <c r="E136">
        <v>16</v>
      </c>
      <c r="F136" t="s">
        <v>287</v>
      </c>
      <c r="G136">
        <v>4</v>
      </c>
      <c r="H136" s="9">
        <f t="shared" si="10"/>
        <v>0.4</v>
      </c>
      <c r="I136" t="s">
        <v>31</v>
      </c>
      <c r="J136" s="3" t="str">
        <f t="shared" si="11"/>
        <v>2</v>
      </c>
      <c r="K136" t="s">
        <v>26</v>
      </c>
      <c r="L136" s="10" t="str">
        <f t="shared" si="12"/>
        <v>2</v>
      </c>
      <c r="M136" t="s">
        <v>37</v>
      </c>
      <c r="N136" s="3" t="str">
        <f t="shared" si="13"/>
        <v>0</v>
      </c>
      <c r="O136" s="9">
        <f t="shared" si="14"/>
        <v>23.2</v>
      </c>
    </row>
    <row r="137" spans="2:16" x14ac:dyDescent="0.2">
      <c r="B137">
        <v>72</v>
      </c>
      <c r="C137" s="3" t="s">
        <v>144</v>
      </c>
      <c r="D137" s="3" t="s">
        <v>145</v>
      </c>
      <c r="E137">
        <v>6</v>
      </c>
      <c r="F137" t="s">
        <v>293</v>
      </c>
      <c r="G137">
        <v>20</v>
      </c>
      <c r="H137" s="9">
        <f t="shared" si="10"/>
        <v>2</v>
      </c>
      <c r="I137" t="s">
        <v>52</v>
      </c>
      <c r="J137" s="3" t="str">
        <f t="shared" si="11"/>
        <v>1</v>
      </c>
      <c r="K137" t="s">
        <v>26</v>
      </c>
      <c r="L137" s="10" t="str">
        <f t="shared" si="12"/>
        <v>2</v>
      </c>
      <c r="M137" t="s">
        <v>37</v>
      </c>
      <c r="N137" s="3" t="str">
        <f t="shared" si="13"/>
        <v>0</v>
      </c>
      <c r="O137" s="9">
        <f t="shared" si="14"/>
        <v>23</v>
      </c>
    </row>
    <row r="138" spans="2:16" x14ac:dyDescent="0.2">
      <c r="B138">
        <v>71</v>
      </c>
      <c r="C138" s="3" t="s">
        <v>55</v>
      </c>
      <c r="D138" s="3" t="s">
        <v>143</v>
      </c>
      <c r="E138">
        <v>1</v>
      </c>
      <c r="F138" t="s">
        <v>293</v>
      </c>
      <c r="G138">
        <v>20</v>
      </c>
      <c r="H138" s="9">
        <f t="shared" si="10"/>
        <v>2</v>
      </c>
      <c r="I138" t="s">
        <v>52</v>
      </c>
      <c r="J138" s="3" t="str">
        <f t="shared" si="11"/>
        <v>1</v>
      </c>
      <c r="K138" t="s">
        <v>26</v>
      </c>
      <c r="L138" s="10" t="str">
        <f t="shared" si="12"/>
        <v>2</v>
      </c>
      <c r="M138" t="s">
        <v>37</v>
      </c>
      <c r="N138" s="3" t="str">
        <f t="shared" si="13"/>
        <v>0</v>
      </c>
      <c r="O138" s="9">
        <f t="shared" si="14"/>
        <v>23</v>
      </c>
    </row>
    <row r="139" spans="2:16" x14ac:dyDescent="0.2">
      <c r="B139">
        <v>70</v>
      </c>
      <c r="C139" s="3" t="s">
        <v>55</v>
      </c>
      <c r="D139" s="3" t="s">
        <v>142</v>
      </c>
      <c r="E139">
        <v>4</v>
      </c>
      <c r="F139" t="s">
        <v>293</v>
      </c>
      <c r="G139">
        <v>20</v>
      </c>
      <c r="H139" s="9">
        <f t="shared" si="10"/>
        <v>2</v>
      </c>
      <c r="I139" t="s">
        <v>52</v>
      </c>
      <c r="J139" s="3" t="str">
        <f t="shared" si="11"/>
        <v>1</v>
      </c>
      <c r="K139" t="s">
        <v>26</v>
      </c>
      <c r="L139" s="10" t="str">
        <f t="shared" si="12"/>
        <v>2</v>
      </c>
      <c r="M139" t="s">
        <v>37</v>
      </c>
      <c r="N139" s="3" t="str">
        <f t="shared" si="13"/>
        <v>0</v>
      </c>
      <c r="O139" s="9">
        <f t="shared" si="14"/>
        <v>23</v>
      </c>
    </row>
    <row r="140" spans="2:16" x14ac:dyDescent="0.2">
      <c r="B140">
        <v>40</v>
      </c>
      <c r="C140" s="3">
        <v>21</v>
      </c>
      <c r="D140" s="3">
        <v>294</v>
      </c>
      <c r="E140">
        <v>39</v>
      </c>
      <c r="F140" t="s">
        <v>268</v>
      </c>
      <c r="G140">
        <v>3</v>
      </c>
      <c r="H140" s="9">
        <f t="shared" si="10"/>
        <v>0.3</v>
      </c>
      <c r="I140" t="s">
        <v>31</v>
      </c>
      <c r="J140" s="3" t="str">
        <f t="shared" si="11"/>
        <v>2</v>
      </c>
      <c r="K140" t="s">
        <v>26</v>
      </c>
      <c r="L140" s="10" t="str">
        <f t="shared" si="12"/>
        <v>2</v>
      </c>
      <c r="M140" t="s">
        <v>37</v>
      </c>
      <c r="N140" s="3" t="str">
        <f t="shared" si="13"/>
        <v>0</v>
      </c>
      <c r="O140" s="9">
        <f t="shared" si="14"/>
        <v>22.9</v>
      </c>
    </row>
    <row r="141" spans="2:16" x14ac:dyDescent="0.2">
      <c r="B141">
        <v>47</v>
      </c>
      <c r="C141" s="3">
        <v>21</v>
      </c>
      <c r="D141" s="3">
        <v>1301</v>
      </c>
      <c r="E141">
        <v>46</v>
      </c>
      <c r="F141" t="s">
        <v>286</v>
      </c>
      <c r="G141">
        <v>3</v>
      </c>
      <c r="H141" s="9">
        <f t="shared" si="10"/>
        <v>0.3</v>
      </c>
      <c r="I141" t="s">
        <v>31</v>
      </c>
      <c r="J141" s="3" t="str">
        <f t="shared" si="11"/>
        <v>2</v>
      </c>
      <c r="K141" t="s">
        <v>26</v>
      </c>
      <c r="L141" s="10" t="str">
        <f t="shared" si="12"/>
        <v>2</v>
      </c>
      <c r="M141" t="s">
        <v>37</v>
      </c>
      <c r="N141" s="3" t="str">
        <f t="shared" si="13"/>
        <v>0</v>
      </c>
      <c r="O141" s="9">
        <f t="shared" si="14"/>
        <v>22.9</v>
      </c>
    </row>
    <row r="142" spans="2:16" x14ac:dyDescent="0.2">
      <c r="B142">
        <v>178</v>
      </c>
      <c r="C142" s="3">
        <v>26</v>
      </c>
      <c r="D142" s="3" t="s">
        <v>224</v>
      </c>
      <c r="E142">
        <v>3</v>
      </c>
      <c r="F142" t="s">
        <v>284</v>
      </c>
      <c r="G142">
        <v>3</v>
      </c>
      <c r="H142" s="9">
        <f t="shared" si="10"/>
        <v>0.3</v>
      </c>
      <c r="I142" t="s">
        <v>31</v>
      </c>
      <c r="J142" s="3" t="str">
        <f t="shared" si="11"/>
        <v>2</v>
      </c>
      <c r="K142" t="s">
        <v>26</v>
      </c>
      <c r="L142" s="10" t="str">
        <f t="shared" si="12"/>
        <v>2</v>
      </c>
      <c r="M142" t="s">
        <v>37</v>
      </c>
      <c r="N142" s="3" t="str">
        <f t="shared" si="13"/>
        <v>0</v>
      </c>
      <c r="O142" s="9">
        <f t="shared" si="14"/>
        <v>22.9</v>
      </c>
    </row>
    <row r="143" spans="2:16" x14ac:dyDescent="0.2">
      <c r="B143">
        <v>263</v>
      </c>
      <c r="C143" s="3" t="s">
        <v>202</v>
      </c>
      <c r="D143" s="3" t="s">
        <v>78</v>
      </c>
      <c r="E143">
        <v>1</v>
      </c>
      <c r="F143" t="s">
        <v>284</v>
      </c>
      <c r="G143">
        <v>3</v>
      </c>
      <c r="H143" s="9">
        <f t="shared" si="10"/>
        <v>0.3</v>
      </c>
      <c r="I143" t="s">
        <v>31</v>
      </c>
      <c r="J143" s="3" t="str">
        <f t="shared" si="11"/>
        <v>2</v>
      </c>
      <c r="K143" t="s">
        <v>26</v>
      </c>
      <c r="L143" s="10" t="str">
        <f t="shared" si="12"/>
        <v>2</v>
      </c>
      <c r="M143" t="s">
        <v>37</v>
      </c>
      <c r="N143" s="3" t="str">
        <f t="shared" si="13"/>
        <v>0</v>
      </c>
      <c r="O143" s="9">
        <f t="shared" si="14"/>
        <v>22.9</v>
      </c>
    </row>
    <row r="144" spans="2:16" x14ac:dyDescent="0.2">
      <c r="B144">
        <v>340</v>
      </c>
      <c r="C144" s="3" t="s">
        <v>238</v>
      </c>
      <c r="D144" s="3" t="s">
        <v>78</v>
      </c>
      <c r="E144">
        <v>34</v>
      </c>
      <c r="F144" t="s">
        <v>283</v>
      </c>
      <c r="G144">
        <v>3</v>
      </c>
      <c r="H144" s="9">
        <f t="shared" si="10"/>
        <v>0.3</v>
      </c>
      <c r="I144" t="s">
        <v>31</v>
      </c>
      <c r="J144" s="3" t="str">
        <f t="shared" si="11"/>
        <v>2</v>
      </c>
      <c r="K144" t="s">
        <v>26</v>
      </c>
      <c r="L144" s="10" t="str">
        <f t="shared" si="12"/>
        <v>2</v>
      </c>
      <c r="M144" t="s">
        <v>37</v>
      </c>
      <c r="N144" s="3" t="str">
        <f t="shared" si="13"/>
        <v>0</v>
      </c>
      <c r="O144" s="9">
        <f t="shared" si="14"/>
        <v>22.9</v>
      </c>
    </row>
    <row r="145" spans="2:16" x14ac:dyDescent="0.2">
      <c r="B145">
        <v>144</v>
      </c>
      <c r="C145" s="3" t="s">
        <v>168</v>
      </c>
      <c r="D145" s="3" t="s">
        <v>78</v>
      </c>
      <c r="E145">
        <v>11</v>
      </c>
      <c r="F145" t="s">
        <v>276</v>
      </c>
      <c r="G145">
        <v>3</v>
      </c>
      <c r="H145" s="9">
        <f t="shared" si="10"/>
        <v>0.3</v>
      </c>
      <c r="I145" t="s">
        <v>31</v>
      </c>
      <c r="J145" s="3" t="str">
        <f t="shared" si="11"/>
        <v>2</v>
      </c>
      <c r="K145" t="s">
        <v>26</v>
      </c>
      <c r="L145" s="10" t="str">
        <f t="shared" si="12"/>
        <v>2</v>
      </c>
      <c r="M145" t="s">
        <v>37</v>
      </c>
      <c r="N145" s="3" t="str">
        <f t="shared" si="13"/>
        <v>0</v>
      </c>
      <c r="O145" s="9">
        <f t="shared" si="14"/>
        <v>22.9</v>
      </c>
    </row>
    <row r="146" spans="2:16" x14ac:dyDescent="0.2">
      <c r="B146">
        <v>145</v>
      </c>
      <c r="C146" s="3" t="s">
        <v>168</v>
      </c>
      <c r="D146" s="3" t="s">
        <v>78</v>
      </c>
      <c r="E146">
        <v>12</v>
      </c>
      <c r="F146" t="s">
        <v>276</v>
      </c>
      <c r="G146">
        <v>3</v>
      </c>
      <c r="H146" s="9">
        <f t="shared" si="10"/>
        <v>0.3</v>
      </c>
      <c r="I146" t="s">
        <v>31</v>
      </c>
      <c r="J146" s="3" t="str">
        <f t="shared" si="11"/>
        <v>2</v>
      </c>
      <c r="K146" t="s">
        <v>26</v>
      </c>
      <c r="L146" s="10" t="str">
        <f t="shared" si="12"/>
        <v>2</v>
      </c>
      <c r="M146" t="s">
        <v>37</v>
      </c>
      <c r="N146" s="3" t="str">
        <f t="shared" si="13"/>
        <v>0</v>
      </c>
      <c r="O146" s="9">
        <f t="shared" si="14"/>
        <v>22.9</v>
      </c>
    </row>
    <row r="147" spans="2:16" x14ac:dyDescent="0.2">
      <c r="B147">
        <v>146</v>
      </c>
      <c r="C147" s="3" t="s">
        <v>168</v>
      </c>
      <c r="D147" s="3" t="s">
        <v>78</v>
      </c>
      <c r="E147">
        <v>13</v>
      </c>
      <c r="F147" t="s">
        <v>276</v>
      </c>
      <c r="G147">
        <v>3</v>
      </c>
      <c r="H147" s="9">
        <f t="shared" si="10"/>
        <v>0.3</v>
      </c>
      <c r="I147" t="s">
        <v>31</v>
      </c>
      <c r="J147" s="3" t="str">
        <f t="shared" si="11"/>
        <v>2</v>
      </c>
      <c r="K147" t="s">
        <v>26</v>
      </c>
      <c r="L147" s="10" t="str">
        <f t="shared" si="12"/>
        <v>2</v>
      </c>
      <c r="M147" t="s">
        <v>37</v>
      </c>
      <c r="N147" s="3" t="str">
        <f t="shared" si="13"/>
        <v>0</v>
      </c>
      <c r="O147" s="9">
        <f t="shared" si="14"/>
        <v>22.9</v>
      </c>
    </row>
    <row r="148" spans="2:16" x14ac:dyDescent="0.2">
      <c r="B148">
        <v>131</v>
      </c>
      <c r="C148" s="3" t="s">
        <v>164</v>
      </c>
      <c r="D148" s="3" t="s">
        <v>78</v>
      </c>
      <c r="E148">
        <v>50</v>
      </c>
      <c r="F148" t="s">
        <v>286</v>
      </c>
      <c r="G148">
        <v>3</v>
      </c>
      <c r="H148" s="9">
        <f t="shared" si="10"/>
        <v>0.3</v>
      </c>
      <c r="I148" t="s">
        <v>31</v>
      </c>
      <c r="J148" s="3" t="str">
        <f t="shared" si="11"/>
        <v>2</v>
      </c>
      <c r="K148" t="s">
        <v>26</v>
      </c>
      <c r="L148" s="10" t="str">
        <f t="shared" si="12"/>
        <v>2</v>
      </c>
      <c r="M148" t="s">
        <v>37</v>
      </c>
      <c r="N148" s="3" t="str">
        <f t="shared" si="13"/>
        <v>0</v>
      </c>
      <c r="O148" s="9">
        <f t="shared" si="14"/>
        <v>22.9</v>
      </c>
    </row>
    <row r="149" spans="2:16" x14ac:dyDescent="0.2">
      <c r="B149">
        <v>132</v>
      </c>
      <c r="C149" s="3" t="s">
        <v>164</v>
      </c>
      <c r="D149" s="3" t="s">
        <v>78</v>
      </c>
      <c r="E149">
        <v>51</v>
      </c>
      <c r="F149" t="s">
        <v>273</v>
      </c>
      <c r="G149">
        <v>3</v>
      </c>
      <c r="H149" s="9">
        <f t="shared" si="10"/>
        <v>0.3</v>
      </c>
      <c r="I149" t="s">
        <v>31</v>
      </c>
      <c r="J149" s="3" t="str">
        <f t="shared" si="11"/>
        <v>2</v>
      </c>
      <c r="K149" t="s">
        <v>26</v>
      </c>
      <c r="L149" s="10" t="str">
        <f t="shared" si="12"/>
        <v>2</v>
      </c>
      <c r="M149" t="s">
        <v>37</v>
      </c>
      <c r="N149" s="3" t="str">
        <f t="shared" si="13"/>
        <v>0</v>
      </c>
      <c r="O149" s="9">
        <f t="shared" si="14"/>
        <v>22.9</v>
      </c>
      <c r="P149" t="s">
        <v>165</v>
      </c>
    </row>
    <row r="150" spans="2:16" x14ac:dyDescent="0.2">
      <c r="B150">
        <v>65</v>
      </c>
      <c r="C150" s="3">
        <v>9</v>
      </c>
      <c r="D150" s="3" t="s">
        <v>131</v>
      </c>
      <c r="E150">
        <v>1</v>
      </c>
      <c r="F150" t="s">
        <v>286</v>
      </c>
      <c r="G150">
        <v>2</v>
      </c>
      <c r="H150" s="9">
        <f t="shared" si="10"/>
        <v>0.2</v>
      </c>
      <c r="I150" t="s">
        <v>31</v>
      </c>
      <c r="J150" s="3" t="str">
        <f t="shared" si="11"/>
        <v>2</v>
      </c>
      <c r="K150" t="s">
        <v>26</v>
      </c>
      <c r="L150" s="10" t="str">
        <f t="shared" si="12"/>
        <v>2</v>
      </c>
      <c r="M150" t="s">
        <v>37</v>
      </c>
      <c r="N150" s="3" t="str">
        <f t="shared" si="13"/>
        <v>0</v>
      </c>
      <c r="O150" s="9">
        <f t="shared" si="14"/>
        <v>22.6</v>
      </c>
    </row>
    <row r="151" spans="2:16" x14ac:dyDescent="0.2">
      <c r="B151">
        <v>41</v>
      </c>
      <c r="C151" s="3">
        <v>21</v>
      </c>
      <c r="D151" s="3">
        <v>350</v>
      </c>
      <c r="E151">
        <v>40</v>
      </c>
      <c r="F151" t="s">
        <v>86</v>
      </c>
      <c r="G151">
        <v>2</v>
      </c>
      <c r="H151" s="9">
        <f t="shared" si="10"/>
        <v>0.2</v>
      </c>
      <c r="I151" t="s">
        <v>31</v>
      </c>
      <c r="J151" s="3" t="str">
        <f t="shared" si="11"/>
        <v>2</v>
      </c>
      <c r="K151" t="s">
        <v>26</v>
      </c>
      <c r="L151" s="10" t="str">
        <f t="shared" si="12"/>
        <v>2</v>
      </c>
      <c r="M151" t="s">
        <v>37</v>
      </c>
      <c r="N151" s="3" t="str">
        <f t="shared" si="13"/>
        <v>0</v>
      </c>
      <c r="O151" s="9">
        <f t="shared" si="14"/>
        <v>22.6</v>
      </c>
      <c r="P151" t="s">
        <v>115</v>
      </c>
    </row>
    <row r="152" spans="2:16" x14ac:dyDescent="0.2">
      <c r="B152">
        <v>269</v>
      </c>
      <c r="C152" s="3" t="s">
        <v>202</v>
      </c>
      <c r="D152" s="3" t="s">
        <v>78</v>
      </c>
      <c r="E152">
        <v>6</v>
      </c>
      <c r="F152" t="s">
        <v>284</v>
      </c>
      <c r="G152">
        <v>2</v>
      </c>
      <c r="H152" s="9">
        <f t="shared" si="10"/>
        <v>0.2</v>
      </c>
      <c r="I152" t="s">
        <v>31</v>
      </c>
      <c r="J152" s="3" t="str">
        <f t="shared" si="11"/>
        <v>2</v>
      </c>
      <c r="K152" t="s">
        <v>26</v>
      </c>
      <c r="L152" s="10" t="str">
        <f t="shared" si="12"/>
        <v>2</v>
      </c>
      <c r="M152" t="s">
        <v>37</v>
      </c>
      <c r="N152" s="3" t="str">
        <f t="shared" si="13"/>
        <v>0</v>
      </c>
      <c r="O152" s="9">
        <f t="shared" si="14"/>
        <v>22.6</v>
      </c>
      <c r="P152" t="s">
        <v>208</v>
      </c>
    </row>
    <row r="153" spans="2:16" x14ac:dyDescent="0.2">
      <c r="B153">
        <v>319</v>
      </c>
      <c r="C153" s="3" t="s">
        <v>238</v>
      </c>
      <c r="D153" s="3" t="s">
        <v>78</v>
      </c>
      <c r="E153">
        <v>13</v>
      </c>
      <c r="F153" t="s">
        <v>260</v>
      </c>
      <c r="G153">
        <v>2</v>
      </c>
      <c r="H153" s="9">
        <f t="shared" si="10"/>
        <v>0.2</v>
      </c>
      <c r="I153" t="s">
        <v>31</v>
      </c>
      <c r="J153" s="3" t="str">
        <f t="shared" si="11"/>
        <v>2</v>
      </c>
      <c r="K153" t="s">
        <v>26</v>
      </c>
      <c r="L153" s="10" t="str">
        <f t="shared" si="12"/>
        <v>2</v>
      </c>
      <c r="M153" t="s">
        <v>37</v>
      </c>
      <c r="N153" s="3" t="str">
        <f t="shared" si="13"/>
        <v>0</v>
      </c>
      <c r="O153" s="9">
        <f t="shared" si="14"/>
        <v>22.6</v>
      </c>
    </row>
    <row r="154" spans="2:16" x14ac:dyDescent="0.2">
      <c r="B154">
        <v>320</v>
      </c>
      <c r="C154" s="3" t="s">
        <v>238</v>
      </c>
      <c r="D154" s="3" t="s">
        <v>78</v>
      </c>
      <c r="E154">
        <v>14</v>
      </c>
      <c r="F154" t="s">
        <v>260</v>
      </c>
      <c r="G154">
        <v>2</v>
      </c>
      <c r="H154" s="9">
        <f t="shared" si="10"/>
        <v>0.2</v>
      </c>
      <c r="I154" t="s">
        <v>31</v>
      </c>
      <c r="J154" s="3" t="str">
        <f t="shared" si="11"/>
        <v>2</v>
      </c>
      <c r="K154" t="s">
        <v>26</v>
      </c>
      <c r="L154" s="10" t="str">
        <f t="shared" si="12"/>
        <v>2</v>
      </c>
      <c r="M154" t="s">
        <v>37</v>
      </c>
      <c r="N154" s="3" t="str">
        <f t="shared" si="13"/>
        <v>0</v>
      </c>
      <c r="O154" s="9">
        <f t="shared" si="14"/>
        <v>22.6</v>
      </c>
    </row>
    <row r="155" spans="2:16" x14ac:dyDescent="0.2">
      <c r="B155">
        <v>321</v>
      </c>
      <c r="C155" s="3" t="s">
        <v>238</v>
      </c>
      <c r="D155" s="3" t="s">
        <v>78</v>
      </c>
      <c r="E155">
        <v>15</v>
      </c>
      <c r="F155" t="s">
        <v>280</v>
      </c>
      <c r="G155">
        <v>2</v>
      </c>
      <c r="H155" s="9">
        <f t="shared" si="10"/>
        <v>0.2</v>
      </c>
      <c r="I155" t="s">
        <v>31</v>
      </c>
      <c r="J155" s="3" t="str">
        <f t="shared" si="11"/>
        <v>2</v>
      </c>
      <c r="K155" t="s">
        <v>26</v>
      </c>
      <c r="L155" s="10" t="str">
        <f t="shared" si="12"/>
        <v>2</v>
      </c>
      <c r="M155" t="s">
        <v>37</v>
      </c>
      <c r="N155" s="3" t="str">
        <f t="shared" si="13"/>
        <v>0</v>
      </c>
      <c r="O155" s="9">
        <f t="shared" si="14"/>
        <v>22.6</v>
      </c>
    </row>
    <row r="156" spans="2:16" x14ac:dyDescent="0.2">
      <c r="B156">
        <v>189</v>
      </c>
      <c r="C156" s="3">
        <v>15</v>
      </c>
      <c r="D156" s="3" t="s">
        <v>78</v>
      </c>
      <c r="E156">
        <v>1</v>
      </c>
      <c r="F156" t="s">
        <v>288</v>
      </c>
      <c r="G156">
        <v>18</v>
      </c>
      <c r="H156" s="9">
        <f t="shared" si="10"/>
        <v>1.8</v>
      </c>
      <c r="I156" t="s">
        <v>52</v>
      </c>
      <c r="J156" s="3" t="str">
        <f t="shared" si="11"/>
        <v>1</v>
      </c>
      <c r="K156" t="s">
        <v>26</v>
      </c>
      <c r="L156" s="10" t="str">
        <f t="shared" si="12"/>
        <v>2</v>
      </c>
      <c r="M156" t="s">
        <v>37</v>
      </c>
      <c r="N156" s="3" t="str">
        <f t="shared" si="13"/>
        <v>0</v>
      </c>
      <c r="O156" s="9">
        <f t="shared" si="14"/>
        <v>22.4</v>
      </c>
    </row>
    <row r="157" spans="2:16" x14ac:dyDescent="0.2">
      <c r="B157">
        <v>190</v>
      </c>
      <c r="C157" s="3">
        <v>15</v>
      </c>
      <c r="D157" s="3" t="s">
        <v>78</v>
      </c>
      <c r="E157">
        <v>2</v>
      </c>
      <c r="F157" t="s">
        <v>288</v>
      </c>
      <c r="G157">
        <v>18</v>
      </c>
      <c r="H157" s="9">
        <f t="shared" si="10"/>
        <v>1.8</v>
      </c>
      <c r="I157" t="s">
        <v>52</v>
      </c>
      <c r="J157" s="3" t="str">
        <f t="shared" si="11"/>
        <v>1</v>
      </c>
      <c r="K157" t="s">
        <v>26</v>
      </c>
      <c r="L157" s="10" t="str">
        <f t="shared" si="12"/>
        <v>2</v>
      </c>
      <c r="M157" t="s">
        <v>37</v>
      </c>
      <c r="N157" s="3" t="str">
        <f t="shared" si="13"/>
        <v>0</v>
      </c>
      <c r="O157" s="9">
        <f t="shared" si="14"/>
        <v>22.4</v>
      </c>
    </row>
    <row r="158" spans="2:16" x14ac:dyDescent="0.2">
      <c r="B158">
        <v>191</v>
      </c>
      <c r="C158" s="3">
        <v>15</v>
      </c>
      <c r="D158" s="3" t="s">
        <v>78</v>
      </c>
      <c r="E158">
        <v>3</v>
      </c>
      <c r="F158" t="s">
        <v>270</v>
      </c>
      <c r="G158">
        <v>18</v>
      </c>
      <c r="H158" s="9">
        <f t="shared" si="10"/>
        <v>1.8</v>
      </c>
      <c r="I158" t="s">
        <v>52</v>
      </c>
      <c r="J158" s="3" t="str">
        <f t="shared" si="11"/>
        <v>1</v>
      </c>
      <c r="K158" t="s">
        <v>26</v>
      </c>
      <c r="L158" s="10" t="str">
        <f t="shared" si="12"/>
        <v>2</v>
      </c>
      <c r="M158" t="s">
        <v>37</v>
      </c>
      <c r="N158" s="3" t="str">
        <f t="shared" si="13"/>
        <v>0</v>
      </c>
      <c r="O158" s="9">
        <f t="shared" si="14"/>
        <v>22.4</v>
      </c>
    </row>
    <row r="159" spans="2:16" x14ac:dyDescent="0.2">
      <c r="B159">
        <v>293</v>
      </c>
      <c r="C159" s="3" t="s">
        <v>232</v>
      </c>
      <c r="D159" s="3" t="s">
        <v>78</v>
      </c>
      <c r="E159">
        <v>8</v>
      </c>
      <c r="F159" t="s">
        <v>264</v>
      </c>
      <c r="G159">
        <v>18</v>
      </c>
      <c r="H159" s="9">
        <f t="shared" si="10"/>
        <v>1.8</v>
      </c>
      <c r="I159" t="s">
        <v>52</v>
      </c>
      <c r="J159" s="3" t="str">
        <f t="shared" si="11"/>
        <v>1</v>
      </c>
      <c r="K159" t="s">
        <v>26</v>
      </c>
      <c r="L159" s="10" t="str">
        <f t="shared" si="12"/>
        <v>2</v>
      </c>
      <c r="M159" t="s">
        <v>37</v>
      </c>
      <c r="N159" s="3" t="str">
        <f t="shared" si="13"/>
        <v>0</v>
      </c>
      <c r="O159" s="9">
        <f t="shared" si="14"/>
        <v>22.4</v>
      </c>
    </row>
    <row r="160" spans="2:16" x14ac:dyDescent="0.2">
      <c r="B160">
        <v>69</v>
      </c>
      <c r="C160" s="3" t="s">
        <v>140</v>
      </c>
      <c r="D160" s="3" t="s">
        <v>141</v>
      </c>
      <c r="E160">
        <v>3</v>
      </c>
      <c r="F160" t="s">
        <v>293</v>
      </c>
      <c r="G160">
        <v>18</v>
      </c>
      <c r="H160" s="9">
        <f t="shared" si="10"/>
        <v>1.8</v>
      </c>
      <c r="I160" t="s">
        <v>52</v>
      </c>
      <c r="J160" s="3" t="str">
        <f t="shared" si="11"/>
        <v>1</v>
      </c>
      <c r="K160" t="s">
        <v>26</v>
      </c>
      <c r="L160" s="10" t="str">
        <f t="shared" si="12"/>
        <v>2</v>
      </c>
      <c r="M160" t="s">
        <v>37</v>
      </c>
      <c r="N160" s="3" t="str">
        <f t="shared" si="13"/>
        <v>0</v>
      </c>
      <c r="O160" s="9">
        <f t="shared" si="14"/>
        <v>22.4</v>
      </c>
    </row>
    <row r="161" spans="2:15" x14ac:dyDescent="0.2">
      <c r="B161">
        <v>74</v>
      </c>
      <c r="C161" s="3">
        <v>10</v>
      </c>
      <c r="D161" s="3" t="s">
        <v>148</v>
      </c>
      <c r="E161">
        <v>1</v>
      </c>
      <c r="F161" t="s">
        <v>285</v>
      </c>
      <c r="G161">
        <v>16</v>
      </c>
      <c r="H161" s="9">
        <f t="shared" si="10"/>
        <v>1.6</v>
      </c>
      <c r="I161" t="s">
        <v>52</v>
      </c>
      <c r="J161" s="3" t="str">
        <f t="shared" si="11"/>
        <v>1</v>
      </c>
      <c r="K161" t="s">
        <v>26</v>
      </c>
      <c r="L161" s="10" t="str">
        <f t="shared" si="12"/>
        <v>2</v>
      </c>
      <c r="M161" t="s">
        <v>37</v>
      </c>
      <c r="N161" s="3" t="str">
        <f t="shared" si="13"/>
        <v>0</v>
      </c>
      <c r="O161" s="9">
        <f t="shared" si="14"/>
        <v>21.8</v>
      </c>
    </row>
    <row r="162" spans="2:15" x14ac:dyDescent="0.2">
      <c r="B162">
        <v>188</v>
      </c>
      <c r="C162" s="3">
        <v>24</v>
      </c>
      <c r="D162" s="3" t="s">
        <v>244</v>
      </c>
      <c r="E162">
        <v>1</v>
      </c>
      <c r="F162" t="s">
        <v>285</v>
      </c>
      <c r="G162">
        <v>16</v>
      </c>
      <c r="H162" s="9">
        <f t="shared" si="10"/>
        <v>1.6</v>
      </c>
      <c r="I162" t="s">
        <v>52</v>
      </c>
      <c r="J162" s="3" t="str">
        <f t="shared" si="11"/>
        <v>1</v>
      </c>
      <c r="K162" t="s">
        <v>26</v>
      </c>
      <c r="L162" s="10" t="str">
        <f t="shared" si="12"/>
        <v>2</v>
      </c>
      <c r="M162" t="s">
        <v>37</v>
      </c>
      <c r="N162" s="3" t="str">
        <f t="shared" si="13"/>
        <v>0</v>
      </c>
      <c r="O162" s="9">
        <f t="shared" si="14"/>
        <v>21.8</v>
      </c>
    </row>
    <row r="163" spans="2:15" x14ac:dyDescent="0.2">
      <c r="B163">
        <v>294</v>
      </c>
      <c r="C163" s="3" t="s">
        <v>232</v>
      </c>
      <c r="D163" s="3" t="s">
        <v>78</v>
      </c>
      <c r="E163">
        <v>9</v>
      </c>
      <c r="F163" t="s">
        <v>264</v>
      </c>
      <c r="G163">
        <v>15</v>
      </c>
      <c r="H163" s="9">
        <f t="shared" si="10"/>
        <v>1.5</v>
      </c>
      <c r="I163" t="s">
        <v>52</v>
      </c>
      <c r="J163" s="3" t="str">
        <f t="shared" si="11"/>
        <v>1</v>
      </c>
      <c r="K163" t="s">
        <v>26</v>
      </c>
      <c r="L163" s="10" t="str">
        <f t="shared" si="12"/>
        <v>2</v>
      </c>
      <c r="M163" t="s">
        <v>37</v>
      </c>
      <c r="N163" s="3" t="str">
        <f t="shared" si="13"/>
        <v>0</v>
      </c>
      <c r="O163" s="9">
        <f t="shared" si="14"/>
        <v>21.5</v>
      </c>
    </row>
    <row r="164" spans="2:15" x14ac:dyDescent="0.2">
      <c r="B164">
        <v>28</v>
      </c>
      <c r="C164" s="3">
        <v>21</v>
      </c>
      <c r="D164" s="3" t="s">
        <v>48</v>
      </c>
      <c r="E164">
        <v>27</v>
      </c>
      <c r="F164" t="s">
        <v>263</v>
      </c>
      <c r="G164">
        <v>1</v>
      </c>
      <c r="H164" s="9">
        <f t="shared" si="10"/>
        <v>0.1</v>
      </c>
      <c r="I164" t="s">
        <v>52</v>
      </c>
      <c r="J164" s="3" t="str">
        <f t="shared" si="11"/>
        <v>1</v>
      </c>
      <c r="K164" t="s">
        <v>87</v>
      </c>
      <c r="L164" s="10" t="str">
        <f t="shared" si="12"/>
        <v>1</v>
      </c>
      <c r="M164" t="s">
        <v>34</v>
      </c>
      <c r="N164" s="3" t="str">
        <f t="shared" si="13"/>
        <v>1</v>
      </c>
      <c r="O164" s="9">
        <f t="shared" si="14"/>
        <v>21.3</v>
      </c>
    </row>
    <row r="165" spans="2:15" x14ac:dyDescent="0.2">
      <c r="B165">
        <v>76</v>
      </c>
      <c r="C165" s="3">
        <v>6</v>
      </c>
      <c r="D165" s="3" t="s">
        <v>150</v>
      </c>
      <c r="E165">
        <v>1</v>
      </c>
      <c r="F165" t="s">
        <v>285</v>
      </c>
      <c r="G165">
        <v>14</v>
      </c>
      <c r="H165" s="9">
        <f t="shared" si="10"/>
        <v>1.4</v>
      </c>
      <c r="I165" t="s">
        <v>52</v>
      </c>
      <c r="J165" s="3" t="str">
        <f t="shared" si="11"/>
        <v>1</v>
      </c>
      <c r="K165" t="s">
        <v>26</v>
      </c>
      <c r="L165" s="10" t="str">
        <f t="shared" si="12"/>
        <v>2</v>
      </c>
      <c r="M165" t="s">
        <v>37</v>
      </c>
      <c r="N165" s="3" t="str">
        <f t="shared" si="13"/>
        <v>0</v>
      </c>
      <c r="O165" s="9">
        <f t="shared" si="14"/>
        <v>21.2</v>
      </c>
    </row>
    <row r="166" spans="2:15" x14ac:dyDescent="0.2">
      <c r="B166">
        <v>63</v>
      </c>
      <c r="C166" s="3">
        <v>9</v>
      </c>
      <c r="D166" s="3" t="s">
        <v>129</v>
      </c>
      <c r="E166">
        <v>1</v>
      </c>
      <c r="F166" t="s">
        <v>285</v>
      </c>
      <c r="G166">
        <v>14</v>
      </c>
      <c r="H166" s="9">
        <f t="shared" si="10"/>
        <v>1.4</v>
      </c>
      <c r="I166" t="s">
        <v>52</v>
      </c>
      <c r="J166" s="3" t="str">
        <f t="shared" si="11"/>
        <v>1</v>
      </c>
      <c r="K166" t="s">
        <v>26</v>
      </c>
      <c r="L166" s="10" t="str">
        <f t="shared" si="12"/>
        <v>2</v>
      </c>
      <c r="M166" t="s">
        <v>37</v>
      </c>
      <c r="N166" s="3" t="str">
        <f t="shared" si="13"/>
        <v>0</v>
      </c>
      <c r="O166" s="9">
        <f t="shared" si="14"/>
        <v>21.2</v>
      </c>
    </row>
    <row r="167" spans="2:15" x14ac:dyDescent="0.2">
      <c r="B167">
        <v>64</v>
      </c>
      <c r="C167" s="3">
        <v>9</v>
      </c>
      <c r="D167" s="3" t="s">
        <v>130</v>
      </c>
      <c r="E167">
        <v>5</v>
      </c>
      <c r="F167" t="s">
        <v>285</v>
      </c>
      <c r="G167">
        <v>14</v>
      </c>
      <c r="H167" s="9">
        <f t="shared" si="10"/>
        <v>1.4</v>
      </c>
      <c r="I167" t="s">
        <v>52</v>
      </c>
      <c r="J167" s="3" t="str">
        <f t="shared" si="11"/>
        <v>1</v>
      </c>
      <c r="K167" t="s">
        <v>26</v>
      </c>
      <c r="L167" s="10" t="str">
        <f t="shared" si="12"/>
        <v>2</v>
      </c>
      <c r="M167" t="s">
        <v>37</v>
      </c>
      <c r="N167" s="3" t="str">
        <f t="shared" si="13"/>
        <v>0</v>
      </c>
      <c r="O167" s="9">
        <f t="shared" si="14"/>
        <v>21.2</v>
      </c>
    </row>
    <row r="168" spans="2:15" x14ac:dyDescent="0.2">
      <c r="B168">
        <v>276</v>
      </c>
      <c r="C168" s="3">
        <v>14</v>
      </c>
      <c r="D168" s="3" t="s">
        <v>212</v>
      </c>
      <c r="E168">
        <v>7</v>
      </c>
      <c r="F168" t="s">
        <v>285</v>
      </c>
      <c r="G168">
        <v>14</v>
      </c>
      <c r="H168" s="9">
        <f t="shared" si="10"/>
        <v>1.4</v>
      </c>
      <c r="I168" t="s">
        <v>52</v>
      </c>
      <c r="J168" s="3" t="str">
        <f t="shared" si="11"/>
        <v>1</v>
      </c>
      <c r="K168" t="s">
        <v>26</v>
      </c>
      <c r="L168" s="10" t="str">
        <f t="shared" si="12"/>
        <v>2</v>
      </c>
      <c r="M168" t="s">
        <v>37</v>
      </c>
      <c r="N168" s="3" t="str">
        <f t="shared" si="13"/>
        <v>0</v>
      </c>
      <c r="O168" s="9">
        <f t="shared" si="14"/>
        <v>21.2</v>
      </c>
    </row>
    <row r="169" spans="2:15" x14ac:dyDescent="0.2">
      <c r="B169">
        <v>277</v>
      </c>
      <c r="C169" s="3">
        <v>14</v>
      </c>
      <c r="D169" s="3" t="s">
        <v>213</v>
      </c>
      <c r="E169">
        <v>8</v>
      </c>
      <c r="F169" t="s">
        <v>285</v>
      </c>
      <c r="G169">
        <v>14</v>
      </c>
      <c r="H169" s="9">
        <f t="shared" si="10"/>
        <v>1.4</v>
      </c>
      <c r="I169" t="s">
        <v>52</v>
      </c>
      <c r="J169" s="3" t="str">
        <f t="shared" si="11"/>
        <v>1</v>
      </c>
      <c r="K169" t="s">
        <v>26</v>
      </c>
      <c r="L169" s="10" t="str">
        <f t="shared" si="12"/>
        <v>2</v>
      </c>
      <c r="M169" t="s">
        <v>37</v>
      </c>
      <c r="N169" s="3" t="str">
        <f t="shared" si="13"/>
        <v>0</v>
      </c>
      <c r="O169" s="9">
        <f t="shared" si="14"/>
        <v>21.2</v>
      </c>
    </row>
    <row r="170" spans="2:15" x14ac:dyDescent="0.2">
      <c r="B170">
        <v>280</v>
      </c>
      <c r="C170" s="3">
        <v>14</v>
      </c>
      <c r="D170" s="3" t="s">
        <v>216</v>
      </c>
      <c r="E170">
        <v>11</v>
      </c>
      <c r="F170" t="s">
        <v>285</v>
      </c>
      <c r="G170">
        <v>14</v>
      </c>
      <c r="H170" s="9">
        <f t="shared" si="10"/>
        <v>1.4</v>
      </c>
      <c r="I170" t="s">
        <v>52</v>
      </c>
      <c r="J170" s="3" t="str">
        <f t="shared" si="11"/>
        <v>1</v>
      </c>
      <c r="K170" t="s">
        <v>26</v>
      </c>
      <c r="L170" s="10" t="str">
        <f t="shared" si="12"/>
        <v>2</v>
      </c>
      <c r="M170" t="s">
        <v>37</v>
      </c>
      <c r="N170" s="3" t="str">
        <f t="shared" si="13"/>
        <v>0</v>
      </c>
      <c r="O170" s="9">
        <f t="shared" si="14"/>
        <v>21.2</v>
      </c>
    </row>
    <row r="171" spans="2:15" x14ac:dyDescent="0.2">
      <c r="B171">
        <v>278</v>
      </c>
      <c r="C171" s="3">
        <v>14</v>
      </c>
      <c r="D171" s="3" t="s">
        <v>214</v>
      </c>
      <c r="E171">
        <v>9</v>
      </c>
      <c r="F171" t="s">
        <v>285</v>
      </c>
      <c r="G171">
        <v>14</v>
      </c>
      <c r="H171" s="9">
        <f t="shared" si="10"/>
        <v>1.4</v>
      </c>
      <c r="I171" t="s">
        <v>52</v>
      </c>
      <c r="J171" s="3" t="str">
        <f t="shared" si="11"/>
        <v>1</v>
      </c>
      <c r="K171" t="s">
        <v>26</v>
      </c>
      <c r="L171" s="10" t="str">
        <f t="shared" si="12"/>
        <v>2</v>
      </c>
      <c r="M171" t="s">
        <v>37</v>
      </c>
      <c r="N171" s="3" t="str">
        <f t="shared" si="13"/>
        <v>0</v>
      </c>
      <c r="O171" s="9">
        <f t="shared" si="14"/>
        <v>21.2</v>
      </c>
    </row>
    <row r="172" spans="2:15" x14ac:dyDescent="0.2">
      <c r="B172">
        <v>279</v>
      </c>
      <c r="C172" s="3">
        <v>14</v>
      </c>
      <c r="D172" s="3" t="s">
        <v>215</v>
      </c>
      <c r="E172">
        <v>10</v>
      </c>
      <c r="F172" t="s">
        <v>285</v>
      </c>
      <c r="G172">
        <v>14</v>
      </c>
      <c r="H172" s="9">
        <f t="shared" si="10"/>
        <v>1.4</v>
      </c>
      <c r="I172" t="s">
        <v>52</v>
      </c>
      <c r="J172" s="3" t="str">
        <f t="shared" si="11"/>
        <v>1</v>
      </c>
      <c r="K172" t="s">
        <v>26</v>
      </c>
      <c r="L172" s="10" t="str">
        <f t="shared" si="12"/>
        <v>2</v>
      </c>
      <c r="M172" t="s">
        <v>37</v>
      </c>
      <c r="N172" s="3" t="str">
        <f t="shared" si="13"/>
        <v>0</v>
      </c>
      <c r="O172" s="9">
        <f t="shared" si="14"/>
        <v>21.2</v>
      </c>
    </row>
    <row r="173" spans="2:15" x14ac:dyDescent="0.2">
      <c r="B173">
        <v>202</v>
      </c>
      <c r="C173" s="3">
        <v>14</v>
      </c>
      <c r="D173" s="3" t="s">
        <v>78</v>
      </c>
      <c r="E173">
        <v>1</v>
      </c>
      <c r="F173" t="s">
        <v>284</v>
      </c>
      <c r="G173">
        <v>14</v>
      </c>
      <c r="H173" s="9">
        <f t="shared" si="10"/>
        <v>1.4</v>
      </c>
      <c r="I173" t="s">
        <v>52</v>
      </c>
      <c r="J173" s="3" t="str">
        <f t="shared" si="11"/>
        <v>1</v>
      </c>
      <c r="K173" t="s">
        <v>26</v>
      </c>
      <c r="L173" s="10" t="str">
        <f t="shared" si="12"/>
        <v>2</v>
      </c>
      <c r="M173" t="s">
        <v>37</v>
      </c>
      <c r="N173" s="3" t="str">
        <f t="shared" si="13"/>
        <v>0</v>
      </c>
      <c r="O173" s="9">
        <f t="shared" si="14"/>
        <v>21.2</v>
      </c>
    </row>
    <row r="174" spans="2:15" x14ac:dyDescent="0.2">
      <c r="B174">
        <v>66</v>
      </c>
      <c r="C174" s="3" t="s">
        <v>132</v>
      </c>
      <c r="D174" s="3" t="s">
        <v>133</v>
      </c>
      <c r="E174">
        <v>1</v>
      </c>
      <c r="F174" t="s">
        <v>290</v>
      </c>
      <c r="G174">
        <v>14</v>
      </c>
      <c r="H174" s="9">
        <f t="shared" si="10"/>
        <v>1.4</v>
      </c>
      <c r="I174" t="s">
        <v>52</v>
      </c>
      <c r="J174" s="3" t="str">
        <f t="shared" si="11"/>
        <v>1</v>
      </c>
      <c r="K174" t="s">
        <v>26</v>
      </c>
      <c r="L174" s="10" t="str">
        <f t="shared" si="12"/>
        <v>2</v>
      </c>
      <c r="M174" t="s">
        <v>37</v>
      </c>
      <c r="N174" s="3" t="str">
        <f t="shared" si="13"/>
        <v>0</v>
      </c>
      <c r="O174" s="9">
        <f t="shared" si="14"/>
        <v>21.2</v>
      </c>
    </row>
    <row r="175" spans="2:15" x14ac:dyDescent="0.2">
      <c r="B175">
        <v>68</v>
      </c>
      <c r="C175" s="3" t="s">
        <v>136</v>
      </c>
      <c r="D175" s="3" t="s">
        <v>139</v>
      </c>
      <c r="E175">
        <v>2</v>
      </c>
      <c r="F175" t="s">
        <v>293</v>
      </c>
      <c r="G175">
        <v>14</v>
      </c>
      <c r="H175" s="9">
        <f t="shared" si="10"/>
        <v>1.4</v>
      </c>
      <c r="I175" t="s">
        <v>52</v>
      </c>
      <c r="J175" s="3" t="str">
        <f t="shared" si="11"/>
        <v>1</v>
      </c>
      <c r="K175" t="s">
        <v>26</v>
      </c>
      <c r="L175" s="10" t="str">
        <f t="shared" si="12"/>
        <v>2</v>
      </c>
      <c r="M175" t="s">
        <v>37</v>
      </c>
      <c r="N175" s="3" t="str">
        <f t="shared" si="13"/>
        <v>0</v>
      </c>
      <c r="O175" s="9">
        <f t="shared" si="14"/>
        <v>21.2</v>
      </c>
    </row>
    <row r="176" spans="2:15" x14ac:dyDescent="0.2">
      <c r="B176">
        <v>170</v>
      </c>
      <c r="C176" s="3" t="s">
        <v>174</v>
      </c>
      <c r="D176" s="3" t="s">
        <v>78</v>
      </c>
      <c r="E176">
        <v>14</v>
      </c>
      <c r="F176" t="s">
        <v>266</v>
      </c>
      <c r="G176">
        <v>14</v>
      </c>
      <c r="H176" s="9">
        <f t="shared" si="10"/>
        <v>1.4</v>
      </c>
      <c r="I176" t="s">
        <v>52</v>
      </c>
      <c r="J176" s="3" t="str">
        <f t="shared" si="11"/>
        <v>1</v>
      </c>
      <c r="K176" t="s">
        <v>26</v>
      </c>
      <c r="L176" s="10" t="str">
        <f t="shared" si="12"/>
        <v>2</v>
      </c>
      <c r="M176" t="s">
        <v>37</v>
      </c>
      <c r="N176" s="3" t="str">
        <f t="shared" si="13"/>
        <v>0</v>
      </c>
      <c r="O176" s="9">
        <f t="shared" si="14"/>
        <v>21.2</v>
      </c>
    </row>
    <row r="177" spans="2:15" x14ac:dyDescent="0.2">
      <c r="B177">
        <v>179</v>
      </c>
      <c r="C177" s="3">
        <v>25</v>
      </c>
      <c r="D177" s="3" t="s">
        <v>225</v>
      </c>
      <c r="E177">
        <v>1</v>
      </c>
      <c r="F177" t="s">
        <v>285</v>
      </c>
      <c r="G177">
        <v>12</v>
      </c>
      <c r="H177" s="9">
        <f t="shared" si="10"/>
        <v>1.2</v>
      </c>
      <c r="I177" t="s">
        <v>52</v>
      </c>
      <c r="J177" s="3" t="str">
        <f t="shared" si="11"/>
        <v>1</v>
      </c>
      <c r="K177" t="s">
        <v>26</v>
      </c>
      <c r="L177" s="10" t="str">
        <f t="shared" si="12"/>
        <v>2</v>
      </c>
      <c r="M177" t="s">
        <v>37</v>
      </c>
      <c r="N177" s="3" t="str">
        <f t="shared" si="13"/>
        <v>0</v>
      </c>
      <c r="O177" s="9">
        <f t="shared" si="14"/>
        <v>20.6</v>
      </c>
    </row>
    <row r="178" spans="2:15" x14ac:dyDescent="0.2">
      <c r="B178">
        <v>147</v>
      </c>
      <c r="C178" s="3" t="s">
        <v>168</v>
      </c>
      <c r="D178" s="3" t="s">
        <v>78</v>
      </c>
      <c r="E178">
        <v>14</v>
      </c>
      <c r="F178" t="s">
        <v>294</v>
      </c>
      <c r="G178">
        <v>15</v>
      </c>
      <c r="H178" s="9">
        <f t="shared" si="10"/>
        <v>1.5</v>
      </c>
      <c r="I178" t="s">
        <v>31</v>
      </c>
      <c r="J178" s="3" t="str">
        <f t="shared" si="11"/>
        <v>2</v>
      </c>
      <c r="K178" t="s">
        <v>87</v>
      </c>
      <c r="L178" s="10" t="str">
        <f t="shared" si="12"/>
        <v>1</v>
      </c>
      <c r="M178" t="s">
        <v>37</v>
      </c>
      <c r="N178" s="3" t="str">
        <f t="shared" si="13"/>
        <v>0</v>
      </c>
      <c r="O178" s="9">
        <f t="shared" si="14"/>
        <v>20.5</v>
      </c>
    </row>
    <row r="179" spans="2:15" x14ac:dyDescent="0.2">
      <c r="B179">
        <v>275</v>
      </c>
      <c r="C179" s="3">
        <v>14</v>
      </c>
      <c r="D179" s="3" t="s">
        <v>211</v>
      </c>
      <c r="E179">
        <v>6</v>
      </c>
      <c r="F179" t="s">
        <v>284</v>
      </c>
      <c r="G179">
        <v>10</v>
      </c>
      <c r="H179" s="9">
        <f t="shared" si="10"/>
        <v>1</v>
      </c>
      <c r="I179" t="s">
        <v>52</v>
      </c>
      <c r="J179" s="3" t="str">
        <f t="shared" si="11"/>
        <v>1</v>
      </c>
      <c r="K179" t="s">
        <v>26</v>
      </c>
      <c r="L179" s="10" t="str">
        <f t="shared" si="12"/>
        <v>2</v>
      </c>
      <c r="M179" t="s">
        <v>37</v>
      </c>
      <c r="N179" s="3" t="str">
        <f t="shared" si="13"/>
        <v>0</v>
      </c>
      <c r="O179" s="9">
        <f t="shared" si="14"/>
        <v>20</v>
      </c>
    </row>
    <row r="180" spans="2:15" x14ac:dyDescent="0.2">
      <c r="B180">
        <v>2</v>
      </c>
      <c r="C180" s="3">
        <v>22</v>
      </c>
      <c r="D180" s="3" t="s">
        <v>80</v>
      </c>
      <c r="E180">
        <v>1</v>
      </c>
      <c r="F180" t="s">
        <v>285</v>
      </c>
      <c r="G180">
        <v>10</v>
      </c>
      <c r="H180" s="9">
        <f t="shared" si="10"/>
        <v>1</v>
      </c>
      <c r="I180" t="s">
        <v>52</v>
      </c>
      <c r="J180" s="3" t="str">
        <f t="shared" si="11"/>
        <v>1</v>
      </c>
      <c r="K180" t="s">
        <v>26</v>
      </c>
      <c r="L180" s="10" t="str">
        <f t="shared" si="12"/>
        <v>2</v>
      </c>
      <c r="M180" t="s">
        <v>37</v>
      </c>
      <c r="N180" s="3" t="str">
        <f t="shared" si="13"/>
        <v>0</v>
      </c>
      <c r="O180" s="9">
        <f t="shared" si="14"/>
        <v>20</v>
      </c>
    </row>
    <row r="181" spans="2:15" x14ac:dyDescent="0.2">
      <c r="B181">
        <v>180</v>
      </c>
      <c r="C181" s="3">
        <v>25</v>
      </c>
      <c r="D181" s="3" t="s">
        <v>225</v>
      </c>
      <c r="E181">
        <v>2</v>
      </c>
      <c r="F181" t="s">
        <v>285</v>
      </c>
      <c r="G181">
        <v>10</v>
      </c>
      <c r="H181" s="9">
        <f t="shared" si="10"/>
        <v>1</v>
      </c>
      <c r="I181" t="s">
        <v>52</v>
      </c>
      <c r="J181" s="3" t="str">
        <f t="shared" si="11"/>
        <v>1</v>
      </c>
      <c r="K181" t="s">
        <v>26</v>
      </c>
      <c r="L181" s="10" t="str">
        <f t="shared" si="12"/>
        <v>2</v>
      </c>
      <c r="M181" t="s">
        <v>37</v>
      </c>
      <c r="N181" s="3" t="str">
        <f t="shared" si="13"/>
        <v>0</v>
      </c>
      <c r="O181" s="9">
        <f t="shared" si="14"/>
        <v>20</v>
      </c>
    </row>
    <row r="182" spans="2:15" x14ac:dyDescent="0.2">
      <c r="B182">
        <v>268</v>
      </c>
      <c r="C182" s="3" t="s">
        <v>202</v>
      </c>
      <c r="D182" s="3" t="s">
        <v>207</v>
      </c>
      <c r="E182">
        <v>5</v>
      </c>
      <c r="F182" t="s">
        <v>284</v>
      </c>
      <c r="G182">
        <v>10</v>
      </c>
      <c r="H182" s="9">
        <f t="shared" si="10"/>
        <v>1</v>
      </c>
      <c r="I182" t="s">
        <v>52</v>
      </c>
      <c r="J182" s="3" t="str">
        <f t="shared" si="11"/>
        <v>1</v>
      </c>
      <c r="K182" t="s">
        <v>26</v>
      </c>
      <c r="L182" s="10" t="str">
        <f t="shared" si="12"/>
        <v>2</v>
      </c>
      <c r="M182" t="s">
        <v>37</v>
      </c>
      <c r="N182" s="3" t="str">
        <f t="shared" si="13"/>
        <v>0</v>
      </c>
      <c r="O182" s="9">
        <f t="shared" si="14"/>
        <v>20</v>
      </c>
    </row>
    <row r="183" spans="2:15" x14ac:dyDescent="0.2">
      <c r="B183">
        <v>173</v>
      </c>
      <c r="C183" s="3" t="s">
        <v>77</v>
      </c>
      <c r="D183" s="3" t="s">
        <v>78</v>
      </c>
      <c r="E183">
        <v>1</v>
      </c>
      <c r="F183" t="s">
        <v>284</v>
      </c>
      <c r="G183">
        <v>10</v>
      </c>
      <c r="H183" s="9">
        <f t="shared" si="10"/>
        <v>1</v>
      </c>
      <c r="I183" t="s">
        <v>52</v>
      </c>
      <c r="J183" s="3" t="str">
        <f t="shared" si="11"/>
        <v>1</v>
      </c>
      <c r="K183" t="s">
        <v>26</v>
      </c>
      <c r="L183" s="10" t="str">
        <f t="shared" si="12"/>
        <v>2</v>
      </c>
      <c r="M183" t="s">
        <v>37</v>
      </c>
      <c r="N183" s="3" t="str">
        <f t="shared" si="13"/>
        <v>0</v>
      </c>
      <c r="O183" s="9">
        <f t="shared" si="14"/>
        <v>20</v>
      </c>
    </row>
    <row r="184" spans="2:15" x14ac:dyDescent="0.2">
      <c r="B184">
        <v>37</v>
      </c>
      <c r="C184" s="3">
        <v>21</v>
      </c>
      <c r="D184" s="3">
        <v>2</v>
      </c>
      <c r="E184">
        <v>36</v>
      </c>
      <c r="F184" t="s">
        <v>284</v>
      </c>
      <c r="G184">
        <v>9</v>
      </c>
      <c r="H184" s="9">
        <f t="shared" si="10"/>
        <v>0.9</v>
      </c>
      <c r="I184" t="s">
        <v>52</v>
      </c>
      <c r="J184" s="3" t="str">
        <f t="shared" si="11"/>
        <v>1</v>
      </c>
      <c r="K184" t="s">
        <v>26</v>
      </c>
      <c r="L184" s="10" t="str">
        <f t="shared" si="12"/>
        <v>2</v>
      </c>
      <c r="M184" t="s">
        <v>37</v>
      </c>
      <c r="N184" s="3" t="str">
        <f t="shared" si="13"/>
        <v>0</v>
      </c>
      <c r="O184" s="9">
        <f t="shared" si="14"/>
        <v>19.7</v>
      </c>
    </row>
    <row r="185" spans="2:15" x14ac:dyDescent="0.2">
      <c r="B185">
        <v>176</v>
      </c>
      <c r="C185" s="3">
        <v>26</v>
      </c>
      <c r="D185" s="3" t="s">
        <v>78</v>
      </c>
      <c r="E185">
        <v>1</v>
      </c>
      <c r="F185" t="s">
        <v>284</v>
      </c>
      <c r="G185">
        <v>9</v>
      </c>
      <c r="H185" s="9">
        <f t="shared" si="10"/>
        <v>0.9</v>
      </c>
      <c r="I185" t="s">
        <v>52</v>
      </c>
      <c r="J185" s="3" t="str">
        <f t="shared" si="11"/>
        <v>1</v>
      </c>
      <c r="K185" t="s">
        <v>26</v>
      </c>
      <c r="L185" s="10" t="str">
        <f t="shared" si="12"/>
        <v>2</v>
      </c>
      <c r="M185" t="s">
        <v>37</v>
      </c>
      <c r="N185" s="3" t="str">
        <f t="shared" si="13"/>
        <v>0</v>
      </c>
      <c r="O185" s="9">
        <f t="shared" si="14"/>
        <v>19.7</v>
      </c>
    </row>
    <row r="186" spans="2:15" x14ac:dyDescent="0.2">
      <c r="B186">
        <v>273</v>
      </c>
      <c r="C186" s="3">
        <v>14</v>
      </c>
      <c r="D186" s="3" t="s">
        <v>78</v>
      </c>
      <c r="E186">
        <v>5</v>
      </c>
      <c r="F186" t="s">
        <v>265</v>
      </c>
      <c r="G186">
        <v>8</v>
      </c>
      <c r="H186" s="9">
        <f t="shared" si="10"/>
        <v>0.8</v>
      </c>
      <c r="I186" t="s">
        <v>52</v>
      </c>
      <c r="J186" s="3" t="str">
        <f t="shared" si="11"/>
        <v>1</v>
      </c>
      <c r="K186" t="s">
        <v>26</v>
      </c>
      <c r="L186" s="10" t="str">
        <f t="shared" si="12"/>
        <v>2</v>
      </c>
      <c r="M186" t="s">
        <v>37</v>
      </c>
      <c r="N186" s="3" t="str">
        <f t="shared" si="13"/>
        <v>0</v>
      </c>
      <c r="O186" s="9">
        <f t="shared" si="14"/>
        <v>19.399999999999999</v>
      </c>
    </row>
    <row r="187" spans="2:15" x14ac:dyDescent="0.2">
      <c r="B187">
        <v>193</v>
      </c>
      <c r="C187" s="3">
        <v>15</v>
      </c>
      <c r="D187" s="3" t="s">
        <v>78</v>
      </c>
      <c r="E187">
        <v>5</v>
      </c>
      <c r="F187" t="s">
        <v>288</v>
      </c>
      <c r="G187">
        <v>8</v>
      </c>
      <c r="H187" s="9">
        <f t="shared" si="10"/>
        <v>0.8</v>
      </c>
      <c r="I187" t="s">
        <v>52</v>
      </c>
      <c r="J187" s="3" t="str">
        <f t="shared" si="11"/>
        <v>1</v>
      </c>
      <c r="K187" t="s">
        <v>26</v>
      </c>
      <c r="L187" s="10" t="str">
        <f t="shared" si="12"/>
        <v>2</v>
      </c>
      <c r="M187" t="s">
        <v>37</v>
      </c>
      <c r="N187" s="3" t="str">
        <f t="shared" si="13"/>
        <v>0</v>
      </c>
      <c r="O187" s="9">
        <f t="shared" si="14"/>
        <v>19.399999999999999</v>
      </c>
    </row>
    <row r="188" spans="2:15" x14ac:dyDescent="0.2">
      <c r="B188">
        <v>196</v>
      </c>
      <c r="C188" s="3">
        <v>19</v>
      </c>
      <c r="D188" s="3" t="s">
        <v>78</v>
      </c>
      <c r="E188">
        <v>3</v>
      </c>
      <c r="F188" t="s">
        <v>62</v>
      </c>
      <c r="G188">
        <v>8</v>
      </c>
      <c r="H188" s="9">
        <f t="shared" si="10"/>
        <v>0.8</v>
      </c>
      <c r="I188" t="s">
        <v>52</v>
      </c>
      <c r="J188" s="3" t="str">
        <f t="shared" si="11"/>
        <v>1</v>
      </c>
      <c r="K188" t="s">
        <v>26</v>
      </c>
      <c r="L188" s="10" t="str">
        <f t="shared" si="12"/>
        <v>2</v>
      </c>
      <c r="M188" t="s">
        <v>37</v>
      </c>
      <c r="N188" s="3" t="str">
        <f t="shared" si="13"/>
        <v>0</v>
      </c>
      <c r="O188" s="9">
        <f t="shared" si="14"/>
        <v>19.399999999999999</v>
      </c>
    </row>
    <row r="189" spans="2:15" x14ac:dyDescent="0.2">
      <c r="B189">
        <v>208</v>
      </c>
      <c r="C189" s="3" t="s">
        <v>232</v>
      </c>
      <c r="D189" s="3" t="s">
        <v>251</v>
      </c>
      <c r="E189">
        <v>6</v>
      </c>
      <c r="F189" t="s">
        <v>285</v>
      </c>
      <c r="G189">
        <v>8</v>
      </c>
      <c r="H189" s="9">
        <f t="shared" si="10"/>
        <v>0.8</v>
      </c>
      <c r="I189" t="s">
        <v>52</v>
      </c>
      <c r="J189" s="3" t="str">
        <f t="shared" si="11"/>
        <v>1</v>
      </c>
      <c r="K189" t="s">
        <v>26</v>
      </c>
      <c r="L189" s="10" t="str">
        <f t="shared" si="12"/>
        <v>2</v>
      </c>
      <c r="M189" t="s">
        <v>37</v>
      </c>
      <c r="N189" s="3" t="str">
        <f t="shared" si="13"/>
        <v>0</v>
      </c>
      <c r="O189" s="9">
        <f t="shared" si="14"/>
        <v>19.399999999999999</v>
      </c>
    </row>
    <row r="190" spans="2:15" x14ac:dyDescent="0.2">
      <c r="B190">
        <v>292</v>
      </c>
      <c r="C190" s="3" t="s">
        <v>232</v>
      </c>
      <c r="D190" s="3" t="s">
        <v>78</v>
      </c>
      <c r="E190">
        <v>7</v>
      </c>
      <c r="F190" t="s">
        <v>263</v>
      </c>
      <c r="G190">
        <v>8</v>
      </c>
      <c r="H190" s="9">
        <f t="shared" si="10"/>
        <v>0.8</v>
      </c>
      <c r="I190" t="s">
        <v>52</v>
      </c>
      <c r="J190" s="3" t="str">
        <f t="shared" si="11"/>
        <v>1</v>
      </c>
      <c r="K190" t="s">
        <v>26</v>
      </c>
      <c r="L190" s="10" t="str">
        <f t="shared" si="12"/>
        <v>2</v>
      </c>
      <c r="M190" t="s">
        <v>37</v>
      </c>
      <c r="N190" s="3" t="str">
        <f t="shared" si="13"/>
        <v>0</v>
      </c>
      <c r="O190" s="9">
        <f t="shared" si="14"/>
        <v>19.399999999999999</v>
      </c>
    </row>
    <row r="191" spans="2:15" x14ac:dyDescent="0.2">
      <c r="B191">
        <v>236</v>
      </c>
      <c r="C191" s="3" t="s">
        <v>199</v>
      </c>
      <c r="D191" s="3" t="s">
        <v>78</v>
      </c>
      <c r="E191">
        <v>1</v>
      </c>
      <c r="F191" t="s">
        <v>285</v>
      </c>
      <c r="G191">
        <v>8</v>
      </c>
      <c r="H191" s="9">
        <f t="shared" si="10"/>
        <v>0.8</v>
      </c>
      <c r="I191" t="s">
        <v>52</v>
      </c>
      <c r="J191" s="3" t="str">
        <f t="shared" si="11"/>
        <v>1</v>
      </c>
      <c r="K191" t="s">
        <v>26</v>
      </c>
      <c r="L191" s="10" t="str">
        <f t="shared" si="12"/>
        <v>2</v>
      </c>
      <c r="M191" t="s">
        <v>37</v>
      </c>
      <c r="N191" s="3" t="str">
        <f t="shared" si="13"/>
        <v>0</v>
      </c>
      <c r="O191" s="9">
        <f t="shared" si="14"/>
        <v>19.399999999999999</v>
      </c>
    </row>
    <row r="192" spans="2:15" x14ac:dyDescent="0.2">
      <c r="B192">
        <v>157</v>
      </c>
      <c r="C192" s="3" t="s">
        <v>174</v>
      </c>
      <c r="D192" s="3" t="s">
        <v>78</v>
      </c>
      <c r="E192">
        <v>2</v>
      </c>
      <c r="F192" t="s">
        <v>285</v>
      </c>
      <c r="G192">
        <v>8</v>
      </c>
      <c r="H192" s="9">
        <f t="shared" si="10"/>
        <v>0.8</v>
      </c>
      <c r="I192" t="s">
        <v>52</v>
      </c>
      <c r="J192" s="3" t="str">
        <f t="shared" si="11"/>
        <v>1</v>
      </c>
      <c r="K192" t="s">
        <v>26</v>
      </c>
      <c r="L192" s="10" t="str">
        <f t="shared" si="12"/>
        <v>2</v>
      </c>
      <c r="M192" t="s">
        <v>37</v>
      </c>
      <c r="N192" s="3" t="str">
        <f t="shared" si="13"/>
        <v>0</v>
      </c>
      <c r="O192" s="9">
        <f t="shared" si="14"/>
        <v>19.399999999999999</v>
      </c>
    </row>
    <row r="193" spans="2:16" x14ac:dyDescent="0.2">
      <c r="B193">
        <v>158</v>
      </c>
      <c r="C193" s="3" t="s">
        <v>174</v>
      </c>
      <c r="D193" s="3" t="s">
        <v>78</v>
      </c>
      <c r="E193">
        <v>3</v>
      </c>
      <c r="F193" t="s">
        <v>285</v>
      </c>
      <c r="G193">
        <v>8</v>
      </c>
      <c r="H193" s="9">
        <f t="shared" si="10"/>
        <v>0.8</v>
      </c>
      <c r="I193" t="s">
        <v>52</v>
      </c>
      <c r="J193" s="3" t="str">
        <f t="shared" si="11"/>
        <v>1</v>
      </c>
      <c r="K193" t="s">
        <v>26</v>
      </c>
      <c r="L193" s="10" t="str">
        <f t="shared" si="12"/>
        <v>2</v>
      </c>
      <c r="M193" t="s">
        <v>37</v>
      </c>
      <c r="N193" s="3" t="str">
        <f t="shared" si="13"/>
        <v>0</v>
      </c>
      <c r="O193" s="9">
        <f t="shared" si="14"/>
        <v>19.399999999999999</v>
      </c>
    </row>
    <row r="194" spans="2:16" x14ac:dyDescent="0.2">
      <c r="B194">
        <v>62</v>
      </c>
      <c r="C194" s="3">
        <v>1</v>
      </c>
      <c r="D194" s="3" t="s">
        <v>128</v>
      </c>
      <c r="E194">
        <v>3</v>
      </c>
      <c r="F194" t="s">
        <v>284</v>
      </c>
      <c r="G194">
        <v>7</v>
      </c>
      <c r="H194" s="9">
        <f t="shared" si="10"/>
        <v>0.7</v>
      </c>
      <c r="I194" t="s">
        <v>52</v>
      </c>
      <c r="J194" s="3" t="str">
        <f t="shared" si="11"/>
        <v>1</v>
      </c>
      <c r="K194" t="s">
        <v>26</v>
      </c>
      <c r="L194" s="10" t="str">
        <f t="shared" si="12"/>
        <v>2</v>
      </c>
      <c r="M194" t="s">
        <v>37</v>
      </c>
      <c r="N194" s="3" t="str">
        <f t="shared" si="13"/>
        <v>0</v>
      </c>
      <c r="O194" s="9">
        <f t="shared" si="14"/>
        <v>19.100000000000001</v>
      </c>
    </row>
    <row r="195" spans="2:16" x14ac:dyDescent="0.2">
      <c r="B195">
        <v>274</v>
      </c>
      <c r="C195" s="3">
        <v>14</v>
      </c>
      <c r="D195" s="3" t="s">
        <v>210</v>
      </c>
      <c r="E195">
        <v>5</v>
      </c>
      <c r="F195" t="s">
        <v>275</v>
      </c>
      <c r="G195">
        <v>7</v>
      </c>
      <c r="H195" s="9">
        <f t="shared" ref="H195:H258" si="15">G195/10</f>
        <v>0.7</v>
      </c>
      <c r="I195" t="s">
        <v>52</v>
      </c>
      <c r="J195" s="3" t="str">
        <f t="shared" ref="J195:J258" si="16">IF(I195="N/A","0",IF(I195="Excellent","1",IF(I195="Very Good","1",IF(I195="Good","2",IF(I195="Fair","3",IF(I195="Poor","4",IF(I195="Critical","5",IF(I195="Dead","5"))))))))</f>
        <v>1</v>
      </c>
      <c r="K195" t="s">
        <v>26</v>
      </c>
      <c r="L195" s="10" t="str">
        <f t="shared" ref="L195:L258" si="17">IF(K195="Removal","5",IF(K195="Pruning: Deadwood 1","4",IF(K195="Pruning: Deadwood 2","3",IF(K195="Pruning: Routine","2",IF(K195="Pruning: Training","1",IF(K195="Plant","0",IF(K195="Other - see notes","0",)))))))</f>
        <v>2</v>
      </c>
      <c r="M195" t="s">
        <v>37</v>
      </c>
      <c r="N195" s="3" t="str">
        <f t="shared" ref="N195:N258" si="18">IF(M195="no risk","0",IF(M195="None","0",IF(M195="Minimal Risk","1",IF(M195="Moderate Risk","2",IF(M195="High Risk","4",IF(M195="Severe Risk","5"))))))</f>
        <v>0</v>
      </c>
      <c r="O195" s="9">
        <f t="shared" ref="O195:O258" si="19">($G$2*H195)+($I$2*J195)+($K$2*L195)+($M$2*N195)</f>
        <v>19.100000000000001</v>
      </c>
    </row>
    <row r="196" spans="2:16" x14ac:dyDescent="0.2">
      <c r="B196">
        <v>204</v>
      </c>
      <c r="C196" s="3" t="s">
        <v>232</v>
      </c>
      <c r="D196" s="3" t="s">
        <v>247</v>
      </c>
      <c r="E196">
        <v>3</v>
      </c>
      <c r="F196" t="s">
        <v>265</v>
      </c>
      <c r="G196">
        <v>7</v>
      </c>
      <c r="H196" s="9">
        <f t="shared" si="15"/>
        <v>0.7</v>
      </c>
      <c r="I196" t="s">
        <v>52</v>
      </c>
      <c r="J196" s="3" t="str">
        <f t="shared" si="16"/>
        <v>1</v>
      </c>
      <c r="K196" t="s">
        <v>26</v>
      </c>
      <c r="L196" s="10" t="str">
        <f t="shared" si="17"/>
        <v>2</v>
      </c>
      <c r="M196" t="s">
        <v>37</v>
      </c>
      <c r="N196" s="3" t="str">
        <f t="shared" si="18"/>
        <v>0</v>
      </c>
      <c r="O196" s="9">
        <f t="shared" si="19"/>
        <v>19.100000000000001</v>
      </c>
    </row>
    <row r="197" spans="2:16" x14ac:dyDescent="0.2">
      <c r="B197">
        <v>265</v>
      </c>
      <c r="C197" s="3" t="s">
        <v>202</v>
      </c>
      <c r="D197" s="3" t="s">
        <v>78</v>
      </c>
      <c r="E197">
        <v>3</v>
      </c>
      <c r="F197" t="s">
        <v>288</v>
      </c>
      <c r="G197">
        <v>6</v>
      </c>
      <c r="H197" s="9">
        <f t="shared" si="15"/>
        <v>0.6</v>
      </c>
      <c r="I197" t="s">
        <v>52</v>
      </c>
      <c r="J197" s="3" t="str">
        <f t="shared" si="16"/>
        <v>1</v>
      </c>
      <c r="K197" t="s">
        <v>26</v>
      </c>
      <c r="L197" s="10" t="str">
        <f t="shared" si="17"/>
        <v>2</v>
      </c>
      <c r="M197" t="s">
        <v>37</v>
      </c>
      <c r="N197" s="3" t="str">
        <f t="shared" si="18"/>
        <v>0</v>
      </c>
      <c r="O197" s="9">
        <f t="shared" si="19"/>
        <v>18.8</v>
      </c>
    </row>
    <row r="198" spans="2:16" x14ac:dyDescent="0.2">
      <c r="B198">
        <v>328</v>
      </c>
      <c r="C198" s="3" t="s">
        <v>238</v>
      </c>
      <c r="D198" s="3" t="s">
        <v>78</v>
      </c>
      <c r="E198">
        <v>22</v>
      </c>
      <c r="F198" t="s">
        <v>288</v>
      </c>
      <c r="G198">
        <v>6</v>
      </c>
      <c r="H198" s="9">
        <f t="shared" si="15"/>
        <v>0.6</v>
      </c>
      <c r="I198" t="s">
        <v>52</v>
      </c>
      <c r="J198" s="3" t="str">
        <f t="shared" si="16"/>
        <v>1</v>
      </c>
      <c r="K198" t="s">
        <v>26</v>
      </c>
      <c r="L198" s="10" t="str">
        <f t="shared" si="17"/>
        <v>2</v>
      </c>
      <c r="M198" t="s">
        <v>37</v>
      </c>
      <c r="N198" s="3" t="str">
        <f t="shared" si="18"/>
        <v>0</v>
      </c>
      <c r="O198" s="9">
        <f t="shared" si="19"/>
        <v>18.8</v>
      </c>
    </row>
    <row r="199" spans="2:16" x14ac:dyDescent="0.2">
      <c r="B199">
        <v>329</v>
      </c>
      <c r="C199" s="3" t="s">
        <v>238</v>
      </c>
      <c r="D199" s="3" t="s">
        <v>78</v>
      </c>
      <c r="E199">
        <v>23</v>
      </c>
      <c r="F199" t="s">
        <v>288</v>
      </c>
      <c r="G199">
        <v>6</v>
      </c>
      <c r="H199" s="9">
        <f t="shared" si="15"/>
        <v>0.6</v>
      </c>
      <c r="I199" t="s">
        <v>52</v>
      </c>
      <c r="J199" s="3" t="str">
        <f t="shared" si="16"/>
        <v>1</v>
      </c>
      <c r="K199" t="s">
        <v>26</v>
      </c>
      <c r="L199" s="10" t="str">
        <f t="shared" si="17"/>
        <v>2</v>
      </c>
      <c r="M199" t="s">
        <v>37</v>
      </c>
      <c r="N199" s="3" t="str">
        <f t="shared" si="18"/>
        <v>0</v>
      </c>
      <c r="O199" s="9">
        <f t="shared" si="19"/>
        <v>18.8</v>
      </c>
    </row>
    <row r="200" spans="2:16" x14ac:dyDescent="0.2">
      <c r="B200">
        <v>330</v>
      </c>
      <c r="C200" s="3" t="s">
        <v>238</v>
      </c>
      <c r="D200" s="3" t="s">
        <v>78</v>
      </c>
      <c r="E200">
        <v>24</v>
      </c>
      <c r="F200" t="s">
        <v>288</v>
      </c>
      <c r="G200">
        <v>6</v>
      </c>
      <c r="H200" s="9">
        <f t="shared" si="15"/>
        <v>0.6</v>
      </c>
      <c r="I200" t="s">
        <v>52</v>
      </c>
      <c r="J200" s="3" t="str">
        <f t="shared" si="16"/>
        <v>1</v>
      </c>
      <c r="K200" t="s">
        <v>26</v>
      </c>
      <c r="L200" s="10" t="str">
        <f t="shared" si="17"/>
        <v>2</v>
      </c>
      <c r="M200" t="s">
        <v>37</v>
      </c>
      <c r="N200" s="3" t="str">
        <f t="shared" si="18"/>
        <v>0</v>
      </c>
      <c r="O200" s="9">
        <f t="shared" si="19"/>
        <v>18.8</v>
      </c>
    </row>
    <row r="201" spans="2:16" x14ac:dyDescent="0.2">
      <c r="B201">
        <v>331</v>
      </c>
      <c r="C201" s="3" t="s">
        <v>238</v>
      </c>
      <c r="D201" s="3" t="s">
        <v>78</v>
      </c>
      <c r="E201">
        <v>25</v>
      </c>
      <c r="F201" t="s">
        <v>288</v>
      </c>
      <c r="G201">
        <v>6</v>
      </c>
      <c r="H201" s="9">
        <f t="shared" si="15"/>
        <v>0.6</v>
      </c>
      <c r="I201" t="s">
        <v>52</v>
      </c>
      <c r="J201" s="3" t="str">
        <f t="shared" si="16"/>
        <v>1</v>
      </c>
      <c r="K201" t="s">
        <v>26</v>
      </c>
      <c r="L201" s="10" t="str">
        <f t="shared" si="17"/>
        <v>2</v>
      </c>
      <c r="M201" t="s">
        <v>37</v>
      </c>
      <c r="N201" s="3" t="str">
        <f t="shared" si="18"/>
        <v>0</v>
      </c>
      <c r="O201" s="9">
        <f t="shared" si="19"/>
        <v>18.8</v>
      </c>
    </row>
    <row r="202" spans="2:16" x14ac:dyDescent="0.2">
      <c r="B202">
        <v>332</v>
      </c>
      <c r="C202" s="3" t="s">
        <v>238</v>
      </c>
      <c r="D202" s="3" t="s">
        <v>78</v>
      </c>
      <c r="E202">
        <v>26</v>
      </c>
      <c r="F202" t="s">
        <v>288</v>
      </c>
      <c r="G202">
        <v>6</v>
      </c>
      <c r="H202" s="9">
        <f t="shared" si="15"/>
        <v>0.6</v>
      </c>
      <c r="I202" t="s">
        <v>52</v>
      </c>
      <c r="J202" s="3" t="str">
        <f t="shared" si="16"/>
        <v>1</v>
      </c>
      <c r="K202" t="s">
        <v>26</v>
      </c>
      <c r="L202" s="10" t="str">
        <f t="shared" si="17"/>
        <v>2</v>
      </c>
      <c r="M202" t="s">
        <v>37</v>
      </c>
      <c r="N202" s="3" t="str">
        <f t="shared" si="18"/>
        <v>0</v>
      </c>
      <c r="O202" s="9">
        <f t="shared" si="19"/>
        <v>18.8</v>
      </c>
    </row>
    <row r="203" spans="2:16" x14ac:dyDescent="0.2">
      <c r="B203">
        <v>333</v>
      </c>
      <c r="C203" s="3" t="s">
        <v>238</v>
      </c>
      <c r="D203" s="3" t="s">
        <v>78</v>
      </c>
      <c r="E203">
        <v>27</v>
      </c>
      <c r="F203" t="s">
        <v>288</v>
      </c>
      <c r="G203">
        <v>6</v>
      </c>
      <c r="H203" s="9">
        <f t="shared" si="15"/>
        <v>0.6</v>
      </c>
      <c r="I203" t="s">
        <v>52</v>
      </c>
      <c r="J203" s="3" t="str">
        <f t="shared" si="16"/>
        <v>1</v>
      </c>
      <c r="K203" t="s">
        <v>26</v>
      </c>
      <c r="L203" s="10" t="str">
        <f t="shared" si="17"/>
        <v>2</v>
      </c>
      <c r="M203" t="s">
        <v>37</v>
      </c>
      <c r="N203" s="3" t="str">
        <f t="shared" si="18"/>
        <v>0</v>
      </c>
      <c r="O203" s="9">
        <f t="shared" si="19"/>
        <v>18.8</v>
      </c>
    </row>
    <row r="204" spans="2:16" x14ac:dyDescent="0.2">
      <c r="B204">
        <v>334</v>
      </c>
      <c r="C204" s="3" t="s">
        <v>238</v>
      </c>
      <c r="D204" s="3" t="s">
        <v>78</v>
      </c>
      <c r="E204">
        <v>28</v>
      </c>
      <c r="F204" t="s">
        <v>288</v>
      </c>
      <c r="G204">
        <v>6</v>
      </c>
      <c r="H204" s="9">
        <f t="shared" si="15"/>
        <v>0.6</v>
      </c>
      <c r="I204" t="s">
        <v>52</v>
      </c>
      <c r="J204" s="3" t="str">
        <f t="shared" si="16"/>
        <v>1</v>
      </c>
      <c r="K204" t="s">
        <v>26</v>
      </c>
      <c r="L204" s="10" t="str">
        <f t="shared" si="17"/>
        <v>2</v>
      </c>
      <c r="M204" t="s">
        <v>37</v>
      </c>
      <c r="N204" s="3" t="str">
        <f t="shared" si="18"/>
        <v>0</v>
      </c>
      <c r="O204" s="9">
        <f t="shared" si="19"/>
        <v>18.8</v>
      </c>
    </row>
    <row r="205" spans="2:16" x14ac:dyDescent="0.2">
      <c r="B205">
        <v>335</v>
      </c>
      <c r="C205" s="3" t="s">
        <v>238</v>
      </c>
      <c r="D205" s="3" t="s">
        <v>78</v>
      </c>
      <c r="E205">
        <v>29</v>
      </c>
      <c r="F205" t="s">
        <v>288</v>
      </c>
      <c r="G205">
        <v>6</v>
      </c>
      <c r="H205" s="9">
        <f t="shared" si="15"/>
        <v>0.6</v>
      </c>
      <c r="I205" t="s">
        <v>52</v>
      </c>
      <c r="J205" s="3" t="str">
        <f t="shared" si="16"/>
        <v>1</v>
      </c>
      <c r="K205" t="s">
        <v>26</v>
      </c>
      <c r="L205" s="10" t="str">
        <f t="shared" si="17"/>
        <v>2</v>
      </c>
      <c r="M205" t="s">
        <v>37</v>
      </c>
      <c r="N205" s="3" t="str">
        <f t="shared" si="18"/>
        <v>0</v>
      </c>
      <c r="O205" s="9">
        <f t="shared" si="19"/>
        <v>18.8</v>
      </c>
    </row>
    <row r="206" spans="2:16" x14ac:dyDescent="0.2">
      <c r="B206">
        <v>336</v>
      </c>
      <c r="C206" s="3" t="s">
        <v>238</v>
      </c>
      <c r="D206" s="3" t="s">
        <v>78</v>
      </c>
      <c r="E206">
        <v>30</v>
      </c>
      <c r="F206" t="s">
        <v>288</v>
      </c>
      <c r="G206">
        <v>6</v>
      </c>
      <c r="H206" s="9">
        <f t="shared" si="15"/>
        <v>0.6</v>
      </c>
      <c r="I206" t="s">
        <v>52</v>
      </c>
      <c r="J206" s="3" t="str">
        <f t="shared" si="16"/>
        <v>1</v>
      </c>
      <c r="K206" t="s">
        <v>26</v>
      </c>
      <c r="L206" s="10" t="str">
        <f t="shared" si="17"/>
        <v>2</v>
      </c>
      <c r="M206" t="s">
        <v>37</v>
      </c>
      <c r="N206" s="3" t="str">
        <f t="shared" si="18"/>
        <v>0</v>
      </c>
      <c r="O206" s="9">
        <f t="shared" si="19"/>
        <v>18.8</v>
      </c>
    </row>
    <row r="207" spans="2:16" x14ac:dyDescent="0.2">
      <c r="B207">
        <v>337</v>
      </c>
      <c r="C207" s="3" t="s">
        <v>238</v>
      </c>
      <c r="D207" s="3" t="s">
        <v>78</v>
      </c>
      <c r="E207">
        <v>31</v>
      </c>
      <c r="F207" t="s">
        <v>288</v>
      </c>
      <c r="G207">
        <v>6</v>
      </c>
      <c r="H207" s="9">
        <f t="shared" si="15"/>
        <v>0.6</v>
      </c>
      <c r="I207" t="s">
        <v>52</v>
      </c>
      <c r="J207" s="3" t="str">
        <f t="shared" si="16"/>
        <v>1</v>
      </c>
      <c r="K207" t="s">
        <v>26</v>
      </c>
      <c r="L207" s="10" t="str">
        <f t="shared" si="17"/>
        <v>2</v>
      </c>
      <c r="M207" t="s">
        <v>37</v>
      </c>
      <c r="N207" s="3" t="str">
        <f t="shared" si="18"/>
        <v>0</v>
      </c>
      <c r="O207" s="9">
        <f t="shared" si="19"/>
        <v>18.8</v>
      </c>
    </row>
    <row r="208" spans="2:16" x14ac:dyDescent="0.2">
      <c r="B208">
        <v>211</v>
      </c>
      <c r="C208" s="3" t="s">
        <v>300</v>
      </c>
      <c r="D208" s="3" t="s">
        <v>78</v>
      </c>
      <c r="E208">
        <v>1</v>
      </c>
      <c r="F208" t="s">
        <v>274</v>
      </c>
      <c r="G208">
        <v>6</v>
      </c>
      <c r="H208" s="9">
        <f t="shared" si="15"/>
        <v>0.6</v>
      </c>
      <c r="I208" t="s">
        <v>52</v>
      </c>
      <c r="J208" s="3" t="str">
        <f t="shared" si="16"/>
        <v>1</v>
      </c>
      <c r="K208" t="s">
        <v>26</v>
      </c>
      <c r="L208" s="10" t="str">
        <f t="shared" si="17"/>
        <v>2</v>
      </c>
      <c r="M208" t="s">
        <v>37</v>
      </c>
      <c r="N208" s="3" t="str">
        <f t="shared" si="18"/>
        <v>0</v>
      </c>
      <c r="O208" s="9">
        <f t="shared" si="19"/>
        <v>18.8</v>
      </c>
      <c r="P208" t="s">
        <v>51</v>
      </c>
    </row>
    <row r="209" spans="2:16" x14ac:dyDescent="0.2">
      <c r="B209">
        <v>212</v>
      </c>
      <c r="C209" s="3" t="s">
        <v>300</v>
      </c>
      <c r="D209" s="3" t="s">
        <v>78</v>
      </c>
      <c r="E209">
        <v>2</v>
      </c>
      <c r="F209" t="s">
        <v>274</v>
      </c>
      <c r="G209">
        <v>6</v>
      </c>
      <c r="H209" s="9">
        <f t="shared" si="15"/>
        <v>0.6</v>
      </c>
      <c r="I209" t="s">
        <v>52</v>
      </c>
      <c r="J209" s="3" t="str">
        <f t="shared" si="16"/>
        <v>1</v>
      </c>
      <c r="K209" t="s">
        <v>26</v>
      </c>
      <c r="L209" s="10" t="str">
        <f t="shared" si="17"/>
        <v>2</v>
      </c>
      <c r="M209" t="s">
        <v>37</v>
      </c>
      <c r="N209" s="3" t="str">
        <f t="shared" si="18"/>
        <v>0</v>
      </c>
      <c r="O209" s="9">
        <f t="shared" si="19"/>
        <v>18.8</v>
      </c>
      <c r="P209" t="s">
        <v>51</v>
      </c>
    </row>
    <row r="210" spans="2:16" x14ac:dyDescent="0.2">
      <c r="B210">
        <v>25</v>
      </c>
      <c r="C210" s="3">
        <v>21</v>
      </c>
      <c r="D210" s="3" t="s">
        <v>110</v>
      </c>
      <c r="E210">
        <v>24</v>
      </c>
      <c r="F210" t="s">
        <v>262</v>
      </c>
      <c r="G210">
        <v>5</v>
      </c>
      <c r="H210" s="9">
        <f t="shared" si="15"/>
        <v>0.5</v>
      </c>
      <c r="I210" t="s">
        <v>52</v>
      </c>
      <c r="J210" s="3" t="str">
        <f t="shared" si="16"/>
        <v>1</v>
      </c>
      <c r="K210" t="s">
        <v>26</v>
      </c>
      <c r="L210" s="10" t="str">
        <f t="shared" si="17"/>
        <v>2</v>
      </c>
      <c r="M210" t="s">
        <v>37</v>
      </c>
      <c r="N210" s="3" t="str">
        <f t="shared" si="18"/>
        <v>0</v>
      </c>
      <c r="O210" s="9">
        <f t="shared" si="19"/>
        <v>18.5</v>
      </c>
    </row>
    <row r="211" spans="2:16" x14ac:dyDescent="0.2">
      <c r="B211">
        <v>295</v>
      </c>
      <c r="C211" s="3">
        <v>22</v>
      </c>
      <c r="D211" s="3" t="s">
        <v>78</v>
      </c>
      <c r="E211">
        <v>16</v>
      </c>
      <c r="F211" t="s">
        <v>291</v>
      </c>
      <c r="G211">
        <v>5</v>
      </c>
      <c r="H211" s="9">
        <f t="shared" si="15"/>
        <v>0.5</v>
      </c>
      <c r="I211" t="s">
        <v>52</v>
      </c>
      <c r="J211" s="3" t="str">
        <f t="shared" si="16"/>
        <v>1</v>
      </c>
      <c r="K211" t="s">
        <v>26</v>
      </c>
      <c r="L211" s="10" t="str">
        <f t="shared" si="17"/>
        <v>2</v>
      </c>
      <c r="M211" t="s">
        <v>37</v>
      </c>
      <c r="N211" s="3" t="str">
        <f t="shared" si="18"/>
        <v>0</v>
      </c>
      <c r="O211" s="9">
        <f t="shared" si="19"/>
        <v>18.5</v>
      </c>
    </row>
    <row r="212" spans="2:16" x14ac:dyDescent="0.2">
      <c r="B212">
        <v>297</v>
      </c>
      <c r="C212" s="3">
        <v>22</v>
      </c>
      <c r="D212" s="3" t="s">
        <v>78</v>
      </c>
      <c r="E212">
        <v>18</v>
      </c>
      <c r="F212" t="s">
        <v>299</v>
      </c>
      <c r="G212">
        <v>5</v>
      </c>
      <c r="H212" s="9">
        <f t="shared" si="15"/>
        <v>0.5</v>
      </c>
      <c r="I212" t="s">
        <v>52</v>
      </c>
      <c r="J212" s="3" t="str">
        <f t="shared" si="16"/>
        <v>1</v>
      </c>
      <c r="K212" t="s">
        <v>26</v>
      </c>
      <c r="L212" s="10" t="str">
        <f t="shared" si="17"/>
        <v>2</v>
      </c>
      <c r="M212" t="s">
        <v>37</v>
      </c>
      <c r="N212" s="3" t="str">
        <f t="shared" si="18"/>
        <v>0</v>
      </c>
      <c r="O212" s="9">
        <f t="shared" si="19"/>
        <v>18.5</v>
      </c>
      <c r="P212" t="s">
        <v>43</v>
      </c>
    </row>
    <row r="213" spans="2:16" x14ac:dyDescent="0.2">
      <c r="B213">
        <v>303</v>
      </c>
      <c r="C213" s="3">
        <v>22</v>
      </c>
      <c r="D213" s="3" t="s">
        <v>78</v>
      </c>
      <c r="E213">
        <v>24</v>
      </c>
      <c r="F213" t="s">
        <v>297</v>
      </c>
      <c r="G213">
        <v>5</v>
      </c>
      <c r="H213" s="9">
        <f t="shared" si="15"/>
        <v>0.5</v>
      </c>
      <c r="I213" t="s">
        <v>52</v>
      </c>
      <c r="J213" s="3" t="str">
        <f t="shared" si="16"/>
        <v>1</v>
      </c>
      <c r="K213" t="s">
        <v>26</v>
      </c>
      <c r="L213" s="10" t="str">
        <f t="shared" si="17"/>
        <v>2</v>
      </c>
      <c r="M213" t="s">
        <v>37</v>
      </c>
      <c r="N213" s="3" t="str">
        <f t="shared" si="18"/>
        <v>0</v>
      </c>
      <c r="O213" s="9">
        <f t="shared" si="19"/>
        <v>18.5</v>
      </c>
    </row>
    <row r="214" spans="2:16" x14ac:dyDescent="0.2">
      <c r="B214">
        <v>264</v>
      </c>
      <c r="C214" s="3" t="s">
        <v>202</v>
      </c>
      <c r="D214" s="3" t="s">
        <v>78</v>
      </c>
      <c r="E214">
        <v>2</v>
      </c>
      <c r="F214" t="s">
        <v>291</v>
      </c>
      <c r="G214">
        <v>5</v>
      </c>
      <c r="H214" s="9">
        <f t="shared" si="15"/>
        <v>0.5</v>
      </c>
      <c r="I214" t="s">
        <v>52</v>
      </c>
      <c r="J214" s="3" t="str">
        <f t="shared" si="16"/>
        <v>1</v>
      </c>
      <c r="K214" t="s">
        <v>26</v>
      </c>
      <c r="L214" s="10" t="str">
        <f t="shared" si="17"/>
        <v>2</v>
      </c>
      <c r="M214" t="s">
        <v>37</v>
      </c>
      <c r="N214" s="3" t="str">
        <f t="shared" si="18"/>
        <v>0</v>
      </c>
      <c r="O214" s="9">
        <f t="shared" si="19"/>
        <v>18.5</v>
      </c>
    </row>
    <row r="215" spans="2:16" x14ac:dyDescent="0.2">
      <c r="B215">
        <v>152</v>
      </c>
      <c r="C215" s="3" t="s">
        <v>77</v>
      </c>
      <c r="D215" s="3" t="s">
        <v>78</v>
      </c>
      <c r="E215">
        <v>5</v>
      </c>
      <c r="F215" t="s">
        <v>63</v>
      </c>
      <c r="G215">
        <v>5</v>
      </c>
      <c r="H215" s="9">
        <f t="shared" si="15"/>
        <v>0.5</v>
      </c>
      <c r="I215" t="s">
        <v>52</v>
      </c>
      <c r="J215" s="3" t="str">
        <f t="shared" si="16"/>
        <v>1</v>
      </c>
      <c r="K215" t="s">
        <v>26</v>
      </c>
      <c r="L215" s="10" t="str">
        <f t="shared" si="17"/>
        <v>2</v>
      </c>
      <c r="M215" t="s">
        <v>37</v>
      </c>
      <c r="N215" s="3" t="str">
        <f t="shared" si="18"/>
        <v>0</v>
      </c>
      <c r="O215" s="9">
        <f t="shared" si="19"/>
        <v>18.5</v>
      </c>
    </row>
    <row r="216" spans="2:16" x14ac:dyDescent="0.2">
      <c r="B216">
        <v>339</v>
      </c>
      <c r="C216" s="3" t="s">
        <v>238</v>
      </c>
      <c r="D216" s="3" t="s">
        <v>78</v>
      </c>
      <c r="E216">
        <v>33</v>
      </c>
      <c r="F216" t="s">
        <v>282</v>
      </c>
      <c r="G216">
        <v>5</v>
      </c>
      <c r="H216" s="9">
        <f t="shared" si="15"/>
        <v>0.5</v>
      </c>
      <c r="I216" t="s">
        <v>52</v>
      </c>
      <c r="J216" s="3" t="str">
        <f t="shared" si="16"/>
        <v>1</v>
      </c>
      <c r="K216" t="s">
        <v>26</v>
      </c>
      <c r="L216" s="10" t="str">
        <f t="shared" si="17"/>
        <v>2</v>
      </c>
      <c r="M216" t="s">
        <v>37</v>
      </c>
      <c r="N216" s="3" t="str">
        <f t="shared" si="18"/>
        <v>0</v>
      </c>
      <c r="O216" s="9">
        <f t="shared" si="19"/>
        <v>18.5</v>
      </c>
    </row>
    <row r="217" spans="2:16" x14ac:dyDescent="0.2">
      <c r="B217">
        <v>247</v>
      </c>
      <c r="C217" s="3" t="s">
        <v>184</v>
      </c>
      <c r="D217" s="3" t="s">
        <v>78</v>
      </c>
      <c r="E217">
        <v>7</v>
      </c>
      <c r="F217" t="s">
        <v>297</v>
      </c>
      <c r="G217">
        <v>5</v>
      </c>
      <c r="H217" s="9">
        <f t="shared" si="15"/>
        <v>0.5</v>
      </c>
      <c r="I217" t="s">
        <v>52</v>
      </c>
      <c r="J217" s="3" t="str">
        <f t="shared" si="16"/>
        <v>1</v>
      </c>
      <c r="K217" t="s">
        <v>26</v>
      </c>
      <c r="L217" s="10" t="str">
        <f t="shared" si="17"/>
        <v>2</v>
      </c>
      <c r="M217" t="s">
        <v>37</v>
      </c>
      <c r="N217" s="3" t="str">
        <f t="shared" si="18"/>
        <v>0</v>
      </c>
      <c r="O217" s="9">
        <f t="shared" si="19"/>
        <v>18.5</v>
      </c>
    </row>
    <row r="218" spans="2:16" x14ac:dyDescent="0.2">
      <c r="B218">
        <v>252</v>
      </c>
      <c r="C218" s="3" t="s">
        <v>184</v>
      </c>
      <c r="D218" s="3" t="s">
        <v>78</v>
      </c>
      <c r="E218">
        <v>12</v>
      </c>
      <c r="F218" t="s">
        <v>263</v>
      </c>
      <c r="G218">
        <v>5</v>
      </c>
      <c r="H218" s="9">
        <f t="shared" si="15"/>
        <v>0.5</v>
      </c>
      <c r="I218" t="s">
        <v>52</v>
      </c>
      <c r="J218" s="3" t="str">
        <f t="shared" si="16"/>
        <v>1</v>
      </c>
      <c r="K218" t="s">
        <v>26</v>
      </c>
      <c r="L218" s="10" t="str">
        <f t="shared" si="17"/>
        <v>2</v>
      </c>
      <c r="M218" t="s">
        <v>37</v>
      </c>
      <c r="N218" s="3" t="str">
        <f t="shared" si="18"/>
        <v>0</v>
      </c>
      <c r="O218" s="9">
        <f t="shared" si="19"/>
        <v>18.5</v>
      </c>
    </row>
    <row r="219" spans="2:16" x14ac:dyDescent="0.2">
      <c r="B219">
        <v>253</v>
      </c>
      <c r="C219" s="3" t="s">
        <v>184</v>
      </c>
      <c r="D219" s="3" t="s">
        <v>78</v>
      </c>
      <c r="E219">
        <v>13</v>
      </c>
      <c r="F219" t="s">
        <v>263</v>
      </c>
      <c r="G219">
        <v>5</v>
      </c>
      <c r="H219" s="9">
        <f t="shared" si="15"/>
        <v>0.5</v>
      </c>
      <c r="I219" t="s">
        <v>52</v>
      </c>
      <c r="J219" s="3" t="str">
        <f t="shared" si="16"/>
        <v>1</v>
      </c>
      <c r="K219" t="s">
        <v>26</v>
      </c>
      <c r="L219" s="10" t="str">
        <f t="shared" si="17"/>
        <v>2</v>
      </c>
      <c r="M219" t="s">
        <v>37</v>
      </c>
      <c r="N219" s="3" t="str">
        <f t="shared" si="18"/>
        <v>0</v>
      </c>
      <c r="O219" s="9">
        <f t="shared" si="19"/>
        <v>18.5</v>
      </c>
    </row>
    <row r="220" spans="2:16" x14ac:dyDescent="0.2">
      <c r="B220">
        <v>166</v>
      </c>
      <c r="C220" s="3" t="s">
        <v>174</v>
      </c>
      <c r="D220" s="3" t="s">
        <v>78</v>
      </c>
      <c r="E220">
        <v>10</v>
      </c>
      <c r="F220" t="s">
        <v>266</v>
      </c>
      <c r="G220">
        <v>8</v>
      </c>
      <c r="H220" s="9">
        <f t="shared" si="15"/>
        <v>0.8</v>
      </c>
      <c r="I220" t="s">
        <v>31</v>
      </c>
      <c r="J220" s="3" t="str">
        <f t="shared" si="16"/>
        <v>2</v>
      </c>
      <c r="K220" t="s">
        <v>87</v>
      </c>
      <c r="L220" s="10" t="str">
        <f t="shared" si="17"/>
        <v>1</v>
      </c>
      <c r="M220" t="s">
        <v>37</v>
      </c>
      <c r="N220" s="3" t="str">
        <f t="shared" si="18"/>
        <v>0</v>
      </c>
      <c r="O220" s="9">
        <f t="shared" si="19"/>
        <v>18.399999999999999</v>
      </c>
    </row>
    <row r="221" spans="2:16" x14ac:dyDescent="0.2">
      <c r="B221">
        <v>301</v>
      </c>
      <c r="C221" s="3">
        <v>22</v>
      </c>
      <c r="D221" s="3" t="s">
        <v>78</v>
      </c>
      <c r="E221">
        <v>22</v>
      </c>
      <c r="F221" t="s">
        <v>291</v>
      </c>
      <c r="G221">
        <v>4</v>
      </c>
      <c r="H221" s="9">
        <f t="shared" si="15"/>
        <v>0.4</v>
      </c>
      <c r="I221" t="s">
        <v>52</v>
      </c>
      <c r="J221" s="3" t="str">
        <f t="shared" si="16"/>
        <v>1</v>
      </c>
      <c r="K221" t="s">
        <v>26</v>
      </c>
      <c r="L221" s="10" t="str">
        <f t="shared" si="17"/>
        <v>2</v>
      </c>
      <c r="M221" t="s">
        <v>37</v>
      </c>
      <c r="N221" s="3" t="str">
        <f t="shared" si="18"/>
        <v>0</v>
      </c>
      <c r="O221" s="9">
        <f t="shared" si="19"/>
        <v>18.2</v>
      </c>
    </row>
    <row r="222" spans="2:16" x14ac:dyDescent="0.2">
      <c r="B222">
        <v>209</v>
      </c>
      <c r="C222" s="3" t="s">
        <v>232</v>
      </c>
      <c r="D222" s="3" t="s">
        <v>252</v>
      </c>
      <c r="E222">
        <v>7</v>
      </c>
      <c r="F222" t="s">
        <v>287</v>
      </c>
      <c r="G222">
        <v>4</v>
      </c>
      <c r="H222" s="9">
        <f t="shared" si="15"/>
        <v>0.4</v>
      </c>
      <c r="I222" t="s">
        <v>52</v>
      </c>
      <c r="J222" s="3" t="str">
        <f t="shared" si="16"/>
        <v>1</v>
      </c>
      <c r="K222" t="s">
        <v>26</v>
      </c>
      <c r="L222" s="10" t="str">
        <f t="shared" si="17"/>
        <v>2</v>
      </c>
      <c r="M222" t="s">
        <v>37</v>
      </c>
      <c r="N222" s="3" t="str">
        <f t="shared" si="18"/>
        <v>0</v>
      </c>
      <c r="O222" s="9">
        <f t="shared" si="19"/>
        <v>18.2</v>
      </c>
    </row>
    <row r="223" spans="2:16" x14ac:dyDescent="0.2">
      <c r="B223">
        <v>235</v>
      </c>
      <c r="C223" s="3" t="s">
        <v>199</v>
      </c>
      <c r="D223" s="3" t="s">
        <v>78</v>
      </c>
      <c r="E223">
        <v>2</v>
      </c>
      <c r="F223" t="s">
        <v>274</v>
      </c>
      <c r="G223">
        <v>4</v>
      </c>
      <c r="H223" s="9">
        <f t="shared" si="15"/>
        <v>0.4</v>
      </c>
      <c r="I223" t="s">
        <v>52</v>
      </c>
      <c r="J223" s="3" t="str">
        <f t="shared" si="16"/>
        <v>1</v>
      </c>
      <c r="K223" t="s">
        <v>26</v>
      </c>
      <c r="L223" s="10" t="str">
        <f t="shared" si="17"/>
        <v>2</v>
      </c>
      <c r="M223" t="s">
        <v>37</v>
      </c>
      <c r="N223" s="3" t="str">
        <f t="shared" si="18"/>
        <v>0</v>
      </c>
      <c r="O223" s="9">
        <f t="shared" si="19"/>
        <v>18.2</v>
      </c>
    </row>
    <row r="224" spans="2:16" x14ac:dyDescent="0.2">
      <c r="B224">
        <v>58</v>
      </c>
      <c r="C224" s="3" t="s">
        <v>122</v>
      </c>
      <c r="D224" s="3" t="s">
        <v>78</v>
      </c>
      <c r="E224">
        <v>9</v>
      </c>
      <c r="F224" t="s">
        <v>285</v>
      </c>
      <c r="G224">
        <v>4</v>
      </c>
      <c r="H224" s="9">
        <f t="shared" si="15"/>
        <v>0.4</v>
      </c>
      <c r="I224" t="s">
        <v>52</v>
      </c>
      <c r="J224" s="3" t="str">
        <f t="shared" si="16"/>
        <v>1</v>
      </c>
      <c r="K224" t="s">
        <v>26</v>
      </c>
      <c r="L224" s="10" t="str">
        <f t="shared" si="17"/>
        <v>2</v>
      </c>
      <c r="M224" t="s">
        <v>37</v>
      </c>
      <c r="N224" s="3" t="str">
        <f t="shared" si="18"/>
        <v>0</v>
      </c>
      <c r="O224" s="9">
        <f t="shared" si="19"/>
        <v>18.2</v>
      </c>
      <c r="P224" t="s">
        <v>124</v>
      </c>
    </row>
    <row r="225" spans="2:15" x14ac:dyDescent="0.2">
      <c r="B225">
        <v>165</v>
      </c>
      <c r="C225" s="3" t="s">
        <v>174</v>
      </c>
      <c r="D225" s="3" t="s">
        <v>78</v>
      </c>
      <c r="E225">
        <v>9</v>
      </c>
      <c r="F225" t="s">
        <v>281</v>
      </c>
      <c r="G225">
        <v>4</v>
      </c>
      <c r="H225" s="9">
        <f t="shared" si="15"/>
        <v>0.4</v>
      </c>
      <c r="I225" t="s">
        <v>52</v>
      </c>
      <c r="J225" s="3" t="str">
        <f t="shared" si="16"/>
        <v>1</v>
      </c>
      <c r="K225" t="s">
        <v>26</v>
      </c>
      <c r="L225" s="10" t="str">
        <f t="shared" si="17"/>
        <v>2</v>
      </c>
      <c r="M225" t="s">
        <v>37</v>
      </c>
      <c r="N225" s="3" t="str">
        <f t="shared" si="18"/>
        <v>0</v>
      </c>
      <c r="O225" s="9">
        <f t="shared" si="19"/>
        <v>18.2</v>
      </c>
    </row>
    <row r="226" spans="2:15" x14ac:dyDescent="0.2">
      <c r="B226">
        <v>271</v>
      </c>
      <c r="C226" s="3">
        <v>14</v>
      </c>
      <c r="D226" s="3" t="s">
        <v>78</v>
      </c>
      <c r="E226">
        <v>3</v>
      </c>
      <c r="F226" t="s">
        <v>283</v>
      </c>
      <c r="G226">
        <v>3</v>
      </c>
      <c r="H226" s="9">
        <f t="shared" si="15"/>
        <v>0.3</v>
      </c>
      <c r="I226" t="s">
        <v>52</v>
      </c>
      <c r="J226" s="3" t="str">
        <f t="shared" si="16"/>
        <v>1</v>
      </c>
      <c r="K226" t="s">
        <v>26</v>
      </c>
      <c r="L226" s="10" t="str">
        <f t="shared" si="17"/>
        <v>2</v>
      </c>
      <c r="M226" t="s">
        <v>37</v>
      </c>
      <c r="N226" s="3" t="str">
        <f t="shared" si="18"/>
        <v>0</v>
      </c>
      <c r="O226" s="9">
        <f t="shared" si="19"/>
        <v>17.899999999999999</v>
      </c>
    </row>
    <row r="227" spans="2:15" x14ac:dyDescent="0.2">
      <c r="B227">
        <v>272</v>
      </c>
      <c r="C227" s="3">
        <v>14</v>
      </c>
      <c r="D227" s="3" t="s">
        <v>78</v>
      </c>
      <c r="E227">
        <v>4</v>
      </c>
      <c r="F227" t="s">
        <v>270</v>
      </c>
      <c r="G227">
        <v>3</v>
      </c>
      <c r="H227" s="9">
        <f t="shared" si="15"/>
        <v>0.3</v>
      </c>
      <c r="I227" t="s">
        <v>52</v>
      </c>
      <c r="J227" s="3" t="str">
        <f t="shared" si="16"/>
        <v>1</v>
      </c>
      <c r="K227" t="s">
        <v>26</v>
      </c>
      <c r="L227" s="10" t="str">
        <f t="shared" si="17"/>
        <v>2</v>
      </c>
      <c r="M227" t="s">
        <v>37</v>
      </c>
      <c r="N227" s="3" t="str">
        <f t="shared" si="18"/>
        <v>0</v>
      </c>
      <c r="O227" s="9">
        <f t="shared" si="19"/>
        <v>17.899999999999999</v>
      </c>
    </row>
    <row r="228" spans="2:15" x14ac:dyDescent="0.2">
      <c r="B228">
        <v>307</v>
      </c>
      <c r="C228" s="3" t="s">
        <v>238</v>
      </c>
      <c r="D228" s="3" t="s">
        <v>78</v>
      </c>
      <c r="E228">
        <v>1</v>
      </c>
      <c r="F228" t="s">
        <v>288</v>
      </c>
      <c r="G228">
        <v>3</v>
      </c>
      <c r="H228" s="9">
        <f t="shared" si="15"/>
        <v>0.3</v>
      </c>
      <c r="I228" t="s">
        <v>52</v>
      </c>
      <c r="J228" s="3" t="str">
        <f t="shared" si="16"/>
        <v>1</v>
      </c>
      <c r="K228" t="s">
        <v>26</v>
      </c>
      <c r="L228" s="10" t="str">
        <f t="shared" si="17"/>
        <v>2</v>
      </c>
      <c r="M228" t="s">
        <v>37</v>
      </c>
      <c r="N228" s="3" t="str">
        <f t="shared" si="18"/>
        <v>0</v>
      </c>
      <c r="O228" s="9">
        <f t="shared" si="19"/>
        <v>17.899999999999999</v>
      </c>
    </row>
    <row r="229" spans="2:15" x14ac:dyDescent="0.2">
      <c r="B229">
        <v>308</v>
      </c>
      <c r="C229" s="3" t="s">
        <v>238</v>
      </c>
      <c r="D229" s="3" t="s">
        <v>78</v>
      </c>
      <c r="E229">
        <v>2</v>
      </c>
      <c r="F229" t="s">
        <v>288</v>
      </c>
      <c r="G229">
        <v>3</v>
      </c>
      <c r="H229" s="9">
        <f t="shared" si="15"/>
        <v>0.3</v>
      </c>
      <c r="I229" t="s">
        <v>52</v>
      </c>
      <c r="J229" s="3" t="str">
        <f t="shared" si="16"/>
        <v>1</v>
      </c>
      <c r="K229" t="s">
        <v>26</v>
      </c>
      <c r="L229" s="10" t="str">
        <f t="shared" si="17"/>
        <v>2</v>
      </c>
      <c r="M229" t="s">
        <v>37</v>
      </c>
      <c r="N229" s="3" t="str">
        <f t="shared" si="18"/>
        <v>0</v>
      </c>
      <c r="O229" s="9">
        <f t="shared" si="19"/>
        <v>17.899999999999999</v>
      </c>
    </row>
    <row r="230" spans="2:15" x14ac:dyDescent="0.2">
      <c r="B230">
        <v>309</v>
      </c>
      <c r="C230" s="3" t="s">
        <v>238</v>
      </c>
      <c r="D230" s="3" t="s">
        <v>78</v>
      </c>
      <c r="E230">
        <v>3</v>
      </c>
      <c r="F230" t="s">
        <v>288</v>
      </c>
      <c r="G230">
        <v>3</v>
      </c>
      <c r="H230" s="9">
        <f t="shared" si="15"/>
        <v>0.3</v>
      </c>
      <c r="I230" t="s">
        <v>52</v>
      </c>
      <c r="J230" s="3" t="str">
        <f t="shared" si="16"/>
        <v>1</v>
      </c>
      <c r="K230" t="s">
        <v>26</v>
      </c>
      <c r="L230" s="10" t="str">
        <f t="shared" si="17"/>
        <v>2</v>
      </c>
      <c r="M230" t="s">
        <v>37</v>
      </c>
      <c r="N230" s="3" t="str">
        <f t="shared" si="18"/>
        <v>0</v>
      </c>
      <c r="O230" s="9">
        <f t="shared" si="19"/>
        <v>17.899999999999999</v>
      </c>
    </row>
    <row r="231" spans="2:15" x14ac:dyDescent="0.2">
      <c r="B231">
        <v>310</v>
      </c>
      <c r="C231" s="3" t="s">
        <v>238</v>
      </c>
      <c r="D231" s="3" t="s">
        <v>78</v>
      </c>
      <c r="E231">
        <v>4</v>
      </c>
      <c r="F231" t="s">
        <v>288</v>
      </c>
      <c r="G231">
        <v>3</v>
      </c>
      <c r="H231" s="9">
        <f t="shared" si="15"/>
        <v>0.3</v>
      </c>
      <c r="I231" t="s">
        <v>52</v>
      </c>
      <c r="J231" s="3" t="str">
        <f t="shared" si="16"/>
        <v>1</v>
      </c>
      <c r="K231" t="s">
        <v>26</v>
      </c>
      <c r="L231" s="10" t="str">
        <f t="shared" si="17"/>
        <v>2</v>
      </c>
      <c r="M231" t="s">
        <v>37</v>
      </c>
      <c r="N231" s="3" t="str">
        <f t="shared" si="18"/>
        <v>0</v>
      </c>
      <c r="O231" s="9">
        <f t="shared" si="19"/>
        <v>17.899999999999999</v>
      </c>
    </row>
    <row r="232" spans="2:15" x14ac:dyDescent="0.2">
      <c r="B232">
        <v>311</v>
      </c>
      <c r="C232" s="3" t="s">
        <v>238</v>
      </c>
      <c r="D232" s="3" t="s">
        <v>78</v>
      </c>
      <c r="E232">
        <v>5</v>
      </c>
      <c r="F232" t="s">
        <v>288</v>
      </c>
      <c r="G232">
        <v>3</v>
      </c>
      <c r="H232" s="9">
        <f t="shared" si="15"/>
        <v>0.3</v>
      </c>
      <c r="I232" t="s">
        <v>52</v>
      </c>
      <c r="J232" s="3" t="str">
        <f t="shared" si="16"/>
        <v>1</v>
      </c>
      <c r="K232" t="s">
        <v>26</v>
      </c>
      <c r="L232" s="10" t="str">
        <f t="shared" si="17"/>
        <v>2</v>
      </c>
      <c r="M232" t="s">
        <v>37</v>
      </c>
      <c r="N232" s="3" t="str">
        <f t="shared" si="18"/>
        <v>0</v>
      </c>
      <c r="O232" s="9">
        <f t="shared" si="19"/>
        <v>17.899999999999999</v>
      </c>
    </row>
    <row r="233" spans="2:15" x14ac:dyDescent="0.2">
      <c r="B233">
        <v>312</v>
      </c>
      <c r="C233" s="3" t="s">
        <v>238</v>
      </c>
      <c r="D233" s="3" t="s">
        <v>78</v>
      </c>
      <c r="E233">
        <v>6</v>
      </c>
      <c r="F233" t="s">
        <v>288</v>
      </c>
      <c r="G233">
        <v>3</v>
      </c>
      <c r="H233" s="9">
        <f t="shared" si="15"/>
        <v>0.3</v>
      </c>
      <c r="I233" t="s">
        <v>52</v>
      </c>
      <c r="J233" s="3" t="str">
        <f t="shared" si="16"/>
        <v>1</v>
      </c>
      <c r="K233" t="s">
        <v>26</v>
      </c>
      <c r="L233" s="10" t="str">
        <f t="shared" si="17"/>
        <v>2</v>
      </c>
      <c r="M233" t="s">
        <v>37</v>
      </c>
      <c r="N233" s="3" t="str">
        <f t="shared" si="18"/>
        <v>0</v>
      </c>
      <c r="O233" s="9">
        <f t="shared" si="19"/>
        <v>17.899999999999999</v>
      </c>
    </row>
    <row r="234" spans="2:15" x14ac:dyDescent="0.2">
      <c r="B234">
        <v>313</v>
      </c>
      <c r="C234" s="3" t="s">
        <v>238</v>
      </c>
      <c r="D234" s="3" t="s">
        <v>78</v>
      </c>
      <c r="E234">
        <v>7</v>
      </c>
      <c r="F234" t="s">
        <v>288</v>
      </c>
      <c r="G234">
        <v>3</v>
      </c>
      <c r="H234" s="9">
        <f t="shared" si="15"/>
        <v>0.3</v>
      </c>
      <c r="I234" t="s">
        <v>52</v>
      </c>
      <c r="J234" s="3" t="str">
        <f t="shared" si="16"/>
        <v>1</v>
      </c>
      <c r="K234" t="s">
        <v>26</v>
      </c>
      <c r="L234" s="10" t="str">
        <f t="shared" si="17"/>
        <v>2</v>
      </c>
      <c r="M234" t="s">
        <v>37</v>
      </c>
      <c r="N234" s="3" t="str">
        <f t="shared" si="18"/>
        <v>0</v>
      </c>
      <c r="O234" s="9">
        <f t="shared" si="19"/>
        <v>17.899999999999999</v>
      </c>
    </row>
    <row r="235" spans="2:15" x14ac:dyDescent="0.2">
      <c r="B235">
        <v>213</v>
      </c>
      <c r="C235" s="3" t="s">
        <v>300</v>
      </c>
      <c r="D235" s="3" t="s">
        <v>78</v>
      </c>
      <c r="E235">
        <v>3</v>
      </c>
      <c r="F235" t="s">
        <v>280</v>
      </c>
      <c r="G235">
        <v>3</v>
      </c>
      <c r="H235" s="9">
        <f t="shared" si="15"/>
        <v>0.3</v>
      </c>
      <c r="I235" t="s">
        <v>52</v>
      </c>
      <c r="J235" s="3" t="str">
        <f t="shared" si="16"/>
        <v>1</v>
      </c>
      <c r="K235" t="s">
        <v>26</v>
      </c>
      <c r="L235" s="10" t="str">
        <f t="shared" si="17"/>
        <v>2</v>
      </c>
      <c r="M235" t="s">
        <v>37</v>
      </c>
      <c r="N235" s="3" t="str">
        <f t="shared" si="18"/>
        <v>0</v>
      </c>
      <c r="O235" s="9">
        <f t="shared" si="19"/>
        <v>17.899999999999999</v>
      </c>
    </row>
    <row r="236" spans="2:15" x14ac:dyDescent="0.2">
      <c r="B236">
        <v>73</v>
      </c>
      <c r="C236" s="3" t="s">
        <v>144</v>
      </c>
      <c r="D236" s="3" t="s">
        <v>147</v>
      </c>
      <c r="E236">
        <v>7</v>
      </c>
      <c r="F236" t="s">
        <v>280</v>
      </c>
      <c r="G236">
        <v>3</v>
      </c>
      <c r="H236" s="9">
        <f t="shared" si="15"/>
        <v>0.3</v>
      </c>
      <c r="I236" t="s">
        <v>52</v>
      </c>
      <c r="J236" s="3" t="str">
        <f t="shared" si="16"/>
        <v>1</v>
      </c>
      <c r="K236" t="s">
        <v>26</v>
      </c>
      <c r="L236" s="10" t="str">
        <f t="shared" si="17"/>
        <v>2</v>
      </c>
      <c r="M236" t="s">
        <v>37</v>
      </c>
      <c r="N236" s="3" t="str">
        <f t="shared" si="18"/>
        <v>0</v>
      </c>
      <c r="O236" s="9">
        <f t="shared" si="19"/>
        <v>17.899999999999999</v>
      </c>
    </row>
    <row r="237" spans="2:15" x14ac:dyDescent="0.2">
      <c r="B237">
        <v>48</v>
      </c>
      <c r="C237" s="3">
        <v>21</v>
      </c>
      <c r="D237" s="3">
        <v>1425</v>
      </c>
      <c r="E237">
        <v>47</v>
      </c>
      <c r="F237" t="s">
        <v>284</v>
      </c>
      <c r="G237">
        <v>2</v>
      </c>
      <c r="H237" s="9">
        <f t="shared" si="15"/>
        <v>0.2</v>
      </c>
      <c r="I237" t="s">
        <v>52</v>
      </c>
      <c r="J237" s="3" t="str">
        <f t="shared" si="16"/>
        <v>1</v>
      </c>
      <c r="K237" t="s">
        <v>26</v>
      </c>
      <c r="L237" s="10" t="str">
        <f t="shared" si="17"/>
        <v>2</v>
      </c>
      <c r="M237" t="s">
        <v>37</v>
      </c>
      <c r="N237" s="3" t="str">
        <f t="shared" si="18"/>
        <v>0</v>
      </c>
      <c r="O237" s="9">
        <f t="shared" si="19"/>
        <v>17.600000000000001</v>
      </c>
    </row>
    <row r="238" spans="2:15" x14ac:dyDescent="0.2">
      <c r="B238">
        <v>167</v>
      </c>
      <c r="C238" s="3" t="s">
        <v>174</v>
      </c>
      <c r="D238" s="3" t="s">
        <v>78</v>
      </c>
      <c r="E238">
        <v>11</v>
      </c>
      <c r="F238" t="s">
        <v>280</v>
      </c>
      <c r="G238">
        <v>2</v>
      </c>
      <c r="H238" s="9">
        <f t="shared" si="15"/>
        <v>0.2</v>
      </c>
      <c r="I238" t="s">
        <v>52</v>
      </c>
      <c r="J238" s="3" t="str">
        <f t="shared" si="16"/>
        <v>1</v>
      </c>
      <c r="K238" t="s">
        <v>26</v>
      </c>
      <c r="L238" s="10" t="str">
        <f t="shared" si="17"/>
        <v>2</v>
      </c>
      <c r="M238" t="s">
        <v>37</v>
      </c>
      <c r="N238" s="3" t="str">
        <f t="shared" si="18"/>
        <v>0</v>
      </c>
      <c r="O238" s="9">
        <f t="shared" si="19"/>
        <v>17.600000000000001</v>
      </c>
    </row>
    <row r="239" spans="2:15" x14ac:dyDescent="0.2">
      <c r="B239">
        <v>323</v>
      </c>
      <c r="C239" s="3" t="s">
        <v>238</v>
      </c>
      <c r="D239" s="3" t="s">
        <v>78</v>
      </c>
      <c r="E239">
        <v>17</v>
      </c>
      <c r="F239" t="s">
        <v>279</v>
      </c>
      <c r="G239">
        <v>1</v>
      </c>
      <c r="H239" s="9">
        <f t="shared" si="15"/>
        <v>0.1</v>
      </c>
      <c r="I239" t="s">
        <v>52</v>
      </c>
      <c r="J239" s="3" t="str">
        <f t="shared" si="16"/>
        <v>1</v>
      </c>
      <c r="K239" t="s">
        <v>26</v>
      </c>
      <c r="L239" s="10" t="str">
        <f t="shared" si="17"/>
        <v>2</v>
      </c>
      <c r="M239" t="s">
        <v>37</v>
      </c>
      <c r="N239" s="3" t="str">
        <f t="shared" si="18"/>
        <v>0</v>
      </c>
      <c r="O239" s="9">
        <f t="shared" si="19"/>
        <v>17.3</v>
      </c>
    </row>
    <row r="240" spans="2:15" x14ac:dyDescent="0.2">
      <c r="B240">
        <v>324</v>
      </c>
      <c r="C240" s="3" t="s">
        <v>238</v>
      </c>
      <c r="D240" s="3" t="s">
        <v>78</v>
      </c>
      <c r="E240">
        <v>18</v>
      </c>
      <c r="F240" t="s">
        <v>279</v>
      </c>
      <c r="G240">
        <v>1</v>
      </c>
      <c r="H240" s="9">
        <f t="shared" si="15"/>
        <v>0.1</v>
      </c>
      <c r="I240" t="s">
        <v>52</v>
      </c>
      <c r="J240" s="3" t="str">
        <f t="shared" si="16"/>
        <v>1</v>
      </c>
      <c r="K240" t="s">
        <v>26</v>
      </c>
      <c r="L240" s="10" t="str">
        <f t="shared" si="17"/>
        <v>2</v>
      </c>
      <c r="M240" t="s">
        <v>37</v>
      </c>
      <c r="N240" s="3" t="str">
        <f t="shared" si="18"/>
        <v>0</v>
      </c>
      <c r="O240" s="9">
        <f t="shared" si="19"/>
        <v>17.3</v>
      </c>
    </row>
    <row r="241" spans="2:16" x14ac:dyDescent="0.2">
      <c r="B241">
        <v>325</v>
      </c>
      <c r="C241" s="3" t="s">
        <v>238</v>
      </c>
      <c r="D241" s="3" t="s">
        <v>78</v>
      </c>
      <c r="E241">
        <v>19</v>
      </c>
      <c r="F241" t="s">
        <v>279</v>
      </c>
      <c r="G241">
        <v>1</v>
      </c>
      <c r="H241" s="9">
        <f t="shared" si="15"/>
        <v>0.1</v>
      </c>
      <c r="I241" t="s">
        <v>52</v>
      </c>
      <c r="J241" s="3" t="str">
        <f t="shared" si="16"/>
        <v>1</v>
      </c>
      <c r="K241" t="s">
        <v>26</v>
      </c>
      <c r="L241" s="10" t="str">
        <f t="shared" si="17"/>
        <v>2</v>
      </c>
      <c r="M241" t="s">
        <v>37</v>
      </c>
      <c r="N241" s="3" t="str">
        <f t="shared" si="18"/>
        <v>0</v>
      </c>
      <c r="O241" s="9">
        <f t="shared" si="19"/>
        <v>17.3</v>
      </c>
    </row>
    <row r="242" spans="2:16" x14ac:dyDescent="0.2">
      <c r="B242">
        <v>326</v>
      </c>
      <c r="C242" s="3" t="s">
        <v>238</v>
      </c>
      <c r="D242" s="3" t="s">
        <v>78</v>
      </c>
      <c r="E242">
        <v>20</v>
      </c>
      <c r="F242" t="s">
        <v>279</v>
      </c>
      <c r="G242">
        <v>1</v>
      </c>
      <c r="H242" s="9">
        <f t="shared" si="15"/>
        <v>0.1</v>
      </c>
      <c r="I242" t="s">
        <v>52</v>
      </c>
      <c r="J242" s="3" t="str">
        <f t="shared" si="16"/>
        <v>1</v>
      </c>
      <c r="K242" t="s">
        <v>26</v>
      </c>
      <c r="L242" s="10" t="str">
        <f t="shared" si="17"/>
        <v>2</v>
      </c>
      <c r="M242" t="s">
        <v>37</v>
      </c>
      <c r="N242" s="3" t="str">
        <f t="shared" si="18"/>
        <v>0</v>
      </c>
      <c r="O242" s="9">
        <f t="shared" si="19"/>
        <v>17.3</v>
      </c>
    </row>
    <row r="243" spans="2:16" x14ac:dyDescent="0.2">
      <c r="B243">
        <v>327</v>
      </c>
      <c r="C243" s="3" t="s">
        <v>238</v>
      </c>
      <c r="D243" s="3" t="s">
        <v>78</v>
      </c>
      <c r="E243">
        <v>21</v>
      </c>
      <c r="F243" t="s">
        <v>279</v>
      </c>
      <c r="G243">
        <v>1</v>
      </c>
      <c r="H243" s="9">
        <f t="shared" si="15"/>
        <v>0.1</v>
      </c>
      <c r="I243" t="s">
        <v>52</v>
      </c>
      <c r="J243" s="3" t="str">
        <f t="shared" si="16"/>
        <v>1</v>
      </c>
      <c r="K243" t="s">
        <v>26</v>
      </c>
      <c r="L243" s="10" t="str">
        <f t="shared" si="17"/>
        <v>2</v>
      </c>
      <c r="M243" t="s">
        <v>37</v>
      </c>
      <c r="N243" s="3" t="str">
        <f t="shared" si="18"/>
        <v>0</v>
      </c>
      <c r="O243" s="9">
        <f t="shared" si="19"/>
        <v>17.3</v>
      </c>
    </row>
    <row r="244" spans="2:16" x14ac:dyDescent="0.2">
      <c r="B244">
        <v>254</v>
      </c>
      <c r="C244" s="3" t="s">
        <v>184</v>
      </c>
      <c r="D244" s="3" t="s">
        <v>191</v>
      </c>
      <c r="E244">
        <v>14</v>
      </c>
      <c r="F244" t="s">
        <v>278</v>
      </c>
      <c r="G244">
        <v>3</v>
      </c>
      <c r="H244" s="9">
        <f t="shared" si="15"/>
        <v>0.3</v>
      </c>
      <c r="I244" t="s">
        <v>31</v>
      </c>
      <c r="J244" s="3" t="str">
        <f t="shared" si="16"/>
        <v>2</v>
      </c>
      <c r="K244" t="s">
        <v>87</v>
      </c>
      <c r="L244" s="10" t="str">
        <f t="shared" si="17"/>
        <v>1</v>
      </c>
      <c r="M244" t="s">
        <v>37</v>
      </c>
      <c r="N244" s="3" t="str">
        <f t="shared" si="18"/>
        <v>0</v>
      </c>
      <c r="O244" s="9">
        <f t="shared" si="19"/>
        <v>16.899999999999999</v>
      </c>
    </row>
    <row r="245" spans="2:16" x14ac:dyDescent="0.2">
      <c r="B245">
        <v>67</v>
      </c>
      <c r="C245" s="3" t="s">
        <v>136</v>
      </c>
      <c r="D245" s="3" t="s">
        <v>137</v>
      </c>
      <c r="E245">
        <v>1</v>
      </c>
      <c r="F245" t="s">
        <v>289</v>
      </c>
      <c r="G245">
        <v>2</v>
      </c>
      <c r="H245" s="9">
        <f t="shared" si="15"/>
        <v>0.2</v>
      </c>
      <c r="I245" t="s">
        <v>31</v>
      </c>
      <c r="J245" s="3" t="str">
        <f t="shared" si="16"/>
        <v>2</v>
      </c>
      <c r="K245" t="s">
        <v>87</v>
      </c>
      <c r="L245" s="10" t="str">
        <f t="shared" si="17"/>
        <v>1</v>
      </c>
      <c r="M245" t="s">
        <v>37</v>
      </c>
      <c r="N245" s="3" t="str">
        <f t="shared" si="18"/>
        <v>0</v>
      </c>
      <c r="O245" s="9">
        <f t="shared" si="19"/>
        <v>16.600000000000001</v>
      </c>
      <c r="P245" t="s">
        <v>134</v>
      </c>
    </row>
    <row r="246" spans="2:16" x14ac:dyDescent="0.2">
      <c r="B246">
        <v>33</v>
      </c>
      <c r="C246" s="3">
        <v>21</v>
      </c>
      <c r="D246" s="3">
        <v>20</v>
      </c>
      <c r="E246">
        <v>1</v>
      </c>
      <c r="F246" t="s">
        <v>263</v>
      </c>
      <c r="G246">
        <v>1</v>
      </c>
      <c r="H246" s="9">
        <f t="shared" si="15"/>
        <v>0.1</v>
      </c>
      <c r="I246" t="s">
        <v>31</v>
      </c>
      <c r="J246" s="3" t="str">
        <f t="shared" si="16"/>
        <v>2</v>
      </c>
      <c r="K246" t="s">
        <v>87</v>
      </c>
      <c r="L246" s="10" t="str">
        <f t="shared" si="17"/>
        <v>1</v>
      </c>
      <c r="M246" t="s">
        <v>37</v>
      </c>
      <c r="N246" s="3" t="str">
        <f t="shared" si="18"/>
        <v>0</v>
      </c>
      <c r="O246" s="9">
        <f t="shared" si="19"/>
        <v>16.3</v>
      </c>
    </row>
    <row r="247" spans="2:16" x14ac:dyDescent="0.2">
      <c r="B247">
        <v>29</v>
      </c>
      <c r="C247" s="3">
        <v>21</v>
      </c>
      <c r="D247" s="3">
        <v>388</v>
      </c>
      <c r="E247">
        <v>28</v>
      </c>
      <c r="F247" t="s">
        <v>263</v>
      </c>
      <c r="G247">
        <v>1</v>
      </c>
      <c r="H247" s="9">
        <f t="shared" si="15"/>
        <v>0.1</v>
      </c>
      <c r="I247" t="s">
        <v>31</v>
      </c>
      <c r="J247" s="3" t="str">
        <f t="shared" si="16"/>
        <v>2</v>
      </c>
      <c r="K247" t="s">
        <v>87</v>
      </c>
      <c r="L247" s="10" t="str">
        <f t="shared" si="17"/>
        <v>1</v>
      </c>
      <c r="M247" t="s">
        <v>37</v>
      </c>
      <c r="N247" s="3" t="str">
        <f t="shared" si="18"/>
        <v>0</v>
      </c>
      <c r="O247" s="9">
        <f t="shared" si="19"/>
        <v>16.3</v>
      </c>
    </row>
    <row r="248" spans="2:16" x14ac:dyDescent="0.2">
      <c r="B248">
        <v>14</v>
      </c>
      <c r="C248" s="3">
        <v>21</v>
      </c>
      <c r="D248" s="3" t="s">
        <v>99</v>
      </c>
      <c r="E248">
        <v>11</v>
      </c>
      <c r="F248" t="s">
        <v>263</v>
      </c>
      <c r="G248">
        <v>3</v>
      </c>
      <c r="H248" s="9">
        <f t="shared" si="15"/>
        <v>0.3</v>
      </c>
      <c r="I248" t="s">
        <v>52</v>
      </c>
      <c r="J248" s="3" t="str">
        <f t="shared" si="16"/>
        <v>1</v>
      </c>
      <c r="K248" t="s">
        <v>87</v>
      </c>
      <c r="L248" s="10" t="str">
        <f t="shared" si="17"/>
        <v>1</v>
      </c>
      <c r="M248" t="s">
        <v>37</v>
      </c>
      <c r="N248" s="3" t="str">
        <f t="shared" si="18"/>
        <v>0</v>
      </c>
      <c r="O248" s="9">
        <f t="shared" si="19"/>
        <v>11.9</v>
      </c>
    </row>
    <row r="249" spans="2:16" x14ac:dyDescent="0.2">
      <c r="B249">
        <v>4</v>
      </c>
      <c r="C249" s="3">
        <v>22</v>
      </c>
      <c r="D249" s="3" t="s">
        <v>80</v>
      </c>
      <c r="E249">
        <v>3</v>
      </c>
      <c r="F249" t="s">
        <v>86</v>
      </c>
      <c r="G249">
        <v>3</v>
      </c>
      <c r="H249" s="9">
        <f t="shared" si="15"/>
        <v>0.3</v>
      </c>
      <c r="I249" t="s">
        <v>52</v>
      </c>
      <c r="J249" s="3" t="str">
        <f t="shared" si="16"/>
        <v>1</v>
      </c>
      <c r="K249" t="s">
        <v>87</v>
      </c>
      <c r="L249" s="10" t="str">
        <f t="shared" si="17"/>
        <v>1</v>
      </c>
      <c r="M249" t="s">
        <v>37</v>
      </c>
      <c r="N249" s="3" t="str">
        <f t="shared" si="18"/>
        <v>0</v>
      </c>
      <c r="O249" s="9">
        <f t="shared" si="19"/>
        <v>11.9</v>
      </c>
    </row>
    <row r="250" spans="2:16" x14ac:dyDescent="0.2">
      <c r="B250">
        <v>5</v>
      </c>
      <c r="C250" s="3">
        <v>22</v>
      </c>
      <c r="D250" s="3" t="s">
        <v>80</v>
      </c>
      <c r="E250">
        <v>4</v>
      </c>
      <c r="F250" t="s">
        <v>263</v>
      </c>
      <c r="G250">
        <v>3</v>
      </c>
      <c r="H250" s="9">
        <f t="shared" si="15"/>
        <v>0.3</v>
      </c>
      <c r="I250" t="s">
        <v>52</v>
      </c>
      <c r="J250" s="3" t="str">
        <f t="shared" si="16"/>
        <v>1</v>
      </c>
      <c r="K250" t="s">
        <v>87</v>
      </c>
      <c r="L250" s="10" t="str">
        <f t="shared" si="17"/>
        <v>1</v>
      </c>
      <c r="M250" t="s">
        <v>37</v>
      </c>
      <c r="N250" s="3" t="str">
        <f t="shared" si="18"/>
        <v>0</v>
      </c>
      <c r="O250" s="9">
        <f t="shared" si="19"/>
        <v>11.9</v>
      </c>
    </row>
    <row r="251" spans="2:16" x14ac:dyDescent="0.2">
      <c r="B251">
        <v>240</v>
      </c>
      <c r="C251" s="3" t="s">
        <v>184</v>
      </c>
      <c r="D251" s="3" t="s">
        <v>185</v>
      </c>
      <c r="E251">
        <v>19</v>
      </c>
      <c r="F251" t="s">
        <v>289</v>
      </c>
      <c r="G251">
        <v>3</v>
      </c>
      <c r="H251" s="9">
        <f t="shared" si="15"/>
        <v>0.3</v>
      </c>
      <c r="I251" t="s">
        <v>52</v>
      </c>
      <c r="J251" s="3" t="str">
        <f t="shared" si="16"/>
        <v>1</v>
      </c>
      <c r="K251" t="s">
        <v>87</v>
      </c>
      <c r="L251" s="10" t="str">
        <f t="shared" si="17"/>
        <v>1</v>
      </c>
      <c r="M251" t="s">
        <v>37</v>
      </c>
      <c r="N251" s="3" t="str">
        <f t="shared" si="18"/>
        <v>0</v>
      </c>
      <c r="O251" s="9">
        <f t="shared" si="19"/>
        <v>11.9</v>
      </c>
    </row>
    <row r="252" spans="2:16" x14ac:dyDescent="0.2">
      <c r="B252">
        <v>57</v>
      </c>
      <c r="C252" s="3" t="s">
        <v>122</v>
      </c>
      <c r="D252" s="3" t="s">
        <v>78</v>
      </c>
      <c r="E252">
        <v>8</v>
      </c>
      <c r="F252" t="s">
        <v>285</v>
      </c>
      <c r="G252">
        <v>3</v>
      </c>
      <c r="H252" s="9">
        <f t="shared" si="15"/>
        <v>0.3</v>
      </c>
      <c r="I252" t="s">
        <v>52</v>
      </c>
      <c r="J252" s="3" t="str">
        <f t="shared" si="16"/>
        <v>1</v>
      </c>
      <c r="K252" t="s">
        <v>87</v>
      </c>
      <c r="L252" s="10" t="str">
        <f t="shared" si="17"/>
        <v>1</v>
      </c>
      <c r="M252" t="s">
        <v>37</v>
      </c>
      <c r="N252" s="3" t="str">
        <f t="shared" si="18"/>
        <v>0</v>
      </c>
      <c r="O252" s="9">
        <f t="shared" si="19"/>
        <v>11.9</v>
      </c>
    </row>
    <row r="253" spans="2:16" x14ac:dyDescent="0.2">
      <c r="B253">
        <v>38</v>
      </c>
      <c r="C253" s="3">
        <v>21</v>
      </c>
      <c r="D253" s="3">
        <v>126</v>
      </c>
      <c r="E253">
        <v>37</v>
      </c>
      <c r="F253" t="s">
        <v>263</v>
      </c>
      <c r="G253">
        <v>2</v>
      </c>
      <c r="H253" s="9">
        <f t="shared" si="15"/>
        <v>0.2</v>
      </c>
      <c r="I253" t="s">
        <v>52</v>
      </c>
      <c r="J253" s="3" t="str">
        <f t="shared" si="16"/>
        <v>1</v>
      </c>
      <c r="K253" t="s">
        <v>87</v>
      </c>
      <c r="L253" s="10" t="str">
        <f t="shared" si="17"/>
        <v>1</v>
      </c>
      <c r="M253" t="s">
        <v>37</v>
      </c>
      <c r="N253" s="3" t="str">
        <f t="shared" si="18"/>
        <v>0</v>
      </c>
      <c r="O253" s="9">
        <f t="shared" si="19"/>
        <v>11.6</v>
      </c>
    </row>
    <row r="254" spans="2:16" x14ac:dyDescent="0.2">
      <c r="B254">
        <v>49</v>
      </c>
      <c r="C254" s="3">
        <v>21</v>
      </c>
      <c r="D254" s="3">
        <v>1673</v>
      </c>
      <c r="E254">
        <v>48</v>
      </c>
      <c r="F254" t="s">
        <v>263</v>
      </c>
      <c r="G254">
        <v>2</v>
      </c>
      <c r="H254" s="9">
        <f t="shared" si="15"/>
        <v>0.2</v>
      </c>
      <c r="I254" t="s">
        <v>52</v>
      </c>
      <c r="J254" s="3" t="str">
        <f t="shared" si="16"/>
        <v>1</v>
      </c>
      <c r="K254" t="s">
        <v>87</v>
      </c>
      <c r="L254" s="10" t="str">
        <f t="shared" si="17"/>
        <v>1</v>
      </c>
      <c r="M254" t="s">
        <v>37</v>
      </c>
      <c r="N254" s="3" t="str">
        <f t="shared" si="18"/>
        <v>0</v>
      </c>
      <c r="O254" s="9">
        <f t="shared" si="19"/>
        <v>11.6</v>
      </c>
      <c r="P254" t="s">
        <v>120</v>
      </c>
    </row>
    <row r="255" spans="2:16" x14ac:dyDescent="0.2">
      <c r="B255">
        <v>246</v>
      </c>
      <c r="C255" s="3" t="s">
        <v>184</v>
      </c>
      <c r="D255" s="3" t="s">
        <v>78</v>
      </c>
      <c r="E255">
        <v>6</v>
      </c>
      <c r="F255" t="s">
        <v>265</v>
      </c>
      <c r="G255">
        <v>2</v>
      </c>
      <c r="H255" s="9">
        <f t="shared" si="15"/>
        <v>0.2</v>
      </c>
      <c r="I255" t="s">
        <v>52</v>
      </c>
      <c r="J255" s="3" t="str">
        <f t="shared" si="16"/>
        <v>1</v>
      </c>
      <c r="K255" t="s">
        <v>87</v>
      </c>
      <c r="L255" s="10" t="str">
        <f t="shared" si="17"/>
        <v>1</v>
      </c>
      <c r="M255" t="s">
        <v>37</v>
      </c>
      <c r="N255" s="3" t="str">
        <f t="shared" si="18"/>
        <v>0</v>
      </c>
      <c r="O255" s="9">
        <f t="shared" si="19"/>
        <v>11.6</v>
      </c>
    </row>
    <row r="256" spans="2:16" x14ac:dyDescent="0.2">
      <c r="B256">
        <v>55</v>
      </c>
      <c r="C256" s="3" t="s">
        <v>122</v>
      </c>
      <c r="D256" s="3" t="s">
        <v>78</v>
      </c>
      <c r="E256">
        <v>6</v>
      </c>
      <c r="F256" t="s">
        <v>285</v>
      </c>
      <c r="G256">
        <v>2</v>
      </c>
      <c r="H256" s="9">
        <f t="shared" si="15"/>
        <v>0.2</v>
      </c>
      <c r="I256" t="s">
        <v>52</v>
      </c>
      <c r="J256" s="3" t="str">
        <f t="shared" si="16"/>
        <v>1</v>
      </c>
      <c r="K256" t="s">
        <v>87</v>
      </c>
      <c r="L256" s="10" t="str">
        <f t="shared" si="17"/>
        <v>1</v>
      </c>
      <c r="M256" t="s">
        <v>37</v>
      </c>
      <c r="N256" s="3" t="str">
        <f t="shared" si="18"/>
        <v>0</v>
      </c>
      <c r="O256" s="9">
        <f t="shared" si="19"/>
        <v>11.6</v>
      </c>
    </row>
    <row r="257" spans="2:16" x14ac:dyDescent="0.2">
      <c r="B257">
        <v>56</v>
      </c>
      <c r="C257" s="3" t="s">
        <v>122</v>
      </c>
      <c r="D257" s="3" t="s">
        <v>78</v>
      </c>
      <c r="E257">
        <v>7</v>
      </c>
      <c r="F257" t="s">
        <v>285</v>
      </c>
      <c r="G257">
        <v>2</v>
      </c>
      <c r="H257" s="9">
        <f t="shared" si="15"/>
        <v>0.2</v>
      </c>
      <c r="I257" t="s">
        <v>52</v>
      </c>
      <c r="J257" s="3" t="str">
        <f t="shared" si="16"/>
        <v>1</v>
      </c>
      <c r="K257" t="s">
        <v>87</v>
      </c>
      <c r="L257" s="10" t="str">
        <f t="shared" si="17"/>
        <v>1</v>
      </c>
      <c r="M257" t="s">
        <v>37</v>
      </c>
      <c r="N257" s="3" t="str">
        <f t="shared" si="18"/>
        <v>0</v>
      </c>
      <c r="O257" s="9">
        <f t="shared" si="19"/>
        <v>11.6</v>
      </c>
    </row>
    <row r="258" spans="2:16" x14ac:dyDescent="0.2">
      <c r="B258">
        <v>34</v>
      </c>
      <c r="C258" s="3">
        <v>21</v>
      </c>
      <c r="D258" s="3">
        <v>10</v>
      </c>
      <c r="E258">
        <v>33</v>
      </c>
      <c r="F258" t="s">
        <v>263</v>
      </c>
      <c r="G258">
        <v>1</v>
      </c>
      <c r="H258" s="9">
        <f t="shared" si="15"/>
        <v>0.1</v>
      </c>
      <c r="I258" t="s">
        <v>52</v>
      </c>
      <c r="J258" s="3" t="str">
        <f t="shared" si="16"/>
        <v>1</v>
      </c>
      <c r="K258" t="s">
        <v>87</v>
      </c>
      <c r="L258" s="10" t="str">
        <f t="shared" si="17"/>
        <v>1</v>
      </c>
      <c r="M258" t="s">
        <v>37</v>
      </c>
      <c r="N258" s="3" t="str">
        <f t="shared" si="18"/>
        <v>0</v>
      </c>
      <c r="O258" s="9">
        <f t="shared" si="19"/>
        <v>11.3</v>
      </c>
    </row>
    <row r="259" spans="2:16" x14ac:dyDescent="0.2">
      <c r="B259">
        <v>32</v>
      </c>
      <c r="C259" s="3">
        <v>21</v>
      </c>
      <c r="D259" s="3">
        <v>54</v>
      </c>
      <c r="E259">
        <v>1</v>
      </c>
      <c r="F259" t="s">
        <v>263</v>
      </c>
      <c r="G259">
        <v>1</v>
      </c>
      <c r="H259" s="9">
        <f t="shared" ref="H259:H322" si="20">G259/10</f>
        <v>0.1</v>
      </c>
      <c r="I259" t="s">
        <v>52</v>
      </c>
      <c r="J259" s="3" t="str">
        <f t="shared" ref="J259:J322" si="21">IF(I259="N/A","0",IF(I259="Excellent","1",IF(I259="Very Good","1",IF(I259="Good","2",IF(I259="Fair","3",IF(I259="Poor","4",IF(I259="Critical","5",IF(I259="Dead","5"))))))))</f>
        <v>1</v>
      </c>
      <c r="K259" t="s">
        <v>87</v>
      </c>
      <c r="L259" s="10" t="str">
        <f t="shared" ref="L259:L322" si="22">IF(K259="Removal","5",IF(K259="Pruning: Deadwood 1","4",IF(K259="Pruning: Deadwood 2","3",IF(K259="Pruning: Routine","2",IF(K259="Pruning: Training","1",IF(K259="Plant","0",IF(K259="Other - see notes","0",)))))))</f>
        <v>1</v>
      </c>
      <c r="M259" t="s">
        <v>37</v>
      </c>
      <c r="N259" s="3" t="str">
        <f t="shared" ref="N259:N322" si="23">IF(M259="no risk","0",IF(M259="None","0",IF(M259="Minimal Risk","1",IF(M259="Moderate Risk","2",IF(M259="High Risk","4",IF(M259="Severe Risk","5"))))))</f>
        <v>0</v>
      </c>
      <c r="O259" s="9">
        <f t="shared" ref="O259:O322" si="24">($G$2*H259)+($I$2*J259)+($K$2*L259)+($M$2*N259)</f>
        <v>11.3</v>
      </c>
    </row>
    <row r="260" spans="2:16" x14ac:dyDescent="0.2">
      <c r="B260">
        <v>31</v>
      </c>
      <c r="C260" s="3">
        <v>21</v>
      </c>
      <c r="D260" s="3">
        <v>124</v>
      </c>
      <c r="E260">
        <v>30</v>
      </c>
      <c r="F260" t="s">
        <v>263</v>
      </c>
      <c r="G260">
        <v>1</v>
      </c>
      <c r="H260" s="9">
        <f t="shared" si="20"/>
        <v>0.1</v>
      </c>
      <c r="I260" t="s">
        <v>52</v>
      </c>
      <c r="J260" s="3" t="str">
        <f t="shared" si="21"/>
        <v>1</v>
      </c>
      <c r="K260" t="s">
        <v>87</v>
      </c>
      <c r="L260" s="10" t="str">
        <f t="shared" si="22"/>
        <v>1</v>
      </c>
      <c r="M260" t="s">
        <v>37</v>
      </c>
      <c r="N260" s="3" t="str">
        <f t="shared" si="23"/>
        <v>0</v>
      </c>
      <c r="O260" s="9">
        <f t="shared" si="24"/>
        <v>11.3</v>
      </c>
    </row>
    <row r="261" spans="2:16" x14ac:dyDescent="0.2">
      <c r="B261">
        <v>30</v>
      </c>
      <c r="C261" s="3">
        <v>21</v>
      </c>
      <c r="D261" s="3">
        <v>203</v>
      </c>
      <c r="E261">
        <v>29</v>
      </c>
      <c r="F261" t="s">
        <v>263</v>
      </c>
      <c r="G261">
        <v>1</v>
      </c>
      <c r="H261" s="9">
        <f t="shared" si="20"/>
        <v>0.1</v>
      </c>
      <c r="I261" t="s">
        <v>52</v>
      </c>
      <c r="J261" s="3" t="str">
        <f t="shared" si="21"/>
        <v>1</v>
      </c>
      <c r="K261" t="s">
        <v>87</v>
      </c>
      <c r="L261" s="10" t="str">
        <f t="shared" si="22"/>
        <v>1</v>
      </c>
      <c r="M261" t="s">
        <v>37</v>
      </c>
      <c r="N261" s="3" t="str">
        <f t="shared" si="23"/>
        <v>0</v>
      </c>
      <c r="O261" s="9">
        <f t="shared" si="24"/>
        <v>11.3</v>
      </c>
    </row>
    <row r="262" spans="2:16" x14ac:dyDescent="0.2">
      <c r="B262">
        <v>42</v>
      </c>
      <c r="C262" s="3">
        <v>21</v>
      </c>
      <c r="D262" s="3">
        <v>452</v>
      </c>
      <c r="E262">
        <v>41</v>
      </c>
      <c r="F262" t="s">
        <v>269</v>
      </c>
      <c r="G262">
        <v>1</v>
      </c>
      <c r="H262" s="9">
        <f t="shared" si="20"/>
        <v>0.1</v>
      </c>
      <c r="I262" t="s">
        <v>52</v>
      </c>
      <c r="J262" s="3" t="str">
        <f t="shared" si="21"/>
        <v>1</v>
      </c>
      <c r="K262" t="s">
        <v>87</v>
      </c>
      <c r="L262" s="10" t="str">
        <f t="shared" si="22"/>
        <v>1</v>
      </c>
      <c r="M262" t="s">
        <v>37</v>
      </c>
      <c r="N262" s="3" t="str">
        <f t="shared" si="23"/>
        <v>0</v>
      </c>
      <c r="O262" s="9">
        <f t="shared" si="24"/>
        <v>11.3</v>
      </c>
    </row>
    <row r="263" spans="2:16" x14ac:dyDescent="0.2">
      <c r="B263">
        <v>43</v>
      </c>
      <c r="C263" s="3">
        <v>21</v>
      </c>
      <c r="D263" s="3">
        <v>599</v>
      </c>
      <c r="E263">
        <v>42</v>
      </c>
      <c r="F263" t="s">
        <v>271</v>
      </c>
      <c r="G263">
        <v>1</v>
      </c>
      <c r="H263" s="9">
        <f t="shared" si="20"/>
        <v>0.1</v>
      </c>
      <c r="I263" t="s">
        <v>52</v>
      </c>
      <c r="J263" s="3" t="str">
        <f t="shared" si="21"/>
        <v>1</v>
      </c>
      <c r="K263" t="s">
        <v>87</v>
      </c>
      <c r="L263" s="10" t="str">
        <f t="shared" si="22"/>
        <v>1</v>
      </c>
      <c r="M263" t="s">
        <v>37</v>
      </c>
      <c r="N263" s="3" t="str">
        <f t="shared" si="23"/>
        <v>0</v>
      </c>
      <c r="O263" s="9">
        <f t="shared" si="24"/>
        <v>11.3</v>
      </c>
    </row>
    <row r="264" spans="2:16" x14ac:dyDescent="0.2">
      <c r="B264">
        <v>21</v>
      </c>
      <c r="C264" s="3">
        <v>21</v>
      </c>
      <c r="D264" s="3" t="s">
        <v>105</v>
      </c>
      <c r="E264">
        <v>20</v>
      </c>
      <c r="F264" t="s">
        <v>263</v>
      </c>
      <c r="G264">
        <v>1</v>
      </c>
      <c r="H264" s="9">
        <f t="shared" si="20"/>
        <v>0.1</v>
      </c>
      <c r="I264" t="s">
        <v>52</v>
      </c>
      <c r="J264" s="3" t="str">
        <f t="shared" si="21"/>
        <v>1</v>
      </c>
      <c r="K264" t="s">
        <v>87</v>
      </c>
      <c r="L264" s="10" t="str">
        <f t="shared" si="22"/>
        <v>1</v>
      </c>
      <c r="M264" t="s">
        <v>37</v>
      </c>
      <c r="N264" s="3" t="str">
        <f t="shared" si="23"/>
        <v>0</v>
      </c>
      <c r="O264" s="9">
        <f t="shared" si="24"/>
        <v>11.3</v>
      </c>
    </row>
    <row r="265" spans="2:16" x14ac:dyDescent="0.2">
      <c r="B265">
        <v>20</v>
      </c>
      <c r="C265" s="3">
        <v>21</v>
      </c>
      <c r="D265" s="3" t="s">
        <v>47</v>
      </c>
      <c r="E265">
        <v>19</v>
      </c>
      <c r="F265" t="s">
        <v>285</v>
      </c>
      <c r="G265">
        <v>1</v>
      </c>
      <c r="H265" s="9">
        <f t="shared" si="20"/>
        <v>0.1</v>
      </c>
      <c r="I265" t="s">
        <v>52</v>
      </c>
      <c r="J265" s="3" t="str">
        <f t="shared" si="21"/>
        <v>1</v>
      </c>
      <c r="K265" t="s">
        <v>87</v>
      </c>
      <c r="L265" s="10" t="str">
        <f t="shared" si="22"/>
        <v>1</v>
      </c>
      <c r="M265" t="s">
        <v>37</v>
      </c>
      <c r="N265" s="3" t="str">
        <f t="shared" si="23"/>
        <v>0</v>
      </c>
      <c r="O265" s="9">
        <f t="shared" si="24"/>
        <v>11.3</v>
      </c>
    </row>
    <row r="266" spans="2:16" x14ac:dyDescent="0.2">
      <c r="B266">
        <v>24</v>
      </c>
      <c r="C266" s="3">
        <v>21</v>
      </c>
      <c r="D266" s="3" t="s">
        <v>109</v>
      </c>
      <c r="E266">
        <v>23</v>
      </c>
      <c r="F266" t="s">
        <v>263</v>
      </c>
      <c r="G266">
        <v>1</v>
      </c>
      <c r="H266" s="9">
        <f t="shared" si="20"/>
        <v>0.1</v>
      </c>
      <c r="I266" t="s">
        <v>52</v>
      </c>
      <c r="J266" s="3" t="str">
        <f t="shared" si="21"/>
        <v>1</v>
      </c>
      <c r="K266" t="s">
        <v>87</v>
      </c>
      <c r="L266" s="10" t="str">
        <f t="shared" si="22"/>
        <v>1</v>
      </c>
      <c r="M266" t="s">
        <v>37</v>
      </c>
      <c r="N266" s="3" t="str">
        <f t="shared" si="23"/>
        <v>0</v>
      </c>
      <c r="O266" s="9">
        <f t="shared" si="24"/>
        <v>11.3</v>
      </c>
    </row>
    <row r="267" spans="2:16" x14ac:dyDescent="0.2">
      <c r="B267">
        <v>23</v>
      </c>
      <c r="C267" s="3">
        <v>21</v>
      </c>
      <c r="D267" s="3" t="s">
        <v>108</v>
      </c>
      <c r="E267">
        <v>22</v>
      </c>
      <c r="F267" t="s">
        <v>263</v>
      </c>
      <c r="G267">
        <v>1</v>
      </c>
      <c r="H267" s="9">
        <f t="shared" si="20"/>
        <v>0.1</v>
      </c>
      <c r="I267" t="s">
        <v>52</v>
      </c>
      <c r="J267" s="3" t="str">
        <f t="shared" si="21"/>
        <v>1</v>
      </c>
      <c r="K267" t="s">
        <v>87</v>
      </c>
      <c r="L267" s="10" t="str">
        <f t="shared" si="22"/>
        <v>1</v>
      </c>
      <c r="M267" t="s">
        <v>37</v>
      </c>
      <c r="N267" s="3" t="str">
        <f t="shared" si="23"/>
        <v>0</v>
      </c>
      <c r="O267" s="9">
        <f t="shared" si="24"/>
        <v>11.3</v>
      </c>
    </row>
    <row r="268" spans="2:16" x14ac:dyDescent="0.2">
      <c r="B268">
        <v>26</v>
      </c>
      <c r="C268" s="3">
        <v>21</v>
      </c>
      <c r="D268" s="3" t="s">
        <v>110</v>
      </c>
      <c r="E268">
        <v>25</v>
      </c>
      <c r="F268" t="s">
        <v>263</v>
      </c>
      <c r="G268">
        <v>1</v>
      </c>
      <c r="H268" s="9">
        <f t="shared" si="20"/>
        <v>0.1</v>
      </c>
      <c r="I268" t="s">
        <v>52</v>
      </c>
      <c r="J268" s="3" t="str">
        <f t="shared" si="21"/>
        <v>1</v>
      </c>
      <c r="K268" t="s">
        <v>87</v>
      </c>
      <c r="L268" s="10" t="str">
        <f t="shared" si="22"/>
        <v>1</v>
      </c>
      <c r="M268" t="s">
        <v>37</v>
      </c>
      <c r="N268" s="3" t="str">
        <f t="shared" si="23"/>
        <v>0</v>
      </c>
      <c r="O268" s="9">
        <f t="shared" si="24"/>
        <v>11.3</v>
      </c>
    </row>
    <row r="269" spans="2:16" x14ac:dyDescent="0.2">
      <c r="B269">
        <v>27</v>
      </c>
      <c r="C269" s="3">
        <v>21</v>
      </c>
      <c r="D269" s="3" t="s">
        <v>111</v>
      </c>
      <c r="E269">
        <v>26</v>
      </c>
      <c r="F269" t="s">
        <v>263</v>
      </c>
      <c r="G269">
        <v>1</v>
      </c>
      <c r="H269" s="9">
        <f t="shared" si="20"/>
        <v>0.1</v>
      </c>
      <c r="I269" t="s">
        <v>52</v>
      </c>
      <c r="J269" s="3" t="str">
        <f t="shared" si="21"/>
        <v>1</v>
      </c>
      <c r="K269" t="s">
        <v>87</v>
      </c>
      <c r="L269" s="10" t="str">
        <f t="shared" si="22"/>
        <v>1</v>
      </c>
      <c r="M269" t="s">
        <v>37</v>
      </c>
      <c r="N269" s="3" t="str">
        <f t="shared" si="23"/>
        <v>0</v>
      </c>
      <c r="O269" s="9">
        <f t="shared" si="24"/>
        <v>11.3</v>
      </c>
    </row>
    <row r="270" spans="2:16" x14ac:dyDescent="0.2">
      <c r="B270">
        <v>82</v>
      </c>
      <c r="C270" s="3" t="s">
        <v>160</v>
      </c>
      <c r="D270" s="3" t="s">
        <v>78</v>
      </c>
      <c r="E270">
        <v>1</v>
      </c>
      <c r="F270" t="s">
        <v>263</v>
      </c>
      <c r="G270">
        <v>1</v>
      </c>
      <c r="H270" s="9">
        <f t="shared" si="20"/>
        <v>0.1</v>
      </c>
      <c r="I270" t="s">
        <v>52</v>
      </c>
      <c r="J270" s="3" t="str">
        <f t="shared" si="21"/>
        <v>1</v>
      </c>
      <c r="K270" t="s">
        <v>87</v>
      </c>
      <c r="L270" s="10" t="str">
        <f t="shared" si="22"/>
        <v>1</v>
      </c>
      <c r="M270" t="s">
        <v>37</v>
      </c>
      <c r="N270" s="3" t="str">
        <f t="shared" si="23"/>
        <v>0</v>
      </c>
      <c r="O270" s="9">
        <f t="shared" si="24"/>
        <v>11.3</v>
      </c>
      <c r="P270" t="s">
        <v>159</v>
      </c>
    </row>
    <row r="271" spans="2:16" x14ac:dyDescent="0.2">
      <c r="B271">
        <v>83</v>
      </c>
      <c r="C271" s="3" t="s">
        <v>160</v>
      </c>
      <c r="D271" s="3" t="s">
        <v>78</v>
      </c>
      <c r="E271">
        <v>2</v>
      </c>
      <c r="F271" t="s">
        <v>263</v>
      </c>
      <c r="G271">
        <v>1</v>
      </c>
      <c r="H271" s="9">
        <f t="shared" si="20"/>
        <v>0.1</v>
      </c>
      <c r="I271" t="s">
        <v>52</v>
      </c>
      <c r="J271" s="3" t="str">
        <f t="shared" si="21"/>
        <v>1</v>
      </c>
      <c r="K271" t="s">
        <v>87</v>
      </c>
      <c r="L271" s="10" t="str">
        <f t="shared" si="22"/>
        <v>1</v>
      </c>
      <c r="M271" t="s">
        <v>37</v>
      </c>
      <c r="N271" s="3" t="str">
        <f t="shared" si="23"/>
        <v>0</v>
      </c>
      <c r="O271" s="9">
        <f t="shared" si="24"/>
        <v>11.3</v>
      </c>
      <c r="P271" t="s">
        <v>161</v>
      </c>
    </row>
    <row r="272" spans="2:16" x14ac:dyDescent="0.2">
      <c r="B272">
        <v>84</v>
      </c>
      <c r="C272" s="3" t="s">
        <v>160</v>
      </c>
      <c r="D272" s="3" t="s">
        <v>78</v>
      </c>
      <c r="E272">
        <v>3</v>
      </c>
      <c r="F272" t="s">
        <v>263</v>
      </c>
      <c r="G272">
        <v>1</v>
      </c>
      <c r="H272" s="9">
        <f t="shared" si="20"/>
        <v>0.1</v>
      </c>
      <c r="I272" t="s">
        <v>52</v>
      </c>
      <c r="J272" s="3" t="str">
        <f t="shared" si="21"/>
        <v>1</v>
      </c>
      <c r="K272" t="s">
        <v>87</v>
      </c>
      <c r="L272" s="10" t="str">
        <f t="shared" si="22"/>
        <v>1</v>
      </c>
      <c r="M272" t="s">
        <v>37</v>
      </c>
      <c r="N272" s="3" t="str">
        <f t="shared" si="23"/>
        <v>0</v>
      </c>
      <c r="O272" s="9">
        <f t="shared" si="24"/>
        <v>11.3</v>
      </c>
    </row>
    <row r="273" spans="2:16" x14ac:dyDescent="0.2">
      <c r="B273">
        <v>85</v>
      </c>
      <c r="C273" s="3" t="s">
        <v>160</v>
      </c>
      <c r="D273" s="3" t="s">
        <v>78</v>
      </c>
      <c r="E273">
        <v>4</v>
      </c>
      <c r="F273" t="s">
        <v>263</v>
      </c>
      <c r="G273">
        <v>1</v>
      </c>
      <c r="H273" s="9">
        <f t="shared" si="20"/>
        <v>0.1</v>
      </c>
      <c r="I273" t="s">
        <v>52</v>
      </c>
      <c r="J273" s="3" t="str">
        <f t="shared" si="21"/>
        <v>1</v>
      </c>
      <c r="K273" t="s">
        <v>87</v>
      </c>
      <c r="L273" s="10" t="str">
        <f t="shared" si="22"/>
        <v>1</v>
      </c>
      <c r="M273" t="s">
        <v>37</v>
      </c>
      <c r="N273" s="3" t="str">
        <f t="shared" si="23"/>
        <v>0</v>
      </c>
      <c r="O273" s="9">
        <f t="shared" si="24"/>
        <v>11.3</v>
      </c>
      <c r="P273" t="s">
        <v>161</v>
      </c>
    </row>
    <row r="274" spans="2:16" x14ac:dyDescent="0.2">
      <c r="B274">
        <v>86</v>
      </c>
      <c r="C274" s="3" t="s">
        <v>160</v>
      </c>
      <c r="D274" s="3" t="s">
        <v>78</v>
      </c>
      <c r="E274">
        <v>5</v>
      </c>
      <c r="F274" t="s">
        <v>263</v>
      </c>
      <c r="G274">
        <v>1</v>
      </c>
      <c r="H274" s="9">
        <f t="shared" si="20"/>
        <v>0.1</v>
      </c>
      <c r="I274" t="s">
        <v>52</v>
      </c>
      <c r="J274" s="3" t="str">
        <f t="shared" si="21"/>
        <v>1</v>
      </c>
      <c r="K274" t="s">
        <v>87</v>
      </c>
      <c r="L274" s="10" t="str">
        <f t="shared" si="22"/>
        <v>1</v>
      </c>
      <c r="M274" t="s">
        <v>37</v>
      </c>
      <c r="N274" s="3" t="str">
        <f t="shared" si="23"/>
        <v>0</v>
      </c>
      <c r="O274" s="9">
        <f t="shared" si="24"/>
        <v>11.3</v>
      </c>
      <c r="P274" t="s">
        <v>161</v>
      </c>
    </row>
    <row r="275" spans="2:16" x14ac:dyDescent="0.2">
      <c r="B275">
        <v>87</v>
      </c>
      <c r="C275" s="3" t="s">
        <v>160</v>
      </c>
      <c r="D275" s="3" t="s">
        <v>78</v>
      </c>
      <c r="E275">
        <v>6</v>
      </c>
      <c r="F275" t="s">
        <v>263</v>
      </c>
      <c r="G275">
        <v>1</v>
      </c>
      <c r="H275" s="9">
        <f t="shared" si="20"/>
        <v>0.1</v>
      </c>
      <c r="I275" t="s">
        <v>52</v>
      </c>
      <c r="J275" s="3" t="str">
        <f t="shared" si="21"/>
        <v>1</v>
      </c>
      <c r="K275" t="s">
        <v>87</v>
      </c>
      <c r="L275" s="10" t="str">
        <f t="shared" si="22"/>
        <v>1</v>
      </c>
      <c r="M275" t="s">
        <v>37</v>
      </c>
      <c r="N275" s="3" t="str">
        <f t="shared" si="23"/>
        <v>0</v>
      </c>
      <c r="O275" s="9">
        <f t="shared" si="24"/>
        <v>11.3</v>
      </c>
      <c r="P275" t="s">
        <v>162</v>
      </c>
    </row>
    <row r="276" spans="2:16" x14ac:dyDescent="0.2">
      <c r="B276">
        <v>88</v>
      </c>
      <c r="C276" s="3" t="s">
        <v>160</v>
      </c>
      <c r="D276" s="3" t="s">
        <v>78</v>
      </c>
      <c r="E276">
        <v>7</v>
      </c>
      <c r="F276" t="s">
        <v>263</v>
      </c>
      <c r="G276">
        <v>1</v>
      </c>
      <c r="H276" s="9">
        <f t="shared" si="20"/>
        <v>0.1</v>
      </c>
      <c r="I276" t="s">
        <v>52</v>
      </c>
      <c r="J276" s="3" t="str">
        <f t="shared" si="21"/>
        <v>1</v>
      </c>
      <c r="K276" t="s">
        <v>87</v>
      </c>
      <c r="L276" s="10" t="str">
        <f t="shared" si="22"/>
        <v>1</v>
      </c>
      <c r="M276" t="s">
        <v>37</v>
      </c>
      <c r="N276" s="3" t="str">
        <f t="shared" si="23"/>
        <v>0</v>
      </c>
      <c r="O276" s="9">
        <f t="shared" si="24"/>
        <v>11.3</v>
      </c>
      <c r="P276" t="s">
        <v>162</v>
      </c>
    </row>
    <row r="277" spans="2:16" x14ac:dyDescent="0.2">
      <c r="B277">
        <v>89</v>
      </c>
      <c r="C277" s="3" t="s">
        <v>160</v>
      </c>
      <c r="D277" s="3" t="s">
        <v>78</v>
      </c>
      <c r="E277">
        <v>8</v>
      </c>
      <c r="F277" t="s">
        <v>263</v>
      </c>
      <c r="G277">
        <v>1</v>
      </c>
      <c r="H277" s="9">
        <f t="shared" si="20"/>
        <v>0.1</v>
      </c>
      <c r="I277" t="s">
        <v>52</v>
      </c>
      <c r="J277" s="3" t="str">
        <f t="shared" si="21"/>
        <v>1</v>
      </c>
      <c r="K277" t="s">
        <v>87</v>
      </c>
      <c r="L277" s="10" t="str">
        <f t="shared" si="22"/>
        <v>1</v>
      </c>
      <c r="M277" t="s">
        <v>37</v>
      </c>
      <c r="N277" s="3" t="str">
        <f t="shared" si="23"/>
        <v>0</v>
      </c>
      <c r="O277" s="9">
        <f t="shared" si="24"/>
        <v>11.3</v>
      </c>
      <c r="P277" t="s">
        <v>162</v>
      </c>
    </row>
    <row r="278" spans="2:16" x14ac:dyDescent="0.2">
      <c r="B278">
        <v>90</v>
      </c>
      <c r="C278" s="3" t="s">
        <v>160</v>
      </c>
      <c r="D278" s="3" t="s">
        <v>78</v>
      </c>
      <c r="E278">
        <v>9</v>
      </c>
      <c r="F278" t="s">
        <v>263</v>
      </c>
      <c r="G278">
        <v>1</v>
      </c>
      <c r="H278" s="9">
        <f t="shared" si="20"/>
        <v>0.1</v>
      </c>
      <c r="I278" t="s">
        <v>52</v>
      </c>
      <c r="J278" s="3" t="str">
        <f t="shared" si="21"/>
        <v>1</v>
      </c>
      <c r="K278" t="s">
        <v>87</v>
      </c>
      <c r="L278" s="10" t="str">
        <f t="shared" si="22"/>
        <v>1</v>
      </c>
      <c r="M278" t="s">
        <v>37</v>
      </c>
      <c r="N278" s="3" t="str">
        <f t="shared" si="23"/>
        <v>0</v>
      </c>
      <c r="O278" s="9">
        <f t="shared" si="24"/>
        <v>11.3</v>
      </c>
      <c r="P278" t="s">
        <v>162</v>
      </c>
    </row>
    <row r="279" spans="2:16" x14ac:dyDescent="0.2">
      <c r="B279">
        <v>91</v>
      </c>
      <c r="C279" s="3" t="s">
        <v>160</v>
      </c>
      <c r="D279" s="3" t="s">
        <v>78</v>
      </c>
      <c r="E279">
        <v>10</v>
      </c>
      <c r="F279" t="s">
        <v>263</v>
      </c>
      <c r="G279">
        <v>1</v>
      </c>
      <c r="H279" s="9">
        <f t="shared" si="20"/>
        <v>0.1</v>
      </c>
      <c r="I279" t="s">
        <v>52</v>
      </c>
      <c r="J279" s="3" t="str">
        <f t="shared" si="21"/>
        <v>1</v>
      </c>
      <c r="K279" t="s">
        <v>87</v>
      </c>
      <c r="L279" s="10" t="str">
        <f t="shared" si="22"/>
        <v>1</v>
      </c>
      <c r="M279" t="s">
        <v>37</v>
      </c>
      <c r="N279" s="3" t="str">
        <f t="shared" si="23"/>
        <v>0</v>
      </c>
      <c r="O279" s="9">
        <f t="shared" si="24"/>
        <v>11.3</v>
      </c>
      <c r="P279" t="s">
        <v>162</v>
      </c>
    </row>
    <row r="280" spans="2:16" x14ac:dyDescent="0.2">
      <c r="B280">
        <v>241</v>
      </c>
      <c r="C280" s="3" t="s">
        <v>184</v>
      </c>
      <c r="D280" s="3" t="s">
        <v>78</v>
      </c>
      <c r="E280">
        <v>1</v>
      </c>
      <c r="F280" t="s">
        <v>289</v>
      </c>
      <c r="G280">
        <v>1</v>
      </c>
      <c r="H280" s="9">
        <f t="shared" si="20"/>
        <v>0.1</v>
      </c>
      <c r="I280" t="s">
        <v>52</v>
      </c>
      <c r="J280" s="3" t="str">
        <f t="shared" si="21"/>
        <v>1</v>
      </c>
      <c r="K280" t="s">
        <v>87</v>
      </c>
      <c r="L280" s="10" t="str">
        <f t="shared" si="22"/>
        <v>1</v>
      </c>
      <c r="M280" t="s">
        <v>37</v>
      </c>
      <c r="N280" s="3" t="str">
        <f t="shared" si="23"/>
        <v>0</v>
      </c>
      <c r="O280" s="9">
        <f t="shared" si="24"/>
        <v>11.3</v>
      </c>
    </row>
    <row r="281" spans="2:16" x14ac:dyDescent="0.2">
      <c r="B281">
        <v>242</v>
      </c>
      <c r="C281" s="3" t="s">
        <v>184</v>
      </c>
      <c r="D281" s="3" t="s">
        <v>78</v>
      </c>
      <c r="E281">
        <v>2</v>
      </c>
      <c r="F281" t="s">
        <v>289</v>
      </c>
      <c r="G281">
        <v>1</v>
      </c>
      <c r="H281" s="9">
        <f t="shared" si="20"/>
        <v>0.1</v>
      </c>
      <c r="I281" t="s">
        <v>52</v>
      </c>
      <c r="J281" s="3" t="str">
        <f t="shared" si="21"/>
        <v>1</v>
      </c>
      <c r="K281" t="s">
        <v>87</v>
      </c>
      <c r="L281" s="10" t="str">
        <f t="shared" si="22"/>
        <v>1</v>
      </c>
      <c r="M281" t="s">
        <v>37</v>
      </c>
      <c r="N281" s="3" t="str">
        <f t="shared" si="23"/>
        <v>0</v>
      </c>
      <c r="O281" s="9">
        <f t="shared" si="24"/>
        <v>11.3</v>
      </c>
    </row>
    <row r="282" spans="2:16" x14ac:dyDescent="0.2">
      <c r="B282">
        <v>243</v>
      </c>
      <c r="C282" s="3" t="s">
        <v>184</v>
      </c>
      <c r="D282" s="3" t="s">
        <v>78</v>
      </c>
      <c r="E282">
        <v>3</v>
      </c>
      <c r="F282" t="s">
        <v>289</v>
      </c>
      <c r="G282">
        <v>1</v>
      </c>
      <c r="H282" s="9">
        <f t="shared" si="20"/>
        <v>0.1</v>
      </c>
      <c r="I282" t="s">
        <v>52</v>
      </c>
      <c r="J282" s="3" t="str">
        <f t="shared" si="21"/>
        <v>1</v>
      </c>
      <c r="K282" t="s">
        <v>87</v>
      </c>
      <c r="L282" s="10" t="str">
        <f t="shared" si="22"/>
        <v>1</v>
      </c>
      <c r="M282" t="s">
        <v>37</v>
      </c>
      <c r="N282" s="3" t="str">
        <f t="shared" si="23"/>
        <v>0</v>
      </c>
      <c r="O282" s="9">
        <f t="shared" si="24"/>
        <v>11.3</v>
      </c>
    </row>
    <row r="283" spans="2:16" x14ac:dyDescent="0.2">
      <c r="B283">
        <v>244</v>
      </c>
      <c r="C283" s="3" t="s">
        <v>184</v>
      </c>
      <c r="D283" s="3" t="s">
        <v>78</v>
      </c>
      <c r="E283">
        <v>4</v>
      </c>
      <c r="F283" t="s">
        <v>289</v>
      </c>
      <c r="G283">
        <v>1</v>
      </c>
      <c r="H283" s="9">
        <f t="shared" si="20"/>
        <v>0.1</v>
      </c>
      <c r="I283" t="s">
        <v>52</v>
      </c>
      <c r="J283" s="3" t="str">
        <f t="shared" si="21"/>
        <v>1</v>
      </c>
      <c r="K283" t="s">
        <v>87</v>
      </c>
      <c r="L283" s="10" t="str">
        <f t="shared" si="22"/>
        <v>1</v>
      </c>
      <c r="M283" t="s">
        <v>37</v>
      </c>
      <c r="N283" s="3" t="str">
        <f t="shared" si="23"/>
        <v>0</v>
      </c>
      <c r="O283" s="9">
        <f t="shared" si="24"/>
        <v>11.3</v>
      </c>
    </row>
    <row r="284" spans="2:16" x14ac:dyDescent="0.2">
      <c r="B284">
        <v>245</v>
      </c>
      <c r="C284" s="3" t="s">
        <v>184</v>
      </c>
      <c r="D284" s="3" t="s">
        <v>78</v>
      </c>
      <c r="E284">
        <v>5</v>
      </c>
      <c r="F284" t="s">
        <v>289</v>
      </c>
      <c r="G284">
        <v>1</v>
      </c>
      <c r="H284" s="9">
        <f t="shared" si="20"/>
        <v>0.1</v>
      </c>
      <c r="I284" t="s">
        <v>52</v>
      </c>
      <c r="J284" s="3" t="str">
        <f t="shared" si="21"/>
        <v>1</v>
      </c>
      <c r="K284" t="s">
        <v>87</v>
      </c>
      <c r="L284" s="10" t="str">
        <f t="shared" si="22"/>
        <v>1</v>
      </c>
      <c r="M284" t="s">
        <v>37</v>
      </c>
      <c r="N284" s="3" t="str">
        <f t="shared" si="23"/>
        <v>0</v>
      </c>
      <c r="O284" s="9">
        <f t="shared" si="24"/>
        <v>11.3</v>
      </c>
    </row>
    <row r="285" spans="2:16" x14ac:dyDescent="0.2">
      <c r="B285">
        <v>237</v>
      </c>
      <c r="C285" s="3" t="s">
        <v>199</v>
      </c>
      <c r="D285" s="3" t="s">
        <v>78</v>
      </c>
      <c r="E285">
        <v>3</v>
      </c>
      <c r="F285" t="s">
        <v>289</v>
      </c>
      <c r="G285">
        <v>1</v>
      </c>
      <c r="H285" s="9">
        <f t="shared" si="20"/>
        <v>0.1</v>
      </c>
      <c r="I285" t="s">
        <v>52</v>
      </c>
      <c r="J285" s="3" t="str">
        <f t="shared" si="21"/>
        <v>1</v>
      </c>
      <c r="K285" t="s">
        <v>87</v>
      </c>
      <c r="L285" s="10" t="str">
        <f t="shared" si="22"/>
        <v>1</v>
      </c>
      <c r="M285" t="s">
        <v>37</v>
      </c>
      <c r="N285" s="3" t="str">
        <f t="shared" si="23"/>
        <v>0</v>
      </c>
      <c r="O285" s="9">
        <f t="shared" si="24"/>
        <v>11.3</v>
      </c>
    </row>
    <row r="286" spans="2:16" x14ac:dyDescent="0.2">
      <c r="B286">
        <v>238</v>
      </c>
      <c r="C286" s="3" t="s">
        <v>199</v>
      </c>
      <c r="D286" s="3" t="s">
        <v>78</v>
      </c>
      <c r="E286">
        <v>4</v>
      </c>
      <c r="F286" t="s">
        <v>289</v>
      </c>
      <c r="G286">
        <v>1</v>
      </c>
      <c r="H286" s="9">
        <f t="shared" si="20"/>
        <v>0.1</v>
      </c>
      <c r="I286" t="s">
        <v>52</v>
      </c>
      <c r="J286" s="3" t="str">
        <f t="shared" si="21"/>
        <v>1</v>
      </c>
      <c r="K286" t="s">
        <v>87</v>
      </c>
      <c r="L286" s="10" t="str">
        <f t="shared" si="22"/>
        <v>1</v>
      </c>
      <c r="M286" t="s">
        <v>37</v>
      </c>
      <c r="N286" s="3" t="str">
        <f t="shared" si="23"/>
        <v>0</v>
      </c>
      <c r="O286" s="9">
        <f t="shared" si="24"/>
        <v>11.3</v>
      </c>
    </row>
    <row r="287" spans="2:16" x14ac:dyDescent="0.2">
      <c r="B287">
        <v>239</v>
      </c>
      <c r="C287" s="3" t="s">
        <v>199</v>
      </c>
      <c r="D287" s="3" t="s">
        <v>78</v>
      </c>
      <c r="E287">
        <v>5</v>
      </c>
      <c r="F287" t="s">
        <v>263</v>
      </c>
      <c r="G287">
        <v>1</v>
      </c>
      <c r="H287" s="9">
        <f t="shared" si="20"/>
        <v>0.1</v>
      </c>
      <c r="I287" t="s">
        <v>52</v>
      </c>
      <c r="J287" s="3" t="str">
        <f t="shared" si="21"/>
        <v>1</v>
      </c>
      <c r="K287" t="s">
        <v>87</v>
      </c>
      <c r="L287" s="10" t="str">
        <f t="shared" si="22"/>
        <v>1</v>
      </c>
      <c r="M287" t="s">
        <v>37</v>
      </c>
      <c r="N287" s="3" t="str">
        <f t="shared" si="23"/>
        <v>0</v>
      </c>
      <c r="O287" s="9">
        <f t="shared" si="24"/>
        <v>11.3</v>
      </c>
    </row>
    <row r="288" spans="2:16" x14ac:dyDescent="0.2">
      <c r="B288">
        <v>217</v>
      </c>
      <c r="C288" s="3" t="s">
        <v>300</v>
      </c>
      <c r="D288" s="3" t="s">
        <v>78</v>
      </c>
      <c r="E288">
        <v>7</v>
      </c>
      <c r="F288" t="s">
        <v>289</v>
      </c>
      <c r="G288">
        <v>1</v>
      </c>
      <c r="H288" s="9">
        <f t="shared" si="20"/>
        <v>0.1</v>
      </c>
      <c r="I288" t="s">
        <v>52</v>
      </c>
      <c r="J288" s="3" t="str">
        <f t="shared" si="21"/>
        <v>1</v>
      </c>
      <c r="K288" t="s">
        <v>87</v>
      </c>
      <c r="L288" s="10" t="str">
        <f t="shared" si="22"/>
        <v>1</v>
      </c>
      <c r="M288" t="s">
        <v>37</v>
      </c>
      <c r="N288" s="3" t="str">
        <f t="shared" si="23"/>
        <v>0</v>
      </c>
      <c r="O288" s="9">
        <f t="shared" si="24"/>
        <v>11.3</v>
      </c>
    </row>
    <row r="289" spans="2:16" x14ac:dyDescent="0.2">
      <c r="B289">
        <v>218</v>
      </c>
      <c r="C289" s="3" t="s">
        <v>300</v>
      </c>
      <c r="D289" s="3" t="s">
        <v>78</v>
      </c>
      <c r="E289">
        <v>8</v>
      </c>
      <c r="F289" t="s">
        <v>289</v>
      </c>
      <c r="G289">
        <v>1</v>
      </c>
      <c r="H289" s="9">
        <f t="shared" si="20"/>
        <v>0.1</v>
      </c>
      <c r="I289" t="s">
        <v>52</v>
      </c>
      <c r="J289" s="3" t="str">
        <f t="shared" si="21"/>
        <v>1</v>
      </c>
      <c r="K289" t="s">
        <v>87</v>
      </c>
      <c r="L289" s="10" t="str">
        <f t="shared" si="22"/>
        <v>1</v>
      </c>
      <c r="M289" t="s">
        <v>37</v>
      </c>
      <c r="N289" s="3" t="str">
        <f t="shared" si="23"/>
        <v>0</v>
      </c>
      <c r="O289" s="9">
        <f t="shared" si="24"/>
        <v>11.3</v>
      </c>
    </row>
    <row r="290" spans="2:16" x14ac:dyDescent="0.2">
      <c r="B290">
        <v>219</v>
      </c>
      <c r="C290" s="3" t="s">
        <v>300</v>
      </c>
      <c r="D290" s="3" t="s">
        <v>78</v>
      </c>
      <c r="E290">
        <v>9</v>
      </c>
      <c r="F290" t="s">
        <v>289</v>
      </c>
      <c r="G290">
        <v>1</v>
      </c>
      <c r="H290" s="9">
        <f t="shared" si="20"/>
        <v>0.1</v>
      </c>
      <c r="I290" t="s">
        <v>52</v>
      </c>
      <c r="J290" s="3" t="str">
        <f t="shared" si="21"/>
        <v>1</v>
      </c>
      <c r="K290" t="s">
        <v>87</v>
      </c>
      <c r="L290" s="10" t="str">
        <f t="shared" si="22"/>
        <v>1</v>
      </c>
      <c r="M290" t="s">
        <v>37</v>
      </c>
      <c r="N290" s="3" t="str">
        <f t="shared" si="23"/>
        <v>0</v>
      </c>
      <c r="O290" s="9">
        <f t="shared" si="24"/>
        <v>11.3</v>
      </c>
    </row>
    <row r="291" spans="2:16" x14ac:dyDescent="0.2">
      <c r="B291">
        <v>220</v>
      </c>
      <c r="C291" s="3" t="s">
        <v>300</v>
      </c>
      <c r="D291" s="3" t="s">
        <v>78</v>
      </c>
      <c r="E291">
        <v>10</v>
      </c>
      <c r="F291" t="s">
        <v>289</v>
      </c>
      <c r="G291">
        <v>1</v>
      </c>
      <c r="H291" s="9">
        <f t="shared" si="20"/>
        <v>0.1</v>
      </c>
      <c r="I291" t="s">
        <v>52</v>
      </c>
      <c r="J291" s="3" t="str">
        <f t="shared" si="21"/>
        <v>1</v>
      </c>
      <c r="K291" t="s">
        <v>87</v>
      </c>
      <c r="L291" s="10" t="str">
        <f t="shared" si="22"/>
        <v>1</v>
      </c>
      <c r="M291" t="s">
        <v>37</v>
      </c>
      <c r="N291" s="3" t="str">
        <f t="shared" si="23"/>
        <v>0</v>
      </c>
      <c r="O291" s="9">
        <f t="shared" si="24"/>
        <v>11.3</v>
      </c>
    </row>
    <row r="292" spans="2:16" x14ac:dyDescent="0.2">
      <c r="B292">
        <v>221</v>
      </c>
      <c r="C292" s="3" t="s">
        <v>300</v>
      </c>
      <c r="D292" s="3" t="s">
        <v>78</v>
      </c>
      <c r="E292">
        <v>11</v>
      </c>
      <c r="F292" t="s">
        <v>289</v>
      </c>
      <c r="G292">
        <v>1</v>
      </c>
      <c r="H292" s="9">
        <f t="shared" si="20"/>
        <v>0.1</v>
      </c>
      <c r="I292" t="s">
        <v>52</v>
      </c>
      <c r="J292" s="3" t="str">
        <f t="shared" si="21"/>
        <v>1</v>
      </c>
      <c r="K292" t="s">
        <v>87</v>
      </c>
      <c r="L292" s="10" t="str">
        <f t="shared" si="22"/>
        <v>1</v>
      </c>
      <c r="M292" t="s">
        <v>37</v>
      </c>
      <c r="N292" s="3" t="str">
        <f t="shared" si="23"/>
        <v>0</v>
      </c>
      <c r="O292" s="9">
        <f t="shared" si="24"/>
        <v>11.3</v>
      </c>
    </row>
    <row r="293" spans="2:16" x14ac:dyDescent="0.2">
      <c r="B293">
        <v>222</v>
      </c>
      <c r="C293" s="3" t="s">
        <v>300</v>
      </c>
      <c r="D293" s="3" t="s">
        <v>78</v>
      </c>
      <c r="E293">
        <v>12</v>
      </c>
      <c r="F293" t="s">
        <v>289</v>
      </c>
      <c r="G293">
        <v>1</v>
      </c>
      <c r="H293" s="9">
        <f t="shared" si="20"/>
        <v>0.1</v>
      </c>
      <c r="I293" t="s">
        <v>52</v>
      </c>
      <c r="J293" s="3" t="str">
        <f t="shared" si="21"/>
        <v>1</v>
      </c>
      <c r="K293" t="s">
        <v>87</v>
      </c>
      <c r="L293" s="10" t="str">
        <f t="shared" si="22"/>
        <v>1</v>
      </c>
      <c r="M293" t="s">
        <v>37</v>
      </c>
      <c r="N293" s="3" t="str">
        <f t="shared" si="23"/>
        <v>0</v>
      </c>
      <c r="O293" s="9">
        <f t="shared" si="24"/>
        <v>11.3</v>
      </c>
    </row>
    <row r="294" spans="2:16" x14ac:dyDescent="0.2">
      <c r="B294">
        <v>223</v>
      </c>
      <c r="C294" s="3" t="s">
        <v>300</v>
      </c>
      <c r="D294" s="3" t="s">
        <v>78</v>
      </c>
      <c r="E294">
        <v>13</v>
      </c>
      <c r="F294" t="s">
        <v>289</v>
      </c>
      <c r="G294">
        <v>1</v>
      </c>
      <c r="H294" s="9">
        <f t="shared" si="20"/>
        <v>0.1</v>
      </c>
      <c r="I294" t="s">
        <v>52</v>
      </c>
      <c r="J294" s="3" t="str">
        <f t="shared" si="21"/>
        <v>1</v>
      </c>
      <c r="K294" t="s">
        <v>87</v>
      </c>
      <c r="L294" s="10" t="str">
        <f t="shared" si="22"/>
        <v>1</v>
      </c>
      <c r="M294" t="s">
        <v>37</v>
      </c>
      <c r="N294" s="3" t="str">
        <f t="shared" si="23"/>
        <v>0</v>
      </c>
      <c r="O294" s="9">
        <f t="shared" si="24"/>
        <v>11.3</v>
      </c>
    </row>
    <row r="295" spans="2:16" x14ac:dyDescent="0.2">
      <c r="B295">
        <v>224</v>
      </c>
      <c r="C295" s="3" t="s">
        <v>300</v>
      </c>
      <c r="D295" s="3" t="s">
        <v>78</v>
      </c>
      <c r="E295">
        <v>14</v>
      </c>
      <c r="F295" t="s">
        <v>289</v>
      </c>
      <c r="G295">
        <v>1</v>
      </c>
      <c r="H295" s="9">
        <f t="shared" si="20"/>
        <v>0.1</v>
      </c>
      <c r="I295" t="s">
        <v>52</v>
      </c>
      <c r="J295" s="3" t="str">
        <f t="shared" si="21"/>
        <v>1</v>
      </c>
      <c r="K295" t="s">
        <v>87</v>
      </c>
      <c r="L295" s="10" t="str">
        <f t="shared" si="22"/>
        <v>1</v>
      </c>
      <c r="M295" t="s">
        <v>37</v>
      </c>
      <c r="N295" s="3" t="str">
        <f t="shared" si="23"/>
        <v>0</v>
      </c>
      <c r="O295" s="9">
        <f t="shared" si="24"/>
        <v>11.3</v>
      </c>
    </row>
    <row r="296" spans="2:16" x14ac:dyDescent="0.2">
      <c r="B296">
        <v>225</v>
      </c>
      <c r="C296" s="3" t="s">
        <v>300</v>
      </c>
      <c r="D296" s="3" t="s">
        <v>78</v>
      </c>
      <c r="E296">
        <v>15</v>
      </c>
      <c r="F296" t="s">
        <v>289</v>
      </c>
      <c r="G296">
        <v>1</v>
      </c>
      <c r="H296" s="9">
        <f t="shared" si="20"/>
        <v>0.1</v>
      </c>
      <c r="I296" t="s">
        <v>52</v>
      </c>
      <c r="J296" s="3" t="str">
        <f t="shared" si="21"/>
        <v>1</v>
      </c>
      <c r="K296" t="s">
        <v>87</v>
      </c>
      <c r="L296" s="10" t="str">
        <f t="shared" si="22"/>
        <v>1</v>
      </c>
      <c r="M296" t="s">
        <v>37</v>
      </c>
      <c r="N296" s="3" t="str">
        <f t="shared" si="23"/>
        <v>0</v>
      </c>
      <c r="O296" s="9">
        <f t="shared" si="24"/>
        <v>11.3</v>
      </c>
    </row>
    <row r="297" spans="2:16" x14ac:dyDescent="0.2">
      <c r="B297">
        <v>226</v>
      </c>
      <c r="C297" s="3" t="s">
        <v>300</v>
      </c>
      <c r="D297" s="3" t="s">
        <v>78</v>
      </c>
      <c r="E297">
        <v>16</v>
      </c>
      <c r="F297" t="s">
        <v>289</v>
      </c>
      <c r="G297">
        <v>1</v>
      </c>
      <c r="H297" s="9">
        <f t="shared" si="20"/>
        <v>0.1</v>
      </c>
      <c r="I297" t="s">
        <v>52</v>
      </c>
      <c r="J297" s="3" t="str">
        <f t="shared" si="21"/>
        <v>1</v>
      </c>
      <c r="K297" t="s">
        <v>87</v>
      </c>
      <c r="L297" s="10" t="str">
        <f t="shared" si="22"/>
        <v>1</v>
      </c>
      <c r="M297" t="s">
        <v>37</v>
      </c>
      <c r="N297" s="3" t="str">
        <f t="shared" si="23"/>
        <v>0</v>
      </c>
      <c r="O297" s="9">
        <f t="shared" si="24"/>
        <v>11.3</v>
      </c>
    </row>
    <row r="298" spans="2:16" x14ac:dyDescent="0.2">
      <c r="B298">
        <v>227</v>
      </c>
      <c r="C298" s="3" t="s">
        <v>300</v>
      </c>
      <c r="D298" s="3" t="s">
        <v>78</v>
      </c>
      <c r="E298">
        <v>17</v>
      </c>
      <c r="F298" t="s">
        <v>289</v>
      </c>
      <c r="G298">
        <v>1</v>
      </c>
      <c r="H298" s="9">
        <f t="shared" si="20"/>
        <v>0.1</v>
      </c>
      <c r="I298" t="s">
        <v>52</v>
      </c>
      <c r="J298" s="3" t="str">
        <f t="shared" si="21"/>
        <v>1</v>
      </c>
      <c r="K298" t="s">
        <v>87</v>
      </c>
      <c r="L298" s="10" t="str">
        <f t="shared" si="22"/>
        <v>1</v>
      </c>
      <c r="M298" t="s">
        <v>37</v>
      </c>
      <c r="N298" s="3" t="str">
        <f t="shared" si="23"/>
        <v>0</v>
      </c>
      <c r="O298" s="9">
        <f t="shared" si="24"/>
        <v>11.3</v>
      </c>
    </row>
    <row r="299" spans="2:16" x14ac:dyDescent="0.2">
      <c r="B299">
        <v>228</v>
      </c>
      <c r="C299" s="3" t="s">
        <v>300</v>
      </c>
      <c r="D299" s="3" t="s">
        <v>78</v>
      </c>
      <c r="E299">
        <v>18</v>
      </c>
      <c r="F299" t="s">
        <v>289</v>
      </c>
      <c r="G299">
        <v>1</v>
      </c>
      <c r="H299" s="9">
        <f t="shared" si="20"/>
        <v>0.1</v>
      </c>
      <c r="I299" t="s">
        <v>52</v>
      </c>
      <c r="J299" s="3" t="str">
        <f t="shared" si="21"/>
        <v>1</v>
      </c>
      <c r="K299" t="s">
        <v>87</v>
      </c>
      <c r="L299" s="10" t="str">
        <f t="shared" si="22"/>
        <v>1</v>
      </c>
      <c r="M299" t="s">
        <v>37</v>
      </c>
      <c r="N299" s="3" t="str">
        <f t="shared" si="23"/>
        <v>0</v>
      </c>
      <c r="O299" s="9">
        <f t="shared" si="24"/>
        <v>11.3</v>
      </c>
    </row>
    <row r="300" spans="2:16" x14ac:dyDescent="0.2">
      <c r="B300">
        <v>229</v>
      </c>
      <c r="C300" s="3" t="s">
        <v>300</v>
      </c>
      <c r="D300" s="3" t="s">
        <v>78</v>
      </c>
      <c r="E300">
        <v>19</v>
      </c>
      <c r="F300" t="s">
        <v>289</v>
      </c>
      <c r="G300">
        <v>1</v>
      </c>
      <c r="H300" s="9">
        <f t="shared" si="20"/>
        <v>0.1</v>
      </c>
      <c r="I300" t="s">
        <v>52</v>
      </c>
      <c r="J300" s="3" t="str">
        <f t="shared" si="21"/>
        <v>1</v>
      </c>
      <c r="K300" t="s">
        <v>87</v>
      </c>
      <c r="L300" s="10" t="str">
        <f t="shared" si="22"/>
        <v>1</v>
      </c>
      <c r="M300" t="s">
        <v>37</v>
      </c>
      <c r="N300" s="3" t="str">
        <f t="shared" si="23"/>
        <v>0</v>
      </c>
      <c r="O300" s="9">
        <f t="shared" si="24"/>
        <v>11.3</v>
      </c>
    </row>
    <row r="301" spans="2:16" x14ac:dyDescent="0.2">
      <c r="B301">
        <v>230</v>
      </c>
      <c r="C301" s="3" t="s">
        <v>300</v>
      </c>
      <c r="D301" s="3" t="s">
        <v>78</v>
      </c>
      <c r="E301">
        <v>20</v>
      </c>
      <c r="F301" t="s">
        <v>289</v>
      </c>
      <c r="G301">
        <v>1</v>
      </c>
      <c r="H301" s="9">
        <f t="shared" si="20"/>
        <v>0.1</v>
      </c>
      <c r="I301" t="s">
        <v>52</v>
      </c>
      <c r="J301" s="3" t="str">
        <f t="shared" si="21"/>
        <v>1</v>
      </c>
      <c r="K301" t="s">
        <v>87</v>
      </c>
      <c r="L301" s="10" t="str">
        <f t="shared" si="22"/>
        <v>1</v>
      </c>
      <c r="M301" t="s">
        <v>37</v>
      </c>
      <c r="N301" s="3" t="str">
        <f t="shared" si="23"/>
        <v>0</v>
      </c>
      <c r="O301" s="9">
        <f t="shared" si="24"/>
        <v>11.3</v>
      </c>
    </row>
    <row r="302" spans="2:16" x14ac:dyDescent="0.2">
      <c r="B302">
        <v>234</v>
      </c>
      <c r="C302" s="3" t="s">
        <v>300</v>
      </c>
      <c r="D302" s="3" t="s">
        <v>78</v>
      </c>
      <c r="E302">
        <v>24</v>
      </c>
      <c r="F302" t="s">
        <v>289</v>
      </c>
      <c r="G302">
        <v>1</v>
      </c>
      <c r="H302" s="9">
        <f t="shared" si="20"/>
        <v>0.1</v>
      </c>
      <c r="I302" t="s">
        <v>52</v>
      </c>
      <c r="J302" s="3" t="str">
        <f t="shared" si="21"/>
        <v>1</v>
      </c>
      <c r="K302" t="s">
        <v>87</v>
      </c>
      <c r="L302" s="10" t="str">
        <f t="shared" si="22"/>
        <v>1</v>
      </c>
      <c r="M302" t="s">
        <v>37</v>
      </c>
      <c r="N302" s="3" t="str">
        <f t="shared" si="23"/>
        <v>0</v>
      </c>
      <c r="O302" s="9">
        <f t="shared" si="24"/>
        <v>11.3</v>
      </c>
    </row>
    <row r="303" spans="2:16" x14ac:dyDescent="0.2">
      <c r="B303">
        <v>119</v>
      </c>
      <c r="C303" s="3" t="s">
        <v>164</v>
      </c>
      <c r="D303" s="3" t="s">
        <v>78</v>
      </c>
      <c r="E303">
        <v>38</v>
      </c>
      <c r="F303" t="s">
        <v>263</v>
      </c>
      <c r="G303">
        <v>1</v>
      </c>
      <c r="H303" s="9">
        <f t="shared" si="20"/>
        <v>0.1</v>
      </c>
      <c r="I303" t="s">
        <v>52</v>
      </c>
      <c r="J303" s="3" t="str">
        <f t="shared" si="21"/>
        <v>1</v>
      </c>
      <c r="K303" t="s">
        <v>87</v>
      </c>
      <c r="L303" s="10" t="str">
        <f t="shared" si="22"/>
        <v>1</v>
      </c>
      <c r="M303" t="s">
        <v>37</v>
      </c>
      <c r="N303" s="3" t="str">
        <f t="shared" si="23"/>
        <v>0</v>
      </c>
      <c r="O303" s="9">
        <f t="shared" si="24"/>
        <v>11.3</v>
      </c>
      <c r="P303" t="s">
        <v>162</v>
      </c>
    </row>
    <row r="304" spans="2:16" x14ac:dyDescent="0.2">
      <c r="B304">
        <v>120</v>
      </c>
      <c r="C304" s="3" t="s">
        <v>164</v>
      </c>
      <c r="D304" s="3" t="s">
        <v>78</v>
      </c>
      <c r="E304">
        <v>39</v>
      </c>
      <c r="F304" t="s">
        <v>263</v>
      </c>
      <c r="G304">
        <v>1</v>
      </c>
      <c r="H304" s="9">
        <f t="shared" si="20"/>
        <v>0.1</v>
      </c>
      <c r="I304" t="s">
        <v>52</v>
      </c>
      <c r="J304" s="3" t="str">
        <f t="shared" si="21"/>
        <v>1</v>
      </c>
      <c r="K304" t="s">
        <v>87</v>
      </c>
      <c r="L304" s="10" t="str">
        <f t="shared" si="22"/>
        <v>1</v>
      </c>
      <c r="M304" t="s">
        <v>37</v>
      </c>
      <c r="N304" s="3" t="str">
        <f t="shared" si="23"/>
        <v>0</v>
      </c>
      <c r="O304" s="9">
        <f t="shared" si="24"/>
        <v>11.3</v>
      </c>
      <c r="P304" t="s">
        <v>162</v>
      </c>
    </row>
    <row r="305" spans="2:16" x14ac:dyDescent="0.2">
      <c r="B305">
        <v>121</v>
      </c>
      <c r="C305" s="3" t="s">
        <v>164</v>
      </c>
      <c r="D305" s="3" t="s">
        <v>78</v>
      </c>
      <c r="E305">
        <v>40</v>
      </c>
      <c r="F305" t="s">
        <v>263</v>
      </c>
      <c r="G305">
        <v>1</v>
      </c>
      <c r="H305" s="9">
        <f t="shared" si="20"/>
        <v>0.1</v>
      </c>
      <c r="I305" t="s">
        <v>52</v>
      </c>
      <c r="J305" s="3" t="str">
        <f t="shared" si="21"/>
        <v>1</v>
      </c>
      <c r="K305" t="s">
        <v>87</v>
      </c>
      <c r="L305" s="10" t="str">
        <f t="shared" si="22"/>
        <v>1</v>
      </c>
      <c r="M305" t="s">
        <v>37</v>
      </c>
      <c r="N305" s="3" t="str">
        <f t="shared" si="23"/>
        <v>0</v>
      </c>
      <c r="O305" s="9">
        <f t="shared" si="24"/>
        <v>11.3</v>
      </c>
      <c r="P305" t="s">
        <v>162</v>
      </c>
    </row>
    <row r="306" spans="2:16" x14ac:dyDescent="0.2">
      <c r="B306">
        <v>122</v>
      </c>
      <c r="C306" s="3" t="s">
        <v>164</v>
      </c>
      <c r="D306" s="3" t="s">
        <v>78</v>
      </c>
      <c r="E306">
        <v>41</v>
      </c>
      <c r="F306" t="s">
        <v>263</v>
      </c>
      <c r="G306">
        <v>1</v>
      </c>
      <c r="H306" s="9">
        <f t="shared" si="20"/>
        <v>0.1</v>
      </c>
      <c r="I306" t="s">
        <v>52</v>
      </c>
      <c r="J306" s="3" t="str">
        <f t="shared" si="21"/>
        <v>1</v>
      </c>
      <c r="K306" t="s">
        <v>87</v>
      </c>
      <c r="L306" s="10" t="str">
        <f t="shared" si="22"/>
        <v>1</v>
      </c>
      <c r="M306" t="s">
        <v>37</v>
      </c>
      <c r="N306" s="3" t="str">
        <f t="shared" si="23"/>
        <v>0</v>
      </c>
      <c r="O306" s="9">
        <f t="shared" si="24"/>
        <v>11.3</v>
      </c>
      <c r="P306" t="s">
        <v>162</v>
      </c>
    </row>
    <row r="307" spans="2:16" x14ac:dyDescent="0.2">
      <c r="B307">
        <v>123</v>
      </c>
      <c r="C307" s="3" t="s">
        <v>164</v>
      </c>
      <c r="D307" s="3" t="s">
        <v>78</v>
      </c>
      <c r="E307">
        <v>42</v>
      </c>
      <c r="F307" t="s">
        <v>263</v>
      </c>
      <c r="G307">
        <v>1</v>
      </c>
      <c r="H307" s="9">
        <f t="shared" si="20"/>
        <v>0.1</v>
      </c>
      <c r="I307" t="s">
        <v>52</v>
      </c>
      <c r="J307" s="3" t="str">
        <f t="shared" si="21"/>
        <v>1</v>
      </c>
      <c r="K307" t="s">
        <v>87</v>
      </c>
      <c r="L307" s="10" t="str">
        <f t="shared" si="22"/>
        <v>1</v>
      </c>
      <c r="M307" t="s">
        <v>37</v>
      </c>
      <c r="N307" s="3" t="str">
        <f t="shared" si="23"/>
        <v>0</v>
      </c>
      <c r="O307" s="9">
        <f t="shared" si="24"/>
        <v>11.3</v>
      </c>
      <c r="P307" t="s">
        <v>162</v>
      </c>
    </row>
    <row r="308" spans="2:16" x14ac:dyDescent="0.2">
      <c r="B308">
        <v>124</v>
      </c>
      <c r="C308" s="3" t="s">
        <v>164</v>
      </c>
      <c r="D308" s="3" t="s">
        <v>78</v>
      </c>
      <c r="E308">
        <v>43</v>
      </c>
      <c r="F308" t="s">
        <v>263</v>
      </c>
      <c r="G308">
        <v>1</v>
      </c>
      <c r="H308" s="9">
        <f t="shared" si="20"/>
        <v>0.1</v>
      </c>
      <c r="I308" t="s">
        <v>52</v>
      </c>
      <c r="J308" s="3" t="str">
        <f t="shared" si="21"/>
        <v>1</v>
      </c>
      <c r="K308" t="s">
        <v>87</v>
      </c>
      <c r="L308" s="10" t="str">
        <f t="shared" si="22"/>
        <v>1</v>
      </c>
      <c r="M308" t="s">
        <v>37</v>
      </c>
      <c r="N308" s="3" t="str">
        <f t="shared" si="23"/>
        <v>0</v>
      </c>
      <c r="O308" s="9">
        <f t="shared" si="24"/>
        <v>11.3</v>
      </c>
      <c r="P308" t="s">
        <v>162</v>
      </c>
    </row>
    <row r="309" spans="2:16" x14ac:dyDescent="0.2">
      <c r="B309">
        <v>125</v>
      </c>
      <c r="C309" s="3" t="s">
        <v>164</v>
      </c>
      <c r="D309" s="3" t="s">
        <v>78</v>
      </c>
      <c r="E309">
        <v>44</v>
      </c>
      <c r="F309" t="s">
        <v>263</v>
      </c>
      <c r="G309">
        <v>1</v>
      </c>
      <c r="H309" s="9">
        <f t="shared" si="20"/>
        <v>0.1</v>
      </c>
      <c r="I309" t="s">
        <v>52</v>
      </c>
      <c r="J309" s="3" t="str">
        <f t="shared" si="21"/>
        <v>1</v>
      </c>
      <c r="K309" t="s">
        <v>87</v>
      </c>
      <c r="L309" s="10" t="str">
        <f t="shared" si="22"/>
        <v>1</v>
      </c>
      <c r="M309" t="s">
        <v>37</v>
      </c>
      <c r="N309" s="3" t="str">
        <f t="shared" si="23"/>
        <v>0</v>
      </c>
      <c r="O309" s="9">
        <f t="shared" si="24"/>
        <v>11.3</v>
      </c>
      <c r="P309" t="s">
        <v>162</v>
      </c>
    </row>
    <row r="310" spans="2:16" x14ac:dyDescent="0.2">
      <c r="B310">
        <v>126</v>
      </c>
      <c r="C310" s="3" t="s">
        <v>164</v>
      </c>
      <c r="D310" s="3" t="s">
        <v>78</v>
      </c>
      <c r="E310">
        <v>45</v>
      </c>
      <c r="F310" t="s">
        <v>263</v>
      </c>
      <c r="G310">
        <v>1</v>
      </c>
      <c r="H310" s="9">
        <f t="shared" si="20"/>
        <v>0.1</v>
      </c>
      <c r="I310" t="s">
        <v>52</v>
      </c>
      <c r="J310" s="3" t="str">
        <f t="shared" si="21"/>
        <v>1</v>
      </c>
      <c r="K310" t="s">
        <v>87</v>
      </c>
      <c r="L310" s="10" t="str">
        <f t="shared" si="22"/>
        <v>1</v>
      </c>
      <c r="M310" t="s">
        <v>37</v>
      </c>
      <c r="N310" s="3" t="str">
        <f t="shared" si="23"/>
        <v>0</v>
      </c>
      <c r="O310" s="9">
        <f t="shared" si="24"/>
        <v>11.3</v>
      </c>
      <c r="P310" t="s">
        <v>162</v>
      </c>
    </row>
    <row r="311" spans="2:16" x14ac:dyDescent="0.2">
      <c r="B311">
        <v>127</v>
      </c>
      <c r="C311" s="3" t="s">
        <v>164</v>
      </c>
      <c r="D311" s="3" t="s">
        <v>78</v>
      </c>
      <c r="E311">
        <v>46</v>
      </c>
      <c r="F311" t="s">
        <v>263</v>
      </c>
      <c r="G311">
        <v>1</v>
      </c>
      <c r="H311" s="9">
        <f t="shared" si="20"/>
        <v>0.1</v>
      </c>
      <c r="I311" t="s">
        <v>52</v>
      </c>
      <c r="J311" s="3" t="str">
        <f t="shared" si="21"/>
        <v>1</v>
      </c>
      <c r="K311" t="s">
        <v>87</v>
      </c>
      <c r="L311" s="10" t="str">
        <f t="shared" si="22"/>
        <v>1</v>
      </c>
      <c r="M311" t="s">
        <v>37</v>
      </c>
      <c r="N311" s="3" t="str">
        <f t="shared" si="23"/>
        <v>0</v>
      </c>
      <c r="O311" s="9">
        <f t="shared" si="24"/>
        <v>11.3</v>
      </c>
      <c r="P311" t="s">
        <v>162</v>
      </c>
    </row>
    <row r="312" spans="2:16" x14ac:dyDescent="0.2">
      <c r="B312">
        <v>128</v>
      </c>
      <c r="C312" s="3" t="s">
        <v>164</v>
      </c>
      <c r="D312" s="3" t="s">
        <v>78</v>
      </c>
      <c r="E312">
        <v>47</v>
      </c>
      <c r="F312" t="s">
        <v>263</v>
      </c>
      <c r="G312">
        <v>1</v>
      </c>
      <c r="H312" s="9">
        <f t="shared" si="20"/>
        <v>0.1</v>
      </c>
      <c r="I312" t="s">
        <v>52</v>
      </c>
      <c r="J312" s="3" t="str">
        <f t="shared" si="21"/>
        <v>1</v>
      </c>
      <c r="K312" t="s">
        <v>87</v>
      </c>
      <c r="L312" s="10" t="str">
        <f t="shared" si="22"/>
        <v>1</v>
      </c>
      <c r="M312" t="s">
        <v>37</v>
      </c>
      <c r="N312" s="3" t="str">
        <f t="shared" si="23"/>
        <v>0</v>
      </c>
      <c r="O312" s="9">
        <f t="shared" si="24"/>
        <v>11.3</v>
      </c>
      <c r="P312" t="s">
        <v>162</v>
      </c>
    </row>
    <row r="313" spans="2:16" x14ac:dyDescent="0.2">
      <c r="B313">
        <v>129</v>
      </c>
      <c r="C313" s="3" t="s">
        <v>164</v>
      </c>
      <c r="D313" s="3" t="s">
        <v>78</v>
      </c>
      <c r="E313">
        <v>48</v>
      </c>
      <c r="F313" t="s">
        <v>263</v>
      </c>
      <c r="G313">
        <v>1</v>
      </c>
      <c r="H313" s="9">
        <f t="shared" si="20"/>
        <v>0.1</v>
      </c>
      <c r="I313" t="s">
        <v>52</v>
      </c>
      <c r="J313" s="3" t="str">
        <f t="shared" si="21"/>
        <v>1</v>
      </c>
      <c r="K313" t="s">
        <v>87</v>
      </c>
      <c r="L313" s="10" t="str">
        <f t="shared" si="22"/>
        <v>1</v>
      </c>
      <c r="M313" t="s">
        <v>37</v>
      </c>
      <c r="N313" s="3" t="str">
        <f t="shared" si="23"/>
        <v>0</v>
      </c>
      <c r="O313" s="9">
        <f t="shared" si="24"/>
        <v>11.3</v>
      </c>
      <c r="P313" t="s">
        <v>162</v>
      </c>
    </row>
    <row r="314" spans="2:16" x14ac:dyDescent="0.2">
      <c r="B314">
        <v>130</v>
      </c>
      <c r="C314" s="3" t="s">
        <v>164</v>
      </c>
      <c r="D314" s="3" t="s">
        <v>78</v>
      </c>
      <c r="E314">
        <v>49</v>
      </c>
      <c r="F314" t="s">
        <v>263</v>
      </c>
      <c r="G314">
        <v>1</v>
      </c>
      <c r="H314" s="9">
        <f t="shared" si="20"/>
        <v>0.1</v>
      </c>
      <c r="I314" t="s">
        <v>52</v>
      </c>
      <c r="J314" s="3" t="str">
        <f t="shared" si="21"/>
        <v>1</v>
      </c>
      <c r="K314" t="s">
        <v>87</v>
      </c>
      <c r="L314" s="10" t="str">
        <f t="shared" si="22"/>
        <v>1</v>
      </c>
      <c r="M314" t="s">
        <v>37</v>
      </c>
      <c r="N314" s="3" t="str">
        <f t="shared" si="23"/>
        <v>0</v>
      </c>
      <c r="O314" s="9">
        <f t="shared" si="24"/>
        <v>11.3</v>
      </c>
      <c r="P314" t="s">
        <v>162</v>
      </c>
    </row>
    <row r="315" spans="2:16" x14ac:dyDescent="0.2">
      <c r="B315">
        <v>92</v>
      </c>
      <c r="C315" s="3" t="s">
        <v>163</v>
      </c>
      <c r="D315" s="3" t="s">
        <v>78</v>
      </c>
      <c r="E315">
        <v>11</v>
      </c>
      <c r="F315" t="s">
        <v>263</v>
      </c>
      <c r="G315">
        <v>1</v>
      </c>
      <c r="H315" s="9">
        <f t="shared" si="20"/>
        <v>0.1</v>
      </c>
      <c r="I315" t="s">
        <v>52</v>
      </c>
      <c r="J315" s="3" t="str">
        <f t="shared" si="21"/>
        <v>1</v>
      </c>
      <c r="K315" t="s">
        <v>87</v>
      </c>
      <c r="L315" s="10" t="str">
        <f t="shared" si="22"/>
        <v>1</v>
      </c>
      <c r="M315" t="s">
        <v>37</v>
      </c>
      <c r="N315" s="3" t="str">
        <f t="shared" si="23"/>
        <v>0</v>
      </c>
      <c r="O315" s="9">
        <f t="shared" si="24"/>
        <v>11.3</v>
      </c>
      <c r="P315" t="s">
        <v>162</v>
      </c>
    </row>
    <row r="316" spans="2:16" x14ac:dyDescent="0.2">
      <c r="B316">
        <v>93</v>
      </c>
      <c r="C316" s="3" t="s">
        <v>163</v>
      </c>
      <c r="D316" s="3" t="s">
        <v>78</v>
      </c>
      <c r="E316">
        <v>12</v>
      </c>
      <c r="F316" t="s">
        <v>263</v>
      </c>
      <c r="G316">
        <v>1</v>
      </c>
      <c r="H316" s="9">
        <f t="shared" si="20"/>
        <v>0.1</v>
      </c>
      <c r="I316" t="s">
        <v>52</v>
      </c>
      <c r="J316" s="3" t="str">
        <f t="shared" si="21"/>
        <v>1</v>
      </c>
      <c r="K316" t="s">
        <v>87</v>
      </c>
      <c r="L316" s="10" t="str">
        <f t="shared" si="22"/>
        <v>1</v>
      </c>
      <c r="M316" t="s">
        <v>37</v>
      </c>
      <c r="N316" s="3" t="str">
        <f t="shared" si="23"/>
        <v>0</v>
      </c>
      <c r="O316" s="9">
        <f t="shared" si="24"/>
        <v>11.3</v>
      </c>
      <c r="P316" t="s">
        <v>162</v>
      </c>
    </row>
    <row r="317" spans="2:16" x14ac:dyDescent="0.2">
      <c r="B317">
        <v>94</v>
      </c>
      <c r="C317" s="3" t="s">
        <v>163</v>
      </c>
      <c r="D317" s="3" t="s">
        <v>78</v>
      </c>
      <c r="E317">
        <v>13</v>
      </c>
      <c r="F317" t="s">
        <v>263</v>
      </c>
      <c r="G317">
        <v>1</v>
      </c>
      <c r="H317" s="9">
        <f t="shared" si="20"/>
        <v>0.1</v>
      </c>
      <c r="I317" t="s">
        <v>52</v>
      </c>
      <c r="J317" s="3" t="str">
        <f t="shared" si="21"/>
        <v>1</v>
      </c>
      <c r="K317" t="s">
        <v>87</v>
      </c>
      <c r="L317" s="10" t="str">
        <f t="shared" si="22"/>
        <v>1</v>
      </c>
      <c r="M317" t="s">
        <v>37</v>
      </c>
      <c r="N317" s="3" t="str">
        <f t="shared" si="23"/>
        <v>0</v>
      </c>
      <c r="O317" s="9">
        <f t="shared" si="24"/>
        <v>11.3</v>
      </c>
      <c r="P317" t="s">
        <v>162</v>
      </c>
    </row>
    <row r="318" spans="2:16" x14ac:dyDescent="0.2">
      <c r="B318">
        <v>95</v>
      </c>
      <c r="C318" s="3" t="s">
        <v>163</v>
      </c>
      <c r="D318" s="3" t="s">
        <v>78</v>
      </c>
      <c r="E318">
        <v>14</v>
      </c>
      <c r="F318" t="s">
        <v>263</v>
      </c>
      <c r="G318">
        <v>1</v>
      </c>
      <c r="H318" s="9">
        <f t="shared" si="20"/>
        <v>0.1</v>
      </c>
      <c r="I318" t="s">
        <v>52</v>
      </c>
      <c r="J318" s="3" t="str">
        <f t="shared" si="21"/>
        <v>1</v>
      </c>
      <c r="K318" t="s">
        <v>87</v>
      </c>
      <c r="L318" s="10" t="str">
        <f t="shared" si="22"/>
        <v>1</v>
      </c>
      <c r="M318" t="s">
        <v>37</v>
      </c>
      <c r="N318" s="3" t="str">
        <f t="shared" si="23"/>
        <v>0</v>
      </c>
      <c r="O318" s="9">
        <f t="shared" si="24"/>
        <v>11.3</v>
      </c>
      <c r="P318" t="s">
        <v>162</v>
      </c>
    </row>
    <row r="319" spans="2:16" x14ac:dyDescent="0.2">
      <c r="B319">
        <v>96</v>
      </c>
      <c r="C319" s="3" t="s">
        <v>163</v>
      </c>
      <c r="D319" s="3" t="s">
        <v>78</v>
      </c>
      <c r="E319">
        <v>15</v>
      </c>
      <c r="F319" t="s">
        <v>263</v>
      </c>
      <c r="G319">
        <v>1</v>
      </c>
      <c r="H319" s="9">
        <f t="shared" si="20"/>
        <v>0.1</v>
      </c>
      <c r="I319" t="s">
        <v>52</v>
      </c>
      <c r="J319" s="3" t="str">
        <f t="shared" si="21"/>
        <v>1</v>
      </c>
      <c r="K319" t="s">
        <v>87</v>
      </c>
      <c r="L319" s="10" t="str">
        <f t="shared" si="22"/>
        <v>1</v>
      </c>
      <c r="M319" t="s">
        <v>37</v>
      </c>
      <c r="N319" s="3" t="str">
        <f t="shared" si="23"/>
        <v>0</v>
      </c>
      <c r="O319" s="9">
        <f t="shared" si="24"/>
        <v>11.3</v>
      </c>
      <c r="P319" t="s">
        <v>162</v>
      </c>
    </row>
    <row r="320" spans="2:16" x14ac:dyDescent="0.2">
      <c r="B320">
        <v>97</v>
      </c>
      <c r="C320" s="3" t="s">
        <v>163</v>
      </c>
      <c r="D320" s="3" t="s">
        <v>78</v>
      </c>
      <c r="E320">
        <v>16</v>
      </c>
      <c r="F320" t="s">
        <v>263</v>
      </c>
      <c r="G320">
        <v>1</v>
      </c>
      <c r="H320" s="9">
        <f t="shared" si="20"/>
        <v>0.1</v>
      </c>
      <c r="I320" t="s">
        <v>52</v>
      </c>
      <c r="J320" s="3" t="str">
        <f t="shared" si="21"/>
        <v>1</v>
      </c>
      <c r="K320" t="s">
        <v>87</v>
      </c>
      <c r="L320" s="10" t="str">
        <f t="shared" si="22"/>
        <v>1</v>
      </c>
      <c r="M320" t="s">
        <v>37</v>
      </c>
      <c r="N320" s="3" t="str">
        <f t="shared" si="23"/>
        <v>0</v>
      </c>
      <c r="O320" s="9">
        <f t="shared" si="24"/>
        <v>11.3</v>
      </c>
      <c r="P320" t="s">
        <v>162</v>
      </c>
    </row>
    <row r="321" spans="2:16" x14ac:dyDescent="0.2">
      <c r="B321">
        <v>98</v>
      </c>
      <c r="C321" s="3" t="s">
        <v>163</v>
      </c>
      <c r="D321" s="3" t="s">
        <v>78</v>
      </c>
      <c r="E321">
        <v>17</v>
      </c>
      <c r="F321" t="s">
        <v>263</v>
      </c>
      <c r="G321">
        <v>1</v>
      </c>
      <c r="H321" s="9">
        <f t="shared" si="20"/>
        <v>0.1</v>
      </c>
      <c r="I321" t="s">
        <v>52</v>
      </c>
      <c r="J321" s="3" t="str">
        <f t="shared" si="21"/>
        <v>1</v>
      </c>
      <c r="K321" t="s">
        <v>87</v>
      </c>
      <c r="L321" s="10" t="str">
        <f t="shared" si="22"/>
        <v>1</v>
      </c>
      <c r="M321" t="s">
        <v>37</v>
      </c>
      <c r="N321" s="3" t="str">
        <f t="shared" si="23"/>
        <v>0</v>
      </c>
      <c r="O321" s="9">
        <f t="shared" si="24"/>
        <v>11.3</v>
      </c>
      <c r="P321" t="s">
        <v>162</v>
      </c>
    </row>
    <row r="322" spans="2:16" x14ac:dyDescent="0.2">
      <c r="B322">
        <v>99</v>
      </c>
      <c r="C322" s="3" t="s">
        <v>163</v>
      </c>
      <c r="D322" s="3" t="s">
        <v>78</v>
      </c>
      <c r="E322">
        <v>18</v>
      </c>
      <c r="F322" t="s">
        <v>263</v>
      </c>
      <c r="G322">
        <v>1</v>
      </c>
      <c r="H322" s="9">
        <f t="shared" si="20"/>
        <v>0.1</v>
      </c>
      <c r="I322" t="s">
        <v>52</v>
      </c>
      <c r="J322" s="3" t="str">
        <f t="shared" si="21"/>
        <v>1</v>
      </c>
      <c r="K322" t="s">
        <v>87</v>
      </c>
      <c r="L322" s="10" t="str">
        <f t="shared" si="22"/>
        <v>1</v>
      </c>
      <c r="M322" t="s">
        <v>37</v>
      </c>
      <c r="N322" s="3" t="str">
        <f t="shared" si="23"/>
        <v>0</v>
      </c>
      <c r="O322" s="9">
        <f t="shared" si="24"/>
        <v>11.3</v>
      </c>
      <c r="P322" t="s">
        <v>162</v>
      </c>
    </row>
    <row r="323" spans="2:16" x14ac:dyDescent="0.2">
      <c r="B323">
        <v>100</v>
      </c>
      <c r="C323" s="3" t="s">
        <v>163</v>
      </c>
      <c r="D323" s="3" t="s">
        <v>78</v>
      </c>
      <c r="E323">
        <v>19</v>
      </c>
      <c r="F323" t="s">
        <v>263</v>
      </c>
      <c r="G323">
        <v>1</v>
      </c>
      <c r="H323" s="9">
        <f t="shared" ref="H323:H341" si="25">G323/10</f>
        <v>0.1</v>
      </c>
      <c r="I323" t="s">
        <v>52</v>
      </c>
      <c r="J323" s="3" t="str">
        <f t="shared" ref="J323:J341" si="26">IF(I323="N/A","0",IF(I323="Excellent","1",IF(I323="Very Good","1",IF(I323="Good","2",IF(I323="Fair","3",IF(I323="Poor","4",IF(I323="Critical","5",IF(I323="Dead","5"))))))))</f>
        <v>1</v>
      </c>
      <c r="K323" t="s">
        <v>87</v>
      </c>
      <c r="L323" s="10" t="str">
        <f t="shared" ref="L323:L341" si="27">IF(K323="Removal","5",IF(K323="Pruning: Deadwood 1","4",IF(K323="Pruning: Deadwood 2","3",IF(K323="Pruning: Routine","2",IF(K323="Pruning: Training","1",IF(K323="Plant","0",IF(K323="Other - see notes","0",)))))))</f>
        <v>1</v>
      </c>
      <c r="M323" t="s">
        <v>37</v>
      </c>
      <c r="N323" s="3" t="str">
        <f t="shared" ref="N323:N341" si="28">IF(M323="no risk","0",IF(M323="None","0",IF(M323="Minimal Risk","1",IF(M323="Moderate Risk","2",IF(M323="High Risk","4",IF(M323="Severe Risk","5"))))))</f>
        <v>0</v>
      </c>
      <c r="O323" s="9">
        <f t="shared" ref="O323:O341" si="29">($G$2*H323)+($I$2*J323)+($K$2*L323)+($M$2*N323)</f>
        <v>11.3</v>
      </c>
      <c r="P323" t="s">
        <v>162</v>
      </c>
    </row>
    <row r="324" spans="2:16" x14ac:dyDescent="0.2">
      <c r="B324">
        <v>101</v>
      </c>
      <c r="C324" s="3" t="s">
        <v>163</v>
      </c>
      <c r="D324" s="3" t="s">
        <v>78</v>
      </c>
      <c r="E324">
        <v>20</v>
      </c>
      <c r="F324" t="s">
        <v>263</v>
      </c>
      <c r="G324">
        <v>1</v>
      </c>
      <c r="H324" s="9">
        <f t="shared" si="25"/>
        <v>0.1</v>
      </c>
      <c r="I324" t="s">
        <v>52</v>
      </c>
      <c r="J324" s="3" t="str">
        <f t="shared" si="26"/>
        <v>1</v>
      </c>
      <c r="K324" t="s">
        <v>87</v>
      </c>
      <c r="L324" s="10" t="str">
        <f t="shared" si="27"/>
        <v>1</v>
      </c>
      <c r="M324" t="s">
        <v>37</v>
      </c>
      <c r="N324" s="3" t="str">
        <f t="shared" si="28"/>
        <v>0</v>
      </c>
      <c r="O324" s="9">
        <f t="shared" si="29"/>
        <v>11.3</v>
      </c>
      <c r="P324" t="s">
        <v>162</v>
      </c>
    </row>
    <row r="325" spans="2:16" x14ac:dyDescent="0.2">
      <c r="B325">
        <v>102</v>
      </c>
      <c r="C325" s="3" t="s">
        <v>163</v>
      </c>
      <c r="D325" s="3" t="s">
        <v>78</v>
      </c>
      <c r="E325">
        <v>21</v>
      </c>
      <c r="F325" t="s">
        <v>263</v>
      </c>
      <c r="G325">
        <v>1</v>
      </c>
      <c r="H325" s="9">
        <f t="shared" si="25"/>
        <v>0.1</v>
      </c>
      <c r="I325" t="s">
        <v>52</v>
      </c>
      <c r="J325" s="3" t="str">
        <f t="shared" si="26"/>
        <v>1</v>
      </c>
      <c r="K325" t="s">
        <v>87</v>
      </c>
      <c r="L325" s="10" t="str">
        <f t="shared" si="27"/>
        <v>1</v>
      </c>
      <c r="M325" t="s">
        <v>37</v>
      </c>
      <c r="N325" s="3" t="str">
        <f t="shared" si="28"/>
        <v>0</v>
      </c>
      <c r="O325" s="9">
        <f t="shared" si="29"/>
        <v>11.3</v>
      </c>
      <c r="P325" t="s">
        <v>162</v>
      </c>
    </row>
    <row r="326" spans="2:16" x14ac:dyDescent="0.2">
      <c r="B326">
        <v>103</v>
      </c>
      <c r="C326" s="3" t="s">
        <v>163</v>
      </c>
      <c r="D326" s="3" t="s">
        <v>78</v>
      </c>
      <c r="E326">
        <v>22</v>
      </c>
      <c r="F326" t="s">
        <v>263</v>
      </c>
      <c r="G326">
        <v>1</v>
      </c>
      <c r="H326" s="9">
        <f t="shared" si="25"/>
        <v>0.1</v>
      </c>
      <c r="I326" t="s">
        <v>52</v>
      </c>
      <c r="J326" s="3" t="str">
        <f t="shared" si="26"/>
        <v>1</v>
      </c>
      <c r="K326" t="s">
        <v>87</v>
      </c>
      <c r="L326" s="10" t="str">
        <f t="shared" si="27"/>
        <v>1</v>
      </c>
      <c r="M326" t="s">
        <v>37</v>
      </c>
      <c r="N326" s="3" t="str">
        <f t="shared" si="28"/>
        <v>0</v>
      </c>
      <c r="O326" s="9">
        <f t="shared" si="29"/>
        <v>11.3</v>
      </c>
      <c r="P326" t="s">
        <v>162</v>
      </c>
    </row>
    <row r="327" spans="2:16" x14ac:dyDescent="0.2">
      <c r="B327">
        <v>104</v>
      </c>
      <c r="C327" s="3" t="s">
        <v>163</v>
      </c>
      <c r="D327" s="3" t="s">
        <v>78</v>
      </c>
      <c r="E327">
        <v>23</v>
      </c>
      <c r="F327" t="s">
        <v>263</v>
      </c>
      <c r="G327">
        <v>1</v>
      </c>
      <c r="H327" s="9">
        <f t="shared" si="25"/>
        <v>0.1</v>
      </c>
      <c r="I327" t="s">
        <v>52</v>
      </c>
      <c r="J327" s="3" t="str">
        <f t="shared" si="26"/>
        <v>1</v>
      </c>
      <c r="K327" t="s">
        <v>87</v>
      </c>
      <c r="L327" s="10" t="str">
        <f t="shared" si="27"/>
        <v>1</v>
      </c>
      <c r="M327" t="s">
        <v>37</v>
      </c>
      <c r="N327" s="3" t="str">
        <f t="shared" si="28"/>
        <v>0</v>
      </c>
      <c r="O327" s="9">
        <f t="shared" si="29"/>
        <v>11.3</v>
      </c>
      <c r="P327" t="s">
        <v>162</v>
      </c>
    </row>
    <row r="328" spans="2:16" x14ac:dyDescent="0.2">
      <c r="B328">
        <v>105</v>
      </c>
      <c r="C328" s="3" t="s">
        <v>163</v>
      </c>
      <c r="D328" s="3" t="s">
        <v>78</v>
      </c>
      <c r="E328">
        <v>24</v>
      </c>
      <c r="F328" t="s">
        <v>263</v>
      </c>
      <c r="G328">
        <v>1</v>
      </c>
      <c r="H328" s="9">
        <f t="shared" si="25"/>
        <v>0.1</v>
      </c>
      <c r="I328" t="s">
        <v>52</v>
      </c>
      <c r="J328" s="3" t="str">
        <f t="shared" si="26"/>
        <v>1</v>
      </c>
      <c r="K328" t="s">
        <v>87</v>
      </c>
      <c r="L328" s="10" t="str">
        <f t="shared" si="27"/>
        <v>1</v>
      </c>
      <c r="M328" t="s">
        <v>37</v>
      </c>
      <c r="N328" s="3" t="str">
        <f t="shared" si="28"/>
        <v>0</v>
      </c>
      <c r="O328" s="9">
        <f t="shared" si="29"/>
        <v>11.3</v>
      </c>
      <c r="P328" t="s">
        <v>162</v>
      </c>
    </row>
    <row r="329" spans="2:16" x14ac:dyDescent="0.2">
      <c r="B329">
        <v>106</v>
      </c>
      <c r="C329" s="3" t="s">
        <v>163</v>
      </c>
      <c r="D329" s="3" t="s">
        <v>78</v>
      </c>
      <c r="E329">
        <v>25</v>
      </c>
      <c r="F329" t="s">
        <v>263</v>
      </c>
      <c r="G329">
        <v>1</v>
      </c>
      <c r="H329" s="9">
        <f t="shared" si="25"/>
        <v>0.1</v>
      </c>
      <c r="I329" t="s">
        <v>52</v>
      </c>
      <c r="J329" s="3" t="str">
        <f t="shared" si="26"/>
        <v>1</v>
      </c>
      <c r="K329" t="s">
        <v>87</v>
      </c>
      <c r="L329" s="10" t="str">
        <f t="shared" si="27"/>
        <v>1</v>
      </c>
      <c r="M329" t="s">
        <v>37</v>
      </c>
      <c r="N329" s="3" t="str">
        <f t="shared" si="28"/>
        <v>0</v>
      </c>
      <c r="O329" s="9">
        <f t="shared" si="29"/>
        <v>11.3</v>
      </c>
      <c r="P329" t="s">
        <v>162</v>
      </c>
    </row>
    <row r="330" spans="2:16" x14ac:dyDescent="0.2">
      <c r="B330">
        <v>107</v>
      </c>
      <c r="C330" s="3" t="s">
        <v>163</v>
      </c>
      <c r="D330" s="3" t="s">
        <v>78</v>
      </c>
      <c r="E330">
        <v>26</v>
      </c>
      <c r="F330" t="s">
        <v>263</v>
      </c>
      <c r="G330">
        <v>1</v>
      </c>
      <c r="H330" s="9">
        <f t="shared" si="25"/>
        <v>0.1</v>
      </c>
      <c r="I330" t="s">
        <v>52</v>
      </c>
      <c r="J330" s="3" t="str">
        <f t="shared" si="26"/>
        <v>1</v>
      </c>
      <c r="K330" t="s">
        <v>87</v>
      </c>
      <c r="L330" s="10" t="str">
        <f t="shared" si="27"/>
        <v>1</v>
      </c>
      <c r="M330" t="s">
        <v>37</v>
      </c>
      <c r="N330" s="3" t="str">
        <f t="shared" si="28"/>
        <v>0</v>
      </c>
      <c r="O330" s="9">
        <f t="shared" si="29"/>
        <v>11.3</v>
      </c>
      <c r="P330" t="s">
        <v>162</v>
      </c>
    </row>
    <row r="331" spans="2:16" x14ac:dyDescent="0.2">
      <c r="B331">
        <v>108</v>
      </c>
      <c r="C331" s="3" t="s">
        <v>163</v>
      </c>
      <c r="D331" s="3" t="s">
        <v>78</v>
      </c>
      <c r="E331">
        <v>27</v>
      </c>
      <c r="F331" t="s">
        <v>263</v>
      </c>
      <c r="G331">
        <v>1</v>
      </c>
      <c r="H331" s="9">
        <f t="shared" si="25"/>
        <v>0.1</v>
      </c>
      <c r="I331" t="s">
        <v>52</v>
      </c>
      <c r="J331" s="3" t="str">
        <f t="shared" si="26"/>
        <v>1</v>
      </c>
      <c r="K331" t="s">
        <v>87</v>
      </c>
      <c r="L331" s="10" t="str">
        <f t="shared" si="27"/>
        <v>1</v>
      </c>
      <c r="M331" t="s">
        <v>37</v>
      </c>
      <c r="N331" s="3" t="str">
        <f t="shared" si="28"/>
        <v>0</v>
      </c>
      <c r="O331" s="9">
        <f t="shared" si="29"/>
        <v>11.3</v>
      </c>
      <c r="P331" t="s">
        <v>162</v>
      </c>
    </row>
    <row r="332" spans="2:16" x14ac:dyDescent="0.2">
      <c r="B332">
        <v>109</v>
      </c>
      <c r="C332" s="3" t="s">
        <v>163</v>
      </c>
      <c r="D332" s="3" t="s">
        <v>78</v>
      </c>
      <c r="E332">
        <v>28</v>
      </c>
      <c r="F332" t="s">
        <v>263</v>
      </c>
      <c r="G332">
        <v>1</v>
      </c>
      <c r="H332" s="9">
        <f t="shared" si="25"/>
        <v>0.1</v>
      </c>
      <c r="I332" t="s">
        <v>52</v>
      </c>
      <c r="J332" s="3" t="str">
        <f t="shared" si="26"/>
        <v>1</v>
      </c>
      <c r="K332" t="s">
        <v>87</v>
      </c>
      <c r="L332" s="10" t="str">
        <f t="shared" si="27"/>
        <v>1</v>
      </c>
      <c r="M332" t="s">
        <v>37</v>
      </c>
      <c r="N332" s="3" t="str">
        <f t="shared" si="28"/>
        <v>0</v>
      </c>
      <c r="O332" s="9">
        <f t="shared" si="29"/>
        <v>11.3</v>
      </c>
      <c r="P332" t="s">
        <v>162</v>
      </c>
    </row>
    <row r="333" spans="2:16" x14ac:dyDescent="0.2">
      <c r="B333">
        <v>110</v>
      </c>
      <c r="C333" s="3" t="s">
        <v>163</v>
      </c>
      <c r="D333" s="3" t="s">
        <v>78</v>
      </c>
      <c r="E333">
        <v>29</v>
      </c>
      <c r="F333" t="s">
        <v>263</v>
      </c>
      <c r="G333">
        <v>1</v>
      </c>
      <c r="H333" s="9">
        <f t="shared" si="25"/>
        <v>0.1</v>
      </c>
      <c r="I333" t="s">
        <v>52</v>
      </c>
      <c r="J333" s="3" t="str">
        <f t="shared" si="26"/>
        <v>1</v>
      </c>
      <c r="K333" t="s">
        <v>87</v>
      </c>
      <c r="L333" s="10" t="str">
        <f t="shared" si="27"/>
        <v>1</v>
      </c>
      <c r="M333" t="s">
        <v>37</v>
      </c>
      <c r="N333" s="3" t="str">
        <f t="shared" si="28"/>
        <v>0</v>
      </c>
      <c r="O333" s="9">
        <f t="shared" si="29"/>
        <v>11.3</v>
      </c>
      <c r="P333" t="s">
        <v>162</v>
      </c>
    </row>
    <row r="334" spans="2:16" x14ac:dyDescent="0.2">
      <c r="B334">
        <v>111</v>
      </c>
      <c r="C334" s="3" t="s">
        <v>163</v>
      </c>
      <c r="D334" s="3" t="s">
        <v>78</v>
      </c>
      <c r="E334">
        <v>30</v>
      </c>
      <c r="F334" t="s">
        <v>263</v>
      </c>
      <c r="G334">
        <v>1</v>
      </c>
      <c r="H334" s="9">
        <f t="shared" si="25"/>
        <v>0.1</v>
      </c>
      <c r="I334" t="s">
        <v>52</v>
      </c>
      <c r="J334" s="3" t="str">
        <f t="shared" si="26"/>
        <v>1</v>
      </c>
      <c r="K334" t="s">
        <v>87</v>
      </c>
      <c r="L334" s="10" t="str">
        <f t="shared" si="27"/>
        <v>1</v>
      </c>
      <c r="M334" t="s">
        <v>37</v>
      </c>
      <c r="N334" s="3" t="str">
        <f t="shared" si="28"/>
        <v>0</v>
      </c>
      <c r="O334" s="9">
        <f t="shared" si="29"/>
        <v>11.3</v>
      </c>
      <c r="P334" t="s">
        <v>162</v>
      </c>
    </row>
    <row r="335" spans="2:16" x14ac:dyDescent="0.2">
      <c r="B335">
        <v>112</v>
      </c>
      <c r="C335" s="3" t="s">
        <v>163</v>
      </c>
      <c r="D335" s="3" t="s">
        <v>78</v>
      </c>
      <c r="E335">
        <v>31</v>
      </c>
      <c r="F335" t="s">
        <v>263</v>
      </c>
      <c r="G335">
        <v>1</v>
      </c>
      <c r="H335" s="9">
        <f t="shared" si="25"/>
        <v>0.1</v>
      </c>
      <c r="I335" t="s">
        <v>52</v>
      </c>
      <c r="J335" s="3" t="str">
        <f t="shared" si="26"/>
        <v>1</v>
      </c>
      <c r="K335" t="s">
        <v>87</v>
      </c>
      <c r="L335" s="10" t="str">
        <f t="shared" si="27"/>
        <v>1</v>
      </c>
      <c r="M335" t="s">
        <v>37</v>
      </c>
      <c r="N335" s="3" t="str">
        <f t="shared" si="28"/>
        <v>0</v>
      </c>
      <c r="O335" s="9">
        <f t="shared" si="29"/>
        <v>11.3</v>
      </c>
      <c r="P335" t="s">
        <v>162</v>
      </c>
    </row>
    <row r="336" spans="2:16" x14ac:dyDescent="0.2">
      <c r="B336">
        <v>113</v>
      </c>
      <c r="C336" s="3" t="s">
        <v>163</v>
      </c>
      <c r="D336" s="3" t="s">
        <v>78</v>
      </c>
      <c r="E336">
        <v>32</v>
      </c>
      <c r="F336" t="s">
        <v>263</v>
      </c>
      <c r="G336">
        <v>1</v>
      </c>
      <c r="H336" s="9">
        <f t="shared" si="25"/>
        <v>0.1</v>
      </c>
      <c r="I336" t="s">
        <v>52</v>
      </c>
      <c r="J336" s="3" t="str">
        <f t="shared" si="26"/>
        <v>1</v>
      </c>
      <c r="K336" t="s">
        <v>87</v>
      </c>
      <c r="L336" s="10" t="str">
        <f t="shared" si="27"/>
        <v>1</v>
      </c>
      <c r="M336" t="s">
        <v>37</v>
      </c>
      <c r="N336" s="3" t="str">
        <f t="shared" si="28"/>
        <v>0</v>
      </c>
      <c r="O336" s="9">
        <f t="shared" si="29"/>
        <v>11.3</v>
      </c>
      <c r="P336" t="s">
        <v>162</v>
      </c>
    </row>
    <row r="337" spans="2:16" x14ac:dyDescent="0.2">
      <c r="B337">
        <v>114</v>
      </c>
      <c r="C337" s="3" t="s">
        <v>163</v>
      </c>
      <c r="D337" s="3" t="s">
        <v>78</v>
      </c>
      <c r="E337">
        <v>33</v>
      </c>
      <c r="F337" t="s">
        <v>263</v>
      </c>
      <c r="G337">
        <v>1</v>
      </c>
      <c r="H337" s="9">
        <f t="shared" si="25"/>
        <v>0.1</v>
      </c>
      <c r="I337" t="s">
        <v>52</v>
      </c>
      <c r="J337" s="3" t="str">
        <f t="shared" si="26"/>
        <v>1</v>
      </c>
      <c r="K337" t="s">
        <v>87</v>
      </c>
      <c r="L337" s="10" t="str">
        <f t="shared" si="27"/>
        <v>1</v>
      </c>
      <c r="M337" t="s">
        <v>37</v>
      </c>
      <c r="N337" s="3" t="str">
        <f t="shared" si="28"/>
        <v>0</v>
      </c>
      <c r="O337" s="9">
        <f t="shared" si="29"/>
        <v>11.3</v>
      </c>
      <c r="P337" t="s">
        <v>162</v>
      </c>
    </row>
    <row r="338" spans="2:16" x14ac:dyDescent="0.2">
      <c r="B338">
        <v>115</v>
      </c>
      <c r="C338" s="3" t="s">
        <v>163</v>
      </c>
      <c r="D338" s="3" t="s">
        <v>78</v>
      </c>
      <c r="E338">
        <v>34</v>
      </c>
      <c r="F338" t="s">
        <v>263</v>
      </c>
      <c r="G338">
        <v>1</v>
      </c>
      <c r="H338" s="9">
        <f t="shared" si="25"/>
        <v>0.1</v>
      </c>
      <c r="I338" t="s">
        <v>52</v>
      </c>
      <c r="J338" s="3" t="str">
        <f t="shared" si="26"/>
        <v>1</v>
      </c>
      <c r="K338" t="s">
        <v>87</v>
      </c>
      <c r="L338" s="10" t="str">
        <f t="shared" si="27"/>
        <v>1</v>
      </c>
      <c r="M338" t="s">
        <v>37</v>
      </c>
      <c r="N338" s="3" t="str">
        <f t="shared" si="28"/>
        <v>0</v>
      </c>
      <c r="O338" s="9">
        <f t="shared" si="29"/>
        <v>11.3</v>
      </c>
      <c r="P338" t="s">
        <v>162</v>
      </c>
    </row>
    <row r="339" spans="2:16" x14ac:dyDescent="0.2">
      <c r="B339">
        <v>116</v>
      </c>
      <c r="C339" s="3" t="s">
        <v>163</v>
      </c>
      <c r="D339" s="3" t="s">
        <v>78</v>
      </c>
      <c r="E339">
        <v>35</v>
      </c>
      <c r="F339" t="s">
        <v>263</v>
      </c>
      <c r="G339">
        <v>1</v>
      </c>
      <c r="H339" s="9">
        <f t="shared" si="25"/>
        <v>0.1</v>
      </c>
      <c r="I339" t="s">
        <v>52</v>
      </c>
      <c r="J339" s="3" t="str">
        <f t="shared" si="26"/>
        <v>1</v>
      </c>
      <c r="K339" t="s">
        <v>87</v>
      </c>
      <c r="L339" s="10" t="str">
        <f t="shared" si="27"/>
        <v>1</v>
      </c>
      <c r="M339" t="s">
        <v>37</v>
      </c>
      <c r="N339" s="3" t="str">
        <f t="shared" si="28"/>
        <v>0</v>
      </c>
      <c r="O339" s="9">
        <f t="shared" si="29"/>
        <v>11.3</v>
      </c>
      <c r="P339" t="s">
        <v>162</v>
      </c>
    </row>
    <row r="340" spans="2:16" x14ac:dyDescent="0.2">
      <c r="B340">
        <v>117</v>
      </c>
      <c r="C340" s="3" t="s">
        <v>163</v>
      </c>
      <c r="D340" s="3" t="s">
        <v>78</v>
      </c>
      <c r="E340">
        <v>36</v>
      </c>
      <c r="F340" t="s">
        <v>263</v>
      </c>
      <c r="G340">
        <v>1</v>
      </c>
      <c r="H340" s="9">
        <f t="shared" si="25"/>
        <v>0.1</v>
      </c>
      <c r="I340" t="s">
        <v>52</v>
      </c>
      <c r="J340" s="3" t="str">
        <f t="shared" si="26"/>
        <v>1</v>
      </c>
      <c r="K340" t="s">
        <v>87</v>
      </c>
      <c r="L340" s="10" t="str">
        <f t="shared" si="27"/>
        <v>1</v>
      </c>
      <c r="M340" t="s">
        <v>37</v>
      </c>
      <c r="N340" s="3" t="str">
        <f t="shared" si="28"/>
        <v>0</v>
      </c>
      <c r="O340" s="9">
        <f t="shared" si="29"/>
        <v>11.3</v>
      </c>
      <c r="P340" t="s">
        <v>162</v>
      </c>
    </row>
    <row r="341" spans="2:16" x14ac:dyDescent="0.2">
      <c r="B341">
        <v>118</v>
      </c>
      <c r="C341" s="3" t="s">
        <v>163</v>
      </c>
      <c r="D341" s="3" t="s">
        <v>78</v>
      </c>
      <c r="E341">
        <v>37</v>
      </c>
      <c r="F341" t="s">
        <v>263</v>
      </c>
      <c r="G341">
        <v>1</v>
      </c>
      <c r="H341" s="9">
        <f t="shared" si="25"/>
        <v>0.1</v>
      </c>
      <c r="I341" t="s">
        <v>52</v>
      </c>
      <c r="J341" s="3" t="str">
        <f t="shared" si="26"/>
        <v>1</v>
      </c>
      <c r="K341" t="s">
        <v>87</v>
      </c>
      <c r="L341" s="10" t="str">
        <f t="shared" si="27"/>
        <v>1</v>
      </c>
      <c r="M341" t="s">
        <v>37</v>
      </c>
      <c r="N341" s="3" t="str">
        <f t="shared" si="28"/>
        <v>0</v>
      </c>
      <c r="O341" s="9">
        <f t="shared" si="29"/>
        <v>11.3</v>
      </c>
      <c r="P341" t="s">
        <v>162</v>
      </c>
    </row>
  </sheetData>
  <phoneticPr fontId="1" type="noConversion"/>
  <printOptions gridLines="1"/>
  <pageMargins left="0.75" right="0.75" top="1" bottom="1" header="0.5" footer="0.5"/>
  <pageSetup paperSize="3" scale="93" fitToHeight="50" orientation="landscape" r:id="rId1"/>
  <headerFooter alignWithMargins="0">
    <oddHeader>&amp;LEagle PointNational Cemetery&amp;CLandscape Tree Inventory Prioritized by Prescribed Maintenance, Condition, Risk Factor, and Diameter</oddHeader>
    <oddFooter>&amp;LDavey Resource Group&amp;C&amp;P&amp;R&amp;D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348"/>
  <sheetViews>
    <sheetView workbookViewId="0">
      <selection activeCell="B248" sqref="B248"/>
    </sheetView>
  </sheetViews>
  <sheetFormatPr defaultRowHeight="12.75" x14ac:dyDescent="0.2"/>
  <cols>
    <col min="1" max="1" width="4.140625" bestFit="1" customWidth="1"/>
    <col min="2" max="2" width="15.7109375" style="3" bestFit="1" customWidth="1"/>
    <col min="3" max="3" width="12.42578125" style="3" bestFit="1" customWidth="1"/>
    <col min="5" max="5" width="36.85546875" bestFit="1" customWidth="1"/>
    <col min="6" max="6" width="24.28515625" bestFit="1" customWidth="1"/>
    <col min="8" max="8" width="9.85546875" bestFit="1" customWidth="1"/>
    <col min="9" max="9" width="18.85546875" bestFit="1" customWidth="1"/>
    <col min="10" max="10" width="22.7109375" bestFit="1" customWidth="1"/>
    <col min="11" max="11" width="13.140625" bestFit="1" customWidth="1"/>
    <col min="12" max="12" width="9.5703125" bestFit="1" customWidth="1"/>
    <col min="13" max="13" width="8.7109375" bestFit="1" customWidth="1"/>
    <col min="14" max="14" width="15.5703125" bestFit="1" customWidth="1"/>
    <col min="15" max="15" width="37" bestFit="1" customWidth="1"/>
  </cols>
  <sheetData>
    <row r="1" spans="1:15" s="11" customFormat="1" x14ac:dyDescent="0.2">
      <c r="A1" s="11" t="s">
        <v>3</v>
      </c>
      <c r="B1" s="13" t="s">
        <v>57</v>
      </c>
      <c r="C1" s="13" t="s">
        <v>58</v>
      </c>
      <c r="D1" s="11" t="s">
        <v>59</v>
      </c>
      <c r="E1" s="11" t="s">
        <v>61</v>
      </c>
      <c r="F1" s="11" t="s">
        <v>60</v>
      </c>
      <c r="G1" s="11" t="s">
        <v>8</v>
      </c>
      <c r="H1" s="11" t="s">
        <v>9</v>
      </c>
      <c r="I1" s="11" t="s">
        <v>259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2</v>
      </c>
    </row>
    <row r="3" spans="1:15" x14ac:dyDescent="0.2">
      <c r="B3" s="13" t="s">
        <v>72</v>
      </c>
    </row>
    <row r="4" spans="1:15" x14ac:dyDescent="0.2">
      <c r="A4">
        <v>281</v>
      </c>
      <c r="B4" s="3">
        <v>14</v>
      </c>
      <c r="C4" s="3" t="s">
        <v>228</v>
      </c>
      <c r="D4">
        <v>12</v>
      </c>
      <c r="E4" s="12" t="s">
        <v>152</v>
      </c>
      <c r="F4" t="s">
        <v>276</v>
      </c>
      <c r="G4">
        <v>3</v>
      </c>
      <c r="H4" t="s">
        <v>38</v>
      </c>
      <c r="I4" t="s">
        <v>42</v>
      </c>
      <c r="J4" t="s">
        <v>27</v>
      </c>
      <c r="K4" t="s">
        <v>37</v>
      </c>
      <c r="L4" t="s">
        <v>33</v>
      </c>
      <c r="M4" t="s">
        <v>38</v>
      </c>
      <c r="N4" t="s">
        <v>41</v>
      </c>
      <c r="O4" t="s">
        <v>192</v>
      </c>
    </row>
    <row r="5" spans="1:15" x14ac:dyDescent="0.2">
      <c r="A5">
        <v>197</v>
      </c>
      <c r="B5" s="3">
        <v>19</v>
      </c>
      <c r="C5" s="3" t="s">
        <v>78</v>
      </c>
      <c r="D5">
        <v>4</v>
      </c>
      <c r="E5" s="12" t="s">
        <v>94</v>
      </c>
      <c r="F5" t="s">
        <v>290</v>
      </c>
      <c r="G5">
        <v>24</v>
      </c>
      <c r="H5" t="s">
        <v>38</v>
      </c>
      <c r="I5" t="s">
        <v>42</v>
      </c>
      <c r="J5" t="s">
        <v>27</v>
      </c>
      <c r="K5" t="s">
        <v>28</v>
      </c>
      <c r="L5" t="s">
        <v>33</v>
      </c>
      <c r="M5" t="s">
        <v>29</v>
      </c>
      <c r="N5" t="s">
        <v>27</v>
      </c>
      <c r="O5" t="s">
        <v>245</v>
      </c>
    </row>
    <row r="6" spans="1:15" x14ac:dyDescent="0.2">
      <c r="A6">
        <v>185</v>
      </c>
      <c r="B6" s="3">
        <v>20</v>
      </c>
      <c r="C6" s="3" t="s">
        <v>54</v>
      </c>
      <c r="D6">
        <v>1</v>
      </c>
      <c r="E6" s="12" t="s">
        <v>233</v>
      </c>
      <c r="F6" t="s">
        <v>264</v>
      </c>
      <c r="G6">
        <v>8</v>
      </c>
      <c r="H6" t="s">
        <v>25</v>
      </c>
      <c r="I6" t="s">
        <v>42</v>
      </c>
      <c r="J6" t="s">
        <v>27</v>
      </c>
      <c r="K6" t="s">
        <v>34</v>
      </c>
      <c r="L6" t="s">
        <v>33</v>
      </c>
      <c r="M6" t="s">
        <v>31</v>
      </c>
      <c r="N6" t="s">
        <v>27</v>
      </c>
      <c r="O6" t="s">
        <v>241</v>
      </c>
    </row>
    <row r="7" spans="1:15" x14ac:dyDescent="0.2">
      <c r="A7">
        <v>36</v>
      </c>
      <c r="B7" s="3">
        <v>21</v>
      </c>
      <c r="C7" s="3">
        <v>3</v>
      </c>
      <c r="D7">
        <v>35</v>
      </c>
      <c r="E7" s="12" t="s">
        <v>88</v>
      </c>
      <c r="F7" t="s">
        <v>263</v>
      </c>
      <c r="G7">
        <v>2</v>
      </c>
      <c r="H7" t="s">
        <v>25</v>
      </c>
      <c r="I7" t="s">
        <v>42</v>
      </c>
      <c r="J7" t="s">
        <v>27</v>
      </c>
      <c r="K7" t="s">
        <v>34</v>
      </c>
      <c r="L7" t="s">
        <v>33</v>
      </c>
      <c r="M7" t="s">
        <v>38</v>
      </c>
      <c r="N7" t="s">
        <v>84</v>
      </c>
      <c r="O7" t="s">
        <v>112</v>
      </c>
    </row>
    <row r="8" spans="1:15" x14ac:dyDescent="0.2">
      <c r="A8">
        <v>296</v>
      </c>
      <c r="B8" s="3">
        <v>22</v>
      </c>
      <c r="C8" s="3" t="s">
        <v>78</v>
      </c>
      <c r="D8">
        <v>17</v>
      </c>
      <c r="E8" s="12" t="s">
        <v>234</v>
      </c>
      <c r="F8" t="s">
        <v>272</v>
      </c>
      <c r="G8">
        <v>3</v>
      </c>
      <c r="H8" t="s">
        <v>31</v>
      </c>
      <c r="I8" t="s">
        <v>42</v>
      </c>
      <c r="J8" t="s">
        <v>27</v>
      </c>
      <c r="K8" t="s">
        <v>37</v>
      </c>
      <c r="L8" t="s">
        <v>33</v>
      </c>
      <c r="M8" t="s">
        <v>38</v>
      </c>
      <c r="N8" t="s">
        <v>27</v>
      </c>
      <c r="O8" t="s">
        <v>195</v>
      </c>
    </row>
    <row r="9" spans="1:15" x14ac:dyDescent="0.2">
      <c r="A9">
        <v>298</v>
      </c>
      <c r="B9" s="3">
        <v>22</v>
      </c>
      <c r="C9" s="3" t="s">
        <v>78</v>
      </c>
      <c r="D9">
        <v>19</v>
      </c>
      <c r="E9" s="12" t="s">
        <v>88</v>
      </c>
      <c r="F9" t="s">
        <v>263</v>
      </c>
      <c r="G9">
        <v>3</v>
      </c>
      <c r="H9" t="s">
        <v>25</v>
      </c>
      <c r="I9" t="s">
        <v>42</v>
      </c>
      <c r="J9" t="s">
        <v>27</v>
      </c>
      <c r="K9" t="s">
        <v>37</v>
      </c>
      <c r="L9" t="s">
        <v>33</v>
      </c>
      <c r="M9" t="s">
        <v>38</v>
      </c>
      <c r="N9" t="s">
        <v>27</v>
      </c>
      <c r="O9" t="s">
        <v>195</v>
      </c>
    </row>
    <row r="10" spans="1:15" x14ac:dyDescent="0.2">
      <c r="A10">
        <v>299</v>
      </c>
      <c r="B10" s="3">
        <v>22</v>
      </c>
      <c r="C10" s="3" t="s">
        <v>78</v>
      </c>
      <c r="D10">
        <v>20</v>
      </c>
      <c r="E10" s="12" t="s">
        <v>235</v>
      </c>
      <c r="F10" t="s">
        <v>299</v>
      </c>
      <c r="G10">
        <v>6</v>
      </c>
      <c r="H10" t="s">
        <v>31</v>
      </c>
      <c r="I10" t="s">
        <v>42</v>
      </c>
      <c r="J10" t="s">
        <v>27</v>
      </c>
      <c r="K10" t="s">
        <v>37</v>
      </c>
      <c r="L10" t="s">
        <v>33</v>
      </c>
      <c r="M10" t="s">
        <v>38</v>
      </c>
      <c r="N10" t="s">
        <v>27</v>
      </c>
      <c r="O10" t="s">
        <v>236</v>
      </c>
    </row>
    <row r="11" spans="1:15" x14ac:dyDescent="0.2">
      <c r="A11">
        <v>300</v>
      </c>
      <c r="B11" s="3">
        <v>22</v>
      </c>
      <c r="C11" s="3" t="s">
        <v>78</v>
      </c>
      <c r="D11">
        <v>21</v>
      </c>
      <c r="E11" s="12" t="s">
        <v>235</v>
      </c>
      <c r="F11" t="s">
        <v>299</v>
      </c>
      <c r="G11">
        <v>6</v>
      </c>
      <c r="H11" t="s">
        <v>31</v>
      </c>
      <c r="I11" t="s">
        <v>42</v>
      </c>
      <c r="J11" t="s">
        <v>27</v>
      </c>
      <c r="K11" t="s">
        <v>37</v>
      </c>
      <c r="L11" t="s">
        <v>33</v>
      </c>
      <c r="M11" t="s">
        <v>38</v>
      </c>
      <c r="N11" t="s">
        <v>27</v>
      </c>
      <c r="O11" t="s">
        <v>236</v>
      </c>
    </row>
    <row r="12" spans="1:15" x14ac:dyDescent="0.2">
      <c r="A12">
        <v>302</v>
      </c>
      <c r="B12" s="3">
        <v>22</v>
      </c>
      <c r="C12" s="3" t="s">
        <v>78</v>
      </c>
      <c r="D12">
        <v>23</v>
      </c>
      <c r="E12" s="12" t="s">
        <v>235</v>
      </c>
      <c r="F12" t="s">
        <v>299</v>
      </c>
      <c r="G12">
        <v>6</v>
      </c>
      <c r="H12" t="s">
        <v>31</v>
      </c>
      <c r="I12" t="s">
        <v>42</v>
      </c>
      <c r="J12" t="s">
        <v>27</v>
      </c>
      <c r="K12" t="s">
        <v>37</v>
      </c>
      <c r="L12" t="s">
        <v>33</v>
      </c>
      <c r="M12" t="s">
        <v>25</v>
      </c>
      <c r="N12" t="s">
        <v>27</v>
      </c>
      <c r="O12" t="s">
        <v>236</v>
      </c>
    </row>
    <row r="13" spans="1:15" x14ac:dyDescent="0.2">
      <c r="A13">
        <v>304</v>
      </c>
      <c r="B13" s="3">
        <v>22</v>
      </c>
      <c r="C13" s="3" t="s">
        <v>78</v>
      </c>
      <c r="D13">
        <v>25</v>
      </c>
      <c r="E13" s="12" t="s">
        <v>235</v>
      </c>
      <c r="F13" t="s">
        <v>299</v>
      </c>
      <c r="G13">
        <v>5</v>
      </c>
      <c r="H13" t="s">
        <v>31</v>
      </c>
      <c r="I13" t="s">
        <v>42</v>
      </c>
      <c r="J13" t="s">
        <v>27</v>
      </c>
      <c r="K13" t="s">
        <v>37</v>
      </c>
      <c r="L13" t="s">
        <v>33</v>
      </c>
      <c r="M13" t="s">
        <v>38</v>
      </c>
      <c r="N13" t="s">
        <v>27</v>
      </c>
      <c r="O13" t="s">
        <v>237</v>
      </c>
    </row>
    <row r="14" spans="1:15" x14ac:dyDescent="0.2">
      <c r="A14">
        <v>305</v>
      </c>
      <c r="B14" s="3">
        <v>22</v>
      </c>
      <c r="C14" s="3" t="s">
        <v>78</v>
      </c>
      <c r="D14">
        <v>26</v>
      </c>
      <c r="E14" s="12" t="s">
        <v>235</v>
      </c>
      <c r="F14" t="s">
        <v>299</v>
      </c>
      <c r="G14">
        <v>5</v>
      </c>
      <c r="H14" t="s">
        <v>31</v>
      </c>
      <c r="I14" t="s">
        <v>42</v>
      </c>
      <c r="J14" t="s">
        <v>27</v>
      </c>
      <c r="K14" t="s">
        <v>37</v>
      </c>
      <c r="L14" t="s">
        <v>33</v>
      </c>
      <c r="M14" t="s">
        <v>38</v>
      </c>
      <c r="N14" t="s">
        <v>27</v>
      </c>
      <c r="O14" t="s">
        <v>237</v>
      </c>
    </row>
    <row r="15" spans="1:15" x14ac:dyDescent="0.2">
      <c r="A15">
        <v>177</v>
      </c>
      <c r="B15" s="3">
        <v>26</v>
      </c>
      <c r="C15" s="3" t="s">
        <v>223</v>
      </c>
      <c r="D15">
        <v>2</v>
      </c>
      <c r="E15" s="12" t="s">
        <v>222</v>
      </c>
      <c r="F15" t="s">
        <v>267</v>
      </c>
      <c r="G15">
        <v>2</v>
      </c>
      <c r="H15" t="s">
        <v>25</v>
      </c>
      <c r="I15" t="s">
        <v>42</v>
      </c>
      <c r="J15" t="s">
        <v>27</v>
      </c>
      <c r="K15" t="s">
        <v>37</v>
      </c>
      <c r="L15" t="s">
        <v>33</v>
      </c>
      <c r="M15" t="s">
        <v>38</v>
      </c>
      <c r="N15" t="s">
        <v>84</v>
      </c>
      <c r="O15" t="s">
        <v>221</v>
      </c>
    </row>
    <row r="16" spans="1:15" x14ac:dyDescent="0.2">
      <c r="A16">
        <v>210</v>
      </c>
      <c r="B16" s="3" t="s">
        <v>232</v>
      </c>
      <c r="C16" s="3" t="s">
        <v>254</v>
      </c>
      <c r="D16">
        <v>7</v>
      </c>
      <c r="E16" s="12" t="s">
        <v>91</v>
      </c>
      <c r="F16" t="s">
        <v>261</v>
      </c>
      <c r="G16">
        <v>3</v>
      </c>
      <c r="H16" t="s">
        <v>38</v>
      </c>
      <c r="I16" t="s">
        <v>42</v>
      </c>
      <c r="J16" t="s">
        <v>27</v>
      </c>
      <c r="K16" t="s">
        <v>37</v>
      </c>
      <c r="L16" t="s">
        <v>33</v>
      </c>
      <c r="M16" t="s">
        <v>29</v>
      </c>
      <c r="N16" t="s">
        <v>27</v>
      </c>
      <c r="O16" t="s">
        <v>253</v>
      </c>
    </row>
    <row r="17" spans="1:15" x14ac:dyDescent="0.2">
      <c r="A17">
        <v>266</v>
      </c>
      <c r="B17" s="3" t="s">
        <v>202</v>
      </c>
      <c r="C17" s="3" t="s">
        <v>205</v>
      </c>
      <c r="D17">
        <v>4</v>
      </c>
      <c r="E17" s="12" t="s">
        <v>169</v>
      </c>
      <c r="F17" t="s">
        <v>287</v>
      </c>
      <c r="G17">
        <v>5</v>
      </c>
      <c r="H17" t="s">
        <v>38</v>
      </c>
      <c r="I17" t="s">
        <v>42</v>
      </c>
      <c r="J17" t="s">
        <v>27</v>
      </c>
      <c r="K17" t="s">
        <v>34</v>
      </c>
      <c r="L17" t="s">
        <v>33</v>
      </c>
      <c r="M17" t="s">
        <v>31</v>
      </c>
      <c r="N17" t="s">
        <v>27</v>
      </c>
      <c r="O17" t="s">
        <v>204</v>
      </c>
    </row>
    <row r="18" spans="1:15" x14ac:dyDescent="0.2">
      <c r="A18">
        <v>175</v>
      </c>
      <c r="B18" s="3" t="s">
        <v>77</v>
      </c>
      <c r="C18" s="3" t="s">
        <v>220</v>
      </c>
      <c r="D18">
        <v>4</v>
      </c>
      <c r="E18" s="12" t="s">
        <v>152</v>
      </c>
      <c r="F18" t="s">
        <v>276</v>
      </c>
      <c r="G18">
        <v>3</v>
      </c>
      <c r="H18" t="s">
        <v>38</v>
      </c>
      <c r="I18" t="s">
        <v>42</v>
      </c>
      <c r="J18" t="s">
        <v>27</v>
      </c>
      <c r="K18" t="s">
        <v>37</v>
      </c>
      <c r="L18" t="s">
        <v>33</v>
      </c>
      <c r="M18" t="s">
        <v>31</v>
      </c>
      <c r="N18" t="s">
        <v>27</v>
      </c>
      <c r="O18" t="s">
        <v>219</v>
      </c>
    </row>
    <row r="19" spans="1:15" x14ac:dyDescent="0.2">
      <c r="A19">
        <v>318</v>
      </c>
      <c r="B19" s="3" t="s">
        <v>238</v>
      </c>
      <c r="C19" s="3" t="s">
        <v>78</v>
      </c>
      <c r="D19">
        <v>12</v>
      </c>
      <c r="E19" s="12" t="s">
        <v>152</v>
      </c>
      <c r="F19" t="s">
        <v>276</v>
      </c>
      <c r="G19">
        <v>2</v>
      </c>
      <c r="H19" t="s">
        <v>38</v>
      </c>
      <c r="I19" t="s">
        <v>42</v>
      </c>
      <c r="J19" t="s">
        <v>27</v>
      </c>
      <c r="K19" t="s">
        <v>37</v>
      </c>
      <c r="L19" t="s">
        <v>33</v>
      </c>
      <c r="M19" t="s">
        <v>25</v>
      </c>
      <c r="N19" t="s">
        <v>27</v>
      </c>
      <c r="O19" t="s">
        <v>256</v>
      </c>
    </row>
    <row r="20" spans="1:15" x14ac:dyDescent="0.2">
      <c r="A20">
        <v>255</v>
      </c>
      <c r="B20" s="3" t="s">
        <v>184</v>
      </c>
      <c r="C20" s="3" t="s">
        <v>194</v>
      </c>
      <c r="D20">
        <v>15</v>
      </c>
      <c r="E20" s="12" t="s">
        <v>24</v>
      </c>
      <c r="F20" t="s">
        <v>24</v>
      </c>
      <c r="G20">
        <v>2</v>
      </c>
      <c r="H20" t="s">
        <v>38</v>
      </c>
      <c r="I20" t="s">
        <v>42</v>
      </c>
      <c r="J20" t="s">
        <v>27</v>
      </c>
      <c r="K20" t="s">
        <v>37</v>
      </c>
      <c r="L20" t="s">
        <v>33</v>
      </c>
      <c r="M20" t="s">
        <v>38</v>
      </c>
      <c r="N20" t="s">
        <v>193</v>
      </c>
      <c r="O20" t="s">
        <v>192</v>
      </c>
    </row>
    <row r="21" spans="1:15" x14ac:dyDescent="0.2">
      <c r="A21">
        <v>248</v>
      </c>
      <c r="B21" s="3" t="s">
        <v>184</v>
      </c>
      <c r="C21" s="3" t="s">
        <v>78</v>
      </c>
      <c r="D21">
        <v>8</v>
      </c>
      <c r="E21" s="12" t="s">
        <v>82</v>
      </c>
      <c r="F21" t="s">
        <v>284</v>
      </c>
      <c r="G21">
        <v>4</v>
      </c>
      <c r="H21" t="s">
        <v>38</v>
      </c>
      <c r="I21" t="s">
        <v>42</v>
      </c>
      <c r="J21" t="s">
        <v>27</v>
      </c>
      <c r="K21" t="s">
        <v>37</v>
      </c>
      <c r="L21" t="s">
        <v>33</v>
      </c>
      <c r="M21" t="s">
        <v>31</v>
      </c>
      <c r="N21" t="s">
        <v>27</v>
      </c>
      <c r="O21" t="s">
        <v>170</v>
      </c>
    </row>
    <row r="22" spans="1:15" x14ac:dyDescent="0.2">
      <c r="A22">
        <v>249</v>
      </c>
      <c r="B22" s="3" t="s">
        <v>184</v>
      </c>
      <c r="C22" s="3" t="s">
        <v>78</v>
      </c>
      <c r="D22">
        <v>9</v>
      </c>
      <c r="E22" s="12" t="s">
        <v>152</v>
      </c>
      <c r="F22" t="s">
        <v>276</v>
      </c>
      <c r="G22">
        <v>2</v>
      </c>
      <c r="H22" t="s">
        <v>53</v>
      </c>
      <c r="I22" t="s">
        <v>42</v>
      </c>
      <c r="J22" t="s">
        <v>27</v>
      </c>
      <c r="K22" t="s">
        <v>37</v>
      </c>
      <c r="L22" t="s">
        <v>33</v>
      </c>
      <c r="M22" t="s">
        <v>31</v>
      </c>
      <c r="N22" t="s">
        <v>27</v>
      </c>
      <c r="O22" t="s">
        <v>187</v>
      </c>
    </row>
    <row r="23" spans="1:15" x14ac:dyDescent="0.2">
      <c r="A23">
        <v>256</v>
      </c>
      <c r="B23" s="3" t="s">
        <v>184</v>
      </c>
      <c r="C23" s="3" t="s">
        <v>78</v>
      </c>
      <c r="D23">
        <v>16</v>
      </c>
      <c r="E23" s="12" t="s">
        <v>196</v>
      </c>
      <c r="F23" t="s">
        <v>277</v>
      </c>
      <c r="G23">
        <v>4</v>
      </c>
      <c r="H23" t="s">
        <v>38</v>
      </c>
      <c r="I23" t="s">
        <v>42</v>
      </c>
      <c r="J23" t="s">
        <v>27</v>
      </c>
      <c r="K23" t="s">
        <v>37</v>
      </c>
      <c r="L23" t="s">
        <v>33</v>
      </c>
      <c r="M23" t="s">
        <v>38</v>
      </c>
      <c r="N23" t="s">
        <v>193</v>
      </c>
      <c r="O23" t="s">
        <v>195</v>
      </c>
    </row>
    <row r="24" spans="1:15" x14ac:dyDescent="0.2">
      <c r="A24">
        <v>257</v>
      </c>
      <c r="B24" s="3" t="s">
        <v>184</v>
      </c>
      <c r="C24" s="3" t="s">
        <v>78</v>
      </c>
      <c r="D24">
        <v>17</v>
      </c>
      <c r="E24" s="12" t="s">
        <v>88</v>
      </c>
      <c r="F24" t="s">
        <v>263</v>
      </c>
      <c r="G24">
        <v>2</v>
      </c>
      <c r="H24" t="s">
        <v>38</v>
      </c>
      <c r="I24" t="s">
        <v>42</v>
      </c>
      <c r="J24" t="s">
        <v>27</v>
      </c>
      <c r="K24" t="s">
        <v>37</v>
      </c>
      <c r="L24" t="s">
        <v>33</v>
      </c>
      <c r="M24" t="s">
        <v>38</v>
      </c>
      <c r="N24" t="s">
        <v>27</v>
      </c>
      <c r="O24" t="s">
        <v>192</v>
      </c>
    </row>
    <row r="25" spans="1:15" x14ac:dyDescent="0.2">
      <c r="A25">
        <v>261</v>
      </c>
      <c r="B25" s="3" t="s">
        <v>199</v>
      </c>
      <c r="C25" s="3" t="s">
        <v>200</v>
      </c>
      <c r="D25">
        <v>7</v>
      </c>
      <c r="E25" s="12" t="s">
        <v>186</v>
      </c>
      <c r="F25" t="s">
        <v>265</v>
      </c>
      <c r="G25">
        <v>1</v>
      </c>
      <c r="H25" t="s">
        <v>25</v>
      </c>
      <c r="I25" t="s">
        <v>42</v>
      </c>
      <c r="J25" t="s">
        <v>27</v>
      </c>
      <c r="K25" t="s">
        <v>37</v>
      </c>
      <c r="L25" t="s">
        <v>33</v>
      </c>
      <c r="M25" t="s">
        <v>31</v>
      </c>
      <c r="N25" t="s">
        <v>27</v>
      </c>
      <c r="O25" t="s">
        <v>192</v>
      </c>
    </row>
    <row r="26" spans="1:15" x14ac:dyDescent="0.2">
      <c r="A26">
        <v>260</v>
      </c>
      <c r="B26" s="3" t="s">
        <v>199</v>
      </c>
      <c r="C26" s="3" t="s">
        <v>78</v>
      </c>
      <c r="D26">
        <v>6</v>
      </c>
      <c r="E26" s="12" t="s">
        <v>88</v>
      </c>
      <c r="F26" t="s">
        <v>263</v>
      </c>
      <c r="G26">
        <v>2</v>
      </c>
      <c r="H26" t="s">
        <v>38</v>
      </c>
      <c r="I26" t="s">
        <v>42</v>
      </c>
      <c r="J26" t="s">
        <v>27</v>
      </c>
      <c r="K26" t="s">
        <v>37</v>
      </c>
      <c r="L26" t="s">
        <v>33</v>
      </c>
      <c r="M26" t="s">
        <v>31</v>
      </c>
      <c r="N26" t="s">
        <v>27</v>
      </c>
      <c r="O26" t="s">
        <v>192</v>
      </c>
    </row>
    <row r="27" spans="1:15" x14ac:dyDescent="0.2">
      <c r="A27">
        <v>262</v>
      </c>
      <c r="B27" s="3" t="s">
        <v>199</v>
      </c>
      <c r="C27" s="3" t="s">
        <v>78</v>
      </c>
      <c r="D27">
        <v>8</v>
      </c>
      <c r="E27" s="12" t="s">
        <v>201</v>
      </c>
      <c r="F27" t="s">
        <v>288</v>
      </c>
      <c r="G27">
        <v>1</v>
      </c>
      <c r="H27" t="s">
        <v>38</v>
      </c>
      <c r="I27" t="s">
        <v>42</v>
      </c>
      <c r="J27" t="s">
        <v>27</v>
      </c>
      <c r="K27" t="s">
        <v>37</v>
      </c>
      <c r="L27" t="s">
        <v>33</v>
      </c>
      <c r="M27" t="s">
        <v>31</v>
      </c>
      <c r="N27" t="s">
        <v>27</v>
      </c>
      <c r="O27" t="s">
        <v>192</v>
      </c>
    </row>
    <row r="28" spans="1:15" x14ac:dyDescent="0.2">
      <c r="A28">
        <v>143</v>
      </c>
      <c r="B28" s="3" t="s">
        <v>168</v>
      </c>
      <c r="C28" s="3" t="s">
        <v>78</v>
      </c>
      <c r="D28">
        <v>10</v>
      </c>
      <c r="E28" s="12" t="s">
        <v>152</v>
      </c>
      <c r="F28" t="s">
        <v>276</v>
      </c>
      <c r="G28">
        <v>3</v>
      </c>
      <c r="H28" t="s">
        <v>53</v>
      </c>
      <c r="I28" t="s">
        <v>42</v>
      </c>
      <c r="J28" t="s">
        <v>27</v>
      </c>
      <c r="K28" t="s">
        <v>37</v>
      </c>
      <c r="L28" t="s">
        <v>33</v>
      </c>
      <c r="M28" t="s">
        <v>25</v>
      </c>
      <c r="N28" t="s">
        <v>27</v>
      </c>
      <c r="O28" t="s">
        <v>170</v>
      </c>
    </row>
    <row r="29" spans="1:15" x14ac:dyDescent="0.2">
      <c r="A29">
        <v>231</v>
      </c>
      <c r="B29" s="3" t="s">
        <v>300</v>
      </c>
      <c r="C29" s="3" t="s">
        <v>78</v>
      </c>
      <c r="D29">
        <v>21</v>
      </c>
      <c r="E29" s="12" t="s">
        <v>114</v>
      </c>
      <c r="F29" t="s">
        <v>268</v>
      </c>
      <c r="G29">
        <v>4</v>
      </c>
      <c r="H29" t="s">
        <v>38</v>
      </c>
      <c r="I29" t="s">
        <v>42</v>
      </c>
      <c r="J29" t="s">
        <v>27</v>
      </c>
      <c r="K29" t="s">
        <v>37</v>
      </c>
      <c r="L29" t="s">
        <v>33</v>
      </c>
      <c r="M29" t="s">
        <v>31</v>
      </c>
      <c r="N29" t="s">
        <v>27</v>
      </c>
      <c r="O29" t="s">
        <v>255</v>
      </c>
    </row>
    <row r="30" spans="1:15" x14ac:dyDescent="0.2">
      <c r="A30">
        <v>133</v>
      </c>
      <c r="B30" s="3" t="s">
        <v>164</v>
      </c>
      <c r="C30" s="3" t="s">
        <v>78</v>
      </c>
      <c r="D30">
        <v>52</v>
      </c>
      <c r="E30" s="12" t="s">
        <v>167</v>
      </c>
      <c r="F30" t="s">
        <v>298</v>
      </c>
      <c r="G30">
        <v>2</v>
      </c>
      <c r="H30" t="s">
        <v>38</v>
      </c>
      <c r="I30" t="s">
        <v>42</v>
      </c>
      <c r="J30" t="s">
        <v>27</v>
      </c>
      <c r="K30" t="s">
        <v>37</v>
      </c>
      <c r="L30" t="s">
        <v>33</v>
      </c>
      <c r="M30" t="s">
        <v>38</v>
      </c>
      <c r="N30" t="s">
        <v>84</v>
      </c>
      <c r="O30" t="s">
        <v>166</v>
      </c>
    </row>
    <row r="31" spans="1:15" x14ac:dyDescent="0.2">
      <c r="A31">
        <v>160</v>
      </c>
      <c r="B31" s="3" t="s">
        <v>174</v>
      </c>
      <c r="C31" s="3" t="s">
        <v>78</v>
      </c>
      <c r="D31">
        <v>5</v>
      </c>
      <c r="E31" s="12" t="s">
        <v>94</v>
      </c>
      <c r="F31" t="s">
        <v>290</v>
      </c>
      <c r="G31">
        <v>14</v>
      </c>
      <c r="H31" t="s">
        <v>38</v>
      </c>
      <c r="I31" t="s">
        <v>42</v>
      </c>
      <c r="J31" t="s">
        <v>27</v>
      </c>
      <c r="K31" t="s">
        <v>28</v>
      </c>
      <c r="L31" t="s">
        <v>33</v>
      </c>
      <c r="M31" t="s">
        <v>31</v>
      </c>
      <c r="N31" t="s">
        <v>27</v>
      </c>
      <c r="O31" t="s">
        <v>175</v>
      </c>
    </row>
    <row r="32" spans="1:15" x14ac:dyDescent="0.2">
      <c r="A32">
        <v>161</v>
      </c>
      <c r="B32" s="3" t="s">
        <v>174</v>
      </c>
      <c r="C32" s="3" t="s">
        <v>78</v>
      </c>
      <c r="D32">
        <v>6</v>
      </c>
      <c r="E32" s="12" t="s">
        <v>119</v>
      </c>
      <c r="F32" t="s">
        <v>286</v>
      </c>
      <c r="G32">
        <v>5</v>
      </c>
      <c r="H32" t="s">
        <v>38</v>
      </c>
      <c r="I32" t="s">
        <v>42</v>
      </c>
      <c r="J32" t="s">
        <v>27</v>
      </c>
      <c r="K32" t="s">
        <v>37</v>
      </c>
      <c r="L32" t="s">
        <v>33</v>
      </c>
      <c r="M32" t="s">
        <v>31</v>
      </c>
      <c r="N32" t="s">
        <v>27</v>
      </c>
      <c r="O32" t="s">
        <v>176</v>
      </c>
    </row>
    <row r="33" spans="1:15" x14ac:dyDescent="0.2">
      <c r="E33" s="12"/>
    </row>
    <row r="34" spans="1:15" x14ac:dyDescent="0.2">
      <c r="B34" s="13" t="s">
        <v>73</v>
      </c>
      <c r="E34" s="12"/>
    </row>
    <row r="35" spans="1:15" x14ac:dyDescent="0.2">
      <c r="A35">
        <v>39</v>
      </c>
      <c r="B35" s="3">
        <v>21</v>
      </c>
      <c r="C35" s="3">
        <v>164</v>
      </c>
      <c r="D35">
        <v>38</v>
      </c>
      <c r="E35" s="12" t="s">
        <v>113</v>
      </c>
      <c r="F35" t="s">
        <v>298</v>
      </c>
      <c r="G35">
        <v>2</v>
      </c>
      <c r="H35" t="s">
        <v>52</v>
      </c>
      <c r="I35" t="s">
        <v>35</v>
      </c>
      <c r="J35" t="s">
        <v>27</v>
      </c>
      <c r="K35" t="s">
        <v>37</v>
      </c>
      <c r="L35" t="s">
        <v>33</v>
      </c>
      <c r="M35" t="s">
        <v>31</v>
      </c>
      <c r="N35" t="s">
        <v>27</v>
      </c>
    </row>
    <row r="36" spans="1:15" x14ac:dyDescent="0.2">
      <c r="A36">
        <v>6</v>
      </c>
      <c r="B36" s="3">
        <v>21</v>
      </c>
      <c r="C36" s="3" t="s">
        <v>89</v>
      </c>
      <c r="D36">
        <v>5</v>
      </c>
      <c r="E36" s="12" t="s">
        <v>79</v>
      </c>
      <c r="F36" t="s">
        <v>285</v>
      </c>
      <c r="G36">
        <v>8</v>
      </c>
      <c r="H36" t="s">
        <v>52</v>
      </c>
      <c r="I36" t="s">
        <v>35</v>
      </c>
      <c r="J36" t="s">
        <v>27</v>
      </c>
      <c r="K36" t="s">
        <v>37</v>
      </c>
      <c r="L36" t="s">
        <v>33</v>
      </c>
      <c r="M36" t="s">
        <v>31</v>
      </c>
      <c r="N36" t="s">
        <v>27</v>
      </c>
    </row>
    <row r="37" spans="1:15" x14ac:dyDescent="0.2">
      <c r="A37">
        <v>7</v>
      </c>
      <c r="B37" s="3">
        <v>21</v>
      </c>
      <c r="C37" s="3" t="s">
        <v>90</v>
      </c>
      <c r="D37">
        <v>6</v>
      </c>
      <c r="E37" s="12" t="s">
        <v>79</v>
      </c>
      <c r="F37" t="s">
        <v>285</v>
      </c>
      <c r="G37">
        <v>6</v>
      </c>
      <c r="H37" t="s">
        <v>31</v>
      </c>
      <c r="I37" t="s">
        <v>35</v>
      </c>
      <c r="J37" t="s">
        <v>27</v>
      </c>
      <c r="K37" t="s">
        <v>37</v>
      </c>
      <c r="L37" t="s">
        <v>33</v>
      </c>
      <c r="M37" t="s">
        <v>31</v>
      </c>
      <c r="N37" t="s">
        <v>27</v>
      </c>
    </row>
    <row r="38" spans="1:15" x14ac:dyDescent="0.2">
      <c r="A38">
        <v>3</v>
      </c>
      <c r="B38" s="3">
        <v>22</v>
      </c>
      <c r="C38" s="3" t="s">
        <v>85</v>
      </c>
      <c r="D38">
        <v>2</v>
      </c>
      <c r="E38" s="12" t="s">
        <v>82</v>
      </c>
      <c r="F38" t="s">
        <v>284</v>
      </c>
      <c r="G38">
        <v>12</v>
      </c>
      <c r="H38" t="s">
        <v>31</v>
      </c>
      <c r="I38" t="s">
        <v>35</v>
      </c>
      <c r="J38" t="s">
        <v>27</v>
      </c>
      <c r="K38" t="s">
        <v>37</v>
      </c>
      <c r="L38" t="s">
        <v>83</v>
      </c>
      <c r="M38" t="s">
        <v>25</v>
      </c>
      <c r="N38" t="s">
        <v>84</v>
      </c>
      <c r="O38" t="s">
        <v>81</v>
      </c>
    </row>
    <row r="39" spans="1:15" x14ac:dyDescent="0.2">
      <c r="A39">
        <v>162</v>
      </c>
      <c r="B39" s="3" t="s">
        <v>174</v>
      </c>
      <c r="C39" s="3" t="s">
        <v>78</v>
      </c>
      <c r="D39">
        <v>7</v>
      </c>
      <c r="E39" s="12" t="s">
        <v>94</v>
      </c>
      <c r="F39" t="s">
        <v>290</v>
      </c>
      <c r="G39">
        <v>10</v>
      </c>
      <c r="H39" t="s">
        <v>38</v>
      </c>
      <c r="I39" t="s">
        <v>35</v>
      </c>
      <c r="J39" t="s">
        <v>27</v>
      </c>
      <c r="K39" t="s">
        <v>34</v>
      </c>
      <c r="L39" t="s">
        <v>33</v>
      </c>
      <c r="M39" t="s">
        <v>31</v>
      </c>
      <c r="N39" t="s">
        <v>27</v>
      </c>
      <c r="O39" t="s">
        <v>49</v>
      </c>
    </row>
    <row r="40" spans="1:15" x14ac:dyDescent="0.2">
      <c r="E40" s="12"/>
    </row>
    <row r="41" spans="1:15" x14ac:dyDescent="0.2">
      <c r="B41" s="13" t="s">
        <v>74</v>
      </c>
      <c r="E41" s="12"/>
    </row>
    <row r="42" spans="1:15" x14ac:dyDescent="0.2">
      <c r="A42">
        <v>62</v>
      </c>
      <c r="B42" s="3">
        <v>1</v>
      </c>
      <c r="C42" s="3" t="s">
        <v>128</v>
      </c>
      <c r="D42">
        <v>3</v>
      </c>
      <c r="E42" s="12" t="s">
        <v>82</v>
      </c>
      <c r="F42" t="s">
        <v>284</v>
      </c>
      <c r="G42">
        <v>7</v>
      </c>
      <c r="H42" t="s">
        <v>52</v>
      </c>
      <c r="I42" t="s">
        <v>26</v>
      </c>
      <c r="J42" t="s">
        <v>27</v>
      </c>
      <c r="K42" t="s">
        <v>37</v>
      </c>
      <c r="L42" t="s">
        <v>33</v>
      </c>
      <c r="M42" t="s">
        <v>29</v>
      </c>
      <c r="N42" t="s">
        <v>27</v>
      </c>
    </row>
    <row r="43" spans="1:15" x14ac:dyDescent="0.2">
      <c r="A43">
        <v>61</v>
      </c>
      <c r="B43" s="3">
        <v>2</v>
      </c>
      <c r="C43" s="3" t="s">
        <v>127</v>
      </c>
      <c r="D43">
        <v>2</v>
      </c>
      <c r="E43" s="12" t="s">
        <v>126</v>
      </c>
      <c r="F43" t="s">
        <v>273</v>
      </c>
      <c r="G43">
        <v>14</v>
      </c>
      <c r="H43" t="s">
        <v>31</v>
      </c>
      <c r="I43" t="s">
        <v>26</v>
      </c>
      <c r="J43" t="s">
        <v>27</v>
      </c>
      <c r="K43" t="s">
        <v>34</v>
      </c>
      <c r="L43" t="s">
        <v>33</v>
      </c>
      <c r="M43" t="s">
        <v>29</v>
      </c>
      <c r="N43" t="s">
        <v>27</v>
      </c>
    </row>
    <row r="44" spans="1:15" x14ac:dyDescent="0.2">
      <c r="A44">
        <v>60</v>
      </c>
      <c r="B44" s="3">
        <v>2</v>
      </c>
      <c r="C44" s="3" t="s">
        <v>78</v>
      </c>
      <c r="D44">
        <v>1</v>
      </c>
      <c r="E44" s="12" t="s">
        <v>79</v>
      </c>
      <c r="F44" t="s">
        <v>285</v>
      </c>
      <c r="G44">
        <v>10</v>
      </c>
      <c r="H44" t="s">
        <v>31</v>
      </c>
      <c r="I44" t="s">
        <v>26</v>
      </c>
      <c r="J44" t="s">
        <v>27</v>
      </c>
      <c r="K44" t="s">
        <v>37</v>
      </c>
      <c r="L44" t="s">
        <v>33</v>
      </c>
      <c r="M44" t="s">
        <v>31</v>
      </c>
      <c r="N44" t="s">
        <v>27</v>
      </c>
    </row>
    <row r="45" spans="1:15" x14ac:dyDescent="0.2">
      <c r="A45">
        <v>77</v>
      </c>
      <c r="B45" s="3">
        <v>6</v>
      </c>
      <c r="C45" s="3" t="s">
        <v>153</v>
      </c>
      <c r="D45">
        <v>1</v>
      </c>
      <c r="E45" s="12" t="s">
        <v>152</v>
      </c>
      <c r="F45" t="s">
        <v>276</v>
      </c>
      <c r="G45">
        <v>6</v>
      </c>
      <c r="H45" t="s">
        <v>31</v>
      </c>
      <c r="I45" t="s">
        <v>26</v>
      </c>
      <c r="J45" t="s">
        <v>27</v>
      </c>
      <c r="K45" t="s">
        <v>37</v>
      </c>
      <c r="L45" t="s">
        <v>33</v>
      </c>
      <c r="M45" t="s">
        <v>31</v>
      </c>
      <c r="N45" t="s">
        <v>27</v>
      </c>
      <c r="O45" t="s">
        <v>151</v>
      </c>
    </row>
    <row r="46" spans="1:15" x14ac:dyDescent="0.2">
      <c r="A46">
        <v>76</v>
      </c>
      <c r="B46" s="3">
        <v>6</v>
      </c>
      <c r="C46" s="3" t="s">
        <v>150</v>
      </c>
      <c r="D46">
        <v>1</v>
      </c>
      <c r="E46" s="12" t="s">
        <v>79</v>
      </c>
      <c r="F46" t="s">
        <v>285</v>
      </c>
      <c r="G46">
        <v>14</v>
      </c>
      <c r="H46" t="s">
        <v>52</v>
      </c>
      <c r="I46" t="s">
        <v>26</v>
      </c>
      <c r="J46" t="s">
        <v>27</v>
      </c>
      <c r="K46" t="s">
        <v>37</v>
      </c>
      <c r="L46" t="s">
        <v>33</v>
      </c>
      <c r="M46" t="s">
        <v>29</v>
      </c>
      <c r="N46" t="s">
        <v>27</v>
      </c>
    </row>
    <row r="47" spans="1:15" x14ac:dyDescent="0.2">
      <c r="A47">
        <v>63</v>
      </c>
      <c r="B47" s="3">
        <v>9</v>
      </c>
      <c r="C47" s="3" t="s">
        <v>129</v>
      </c>
      <c r="D47">
        <v>1</v>
      </c>
      <c r="E47" s="12" t="s">
        <v>79</v>
      </c>
      <c r="F47" t="s">
        <v>285</v>
      </c>
      <c r="G47">
        <v>14</v>
      </c>
      <c r="H47" t="s">
        <v>52</v>
      </c>
      <c r="I47" t="s">
        <v>26</v>
      </c>
      <c r="J47" t="s">
        <v>27</v>
      </c>
      <c r="K47" t="s">
        <v>37</v>
      </c>
      <c r="L47" t="s">
        <v>33</v>
      </c>
      <c r="M47" t="s">
        <v>29</v>
      </c>
      <c r="N47" t="s">
        <v>27</v>
      </c>
    </row>
    <row r="48" spans="1:15" x14ac:dyDescent="0.2">
      <c r="A48">
        <v>64</v>
      </c>
      <c r="B48" s="3">
        <v>9</v>
      </c>
      <c r="C48" s="3" t="s">
        <v>130</v>
      </c>
      <c r="D48">
        <v>5</v>
      </c>
      <c r="E48" s="12" t="s">
        <v>79</v>
      </c>
      <c r="F48" t="s">
        <v>285</v>
      </c>
      <c r="G48">
        <v>14</v>
      </c>
      <c r="H48" t="s">
        <v>52</v>
      </c>
      <c r="I48" t="s">
        <v>26</v>
      </c>
      <c r="J48" t="s">
        <v>27</v>
      </c>
      <c r="K48" t="s">
        <v>37</v>
      </c>
      <c r="L48" t="s">
        <v>33</v>
      </c>
      <c r="M48" t="s">
        <v>29</v>
      </c>
      <c r="N48" t="s">
        <v>27</v>
      </c>
    </row>
    <row r="49" spans="1:15" x14ac:dyDescent="0.2">
      <c r="A49">
        <v>65</v>
      </c>
      <c r="B49" s="3">
        <v>9</v>
      </c>
      <c r="C49" s="3" t="s">
        <v>131</v>
      </c>
      <c r="D49">
        <v>1</v>
      </c>
      <c r="E49" s="12" t="s">
        <v>119</v>
      </c>
      <c r="F49" t="s">
        <v>286</v>
      </c>
      <c r="G49">
        <v>2</v>
      </c>
      <c r="H49" t="s">
        <v>31</v>
      </c>
      <c r="I49" t="s">
        <v>26</v>
      </c>
      <c r="J49" t="s">
        <v>27</v>
      </c>
      <c r="K49" t="s">
        <v>37</v>
      </c>
      <c r="L49" t="s">
        <v>33</v>
      </c>
      <c r="M49" t="s">
        <v>25</v>
      </c>
      <c r="N49" t="s">
        <v>27</v>
      </c>
    </row>
    <row r="50" spans="1:15" x14ac:dyDescent="0.2">
      <c r="A50">
        <v>75</v>
      </c>
      <c r="B50" s="3">
        <v>10</v>
      </c>
      <c r="C50" s="3" t="s">
        <v>149</v>
      </c>
      <c r="D50">
        <v>1</v>
      </c>
      <c r="E50" s="12" t="s">
        <v>94</v>
      </c>
      <c r="F50" t="s">
        <v>290</v>
      </c>
      <c r="G50">
        <v>36</v>
      </c>
      <c r="H50" t="s">
        <v>25</v>
      </c>
      <c r="I50" t="s">
        <v>26</v>
      </c>
      <c r="J50" t="s">
        <v>27</v>
      </c>
      <c r="K50" t="s">
        <v>37</v>
      </c>
      <c r="L50" t="s">
        <v>33</v>
      </c>
      <c r="M50" t="s">
        <v>31</v>
      </c>
      <c r="N50" t="s">
        <v>27</v>
      </c>
      <c r="O50" t="s">
        <v>40</v>
      </c>
    </row>
    <row r="51" spans="1:15" x14ac:dyDescent="0.2">
      <c r="A51">
        <v>80</v>
      </c>
      <c r="B51" s="3">
        <v>10</v>
      </c>
      <c r="C51" s="3" t="s">
        <v>156</v>
      </c>
      <c r="D51">
        <v>1</v>
      </c>
      <c r="E51" s="12" t="s">
        <v>94</v>
      </c>
      <c r="F51" t="s">
        <v>290</v>
      </c>
      <c r="G51">
        <v>14</v>
      </c>
      <c r="H51" t="s">
        <v>25</v>
      </c>
      <c r="I51" t="s">
        <v>26</v>
      </c>
      <c r="J51" t="s">
        <v>27</v>
      </c>
      <c r="K51" t="s">
        <v>37</v>
      </c>
      <c r="L51" t="s">
        <v>33</v>
      </c>
      <c r="M51" t="s">
        <v>31</v>
      </c>
      <c r="N51" t="s">
        <v>27</v>
      </c>
      <c r="O51" t="s">
        <v>155</v>
      </c>
    </row>
    <row r="52" spans="1:15" x14ac:dyDescent="0.2">
      <c r="A52">
        <v>81</v>
      </c>
      <c r="B52" s="3">
        <v>10</v>
      </c>
      <c r="C52" s="3" t="s">
        <v>158</v>
      </c>
      <c r="D52">
        <v>1</v>
      </c>
      <c r="E52" s="12" t="s">
        <v>119</v>
      </c>
      <c r="F52" t="s">
        <v>286</v>
      </c>
      <c r="G52">
        <v>6</v>
      </c>
      <c r="H52" t="s">
        <v>31</v>
      </c>
      <c r="I52" t="s">
        <v>26</v>
      </c>
      <c r="J52" t="s">
        <v>27</v>
      </c>
      <c r="K52" t="s">
        <v>37</v>
      </c>
      <c r="L52" t="s">
        <v>33</v>
      </c>
      <c r="M52" t="s">
        <v>29</v>
      </c>
      <c r="N52" t="s">
        <v>27</v>
      </c>
      <c r="O52" t="s">
        <v>157</v>
      </c>
    </row>
    <row r="53" spans="1:15" x14ac:dyDescent="0.2">
      <c r="A53">
        <v>78</v>
      </c>
      <c r="B53" s="3">
        <v>10</v>
      </c>
      <c r="C53" s="3" t="s">
        <v>154</v>
      </c>
      <c r="D53">
        <v>1</v>
      </c>
      <c r="E53" s="12" t="s">
        <v>94</v>
      </c>
      <c r="F53" t="s">
        <v>290</v>
      </c>
      <c r="G53">
        <v>24</v>
      </c>
      <c r="H53" t="s">
        <v>31</v>
      </c>
      <c r="I53" t="s">
        <v>26</v>
      </c>
      <c r="J53" t="s">
        <v>27</v>
      </c>
      <c r="K53" t="s">
        <v>37</v>
      </c>
      <c r="L53" t="s">
        <v>33</v>
      </c>
      <c r="M53" t="s">
        <v>31</v>
      </c>
      <c r="N53" t="s">
        <v>27</v>
      </c>
      <c r="O53" t="s">
        <v>36</v>
      </c>
    </row>
    <row r="54" spans="1:15" x14ac:dyDescent="0.2">
      <c r="A54">
        <v>79</v>
      </c>
      <c r="B54" s="3">
        <v>10</v>
      </c>
      <c r="C54" s="3" t="s">
        <v>154</v>
      </c>
      <c r="D54">
        <v>2</v>
      </c>
      <c r="E54" s="12" t="s">
        <v>94</v>
      </c>
      <c r="F54" t="s">
        <v>290</v>
      </c>
      <c r="G54">
        <v>10</v>
      </c>
      <c r="H54" t="s">
        <v>31</v>
      </c>
      <c r="I54" t="s">
        <v>26</v>
      </c>
      <c r="J54" t="s">
        <v>27</v>
      </c>
      <c r="K54" t="s">
        <v>34</v>
      </c>
      <c r="L54" t="s">
        <v>33</v>
      </c>
      <c r="M54" t="s">
        <v>31</v>
      </c>
      <c r="N54" t="s">
        <v>27</v>
      </c>
    </row>
    <row r="55" spans="1:15" x14ac:dyDescent="0.2">
      <c r="A55">
        <v>74</v>
      </c>
      <c r="B55" s="3">
        <v>10</v>
      </c>
      <c r="C55" s="3" t="s">
        <v>148</v>
      </c>
      <c r="D55">
        <v>1</v>
      </c>
      <c r="E55" s="12" t="s">
        <v>79</v>
      </c>
      <c r="F55" t="s">
        <v>285</v>
      </c>
      <c r="G55">
        <v>16</v>
      </c>
      <c r="H55" t="s">
        <v>52</v>
      </c>
      <c r="I55" t="s">
        <v>26</v>
      </c>
      <c r="J55" t="s">
        <v>27</v>
      </c>
      <c r="K55" t="s">
        <v>37</v>
      </c>
      <c r="L55" t="s">
        <v>33</v>
      </c>
      <c r="M55" t="s">
        <v>29</v>
      </c>
      <c r="N55" t="s">
        <v>27</v>
      </c>
    </row>
    <row r="56" spans="1:15" x14ac:dyDescent="0.2">
      <c r="A56">
        <v>283</v>
      </c>
      <c r="B56" s="3">
        <v>14</v>
      </c>
      <c r="C56" s="3" t="s">
        <v>230</v>
      </c>
      <c r="D56">
        <v>14</v>
      </c>
      <c r="E56" s="12" t="s">
        <v>94</v>
      </c>
      <c r="F56" t="s">
        <v>290</v>
      </c>
      <c r="G56">
        <v>24</v>
      </c>
      <c r="H56" t="s">
        <v>52</v>
      </c>
      <c r="I56" t="s">
        <v>26</v>
      </c>
      <c r="J56" t="s">
        <v>27</v>
      </c>
      <c r="K56" t="s">
        <v>37</v>
      </c>
      <c r="L56" t="s">
        <v>33</v>
      </c>
      <c r="M56" t="s">
        <v>29</v>
      </c>
      <c r="N56" t="s">
        <v>41</v>
      </c>
    </row>
    <row r="57" spans="1:15" x14ac:dyDescent="0.2">
      <c r="A57">
        <v>276</v>
      </c>
      <c r="B57" s="3">
        <v>14</v>
      </c>
      <c r="C57" s="3" t="s">
        <v>212</v>
      </c>
      <c r="D57">
        <v>7</v>
      </c>
      <c r="E57" s="12" t="s">
        <v>79</v>
      </c>
      <c r="F57" t="s">
        <v>285</v>
      </c>
      <c r="G57">
        <v>14</v>
      </c>
      <c r="H57" t="s">
        <v>52</v>
      </c>
      <c r="I57" t="s">
        <v>26</v>
      </c>
      <c r="J57" t="s">
        <v>27</v>
      </c>
      <c r="K57" t="s">
        <v>37</v>
      </c>
      <c r="L57" t="s">
        <v>33</v>
      </c>
      <c r="M57" t="s">
        <v>29</v>
      </c>
      <c r="N57" t="s">
        <v>27</v>
      </c>
    </row>
    <row r="58" spans="1:15" x14ac:dyDescent="0.2">
      <c r="A58">
        <v>284</v>
      </c>
      <c r="B58" s="3">
        <v>14</v>
      </c>
      <c r="C58" s="3" t="s">
        <v>231</v>
      </c>
      <c r="D58">
        <v>15</v>
      </c>
      <c r="E58" s="12" t="s">
        <v>94</v>
      </c>
      <c r="F58" t="s">
        <v>290</v>
      </c>
      <c r="G58">
        <v>24</v>
      </c>
      <c r="H58" t="s">
        <v>52</v>
      </c>
      <c r="I58" t="s">
        <v>26</v>
      </c>
      <c r="J58" t="s">
        <v>27</v>
      </c>
      <c r="K58" t="s">
        <v>37</v>
      </c>
      <c r="L58" t="s">
        <v>33</v>
      </c>
      <c r="M58" t="s">
        <v>29</v>
      </c>
      <c r="N58" t="s">
        <v>41</v>
      </c>
    </row>
    <row r="59" spans="1:15" x14ac:dyDescent="0.2">
      <c r="A59">
        <v>274</v>
      </c>
      <c r="B59" s="3">
        <v>14</v>
      </c>
      <c r="C59" s="3" t="s">
        <v>210</v>
      </c>
      <c r="D59">
        <v>5</v>
      </c>
      <c r="E59" s="12" t="s">
        <v>209</v>
      </c>
      <c r="F59" t="s">
        <v>275</v>
      </c>
      <c r="G59">
        <v>7</v>
      </c>
      <c r="H59" t="s">
        <v>52</v>
      </c>
      <c r="I59" t="s">
        <v>26</v>
      </c>
      <c r="J59" t="s">
        <v>27</v>
      </c>
      <c r="K59" t="s">
        <v>37</v>
      </c>
      <c r="L59" t="s">
        <v>33</v>
      </c>
      <c r="M59" t="s">
        <v>29</v>
      </c>
      <c r="N59" t="s">
        <v>27</v>
      </c>
    </row>
    <row r="60" spans="1:15" x14ac:dyDescent="0.2">
      <c r="A60">
        <v>277</v>
      </c>
      <c r="B60" s="3">
        <v>14</v>
      </c>
      <c r="C60" s="3" t="s">
        <v>213</v>
      </c>
      <c r="D60">
        <v>8</v>
      </c>
      <c r="E60" s="12" t="s">
        <v>79</v>
      </c>
      <c r="F60" t="s">
        <v>285</v>
      </c>
      <c r="G60">
        <v>14</v>
      </c>
      <c r="H60" t="s">
        <v>52</v>
      </c>
      <c r="I60" t="s">
        <v>26</v>
      </c>
      <c r="J60" t="s">
        <v>27</v>
      </c>
      <c r="K60" t="s">
        <v>37</v>
      </c>
      <c r="L60" t="s">
        <v>33</v>
      </c>
      <c r="M60" t="s">
        <v>29</v>
      </c>
      <c r="N60" t="s">
        <v>27</v>
      </c>
    </row>
    <row r="61" spans="1:15" x14ac:dyDescent="0.2">
      <c r="A61">
        <v>280</v>
      </c>
      <c r="B61" s="3">
        <v>14</v>
      </c>
      <c r="C61" s="3" t="s">
        <v>216</v>
      </c>
      <c r="D61">
        <v>11</v>
      </c>
      <c r="E61" s="12" t="s">
        <v>79</v>
      </c>
      <c r="F61" t="s">
        <v>285</v>
      </c>
      <c r="G61">
        <v>14</v>
      </c>
      <c r="H61" t="s">
        <v>52</v>
      </c>
      <c r="I61" t="s">
        <v>26</v>
      </c>
      <c r="J61" t="s">
        <v>27</v>
      </c>
      <c r="K61" t="s">
        <v>37</v>
      </c>
      <c r="L61" t="s">
        <v>33</v>
      </c>
      <c r="M61" t="s">
        <v>29</v>
      </c>
      <c r="N61" t="s">
        <v>27</v>
      </c>
    </row>
    <row r="62" spans="1:15" x14ac:dyDescent="0.2">
      <c r="A62">
        <v>278</v>
      </c>
      <c r="B62" s="3">
        <v>14</v>
      </c>
      <c r="C62" s="3" t="s">
        <v>214</v>
      </c>
      <c r="D62">
        <v>9</v>
      </c>
      <c r="E62" s="12" t="s">
        <v>79</v>
      </c>
      <c r="F62" t="s">
        <v>285</v>
      </c>
      <c r="G62">
        <v>14</v>
      </c>
      <c r="H62" t="s">
        <v>52</v>
      </c>
      <c r="I62" t="s">
        <v>26</v>
      </c>
      <c r="J62" t="s">
        <v>27</v>
      </c>
      <c r="K62" t="s">
        <v>37</v>
      </c>
      <c r="L62" t="s">
        <v>33</v>
      </c>
      <c r="M62" t="s">
        <v>29</v>
      </c>
      <c r="N62" t="s">
        <v>27</v>
      </c>
    </row>
    <row r="63" spans="1:15" x14ac:dyDescent="0.2">
      <c r="A63">
        <v>279</v>
      </c>
      <c r="B63" s="3">
        <v>14</v>
      </c>
      <c r="C63" s="3" t="s">
        <v>215</v>
      </c>
      <c r="D63">
        <v>10</v>
      </c>
      <c r="E63" s="12" t="s">
        <v>79</v>
      </c>
      <c r="F63" t="s">
        <v>285</v>
      </c>
      <c r="G63">
        <v>14</v>
      </c>
      <c r="H63" t="s">
        <v>52</v>
      </c>
      <c r="I63" t="s">
        <v>26</v>
      </c>
      <c r="J63" t="s">
        <v>27</v>
      </c>
      <c r="K63" t="s">
        <v>37</v>
      </c>
      <c r="L63" t="s">
        <v>33</v>
      </c>
      <c r="M63" t="s">
        <v>29</v>
      </c>
      <c r="N63" t="s">
        <v>27</v>
      </c>
    </row>
    <row r="64" spans="1:15" x14ac:dyDescent="0.2">
      <c r="A64">
        <v>282</v>
      </c>
      <c r="B64" s="3">
        <v>14</v>
      </c>
      <c r="C64" s="3" t="s">
        <v>229</v>
      </c>
      <c r="D64">
        <v>13</v>
      </c>
      <c r="E64" s="12" t="s">
        <v>94</v>
      </c>
      <c r="F64" t="s">
        <v>290</v>
      </c>
      <c r="G64">
        <v>24</v>
      </c>
      <c r="H64" t="s">
        <v>52</v>
      </c>
      <c r="I64" t="s">
        <v>26</v>
      </c>
      <c r="J64" t="s">
        <v>27</v>
      </c>
      <c r="K64" t="s">
        <v>37</v>
      </c>
      <c r="L64" t="s">
        <v>33</v>
      </c>
      <c r="M64" t="s">
        <v>29</v>
      </c>
      <c r="N64" t="s">
        <v>41</v>
      </c>
    </row>
    <row r="65" spans="1:14" x14ac:dyDescent="0.2">
      <c r="A65">
        <v>275</v>
      </c>
      <c r="B65" s="3">
        <v>14</v>
      </c>
      <c r="C65" s="3" t="s">
        <v>211</v>
      </c>
      <c r="D65">
        <v>6</v>
      </c>
      <c r="E65" s="12" t="s">
        <v>82</v>
      </c>
      <c r="F65" t="s">
        <v>284</v>
      </c>
      <c r="G65">
        <v>10</v>
      </c>
      <c r="H65" t="s">
        <v>52</v>
      </c>
      <c r="I65" t="s">
        <v>26</v>
      </c>
      <c r="J65" t="s">
        <v>27</v>
      </c>
      <c r="K65" t="s">
        <v>37</v>
      </c>
      <c r="L65" t="s">
        <v>33</v>
      </c>
      <c r="M65" t="s">
        <v>29</v>
      </c>
      <c r="N65" t="s">
        <v>27</v>
      </c>
    </row>
    <row r="66" spans="1:14" x14ac:dyDescent="0.2">
      <c r="A66">
        <v>202</v>
      </c>
      <c r="B66" s="3">
        <v>14</v>
      </c>
      <c r="C66" s="3" t="s">
        <v>78</v>
      </c>
      <c r="D66">
        <v>1</v>
      </c>
      <c r="E66" s="12" t="s">
        <v>82</v>
      </c>
      <c r="F66" t="s">
        <v>284</v>
      </c>
      <c r="G66">
        <v>14</v>
      </c>
      <c r="H66" t="s">
        <v>52</v>
      </c>
      <c r="I66" t="s">
        <v>26</v>
      </c>
      <c r="J66" t="s">
        <v>27</v>
      </c>
      <c r="K66" t="s">
        <v>37</v>
      </c>
      <c r="L66" t="s">
        <v>33</v>
      </c>
      <c r="M66" t="s">
        <v>29</v>
      </c>
      <c r="N66" t="s">
        <v>27</v>
      </c>
    </row>
    <row r="67" spans="1:14" x14ac:dyDescent="0.2">
      <c r="A67">
        <v>270</v>
      </c>
      <c r="B67" s="3">
        <v>14</v>
      </c>
      <c r="C67" s="3" t="s">
        <v>78</v>
      </c>
      <c r="D67">
        <v>2</v>
      </c>
      <c r="E67" s="12" t="s">
        <v>94</v>
      </c>
      <c r="F67" t="s">
        <v>290</v>
      </c>
      <c r="G67">
        <v>15</v>
      </c>
      <c r="H67" t="s">
        <v>31</v>
      </c>
      <c r="I67" t="s">
        <v>26</v>
      </c>
      <c r="J67" t="s">
        <v>27</v>
      </c>
      <c r="K67" t="s">
        <v>37</v>
      </c>
      <c r="L67" t="s">
        <v>33</v>
      </c>
      <c r="M67" t="s">
        <v>29</v>
      </c>
      <c r="N67" t="s">
        <v>27</v>
      </c>
    </row>
    <row r="68" spans="1:14" x14ac:dyDescent="0.2">
      <c r="A68">
        <v>271</v>
      </c>
      <c r="B68" s="3">
        <v>14</v>
      </c>
      <c r="C68" s="3" t="s">
        <v>78</v>
      </c>
      <c r="D68">
        <v>3</v>
      </c>
      <c r="E68" s="12" t="s">
        <v>45</v>
      </c>
      <c r="F68" t="s">
        <v>283</v>
      </c>
      <c r="G68">
        <v>3</v>
      </c>
      <c r="H68" t="s">
        <v>52</v>
      </c>
      <c r="I68" t="s">
        <v>26</v>
      </c>
      <c r="J68" t="s">
        <v>27</v>
      </c>
      <c r="K68" t="s">
        <v>37</v>
      </c>
      <c r="L68" t="s">
        <v>33</v>
      </c>
      <c r="M68" t="s">
        <v>29</v>
      </c>
      <c r="N68" t="s">
        <v>27</v>
      </c>
    </row>
    <row r="69" spans="1:14" x14ac:dyDescent="0.2">
      <c r="A69">
        <v>272</v>
      </c>
      <c r="B69" s="3">
        <v>14</v>
      </c>
      <c r="C69" s="3" t="s">
        <v>78</v>
      </c>
      <c r="D69">
        <v>4</v>
      </c>
      <c r="E69" s="12" t="s">
        <v>173</v>
      </c>
      <c r="F69" t="s">
        <v>270</v>
      </c>
      <c r="G69">
        <v>3</v>
      </c>
      <c r="H69" t="s">
        <v>52</v>
      </c>
      <c r="I69" t="s">
        <v>26</v>
      </c>
      <c r="J69" t="s">
        <v>27</v>
      </c>
      <c r="K69" t="s">
        <v>37</v>
      </c>
      <c r="L69" t="s">
        <v>33</v>
      </c>
      <c r="M69" t="s">
        <v>29</v>
      </c>
      <c r="N69" t="s">
        <v>27</v>
      </c>
    </row>
    <row r="70" spans="1:14" x14ac:dyDescent="0.2">
      <c r="A70">
        <v>273</v>
      </c>
      <c r="B70" s="3">
        <v>14</v>
      </c>
      <c r="C70" s="3" t="s">
        <v>78</v>
      </c>
      <c r="D70">
        <v>5</v>
      </c>
      <c r="E70" s="12" t="s">
        <v>186</v>
      </c>
      <c r="F70" t="s">
        <v>265</v>
      </c>
      <c r="G70">
        <v>8</v>
      </c>
      <c r="H70" t="s">
        <v>52</v>
      </c>
      <c r="I70" t="s">
        <v>26</v>
      </c>
      <c r="J70" t="s">
        <v>27</v>
      </c>
      <c r="K70" t="s">
        <v>37</v>
      </c>
      <c r="L70" t="s">
        <v>33</v>
      </c>
      <c r="M70" t="s">
        <v>29</v>
      </c>
      <c r="N70" t="s">
        <v>27</v>
      </c>
    </row>
    <row r="71" spans="1:14" x14ac:dyDescent="0.2">
      <c r="A71">
        <v>285</v>
      </c>
      <c r="B71" s="3">
        <v>14</v>
      </c>
      <c r="C71" s="3" t="s">
        <v>78</v>
      </c>
      <c r="D71">
        <v>6</v>
      </c>
      <c r="E71" s="12" t="s">
        <v>196</v>
      </c>
      <c r="F71" t="s">
        <v>277</v>
      </c>
      <c r="G71">
        <v>8</v>
      </c>
      <c r="H71" t="s">
        <v>31</v>
      </c>
      <c r="I71" t="s">
        <v>26</v>
      </c>
      <c r="J71" t="s">
        <v>27</v>
      </c>
      <c r="K71" t="s">
        <v>37</v>
      </c>
      <c r="L71" t="s">
        <v>33</v>
      </c>
      <c r="M71" t="s">
        <v>29</v>
      </c>
      <c r="N71" t="s">
        <v>27</v>
      </c>
    </row>
    <row r="72" spans="1:14" x14ac:dyDescent="0.2">
      <c r="A72">
        <v>286</v>
      </c>
      <c r="B72" s="3">
        <v>14</v>
      </c>
      <c r="C72" s="3" t="s">
        <v>78</v>
      </c>
      <c r="D72">
        <v>7</v>
      </c>
      <c r="E72" s="12" t="s">
        <v>196</v>
      </c>
      <c r="F72" t="s">
        <v>277</v>
      </c>
      <c r="G72">
        <v>8</v>
      </c>
      <c r="H72" t="s">
        <v>31</v>
      </c>
      <c r="I72" t="s">
        <v>26</v>
      </c>
      <c r="J72" t="s">
        <v>27</v>
      </c>
      <c r="K72" t="s">
        <v>37</v>
      </c>
      <c r="L72" t="s">
        <v>33</v>
      </c>
      <c r="M72" t="s">
        <v>29</v>
      </c>
      <c r="N72" t="s">
        <v>27</v>
      </c>
    </row>
    <row r="73" spans="1:14" x14ac:dyDescent="0.2">
      <c r="A73">
        <v>287</v>
      </c>
      <c r="B73" s="3">
        <v>14</v>
      </c>
      <c r="C73" s="3" t="s">
        <v>78</v>
      </c>
      <c r="D73">
        <v>8</v>
      </c>
      <c r="E73" s="12" t="s">
        <v>196</v>
      </c>
      <c r="F73" t="s">
        <v>277</v>
      </c>
      <c r="G73">
        <v>8</v>
      </c>
      <c r="H73" t="s">
        <v>31</v>
      </c>
      <c r="I73" t="s">
        <v>26</v>
      </c>
      <c r="J73" t="s">
        <v>27</v>
      </c>
      <c r="K73" t="s">
        <v>37</v>
      </c>
      <c r="L73" t="s">
        <v>33</v>
      </c>
      <c r="M73" t="s">
        <v>29</v>
      </c>
      <c r="N73" t="s">
        <v>27</v>
      </c>
    </row>
    <row r="74" spans="1:14" x14ac:dyDescent="0.2">
      <c r="A74">
        <v>288</v>
      </c>
      <c r="B74" s="3">
        <v>14</v>
      </c>
      <c r="C74" s="3" t="s">
        <v>78</v>
      </c>
      <c r="D74">
        <v>9</v>
      </c>
      <c r="E74" s="12" t="s">
        <v>152</v>
      </c>
      <c r="F74" t="s">
        <v>276</v>
      </c>
      <c r="G74">
        <v>8</v>
      </c>
      <c r="H74" t="s">
        <v>31</v>
      </c>
      <c r="I74" t="s">
        <v>26</v>
      </c>
      <c r="J74" t="s">
        <v>27</v>
      </c>
      <c r="K74" t="s">
        <v>37</v>
      </c>
      <c r="L74" t="s">
        <v>33</v>
      </c>
      <c r="M74" t="s">
        <v>29</v>
      </c>
      <c r="N74" t="s">
        <v>27</v>
      </c>
    </row>
    <row r="75" spans="1:14" x14ac:dyDescent="0.2">
      <c r="A75">
        <v>289</v>
      </c>
      <c r="B75" s="3">
        <v>14</v>
      </c>
      <c r="C75" s="3" t="s">
        <v>78</v>
      </c>
      <c r="D75">
        <v>10</v>
      </c>
      <c r="E75" s="12" t="s">
        <v>196</v>
      </c>
      <c r="F75" t="s">
        <v>277</v>
      </c>
      <c r="G75">
        <v>8</v>
      </c>
      <c r="H75" t="s">
        <v>31</v>
      </c>
      <c r="I75" t="s">
        <v>26</v>
      </c>
      <c r="J75" t="s">
        <v>27</v>
      </c>
      <c r="K75" t="s">
        <v>37</v>
      </c>
      <c r="L75" t="s">
        <v>33</v>
      </c>
      <c r="M75" t="s">
        <v>29</v>
      </c>
      <c r="N75" t="s">
        <v>27</v>
      </c>
    </row>
    <row r="76" spans="1:14" x14ac:dyDescent="0.2">
      <c r="A76">
        <v>290</v>
      </c>
      <c r="B76" s="3">
        <v>14</v>
      </c>
      <c r="C76" s="3" t="s">
        <v>78</v>
      </c>
      <c r="D76">
        <v>11</v>
      </c>
      <c r="E76" s="12" t="s">
        <v>196</v>
      </c>
      <c r="F76" t="s">
        <v>277</v>
      </c>
      <c r="G76">
        <v>8</v>
      </c>
      <c r="H76" t="s">
        <v>31</v>
      </c>
      <c r="I76" t="s">
        <v>26</v>
      </c>
      <c r="J76" t="s">
        <v>27</v>
      </c>
      <c r="K76" t="s">
        <v>37</v>
      </c>
      <c r="L76" t="s">
        <v>33</v>
      </c>
      <c r="M76" t="s">
        <v>29</v>
      </c>
      <c r="N76" t="s">
        <v>27</v>
      </c>
    </row>
    <row r="77" spans="1:14" x14ac:dyDescent="0.2">
      <c r="A77">
        <v>291</v>
      </c>
      <c r="B77" s="3">
        <v>14</v>
      </c>
      <c r="C77" s="3" t="s">
        <v>78</v>
      </c>
      <c r="D77">
        <v>12</v>
      </c>
      <c r="E77" s="12" t="s">
        <v>196</v>
      </c>
      <c r="F77" t="s">
        <v>277</v>
      </c>
      <c r="G77">
        <v>8</v>
      </c>
      <c r="H77" t="s">
        <v>31</v>
      </c>
      <c r="I77" t="s">
        <v>26</v>
      </c>
      <c r="J77" t="s">
        <v>27</v>
      </c>
      <c r="K77" t="s">
        <v>37</v>
      </c>
      <c r="L77" t="s">
        <v>33</v>
      </c>
      <c r="M77" t="s">
        <v>29</v>
      </c>
      <c r="N77" t="s">
        <v>27</v>
      </c>
    </row>
    <row r="78" spans="1:14" x14ac:dyDescent="0.2">
      <c r="A78">
        <v>189</v>
      </c>
      <c r="B78" s="3">
        <v>15</v>
      </c>
      <c r="C78" s="3" t="s">
        <v>78</v>
      </c>
      <c r="D78">
        <v>1</v>
      </c>
      <c r="E78" s="12" t="s">
        <v>201</v>
      </c>
      <c r="F78" t="s">
        <v>288</v>
      </c>
      <c r="G78">
        <v>18</v>
      </c>
      <c r="H78" t="s">
        <v>52</v>
      </c>
      <c r="I78" t="s">
        <v>26</v>
      </c>
      <c r="J78" t="s">
        <v>27</v>
      </c>
      <c r="K78" t="s">
        <v>37</v>
      </c>
      <c r="L78" t="s">
        <v>33</v>
      </c>
      <c r="M78" t="s">
        <v>29</v>
      </c>
      <c r="N78" t="s">
        <v>27</v>
      </c>
    </row>
    <row r="79" spans="1:14" x14ac:dyDescent="0.2">
      <c r="A79">
        <v>190</v>
      </c>
      <c r="B79" s="3">
        <v>15</v>
      </c>
      <c r="C79" s="3" t="s">
        <v>78</v>
      </c>
      <c r="D79">
        <v>2</v>
      </c>
      <c r="E79" s="12" t="s">
        <v>201</v>
      </c>
      <c r="F79" t="s">
        <v>288</v>
      </c>
      <c r="G79">
        <v>18</v>
      </c>
      <c r="H79" t="s">
        <v>52</v>
      </c>
      <c r="I79" t="s">
        <v>26</v>
      </c>
      <c r="J79" t="s">
        <v>27</v>
      </c>
      <c r="K79" t="s">
        <v>37</v>
      </c>
      <c r="L79" t="s">
        <v>33</v>
      </c>
      <c r="M79" t="s">
        <v>29</v>
      </c>
      <c r="N79" t="s">
        <v>27</v>
      </c>
    </row>
    <row r="80" spans="1:14" x14ac:dyDescent="0.2">
      <c r="A80">
        <v>191</v>
      </c>
      <c r="B80" s="3">
        <v>15</v>
      </c>
      <c r="C80" s="3" t="s">
        <v>78</v>
      </c>
      <c r="D80">
        <v>3</v>
      </c>
      <c r="E80" s="12" t="s">
        <v>173</v>
      </c>
      <c r="F80" t="s">
        <v>270</v>
      </c>
      <c r="G80">
        <v>18</v>
      </c>
      <c r="H80" t="s">
        <v>52</v>
      </c>
      <c r="I80" t="s">
        <v>26</v>
      </c>
      <c r="J80" t="s">
        <v>27</v>
      </c>
      <c r="K80" t="s">
        <v>37</v>
      </c>
      <c r="L80" t="s">
        <v>33</v>
      </c>
      <c r="M80" t="s">
        <v>29</v>
      </c>
      <c r="N80" t="s">
        <v>27</v>
      </c>
    </row>
    <row r="81" spans="1:15" x14ac:dyDescent="0.2">
      <c r="A81">
        <v>192</v>
      </c>
      <c r="B81" s="3">
        <v>15</v>
      </c>
      <c r="C81" s="3" t="s">
        <v>78</v>
      </c>
      <c r="D81">
        <v>4</v>
      </c>
      <c r="E81" s="12" t="s">
        <v>201</v>
      </c>
      <c r="F81" t="s">
        <v>288</v>
      </c>
      <c r="G81">
        <v>24</v>
      </c>
      <c r="H81" t="s">
        <v>52</v>
      </c>
      <c r="I81" t="s">
        <v>26</v>
      </c>
      <c r="J81" t="s">
        <v>27</v>
      </c>
      <c r="K81" t="s">
        <v>37</v>
      </c>
      <c r="L81" t="s">
        <v>33</v>
      </c>
      <c r="M81" t="s">
        <v>29</v>
      </c>
      <c r="N81" t="s">
        <v>27</v>
      </c>
    </row>
    <row r="82" spans="1:15" x14ac:dyDescent="0.2">
      <c r="A82">
        <v>193</v>
      </c>
      <c r="B82" s="3">
        <v>15</v>
      </c>
      <c r="C82" s="3" t="s">
        <v>78</v>
      </c>
      <c r="D82">
        <v>5</v>
      </c>
      <c r="E82" s="12" t="s">
        <v>201</v>
      </c>
      <c r="F82" t="s">
        <v>288</v>
      </c>
      <c r="G82">
        <v>8</v>
      </c>
      <c r="H82" t="s">
        <v>52</v>
      </c>
      <c r="I82" t="s">
        <v>26</v>
      </c>
      <c r="J82" t="s">
        <v>27</v>
      </c>
      <c r="K82" t="s">
        <v>37</v>
      </c>
      <c r="L82" t="s">
        <v>33</v>
      </c>
      <c r="M82" t="s">
        <v>29</v>
      </c>
      <c r="N82" t="s">
        <v>27</v>
      </c>
    </row>
    <row r="83" spans="1:15" x14ac:dyDescent="0.2">
      <c r="A83">
        <v>183</v>
      </c>
      <c r="B83" s="3">
        <v>16</v>
      </c>
      <c r="C83" s="3" t="s">
        <v>239</v>
      </c>
      <c r="D83">
        <v>1</v>
      </c>
      <c r="E83" s="12" t="s">
        <v>75</v>
      </c>
      <c r="F83" t="s">
        <v>297</v>
      </c>
      <c r="G83">
        <v>45</v>
      </c>
      <c r="H83" t="s">
        <v>52</v>
      </c>
      <c r="I83" t="s">
        <v>26</v>
      </c>
      <c r="J83" t="s">
        <v>27</v>
      </c>
      <c r="K83" t="s">
        <v>37</v>
      </c>
      <c r="L83" t="s">
        <v>33</v>
      </c>
      <c r="M83" t="s">
        <v>29</v>
      </c>
      <c r="N83" t="s">
        <v>27</v>
      </c>
    </row>
    <row r="84" spans="1:15" x14ac:dyDescent="0.2">
      <c r="A84">
        <v>184</v>
      </c>
      <c r="B84" s="3">
        <v>16</v>
      </c>
      <c r="C84" s="3" t="s">
        <v>240</v>
      </c>
      <c r="D84">
        <v>2</v>
      </c>
      <c r="E84" s="12" t="s">
        <v>56</v>
      </c>
      <c r="F84" t="s">
        <v>294</v>
      </c>
      <c r="G84">
        <v>36</v>
      </c>
      <c r="H84" t="s">
        <v>31</v>
      </c>
      <c r="I84" t="s">
        <v>26</v>
      </c>
      <c r="J84" t="s">
        <v>27</v>
      </c>
      <c r="K84" t="s">
        <v>37</v>
      </c>
      <c r="L84" t="s">
        <v>33</v>
      </c>
      <c r="M84" t="s">
        <v>29</v>
      </c>
      <c r="N84" t="s">
        <v>27</v>
      </c>
    </row>
    <row r="85" spans="1:15" x14ac:dyDescent="0.2">
      <c r="A85">
        <v>194</v>
      </c>
      <c r="B85" s="3">
        <v>19</v>
      </c>
      <c r="C85" s="3" t="s">
        <v>78</v>
      </c>
      <c r="D85">
        <v>1</v>
      </c>
      <c r="E85" s="12" t="s">
        <v>82</v>
      </c>
      <c r="F85" t="s">
        <v>284</v>
      </c>
      <c r="G85">
        <v>6</v>
      </c>
      <c r="H85" t="s">
        <v>31</v>
      </c>
      <c r="I85" t="s">
        <v>26</v>
      </c>
      <c r="J85" t="s">
        <v>27</v>
      </c>
      <c r="K85" t="s">
        <v>37</v>
      </c>
      <c r="L85" t="s">
        <v>33</v>
      </c>
      <c r="M85" t="s">
        <v>31</v>
      </c>
      <c r="N85" t="s">
        <v>27</v>
      </c>
    </row>
    <row r="86" spans="1:15" x14ac:dyDescent="0.2">
      <c r="A86">
        <v>195</v>
      </c>
      <c r="B86" s="3">
        <v>19</v>
      </c>
      <c r="C86" s="3" t="s">
        <v>78</v>
      </c>
      <c r="D86">
        <v>2</v>
      </c>
      <c r="E86" s="12" t="s">
        <v>233</v>
      </c>
      <c r="F86" t="s">
        <v>264</v>
      </c>
      <c r="G86">
        <v>16</v>
      </c>
      <c r="H86" t="s">
        <v>31</v>
      </c>
      <c r="I86" t="s">
        <v>26</v>
      </c>
      <c r="J86" t="s">
        <v>27</v>
      </c>
      <c r="K86" t="s">
        <v>37</v>
      </c>
      <c r="L86" t="s">
        <v>33</v>
      </c>
      <c r="M86" t="s">
        <v>31</v>
      </c>
      <c r="N86" t="s">
        <v>27</v>
      </c>
    </row>
    <row r="87" spans="1:15" x14ac:dyDescent="0.2">
      <c r="A87">
        <v>196</v>
      </c>
      <c r="B87" s="3">
        <v>19</v>
      </c>
      <c r="C87" s="3" t="s">
        <v>78</v>
      </c>
      <c r="D87">
        <v>3</v>
      </c>
      <c r="E87" s="12" t="s">
        <v>39</v>
      </c>
      <c r="F87" t="s">
        <v>62</v>
      </c>
      <c r="G87">
        <v>8</v>
      </c>
      <c r="H87" t="s">
        <v>52</v>
      </c>
      <c r="I87" t="s">
        <v>26</v>
      </c>
      <c r="J87" t="s">
        <v>27</v>
      </c>
      <c r="K87" t="s">
        <v>37</v>
      </c>
      <c r="L87" t="s">
        <v>33</v>
      </c>
      <c r="M87" t="s">
        <v>29</v>
      </c>
      <c r="N87" t="s">
        <v>27</v>
      </c>
    </row>
    <row r="88" spans="1:15" x14ac:dyDescent="0.2">
      <c r="A88">
        <v>198</v>
      </c>
      <c r="B88" s="3">
        <v>19</v>
      </c>
      <c r="C88" s="3" t="s">
        <v>78</v>
      </c>
      <c r="D88">
        <v>5</v>
      </c>
      <c r="E88" s="12" t="s">
        <v>233</v>
      </c>
      <c r="F88" t="s">
        <v>264</v>
      </c>
      <c r="G88">
        <v>12</v>
      </c>
      <c r="H88" t="s">
        <v>31</v>
      </c>
      <c r="I88" t="s">
        <v>26</v>
      </c>
      <c r="J88" t="s">
        <v>27</v>
      </c>
      <c r="K88" t="s">
        <v>37</v>
      </c>
      <c r="L88" t="s">
        <v>33</v>
      </c>
      <c r="M88" t="s">
        <v>29</v>
      </c>
      <c r="N88" t="s">
        <v>27</v>
      </c>
    </row>
    <row r="89" spans="1:15" x14ac:dyDescent="0.2">
      <c r="A89">
        <v>199</v>
      </c>
      <c r="B89" s="3">
        <v>19</v>
      </c>
      <c r="C89" s="3" t="s">
        <v>78</v>
      </c>
      <c r="D89">
        <v>6</v>
      </c>
      <c r="E89" s="12" t="s">
        <v>94</v>
      </c>
      <c r="F89" t="s">
        <v>290</v>
      </c>
      <c r="G89">
        <v>28</v>
      </c>
      <c r="H89" t="s">
        <v>52</v>
      </c>
      <c r="I89" t="s">
        <v>26</v>
      </c>
      <c r="J89" t="s">
        <v>27</v>
      </c>
      <c r="K89" t="s">
        <v>37</v>
      </c>
      <c r="L89" t="s">
        <v>33</v>
      </c>
      <c r="M89" t="s">
        <v>29</v>
      </c>
      <c r="N89" t="s">
        <v>27</v>
      </c>
      <c r="O89" t="s">
        <v>36</v>
      </c>
    </row>
    <row r="90" spans="1:15" x14ac:dyDescent="0.2">
      <c r="A90">
        <v>187</v>
      </c>
      <c r="B90" s="3">
        <v>20</v>
      </c>
      <c r="C90" s="3" t="s">
        <v>243</v>
      </c>
      <c r="D90">
        <v>3</v>
      </c>
      <c r="E90" s="12" t="s">
        <v>94</v>
      </c>
      <c r="F90" t="s">
        <v>290</v>
      </c>
      <c r="G90">
        <v>20</v>
      </c>
      <c r="H90" t="s">
        <v>31</v>
      </c>
      <c r="I90" t="s">
        <v>26</v>
      </c>
      <c r="J90" t="s">
        <v>27</v>
      </c>
      <c r="K90" t="s">
        <v>37</v>
      </c>
      <c r="L90" t="s">
        <v>33</v>
      </c>
      <c r="M90" t="s">
        <v>29</v>
      </c>
      <c r="N90" t="s">
        <v>27</v>
      </c>
    </row>
    <row r="91" spans="1:15" x14ac:dyDescent="0.2">
      <c r="A91">
        <v>186</v>
      </c>
      <c r="B91" s="3">
        <v>20</v>
      </c>
      <c r="C91" s="3" t="s">
        <v>242</v>
      </c>
      <c r="D91">
        <v>2</v>
      </c>
      <c r="E91" s="12" t="s">
        <v>186</v>
      </c>
      <c r="F91" t="s">
        <v>265</v>
      </c>
      <c r="G91">
        <v>8</v>
      </c>
      <c r="H91" t="s">
        <v>52</v>
      </c>
      <c r="I91" t="s">
        <v>26</v>
      </c>
      <c r="J91" t="s">
        <v>27</v>
      </c>
      <c r="K91" t="s">
        <v>34</v>
      </c>
      <c r="L91" t="s">
        <v>33</v>
      </c>
      <c r="M91" t="s">
        <v>29</v>
      </c>
      <c r="N91" t="s">
        <v>27</v>
      </c>
    </row>
    <row r="92" spans="1:15" x14ac:dyDescent="0.2">
      <c r="A92">
        <v>37</v>
      </c>
      <c r="B92" s="3">
        <v>21</v>
      </c>
      <c r="C92" s="3">
        <v>2</v>
      </c>
      <c r="D92">
        <v>36</v>
      </c>
      <c r="E92" s="12" t="s">
        <v>82</v>
      </c>
      <c r="F92" t="s">
        <v>284</v>
      </c>
      <c r="G92">
        <v>9</v>
      </c>
      <c r="H92" t="s">
        <v>52</v>
      </c>
      <c r="I92" t="s">
        <v>26</v>
      </c>
      <c r="J92" t="s">
        <v>27</v>
      </c>
      <c r="K92" t="s">
        <v>37</v>
      </c>
      <c r="L92" t="s">
        <v>33</v>
      </c>
      <c r="M92" t="s">
        <v>25</v>
      </c>
      <c r="N92" t="s">
        <v>27</v>
      </c>
    </row>
    <row r="93" spans="1:15" x14ac:dyDescent="0.2">
      <c r="A93">
        <v>35</v>
      </c>
      <c r="B93" s="3">
        <v>21</v>
      </c>
      <c r="C93" s="3">
        <v>7</v>
      </c>
      <c r="D93">
        <v>34</v>
      </c>
      <c r="E93" s="12" t="s">
        <v>79</v>
      </c>
      <c r="F93" t="s">
        <v>285</v>
      </c>
      <c r="G93">
        <v>10</v>
      </c>
      <c r="H93" t="s">
        <v>31</v>
      </c>
      <c r="I93" t="s">
        <v>26</v>
      </c>
      <c r="J93" t="s">
        <v>27</v>
      </c>
      <c r="K93" t="s">
        <v>37</v>
      </c>
      <c r="L93" t="s">
        <v>33</v>
      </c>
      <c r="M93" t="s">
        <v>29</v>
      </c>
      <c r="N93" t="s">
        <v>27</v>
      </c>
    </row>
    <row r="94" spans="1:15" x14ac:dyDescent="0.2">
      <c r="A94">
        <v>40</v>
      </c>
      <c r="B94" s="3">
        <v>21</v>
      </c>
      <c r="C94" s="3">
        <v>294</v>
      </c>
      <c r="D94">
        <v>39</v>
      </c>
      <c r="E94" s="12" t="s">
        <v>114</v>
      </c>
      <c r="F94" t="s">
        <v>268</v>
      </c>
      <c r="G94">
        <v>3</v>
      </c>
      <c r="H94" t="s">
        <v>31</v>
      </c>
      <c r="I94" t="s">
        <v>26</v>
      </c>
      <c r="J94" t="s">
        <v>27</v>
      </c>
      <c r="K94" t="s">
        <v>37</v>
      </c>
      <c r="L94" t="s">
        <v>33</v>
      </c>
      <c r="M94" t="s">
        <v>31</v>
      </c>
      <c r="N94" t="s">
        <v>27</v>
      </c>
    </row>
    <row r="95" spans="1:15" x14ac:dyDescent="0.2">
      <c r="A95">
        <v>41</v>
      </c>
      <c r="B95" s="3">
        <v>21</v>
      </c>
      <c r="C95" s="3">
        <v>350</v>
      </c>
      <c r="D95">
        <v>40</v>
      </c>
      <c r="E95" s="12" t="s">
        <v>86</v>
      </c>
      <c r="F95" t="s">
        <v>86</v>
      </c>
      <c r="G95">
        <v>2</v>
      </c>
      <c r="H95" t="s">
        <v>31</v>
      </c>
      <c r="I95" t="s">
        <v>26</v>
      </c>
      <c r="J95" t="s">
        <v>27</v>
      </c>
      <c r="K95" t="s">
        <v>37</v>
      </c>
      <c r="L95" t="s">
        <v>33</v>
      </c>
      <c r="M95" t="s">
        <v>25</v>
      </c>
      <c r="N95" t="s">
        <v>27</v>
      </c>
      <c r="O95" t="s">
        <v>115</v>
      </c>
    </row>
    <row r="96" spans="1:15" x14ac:dyDescent="0.2">
      <c r="A96">
        <v>44</v>
      </c>
      <c r="B96" s="3">
        <v>21</v>
      </c>
      <c r="C96" s="3">
        <v>824</v>
      </c>
      <c r="D96">
        <v>43</v>
      </c>
      <c r="E96" s="12" t="s">
        <v>114</v>
      </c>
      <c r="F96" t="s">
        <v>268</v>
      </c>
      <c r="G96">
        <v>4</v>
      </c>
      <c r="H96" t="s">
        <v>25</v>
      </c>
      <c r="I96" t="s">
        <v>26</v>
      </c>
      <c r="J96" t="s">
        <v>27</v>
      </c>
      <c r="K96" t="s">
        <v>37</v>
      </c>
      <c r="L96" t="s">
        <v>33</v>
      </c>
      <c r="M96" t="s">
        <v>31</v>
      </c>
      <c r="N96" t="s">
        <v>27</v>
      </c>
      <c r="O96" t="s">
        <v>118</v>
      </c>
    </row>
    <row r="97" spans="1:15" x14ac:dyDescent="0.2">
      <c r="A97">
        <v>46</v>
      </c>
      <c r="B97" s="3">
        <v>21</v>
      </c>
      <c r="C97" s="3">
        <v>1060</v>
      </c>
      <c r="D97">
        <v>45</v>
      </c>
      <c r="E97" s="12" t="s">
        <v>114</v>
      </c>
      <c r="F97" t="s">
        <v>268</v>
      </c>
      <c r="G97">
        <v>5</v>
      </c>
      <c r="H97" t="s">
        <v>31</v>
      </c>
      <c r="I97" t="s">
        <v>26</v>
      </c>
      <c r="J97" t="s">
        <v>27</v>
      </c>
      <c r="K97" t="s">
        <v>34</v>
      </c>
      <c r="L97" t="s">
        <v>33</v>
      </c>
      <c r="M97" t="s">
        <v>31</v>
      </c>
      <c r="N97" t="s">
        <v>27</v>
      </c>
    </row>
    <row r="98" spans="1:15" x14ac:dyDescent="0.2">
      <c r="A98">
        <v>47</v>
      </c>
      <c r="B98" s="3">
        <v>21</v>
      </c>
      <c r="C98" s="3">
        <v>1301</v>
      </c>
      <c r="D98">
        <v>46</v>
      </c>
      <c r="E98" s="12" t="s">
        <v>119</v>
      </c>
      <c r="F98" t="s">
        <v>286</v>
      </c>
      <c r="G98">
        <v>3</v>
      </c>
      <c r="H98" t="s">
        <v>31</v>
      </c>
      <c r="I98" t="s">
        <v>26</v>
      </c>
      <c r="J98" t="s">
        <v>27</v>
      </c>
      <c r="K98" t="s">
        <v>37</v>
      </c>
      <c r="L98" t="s">
        <v>33</v>
      </c>
      <c r="M98" t="s">
        <v>31</v>
      </c>
      <c r="N98" t="s">
        <v>27</v>
      </c>
    </row>
    <row r="99" spans="1:15" x14ac:dyDescent="0.2">
      <c r="A99">
        <v>48</v>
      </c>
      <c r="B99" s="3">
        <v>21</v>
      </c>
      <c r="C99" s="3">
        <v>1425</v>
      </c>
      <c r="D99">
        <v>47</v>
      </c>
      <c r="E99" s="12" t="s">
        <v>82</v>
      </c>
      <c r="F99" t="s">
        <v>284</v>
      </c>
      <c r="G99">
        <v>2</v>
      </c>
      <c r="H99" t="s">
        <v>52</v>
      </c>
      <c r="I99" t="s">
        <v>26</v>
      </c>
      <c r="J99" t="s">
        <v>27</v>
      </c>
      <c r="K99" t="s">
        <v>37</v>
      </c>
      <c r="L99" t="s">
        <v>33</v>
      </c>
      <c r="M99" t="s">
        <v>25</v>
      </c>
      <c r="N99" t="s">
        <v>27</v>
      </c>
    </row>
    <row r="100" spans="1:15" x14ac:dyDescent="0.2">
      <c r="A100">
        <v>18</v>
      </c>
      <c r="B100" s="3">
        <v>21</v>
      </c>
      <c r="C100" s="3" t="s">
        <v>102</v>
      </c>
      <c r="D100">
        <v>17</v>
      </c>
      <c r="E100" s="12" t="s">
        <v>79</v>
      </c>
      <c r="F100" t="s">
        <v>285</v>
      </c>
      <c r="G100">
        <v>8</v>
      </c>
      <c r="H100" t="s">
        <v>31</v>
      </c>
      <c r="I100" t="s">
        <v>26</v>
      </c>
      <c r="J100" t="s">
        <v>27</v>
      </c>
      <c r="K100" t="s">
        <v>37</v>
      </c>
      <c r="L100" t="s">
        <v>33</v>
      </c>
      <c r="M100" t="s">
        <v>31</v>
      </c>
      <c r="N100" t="s">
        <v>27</v>
      </c>
    </row>
    <row r="101" spans="1:15" x14ac:dyDescent="0.2">
      <c r="A101">
        <v>10</v>
      </c>
      <c r="B101" s="3">
        <v>21</v>
      </c>
      <c r="C101" s="3" t="s">
        <v>46</v>
      </c>
      <c r="D101">
        <v>8</v>
      </c>
      <c r="E101" s="12" t="s">
        <v>79</v>
      </c>
      <c r="F101" t="s">
        <v>285</v>
      </c>
      <c r="G101">
        <v>8</v>
      </c>
      <c r="H101" t="s">
        <v>31</v>
      </c>
      <c r="I101" t="s">
        <v>26</v>
      </c>
      <c r="J101" t="s">
        <v>27</v>
      </c>
      <c r="K101" t="s">
        <v>37</v>
      </c>
      <c r="L101" t="s">
        <v>33</v>
      </c>
      <c r="M101" t="s">
        <v>31</v>
      </c>
      <c r="N101" t="s">
        <v>27</v>
      </c>
    </row>
    <row r="102" spans="1:15" x14ac:dyDescent="0.2">
      <c r="A102">
        <v>16</v>
      </c>
      <c r="B102" s="3">
        <v>21</v>
      </c>
      <c r="C102" s="3" t="s">
        <v>46</v>
      </c>
      <c r="D102">
        <v>15</v>
      </c>
      <c r="E102" s="12" t="s">
        <v>79</v>
      </c>
      <c r="F102" t="s">
        <v>285</v>
      </c>
      <c r="G102">
        <v>8</v>
      </c>
      <c r="H102" t="s">
        <v>31</v>
      </c>
      <c r="I102" t="s">
        <v>26</v>
      </c>
      <c r="J102" t="s">
        <v>27</v>
      </c>
      <c r="K102" t="s">
        <v>37</v>
      </c>
      <c r="L102" t="s">
        <v>33</v>
      </c>
      <c r="M102" t="s">
        <v>31</v>
      </c>
      <c r="N102" t="s">
        <v>27</v>
      </c>
    </row>
    <row r="103" spans="1:15" x14ac:dyDescent="0.2">
      <c r="A103">
        <v>13</v>
      </c>
      <c r="B103" s="3">
        <v>21</v>
      </c>
      <c r="C103" s="3" t="s">
        <v>98</v>
      </c>
      <c r="D103">
        <v>10</v>
      </c>
      <c r="E103" s="12" t="s">
        <v>79</v>
      </c>
      <c r="F103" t="s">
        <v>285</v>
      </c>
      <c r="G103">
        <v>8</v>
      </c>
      <c r="H103" t="s">
        <v>31</v>
      </c>
      <c r="I103" t="s">
        <v>26</v>
      </c>
      <c r="J103" t="s">
        <v>97</v>
      </c>
      <c r="K103" t="s">
        <v>37</v>
      </c>
      <c r="L103" t="s">
        <v>33</v>
      </c>
      <c r="M103" t="s">
        <v>31</v>
      </c>
      <c r="N103" t="s">
        <v>27</v>
      </c>
    </row>
    <row r="104" spans="1:15" x14ac:dyDescent="0.2">
      <c r="A104">
        <v>8</v>
      </c>
      <c r="B104" s="3">
        <v>21</v>
      </c>
      <c r="C104" s="3" t="s">
        <v>92</v>
      </c>
      <c r="D104">
        <v>7</v>
      </c>
      <c r="E104" s="12" t="s">
        <v>91</v>
      </c>
      <c r="F104" t="s">
        <v>261</v>
      </c>
      <c r="G104">
        <v>2</v>
      </c>
      <c r="H104" t="s">
        <v>25</v>
      </c>
      <c r="I104" t="s">
        <v>26</v>
      </c>
      <c r="J104" t="s">
        <v>27</v>
      </c>
      <c r="K104" t="s">
        <v>37</v>
      </c>
      <c r="L104" t="s">
        <v>33</v>
      </c>
      <c r="M104" t="s">
        <v>31</v>
      </c>
      <c r="N104" t="s">
        <v>27</v>
      </c>
    </row>
    <row r="105" spans="1:15" x14ac:dyDescent="0.2">
      <c r="A105">
        <v>12</v>
      </c>
      <c r="B105" s="3">
        <v>21</v>
      </c>
      <c r="C105" s="3" t="s">
        <v>96</v>
      </c>
      <c r="D105">
        <v>9</v>
      </c>
      <c r="E105" s="12" t="s">
        <v>94</v>
      </c>
      <c r="F105" t="s">
        <v>290</v>
      </c>
      <c r="G105">
        <v>9</v>
      </c>
      <c r="H105" t="s">
        <v>31</v>
      </c>
      <c r="I105" t="s">
        <v>26</v>
      </c>
      <c r="J105" t="s">
        <v>27</v>
      </c>
      <c r="K105" t="s">
        <v>37</v>
      </c>
      <c r="L105" t="s">
        <v>33</v>
      </c>
      <c r="M105" t="s">
        <v>31</v>
      </c>
      <c r="N105" t="s">
        <v>27</v>
      </c>
      <c r="O105" t="s">
        <v>49</v>
      </c>
    </row>
    <row r="106" spans="1:15" x14ac:dyDescent="0.2">
      <c r="A106">
        <v>22</v>
      </c>
      <c r="B106" s="3">
        <v>21</v>
      </c>
      <c r="C106" s="3" t="s">
        <v>105</v>
      </c>
      <c r="D106">
        <v>21</v>
      </c>
      <c r="E106" s="12" t="s">
        <v>107</v>
      </c>
      <c r="F106" t="s">
        <v>262</v>
      </c>
      <c r="G106">
        <v>3</v>
      </c>
      <c r="H106" t="s">
        <v>52</v>
      </c>
      <c r="I106" t="s">
        <v>26</v>
      </c>
      <c r="J106" t="s">
        <v>27</v>
      </c>
      <c r="K106" t="s">
        <v>34</v>
      </c>
      <c r="L106" t="s">
        <v>33</v>
      </c>
      <c r="M106" t="s">
        <v>31</v>
      </c>
      <c r="N106" t="s">
        <v>27</v>
      </c>
      <c r="O106" t="s">
        <v>106</v>
      </c>
    </row>
    <row r="107" spans="1:15" x14ac:dyDescent="0.2">
      <c r="A107">
        <v>15</v>
      </c>
      <c r="B107" s="3">
        <v>21</v>
      </c>
      <c r="C107" s="3" t="s">
        <v>100</v>
      </c>
      <c r="D107">
        <v>12</v>
      </c>
      <c r="E107" s="12" t="s">
        <v>79</v>
      </c>
      <c r="F107" t="s">
        <v>285</v>
      </c>
      <c r="G107">
        <v>8</v>
      </c>
      <c r="H107" t="s">
        <v>31</v>
      </c>
      <c r="I107" t="s">
        <v>26</v>
      </c>
      <c r="J107" t="s">
        <v>27</v>
      </c>
      <c r="K107" t="s">
        <v>37</v>
      </c>
      <c r="L107" t="s">
        <v>33</v>
      </c>
      <c r="M107" t="s">
        <v>31</v>
      </c>
      <c r="N107" t="s">
        <v>27</v>
      </c>
    </row>
    <row r="108" spans="1:15" x14ac:dyDescent="0.2">
      <c r="A108">
        <v>17</v>
      </c>
      <c r="B108" s="3">
        <v>21</v>
      </c>
      <c r="C108" s="3" t="s">
        <v>101</v>
      </c>
      <c r="D108">
        <v>16</v>
      </c>
      <c r="E108" s="12" t="s">
        <v>79</v>
      </c>
      <c r="F108" t="s">
        <v>285</v>
      </c>
      <c r="G108">
        <v>8</v>
      </c>
      <c r="H108" t="s">
        <v>31</v>
      </c>
      <c r="I108" t="s">
        <v>26</v>
      </c>
      <c r="J108" t="s">
        <v>27</v>
      </c>
      <c r="K108" t="s">
        <v>37</v>
      </c>
      <c r="L108" t="s">
        <v>33</v>
      </c>
      <c r="M108" t="s">
        <v>31</v>
      </c>
      <c r="N108" t="s">
        <v>27</v>
      </c>
    </row>
    <row r="109" spans="1:15" x14ac:dyDescent="0.2">
      <c r="A109">
        <v>9</v>
      </c>
      <c r="B109" s="3">
        <v>21</v>
      </c>
      <c r="C109" s="3" t="s">
        <v>93</v>
      </c>
      <c r="D109">
        <v>8</v>
      </c>
      <c r="E109" s="12" t="s">
        <v>79</v>
      </c>
      <c r="F109" t="s">
        <v>285</v>
      </c>
      <c r="G109">
        <v>8</v>
      </c>
      <c r="H109" t="s">
        <v>31</v>
      </c>
      <c r="I109" t="s">
        <v>26</v>
      </c>
      <c r="J109" t="s">
        <v>27</v>
      </c>
      <c r="K109" t="s">
        <v>37</v>
      </c>
      <c r="L109" t="s">
        <v>33</v>
      </c>
      <c r="M109" t="s">
        <v>31</v>
      </c>
      <c r="N109" t="s">
        <v>27</v>
      </c>
    </row>
    <row r="110" spans="1:15" x14ac:dyDescent="0.2">
      <c r="A110">
        <v>25</v>
      </c>
      <c r="B110" s="3">
        <v>21</v>
      </c>
      <c r="C110" s="3" t="s">
        <v>110</v>
      </c>
      <c r="D110">
        <v>24</v>
      </c>
      <c r="E110" s="12" t="s">
        <v>107</v>
      </c>
      <c r="F110" t="s">
        <v>262</v>
      </c>
      <c r="G110">
        <v>5</v>
      </c>
      <c r="H110" t="s">
        <v>52</v>
      </c>
      <c r="I110" t="s">
        <v>26</v>
      </c>
      <c r="J110" t="s">
        <v>27</v>
      </c>
      <c r="K110" t="s">
        <v>37</v>
      </c>
      <c r="L110" t="s">
        <v>33</v>
      </c>
      <c r="M110" t="s">
        <v>31</v>
      </c>
      <c r="N110" t="s">
        <v>27</v>
      </c>
    </row>
    <row r="111" spans="1:15" x14ac:dyDescent="0.2">
      <c r="A111">
        <v>19</v>
      </c>
      <c r="B111" s="3">
        <v>21</v>
      </c>
      <c r="C111" s="3" t="s">
        <v>104</v>
      </c>
      <c r="D111">
        <v>18</v>
      </c>
      <c r="E111" s="12" t="s">
        <v>79</v>
      </c>
      <c r="F111" t="s">
        <v>285</v>
      </c>
      <c r="G111">
        <v>8</v>
      </c>
      <c r="H111" t="s">
        <v>25</v>
      </c>
      <c r="I111" t="s">
        <v>26</v>
      </c>
      <c r="J111" t="s">
        <v>27</v>
      </c>
      <c r="K111" t="s">
        <v>37</v>
      </c>
      <c r="L111" t="s">
        <v>33</v>
      </c>
      <c r="M111" t="s">
        <v>31</v>
      </c>
      <c r="N111" t="s">
        <v>27</v>
      </c>
      <c r="O111" t="s">
        <v>103</v>
      </c>
    </row>
    <row r="112" spans="1:15" x14ac:dyDescent="0.2">
      <c r="A112">
        <v>11</v>
      </c>
      <c r="B112" s="3">
        <v>21</v>
      </c>
      <c r="C112" s="3" t="s">
        <v>95</v>
      </c>
      <c r="D112">
        <v>9</v>
      </c>
      <c r="E112" s="12" t="s">
        <v>94</v>
      </c>
      <c r="F112" t="s">
        <v>290</v>
      </c>
      <c r="G112">
        <v>20</v>
      </c>
      <c r="H112" t="s">
        <v>25</v>
      </c>
      <c r="I112" t="s">
        <v>26</v>
      </c>
      <c r="J112" t="s">
        <v>27</v>
      </c>
      <c r="K112" t="s">
        <v>37</v>
      </c>
      <c r="L112" t="s">
        <v>33</v>
      </c>
      <c r="M112" t="s">
        <v>31</v>
      </c>
      <c r="N112" t="s">
        <v>27</v>
      </c>
    </row>
    <row r="113" spans="1:15" x14ac:dyDescent="0.2">
      <c r="A113">
        <v>295</v>
      </c>
      <c r="B113" s="3">
        <v>22</v>
      </c>
      <c r="C113" s="3" t="s">
        <v>78</v>
      </c>
      <c r="D113">
        <v>16</v>
      </c>
      <c r="E113" s="12" t="s">
        <v>203</v>
      </c>
      <c r="F113" t="s">
        <v>291</v>
      </c>
      <c r="G113">
        <v>5</v>
      </c>
      <c r="H113" t="s">
        <v>52</v>
      </c>
      <c r="I113" t="s">
        <v>26</v>
      </c>
      <c r="J113" t="s">
        <v>27</v>
      </c>
      <c r="K113" t="s">
        <v>37</v>
      </c>
      <c r="L113" t="s">
        <v>33</v>
      </c>
      <c r="M113" t="s">
        <v>29</v>
      </c>
      <c r="N113" t="s">
        <v>27</v>
      </c>
    </row>
    <row r="114" spans="1:15" x14ac:dyDescent="0.2">
      <c r="A114">
        <v>297</v>
      </c>
      <c r="B114" s="3">
        <v>22</v>
      </c>
      <c r="C114" s="3" t="s">
        <v>78</v>
      </c>
      <c r="D114">
        <v>18</v>
      </c>
      <c r="E114" s="12" t="s">
        <v>235</v>
      </c>
      <c r="F114" t="s">
        <v>299</v>
      </c>
      <c r="G114">
        <v>5</v>
      </c>
      <c r="H114" t="s">
        <v>52</v>
      </c>
      <c r="I114" t="s">
        <v>26</v>
      </c>
      <c r="J114" t="s">
        <v>27</v>
      </c>
      <c r="K114" t="s">
        <v>37</v>
      </c>
      <c r="L114" t="s">
        <v>33</v>
      </c>
      <c r="M114" t="s">
        <v>29</v>
      </c>
      <c r="N114" t="s">
        <v>27</v>
      </c>
      <c r="O114" t="s">
        <v>43</v>
      </c>
    </row>
    <row r="115" spans="1:15" x14ac:dyDescent="0.2">
      <c r="A115">
        <v>301</v>
      </c>
      <c r="B115" s="3">
        <v>22</v>
      </c>
      <c r="C115" s="3" t="s">
        <v>78</v>
      </c>
      <c r="D115">
        <v>22</v>
      </c>
      <c r="E115" s="12" t="s">
        <v>203</v>
      </c>
      <c r="F115" t="s">
        <v>291</v>
      </c>
      <c r="G115">
        <v>4</v>
      </c>
      <c r="H115" t="s">
        <v>52</v>
      </c>
      <c r="I115" t="s">
        <v>26</v>
      </c>
      <c r="J115" t="s">
        <v>27</v>
      </c>
      <c r="K115" t="s">
        <v>37</v>
      </c>
      <c r="L115" t="s">
        <v>33</v>
      </c>
      <c r="M115" t="s">
        <v>29</v>
      </c>
      <c r="N115" t="s">
        <v>27</v>
      </c>
    </row>
    <row r="116" spans="1:15" x14ac:dyDescent="0.2">
      <c r="A116">
        <v>303</v>
      </c>
      <c r="B116" s="3">
        <v>22</v>
      </c>
      <c r="C116" s="3" t="s">
        <v>78</v>
      </c>
      <c r="D116">
        <v>24</v>
      </c>
      <c r="E116" s="12" t="s">
        <v>75</v>
      </c>
      <c r="F116" t="s">
        <v>297</v>
      </c>
      <c r="G116">
        <v>5</v>
      </c>
      <c r="H116" t="s">
        <v>52</v>
      </c>
      <c r="I116" t="s">
        <v>26</v>
      </c>
      <c r="J116" t="s">
        <v>27</v>
      </c>
      <c r="K116" t="s">
        <v>37</v>
      </c>
      <c r="L116" t="s">
        <v>33</v>
      </c>
      <c r="M116" t="s">
        <v>25</v>
      </c>
      <c r="N116" t="s">
        <v>27</v>
      </c>
    </row>
    <row r="117" spans="1:15" x14ac:dyDescent="0.2">
      <c r="A117">
        <v>306</v>
      </c>
      <c r="B117" s="3">
        <v>22</v>
      </c>
      <c r="C117" s="3" t="s">
        <v>78</v>
      </c>
      <c r="D117">
        <v>27</v>
      </c>
      <c r="E117" s="12" t="s">
        <v>94</v>
      </c>
      <c r="F117" t="s">
        <v>290</v>
      </c>
      <c r="G117">
        <v>24</v>
      </c>
      <c r="H117" t="s">
        <v>31</v>
      </c>
      <c r="I117" t="s">
        <v>26</v>
      </c>
      <c r="J117" t="s">
        <v>27</v>
      </c>
      <c r="K117" t="s">
        <v>37</v>
      </c>
      <c r="L117" t="s">
        <v>33</v>
      </c>
      <c r="M117" t="s">
        <v>31</v>
      </c>
      <c r="N117" t="s">
        <v>27</v>
      </c>
      <c r="O117" t="s">
        <v>44</v>
      </c>
    </row>
    <row r="118" spans="1:15" x14ac:dyDescent="0.2">
      <c r="A118">
        <v>2</v>
      </c>
      <c r="B118" s="3">
        <v>22</v>
      </c>
      <c r="C118" s="3" t="s">
        <v>80</v>
      </c>
      <c r="D118">
        <v>1</v>
      </c>
      <c r="E118" s="12" t="s">
        <v>79</v>
      </c>
      <c r="F118" t="s">
        <v>285</v>
      </c>
      <c r="G118">
        <v>10</v>
      </c>
      <c r="H118" t="s">
        <v>52</v>
      </c>
      <c r="I118" t="s">
        <v>26</v>
      </c>
      <c r="J118" t="s">
        <v>27</v>
      </c>
      <c r="K118" t="s">
        <v>37</v>
      </c>
      <c r="L118" t="s">
        <v>33</v>
      </c>
      <c r="M118" t="s">
        <v>31</v>
      </c>
      <c r="N118" t="s">
        <v>27</v>
      </c>
    </row>
    <row r="119" spans="1:15" x14ac:dyDescent="0.2">
      <c r="A119">
        <v>200</v>
      </c>
      <c r="B119" s="3">
        <v>23</v>
      </c>
      <c r="C119" s="3" t="s">
        <v>78</v>
      </c>
      <c r="D119">
        <v>1</v>
      </c>
      <c r="E119" s="12" t="s">
        <v>82</v>
      </c>
      <c r="F119" t="s">
        <v>284</v>
      </c>
      <c r="G119">
        <v>8</v>
      </c>
      <c r="H119" t="s">
        <v>31</v>
      </c>
      <c r="I119" t="s">
        <v>26</v>
      </c>
      <c r="J119" t="s">
        <v>27</v>
      </c>
      <c r="K119" t="s">
        <v>37</v>
      </c>
      <c r="L119" t="s">
        <v>33</v>
      </c>
      <c r="M119" t="s">
        <v>29</v>
      </c>
      <c r="N119" t="s">
        <v>27</v>
      </c>
    </row>
    <row r="120" spans="1:15" x14ac:dyDescent="0.2">
      <c r="A120">
        <v>188</v>
      </c>
      <c r="B120" s="3">
        <v>24</v>
      </c>
      <c r="C120" s="3" t="s">
        <v>244</v>
      </c>
      <c r="D120">
        <v>1</v>
      </c>
      <c r="E120" s="12" t="s">
        <v>79</v>
      </c>
      <c r="F120" t="s">
        <v>285</v>
      </c>
      <c r="G120">
        <v>16</v>
      </c>
      <c r="H120" t="s">
        <v>52</v>
      </c>
      <c r="I120" t="s">
        <v>26</v>
      </c>
      <c r="J120" t="s">
        <v>27</v>
      </c>
      <c r="K120" t="s">
        <v>37</v>
      </c>
      <c r="L120" t="s">
        <v>33</v>
      </c>
      <c r="M120" t="s">
        <v>29</v>
      </c>
      <c r="N120" t="s">
        <v>27</v>
      </c>
    </row>
    <row r="121" spans="1:15" x14ac:dyDescent="0.2">
      <c r="A121">
        <v>179</v>
      </c>
      <c r="B121" s="3">
        <v>25</v>
      </c>
      <c r="C121" s="3" t="s">
        <v>225</v>
      </c>
      <c r="D121">
        <v>1</v>
      </c>
      <c r="E121" s="12" t="s">
        <v>79</v>
      </c>
      <c r="F121" t="s">
        <v>285</v>
      </c>
      <c r="G121">
        <v>12</v>
      </c>
      <c r="H121" t="s">
        <v>52</v>
      </c>
      <c r="I121" t="s">
        <v>26</v>
      </c>
      <c r="J121" t="s">
        <v>27</v>
      </c>
      <c r="K121" t="s">
        <v>37</v>
      </c>
      <c r="L121" t="s">
        <v>33</v>
      </c>
      <c r="M121" t="s">
        <v>29</v>
      </c>
      <c r="N121" t="s">
        <v>27</v>
      </c>
    </row>
    <row r="122" spans="1:15" x14ac:dyDescent="0.2">
      <c r="A122">
        <v>180</v>
      </c>
      <c r="B122" s="3">
        <v>25</v>
      </c>
      <c r="C122" s="3" t="s">
        <v>225</v>
      </c>
      <c r="D122">
        <v>2</v>
      </c>
      <c r="E122" s="12" t="s">
        <v>79</v>
      </c>
      <c r="F122" t="s">
        <v>285</v>
      </c>
      <c r="G122">
        <v>10</v>
      </c>
      <c r="H122" t="s">
        <v>52</v>
      </c>
      <c r="I122" t="s">
        <v>26</v>
      </c>
      <c r="J122" t="s">
        <v>27</v>
      </c>
      <c r="K122" t="s">
        <v>37</v>
      </c>
      <c r="L122" t="s">
        <v>33</v>
      </c>
      <c r="M122" t="s">
        <v>29</v>
      </c>
      <c r="N122" t="s">
        <v>27</v>
      </c>
    </row>
    <row r="123" spans="1:15" x14ac:dyDescent="0.2">
      <c r="A123">
        <v>181</v>
      </c>
      <c r="B123" s="3">
        <v>25</v>
      </c>
      <c r="C123" s="3" t="s">
        <v>227</v>
      </c>
      <c r="D123">
        <v>3</v>
      </c>
      <c r="E123" s="12" t="s">
        <v>152</v>
      </c>
      <c r="F123" t="s">
        <v>276</v>
      </c>
      <c r="G123">
        <v>10</v>
      </c>
      <c r="H123" t="s">
        <v>25</v>
      </c>
      <c r="I123" t="s">
        <v>26</v>
      </c>
      <c r="J123" t="s">
        <v>27</v>
      </c>
      <c r="K123" t="s">
        <v>37</v>
      </c>
      <c r="L123" t="s">
        <v>33</v>
      </c>
      <c r="M123" t="s">
        <v>31</v>
      </c>
      <c r="N123" t="s">
        <v>27</v>
      </c>
      <c r="O123" t="s">
        <v>226</v>
      </c>
    </row>
    <row r="124" spans="1:15" x14ac:dyDescent="0.2">
      <c r="A124">
        <v>182</v>
      </c>
      <c r="B124" s="3">
        <v>25</v>
      </c>
      <c r="C124" s="3" t="s">
        <v>227</v>
      </c>
      <c r="D124">
        <v>4</v>
      </c>
      <c r="E124" s="12" t="s">
        <v>152</v>
      </c>
      <c r="F124" t="s">
        <v>276</v>
      </c>
      <c r="G124">
        <v>10</v>
      </c>
      <c r="H124" t="s">
        <v>25</v>
      </c>
      <c r="I124" t="s">
        <v>26</v>
      </c>
      <c r="J124" t="s">
        <v>27</v>
      </c>
      <c r="K124" t="s">
        <v>37</v>
      </c>
      <c r="L124" t="s">
        <v>33</v>
      </c>
      <c r="M124" t="s">
        <v>31</v>
      </c>
      <c r="N124" t="s">
        <v>27</v>
      </c>
      <c r="O124" t="s">
        <v>226</v>
      </c>
    </row>
    <row r="125" spans="1:15" x14ac:dyDescent="0.2">
      <c r="A125">
        <v>178</v>
      </c>
      <c r="B125" s="3">
        <v>26</v>
      </c>
      <c r="C125" s="3" t="s">
        <v>224</v>
      </c>
      <c r="D125">
        <v>3</v>
      </c>
      <c r="E125" s="12" t="s">
        <v>82</v>
      </c>
      <c r="F125" t="s">
        <v>284</v>
      </c>
      <c r="G125">
        <v>3</v>
      </c>
      <c r="H125" t="s">
        <v>31</v>
      </c>
      <c r="I125" t="s">
        <v>26</v>
      </c>
      <c r="J125" t="s">
        <v>27</v>
      </c>
      <c r="K125" t="s">
        <v>37</v>
      </c>
      <c r="L125" t="s">
        <v>33</v>
      </c>
      <c r="M125" t="s">
        <v>31</v>
      </c>
      <c r="N125" t="s">
        <v>27</v>
      </c>
    </row>
    <row r="126" spans="1:15" x14ac:dyDescent="0.2">
      <c r="A126">
        <v>176</v>
      </c>
      <c r="B126" s="3">
        <v>26</v>
      </c>
      <c r="C126" s="3" t="s">
        <v>78</v>
      </c>
      <c r="D126">
        <v>1</v>
      </c>
      <c r="E126" s="12" t="s">
        <v>82</v>
      </c>
      <c r="F126" t="s">
        <v>284</v>
      </c>
      <c r="G126">
        <v>9</v>
      </c>
      <c r="H126" t="s">
        <v>52</v>
      </c>
      <c r="I126" t="s">
        <v>26</v>
      </c>
      <c r="J126" t="s">
        <v>27</v>
      </c>
      <c r="K126" t="s">
        <v>37</v>
      </c>
      <c r="L126" t="s">
        <v>33</v>
      </c>
      <c r="M126" t="s">
        <v>31</v>
      </c>
      <c r="N126" t="s">
        <v>27</v>
      </c>
    </row>
    <row r="127" spans="1:15" x14ac:dyDescent="0.2">
      <c r="A127">
        <v>208</v>
      </c>
      <c r="B127" s="3" t="s">
        <v>232</v>
      </c>
      <c r="C127" s="3" t="s">
        <v>251</v>
      </c>
      <c r="D127">
        <v>6</v>
      </c>
      <c r="E127" s="12" t="s">
        <v>79</v>
      </c>
      <c r="F127" t="s">
        <v>285</v>
      </c>
      <c r="G127">
        <v>8</v>
      </c>
      <c r="H127" t="s">
        <v>52</v>
      </c>
      <c r="I127" t="s">
        <v>26</v>
      </c>
      <c r="J127" t="s">
        <v>27</v>
      </c>
      <c r="K127" t="s">
        <v>37</v>
      </c>
      <c r="L127" t="s">
        <v>33</v>
      </c>
      <c r="M127" t="s">
        <v>29</v>
      </c>
      <c r="N127" t="s">
        <v>27</v>
      </c>
    </row>
    <row r="128" spans="1:15" x14ac:dyDescent="0.2">
      <c r="A128">
        <v>203</v>
      </c>
      <c r="B128" s="3" t="s">
        <v>232</v>
      </c>
      <c r="C128" s="3" t="s">
        <v>247</v>
      </c>
      <c r="D128">
        <v>2</v>
      </c>
      <c r="E128" s="12" t="s">
        <v>196</v>
      </c>
      <c r="F128" t="s">
        <v>277</v>
      </c>
      <c r="G128">
        <v>4</v>
      </c>
      <c r="H128" t="s">
        <v>25</v>
      </c>
      <c r="I128" t="s">
        <v>26</v>
      </c>
      <c r="J128" t="s">
        <v>27</v>
      </c>
      <c r="K128" t="s">
        <v>37</v>
      </c>
      <c r="L128" t="s">
        <v>33</v>
      </c>
      <c r="M128" t="s">
        <v>31</v>
      </c>
      <c r="N128" t="s">
        <v>27</v>
      </c>
      <c r="O128" t="s">
        <v>226</v>
      </c>
    </row>
    <row r="129" spans="1:15" x14ac:dyDescent="0.2">
      <c r="A129">
        <v>204</v>
      </c>
      <c r="B129" s="3" t="s">
        <v>232</v>
      </c>
      <c r="C129" s="3" t="s">
        <v>247</v>
      </c>
      <c r="D129">
        <v>3</v>
      </c>
      <c r="E129" s="12" t="s">
        <v>186</v>
      </c>
      <c r="F129" t="s">
        <v>265</v>
      </c>
      <c r="G129">
        <v>7</v>
      </c>
      <c r="H129" t="s">
        <v>52</v>
      </c>
      <c r="I129" t="s">
        <v>26</v>
      </c>
      <c r="J129" t="s">
        <v>27</v>
      </c>
      <c r="K129" t="s">
        <v>37</v>
      </c>
      <c r="L129" t="s">
        <v>33</v>
      </c>
      <c r="M129" t="s">
        <v>29</v>
      </c>
      <c r="N129" t="s">
        <v>27</v>
      </c>
    </row>
    <row r="130" spans="1:15" x14ac:dyDescent="0.2">
      <c r="A130">
        <v>201</v>
      </c>
      <c r="B130" s="3" t="s">
        <v>232</v>
      </c>
      <c r="C130" s="3" t="s">
        <v>246</v>
      </c>
      <c r="D130">
        <v>1</v>
      </c>
      <c r="E130" s="12" t="s">
        <v>196</v>
      </c>
      <c r="F130" t="s">
        <v>277</v>
      </c>
      <c r="G130">
        <v>6</v>
      </c>
      <c r="H130" t="s">
        <v>31</v>
      </c>
      <c r="I130" t="s">
        <v>26</v>
      </c>
      <c r="J130" t="s">
        <v>27</v>
      </c>
      <c r="K130" t="s">
        <v>37</v>
      </c>
      <c r="L130" t="s">
        <v>33</v>
      </c>
      <c r="M130" t="s">
        <v>29</v>
      </c>
      <c r="N130" t="s">
        <v>27</v>
      </c>
    </row>
    <row r="131" spans="1:15" x14ac:dyDescent="0.2">
      <c r="A131">
        <v>205</v>
      </c>
      <c r="B131" s="3" t="s">
        <v>232</v>
      </c>
      <c r="C131" s="3" t="s">
        <v>248</v>
      </c>
      <c r="D131">
        <v>3</v>
      </c>
      <c r="E131" s="12" t="s">
        <v>79</v>
      </c>
      <c r="F131" t="s">
        <v>285</v>
      </c>
      <c r="G131">
        <v>10</v>
      </c>
      <c r="H131" t="s">
        <v>31</v>
      </c>
      <c r="I131" t="s">
        <v>26</v>
      </c>
      <c r="J131" t="s">
        <v>27</v>
      </c>
      <c r="K131" t="s">
        <v>37</v>
      </c>
      <c r="L131" t="s">
        <v>33</v>
      </c>
      <c r="M131" t="s">
        <v>31</v>
      </c>
      <c r="N131" t="s">
        <v>27</v>
      </c>
    </row>
    <row r="132" spans="1:15" x14ac:dyDescent="0.2">
      <c r="A132">
        <v>206</v>
      </c>
      <c r="B132" s="3" t="s">
        <v>232</v>
      </c>
      <c r="C132" s="3" t="s">
        <v>249</v>
      </c>
      <c r="D132">
        <v>4</v>
      </c>
      <c r="E132" s="12" t="s">
        <v>180</v>
      </c>
      <c r="F132" t="s">
        <v>274</v>
      </c>
      <c r="G132">
        <v>6</v>
      </c>
      <c r="H132" t="s">
        <v>31</v>
      </c>
      <c r="I132" t="s">
        <v>26</v>
      </c>
      <c r="J132" t="s">
        <v>27</v>
      </c>
      <c r="K132" t="s">
        <v>37</v>
      </c>
      <c r="L132" t="s">
        <v>33</v>
      </c>
      <c r="M132" t="s">
        <v>29</v>
      </c>
      <c r="N132" t="s">
        <v>27</v>
      </c>
    </row>
    <row r="133" spans="1:15" x14ac:dyDescent="0.2">
      <c r="A133">
        <v>209</v>
      </c>
      <c r="B133" s="3" t="s">
        <v>232</v>
      </c>
      <c r="C133" s="3" t="s">
        <v>252</v>
      </c>
      <c r="D133">
        <v>7</v>
      </c>
      <c r="E133" s="12" t="s">
        <v>169</v>
      </c>
      <c r="F133" t="s">
        <v>287</v>
      </c>
      <c r="G133">
        <v>4</v>
      </c>
      <c r="H133" t="s">
        <v>52</v>
      </c>
      <c r="I133" t="s">
        <v>26</v>
      </c>
      <c r="J133" t="s">
        <v>27</v>
      </c>
      <c r="K133" t="s">
        <v>37</v>
      </c>
      <c r="L133" t="s">
        <v>33</v>
      </c>
      <c r="M133" t="s">
        <v>29</v>
      </c>
      <c r="N133" t="s">
        <v>27</v>
      </c>
    </row>
    <row r="134" spans="1:15" x14ac:dyDescent="0.2">
      <c r="A134">
        <v>207</v>
      </c>
      <c r="B134" s="3" t="s">
        <v>232</v>
      </c>
      <c r="C134" s="3" t="s">
        <v>250</v>
      </c>
      <c r="D134">
        <v>5</v>
      </c>
      <c r="E134" s="12" t="s">
        <v>180</v>
      </c>
      <c r="F134" t="s">
        <v>274</v>
      </c>
      <c r="G134">
        <v>6</v>
      </c>
      <c r="H134" t="s">
        <v>31</v>
      </c>
      <c r="I134" t="s">
        <v>26</v>
      </c>
      <c r="J134" t="s">
        <v>27</v>
      </c>
      <c r="K134" t="s">
        <v>37</v>
      </c>
      <c r="L134" t="s">
        <v>33</v>
      </c>
      <c r="M134" t="s">
        <v>29</v>
      </c>
      <c r="N134" t="s">
        <v>27</v>
      </c>
    </row>
    <row r="135" spans="1:15" x14ac:dyDescent="0.2">
      <c r="A135">
        <v>292</v>
      </c>
      <c r="B135" s="3" t="s">
        <v>232</v>
      </c>
      <c r="C135" s="3" t="s">
        <v>78</v>
      </c>
      <c r="D135">
        <v>7</v>
      </c>
      <c r="E135" s="12" t="s">
        <v>88</v>
      </c>
      <c r="F135" t="s">
        <v>263</v>
      </c>
      <c r="G135">
        <v>8</v>
      </c>
      <c r="H135" t="s">
        <v>52</v>
      </c>
      <c r="I135" t="s">
        <v>26</v>
      </c>
      <c r="J135" t="s">
        <v>27</v>
      </c>
      <c r="K135" t="s">
        <v>37</v>
      </c>
      <c r="L135" t="s">
        <v>33</v>
      </c>
      <c r="M135" t="s">
        <v>29</v>
      </c>
      <c r="N135" t="s">
        <v>27</v>
      </c>
    </row>
    <row r="136" spans="1:15" x14ac:dyDescent="0.2">
      <c r="A136">
        <v>293</v>
      </c>
      <c r="B136" s="3" t="s">
        <v>232</v>
      </c>
      <c r="C136" s="3" t="s">
        <v>78</v>
      </c>
      <c r="D136">
        <v>8</v>
      </c>
      <c r="E136" s="12" t="s">
        <v>233</v>
      </c>
      <c r="F136" t="s">
        <v>264</v>
      </c>
      <c r="G136">
        <v>18</v>
      </c>
      <c r="H136" t="s">
        <v>52</v>
      </c>
      <c r="I136" t="s">
        <v>26</v>
      </c>
      <c r="J136" t="s">
        <v>27</v>
      </c>
      <c r="K136" t="s">
        <v>37</v>
      </c>
      <c r="L136" t="s">
        <v>33</v>
      </c>
      <c r="M136" t="s">
        <v>29</v>
      </c>
      <c r="N136" t="s">
        <v>27</v>
      </c>
    </row>
    <row r="137" spans="1:15" x14ac:dyDescent="0.2">
      <c r="A137">
        <v>294</v>
      </c>
      <c r="B137" s="3" t="s">
        <v>232</v>
      </c>
      <c r="C137" s="3" t="s">
        <v>78</v>
      </c>
      <c r="D137">
        <v>9</v>
      </c>
      <c r="E137" s="12" t="s">
        <v>233</v>
      </c>
      <c r="F137" t="s">
        <v>264</v>
      </c>
      <c r="G137">
        <v>15</v>
      </c>
      <c r="H137" t="s">
        <v>52</v>
      </c>
      <c r="I137" t="s">
        <v>26</v>
      </c>
      <c r="J137" t="s">
        <v>27</v>
      </c>
      <c r="K137" t="s">
        <v>37</v>
      </c>
      <c r="L137" t="s">
        <v>33</v>
      </c>
      <c r="M137" t="s">
        <v>29</v>
      </c>
      <c r="N137" t="s">
        <v>27</v>
      </c>
    </row>
    <row r="138" spans="1:15" x14ac:dyDescent="0.2">
      <c r="A138">
        <v>268</v>
      </c>
      <c r="B138" s="3" t="s">
        <v>202</v>
      </c>
      <c r="C138" s="3" t="s">
        <v>207</v>
      </c>
      <c r="D138">
        <v>5</v>
      </c>
      <c r="E138" s="12" t="s">
        <v>82</v>
      </c>
      <c r="F138" t="s">
        <v>284</v>
      </c>
      <c r="G138">
        <v>10</v>
      </c>
      <c r="H138" t="s">
        <v>52</v>
      </c>
      <c r="I138" t="s">
        <v>26</v>
      </c>
      <c r="J138" t="s">
        <v>27</v>
      </c>
      <c r="K138" t="s">
        <v>37</v>
      </c>
      <c r="L138" t="s">
        <v>33</v>
      </c>
      <c r="M138" t="s">
        <v>31</v>
      </c>
      <c r="N138" t="s">
        <v>27</v>
      </c>
    </row>
    <row r="139" spans="1:15" x14ac:dyDescent="0.2">
      <c r="A139">
        <v>267</v>
      </c>
      <c r="B139" s="3" t="s">
        <v>202</v>
      </c>
      <c r="C139" s="3" t="s">
        <v>206</v>
      </c>
      <c r="D139">
        <v>5</v>
      </c>
      <c r="E139" s="12" t="s">
        <v>152</v>
      </c>
      <c r="F139" t="s">
        <v>276</v>
      </c>
      <c r="G139">
        <v>5</v>
      </c>
      <c r="H139" t="s">
        <v>31</v>
      </c>
      <c r="I139" t="s">
        <v>26</v>
      </c>
      <c r="J139" t="s">
        <v>27</v>
      </c>
      <c r="K139" t="s">
        <v>34</v>
      </c>
      <c r="L139" t="s">
        <v>33</v>
      </c>
      <c r="M139" t="s">
        <v>31</v>
      </c>
      <c r="N139" t="s">
        <v>27</v>
      </c>
    </row>
    <row r="140" spans="1:15" x14ac:dyDescent="0.2">
      <c r="A140">
        <v>263</v>
      </c>
      <c r="B140" s="3" t="s">
        <v>202</v>
      </c>
      <c r="C140" s="3" t="s">
        <v>78</v>
      </c>
      <c r="D140">
        <v>1</v>
      </c>
      <c r="E140" s="12" t="s">
        <v>82</v>
      </c>
      <c r="F140" t="s">
        <v>284</v>
      </c>
      <c r="G140">
        <v>3</v>
      </c>
      <c r="H140" t="s">
        <v>31</v>
      </c>
      <c r="I140" t="s">
        <v>26</v>
      </c>
      <c r="J140" t="s">
        <v>27</v>
      </c>
      <c r="K140" t="s">
        <v>37</v>
      </c>
      <c r="L140" t="s">
        <v>33</v>
      </c>
      <c r="M140" t="s">
        <v>31</v>
      </c>
      <c r="N140" t="s">
        <v>27</v>
      </c>
    </row>
    <row r="141" spans="1:15" x14ac:dyDescent="0.2">
      <c r="A141">
        <v>264</v>
      </c>
      <c r="B141" s="3" t="s">
        <v>202</v>
      </c>
      <c r="C141" s="3" t="s">
        <v>78</v>
      </c>
      <c r="D141">
        <v>2</v>
      </c>
      <c r="E141" s="12" t="s">
        <v>203</v>
      </c>
      <c r="F141" t="s">
        <v>291</v>
      </c>
      <c r="G141">
        <v>5</v>
      </c>
      <c r="H141" t="s">
        <v>52</v>
      </c>
      <c r="I141" t="s">
        <v>26</v>
      </c>
      <c r="J141" t="s">
        <v>27</v>
      </c>
      <c r="K141" t="s">
        <v>37</v>
      </c>
      <c r="L141" t="s">
        <v>33</v>
      </c>
      <c r="M141" t="s">
        <v>29</v>
      </c>
      <c r="N141" t="s">
        <v>27</v>
      </c>
    </row>
    <row r="142" spans="1:15" x14ac:dyDescent="0.2">
      <c r="A142">
        <v>265</v>
      </c>
      <c r="B142" s="3" t="s">
        <v>202</v>
      </c>
      <c r="C142" s="3" t="s">
        <v>78</v>
      </c>
      <c r="D142">
        <v>3</v>
      </c>
      <c r="E142" s="12" t="s">
        <v>201</v>
      </c>
      <c r="F142" t="s">
        <v>288</v>
      </c>
      <c r="G142">
        <v>6</v>
      </c>
      <c r="H142" t="s">
        <v>52</v>
      </c>
      <c r="I142" t="s">
        <v>26</v>
      </c>
      <c r="J142" t="s">
        <v>27</v>
      </c>
      <c r="K142" t="s">
        <v>37</v>
      </c>
      <c r="L142" t="s">
        <v>33</v>
      </c>
      <c r="M142" t="s">
        <v>38</v>
      </c>
      <c r="N142" t="s">
        <v>27</v>
      </c>
    </row>
    <row r="143" spans="1:15" x14ac:dyDescent="0.2">
      <c r="A143">
        <v>269</v>
      </c>
      <c r="B143" s="3" t="s">
        <v>202</v>
      </c>
      <c r="C143" s="3" t="s">
        <v>78</v>
      </c>
      <c r="D143">
        <v>6</v>
      </c>
      <c r="E143" s="12" t="s">
        <v>82</v>
      </c>
      <c r="F143" t="s">
        <v>284</v>
      </c>
      <c r="G143">
        <v>2</v>
      </c>
      <c r="H143" t="s">
        <v>31</v>
      </c>
      <c r="I143" t="s">
        <v>26</v>
      </c>
      <c r="J143" t="s">
        <v>27</v>
      </c>
      <c r="K143" t="s">
        <v>37</v>
      </c>
      <c r="L143" t="s">
        <v>33</v>
      </c>
      <c r="M143" t="s">
        <v>38</v>
      </c>
      <c r="N143" t="s">
        <v>27</v>
      </c>
      <c r="O143" t="s">
        <v>208</v>
      </c>
    </row>
    <row r="144" spans="1:15" x14ac:dyDescent="0.2">
      <c r="A144">
        <v>174</v>
      </c>
      <c r="B144" s="3" t="s">
        <v>77</v>
      </c>
      <c r="C144" s="3" t="s">
        <v>218</v>
      </c>
      <c r="D144">
        <v>5</v>
      </c>
      <c r="E144" s="12" t="s">
        <v>50</v>
      </c>
      <c r="F144" t="s">
        <v>63</v>
      </c>
      <c r="G144">
        <v>5</v>
      </c>
      <c r="H144" t="s">
        <v>31</v>
      </c>
      <c r="I144" t="s">
        <v>26</v>
      </c>
      <c r="J144" t="s">
        <v>27</v>
      </c>
      <c r="K144" t="s">
        <v>37</v>
      </c>
      <c r="L144" t="s">
        <v>33</v>
      </c>
      <c r="M144" t="s">
        <v>29</v>
      </c>
      <c r="N144" t="s">
        <v>27</v>
      </c>
    </row>
    <row r="145" spans="1:15" x14ac:dyDescent="0.2">
      <c r="A145">
        <v>164</v>
      </c>
      <c r="B145" s="3" t="s">
        <v>77</v>
      </c>
      <c r="C145" s="3" t="s">
        <v>178</v>
      </c>
      <c r="D145">
        <v>1</v>
      </c>
      <c r="E145" s="12" t="s">
        <v>177</v>
      </c>
      <c r="F145" t="s">
        <v>260</v>
      </c>
      <c r="G145">
        <v>9</v>
      </c>
      <c r="H145" t="s">
        <v>31</v>
      </c>
      <c r="I145" t="s">
        <v>26</v>
      </c>
      <c r="J145" t="s">
        <v>27</v>
      </c>
      <c r="K145" t="s">
        <v>37</v>
      </c>
      <c r="L145" t="s">
        <v>33</v>
      </c>
      <c r="M145" t="s">
        <v>31</v>
      </c>
      <c r="N145" t="s">
        <v>27</v>
      </c>
      <c r="O145" t="s">
        <v>43</v>
      </c>
    </row>
    <row r="146" spans="1:15" x14ac:dyDescent="0.2">
      <c r="A146">
        <v>173</v>
      </c>
      <c r="B146" s="3" t="s">
        <v>77</v>
      </c>
      <c r="C146" s="3" t="s">
        <v>78</v>
      </c>
      <c r="D146">
        <v>1</v>
      </c>
      <c r="E146" s="12" t="s">
        <v>82</v>
      </c>
      <c r="F146" t="s">
        <v>284</v>
      </c>
      <c r="G146">
        <v>10</v>
      </c>
      <c r="H146" t="s">
        <v>52</v>
      </c>
      <c r="I146" t="s">
        <v>26</v>
      </c>
      <c r="J146" t="s">
        <v>27</v>
      </c>
      <c r="K146" t="s">
        <v>37</v>
      </c>
      <c r="L146" t="s">
        <v>33</v>
      </c>
      <c r="M146" t="s">
        <v>31</v>
      </c>
      <c r="N146" t="s">
        <v>27</v>
      </c>
    </row>
    <row r="147" spans="1:15" x14ac:dyDescent="0.2">
      <c r="A147">
        <v>1</v>
      </c>
      <c r="B147" s="3" t="s">
        <v>77</v>
      </c>
      <c r="C147" s="3" t="s">
        <v>78</v>
      </c>
      <c r="D147">
        <v>2</v>
      </c>
      <c r="E147" s="12" t="s">
        <v>75</v>
      </c>
      <c r="F147" t="s">
        <v>297</v>
      </c>
      <c r="G147">
        <v>45</v>
      </c>
      <c r="H147" t="s">
        <v>52</v>
      </c>
      <c r="I147" t="s">
        <v>26</v>
      </c>
      <c r="J147" t="s">
        <v>27</v>
      </c>
      <c r="K147" t="s">
        <v>37</v>
      </c>
      <c r="L147" t="s">
        <v>33</v>
      </c>
      <c r="M147" t="s">
        <v>29</v>
      </c>
      <c r="N147" t="s">
        <v>27</v>
      </c>
    </row>
    <row r="148" spans="1:15" x14ac:dyDescent="0.2">
      <c r="A148">
        <v>150</v>
      </c>
      <c r="B148" s="3" t="s">
        <v>77</v>
      </c>
      <c r="C148" s="3" t="s">
        <v>78</v>
      </c>
      <c r="D148">
        <v>3</v>
      </c>
      <c r="E148" s="12" t="s">
        <v>75</v>
      </c>
      <c r="F148" t="s">
        <v>297</v>
      </c>
      <c r="G148">
        <v>40</v>
      </c>
      <c r="H148" t="s">
        <v>31</v>
      </c>
      <c r="I148" t="s">
        <v>26</v>
      </c>
      <c r="J148" t="s">
        <v>27</v>
      </c>
      <c r="K148" t="s">
        <v>37</v>
      </c>
      <c r="L148" t="s">
        <v>33</v>
      </c>
      <c r="M148" t="s">
        <v>29</v>
      </c>
      <c r="N148" t="s">
        <v>27</v>
      </c>
    </row>
    <row r="149" spans="1:15" x14ac:dyDescent="0.2">
      <c r="A149">
        <v>151</v>
      </c>
      <c r="B149" s="3" t="s">
        <v>77</v>
      </c>
      <c r="C149" s="3" t="s">
        <v>78</v>
      </c>
      <c r="D149">
        <v>4</v>
      </c>
      <c r="E149" s="12" t="s">
        <v>75</v>
      </c>
      <c r="F149" t="s">
        <v>297</v>
      </c>
      <c r="G149">
        <v>40</v>
      </c>
      <c r="H149" t="s">
        <v>31</v>
      </c>
      <c r="I149" t="s">
        <v>26</v>
      </c>
      <c r="J149" t="s">
        <v>27</v>
      </c>
      <c r="K149" t="s">
        <v>37</v>
      </c>
      <c r="L149" t="s">
        <v>33</v>
      </c>
      <c r="M149" t="s">
        <v>29</v>
      </c>
      <c r="N149" t="s">
        <v>27</v>
      </c>
    </row>
    <row r="150" spans="1:15" x14ac:dyDescent="0.2">
      <c r="A150">
        <v>152</v>
      </c>
      <c r="B150" s="3" t="s">
        <v>77</v>
      </c>
      <c r="C150" s="3" t="s">
        <v>78</v>
      </c>
      <c r="D150">
        <v>5</v>
      </c>
      <c r="E150" s="12" t="s">
        <v>50</v>
      </c>
      <c r="F150" t="s">
        <v>63</v>
      </c>
      <c r="G150">
        <v>5</v>
      </c>
      <c r="H150" t="s">
        <v>52</v>
      </c>
      <c r="I150" t="s">
        <v>26</v>
      </c>
      <c r="J150" t="s">
        <v>27</v>
      </c>
      <c r="K150" t="s">
        <v>37</v>
      </c>
      <c r="L150" t="s">
        <v>33</v>
      </c>
      <c r="M150" t="s">
        <v>29</v>
      </c>
      <c r="N150" t="s">
        <v>27</v>
      </c>
    </row>
    <row r="151" spans="1:15" x14ac:dyDescent="0.2">
      <c r="A151">
        <v>153</v>
      </c>
      <c r="B151" s="3" t="s">
        <v>77</v>
      </c>
      <c r="C151" s="3" t="s">
        <v>78</v>
      </c>
      <c r="D151">
        <v>6</v>
      </c>
      <c r="E151" s="12" t="s">
        <v>94</v>
      </c>
      <c r="F151" t="s">
        <v>290</v>
      </c>
      <c r="G151">
        <v>18</v>
      </c>
      <c r="H151" t="s">
        <v>31</v>
      </c>
      <c r="I151" t="s">
        <v>26</v>
      </c>
      <c r="J151" t="s">
        <v>27</v>
      </c>
      <c r="K151" t="s">
        <v>37</v>
      </c>
      <c r="L151" t="s">
        <v>33</v>
      </c>
      <c r="M151" t="s">
        <v>29</v>
      </c>
      <c r="N151" t="s">
        <v>27</v>
      </c>
    </row>
    <row r="152" spans="1:15" x14ac:dyDescent="0.2">
      <c r="A152">
        <v>154</v>
      </c>
      <c r="B152" s="3" t="s">
        <v>77</v>
      </c>
      <c r="C152" s="3" t="s">
        <v>78</v>
      </c>
      <c r="D152">
        <v>7</v>
      </c>
      <c r="E152" s="12" t="s">
        <v>171</v>
      </c>
      <c r="F152" t="s">
        <v>281</v>
      </c>
      <c r="G152">
        <v>16</v>
      </c>
      <c r="H152" t="s">
        <v>31</v>
      </c>
      <c r="I152" t="s">
        <v>26</v>
      </c>
      <c r="J152" t="s">
        <v>27</v>
      </c>
      <c r="K152" t="s">
        <v>37</v>
      </c>
      <c r="L152" t="s">
        <v>33</v>
      </c>
      <c r="M152" t="s">
        <v>31</v>
      </c>
      <c r="N152" t="s">
        <v>27</v>
      </c>
    </row>
    <row r="153" spans="1:15" x14ac:dyDescent="0.2">
      <c r="A153">
        <v>155</v>
      </c>
      <c r="B153" s="3" t="s">
        <v>77</v>
      </c>
      <c r="C153" s="3" t="s">
        <v>78</v>
      </c>
      <c r="D153">
        <v>8</v>
      </c>
      <c r="E153" s="12" t="s">
        <v>173</v>
      </c>
      <c r="F153" t="s">
        <v>270</v>
      </c>
      <c r="G153">
        <v>12</v>
      </c>
      <c r="H153" t="s">
        <v>25</v>
      </c>
      <c r="I153" t="s">
        <v>26</v>
      </c>
      <c r="J153" t="s">
        <v>27</v>
      </c>
      <c r="K153" t="s">
        <v>37</v>
      </c>
      <c r="L153" t="s">
        <v>33</v>
      </c>
      <c r="M153" t="s">
        <v>29</v>
      </c>
      <c r="N153" t="s">
        <v>27</v>
      </c>
      <c r="O153" t="s">
        <v>172</v>
      </c>
    </row>
    <row r="154" spans="1:15" x14ac:dyDescent="0.2">
      <c r="A154">
        <v>307</v>
      </c>
      <c r="B154" s="3" t="s">
        <v>238</v>
      </c>
      <c r="C154" s="3" t="s">
        <v>78</v>
      </c>
      <c r="D154">
        <v>1</v>
      </c>
      <c r="E154" s="12" t="s">
        <v>201</v>
      </c>
      <c r="F154" t="s">
        <v>288</v>
      </c>
      <c r="G154">
        <v>3</v>
      </c>
      <c r="H154" t="s">
        <v>52</v>
      </c>
      <c r="I154" t="s">
        <v>26</v>
      </c>
      <c r="J154" t="s">
        <v>27</v>
      </c>
      <c r="K154" t="s">
        <v>37</v>
      </c>
      <c r="L154" t="s">
        <v>33</v>
      </c>
      <c r="M154" t="s">
        <v>31</v>
      </c>
      <c r="N154" t="s">
        <v>27</v>
      </c>
    </row>
    <row r="155" spans="1:15" x14ac:dyDescent="0.2">
      <c r="A155">
        <v>308</v>
      </c>
      <c r="B155" s="3" t="s">
        <v>238</v>
      </c>
      <c r="C155" s="3" t="s">
        <v>78</v>
      </c>
      <c r="D155">
        <v>2</v>
      </c>
      <c r="E155" s="12" t="s">
        <v>201</v>
      </c>
      <c r="F155" t="s">
        <v>288</v>
      </c>
      <c r="G155">
        <v>3</v>
      </c>
      <c r="H155" t="s">
        <v>52</v>
      </c>
      <c r="I155" t="s">
        <v>26</v>
      </c>
      <c r="J155" t="s">
        <v>27</v>
      </c>
      <c r="K155" t="s">
        <v>37</v>
      </c>
      <c r="L155" t="s">
        <v>33</v>
      </c>
      <c r="M155" t="s">
        <v>31</v>
      </c>
      <c r="N155" t="s">
        <v>27</v>
      </c>
    </row>
    <row r="156" spans="1:15" x14ac:dyDescent="0.2">
      <c r="A156">
        <v>309</v>
      </c>
      <c r="B156" s="3" t="s">
        <v>238</v>
      </c>
      <c r="C156" s="3" t="s">
        <v>78</v>
      </c>
      <c r="D156">
        <v>3</v>
      </c>
      <c r="E156" s="12" t="s">
        <v>201</v>
      </c>
      <c r="F156" t="s">
        <v>288</v>
      </c>
      <c r="G156">
        <v>3</v>
      </c>
      <c r="H156" t="s">
        <v>52</v>
      </c>
      <c r="I156" t="s">
        <v>26</v>
      </c>
      <c r="J156" t="s">
        <v>27</v>
      </c>
      <c r="K156" t="s">
        <v>37</v>
      </c>
      <c r="L156" t="s">
        <v>33</v>
      </c>
      <c r="M156" t="s">
        <v>31</v>
      </c>
      <c r="N156" t="s">
        <v>27</v>
      </c>
    </row>
    <row r="157" spans="1:15" x14ac:dyDescent="0.2">
      <c r="A157">
        <v>310</v>
      </c>
      <c r="B157" s="3" t="s">
        <v>238</v>
      </c>
      <c r="C157" s="3" t="s">
        <v>78</v>
      </c>
      <c r="D157">
        <v>4</v>
      </c>
      <c r="E157" s="12" t="s">
        <v>201</v>
      </c>
      <c r="F157" t="s">
        <v>288</v>
      </c>
      <c r="G157">
        <v>3</v>
      </c>
      <c r="H157" t="s">
        <v>52</v>
      </c>
      <c r="I157" t="s">
        <v>26</v>
      </c>
      <c r="J157" t="s">
        <v>27</v>
      </c>
      <c r="K157" t="s">
        <v>37</v>
      </c>
      <c r="L157" t="s">
        <v>33</v>
      </c>
      <c r="M157" t="s">
        <v>31</v>
      </c>
      <c r="N157" t="s">
        <v>27</v>
      </c>
    </row>
    <row r="158" spans="1:15" x14ac:dyDescent="0.2">
      <c r="A158">
        <v>311</v>
      </c>
      <c r="B158" s="3" t="s">
        <v>238</v>
      </c>
      <c r="C158" s="3" t="s">
        <v>78</v>
      </c>
      <c r="D158">
        <v>5</v>
      </c>
      <c r="E158" s="12" t="s">
        <v>201</v>
      </c>
      <c r="F158" t="s">
        <v>288</v>
      </c>
      <c r="G158">
        <v>3</v>
      </c>
      <c r="H158" t="s">
        <v>52</v>
      </c>
      <c r="I158" t="s">
        <v>26</v>
      </c>
      <c r="J158" t="s">
        <v>27</v>
      </c>
      <c r="K158" t="s">
        <v>37</v>
      </c>
      <c r="L158" t="s">
        <v>33</v>
      </c>
      <c r="M158" t="s">
        <v>31</v>
      </c>
      <c r="N158" t="s">
        <v>27</v>
      </c>
    </row>
    <row r="159" spans="1:15" x14ac:dyDescent="0.2">
      <c r="A159">
        <v>312</v>
      </c>
      <c r="B159" s="3" t="s">
        <v>238</v>
      </c>
      <c r="C159" s="3" t="s">
        <v>78</v>
      </c>
      <c r="D159">
        <v>6</v>
      </c>
      <c r="E159" s="12" t="s">
        <v>201</v>
      </c>
      <c r="F159" t="s">
        <v>288</v>
      </c>
      <c r="G159">
        <v>3</v>
      </c>
      <c r="H159" t="s">
        <v>52</v>
      </c>
      <c r="I159" t="s">
        <v>26</v>
      </c>
      <c r="J159" t="s">
        <v>27</v>
      </c>
      <c r="K159" t="s">
        <v>37</v>
      </c>
      <c r="L159" t="s">
        <v>33</v>
      </c>
      <c r="M159" t="s">
        <v>31</v>
      </c>
      <c r="N159" t="s">
        <v>27</v>
      </c>
    </row>
    <row r="160" spans="1:15" x14ac:dyDescent="0.2">
      <c r="A160">
        <v>313</v>
      </c>
      <c r="B160" s="3" t="s">
        <v>238</v>
      </c>
      <c r="C160" s="3" t="s">
        <v>78</v>
      </c>
      <c r="D160">
        <v>7</v>
      </c>
      <c r="E160" s="12" t="s">
        <v>201</v>
      </c>
      <c r="F160" t="s">
        <v>288</v>
      </c>
      <c r="G160">
        <v>3</v>
      </c>
      <c r="H160" t="s">
        <v>52</v>
      </c>
      <c r="I160" t="s">
        <v>26</v>
      </c>
      <c r="J160" t="s">
        <v>27</v>
      </c>
      <c r="K160" t="s">
        <v>37</v>
      </c>
      <c r="L160" t="s">
        <v>33</v>
      </c>
      <c r="M160" t="s">
        <v>31</v>
      </c>
      <c r="N160" t="s">
        <v>27</v>
      </c>
    </row>
    <row r="161" spans="1:14" x14ac:dyDescent="0.2">
      <c r="A161">
        <v>314</v>
      </c>
      <c r="B161" s="3" t="s">
        <v>238</v>
      </c>
      <c r="C161" s="3" t="s">
        <v>78</v>
      </c>
      <c r="D161">
        <v>8</v>
      </c>
      <c r="E161" s="12" t="s">
        <v>75</v>
      </c>
      <c r="F161" t="s">
        <v>297</v>
      </c>
      <c r="G161">
        <v>30</v>
      </c>
      <c r="H161" t="s">
        <v>52</v>
      </c>
      <c r="I161" t="s">
        <v>26</v>
      </c>
      <c r="J161" t="s">
        <v>27</v>
      </c>
      <c r="K161" t="s">
        <v>37</v>
      </c>
      <c r="L161" t="s">
        <v>33</v>
      </c>
      <c r="M161" t="s">
        <v>31</v>
      </c>
      <c r="N161" t="s">
        <v>27</v>
      </c>
    </row>
    <row r="162" spans="1:14" x14ac:dyDescent="0.2">
      <c r="A162">
        <v>315</v>
      </c>
      <c r="B162" s="3" t="s">
        <v>238</v>
      </c>
      <c r="C162" s="3" t="s">
        <v>78</v>
      </c>
      <c r="D162">
        <v>9</v>
      </c>
      <c r="E162" s="12" t="s">
        <v>94</v>
      </c>
      <c r="F162" t="s">
        <v>290</v>
      </c>
      <c r="G162">
        <v>4</v>
      </c>
      <c r="H162" t="s">
        <v>31</v>
      </c>
      <c r="I162" t="s">
        <v>26</v>
      </c>
      <c r="J162" t="s">
        <v>27</v>
      </c>
      <c r="K162" t="s">
        <v>37</v>
      </c>
      <c r="L162" t="s">
        <v>33</v>
      </c>
      <c r="M162" t="s">
        <v>25</v>
      </c>
      <c r="N162" t="s">
        <v>27</v>
      </c>
    </row>
    <row r="163" spans="1:14" x14ac:dyDescent="0.2">
      <c r="A163">
        <v>316</v>
      </c>
      <c r="B163" s="3" t="s">
        <v>238</v>
      </c>
      <c r="C163" s="3" t="s">
        <v>78</v>
      </c>
      <c r="D163">
        <v>10</v>
      </c>
      <c r="E163" s="12" t="s">
        <v>94</v>
      </c>
      <c r="F163" t="s">
        <v>290</v>
      </c>
      <c r="G163">
        <v>12</v>
      </c>
      <c r="H163" t="s">
        <v>31</v>
      </c>
      <c r="I163" t="s">
        <v>26</v>
      </c>
      <c r="J163" t="s">
        <v>27</v>
      </c>
      <c r="K163" t="s">
        <v>37</v>
      </c>
      <c r="L163" t="s">
        <v>33</v>
      </c>
      <c r="M163" t="s">
        <v>31</v>
      </c>
      <c r="N163" t="s">
        <v>27</v>
      </c>
    </row>
    <row r="164" spans="1:14" x14ac:dyDescent="0.2">
      <c r="A164">
        <v>317</v>
      </c>
      <c r="B164" s="3" t="s">
        <v>238</v>
      </c>
      <c r="C164" s="3" t="s">
        <v>78</v>
      </c>
      <c r="D164">
        <v>11</v>
      </c>
      <c r="E164" s="12" t="s">
        <v>119</v>
      </c>
      <c r="F164" t="s">
        <v>286</v>
      </c>
      <c r="G164">
        <v>2</v>
      </c>
      <c r="H164" t="s">
        <v>25</v>
      </c>
      <c r="I164" t="s">
        <v>26</v>
      </c>
      <c r="J164" t="s">
        <v>27</v>
      </c>
      <c r="K164" t="s">
        <v>37</v>
      </c>
      <c r="L164" t="s">
        <v>33</v>
      </c>
      <c r="M164" t="s">
        <v>25</v>
      </c>
      <c r="N164" t="s">
        <v>27</v>
      </c>
    </row>
    <row r="165" spans="1:14" x14ac:dyDescent="0.2">
      <c r="A165">
        <v>319</v>
      </c>
      <c r="B165" s="3" t="s">
        <v>238</v>
      </c>
      <c r="C165" s="3" t="s">
        <v>78</v>
      </c>
      <c r="D165">
        <v>13</v>
      </c>
      <c r="E165" s="12" t="s">
        <v>177</v>
      </c>
      <c r="F165" t="s">
        <v>260</v>
      </c>
      <c r="G165">
        <v>2</v>
      </c>
      <c r="H165" t="s">
        <v>31</v>
      </c>
      <c r="I165" t="s">
        <v>26</v>
      </c>
      <c r="J165" t="s">
        <v>27</v>
      </c>
      <c r="K165" t="s">
        <v>37</v>
      </c>
      <c r="L165" t="s">
        <v>33</v>
      </c>
      <c r="M165" t="s">
        <v>31</v>
      </c>
      <c r="N165" t="s">
        <v>27</v>
      </c>
    </row>
    <row r="166" spans="1:14" x14ac:dyDescent="0.2">
      <c r="A166">
        <v>320</v>
      </c>
      <c r="B166" s="3" t="s">
        <v>238</v>
      </c>
      <c r="C166" s="3" t="s">
        <v>78</v>
      </c>
      <c r="D166">
        <v>14</v>
      </c>
      <c r="E166" s="12" t="s">
        <v>177</v>
      </c>
      <c r="F166" t="s">
        <v>260</v>
      </c>
      <c r="G166">
        <v>2</v>
      </c>
      <c r="H166" t="s">
        <v>31</v>
      </c>
      <c r="I166" t="s">
        <v>26</v>
      </c>
      <c r="J166" t="s">
        <v>27</v>
      </c>
      <c r="K166" t="s">
        <v>37</v>
      </c>
      <c r="L166" t="s">
        <v>33</v>
      </c>
      <c r="M166" t="s">
        <v>31</v>
      </c>
      <c r="N166" t="s">
        <v>27</v>
      </c>
    </row>
    <row r="167" spans="1:14" x14ac:dyDescent="0.2">
      <c r="A167">
        <v>321</v>
      </c>
      <c r="B167" s="3" t="s">
        <v>238</v>
      </c>
      <c r="C167" s="3" t="s">
        <v>78</v>
      </c>
      <c r="D167">
        <v>15</v>
      </c>
      <c r="E167" s="12" t="s">
        <v>146</v>
      </c>
      <c r="F167" t="s">
        <v>280</v>
      </c>
      <c r="G167">
        <v>2</v>
      </c>
      <c r="H167" t="s">
        <v>31</v>
      </c>
      <c r="I167" t="s">
        <v>26</v>
      </c>
      <c r="J167" t="s">
        <v>27</v>
      </c>
      <c r="K167" t="s">
        <v>37</v>
      </c>
      <c r="L167" t="s">
        <v>33</v>
      </c>
      <c r="M167" t="s">
        <v>31</v>
      </c>
      <c r="N167" t="s">
        <v>27</v>
      </c>
    </row>
    <row r="168" spans="1:14" x14ac:dyDescent="0.2">
      <c r="A168">
        <v>323</v>
      </c>
      <c r="B168" s="3" t="s">
        <v>238</v>
      </c>
      <c r="C168" s="3" t="s">
        <v>78</v>
      </c>
      <c r="D168">
        <v>17</v>
      </c>
      <c r="E168" s="12" t="s">
        <v>257</v>
      </c>
      <c r="F168" t="s">
        <v>279</v>
      </c>
      <c r="G168">
        <v>1</v>
      </c>
      <c r="H168" t="s">
        <v>52</v>
      </c>
      <c r="I168" t="s">
        <v>26</v>
      </c>
      <c r="J168" t="s">
        <v>27</v>
      </c>
      <c r="K168" t="s">
        <v>37</v>
      </c>
      <c r="L168" t="s">
        <v>33</v>
      </c>
      <c r="M168" t="s">
        <v>31</v>
      </c>
      <c r="N168" t="s">
        <v>27</v>
      </c>
    </row>
    <row r="169" spans="1:14" x14ac:dyDescent="0.2">
      <c r="A169">
        <v>324</v>
      </c>
      <c r="B169" s="3" t="s">
        <v>238</v>
      </c>
      <c r="C169" s="3" t="s">
        <v>78</v>
      </c>
      <c r="D169">
        <v>18</v>
      </c>
      <c r="E169" s="12" t="s">
        <v>257</v>
      </c>
      <c r="F169" t="s">
        <v>279</v>
      </c>
      <c r="G169">
        <v>1</v>
      </c>
      <c r="H169" t="s">
        <v>52</v>
      </c>
      <c r="I169" t="s">
        <v>26</v>
      </c>
      <c r="J169" t="s">
        <v>27</v>
      </c>
      <c r="K169" t="s">
        <v>37</v>
      </c>
      <c r="L169" t="s">
        <v>33</v>
      </c>
      <c r="M169" t="s">
        <v>31</v>
      </c>
      <c r="N169" t="s">
        <v>27</v>
      </c>
    </row>
    <row r="170" spans="1:14" x14ac:dyDescent="0.2">
      <c r="A170">
        <v>325</v>
      </c>
      <c r="B170" s="3" t="s">
        <v>238</v>
      </c>
      <c r="C170" s="3" t="s">
        <v>78</v>
      </c>
      <c r="D170">
        <v>19</v>
      </c>
      <c r="E170" s="12" t="s">
        <v>257</v>
      </c>
      <c r="F170" t="s">
        <v>279</v>
      </c>
      <c r="G170">
        <v>1</v>
      </c>
      <c r="H170" t="s">
        <v>52</v>
      </c>
      <c r="I170" t="s">
        <v>26</v>
      </c>
      <c r="J170" t="s">
        <v>27</v>
      </c>
      <c r="K170" t="s">
        <v>37</v>
      </c>
      <c r="L170" t="s">
        <v>33</v>
      </c>
      <c r="M170" t="s">
        <v>31</v>
      </c>
      <c r="N170" t="s">
        <v>27</v>
      </c>
    </row>
    <row r="171" spans="1:14" x14ac:dyDescent="0.2">
      <c r="A171">
        <v>326</v>
      </c>
      <c r="B171" s="3" t="s">
        <v>238</v>
      </c>
      <c r="C171" s="3" t="s">
        <v>78</v>
      </c>
      <c r="D171">
        <v>20</v>
      </c>
      <c r="E171" s="12" t="s">
        <v>257</v>
      </c>
      <c r="F171" t="s">
        <v>279</v>
      </c>
      <c r="G171">
        <v>1</v>
      </c>
      <c r="H171" t="s">
        <v>52</v>
      </c>
      <c r="I171" t="s">
        <v>26</v>
      </c>
      <c r="J171" t="s">
        <v>27</v>
      </c>
      <c r="K171" t="s">
        <v>37</v>
      </c>
      <c r="L171" t="s">
        <v>33</v>
      </c>
      <c r="M171" t="s">
        <v>31</v>
      </c>
      <c r="N171" t="s">
        <v>27</v>
      </c>
    </row>
    <row r="172" spans="1:14" x14ac:dyDescent="0.2">
      <c r="A172">
        <v>327</v>
      </c>
      <c r="B172" s="3" t="s">
        <v>238</v>
      </c>
      <c r="C172" s="3" t="s">
        <v>78</v>
      </c>
      <c r="D172">
        <v>21</v>
      </c>
      <c r="E172" s="12" t="s">
        <v>257</v>
      </c>
      <c r="F172" t="s">
        <v>279</v>
      </c>
      <c r="G172">
        <v>1</v>
      </c>
      <c r="H172" t="s">
        <v>52</v>
      </c>
      <c r="I172" t="s">
        <v>26</v>
      </c>
      <c r="J172" t="s">
        <v>27</v>
      </c>
      <c r="K172" t="s">
        <v>37</v>
      </c>
      <c r="L172" t="s">
        <v>33</v>
      </c>
      <c r="M172" t="s">
        <v>31</v>
      </c>
      <c r="N172" t="s">
        <v>27</v>
      </c>
    </row>
    <row r="173" spans="1:14" x14ac:dyDescent="0.2">
      <c r="A173">
        <v>328</v>
      </c>
      <c r="B173" s="3" t="s">
        <v>238</v>
      </c>
      <c r="C173" s="3" t="s">
        <v>78</v>
      </c>
      <c r="D173">
        <v>22</v>
      </c>
      <c r="E173" s="12" t="s">
        <v>201</v>
      </c>
      <c r="F173" t="s">
        <v>288</v>
      </c>
      <c r="G173">
        <v>6</v>
      </c>
      <c r="H173" t="s">
        <v>52</v>
      </c>
      <c r="I173" t="s">
        <v>26</v>
      </c>
      <c r="J173" t="s">
        <v>27</v>
      </c>
      <c r="K173" t="s">
        <v>37</v>
      </c>
      <c r="L173" t="s">
        <v>33</v>
      </c>
      <c r="M173" t="s">
        <v>31</v>
      </c>
      <c r="N173" t="s">
        <v>27</v>
      </c>
    </row>
    <row r="174" spans="1:14" x14ac:dyDescent="0.2">
      <c r="A174">
        <v>329</v>
      </c>
      <c r="B174" s="3" t="s">
        <v>238</v>
      </c>
      <c r="C174" s="3" t="s">
        <v>78</v>
      </c>
      <c r="D174">
        <v>23</v>
      </c>
      <c r="E174" s="12" t="s">
        <v>201</v>
      </c>
      <c r="F174" t="s">
        <v>288</v>
      </c>
      <c r="G174">
        <v>6</v>
      </c>
      <c r="H174" t="s">
        <v>52</v>
      </c>
      <c r="I174" t="s">
        <v>26</v>
      </c>
      <c r="J174" t="s">
        <v>27</v>
      </c>
      <c r="K174" t="s">
        <v>37</v>
      </c>
      <c r="L174" t="s">
        <v>33</v>
      </c>
      <c r="M174" t="s">
        <v>31</v>
      </c>
      <c r="N174" t="s">
        <v>27</v>
      </c>
    </row>
    <row r="175" spans="1:14" x14ac:dyDescent="0.2">
      <c r="A175">
        <v>330</v>
      </c>
      <c r="B175" s="3" t="s">
        <v>238</v>
      </c>
      <c r="C175" s="3" t="s">
        <v>78</v>
      </c>
      <c r="D175">
        <v>24</v>
      </c>
      <c r="E175" s="12" t="s">
        <v>201</v>
      </c>
      <c r="F175" t="s">
        <v>288</v>
      </c>
      <c r="G175">
        <v>6</v>
      </c>
      <c r="H175" t="s">
        <v>52</v>
      </c>
      <c r="I175" t="s">
        <v>26</v>
      </c>
      <c r="J175" t="s">
        <v>27</v>
      </c>
      <c r="K175" t="s">
        <v>37</v>
      </c>
      <c r="L175" t="s">
        <v>33</v>
      </c>
      <c r="M175" t="s">
        <v>31</v>
      </c>
      <c r="N175" t="s">
        <v>27</v>
      </c>
    </row>
    <row r="176" spans="1:14" x14ac:dyDescent="0.2">
      <c r="A176">
        <v>331</v>
      </c>
      <c r="B176" s="3" t="s">
        <v>238</v>
      </c>
      <c r="C176" s="3" t="s">
        <v>78</v>
      </c>
      <c r="D176">
        <v>25</v>
      </c>
      <c r="E176" s="12" t="s">
        <v>201</v>
      </c>
      <c r="F176" t="s">
        <v>288</v>
      </c>
      <c r="G176">
        <v>6</v>
      </c>
      <c r="H176" t="s">
        <v>52</v>
      </c>
      <c r="I176" t="s">
        <v>26</v>
      </c>
      <c r="J176" t="s">
        <v>27</v>
      </c>
      <c r="K176" t="s">
        <v>37</v>
      </c>
      <c r="L176" t="s">
        <v>33</v>
      </c>
      <c r="M176" t="s">
        <v>31</v>
      </c>
      <c r="N176" t="s">
        <v>27</v>
      </c>
    </row>
    <row r="177" spans="1:15" x14ac:dyDescent="0.2">
      <c r="A177">
        <v>332</v>
      </c>
      <c r="B177" s="3" t="s">
        <v>238</v>
      </c>
      <c r="C177" s="3" t="s">
        <v>78</v>
      </c>
      <c r="D177">
        <v>26</v>
      </c>
      <c r="E177" s="12" t="s">
        <v>201</v>
      </c>
      <c r="F177" t="s">
        <v>288</v>
      </c>
      <c r="G177">
        <v>6</v>
      </c>
      <c r="H177" t="s">
        <v>52</v>
      </c>
      <c r="I177" t="s">
        <v>26</v>
      </c>
      <c r="J177" t="s">
        <v>27</v>
      </c>
      <c r="K177" t="s">
        <v>37</v>
      </c>
      <c r="L177" t="s">
        <v>33</v>
      </c>
      <c r="M177" t="s">
        <v>31</v>
      </c>
      <c r="N177" t="s">
        <v>27</v>
      </c>
    </row>
    <row r="178" spans="1:15" x14ac:dyDescent="0.2">
      <c r="A178">
        <v>333</v>
      </c>
      <c r="B178" s="3" t="s">
        <v>238</v>
      </c>
      <c r="C178" s="3" t="s">
        <v>78</v>
      </c>
      <c r="D178">
        <v>27</v>
      </c>
      <c r="E178" s="12" t="s">
        <v>201</v>
      </c>
      <c r="F178" t="s">
        <v>288</v>
      </c>
      <c r="G178">
        <v>6</v>
      </c>
      <c r="H178" t="s">
        <v>52</v>
      </c>
      <c r="I178" t="s">
        <v>26</v>
      </c>
      <c r="J178" t="s">
        <v>27</v>
      </c>
      <c r="K178" t="s">
        <v>37</v>
      </c>
      <c r="L178" t="s">
        <v>33</v>
      </c>
      <c r="M178" t="s">
        <v>31</v>
      </c>
      <c r="N178" t="s">
        <v>27</v>
      </c>
    </row>
    <row r="179" spans="1:15" x14ac:dyDescent="0.2">
      <c r="A179">
        <v>334</v>
      </c>
      <c r="B179" s="3" t="s">
        <v>238</v>
      </c>
      <c r="C179" s="3" t="s">
        <v>78</v>
      </c>
      <c r="D179">
        <v>28</v>
      </c>
      <c r="E179" s="12" t="s">
        <v>201</v>
      </c>
      <c r="F179" t="s">
        <v>288</v>
      </c>
      <c r="G179">
        <v>6</v>
      </c>
      <c r="H179" t="s">
        <v>52</v>
      </c>
      <c r="I179" t="s">
        <v>26</v>
      </c>
      <c r="J179" t="s">
        <v>27</v>
      </c>
      <c r="K179" t="s">
        <v>37</v>
      </c>
      <c r="L179" t="s">
        <v>33</v>
      </c>
      <c r="M179" t="s">
        <v>31</v>
      </c>
      <c r="N179" t="s">
        <v>27</v>
      </c>
    </row>
    <row r="180" spans="1:15" x14ac:dyDescent="0.2">
      <c r="A180">
        <v>335</v>
      </c>
      <c r="B180" s="3" t="s">
        <v>238</v>
      </c>
      <c r="C180" s="3" t="s">
        <v>78</v>
      </c>
      <c r="D180">
        <v>29</v>
      </c>
      <c r="E180" s="12" t="s">
        <v>201</v>
      </c>
      <c r="F180" t="s">
        <v>288</v>
      </c>
      <c r="G180">
        <v>6</v>
      </c>
      <c r="H180" t="s">
        <v>52</v>
      </c>
      <c r="I180" t="s">
        <v>26</v>
      </c>
      <c r="J180" t="s">
        <v>27</v>
      </c>
      <c r="K180" t="s">
        <v>37</v>
      </c>
      <c r="L180" t="s">
        <v>33</v>
      </c>
      <c r="M180" t="s">
        <v>31</v>
      </c>
      <c r="N180" t="s">
        <v>27</v>
      </c>
    </row>
    <row r="181" spans="1:15" x14ac:dyDescent="0.2">
      <c r="A181">
        <v>336</v>
      </c>
      <c r="B181" s="3" t="s">
        <v>238</v>
      </c>
      <c r="C181" s="3" t="s">
        <v>78</v>
      </c>
      <c r="D181">
        <v>30</v>
      </c>
      <c r="E181" s="12" t="s">
        <v>201</v>
      </c>
      <c r="F181" t="s">
        <v>288</v>
      </c>
      <c r="G181">
        <v>6</v>
      </c>
      <c r="H181" t="s">
        <v>52</v>
      </c>
      <c r="I181" t="s">
        <v>26</v>
      </c>
      <c r="J181" t="s">
        <v>27</v>
      </c>
      <c r="K181" t="s">
        <v>37</v>
      </c>
      <c r="L181" t="s">
        <v>33</v>
      </c>
      <c r="M181" t="s">
        <v>31</v>
      </c>
      <c r="N181" t="s">
        <v>27</v>
      </c>
    </row>
    <row r="182" spans="1:15" x14ac:dyDescent="0.2">
      <c r="A182">
        <v>337</v>
      </c>
      <c r="B182" s="3" t="s">
        <v>238</v>
      </c>
      <c r="C182" s="3" t="s">
        <v>78</v>
      </c>
      <c r="D182">
        <v>31</v>
      </c>
      <c r="E182" s="12" t="s">
        <v>201</v>
      </c>
      <c r="F182" t="s">
        <v>288</v>
      </c>
      <c r="G182">
        <v>6</v>
      </c>
      <c r="H182" t="s">
        <v>52</v>
      </c>
      <c r="I182" t="s">
        <v>26</v>
      </c>
      <c r="J182" t="s">
        <v>27</v>
      </c>
      <c r="K182" t="s">
        <v>37</v>
      </c>
      <c r="L182" t="s">
        <v>33</v>
      </c>
      <c r="M182" t="s">
        <v>31</v>
      </c>
      <c r="N182" t="s">
        <v>27</v>
      </c>
    </row>
    <row r="183" spans="1:15" x14ac:dyDescent="0.2">
      <c r="A183">
        <v>338</v>
      </c>
      <c r="B183" s="3" t="s">
        <v>238</v>
      </c>
      <c r="C183" s="3" t="s">
        <v>78</v>
      </c>
      <c r="D183">
        <v>32</v>
      </c>
      <c r="E183" s="12" t="s">
        <v>114</v>
      </c>
      <c r="F183" t="s">
        <v>268</v>
      </c>
      <c r="G183">
        <v>5</v>
      </c>
      <c r="H183" t="s">
        <v>31</v>
      </c>
      <c r="I183" t="s">
        <v>26</v>
      </c>
      <c r="J183" t="s">
        <v>27</v>
      </c>
      <c r="K183" t="s">
        <v>37</v>
      </c>
      <c r="L183" t="s">
        <v>33</v>
      </c>
      <c r="M183" t="s">
        <v>31</v>
      </c>
      <c r="N183" t="s">
        <v>27</v>
      </c>
    </row>
    <row r="184" spans="1:15" x14ac:dyDescent="0.2">
      <c r="A184">
        <v>339</v>
      </c>
      <c r="B184" s="3" t="s">
        <v>238</v>
      </c>
      <c r="C184" s="3" t="s">
        <v>78</v>
      </c>
      <c r="D184">
        <v>33</v>
      </c>
      <c r="E184" s="12" t="s">
        <v>258</v>
      </c>
      <c r="F184" t="s">
        <v>282</v>
      </c>
      <c r="G184">
        <v>5</v>
      </c>
      <c r="H184" t="s">
        <v>52</v>
      </c>
      <c r="I184" t="s">
        <v>26</v>
      </c>
      <c r="J184" t="s">
        <v>27</v>
      </c>
      <c r="K184" t="s">
        <v>37</v>
      </c>
      <c r="L184" t="s">
        <v>33</v>
      </c>
      <c r="M184" t="s">
        <v>31</v>
      </c>
      <c r="N184" t="s">
        <v>27</v>
      </c>
    </row>
    <row r="185" spans="1:15" x14ac:dyDescent="0.2">
      <c r="A185">
        <v>340</v>
      </c>
      <c r="B185" s="3" t="s">
        <v>238</v>
      </c>
      <c r="C185" s="3" t="s">
        <v>78</v>
      </c>
      <c r="D185">
        <v>34</v>
      </c>
      <c r="E185" s="12" t="s">
        <v>45</v>
      </c>
      <c r="F185" t="s">
        <v>283</v>
      </c>
      <c r="G185">
        <v>3</v>
      </c>
      <c r="H185" t="s">
        <v>31</v>
      </c>
      <c r="I185" t="s">
        <v>26</v>
      </c>
      <c r="J185" t="s">
        <v>27</v>
      </c>
      <c r="K185" t="s">
        <v>37</v>
      </c>
      <c r="L185" t="s">
        <v>33</v>
      </c>
      <c r="M185" t="s">
        <v>31</v>
      </c>
      <c r="N185" t="s">
        <v>27</v>
      </c>
    </row>
    <row r="186" spans="1:15" x14ac:dyDescent="0.2">
      <c r="A186">
        <v>341</v>
      </c>
      <c r="B186" s="3" t="s">
        <v>238</v>
      </c>
      <c r="C186" s="3" t="s">
        <v>78</v>
      </c>
      <c r="D186">
        <v>35</v>
      </c>
      <c r="E186" s="12" t="s">
        <v>45</v>
      </c>
      <c r="F186" t="s">
        <v>283</v>
      </c>
      <c r="G186">
        <v>5</v>
      </c>
      <c r="H186" t="s">
        <v>31</v>
      </c>
      <c r="I186" t="s">
        <v>26</v>
      </c>
      <c r="J186" t="s">
        <v>27</v>
      </c>
      <c r="K186" t="s">
        <v>37</v>
      </c>
      <c r="L186" t="s">
        <v>33</v>
      </c>
      <c r="M186" t="s">
        <v>31</v>
      </c>
      <c r="N186" t="s">
        <v>27</v>
      </c>
    </row>
    <row r="187" spans="1:15" x14ac:dyDescent="0.2">
      <c r="A187">
        <v>259</v>
      </c>
      <c r="B187" s="3" t="s">
        <v>184</v>
      </c>
      <c r="C187" s="3" t="s">
        <v>198</v>
      </c>
      <c r="D187">
        <v>20</v>
      </c>
      <c r="E187" s="12" t="s">
        <v>152</v>
      </c>
      <c r="F187" t="s">
        <v>276</v>
      </c>
      <c r="G187">
        <v>4</v>
      </c>
      <c r="H187" t="s">
        <v>31</v>
      </c>
      <c r="I187" t="s">
        <v>26</v>
      </c>
      <c r="J187" t="s">
        <v>27</v>
      </c>
      <c r="K187" t="s">
        <v>37</v>
      </c>
      <c r="L187" t="s">
        <v>33</v>
      </c>
      <c r="M187" t="s">
        <v>31</v>
      </c>
      <c r="N187" t="s">
        <v>27</v>
      </c>
    </row>
    <row r="188" spans="1:15" x14ac:dyDescent="0.2">
      <c r="A188">
        <v>258</v>
      </c>
      <c r="B188" s="3" t="s">
        <v>184</v>
      </c>
      <c r="C188" s="3" t="s">
        <v>197</v>
      </c>
      <c r="D188">
        <v>18</v>
      </c>
      <c r="E188" s="12" t="s">
        <v>119</v>
      </c>
      <c r="F188" t="s">
        <v>286</v>
      </c>
      <c r="G188">
        <v>2</v>
      </c>
      <c r="H188" t="s">
        <v>25</v>
      </c>
      <c r="I188" t="s">
        <v>26</v>
      </c>
      <c r="J188" t="s">
        <v>27</v>
      </c>
      <c r="K188" t="s">
        <v>37</v>
      </c>
      <c r="L188" t="s">
        <v>33</v>
      </c>
      <c r="M188" t="s">
        <v>38</v>
      </c>
      <c r="N188" t="s">
        <v>27</v>
      </c>
    </row>
    <row r="189" spans="1:15" x14ac:dyDescent="0.2">
      <c r="A189">
        <v>247</v>
      </c>
      <c r="B189" s="3" t="s">
        <v>184</v>
      </c>
      <c r="C189" s="3" t="s">
        <v>78</v>
      </c>
      <c r="D189">
        <v>7</v>
      </c>
      <c r="E189" s="12" t="s">
        <v>75</v>
      </c>
      <c r="F189" t="s">
        <v>297</v>
      </c>
      <c r="G189">
        <v>5</v>
      </c>
      <c r="H189" t="s">
        <v>52</v>
      </c>
      <c r="I189" t="s">
        <v>26</v>
      </c>
      <c r="J189" t="s">
        <v>27</v>
      </c>
      <c r="K189" t="s">
        <v>37</v>
      </c>
      <c r="L189" t="s">
        <v>33</v>
      </c>
      <c r="M189" t="s">
        <v>29</v>
      </c>
      <c r="N189" t="s">
        <v>27</v>
      </c>
    </row>
    <row r="190" spans="1:15" x14ac:dyDescent="0.2">
      <c r="A190">
        <v>250</v>
      </c>
      <c r="B190" s="3" t="s">
        <v>184</v>
      </c>
      <c r="C190" s="3" t="s">
        <v>78</v>
      </c>
      <c r="D190">
        <v>10</v>
      </c>
      <c r="E190" s="12" t="s">
        <v>152</v>
      </c>
      <c r="F190" t="s">
        <v>276</v>
      </c>
      <c r="G190">
        <v>2</v>
      </c>
      <c r="H190" t="s">
        <v>25</v>
      </c>
      <c r="I190" t="s">
        <v>26</v>
      </c>
      <c r="J190" t="s">
        <v>27</v>
      </c>
      <c r="K190" t="s">
        <v>37</v>
      </c>
      <c r="L190" t="s">
        <v>33</v>
      </c>
      <c r="M190" t="s">
        <v>31</v>
      </c>
      <c r="N190" t="s">
        <v>27</v>
      </c>
      <c r="O190" t="s">
        <v>188</v>
      </c>
    </row>
    <row r="191" spans="1:15" x14ac:dyDescent="0.2">
      <c r="A191">
        <v>251</v>
      </c>
      <c r="B191" s="3" t="s">
        <v>184</v>
      </c>
      <c r="C191" s="3" t="s">
        <v>78</v>
      </c>
      <c r="D191">
        <v>11</v>
      </c>
      <c r="E191" s="12" t="s">
        <v>189</v>
      </c>
      <c r="F191" t="s">
        <v>292</v>
      </c>
      <c r="G191">
        <v>8</v>
      </c>
      <c r="H191" t="s">
        <v>31</v>
      </c>
      <c r="I191" t="s">
        <v>26</v>
      </c>
      <c r="J191" t="s">
        <v>27</v>
      </c>
      <c r="K191" t="s">
        <v>37</v>
      </c>
      <c r="L191" t="s">
        <v>33</v>
      </c>
      <c r="M191" t="s">
        <v>29</v>
      </c>
      <c r="N191" t="s">
        <v>27</v>
      </c>
    </row>
    <row r="192" spans="1:15" x14ac:dyDescent="0.2">
      <c r="A192">
        <v>252</v>
      </c>
      <c r="B192" s="3" t="s">
        <v>184</v>
      </c>
      <c r="C192" s="3" t="s">
        <v>78</v>
      </c>
      <c r="D192">
        <v>12</v>
      </c>
      <c r="E192" s="12" t="s">
        <v>88</v>
      </c>
      <c r="F192" t="s">
        <v>263</v>
      </c>
      <c r="G192">
        <v>5</v>
      </c>
      <c r="H192" t="s">
        <v>52</v>
      </c>
      <c r="I192" t="s">
        <v>26</v>
      </c>
      <c r="J192" t="s">
        <v>27</v>
      </c>
      <c r="K192" t="s">
        <v>37</v>
      </c>
      <c r="L192" t="s">
        <v>33</v>
      </c>
      <c r="M192" t="s">
        <v>29</v>
      </c>
      <c r="N192" t="s">
        <v>27</v>
      </c>
    </row>
    <row r="193" spans="1:15" x14ac:dyDescent="0.2">
      <c r="A193">
        <v>253</v>
      </c>
      <c r="B193" s="3" t="s">
        <v>184</v>
      </c>
      <c r="C193" s="3" t="s">
        <v>78</v>
      </c>
      <c r="D193">
        <v>13</v>
      </c>
      <c r="E193" s="12" t="s">
        <v>88</v>
      </c>
      <c r="F193" t="s">
        <v>263</v>
      </c>
      <c r="G193">
        <v>5</v>
      </c>
      <c r="H193" t="s">
        <v>52</v>
      </c>
      <c r="I193" t="s">
        <v>26</v>
      </c>
      <c r="J193" t="s">
        <v>27</v>
      </c>
      <c r="K193" t="s">
        <v>37</v>
      </c>
      <c r="L193" t="s">
        <v>33</v>
      </c>
      <c r="M193" t="s">
        <v>29</v>
      </c>
      <c r="N193" t="s">
        <v>27</v>
      </c>
    </row>
    <row r="194" spans="1:15" x14ac:dyDescent="0.2">
      <c r="A194">
        <v>236</v>
      </c>
      <c r="B194" s="3" t="s">
        <v>199</v>
      </c>
      <c r="C194" s="3" t="s">
        <v>78</v>
      </c>
      <c r="D194">
        <v>1</v>
      </c>
      <c r="E194" s="12" t="s">
        <v>79</v>
      </c>
      <c r="F194" t="s">
        <v>285</v>
      </c>
      <c r="G194">
        <v>8</v>
      </c>
      <c r="H194" t="s">
        <v>52</v>
      </c>
      <c r="I194" t="s">
        <v>26</v>
      </c>
      <c r="J194" t="s">
        <v>27</v>
      </c>
      <c r="K194" t="s">
        <v>37</v>
      </c>
      <c r="L194" t="s">
        <v>33</v>
      </c>
      <c r="M194" t="s">
        <v>29</v>
      </c>
      <c r="N194" t="s">
        <v>27</v>
      </c>
    </row>
    <row r="195" spans="1:15" x14ac:dyDescent="0.2">
      <c r="A195">
        <v>235</v>
      </c>
      <c r="B195" s="3" t="s">
        <v>199</v>
      </c>
      <c r="C195" s="3" t="s">
        <v>78</v>
      </c>
      <c r="D195">
        <v>2</v>
      </c>
      <c r="E195" s="12" t="s">
        <v>180</v>
      </c>
      <c r="F195" t="s">
        <v>274</v>
      </c>
      <c r="G195">
        <v>4</v>
      </c>
      <c r="H195" t="s">
        <v>52</v>
      </c>
      <c r="I195" t="s">
        <v>26</v>
      </c>
      <c r="J195" t="s">
        <v>27</v>
      </c>
      <c r="K195" t="s">
        <v>37</v>
      </c>
      <c r="L195" t="s">
        <v>33</v>
      </c>
      <c r="M195" t="s">
        <v>29</v>
      </c>
      <c r="N195" t="s">
        <v>27</v>
      </c>
    </row>
    <row r="196" spans="1:15" x14ac:dyDescent="0.2">
      <c r="A196">
        <v>134</v>
      </c>
      <c r="B196" s="3" t="s">
        <v>168</v>
      </c>
      <c r="C196" s="3" t="s">
        <v>78</v>
      </c>
      <c r="D196">
        <v>1</v>
      </c>
      <c r="E196" s="12" t="s">
        <v>79</v>
      </c>
      <c r="F196" t="s">
        <v>285</v>
      </c>
      <c r="G196">
        <v>20</v>
      </c>
      <c r="H196" t="s">
        <v>31</v>
      </c>
      <c r="I196" t="s">
        <v>26</v>
      </c>
      <c r="J196" t="s">
        <v>27</v>
      </c>
      <c r="K196" t="s">
        <v>37</v>
      </c>
      <c r="L196" t="s">
        <v>33</v>
      </c>
      <c r="M196" t="s">
        <v>29</v>
      </c>
      <c r="N196" t="s">
        <v>27</v>
      </c>
    </row>
    <row r="197" spans="1:15" x14ac:dyDescent="0.2">
      <c r="A197">
        <v>135</v>
      </c>
      <c r="B197" s="3" t="s">
        <v>168</v>
      </c>
      <c r="C197" s="3" t="s">
        <v>78</v>
      </c>
      <c r="D197">
        <v>2</v>
      </c>
      <c r="E197" s="12" t="s">
        <v>79</v>
      </c>
      <c r="F197" t="s">
        <v>285</v>
      </c>
      <c r="G197">
        <v>20</v>
      </c>
      <c r="H197" t="s">
        <v>31</v>
      </c>
      <c r="I197" t="s">
        <v>26</v>
      </c>
      <c r="J197" t="s">
        <v>27</v>
      </c>
      <c r="K197" t="s">
        <v>37</v>
      </c>
      <c r="L197" t="s">
        <v>33</v>
      </c>
      <c r="M197" t="s">
        <v>29</v>
      </c>
      <c r="N197" t="s">
        <v>27</v>
      </c>
    </row>
    <row r="198" spans="1:15" x14ac:dyDescent="0.2">
      <c r="A198">
        <v>136</v>
      </c>
      <c r="B198" s="3" t="s">
        <v>168</v>
      </c>
      <c r="C198" s="3" t="s">
        <v>78</v>
      </c>
      <c r="D198">
        <v>3</v>
      </c>
      <c r="E198" s="12" t="s">
        <v>79</v>
      </c>
      <c r="F198" t="s">
        <v>285</v>
      </c>
      <c r="G198">
        <v>20</v>
      </c>
      <c r="H198" t="s">
        <v>31</v>
      </c>
      <c r="I198" t="s">
        <v>26</v>
      </c>
      <c r="J198" t="s">
        <v>27</v>
      </c>
      <c r="K198" t="s">
        <v>37</v>
      </c>
      <c r="L198" t="s">
        <v>33</v>
      </c>
      <c r="M198" t="s">
        <v>29</v>
      </c>
      <c r="N198" t="s">
        <v>27</v>
      </c>
    </row>
    <row r="199" spans="1:15" x14ac:dyDescent="0.2">
      <c r="A199">
        <v>137</v>
      </c>
      <c r="B199" s="3" t="s">
        <v>168</v>
      </c>
      <c r="C199" s="3" t="s">
        <v>78</v>
      </c>
      <c r="D199">
        <v>4</v>
      </c>
      <c r="E199" s="12" t="s">
        <v>169</v>
      </c>
      <c r="F199" t="s">
        <v>287</v>
      </c>
      <c r="G199">
        <v>4</v>
      </c>
      <c r="H199" t="s">
        <v>31</v>
      </c>
      <c r="I199" t="s">
        <v>26</v>
      </c>
      <c r="J199" t="s">
        <v>27</v>
      </c>
      <c r="K199" t="s">
        <v>37</v>
      </c>
      <c r="L199" t="s">
        <v>33</v>
      </c>
      <c r="M199" t="s">
        <v>29</v>
      </c>
      <c r="N199" t="s">
        <v>27</v>
      </c>
    </row>
    <row r="200" spans="1:15" x14ac:dyDescent="0.2">
      <c r="A200">
        <v>138</v>
      </c>
      <c r="B200" s="3" t="s">
        <v>168</v>
      </c>
      <c r="C200" s="3" t="s">
        <v>78</v>
      </c>
      <c r="D200">
        <v>5</v>
      </c>
      <c r="E200" s="12" t="s">
        <v>169</v>
      </c>
      <c r="F200" t="s">
        <v>287</v>
      </c>
      <c r="G200">
        <v>4</v>
      </c>
      <c r="H200" t="s">
        <v>31</v>
      </c>
      <c r="I200" t="s">
        <v>26</v>
      </c>
      <c r="J200" t="s">
        <v>27</v>
      </c>
      <c r="K200" t="s">
        <v>37</v>
      </c>
      <c r="L200" t="s">
        <v>33</v>
      </c>
      <c r="M200" t="s">
        <v>29</v>
      </c>
      <c r="N200" t="s">
        <v>27</v>
      </c>
    </row>
    <row r="201" spans="1:15" x14ac:dyDescent="0.2">
      <c r="A201">
        <v>139</v>
      </c>
      <c r="B201" s="3" t="s">
        <v>168</v>
      </c>
      <c r="C201" s="3" t="s">
        <v>78</v>
      </c>
      <c r="D201">
        <v>6</v>
      </c>
      <c r="E201" s="12" t="s">
        <v>113</v>
      </c>
      <c r="F201" t="s">
        <v>298</v>
      </c>
      <c r="G201">
        <v>4</v>
      </c>
      <c r="H201" t="s">
        <v>31</v>
      </c>
      <c r="I201" t="s">
        <v>26</v>
      </c>
      <c r="J201" t="s">
        <v>27</v>
      </c>
      <c r="K201" t="s">
        <v>37</v>
      </c>
      <c r="L201" t="s">
        <v>33</v>
      </c>
      <c r="M201" t="s">
        <v>25</v>
      </c>
      <c r="N201" t="s">
        <v>27</v>
      </c>
      <c r="O201" t="s">
        <v>43</v>
      </c>
    </row>
    <row r="202" spans="1:15" x14ac:dyDescent="0.2">
      <c r="A202">
        <v>140</v>
      </c>
      <c r="B202" s="3" t="s">
        <v>168</v>
      </c>
      <c r="C202" s="3" t="s">
        <v>78</v>
      </c>
      <c r="D202">
        <v>7</v>
      </c>
      <c r="E202" s="12" t="s">
        <v>113</v>
      </c>
      <c r="F202" t="s">
        <v>298</v>
      </c>
      <c r="G202">
        <v>4</v>
      </c>
      <c r="H202" t="s">
        <v>31</v>
      </c>
      <c r="I202" t="s">
        <v>26</v>
      </c>
      <c r="J202" t="s">
        <v>27</v>
      </c>
      <c r="K202" t="s">
        <v>37</v>
      </c>
      <c r="L202" t="s">
        <v>33</v>
      </c>
      <c r="M202" t="s">
        <v>25</v>
      </c>
      <c r="N202" t="s">
        <v>27</v>
      </c>
      <c r="O202" t="s">
        <v>43</v>
      </c>
    </row>
    <row r="203" spans="1:15" x14ac:dyDescent="0.2">
      <c r="A203">
        <v>141</v>
      </c>
      <c r="B203" s="3" t="s">
        <v>168</v>
      </c>
      <c r="C203" s="3" t="s">
        <v>78</v>
      </c>
      <c r="D203">
        <v>8</v>
      </c>
      <c r="E203" s="12" t="s">
        <v>113</v>
      </c>
      <c r="F203" t="s">
        <v>298</v>
      </c>
      <c r="G203">
        <v>4</v>
      </c>
      <c r="H203" t="s">
        <v>31</v>
      </c>
      <c r="I203" t="s">
        <v>26</v>
      </c>
      <c r="J203" t="s">
        <v>27</v>
      </c>
      <c r="K203" t="s">
        <v>37</v>
      </c>
      <c r="L203" t="s">
        <v>33</v>
      </c>
      <c r="M203" t="s">
        <v>25</v>
      </c>
      <c r="N203" t="s">
        <v>27</v>
      </c>
      <c r="O203" t="s">
        <v>43</v>
      </c>
    </row>
    <row r="204" spans="1:15" x14ac:dyDescent="0.2">
      <c r="A204">
        <v>142</v>
      </c>
      <c r="B204" s="3" t="s">
        <v>168</v>
      </c>
      <c r="C204" s="3" t="s">
        <v>78</v>
      </c>
      <c r="D204">
        <v>9</v>
      </c>
      <c r="E204" s="12" t="s">
        <v>113</v>
      </c>
      <c r="F204" t="s">
        <v>298</v>
      </c>
      <c r="G204">
        <v>4</v>
      </c>
      <c r="H204" t="s">
        <v>31</v>
      </c>
      <c r="I204" t="s">
        <v>26</v>
      </c>
      <c r="J204" t="s">
        <v>27</v>
      </c>
      <c r="K204" t="s">
        <v>37</v>
      </c>
      <c r="L204" t="s">
        <v>33</v>
      </c>
      <c r="M204" t="s">
        <v>25</v>
      </c>
      <c r="N204" t="s">
        <v>27</v>
      </c>
      <c r="O204" t="s">
        <v>43</v>
      </c>
    </row>
    <row r="205" spans="1:15" x14ac:dyDescent="0.2">
      <c r="A205">
        <v>144</v>
      </c>
      <c r="B205" s="3" t="s">
        <v>168</v>
      </c>
      <c r="C205" s="3" t="s">
        <v>78</v>
      </c>
      <c r="D205">
        <v>11</v>
      </c>
      <c r="E205" s="12" t="s">
        <v>152</v>
      </c>
      <c r="F205" t="s">
        <v>276</v>
      </c>
      <c r="G205">
        <v>3</v>
      </c>
      <c r="H205" t="s">
        <v>31</v>
      </c>
      <c r="I205" t="s">
        <v>26</v>
      </c>
      <c r="J205" t="s">
        <v>27</v>
      </c>
      <c r="K205" t="s">
        <v>37</v>
      </c>
      <c r="L205" t="s">
        <v>33</v>
      </c>
      <c r="M205" t="s">
        <v>31</v>
      </c>
      <c r="N205" t="s">
        <v>27</v>
      </c>
    </row>
    <row r="206" spans="1:15" x14ac:dyDescent="0.2">
      <c r="A206">
        <v>145</v>
      </c>
      <c r="B206" s="3" t="s">
        <v>168</v>
      </c>
      <c r="C206" s="3" t="s">
        <v>78</v>
      </c>
      <c r="D206">
        <v>12</v>
      </c>
      <c r="E206" s="12" t="s">
        <v>152</v>
      </c>
      <c r="F206" t="s">
        <v>276</v>
      </c>
      <c r="G206">
        <v>3</v>
      </c>
      <c r="H206" t="s">
        <v>31</v>
      </c>
      <c r="I206" t="s">
        <v>26</v>
      </c>
      <c r="J206" t="s">
        <v>27</v>
      </c>
      <c r="K206" t="s">
        <v>37</v>
      </c>
      <c r="L206" t="s">
        <v>33</v>
      </c>
      <c r="M206" t="s">
        <v>31</v>
      </c>
      <c r="N206" t="s">
        <v>27</v>
      </c>
    </row>
    <row r="207" spans="1:15" x14ac:dyDescent="0.2">
      <c r="A207">
        <v>146</v>
      </c>
      <c r="B207" s="3" t="s">
        <v>168</v>
      </c>
      <c r="C207" s="3" t="s">
        <v>78</v>
      </c>
      <c r="D207">
        <v>13</v>
      </c>
      <c r="E207" s="12" t="s">
        <v>152</v>
      </c>
      <c r="F207" t="s">
        <v>276</v>
      </c>
      <c r="G207">
        <v>3</v>
      </c>
      <c r="H207" t="s">
        <v>31</v>
      </c>
      <c r="I207" t="s">
        <v>26</v>
      </c>
      <c r="J207" t="s">
        <v>27</v>
      </c>
      <c r="K207" t="s">
        <v>37</v>
      </c>
      <c r="L207" t="s">
        <v>33</v>
      </c>
      <c r="M207" t="s">
        <v>31</v>
      </c>
      <c r="N207" t="s">
        <v>27</v>
      </c>
    </row>
    <row r="208" spans="1:15" x14ac:dyDescent="0.2">
      <c r="A208">
        <v>148</v>
      </c>
      <c r="B208" s="3" t="s">
        <v>168</v>
      </c>
      <c r="C208" s="3" t="s">
        <v>78</v>
      </c>
      <c r="D208">
        <v>15</v>
      </c>
      <c r="E208" s="12" t="s">
        <v>79</v>
      </c>
      <c r="F208" t="s">
        <v>285</v>
      </c>
      <c r="G208">
        <v>15</v>
      </c>
      <c r="H208" t="s">
        <v>31</v>
      </c>
      <c r="I208" t="s">
        <v>26</v>
      </c>
      <c r="J208" t="s">
        <v>27</v>
      </c>
      <c r="K208" t="s">
        <v>37</v>
      </c>
      <c r="L208" t="s">
        <v>33</v>
      </c>
      <c r="M208" t="s">
        <v>29</v>
      </c>
      <c r="N208" t="s">
        <v>27</v>
      </c>
    </row>
    <row r="209" spans="1:15" x14ac:dyDescent="0.2">
      <c r="A209">
        <v>149</v>
      </c>
      <c r="B209" s="3" t="s">
        <v>168</v>
      </c>
      <c r="C209" s="3" t="s">
        <v>78</v>
      </c>
      <c r="D209">
        <v>16</v>
      </c>
      <c r="E209" s="12" t="s">
        <v>169</v>
      </c>
      <c r="F209" t="s">
        <v>287</v>
      </c>
      <c r="G209">
        <v>4</v>
      </c>
      <c r="H209" t="s">
        <v>31</v>
      </c>
      <c r="I209" t="s">
        <v>26</v>
      </c>
      <c r="J209" t="s">
        <v>27</v>
      </c>
      <c r="K209" t="s">
        <v>37</v>
      </c>
      <c r="L209" t="s">
        <v>33</v>
      </c>
      <c r="M209" t="s">
        <v>31</v>
      </c>
      <c r="N209" t="s">
        <v>27</v>
      </c>
    </row>
    <row r="210" spans="1:15" x14ac:dyDescent="0.2">
      <c r="A210">
        <v>66</v>
      </c>
      <c r="B210" s="3" t="s">
        <v>132</v>
      </c>
      <c r="C210" s="3" t="s">
        <v>133</v>
      </c>
      <c r="D210">
        <v>1</v>
      </c>
      <c r="E210" s="12" t="s">
        <v>94</v>
      </c>
      <c r="F210" t="s">
        <v>290</v>
      </c>
      <c r="G210">
        <v>14</v>
      </c>
      <c r="H210" t="s">
        <v>52</v>
      </c>
      <c r="I210" t="s">
        <v>26</v>
      </c>
      <c r="J210" t="s">
        <v>27</v>
      </c>
      <c r="K210" t="s">
        <v>37</v>
      </c>
      <c r="L210" t="s">
        <v>33</v>
      </c>
      <c r="M210" t="s">
        <v>31</v>
      </c>
      <c r="N210" t="s">
        <v>27</v>
      </c>
    </row>
    <row r="211" spans="1:15" x14ac:dyDescent="0.2">
      <c r="A211">
        <v>211</v>
      </c>
      <c r="B211" s="3" t="s">
        <v>300</v>
      </c>
      <c r="C211" s="3" t="s">
        <v>78</v>
      </c>
      <c r="D211">
        <v>1</v>
      </c>
      <c r="E211" s="12" t="s">
        <v>180</v>
      </c>
      <c r="F211" t="s">
        <v>274</v>
      </c>
      <c r="G211">
        <v>6</v>
      </c>
      <c r="H211" t="s">
        <v>52</v>
      </c>
      <c r="I211" t="s">
        <v>26</v>
      </c>
      <c r="J211" t="s">
        <v>27</v>
      </c>
      <c r="K211" t="s">
        <v>37</v>
      </c>
      <c r="L211" t="s">
        <v>33</v>
      </c>
      <c r="M211" t="s">
        <v>29</v>
      </c>
      <c r="N211" t="s">
        <v>27</v>
      </c>
      <c r="O211" t="s">
        <v>51</v>
      </c>
    </row>
    <row r="212" spans="1:15" x14ac:dyDescent="0.2">
      <c r="A212">
        <v>212</v>
      </c>
      <c r="B212" s="3" t="s">
        <v>300</v>
      </c>
      <c r="C212" s="3" t="s">
        <v>78</v>
      </c>
      <c r="D212">
        <v>2</v>
      </c>
      <c r="E212" s="12" t="s">
        <v>180</v>
      </c>
      <c r="F212" t="s">
        <v>274</v>
      </c>
      <c r="G212">
        <v>6</v>
      </c>
      <c r="H212" t="s">
        <v>52</v>
      </c>
      <c r="I212" t="s">
        <v>26</v>
      </c>
      <c r="J212" t="s">
        <v>27</v>
      </c>
      <c r="K212" t="s">
        <v>37</v>
      </c>
      <c r="L212" t="s">
        <v>33</v>
      </c>
      <c r="M212" t="s">
        <v>29</v>
      </c>
      <c r="N212" t="s">
        <v>27</v>
      </c>
      <c r="O212" t="s">
        <v>51</v>
      </c>
    </row>
    <row r="213" spans="1:15" x14ac:dyDescent="0.2">
      <c r="A213">
        <v>213</v>
      </c>
      <c r="B213" s="3" t="s">
        <v>300</v>
      </c>
      <c r="C213" s="3" t="s">
        <v>78</v>
      </c>
      <c r="D213">
        <v>3</v>
      </c>
      <c r="E213" s="12" t="s">
        <v>146</v>
      </c>
      <c r="F213" t="s">
        <v>280</v>
      </c>
      <c r="G213">
        <v>3</v>
      </c>
      <c r="H213" t="s">
        <v>52</v>
      </c>
      <c r="I213" t="s">
        <v>26</v>
      </c>
      <c r="J213" t="s">
        <v>27</v>
      </c>
      <c r="K213" t="s">
        <v>37</v>
      </c>
      <c r="L213" t="s">
        <v>33</v>
      </c>
      <c r="M213" t="s">
        <v>29</v>
      </c>
      <c r="N213" t="s">
        <v>27</v>
      </c>
    </row>
    <row r="214" spans="1:15" x14ac:dyDescent="0.2">
      <c r="A214">
        <v>214</v>
      </c>
      <c r="B214" s="3" t="s">
        <v>300</v>
      </c>
      <c r="C214" s="3" t="s">
        <v>78</v>
      </c>
      <c r="D214">
        <v>4</v>
      </c>
      <c r="E214" s="12" t="s">
        <v>183</v>
      </c>
      <c r="F214" t="s">
        <v>296</v>
      </c>
      <c r="G214">
        <v>12</v>
      </c>
      <c r="H214" t="s">
        <v>31</v>
      </c>
      <c r="I214" t="s">
        <v>26</v>
      </c>
      <c r="J214" t="s">
        <v>27</v>
      </c>
      <c r="K214" t="s">
        <v>37</v>
      </c>
      <c r="L214" t="s">
        <v>33</v>
      </c>
      <c r="M214" t="s">
        <v>31</v>
      </c>
      <c r="N214" t="s">
        <v>27</v>
      </c>
      <c r="O214" t="s">
        <v>182</v>
      </c>
    </row>
    <row r="215" spans="1:15" x14ac:dyDescent="0.2">
      <c r="A215">
        <v>215</v>
      </c>
      <c r="B215" s="3" t="s">
        <v>300</v>
      </c>
      <c r="C215" s="3" t="s">
        <v>78</v>
      </c>
      <c r="D215">
        <v>5</v>
      </c>
      <c r="E215" s="12" t="s">
        <v>79</v>
      </c>
      <c r="F215" t="s">
        <v>285</v>
      </c>
      <c r="G215">
        <v>12</v>
      </c>
      <c r="H215" t="s">
        <v>31</v>
      </c>
      <c r="I215" t="s">
        <v>26</v>
      </c>
      <c r="J215" t="s">
        <v>27</v>
      </c>
      <c r="K215" t="s">
        <v>37</v>
      </c>
      <c r="L215" t="s">
        <v>33</v>
      </c>
      <c r="M215" t="s">
        <v>31</v>
      </c>
      <c r="N215" t="s">
        <v>27</v>
      </c>
    </row>
    <row r="216" spans="1:15" x14ac:dyDescent="0.2">
      <c r="A216">
        <v>216</v>
      </c>
      <c r="B216" s="3" t="s">
        <v>300</v>
      </c>
      <c r="C216" s="3" t="s">
        <v>78</v>
      </c>
      <c r="D216">
        <v>6</v>
      </c>
      <c r="E216" s="12" t="s">
        <v>79</v>
      </c>
      <c r="F216" t="s">
        <v>285</v>
      </c>
      <c r="G216">
        <v>10</v>
      </c>
      <c r="H216" t="s">
        <v>31</v>
      </c>
      <c r="I216" t="s">
        <v>26</v>
      </c>
      <c r="J216" t="s">
        <v>27</v>
      </c>
      <c r="K216" t="s">
        <v>37</v>
      </c>
      <c r="L216" t="s">
        <v>33</v>
      </c>
      <c r="M216" t="s">
        <v>29</v>
      </c>
      <c r="N216" t="s">
        <v>27</v>
      </c>
    </row>
    <row r="217" spans="1:15" x14ac:dyDescent="0.2">
      <c r="A217">
        <v>232</v>
      </c>
      <c r="B217" s="3" t="s">
        <v>300</v>
      </c>
      <c r="C217" s="3" t="s">
        <v>78</v>
      </c>
      <c r="D217">
        <v>22</v>
      </c>
      <c r="E217" s="12" t="s">
        <v>177</v>
      </c>
      <c r="F217" t="s">
        <v>260</v>
      </c>
      <c r="G217">
        <v>6</v>
      </c>
      <c r="H217" t="s">
        <v>31</v>
      </c>
      <c r="I217" t="s">
        <v>26</v>
      </c>
      <c r="J217" t="s">
        <v>27</v>
      </c>
      <c r="K217" t="s">
        <v>37</v>
      </c>
      <c r="L217" t="s">
        <v>33</v>
      </c>
      <c r="M217" t="s">
        <v>29</v>
      </c>
      <c r="N217" t="s">
        <v>27</v>
      </c>
      <c r="O217" t="s">
        <v>40</v>
      </c>
    </row>
    <row r="218" spans="1:15" x14ac:dyDescent="0.2">
      <c r="A218">
        <v>233</v>
      </c>
      <c r="B218" s="3" t="s">
        <v>300</v>
      </c>
      <c r="C218" s="3" t="s">
        <v>78</v>
      </c>
      <c r="D218">
        <v>23</v>
      </c>
      <c r="E218" s="12" t="s">
        <v>177</v>
      </c>
      <c r="F218" t="s">
        <v>260</v>
      </c>
      <c r="G218">
        <v>7</v>
      </c>
      <c r="H218" t="s">
        <v>31</v>
      </c>
      <c r="I218" t="s">
        <v>26</v>
      </c>
      <c r="J218" t="s">
        <v>27</v>
      </c>
      <c r="K218" t="s">
        <v>37</v>
      </c>
      <c r="L218" t="s">
        <v>33</v>
      </c>
      <c r="M218" t="s">
        <v>31</v>
      </c>
      <c r="N218" t="s">
        <v>27</v>
      </c>
      <c r="O218" t="s">
        <v>51</v>
      </c>
    </row>
    <row r="219" spans="1:15" x14ac:dyDescent="0.2">
      <c r="A219">
        <v>73</v>
      </c>
      <c r="B219" s="3" t="s">
        <v>144</v>
      </c>
      <c r="C219" s="3" t="s">
        <v>147</v>
      </c>
      <c r="D219">
        <v>7</v>
      </c>
      <c r="E219" s="12" t="s">
        <v>146</v>
      </c>
      <c r="F219" t="s">
        <v>280</v>
      </c>
      <c r="G219">
        <v>3</v>
      </c>
      <c r="H219" t="s">
        <v>52</v>
      </c>
      <c r="I219" t="s">
        <v>26</v>
      </c>
      <c r="J219" t="s">
        <v>27</v>
      </c>
      <c r="K219" t="s">
        <v>37</v>
      </c>
      <c r="L219" t="s">
        <v>33</v>
      </c>
      <c r="M219" t="s">
        <v>31</v>
      </c>
      <c r="N219" t="s">
        <v>27</v>
      </c>
    </row>
    <row r="220" spans="1:15" x14ac:dyDescent="0.2">
      <c r="A220">
        <v>72</v>
      </c>
      <c r="B220" s="3" t="s">
        <v>144</v>
      </c>
      <c r="C220" s="3" t="s">
        <v>145</v>
      </c>
      <c r="D220">
        <v>6</v>
      </c>
      <c r="E220" s="12" t="s">
        <v>138</v>
      </c>
      <c r="F220" t="s">
        <v>293</v>
      </c>
      <c r="G220">
        <v>20</v>
      </c>
      <c r="H220" t="s">
        <v>52</v>
      </c>
      <c r="I220" t="s">
        <v>26</v>
      </c>
      <c r="J220" t="s">
        <v>27</v>
      </c>
      <c r="K220" t="s">
        <v>37</v>
      </c>
      <c r="L220" t="s">
        <v>33</v>
      </c>
      <c r="M220" t="s">
        <v>29</v>
      </c>
      <c r="N220" t="s">
        <v>27</v>
      </c>
    </row>
    <row r="221" spans="1:15" x14ac:dyDescent="0.2">
      <c r="A221">
        <v>71</v>
      </c>
      <c r="B221" s="3" t="s">
        <v>55</v>
      </c>
      <c r="C221" s="3" t="s">
        <v>143</v>
      </c>
      <c r="D221">
        <v>1</v>
      </c>
      <c r="E221" s="12" t="s">
        <v>138</v>
      </c>
      <c r="F221" t="s">
        <v>293</v>
      </c>
      <c r="G221">
        <v>20</v>
      </c>
      <c r="H221" t="s">
        <v>52</v>
      </c>
      <c r="I221" t="s">
        <v>26</v>
      </c>
      <c r="J221" t="s">
        <v>27</v>
      </c>
      <c r="K221" t="s">
        <v>37</v>
      </c>
      <c r="L221" t="s">
        <v>33</v>
      </c>
      <c r="M221" t="s">
        <v>29</v>
      </c>
      <c r="N221" t="s">
        <v>27</v>
      </c>
    </row>
    <row r="222" spans="1:15" x14ac:dyDescent="0.2">
      <c r="A222">
        <v>70</v>
      </c>
      <c r="B222" s="3" t="s">
        <v>55</v>
      </c>
      <c r="C222" s="3" t="s">
        <v>142</v>
      </c>
      <c r="D222">
        <v>4</v>
      </c>
      <c r="E222" s="12" t="s">
        <v>138</v>
      </c>
      <c r="F222" t="s">
        <v>293</v>
      </c>
      <c r="G222">
        <v>20</v>
      </c>
      <c r="H222" t="s">
        <v>52</v>
      </c>
      <c r="I222" t="s">
        <v>26</v>
      </c>
      <c r="J222" t="s">
        <v>27</v>
      </c>
      <c r="K222" t="s">
        <v>37</v>
      </c>
      <c r="L222" t="s">
        <v>33</v>
      </c>
      <c r="M222" t="s">
        <v>29</v>
      </c>
      <c r="N222" t="s">
        <v>27</v>
      </c>
    </row>
    <row r="223" spans="1:15" x14ac:dyDescent="0.2">
      <c r="A223">
        <v>69</v>
      </c>
      <c r="B223" s="3" t="s">
        <v>140</v>
      </c>
      <c r="C223" s="3" t="s">
        <v>141</v>
      </c>
      <c r="D223">
        <v>3</v>
      </c>
      <c r="E223" s="12" t="s">
        <v>138</v>
      </c>
      <c r="F223" t="s">
        <v>293</v>
      </c>
      <c r="G223">
        <v>18</v>
      </c>
      <c r="H223" t="s">
        <v>52</v>
      </c>
      <c r="I223" t="s">
        <v>26</v>
      </c>
      <c r="J223" t="s">
        <v>27</v>
      </c>
      <c r="K223" t="s">
        <v>37</v>
      </c>
      <c r="L223" t="s">
        <v>33</v>
      </c>
      <c r="M223" t="s">
        <v>29</v>
      </c>
      <c r="N223" t="s">
        <v>27</v>
      </c>
    </row>
    <row r="224" spans="1:15" x14ac:dyDescent="0.2">
      <c r="A224">
        <v>68</v>
      </c>
      <c r="B224" s="3" t="s">
        <v>136</v>
      </c>
      <c r="C224" s="3" t="s">
        <v>139</v>
      </c>
      <c r="D224">
        <v>2</v>
      </c>
      <c r="E224" s="12" t="s">
        <v>138</v>
      </c>
      <c r="F224" t="s">
        <v>293</v>
      </c>
      <c r="G224">
        <v>14</v>
      </c>
      <c r="H224" t="s">
        <v>52</v>
      </c>
      <c r="I224" t="s">
        <v>26</v>
      </c>
      <c r="J224" t="s">
        <v>27</v>
      </c>
      <c r="K224" t="s">
        <v>37</v>
      </c>
      <c r="L224" t="s">
        <v>33</v>
      </c>
      <c r="M224" t="s">
        <v>29</v>
      </c>
      <c r="N224" t="s">
        <v>27</v>
      </c>
    </row>
    <row r="225" spans="1:15" x14ac:dyDescent="0.2">
      <c r="A225">
        <v>131</v>
      </c>
      <c r="B225" s="3" t="s">
        <v>164</v>
      </c>
      <c r="C225" s="3" t="s">
        <v>78</v>
      </c>
      <c r="D225">
        <v>50</v>
      </c>
      <c r="E225" s="12" t="s">
        <v>119</v>
      </c>
      <c r="F225" t="s">
        <v>286</v>
      </c>
      <c r="G225">
        <v>3</v>
      </c>
      <c r="H225" t="s">
        <v>31</v>
      </c>
      <c r="I225" t="s">
        <v>26</v>
      </c>
      <c r="J225" t="s">
        <v>27</v>
      </c>
      <c r="K225" t="s">
        <v>37</v>
      </c>
      <c r="L225" t="s">
        <v>33</v>
      </c>
      <c r="M225" t="s">
        <v>29</v>
      </c>
      <c r="N225" t="s">
        <v>27</v>
      </c>
    </row>
    <row r="226" spans="1:15" x14ac:dyDescent="0.2">
      <c r="A226">
        <v>132</v>
      </c>
      <c r="B226" s="3" t="s">
        <v>164</v>
      </c>
      <c r="C226" s="3" t="s">
        <v>78</v>
      </c>
      <c r="D226">
        <v>51</v>
      </c>
      <c r="E226" s="12" t="s">
        <v>126</v>
      </c>
      <c r="F226" t="s">
        <v>273</v>
      </c>
      <c r="G226">
        <v>3</v>
      </c>
      <c r="H226" t="s">
        <v>31</v>
      </c>
      <c r="I226" t="s">
        <v>26</v>
      </c>
      <c r="J226" t="s">
        <v>27</v>
      </c>
      <c r="K226" t="s">
        <v>37</v>
      </c>
      <c r="L226" t="s">
        <v>33</v>
      </c>
      <c r="M226" t="s">
        <v>38</v>
      </c>
      <c r="N226" t="s">
        <v>84</v>
      </c>
      <c r="O226" t="s">
        <v>165</v>
      </c>
    </row>
    <row r="227" spans="1:15" x14ac:dyDescent="0.2">
      <c r="A227">
        <v>50</v>
      </c>
      <c r="B227" s="3" t="s">
        <v>122</v>
      </c>
      <c r="C227" s="3" t="s">
        <v>78</v>
      </c>
      <c r="D227">
        <v>1</v>
      </c>
      <c r="E227" s="12" t="s">
        <v>79</v>
      </c>
      <c r="F227" t="s">
        <v>285</v>
      </c>
      <c r="G227">
        <v>5</v>
      </c>
      <c r="H227" t="s">
        <v>31</v>
      </c>
      <c r="I227" t="s">
        <v>26</v>
      </c>
      <c r="J227" t="s">
        <v>27</v>
      </c>
      <c r="K227" t="s">
        <v>37</v>
      </c>
      <c r="L227" t="s">
        <v>33</v>
      </c>
      <c r="M227" t="s">
        <v>31</v>
      </c>
      <c r="N227" t="s">
        <v>27</v>
      </c>
      <c r="O227" t="s">
        <v>121</v>
      </c>
    </row>
    <row r="228" spans="1:15" x14ac:dyDescent="0.2">
      <c r="A228">
        <v>51</v>
      </c>
      <c r="B228" s="3" t="s">
        <v>122</v>
      </c>
      <c r="C228" s="3" t="s">
        <v>78</v>
      </c>
      <c r="D228">
        <v>2</v>
      </c>
      <c r="E228" s="12" t="s">
        <v>79</v>
      </c>
      <c r="F228" t="s">
        <v>285</v>
      </c>
      <c r="G228">
        <v>5</v>
      </c>
      <c r="H228" t="s">
        <v>31</v>
      </c>
      <c r="I228" t="s">
        <v>26</v>
      </c>
      <c r="J228" t="s">
        <v>27</v>
      </c>
      <c r="K228" t="s">
        <v>37</v>
      </c>
      <c r="L228" t="s">
        <v>33</v>
      </c>
      <c r="M228" t="s">
        <v>31</v>
      </c>
      <c r="N228" t="s">
        <v>27</v>
      </c>
      <c r="O228" t="s">
        <v>123</v>
      </c>
    </row>
    <row r="229" spans="1:15" x14ac:dyDescent="0.2">
      <c r="A229">
        <v>52</v>
      </c>
      <c r="B229" s="3" t="s">
        <v>122</v>
      </c>
      <c r="C229" s="3" t="s">
        <v>78</v>
      </c>
      <c r="D229">
        <v>3</v>
      </c>
      <c r="E229" s="12" t="s">
        <v>79</v>
      </c>
      <c r="F229" t="s">
        <v>285</v>
      </c>
      <c r="G229">
        <v>5</v>
      </c>
      <c r="H229" t="s">
        <v>31</v>
      </c>
      <c r="I229" t="s">
        <v>26</v>
      </c>
      <c r="J229" t="s">
        <v>27</v>
      </c>
      <c r="K229" t="s">
        <v>37</v>
      </c>
      <c r="L229" t="s">
        <v>33</v>
      </c>
      <c r="M229" t="s">
        <v>31</v>
      </c>
      <c r="N229" t="s">
        <v>27</v>
      </c>
    </row>
    <row r="230" spans="1:15" x14ac:dyDescent="0.2">
      <c r="A230">
        <v>53</v>
      </c>
      <c r="B230" s="3" t="s">
        <v>122</v>
      </c>
      <c r="C230" s="3" t="s">
        <v>78</v>
      </c>
      <c r="D230">
        <v>4</v>
      </c>
      <c r="E230" s="12" t="s">
        <v>79</v>
      </c>
      <c r="F230" t="s">
        <v>285</v>
      </c>
      <c r="G230">
        <v>5</v>
      </c>
      <c r="H230" t="s">
        <v>31</v>
      </c>
      <c r="I230" t="s">
        <v>26</v>
      </c>
      <c r="J230" t="s">
        <v>27</v>
      </c>
      <c r="K230" t="s">
        <v>37</v>
      </c>
      <c r="L230" t="s">
        <v>33</v>
      </c>
      <c r="M230" t="s">
        <v>31</v>
      </c>
      <c r="N230" t="s">
        <v>27</v>
      </c>
    </row>
    <row r="231" spans="1:15" x14ac:dyDescent="0.2">
      <c r="A231">
        <v>54</v>
      </c>
      <c r="B231" s="3" t="s">
        <v>122</v>
      </c>
      <c r="C231" s="3" t="s">
        <v>78</v>
      </c>
      <c r="D231">
        <v>5</v>
      </c>
      <c r="E231" s="12" t="s">
        <v>79</v>
      </c>
      <c r="F231" t="s">
        <v>285</v>
      </c>
      <c r="G231">
        <v>5</v>
      </c>
      <c r="H231" t="s">
        <v>31</v>
      </c>
      <c r="I231" t="s">
        <v>26</v>
      </c>
      <c r="J231" t="s">
        <v>27</v>
      </c>
      <c r="K231" t="s">
        <v>37</v>
      </c>
      <c r="L231" t="s">
        <v>33</v>
      </c>
      <c r="M231" t="s">
        <v>31</v>
      </c>
      <c r="N231" t="s">
        <v>27</v>
      </c>
    </row>
    <row r="232" spans="1:15" x14ac:dyDescent="0.2">
      <c r="A232">
        <v>58</v>
      </c>
      <c r="B232" s="3" t="s">
        <v>122</v>
      </c>
      <c r="C232" s="3" t="s">
        <v>78</v>
      </c>
      <c r="D232">
        <v>9</v>
      </c>
      <c r="E232" s="12" t="s">
        <v>79</v>
      </c>
      <c r="F232" t="s">
        <v>285</v>
      </c>
      <c r="G232">
        <v>4</v>
      </c>
      <c r="H232" t="s">
        <v>52</v>
      </c>
      <c r="I232" t="s">
        <v>26</v>
      </c>
      <c r="J232" t="s">
        <v>27</v>
      </c>
      <c r="K232" t="s">
        <v>37</v>
      </c>
      <c r="L232" t="s">
        <v>33</v>
      </c>
      <c r="M232" t="s">
        <v>31</v>
      </c>
      <c r="N232" t="s">
        <v>84</v>
      </c>
      <c r="O232" t="s">
        <v>124</v>
      </c>
    </row>
    <row r="233" spans="1:15" x14ac:dyDescent="0.2">
      <c r="A233">
        <v>59</v>
      </c>
      <c r="B233" s="3" t="s">
        <v>122</v>
      </c>
      <c r="C233" s="3" t="s">
        <v>78</v>
      </c>
      <c r="D233">
        <v>10</v>
      </c>
      <c r="E233" s="12" t="s">
        <v>82</v>
      </c>
      <c r="F233" t="s">
        <v>284</v>
      </c>
      <c r="G233">
        <v>8</v>
      </c>
      <c r="H233" t="s">
        <v>31</v>
      </c>
      <c r="I233" t="s">
        <v>26</v>
      </c>
      <c r="J233" t="s">
        <v>27</v>
      </c>
      <c r="K233" t="s">
        <v>37</v>
      </c>
      <c r="L233" t="s">
        <v>33</v>
      </c>
      <c r="M233" t="s">
        <v>38</v>
      </c>
      <c r="N233" t="s">
        <v>27</v>
      </c>
      <c r="O233" t="s">
        <v>125</v>
      </c>
    </row>
    <row r="234" spans="1:15" x14ac:dyDescent="0.2">
      <c r="A234">
        <v>156</v>
      </c>
      <c r="B234" s="3" t="s">
        <v>174</v>
      </c>
      <c r="C234" s="3" t="s">
        <v>78</v>
      </c>
      <c r="D234">
        <v>1</v>
      </c>
      <c r="E234" s="12" t="s">
        <v>94</v>
      </c>
      <c r="F234" t="s">
        <v>290</v>
      </c>
      <c r="G234">
        <v>10</v>
      </c>
      <c r="H234" t="s">
        <v>25</v>
      </c>
      <c r="I234" t="s">
        <v>26</v>
      </c>
      <c r="J234" t="s">
        <v>27</v>
      </c>
      <c r="K234" t="s">
        <v>37</v>
      </c>
      <c r="L234" t="s">
        <v>33</v>
      </c>
      <c r="M234" t="s">
        <v>29</v>
      </c>
      <c r="N234" t="s">
        <v>27</v>
      </c>
    </row>
    <row r="235" spans="1:15" x14ac:dyDescent="0.2">
      <c r="A235">
        <v>157</v>
      </c>
      <c r="B235" s="3" t="s">
        <v>174</v>
      </c>
      <c r="C235" s="3" t="s">
        <v>78</v>
      </c>
      <c r="D235">
        <v>2</v>
      </c>
      <c r="E235" s="12" t="s">
        <v>79</v>
      </c>
      <c r="F235" t="s">
        <v>285</v>
      </c>
      <c r="G235">
        <v>8</v>
      </c>
      <c r="H235" t="s">
        <v>52</v>
      </c>
      <c r="I235" t="s">
        <v>26</v>
      </c>
      <c r="J235" t="s">
        <v>27</v>
      </c>
      <c r="K235" t="s">
        <v>37</v>
      </c>
      <c r="L235" t="s">
        <v>33</v>
      </c>
      <c r="M235" t="s">
        <v>29</v>
      </c>
      <c r="N235" t="s">
        <v>27</v>
      </c>
    </row>
    <row r="236" spans="1:15" x14ac:dyDescent="0.2">
      <c r="A236">
        <v>158</v>
      </c>
      <c r="B236" s="3" t="s">
        <v>174</v>
      </c>
      <c r="C236" s="3" t="s">
        <v>78</v>
      </c>
      <c r="D236">
        <v>3</v>
      </c>
      <c r="E236" s="12" t="s">
        <v>79</v>
      </c>
      <c r="F236" t="s">
        <v>285</v>
      </c>
      <c r="G236">
        <v>8</v>
      </c>
      <c r="H236" t="s">
        <v>52</v>
      </c>
      <c r="I236" t="s">
        <v>26</v>
      </c>
      <c r="J236" t="s">
        <v>27</v>
      </c>
      <c r="K236" t="s">
        <v>37</v>
      </c>
      <c r="L236" t="s">
        <v>33</v>
      </c>
      <c r="M236" t="s">
        <v>29</v>
      </c>
      <c r="N236" t="s">
        <v>27</v>
      </c>
    </row>
    <row r="237" spans="1:15" x14ac:dyDescent="0.2">
      <c r="A237">
        <v>159</v>
      </c>
      <c r="B237" s="3" t="s">
        <v>174</v>
      </c>
      <c r="C237" s="3" t="s">
        <v>78</v>
      </c>
      <c r="D237">
        <v>4</v>
      </c>
      <c r="E237" s="12" t="s">
        <v>75</v>
      </c>
      <c r="F237" t="s">
        <v>297</v>
      </c>
      <c r="G237">
        <v>16</v>
      </c>
      <c r="H237" t="s">
        <v>31</v>
      </c>
      <c r="I237" t="s">
        <v>26</v>
      </c>
      <c r="J237" t="s">
        <v>27</v>
      </c>
      <c r="K237" t="s">
        <v>37</v>
      </c>
      <c r="L237" t="s">
        <v>33</v>
      </c>
      <c r="M237" t="s">
        <v>29</v>
      </c>
      <c r="N237" t="s">
        <v>27</v>
      </c>
    </row>
    <row r="238" spans="1:15" x14ac:dyDescent="0.2">
      <c r="A238">
        <v>163</v>
      </c>
      <c r="B238" s="3" t="s">
        <v>174</v>
      </c>
      <c r="C238" s="3" t="s">
        <v>78</v>
      </c>
      <c r="D238">
        <v>8</v>
      </c>
      <c r="E238" s="12" t="s">
        <v>177</v>
      </c>
      <c r="F238" t="s">
        <v>260</v>
      </c>
      <c r="G238">
        <v>9</v>
      </c>
      <c r="H238" t="s">
        <v>31</v>
      </c>
      <c r="I238" t="s">
        <v>26</v>
      </c>
      <c r="J238" t="s">
        <v>27</v>
      </c>
      <c r="K238" t="s">
        <v>37</v>
      </c>
      <c r="L238" t="s">
        <v>33</v>
      </c>
      <c r="M238" t="s">
        <v>31</v>
      </c>
      <c r="N238" t="s">
        <v>27</v>
      </c>
      <c r="O238" t="s">
        <v>43</v>
      </c>
    </row>
    <row r="239" spans="1:15" x14ac:dyDescent="0.2">
      <c r="A239">
        <v>165</v>
      </c>
      <c r="B239" s="3" t="s">
        <v>174</v>
      </c>
      <c r="C239" s="3" t="s">
        <v>78</v>
      </c>
      <c r="D239">
        <v>9</v>
      </c>
      <c r="E239" s="12" t="s">
        <v>171</v>
      </c>
      <c r="F239" t="s">
        <v>281</v>
      </c>
      <c r="G239">
        <v>4</v>
      </c>
      <c r="H239" t="s">
        <v>52</v>
      </c>
      <c r="I239" t="s">
        <v>26</v>
      </c>
      <c r="J239" t="s">
        <v>27</v>
      </c>
      <c r="K239" t="s">
        <v>37</v>
      </c>
      <c r="L239" t="s">
        <v>33</v>
      </c>
      <c r="M239" t="s">
        <v>31</v>
      </c>
      <c r="N239" t="s">
        <v>27</v>
      </c>
    </row>
    <row r="240" spans="1:15" x14ac:dyDescent="0.2">
      <c r="A240">
        <v>167</v>
      </c>
      <c r="B240" s="3" t="s">
        <v>174</v>
      </c>
      <c r="C240" s="3" t="s">
        <v>78</v>
      </c>
      <c r="D240">
        <v>11</v>
      </c>
      <c r="E240" s="12" t="s">
        <v>146</v>
      </c>
      <c r="F240" t="s">
        <v>280</v>
      </c>
      <c r="G240">
        <v>2</v>
      </c>
      <c r="H240" t="s">
        <v>52</v>
      </c>
      <c r="I240" t="s">
        <v>26</v>
      </c>
      <c r="J240" t="s">
        <v>27</v>
      </c>
      <c r="K240" t="s">
        <v>37</v>
      </c>
      <c r="L240" t="s">
        <v>33</v>
      </c>
      <c r="M240" t="s">
        <v>29</v>
      </c>
      <c r="N240" t="s">
        <v>27</v>
      </c>
    </row>
    <row r="241" spans="1:14" x14ac:dyDescent="0.2">
      <c r="A241">
        <v>168</v>
      </c>
      <c r="B241" s="3" t="s">
        <v>174</v>
      </c>
      <c r="C241" s="3" t="s">
        <v>78</v>
      </c>
      <c r="D241">
        <v>12</v>
      </c>
      <c r="E241" s="12" t="s">
        <v>152</v>
      </c>
      <c r="F241" t="s">
        <v>276</v>
      </c>
      <c r="G241">
        <v>7</v>
      </c>
      <c r="H241" t="s">
        <v>31</v>
      </c>
      <c r="I241" t="s">
        <v>26</v>
      </c>
      <c r="J241" t="s">
        <v>27</v>
      </c>
      <c r="K241" t="s">
        <v>37</v>
      </c>
      <c r="L241" t="s">
        <v>33</v>
      </c>
      <c r="M241" t="s">
        <v>31</v>
      </c>
      <c r="N241" t="s">
        <v>27</v>
      </c>
    </row>
    <row r="242" spans="1:14" x14ac:dyDescent="0.2">
      <c r="A242">
        <v>169</v>
      </c>
      <c r="B242" s="3" t="s">
        <v>174</v>
      </c>
      <c r="C242" s="3" t="s">
        <v>78</v>
      </c>
      <c r="D242">
        <v>13</v>
      </c>
      <c r="E242" s="12" t="s">
        <v>152</v>
      </c>
      <c r="F242" t="s">
        <v>276</v>
      </c>
      <c r="G242">
        <v>7</v>
      </c>
      <c r="H242" t="s">
        <v>31</v>
      </c>
      <c r="I242" t="s">
        <v>26</v>
      </c>
      <c r="J242" t="s">
        <v>27</v>
      </c>
      <c r="K242" t="s">
        <v>37</v>
      </c>
      <c r="L242" t="s">
        <v>33</v>
      </c>
      <c r="M242" t="s">
        <v>31</v>
      </c>
      <c r="N242" t="s">
        <v>27</v>
      </c>
    </row>
    <row r="243" spans="1:14" x14ac:dyDescent="0.2">
      <c r="A243">
        <v>170</v>
      </c>
      <c r="B243" s="3" t="s">
        <v>174</v>
      </c>
      <c r="C243" s="3" t="s">
        <v>78</v>
      </c>
      <c r="D243">
        <v>14</v>
      </c>
      <c r="E243" s="12" t="s">
        <v>179</v>
      </c>
      <c r="F243" t="s">
        <v>266</v>
      </c>
      <c r="G243">
        <v>14</v>
      </c>
      <c r="H243" t="s">
        <v>52</v>
      </c>
      <c r="I243" t="s">
        <v>26</v>
      </c>
      <c r="J243" t="s">
        <v>27</v>
      </c>
      <c r="K243" t="s">
        <v>37</v>
      </c>
      <c r="L243" t="s">
        <v>33</v>
      </c>
      <c r="M243" t="s">
        <v>31</v>
      </c>
      <c r="N243" t="s">
        <v>27</v>
      </c>
    </row>
    <row r="244" spans="1:14" x14ac:dyDescent="0.2">
      <c r="A244">
        <v>171</v>
      </c>
      <c r="B244" s="3" t="s">
        <v>174</v>
      </c>
      <c r="C244" s="3" t="s">
        <v>78</v>
      </c>
      <c r="D244">
        <v>15</v>
      </c>
      <c r="E244" s="12" t="s">
        <v>56</v>
      </c>
      <c r="F244" t="s">
        <v>294</v>
      </c>
      <c r="G244">
        <v>12</v>
      </c>
      <c r="H244" t="s">
        <v>31</v>
      </c>
      <c r="I244" t="s">
        <v>26</v>
      </c>
      <c r="J244" t="s">
        <v>27</v>
      </c>
      <c r="K244" t="s">
        <v>37</v>
      </c>
      <c r="L244" t="s">
        <v>33</v>
      </c>
      <c r="M244" t="s">
        <v>31</v>
      </c>
      <c r="N244" t="s">
        <v>27</v>
      </c>
    </row>
    <row r="245" spans="1:14" x14ac:dyDescent="0.2">
      <c r="A245">
        <v>172</v>
      </c>
      <c r="B245" s="3" t="s">
        <v>174</v>
      </c>
      <c r="C245" s="3" t="s">
        <v>78</v>
      </c>
      <c r="D245">
        <v>16</v>
      </c>
      <c r="E245" s="12" t="s">
        <v>217</v>
      </c>
      <c r="F245" t="s">
        <v>295</v>
      </c>
      <c r="G245">
        <v>32</v>
      </c>
      <c r="H245" t="s">
        <v>31</v>
      </c>
      <c r="I245" t="s">
        <v>26</v>
      </c>
      <c r="J245" t="s">
        <v>27</v>
      </c>
      <c r="K245" t="s">
        <v>37</v>
      </c>
      <c r="L245" t="s">
        <v>33</v>
      </c>
      <c r="M245" t="s">
        <v>31</v>
      </c>
      <c r="N245" t="s">
        <v>27</v>
      </c>
    </row>
    <row r="246" spans="1:14" x14ac:dyDescent="0.2">
      <c r="E246" s="12"/>
    </row>
    <row r="247" spans="1:14" x14ac:dyDescent="0.2">
      <c r="B247" s="13" t="s">
        <v>301</v>
      </c>
      <c r="E247" s="12"/>
    </row>
    <row r="248" spans="1:14" x14ac:dyDescent="0.2">
      <c r="A248">
        <v>34</v>
      </c>
      <c r="B248" s="3">
        <v>21</v>
      </c>
      <c r="C248" s="3">
        <v>10</v>
      </c>
      <c r="D248">
        <v>33</v>
      </c>
      <c r="E248" s="12" t="s">
        <v>88</v>
      </c>
      <c r="F248" t="s">
        <v>263</v>
      </c>
      <c r="G248">
        <v>1</v>
      </c>
      <c r="H248" t="s">
        <v>52</v>
      </c>
      <c r="I248" t="s">
        <v>87</v>
      </c>
      <c r="J248" t="s">
        <v>27</v>
      </c>
      <c r="K248" t="s">
        <v>37</v>
      </c>
      <c r="L248" t="s">
        <v>33</v>
      </c>
      <c r="M248" t="s">
        <v>31</v>
      </c>
      <c r="N248" t="s">
        <v>27</v>
      </c>
    </row>
    <row r="249" spans="1:14" x14ac:dyDescent="0.2">
      <c r="A249">
        <v>33</v>
      </c>
      <c r="B249" s="3">
        <v>21</v>
      </c>
      <c r="C249" s="3">
        <v>20</v>
      </c>
      <c r="D249">
        <v>1</v>
      </c>
      <c r="E249" s="12" t="s">
        <v>88</v>
      </c>
      <c r="F249" t="s">
        <v>263</v>
      </c>
      <c r="G249">
        <v>1</v>
      </c>
      <c r="H249" t="s">
        <v>31</v>
      </c>
      <c r="I249" t="s">
        <v>87</v>
      </c>
      <c r="J249" t="s">
        <v>27</v>
      </c>
      <c r="K249" t="s">
        <v>37</v>
      </c>
      <c r="L249" t="s">
        <v>33</v>
      </c>
      <c r="M249" t="s">
        <v>31</v>
      </c>
      <c r="N249" t="s">
        <v>27</v>
      </c>
    </row>
    <row r="250" spans="1:14" x14ac:dyDescent="0.2">
      <c r="A250">
        <v>32</v>
      </c>
      <c r="B250" s="3">
        <v>21</v>
      </c>
      <c r="C250" s="3">
        <v>54</v>
      </c>
      <c r="D250">
        <v>1</v>
      </c>
      <c r="E250" s="12" t="s">
        <v>88</v>
      </c>
      <c r="F250" t="s">
        <v>263</v>
      </c>
      <c r="G250">
        <v>1</v>
      </c>
      <c r="H250" t="s">
        <v>52</v>
      </c>
      <c r="I250" t="s">
        <v>87</v>
      </c>
      <c r="J250" t="s">
        <v>27</v>
      </c>
      <c r="K250" t="s">
        <v>37</v>
      </c>
      <c r="L250" t="s">
        <v>33</v>
      </c>
      <c r="M250" t="s">
        <v>31</v>
      </c>
      <c r="N250" t="s">
        <v>27</v>
      </c>
    </row>
    <row r="251" spans="1:14" x14ac:dyDescent="0.2">
      <c r="A251">
        <v>31</v>
      </c>
      <c r="B251" s="3">
        <v>21</v>
      </c>
      <c r="C251" s="3">
        <v>124</v>
      </c>
      <c r="D251">
        <v>30</v>
      </c>
      <c r="E251" s="12" t="s">
        <v>88</v>
      </c>
      <c r="F251" t="s">
        <v>263</v>
      </c>
      <c r="G251">
        <v>1</v>
      </c>
      <c r="H251" t="s">
        <v>52</v>
      </c>
      <c r="I251" t="s">
        <v>87</v>
      </c>
      <c r="J251" t="s">
        <v>27</v>
      </c>
      <c r="K251" t="s">
        <v>37</v>
      </c>
      <c r="L251" t="s">
        <v>33</v>
      </c>
      <c r="M251" t="s">
        <v>31</v>
      </c>
      <c r="N251" t="s">
        <v>27</v>
      </c>
    </row>
    <row r="252" spans="1:14" x14ac:dyDescent="0.2">
      <c r="A252">
        <v>38</v>
      </c>
      <c r="B252" s="3">
        <v>21</v>
      </c>
      <c r="C252" s="3">
        <v>126</v>
      </c>
      <c r="D252">
        <v>37</v>
      </c>
      <c r="E252" s="12" t="s">
        <v>88</v>
      </c>
      <c r="F252" t="s">
        <v>263</v>
      </c>
      <c r="G252">
        <v>2</v>
      </c>
      <c r="H252" t="s">
        <v>52</v>
      </c>
      <c r="I252" t="s">
        <v>87</v>
      </c>
      <c r="J252" t="s">
        <v>27</v>
      </c>
      <c r="K252" t="s">
        <v>37</v>
      </c>
      <c r="L252" t="s">
        <v>33</v>
      </c>
      <c r="M252" t="s">
        <v>31</v>
      </c>
      <c r="N252" t="s">
        <v>27</v>
      </c>
    </row>
    <row r="253" spans="1:14" x14ac:dyDescent="0.2">
      <c r="A253">
        <v>30</v>
      </c>
      <c r="B253" s="3">
        <v>21</v>
      </c>
      <c r="C253" s="3">
        <v>203</v>
      </c>
      <c r="D253">
        <v>29</v>
      </c>
      <c r="E253" s="12" t="s">
        <v>88</v>
      </c>
      <c r="F253" t="s">
        <v>263</v>
      </c>
      <c r="G253">
        <v>1</v>
      </c>
      <c r="H253" t="s">
        <v>52</v>
      </c>
      <c r="I253" t="s">
        <v>87</v>
      </c>
      <c r="J253" t="s">
        <v>27</v>
      </c>
      <c r="K253" t="s">
        <v>37</v>
      </c>
      <c r="L253" t="s">
        <v>33</v>
      </c>
      <c r="M253" t="s">
        <v>31</v>
      </c>
      <c r="N253" t="s">
        <v>27</v>
      </c>
    </row>
    <row r="254" spans="1:14" x14ac:dyDescent="0.2">
      <c r="A254">
        <v>29</v>
      </c>
      <c r="B254" s="3">
        <v>21</v>
      </c>
      <c r="C254" s="3">
        <v>388</v>
      </c>
      <c r="D254">
        <v>28</v>
      </c>
      <c r="E254" s="12" t="s">
        <v>88</v>
      </c>
      <c r="F254" t="s">
        <v>263</v>
      </c>
      <c r="G254">
        <v>1</v>
      </c>
      <c r="H254" t="s">
        <v>31</v>
      </c>
      <c r="I254" t="s">
        <v>87</v>
      </c>
      <c r="J254" t="s">
        <v>27</v>
      </c>
      <c r="K254" t="s">
        <v>37</v>
      </c>
      <c r="L254" t="s">
        <v>33</v>
      </c>
      <c r="M254" t="s">
        <v>31</v>
      </c>
      <c r="N254" t="s">
        <v>27</v>
      </c>
    </row>
    <row r="255" spans="1:14" x14ac:dyDescent="0.2">
      <c r="A255">
        <v>42</v>
      </c>
      <c r="B255" s="3">
        <v>21</v>
      </c>
      <c r="C255" s="3">
        <v>452</v>
      </c>
      <c r="D255">
        <v>41</v>
      </c>
      <c r="E255" s="12" t="s">
        <v>116</v>
      </c>
      <c r="F255" t="s">
        <v>269</v>
      </c>
      <c r="G255">
        <v>1</v>
      </c>
      <c r="H255" t="s">
        <v>52</v>
      </c>
      <c r="I255" t="s">
        <v>87</v>
      </c>
      <c r="J255" t="s">
        <v>27</v>
      </c>
      <c r="K255" t="s">
        <v>37</v>
      </c>
      <c r="L255" t="s">
        <v>33</v>
      </c>
      <c r="M255" t="s">
        <v>29</v>
      </c>
      <c r="N255" t="s">
        <v>27</v>
      </c>
    </row>
    <row r="256" spans="1:14" x14ac:dyDescent="0.2">
      <c r="A256">
        <v>43</v>
      </c>
      <c r="B256" s="3">
        <v>21</v>
      </c>
      <c r="C256" s="3">
        <v>599</v>
      </c>
      <c r="D256">
        <v>42</v>
      </c>
      <c r="E256" s="12" t="s">
        <v>117</v>
      </c>
      <c r="F256" t="s">
        <v>271</v>
      </c>
      <c r="G256">
        <v>1</v>
      </c>
      <c r="H256" t="s">
        <v>52</v>
      </c>
      <c r="I256" t="s">
        <v>87</v>
      </c>
      <c r="J256" t="s">
        <v>27</v>
      </c>
      <c r="K256" t="s">
        <v>37</v>
      </c>
      <c r="L256" t="s">
        <v>33</v>
      </c>
      <c r="M256" t="s">
        <v>29</v>
      </c>
      <c r="N256" t="s">
        <v>27</v>
      </c>
    </row>
    <row r="257" spans="1:15" x14ac:dyDescent="0.2">
      <c r="A257">
        <v>49</v>
      </c>
      <c r="B257" s="3">
        <v>21</v>
      </c>
      <c r="C257" s="3">
        <v>1673</v>
      </c>
      <c r="D257">
        <v>48</v>
      </c>
      <c r="E257" s="12" t="s">
        <v>88</v>
      </c>
      <c r="F257" t="s">
        <v>263</v>
      </c>
      <c r="G257">
        <v>2</v>
      </c>
      <c r="H257" t="s">
        <v>52</v>
      </c>
      <c r="I257" t="s">
        <v>87</v>
      </c>
      <c r="J257" t="s">
        <v>27</v>
      </c>
      <c r="K257" t="s">
        <v>37</v>
      </c>
      <c r="L257" t="s">
        <v>33</v>
      </c>
      <c r="M257" t="s">
        <v>31</v>
      </c>
      <c r="N257" t="s">
        <v>27</v>
      </c>
      <c r="O257" t="s">
        <v>120</v>
      </c>
    </row>
    <row r="258" spans="1:15" x14ac:dyDescent="0.2">
      <c r="A258">
        <v>14</v>
      </c>
      <c r="B258" s="3">
        <v>21</v>
      </c>
      <c r="C258" s="3" t="s">
        <v>99</v>
      </c>
      <c r="D258">
        <v>11</v>
      </c>
      <c r="E258" s="12" t="s">
        <v>88</v>
      </c>
      <c r="F258" t="s">
        <v>263</v>
      </c>
      <c r="G258">
        <v>3</v>
      </c>
      <c r="H258" t="s">
        <v>52</v>
      </c>
      <c r="I258" t="s">
        <v>87</v>
      </c>
      <c r="J258" t="s">
        <v>27</v>
      </c>
      <c r="K258" t="s">
        <v>37</v>
      </c>
      <c r="L258" t="s">
        <v>33</v>
      </c>
      <c r="M258" t="s">
        <v>31</v>
      </c>
      <c r="N258" t="s">
        <v>27</v>
      </c>
    </row>
    <row r="259" spans="1:15" x14ac:dyDescent="0.2">
      <c r="A259">
        <v>21</v>
      </c>
      <c r="B259" s="3">
        <v>21</v>
      </c>
      <c r="C259" s="3" t="s">
        <v>105</v>
      </c>
      <c r="D259">
        <v>20</v>
      </c>
      <c r="E259" s="12" t="s">
        <v>88</v>
      </c>
      <c r="F259" t="s">
        <v>263</v>
      </c>
      <c r="G259">
        <v>1</v>
      </c>
      <c r="H259" t="s">
        <v>52</v>
      </c>
      <c r="I259" t="s">
        <v>87</v>
      </c>
      <c r="J259" t="s">
        <v>27</v>
      </c>
      <c r="K259" t="s">
        <v>37</v>
      </c>
      <c r="L259" t="s">
        <v>33</v>
      </c>
      <c r="M259" t="s">
        <v>31</v>
      </c>
      <c r="N259" t="s">
        <v>27</v>
      </c>
    </row>
    <row r="260" spans="1:15" x14ac:dyDescent="0.2">
      <c r="A260">
        <v>20</v>
      </c>
      <c r="B260" s="3">
        <v>21</v>
      </c>
      <c r="C260" s="3" t="s">
        <v>47</v>
      </c>
      <c r="D260">
        <v>19</v>
      </c>
      <c r="E260" s="12" t="s">
        <v>79</v>
      </c>
      <c r="F260" t="s">
        <v>285</v>
      </c>
      <c r="G260">
        <v>1</v>
      </c>
      <c r="H260" t="s">
        <v>52</v>
      </c>
      <c r="I260" t="s">
        <v>87</v>
      </c>
      <c r="J260" t="s">
        <v>27</v>
      </c>
      <c r="K260" t="s">
        <v>37</v>
      </c>
      <c r="L260" t="s">
        <v>33</v>
      </c>
      <c r="M260" t="s">
        <v>31</v>
      </c>
      <c r="N260" t="s">
        <v>27</v>
      </c>
    </row>
    <row r="261" spans="1:15" x14ac:dyDescent="0.2">
      <c r="A261">
        <v>24</v>
      </c>
      <c r="B261" s="3">
        <v>21</v>
      </c>
      <c r="C261" s="3" t="s">
        <v>109</v>
      </c>
      <c r="D261">
        <v>23</v>
      </c>
      <c r="E261" s="12" t="s">
        <v>88</v>
      </c>
      <c r="F261" t="s">
        <v>263</v>
      </c>
      <c r="G261">
        <v>1</v>
      </c>
      <c r="H261" t="s">
        <v>52</v>
      </c>
      <c r="I261" t="s">
        <v>87</v>
      </c>
      <c r="J261" t="s">
        <v>27</v>
      </c>
      <c r="K261" t="s">
        <v>37</v>
      </c>
      <c r="L261" t="s">
        <v>33</v>
      </c>
      <c r="M261" t="s">
        <v>31</v>
      </c>
      <c r="N261" t="s">
        <v>27</v>
      </c>
    </row>
    <row r="262" spans="1:15" x14ac:dyDescent="0.2">
      <c r="A262">
        <v>23</v>
      </c>
      <c r="B262" s="3">
        <v>21</v>
      </c>
      <c r="C262" s="3" t="s">
        <v>108</v>
      </c>
      <c r="D262">
        <v>22</v>
      </c>
      <c r="E262" s="12" t="s">
        <v>88</v>
      </c>
      <c r="F262" t="s">
        <v>263</v>
      </c>
      <c r="G262">
        <v>1</v>
      </c>
      <c r="H262" t="s">
        <v>52</v>
      </c>
      <c r="I262" t="s">
        <v>87</v>
      </c>
      <c r="J262" t="s">
        <v>27</v>
      </c>
      <c r="K262" t="s">
        <v>37</v>
      </c>
      <c r="L262" t="s">
        <v>33</v>
      </c>
      <c r="M262" t="s">
        <v>31</v>
      </c>
      <c r="N262" t="s">
        <v>27</v>
      </c>
    </row>
    <row r="263" spans="1:15" x14ac:dyDescent="0.2">
      <c r="A263">
        <v>26</v>
      </c>
      <c r="B263" s="3">
        <v>21</v>
      </c>
      <c r="C263" s="3" t="s">
        <v>110</v>
      </c>
      <c r="D263">
        <v>25</v>
      </c>
      <c r="E263" s="12" t="s">
        <v>88</v>
      </c>
      <c r="F263" t="s">
        <v>263</v>
      </c>
      <c r="G263">
        <v>1</v>
      </c>
      <c r="H263" t="s">
        <v>52</v>
      </c>
      <c r="I263" t="s">
        <v>87</v>
      </c>
      <c r="J263" t="s">
        <v>27</v>
      </c>
      <c r="K263" t="s">
        <v>37</v>
      </c>
      <c r="L263" t="s">
        <v>33</v>
      </c>
      <c r="M263" t="s">
        <v>31</v>
      </c>
      <c r="N263" t="s">
        <v>27</v>
      </c>
    </row>
    <row r="264" spans="1:15" x14ac:dyDescent="0.2">
      <c r="A264">
        <v>27</v>
      </c>
      <c r="B264" s="3">
        <v>21</v>
      </c>
      <c r="C264" s="3" t="s">
        <v>111</v>
      </c>
      <c r="D264">
        <v>26</v>
      </c>
      <c r="E264" s="12" t="s">
        <v>88</v>
      </c>
      <c r="F264" t="s">
        <v>263</v>
      </c>
      <c r="G264">
        <v>1</v>
      </c>
      <c r="H264" t="s">
        <v>52</v>
      </c>
      <c r="I264" t="s">
        <v>87</v>
      </c>
      <c r="J264" t="s">
        <v>27</v>
      </c>
      <c r="K264" t="s">
        <v>37</v>
      </c>
      <c r="L264" t="s">
        <v>33</v>
      </c>
      <c r="M264" t="s">
        <v>31</v>
      </c>
      <c r="N264" t="s">
        <v>27</v>
      </c>
    </row>
    <row r="265" spans="1:15" x14ac:dyDescent="0.2">
      <c r="A265">
        <v>28</v>
      </c>
      <c r="B265" s="3">
        <v>21</v>
      </c>
      <c r="C265" s="3" t="s">
        <v>48</v>
      </c>
      <c r="D265">
        <v>27</v>
      </c>
      <c r="E265" s="12" t="s">
        <v>88</v>
      </c>
      <c r="F265" t="s">
        <v>263</v>
      </c>
      <c r="G265">
        <v>1</v>
      </c>
      <c r="H265" t="s">
        <v>52</v>
      </c>
      <c r="I265" t="s">
        <v>87</v>
      </c>
      <c r="J265" t="s">
        <v>27</v>
      </c>
      <c r="K265" t="s">
        <v>34</v>
      </c>
      <c r="L265" t="s">
        <v>33</v>
      </c>
      <c r="M265" t="s">
        <v>31</v>
      </c>
      <c r="N265" t="s">
        <v>27</v>
      </c>
    </row>
    <row r="266" spans="1:15" x14ac:dyDescent="0.2">
      <c r="A266">
        <v>4</v>
      </c>
      <c r="B266" s="3">
        <v>22</v>
      </c>
      <c r="C266" s="3" t="s">
        <v>80</v>
      </c>
      <c r="D266">
        <v>3</v>
      </c>
      <c r="E266" s="12" t="s">
        <v>86</v>
      </c>
      <c r="F266" t="s">
        <v>86</v>
      </c>
      <c r="G266">
        <v>3</v>
      </c>
      <c r="H266" t="s">
        <v>52</v>
      </c>
      <c r="I266" t="s">
        <v>87</v>
      </c>
      <c r="J266" t="s">
        <v>27</v>
      </c>
      <c r="K266" t="s">
        <v>37</v>
      </c>
      <c r="L266" t="s">
        <v>33</v>
      </c>
      <c r="M266" t="s">
        <v>31</v>
      </c>
      <c r="N266" t="s">
        <v>27</v>
      </c>
    </row>
    <row r="267" spans="1:15" x14ac:dyDescent="0.2">
      <c r="A267">
        <v>5</v>
      </c>
      <c r="B267" s="3">
        <v>22</v>
      </c>
      <c r="C267" s="3" t="s">
        <v>80</v>
      </c>
      <c r="D267">
        <v>4</v>
      </c>
      <c r="E267" s="12" t="s">
        <v>88</v>
      </c>
      <c r="F267" t="s">
        <v>263</v>
      </c>
      <c r="G267">
        <v>3</v>
      </c>
      <c r="H267" t="s">
        <v>52</v>
      </c>
      <c r="I267" t="s">
        <v>87</v>
      </c>
      <c r="J267" t="s">
        <v>27</v>
      </c>
      <c r="K267" t="s">
        <v>37</v>
      </c>
      <c r="L267" t="s">
        <v>33</v>
      </c>
      <c r="M267" t="s">
        <v>31</v>
      </c>
      <c r="N267" t="s">
        <v>27</v>
      </c>
    </row>
    <row r="268" spans="1:15" x14ac:dyDescent="0.2">
      <c r="A268">
        <v>82</v>
      </c>
      <c r="B268" s="3" t="s">
        <v>160</v>
      </c>
      <c r="C268" s="3" t="s">
        <v>78</v>
      </c>
      <c r="D268">
        <v>1</v>
      </c>
      <c r="E268" s="12" t="s">
        <v>88</v>
      </c>
      <c r="F268" t="s">
        <v>263</v>
      </c>
      <c r="G268">
        <v>1</v>
      </c>
      <c r="H268" t="s">
        <v>52</v>
      </c>
      <c r="I268" t="s">
        <v>87</v>
      </c>
      <c r="J268" t="s">
        <v>27</v>
      </c>
      <c r="K268" t="s">
        <v>37</v>
      </c>
      <c r="L268" t="s">
        <v>33</v>
      </c>
      <c r="M268" t="s">
        <v>31</v>
      </c>
      <c r="N268" t="s">
        <v>27</v>
      </c>
      <c r="O268" t="s">
        <v>159</v>
      </c>
    </row>
    <row r="269" spans="1:15" x14ac:dyDescent="0.2">
      <c r="A269">
        <v>83</v>
      </c>
      <c r="B269" s="3" t="s">
        <v>160</v>
      </c>
      <c r="C269" s="3" t="s">
        <v>78</v>
      </c>
      <c r="D269">
        <v>2</v>
      </c>
      <c r="E269" s="12" t="s">
        <v>88</v>
      </c>
      <c r="F269" t="s">
        <v>263</v>
      </c>
      <c r="G269">
        <v>1</v>
      </c>
      <c r="H269" t="s">
        <v>52</v>
      </c>
      <c r="I269" t="s">
        <v>87</v>
      </c>
      <c r="J269" t="s">
        <v>27</v>
      </c>
      <c r="K269" t="s">
        <v>37</v>
      </c>
      <c r="L269" t="s">
        <v>33</v>
      </c>
      <c r="M269" t="s">
        <v>31</v>
      </c>
      <c r="N269" t="s">
        <v>27</v>
      </c>
      <c r="O269" t="s">
        <v>161</v>
      </c>
    </row>
    <row r="270" spans="1:15" x14ac:dyDescent="0.2">
      <c r="A270">
        <v>84</v>
      </c>
      <c r="B270" s="3" t="s">
        <v>160</v>
      </c>
      <c r="C270" s="3" t="s">
        <v>78</v>
      </c>
      <c r="D270">
        <v>3</v>
      </c>
      <c r="E270" s="12" t="s">
        <v>88</v>
      </c>
      <c r="F270" t="s">
        <v>263</v>
      </c>
      <c r="G270">
        <v>1</v>
      </c>
      <c r="H270" t="s">
        <v>52</v>
      </c>
      <c r="I270" t="s">
        <v>87</v>
      </c>
      <c r="J270" t="s">
        <v>27</v>
      </c>
      <c r="K270" t="s">
        <v>37</v>
      </c>
      <c r="L270" t="s">
        <v>33</v>
      </c>
      <c r="M270" t="s">
        <v>31</v>
      </c>
      <c r="N270" t="s">
        <v>27</v>
      </c>
    </row>
    <row r="271" spans="1:15" x14ac:dyDescent="0.2">
      <c r="A271">
        <v>85</v>
      </c>
      <c r="B271" s="3" t="s">
        <v>160</v>
      </c>
      <c r="C271" s="3" t="s">
        <v>78</v>
      </c>
      <c r="D271">
        <v>4</v>
      </c>
      <c r="E271" s="12" t="s">
        <v>88</v>
      </c>
      <c r="F271" t="s">
        <v>263</v>
      </c>
      <c r="G271">
        <v>1</v>
      </c>
      <c r="H271" t="s">
        <v>52</v>
      </c>
      <c r="I271" t="s">
        <v>87</v>
      </c>
      <c r="J271" t="s">
        <v>27</v>
      </c>
      <c r="K271" t="s">
        <v>37</v>
      </c>
      <c r="L271" t="s">
        <v>33</v>
      </c>
      <c r="M271" t="s">
        <v>31</v>
      </c>
      <c r="N271" t="s">
        <v>27</v>
      </c>
      <c r="O271" t="s">
        <v>161</v>
      </c>
    </row>
    <row r="272" spans="1:15" x14ac:dyDescent="0.2">
      <c r="A272">
        <v>86</v>
      </c>
      <c r="B272" s="3" t="s">
        <v>160</v>
      </c>
      <c r="C272" s="3" t="s">
        <v>78</v>
      </c>
      <c r="D272">
        <v>5</v>
      </c>
      <c r="E272" s="12" t="s">
        <v>88</v>
      </c>
      <c r="F272" t="s">
        <v>263</v>
      </c>
      <c r="G272">
        <v>1</v>
      </c>
      <c r="H272" t="s">
        <v>52</v>
      </c>
      <c r="I272" t="s">
        <v>87</v>
      </c>
      <c r="J272" t="s">
        <v>27</v>
      </c>
      <c r="K272" t="s">
        <v>37</v>
      </c>
      <c r="L272" t="s">
        <v>33</v>
      </c>
      <c r="M272" t="s">
        <v>31</v>
      </c>
      <c r="N272" t="s">
        <v>27</v>
      </c>
      <c r="O272" t="s">
        <v>161</v>
      </c>
    </row>
    <row r="273" spans="1:15" x14ac:dyDescent="0.2">
      <c r="A273">
        <v>87</v>
      </c>
      <c r="B273" s="3" t="s">
        <v>160</v>
      </c>
      <c r="C273" s="3" t="s">
        <v>78</v>
      </c>
      <c r="D273">
        <v>6</v>
      </c>
      <c r="E273" s="12" t="s">
        <v>88</v>
      </c>
      <c r="F273" t="s">
        <v>263</v>
      </c>
      <c r="G273">
        <v>1</v>
      </c>
      <c r="H273" t="s">
        <v>52</v>
      </c>
      <c r="I273" t="s">
        <v>87</v>
      </c>
      <c r="J273" t="s">
        <v>27</v>
      </c>
      <c r="K273" t="s">
        <v>37</v>
      </c>
      <c r="L273" t="s">
        <v>33</v>
      </c>
      <c r="M273" t="s">
        <v>31</v>
      </c>
      <c r="N273" t="s">
        <v>27</v>
      </c>
      <c r="O273" t="s">
        <v>162</v>
      </c>
    </row>
    <row r="274" spans="1:15" x14ac:dyDescent="0.2">
      <c r="A274">
        <v>88</v>
      </c>
      <c r="B274" s="3" t="s">
        <v>160</v>
      </c>
      <c r="C274" s="3" t="s">
        <v>78</v>
      </c>
      <c r="D274">
        <v>7</v>
      </c>
      <c r="E274" s="12" t="s">
        <v>88</v>
      </c>
      <c r="F274" t="s">
        <v>263</v>
      </c>
      <c r="G274">
        <v>1</v>
      </c>
      <c r="H274" t="s">
        <v>52</v>
      </c>
      <c r="I274" t="s">
        <v>87</v>
      </c>
      <c r="J274" t="s">
        <v>27</v>
      </c>
      <c r="K274" t="s">
        <v>37</v>
      </c>
      <c r="L274" t="s">
        <v>33</v>
      </c>
      <c r="M274" t="s">
        <v>31</v>
      </c>
      <c r="N274" t="s">
        <v>27</v>
      </c>
      <c r="O274" t="s">
        <v>162</v>
      </c>
    </row>
    <row r="275" spans="1:15" x14ac:dyDescent="0.2">
      <c r="A275">
        <v>89</v>
      </c>
      <c r="B275" s="3" t="s">
        <v>160</v>
      </c>
      <c r="C275" s="3" t="s">
        <v>78</v>
      </c>
      <c r="D275">
        <v>8</v>
      </c>
      <c r="E275" s="12" t="s">
        <v>88</v>
      </c>
      <c r="F275" t="s">
        <v>263</v>
      </c>
      <c r="G275">
        <v>1</v>
      </c>
      <c r="H275" t="s">
        <v>52</v>
      </c>
      <c r="I275" t="s">
        <v>87</v>
      </c>
      <c r="J275" t="s">
        <v>27</v>
      </c>
      <c r="K275" t="s">
        <v>37</v>
      </c>
      <c r="L275" t="s">
        <v>33</v>
      </c>
      <c r="M275" t="s">
        <v>31</v>
      </c>
      <c r="N275" t="s">
        <v>27</v>
      </c>
      <c r="O275" t="s">
        <v>162</v>
      </c>
    </row>
    <row r="276" spans="1:15" x14ac:dyDescent="0.2">
      <c r="A276">
        <v>90</v>
      </c>
      <c r="B276" s="3" t="s">
        <v>160</v>
      </c>
      <c r="C276" s="3" t="s">
        <v>78</v>
      </c>
      <c r="D276">
        <v>9</v>
      </c>
      <c r="E276" s="12" t="s">
        <v>88</v>
      </c>
      <c r="F276" t="s">
        <v>263</v>
      </c>
      <c r="G276">
        <v>1</v>
      </c>
      <c r="H276" t="s">
        <v>52</v>
      </c>
      <c r="I276" t="s">
        <v>87</v>
      </c>
      <c r="J276" t="s">
        <v>27</v>
      </c>
      <c r="K276" t="s">
        <v>37</v>
      </c>
      <c r="L276" t="s">
        <v>33</v>
      </c>
      <c r="M276" t="s">
        <v>31</v>
      </c>
      <c r="N276" t="s">
        <v>27</v>
      </c>
      <c r="O276" t="s">
        <v>162</v>
      </c>
    </row>
    <row r="277" spans="1:15" x14ac:dyDescent="0.2">
      <c r="A277">
        <v>91</v>
      </c>
      <c r="B277" s="3" t="s">
        <v>160</v>
      </c>
      <c r="C277" s="3" t="s">
        <v>78</v>
      </c>
      <c r="D277">
        <v>10</v>
      </c>
      <c r="E277" s="12" t="s">
        <v>88</v>
      </c>
      <c r="F277" t="s">
        <v>263</v>
      </c>
      <c r="G277">
        <v>1</v>
      </c>
      <c r="H277" t="s">
        <v>52</v>
      </c>
      <c r="I277" t="s">
        <v>87</v>
      </c>
      <c r="J277" t="s">
        <v>27</v>
      </c>
      <c r="K277" t="s">
        <v>37</v>
      </c>
      <c r="L277" t="s">
        <v>33</v>
      </c>
      <c r="M277" t="s">
        <v>31</v>
      </c>
      <c r="N277" t="s">
        <v>27</v>
      </c>
      <c r="O277" t="s">
        <v>162</v>
      </c>
    </row>
    <row r="278" spans="1:15" x14ac:dyDescent="0.2">
      <c r="A278">
        <v>240</v>
      </c>
      <c r="B278" s="3" t="s">
        <v>184</v>
      </c>
      <c r="C278" s="3" t="s">
        <v>185</v>
      </c>
      <c r="D278">
        <v>19</v>
      </c>
      <c r="E278" s="12" t="s">
        <v>135</v>
      </c>
      <c r="F278" t="s">
        <v>289</v>
      </c>
      <c r="G278">
        <v>3</v>
      </c>
      <c r="H278" t="s">
        <v>52</v>
      </c>
      <c r="I278" t="s">
        <v>87</v>
      </c>
      <c r="J278" t="s">
        <v>27</v>
      </c>
      <c r="K278" t="s">
        <v>37</v>
      </c>
      <c r="L278" t="s">
        <v>33</v>
      </c>
      <c r="M278" t="s">
        <v>29</v>
      </c>
      <c r="N278" t="s">
        <v>27</v>
      </c>
    </row>
    <row r="279" spans="1:15" x14ac:dyDescent="0.2">
      <c r="A279">
        <v>254</v>
      </c>
      <c r="B279" s="3" t="s">
        <v>184</v>
      </c>
      <c r="C279" s="3" t="s">
        <v>191</v>
      </c>
      <c r="D279">
        <v>14</v>
      </c>
      <c r="E279" s="12" t="s">
        <v>190</v>
      </c>
      <c r="F279" t="s">
        <v>278</v>
      </c>
      <c r="G279">
        <v>3</v>
      </c>
      <c r="H279" t="s">
        <v>31</v>
      </c>
      <c r="I279" t="s">
        <v>87</v>
      </c>
      <c r="J279" t="s">
        <v>27</v>
      </c>
      <c r="K279" t="s">
        <v>37</v>
      </c>
      <c r="L279" t="s">
        <v>33</v>
      </c>
      <c r="M279" t="s">
        <v>29</v>
      </c>
      <c r="N279" t="s">
        <v>27</v>
      </c>
    </row>
    <row r="280" spans="1:15" x14ac:dyDescent="0.2">
      <c r="A280">
        <v>241</v>
      </c>
      <c r="B280" s="3" t="s">
        <v>184</v>
      </c>
      <c r="C280" s="3" t="s">
        <v>78</v>
      </c>
      <c r="D280">
        <v>1</v>
      </c>
      <c r="E280" s="12" t="s">
        <v>135</v>
      </c>
      <c r="F280" t="s">
        <v>289</v>
      </c>
      <c r="G280">
        <v>1</v>
      </c>
      <c r="H280" t="s">
        <v>52</v>
      </c>
      <c r="I280" t="s">
        <v>87</v>
      </c>
      <c r="J280" t="s">
        <v>27</v>
      </c>
      <c r="K280" t="s">
        <v>37</v>
      </c>
      <c r="L280" t="s">
        <v>33</v>
      </c>
      <c r="M280" t="s">
        <v>29</v>
      </c>
      <c r="N280" t="s">
        <v>27</v>
      </c>
    </row>
    <row r="281" spans="1:15" x14ac:dyDescent="0.2">
      <c r="A281">
        <v>242</v>
      </c>
      <c r="B281" s="3" t="s">
        <v>184</v>
      </c>
      <c r="C281" s="3" t="s">
        <v>78</v>
      </c>
      <c r="D281">
        <v>2</v>
      </c>
      <c r="E281" s="12" t="s">
        <v>135</v>
      </c>
      <c r="F281" t="s">
        <v>289</v>
      </c>
      <c r="G281">
        <v>1</v>
      </c>
      <c r="H281" t="s">
        <v>52</v>
      </c>
      <c r="I281" t="s">
        <v>87</v>
      </c>
      <c r="J281" t="s">
        <v>27</v>
      </c>
      <c r="K281" t="s">
        <v>37</v>
      </c>
      <c r="L281" t="s">
        <v>33</v>
      </c>
      <c r="M281" t="s">
        <v>29</v>
      </c>
      <c r="N281" t="s">
        <v>27</v>
      </c>
    </row>
    <row r="282" spans="1:15" x14ac:dyDescent="0.2">
      <c r="A282">
        <v>243</v>
      </c>
      <c r="B282" s="3" t="s">
        <v>184</v>
      </c>
      <c r="C282" s="3" t="s">
        <v>78</v>
      </c>
      <c r="D282">
        <v>3</v>
      </c>
      <c r="E282" s="12" t="s">
        <v>135</v>
      </c>
      <c r="F282" t="s">
        <v>289</v>
      </c>
      <c r="G282">
        <v>1</v>
      </c>
      <c r="H282" t="s">
        <v>52</v>
      </c>
      <c r="I282" t="s">
        <v>87</v>
      </c>
      <c r="J282" t="s">
        <v>27</v>
      </c>
      <c r="K282" t="s">
        <v>37</v>
      </c>
      <c r="L282" t="s">
        <v>33</v>
      </c>
      <c r="M282" t="s">
        <v>29</v>
      </c>
      <c r="N282" t="s">
        <v>27</v>
      </c>
    </row>
    <row r="283" spans="1:15" x14ac:dyDescent="0.2">
      <c r="A283">
        <v>244</v>
      </c>
      <c r="B283" s="3" t="s">
        <v>184</v>
      </c>
      <c r="C283" s="3" t="s">
        <v>78</v>
      </c>
      <c r="D283">
        <v>4</v>
      </c>
      <c r="E283" s="12" t="s">
        <v>135</v>
      </c>
      <c r="F283" t="s">
        <v>289</v>
      </c>
      <c r="G283">
        <v>1</v>
      </c>
      <c r="H283" t="s">
        <v>52</v>
      </c>
      <c r="I283" t="s">
        <v>87</v>
      </c>
      <c r="J283" t="s">
        <v>27</v>
      </c>
      <c r="K283" t="s">
        <v>37</v>
      </c>
      <c r="L283" t="s">
        <v>33</v>
      </c>
      <c r="M283" t="s">
        <v>29</v>
      </c>
      <c r="N283" t="s">
        <v>27</v>
      </c>
    </row>
    <row r="284" spans="1:15" x14ac:dyDescent="0.2">
      <c r="A284">
        <v>245</v>
      </c>
      <c r="B284" s="3" t="s">
        <v>184</v>
      </c>
      <c r="C284" s="3" t="s">
        <v>78</v>
      </c>
      <c r="D284">
        <v>5</v>
      </c>
      <c r="E284" s="12" t="s">
        <v>135</v>
      </c>
      <c r="F284" t="s">
        <v>289</v>
      </c>
      <c r="G284">
        <v>1</v>
      </c>
      <c r="H284" t="s">
        <v>52</v>
      </c>
      <c r="I284" t="s">
        <v>87</v>
      </c>
      <c r="J284" t="s">
        <v>27</v>
      </c>
      <c r="K284" t="s">
        <v>37</v>
      </c>
      <c r="L284" t="s">
        <v>33</v>
      </c>
      <c r="M284" t="s">
        <v>29</v>
      </c>
      <c r="N284" t="s">
        <v>27</v>
      </c>
    </row>
    <row r="285" spans="1:15" x14ac:dyDescent="0.2">
      <c r="A285">
        <v>246</v>
      </c>
      <c r="B285" s="3" t="s">
        <v>184</v>
      </c>
      <c r="C285" s="3" t="s">
        <v>78</v>
      </c>
      <c r="D285">
        <v>6</v>
      </c>
      <c r="E285" s="12" t="s">
        <v>186</v>
      </c>
      <c r="F285" t="s">
        <v>265</v>
      </c>
      <c r="G285">
        <v>2</v>
      </c>
      <c r="H285" t="s">
        <v>52</v>
      </c>
      <c r="I285" t="s">
        <v>87</v>
      </c>
      <c r="J285" t="s">
        <v>27</v>
      </c>
      <c r="K285" t="s">
        <v>37</v>
      </c>
      <c r="L285" t="s">
        <v>33</v>
      </c>
      <c r="M285" t="s">
        <v>29</v>
      </c>
      <c r="N285" t="s">
        <v>27</v>
      </c>
    </row>
    <row r="286" spans="1:15" x14ac:dyDescent="0.2">
      <c r="A286">
        <v>237</v>
      </c>
      <c r="B286" s="3" t="s">
        <v>199</v>
      </c>
      <c r="C286" s="3" t="s">
        <v>78</v>
      </c>
      <c r="D286">
        <v>3</v>
      </c>
      <c r="E286" s="12" t="s">
        <v>135</v>
      </c>
      <c r="F286" t="s">
        <v>289</v>
      </c>
      <c r="G286">
        <v>1</v>
      </c>
      <c r="H286" t="s">
        <v>52</v>
      </c>
      <c r="I286" t="s">
        <v>87</v>
      </c>
      <c r="J286" t="s">
        <v>27</v>
      </c>
      <c r="K286" t="s">
        <v>37</v>
      </c>
      <c r="L286" t="s">
        <v>33</v>
      </c>
      <c r="M286" t="s">
        <v>29</v>
      </c>
      <c r="N286" t="s">
        <v>27</v>
      </c>
    </row>
    <row r="287" spans="1:15" x14ac:dyDescent="0.2">
      <c r="A287">
        <v>238</v>
      </c>
      <c r="B287" s="3" t="s">
        <v>199</v>
      </c>
      <c r="C287" s="3" t="s">
        <v>78</v>
      </c>
      <c r="D287">
        <v>4</v>
      </c>
      <c r="E287" s="12" t="s">
        <v>135</v>
      </c>
      <c r="F287" t="s">
        <v>289</v>
      </c>
      <c r="G287">
        <v>1</v>
      </c>
      <c r="H287" t="s">
        <v>52</v>
      </c>
      <c r="I287" t="s">
        <v>87</v>
      </c>
      <c r="J287" t="s">
        <v>27</v>
      </c>
      <c r="K287" t="s">
        <v>37</v>
      </c>
      <c r="L287" t="s">
        <v>33</v>
      </c>
      <c r="M287" t="s">
        <v>29</v>
      </c>
      <c r="N287" t="s">
        <v>27</v>
      </c>
    </row>
    <row r="288" spans="1:15" x14ac:dyDescent="0.2">
      <c r="A288">
        <v>239</v>
      </c>
      <c r="B288" s="3" t="s">
        <v>199</v>
      </c>
      <c r="C288" s="3" t="s">
        <v>78</v>
      </c>
      <c r="D288">
        <v>5</v>
      </c>
      <c r="E288" s="12" t="s">
        <v>88</v>
      </c>
      <c r="F288" t="s">
        <v>263</v>
      </c>
      <c r="G288">
        <v>1</v>
      </c>
      <c r="H288" t="s">
        <v>52</v>
      </c>
      <c r="I288" t="s">
        <v>87</v>
      </c>
      <c r="J288" t="s">
        <v>27</v>
      </c>
      <c r="K288" t="s">
        <v>37</v>
      </c>
      <c r="L288" t="s">
        <v>33</v>
      </c>
      <c r="M288" t="s">
        <v>29</v>
      </c>
      <c r="N288" t="s">
        <v>27</v>
      </c>
    </row>
    <row r="289" spans="1:14" x14ac:dyDescent="0.2">
      <c r="A289">
        <v>147</v>
      </c>
      <c r="B289" s="3" t="s">
        <v>168</v>
      </c>
      <c r="C289" s="3" t="s">
        <v>78</v>
      </c>
      <c r="D289">
        <v>14</v>
      </c>
      <c r="E289" s="12" t="s">
        <v>56</v>
      </c>
      <c r="F289" t="s">
        <v>294</v>
      </c>
      <c r="G289">
        <v>15</v>
      </c>
      <c r="H289" t="s">
        <v>31</v>
      </c>
      <c r="I289" t="s">
        <v>87</v>
      </c>
      <c r="J289" t="s">
        <v>27</v>
      </c>
      <c r="K289" t="s">
        <v>37</v>
      </c>
      <c r="L289" t="s">
        <v>33</v>
      </c>
      <c r="M289" t="s">
        <v>29</v>
      </c>
      <c r="N289" t="s">
        <v>27</v>
      </c>
    </row>
    <row r="290" spans="1:14" x14ac:dyDescent="0.2">
      <c r="A290">
        <v>217</v>
      </c>
      <c r="B290" s="3" t="s">
        <v>300</v>
      </c>
      <c r="C290" s="3" t="s">
        <v>78</v>
      </c>
      <c r="D290">
        <v>7</v>
      </c>
      <c r="E290" s="12" t="s">
        <v>135</v>
      </c>
      <c r="F290" t="s">
        <v>289</v>
      </c>
      <c r="G290">
        <v>1</v>
      </c>
      <c r="H290" t="s">
        <v>52</v>
      </c>
      <c r="I290" t="s">
        <v>87</v>
      </c>
      <c r="J290" t="s">
        <v>27</v>
      </c>
      <c r="K290" t="s">
        <v>37</v>
      </c>
      <c r="L290" t="s">
        <v>33</v>
      </c>
      <c r="M290" t="s">
        <v>29</v>
      </c>
      <c r="N290" t="s">
        <v>27</v>
      </c>
    </row>
    <row r="291" spans="1:14" x14ac:dyDescent="0.2">
      <c r="A291">
        <v>218</v>
      </c>
      <c r="B291" s="3" t="s">
        <v>300</v>
      </c>
      <c r="C291" s="3" t="s">
        <v>78</v>
      </c>
      <c r="D291">
        <v>8</v>
      </c>
      <c r="E291" s="12" t="s">
        <v>135</v>
      </c>
      <c r="F291" t="s">
        <v>289</v>
      </c>
      <c r="G291">
        <v>1</v>
      </c>
      <c r="H291" t="s">
        <v>52</v>
      </c>
      <c r="I291" t="s">
        <v>87</v>
      </c>
      <c r="J291" t="s">
        <v>27</v>
      </c>
      <c r="K291" t="s">
        <v>37</v>
      </c>
      <c r="L291" t="s">
        <v>33</v>
      </c>
      <c r="M291" t="s">
        <v>29</v>
      </c>
      <c r="N291" t="s">
        <v>27</v>
      </c>
    </row>
    <row r="292" spans="1:14" x14ac:dyDescent="0.2">
      <c r="A292">
        <v>219</v>
      </c>
      <c r="B292" s="3" t="s">
        <v>300</v>
      </c>
      <c r="C292" s="3" t="s">
        <v>78</v>
      </c>
      <c r="D292">
        <v>9</v>
      </c>
      <c r="E292" s="12" t="s">
        <v>135</v>
      </c>
      <c r="F292" t="s">
        <v>289</v>
      </c>
      <c r="G292">
        <v>1</v>
      </c>
      <c r="H292" t="s">
        <v>52</v>
      </c>
      <c r="I292" t="s">
        <v>87</v>
      </c>
      <c r="J292" t="s">
        <v>27</v>
      </c>
      <c r="K292" t="s">
        <v>37</v>
      </c>
      <c r="L292" t="s">
        <v>33</v>
      </c>
      <c r="M292" t="s">
        <v>29</v>
      </c>
      <c r="N292" t="s">
        <v>27</v>
      </c>
    </row>
    <row r="293" spans="1:14" x14ac:dyDescent="0.2">
      <c r="A293">
        <v>220</v>
      </c>
      <c r="B293" s="3" t="s">
        <v>300</v>
      </c>
      <c r="C293" s="3" t="s">
        <v>78</v>
      </c>
      <c r="D293">
        <v>10</v>
      </c>
      <c r="E293" s="12" t="s">
        <v>135</v>
      </c>
      <c r="F293" t="s">
        <v>289</v>
      </c>
      <c r="G293">
        <v>1</v>
      </c>
      <c r="H293" t="s">
        <v>52</v>
      </c>
      <c r="I293" t="s">
        <v>87</v>
      </c>
      <c r="J293" t="s">
        <v>27</v>
      </c>
      <c r="K293" t="s">
        <v>37</v>
      </c>
      <c r="L293" t="s">
        <v>33</v>
      </c>
      <c r="M293" t="s">
        <v>29</v>
      </c>
      <c r="N293" t="s">
        <v>27</v>
      </c>
    </row>
    <row r="294" spans="1:14" x14ac:dyDescent="0.2">
      <c r="A294">
        <v>221</v>
      </c>
      <c r="B294" s="3" t="s">
        <v>300</v>
      </c>
      <c r="C294" s="3" t="s">
        <v>78</v>
      </c>
      <c r="D294">
        <v>11</v>
      </c>
      <c r="E294" s="12" t="s">
        <v>135</v>
      </c>
      <c r="F294" t="s">
        <v>289</v>
      </c>
      <c r="G294">
        <v>1</v>
      </c>
      <c r="H294" t="s">
        <v>52</v>
      </c>
      <c r="I294" t="s">
        <v>87</v>
      </c>
      <c r="J294" t="s">
        <v>27</v>
      </c>
      <c r="K294" t="s">
        <v>37</v>
      </c>
      <c r="L294" t="s">
        <v>33</v>
      </c>
      <c r="M294" t="s">
        <v>29</v>
      </c>
      <c r="N294" t="s">
        <v>27</v>
      </c>
    </row>
    <row r="295" spans="1:14" x14ac:dyDescent="0.2">
      <c r="A295">
        <v>222</v>
      </c>
      <c r="B295" s="3" t="s">
        <v>300</v>
      </c>
      <c r="C295" s="3" t="s">
        <v>78</v>
      </c>
      <c r="D295">
        <v>12</v>
      </c>
      <c r="E295" s="12" t="s">
        <v>135</v>
      </c>
      <c r="F295" t="s">
        <v>289</v>
      </c>
      <c r="G295">
        <v>1</v>
      </c>
      <c r="H295" t="s">
        <v>52</v>
      </c>
      <c r="I295" t="s">
        <v>87</v>
      </c>
      <c r="J295" t="s">
        <v>27</v>
      </c>
      <c r="K295" t="s">
        <v>37</v>
      </c>
      <c r="L295" t="s">
        <v>33</v>
      </c>
      <c r="M295" t="s">
        <v>29</v>
      </c>
      <c r="N295" t="s">
        <v>27</v>
      </c>
    </row>
    <row r="296" spans="1:14" x14ac:dyDescent="0.2">
      <c r="A296">
        <v>223</v>
      </c>
      <c r="B296" s="3" t="s">
        <v>300</v>
      </c>
      <c r="C296" s="3" t="s">
        <v>78</v>
      </c>
      <c r="D296">
        <v>13</v>
      </c>
      <c r="E296" s="12" t="s">
        <v>135</v>
      </c>
      <c r="F296" t="s">
        <v>289</v>
      </c>
      <c r="G296">
        <v>1</v>
      </c>
      <c r="H296" t="s">
        <v>52</v>
      </c>
      <c r="I296" t="s">
        <v>87</v>
      </c>
      <c r="J296" t="s">
        <v>27</v>
      </c>
      <c r="K296" t="s">
        <v>37</v>
      </c>
      <c r="L296" t="s">
        <v>33</v>
      </c>
      <c r="M296" t="s">
        <v>29</v>
      </c>
      <c r="N296" t="s">
        <v>27</v>
      </c>
    </row>
    <row r="297" spans="1:14" x14ac:dyDescent="0.2">
      <c r="A297">
        <v>224</v>
      </c>
      <c r="B297" s="3" t="s">
        <v>300</v>
      </c>
      <c r="C297" s="3" t="s">
        <v>78</v>
      </c>
      <c r="D297">
        <v>14</v>
      </c>
      <c r="E297" s="12" t="s">
        <v>135</v>
      </c>
      <c r="F297" t="s">
        <v>289</v>
      </c>
      <c r="G297">
        <v>1</v>
      </c>
      <c r="H297" t="s">
        <v>52</v>
      </c>
      <c r="I297" t="s">
        <v>87</v>
      </c>
      <c r="J297" t="s">
        <v>27</v>
      </c>
      <c r="K297" t="s">
        <v>37</v>
      </c>
      <c r="L297" t="s">
        <v>33</v>
      </c>
      <c r="M297" t="s">
        <v>29</v>
      </c>
      <c r="N297" t="s">
        <v>27</v>
      </c>
    </row>
    <row r="298" spans="1:14" x14ac:dyDescent="0.2">
      <c r="A298">
        <v>225</v>
      </c>
      <c r="B298" s="3" t="s">
        <v>300</v>
      </c>
      <c r="C298" s="3" t="s">
        <v>78</v>
      </c>
      <c r="D298">
        <v>15</v>
      </c>
      <c r="E298" s="12" t="s">
        <v>135</v>
      </c>
      <c r="F298" t="s">
        <v>289</v>
      </c>
      <c r="G298">
        <v>1</v>
      </c>
      <c r="H298" t="s">
        <v>52</v>
      </c>
      <c r="I298" t="s">
        <v>87</v>
      </c>
      <c r="J298" t="s">
        <v>27</v>
      </c>
      <c r="K298" t="s">
        <v>37</v>
      </c>
      <c r="L298" t="s">
        <v>33</v>
      </c>
      <c r="M298" t="s">
        <v>29</v>
      </c>
      <c r="N298" t="s">
        <v>27</v>
      </c>
    </row>
    <row r="299" spans="1:14" x14ac:dyDescent="0.2">
      <c r="A299">
        <v>226</v>
      </c>
      <c r="B299" s="3" t="s">
        <v>300</v>
      </c>
      <c r="C299" s="3" t="s">
        <v>78</v>
      </c>
      <c r="D299">
        <v>16</v>
      </c>
      <c r="E299" s="12" t="s">
        <v>135</v>
      </c>
      <c r="F299" t="s">
        <v>289</v>
      </c>
      <c r="G299">
        <v>1</v>
      </c>
      <c r="H299" t="s">
        <v>52</v>
      </c>
      <c r="I299" t="s">
        <v>87</v>
      </c>
      <c r="J299" t="s">
        <v>27</v>
      </c>
      <c r="K299" t="s">
        <v>37</v>
      </c>
      <c r="L299" t="s">
        <v>33</v>
      </c>
      <c r="M299" t="s">
        <v>29</v>
      </c>
      <c r="N299" t="s">
        <v>27</v>
      </c>
    </row>
    <row r="300" spans="1:14" x14ac:dyDescent="0.2">
      <c r="A300">
        <v>227</v>
      </c>
      <c r="B300" s="3" t="s">
        <v>300</v>
      </c>
      <c r="C300" s="3" t="s">
        <v>78</v>
      </c>
      <c r="D300">
        <v>17</v>
      </c>
      <c r="E300" s="12" t="s">
        <v>135</v>
      </c>
      <c r="F300" t="s">
        <v>289</v>
      </c>
      <c r="G300">
        <v>1</v>
      </c>
      <c r="H300" t="s">
        <v>52</v>
      </c>
      <c r="I300" t="s">
        <v>87</v>
      </c>
      <c r="J300" t="s">
        <v>27</v>
      </c>
      <c r="K300" t="s">
        <v>37</v>
      </c>
      <c r="L300" t="s">
        <v>33</v>
      </c>
      <c r="M300" t="s">
        <v>29</v>
      </c>
      <c r="N300" t="s">
        <v>27</v>
      </c>
    </row>
    <row r="301" spans="1:14" x14ac:dyDescent="0.2">
      <c r="A301">
        <v>228</v>
      </c>
      <c r="B301" s="3" t="s">
        <v>300</v>
      </c>
      <c r="C301" s="3" t="s">
        <v>78</v>
      </c>
      <c r="D301">
        <v>18</v>
      </c>
      <c r="E301" s="12" t="s">
        <v>135</v>
      </c>
      <c r="F301" t="s">
        <v>289</v>
      </c>
      <c r="G301">
        <v>1</v>
      </c>
      <c r="H301" t="s">
        <v>52</v>
      </c>
      <c r="I301" t="s">
        <v>87</v>
      </c>
      <c r="J301" t="s">
        <v>27</v>
      </c>
      <c r="K301" t="s">
        <v>37</v>
      </c>
      <c r="L301" t="s">
        <v>33</v>
      </c>
      <c r="M301" t="s">
        <v>29</v>
      </c>
      <c r="N301" t="s">
        <v>27</v>
      </c>
    </row>
    <row r="302" spans="1:14" x14ac:dyDescent="0.2">
      <c r="A302">
        <v>229</v>
      </c>
      <c r="B302" s="3" t="s">
        <v>300</v>
      </c>
      <c r="C302" s="3" t="s">
        <v>78</v>
      </c>
      <c r="D302">
        <v>19</v>
      </c>
      <c r="E302" s="12" t="s">
        <v>135</v>
      </c>
      <c r="F302" t="s">
        <v>289</v>
      </c>
      <c r="G302">
        <v>1</v>
      </c>
      <c r="H302" t="s">
        <v>52</v>
      </c>
      <c r="I302" t="s">
        <v>87</v>
      </c>
      <c r="J302" t="s">
        <v>27</v>
      </c>
      <c r="K302" t="s">
        <v>37</v>
      </c>
      <c r="L302" t="s">
        <v>33</v>
      </c>
      <c r="M302" t="s">
        <v>29</v>
      </c>
      <c r="N302" t="s">
        <v>27</v>
      </c>
    </row>
    <row r="303" spans="1:14" x14ac:dyDescent="0.2">
      <c r="A303">
        <v>230</v>
      </c>
      <c r="B303" s="3" t="s">
        <v>300</v>
      </c>
      <c r="C303" s="3" t="s">
        <v>78</v>
      </c>
      <c r="D303">
        <v>20</v>
      </c>
      <c r="E303" s="12" t="s">
        <v>135</v>
      </c>
      <c r="F303" t="s">
        <v>289</v>
      </c>
      <c r="G303">
        <v>1</v>
      </c>
      <c r="H303" t="s">
        <v>52</v>
      </c>
      <c r="I303" t="s">
        <v>87</v>
      </c>
      <c r="J303" t="s">
        <v>27</v>
      </c>
      <c r="K303" t="s">
        <v>37</v>
      </c>
      <c r="L303" t="s">
        <v>33</v>
      </c>
      <c r="M303" t="s">
        <v>29</v>
      </c>
      <c r="N303" t="s">
        <v>27</v>
      </c>
    </row>
    <row r="304" spans="1:14" x14ac:dyDescent="0.2">
      <c r="A304">
        <v>234</v>
      </c>
      <c r="B304" s="3" t="s">
        <v>300</v>
      </c>
      <c r="C304" s="3" t="s">
        <v>78</v>
      </c>
      <c r="D304">
        <v>24</v>
      </c>
      <c r="E304" s="12" t="s">
        <v>135</v>
      </c>
      <c r="F304" t="s">
        <v>289</v>
      </c>
      <c r="G304">
        <v>1</v>
      </c>
      <c r="H304" t="s">
        <v>52</v>
      </c>
      <c r="I304" t="s">
        <v>87</v>
      </c>
      <c r="J304" t="s">
        <v>27</v>
      </c>
      <c r="K304" t="s">
        <v>37</v>
      </c>
      <c r="L304" t="s">
        <v>33</v>
      </c>
      <c r="M304" t="s">
        <v>31</v>
      </c>
      <c r="N304" t="s">
        <v>27</v>
      </c>
    </row>
    <row r="305" spans="1:15" x14ac:dyDescent="0.2">
      <c r="A305">
        <v>67</v>
      </c>
      <c r="B305" s="3" t="s">
        <v>136</v>
      </c>
      <c r="C305" s="3" t="s">
        <v>137</v>
      </c>
      <c r="D305">
        <v>1</v>
      </c>
      <c r="E305" s="12" t="s">
        <v>135</v>
      </c>
      <c r="F305" t="s">
        <v>289</v>
      </c>
      <c r="G305">
        <v>2</v>
      </c>
      <c r="H305" t="s">
        <v>31</v>
      </c>
      <c r="I305" t="s">
        <v>87</v>
      </c>
      <c r="J305" t="s">
        <v>27</v>
      </c>
      <c r="K305" t="s">
        <v>37</v>
      </c>
      <c r="L305" t="s">
        <v>33</v>
      </c>
      <c r="M305" t="s">
        <v>38</v>
      </c>
      <c r="N305" t="s">
        <v>27</v>
      </c>
      <c r="O305" t="s">
        <v>134</v>
      </c>
    </row>
    <row r="306" spans="1:15" x14ac:dyDescent="0.2">
      <c r="A306">
        <v>119</v>
      </c>
      <c r="B306" s="3" t="s">
        <v>164</v>
      </c>
      <c r="C306" s="3" t="s">
        <v>78</v>
      </c>
      <c r="D306">
        <v>38</v>
      </c>
      <c r="E306" s="12" t="s">
        <v>88</v>
      </c>
      <c r="F306" t="s">
        <v>263</v>
      </c>
      <c r="G306">
        <v>1</v>
      </c>
      <c r="H306" t="s">
        <v>52</v>
      </c>
      <c r="I306" t="s">
        <v>87</v>
      </c>
      <c r="J306" t="s">
        <v>27</v>
      </c>
      <c r="K306" t="s">
        <v>37</v>
      </c>
      <c r="L306" t="s">
        <v>33</v>
      </c>
      <c r="M306" t="s">
        <v>31</v>
      </c>
      <c r="N306" t="s">
        <v>27</v>
      </c>
      <c r="O306" t="s">
        <v>162</v>
      </c>
    </row>
    <row r="307" spans="1:15" x14ac:dyDescent="0.2">
      <c r="A307">
        <v>120</v>
      </c>
      <c r="B307" s="3" t="s">
        <v>164</v>
      </c>
      <c r="C307" s="3" t="s">
        <v>78</v>
      </c>
      <c r="D307">
        <v>39</v>
      </c>
      <c r="E307" s="12" t="s">
        <v>88</v>
      </c>
      <c r="F307" t="s">
        <v>263</v>
      </c>
      <c r="G307">
        <v>1</v>
      </c>
      <c r="H307" t="s">
        <v>52</v>
      </c>
      <c r="I307" t="s">
        <v>87</v>
      </c>
      <c r="J307" t="s">
        <v>27</v>
      </c>
      <c r="K307" t="s">
        <v>37</v>
      </c>
      <c r="L307" t="s">
        <v>33</v>
      </c>
      <c r="M307" t="s">
        <v>31</v>
      </c>
      <c r="N307" t="s">
        <v>27</v>
      </c>
      <c r="O307" t="s">
        <v>162</v>
      </c>
    </row>
    <row r="308" spans="1:15" x14ac:dyDescent="0.2">
      <c r="A308">
        <v>121</v>
      </c>
      <c r="B308" s="3" t="s">
        <v>164</v>
      </c>
      <c r="C308" s="3" t="s">
        <v>78</v>
      </c>
      <c r="D308">
        <v>40</v>
      </c>
      <c r="E308" s="12" t="s">
        <v>88</v>
      </c>
      <c r="F308" t="s">
        <v>263</v>
      </c>
      <c r="G308">
        <v>1</v>
      </c>
      <c r="H308" t="s">
        <v>52</v>
      </c>
      <c r="I308" t="s">
        <v>87</v>
      </c>
      <c r="J308" t="s">
        <v>27</v>
      </c>
      <c r="K308" t="s">
        <v>37</v>
      </c>
      <c r="L308" t="s">
        <v>33</v>
      </c>
      <c r="M308" t="s">
        <v>31</v>
      </c>
      <c r="N308" t="s">
        <v>27</v>
      </c>
      <c r="O308" t="s">
        <v>162</v>
      </c>
    </row>
    <row r="309" spans="1:15" x14ac:dyDescent="0.2">
      <c r="A309">
        <v>122</v>
      </c>
      <c r="B309" s="3" t="s">
        <v>164</v>
      </c>
      <c r="C309" s="3" t="s">
        <v>78</v>
      </c>
      <c r="D309">
        <v>41</v>
      </c>
      <c r="E309" s="12" t="s">
        <v>88</v>
      </c>
      <c r="F309" t="s">
        <v>263</v>
      </c>
      <c r="G309">
        <v>1</v>
      </c>
      <c r="H309" t="s">
        <v>52</v>
      </c>
      <c r="I309" t="s">
        <v>87</v>
      </c>
      <c r="J309" t="s">
        <v>27</v>
      </c>
      <c r="K309" t="s">
        <v>37</v>
      </c>
      <c r="L309" t="s">
        <v>33</v>
      </c>
      <c r="M309" t="s">
        <v>31</v>
      </c>
      <c r="N309" t="s">
        <v>27</v>
      </c>
      <c r="O309" t="s">
        <v>162</v>
      </c>
    </row>
    <row r="310" spans="1:15" x14ac:dyDescent="0.2">
      <c r="A310">
        <v>123</v>
      </c>
      <c r="B310" s="3" t="s">
        <v>164</v>
      </c>
      <c r="C310" s="3" t="s">
        <v>78</v>
      </c>
      <c r="D310">
        <v>42</v>
      </c>
      <c r="E310" s="12" t="s">
        <v>88</v>
      </c>
      <c r="F310" t="s">
        <v>263</v>
      </c>
      <c r="G310">
        <v>1</v>
      </c>
      <c r="H310" t="s">
        <v>52</v>
      </c>
      <c r="I310" t="s">
        <v>87</v>
      </c>
      <c r="J310" t="s">
        <v>27</v>
      </c>
      <c r="K310" t="s">
        <v>37</v>
      </c>
      <c r="L310" t="s">
        <v>33</v>
      </c>
      <c r="M310" t="s">
        <v>31</v>
      </c>
      <c r="N310" t="s">
        <v>27</v>
      </c>
      <c r="O310" t="s">
        <v>162</v>
      </c>
    </row>
    <row r="311" spans="1:15" x14ac:dyDescent="0.2">
      <c r="A311">
        <v>124</v>
      </c>
      <c r="B311" s="3" t="s">
        <v>164</v>
      </c>
      <c r="C311" s="3" t="s">
        <v>78</v>
      </c>
      <c r="D311">
        <v>43</v>
      </c>
      <c r="E311" s="12" t="s">
        <v>88</v>
      </c>
      <c r="F311" t="s">
        <v>263</v>
      </c>
      <c r="G311">
        <v>1</v>
      </c>
      <c r="H311" t="s">
        <v>52</v>
      </c>
      <c r="I311" t="s">
        <v>87</v>
      </c>
      <c r="J311" t="s">
        <v>27</v>
      </c>
      <c r="K311" t="s">
        <v>37</v>
      </c>
      <c r="L311" t="s">
        <v>33</v>
      </c>
      <c r="M311" t="s">
        <v>31</v>
      </c>
      <c r="N311" t="s">
        <v>27</v>
      </c>
      <c r="O311" t="s">
        <v>162</v>
      </c>
    </row>
    <row r="312" spans="1:15" x14ac:dyDescent="0.2">
      <c r="A312">
        <v>125</v>
      </c>
      <c r="B312" s="3" t="s">
        <v>164</v>
      </c>
      <c r="C312" s="3" t="s">
        <v>78</v>
      </c>
      <c r="D312">
        <v>44</v>
      </c>
      <c r="E312" s="12" t="s">
        <v>88</v>
      </c>
      <c r="F312" t="s">
        <v>263</v>
      </c>
      <c r="G312">
        <v>1</v>
      </c>
      <c r="H312" t="s">
        <v>52</v>
      </c>
      <c r="I312" t="s">
        <v>87</v>
      </c>
      <c r="J312" t="s">
        <v>27</v>
      </c>
      <c r="K312" t="s">
        <v>37</v>
      </c>
      <c r="L312" t="s">
        <v>33</v>
      </c>
      <c r="M312" t="s">
        <v>31</v>
      </c>
      <c r="N312" t="s">
        <v>27</v>
      </c>
      <c r="O312" t="s">
        <v>162</v>
      </c>
    </row>
    <row r="313" spans="1:15" x14ac:dyDescent="0.2">
      <c r="A313">
        <v>126</v>
      </c>
      <c r="B313" s="3" t="s">
        <v>164</v>
      </c>
      <c r="C313" s="3" t="s">
        <v>78</v>
      </c>
      <c r="D313">
        <v>45</v>
      </c>
      <c r="E313" s="12" t="s">
        <v>88</v>
      </c>
      <c r="F313" t="s">
        <v>263</v>
      </c>
      <c r="G313">
        <v>1</v>
      </c>
      <c r="H313" t="s">
        <v>52</v>
      </c>
      <c r="I313" t="s">
        <v>87</v>
      </c>
      <c r="J313" t="s">
        <v>27</v>
      </c>
      <c r="K313" t="s">
        <v>37</v>
      </c>
      <c r="L313" t="s">
        <v>33</v>
      </c>
      <c r="M313" t="s">
        <v>31</v>
      </c>
      <c r="N313" t="s">
        <v>27</v>
      </c>
      <c r="O313" t="s">
        <v>162</v>
      </c>
    </row>
    <row r="314" spans="1:15" x14ac:dyDescent="0.2">
      <c r="A314">
        <v>127</v>
      </c>
      <c r="B314" s="3" t="s">
        <v>164</v>
      </c>
      <c r="C314" s="3" t="s">
        <v>78</v>
      </c>
      <c r="D314">
        <v>46</v>
      </c>
      <c r="E314" s="12" t="s">
        <v>88</v>
      </c>
      <c r="F314" t="s">
        <v>263</v>
      </c>
      <c r="G314">
        <v>1</v>
      </c>
      <c r="H314" t="s">
        <v>52</v>
      </c>
      <c r="I314" t="s">
        <v>87</v>
      </c>
      <c r="J314" t="s">
        <v>27</v>
      </c>
      <c r="K314" t="s">
        <v>37</v>
      </c>
      <c r="L314" t="s">
        <v>33</v>
      </c>
      <c r="M314" t="s">
        <v>31</v>
      </c>
      <c r="N314" t="s">
        <v>27</v>
      </c>
      <c r="O314" t="s">
        <v>162</v>
      </c>
    </row>
    <row r="315" spans="1:15" x14ac:dyDescent="0.2">
      <c r="A315">
        <v>128</v>
      </c>
      <c r="B315" s="3" t="s">
        <v>164</v>
      </c>
      <c r="C315" s="3" t="s">
        <v>78</v>
      </c>
      <c r="D315">
        <v>47</v>
      </c>
      <c r="E315" s="12" t="s">
        <v>88</v>
      </c>
      <c r="F315" t="s">
        <v>263</v>
      </c>
      <c r="G315">
        <v>1</v>
      </c>
      <c r="H315" t="s">
        <v>52</v>
      </c>
      <c r="I315" t="s">
        <v>87</v>
      </c>
      <c r="J315" t="s">
        <v>27</v>
      </c>
      <c r="K315" t="s">
        <v>37</v>
      </c>
      <c r="L315" t="s">
        <v>33</v>
      </c>
      <c r="M315" t="s">
        <v>31</v>
      </c>
      <c r="N315" t="s">
        <v>27</v>
      </c>
      <c r="O315" t="s">
        <v>162</v>
      </c>
    </row>
    <row r="316" spans="1:15" x14ac:dyDescent="0.2">
      <c r="A316">
        <v>129</v>
      </c>
      <c r="B316" s="3" t="s">
        <v>164</v>
      </c>
      <c r="C316" s="3" t="s">
        <v>78</v>
      </c>
      <c r="D316">
        <v>48</v>
      </c>
      <c r="E316" s="12" t="s">
        <v>88</v>
      </c>
      <c r="F316" t="s">
        <v>263</v>
      </c>
      <c r="G316">
        <v>1</v>
      </c>
      <c r="H316" t="s">
        <v>52</v>
      </c>
      <c r="I316" t="s">
        <v>87</v>
      </c>
      <c r="J316" t="s">
        <v>27</v>
      </c>
      <c r="K316" t="s">
        <v>37</v>
      </c>
      <c r="L316" t="s">
        <v>33</v>
      </c>
      <c r="M316" t="s">
        <v>31</v>
      </c>
      <c r="N316" t="s">
        <v>27</v>
      </c>
      <c r="O316" t="s">
        <v>162</v>
      </c>
    </row>
    <row r="317" spans="1:15" x14ac:dyDescent="0.2">
      <c r="A317">
        <v>130</v>
      </c>
      <c r="B317" s="3" t="s">
        <v>164</v>
      </c>
      <c r="C317" s="3" t="s">
        <v>78</v>
      </c>
      <c r="D317">
        <v>49</v>
      </c>
      <c r="E317" s="12" t="s">
        <v>88</v>
      </c>
      <c r="F317" t="s">
        <v>263</v>
      </c>
      <c r="G317">
        <v>1</v>
      </c>
      <c r="H317" t="s">
        <v>52</v>
      </c>
      <c r="I317" t="s">
        <v>87</v>
      </c>
      <c r="J317" t="s">
        <v>27</v>
      </c>
      <c r="K317" t="s">
        <v>37</v>
      </c>
      <c r="L317" t="s">
        <v>33</v>
      </c>
      <c r="M317" t="s">
        <v>31</v>
      </c>
      <c r="N317" t="s">
        <v>27</v>
      </c>
      <c r="O317" t="s">
        <v>162</v>
      </c>
    </row>
    <row r="318" spans="1:15" x14ac:dyDescent="0.2">
      <c r="A318">
        <v>55</v>
      </c>
      <c r="B318" s="3" t="s">
        <v>122</v>
      </c>
      <c r="C318" s="3" t="s">
        <v>78</v>
      </c>
      <c r="D318">
        <v>6</v>
      </c>
      <c r="E318" s="12" t="s">
        <v>79</v>
      </c>
      <c r="F318" t="s">
        <v>285</v>
      </c>
      <c r="G318">
        <v>2</v>
      </c>
      <c r="H318" t="s">
        <v>52</v>
      </c>
      <c r="I318" t="s">
        <v>87</v>
      </c>
      <c r="J318" t="s">
        <v>27</v>
      </c>
      <c r="K318" t="s">
        <v>37</v>
      </c>
      <c r="L318" t="s">
        <v>33</v>
      </c>
      <c r="M318" t="s">
        <v>31</v>
      </c>
      <c r="N318" t="s">
        <v>27</v>
      </c>
    </row>
    <row r="319" spans="1:15" x14ac:dyDescent="0.2">
      <c r="A319">
        <v>56</v>
      </c>
      <c r="B319" s="3" t="s">
        <v>122</v>
      </c>
      <c r="C319" s="3" t="s">
        <v>78</v>
      </c>
      <c r="D319">
        <v>7</v>
      </c>
      <c r="E319" s="12" t="s">
        <v>79</v>
      </c>
      <c r="F319" t="s">
        <v>285</v>
      </c>
      <c r="G319">
        <v>2</v>
      </c>
      <c r="H319" t="s">
        <v>52</v>
      </c>
      <c r="I319" t="s">
        <v>87</v>
      </c>
      <c r="J319" t="s">
        <v>27</v>
      </c>
      <c r="K319" t="s">
        <v>37</v>
      </c>
      <c r="L319" t="s">
        <v>33</v>
      </c>
      <c r="M319" t="s">
        <v>31</v>
      </c>
      <c r="N319" t="s">
        <v>27</v>
      </c>
    </row>
    <row r="320" spans="1:15" x14ac:dyDescent="0.2">
      <c r="A320">
        <v>57</v>
      </c>
      <c r="B320" s="3" t="s">
        <v>122</v>
      </c>
      <c r="C320" s="3" t="s">
        <v>78</v>
      </c>
      <c r="D320">
        <v>8</v>
      </c>
      <c r="E320" s="12" t="s">
        <v>79</v>
      </c>
      <c r="F320" t="s">
        <v>285</v>
      </c>
      <c r="G320">
        <v>3</v>
      </c>
      <c r="H320" t="s">
        <v>52</v>
      </c>
      <c r="I320" t="s">
        <v>87</v>
      </c>
      <c r="J320" t="s">
        <v>27</v>
      </c>
      <c r="K320" t="s">
        <v>37</v>
      </c>
      <c r="L320" t="s">
        <v>33</v>
      </c>
      <c r="M320" t="s">
        <v>31</v>
      </c>
      <c r="N320" t="s">
        <v>27</v>
      </c>
    </row>
    <row r="321" spans="1:15" x14ac:dyDescent="0.2">
      <c r="A321">
        <v>166</v>
      </c>
      <c r="B321" s="3" t="s">
        <v>174</v>
      </c>
      <c r="C321" s="3" t="s">
        <v>78</v>
      </c>
      <c r="D321">
        <v>10</v>
      </c>
      <c r="E321" s="12" t="s">
        <v>179</v>
      </c>
      <c r="F321" t="s">
        <v>266</v>
      </c>
      <c r="G321">
        <v>8</v>
      </c>
      <c r="H321" t="s">
        <v>31</v>
      </c>
      <c r="I321" t="s">
        <v>87</v>
      </c>
      <c r="J321" t="s">
        <v>27</v>
      </c>
      <c r="K321" t="s">
        <v>37</v>
      </c>
      <c r="L321" t="s">
        <v>33</v>
      </c>
      <c r="M321" t="s">
        <v>31</v>
      </c>
      <c r="N321" t="s">
        <v>27</v>
      </c>
    </row>
    <row r="322" spans="1:15" x14ac:dyDescent="0.2">
      <c r="A322">
        <v>92</v>
      </c>
      <c r="B322" s="3" t="s">
        <v>163</v>
      </c>
      <c r="C322" s="3" t="s">
        <v>78</v>
      </c>
      <c r="D322">
        <v>11</v>
      </c>
      <c r="E322" s="12" t="s">
        <v>88</v>
      </c>
      <c r="F322" t="s">
        <v>263</v>
      </c>
      <c r="G322">
        <v>1</v>
      </c>
      <c r="H322" t="s">
        <v>52</v>
      </c>
      <c r="I322" t="s">
        <v>87</v>
      </c>
      <c r="J322" t="s">
        <v>27</v>
      </c>
      <c r="K322" t="s">
        <v>37</v>
      </c>
      <c r="L322" t="s">
        <v>33</v>
      </c>
      <c r="M322" t="s">
        <v>31</v>
      </c>
      <c r="N322" t="s">
        <v>27</v>
      </c>
      <c r="O322" t="s">
        <v>162</v>
      </c>
    </row>
    <row r="323" spans="1:15" x14ac:dyDescent="0.2">
      <c r="A323">
        <v>93</v>
      </c>
      <c r="B323" s="3" t="s">
        <v>163</v>
      </c>
      <c r="C323" s="3" t="s">
        <v>78</v>
      </c>
      <c r="D323">
        <v>12</v>
      </c>
      <c r="E323" s="12" t="s">
        <v>88</v>
      </c>
      <c r="F323" t="s">
        <v>263</v>
      </c>
      <c r="G323">
        <v>1</v>
      </c>
      <c r="H323" t="s">
        <v>52</v>
      </c>
      <c r="I323" t="s">
        <v>87</v>
      </c>
      <c r="J323" t="s">
        <v>27</v>
      </c>
      <c r="K323" t="s">
        <v>37</v>
      </c>
      <c r="L323" t="s">
        <v>33</v>
      </c>
      <c r="M323" t="s">
        <v>31</v>
      </c>
      <c r="N323" t="s">
        <v>27</v>
      </c>
      <c r="O323" t="s">
        <v>162</v>
      </c>
    </row>
    <row r="324" spans="1:15" x14ac:dyDescent="0.2">
      <c r="A324">
        <v>94</v>
      </c>
      <c r="B324" s="3" t="s">
        <v>163</v>
      </c>
      <c r="C324" s="3" t="s">
        <v>78</v>
      </c>
      <c r="D324">
        <v>13</v>
      </c>
      <c r="E324" s="12" t="s">
        <v>88</v>
      </c>
      <c r="F324" t="s">
        <v>263</v>
      </c>
      <c r="G324">
        <v>1</v>
      </c>
      <c r="H324" t="s">
        <v>52</v>
      </c>
      <c r="I324" t="s">
        <v>87</v>
      </c>
      <c r="J324" t="s">
        <v>27</v>
      </c>
      <c r="K324" t="s">
        <v>37</v>
      </c>
      <c r="L324" t="s">
        <v>33</v>
      </c>
      <c r="M324" t="s">
        <v>31</v>
      </c>
      <c r="N324" t="s">
        <v>27</v>
      </c>
      <c r="O324" t="s">
        <v>162</v>
      </c>
    </row>
    <row r="325" spans="1:15" x14ac:dyDescent="0.2">
      <c r="A325">
        <v>95</v>
      </c>
      <c r="B325" s="3" t="s">
        <v>163</v>
      </c>
      <c r="C325" s="3" t="s">
        <v>78</v>
      </c>
      <c r="D325">
        <v>14</v>
      </c>
      <c r="E325" s="12" t="s">
        <v>88</v>
      </c>
      <c r="F325" t="s">
        <v>263</v>
      </c>
      <c r="G325">
        <v>1</v>
      </c>
      <c r="H325" t="s">
        <v>52</v>
      </c>
      <c r="I325" t="s">
        <v>87</v>
      </c>
      <c r="J325" t="s">
        <v>27</v>
      </c>
      <c r="K325" t="s">
        <v>37</v>
      </c>
      <c r="L325" t="s">
        <v>33</v>
      </c>
      <c r="M325" t="s">
        <v>31</v>
      </c>
      <c r="N325" t="s">
        <v>27</v>
      </c>
      <c r="O325" t="s">
        <v>162</v>
      </c>
    </row>
    <row r="326" spans="1:15" x14ac:dyDescent="0.2">
      <c r="A326">
        <v>96</v>
      </c>
      <c r="B326" s="3" t="s">
        <v>163</v>
      </c>
      <c r="C326" s="3" t="s">
        <v>78</v>
      </c>
      <c r="D326">
        <v>15</v>
      </c>
      <c r="E326" s="12" t="s">
        <v>88</v>
      </c>
      <c r="F326" t="s">
        <v>263</v>
      </c>
      <c r="G326">
        <v>1</v>
      </c>
      <c r="H326" t="s">
        <v>52</v>
      </c>
      <c r="I326" t="s">
        <v>87</v>
      </c>
      <c r="J326" t="s">
        <v>27</v>
      </c>
      <c r="K326" t="s">
        <v>37</v>
      </c>
      <c r="L326" t="s">
        <v>33</v>
      </c>
      <c r="M326" t="s">
        <v>31</v>
      </c>
      <c r="N326" t="s">
        <v>27</v>
      </c>
      <c r="O326" t="s">
        <v>162</v>
      </c>
    </row>
    <row r="327" spans="1:15" x14ac:dyDescent="0.2">
      <c r="A327">
        <v>97</v>
      </c>
      <c r="B327" s="3" t="s">
        <v>163</v>
      </c>
      <c r="C327" s="3" t="s">
        <v>78</v>
      </c>
      <c r="D327">
        <v>16</v>
      </c>
      <c r="E327" s="12" t="s">
        <v>88</v>
      </c>
      <c r="F327" t="s">
        <v>263</v>
      </c>
      <c r="G327">
        <v>1</v>
      </c>
      <c r="H327" t="s">
        <v>52</v>
      </c>
      <c r="I327" t="s">
        <v>87</v>
      </c>
      <c r="J327" t="s">
        <v>27</v>
      </c>
      <c r="K327" t="s">
        <v>37</v>
      </c>
      <c r="L327" t="s">
        <v>33</v>
      </c>
      <c r="M327" t="s">
        <v>31</v>
      </c>
      <c r="N327" t="s">
        <v>27</v>
      </c>
      <c r="O327" t="s">
        <v>162</v>
      </c>
    </row>
    <row r="328" spans="1:15" x14ac:dyDescent="0.2">
      <c r="A328">
        <v>98</v>
      </c>
      <c r="B328" s="3" t="s">
        <v>163</v>
      </c>
      <c r="C328" s="3" t="s">
        <v>78</v>
      </c>
      <c r="D328">
        <v>17</v>
      </c>
      <c r="E328" s="12" t="s">
        <v>88</v>
      </c>
      <c r="F328" t="s">
        <v>263</v>
      </c>
      <c r="G328">
        <v>1</v>
      </c>
      <c r="H328" t="s">
        <v>52</v>
      </c>
      <c r="I328" t="s">
        <v>87</v>
      </c>
      <c r="J328" t="s">
        <v>27</v>
      </c>
      <c r="K328" t="s">
        <v>37</v>
      </c>
      <c r="L328" t="s">
        <v>33</v>
      </c>
      <c r="M328" t="s">
        <v>31</v>
      </c>
      <c r="N328" t="s">
        <v>27</v>
      </c>
      <c r="O328" t="s">
        <v>162</v>
      </c>
    </row>
    <row r="329" spans="1:15" x14ac:dyDescent="0.2">
      <c r="A329">
        <v>99</v>
      </c>
      <c r="B329" s="3" t="s">
        <v>163</v>
      </c>
      <c r="C329" s="3" t="s">
        <v>78</v>
      </c>
      <c r="D329">
        <v>18</v>
      </c>
      <c r="E329" s="12" t="s">
        <v>88</v>
      </c>
      <c r="F329" t="s">
        <v>263</v>
      </c>
      <c r="G329">
        <v>1</v>
      </c>
      <c r="H329" t="s">
        <v>52</v>
      </c>
      <c r="I329" t="s">
        <v>87</v>
      </c>
      <c r="J329" t="s">
        <v>27</v>
      </c>
      <c r="K329" t="s">
        <v>37</v>
      </c>
      <c r="L329" t="s">
        <v>33</v>
      </c>
      <c r="M329" t="s">
        <v>31</v>
      </c>
      <c r="N329" t="s">
        <v>27</v>
      </c>
      <c r="O329" t="s">
        <v>162</v>
      </c>
    </row>
    <row r="330" spans="1:15" x14ac:dyDescent="0.2">
      <c r="A330">
        <v>100</v>
      </c>
      <c r="B330" s="3" t="s">
        <v>163</v>
      </c>
      <c r="C330" s="3" t="s">
        <v>78</v>
      </c>
      <c r="D330">
        <v>19</v>
      </c>
      <c r="E330" s="12" t="s">
        <v>88</v>
      </c>
      <c r="F330" t="s">
        <v>263</v>
      </c>
      <c r="G330">
        <v>1</v>
      </c>
      <c r="H330" t="s">
        <v>52</v>
      </c>
      <c r="I330" t="s">
        <v>87</v>
      </c>
      <c r="J330" t="s">
        <v>27</v>
      </c>
      <c r="K330" t="s">
        <v>37</v>
      </c>
      <c r="L330" t="s">
        <v>33</v>
      </c>
      <c r="M330" t="s">
        <v>31</v>
      </c>
      <c r="N330" t="s">
        <v>27</v>
      </c>
      <c r="O330" t="s">
        <v>162</v>
      </c>
    </row>
    <row r="331" spans="1:15" x14ac:dyDescent="0.2">
      <c r="A331">
        <v>101</v>
      </c>
      <c r="B331" s="3" t="s">
        <v>163</v>
      </c>
      <c r="C331" s="3" t="s">
        <v>78</v>
      </c>
      <c r="D331">
        <v>20</v>
      </c>
      <c r="E331" s="12" t="s">
        <v>88</v>
      </c>
      <c r="F331" t="s">
        <v>263</v>
      </c>
      <c r="G331">
        <v>1</v>
      </c>
      <c r="H331" t="s">
        <v>52</v>
      </c>
      <c r="I331" t="s">
        <v>87</v>
      </c>
      <c r="J331" t="s">
        <v>27</v>
      </c>
      <c r="K331" t="s">
        <v>37</v>
      </c>
      <c r="L331" t="s">
        <v>33</v>
      </c>
      <c r="M331" t="s">
        <v>31</v>
      </c>
      <c r="N331" t="s">
        <v>27</v>
      </c>
      <c r="O331" t="s">
        <v>162</v>
      </c>
    </row>
    <row r="332" spans="1:15" x14ac:dyDescent="0.2">
      <c r="A332">
        <v>102</v>
      </c>
      <c r="B332" s="3" t="s">
        <v>163</v>
      </c>
      <c r="C332" s="3" t="s">
        <v>78</v>
      </c>
      <c r="D332">
        <v>21</v>
      </c>
      <c r="E332" s="12" t="s">
        <v>88</v>
      </c>
      <c r="F332" t="s">
        <v>263</v>
      </c>
      <c r="G332">
        <v>1</v>
      </c>
      <c r="H332" t="s">
        <v>52</v>
      </c>
      <c r="I332" t="s">
        <v>87</v>
      </c>
      <c r="J332" t="s">
        <v>27</v>
      </c>
      <c r="K332" t="s">
        <v>37</v>
      </c>
      <c r="L332" t="s">
        <v>33</v>
      </c>
      <c r="M332" t="s">
        <v>31</v>
      </c>
      <c r="N332" t="s">
        <v>27</v>
      </c>
      <c r="O332" t="s">
        <v>162</v>
      </c>
    </row>
    <row r="333" spans="1:15" x14ac:dyDescent="0.2">
      <c r="A333">
        <v>103</v>
      </c>
      <c r="B333" s="3" t="s">
        <v>163</v>
      </c>
      <c r="C333" s="3" t="s">
        <v>78</v>
      </c>
      <c r="D333">
        <v>22</v>
      </c>
      <c r="E333" s="12" t="s">
        <v>88</v>
      </c>
      <c r="F333" t="s">
        <v>263</v>
      </c>
      <c r="G333">
        <v>1</v>
      </c>
      <c r="H333" t="s">
        <v>52</v>
      </c>
      <c r="I333" t="s">
        <v>87</v>
      </c>
      <c r="J333" t="s">
        <v>27</v>
      </c>
      <c r="K333" t="s">
        <v>37</v>
      </c>
      <c r="L333" t="s">
        <v>33</v>
      </c>
      <c r="M333" t="s">
        <v>31</v>
      </c>
      <c r="N333" t="s">
        <v>27</v>
      </c>
      <c r="O333" t="s">
        <v>162</v>
      </c>
    </row>
    <row r="334" spans="1:15" x14ac:dyDescent="0.2">
      <c r="A334">
        <v>104</v>
      </c>
      <c r="B334" s="3" t="s">
        <v>163</v>
      </c>
      <c r="C334" s="3" t="s">
        <v>78</v>
      </c>
      <c r="D334">
        <v>23</v>
      </c>
      <c r="E334" s="12" t="s">
        <v>88</v>
      </c>
      <c r="F334" t="s">
        <v>263</v>
      </c>
      <c r="G334">
        <v>1</v>
      </c>
      <c r="H334" t="s">
        <v>52</v>
      </c>
      <c r="I334" t="s">
        <v>87</v>
      </c>
      <c r="J334" t="s">
        <v>27</v>
      </c>
      <c r="K334" t="s">
        <v>37</v>
      </c>
      <c r="L334" t="s">
        <v>33</v>
      </c>
      <c r="M334" t="s">
        <v>31</v>
      </c>
      <c r="N334" t="s">
        <v>27</v>
      </c>
      <c r="O334" t="s">
        <v>162</v>
      </c>
    </row>
    <row r="335" spans="1:15" x14ac:dyDescent="0.2">
      <c r="A335">
        <v>105</v>
      </c>
      <c r="B335" s="3" t="s">
        <v>163</v>
      </c>
      <c r="C335" s="3" t="s">
        <v>78</v>
      </c>
      <c r="D335">
        <v>24</v>
      </c>
      <c r="E335" s="12" t="s">
        <v>88</v>
      </c>
      <c r="F335" t="s">
        <v>263</v>
      </c>
      <c r="G335">
        <v>1</v>
      </c>
      <c r="H335" t="s">
        <v>52</v>
      </c>
      <c r="I335" t="s">
        <v>87</v>
      </c>
      <c r="J335" t="s">
        <v>27</v>
      </c>
      <c r="K335" t="s">
        <v>37</v>
      </c>
      <c r="L335" t="s">
        <v>33</v>
      </c>
      <c r="M335" t="s">
        <v>31</v>
      </c>
      <c r="N335" t="s">
        <v>27</v>
      </c>
      <c r="O335" t="s">
        <v>162</v>
      </c>
    </row>
    <row r="336" spans="1:15" x14ac:dyDescent="0.2">
      <c r="A336">
        <v>106</v>
      </c>
      <c r="B336" s="3" t="s">
        <v>163</v>
      </c>
      <c r="C336" s="3" t="s">
        <v>78</v>
      </c>
      <c r="D336">
        <v>25</v>
      </c>
      <c r="E336" s="12" t="s">
        <v>88</v>
      </c>
      <c r="F336" t="s">
        <v>263</v>
      </c>
      <c r="G336">
        <v>1</v>
      </c>
      <c r="H336" t="s">
        <v>52</v>
      </c>
      <c r="I336" t="s">
        <v>87</v>
      </c>
      <c r="J336" t="s">
        <v>27</v>
      </c>
      <c r="K336" t="s">
        <v>37</v>
      </c>
      <c r="L336" t="s">
        <v>33</v>
      </c>
      <c r="M336" t="s">
        <v>31</v>
      </c>
      <c r="N336" t="s">
        <v>27</v>
      </c>
      <c r="O336" t="s">
        <v>162</v>
      </c>
    </row>
    <row r="337" spans="1:15" x14ac:dyDescent="0.2">
      <c r="A337">
        <v>107</v>
      </c>
      <c r="B337" s="3" t="s">
        <v>163</v>
      </c>
      <c r="C337" s="3" t="s">
        <v>78</v>
      </c>
      <c r="D337">
        <v>26</v>
      </c>
      <c r="E337" s="12" t="s">
        <v>88</v>
      </c>
      <c r="F337" t="s">
        <v>263</v>
      </c>
      <c r="G337">
        <v>1</v>
      </c>
      <c r="H337" t="s">
        <v>52</v>
      </c>
      <c r="I337" t="s">
        <v>87</v>
      </c>
      <c r="J337" t="s">
        <v>27</v>
      </c>
      <c r="K337" t="s">
        <v>37</v>
      </c>
      <c r="L337" t="s">
        <v>33</v>
      </c>
      <c r="M337" t="s">
        <v>31</v>
      </c>
      <c r="N337" t="s">
        <v>27</v>
      </c>
      <c r="O337" t="s">
        <v>162</v>
      </c>
    </row>
    <row r="338" spans="1:15" x14ac:dyDescent="0.2">
      <c r="A338">
        <v>108</v>
      </c>
      <c r="B338" s="3" t="s">
        <v>163</v>
      </c>
      <c r="C338" s="3" t="s">
        <v>78</v>
      </c>
      <c r="D338">
        <v>27</v>
      </c>
      <c r="E338" s="12" t="s">
        <v>88</v>
      </c>
      <c r="F338" t="s">
        <v>263</v>
      </c>
      <c r="G338">
        <v>1</v>
      </c>
      <c r="H338" t="s">
        <v>52</v>
      </c>
      <c r="I338" t="s">
        <v>87</v>
      </c>
      <c r="J338" t="s">
        <v>27</v>
      </c>
      <c r="K338" t="s">
        <v>37</v>
      </c>
      <c r="L338" t="s">
        <v>33</v>
      </c>
      <c r="M338" t="s">
        <v>31</v>
      </c>
      <c r="N338" t="s">
        <v>27</v>
      </c>
      <c r="O338" t="s">
        <v>162</v>
      </c>
    </row>
    <row r="339" spans="1:15" x14ac:dyDescent="0.2">
      <c r="A339">
        <v>109</v>
      </c>
      <c r="B339" s="3" t="s">
        <v>163</v>
      </c>
      <c r="C339" s="3" t="s">
        <v>78</v>
      </c>
      <c r="D339">
        <v>28</v>
      </c>
      <c r="E339" s="12" t="s">
        <v>88</v>
      </c>
      <c r="F339" t="s">
        <v>263</v>
      </c>
      <c r="G339">
        <v>1</v>
      </c>
      <c r="H339" t="s">
        <v>52</v>
      </c>
      <c r="I339" t="s">
        <v>87</v>
      </c>
      <c r="J339" t="s">
        <v>27</v>
      </c>
      <c r="K339" t="s">
        <v>37</v>
      </c>
      <c r="L339" t="s">
        <v>33</v>
      </c>
      <c r="M339" t="s">
        <v>31</v>
      </c>
      <c r="N339" t="s">
        <v>27</v>
      </c>
      <c r="O339" t="s">
        <v>162</v>
      </c>
    </row>
    <row r="340" spans="1:15" x14ac:dyDescent="0.2">
      <c r="A340">
        <v>110</v>
      </c>
      <c r="B340" s="3" t="s">
        <v>163</v>
      </c>
      <c r="C340" s="3" t="s">
        <v>78</v>
      </c>
      <c r="D340">
        <v>29</v>
      </c>
      <c r="E340" s="12" t="s">
        <v>88</v>
      </c>
      <c r="F340" t="s">
        <v>263</v>
      </c>
      <c r="G340">
        <v>1</v>
      </c>
      <c r="H340" t="s">
        <v>52</v>
      </c>
      <c r="I340" t="s">
        <v>87</v>
      </c>
      <c r="J340" t="s">
        <v>27</v>
      </c>
      <c r="K340" t="s">
        <v>37</v>
      </c>
      <c r="L340" t="s">
        <v>33</v>
      </c>
      <c r="M340" t="s">
        <v>31</v>
      </c>
      <c r="N340" t="s">
        <v>27</v>
      </c>
      <c r="O340" t="s">
        <v>162</v>
      </c>
    </row>
    <row r="341" spans="1:15" x14ac:dyDescent="0.2">
      <c r="A341">
        <v>111</v>
      </c>
      <c r="B341" s="3" t="s">
        <v>163</v>
      </c>
      <c r="C341" s="3" t="s">
        <v>78</v>
      </c>
      <c r="D341">
        <v>30</v>
      </c>
      <c r="E341" s="12" t="s">
        <v>88</v>
      </c>
      <c r="F341" t="s">
        <v>263</v>
      </c>
      <c r="G341">
        <v>1</v>
      </c>
      <c r="H341" t="s">
        <v>52</v>
      </c>
      <c r="I341" t="s">
        <v>87</v>
      </c>
      <c r="J341" t="s">
        <v>27</v>
      </c>
      <c r="K341" t="s">
        <v>37</v>
      </c>
      <c r="L341" t="s">
        <v>33</v>
      </c>
      <c r="M341" t="s">
        <v>31</v>
      </c>
      <c r="N341" t="s">
        <v>27</v>
      </c>
      <c r="O341" t="s">
        <v>162</v>
      </c>
    </row>
    <row r="342" spans="1:15" x14ac:dyDescent="0.2">
      <c r="A342">
        <v>112</v>
      </c>
      <c r="B342" s="3" t="s">
        <v>163</v>
      </c>
      <c r="C342" s="3" t="s">
        <v>78</v>
      </c>
      <c r="D342">
        <v>31</v>
      </c>
      <c r="E342" s="12" t="s">
        <v>88</v>
      </c>
      <c r="F342" t="s">
        <v>263</v>
      </c>
      <c r="G342">
        <v>1</v>
      </c>
      <c r="H342" t="s">
        <v>52</v>
      </c>
      <c r="I342" t="s">
        <v>87</v>
      </c>
      <c r="J342" t="s">
        <v>27</v>
      </c>
      <c r="K342" t="s">
        <v>37</v>
      </c>
      <c r="L342" t="s">
        <v>33</v>
      </c>
      <c r="M342" t="s">
        <v>31</v>
      </c>
      <c r="N342" t="s">
        <v>27</v>
      </c>
      <c r="O342" t="s">
        <v>162</v>
      </c>
    </row>
    <row r="343" spans="1:15" x14ac:dyDescent="0.2">
      <c r="A343">
        <v>113</v>
      </c>
      <c r="B343" s="3" t="s">
        <v>163</v>
      </c>
      <c r="C343" s="3" t="s">
        <v>78</v>
      </c>
      <c r="D343">
        <v>32</v>
      </c>
      <c r="E343" s="12" t="s">
        <v>88</v>
      </c>
      <c r="F343" t="s">
        <v>263</v>
      </c>
      <c r="G343">
        <v>1</v>
      </c>
      <c r="H343" t="s">
        <v>52</v>
      </c>
      <c r="I343" t="s">
        <v>87</v>
      </c>
      <c r="J343" t="s">
        <v>27</v>
      </c>
      <c r="K343" t="s">
        <v>37</v>
      </c>
      <c r="L343" t="s">
        <v>33</v>
      </c>
      <c r="M343" t="s">
        <v>31</v>
      </c>
      <c r="N343" t="s">
        <v>27</v>
      </c>
      <c r="O343" t="s">
        <v>162</v>
      </c>
    </row>
    <row r="344" spans="1:15" x14ac:dyDescent="0.2">
      <c r="A344">
        <v>114</v>
      </c>
      <c r="B344" s="3" t="s">
        <v>163</v>
      </c>
      <c r="C344" s="3" t="s">
        <v>78</v>
      </c>
      <c r="D344">
        <v>33</v>
      </c>
      <c r="E344" s="12" t="s">
        <v>88</v>
      </c>
      <c r="F344" t="s">
        <v>263</v>
      </c>
      <c r="G344">
        <v>1</v>
      </c>
      <c r="H344" t="s">
        <v>52</v>
      </c>
      <c r="I344" t="s">
        <v>87</v>
      </c>
      <c r="J344" t="s">
        <v>27</v>
      </c>
      <c r="K344" t="s">
        <v>37</v>
      </c>
      <c r="L344" t="s">
        <v>33</v>
      </c>
      <c r="M344" t="s">
        <v>31</v>
      </c>
      <c r="N344" t="s">
        <v>27</v>
      </c>
      <c r="O344" t="s">
        <v>162</v>
      </c>
    </row>
    <row r="345" spans="1:15" x14ac:dyDescent="0.2">
      <c r="A345">
        <v>115</v>
      </c>
      <c r="B345" s="3" t="s">
        <v>163</v>
      </c>
      <c r="C345" s="3" t="s">
        <v>78</v>
      </c>
      <c r="D345">
        <v>34</v>
      </c>
      <c r="E345" s="12" t="s">
        <v>88</v>
      </c>
      <c r="F345" t="s">
        <v>263</v>
      </c>
      <c r="G345">
        <v>1</v>
      </c>
      <c r="H345" t="s">
        <v>52</v>
      </c>
      <c r="I345" t="s">
        <v>87</v>
      </c>
      <c r="J345" t="s">
        <v>27</v>
      </c>
      <c r="K345" t="s">
        <v>37</v>
      </c>
      <c r="L345" t="s">
        <v>33</v>
      </c>
      <c r="M345" t="s">
        <v>31</v>
      </c>
      <c r="N345" t="s">
        <v>27</v>
      </c>
      <c r="O345" t="s">
        <v>162</v>
      </c>
    </row>
    <row r="346" spans="1:15" x14ac:dyDescent="0.2">
      <c r="A346">
        <v>116</v>
      </c>
      <c r="B346" s="3" t="s">
        <v>163</v>
      </c>
      <c r="C346" s="3" t="s">
        <v>78</v>
      </c>
      <c r="D346">
        <v>35</v>
      </c>
      <c r="E346" s="12" t="s">
        <v>88</v>
      </c>
      <c r="F346" t="s">
        <v>263</v>
      </c>
      <c r="G346">
        <v>1</v>
      </c>
      <c r="H346" t="s">
        <v>52</v>
      </c>
      <c r="I346" t="s">
        <v>87</v>
      </c>
      <c r="J346" t="s">
        <v>27</v>
      </c>
      <c r="K346" t="s">
        <v>37</v>
      </c>
      <c r="L346" t="s">
        <v>33</v>
      </c>
      <c r="M346" t="s">
        <v>31</v>
      </c>
      <c r="N346" t="s">
        <v>27</v>
      </c>
      <c r="O346" t="s">
        <v>162</v>
      </c>
    </row>
    <row r="347" spans="1:15" x14ac:dyDescent="0.2">
      <c r="A347">
        <v>117</v>
      </c>
      <c r="B347" s="3" t="s">
        <v>163</v>
      </c>
      <c r="C347" s="3" t="s">
        <v>78</v>
      </c>
      <c r="D347">
        <v>36</v>
      </c>
      <c r="E347" s="12" t="s">
        <v>88</v>
      </c>
      <c r="F347" t="s">
        <v>263</v>
      </c>
      <c r="G347">
        <v>1</v>
      </c>
      <c r="H347" t="s">
        <v>52</v>
      </c>
      <c r="I347" t="s">
        <v>87</v>
      </c>
      <c r="J347" t="s">
        <v>27</v>
      </c>
      <c r="K347" t="s">
        <v>37</v>
      </c>
      <c r="L347" t="s">
        <v>33</v>
      </c>
      <c r="M347" t="s">
        <v>31</v>
      </c>
      <c r="N347" t="s">
        <v>27</v>
      </c>
      <c r="O347" t="s">
        <v>162</v>
      </c>
    </row>
    <row r="348" spans="1:15" x14ac:dyDescent="0.2">
      <c r="A348">
        <v>118</v>
      </c>
      <c r="B348" s="3" t="s">
        <v>163</v>
      </c>
      <c r="C348" s="3" t="s">
        <v>78</v>
      </c>
      <c r="D348">
        <v>37</v>
      </c>
      <c r="E348" s="12" t="s">
        <v>88</v>
      </c>
      <c r="F348" t="s">
        <v>263</v>
      </c>
      <c r="G348">
        <v>1</v>
      </c>
      <c r="H348" t="s">
        <v>52</v>
      </c>
      <c r="I348" t="s">
        <v>87</v>
      </c>
      <c r="J348" t="s">
        <v>27</v>
      </c>
      <c r="K348" t="s">
        <v>37</v>
      </c>
      <c r="L348" t="s">
        <v>33</v>
      </c>
      <c r="M348" t="s">
        <v>31</v>
      </c>
      <c r="N348" t="s">
        <v>27</v>
      </c>
      <c r="O348" t="s">
        <v>162</v>
      </c>
    </row>
  </sheetData>
  <phoneticPr fontId="1" type="noConversion"/>
  <printOptions gridLines="1"/>
  <pageMargins left="0.75" right="0.75" top="1" bottom="1" header="0.5" footer="0.5"/>
  <pageSetup paperSize="3" scale="81" fitToHeight="50" orientation="landscape" r:id="rId1"/>
  <headerFooter alignWithMargins="0">
    <oddHeader>&amp;LEagle Point National Cemetery&amp;CLandscape Tree Inventory Records Arranged by Primary Maintenance</oddHeader>
    <oddFooter>&amp;LDavey Resource Group&amp;C&amp;P&amp;R&amp;D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340"/>
  <sheetViews>
    <sheetView workbookViewId="0">
      <selection activeCell="G13" sqref="G13"/>
    </sheetView>
  </sheetViews>
  <sheetFormatPr defaultRowHeight="12.75" x14ac:dyDescent="0.2"/>
  <cols>
    <col min="1" max="1" width="4.140625" bestFit="1" customWidth="1"/>
    <col min="2" max="2" width="15.7109375" style="3" bestFit="1" customWidth="1"/>
    <col min="3" max="3" width="12.42578125" style="3" bestFit="1" customWidth="1"/>
    <col min="5" max="5" width="36.85546875" bestFit="1" customWidth="1"/>
    <col min="6" max="6" width="24.28515625" bestFit="1" customWidth="1"/>
    <col min="7" max="7" width="8.85546875" style="3"/>
    <col min="8" max="8" width="9.85546875" bestFit="1" customWidth="1"/>
    <col min="9" max="9" width="18.85546875" bestFit="1" customWidth="1"/>
    <col min="10" max="10" width="22.7109375" bestFit="1" customWidth="1"/>
    <col min="11" max="11" width="13.140625" bestFit="1" customWidth="1"/>
    <col min="12" max="12" width="9.5703125" bestFit="1" customWidth="1"/>
    <col min="13" max="13" width="8.7109375" bestFit="1" customWidth="1"/>
    <col min="14" max="14" width="15.5703125" bestFit="1" customWidth="1"/>
    <col min="15" max="15" width="37" bestFit="1" customWidth="1"/>
  </cols>
  <sheetData>
    <row r="1" spans="1:15" s="11" customFormat="1" x14ac:dyDescent="0.2">
      <c r="A1" s="11" t="s">
        <v>3</v>
      </c>
      <c r="B1" s="13" t="s">
        <v>57</v>
      </c>
      <c r="C1" s="13" t="s">
        <v>58</v>
      </c>
      <c r="D1" s="11" t="s">
        <v>59</v>
      </c>
      <c r="E1" s="11" t="s">
        <v>61</v>
      </c>
      <c r="F1" s="11" t="s">
        <v>60</v>
      </c>
      <c r="G1" s="13" t="s">
        <v>8</v>
      </c>
      <c r="H1" s="11" t="s">
        <v>9</v>
      </c>
      <c r="I1" s="11" t="s">
        <v>259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2</v>
      </c>
    </row>
    <row r="2" spans="1:15" x14ac:dyDescent="0.2">
      <c r="A2">
        <v>62</v>
      </c>
      <c r="B2" s="3">
        <v>1</v>
      </c>
      <c r="C2" s="3" t="s">
        <v>128</v>
      </c>
      <c r="D2">
        <v>3</v>
      </c>
      <c r="E2" s="12" t="s">
        <v>82</v>
      </c>
      <c r="F2" t="s">
        <v>284</v>
      </c>
      <c r="G2" s="3">
        <v>7</v>
      </c>
      <c r="H2" t="s">
        <v>52</v>
      </c>
      <c r="I2" t="s">
        <v>26</v>
      </c>
      <c r="J2" t="s">
        <v>27</v>
      </c>
      <c r="K2" t="s">
        <v>37</v>
      </c>
      <c r="L2" t="s">
        <v>33</v>
      </c>
      <c r="M2" t="s">
        <v>29</v>
      </c>
      <c r="N2" t="s">
        <v>27</v>
      </c>
    </row>
    <row r="3" spans="1:15" x14ac:dyDescent="0.2">
      <c r="A3">
        <v>61</v>
      </c>
      <c r="B3" s="3">
        <v>2</v>
      </c>
      <c r="C3" s="3" t="s">
        <v>127</v>
      </c>
      <c r="D3">
        <v>2</v>
      </c>
      <c r="E3" s="12" t="s">
        <v>126</v>
      </c>
      <c r="F3" t="s">
        <v>273</v>
      </c>
      <c r="G3" s="3">
        <v>14</v>
      </c>
      <c r="H3" t="s">
        <v>31</v>
      </c>
      <c r="I3" t="s">
        <v>26</v>
      </c>
      <c r="J3" t="s">
        <v>27</v>
      </c>
      <c r="K3" t="s">
        <v>34</v>
      </c>
      <c r="L3" t="s">
        <v>33</v>
      </c>
      <c r="M3" t="s">
        <v>29</v>
      </c>
      <c r="N3" t="s">
        <v>27</v>
      </c>
    </row>
    <row r="4" spans="1:15" x14ac:dyDescent="0.2">
      <c r="A4">
        <v>60</v>
      </c>
      <c r="B4" s="3">
        <v>2</v>
      </c>
      <c r="C4" s="3" t="s">
        <v>78</v>
      </c>
      <c r="D4">
        <v>1</v>
      </c>
      <c r="E4" s="12" t="s">
        <v>79</v>
      </c>
      <c r="F4" t="s">
        <v>285</v>
      </c>
      <c r="G4" s="3">
        <v>10</v>
      </c>
      <c r="H4" t="s">
        <v>31</v>
      </c>
      <c r="I4" t="s">
        <v>26</v>
      </c>
      <c r="J4" t="s">
        <v>27</v>
      </c>
      <c r="K4" t="s">
        <v>37</v>
      </c>
      <c r="L4" t="s">
        <v>33</v>
      </c>
      <c r="M4" t="s">
        <v>31</v>
      </c>
      <c r="N4" t="s">
        <v>27</v>
      </c>
    </row>
    <row r="5" spans="1:15" x14ac:dyDescent="0.2">
      <c r="A5">
        <v>77</v>
      </c>
      <c r="B5" s="3">
        <v>6</v>
      </c>
      <c r="C5" s="3" t="s">
        <v>153</v>
      </c>
      <c r="D5">
        <v>1</v>
      </c>
      <c r="E5" s="12" t="s">
        <v>152</v>
      </c>
      <c r="F5" t="s">
        <v>276</v>
      </c>
      <c r="G5" s="3">
        <v>6</v>
      </c>
      <c r="H5" t="s">
        <v>31</v>
      </c>
      <c r="I5" t="s">
        <v>26</v>
      </c>
      <c r="J5" t="s">
        <v>27</v>
      </c>
      <c r="K5" t="s">
        <v>37</v>
      </c>
      <c r="L5" t="s">
        <v>33</v>
      </c>
      <c r="M5" t="s">
        <v>31</v>
      </c>
      <c r="N5" t="s">
        <v>27</v>
      </c>
      <c r="O5" t="s">
        <v>151</v>
      </c>
    </row>
    <row r="6" spans="1:15" x14ac:dyDescent="0.2">
      <c r="A6">
        <v>76</v>
      </c>
      <c r="B6" s="3">
        <v>6</v>
      </c>
      <c r="C6" s="3" t="s">
        <v>150</v>
      </c>
      <c r="D6">
        <v>1</v>
      </c>
      <c r="E6" s="12" t="s">
        <v>79</v>
      </c>
      <c r="F6" t="s">
        <v>285</v>
      </c>
      <c r="G6" s="3">
        <v>14</v>
      </c>
      <c r="H6" t="s">
        <v>52</v>
      </c>
      <c r="I6" t="s">
        <v>26</v>
      </c>
      <c r="J6" t="s">
        <v>27</v>
      </c>
      <c r="K6" t="s">
        <v>37</v>
      </c>
      <c r="L6" t="s">
        <v>33</v>
      </c>
      <c r="M6" t="s">
        <v>29</v>
      </c>
      <c r="N6" t="s">
        <v>27</v>
      </c>
    </row>
    <row r="7" spans="1:15" x14ac:dyDescent="0.2">
      <c r="A7">
        <v>63</v>
      </c>
      <c r="B7" s="3">
        <v>9</v>
      </c>
      <c r="C7" s="3" t="s">
        <v>129</v>
      </c>
      <c r="D7">
        <v>1</v>
      </c>
      <c r="E7" s="12" t="s">
        <v>79</v>
      </c>
      <c r="F7" t="s">
        <v>285</v>
      </c>
      <c r="G7" s="3">
        <v>14</v>
      </c>
      <c r="H7" t="s">
        <v>52</v>
      </c>
      <c r="I7" t="s">
        <v>26</v>
      </c>
      <c r="J7" t="s">
        <v>27</v>
      </c>
      <c r="K7" t="s">
        <v>37</v>
      </c>
      <c r="L7" t="s">
        <v>33</v>
      </c>
      <c r="M7" t="s">
        <v>29</v>
      </c>
      <c r="N7" t="s">
        <v>27</v>
      </c>
    </row>
    <row r="8" spans="1:15" x14ac:dyDescent="0.2">
      <c r="A8">
        <v>64</v>
      </c>
      <c r="B8" s="3">
        <v>9</v>
      </c>
      <c r="C8" s="3" t="s">
        <v>130</v>
      </c>
      <c r="D8">
        <v>5</v>
      </c>
      <c r="E8" s="12" t="s">
        <v>79</v>
      </c>
      <c r="F8" t="s">
        <v>285</v>
      </c>
      <c r="G8" s="3">
        <v>14</v>
      </c>
      <c r="H8" t="s">
        <v>52</v>
      </c>
      <c r="I8" t="s">
        <v>26</v>
      </c>
      <c r="J8" t="s">
        <v>27</v>
      </c>
      <c r="K8" t="s">
        <v>37</v>
      </c>
      <c r="L8" t="s">
        <v>33</v>
      </c>
      <c r="M8" t="s">
        <v>29</v>
      </c>
      <c r="N8" t="s">
        <v>27</v>
      </c>
    </row>
    <row r="9" spans="1:15" x14ac:dyDescent="0.2">
      <c r="A9">
        <v>65</v>
      </c>
      <c r="B9" s="3">
        <v>9</v>
      </c>
      <c r="C9" s="3" t="s">
        <v>131</v>
      </c>
      <c r="D9">
        <v>1</v>
      </c>
      <c r="E9" s="12" t="s">
        <v>119</v>
      </c>
      <c r="F9" t="s">
        <v>286</v>
      </c>
      <c r="G9" s="3">
        <v>2</v>
      </c>
      <c r="H9" t="s">
        <v>31</v>
      </c>
      <c r="I9" t="s">
        <v>26</v>
      </c>
      <c r="J9" t="s">
        <v>27</v>
      </c>
      <c r="K9" t="s">
        <v>37</v>
      </c>
      <c r="L9" t="s">
        <v>33</v>
      </c>
      <c r="M9" t="s">
        <v>25</v>
      </c>
      <c r="N9" t="s">
        <v>27</v>
      </c>
    </row>
    <row r="10" spans="1:15" x14ac:dyDescent="0.2">
      <c r="A10">
        <v>75</v>
      </c>
      <c r="B10" s="3">
        <v>10</v>
      </c>
      <c r="C10" s="3" t="s">
        <v>149</v>
      </c>
      <c r="D10">
        <v>1</v>
      </c>
      <c r="E10" s="12" t="s">
        <v>94</v>
      </c>
      <c r="F10" t="s">
        <v>290</v>
      </c>
      <c r="G10" s="3">
        <v>36</v>
      </c>
      <c r="H10" t="s">
        <v>25</v>
      </c>
      <c r="I10" t="s">
        <v>26</v>
      </c>
      <c r="J10" t="s">
        <v>27</v>
      </c>
      <c r="K10" t="s">
        <v>37</v>
      </c>
      <c r="L10" t="s">
        <v>33</v>
      </c>
      <c r="M10" t="s">
        <v>31</v>
      </c>
      <c r="N10" t="s">
        <v>27</v>
      </c>
      <c r="O10" t="s">
        <v>40</v>
      </c>
    </row>
    <row r="11" spans="1:15" x14ac:dyDescent="0.2">
      <c r="A11">
        <v>80</v>
      </c>
      <c r="B11" s="3">
        <v>10</v>
      </c>
      <c r="C11" s="3" t="s">
        <v>156</v>
      </c>
      <c r="D11">
        <v>1</v>
      </c>
      <c r="E11" s="12" t="s">
        <v>94</v>
      </c>
      <c r="F11" t="s">
        <v>290</v>
      </c>
      <c r="G11" s="3">
        <v>14</v>
      </c>
      <c r="H11" t="s">
        <v>25</v>
      </c>
      <c r="I11" t="s">
        <v>26</v>
      </c>
      <c r="J11" t="s">
        <v>27</v>
      </c>
      <c r="K11" t="s">
        <v>37</v>
      </c>
      <c r="L11" t="s">
        <v>33</v>
      </c>
      <c r="M11" t="s">
        <v>31</v>
      </c>
      <c r="N11" t="s">
        <v>27</v>
      </c>
      <c r="O11" t="s">
        <v>155</v>
      </c>
    </row>
    <row r="12" spans="1:15" x14ac:dyDescent="0.2">
      <c r="A12">
        <v>81</v>
      </c>
      <c r="B12" s="3">
        <v>10</v>
      </c>
      <c r="C12" s="3" t="s">
        <v>158</v>
      </c>
      <c r="D12">
        <v>1</v>
      </c>
      <c r="E12" s="12" t="s">
        <v>119</v>
      </c>
      <c r="F12" t="s">
        <v>286</v>
      </c>
      <c r="G12" s="3">
        <v>6</v>
      </c>
      <c r="H12" t="s">
        <v>31</v>
      </c>
      <c r="I12" t="s">
        <v>26</v>
      </c>
      <c r="J12" t="s">
        <v>27</v>
      </c>
      <c r="K12" t="s">
        <v>37</v>
      </c>
      <c r="L12" t="s">
        <v>33</v>
      </c>
      <c r="M12" t="s">
        <v>29</v>
      </c>
      <c r="N12" t="s">
        <v>27</v>
      </c>
      <c r="O12" t="s">
        <v>157</v>
      </c>
    </row>
    <row r="13" spans="1:15" x14ac:dyDescent="0.2">
      <c r="A13">
        <v>78</v>
      </c>
      <c r="B13" s="3">
        <v>10</v>
      </c>
      <c r="C13" s="3" t="s">
        <v>154</v>
      </c>
      <c r="D13">
        <v>1</v>
      </c>
      <c r="E13" s="12" t="s">
        <v>94</v>
      </c>
      <c r="F13" t="s">
        <v>290</v>
      </c>
      <c r="G13" s="3">
        <v>24</v>
      </c>
      <c r="H13" t="s">
        <v>31</v>
      </c>
      <c r="I13" t="s">
        <v>26</v>
      </c>
      <c r="J13" t="s">
        <v>27</v>
      </c>
      <c r="K13" t="s">
        <v>37</v>
      </c>
      <c r="L13" t="s">
        <v>33</v>
      </c>
      <c r="M13" t="s">
        <v>31</v>
      </c>
      <c r="N13" t="s">
        <v>27</v>
      </c>
      <c r="O13" t="s">
        <v>36</v>
      </c>
    </row>
    <row r="14" spans="1:15" x14ac:dyDescent="0.2">
      <c r="A14">
        <v>79</v>
      </c>
      <c r="B14" s="3">
        <v>10</v>
      </c>
      <c r="C14" s="3" t="s">
        <v>154</v>
      </c>
      <c r="D14">
        <v>2</v>
      </c>
      <c r="E14" s="12" t="s">
        <v>94</v>
      </c>
      <c r="F14" t="s">
        <v>290</v>
      </c>
      <c r="G14" s="3">
        <v>10</v>
      </c>
      <c r="H14" t="s">
        <v>31</v>
      </c>
      <c r="I14" t="s">
        <v>26</v>
      </c>
      <c r="J14" t="s">
        <v>27</v>
      </c>
      <c r="K14" t="s">
        <v>34</v>
      </c>
      <c r="L14" t="s">
        <v>33</v>
      </c>
      <c r="M14" t="s">
        <v>31</v>
      </c>
      <c r="N14" t="s">
        <v>27</v>
      </c>
    </row>
    <row r="15" spans="1:15" x14ac:dyDescent="0.2">
      <c r="A15">
        <v>74</v>
      </c>
      <c r="B15" s="3">
        <v>10</v>
      </c>
      <c r="C15" s="3" t="s">
        <v>148</v>
      </c>
      <c r="D15">
        <v>1</v>
      </c>
      <c r="E15" s="12" t="s">
        <v>79</v>
      </c>
      <c r="F15" t="s">
        <v>285</v>
      </c>
      <c r="G15" s="3">
        <v>16</v>
      </c>
      <c r="H15" t="s">
        <v>52</v>
      </c>
      <c r="I15" t="s">
        <v>26</v>
      </c>
      <c r="J15" t="s">
        <v>27</v>
      </c>
      <c r="K15" t="s">
        <v>37</v>
      </c>
      <c r="L15" t="s">
        <v>33</v>
      </c>
      <c r="M15" t="s">
        <v>29</v>
      </c>
      <c r="N15" t="s">
        <v>27</v>
      </c>
    </row>
    <row r="16" spans="1:15" x14ac:dyDescent="0.2">
      <c r="A16">
        <v>281</v>
      </c>
      <c r="B16" s="3">
        <v>14</v>
      </c>
      <c r="C16" s="3" t="s">
        <v>228</v>
      </c>
      <c r="D16">
        <v>12</v>
      </c>
      <c r="E16" s="12" t="s">
        <v>152</v>
      </c>
      <c r="F16" t="s">
        <v>276</v>
      </c>
      <c r="G16" s="3">
        <v>3</v>
      </c>
      <c r="H16" t="s">
        <v>38</v>
      </c>
      <c r="I16" t="s">
        <v>42</v>
      </c>
      <c r="J16" t="s">
        <v>27</v>
      </c>
      <c r="K16" t="s">
        <v>37</v>
      </c>
      <c r="L16" t="s">
        <v>33</v>
      </c>
      <c r="M16" t="s">
        <v>38</v>
      </c>
      <c r="N16" t="s">
        <v>41</v>
      </c>
      <c r="O16" t="s">
        <v>192</v>
      </c>
    </row>
    <row r="17" spans="1:14" x14ac:dyDescent="0.2">
      <c r="A17">
        <v>283</v>
      </c>
      <c r="B17" s="3">
        <v>14</v>
      </c>
      <c r="C17" s="3" t="s">
        <v>230</v>
      </c>
      <c r="D17">
        <v>14</v>
      </c>
      <c r="E17" s="12" t="s">
        <v>94</v>
      </c>
      <c r="F17" t="s">
        <v>290</v>
      </c>
      <c r="G17" s="3">
        <v>24</v>
      </c>
      <c r="H17" t="s">
        <v>52</v>
      </c>
      <c r="I17" t="s">
        <v>26</v>
      </c>
      <c r="J17" t="s">
        <v>27</v>
      </c>
      <c r="K17" t="s">
        <v>37</v>
      </c>
      <c r="L17" t="s">
        <v>33</v>
      </c>
      <c r="M17" t="s">
        <v>29</v>
      </c>
      <c r="N17" t="s">
        <v>41</v>
      </c>
    </row>
    <row r="18" spans="1:14" x14ac:dyDescent="0.2">
      <c r="A18">
        <v>276</v>
      </c>
      <c r="B18" s="3">
        <v>14</v>
      </c>
      <c r="C18" s="3" t="s">
        <v>212</v>
      </c>
      <c r="D18">
        <v>7</v>
      </c>
      <c r="E18" s="12" t="s">
        <v>79</v>
      </c>
      <c r="F18" t="s">
        <v>285</v>
      </c>
      <c r="G18" s="3">
        <v>14</v>
      </c>
      <c r="H18" t="s">
        <v>52</v>
      </c>
      <c r="I18" t="s">
        <v>26</v>
      </c>
      <c r="J18" t="s">
        <v>27</v>
      </c>
      <c r="K18" t="s">
        <v>37</v>
      </c>
      <c r="L18" t="s">
        <v>33</v>
      </c>
      <c r="M18" t="s">
        <v>29</v>
      </c>
      <c r="N18" t="s">
        <v>27</v>
      </c>
    </row>
    <row r="19" spans="1:14" x14ac:dyDescent="0.2">
      <c r="A19">
        <v>284</v>
      </c>
      <c r="B19" s="3">
        <v>14</v>
      </c>
      <c r="C19" s="3" t="s">
        <v>231</v>
      </c>
      <c r="D19">
        <v>15</v>
      </c>
      <c r="E19" s="12" t="s">
        <v>94</v>
      </c>
      <c r="F19" t="s">
        <v>290</v>
      </c>
      <c r="G19" s="3">
        <v>24</v>
      </c>
      <c r="H19" t="s">
        <v>52</v>
      </c>
      <c r="I19" t="s">
        <v>26</v>
      </c>
      <c r="J19" t="s">
        <v>27</v>
      </c>
      <c r="K19" t="s">
        <v>37</v>
      </c>
      <c r="L19" t="s">
        <v>33</v>
      </c>
      <c r="M19" t="s">
        <v>29</v>
      </c>
      <c r="N19" t="s">
        <v>41</v>
      </c>
    </row>
    <row r="20" spans="1:14" x14ac:dyDescent="0.2">
      <c r="A20">
        <v>274</v>
      </c>
      <c r="B20" s="3">
        <v>14</v>
      </c>
      <c r="C20" s="3" t="s">
        <v>210</v>
      </c>
      <c r="D20">
        <v>5</v>
      </c>
      <c r="E20" s="12" t="s">
        <v>209</v>
      </c>
      <c r="F20" t="s">
        <v>275</v>
      </c>
      <c r="G20" s="3">
        <v>7</v>
      </c>
      <c r="H20" t="s">
        <v>52</v>
      </c>
      <c r="I20" t="s">
        <v>26</v>
      </c>
      <c r="J20" t="s">
        <v>27</v>
      </c>
      <c r="K20" t="s">
        <v>37</v>
      </c>
      <c r="L20" t="s">
        <v>33</v>
      </c>
      <c r="M20" t="s">
        <v>29</v>
      </c>
      <c r="N20" t="s">
        <v>27</v>
      </c>
    </row>
    <row r="21" spans="1:14" x14ac:dyDescent="0.2">
      <c r="A21">
        <v>277</v>
      </c>
      <c r="B21" s="3">
        <v>14</v>
      </c>
      <c r="C21" s="3" t="s">
        <v>213</v>
      </c>
      <c r="D21">
        <v>8</v>
      </c>
      <c r="E21" s="12" t="s">
        <v>79</v>
      </c>
      <c r="F21" t="s">
        <v>285</v>
      </c>
      <c r="G21" s="3">
        <v>14</v>
      </c>
      <c r="H21" t="s">
        <v>52</v>
      </c>
      <c r="I21" t="s">
        <v>26</v>
      </c>
      <c r="J21" t="s">
        <v>27</v>
      </c>
      <c r="K21" t="s">
        <v>37</v>
      </c>
      <c r="L21" t="s">
        <v>33</v>
      </c>
      <c r="M21" t="s">
        <v>29</v>
      </c>
      <c r="N21" t="s">
        <v>27</v>
      </c>
    </row>
    <row r="22" spans="1:14" x14ac:dyDescent="0.2">
      <c r="A22">
        <v>280</v>
      </c>
      <c r="B22" s="3">
        <v>14</v>
      </c>
      <c r="C22" s="3" t="s">
        <v>216</v>
      </c>
      <c r="D22">
        <v>11</v>
      </c>
      <c r="E22" s="12" t="s">
        <v>79</v>
      </c>
      <c r="F22" t="s">
        <v>285</v>
      </c>
      <c r="G22" s="3">
        <v>14</v>
      </c>
      <c r="H22" t="s">
        <v>52</v>
      </c>
      <c r="I22" t="s">
        <v>26</v>
      </c>
      <c r="J22" t="s">
        <v>27</v>
      </c>
      <c r="K22" t="s">
        <v>37</v>
      </c>
      <c r="L22" t="s">
        <v>33</v>
      </c>
      <c r="M22" t="s">
        <v>29</v>
      </c>
      <c r="N22" t="s">
        <v>27</v>
      </c>
    </row>
    <row r="23" spans="1:14" x14ac:dyDescent="0.2">
      <c r="A23">
        <v>278</v>
      </c>
      <c r="B23" s="3">
        <v>14</v>
      </c>
      <c r="C23" s="3" t="s">
        <v>214</v>
      </c>
      <c r="D23">
        <v>9</v>
      </c>
      <c r="E23" s="12" t="s">
        <v>79</v>
      </c>
      <c r="F23" t="s">
        <v>285</v>
      </c>
      <c r="G23" s="3">
        <v>14</v>
      </c>
      <c r="H23" t="s">
        <v>52</v>
      </c>
      <c r="I23" t="s">
        <v>26</v>
      </c>
      <c r="J23" t="s">
        <v>27</v>
      </c>
      <c r="K23" t="s">
        <v>37</v>
      </c>
      <c r="L23" t="s">
        <v>33</v>
      </c>
      <c r="M23" t="s">
        <v>29</v>
      </c>
      <c r="N23" t="s">
        <v>27</v>
      </c>
    </row>
    <row r="24" spans="1:14" x14ac:dyDescent="0.2">
      <c r="A24">
        <v>279</v>
      </c>
      <c r="B24" s="3">
        <v>14</v>
      </c>
      <c r="C24" s="3" t="s">
        <v>215</v>
      </c>
      <c r="D24">
        <v>10</v>
      </c>
      <c r="E24" s="12" t="s">
        <v>79</v>
      </c>
      <c r="F24" t="s">
        <v>285</v>
      </c>
      <c r="G24" s="3">
        <v>14</v>
      </c>
      <c r="H24" t="s">
        <v>52</v>
      </c>
      <c r="I24" t="s">
        <v>26</v>
      </c>
      <c r="J24" t="s">
        <v>27</v>
      </c>
      <c r="K24" t="s">
        <v>37</v>
      </c>
      <c r="L24" t="s">
        <v>33</v>
      </c>
      <c r="M24" t="s">
        <v>29</v>
      </c>
      <c r="N24" t="s">
        <v>27</v>
      </c>
    </row>
    <row r="25" spans="1:14" x14ac:dyDescent="0.2">
      <c r="A25">
        <v>282</v>
      </c>
      <c r="B25" s="3">
        <v>14</v>
      </c>
      <c r="C25" s="3" t="s">
        <v>229</v>
      </c>
      <c r="D25">
        <v>13</v>
      </c>
      <c r="E25" s="12" t="s">
        <v>94</v>
      </c>
      <c r="F25" t="s">
        <v>290</v>
      </c>
      <c r="G25" s="3">
        <v>24</v>
      </c>
      <c r="H25" t="s">
        <v>52</v>
      </c>
      <c r="I25" t="s">
        <v>26</v>
      </c>
      <c r="J25" t="s">
        <v>27</v>
      </c>
      <c r="K25" t="s">
        <v>37</v>
      </c>
      <c r="L25" t="s">
        <v>33</v>
      </c>
      <c r="M25" t="s">
        <v>29</v>
      </c>
      <c r="N25" t="s">
        <v>41</v>
      </c>
    </row>
    <row r="26" spans="1:14" x14ac:dyDescent="0.2">
      <c r="A26">
        <v>275</v>
      </c>
      <c r="B26" s="3">
        <v>14</v>
      </c>
      <c r="C26" s="3" t="s">
        <v>211</v>
      </c>
      <c r="D26">
        <v>6</v>
      </c>
      <c r="E26" s="12" t="s">
        <v>82</v>
      </c>
      <c r="F26" t="s">
        <v>284</v>
      </c>
      <c r="G26" s="3">
        <v>10</v>
      </c>
      <c r="H26" t="s">
        <v>52</v>
      </c>
      <c r="I26" t="s">
        <v>26</v>
      </c>
      <c r="J26" t="s">
        <v>27</v>
      </c>
      <c r="K26" t="s">
        <v>37</v>
      </c>
      <c r="L26" t="s">
        <v>33</v>
      </c>
      <c r="M26" t="s">
        <v>29</v>
      </c>
      <c r="N26" t="s">
        <v>27</v>
      </c>
    </row>
    <row r="27" spans="1:14" x14ac:dyDescent="0.2">
      <c r="A27">
        <v>202</v>
      </c>
      <c r="B27" s="3">
        <v>14</v>
      </c>
      <c r="C27" s="3" t="s">
        <v>78</v>
      </c>
      <c r="D27">
        <v>1</v>
      </c>
      <c r="E27" s="12" t="s">
        <v>82</v>
      </c>
      <c r="F27" t="s">
        <v>284</v>
      </c>
      <c r="G27" s="3">
        <v>14</v>
      </c>
      <c r="H27" t="s">
        <v>52</v>
      </c>
      <c r="I27" t="s">
        <v>26</v>
      </c>
      <c r="J27" t="s">
        <v>27</v>
      </c>
      <c r="K27" t="s">
        <v>37</v>
      </c>
      <c r="L27" t="s">
        <v>33</v>
      </c>
      <c r="M27" t="s">
        <v>29</v>
      </c>
      <c r="N27" t="s">
        <v>27</v>
      </c>
    </row>
    <row r="28" spans="1:14" x14ac:dyDescent="0.2">
      <c r="A28">
        <v>270</v>
      </c>
      <c r="B28" s="3">
        <v>14</v>
      </c>
      <c r="C28" s="3" t="s">
        <v>78</v>
      </c>
      <c r="D28">
        <v>2</v>
      </c>
      <c r="E28" s="12" t="s">
        <v>94</v>
      </c>
      <c r="F28" t="s">
        <v>290</v>
      </c>
      <c r="G28" s="3">
        <v>15</v>
      </c>
      <c r="H28" t="s">
        <v>31</v>
      </c>
      <c r="I28" t="s">
        <v>26</v>
      </c>
      <c r="J28" t="s">
        <v>27</v>
      </c>
      <c r="K28" t="s">
        <v>37</v>
      </c>
      <c r="L28" t="s">
        <v>33</v>
      </c>
      <c r="M28" t="s">
        <v>29</v>
      </c>
      <c r="N28" t="s">
        <v>27</v>
      </c>
    </row>
    <row r="29" spans="1:14" x14ac:dyDescent="0.2">
      <c r="A29">
        <v>271</v>
      </c>
      <c r="B29" s="3">
        <v>14</v>
      </c>
      <c r="C29" s="3" t="s">
        <v>78</v>
      </c>
      <c r="D29">
        <v>3</v>
      </c>
      <c r="E29" s="12" t="s">
        <v>45</v>
      </c>
      <c r="F29" t="s">
        <v>283</v>
      </c>
      <c r="G29" s="3">
        <v>3</v>
      </c>
      <c r="H29" t="s">
        <v>52</v>
      </c>
      <c r="I29" t="s">
        <v>26</v>
      </c>
      <c r="J29" t="s">
        <v>27</v>
      </c>
      <c r="K29" t="s">
        <v>37</v>
      </c>
      <c r="L29" t="s">
        <v>33</v>
      </c>
      <c r="M29" t="s">
        <v>29</v>
      </c>
      <c r="N29" t="s">
        <v>27</v>
      </c>
    </row>
    <row r="30" spans="1:14" x14ac:dyDescent="0.2">
      <c r="A30">
        <v>272</v>
      </c>
      <c r="B30" s="3">
        <v>14</v>
      </c>
      <c r="C30" s="3" t="s">
        <v>78</v>
      </c>
      <c r="D30">
        <v>4</v>
      </c>
      <c r="E30" s="12" t="s">
        <v>173</v>
      </c>
      <c r="F30" t="s">
        <v>270</v>
      </c>
      <c r="G30" s="3">
        <v>3</v>
      </c>
      <c r="H30" t="s">
        <v>52</v>
      </c>
      <c r="I30" t="s">
        <v>26</v>
      </c>
      <c r="J30" t="s">
        <v>27</v>
      </c>
      <c r="K30" t="s">
        <v>37</v>
      </c>
      <c r="L30" t="s">
        <v>33</v>
      </c>
      <c r="M30" t="s">
        <v>29</v>
      </c>
      <c r="N30" t="s">
        <v>27</v>
      </c>
    </row>
    <row r="31" spans="1:14" x14ac:dyDescent="0.2">
      <c r="A31">
        <v>273</v>
      </c>
      <c r="B31" s="3">
        <v>14</v>
      </c>
      <c r="C31" s="3" t="s">
        <v>78</v>
      </c>
      <c r="D31">
        <v>5</v>
      </c>
      <c r="E31" s="12" t="s">
        <v>186</v>
      </c>
      <c r="F31" t="s">
        <v>265</v>
      </c>
      <c r="G31" s="3">
        <v>8</v>
      </c>
      <c r="H31" t="s">
        <v>52</v>
      </c>
      <c r="I31" t="s">
        <v>26</v>
      </c>
      <c r="J31" t="s">
        <v>27</v>
      </c>
      <c r="K31" t="s">
        <v>37</v>
      </c>
      <c r="L31" t="s">
        <v>33</v>
      </c>
      <c r="M31" t="s">
        <v>29</v>
      </c>
      <c r="N31" t="s">
        <v>27</v>
      </c>
    </row>
    <row r="32" spans="1:14" x14ac:dyDescent="0.2">
      <c r="A32">
        <v>285</v>
      </c>
      <c r="B32" s="3">
        <v>14</v>
      </c>
      <c r="C32" s="3" t="s">
        <v>78</v>
      </c>
      <c r="D32">
        <v>6</v>
      </c>
      <c r="E32" s="12" t="s">
        <v>196</v>
      </c>
      <c r="F32" t="s">
        <v>277</v>
      </c>
      <c r="G32" s="3">
        <v>8</v>
      </c>
      <c r="H32" t="s">
        <v>31</v>
      </c>
      <c r="I32" t="s">
        <v>26</v>
      </c>
      <c r="J32" t="s">
        <v>27</v>
      </c>
      <c r="K32" t="s">
        <v>37</v>
      </c>
      <c r="L32" t="s">
        <v>33</v>
      </c>
      <c r="M32" t="s">
        <v>29</v>
      </c>
      <c r="N32" t="s">
        <v>27</v>
      </c>
    </row>
    <row r="33" spans="1:14" x14ac:dyDescent="0.2">
      <c r="A33">
        <v>286</v>
      </c>
      <c r="B33" s="3">
        <v>14</v>
      </c>
      <c r="C33" s="3" t="s">
        <v>78</v>
      </c>
      <c r="D33">
        <v>7</v>
      </c>
      <c r="E33" s="12" t="s">
        <v>196</v>
      </c>
      <c r="F33" t="s">
        <v>277</v>
      </c>
      <c r="G33" s="3">
        <v>8</v>
      </c>
      <c r="H33" t="s">
        <v>31</v>
      </c>
      <c r="I33" t="s">
        <v>26</v>
      </c>
      <c r="J33" t="s">
        <v>27</v>
      </c>
      <c r="K33" t="s">
        <v>37</v>
      </c>
      <c r="L33" t="s">
        <v>33</v>
      </c>
      <c r="M33" t="s">
        <v>29</v>
      </c>
      <c r="N33" t="s">
        <v>27</v>
      </c>
    </row>
    <row r="34" spans="1:14" x14ac:dyDescent="0.2">
      <c r="A34">
        <v>287</v>
      </c>
      <c r="B34" s="3">
        <v>14</v>
      </c>
      <c r="C34" s="3" t="s">
        <v>78</v>
      </c>
      <c r="D34">
        <v>8</v>
      </c>
      <c r="E34" s="12" t="s">
        <v>196</v>
      </c>
      <c r="F34" t="s">
        <v>277</v>
      </c>
      <c r="G34" s="3">
        <v>8</v>
      </c>
      <c r="H34" t="s">
        <v>31</v>
      </c>
      <c r="I34" t="s">
        <v>26</v>
      </c>
      <c r="J34" t="s">
        <v>27</v>
      </c>
      <c r="K34" t="s">
        <v>37</v>
      </c>
      <c r="L34" t="s">
        <v>33</v>
      </c>
      <c r="M34" t="s">
        <v>29</v>
      </c>
      <c r="N34" t="s">
        <v>27</v>
      </c>
    </row>
    <row r="35" spans="1:14" x14ac:dyDescent="0.2">
      <c r="A35">
        <v>288</v>
      </c>
      <c r="B35" s="3">
        <v>14</v>
      </c>
      <c r="C35" s="3" t="s">
        <v>78</v>
      </c>
      <c r="D35">
        <v>9</v>
      </c>
      <c r="E35" s="12" t="s">
        <v>152</v>
      </c>
      <c r="F35" t="s">
        <v>276</v>
      </c>
      <c r="G35" s="3">
        <v>8</v>
      </c>
      <c r="H35" t="s">
        <v>31</v>
      </c>
      <c r="I35" t="s">
        <v>26</v>
      </c>
      <c r="J35" t="s">
        <v>27</v>
      </c>
      <c r="K35" t="s">
        <v>37</v>
      </c>
      <c r="L35" t="s">
        <v>33</v>
      </c>
      <c r="M35" t="s">
        <v>29</v>
      </c>
      <c r="N35" t="s">
        <v>27</v>
      </c>
    </row>
    <row r="36" spans="1:14" x14ac:dyDescent="0.2">
      <c r="A36">
        <v>289</v>
      </c>
      <c r="B36" s="3">
        <v>14</v>
      </c>
      <c r="C36" s="3" t="s">
        <v>78</v>
      </c>
      <c r="D36">
        <v>10</v>
      </c>
      <c r="E36" s="12" t="s">
        <v>196</v>
      </c>
      <c r="F36" t="s">
        <v>277</v>
      </c>
      <c r="G36" s="3">
        <v>8</v>
      </c>
      <c r="H36" t="s">
        <v>31</v>
      </c>
      <c r="I36" t="s">
        <v>26</v>
      </c>
      <c r="J36" t="s">
        <v>27</v>
      </c>
      <c r="K36" t="s">
        <v>37</v>
      </c>
      <c r="L36" t="s">
        <v>33</v>
      </c>
      <c r="M36" t="s">
        <v>29</v>
      </c>
      <c r="N36" t="s">
        <v>27</v>
      </c>
    </row>
    <row r="37" spans="1:14" x14ac:dyDescent="0.2">
      <c r="A37">
        <v>290</v>
      </c>
      <c r="B37" s="3">
        <v>14</v>
      </c>
      <c r="C37" s="3" t="s">
        <v>78</v>
      </c>
      <c r="D37">
        <v>11</v>
      </c>
      <c r="E37" s="12" t="s">
        <v>196</v>
      </c>
      <c r="F37" t="s">
        <v>277</v>
      </c>
      <c r="G37" s="3">
        <v>8</v>
      </c>
      <c r="H37" t="s">
        <v>31</v>
      </c>
      <c r="I37" t="s">
        <v>26</v>
      </c>
      <c r="J37" t="s">
        <v>27</v>
      </c>
      <c r="K37" t="s">
        <v>37</v>
      </c>
      <c r="L37" t="s">
        <v>33</v>
      </c>
      <c r="M37" t="s">
        <v>29</v>
      </c>
      <c r="N37" t="s">
        <v>27</v>
      </c>
    </row>
    <row r="38" spans="1:14" x14ac:dyDescent="0.2">
      <c r="A38">
        <v>291</v>
      </c>
      <c r="B38" s="3">
        <v>14</v>
      </c>
      <c r="C38" s="3" t="s">
        <v>78</v>
      </c>
      <c r="D38">
        <v>12</v>
      </c>
      <c r="E38" s="12" t="s">
        <v>196</v>
      </c>
      <c r="F38" t="s">
        <v>277</v>
      </c>
      <c r="G38" s="3">
        <v>8</v>
      </c>
      <c r="H38" t="s">
        <v>31</v>
      </c>
      <c r="I38" t="s">
        <v>26</v>
      </c>
      <c r="J38" t="s">
        <v>27</v>
      </c>
      <c r="K38" t="s">
        <v>37</v>
      </c>
      <c r="L38" t="s">
        <v>33</v>
      </c>
      <c r="M38" t="s">
        <v>29</v>
      </c>
      <c r="N38" t="s">
        <v>27</v>
      </c>
    </row>
    <row r="39" spans="1:14" x14ac:dyDescent="0.2">
      <c r="A39">
        <v>189</v>
      </c>
      <c r="B39" s="3">
        <v>15</v>
      </c>
      <c r="C39" s="3" t="s">
        <v>78</v>
      </c>
      <c r="D39">
        <v>1</v>
      </c>
      <c r="E39" s="12" t="s">
        <v>201</v>
      </c>
      <c r="F39" t="s">
        <v>288</v>
      </c>
      <c r="G39" s="3">
        <v>18</v>
      </c>
      <c r="H39" t="s">
        <v>52</v>
      </c>
      <c r="I39" t="s">
        <v>26</v>
      </c>
      <c r="J39" t="s">
        <v>27</v>
      </c>
      <c r="K39" t="s">
        <v>37</v>
      </c>
      <c r="L39" t="s">
        <v>33</v>
      </c>
      <c r="M39" t="s">
        <v>29</v>
      </c>
      <c r="N39" t="s">
        <v>27</v>
      </c>
    </row>
    <row r="40" spans="1:14" x14ac:dyDescent="0.2">
      <c r="A40">
        <v>190</v>
      </c>
      <c r="B40" s="3">
        <v>15</v>
      </c>
      <c r="C40" s="3" t="s">
        <v>78</v>
      </c>
      <c r="D40">
        <v>2</v>
      </c>
      <c r="E40" s="12" t="s">
        <v>201</v>
      </c>
      <c r="F40" t="s">
        <v>288</v>
      </c>
      <c r="G40" s="3">
        <v>18</v>
      </c>
      <c r="H40" t="s">
        <v>52</v>
      </c>
      <c r="I40" t="s">
        <v>26</v>
      </c>
      <c r="J40" t="s">
        <v>27</v>
      </c>
      <c r="K40" t="s">
        <v>37</v>
      </c>
      <c r="L40" t="s">
        <v>33</v>
      </c>
      <c r="M40" t="s">
        <v>29</v>
      </c>
      <c r="N40" t="s">
        <v>27</v>
      </c>
    </row>
    <row r="41" spans="1:14" x14ac:dyDescent="0.2">
      <c r="A41">
        <v>191</v>
      </c>
      <c r="B41" s="3">
        <v>15</v>
      </c>
      <c r="C41" s="3" t="s">
        <v>78</v>
      </c>
      <c r="D41">
        <v>3</v>
      </c>
      <c r="E41" s="12" t="s">
        <v>173</v>
      </c>
      <c r="F41" t="s">
        <v>270</v>
      </c>
      <c r="G41" s="3">
        <v>18</v>
      </c>
      <c r="H41" t="s">
        <v>52</v>
      </c>
      <c r="I41" t="s">
        <v>26</v>
      </c>
      <c r="J41" t="s">
        <v>27</v>
      </c>
      <c r="K41" t="s">
        <v>37</v>
      </c>
      <c r="L41" t="s">
        <v>33</v>
      </c>
      <c r="M41" t="s">
        <v>29</v>
      </c>
      <c r="N41" t="s">
        <v>27</v>
      </c>
    </row>
    <row r="42" spans="1:14" x14ac:dyDescent="0.2">
      <c r="A42">
        <v>192</v>
      </c>
      <c r="B42" s="3">
        <v>15</v>
      </c>
      <c r="C42" s="3" t="s">
        <v>78</v>
      </c>
      <c r="D42">
        <v>4</v>
      </c>
      <c r="E42" s="12" t="s">
        <v>201</v>
      </c>
      <c r="F42" t="s">
        <v>288</v>
      </c>
      <c r="G42" s="3">
        <v>24</v>
      </c>
      <c r="H42" t="s">
        <v>52</v>
      </c>
      <c r="I42" t="s">
        <v>26</v>
      </c>
      <c r="J42" t="s">
        <v>27</v>
      </c>
      <c r="K42" t="s">
        <v>37</v>
      </c>
      <c r="L42" t="s">
        <v>33</v>
      </c>
      <c r="M42" t="s">
        <v>29</v>
      </c>
      <c r="N42" t="s">
        <v>27</v>
      </c>
    </row>
    <row r="43" spans="1:14" x14ac:dyDescent="0.2">
      <c r="A43">
        <v>193</v>
      </c>
      <c r="B43" s="3">
        <v>15</v>
      </c>
      <c r="C43" s="3" t="s">
        <v>78</v>
      </c>
      <c r="D43">
        <v>5</v>
      </c>
      <c r="E43" s="12" t="s">
        <v>201</v>
      </c>
      <c r="F43" t="s">
        <v>288</v>
      </c>
      <c r="G43" s="3">
        <v>8</v>
      </c>
      <c r="H43" t="s">
        <v>52</v>
      </c>
      <c r="I43" t="s">
        <v>26</v>
      </c>
      <c r="J43" t="s">
        <v>27</v>
      </c>
      <c r="K43" t="s">
        <v>37</v>
      </c>
      <c r="L43" t="s">
        <v>33</v>
      </c>
      <c r="M43" t="s">
        <v>29</v>
      </c>
      <c r="N43" t="s">
        <v>27</v>
      </c>
    </row>
    <row r="44" spans="1:14" x14ac:dyDescent="0.2">
      <c r="A44">
        <v>183</v>
      </c>
      <c r="B44" s="3">
        <v>16</v>
      </c>
      <c r="C44" s="3" t="s">
        <v>239</v>
      </c>
      <c r="D44">
        <v>1</v>
      </c>
      <c r="E44" s="12" t="s">
        <v>75</v>
      </c>
      <c r="F44" t="s">
        <v>297</v>
      </c>
      <c r="G44" s="3">
        <v>45</v>
      </c>
      <c r="H44" t="s">
        <v>52</v>
      </c>
      <c r="I44" t="s">
        <v>26</v>
      </c>
      <c r="J44" t="s">
        <v>27</v>
      </c>
      <c r="K44" t="s">
        <v>37</v>
      </c>
      <c r="L44" t="s">
        <v>33</v>
      </c>
      <c r="M44" t="s">
        <v>29</v>
      </c>
      <c r="N44" t="s">
        <v>27</v>
      </c>
    </row>
    <row r="45" spans="1:14" x14ac:dyDescent="0.2">
      <c r="A45">
        <v>184</v>
      </c>
      <c r="B45" s="3">
        <v>16</v>
      </c>
      <c r="C45" s="3" t="s">
        <v>240</v>
      </c>
      <c r="D45">
        <v>2</v>
      </c>
      <c r="E45" s="12" t="s">
        <v>56</v>
      </c>
      <c r="F45" t="s">
        <v>294</v>
      </c>
      <c r="G45" s="3">
        <v>36</v>
      </c>
      <c r="H45" t="s">
        <v>31</v>
      </c>
      <c r="I45" t="s">
        <v>26</v>
      </c>
      <c r="J45" t="s">
        <v>27</v>
      </c>
      <c r="K45" t="s">
        <v>37</v>
      </c>
      <c r="L45" t="s">
        <v>33</v>
      </c>
      <c r="M45" t="s">
        <v>29</v>
      </c>
      <c r="N45" t="s">
        <v>27</v>
      </c>
    </row>
    <row r="46" spans="1:14" x14ac:dyDescent="0.2">
      <c r="A46">
        <v>194</v>
      </c>
      <c r="B46" s="3">
        <v>19</v>
      </c>
      <c r="C46" s="3" t="s">
        <v>78</v>
      </c>
      <c r="D46">
        <v>1</v>
      </c>
      <c r="E46" s="12" t="s">
        <v>82</v>
      </c>
      <c r="F46" t="s">
        <v>284</v>
      </c>
      <c r="G46" s="3">
        <v>6</v>
      </c>
      <c r="H46" t="s">
        <v>31</v>
      </c>
      <c r="I46" t="s">
        <v>26</v>
      </c>
      <c r="J46" t="s">
        <v>27</v>
      </c>
      <c r="K46" t="s">
        <v>37</v>
      </c>
      <c r="L46" t="s">
        <v>33</v>
      </c>
      <c r="M46" t="s">
        <v>31</v>
      </c>
      <c r="N46" t="s">
        <v>27</v>
      </c>
    </row>
    <row r="47" spans="1:14" x14ac:dyDescent="0.2">
      <c r="A47">
        <v>195</v>
      </c>
      <c r="B47" s="3">
        <v>19</v>
      </c>
      <c r="C47" s="3" t="s">
        <v>78</v>
      </c>
      <c r="D47">
        <v>2</v>
      </c>
      <c r="E47" s="12" t="s">
        <v>233</v>
      </c>
      <c r="F47" t="s">
        <v>264</v>
      </c>
      <c r="G47" s="3">
        <v>16</v>
      </c>
      <c r="H47" t="s">
        <v>31</v>
      </c>
      <c r="I47" t="s">
        <v>26</v>
      </c>
      <c r="J47" t="s">
        <v>27</v>
      </c>
      <c r="K47" t="s">
        <v>37</v>
      </c>
      <c r="L47" t="s">
        <v>33</v>
      </c>
      <c r="M47" t="s">
        <v>31</v>
      </c>
      <c r="N47" t="s">
        <v>27</v>
      </c>
    </row>
    <row r="48" spans="1:14" x14ac:dyDescent="0.2">
      <c r="A48">
        <v>196</v>
      </c>
      <c r="B48" s="3">
        <v>19</v>
      </c>
      <c r="C48" s="3" t="s">
        <v>78</v>
      </c>
      <c r="D48">
        <v>3</v>
      </c>
      <c r="E48" s="12" t="s">
        <v>39</v>
      </c>
      <c r="F48" t="s">
        <v>62</v>
      </c>
      <c r="G48" s="3">
        <v>8</v>
      </c>
      <c r="H48" t="s">
        <v>52</v>
      </c>
      <c r="I48" t="s">
        <v>26</v>
      </c>
      <c r="J48" t="s">
        <v>27</v>
      </c>
      <c r="K48" t="s">
        <v>37</v>
      </c>
      <c r="L48" t="s">
        <v>33</v>
      </c>
      <c r="M48" t="s">
        <v>29</v>
      </c>
      <c r="N48" t="s">
        <v>27</v>
      </c>
    </row>
    <row r="49" spans="1:15" x14ac:dyDescent="0.2">
      <c r="A49">
        <v>197</v>
      </c>
      <c r="B49" s="3">
        <v>19</v>
      </c>
      <c r="C49" s="3" t="s">
        <v>78</v>
      </c>
      <c r="D49">
        <v>4</v>
      </c>
      <c r="E49" s="12" t="s">
        <v>94</v>
      </c>
      <c r="F49" t="s">
        <v>290</v>
      </c>
      <c r="G49" s="3">
        <v>24</v>
      </c>
      <c r="H49" t="s">
        <v>38</v>
      </c>
      <c r="I49" t="s">
        <v>42</v>
      </c>
      <c r="J49" t="s">
        <v>27</v>
      </c>
      <c r="K49" t="s">
        <v>28</v>
      </c>
      <c r="L49" t="s">
        <v>33</v>
      </c>
      <c r="M49" t="s">
        <v>29</v>
      </c>
      <c r="N49" t="s">
        <v>27</v>
      </c>
      <c r="O49" t="s">
        <v>245</v>
      </c>
    </row>
    <row r="50" spans="1:15" x14ac:dyDescent="0.2">
      <c r="A50">
        <v>198</v>
      </c>
      <c r="B50" s="3">
        <v>19</v>
      </c>
      <c r="C50" s="3" t="s">
        <v>78</v>
      </c>
      <c r="D50">
        <v>5</v>
      </c>
      <c r="E50" s="12" t="s">
        <v>233</v>
      </c>
      <c r="F50" t="s">
        <v>264</v>
      </c>
      <c r="G50" s="3">
        <v>12</v>
      </c>
      <c r="H50" t="s">
        <v>31</v>
      </c>
      <c r="I50" t="s">
        <v>26</v>
      </c>
      <c r="J50" t="s">
        <v>27</v>
      </c>
      <c r="K50" t="s">
        <v>37</v>
      </c>
      <c r="L50" t="s">
        <v>33</v>
      </c>
      <c r="M50" t="s">
        <v>29</v>
      </c>
      <c r="N50" t="s">
        <v>27</v>
      </c>
    </row>
    <row r="51" spans="1:15" x14ac:dyDescent="0.2">
      <c r="A51">
        <v>199</v>
      </c>
      <c r="B51" s="3">
        <v>19</v>
      </c>
      <c r="C51" s="3" t="s">
        <v>78</v>
      </c>
      <c r="D51">
        <v>6</v>
      </c>
      <c r="E51" s="12" t="s">
        <v>94</v>
      </c>
      <c r="F51" t="s">
        <v>290</v>
      </c>
      <c r="G51" s="3">
        <v>28</v>
      </c>
      <c r="H51" t="s">
        <v>52</v>
      </c>
      <c r="I51" t="s">
        <v>26</v>
      </c>
      <c r="J51" t="s">
        <v>27</v>
      </c>
      <c r="K51" t="s">
        <v>37</v>
      </c>
      <c r="L51" t="s">
        <v>33</v>
      </c>
      <c r="M51" t="s">
        <v>29</v>
      </c>
      <c r="N51" t="s">
        <v>27</v>
      </c>
      <c r="O51" t="s">
        <v>36</v>
      </c>
    </row>
    <row r="52" spans="1:15" x14ac:dyDescent="0.2">
      <c r="A52">
        <v>187</v>
      </c>
      <c r="B52" s="3">
        <v>20</v>
      </c>
      <c r="C52" s="3" t="s">
        <v>243</v>
      </c>
      <c r="D52">
        <v>3</v>
      </c>
      <c r="E52" s="12" t="s">
        <v>94</v>
      </c>
      <c r="F52" t="s">
        <v>290</v>
      </c>
      <c r="G52" s="3">
        <v>20</v>
      </c>
      <c r="H52" t="s">
        <v>31</v>
      </c>
      <c r="I52" t="s">
        <v>26</v>
      </c>
      <c r="J52" t="s">
        <v>27</v>
      </c>
      <c r="K52" t="s">
        <v>37</v>
      </c>
      <c r="L52" t="s">
        <v>33</v>
      </c>
      <c r="M52" t="s">
        <v>29</v>
      </c>
      <c r="N52" t="s">
        <v>27</v>
      </c>
    </row>
    <row r="53" spans="1:15" x14ac:dyDescent="0.2">
      <c r="A53">
        <v>185</v>
      </c>
      <c r="B53" s="3">
        <v>20</v>
      </c>
      <c r="C53" s="3" t="s">
        <v>54</v>
      </c>
      <c r="D53">
        <v>1</v>
      </c>
      <c r="E53" s="12" t="s">
        <v>233</v>
      </c>
      <c r="F53" t="s">
        <v>264</v>
      </c>
      <c r="G53" s="3">
        <v>8</v>
      </c>
      <c r="H53" t="s">
        <v>25</v>
      </c>
      <c r="I53" t="s">
        <v>42</v>
      </c>
      <c r="J53" t="s">
        <v>27</v>
      </c>
      <c r="K53" t="s">
        <v>34</v>
      </c>
      <c r="L53" t="s">
        <v>33</v>
      </c>
      <c r="M53" t="s">
        <v>31</v>
      </c>
      <c r="N53" t="s">
        <v>27</v>
      </c>
      <c r="O53" t="s">
        <v>241</v>
      </c>
    </row>
    <row r="54" spans="1:15" x14ac:dyDescent="0.2">
      <c r="A54">
        <v>186</v>
      </c>
      <c r="B54" s="3">
        <v>20</v>
      </c>
      <c r="C54" s="3" t="s">
        <v>242</v>
      </c>
      <c r="D54">
        <v>2</v>
      </c>
      <c r="E54" s="12" t="s">
        <v>186</v>
      </c>
      <c r="F54" t="s">
        <v>265</v>
      </c>
      <c r="G54" s="3">
        <v>8</v>
      </c>
      <c r="H54" t="s">
        <v>52</v>
      </c>
      <c r="I54" t="s">
        <v>26</v>
      </c>
      <c r="J54" t="s">
        <v>27</v>
      </c>
      <c r="K54" t="s">
        <v>34</v>
      </c>
      <c r="L54" t="s">
        <v>33</v>
      </c>
      <c r="M54" t="s">
        <v>29</v>
      </c>
      <c r="N54" t="s">
        <v>27</v>
      </c>
    </row>
    <row r="55" spans="1:15" x14ac:dyDescent="0.2">
      <c r="A55">
        <v>37</v>
      </c>
      <c r="B55" s="3">
        <v>21</v>
      </c>
      <c r="C55" s="3">
        <v>2</v>
      </c>
      <c r="D55">
        <v>36</v>
      </c>
      <c r="E55" s="12" t="s">
        <v>82</v>
      </c>
      <c r="F55" t="s">
        <v>284</v>
      </c>
      <c r="G55" s="3">
        <v>9</v>
      </c>
      <c r="H55" t="s">
        <v>52</v>
      </c>
      <c r="I55" t="s">
        <v>26</v>
      </c>
      <c r="J55" t="s">
        <v>27</v>
      </c>
      <c r="K55" t="s">
        <v>37</v>
      </c>
      <c r="L55" t="s">
        <v>33</v>
      </c>
      <c r="M55" t="s">
        <v>25</v>
      </c>
      <c r="N55" t="s">
        <v>27</v>
      </c>
    </row>
    <row r="56" spans="1:15" x14ac:dyDescent="0.2">
      <c r="A56">
        <v>36</v>
      </c>
      <c r="B56" s="3">
        <v>21</v>
      </c>
      <c r="C56" s="3">
        <v>3</v>
      </c>
      <c r="D56">
        <v>35</v>
      </c>
      <c r="E56" s="12" t="s">
        <v>88</v>
      </c>
      <c r="F56" t="s">
        <v>263</v>
      </c>
      <c r="G56" s="3">
        <v>2</v>
      </c>
      <c r="H56" t="s">
        <v>25</v>
      </c>
      <c r="I56" t="s">
        <v>42</v>
      </c>
      <c r="J56" t="s">
        <v>27</v>
      </c>
      <c r="K56" t="s">
        <v>34</v>
      </c>
      <c r="L56" t="s">
        <v>33</v>
      </c>
      <c r="M56" t="s">
        <v>38</v>
      </c>
      <c r="N56" t="s">
        <v>84</v>
      </c>
      <c r="O56" t="s">
        <v>112</v>
      </c>
    </row>
    <row r="57" spans="1:15" x14ac:dyDescent="0.2">
      <c r="A57">
        <v>35</v>
      </c>
      <c r="B57" s="3">
        <v>21</v>
      </c>
      <c r="C57" s="3">
        <v>7</v>
      </c>
      <c r="D57">
        <v>34</v>
      </c>
      <c r="E57" s="12" t="s">
        <v>79</v>
      </c>
      <c r="F57" t="s">
        <v>285</v>
      </c>
      <c r="G57" s="3">
        <v>10</v>
      </c>
      <c r="H57" t="s">
        <v>31</v>
      </c>
      <c r="I57" t="s">
        <v>26</v>
      </c>
      <c r="J57" t="s">
        <v>27</v>
      </c>
      <c r="K57" t="s">
        <v>37</v>
      </c>
      <c r="L57" t="s">
        <v>33</v>
      </c>
      <c r="M57" t="s">
        <v>29</v>
      </c>
      <c r="N57" t="s">
        <v>27</v>
      </c>
    </row>
    <row r="58" spans="1:15" x14ac:dyDescent="0.2">
      <c r="A58">
        <v>34</v>
      </c>
      <c r="B58" s="3">
        <v>21</v>
      </c>
      <c r="C58" s="3">
        <v>10</v>
      </c>
      <c r="D58">
        <v>33</v>
      </c>
      <c r="E58" s="12" t="s">
        <v>88</v>
      </c>
      <c r="F58" t="s">
        <v>263</v>
      </c>
      <c r="G58" s="3">
        <v>1</v>
      </c>
      <c r="H58" t="s">
        <v>52</v>
      </c>
      <c r="I58" t="s">
        <v>87</v>
      </c>
      <c r="J58" t="s">
        <v>27</v>
      </c>
      <c r="K58" t="s">
        <v>37</v>
      </c>
      <c r="L58" t="s">
        <v>33</v>
      </c>
      <c r="M58" t="s">
        <v>31</v>
      </c>
      <c r="N58" t="s">
        <v>27</v>
      </c>
    </row>
    <row r="59" spans="1:15" x14ac:dyDescent="0.2">
      <c r="A59">
        <v>33</v>
      </c>
      <c r="B59" s="3">
        <v>21</v>
      </c>
      <c r="C59" s="3">
        <v>20</v>
      </c>
      <c r="D59">
        <v>1</v>
      </c>
      <c r="E59" s="12" t="s">
        <v>88</v>
      </c>
      <c r="F59" t="s">
        <v>263</v>
      </c>
      <c r="G59" s="3">
        <v>1</v>
      </c>
      <c r="H59" t="s">
        <v>31</v>
      </c>
      <c r="I59" t="s">
        <v>87</v>
      </c>
      <c r="J59" t="s">
        <v>27</v>
      </c>
      <c r="K59" t="s">
        <v>37</v>
      </c>
      <c r="L59" t="s">
        <v>33</v>
      </c>
      <c r="M59" t="s">
        <v>31</v>
      </c>
      <c r="N59" t="s">
        <v>27</v>
      </c>
    </row>
    <row r="60" spans="1:15" x14ac:dyDescent="0.2">
      <c r="A60">
        <v>32</v>
      </c>
      <c r="B60" s="3">
        <v>21</v>
      </c>
      <c r="C60" s="3">
        <v>54</v>
      </c>
      <c r="D60">
        <v>1</v>
      </c>
      <c r="E60" s="12" t="s">
        <v>88</v>
      </c>
      <c r="F60" t="s">
        <v>263</v>
      </c>
      <c r="G60" s="3">
        <v>1</v>
      </c>
      <c r="H60" t="s">
        <v>52</v>
      </c>
      <c r="I60" t="s">
        <v>87</v>
      </c>
      <c r="J60" t="s">
        <v>27</v>
      </c>
      <c r="K60" t="s">
        <v>37</v>
      </c>
      <c r="L60" t="s">
        <v>33</v>
      </c>
      <c r="M60" t="s">
        <v>31</v>
      </c>
      <c r="N60" t="s">
        <v>27</v>
      </c>
    </row>
    <row r="61" spans="1:15" x14ac:dyDescent="0.2">
      <c r="A61">
        <v>31</v>
      </c>
      <c r="B61" s="3">
        <v>21</v>
      </c>
      <c r="C61" s="3">
        <v>124</v>
      </c>
      <c r="D61">
        <v>30</v>
      </c>
      <c r="E61" s="12" t="s">
        <v>88</v>
      </c>
      <c r="F61" t="s">
        <v>263</v>
      </c>
      <c r="G61" s="3">
        <v>1</v>
      </c>
      <c r="H61" t="s">
        <v>52</v>
      </c>
      <c r="I61" t="s">
        <v>87</v>
      </c>
      <c r="J61" t="s">
        <v>27</v>
      </c>
      <c r="K61" t="s">
        <v>37</v>
      </c>
      <c r="L61" t="s">
        <v>33</v>
      </c>
      <c r="M61" t="s">
        <v>31</v>
      </c>
      <c r="N61" t="s">
        <v>27</v>
      </c>
    </row>
    <row r="62" spans="1:15" x14ac:dyDescent="0.2">
      <c r="A62">
        <v>38</v>
      </c>
      <c r="B62" s="3">
        <v>21</v>
      </c>
      <c r="C62" s="3">
        <v>126</v>
      </c>
      <c r="D62">
        <v>37</v>
      </c>
      <c r="E62" s="12" t="s">
        <v>88</v>
      </c>
      <c r="F62" t="s">
        <v>263</v>
      </c>
      <c r="G62" s="3">
        <v>2</v>
      </c>
      <c r="H62" t="s">
        <v>52</v>
      </c>
      <c r="I62" t="s">
        <v>87</v>
      </c>
      <c r="J62" t="s">
        <v>27</v>
      </c>
      <c r="K62" t="s">
        <v>37</v>
      </c>
      <c r="L62" t="s">
        <v>33</v>
      </c>
      <c r="M62" t="s">
        <v>31</v>
      </c>
      <c r="N62" t="s">
        <v>27</v>
      </c>
    </row>
    <row r="63" spans="1:15" x14ac:dyDescent="0.2">
      <c r="A63">
        <v>39</v>
      </c>
      <c r="B63" s="3">
        <v>21</v>
      </c>
      <c r="C63" s="3">
        <v>164</v>
      </c>
      <c r="D63">
        <v>38</v>
      </c>
      <c r="E63" s="12" t="s">
        <v>113</v>
      </c>
      <c r="F63" t="s">
        <v>298</v>
      </c>
      <c r="G63" s="3">
        <v>2</v>
      </c>
      <c r="H63" t="s">
        <v>52</v>
      </c>
      <c r="I63" t="s">
        <v>35</v>
      </c>
      <c r="J63" t="s">
        <v>27</v>
      </c>
      <c r="K63" t="s">
        <v>37</v>
      </c>
      <c r="L63" t="s">
        <v>33</v>
      </c>
      <c r="M63" t="s">
        <v>31</v>
      </c>
      <c r="N63" t="s">
        <v>27</v>
      </c>
    </row>
    <row r="64" spans="1:15" x14ac:dyDescent="0.2">
      <c r="A64">
        <v>30</v>
      </c>
      <c r="B64" s="3">
        <v>21</v>
      </c>
      <c r="C64" s="3">
        <v>203</v>
      </c>
      <c r="D64">
        <v>29</v>
      </c>
      <c r="E64" s="12" t="s">
        <v>88</v>
      </c>
      <c r="F64" t="s">
        <v>263</v>
      </c>
      <c r="G64" s="3">
        <v>1</v>
      </c>
      <c r="H64" t="s">
        <v>52</v>
      </c>
      <c r="I64" t="s">
        <v>87</v>
      </c>
      <c r="J64" t="s">
        <v>27</v>
      </c>
      <c r="K64" t="s">
        <v>37</v>
      </c>
      <c r="L64" t="s">
        <v>33</v>
      </c>
      <c r="M64" t="s">
        <v>31</v>
      </c>
      <c r="N64" t="s">
        <v>27</v>
      </c>
    </row>
    <row r="65" spans="1:15" x14ac:dyDescent="0.2">
      <c r="A65">
        <v>40</v>
      </c>
      <c r="B65" s="3">
        <v>21</v>
      </c>
      <c r="C65" s="3">
        <v>294</v>
      </c>
      <c r="D65">
        <v>39</v>
      </c>
      <c r="E65" s="12" t="s">
        <v>114</v>
      </c>
      <c r="F65" t="s">
        <v>268</v>
      </c>
      <c r="G65" s="3">
        <v>3</v>
      </c>
      <c r="H65" t="s">
        <v>31</v>
      </c>
      <c r="I65" t="s">
        <v>26</v>
      </c>
      <c r="J65" t="s">
        <v>27</v>
      </c>
      <c r="K65" t="s">
        <v>37</v>
      </c>
      <c r="L65" t="s">
        <v>33</v>
      </c>
      <c r="M65" t="s">
        <v>31</v>
      </c>
      <c r="N65" t="s">
        <v>27</v>
      </c>
    </row>
    <row r="66" spans="1:15" x14ac:dyDescent="0.2">
      <c r="A66">
        <v>41</v>
      </c>
      <c r="B66" s="3">
        <v>21</v>
      </c>
      <c r="C66" s="3">
        <v>350</v>
      </c>
      <c r="D66">
        <v>40</v>
      </c>
      <c r="E66" s="12" t="s">
        <v>86</v>
      </c>
      <c r="F66" t="s">
        <v>86</v>
      </c>
      <c r="G66" s="3">
        <v>2</v>
      </c>
      <c r="H66" t="s">
        <v>31</v>
      </c>
      <c r="I66" t="s">
        <v>26</v>
      </c>
      <c r="J66" t="s">
        <v>27</v>
      </c>
      <c r="K66" t="s">
        <v>37</v>
      </c>
      <c r="L66" t="s">
        <v>33</v>
      </c>
      <c r="M66" t="s">
        <v>25</v>
      </c>
      <c r="N66" t="s">
        <v>27</v>
      </c>
      <c r="O66" t="s">
        <v>115</v>
      </c>
    </row>
    <row r="67" spans="1:15" x14ac:dyDescent="0.2">
      <c r="A67">
        <v>29</v>
      </c>
      <c r="B67" s="3">
        <v>21</v>
      </c>
      <c r="C67" s="3">
        <v>388</v>
      </c>
      <c r="D67">
        <v>28</v>
      </c>
      <c r="E67" s="12" t="s">
        <v>88</v>
      </c>
      <c r="F67" t="s">
        <v>263</v>
      </c>
      <c r="G67" s="3">
        <v>1</v>
      </c>
      <c r="H67" t="s">
        <v>31</v>
      </c>
      <c r="I67" t="s">
        <v>87</v>
      </c>
      <c r="J67" t="s">
        <v>27</v>
      </c>
      <c r="K67" t="s">
        <v>37</v>
      </c>
      <c r="L67" t="s">
        <v>33</v>
      </c>
      <c r="M67" t="s">
        <v>31</v>
      </c>
      <c r="N67" t="s">
        <v>27</v>
      </c>
    </row>
    <row r="68" spans="1:15" x14ac:dyDescent="0.2">
      <c r="A68">
        <v>42</v>
      </c>
      <c r="B68" s="3">
        <v>21</v>
      </c>
      <c r="C68" s="3">
        <v>452</v>
      </c>
      <c r="D68">
        <v>41</v>
      </c>
      <c r="E68" s="12" t="s">
        <v>116</v>
      </c>
      <c r="F68" t="s">
        <v>269</v>
      </c>
      <c r="G68" s="3">
        <v>1</v>
      </c>
      <c r="H68" t="s">
        <v>52</v>
      </c>
      <c r="I68" t="s">
        <v>87</v>
      </c>
      <c r="J68" t="s">
        <v>27</v>
      </c>
      <c r="K68" t="s">
        <v>37</v>
      </c>
      <c r="L68" t="s">
        <v>33</v>
      </c>
      <c r="M68" t="s">
        <v>29</v>
      </c>
      <c r="N68" t="s">
        <v>27</v>
      </c>
    </row>
    <row r="69" spans="1:15" x14ac:dyDescent="0.2">
      <c r="A69">
        <v>43</v>
      </c>
      <c r="B69" s="3">
        <v>21</v>
      </c>
      <c r="C69" s="3">
        <v>599</v>
      </c>
      <c r="D69">
        <v>42</v>
      </c>
      <c r="E69" s="12" t="s">
        <v>117</v>
      </c>
      <c r="F69" t="s">
        <v>271</v>
      </c>
      <c r="G69" s="3">
        <v>1</v>
      </c>
      <c r="H69" t="s">
        <v>52</v>
      </c>
      <c r="I69" t="s">
        <v>87</v>
      </c>
      <c r="J69" t="s">
        <v>27</v>
      </c>
      <c r="K69" t="s">
        <v>37</v>
      </c>
      <c r="L69" t="s">
        <v>33</v>
      </c>
      <c r="M69" t="s">
        <v>29</v>
      </c>
      <c r="N69" t="s">
        <v>27</v>
      </c>
    </row>
    <row r="70" spans="1:15" x14ac:dyDescent="0.2">
      <c r="A70">
        <v>44</v>
      </c>
      <c r="B70" s="3">
        <v>21</v>
      </c>
      <c r="C70" s="3">
        <v>824</v>
      </c>
      <c r="D70">
        <v>43</v>
      </c>
      <c r="E70" s="12" t="s">
        <v>114</v>
      </c>
      <c r="F70" t="s">
        <v>268</v>
      </c>
      <c r="G70" s="3">
        <v>4</v>
      </c>
      <c r="H70" t="s">
        <v>25</v>
      </c>
      <c r="I70" t="s">
        <v>26</v>
      </c>
      <c r="J70" t="s">
        <v>27</v>
      </c>
      <c r="K70" t="s">
        <v>37</v>
      </c>
      <c r="L70" t="s">
        <v>33</v>
      </c>
      <c r="M70" t="s">
        <v>31</v>
      </c>
      <c r="N70" t="s">
        <v>27</v>
      </c>
      <c r="O70" t="s">
        <v>118</v>
      </c>
    </row>
    <row r="71" spans="1:15" x14ac:dyDescent="0.2">
      <c r="A71">
        <v>46</v>
      </c>
      <c r="B71" s="3">
        <v>21</v>
      </c>
      <c r="C71" s="3">
        <v>1060</v>
      </c>
      <c r="D71">
        <v>45</v>
      </c>
      <c r="E71" s="12" t="s">
        <v>114</v>
      </c>
      <c r="F71" t="s">
        <v>268</v>
      </c>
      <c r="G71" s="3">
        <v>5</v>
      </c>
      <c r="H71" t="s">
        <v>31</v>
      </c>
      <c r="I71" t="s">
        <v>26</v>
      </c>
      <c r="J71" t="s">
        <v>27</v>
      </c>
      <c r="K71" t="s">
        <v>34</v>
      </c>
      <c r="L71" t="s">
        <v>33</v>
      </c>
      <c r="M71" t="s">
        <v>31</v>
      </c>
      <c r="N71" t="s">
        <v>27</v>
      </c>
    </row>
    <row r="72" spans="1:15" x14ac:dyDescent="0.2">
      <c r="A72">
        <v>47</v>
      </c>
      <c r="B72" s="3">
        <v>21</v>
      </c>
      <c r="C72" s="3">
        <v>1301</v>
      </c>
      <c r="D72">
        <v>46</v>
      </c>
      <c r="E72" s="12" t="s">
        <v>119</v>
      </c>
      <c r="F72" t="s">
        <v>286</v>
      </c>
      <c r="G72" s="3">
        <v>3</v>
      </c>
      <c r="H72" t="s">
        <v>31</v>
      </c>
      <c r="I72" t="s">
        <v>26</v>
      </c>
      <c r="J72" t="s">
        <v>27</v>
      </c>
      <c r="K72" t="s">
        <v>37</v>
      </c>
      <c r="L72" t="s">
        <v>33</v>
      </c>
      <c r="M72" t="s">
        <v>31</v>
      </c>
      <c r="N72" t="s">
        <v>27</v>
      </c>
    </row>
    <row r="73" spans="1:15" x14ac:dyDescent="0.2">
      <c r="A73">
        <v>48</v>
      </c>
      <c r="B73" s="3">
        <v>21</v>
      </c>
      <c r="C73" s="3">
        <v>1425</v>
      </c>
      <c r="D73">
        <v>47</v>
      </c>
      <c r="E73" s="12" t="s">
        <v>82</v>
      </c>
      <c r="F73" t="s">
        <v>284</v>
      </c>
      <c r="G73" s="3">
        <v>2</v>
      </c>
      <c r="H73" t="s">
        <v>52</v>
      </c>
      <c r="I73" t="s">
        <v>26</v>
      </c>
      <c r="J73" t="s">
        <v>27</v>
      </c>
      <c r="K73" t="s">
        <v>37</v>
      </c>
      <c r="L73" t="s">
        <v>33</v>
      </c>
      <c r="M73" t="s">
        <v>25</v>
      </c>
      <c r="N73" t="s">
        <v>27</v>
      </c>
    </row>
    <row r="74" spans="1:15" x14ac:dyDescent="0.2">
      <c r="A74">
        <v>49</v>
      </c>
      <c r="B74" s="3">
        <v>21</v>
      </c>
      <c r="C74" s="3">
        <v>1673</v>
      </c>
      <c r="D74">
        <v>48</v>
      </c>
      <c r="E74" s="12" t="s">
        <v>88</v>
      </c>
      <c r="F74" t="s">
        <v>263</v>
      </c>
      <c r="G74" s="3">
        <v>2</v>
      </c>
      <c r="H74" t="s">
        <v>52</v>
      </c>
      <c r="I74" t="s">
        <v>87</v>
      </c>
      <c r="J74" t="s">
        <v>27</v>
      </c>
      <c r="K74" t="s">
        <v>37</v>
      </c>
      <c r="L74" t="s">
        <v>33</v>
      </c>
      <c r="M74" t="s">
        <v>31</v>
      </c>
      <c r="N74" t="s">
        <v>27</v>
      </c>
      <c r="O74" t="s">
        <v>120</v>
      </c>
    </row>
    <row r="75" spans="1:15" x14ac:dyDescent="0.2">
      <c r="A75">
        <v>18</v>
      </c>
      <c r="B75" s="3">
        <v>21</v>
      </c>
      <c r="C75" s="3" t="s">
        <v>102</v>
      </c>
      <c r="D75">
        <v>17</v>
      </c>
      <c r="E75" s="12" t="s">
        <v>79</v>
      </c>
      <c r="F75" t="s">
        <v>285</v>
      </c>
      <c r="G75" s="3">
        <v>8</v>
      </c>
      <c r="H75" t="s">
        <v>31</v>
      </c>
      <c r="I75" t="s">
        <v>26</v>
      </c>
      <c r="J75" t="s">
        <v>27</v>
      </c>
      <c r="K75" t="s">
        <v>37</v>
      </c>
      <c r="L75" t="s">
        <v>33</v>
      </c>
      <c r="M75" t="s">
        <v>31</v>
      </c>
      <c r="N75" t="s">
        <v>27</v>
      </c>
    </row>
    <row r="76" spans="1:15" x14ac:dyDescent="0.2">
      <c r="A76">
        <v>10</v>
      </c>
      <c r="B76" s="3">
        <v>21</v>
      </c>
      <c r="C76" s="3" t="s">
        <v>46</v>
      </c>
      <c r="D76">
        <v>8</v>
      </c>
      <c r="E76" s="12" t="s">
        <v>79</v>
      </c>
      <c r="F76" t="s">
        <v>285</v>
      </c>
      <c r="G76" s="3">
        <v>8</v>
      </c>
      <c r="H76" t="s">
        <v>31</v>
      </c>
      <c r="I76" t="s">
        <v>26</v>
      </c>
      <c r="J76" t="s">
        <v>27</v>
      </c>
      <c r="K76" t="s">
        <v>37</v>
      </c>
      <c r="L76" t="s">
        <v>33</v>
      </c>
      <c r="M76" t="s">
        <v>31</v>
      </c>
      <c r="N76" t="s">
        <v>27</v>
      </c>
    </row>
    <row r="77" spans="1:15" x14ac:dyDescent="0.2">
      <c r="A77">
        <v>16</v>
      </c>
      <c r="B77" s="3">
        <v>21</v>
      </c>
      <c r="C77" s="3" t="s">
        <v>46</v>
      </c>
      <c r="D77">
        <v>15</v>
      </c>
      <c r="E77" s="12" t="s">
        <v>79</v>
      </c>
      <c r="F77" t="s">
        <v>285</v>
      </c>
      <c r="G77" s="3">
        <v>8</v>
      </c>
      <c r="H77" t="s">
        <v>31</v>
      </c>
      <c r="I77" t="s">
        <v>26</v>
      </c>
      <c r="J77" t="s">
        <v>27</v>
      </c>
      <c r="K77" t="s">
        <v>37</v>
      </c>
      <c r="L77" t="s">
        <v>33</v>
      </c>
      <c r="M77" t="s">
        <v>31</v>
      </c>
      <c r="N77" t="s">
        <v>27</v>
      </c>
    </row>
    <row r="78" spans="1:15" x14ac:dyDescent="0.2">
      <c r="A78">
        <v>14</v>
      </c>
      <c r="B78" s="3">
        <v>21</v>
      </c>
      <c r="C78" s="3" t="s">
        <v>99</v>
      </c>
      <c r="D78">
        <v>11</v>
      </c>
      <c r="E78" s="12" t="s">
        <v>88</v>
      </c>
      <c r="F78" t="s">
        <v>263</v>
      </c>
      <c r="G78" s="3">
        <v>3</v>
      </c>
      <c r="H78" t="s">
        <v>52</v>
      </c>
      <c r="I78" t="s">
        <v>87</v>
      </c>
      <c r="J78" t="s">
        <v>27</v>
      </c>
      <c r="K78" t="s">
        <v>37</v>
      </c>
      <c r="L78" t="s">
        <v>33</v>
      </c>
      <c r="M78" t="s">
        <v>31</v>
      </c>
      <c r="N78" t="s">
        <v>27</v>
      </c>
    </row>
    <row r="79" spans="1:15" x14ac:dyDescent="0.2">
      <c r="A79">
        <v>13</v>
      </c>
      <c r="B79" s="3">
        <v>21</v>
      </c>
      <c r="C79" s="3" t="s">
        <v>98</v>
      </c>
      <c r="D79">
        <v>10</v>
      </c>
      <c r="E79" s="12" t="s">
        <v>79</v>
      </c>
      <c r="F79" t="s">
        <v>285</v>
      </c>
      <c r="G79" s="3">
        <v>8</v>
      </c>
      <c r="H79" t="s">
        <v>31</v>
      </c>
      <c r="I79" t="s">
        <v>26</v>
      </c>
      <c r="J79" t="s">
        <v>97</v>
      </c>
      <c r="K79" t="s">
        <v>37</v>
      </c>
      <c r="L79" t="s">
        <v>33</v>
      </c>
      <c r="M79" t="s">
        <v>31</v>
      </c>
      <c r="N79" t="s">
        <v>27</v>
      </c>
    </row>
    <row r="80" spans="1:15" x14ac:dyDescent="0.2">
      <c r="A80">
        <v>8</v>
      </c>
      <c r="B80" s="3">
        <v>21</v>
      </c>
      <c r="C80" s="3" t="s">
        <v>92</v>
      </c>
      <c r="D80">
        <v>7</v>
      </c>
      <c r="E80" s="12" t="s">
        <v>91</v>
      </c>
      <c r="F80" t="s">
        <v>261</v>
      </c>
      <c r="G80" s="3">
        <v>2</v>
      </c>
      <c r="H80" t="s">
        <v>25</v>
      </c>
      <c r="I80" t="s">
        <v>26</v>
      </c>
      <c r="J80" t="s">
        <v>27</v>
      </c>
      <c r="K80" t="s">
        <v>37</v>
      </c>
      <c r="L80" t="s">
        <v>33</v>
      </c>
      <c r="M80" t="s">
        <v>31</v>
      </c>
      <c r="N80" t="s">
        <v>27</v>
      </c>
    </row>
    <row r="81" spans="1:15" x14ac:dyDescent="0.2">
      <c r="A81">
        <v>12</v>
      </c>
      <c r="B81" s="3">
        <v>21</v>
      </c>
      <c r="C81" s="3" t="s">
        <v>96</v>
      </c>
      <c r="D81">
        <v>9</v>
      </c>
      <c r="E81" s="12" t="s">
        <v>94</v>
      </c>
      <c r="F81" t="s">
        <v>290</v>
      </c>
      <c r="G81" s="3">
        <v>9</v>
      </c>
      <c r="H81" t="s">
        <v>31</v>
      </c>
      <c r="I81" t="s">
        <v>26</v>
      </c>
      <c r="J81" t="s">
        <v>27</v>
      </c>
      <c r="K81" t="s">
        <v>37</v>
      </c>
      <c r="L81" t="s">
        <v>33</v>
      </c>
      <c r="M81" t="s">
        <v>31</v>
      </c>
      <c r="N81" t="s">
        <v>27</v>
      </c>
      <c r="O81" t="s">
        <v>49</v>
      </c>
    </row>
    <row r="82" spans="1:15" x14ac:dyDescent="0.2">
      <c r="A82">
        <v>21</v>
      </c>
      <c r="B82" s="3">
        <v>21</v>
      </c>
      <c r="C82" s="3" t="s">
        <v>105</v>
      </c>
      <c r="D82">
        <v>20</v>
      </c>
      <c r="E82" s="12" t="s">
        <v>88</v>
      </c>
      <c r="F82" t="s">
        <v>263</v>
      </c>
      <c r="G82" s="3">
        <v>1</v>
      </c>
      <c r="H82" t="s">
        <v>52</v>
      </c>
      <c r="I82" t="s">
        <v>87</v>
      </c>
      <c r="J82" t="s">
        <v>27</v>
      </c>
      <c r="K82" t="s">
        <v>37</v>
      </c>
      <c r="L82" t="s">
        <v>33</v>
      </c>
      <c r="M82" t="s">
        <v>31</v>
      </c>
      <c r="N82" t="s">
        <v>27</v>
      </c>
    </row>
    <row r="83" spans="1:15" x14ac:dyDescent="0.2">
      <c r="A83">
        <v>22</v>
      </c>
      <c r="B83" s="3">
        <v>21</v>
      </c>
      <c r="C83" s="3" t="s">
        <v>105</v>
      </c>
      <c r="D83">
        <v>21</v>
      </c>
      <c r="E83" s="12" t="s">
        <v>107</v>
      </c>
      <c r="F83" t="s">
        <v>262</v>
      </c>
      <c r="G83" s="3">
        <v>3</v>
      </c>
      <c r="H83" t="s">
        <v>52</v>
      </c>
      <c r="I83" t="s">
        <v>26</v>
      </c>
      <c r="J83" t="s">
        <v>27</v>
      </c>
      <c r="K83" t="s">
        <v>34</v>
      </c>
      <c r="L83" t="s">
        <v>33</v>
      </c>
      <c r="M83" t="s">
        <v>31</v>
      </c>
      <c r="N83" t="s">
        <v>27</v>
      </c>
      <c r="O83" t="s">
        <v>106</v>
      </c>
    </row>
    <row r="84" spans="1:15" x14ac:dyDescent="0.2">
      <c r="A84">
        <v>20</v>
      </c>
      <c r="B84" s="3">
        <v>21</v>
      </c>
      <c r="C84" s="3" t="s">
        <v>47</v>
      </c>
      <c r="D84">
        <v>19</v>
      </c>
      <c r="E84" s="12" t="s">
        <v>79</v>
      </c>
      <c r="F84" t="s">
        <v>285</v>
      </c>
      <c r="G84" s="3">
        <v>1</v>
      </c>
      <c r="H84" t="s">
        <v>52</v>
      </c>
      <c r="I84" t="s">
        <v>87</v>
      </c>
      <c r="J84" t="s">
        <v>27</v>
      </c>
      <c r="K84" t="s">
        <v>37</v>
      </c>
      <c r="L84" t="s">
        <v>33</v>
      </c>
      <c r="M84" t="s">
        <v>31</v>
      </c>
      <c r="N84" t="s">
        <v>27</v>
      </c>
    </row>
    <row r="85" spans="1:15" x14ac:dyDescent="0.2">
      <c r="A85">
        <v>15</v>
      </c>
      <c r="B85" s="3">
        <v>21</v>
      </c>
      <c r="C85" s="3" t="s">
        <v>100</v>
      </c>
      <c r="D85">
        <v>12</v>
      </c>
      <c r="E85" s="12" t="s">
        <v>79</v>
      </c>
      <c r="F85" t="s">
        <v>285</v>
      </c>
      <c r="G85" s="3">
        <v>8</v>
      </c>
      <c r="H85" t="s">
        <v>31</v>
      </c>
      <c r="I85" t="s">
        <v>26</v>
      </c>
      <c r="J85" t="s">
        <v>27</v>
      </c>
      <c r="K85" t="s">
        <v>37</v>
      </c>
      <c r="L85" t="s">
        <v>33</v>
      </c>
      <c r="M85" t="s">
        <v>31</v>
      </c>
      <c r="N85" t="s">
        <v>27</v>
      </c>
    </row>
    <row r="86" spans="1:15" x14ac:dyDescent="0.2">
      <c r="A86">
        <v>6</v>
      </c>
      <c r="B86" s="3">
        <v>21</v>
      </c>
      <c r="C86" s="3" t="s">
        <v>89</v>
      </c>
      <c r="D86">
        <v>5</v>
      </c>
      <c r="E86" s="12" t="s">
        <v>79</v>
      </c>
      <c r="F86" t="s">
        <v>285</v>
      </c>
      <c r="G86" s="3">
        <v>8</v>
      </c>
      <c r="H86" t="s">
        <v>52</v>
      </c>
      <c r="I86" t="s">
        <v>35</v>
      </c>
      <c r="J86" t="s">
        <v>27</v>
      </c>
      <c r="K86" t="s">
        <v>37</v>
      </c>
      <c r="L86" t="s">
        <v>33</v>
      </c>
      <c r="M86" t="s">
        <v>31</v>
      </c>
      <c r="N86" t="s">
        <v>27</v>
      </c>
    </row>
    <row r="87" spans="1:15" x14ac:dyDescent="0.2">
      <c r="A87">
        <v>17</v>
      </c>
      <c r="B87" s="3">
        <v>21</v>
      </c>
      <c r="C87" s="3" t="s">
        <v>101</v>
      </c>
      <c r="D87">
        <v>16</v>
      </c>
      <c r="E87" s="12" t="s">
        <v>79</v>
      </c>
      <c r="F87" t="s">
        <v>285</v>
      </c>
      <c r="G87" s="3">
        <v>8</v>
      </c>
      <c r="H87" t="s">
        <v>31</v>
      </c>
      <c r="I87" t="s">
        <v>26</v>
      </c>
      <c r="J87" t="s">
        <v>27</v>
      </c>
      <c r="K87" t="s">
        <v>37</v>
      </c>
      <c r="L87" t="s">
        <v>33</v>
      </c>
      <c r="M87" t="s">
        <v>31</v>
      </c>
      <c r="N87" t="s">
        <v>27</v>
      </c>
    </row>
    <row r="88" spans="1:15" x14ac:dyDescent="0.2">
      <c r="A88">
        <v>9</v>
      </c>
      <c r="B88" s="3">
        <v>21</v>
      </c>
      <c r="C88" s="3" t="s">
        <v>93</v>
      </c>
      <c r="D88">
        <v>8</v>
      </c>
      <c r="E88" s="12" t="s">
        <v>79</v>
      </c>
      <c r="F88" t="s">
        <v>285</v>
      </c>
      <c r="G88" s="3">
        <v>8</v>
      </c>
      <c r="H88" t="s">
        <v>31</v>
      </c>
      <c r="I88" t="s">
        <v>26</v>
      </c>
      <c r="J88" t="s">
        <v>27</v>
      </c>
      <c r="K88" t="s">
        <v>37</v>
      </c>
      <c r="L88" t="s">
        <v>33</v>
      </c>
      <c r="M88" t="s">
        <v>31</v>
      </c>
      <c r="N88" t="s">
        <v>27</v>
      </c>
    </row>
    <row r="89" spans="1:15" x14ac:dyDescent="0.2">
      <c r="A89">
        <v>7</v>
      </c>
      <c r="B89" s="3">
        <v>21</v>
      </c>
      <c r="C89" s="3" t="s">
        <v>90</v>
      </c>
      <c r="D89">
        <v>6</v>
      </c>
      <c r="E89" s="12" t="s">
        <v>79</v>
      </c>
      <c r="F89" t="s">
        <v>285</v>
      </c>
      <c r="G89" s="3">
        <v>6</v>
      </c>
      <c r="H89" t="s">
        <v>31</v>
      </c>
      <c r="I89" t="s">
        <v>35</v>
      </c>
      <c r="J89" t="s">
        <v>27</v>
      </c>
      <c r="K89" t="s">
        <v>37</v>
      </c>
      <c r="L89" t="s">
        <v>33</v>
      </c>
      <c r="M89" t="s">
        <v>31</v>
      </c>
      <c r="N89" t="s">
        <v>27</v>
      </c>
    </row>
    <row r="90" spans="1:15" x14ac:dyDescent="0.2">
      <c r="A90">
        <v>24</v>
      </c>
      <c r="B90" s="3">
        <v>21</v>
      </c>
      <c r="C90" s="3" t="s">
        <v>109</v>
      </c>
      <c r="D90">
        <v>23</v>
      </c>
      <c r="E90" s="12" t="s">
        <v>88</v>
      </c>
      <c r="F90" t="s">
        <v>263</v>
      </c>
      <c r="G90" s="3">
        <v>1</v>
      </c>
      <c r="H90" t="s">
        <v>52</v>
      </c>
      <c r="I90" t="s">
        <v>87</v>
      </c>
      <c r="J90" t="s">
        <v>27</v>
      </c>
      <c r="K90" t="s">
        <v>37</v>
      </c>
      <c r="L90" t="s">
        <v>33</v>
      </c>
      <c r="M90" t="s">
        <v>31</v>
      </c>
      <c r="N90" t="s">
        <v>27</v>
      </c>
    </row>
    <row r="91" spans="1:15" x14ac:dyDescent="0.2">
      <c r="A91">
        <v>23</v>
      </c>
      <c r="B91" s="3">
        <v>21</v>
      </c>
      <c r="C91" s="3" t="s">
        <v>108</v>
      </c>
      <c r="D91">
        <v>22</v>
      </c>
      <c r="E91" s="12" t="s">
        <v>88</v>
      </c>
      <c r="F91" t="s">
        <v>263</v>
      </c>
      <c r="G91" s="3">
        <v>1</v>
      </c>
      <c r="H91" t="s">
        <v>52</v>
      </c>
      <c r="I91" t="s">
        <v>87</v>
      </c>
      <c r="J91" t="s">
        <v>27</v>
      </c>
      <c r="K91" t="s">
        <v>37</v>
      </c>
      <c r="L91" t="s">
        <v>33</v>
      </c>
      <c r="M91" t="s">
        <v>31</v>
      </c>
      <c r="N91" t="s">
        <v>27</v>
      </c>
    </row>
    <row r="92" spans="1:15" x14ac:dyDescent="0.2">
      <c r="A92">
        <v>25</v>
      </c>
      <c r="B92" s="3">
        <v>21</v>
      </c>
      <c r="C92" s="3" t="s">
        <v>110</v>
      </c>
      <c r="D92">
        <v>24</v>
      </c>
      <c r="E92" s="12" t="s">
        <v>107</v>
      </c>
      <c r="F92" t="s">
        <v>262</v>
      </c>
      <c r="G92" s="3">
        <v>5</v>
      </c>
      <c r="H92" t="s">
        <v>52</v>
      </c>
      <c r="I92" t="s">
        <v>26</v>
      </c>
      <c r="J92" t="s">
        <v>27</v>
      </c>
      <c r="K92" t="s">
        <v>37</v>
      </c>
      <c r="L92" t="s">
        <v>33</v>
      </c>
      <c r="M92" t="s">
        <v>31</v>
      </c>
      <c r="N92" t="s">
        <v>27</v>
      </c>
    </row>
    <row r="93" spans="1:15" x14ac:dyDescent="0.2">
      <c r="A93">
        <v>26</v>
      </c>
      <c r="B93" s="3">
        <v>21</v>
      </c>
      <c r="C93" s="3" t="s">
        <v>110</v>
      </c>
      <c r="D93">
        <v>25</v>
      </c>
      <c r="E93" s="12" t="s">
        <v>88</v>
      </c>
      <c r="F93" t="s">
        <v>263</v>
      </c>
      <c r="G93" s="3">
        <v>1</v>
      </c>
      <c r="H93" t="s">
        <v>52</v>
      </c>
      <c r="I93" t="s">
        <v>87</v>
      </c>
      <c r="J93" t="s">
        <v>27</v>
      </c>
      <c r="K93" t="s">
        <v>37</v>
      </c>
      <c r="L93" t="s">
        <v>33</v>
      </c>
      <c r="M93" t="s">
        <v>31</v>
      </c>
      <c r="N93" t="s">
        <v>27</v>
      </c>
    </row>
    <row r="94" spans="1:15" x14ac:dyDescent="0.2">
      <c r="A94">
        <v>27</v>
      </c>
      <c r="B94" s="3">
        <v>21</v>
      </c>
      <c r="C94" s="3" t="s">
        <v>111</v>
      </c>
      <c r="D94">
        <v>26</v>
      </c>
      <c r="E94" s="12" t="s">
        <v>88</v>
      </c>
      <c r="F94" t="s">
        <v>263</v>
      </c>
      <c r="G94" s="3">
        <v>1</v>
      </c>
      <c r="H94" t="s">
        <v>52</v>
      </c>
      <c r="I94" t="s">
        <v>87</v>
      </c>
      <c r="J94" t="s">
        <v>27</v>
      </c>
      <c r="K94" t="s">
        <v>37</v>
      </c>
      <c r="L94" t="s">
        <v>33</v>
      </c>
      <c r="M94" t="s">
        <v>31</v>
      </c>
      <c r="N94" t="s">
        <v>27</v>
      </c>
    </row>
    <row r="95" spans="1:15" x14ac:dyDescent="0.2">
      <c r="A95">
        <v>19</v>
      </c>
      <c r="B95" s="3">
        <v>21</v>
      </c>
      <c r="C95" s="3" t="s">
        <v>104</v>
      </c>
      <c r="D95">
        <v>18</v>
      </c>
      <c r="E95" s="12" t="s">
        <v>79</v>
      </c>
      <c r="F95" t="s">
        <v>285</v>
      </c>
      <c r="G95" s="3">
        <v>8</v>
      </c>
      <c r="H95" t="s">
        <v>25</v>
      </c>
      <c r="I95" t="s">
        <v>26</v>
      </c>
      <c r="J95" t="s">
        <v>27</v>
      </c>
      <c r="K95" t="s">
        <v>37</v>
      </c>
      <c r="L95" t="s">
        <v>33</v>
      </c>
      <c r="M95" t="s">
        <v>31</v>
      </c>
      <c r="N95" t="s">
        <v>27</v>
      </c>
      <c r="O95" t="s">
        <v>103</v>
      </c>
    </row>
    <row r="96" spans="1:15" x14ac:dyDescent="0.2">
      <c r="A96">
        <v>11</v>
      </c>
      <c r="B96" s="3">
        <v>21</v>
      </c>
      <c r="C96" s="3" t="s">
        <v>95</v>
      </c>
      <c r="D96">
        <v>9</v>
      </c>
      <c r="E96" s="12" t="s">
        <v>94</v>
      </c>
      <c r="F96" t="s">
        <v>290</v>
      </c>
      <c r="G96" s="3">
        <v>20</v>
      </c>
      <c r="H96" t="s">
        <v>25</v>
      </c>
      <c r="I96" t="s">
        <v>26</v>
      </c>
      <c r="J96" t="s">
        <v>27</v>
      </c>
      <c r="K96" t="s">
        <v>37</v>
      </c>
      <c r="L96" t="s">
        <v>33</v>
      </c>
      <c r="M96" t="s">
        <v>31</v>
      </c>
      <c r="N96" t="s">
        <v>27</v>
      </c>
    </row>
    <row r="97" spans="1:15" x14ac:dyDescent="0.2">
      <c r="A97">
        <v>28</v>
      </c>
      <c r="B97" s="3">
        <v>21</v>
      </c>
      <c r="C97" s="3" t="s">
        <v>48</v>
      </c>
      <c r="D97">
        <v>27</v>
      </c>
      <c r="E97" s="12" t="s">
        <v>88</v>
      </c>
      <c r="F97" t="s">
        <v>263</v>
      </c>
      <c r="G97" s="3">
        <v>1</v>
      </c>
      <c r="H97" t="s">
        <v>52</v>
      </c>
      <c r="I97" t="s">
        <v>87</v>
      </c>
      <c r="J97" t="s">
        <v>27</v>
      </c>
      <c r="K97" t="s">
        <v>34</v>
      </c>
      <c r="L97" t="s">
        <v>33</v>
      </c>
      <c r="M97" t="s">
        <v>31</v>
      </c>
      <c r="N97" t="s">
        <v>27</v>
      </c>
    </row>
    <row r="98" spans="1:15" x14ac:dyDescent="0.2">
      <c r="A98">
        <v>295</v>
      </c>
      <c r="B98" s="3">
        <v>22</v>
      </c>
      <c r="C98" s="3" t="s">
        <v>78</v>
      </c>
      <c r="D98">
        <v>16</v>
      </c>
      <c r="E98" s="12" t="s">
        <v>203</v>
      </c>
      <c r="F98" t="s">
        <v>291</v>
      </c>
      <c r="G98" s="3">
        <v>5</v>
      </c>
      <c r="H98" t="s">
        <v>52</v>
      </c>
      <c r="I98" t="s">
        <v>26</v>
      </c>
      <c r="J98" t="s">
        <v>27</v>
      </c>
      <c r="K98" t="s">
        <v>37</v>
      </c>
      <c r="L98" t="s">
        <v>33</v>
      </c>
      <c r="M98" t="s">
        <v>29</v>
      </c>
      <c r="N98" t="s">
        <v>27</v>
      </c>
    </row>
    <row r="99" spans="1:15" x14ac:dyDescent="0.2">
      <c r="A99">
        <v>296</v>
      </c>
      <c r="B99" s="3">
        <v>22</v>
      </c>
      <c r="C99" s="3" t="s">
        <v>78</v>
      </c>
      <c r="D99">
        <v>17</v>
      </c>
      <c r="E99" s="12" t="s">
        <v>234</v>
      </c>
      <c r="F99" t="s">
        <v>272</v>
      </c>
      <c r="G99" s="3">
        <v>3</v>
      </c>
      <c r="H99" t="s">
        <v>31</v>
      </c>
      <c r="I99" t="s">
        <v>42</v>
      </c>
      <c r="J99" t="s">
        <v>27</v>
      </c>
      <c r="K99" t="s">
        <v>37</v>
      </c>
      <c r="L99" t="s">
        <v>33</v>
      </c>
      <c r="M99" t="s">
        <v>38</v>
      </c>
      <c r="N99" t="s">
        <v>27</v>
      </c>
      <c r="O99" t="s">
        <v>195</v>
      </c>
    </row>
    <row r="100" spans="1:15" x14ac:dyDescent="0.2">
      <c r="A100">
        <v>297</v>
      </c>
      <c r="B100" s="3">
        <v>22</v>
      </c>
      <c r="C100" s="3" t="s">
        <v>78</v>
      </c>
      <c r="D100">
        <v>18</v>
      </c>
      <c r="E100" s="12" t="s">
        <v>235</v>
      </c>
      <c r="F100" t="s">
        <v>299</v>
      </c>
      <c r="G100" s="3">
        <v>5</v>
      </c>
      <c r="H100" t="s">
        <v>52</v>
      </c>
      <c r="I100" t="s">
        <v>26</v>
      </c>
      <c r="J100" t="s">
        <v>27</v>
      </c>
      <c r="K100" t="s">
        <v>37</v>
      </c>
      <c r="L100" t="s">
        <v>33</v>
      </c>
      <c r="M100" t="s">
        <v>29</v>
      </c>
      <c r="N100" t="s">
        <v>27</v>
      </c>
      <c r="O100" t="s">
        <v>43</v>
      </c>
    </row>
    <row r="101" spans="1:15" x14ac:dyDescent="0.2">
      <c r="A101">
        <v>298</v>
      </c>
      <c r="B101" s="3">
        <v>22</v>
      </c>
      <c r="C101" s="3" t="s">
        <v>78</v>
      </c>
      <c r="D101">
        <v>19</v>
      </c>
      <c r="E101" s="12" t="s">
        <v>88</v>
      </c>
      <c r="F101" t="s">
        <v>263</v>
      </c>
      <c r="G101" s="3">
        <v>3</v>
      </c>
      <c r="H101" t="s">
        <v>25</v>
      </c>
      <c r="I101" t="s">
        <v>42</v>
      </c>
      <c r="J101" t="s">
        <v>27</v>
      </c>
      <c r="K101" t="s">
        <v>37</v>
      </c>
      <c r="L101" t="s">
        <v>33</v>
      </c>
      <c r="M101" t="s">
        <v>38</v>
      </c>
      <c r="N101" t="s">
        <v>27</v>
      </c>
      <c r="O101" t="s">
        <v>195</v>
      </c>
    </row>
    <row r="102" spans="1:15" x14ac:dyDescent="0.2">
      <c r="A102">
        <v>299</v>
      </c>
      <c r="B102" s="3">
        <v>22</v>
      </c>
      <c r="C102" s="3" t="s">
        <v>78</v>
      </c>
      <c r="D102">
        <v>20</v>
      </c>
      <c r="E102" s="12" t="s">
        <v>235</v>
      </c>
      <c r="F102" t="s">
        <v>299</v>
      </c>
      <c r="G102" s="3">
        <v>6</v>
      </c>
      <c r="H102" t="s">
        <v>31</v>
      </c>
      <c r="I102" t="s">
        <v>42</v>
      </c>
      <c r="J102" t="s">
        <v>27</v>
      </c>
      <c r="K102" t="s">
        <v>37</v>
      </c>
      <c r="L102" t="s">
        <v>33</v>
      </c>
      <c r="M102" t="s">
        <v>38</v>
      </c>
      <c r="N102" t="s">
        <v>27</v>
      </c>
      <c r="O102" t="s">
        <v>236</v>
      </c>
    </row>
    <row r="103" spans="1:15" x14ac:dyDescent="0.2">
      <c r="A103">
        <v>300</v>
      </c>
      <c r="B103" s="3">
        <v>22</v>
      </c>
      <c r="C103" s="3" t="s">
        <v>78</v>
      </c>
      <c r="D103">
        <v>21</v>
      </c>
      <c r="E103" s="12" t="s">
        <v>235</v>
      </c>
      <c r="F103" t="s">
        <v>299</v>
      </c>
      <c r="G103" s="3">
        <v>6</v>
      </c>
      <c r="H103" t="s">
        <v>31</v>
      </c>
      <c r="I103" t="s">
        <v>42</v>
      </c>
      <c r="J103" t="s">
        <v>27</v>
      </c>
      <c r="K103" t="s">
        <v>37</v>
      </c>
      <c r="L103" t="s">
        <v>33</v>
      </c>
      <c r="M103" t="s">
        <v>38</v>
      </c>
      <c r="N103" t="s">
        <v>27</v>
      </c>
      <c r="O103" t="s">
        <v>236</v>
      </c>
    </row>
    <row r="104" spans="1:15" x14ac:dyDescent="0.2">
      <c r="A104">
        <v>301</v>
      </c>
      <c r="B104" s="3">
        <v>22</v>
      </c>
      <c r="C104" s="3" t="s">
        <v>78</v>
      </c>
      <c r="D104">
        <v>22</v>
      </c>
      <c r="E104" s="12" t="s">
        <v>203</v>
      </c>
      <c r="F104" t="s">
        <v>291</v>
      </c>
      <c r="G104" s="3">
        <v>4</v>
      </c>
      <c r="H104" t="s">
        <v>52</v>
      </c>
      <c r="I104" t="s">
        <v>26</v>
      </c>
      <c r="J104" t="s">
        <v>27</v>
      </c>
      <c r="K104" t="s">
        <v>37</v>
      </c>
      <c r="L104" t="s">
        <v>33</v>
      </c>
      <c r="M104" t="s">
        <v>29</v>
      </c>
      <c r="N104" t="s">
        <v>27</v>
      </c>
    </row>
    <row r="105" spans="1:15" x14ac:dyDescent="0.2">
      <c r="A105">
        <v>302</v>
      </c>
      <c r="B105" s="3">
        <v>22</v>
      </c>
      <c r="C105" s="3" t="s">
        <v>78</v>
      </c>
      <c r="D105">
        <v>23</v>
      </c>
      <c r="E105" s="12" t="s">
        <v>235</v>
      </c>
      <c r="F105" t="s">
        <v>299</v>
      </c>
      <c r="G105" s="3">
        <v>6</v>
      </c>
      <c r="H105" t="s">
        <v>31</v>
      </c>
      <c r="I105" t="s">
        <v>42</v>
      </c>
      <c r="J105" t="s">
        <v>27</v>
      </c>
      <c r="K105" t="s">
        <v>37</v>
      </c>
      <c r="L105" t="s">
        <v>33</v>
      </c>
      <c r="M105" t="s">
        <v>25</v>
      </c>
      <c r="N105" t="s">
        <v>27</v>
      </c>
      <c r="O105" t="s">
        <v>236</v>
      </c>
    </row>
    <row r="106" spans="1:15" x14ac:dyDescent="0.2">
      <c r="A106">
        <v>303</v>
      </c>
      <c r="B106" s="3">
        <v>22</v>
      </c>
      <c r="C106" s="3" t="s">
        <v>78</v>
      </c>
      <c r="D106">
        <v>24</v>
      </c>
      <c r="E106" s="12" t="s">
        <v>75</v>
      </c>
      <c r="F106" t="s">
        <v>297</v>
      </c>
      <c r="G106" s="3">
        <v>5</v>
      </c>
      <c r="H106" t="s">
        <v>52</v>
      </c>
      <c r="I106" t="s">
        <v>26</v>
      </c>
      <c r="J106" t="s">
        <v>27</v>
      </c>
      <c r="K106" t="s">
        <v>37</v>
      </c>
      <c r="L106" t="s">
        <v>33</v>
      </c>
      <c r="M106" t="s">
        <v>25</v>
      </c>
      <c r="N106" t="s">
        <v>27</v>
      </c>
    </row>
    <row r="107" spans="1:15" x14ac:dyDescent="0.2">
      <c r="A107">
        <v>304</v>
      </c>
      <c r="B107" s="3">
        <v>22</v>
      </c>
      <c r="C107" s="3" t="s">
        <v>78</v>
      </c>
      <c r="D107">
        <v>25</v>
      </c>
      <c r="E107" s="12" t="s">
        <v>235</v>
      </c>
      <c r="F107" t="s">
        <v>299</v>
      </c>
      <c r="G107" s="3">
        <v>5</v>
      </c>
      <c r="H107" t="s">
        <v>31</v>
      </c>
      <c r="I107" t="s">
        <v>42</v>
      </c>
      <c r="J107" t="s">
        <v>27</v>
      </c>
      <c r="K107" t="s">
        <v>37</v>
      </c>
      <c r="L107" t="s">
        <v>33</v>
      </c>
      <c r="M107" t="s">
        <v>38</v>
      </c>
      <c r="N107" t="s">
        <v>27</v>
      </c>
      <c r="O107" t="s">
        <v>237</v>
      </c>
    </row>
    <row r="108" spans="1:15" x14ac:dyDescent="0.2">
      <c r="A108">
        <v>305</v>
      </c>
      <c r="B108" s="3">
        <v>22</v>
      </c>
      <c r="C108" s="3" t="s">
        <v>78</v>
      </c>
      <c r="D108">
        <v>26</v>
      </c>
      <c r="E108" s="12" t="s">
        <v>235</v>
      </c>
      <c r="F108" t="s">
        <v>299</v>
      </c>
      <c r="G108" s="3">
        <v>5</v>
      </c>
      <c r="H108" t="s">
        <v>31</v>
      </c>
      <c r="I108" t="s">
        <v>42</v>
      </c>
      <c r="J108" t="s">
        <v>27</v>
      </c>
      <c r="K108" t="s">
        <v>37</v>
      </c>
      <c r="L108" t="s">
        <v>33</v>
      </c>
      <c r="M108" t="s">
        <v>38</v>
      </c>
      <c r="N108" t="s">
        <v>27</v>
      </c>
      <c r="O108" t="s">
        <v>237</v>
      </c>
    </row>
    <row r="109" spans="1:15" x14ac:dyDescent="0.2">
      <c r="A109">
        <v>306</v>
      </c>
      <c r="B109" s="3">
        <v>22</v>
      </c>
      <c r="C109" s="3" t="s">
        <v>78</v>
      </c>
      <c r="D109">
        <v>27</v>
      </c>
      <c r="E109" s="12" t="s">
        <v>94</v>
      </c>
      <c r="F109" t="s">
        <v>290</v>
      </c>
      <c r="G109" s="3">
        <v>24</v>
      </c>
      <c r="H109" t="s">
        <v>31</v>
      </c>
      <c r="I109" t="s">
        <v>26</v>
      </c>
      <c r="J109" t="s">
        <v>27</v>
      </c>
      <c r="K109" t="s">
        <v>37</v>
      </c>
      <c r="L109" t="s">
        <v>33</v>
      </c>
      <c r="M109" t="s">
        <v>31</v>
      </c>
      <c r="N109" t="s">
        <v>27</v>
      </c>
      <c r="O109" t="s">
        <v>44</v>
      </c>
    </row>
    <row r="110" spans="1:15" x14ac:dyDescent="0.2">
      <c r="A110">
        <v>3</v>
      </c>
      <c r="B110" s="3">
        <v>22</v>
      </c>
      <c r="C110" s="3" t="s">
        <v>85</v>
      </c>
      <c r="D110">
        <v>2</v>
      </c>
      <c r="E110" s="12" t="s">
        <v>82</v>
      </c>
      <c r="F110" t="s">
        <v>284</v>
      </c>
      <c r="G110" s="3">
        <v>12</v>
      </c>
      <c r="H110" t="s">
        <v>31</v>
      </c>
      <c r="I110" t="s">
        <v>35</v>
      </c>
      <c r="J110" t="s">
        <v>27</v>
      </c>
      <c r="K110" t="s">
        <v>37</v>
      </c>
      <c r="L110" t="s">
        <v>83</v>
      </c>
      <c r="M110" t="s">
        <v>25</v>
      </c>
      <c r="N110" t="s">
        <v>84</v>
      </c>
      <c r="O110" t="s">
        <v>81</v>
      </c>
    </row>
    <row r="111" spans="1:15" x14ac:dyDescent="0.2">
      <c r="A111">
        <v>2</v>
      </c>
      <c r="B111" s="3">
        <v>22</v>
      </c>
      <c r="C111" s="3" t="s">
        <v>80</v>
      </c>
      <c r="D111">
        <v>1</v>
      </c>
      <c r="E111" s="12" t="s">
        <v>79</v>
      </c>
      <c r="F111" t="s">
        <v>285</v>
      </c>
      <c r="G111" s="3">
        <v>10</v>
      </c>
      <c r="H111" t="s">
        <v>52</v>
      </c>
      <c r="I111" t="s">
        <v>26</v>
      </c>
      <c r="J111" t="s">
        <v>27</v>
      </c>
      <c r="K111" t="s">
        <v>37</v>
      </c>
      <c r="L111" t="s">
        <v>33</v>
      </c>
      <c r="M111" t="s">
        <v>31</v>
      </c>
      <c r="N111" t="s">
        <v>27</v>
      </c>
    </row>
    <row r="112" spans="1:15" x14ac:dyDescent="0.2">
      <c r="A112">
        <v>4</v>
      </c>
      <c r="B112" s="3">
        <v>22</v>
      </c>
      <c r="C112" s="3" t="s">
        <v>80</v>
      </c>
      <c r="D112">
        <v>3</v>
      </c>
      <c r="E112" s="12" t="s">
        <v>86</v>
      </c>
      <c r="F112" t="s">
        <v>86</v>
      </c>
      <c r="G112" s="3">
        <v>3</v>
      </c>
      <c r="H112" t="s">
        <v>52</v>
      </c>
      <c r="I112" t="s">
        <v>87</v>
      </c>
      <c r="J112" t="s">
        <v>27</v>
      </c>
      <c r="K112" t="s">
        <v>37</v>
      </c>
      <c r="L112" t="s">
        <v>33</v>
      </c>
      <c r="M112" t="s">
        <v>31</v>
      </c>
      <c r="N112" t="s">
        <v>27</v>
      </c>
    </row>
    <row r="113" spans="1:15" x14ac:dyDescent="0.2">
      <c r="A113">
        <v>5</v>
      </c>
      <c r="B113" s="3">
        <v>22</v>
      </c>
      <c r="C113" s="3" t="s">
        <v>80</v>
      </c>
      <c r="D113">
        <v>4</v>
      </c>
      <c r="E113" s="12" t="s">
        <v>88</v>
      </c>
      <c r="F113" t="s">
        <v>263</v>
      </c>
      <c r="G113" s="3">
        <v>3</v>
      </c>
      <c r="H113" t="s">
        <v>52</v>
      </c>
      <c r="I113" t="s">
        <v>87</v>
      </c>
      <c r="J113" t="s">
        <v>27</v>
      </c>
      <c r="K113" t="s">
        <v>37</v>
      </c>
      <c r="L113" t="s">
        <v>33</v>
      </c>
      <c r="M113" t="s">
        <v>31</v>
      </c>
      <c r="N113" t="s">
        <v>27</v>
      </c>
    </row>
    <row r="114" spans="1:15" x14ac:dyDescent="0.2">
      <c r="A114">
        <v>200</v>
      </c>
      <c r="B114" s="3">
        <v>23</v>
      </c>
      <c r="C114" s="3" t="s">
        <v>78</v>
      </c>
      <c r="D114">
        <v>1</v>
      </c>
      <c r="E114" s="12" t="s">
        <v>82</v>
      </c>
      <c r="F114" t="s">
        <v>284</v>
      </c>
      <c r="G114" s="3">
        <v>8</v>
      </c>
      <c r="H114" t="s">
        <v>31</v>
      </c>
      <c r="I114" t="s">
        <v>26</v>
      </c>
      <c r="J114" t="s">
        <v>27</v>
      </c>
      <c r="K114" t="s">
        <v>37</v>
      </c>
      <c r="L114" t="s">
        <v>33</v>
      </c>
      <c r="M114" t="s">
        <v>29</v>
      </c>
      <c r="N114" t="s">
        <v>27</v>
      </c>
    </row>
    <row r="115" spans="1:15" x14ac:dyDescent="0.2">
      <c r="A115">
        <v>188</v>
      </c>
      <c r="B115" s="3">
        <v>24</v>
      </c>
      <c r="C115" s="3" t="s">
        <v>244</v>
      </c>
      <c r="D115">
        <v>1</v>
      </c>
      <c r="E115" s="12" t="s">
        <v>79</v>
      </c>
      <c r="F115" t="s">
        <v>285</v>
      </c>
      <c r="G115" s="3">
        <v>16</v>
      </c>
      <c r="H115" t="s">
        <v>52</v>
      </c>
      <c r="I115" t="s">
        <v>26</v>
      </c>
      <c r="J115" t="s">
        <v>27</v>
      </c>
      <c r="K115" t="s">
        <v>37</v>
      </c>
      <c r="L115" t="s">
        <v>33</v>
      </c>
      <c r="M115" t="s">
        <v>29</v>
      </c>
      <c r="N115" t="s">
        <v>27</v>
      </c>
    </row>
    <row r="116" spans="1:15" x14ac:dyDescent="0.2">
      <c r="A116">
        <v>179</v>
      </c>
      <c r="B116" s="3">
        <v>25</v>
      </c>
      <c r="C116" s="3" t="s">
        <v>225</v>
      </c>
      <c r="D116">
        <v>1</v>
      </c>
      <c r="E116" s="12" t="s">
        <v>79</v>
      </c>
      <c r="F116" t="s">
        <v>285</v>
      </c>
      <c r="G116" s="3">
        <v>12</v>
      </c>
      <c r="H116" t="s">
        <v>52</v>
      </c>
      <c r="I116" t="s">
        <v>26</v>
      </c>
      <c r="J116" t="s">
        <v>27</v>
      </c>
      <c r="K116" t="s">
        <v>37</v>
      </c>
      <c r="L116" t="s">
        <v>33</v>
      </c>
      <c r="M116" t="s">
        <v>29</v>
      </c>
      <c r="N116" t="s">
        <v>27</v>
      </c>
    </row>
    <row r="117" spans="1:15" x14ac:dyDescent="0.2">
      <c r="A117">
        <v>180</v>
      </c>
      <c r="B117" s="3">
        <v>25</v>
      </c>
      <c r="C117" s="3" t="s">
        <v>225</v>
      </c>
      <c r="D117">
        <v>2</v>
      </c>
      <c r="E117" s="12" t="s">
        <v>79</v>
      </c>
      <c r="F117" t="s">
        <v>285</v>
      </c>
      <c r="G117" s="3">
        <v>10</v>
      </c>
      <c r="H117" t="s">
        <v>52</v>
      </c>
      <c r="I117" t="s">
        <v>26</v>
      </c>
      <c r="J117" t="s">
        <v>27</v>
      </c>
      <c r="K117" t="s">
        <v>37</v>
      </c>
      <c r="L117" t="s">
        <v>33</v>
      </c>
      <c r="M117" t="s">
        <v>29</v>
      </c>
      <c r="N117" t="s">
        <v>27</v>
      </c>
    </row>
    <row r="118" spans="1:15" x14ac:dyDescent="0.2">
      <c r="A118">
        <v>181</v>
      </c>
      <c r="B118" s="3">
        <v>25</v>
      </c>
      <c r="C118" s="3" t="s">
        <v>227</v>
      </c>
      <c r="D118">
        <v>3</v>
      </c>
      <c r="E118" s="12" t="s">
        <v>152</v>
      </c>
      <c r="F118" t="s">
        <v>276</v>
      </c>
      <c r="G118" s="3">
        <v>10</v>
      </c>
      <c r="H118" t="s">
        <v>25</v>
      </c>
      <c r="I118" t="s">
        <v>26</v>
      </c>
      <c r="J118" t="s">
        <v>27</v>
      </c>
      <c r="K118" t="s">
        <v>37</v>
      </c>
      <c r="L118" t="s">
        <v>33</v>
      </c>
      <c r="M118" t="s">
        <v>31</v>
      </c>
      <c r="N118" t="s">
        <v>27</v>
      </c>
      <c r="O118" t="s">
        <v>226</v>
      </c>
    </row>
    <row r="119" spans="1:15" x14ac:dyDescent="0.2">
      <c r="A119">
        <v>182</v>
      </c>
      <c r="B119" s="3">
        <v>25</v>
      </c>
      <c r="C119" s="3" t="s">
        <v>227</v>
      </c>
      <c r="D119">
        <v>4</v>
      </c>
      <c r="E119" s="12" t="s">
        <v>152</v>
      </c>
      <c r="F119" t="s">
        <v>276</v>
      </c>
      <c r="G119" s="3">
        <v>10</v>
      </c>
      <c r="H119" t="s">
        <v>25</v>
      </c>
      <c r="I119" t="s">
        <v>26</v>
      </c>
      <c r="J119" t="s">
        <v>27</v>
      </c>
      <c r="K119" t="s">
        <v>37</v>
      </c>
      <c r="L119" t="s">
        <v>33</v>
      </c>
      <c r="M119" t="s">
        <v>31</v>
      </c>
      <c r="N119" t="s">
        <v>27</v>
      </c>
      <c r="O119" t="s">
        <v>226</v>
      </c>
    </row>
    <row r="120" spans="1:15" x14ac:dyDescent="0.2">
      <c r="A120">
        <v>177</v>
      </c>
      <c r="B120" s="3">
        <v>26</v>
      </c>
      <c r="C120" s="3" t="s">
        <v>223</v>
      </c>
      <c r="D120">
        <v>2</v>
      </c>
      <c r="E120" s="12" t="s">
        <v>222</v>
      </c>
      <c r="F120" t="s">
        <v>267</v>
      </c>
      <c r="G120" s="3">
        <v>2</v>
      </c>
      <c r="H120" t="s">
        <v>25</v>
      </c>
      <c r="I120" t="s">
        <v>42</v>
      </c>
      <c r="J120" t="s">
        <v>27</v>
      </c>
      <c r="K120" t="s">
        <v>37</v>
      </c>
      <c r="L120" t="s">
        <v>33</v>
      </c>
      <c r="M120" t="s">
        <v>38</v>
      </c>
      <c r="N120" t="s">
        <v>84</v>
      </c>
      <c r="O120" t="s">
        <v>221</v>
      </c>
    </row>
    <row r="121" spans="1:15" x14ac:dyDescent="0.2">
      <c r="A121">
        <v>178</v>
      </c>
      <c r="B121" s="3">
        <v>26</v>
      </c>
      <c r="C121" s="3" t="s">
        <v>224</v>
      </c>
      <c r="D121">
        <v>3</v>
      </c>
      <c r="E121" s="12" t="s">
        <v>82</v>
      </c>
      <c r="F121" t="s">
        <v>284</v>
      </c>
      <c r="G121" s="3">
        <v>3</v>
      </c>
      <c r="H121" t="s">
        <v>31</v>
      </c>
      <c r="I121" t="s">
        <v>26</v>
      </c>
      <c r="J121" t="s">
        <v>27</v>
      </c>
      <c r="K121" t="s">
        <v>37</v>
      </c>
      <c r="L121" t="s">
        <v>33</v>
      </c>
      <c r="M121" t="s">
        <v>31</v>
      </c>
      <c r="N121" t="s">
        <v>27</v>
      </c>
    </row>
    <row r="122" spans="1:15" x14ac:dyDescent="0.2">
      <c r="A122">
        <v>176</v>
      </c>
      <c r="B122" s="3">
        <v>26</v>
      </c>
      <c r="C122" s="3" t="s">
        <v>78</v>
      </c>
      <c r="D122">
        <v>1</v>
      </c>
      <c r="E122" s="12" t="s">
        <v>82</v>
      </c>
      <c r="F122" t="s">
        <v>284</v>
      </c>
      <c r="G122" s="3">
        <v>9</v>
      </c>
      <c r="H122" t="s">
        <v>52</v>
      </c>
      <c r="I122" t="s">
        <v>26</v>
      </c>
      <c r="J122" t="s">
        <v>27</v>
      </c>
      <c r="K122" t="s">
        <v>37</v>
      </c>
      <c r="L122" t="s">
        <v>33</v>
      </c>
      <c r="M122" t="s">
        <v>31</v>
      </c>
      <c r="N122" t="s">
        <v>27</v>
      </c>
    </row>
    <row r="123" spans="1:15" x14ac:dyDescent="0.2">
      <c r="A123">
        <v>208</v>
      </c>
      <c r="B123" s="3" t="s">
        <v>232</v>
      </c>
      <c r="C123" s="3" t="s">
        <v>251</v>
      </c>
      <c r="D123">
        <v>6</v>
      </c>
      <c r="E123" s="12" t="s">
        <v>79</v>
      </c>
      <c r="F123" t="s">
        <v>285</v>
      </c>
      <c r="G123" s="3">
        <v>8</v>
      </c>
      <c r="H123" t="s">
        <v>52</v>
      </c>
      <c r="I123" t="s">
        <v>26</v>
      </c>
      <c r="J123" t="s">
        <v>27</v>
      </c>
      <c r="K123" t="s">
        <v>37</v>
      </c>
      <c r="L123" t="s">
        <v>33</v>
      </c>
      <c r="M123" t="s">
        <v>29</v>
      </c>
      <c r="N123" t="s">
        <v>27</v>
      </c>
    </row>
    <row r="124" spans="1:15" x14ac:dyDescent="0.2">
      <c r="A124">
        <v>203</v>
      </c>
      <c r="B124" s="3" t="s">
        <v>232</v>
      </c>
      <c r="C124" s="3" t="s">
        <v>247</v>
      </c>
      <c r="D124">
        <v>2</v>
      </c>
      <c r="E124" s="12" t="s">
        <v>196</v>
      </c>
      <c r="F124" t="s">
        <v>277</v>
      </c>
      <c r="G124" s="3">
        <v>4</v>
      </c>
      <c r="H124" t="s">
        <v>25</v>
      </c>
      <c r="I124" t="s">
        <v>26</v>
      </c>
      <c r="J124" t="s">
        <v>27</v>
      </c>
      <c r="K124" t="s">
        <v>37</v>
      </c>
      <c r="L124" t="s">
        <v>33</v>
      </c>
      <c r="M124" t="s">
        <v>31</v>
      </c>
      <c r="N124" t="s">
        <v>27</v>
      </c>
      <c r="O124" t="s">
        <v>226</v>
      </c>
    </row>
    <row r="125" spans="1:15" x14ac:dyDescent="0.2">
      <c r="A125">
        <v>204</v>
      </c>
      <c r="B125" s="3" t="s">
        <v>232</v>
      </c>
      <c r="C125" s="3" t="s">
        <v>247</v>
      </c>
      <c r="D125">
        <v>3</v>
      </c>
      <c r="E125" s="12" t="s">
        <v>186</v>
      </c>
      <c r="F125" t="s">
        <v>265</v>
      </c>
      <c r="G125" s="3">
        <v>7</v>
      </c>
      <c r="H125" t="s">
        <v>52</v>
      </c>
      <c r="I125" t="s">
        <v>26</v>
      </c>
      <c r="J125" t="s">
        <v>27</v>
      </c>
      <c r="K125" t="s">
        <v>37</v>
      </c>
      <c r="L125" t="s">
        <v>33</v>
      </c>
      <c r="M125" t="s">
        <v>29</v>
      </c>
      <c r="N125" t="s">
        <v>27</v>
      </c>
    </row>
    <row r="126" spans="1:15" x14ac:dyDescent="0.2">
      <c r="A126">
        <v>201</v>
      </c>
      <c r="B126" s="3" t="s">
        <v>232</v>
      </c>
      <c r="C126" s="3" t="s">
        <v>246</v>
      </c>
      <c r="D126">
        <v>1</v>
      </c>
      <c r="E126" s="12" t="s">
        <v>196</v>
      </c>
      <c r="F126" t="s">
        <v>277</v>
      </c>
      <c r="G126" s="3">
        <v>6</v>
      </c>
      <c r="H126" t="s">
        <v>31</v>
      </c>
      <c r="I126" t="s">
        <v>26</v>
      </c>
      <c r="J126" t="s">
        <v>27</v>
      </c>
      <c r="K126" t="s">
        <v>37</v>
      </c>
      <c r="L126" t="s">
        <v>33</v>
      </c>
      <c r="M126" t="s">
        <v>29</v>
      </c>
      <c r="N126" t="s">
        <v>27</v>
      </c>
    </row>
    <row r="127" spans="1:15" x14ac:dyDescent="0.2">
      <c r="A127">
        <v>205</v>
      </c>
      <c r="B127" s="3" t="s">
        <v>232</v>
      </c>
      <c r="C127" s="3" t="s">
        <v>248</v>
      </c>
      <c r="D127">
        <v>3</v>
      </c>
      <c r="E127" s="12" t="s">
        <v>79</v>
      </c>
      <c r="F127" t="s">
        <v>285</v>
      </c>
      <c r="G127" s="3">
        <v>10</v>
      </c>
      <c r="H127" t="s">
        <v>31</v>
      </c>
      <c r="I127" t="s">
        <v>26</v>
      </c>
      <c r="J127" t="s">
        <v>27</v>
      </c>
      <c r="K127" t="s">
        <v>37</v>
      </c>
      <c r="L127" t="s">
        <v>33</v>
      </c>
      <c r="M127" t="s">
        <v>31</v>
      </c>
      <c r="N127" t="s">
        <v>27</v>
      </c>
    </row>
    <row r="128" spans="1:15" x14ac:dyDescent="0.2">
      <c r="A128">
        <v>206</v>
      </c>
      <c r="B128" s="3" t="s">
        <v>232</v>
      </c>
      <c r="C128" s="3" t="s">
        <v>249</v>
      </c>
      <c r="D128">
        <v>4</v>
      </c>
      <c r="E128" s="12" t="s">
        <v>180</v>
      </c>
      <c r="F128" t="s">
        <v>274</v>
      </c>
      <c r="G128" s="3">
        <v>6</v>
      </c>
      <c r="H128" t="s">
        <v>31</v>
      </c>
      <c r="I128" t="s">
        <v>26</v>
      </c>
      <c r="J128" t="s">
        <v>27</v>
      </c>
      <c r="K128" t="s">
        <v>37</v>
      </c>
      <c r="L128" t="s">
        <v>33</v>
      </c>
      <c r="M128" t="s">
        <v>29</v>
      </c>
      <c r="N128" t="s">
        <v>27</v>
      </c>
    </row>
    <row r="129" spans="1:15" x14ac:dyDescent="0.2">
      <c r="A129">
        <v>209</v>
      </c>
      <c r="B129" s="3" t="s">
        <v>232</v>
      </c>
      <c r="C129" s="3" t="s">
        <v>252</v>
      </c>
      <c r="D129">
        <v>7</v>
      </c>
      <c r="E129" s="12" t="s">
        <v>169</v>
      </c>
      <c r="F129" t="s">
        <v>287</v>
      </c>
      <c r="G129" s="3">
        <v>4</v>
      </c>
      <c r="H129" t="s">
        <v>52</v>
      </c>
      <c r="I129" t="s">
        <v>26</v>
      </c>
      <c r="J129" t="s">
        <v>27</v>
      </c>
      <c r="K129" t="s">
        <v>37</v>
      </c>
      <c r="L129" t="s">
        <v>33</v>
      </c>
      <c r="M129" t="s">
        <v>29</v>
      </c>
      <c r="N129" t="s">
        <v>27</v>
      </c>
    </row>
    <row r="130" spans="1:15" x14ac:dyDescent="0.2">
      <c r="A130">
        <v>207</v>
      </c>
      <c r="B130" s="3" t="s">
        <v>232</v>
      </c>
      <c r="C130" s="3" t="s">
        <v>250</v>
      </c>
      <c r="D130">
        <v>5</v>
      </c>
      <c r="E130" s="12" t="s">
        <v>180</v>
      </c>
      <c r="F130" t="s">
        <v>274</v>
      </c>
      <c r="G130" s="3">
        <v>6</v>
      </c>
      <c r="H130" t="s">
        <v>31</v>
      </c>
      <c r="I130" t="s">
        <v>26</v>
      </c>
      <c r="J130" t="s">
        <v>27</v>
      </c>
      <c r="K130" t="s">
        <v>37</v>
      </c>
      <c r="L130" t="s">
        <v>33</v>
      </c>
      <c r="M130" t="s">
        <v>29</v>
      </c>
      <c r="N130" t="s">
        <v>27</v>
      </c>
    </row>
    <row r="131" spans="1:15" x14ac:dyDescent="0.2">
      <c r="A131">
        <v>210</v>
      </c>
      <c r="B131" s="3" t="s">
        <v>232</v>
      </c>
      <c r="C131" s="3" t="s">
        <v>254</v>
      </c>
      <c r="D131">
        <v>7</v>
      </c>
      <c r="E131" s="12" t="s">
        <v>91</v>
      </c>
      <c r="F131" t="s">
        <v>261</v>
      </c>
      <c r="G131" s="3">
        <v>3</v>
      </c>
      <c r="H131" t="s">
        <v>38</v>
      </c>
      <c r="I131" t="s">
        <v>42</v>
      </c>
      <c r="J131" t="s">
        <v>27</v>
      </c>
      <c r="K131" t="s">
        <v>37</v>
      </c>
      <c r="L131" t="s">
        <v>33</v>
      </c>
      <c r="M131" t="s">
        <v>29</v>
      </c>
      <c r="N131" t="s">
        <v>27</v>
      </c>
      <c r="O131" t="s">
        <v>253</v>
      </c>
    </row>
    <row r="132" spans="1:15" x14ac:dyDescent="0.2">
      <c r="A132">
        <v>292</v>
      </c>
      <c r="B132" s="3" t="s">
        <v>232</v>
      </c>
      <c r="C132" s="3" t="s">
        <v>78</v>
      </c>
      <c r="D132">
        <v>7</v>
      </c>
      <c r="E132" s="12" t="s">
        <v>88</v>
      </c>
      <c r="F132" t="s">
        <v>263</v>
      </c>
      <c r="G132" s="3">
        <v>8</v>
      </c>
      <c r="H132" t="s">
        <v>52</v>
      </c>
      <c r="I132" t="s">
        <v>26</v>
      </c>
      <c r="J132" t="s">
        <v>27</v>
      </c>
      <c r="K132" t="s">
        <v>37</v>
      </c>
      <c r="L132" t="s">
        <v>33</v>
      </c>
      <c r="M132" t="s">
        <v>29</v>
      </c>
      <c r="N132" t="s">
        <v>27</v>
      </c>
    </row>
    <row r="133" spans="1:15" x14ac:dyDescent="0.2">
      <c r="A133">
        <v>293</v>
      </c>
      <c r="B133" s="3" t="s">
        <v>232</v>
      </c>
      <c r="C133" s="3" t="s">
        <v>78</v>
      </c>
      <c r="D133">
        <v>8</v>
      </c>
      <c r="E133" s="12" t="s">
        <v>233</v>
      </c>
      <c r="F133" t="s">
        <v>264</v>
      </c>
      <c r="G133" s="3">
        <v>18</v>
      </c>
      <c r="H133" t="s">
        <v>52</v>
      </c>
      <c r="I133" t="s">
        <v>26</v>
      </c>
      <c r="J133" t="s">
        <v>27</v>
      </c>
      <c r="K133" t="s">
        <v>37</v>
      </c>
      <c r="L133" t="s">
        <v>33</v>
      </c>
      <c r="M133" t="s">
        <v>29</v>
      </c>
      <c r="N133" t="s">
        <v>27</v>
      </c>
    </row>
    <row r="134" spans="1:15" x14ac:dyDescent="0.2">
      <c r="A134">
        <v>294</v>
      </c>
      <c r="B134" s="3" t="s">
        <v>232</v>
      </c>
      <c r="C134" s="3" t="s">
        <v>78</v>
      </c>
      <c r="D134">
        <v>9</v>
      </c>
      <c r="E134" s="12" t="s">
        <v>233</v>
      </c>
      <c r="F134" t="s">
        <v>264</v>
      </c>
      <c r="G134" s="3">
        <v>15</v>
      </c>
      <c r="H134" t="s">
        <v>52</v>
      </c>
      <c r="I134" t="s">
        <v>26</v>
      </c>
      <c r="J134" t="s">
        <v>27</v>
      </c>
      <c r="K134" t="s">
        <v>37</v>
      </c>
      <c r="L134" t="s">
        <v>33</v>
      </c>
      <c r="M134" t="s">
        <v>29</v>
      </c>
      <c r="N134" t="s">
        <v>27</v>
      </c>
    </row>
    <row r="135" spans="1:15" x14ac:dyDescent="0.2">
      <c r="A135">
        <v>268</v>
      </c>
      <c r="B135" s="3" t="s">
        <v>202</v>
      </c>
      <c r="C135" s="3" t="s">
        <v>207</v>
      </c>
      <c r="D135">
        <v>5</v>
      </c>
      <c r="E135" s="12" t="s">
        <v>82</v>
      </c>
      <c r="F135" t="s">
        <v>284</v>
      </c>
      <c r="G135" s="3">
        <v>10</v>
      </c>
      <c r="H135" t="s">
        <v>52</v>
      </c>
      <c r="I135" t="s">
        <v>26</v>
      </c>
      <c r="J135" t="s">
        <v>27</v>
      </c>
      <c r="K135" t="s">
        <v>37</v>
      </c>
      <c r="L135" t="s">
        <v>33</v>
      </c>
      <c r="M135" t="s">
        <v>31</v>
      </c>
      <c r="N135" t="s">
        <v>27</v>
      </c>
    </row>
    <row r="136" spans="1:15" x14ac:dyDescent="0.2">
      <c r="A136">
        <v>267</v>
      </c>
      <c r="B136" s="3" t="s">
        <v>202</v>
      </c>
      <c r="C136" s="3" t="s">
        <v>206</v>
      </c>
      <c r="D136">
        <v>5</v>
      </c>
      <c r="E136" s="12" t="s">
        <v>152</v>
      </c>
      <c r="F136" t="s">
        <v>276</v>
      </c>
      <c r="G136" s="3">
        <v>5</v>
      </c>
      <c r="H136" t="s">
        <v>31</v>
      </c>
      <c r="I136" t="s">
        <v>26</v>
      </c>
      <c r="J136" t="s">
        <v>27</v>
      </c>
      <c r="K136" t="s">
        <v>34</v>
      </c>
      <c r="L136" t="s">
        <v>33</v>
      </c>
      <c r="M136" t="s">
        <v>31</v>
      </c>
      <c r="N136" t="s">
        <v>27</v>
      </c>
    </row>
    <row r="137" spans="1:15" x14ac:dyDescent="0.2">
      <c r="A137">
        <v>266</v>
      </c>
      <c r="B137" s="3" t="s">
        <v>202</v>
      </c>
      <c r="C137" s="3" t="s">
        <v>205</v>
      </c>
      <c r="D137">
        <v>4</v>
      </c>
      <c r="E137" s="12" t="s">
        <v>169</v>
      </c>
      <c r="F137" t="s">
        <v>287</v>
      </c>
      <c r="G137" s="3">
        <v>5</v>
      </c>
      <c r="H137" t="s">
        <v>38</v>
      </c>
      <c r="I137" t="s">
        <v>42</v>
      </c>
      <c r="J137" t="s">
        <v>27</v>
      </c>
      <c r="K137" t="s">
        <v>34</v>
      </c>
      <c r="L137" t="s">
        <v>33</v>
      </c>
      <c r="M137" t="s">
        <v>31</v>
      </c>
      <c r="N137" t="s">
        <v>27</v>
      </c>
      <c r="O137" t="s">
        <v>204</v>
      </c>
    </row>
    <row r="138" spans="1:15" x14ac:dyDescent="0.2">
      <c r="A138">
        <v>263</v>
      </c>
      <c r="B138" s="3" t="s">
        <v>202</v>
      </c>
      <c r="C138" s="3" t="s">
        <v>78</v>
      </c>
      <c r="D138">
        <v>1</v>
      </c>
      <c r="E138" s="12" t="s">
        <v>82</v>
      </c>
      <c r="F138" t="s">
        <v>284</v>
      </c>
      <c r="G138" s="3">
        <v>3</v>
      </c>
      <c r="H138" t="s">
        <v>31</v>
      </c>
      <c r="I138" t="s">
        <v>26</v>
      </c>
      <c r="J138" t="s">
        <v>27</v>
      </c>
      <c r="K138" t="s">
        <v>37</v>
      </c>
      <c r="L138" t="s">
        <v>33</v>
      </c>
      <c r="M138" t="s">
        <v>31</v>
      </c>
      <c r="N138" t="s">
        <v>27</v>
      </c>
    </row>
    <row r="139" spans="1:15" x14ac:dyDescent="0.2">
      <c r="A139">
        <v>264</v>
      </c>
      <c r="B139" s="3" t="s">
        <v>202</v>
      </c>
      <c r="C139" s="3" t="s">
        <v>78</v>
      </c>
      <c r="D139">
        <v>2</v>
      </c>
      <c r="E139" s="12" t="s">
        <v>203</v>
      </c>
      <c r="F139" t="s">
        <v>291</v>
      </c>
      <c r="G139" s="3">
        <v>5</v>
      </c>
      <c r="H139" t="s">
        <v>52</v>
      </c>
      <c r="I139" t="s">
        <v>26</v>
      </c>
      <c r="J139" t="s">
        <v>27</v>
      </c>
      <c r="K139" t="s">
        <v>37</v>
      </c>
      <c r="L139" t="s">
        <v>33</v>
      </c>
      <c r="M139" t="s">
        <v>29</v>
      </c>
      <c r="N139" t="s">
        <v>27</v>
      </c>
    </row>
    <row r="140" spans="1:15" x14ac:dyDescent="0.2">
      <c r="A140">
        <v>265</v>
      </c>
      <c r="B140" s="3" t="s">
        <v>202</v>
      </c>
      <c r="C140" s="3" t="s">
        <v>78</v>
      </c>
      <c r="D140">
        <v>3</v>
      </c>
      <c r="E140" s="12" t="s">
        <v>201</v>
      </c>
      <c r="F140" t="s">
        <v>288</v>
      </c>
      <c r="G140" s="3">
        <v>6</v>
      </c>
      <c r="H140" t="s">
        <v>52</v>
      </c>
      <c r="I140" t="s">
        <v>26</v>
      </c>
      <c r="J140" t="s">
        <v>27</v>
      </c>
      <c r="K140" t="s">
        <v>37</v>
      </c>
      <c r="L140" t="s">
        <v>33</v>
      </c>
      <c r="M140" t="s">
        <v>38</v>
      </c>
      <c r="N140" t="s">
        <v>27</v>
      </c>
    </row>
    <row r="141" spans="1:15" x14ac:dyDescent="0.2">
      <c r="A141">
        <v>269</v>
      </c>
      <c r="B141" s="3" t="s">
        <v>202</v>
      </c>
      <c r="C141" s="3" t="s">
        <v>78</v>
      </c>
      <c r="D141">
        <v>6</v>
      </c>
      <c r="E141" s="12" t="s">
        <v>82</v>
      </c>
      <c r="F141" t="s">
        <v>284</v>
      </c>
      <c r="G141" s="3">
        <v>2</v>
      </c>
      <c r="H141" t="s">
        <v>31</v>
      </c>
      <c r="I141" t="s">
        <v>26</v>
      </c>
      <c r="J141" t="s">
        <v>27</v>
      </c>
      <c r="K141" t="s">
        <v>37</v>
      </c>
      <c r="L141" t="s">
        <v>33</v>
      </c>
      <c r="M141" t="s">
        <v>38</v>
      </c>
      <c r="N141" t="s">
        <v>27</v>
      </c>
      <c r="O141" t="s">
        <v>208</v>
      </c>
    </row>
    <row r="142" spans="1:15" x14ac:dyDescent="0.2">
      <c r="A142">
        <v>174</v>
      </c>
      <c r="B142" s="3" t="s">
        <v>77</v>
      </c>
      <c r="C142" s="3" t="s">
        <v>218</v>
      </c>
      <c r="D142">
        <v>5</v>
      </c>
      <c r="E142" s="12" t="s">
        <v>50</v>
      </c>
      <c r="F142" t="s">
        <v>63</v>
      </c>
      <c r="G142" s="3">
        <v>5</v>
      </c>
      <c r="H142" t="s">
        <v>31</v>
      </c>
      <c r="I142" t="s">
        <v>26</v>
      </c>
      <c r="J142" t="s">
        <v>27</v>
      </c>
      <c r="K142" t="s">
        <v>37</v>
      </c>
      <c r="L142" t="s">
        <v>33</v>
      </c>
      <c r="M142" t="s">
        <v>29</v>
      </c>
      <c r="N142" t="s">
        <v>27</v>
      </c>
    </row>
    <row r="143" spans="1:15" x14ac:dyDescent="0.2">
      <c r="A143">
        <v>164</v>
      </c>
      <c r="B143" s="3" t="s">
        <v>77</v>
      </c>
      <c r="C143" s="3" t="s">
        <v>178</v>
      </c>
      <c r="D143">
        <v>1</v>
      </c>
      <c r="E143" s="12" t="s">
        <v>177</v>
      </c>
      <c r="F143" t="s">
        <v>260</v>
      </c>
      <c r="G143" s="3">
        <v>9</v>
      </c>
      <c r="H143" t="s">
        <v>31</v>
      </c>
      <c r="I143" t="s">
        <v>26</v>
      </c>
      <c r="J143" t="s">
        <v>27</v>
      </c>
      <c r="K143" t="s">
        <v>37</v>
      </c>
      <c r="L143" t="s">
        <v>33</v>
      </c>
      <c r="M143" t="s">
        <v>31</v>
      </c>
      <c r="N143" t="s">
        <v>27</v>
      </c>
      <c r="O143" t="s">
        <v>43</v>
      </c>
    </row>
    <row r="144" spans="1:15" x14ac:dyDescent="0.2">
      <c r="A144">
        <v>175</v>
      </c>
      <c r="B144" s="3" t="s">
        <v>77</v>
      </c>
      <c r="C144" s="3" t="s">
        <v>220</v>
      </c>
      <c r="D144">
        <v>4</v>
      </c>
      <c r="E144" s="12" t="s">
        <v>152</v>
      </c>
      <c r="F144" t="s">
        <v>276</v>
      </c>
      <c r="G144" s="3">
        <v>3</v>
      </c>
      <c r="H144" t="s">
        <v>38</v>
      </c>
      <c r="I144" t="s">
        <v>42</v>
      </c>
      <c r="J144" t="s">
        <v>27</v>
      </c>
      <c r="K144" t="s">
        <v>37</v>
      </c>
      <c r="L144" t="s">
        <v>33</v>
      </c>
      <c r="M144" t="s">
        <v>31</v>
      </c>
      <c r="N144" t="s">
        <v>27</v>
      </c>
      <c r="O144" t="s">
        <v>219</v>
      </c>
    </row>
    <row r="145" spans="1:15" x14ac:dyDescent="0.2">
      <c r="A145">
        <v>173</v>
      </c>
      <c r="B145" s="3" t="s">
        <v>77</v>
      </c>
      <c r="C145" s="3" t="s">
        <v>78</v>
      </c>
      <c r="D145">
        <v>1</v>
      </c>
      <c r="E145" s="12" t="s">
        <v>82</v>
      </c>
      <c r="F145" t="s">
        <v>284</v>
      </c>
      <c r="G145" s="3">
        <v>10</v>
      </c>
      <c r="H145" t="s">
        <v>52</v>
      </c>
      <c r="I145" t="s">
        <v>26</v>
      </c>
      <c r="J145" t="s">
        <v>27</v>
      </c>
      <c r="K145" t="s">
        <v>37</v>
      </c>
      <c r="L145" t="s">
        <v>33</v>
      </c>
      <c r="M145" t="s">
        <v>31</v>
      </c>
      <c r="N145" t="s">
        <v>27</v>
      </c>
    </row>
    <row r="146" spans="1:15" x14ac:dyDescent="0.2">
      <c r="A146">
        <v>1</v>
      </c>
      <c r="B146" s="3" t="s">
        <v>77</v>
      </c>
      <c r="C146" s="3" t="s">
        <v>78</v>
      </c>
      <c r="D146">
        <v>2</v>
      </c>
      <c r="E146" s="12" t="s">
        <v>75</v>
      </c>
      <c r="F146" t="s">
        <v>297</v>
      </c>
      <c r="G146" s="3">
        <v>45</v>
      </c>
      <c r="H146" t="s">
        <v>52</v>
      </c>
      <c r="I146" t="s">
        <v>26</v>
      </c>
      <c r="J146" t="s">
        <v>27</v>
      </c>
      <c r="K146" t="s">
        <v>37</v>
      </c>
      <c r="L146" t="s">
        <v>33</v>
      </c>
      <c r="M146" t="s">
        <v>29</v>
      </c>
      <c r="N146" t="s">
        <v>27</v>
      </c>
    </row>
    <row r="147" spans="1:15" x14ac:dyDescent="0.2">
      <c r="A147">
        <v>150</v>
      </c>
      <c r="B147" s="3" t="s">
        <v>77</v>
      </c>
      <c r="C147" s="3" t="s">
        <v>78</v>
      </c>
      <c r="D147">
        <v>3</v>
      </c>
      <c r="E147" s="12" t="s">
        <v>75</v>
      </c>
      <c r="F147" t="s">
        <v>297</v>
      </c>
      <c r="G147" s="3">
        <v>40</v>
      </c>
      <c r="H147" t="s">
        <v>31</v>
      </c>
      <c r="I147" t="s">
        <v>26</v>
      </c>
      <c r="J147" t="s">
        <v>27</v>
      </c>
      <c r="K147" t="s">
        <v>37</v>
      </c>
      <c r="L147" t="s">
        <v>33</v>
      </c>
      <c r="M147" t="s">
        <v>29</v>
      </c>
      <c r="N147" t="s">
        <v>27</v>
      </c>
    </row>
    <row r="148" spans="1:15" x14ac:dyDescent="0.2">
      <c r="A148">
        <v>151</v>
      </c>
      <c r="B148" s="3" t="s">
        <v>77</v>
      </c>
      <c r="C148" s="3" t="s">
        <v>78</v>
      </c>
      <c r="D148">
        <v>4</v>
      </c>
      <c r="E148" s="12" t="s">
        <v>75</v>
      </c>
      <c r="F148" t="s">
        <v>297</v>
      </c>
      <c r="G148" s="3">
        <v>40</v>
      </c>
      <c r="H148" t="s">
        <v>31</v>
      </c>
      <c r="I148" t="s">
        <v>26</v>
      </c>
      <c r="J148" t="s">
        <v>27</v>
      </c>
      <c r="K148" t="s">
        <v>37</v>
      </c>
      <c r="L148" t="s">
        <v>33</v>
      </c>
      <c r="M148" t="s">
        <v>29</v>
      </c>
      <c r="N148" t="s">
        <v>27</v>
      </c>
    </row>
    <row r="149" spans="1:15" x14ac:dyDescent="0.2">
      <c r="A149">
        <v>152</v>
      </c>
      <c r="B149" s="3" t="s">
        <v>77</v>
      </c>
      <c r="C149" s="3" t="s">
        <v>78</v>
      </c>
      <c r="D149">
        <v>5</v>
      </c>
      <c r="E149" s="12" t="s">
        <v>50</v>
      </c>
      <c r="F149" t="s">
        <v>63</v>
      </c>
      <c r="G149" s="3">
        <v>5</v>
      </c>
      <c r="H149" t="s">
        <v>52</v>
      </c>
      <c r="I149" t="s">
        <v>26</v>
      </c>
      <c r="J149" t="s">
        <v>27</v>
      </c>
      <c r="K149" t="s">
        <v>37</v>
      </c>
      <c r="L149" t="s">
        <v>33</v>
      </c>
      <c r="M149" t="s">
        <v>29</v>
      </c>
      <c r="N149" t="s">
        <v>27</v>
      </c>
    </row>
    <row r="150" spans="1:15" x14ac:dyDescent="0.2">
      <c r="A150">
        <v>153</v>
      </c>
      <c r="B150" s="3" t="s">
        <v>77</v>
      </c>
      <c r="C150" s="3" t="s">
        <v>78</v>
      </c>
      <c r="D150">
        <v>6</v>
      </c>
      <c r="E150" s="12" t="s">
        <v>94</v>
      </c>
      <c r="F150" t="s">
        <v>290</v>
      </c>
      <c r="G150" s="3">
        <v>18</v>
      </c>
      <c r="H150" t="s">
        <v>31</v>
      </c>
      <c r="I150" t="s">
        <v>26</v>
      </c>
      <c r="J150" t="s">
        <v>27</v>
      </c>
      <c r="K150" t="s">
        <v>37</v>
      </c>
      <c r="L150" t="s">
        <v>33</v>
      </c>
      <c r="M150" t="s">
        <v>29</v>
      </c>
      <c r="N150" t="s">
        <v>27</v>
      </c>
    </row>
    <row r="151" spans="1:15" x14ac:dyDescent="0.2">
      <c r="A151">
        <v>154</v>
      </c>
      <c r="B151" s="3" t="s">
        <v>77</v>
      </c>
      <c r="C151" s="3" t="s">
        <v>78</v>
      </c>
      <c r="D151">
        <v>7</v>
      </c>
      <c r="E151" s="12" t="s">
        <v>171</v>
      </c>
      <c r="F151" t="s">
        <v>281</v>
      </c>
      <c r="G151" s="3">
        <v>16</v>
      </c>
      <c r="H151" t="s">
        <v>31</v>
      </c>
      <c r="I151" t="s">
        <v>26</v>
      </c>
      <c r="J151" t="s">
        <v>27</v>
      </c>
      <c r="K151" t="s">
        <v>37</v>
      </c>
      <c r="L151" t="s">
        <v>33</v>
      </c>
      <c r="M151" t="s">
        <v>31</v>
      </c>
      <c r="N151" t="s">
        <v>27</v>
      </c>
    </row>
    <row r="152" spans="1:15" x14ac:dyDescent="0.2">
      <c r="A152">
        <v>155</v>
      </c>
      <c r="B152" s="3" t="s">
        <v>77</v>
      </c>
      <c r="C152" s="3" t="s">
        <v>78</v>
      </c>
      <c r="D152">
        <v>8</v>
      </c>
      <c r="E152" s="12" t="s">
        <v>173</v>
      </c>
      <c r="F152" t="s">
        <v>270</v>
      </c>
      <c r="G152" s="3">
        <v>12</v>
      </c>
      <c r="H152" t="s">
        <v>25</v>
      </c>
      <c r="I152" t="s">
        <v>26</v>
      </c>
      <c r="J152" t="s">
        <v>27</v>
      </c>
      <c r="K152" t="s">
        <v>37</v>
      </c>
      <c r="L152" t="s">
        <v>33</v>
      </c>
      <c r="M152" t="s">
        <v>29</v>
      </c>
      <c r="N152" t="s">
        <v>27</v>
      </c>
      <c r="O152" t="s">
        <v>172</v>
      </c>
    </row>
    <row r="153" spans="1:15" x14ac:dyDescent="0.2">
      <c r="A153">
        <v>307</v>
      </c>
      <c r="B153" s="3" t="s">
        <v>238</v>
      </c>
      <c r="C153" s="3" t="s">
        <v>78</v>
      </c>
      <c r="D153">
        <v>1</v>
      </c>
      <c r="E153" s="12" t="s">
        <v>201</v>
      </c>
      <c r="F153" t="s">
        <v>288</v>
      </c>
      <c r="G153" s="3">
        <v>3</v>
      </c>
      <c r="H153" t="s">
        <v>52</v>
      </c>
      <c r="I153" t="s">
        <v>26</v>
      </c>
      <c r="J153" t="s">
        <v>27</v>
      </c>
      <c r="K153" t="s">
        <v>37</v>
      </c>
      <c r="L153" t="s">
        <v>33</v>
      </c>
      <c r="M153" t="s">
        <v>31</v>
      </c>
      <c r="N153" t="s">
        <v>27</v>
      </c>
    </row>
    <row r="154" spans="1:15" x14ac:dyDescent="0.2">
      <c r="A154">
        <v>308</v>
      </c>
      <c r="B154" s="3" t="s">
        <v>238</v>
      </c>
      <c r="C154" s="3" t="s">
        <v>78</v>
      </c>
      <c r="D154">
        <v>2</v>
      </c>
      <c r="E154" s="12" t="s">
        <v>201</v>
      </c>
      <c r="F154" t="s">
        <v>288</v>
      </c>
      <c r="G154" s="3">
        <v>3</v>
      </c>
      <c r="H154" t="s">
        <v>52</v>
      </c>
      <c r="I154" t="s">
        <v>26</v>
      </c>
      <c r="J154" t="s">
        <v>27</v>
      </c>
      <c r="K154" t="s">
        <v>37</v>
      </c>
      <c r="L154" t="s">
        <v>33</v>
      </c>
      <c r="M154" t="s">
        <v>31</v>
      </c>
      <c r="N154" t="s">
        <v>27</v>
      </c>
    </row>
    <row r="155" spans="1:15" x14ac:dyDescent="0.2">
      <c r="A155">
        <v>309</v>
      </c>
      <c r="B155" s="3" t="s">
        <v>238</v>
      </c>
      <c r="C155" s="3" t="s">
        <v>78</v>
      </c>
      <c r="D155">
        <v>3</v>
      </c>
      <c r="E155" s="12" t="s">
        <v>201</v>
      </c>
      <c r="F155" t="s">
        <v>288</v>
      </c>
      <c r="G155" s="3">
        <v>3</v>
      </c>
      <c r="H155" t="s">
        <v>52</v>
      </c>
      <c r="I155" t="s">
        <v>26</v>
      </c>
      <c r="J155" t="s">
        <v>27</v>
      </c>
      <c r="K155" t="s">
        <v>37</v>
      </c>
      <c r="L155" t="s">
        <v>33</v>
      </c>
      <c r="M155" t="s">
        <v>31</v>
      </c>
      <c r="N155" t="s">
        <v>27</v>
      </c>
    </row>
    <row r="156" spans="1:15" x14ac:dyDescent="0.2">
      <c r="A156">
        <v>310</v>
      </c>
      <c r="B156" s="3" t="s">
        <v>238</v>
      </c>
      <c r="C156" s="3" t="s">
        <v>78</v>
      </c>
      <c r="D156">
        <v>4</v>
      </c>
      <c r="E156" s="12" t="s">
        <v>201</v>
      </c>
      <c r="F156" t="s">
        <v>288</v>
      </c>
      <c r="G156" s="3">
        <v>3</v>
      </c>
      <c r="H156" t="s">
        <v>52</v>
      </c>
      <c r="I156" t="s">
        <v>26</v>
      </c>
      <c r="J156" t="s">
        <v>27</v>
      </c>
      <c r="K156" t="s">
        <v>37</v>
      </c>
      <c r="L156" t="s">
        <v>33</v>
      </c>
      <c r="M156" t="s">
        <v>31</v>
      </c>
      <c r="N156" t="s">
        <v>27</v>
      </c>
    </row>
    <row r="157" spans="1:15" x14ac:dyDescent="0.2">
      <c r="A157">
        <v>311</v>
      </c>
      <c r="B157" s="3" t="s">
        <v>238</v>
      </c>
      <c r="C157" s="3" t="s">
        <v>78</v>
      </c>
      <c r="D157">
        <v>5</v>
      </c>
      <c r="E157" s="12" t="s">
        <v>201</v>
      </c>
      <c r="F157" t="s">
        <v>288</v>
      </c>
      <c r="G157" s="3">
        <v>3</v>
      </c>
      <c r="H157" t="s">
        <v>52</v>
      </c>
      <c r="I157" t="s">
        <v>26</v>
      </c>
      <c r="J157" t="s">
        <v>27</v>
      </c>
      <c r="K157" t="s">
        <v>37</v>
      </c>
      <c r="L157" t="s">
        <v>33</v>
      </c>
      <c r="M157" t="s">
        <v>31</v>
      </c>
      <c r="N157" t="s">
        <v>27</v>
      </c>
    </row>
    <row r="158" spans="1:15" x14ac:dyDescent="0.2">
      <c r="A158">
        <v>312</v>
      </c>
      <c r="B158" s="3" t="s">
        <v>238</v>
      </c>
      <c r="C158" s="3" t="s">
        <v>78</v>
      </c>
      <c r="D158">
        <v>6</v>
      </c>
      <c r="E158" s="12" t="s">
        <v>201</v>
      </c>
      <c r="F158" t="s">
        <v>288</v>
      </c>
      <c r="G158" s="3">
        <v>3</v>
      </c>
      <c r="H158" t="s">
        <v>52</v>
      </c>
      <c r="I158" t="s">
        <v>26</v>
      </c>
      <c r="J158" t="s">
        <v>27</v>
      </c>
      <c r="K158" t="s">
        <v>37</v>
      </c>
      <c r="L158" t="s">
        <v>33</v>
      </c>
      <c r="M158" t="s">
        <v>31</v>
      </c>
      <c r="N158" t="s">
        <v>27</v>
      </c>
    </row>
    <row r="159" spans="1:15" x14ac:dyDescent="0.2">
      <c r="A159">
        <v>313</v>
      </c>
      <c r="B159" s="3" t="s">
        <v>238</v>
      </c>
      <c r="C159" s="3" t="s">
        <v>78</v>
      </c>
      <c r="D159">
        <v>7</v>
      </c>
      <c r="E159" s="12" t="s">
        <v>201</v>
      </c>
      <c r="F159" t="s">
        <v>288</v>
      </c>
      <c r="G159" s="3">
        <v>3</v>
      </c>
      <c r="H159" t="s">
        <v>52</v>
      </c>
      <c r="I159" t="s">
        <v>26</v>
      </c>
      <c r="J159" t="s">
        <v>27</v>
      </c>
      <c r="K159" t="s">
        <v>37</v>
      </c>
      <c r="L159" t="s">
        <v>33</v>
      </c>
      <c r="M159" t="s">
        <v>31</v>
      </c>
      <c r="N159" t="s">
        <v>27</v>
      </c>
    </row>
    <row r="160" spans="1:15" x14ac:dyDescent="0.2">
      <c r="A160">
        <v>314</v>
      </c>
      <c r="B160" s="3" t="s">
        <v>238</v>
      </c>
      <c r="C160" s="3" t="s">
        <v>78</v>
      </c>
      <c r="D160">
        <v>8</v>
      </c>
      <c r="E160" s="12" t="s">
        <v>75</v>
      </c>
      <c r="F160" t="s">
        <v>297</v>
      </c>
      <c r="G160" s="3">
        <v>30</v>
      </c>
      <c r="H160" t="s">
        <v>52</v>
      </c>
      <c r="I160" t="s">
        <v>26</v>
      </c>
      <c r="J160" t="s">
        <v>27</v>
      </c>
      <c r="K160" t="s">
        <v>37</v>
      </c>
      <c r="L160" t="s">
        <v>33</v>
      </c>
      <c r="M160" t="s">
        <v>31</v>
      </c>
      <c r="N160" t="s">
        <v>27</v>
      </c>
    </row>
    <row r="161" spans="1:15" x14ac:dyDescent="0.2">
      <c r="A161">
        <v>315</v>
      </c>
      <c r="B161" s="3" t="s">
        <v>238</v>
      </c>
      <c r="C161" s="3" t="s">
        <v>78</v>
      </c>
      <c r="D161">
        <v>9</v>
      </c>
      <c r="E161" s="12" t="s">
        <v>94</v>
      </c>
      <c r="F161" t="s">
        <v>290</v>
      </c>
      <c r="G161" s="3">
        <v>4</v>
      </c>
      <c r="H161" t="s">
        <v>31</v>
      </c>
      <c r="I161" t="s">
        <v>26</v>
      </c>
      <c r="J161" t="s">
        <v>27</v>
      </c>
      <c r="K161" t="s">
        <v>37</v>
      </c>
      <c r="L161" t="s">
        <v>33</v>
      </c>
      <c r="M161" t="s">
        <v>25</v>
      </c>
      <c r="N161" t="s">
        <v>27</v>
      </c>
    </row>
    <row r="162" spans="1:15" x14ac:dyDescent="0.2">
      <c r="A162">
        <v>316</v>
      </c>
      <c r="B162" s="3" t="s">
        <v>238</v>
      </c>
      <c r="C162" s="3" t="s">
        <v>78</v>
      </c>
      <c r="D162">
        <v>10</v>
      </c>
      <c r="E162" s="12" t="s">
        <v>94</v>
      </c>
      <c r="F162" t="s">
        <v>290</v>
      </c>
      <c r="G162" s="3">
        <v>12</v>
      </c>
      <c r="H162" t="s">
        <v>31</v>
      </c>
      <c r="I162" t="s">
        <v>26</v>
      </c>
      <c r="J162" t="s">
        <v>27</v>
      </c>
      <c r="K162" t="s">
        <v>37</v>
      </c>
      <c r="L162" t="s">
        <v>33</v>
      </c>
      <c r="M162" t="s">
        <v>31</v>
      </c>
      <c r="N162" t="s">
        <v>27</v>
      </c>
    </row>
    <row r="163" spans="1:15" x14ac:dyDescent="0.2">
      <c r="A163">
        <v>317</v>
      </c>
      <c r="B163" s="3" t="s">
        <v>238</v>
      </c>
      <c r="C163" s="3" t="s">
        <v>78</v>
      </c>
      <c r="D163">
        <v>11</v>
      </c>
      <c r="E163" s="12" t="s">
        <v>119</v>
      </c>
      <c r="F163" t="s">
        <v>286</v>
      </c>
      <c r="G163" s="3">
        <v>2</v>
      </c>
      <c r="H163" t="s">
        <v>25</v>
      </c>
      <c r="I163" t="s">
        <v>26</v>
      </c>
      <c r="J163" t="s">
        <v>27</v>
      </c>
      <c r="K163" t="s">
        <v>37</v>
      </c>
      <c r="L163" t="s">
        <v>33</v>
      </c>
      <c r="M163" t="s">
        <v>25</v>
      </c>
      <c r="N163" t="s">
        <v>27</v>
      </c>
    </row>
    <row r="164" spans="1:15" x14ac:dyDescent="0.2">
      <c r="A164">
        <v>318</v>
      </c>
      <c r="B164" s="3" t="s">
        <v>238</v>
      </c>
      <c r="C164" s="3" t="s">
        <v>78</v>
      </c>
      <c r="D164">
        <v>12</v>
      </c>
      <c r="E164" s="12" t="s">
        <v>152</v>
      </c>
      <c r="F164" t="s">
        <v>276</v>
      </c>
      <c r="G164" s="3">
        <v>2</v>
      </c>
      <c r="H164" t="s">
        <v>38</v>
      </c>
      <c r="I164" t="s">
        <v>42</v>
      </c>
      <c r="J164" t="s">
        <v>27</v>
      </c>
      <c r="K164" t="s">
        <v>37</v>
      </c>
      <c r="L164" t="s">
        <v>33</v>
      </c>
      <c r="M164" t="s">
        <v>25</v>
      </c>
      <c r="N164" t="s">
        <v>27</v>
      </c>
      <c r="O164" t="s">
        <v>256</v>
      </c>
    </row>
    <row r="165" spans="1:15" x14ac:dyDescent="0.2">
      <c r="A165">
        <v>319</v>
      </c>
      <c r="B165" s="3" t="s">
        <v>238</v>
      </c>
      <c r="C165" s="3" t="s">
        <v>78</v>
      </c>
      <c r="D165">
        <v>13</v>
      </c>
      <c r="E165" s="12" t="s">
        <v>177</v>
      </c>
      <c r="F165" t="s">
        <v>260</v>
      </c>
      <c r="G165" s="3">
        <v>2</v>
      </c>
      <c r="H165" t="s">
        <v>31</v>
      </c>
      <c r="I165" t="s">
        <v>26</v>
      </c>
      <c r="J165" t="s">
        <v>27</v>
      </c>
      <c r="K165" t="s">
        <v>37</v>
      </c>
      <c r="L165" t="s">
        <v>33</v>
      </c>
      <c r="M165" t="s">
        <v>31</v>
      </c>
      <c r="N165" t="s">
        <v>27</v>
      </c>
    </row>
    <row r="166" spans="1:15" x14ac:dyDescent="0.2">
      <c r="A166">
        <v>320</v>
      </c>
      <c r="B166" s="3" t="s">
        <v>238</v>
      </c>
      <c r="C166" s="3" t="s">
        <v>78</v>
      </c>
      <c r="D166">
        <v>14</v>
      </c>
      <c r="E166" s="12" t="s">
        <v>177</v>
      </c>
      <c r="F166" t="s">
        <v>260</v>
      </c>
      <c r="G166" s="3">
        <v>2</v>
      </c>
      <c r="H166" t="s">
        <v>31</v>
      </c>
      <c r="I166" t="s">
        <v>26</v>
      </c>
      <c r="J166" t="s">
        <v>27</v>
      </c>
      <c r="K166" t="s">
        <v>37</v>
      </c>
      <c r="L166" t="s">
        <v>33</v>
      </c>
      <c r="M166" t="s">
        <v>31</v>
      </c>
      <c r="N166" t="s">
        <v>27</v>
      </c>
    </row>
    <row r="167" spans="1:15" x14ac:dyDescent="0.2">
      <c r="A167">
        <v>321</v>
      </c>
      <c r="B167" s="3" t="s">
        <v>238</v>
      </c>
      <c r="C167" s="3" t="s">
        <v>78</v>
      </c>
      <c r="D167">
        <v>15</v>
      </c>
      <c r="E167" s="12" t="s">
        <v>146</v>
      </c>
      <c r="F167" t="s">
        <v>280</v>
      </c>
      <c r="G167" s="3">
        <v>2</v>
      </c>
      <c r="H167" t="s">
        <v>31</v>
      </c>
      <c r="I167" t="s">
        <v>26</v>
      </c>
      <c r="J167" t="s">
        <v>27</v>
      </c>
      <c r="K167" t="s">
        <v>37</v>
      </c>
      <c r="L167" t="s">
        <v>33</v>
      </c>
      <c r="M167" t="s">
        <v>31</v>
      </c>
      <c r="N167" t="s">
        <v>27</v>
      </c>
    </row>
    <row r="168" spans="1:15" x14ac:dyDescent="0.2">
      <c r="A168">
        <v>323</v>
      </c>
      <c r="B168" s="3" t="s">
        <v>238</v>
      </c>
      <c r="C168" s="3" t="s">
        <v>78</v>
      </c>
      <c r="D168">
        <v>17</v>
      </c>
      <c r="E168" s="12" t="s">
        <v>257</v>
      </c>
      <c r="F168" t="s">
        <v>279</v>
      </c>
      <c r="G168" s="3">
        <v>1</v>
      </c>
      <c r="H168" t="s">
        <v>52</v>
      </c>
      <c r="I168" t="s">
        <v>26</v>
      </c>
      <c r="J168" t="s">
        <v>27</v>
      </c>
      <c r="K168" t="s">
        <v>37</v>
      </c>
      <c r="L168" t="s">
        <v>33</v>
      </c>
      <c r="M168" t="s">
        <v>31</v>
      </c>
      <c r="N168" t="s">
        <v>27</v>
      </c>
    </row>
    <row r="169" spans="1:15" x14ac:dyDescent="0.2">
      <c r="A169">
        <v>324</v>
      </c>
      <c r="B169" s="3" t="s">
        <v>238</v>
      </c>
      <c r="C169" s="3" t="s">
        <v>78</v>
      </c>
      <c r="D169">
        <v>18</v>
      </c>
      <c r="E169" s="12" t="s">
        <v>257</v>
      </c>
      <c r="F169" t="s">
        <v>279</v>
      </c>
      <c r="G169" s="3">
        <v>1</v>
      </c>
      <c r="H169" t="s">
        <v>52</v>
      </c>
      <c r="I169" t="s">
        <v>26</v>
      </c>
      <c r="J169" t="s">
        <v>27</v>
      </c>
      <c r="K169" t="s">
        <v>37</v>
      </c>
      <c r="L169" t="s">
        <v>33</v>
      </c>
      <c r="M169" t="s">
        <v>31</v>
      </c>
      <c r="N169" t="s">
        <v>27</v>
      </c>
    </row>
    <row r="170" spans="1:15" x14ac:dyDescent="0.2">
      <c r="A170">
        <v>325</v>
      </c>
      <c r="B170" s="3" t="s">
        <v>238</v>
      </c>
      <c r="C170" s="3" t="s">
        <v>78</v>
      </c>
      <c r="D170">
        <v>19</v>
      </c>
      <c r="E170" s="12" t="s">
        <v>257</v>
      </c>
      <c r="F170" t="s">
        <v>279</v>
      </c>
      <c r="G170" s="3">
        <v>1</v>
      </c>
      <c r="H170" t="s">
        <v>52</v>
      </c>
      <c r="I170" t="s">
        <v>26</v>
      </c>
      <c r="J170" t="s">
        <v>27</v>
      </c>
      <c r="K170" t="s">
        <v>37</v>
      </c>
      <c r="L170" t="s">
        <v>33</v>
      </c>
      <c r="M170" t="s">
        <v>31</v>
      </c>
      <c r="N170" t="s">
        <v>27</v>
      </c>
    </row>
    <row r="171" spans="1:15" x14ac:dyDescent="0.2">
      <c r="A171">
        <v>326</v>
      </c>
      <c r="B171" s="3" t="s">
        <v>238</v>
      </c>
      <c r="C171" s="3" t="s">
        <v>78</v>
      </c>
      <c r="D171">
        <v>20</v>
      </c>
      <c r="E171" s="12" t="s">
        <v>257</v>
      </c>
      <c r="F171" t="s">
        <v>279</v>
      </c>
      <c r="G171" s="3">
        <v>1</v>
      </c>
      <c r="H171" t="s">
        <v>52</v>
      </c>
      <c r="I171" t="s">
        <v>26</v>
      </c>
      <c r="J171" t="s">
        <v>27</v>
      </c>
      <c r="K171" t="s">
        <v>37</v>
      </c>
      <c r="L171" t="s">
        <v>33</v>
      </c>
      <c r="M171" t="s">
        <v>31</v>
      </c>
      <c r="N171" t="s">
        <v>27</v>
      </c>
    </row>
    <row r="172" spans="1:15" x14ac:dyDescent="0.2">
      <c r="A172">
        <v>327</v>
      </c>
      <c r="B172" s="3" t="s">
        <v>238</v>
      </c>
      <c r="C172" s="3" t="s">
        <v>78</v>
      </c>
      <c r="D172">
        <v>21</v>
      </c>
      <c r="E172" s="12" t="s">
        <v>257</v>
      </c>
      <c r="F172" t="s">
        <v>279</v>
      </c>
      <c r="G172" s="3">
        <v>1</v>
      </c>
      <c r="H172" t="s">
        <v>52</v>
      </c>
      <c r="I172" t="s">
        <v>26</v>
      </c>
      <c r="J172" t="s">
        <v>27</v>
      </c>
      <c r="K172" t="s">
        <v>37</v>
      </c>
      <c r="L172" t="s">
        <v>33</v>
      </c>
      <c r="M172" t="s">
        <v>31</v>
      </c>
      <c r="N172" t="s">
        <v>27</v>
      </c>
    </row>
    <row r="173" spans="1:15" x14ac:dyDescent="0.2">
      <c r="A173">
        <v>328</v>
      </c>
      <c r="B173" s="3" t="s">
        <v>238</v>
      </c>
      <c r="C173" s="3" t="s">
        <v>78</v>
      </c>
      <c r="D173">
        <v>22</v>
      </c>
      <c r="E173" s="12" t="s">
        <v>201</v>
      </c>
      <c r="F173" t="s">
        <v>288</v>
      </c>
      <c r="G173" s="3">
        <v>6</v>
      </c>
      <c r="H173" t="s">
        <v>52</v>
      </c>
      <c r="I173" t="s">
        <v>26</v>
      </c>
      <c r="J173" t="s">
        <v>27</v>
      </c>
      <c r="K173" t="s">
        <v>37</v>
      </c>
      <c r="L173" t="s">
        <v>33</v>
      </c>
      <c r="M173" t="s">
        <v>31</v>
      </c>
      <c r="N173" t="s">
        <v>27</v>
      </c>
    </row>
    <row r="174" spans="1:15" x14ac:dyDescent="0.2">
      <c r="A174">
        <v>329</v>
      </c>
      <c r="B174" s="3" t="s">
        <v>238</v>
      </c>
      <c r="C174" s="3" t="s">
        <v>78</v>
      </c>
      <c r="D174">
        <v>23</v>
      </c>
      <c r="E174" s="12" t="s">
        <v>201</v>
      </c>
      <c r="F174" t="s">
        <v>288</v>
      </c>
      <c r="G174" s="3">
        <v>6</v>
      </c>
      <c r="H174" t="s">
        <v>52</v>
      </c>
      <c r="I174" t="s">
        <v>26</v>
      </c>
      <c r="J174" t="s">
        <v>27</v>
      </c>
      <c r="K174" t="s">
        <v>37</v>
      </c>
      <c r="L174" t="s">
        <v>33</v>
      </c>
      <c r="M174" t="s">
        <v>31</v>
      </c>
      <c r="N174" t="s">
        <v>27</v>
      </c>
    </row>
    <row r="175" spans="1:15" x14ac:dyDescent="0.2">
      <c r="A175">
        <v>330</v>
      </c>
      <c r="B175" s="3" t="s">
        <v>238</v>
      </c>
      <c r="C175" s="3" t="s">
        <v>78</v>
      </c>
      <c r="D175">
        <v>24</v>
      </c>
      <c r="E175" s="12" t="s">
        <v>201</v>
      </c>
      <c r="F175" t="s">
        <v>288</v>
      </c>
      <c r="G175" s="3">
        <v>6</v>
      </c>
      <c r="H175" t="s">
        <v>52</v>
      </c>
      <c r="I175" t="s">
        <v>26</v>
      </c>
      <c r="J175" t="s">
        <v>27</v>
      </c>
      <c r="K175" t="s">
        <v>37</v>
      </c>
      <c r="L175" t="s">
        <v>33</v>
      </c>
      <c r="M175" t="s">
        <v>31</v>
      </c>
      <c r="N175" t="s">
        <v>27</v>
      </c>
    </row>
    <row r="176" spans="1:15" x14ac:dyDescent="0.2">
      <c r="A176">
        <v>331</v>
      </c>
      <c r="B176" s="3" t="s">
        <v>238</v>
      </c>
      <c r="C176" s="3" t="s">
        <v>78</v>
      </c>
      <c r="D176">
        <v>25</v>
      </c>
      <c r="E176" s="12" t="s">
        <v>201</v>
      </c>
      <c r="F176" t="s">
        <v>288</v>
      </c>
      <c r="G176" s="3">
        <v>6</v>
      </c>
      <c r="H176" t="s">
        <v>52</v>
      </c>
      <c r="I176" t="s">
        <v>26</v>
      </c>
      <c r="J176" t="s">
        <v>27</v>
      </c>
      <c r="K176" t="s">
        <v>37</v>
      </c>
      <c r="L176" t="s">
        <v>33</v>
      </c>
      <c r="M176" t="s">
        <v>31</v>
      </c>
      <c r="N176" t="s">
        <v>27</v>
      </c>
    </row>
    <row r="177" spans="1:15" x14ac:dyDescent="0.2">
      <c r="A177">
        <v>332</v>
      </c>
      <c r="B177" s="3" t="s">
        <v>238</v>
      </c>
      <c r="C177" s="3" t="s">
        <v>78</v>
      </c>
      <c r="D177">
        <v>26</v>
      </c>
      <c r="E177" s="12" t="s">
        <v>201</v>
      </c>
      <c r="F177" t="s">
        <v>288</v>
      </c>
      <c r="G177" s="3">
        <v>6</v>
      </c>
      <c r="H177" t="s">
        <v>52</v>
      </c>
      <c r="I177" t="s">
        <v>26</v>
      </c>
      <c r="J177" t="s">
        <v>27</v>
      </c>
      <c r="K177" t="s">
        <v>37</v>
      </c>
      <c r="L177" t="s">
        <v>33</v>
      </c>
      <c r="M177" t="s">
        <v>31</v>
      </c>
      <c r="N177" t="s">
        <v>27</v>
      </c>
    </row>
    <row r="178" spans="1:15" x14ac:dyDescent="0.2">
      <c r="A178">
        <v>333</v>
      </c>
      <c r="B178" s="3" t="s">
        <v>238</v>
      </c>
      <c r="C178" s="3" t="s">
        <v>78</v>
      </c>
      <c r="D178">
        <v>27</v>
      </c>
      <c r="E178" s="12" t="s">
        <v>201</v>
      </c>
      <c r="F178" t="s">
        <v>288</v>
      </c>
      <c r="G178" s="3">
        <v>6</v>
      </c>
      <c r="H178" t="s">
        <v>52</v>
      </c>
      <c r="I178" t="s">
        <v>26</v>
      </c>
      <c r="J178" t="s">
        <v>27</v>
      </c>
      <c r="K178" t="s">
        <v>37</v>
      </c>
      <c r="L178" t="s">
        <v>33</v>
      </c>
      <c r="M178" t="s">
        <v>31</v>
      </c>
      <c r="N178" t="s">
        <v>27</v>
      </c>
    </row>
    <row r="179" spans="1:15" x14ac:dyDescent="0.2">
      <c r="A179">
        <v>334</v>
      </c>
      <c r="B179" s="3" t="s">
        <v>238</v>
      </c>
      <c r="C179" s="3" t="s">
        <v>78</v>
      </c>
      <c r="D179">
        <v>28</v>
      </c>
      <c r="E179" s="12" t="s">
        <v>201</v>
      </c>
      <c r="F179" t="s">
        <v>288</v>
      </c>
      <c r="G179" s="3">
        <v>6</v>
      </c>
      <c r="H179" t="s">
        <v>52</v>
      </c>
      <c r="I179" t="s">
        <v>26</v>
      </c>
      <c r="J179" t="s">
        <v>27</v>
      </c>
      <c r="K179" t="s">
        <v>37</v>
      </c>
      <c r="L179" t="s">
        <v>33</v>
      </c>
      <c r="M179" t="s">
        <v>31</v>
      </c>
      <c r="N179" t="s">
        <v>27</v>
      </c>
    </row>
    <row r="180" spans="1:15" x14ac:dyDescent="0.2">
      <c r="A180">
        <v>335</v>
      </c>
      <c r="B180" s="3" t="s">
        <v>238</v>
      </c>
      <c r="C180" s="3" t="s">
        <v>78</v>
      </c>
      <c r="D180">
        <v>29</v>
      </c>
      <c r="E180" s="12" t="s">
        <v>201</v>
      </c>
      <c r="F180" t="s">
        <v>288</v>
      </c>
      <c r="G180" s="3">
        <v>6</v>
      </c>
      <c r="H180" t="s">
        <v>52</v>
      </c>
      <c r="I180" t="s">
        <v>26</v>
      </c>
      <c r="J180" t="s">
        <v>27</v>
      </c>
      <c r="K180" t="s">
        <v>37</v>
      </c>
      <c r="L180" t="s">
        <v>33</v>
      </c>
      <c r="M180" t="s">
        <v>31</v>
      </c>
      <c r="N180" t="s">
        <v>27</v>
      </c>
    </row>
    <row r="181" spans="1:15" x14ac:dyDescent="0.2">
      <c r="A181">
        <v>336</v>
      </c>
      <c r="B181" s="3" t="s">
        <v>238</v>
      </c>
      <c r="C181" s="3" t="s">
        <v>78</v>
      </c>
      <c r="D181">
        <v>30</v>
      </c>
      <c r="E181" s="12" t="s">
        <v>201</v>
      </c>
      <c r="F181" t="s">
        <v>288</v>
      </c>
      <c r="G181" s="3">
        <v>6</v>
      </c>
      <c r="H181" t="s">
        <v>52</v>
      </c>
      <c r="I181" t="s">
        <v>26</v>
      </c>
      <c r="J181" t="s">
        <v>27</v>
      </c>
      <c r="K181" t="s">
        <v>37</v>
      </c>
      <c r="L181" t="s">
        <v>33</v>
      </c>
      <c r="M181" t="s">
        <v>31</v>
      </c>
      <c r="N181" t="s">
        <v>27</v>
      </c>
    </row>
    <row r="182" spans="1:15" x14ac:dyDescent="0.2">
      <c r="A182">
        <v>337</v>
      </c>
      <c r="B182" s="3" t="s">
        <v>238</v>
      </c>
      <c r="C182" s="3" t="s">
        <v>78</v>
      </c>
      <c r="D182">
        <v>31</v>
      </c>
      <c r="E182" s="12" t="s">
        <v>201</v>
      </c>
      <c r="F182" t="s">
        <v>288</v>
      </c>
      <c r="G182" s="3">
        <v>6</v>
      </c>
      <c r="H182" t="s">
        <v>52</v>
      </c>
      <c r="I182" t="s">
        <v>26</v>
      </c>
      <c r="J182" t="s">
        <v>27</v>
      </c>
      <c r="K182" t="s">
        <v>37</v>
      </c>
      <c r="L182" t="s">
        <v>33</v>
      </c>
      <c r="M182" t="s">
        <v>31</v>
      </c>
      <c r="N182" t="s">
        <v>27</v>
      </c>
    </row>
    <row r="183" spans="1:15" x14ac:dyDescent="0.2">
      <c r="A183">
        <v>338</v>
      </c>
      <c r="B183" s="3" t="s">
        <v>238</v>
      </c>
      <c r="C183" s="3" t="s">
        <v>78</v>
      </c>
      <c r="D183">
        <v>32</v>
      </c>
      <c r="E183" s="12" t="s">
        <v>114</v>
      </c>
      <c r="F183" t="s">
        <v>268</v>
      </c>
      <c r="G183" s="3">
        <v>5</v>
      </c>
      <c r="H183" t="s">
        <v>31</v>
      </c>
      <c r="I183" t="s">
        <v>26</v>
      </c>
      <c r="J183" t="s">
        <v>27</v>
      </c>
      <c r="K183" t="s">
        <v>37</v>
      </c>
      <c r="L183" t="s">
        <v>33</v>
      </c>
      <c r="M183" t="s">
        <v>31</v>
      </c>
      <c r="N183" t="s">
        <v>27</v>
      </c>
    </row>
    <row r="184" spans="1:15" x14ac:dyDescent="0.2">
      <c r="A184">
        <v>339</v>
      </c>
      <c r="B184" s="3" t="s">
        <v>238</v>
      </c>
      <c r="C184" s="3" t="s">
        <v>78</v>
      </c>
      <c r="D184">
        <v>33</v>
      </c>
      <c r="E184" s="12" t="s">
        <v>258</v>
      </c>
      <c r="F184" t="s">
        <v>282</v>
      </c>
      <c r="G184" s="3">
        <v>5</v>
      </c>
      <c r="H184" t="s">
        <v>52</v>
      </c>
      <c r="I184" t="s">
        <v>26</v>
      </c>
      <c r="J184" t="s">
        <v>27</v>
      </c>
      <c r="K184" t="s">
        <v>37</v>
      </c>
      <c r="L184" t="s">
        <v>33</v>
      </c>
      <c r="M184" t="s">
        <v>31</v>
      </c>
      <c r="N184" t="s">
        <v>27</v>
      </c>
    </row>
    <row r="185" spans="1:15" x14ac:dyDescent="0.2">
      <c r="A185">
        <v>340</v>
      </c>
      <c r="B185" s="3" t="s">
        <v>238</v>
      </c>
      <c r="C185" s="3" t="s">
        <v>78</v>
      </c>
      <c r="D185">
        <v>34</v>
      </c>
      <c r="E185" s="12" t="s">
        <v>45</v>
      </c>
      <c r="F185" t="s">
        <v>283</v>
      </c>
      <c r="G185" s="3">
        <v>3</v>
      </c>
      <c r="H185" t="s">
        <v>31</v>
      </c>
      <c r="I185" t="s">
        <v>26</v>
      </c>
      <c r="J185" t="s">
        <v>27</v>
      </c>
      <c r="K185" t="s">
        <v>37</v>
      </c>
      <c r="L185" t="s">
        <v>33</v>
      </c>
      <c r="M185" t="s">
        <v>31</v>
      </c>
      <c r="N185" t="s">
        <v>27</v>
      </c>
    </row>
    <row r="186" spans="1:15" x14ac:dyDescent="0.2">
      <c r="A186">
        <v>341</v>
      </c>
      <c r="B186" s="3" t="s">
        <v>238</v>
      </c>
      <c r="C186" s="3" t="s">
        <v>78</v>
      </c>
      <c r="D186">
        <v>35</v>
      </c>
      <c r="E186" s="12" t="s">
        <v>45</v>
      </c>
      <c r="F186" t="s">
        <v>283</v>
      </c>
      <c r="G186" s="3">
        <v>5</v>
      </c>
      <c r="H186" t="s">
        <v>31</v>
      </c>
      <c r="I186" t="s">
        <v>26</v>
      </c>
      <c r="J186" t="s">
        <v>27</v>
      </c>
      <c r="K186" t="s">
        <v>37</v>
      </c>
      <c r="L186" t="s">
        <v>33</v>
      </c>
      <c r="M186" t="s">
        <v>31</v>
      </c>
      <c r="N186" t="s">
        <v>27</v>
      </c>
    </row>
    <row r="187" spans="1:15" x14ac:dyDescent="0.2">
      <c r="A187">
        <v>82</v>
      </c>
      <c r="B187" s="3" t="s">
        <v>160</v>
      </c>
      <c r="C187" s="3" t="s">
        <v>78</v>
      </c>
      <c r="D187">
        <v>1</v>
      </c>
      <c r="E187" s="12" t="s">
        <v>88</v>
      </c>
      <c r="F187" t="s">
        <v>263</v>
      </c>
      <c r="G187" s="3">
        <v>1</v>
      </c>
      <c r="H187" t="s">
        <v>52</v>
      </c>
      <c r="I187" t="s">
        <v>87</v>
      </c>
      <c r="J187" t="s">
        <v>27</v>
      </c>
      <c r="K187" t="s">
        <v>37</v>
      </c>
      <c r="L187" t="s">
        <v>33</v>
      </c>
      <c r="M187" t="s">
        <v>31</v>
      </c>
      <c r="N187" t="s">
        <v>27</v>
      </c>
      <c r="O187" t="s">
        <v>159</v>
      </c>
    </row>
    <row r="188" spans="1:15" x14ac:dyDescent="0.2">
      <c r="A188">
        <v>83</v>
      </c>
      <c r="B188" s="3" t="s">
        <v>160</v>
      </c>
      <c r="C188" s="3" t="s">
        <v>78</v>
      </c>
      <c r="D188">
        <v>2</v>
      </c>
      <c r="E188" s="12" t="s">
        <v>88</v>
      </c>
      <c r="F188" t="s">
        <v>263</v>
      </c>
      <c r="G188" s="3">
        <v>1</v>
      </c>
      <c r="H188" t="s">
        <v>52</v>
      </c>
      <c r="I188" t="s">
        <v>87</v>
      </c>
      <c r="J188" t="s">
        <v>27</v>
      </c>
      <c r="K188" t="s">
        <v>37</v>
      </c>
      <c r="L188" t="s">
        <v>33</v>
      </c>
      <c r="M188" t="s">
        <v>31</v>
      </c>
      <c r="N188" t="s">
        <v>27</v>
      </c>
      <c r="O188" t="s">
        <v>161</v>
      </c>
    </row>
    <row r="189" spans="1:15" x14ac:dyDescent="0.2">
      <c r="A189">
        <v>84</v>
      </c>
      <c r="B189" s="3" t="s">
        <v>160</v>
      </c>
      <c r="C189" s="3" t="s">
        <v>78</v>
      </c>
      <c r="D189">
        <v>3</v>
      </c>
      <c r="E189" s="12" t="s">
        <v>88</v>
      </c>
      <c r="F189" t="s">
        <v>263</v>
      </c>
      <c r="G189" s="3">
        <v>1</v>
      </c>
      <c r="H189" t="s">
        <v>52</v>
      </c>
      <c r="I189" t="s">
        <v>87</v>
      </c>
      <c r="J189" t="s">
        <v>27</v>
      </c>
      <c r="K189" t="s">
        <v>37</v>
      </c>
      <c r="L189" t="s">
        <v>33</v>
      </c>
      <c r="M189" t="s">
        <v>31</v>
      </c>
      <c r="N189" t="s">
        <v>27</v>
      </c>
    </row>
    <row r="190" spans="1:15" x14ac:dyDescent="0.2">
      <c r="A190">
        <v>85</v>
      </c>
      <c r="B190" s="3" t="s">
        <v>160</v>
      </c>
      <c r="C190" s="3" t="s">
        <v>78</v>
      </c>
      <c r="D190">
        <v>4</v>
      </c>
      <c r="E190" s="12" t="s">
        <v>88</v>
      </c>
      <c r="F190" t="s">
        <v>263</v>
      </c>
      <c r="G190" s="3">
        <v>1</v>
      </c>
      <c r="H190" t="s">
        <v>52</v>
      </c>
      <c r="I190" t="s">
        <v>87</v>
      </c>
      <c r="J190" t="s">
        <v>27</v>
      </c>
      <c r="K190" t="s">
        <v>37</v>
      </c>
      <c r="L190" t="s">
        <v>33</v>
      </c>
      <c r="M190" t="s">
        <v>31</v>
      </c>
      <c r="N190" t="s">
        <v>27</v>
      </c>
      <c r="O190" t="s">
        <v>161</v>
      </c>
    </row>
    <row r="191" spans="1:15" x14ac:dyDescent="0.2">
      <c r="A191">
        <v>86</v>
      </c>
      <c r="B191" s="3" t="s">
        <v>160</v>
      </c>
      <c r="C191" s="3" t="s">
        <v>78</v>
      </c>
      <c r="D191">
        <v>5</v>
      </c>
      <c r="E191" s="12" t="s">
        <v>88</v>
      </c>
      <c r="F191" t="s">
        <v>263</v>
      </c>
      <c r="G191" s="3">
        <v>1</v>
      </c>
      <c r="H191" t="s">
        <v>52</v>
      </c>
      <c r="I191" t="s">
        <v>87</v>
      </c>
      <c r="J191" t="s">
        <v>27</v>
      </c>
      <c r="K191" t="s">
        <v>37</v>
      </c>
      <c r="L191" t="s">
        <v>33</v>
      </c>
      <c r="M191" t="s">
        <v>31</v>
      </c>
      <c r="N191" t="s">
        <v>27</v>
      </c>
      <c r="O191" t="s">
        <v>161</v>
      </c>
    </row>
    <row r="192" spans="1:15" x14ac:dyDescent="0.2">
      <c r="A192">
        <v>87</v>
      </c>
      <c r="B192" s="3" t="s">
        <v>160</v>
      </c>
      <c r="C192" s="3" t="s">
        <v>78</v>
      </c>
      <c r="D192">
        <v>6</v>
      </c>
      <c r="E192" s="12" t="s">
        <v>88</v>
      </c>
      <c r="F192" t="s">
        <v>263</v>
      </c>
      <c r="G192" s="3">
        <v>1</v>
      </c>
      <c r="H192" t="s">
        <v>52</v>
      </c>
      <c r="I192" t="s">
        <v>87</v>
      </c>
      <c r="J192" t="s">
        <v>27</v>
      </c>
      <c r="K192" t="s">
        <v>37</v>
      </c>
      <c r="L192" t="s">
        <v>33</v>
      </c>
      <c r="M192" t="s">
        <v>31</v>
      </c>
      <c r="N192" t="s">
        <v>27</v>
      </c>
      <c r="O192" t="s">
        <v>162</v>
      </c>
    </row>
    <row r="193" spans="1:15" x14ac:dyDescent="0.2">
      <c r="A193">
        <v>88</v>
      </c>
      <c r="B193" s="3" t="s">
        <v>160</v>
      </c>
      <c r="C193" s="3" t="s">
        <v>78</v>
      </c>
      <c r="D193">
        <v>7</v>
      </c>
      <c r="E193" s="12" t="s">
        <v>88</v>
      </c>
      <c r="F193" t="s">
        <v>263</v>
      </c>
      <c r="G193" s="3">
        <v>1</v>
      </c>
      <c r="H193" t="s">
        <v>52</v>
      </c>
      <c r="I193" t="s">
        <v>87</v>
      </c>
      <c r="J193" t="s">
        <v>27</v>
      </c>
      <c r="K193" t="s">
        <v>37</v>
      </c>
      <c r="L193" t="s">
        <v>33</v>
      </c>
      <c r="M193" t="s">
        <v>31</v>
      </c>
      <c r="N193" t="s">
        <v>27</v>
      </c>
      <c r="O193" t="s">
        <v>162</v>
      </c>
    </row>
    <row r="194" spans="1:15" x14ac:dyDescent="0.2">
      <c r="A194">
        <v>89</v>
      </c>
      <c r="B194" s="3" t="s">
        <v>160</v>
      </c>
      <c r="C194" s="3" t="s">
        <v>78</v>
      </c>
      <c r="D194">
        <v>8</v>
      </c>
      <c r="E194" s="12" t="s">
        <v>88</v>
      </c>
      <c r="F194" t="s">
        <v>263</v>
      </c>
      <c r="G194" s="3">
        <v>1</v>
      </c>
      <c r="H194" t="s">
        <v>52</v>
      </c>
      <c r="I194" t="s">
        <v>87</v>
      </c>
      <c r="J194" t="s">
        <v>27</v>
      </c>
      <c r="K194" t="s">
        <v>37</v>
      </c>
      <c r="L194" t="s">
        <v>33</v>
      </c>
      <c r="M194" t="s">
        <v>31</v>
      </c>
      <c r="N194" t="s">
        <v>27</v>
      </c>
      <c r="O194" t="s">
        <v>162</v>
      </c>
    </row>
    <row r="195" spans="1:15" x14ac:dyDescent="0.2">
      <c r="A195">
        <v>90</v>
      </c>
      <c r="B195" s="3" t="s">
        <v>160</v>
      </c>
      <c r="C195" s="3" t="s">
        <v>78</v>
      </c>
      <c r="D195">
        <v>9</v>
      </c>
      <c r="E195" s="12" t="s">
        <v>88</v>
      </c>
      <c r="F195" t="s">
        <v>263</v>
      </c>
      <c r="G195" s="3">
        <v>1</v>
      </c>
      <c r="H195" t="s">
        <v>52</v>
      </c>
      <c r="I195" t="s">
        <v>87</v>
      </c>
      <c r="J195" t="s">
        <v>27</v>
      </c>
      <c r="K195" t="s">
        <v>37</v>
      </c>
      <c r="L195" t="s">
        <v>33</v>
      </c>
      <c r="M195" t="s">
        <v>31</v>
      </c>
      <c r="N195" t="s">
        <v>27</v>
      </c>
      <c r="O195" t="s">
        <v>162</v>
      </c>
    </row>
    <row r="196" spans="1:15" x14ac:dyDescent="0.2">
      <c r="A196">
        <v>91</v>
      </c>
      <c r="B196" s="3" t="s">
        <v>160</v>
      </c>
      <c r="C196" s="3" t="s">
        <v>78</v>
      </c>
      <c r="D196">
        <v>10</v>
      </c>
      <c r="E196" s="12" t="s">
        <v>88</v>
      </c>
      <c r="F196" t="s">
        <v>263</v>
      </c>
      <c r="G196" s="3">
        <v>1</v>
      </c>
      <c r="H196" t="s">
        <v>52</v>
      </c>
      <c r="I196" t="s">
        <v>87</v>
      </c>
      <c r="J196" t="s">
        <v>27</v>
      </c>
      <c r="K196" t="s">
        <v>37</v>
      </c>
      <c r="L196" t="s">
        <v>33</v>
      </c>
      <c r="M196" t="s">
        <v>31</v>
      </c>
      <c r="N196" t="s">
        <v>27</v>
      </c>
      <c r="O196" t="s">
        <v>162</v>
      </c>
    </row>
    <row r="197" spans="1:15" x14ac:dyDescent="0.2">
      <c r="A197">
        <v>255</v>
      </c>
      <c r="B197" s="3" t="s">
        <v>184</v>
      </c>
      <c r="C197" s="3" t="s">
        <v>194</v>
      </c>
      <c r="D197">
        <v>15</v>
      </c>
      <c r="E197" s="12" t="s">
        <v>24</v>
      </c>
      <c r="F197" t="s">
        <v>24</v>
      </c>
      <c r="G197" s="3">
        <v>2</v>
      </c>
      <c r="H197" t="s">
        <v>38</v>
      </c>
      <c r="I197" t="s">
        <v>42</v>
      </c>
      <c r="J197" t="s">
        <v>27</v>
      </c>
      <c r="K197" t="s">
        <v>37</v>
      </c>
      <c r="L197" t="s">
        <v>33</v>
      </c>
      <c r="M197" t="s">
        <v>38</v>
      </c>
      <c r="N197" t="s">
        <v>193</v>
      </c>
      <c r="O197" t="s">
        <v>192</v>
      </c>
    </row>
    <row r="198" spans="1:15" x14ac:dyDescent="0.2">
      <c r="A198">
        <v>259</v>
      </c>
      <c r="B198" s="3" t="s">
        <v>184</v>
      </c>
      <c r="C198" s="3" t="s">
        <v>198</v>
      </c>
      <c r="D198">
        <v>20</v>
      </c>
      <c r="E198" s="12" t="s">
        <v>152</v>
      </c>
      <c r="F198" t="s">
        <v>276</v>
      </c>
      <c r="G198" s="3">
        <v>4</v>
      </c>
      <c r="H198" t="s">
        <v>31</v>
      </c>
      <c r="I198" t="s">
        <v>26</v>
      </c>
      <c r="J198" t="s">
        <v>27</v>
      </c>
      <c r="K198" t="s">
        <v>37</v>
      </c>
      <c r="L198" t="s">
        <v>33</v>
      </c>
      <c r="M198" t="s">
        <v>31</v>
      </c>
      <c r="N198" t="s">
        <v>27</v>
      </c>
    </row>
    <row r="199" spans="1:15" x14ac:dyDescent="0.2">
      <c r="A199">
        <v>240</v>
      </c>
      <c r="B199" s="3" t="s">
        <v>184</v>
      </c>
      <c r="C199" s="3" t="s">
        <v>185</v>
      </c>
      <c r="D199">
        <v>19</v>
      </c>
      <c r="E199" s="12" t="s">
        <v>135</v>
      </c>
      <c r="F199" t="s">
        <v>289</v>
      </c>
      <c r="G199" s="3">
        <v>3</v>
      </c>
      <c r="H199" t="s">
        <v>52</v>
      </c>
      <c r="I199" t="s">
        <v>87</v>
      </c>
      <c r="J199" t="s">
        <v>27</v>
      </c>
      <c r="K199" t="s">
        <v>37</v>
      </c>
      <c r="L199" t="s">
        <v>33</v>
      </c>
      <c r="M199" t="s">
        <v>29</v>
      </c>
      <c r="N199" t="s">
        <v>27</v>
      </c>
    </row>
    <row r="200" spans="1:15" x14ac:dyDescent="0.2">
      <c r="A200">
        <v>258</v>
      </c>
      <c r="B200" s="3" t="s">
        <v>184</v>
      </c>
      <c r="C200" s="3" t="s">
        <v>197</v>
      </c>
      <c r="D200">
        <v>18</v>
      </c>
      <c r="E200" s="12" t="s">
        <v>119</v>
      </c>
      <c r="F200" t="s">
        <v>286</v>
      </c>
      <c r="G200" s="3">
        <v>2</v>
      </c>
      <c r="H200" t="s">
        <v>25</v>
      </c>
      <c r="I200" t="s">
        <v>26</v>
      </c>
      <c r="J200" t="s">
        <v>27</v>
      </c>
      <c r="K200" t="s">
        <v>37</v>
      </c>
      <c r="L200" t="s">
        <v>33</v>
      </c>
      <c r="M200" t="s">
        <v>38</v>
      </c>
      <c r="N200" t="s">
        <v>27</v>
      </c>
    </row>
    <row r="201" spans="1:15" x14ac:dyDescent="0.2">
      <c r="A201">
        <v>254</v>
      </c>
      <c r="B201" s="3" t="s">
        <v>184</v>
      </c>
      <c r="C201" s="3" t="s">
        <v>191</v>
      </c>
      <c r="D201">
        <v>14</v>
      </c>
      <c r="E201" s="12" t="s">
        <v>190</v>
      </c>
      <c r="F201" t="s">
        <v>278</v>
      </c>
      <c r="G201" s="3">
        <v>3</v>
      </c>
      <c r="H201" t="s">
        <v>31</v>
      </c>
      <c r="I201" t="s">
        <v>87</v>
      </c>
      <c r="J201" t="s">
        <v>27</v>
      </c>
      <c r="K201" t="s">
        <v>37</v>
      </c>
      <c r="L201" t="s">
        <v>33</v>
      </c>
      <c r="M201" t="s">
        <v>29</v>
      </c>
      <c r="N201" t="s">
        <v>27</v>
      </c>
    </row>
    <row r="202" spans="1:15" x14ac:dyDescent="0.2">
      <c r="A202">
        <v>241</v>
      </c>
      <c r="B202" s="3" t="s">
        <v>184</v>
      </c>
      <c r="C202" s="3" t="s">
        <v>78</v>
      </c>
      <c r="D202">
        <v>1</v>
      </c>
      <c r="E202" s="12" t="s">
        <v>135</v>
      </c>
      <c r="F202" t="s">
        <v>289</v>
      </c>
      <c r="G202" s="3">
        <v>1</v>
      </c>
      <c r="H202" t="s">
        <v>52</v>
      </c>
      <c r="I202" t="s">
        <v>87</v>
      </c>
      <c r="J202" t="s">
        <v>27</v>
      </c>
      <c r="K202" t="s">
        <v>37</v>
      </c>
      <c r="L202" t="s">
        <v>33</v>
      </c>
      <c r="M202" t="s">
        <v>29</v>
      </c>
      <c r="N202" t="s">
        <v>27</v>
      </c>
    </row>
    <row r="203" spans="1:15" x14ac:dyDescent="0.2">
      <c r="A203">
        <v>242</v>
      </c>
      <c r="B203" s="3" t="s">
        <v>184</v>
      </c>
      <c r="C203" s="3" t="s">
        <v>78</v>
      </c>
      <c r="D203">
        <v>2</v>
      </c>
      <c r="E203" s="12" t="s">
        <v>135</v>
      </c>
      <c r="F203" t="s">
        <v>289</v>
      </c>
      <c r="G203" s="3">
        <v>1</v>
      </c>
      <c r="H203" t="s">
        <v>52</v>
      </c>
      <c r="I203" t="s">
        <v>87</v>
      </c>
      <c r="J203" t="s">
        <v>27</v>
      </c>
      <c r="K203" t="s">
        <v>37</v>
      </c>
      <c r="L203" t="s">
        <v>33</v>
      </c>
      <c r="M203" t="s">
        <v>29</v>
      </c>
      <c r="N203" t="s">
        <v>27</v>
      </c>
    </row>
    <row r="204" spans="1:15" x14ac:dyDescent="0.2">
      <c r="A204">
        <v>243</v>
      </c>
      <c r="B204" s="3" t="s">
        <v>184</v>
      </c>
      <c r="C204" s="3" t="s">
        <v>78</v>
      </c>
      <c r="D204">
        <v>3</v>
      </c>
      <c r="E204" s="12" t="s">
        <v>135</v>
      </c>
      <c r="F204" t="s">
        <v>289</v>
      </c>
      <c r="G204" s="3">
        <v>1</v>
      </c>
      <c r="H204" t="s">
        <v>52</v>
      </c>
      <c r="I204" t="s">
        <v>87</v>
      </c>
      <c r="J204" t="s">
        <v>27</v>
      </c>
      <c r="K204" t="s">
        <v>37</v>
      </c>
      <c r="L204" t="s">
        <v>33</v>
      </c>
      <c r="M204" t="s">
        <v>29</v>
      </c>
      <c r="N204" t="s">
        <v>27</v>
      </c>
    </row>
    <row r="205" spans="1:15" x14ac:dyDescent="0.2">
      <c r="A205">
        <v>244</v>
      </c>
      <c r="B205" s="3" t="s">
        <v>184</v>
      </c>
      <c r="C205" s="3" t="s">
        <v>78</v>
      </c>
      <c r="D205">
        <v>4</v>
      </c>
      <c r="E205" s="12" t="s">
        <v>135</v>
      </c>
      <c r="F205" t="s">
        <v>289</v>
      </c>
      <c r="G205" s="3">
        <v>1</v>
      </c>
      <c r="H205" t="s">
        <v>52</v>
      </c>
      <c r="I205" t="s">
        <v>87</v>
      </c>
      <c r="J205" t="s">
        <v>27</v>
      </c>
      <c r="K205" t="s">
        <v>37</v>
      </c>
      <c r="L205" t="s">
        <v>33</v>
      </c>
      <c r="M205" t="s">
        <v>29</v>
      </c>
      <c r="N205" t="s">
        <v>27</v>
      </c>
    </row>
    <row r="206" spans="1:15" x14ac:dyDescent="0.2">
      <c r="A206">
        <v>245</v>
      </c>
      <c r="B206" s="3" t="s">
        <v>184</v>
      </c>
      <c r="C206" s="3" t="s">
        <v>78</v>
      </c>
      <c r="D206">
        <v>5</v>
      </c>
      <c r="E206" s="12" t="s">
        <v>135</v>
      </c>
      <c r="F206" t="s">
        <v>289</v>
      </c>
      <c r="G206" s="3">
        <v>1</v>
      </c>
      <c r="H206" t="s">
        <v>52</v>
      </c>
      <c r="I206" t="s">
        <v>87</v>
      </c>
      <c r="J206" t="s">
        <v>27</v>
      </c>
      <c r="K206" t="s">
        <v>37</v>
      </c>
      <c r="L206" t="s">
        <v>33</v>
      </c>
      <c r="M206" t="s">
        <v>29</v>
      </c>
      <c r="N206" t="s">
        <v>27</v>
      </c>
    </row>
    <row r="207" spans="1:15" x14ac:dyDescent="0.2">
      <c r="A207">
        <v>246</v>
      </c>
      <c r="B207" s="3" t="s">
        <v>184</v>
      </c>
      <c r="C207" s="3" t="s">
        <v>78</v>
      </c>
      <c r="D207">
        <v>6</v>
      </c>
      <c r="E207" s="12" t="s">
        <v>186</v>
      </c>
      <c r="F207" t="s">
        <v>265</v>
      </c>
      <c r="G207" s="3">
        <v>2</v>
      </c>
      <c r="H207" t="s">
        <v>52</v>
      </c>
      <c r="I207" t="s">
        <v>87</v>
      </c>
      <c r="J207" t="s">
        <v>27</v>
      </c>
      <c r="K207" t="s">
        <v>37</v>
      </c>
      <c r="L207" t="s">
        <v>33</v>
      </c>
      <c r="M207" t="s">
        <v>29</v>
      </c>
      <c r="N207" t="s">
        <v>27</v>
      </c>
    </row>
    <row r="208" spans="1:15" x14ac:dyDescent="0.2">
      <c r="A208">
        <v>247</v>
      </c>
      <c r="B208" s="3" t="s">
        <v>184</v>
      </c>
      <c r="C208" s="3" t="s">
        <v>78</v>
      </c>
      <c r="D208">
        <v>7</v>
      </c>
      <c r="E208" s="12" t="s">
        <v>75</v>
      </c>
      <c r="F208" t="s">
        <v>297</v>
      </c>
      <c r="G208" s="3">
        <v>5</v>
      </c>
      <c r="H208" t="s">
        <v>52</v>
      </c>
      <c r="I208" t="s">
        <v>26</v>
      </c>
      <c r="J208" t="s">
        <v>27</v>
      </c>
      <c r="K208" t="s">
        <v>37</v>
      </c>
      <c r="L208" t="s">
        <v>33</v>
      </c>
      <c r="M208" t="s">
        <v>29</v>
      </c>
      <c r="N208" t="s">
        <v>27</v>
      </c>
    </row>
    <row r="209" spans="1:15" x14ac:dyDescent="0.2">
      <c r="A209">
        <v>248</v>
      </c>
      <c r="B209" s="3" t="s">
        <v>184</v>
      </c>
      <c r="C209" s="3" t="s">
        <v>78</v>
      </c>
      <c r="D209">
        <v>8</v>
      </c>
      <c r="E209" s="12" t="s">
        <v>82</v>
      </c>
      <c r="F209" t="s">
        <v>284</v>
      </c>
      <c r="G209" s="3">
        <v>4</v>
      </c>
      <c r="H209" t="s">
        <v>38</v>
      </c>
      <c r="I209" t="s">
        <v>42</v>
      </c>
      <c r="J209" t="s">
        <v>27</v>
      </c>
      <c r="K209" t="s">
        <v>37</v>
      </c>
      <c r="L209" t="s">
        <v>33</v>
      </c>
      <c r="M209" t="s">
        <v>31</v>
      </c>
      <c r="N209" t="s">
        <v>27</v>
      </c>
      <c r="O209" t="s">
        <v>170</v>
      </c>
    </row>
    <row r="210" spans="1:15" x14ac:dyDescent="0.2">
      <c r="A210">
        <v>249</v>
      </c>
      <c r="B210" s="3" t="s">
        <v>184</v>
      </c>
      <c r="C210" s="3" t="s">
        <v>78</v>
      </c>
      <c r="D210">
        <v>9</v>
      </c>
      <c r="E210" s="12" t="s">
        <v>152</v>
      </c>
      <c r="F210" t="s">
        <v>276</v>
      </c>
      <c r="G210" s="3">
        <v>2</v>
      </c>
      <c r="H210" t="s">
        <v>53</v>
      </c>
      <c r="I210" t="s">
        <v>42</v>
      </c>
      <c r="J210" t="s">
        <v>27</v>
      </c>
      <c r="K210" t="s">
        <v>37</v>
      </c>
      <c r="L210" t="s">
        <v>33</v>
      </c>
      <c r="M210" t="s">
        <v>31</v>
      </c>
      <c r="N210" t="s">
        <v>27</v>
      </c>
      <c r="O210" t="s">
        <v>187</v>
      </c>
    </row>
    <row r="211" spans="1:15" x14ac:dyDescent="0.2">
      <c r="A211">
        <v>250</v>
      </c>
      <c r="B211" s="3" t="s">
        <v>184</v>
      </c>
      <c r="C211" s="3" t="s">
        <v>78</v>
      </c>
      <c r="D211">
        <v>10</v>
      </c>
      <c r="E211" s="12" t="s">
        <v>152</v>
      </c>
      <c r="F211" t="s">
        <v>276</v>
      </c>
      <c r="G211" s="3">
        <v>2</v>
      </c>
      <c r="H211" t="s">
        <v>25</v>
      </c>
      <c r="I211" t="s">
        <v>26</v>
      </c>
      <c r="J211" t="s">
        <v>27</v>
      </c>
      <c r="K211" t="s">
        <v>37</v>
      </c>
      <c r="L211" t="s">
        <v>33</v>
      </c>
      <c r="M211" t="s">
        <v>31</v>
      </c>
      <c r="N211" t="s">
        <v>27</v>
      </c>
      <c r="O211" t="s">
        <v>188</v>
      </c>
    </row>
    <row r="212" spans="1:15" x14ac:dyDescent="0.2">
      <c r="A212">
        <v>251</v>
      </c>
      <c r="B212" s="3" t="s">
        <v>184</v>
      </c>
      <c r="C212" s="3" t="s">
        <v>78</v>
      </c>
      <c r="D212">
        <v>11</v>
      </c>
      <c r="E212" s="12" t="s">
        <v>189</v>
      </c>
      <c r="F212" t="s">
        <v>292</v>
      </c>
      <c r="G212" s="3">
        <v>8</v>
      </c>
      <c r="H212" t="s">
        <v>31</v>
      </c>
      <c r="I212" t="s">
        <v>26</v>
      </c>
      <c r="J212" t="s">
        <v>27</v>
      </c>
      <c r="K212" t="s">
        <v>37</v>
      </c>
      <c r="L212" t="s">
        <v>33</v>
      </c>
      <c r="M212" t="s">
        <v>29</v>
      </c>
      <c r="N212" t="s">
        <v>27</v>
      </c>
    </row>
    <row r="213" spans="1:15" x14ac:dyDescent="0.2">
      <c r="A213">
        <v>252</v>
      </c>
      <c r="B213" s="3" t="s">
        <v>184</v>
      </c>
      <c r="C213" s="3" t="s">
        <v>78</v>
      </c>
      <c r="D213">
        <v>12</v>
      </c>
      <c r="E213" s="12" t="s">
        <v>88</v>
      </c>
      <c r="F213" t="s">
        <v>263</v>
      </c>
      <c r="G213" s="3">
        <v>5</v>
      </c>
      <c r="H213" t="s">
        <v>52</v>
      </c>
      <c r="I213" t="s">
        <v>26</v>
      </c>
      <c r="J213" t="s">
        <v>27</v>
      </c>
      <c r="K213" t="s">
        <v>37</v>
      </c>
      <c r="L213" t="s">
        <v>33</v>
      </c>
      <c r="M213" t="s">
        <v>29</v>
      </c>
      <c r="N213" t="s">
        <v>27</v>
      </c>
    </row>
    <row r="214" spans="1:15" x14ac:dyDescent="0.2">
      <c r="A214">
        <v>253</v>
      </c>
      <c r="B214" s="3" t="s">
        <v>184</v>
      </c>
      <c r="C214" s="3" t="s">
        <v>78</v>
      </c>
      <c r="D214">
        <v>13</v>
      </c>
      <c r="E214" s="12" t="s">
        <v>88</v>
      </c>
      <c r="F214" t="s">
        <v>263</v>
      </c>
      <c r="G214" s="3">
        <v>5</v>
      </c>
      <c r="H214" t="s">
        <v>52</v>
      </c>
      <c r="I214" t="s">
        <v>26</v>
      </c>
      <c r="J214" t="s">
        <v>27</v>
      </c>
      <c r="K214" t="s">
        <v>37</v>
      </c>
      <c r="L214" t="s">
        <v>33</v>
      </c>
      <c r="M214" t="s">
        <v>29</v>
      </c>
      <c r="N214" t="s">
        <v>27</v>
      </c>
    </row>
    <row r="215" spans="1:15" x14ac:dyDescent="0.2">
      <c r="A215">
        <v>256</v>
      </c>
      <c r="B215" s="3" t="s">
        <v>184</v>
      </c>
      <c r="C215" s="3" t="s">
        <v>78</v>
      </c>
      <c r="D215">
        <v>16</v>
      </c>
      <c r="E215" s="12" t="s">
        <v>196</v>
      </c>
      <c r="F215" t="s">
        <v>277</v>
      </c>
      <c r="G215" s="3">
        <v>4</v>
      </c>
      <c r="H215" t="s">
        <v>38</v>
      </c>
      <c r="I215" t="s">
        <v>42</v>
      </c>
      <c r="J215" t="s">
        <v>27</v>
      </c>
      <c r="K215" t="s">
        <v>37</v>
      </c>
      <c r="L215" t="s">
        <v>33</v>
      </c>
      <c r="M215" t="s">
        <v>38</v>
      </c>
      <c r="N215" t="s">
        <v>193</v>
      </c>
      <c r="O215" t="s">
        <v>195</v>
      </c>
    </row>
    <row r="216" spans="1:15" x14ac:dyDescent="0.2">
      <c r="A216">
        <v>257</v>
      </c>
      <c r="B216" s="3" t="s">
        <v>184</v>
      </c>
      <c r="C216" s="3" t="s">
        <v>78</v>
      </c>
      <c r="D216">
        <v>17</v>
      </c>
      <c r="E216" s="12" t="s">
        <v>88</v>
      </c>
      <c r="F216" t="s">
        <v>263</v>
      </c>
      <c r="G216" s="3">
        <v>2</v>
      </c>
      <c r="H216" t="s">
        <v>38</v>
      </c>
      <c r="I216" t="s">
        <v>42</v>
      </c>
      <c r="J216" t="s">
        <v>27</v>
      </c>
      <c r="K216" t="s">
        <v>37</v>
      </c>
      <c r="L216" t="s">
        <v>33</v>
      </c>
      <c r="M216" t="s">
        <v>38</v>
      </c>
      <c r="N216" t="s">
        <v>27</v>
      </c>
      <c r="O216" t="s">
        <v>192</v>
      </c>
    </row>
    <row r="217" spans="1:15" x14ac:dyDescent="0.2">
      <c r="A217">
        <v>261</v>
      </c>
      <c r="B217" s="3" t="s">
        <v>199</v>
      </c>
      <c r="C217" s="3" t="s">
        <v>200</v>
      </c>
      <c r="D217">
        <v>7</v>
      </c>
      <c r="E217" s="12" t="s">
        <v>186</v>
      </c>
      <c r="F217" t="s">
        <v>265</v>
      </c>
      <c r="G217" s="3">
        <v>1</v>
      </c>
      <c r="H217" t="s">
        <v>25</v>
      </c>
      <c r="I217" t="s">
        <v>42</v>
      </c>
      <c r="J217" t="s">
        <v>27</v>
      </c>
      <c r="K217" t="s">
        <v>37</v>
      </c>
      <c r="L217" t="s">
        <v>33</v>
      </c>
      <c r="M217" t="s">
        <v>31</v>
      </c>
      <c r="N217" t="s">
        <v>27</v>
      </c>
      <c r="O217" t="s">
        <v>192</v>
      </c>
    </row>
    <row r="218" spans="1:15" x14ac:dyDescent="0.2">
      <c r="A218">
        <v>236</v>
      </c>
      <c r="B218" s="3" t="s">
        <v>199</v>
      </c>
      <c r="C218" s="3" t="s">
        <v>78</v>
      </c>
      <c r="D218">
        <v>1</v>
      </c>
      <c r="E218" s="12" t="s">
        <v>79</v>
      </c>
      <c r="F218" t="s">
        <v>285</v>
      </c>
      <c r="G218" s="3">
        <v>8</v>
      </c>
      <c r="H218" t="s">
        <v>52</v>
      </c>
      <c r="I218" t="s">
        <v>26</v>
      </c>
      <c r="J218" t="s">
        <v>27</v>
      </c>
      <c r="K218" t="s">
        <v>37</v>
      </c>
      <c r="L218" t="s">
        <v>33</v>
      </c>
      <c r="M218" t="s">
        <v>29</v>
      </c>
      <c r="N218" t="s">
        <v>27</v>
      </c>
    </row>
    <row r="219" spans="1:15" x14ac:dyDescent="0.2">
      <c r="A219">
        <v>235</v>
      </c>
      <c r="B219" s="3" t="s">
        <v>199</v>
      </c>
      <c r="C219" s="3" t="s">
        <v>78</v>
      </c>
      <c r="D219">
        <v>2</v>
      </c>
      <c r="E219" s="12" t="s">
        <v>180</v>
      </c>
      <c r="F219" t="s">
        <v>274</v>
      </c>
      <c r="G219" s="3">
        <v>4</v>
      </c>
      <c r="H219" t="s">
        <v>52</v>
      </c>
      <c r="I219" t="s">
        <v>26</v>
      </c>
      <c r="J219" t="s">
        <v>27</v>
      </c>
      <c r="K219" t="s">
        <v>37</v>
      </c>
      <c r="L219" t="s">
        <v>33</v>
      </c>
      <c r="M219" t="s">
        <v>29</v>
      </c>
      <c r="N219" t="s">
        <v>27</v>
      </c>
    </row>
    <row r="220" spans="1:15" x14ac:dyDescent="0.2">
      <c r="A220">
        <v>237</v>
      </c>
      <c r="B220" s="3" t="s">
        <v>199</v>
      </c>
      <c r="C220" s="3" t="s">
        <v>78</v>
      </c>
      <c r="D220">
        <v>3</v>
      </c>
      <c r="E220" s="12" t="s">
        <v>135</v>
      </c>
      <c r="F220" t="s">
        <v>289</v>
      </c>
      <c r="G220" s="3">
        <v>1</v>
      </c>
      <c r="H220" t="s">
        <v>52</v>
      </c>
      <c r="I220" t="s">
        <v>87</v>
      </c>
      <c r="J220" t="s">
        <v>27</v>
      </c>
      <c r="K220" t="s">
        <v>37</v>
      </c>
      <c r="L220" t="s">
        <v>33</v>
      </c>
      <c r="M220" t="s">
        <v>29</v>
      </c>
      <c r="N220" t="s">
        <v>27</v>
      </c>
    </row>
    <row r="221" spans="1:15" x14ac:dyDescent="0.2">
      <c r="A221">
        <v>238</v>
      </c>
      <c r="B221" s="3" t="s">
        <v>199</v>
      </c>
      <c r="C221" s="3" t="s">
        <v>78</v>
      </c>
      <c r="D221">
        <v>4</v>
      </c>
      <c r="E221" s="12" t="s">
        <v>135</v>
      </c>
      <c r="F221" t="s">
        <v>289</v>
      </c>
      <c r="G221" s="3">
        <v>1</v>
      </c>
      <c r="H221" t="s">
        <v>52</v>
      </c>
      <c r="I221" t="s">
        <v>87</v>
      </c>
      <c r="J221" t="s">
        <v>27</v>
      </c>
      <c r="K221" t="s">
        <v>37</v>
      </c>
      <c r="L221" t="s">
        <v>33</v>
      </c>
      <c r="M221" t="s">
        <v>29</v>
      </c>
      <c r="N221" t="s">
        <v>27</v>
      </c>
    </row>
    <row r="222" spans="1:15" x14ac:dyDescent="0.2">
      <c r="A222">
        <v>239</v>
      </c>
      <c r="B222" s="3" t="s">
        <v>199</v>
      </c>
      <c r="C222" s="3" t="s">
        <v>78</v>
      </c>
      <c r="D222">
        <v>5</v>
      </c>
      <c r="E222" s="12" t="s">
        <v>88</v>
      </c>
      <c r="F222" t="s">
        <v>263</v>
      </c>
      <c r="G222" s="3">
        <v>1</v>
      </c>
      <c r="H222" t="s">
        <v>52</v>
      </c>
      <c r="I222" t="s">
        <v>87</v>
      </c>
      <c r="J222" t="s">
        <v>27</v>
      </c>
      <c r="K222" t="s">
        <v>37</v>
      </c>
      <c r="L222" t="s">
        <v>33</v>
      </c>
      <c r="M222" t="s">
        <v>29</v>
      </c>
      <c r="N222" t="s">
        <v>27</v>
      </c>
    </row>
    <row r="223" spans="1:15" x14ac:dyDescent="0.2">
      <c r="A223">
        <v>260</v>
      </c>
      <c r="B223" s="3" t="s">
        <v>199</v>
      </c>
      <c r="C223" s="3" t="s">
        <v>78</v>
      </c>
      <c r="D223">
        <v>6</v>
      </c>
      <c r="E223" s="12" t="s">
        <v>88</v>
      </c>
      <c r="F223" t="s">
        <v>263</v>
      </c>
      <c r="G223" s="3">
        <v>2</v>
      </c>
      <c r="H223" t="s">
        <v>38</v>
      </c>
      <c r="I223" t="s">
        <v>42</v>
      </c>
      <c r="J223" t="s">
        <v>27</v>
      </c>
      <c r="K223" t="s">
        <v>37</v>
      </c>
      <c r="L223" t="s">
        <v>33</v>
      </c>
      <c r="M223" t="s">
        <v>31</v>
      </c>
      <c r="N223" t="s">
        <v>27</v>
      </c>
      <c r="O223" t="s">
        <v>192</v>
      </c>
    </row>
    <row r="224" spans="1:15" x14ac:dyDescent="0.2">
      <c r="A224">
        <v>262</v>
      </c>
      <c r="B224" s="3" t="s">
        <v>199</v>
      </c>
      <c r="C224" s="3" t="s">
        <v>78</v>
      </c>
      <c r="D224">
        <v>8</v>
      </c>
      <c r="E224" s="12" t="s">
        <v>201</v>
      </c>
      <c r="F224" t="s">
        <v>288</v>
      </c>
      <c r="G224" s="3">
        <v>1</v>
      </c>
      <c r="H224" t="s">
        <v>38</v>
      </c>
      <c r="I224" t="s">
        <v>42</v>
      </c>
      <c r="J224" t="s">
        <v>27</v>
      </c>
      <c r="K224" t="s">
        <v>37</v>
      </c>
      <c r="L224" t="s">
        <v>33</v>
      </c>
      <c r="M224" t="s">
        <v>31</v>
      </c>
      <c r="N224" t="s">
        <v>27</v>
      </c>
      <c r="O224" t="s">
        <v>192</v>
      </c>
    </row>
    <row r="225" spans="1:15" x14ac:dyDescent="0.2">
      <c r="A225">
        <v>134</v>
      </c>
      <c r="B225" s="3" t="s">
        <v>168</v>
      </c>
      <c r="C225" s="3" t="s">
        <v>78</v>
      </c>
      <c r="D225">
        <v>1</v>
      </c>
      <c r="E225" s="12" t="s">
        <v>79</v>
      </c>
      <c r="F225" t="s">
        <v>285</v>
      </c>
      <c r="G225" s="3">
        <v>20</v>
      </c>
      <c r="H225" t="s">
        <v>31</v>
      </c>
      <c r="I225" t="s">
        <v>26</v>
      </c>
      <c r="J225" t="s">
        <v>27</v>
      </c>
      <c r="K225" t="s">
        <v>37</v>
      </c>
      <c r="L225" t="s">
        <v>33</v>
      </c>
      <c r="M225" t="s">
        <v>29</v>
      </c>
      <c r="N225" t="s">
        <v>27</v>
      </c>
    </row>
    <row r="226" spans="1:15" x14ac:dyDescent="0.2">
      <c r="A226">
        <v>135</v>
      </c>
      <c r="B226" s="3" t="s">
        <v>168</v>
      </c>
      <c r="C226" s="3" t="s">
        <v>78</v>
      </c>
      <c r="D226">
        <v>2</v>
      </c>
      <c r="E226" s="12" t="s">
        <v>79</v>
      </c>
      <c r="F226" t="s">
        <v>285</v>
      </c>
      <c r="G226" s="3">
        <v>20</v>
      </c>
      <c r="H226" t="s">
        <v>31</v>
      </c>
      <c r="I226" t="s">
        <v>26</v>
      </c>
      <c r="J226" t="s">
        <v>27</v>
      </c>
      <c r="K226" t="s">
        <v>37</v>
      </c>
      <c r="L226" t="s">
        <v>33</v>
      </c>
      <c r="M226" t="s">
        <v>29</v>
      </c>
      <c r="N226" t="s">
        <v>27</v>
      </c>
    </row>
    <row r="227" spans="1:15" x14ac:dyDescent="0.2">
      <c r="A227">
        <v>136</v>
      </c>
      <c r="B227" s="3" t="s">
        <v>168</v>
      </c>
      <c r="C227" s="3" t="s">
        <v>78</v>
      </c>
      <c r="D227">
        <v>3</v>
      </c>
      <c r="E227" s="12" t="s">
        <v>79</v>
      </c>
      <c r="F227" t="s">
        <v>285</v>
      </c>
      <c r="G227" s="3">
        <v>20</v>
      </c>
      <c r="H227" t="s">
        <v>31</v>
      </c>
      <c r="I227" t="s">
        <v>26</v>
      </c>
      <c r="J227" t="s">
        <v>27</v>
      </c>
      <c r="K227" t="s">
        <v>37</v>
      </c>
      <c r="L227" t="s">
        <v>33</v>
      </c>
      <c r="M227" t="s">
        <v>29</v>
      </c>
      <c r="N227" t="s">
        <v>27</v>
      </c>
    </row>
    <row r="228" spans="1:15" x14ac:dyDescent="0.2">
      <c r="A228">
        <v>137</v>
      </c>
      <c r="B228" s="3" t="s">
        <v>168</v>
      </c>
      <c r="C228" s="3" t="s">
        <v>78</v>
      </c>
      <c r="D228">
        <v>4</v>
      </c>
      <c r="E228" s="12" t="s">
        <v>169</v>
      </c>
      <c r="F228" t="s">
        <v>287</v>
      </c>
      <c r="G228" s="3">
        <v>4</v>
      </c>
      <c r="H228" t="s">
        <v>31</v>
      </c>
      <c r="I228" t="s">
        <v>26</v>
      </c>
      <c r="J228" t="s">
        <v>27</v>
      </c>
      <c r="K228" t="s">
        <v>37</v>
      </c>
      <c r="L228" t="s">
        <v>33</v>
      </c>
      <c r="M228" t="s">
        <v>29</v>
      </c>
      <c r="N228" t="s">
        <v>27</v>
      </c>
    </row>
    <row r="229" spans="1:15" x14ac:dyDescent="0.2">
      <c r="A229">
        <v>138</v>
      </c>
      <c r="B229" s="3" t="s">
        <v>168</v>
      </c>
      <c r="C229" s="3" t="s">
        <v>78</v>
      </c>
      <c r="D229">
        <v>5</v>
      </c>
      <c r="E229" s="12" t="s">
        <v>169</v>
      </c>
      <c r="F229" t="s">
        <v>287</v>
      </c>
      <c r="G229" s="3">
        <v>4</v>
      </c>
      <c r="H229" t="s">
        <v>31</v>
      </c>
      <c r="I229" t="s">
        <v>26</v>
      </c>
      <c r="J229" t="s">
        <v>27</v>
      </c>
      <c r="K229" t="s">
        <v>37</v>
      </c>
      <c r="L229" t="s">
        <v>33</v>
      </c>
      <c r="M229" t="s">
        <v>29</v>
      </c>
      <c r="N229" t="s">
        <v>27</v>
      </c>
    </row>
    <row r="230" spans="1:15" x14ac:dyDescent="0.2">
      <c r="A230">
        <v>139</v>
      </c>
      <c r="B230" s="3" t="s">
        <v>168</v>
      </c>
      <c r="C230" s="3" t="s">
        <v>78</v>
      </c>
      <c r="D230">
        <v>6</v>
      </c>
      <c r="E230" s="12" t="s">
        <v>113</v>
      </c>
      <c r="F230" t="s">
        <v>298</v>
      </c>
      <c r="G230" s="3">
        <v>4</v>
      </c>
      <c r="H230" t="s">
        <v>31</v>
      </c>
      <c r="I230" t="s">
        <v>26</v>
      </c>
      <c r="J230" t="s">
        <v>27</v>
      </c>
      <c r="K230" t="s">
        <v>37</v>
      </c>
      <c r="L230" t="s">
        <v>33</v>
      </c>
      <c r="M230" t="s">
        <v>25</v>
      </c>
      <c r="N230" t="s">
        <v>27</v>
      </c>
      <c r="O230" t="s">
        <v>43</v>
      </c>
    </row>
    <row r="231" spans="1:15" x14ac:dyDescent="0.2">
      <c r="A231">
        <v>140</v>
      </c>
      <c r="B231" s="3" t="s">
        <v>168</v>
      </c>
      <c r="C231" s="3" t="s">
        <v>78</v>
      </c>
      <c r="D231">
        <v>7</v>
      </c>
      <c r="E231" s="12" t="s">
        <v>113</v>
      </c>
      <c r="F231" t="s">
        <v>298</v>
      </c>
      <c r="G231" s="3">
        <v>4</v>
      </c>
      <c r="H231" t="s">
        <v>31</v>
      </c>
      <c r="I231" t="s">
        <v>26</v>
      </c>
      <c r="J231" t="s">
        <v>27</v>
      </c>
      <c r="K231" t="s">
        <v>37</v>
      </c>
      <c r="L231" t="s">
        <v>33</v>
      </c>
      <c r="M231" t="s">
        <v>25</v>
      </c>
      <c r="N231" t="s">
        <v>27</v>
      </c>
      <c r="O231" t="s">
        <v>43</v>
      </c>
    </row>
    <row r="232" spans="1:15" x14ac:dyDescent="0.2">
      <c r="A232">
        <v>141</v>
      </c>
      <c r="B232" s="3" t="s">
        <v>168</v>
      </c>
      <c r="C232" s="3" t="s">
        <v>78</v>
      </c>
      <c r="D232">
        <v>8</v>
      </c>
      <c r="E232" s="12" t="s">
        <v>113</v>
      </c>
      <c r="F232" t="s">
        <v>298</v>
      </c>
      <c r="G232" s="3">
        <v>4</v>
      </c>
      <c r="H232" t="s">
        <v>31</v>
      </c>
      <c r="I232" t="s">
        <v>26</v>
      </c>
      <c r="J232" t="s">
        <v>27</v>
      </c>
      <c r="K232" t="s">
        <v>37</v>
      </c>
      <c r="L232" t="s">
        <v>33</v>
      </c>
      <c r="M232" t="s">
        <v>25</v>
      </c>
      <c r="N232" t="s">
        <v>27</v>
      </c>
      <c r="O232" t="s">
        <v>43</v>
      </c>
    </row>
    <row r="233" spans="1:15" x14ac:dyDescent="0.2">
      <c r="A233">
        <v>142</v>
      </c>
      <c r="B233" s="3" t="s">
        <v>168</v>
      </c>
      <c r="C233" s="3" t="s">
        <v>78</v>
      </c>
      <c r="D233">
        <v>9</v>
      </c>
      <c r="E233" s="12" t="s">
        <v>113</v>
      </c>
      <c r="F233" t="s">
        <v>298</v>
      </c>
      <c r="G233" s="3">
        <v>4</v>
      </c>
      <c r="H233" t="s">
        <v>31</v>
      </c>
      <c r="I233" t="s">
        <v>26</v>
      </c>
      <c r="J233" t="s">
        <v>27</v>
      </c>
      <c r="K233" t="s">
        <v>37</v>
      </c>
      <c r="L233" t="s">
        <v>33</v>
      </c>
      <c r="M233" t="s">
        <v>25</v>
      </c>
      <c r="N233" t="s">
        <v>27</v>
      </c>
      <c r="O233" t="s">
        <v>43</v>
      </c>
    </row>
    <row r="234" spans="1:15" x14ac:dyDescent="0.2">
      <c r="A234">
        <v>143</v>
      </c>
      <c r="B234" s="3" t="s">
        <v>168</v>
      </c>
      <c r="C234" s="3" t="s">
        <v>78</v>
      </c>
      <c r="D234">
        <v>10</v>
      </c>
      <c r="E234" s="12" t="s">
        <v>152</v>
      </c>
      <c r="F234" t="s">
        <v>276</v>
      </c>
      <c r="G234" s="3">
        <v>3</v>
      </c>
      <c r="H234" t="s">
        <v>53</v>
      </c>
      <c r="I234" t="s">
        <v>42</v>
      </c>
      <c r="J234" t="s">
        <v>27</v>
      </c>
      <c r="K234" t="s">
        <v>37</v>
      </c>
      <c r="L234" t="s">
        <v>33</v>
      </c>
      <c r="M234" t="s">
        <v>25</v>
      </c>
      <c r="N234" t="s">
        <v>27</v>
      </c>
      <c r="O234" t="s">
        <v>170</v>
      </c>
    </row>
    <row r="235" spans="1:15" x14ac:dyDescent="0.2">
      <c r="A235">
        <v>144</v>
      </c>
      <c r="B235" s="3" t="s">
        <v>168</v>
      </c>
      <c r="C235" s="3" t="s">
        <v>78</v>
      </c>
      <c r="D235">
        <v>11</v>
      </c>
      <c r="E235" s="12" t="s">
        <v>152</v>
      </c>
      <c r="F235" t="s">
        <v>276</v>
      </c>
      <c r="G235" s="3">
        <v>3</v>
      </c>
      <c r="H235" t="s">
        <v>31</v>
      </c>
      <c r="I235" t="s">
        <v>26</v>
      </c>
      <c r="J235" t="s">
        <v>27</v>
      </c>
      <c r="K235" t="s">
        <v>37</v>
      </c>
      <c r="L235" t="s">
        <v>33</v>
      </c>
      <c r="M235" t="s">
        <v>31</v>
      </c>
      <c r="N235" t="s">
        <v>27</v>
      </c>
    </row>
    <row r="236" spans="1:15" x14ac:dyDescent="0.2">
      <c r="A236">
        <v>145</v>
      </c>
      <c r="B236" s="3" t="s">
        <v>168</v>
      </c>
      <c r="C236" s="3" t="s">
        <v>78</v>
      </c>
      <c r="D236">
        <v>12</v>
      </c>
      <c r="E236" s="12" t="s">
        <v>152</v>
      </c>
      <c r="F236" t="s">
        <v>276</v>
      </c>
      <c r="G236" s="3">
        <v>3</v>
      </c>
      <c r="H236" t="s">
        <v>31</v>
      </c>
      <c r="I236" t="s">
        <v>26</v>
      </c>
      <c r="J236" t="s">
        <v>27</v>
      </c>
      <c r="K236" t="s">
        <v>37</v>
      </c>
      <c r="L236" t="s">
        <v>33</v>
      </c>
      <c r="M236" t="s">
        <v>31</v>
      </c>
      <c r="N236" t="s">
        <v>27</v>
      </c>
    </row>
    <row r="237" spans="1:15" x14ac:dyDescent="0.2">
      <c r="A237">
        <v>146</v>
      </c>
      <c r="B237" s="3" t="s">
        <v>168</v>
      </c>
      <c r="C237" s="3" t="s">
        <v>78</v>
      </c>
      <c r="D237">
        <v>13</v>
      </c>
      <c r="E237" s="12" t="s">
        <v>152</v>
      </c>
      <c r="F237" t="s">
        <v>276</v>
      </c>
      <c r="G237" s="3">
        <v>3</v>
      </c>
      <c r="H237" t="s">
        <v>31</v>
      </c>
      <c r="I237" t="s">
        <v>26</v>
      </c>
      <c r="J237" t="s">
        <v>27</v>
      </c>
      <c r="K237" t="s">
        <v>37</v>
      </c>
      <c r="L237" t="s">
        <v>33</v>
      </c>
      <c r="M237" t="s">
        <v>31</v>
      </c>
      <c r="N237" t="s">
        <v>27</v>
      </c>
    </row>
    <row r="238" spans="1:15" x14ac:dyDescent="0.2">
      <c r="A238">
        <v>147</v>
      </c>
      <c r="B238" s="3" t="s">
        <v>168</v>
      </c>
      <c r="C238" s="3" t="s">
        <v>78</v>
      </c>
      <c r="D238">
        <v>14</v>
      </c>
      <c r="E238" s="12" t="s">
        <v>56</v>
      </c>
      <c r="F238" t="s">
        <v>294</v>
      </c>
      <c r="G238" s="3">
        <v>15</v>
      </c>
      <c r="H238" t="s">
        <v>31</v>
      </c>
      <c r="I238" t="s">
        <v>87</v>
      </c>
      <c r="J238" t="s">
        <v>27</v>
      </c>
      <c r="K238" t="s">
        <v>37</v>
      </c>
      <c r="L238" t="s">
        <v>33</v>
      </c>
      <c r="M238" t="s">
        <v>29</v>
      </c>
      <c r="N238" t="s">
        <v>27</v>
      </c>
    </row>
    <row r="239" spans="1:15" x14ac:dyDescent="0.2">
      <c r="A239">
        <v>148</v>
      </c>
      <c r="B239" s="3" t="s">
        <v>168</v>
      </c>
      <c r="C239" s="3" t="s">
        <v>78</v>
      </c>
      <c r="D239">
        <v>15</v>
      </c>
      <c r="E239" s="12" t="s">
        <v>79</v>
      </c>
      <c r="F239" t="s">
        <v>285</v>
      </c>
      <c r="G239" s="3">
        <v>15</v>
      </c>
      <c r="H239" t="s">
        <v>31</v>
      </c>
      <c r="I239" t="s">
        <v>26</v>
      </c>
      <c r="J239" t="s">
        <v>27</v>
      </c>
      <c r="K239" t="s">
        <v>37</v>
      </c>
      <c r="L239" t="s">
        <v>33</v>
      </c>
      <c r="M239" t="s">
        <v>29</v>
      </c>
      <c r="N239" t="s">
        <v>27</v>
      </c>
    </row>
    <row r="240" spans="1:15" x14ac:dyDescent="0.2">
      <c r="A240">
        <v>149</v>
      </c>
      <c r="B240" s="3" t="s">
        <v>168</v>
      </c>
      <c r="C240" s="3" t="s">
        <v>78</v>
      </c>
      <c r="D240">
        <v>16</v>
      </c>
      <c r="E240" s="12" t="s">
        <v>169</v>
      </c>
      <c r="F240" t="s">
        <v>287</v>
      </c>
      <c r="G240" s="3">
        <v>4</v>
      </c>
      <c r="H240" t="s">
        <v>31</v>
      </c>
      <c r="I240" t="s">
        <v>26</v>
      </c>
      <c r="J240" t="s">
        <v>27</v>
      </c>
      <c r="K240" t="s">
        <v>37</v>
      </c>
      <c r="L240" t="s">
        <v>33</v>
      </c>
      <c r="M240" t="s">
        <v>31</v>
      </c>
      <c r="N240" t="s">
        <v>27</v>
      </c>
    </row>
    <row r="241" spans="1:15" x14ac:dyDescent="0.2">
      <c r="A241">
        <v>66</v>
      </c>
      <c r="B241" s="3" t="s">
        <v>132</v>
      </c>
      <c r="C241" s="3" t="s">
        <v>133</v>
      </c>
      <c r="D241">
        <v>1</v>
      </c>
      <c r="E241" s="12" t="s">
        <v>94</v>
      </c>
      <c r="F241" t="s">
        <v>290</v>
      </c>
      <c r="G241" s="3">
        <v>14</v>
      </c>
      <c r="H241" t="s">
        <v>52</v>
      </c>
      <c r="I241" t="s">
        <v>26</v>
      </c>
      <c r="J241" t="s">
        <v>27</v>
      </c>
      <c r="K241" t="s">
        <v>37</v>
      </c>
      <c r="L241" t="s">
        <v>33</v>
      </c>
      <c r="M241" t="s">
        <v>31</v>
      </c>
      <c r="N241" t="s">
        <v>27</v>
      </c>
    </row>
    <row r="242" spans="1:15" x14ac:dyDescent="0.2">
      <c r="A242">
        <v>211</v>
      </c>
      <c r="B242" s="3" t="s">
        <v>300</v>
      </c>
      <c r="C242" s="3" t="s">
        <v>78</v>
      </c>
      <c r="D242">
        <v>1</v>
      </c>
      <c r="E242" s="12" t="s">
        <v>180</v>
      </c>
      <c r="F242" t="s">
        <v>274</v>
      </c>
      <c r="G242" s="3">
        <v>6</v>
      </c>
      <c r="H242" t="s">
        <v>52</v>
      </c>
      <c r="I242" t="s">
        <v>26</v>
      </c>
      <c r="J242" t="s">
        <v>27</v>
      </c>
      <c r="K242" t="s">
        <v>37</v>
      </c>
      <c r="L242" t="s">
        <v>33</v>
      </c>
      <c r="M242" t="s">
        <v>29</v>
      </c>
      <c r="N242" t="s">
        <v>27</v>
      </c>
      <c r="O242" t="s">
        <v>51</v>
      </c>
    </row>
    <row r="243" spans="1:15" x14ac:dyDescent="0.2">
      <c r="A243">
        <v>212</v>
      </c>
      <c r="B243" s="3" t="s">
        <v>300</v>
      </c>
      <c r="C243" s="3" t="s">
        <v>78</v>
      </c>
      <c r="D243">
        <v>2</v>
      </c>
      <c r="E243" s="12" t="s">
        <v>180</v>
      </c>
      <c r="F243" t="s">
        <v>274</v>
      </c>
      <c r="G243" s="3">
        <v>6</v>
      </c>
      <c r="H243" t="s">
        <v>52</v>
      </c>
      <c r="I243" t="s">
        <v>26</v>
      </c>
      <c r="J243" t="s">
        <v>27</v>
      </c>
      <c r="K243" t="s">
        <v>37</v>
      </c>
      <c r="L243" t="s">
        <v>33</v>
      </c>
      <c r="M243" t="s">
        <v>29</v>
      </c>
      <c r="N243" t="s">
        <v>27</v>
      </c>
      <c r="O243" t="s">
        <v>51</v>
      </c>
    </row>
    <row r="244" spans="1:15" x14ac:dyDescent="0.2">
      <c r="A244">
        <v>213</v>
      </c>
      <c r="B244" s="3" t="s">
        <v>300</v>
      </c>
      <c r="C244" s="3" t="s">
        <v>78</v>
      </c>
      <c r="D244">
        <v>3</v>
      </c>
      <c r="E244" s="12" t="s">
        <v>146</v>
      </c>
      <c r="F244" t="s">
        <v>280</v>
      </c>
      <c r="G244" s="3">
        <v>3</v>
      </c>
      <c r="H244" t="s">
        <v>52</v>
      </c>
      <c r="I244" t="s">
        <v>26</v>
      </c>
      <c r="J244" t="s">
        <v>27</v>
      </c>
      <c r="K244" t="s">
        <v>37</v>
      </c>
      <c r="L244" t="s">
        <v>33</v>
      </c>
      <c r="M244" t="s">
        <v>29</v>
      </c>
      <c r="N244" t="s">
        <v>27</v>
      </c>
    </row>
    <row r="245" spans="1:15" x14ac:dyDescent="0.2">
      <c r="A245">
        <v>214</v>
      </c>
      <c r="B245" s="3" t="s">
        <v>300</v>
      </c>
      <c r="C245" s="3" t="s">
        <v>78</v>
      </c>
      <c r="D245">
        <v>4</v>
      </c>
      <c r="E245" s="12" t="s">
        <v>183</v>
      </c>
      <c r="F245" t="s">
        <v>296</v>
      </c>
      <c r="G245" s="3">
        <v>12</v>
      </c>
      <c r="H245" t="s">
        <v>31</v>
      </c>
      <c r="I245" t="s">
        <v>26</v>
      </c>
      <c r="J245" t="s">
        <v>27</v>
      </c>
      <c r="K245" t="s">
        <v>37</v>
      </c>
      <c r="L245" t="s">
        <v>33</v>
      </c>
      <c r="M245" t="s">
        <v>31</v>
      </c>
      <c r="N245" t="s">
        <v>27</v>
      </c>
      <c r="O245" t="s">
        <v>182</v>
      </c>
    </row>
    <row r="246" spans="1:15" x14ac:dyDescent="0.2">
      <c r="A246">
        <v>215</v>
      </c>
      <c r="B246" s="3" t="s">
        <v>300</v>
      </c>
      <c r="C246" s="3" t="s">
        <v>78</v>
      </c>
      <c r="D246">
        <v>5</v>
      </c>
      <c r="E246" s="12" t="s">
        <v>79</v>
      </c>
      <c r="F246" t="s">
        <v>285</v>
      </c>
      <c r="G246" s="3">
        <v>12</v>
      </c>
      <c r="H246" t="s">
        <v>31</v>
      </c>
      <c r="I246" t="s">
        <v>26</v>
      </c>
      <c r="J246" t="s">
        <v>27</v>
      </c>
      <c r="K246" t="s">
        <v>37</v>
      </c>
      <c r="L246" t="s">
        <v>33</v>
      </c>
      <c r="M246" t="s">
        <v>31</v>
      </c>
      <c r="N246" t="s">
        <v>27</v>
      </c>
    </row>
    <row r="247" spans="1:15" x14ac:dyDescent="0.2">
      <c r="A247">
        <v>216</v>
      </c>
      <c r="B247" s="3" t="s">
        <v>300</v>
      </c>
      <c r="C247" s="3" t="s">
        <v>78</v>
      </c>
      <c r="D247">
        <v>6</v>
      </c>
      <c r="E247" s="12" t="s">
        <v>79</v>
      </c>
      <c r="F247" t="s">
        <v>285</v>
      </c>
      <c r="G247" s="3">
        <v>10</v>
      </c>
      <c r="H247" t="s">
        <v>31</v>
      </c>
      <c r="I247" t="s">
        <v>26</v>
      </c>
      <c r="J247" t="s">
        <v>27</v>
      </c>
      <c r="K247" t="s">
        <v>37</v>
      </c>
      <c r="L247" t="s">
        <v>33</v>
      </c>
      <c r="M247" t="s">
        <v>29</v>
      </c>
      <c r="N247" t="s">
        <v>27</v>
      </c>
    </row>
    <row r="248" spans="1:15" x14ac:dyDescent="0.2">
      <c r="A248">
        <v>217</v>
      </c>
      <c r="B248" s="3" t="s">
        <v>300</v>
      </c>
      <c r="C248" s="3" t="s">
        <v>78</v>
      </c>
      <c r="D248">
        <v>7</v>
      </c>
      <c r="E248" s="12" t="s">
        <v>135</v>
      </c>
      <c r="F248" t="s">
        <v>289</v>
      </c>
      <c r="G248" s="3">
        <v>1</v>
      </c>
      <c r="H248" t="s">
        <v>52</v>
      </c>
      <c r="I248" t="s">
        <v>87</v>
      </c>
      <c r="J248" t="s">
        <v>27</v>
      </c>
      <c r="K248" t="s">
        <v>37</v>
      </c>
      <c r="L248" t="s">
        <v>33</v>
      </c>
      <c r="M248" t="s">
        <v>29</v>
      </c>
      <c r="N248" t="s">
        <v>27</v>
      </c>
    </row>
    <row r="249" spans="1:15" x14ac:dyDescent="0.2">
      <c r="A249">
        <v>218</v>
      </c>
      <c r="B249" s="3" t="s">
        <v>300</v>
      </c>
      <c r="C249" s="3" t="s">
        <v>78</v>
      </c>
      <c r="D249">
        <v>8</v>
      </c>
      <c r="E249" s="12" t="s">
        <v>135</v>
      </c>
      <c r="F249" t="s">
        <v>289</v>
      </c>
      <c r="G249" s="3">
        <v>1</v>
      </c>
      <c r="H249" t="s">
        <v>52</v>
      </c>
      <c r="I249" t="s">
        <v>87</v>
      </c>
      <c r="J249" t="s">
        <v>27</v>
      </c>
      <c r="K249" t="s">
        <v>37</v>
      </c>
      <c r="L249" t="s">
        <v>33</v>
      </c>
      <c r="M249" t="s">
        <v>29</v>
      </c>
      <c r="N249" t="s">
        <v>27</v>
      </c>
    </row>
    <row r="250" spans="1:15" x14ac:dyDescent="0.2">
      <c r="A250">
        <v>219</v>
      </c>
      <c r="B250" s="3" t="s">
        <v>300</v>
      </c>
      <c r="C250" s="3" t="s">
        <v>78</v>
      </c>
      <c r="D250">
        <v>9</v>
      </c>
      <c r="E250" s="12" t="s">
        <v>135</v>
      </c>
      <c r="F250" t="s">
        <v>289</v>
      </c>
      <c r="G250" s="3">
        <v>1</v>
      </c>
      <c r="H250" t="s">
        <v>52</v>
      </c>
      <c r="I250" t="s">
        <v>87</v>
      </c>
      <c r="J250" t="s">
        <v>27</v>
      </c>
      <c r="K250" t="s">
        <v>37</v>
      </c>
      <c r="L250" t="s">
        <v>33</v>
      </c>
      <c r="M250" t="s">
        <v>29</v>
      </c>
      <c r="N250" t="s">
        <v>27</v>
      </c>
    </row>
    <row r="251" spans="1:15" x14ac:dyDescent="0.2">
      <c r="A251">
        <v>220</v>
      </c>
      <c r="B251" s="3" t="s">
        <v>300</v>
      </c>
      <c r="C251" s="3" t="s">
        <v>78</v>
      </c>
      <c r="D251">
        <v>10</v>
      </c>
      <c r="E251" s="12" t="s">
        <v>135</v>
      </c>
      <c r="F251" t="s">
        <v>289</v>
      </c>
      <c r="G251" s="3">
        <v>1</v>
      </c>
      <c r="H251" t="s">
        <v>52</v>
      </c>
      <c r="I251" t="s">
        <v>87</v>
      </c>
      <c r="J251" t="s">
        <v>27</v>
      </c>
      <c r="K251" t="s">
        <v>37</v>
      </c>
      <c r="L251" t="s">
        <v>33</v>
      </c>
      <c r="M251" t="s">
        <v>29</v>
      </c>
      <c r="N251" t="s">
        <v>27</v>
      </c>
    </row>
    <row r="252" spans="1:15" x14ac:dyDescent="0.2">
      <c r="A252">
        <v>221</v>
      </c>
      <c r="B252" s="3" t="s">
        <v>300</v>
      </c>
      <c r="C252" s="3" t="s">
        <v>78</v>
      </c>
      <c r="D252">
        <v>11</v>
      </c>
      <c r="E252" s="12" t="s">
        <v>135</v>
      </c>
      <c r="F252" t="s">
        <v>289</v>
      </c>
      <c r="G252" s="3">
        <v>1</v>
      </c>
      <c r="H252" t="s">
        <v>52</v>
      </c>
      <c r="I252" t="s">
        <v>87</v>
      </c>
      <c r="J252" t="s">
        <v>27</v>
      </c>
      <c r="K252" t="s">
        <v>37</v>
      </c>
      <c r="L252" t="s">
        <v>33</v>
      </c>
      <c r="M252" t="s">
        <v>29</v>
      </c>
      <c r="N252" t="s">
        <v>27</v>
      </c>
    </row>
    <row r="253" spans="1:15" x14ac:dyDescent="0.2">
      <c r="A253">
        <v>222</v>
      </c>
      <c r="B253" s="3" t="s">
        <v>300</v>
      </c>
      <c r="C253" s="3" t="s">
        <v>78</v>
      </c>
      <c r="D253">
        <v>12</v>
      </c>
      <c r="E253" s="12" t="s">
        <v>135</v>
      </c>
      <c r="F253" t="s">
        <v>289</v>
      </c>
      <c r="G253" s="3">
        <v>1</v>
      </c>
      <c r="H253" t="s">
        <v>52</v>
      </c>
      <c r="I253" t="s">
        <v>87</v>
      </c>
      <c r="J253" t="s">
        <v>27</v>
      </c>
      <c r="K253" t="s">
        <v>37</v>
      </c>
      <c r="L253" t="s">
        <v>33</v>
      </c>
      <c r="M253" t="s">
        <v>29</v>
      </c>
      <c r="N253" t="s">
        <v>27</v>
      </c>
    </row>
    <row r="254" spans="1:15" x14ac:dyDescent="0.2">
      <c r="A254">
        <v>223</v>
      </c>
      <c r="B254" s="3" t="s">
        <v>300</v>
      </c>
      <c r="C254" s="3" t="s">
        <v>78</v>
      </c>
      <c r="D254">
        <v>13</v>
      </c>
      <c r="E254" s="12" t="s">
        <v>135</v>
      </c>
      <c r="F254" t="s">
        <v>289</v>
      </c>
      <c r="G254" s="3">
        <v>1</v>
      </c>
      <c r="H254" t="s">
        <v>52</v>
      </c>
      <c r="I254" t="s">
        <v>87</v>
      </c>
      <c r="J254" t="s">
        <v>27</v>
      </c>
      <c r="K254" t="s">
        <v>37</v>
      </c>
      <c r="L254" t="s">
        <v>33</v>
      </c>
      <c r="M254" t="s">
        <v>29</v>
      </c>
      <c r="N254" t="s">
        <v>27</v>
      </c>
    </row>
    <row r="255" spans="1:15" x14ac:dyDescent="0.2">
      <c r="A255">
        <v>224</v>
      </c>
      <c r="B255" s="3" t="s">
        <v>300</v>
      </c>
      <c r="C255" s="3" t="s">
        <v>78</v>
      </c>
      <c r="D255">
        <v>14</v>
      </c>
      <c r="E255" s="12" t="s">
        <v>135</v>
      </c>
      <c r="F255" t="s">
        <v>289</v>
      </c>
      <c r="G255" s="3">
        <v>1</v>
      </c>
      <c r="H255" t="s">
        <v>52</v>
      </c>
      <c r="I255" t="s">
        <v>87</v>
      </c>
      <c r="J255" t="s">
        <v>27</v>
      </c>
      <c r="K255" t="s">
        <v>37</v>
      </c>
      <c r="L255" t="s">
        <v>33</v>
      </c>
      <c r="M255" t="s">
        <v>29</v>
      </c>
      <c r="N255" t="s">
        <v>27</v>
      </c>
    </row>
    <row r="256" spans="1:15" x14ac:dyDescent="0.2">
      <c r="A256">
        <v>225</v>
      </c>
      <c r="B256" s="3" t="s">
        <v>300</v>
      </c>
      <c r="C256" s="3" t="s">
        <v>78</v>
      </c>
      <c r="D256">
        <v>15</v>
      </c>
      <c r="E256" s="12" t="s">
        <v>135</v>
      </c>
      <c r="F256" t="s">
        <v>289</v>
      </c>
      <c r="G256" s="3">
        <v>1</v>
      </c>
      <c r="H256" t="s">
        <v>52</v>
      </c>
      <c r="I256" t="s">
        <v>87</v>
      </c>
      <c r="J256" t="s">
        <v>27</v>
      </c>
      <c r="K256" t="s">
        <v>37</v>
      </c>
      <c r="L256" t="s">
        <v>33</v>
      </c>
      <c r="M256" t="s">
        <v>29</v>
      </c>
      <c r="N256" t="s">
        <v>27</v>
      </c>
    </row>
    <row r="257" spans="1:15" x14ac:dyDescent="0.2">
      <c r="A257">
        <v>226</v>
      </c>
      <c r="B257" s="3" t="s">
        <v>300</v>
      </c>
      <c r="C257" s="3" t="s">
        <v>78</v>
      </c>
      <c r="D257">
        <v>16</v>
      </c>
      <c r="E257" s="12" t="s">
        <v>135</v>
      </c>
      <c r="F257" t="s">
        <v>289</v>
      </c>
      <c r="G257" s="3">
        <v>1</v>
      </c>
      <c r="H257" t="s">
        <v>52</v>
      </c>
      <c r="I257" t="s">
        <v>87</v>
      </c>
      <c r="J257" t="s">
        <v>27</v>
      </c>
      <c r="K257" t="s">
        <v>37</v>
      </c>
      <c r="L257" t="s">
        <v>33</v>
      </c>
      <c r="M257" t="s">
        <v>29</v>
      </c>
      <c r="N257" t="s">
        <v>27</v>
      </c>
    </row>
    <row r="258" spans="1:15" x14ac:dyDescent="0.2">
      <c r="A258">
        <v>227</v>
      </c>
      <c r="B258" s="3" t="s">
        <v>300</v>
      </c>
      <c r="C258" s="3" t="s">
        <v>78</v>
      </c>
      <c r="D258">
        <v>17</v>
      </c>
      <c r="E258" s="12" t="s">
        <v>135</v>
      </c>
      <c r="F258" t="s">
        <v>289</v>
      </c>
      <c r="G258" s="3">
        <v>1</v>
      </c>
      <c r="H258" t="s">
        <v>52</v>
      </c>
      <c r="I258" t="s">
        <v>87</v>
      </c>
      <c r="J258" t="s">
        <v>27</v>
      </c>
      <c r="K258" t="s">
        <v>37</v>
      </c>
      <c r="L258" t="s">
        <v>33</v>
      </c>
      <c r="M258" t="s">
        <v>29</v>
      </c>
      <c r="N258" t="s">
        <v>27</v>
      </c>
    </row>
    <row r="259" spans="1:15" x14ac:dyDescent="0.2">
      <c r="A259">
        <v>228</v>
      </c>
      <c r="B259" s="3" t="s">
        <v>300</v>
      </c>
      <c r="C259" s="3" t="s">
        <v>78</v>
      </c>
      <c r="D259">
        <v>18</v>
      </c>
      <c r="E259" s="12" t="s">
        <v>135</v>
      </c>
      <c r="F259" t="s">
        <v>289</v>
      </c>
      <c r="G259" s="3">
        <v>1</v>
      </c>
      <c r="H259" t="s">
        <v>52</v>
      </c>
      <c r="I259" t="s">
        <v>87</v>
      </c>
      <c r="J259" t="s">
        <v>27</v>
      </c>
      <c r="K259" t="s">
        <v>37</v>
      </c>
      <c r="L259" t="s">
        <v>33</v>
      </c>
      <c r="M259" t="s">
        <v>29</v>
      </c>
      <c r="N259" t="s">
        <v>27</v>
      </c>
    </row>
    <row r="260" spans="1:15" x14ac:dyDescent="0.2">
      <c r="A260">
        <v>229</v>
      </c>
      <c r="B260" s="3" t="s">
        <v>300</v>
      </c>
      <c r="C260" s="3" t="s">
        <v>78</v>
      </c>
      <c r="D260">
        <v>19</v>
      </c>
      <c r="E260" s="12" t="s">
        <v>135</v>
      </c>
      <c r="F260" t="s">
        <v>289</v>
      </c>
      <c r="G260" s="3">
        <v>1</v>
      </c>
      <c r="H260" t="s">
        <v>52</v>
      </c>
      <c r="I260" t="s">
        <v>87</v>
      </c>
      <c r="J260" t="s">
        <v>27</v>
      </c>
      <c r="K260" t="s">
        <v>37</v>
      </c>
      <c r="L260" t="s">
        <v>33</v>
      </c>
      <c r="M260" t="s">
        <v>29</v>
      </c>
      <c r="N260" t="s">
        <v>27</v>
      </c>
    </row>
    <row r="261" spans="1:15" x14ac:dyDescent="0.2">
      <c r="A261">
        <v>230</v>
      </c>
      <c r="B261" s="3" t="s">
        <v>300</v>
      </c>
      <c r="C261" s="3" t="s">
        <v>78</v>
      </c>
      <c r="D261">
        <v>20</v>
      </c>
      <c r="E261" s="12" t="s">
        <v>135</v>
      </c>
      <c r="F261" t="s">
        <v>289</v>
      </c>
      <c r="G261" s="3">
        <v>1</v>
      </c>
      <c r="H261" t="s">
        <v>52</v>
      </c>
      <c r="I261" t="s">
        <v>87</v>
      </c>
      <c r="J261" t="s">
        <v>27</v>
      </c>
      <c r="K261" t="s">
        <v>37</v>
      </c>
      <c r="L261" t="s">
        <v>33</v>
      </c>
      <c r="M261" t="s">
        <v>29</v>
      </c>
      <c r="N261" t="s">
        <v>27</v>
      </c>
    </row>
    <row r="262" spans="1:15" x14ac:dyDescent="0.2">
      <c r="A262">
        <v>231</v>
      </c>
      <c r="B262" s="3" t="s">
        <v>300</v>
      </c>
      <c r="C262" s="3" t="s">
        <v>78</v>
      </c>
      <c r="D262">
        <v>21</v>
      </c>
      <c r="E262" s="12" t="s">
        <v>114</v>
      </c>
      <c r="F262" t="s">
        <v>268</v>
      </c>
      <c r="G262" s="3">
        <v>4</v>
      </c>
      <c r="H262" t="s">
        <v>38</v>
      </c>
      <c r="I262" t="s">
        <v>42</v>
      </c>
      <c r="J262" t="s">
        <v>27</v>
      </c>
      <c r="K262" t="s">
        <v>37</v>
      </c>
      <c r="L262" t="s">
        <v>33</v>
      </c>
      <c r="M262" t="s">
        <v>31</v>
      </c>
      <c r="N262" t="s">
        <v>27</v>
      </c>
      <c r="O262" t="s">
        <v>255</v>
      </c>
    </row>
    <row r="263" spans="1:15" x14ac:dyDescent="0.2">
      <c r="A263">
        <v>232</v>
      </c>
      <c r="B263" s="3" t="s">
        <v>300</v>
      </c>
      <c r="C263" s="3" t="s">
        <v>78</v>
      </c>
      <c r="D263">
        <v>22</v>
      </c>
      <c r="E263" s="12" t="s">
        <v>177</v>
      </c>
      <c r="F263" t="s">
        <v>260</v>
      </c>
      <c r="G263" s="3">
        <v>6</v>
      </c>
      <c r="H263" t="s">
        <v>31</v>
      </c>
      <c r="I263" t="s">
        <v>26</v>
      </c>
      <c r="J263" t="s">
        <v>27</v>
      </c>
      <c r="K263" t="s">
        <v>37</v>
      </c>
      <c r="L263" t="s">
        <v>33</v>
      </c>
      <c r="M263" t="s">
        <v>29</v>
      </c>
      <c r="N263" t="s">
        <v>27</v>
      </c>
      <c r="O263" t="s">
        <v>40</v>
      </c>
    </row>
    <row r="264" spans="1:15" x14ac:dyDescent="0.2">
      <c r="A264">
        <v>233</v>
      </c>
      <c r="B264" s="3" t="s">
        <v>300</v>
      </c>
      <c r="C264" s="3" t="s">
        <v>78</v>
      </c>
      <c r="D264">
        <v>23</v>
      </c>
      <c r="E264" s="12" t="s">
        <v>177</v>
      </c>
      <c r="F264" t="s">
        <v>260</v>
      </c>
      <c r="G264" s="3">
        <v>7</v>
      </c>
      <c r="H264" t="s">
        <v>31</v>
      </c>
      <c r="I264" t="s">
        <v>26</v>
      </c>
      <c r="J264" t="s">
        <v>27</v>
      </c>
      <c r="K264" t="s">
        <v>37</v>
      </c>
      <c r="L264" t="s">
        <v>33</v>
      </c>
      <c r="M264" t="s">
        <v>31</v>
      </c>
      <c r="N264" t="s">
        <v>27</v>
      </c>
      <c r="O264" t="s">
        <v>51</v>
      </c>
    </row>
    <row r="265" spans="1:15" x14ac:dyDescent="0.2">
      <c r="A265">
        <v>234</v>
      </c>
      <c r="B265" s="3" t="s">
        <v>300</v>
      </c>
      <c r="C265" s="3" t="s">
        <v>78</v>
      </c>
      <c r="D265">
        <v>24</v>
      </c>
      <c r="E265" s="12" t="s">
        <v>135</v>
      </c>
      <c r="F265" t="s">
        <v>289</v>
      </c>
      <c r="G265" s="3">
        <v>1</v>
      </c>
      <c r="H265" t="s">
        <v>52</v>
      </c>
      <c r="I265" t="s">
        <v>87</v>
      </c>
      <c r="J265" t="s">
        <v>27</v>
      </c>
      <c r="K265" t="s">
        <v>37</v>
      </c>
      <c r="L265" t="s">
        <v>33</v>
      </c>
      <c r="M265" t="s">
        <v>31</v>
      </c>
      <c r="N265" t="s">
        <v>27</v>
      </c>
    </row>
    <row r="266" spans="1:15" x14ac:dyDescent="0.2">
      <c r="A266">
        <v>73</v>
      </c>
      <c r="B266" s="3" t="s">
        <v>144</v>
      </c>
      <c r="C266" s="3" t="s">
        <v>147</v>
      </c>
      <c r="D266">
        <v>7</v>
      </c>
      <c r="E266" s="12" t="s">
        <v>146</v>
      </c>
      <c r="F266" t="s">
        <v>280</v>
      </c>
      <c r="G266" s="3">
        <v>3</v>
      </c>
      <c r="H266" t="s">
        <v>52</v>
      </c>
      <c r="I266" t="s">
        <v>26</v>
      </c>
      <c r="J266" t="s">
        <v>27</v>
      </c>
      <c r="K266" t="s">
        <v>37</v>
      </c>
      <c r="L266" t="s">
        <v>33</v>
      </c>
      <c r="M266" t="s">
        <v>31</v>
      </c>
      <c r="N266" t="s">
        <v>27</v>
      </c>
    </row>
    <row r="267" spans="1:15" x14ac:dyDescent="0.2">
      <c r="A267">
        <v>72</v>
      </c>
      <c r="B267" s="3" t="s">
        <v>144</v>
      </c>
      <c r="C267" s="3" t="s">
        <v>145</v>
      </c>
      <c r="D267">
        <v>6</v>
      </c>
      <c r="E267" s="12" t="s">
        <v>138</v>
      </c>
      <c r="F267" t="s">
        <v>293</v>
      </c>
      <c r="G267" s="3">
        <v>20</v>
      </c>
      <c r="H267" t="s">
        <v>52</v>
      </c>
      <c r="I267" t="s">
        <v>26</v>
      </c>
      <c r="J267" t="s">
        <v>27</v>
      </c>
      <c r="K267" t="s">
        <v>37</v>
      </c>
      <c r="L267" t="s">
        <v>33</v>
      </c>
      <c r="M267" t="s">
        <v>29</v>
      </c>
      <c r="N267" t="s">
        <v>27</v>
      </c>
    </row>
    <row r="268" spans="1:15" x14ac:dyDescent="0.2">
      <c r="A268">
        <v>71</v>
      </c>
      <c r="B268" s="3" t="s">
        <v>55</v>
      </c>
      <c r="C268" s="3" t="s">
        <v>143</v>
      </c>
      <c r="D268">
        <v>1</v>
      </c>
      <c r="E268" s="12" t="s">
        <v>138</v>
      </c>
      <c r="F268" t="s">
        <v>293</v>
      </c>
      <c r="G268" s="3">
        <v>20</v>
      </c>
      <c r="H268" t="s">
        <v>52</v>
      </c>
      <c r="I268" t="s">
        <v>26</v>
      </c>
      <c r="J268" t="s">
        <v>27</v>
      </c>
      <c r="K268" t="s">
        <v>37</v>
      </c>
      <c r="L268" t="s">
        <v>33</v>
      </c>
      <c r="M268" t="s">
        <v>29</v>
      </c>
      <c r="N268" t="s">
        <v>27</v>
      </c>
    </row>
    <row r="269" spans="1:15" x14ac:dyDescent="0.2">
      <c r="A269">
        <v>70</v>
      </c>
      <c r="B269" s="3" t="s">
        <v>55</v>
      </c>
      <c r="C269" s="3" t="s">
        <v>142</v>
      </c>
      <c r="D269">
        <v>4</v>
      </c>
      <c r="E269" s="12" t="s">
        <v>138</v>
      </c>
      <c r="F269" t="s">
        <v>293</v>
      </c>
      <c r="G269" s="3">
        <v>20</v>
      </c>
      <c r="H269" t="s">
        <v>52</v>
      </c>
      <c r="I269" t="s">
        <v>26</v>
      </c>
      <c r="J269" t="s">
        <v>27</v>
      </c>
      <c r="K269" t="s">
        <v>37</v>
      </c>
      <c r="L269" t="s">
        <v>33</v>
      </c>
      <c r="M269" t="s">
        <v>29</v>
      </c>
      <c r="N269" t="s">
        <v>27</v>
      </c>
    </row>
    <row r="270" spans="1:15" x14ac:dyDescent="0.2">
      <c r="A270">
        <v>69</v>
      </c>
      <c r="B270" s="3" t="s">
        <v>140</v>
      </c>
      <c r="C270" s="3" t="s">
        <v>141</v>
      </c>
      <c r="D270">
        <v>3</v>
      </c>
      <c r="E270" s="12" t="s">
        <v>138</v>
      </c>
      <c r="F270" t="s">
        <v>293</v>
      </c>
      <c r="G270" s="3">
        <v>18</v>
      </c>
      <c r="H270" t="s">
        <v>52</v>
      </c>
      <c r="I270" t="s">
        <v>26</v>
      </c>
      <c r="J270" t="s">
        <v>27</v>
      </c>
      <c r="K270" t="s">
        <v>37</v>
      </c>
      <c r="L270" t="s">
        <v>33</v>
      </c>
      <c r="M270" t="s">
        <v>29</v>
      </c>
      <c r="N270" t="s">
        <v>27</v>
      </c>
    </row>
    <row r="271" spans="1:15" x14ac:dyDescent="0.2">
      <c r="A271">
        <v>68</v>
      </c>
      <c r="B271" s="3" t="s">
        <v>136</v>
      </c>
      <c r="C271" s="3" t="s">
        <v>139</v>
      </c>
      <c r="D271">
        <v>2</v>
      </c>
      <c r="E271" s="12" t="s">
        <v>138</v>
      </c>
      <c r="F271" t="s">
        <v>293</v>
      </c>
      <c r="G271" s="3">
        <v>14</v>
      </c>
      <c r="H271" t="s">
        <v>52</v>
      </c>
      <c r="I271" t="s">
        <v>26</v>
      </c>
      <c r="J271" t="s">
        <v>27</v>
      </c>
      <c r="K271" t="s">
        <v>37</v>
      </c>
      <c r="L271" t="s">
        <v>33</v>
      </c>
      <c r="M271" t="s">
        <v>29</v>
      </c>
      <c r="N271" t="s">
        <v>27</v>
      </c>
    </row>
    <row r="272" spans="1:15" x14ac:dyDescent="0.2">
      <c r="A272">
        <v>67</v>
      </c>
      <c r="B272" s="3" t="s">
        <v>136</v>
      </c>
      <c r="C272" s="3" t="s">
        <v>137</v>
      </c>
      <c r="D272">
        <v>1</v>
      </c>
      <c r="E272" s="12" t="s">
        <v>135</v>
      </c>
      <c r="F272" t="s">
        <v>289</v>
      </c>
      <c r="G272" s="3">
        <v>2</v>
      </c>
      <c r="H272" t="s">
        <v>31</v>
      </c>
      <c r="I272" t="s">
        <v>87</v>
      </c>
      <c r="J272" t="s">
        <v>27</v>
      </c>
      <c r="K272" t="s">
        <v>37</v>
      </c>
      <c r="L272" t="s">
        <v>33</v>
      </c>
      <c r="M272" t="s">
        <v>38</v>
      </c>
      <c r="N272" t="s">
        <v>27</v>
      </c>
      <c r="O272" t="s">
        <v>134</v>
      </c>
    </row>
    <row r="273" spans="1:15" x14ac:dyDescent="0.2">
      <c r="A273">
        <v>119</v>
      </c>
      <c r="B273" s="3" t="s">
        <v>164</v>
      </c>
      <c r="C273" s="3" t="s">
        <v>78</v>
      </c>
      <c r="D273">
        <v>38</v>
      </c>
      <c r="E273" s="12" t="s">
        <v>88</v>
      </c>
      <c r="F273" t="s">
        <v>263</v>
      </c>
      <c r="G273" s="3">
        <v>1</v>
      </c>
      <c r="H273" t="s">
        <v>52</v>
      </c>
      <c r="I273" t="s">
        <v>87</v>
      </c>
      <c r="J273" t="s">
        <v>27</v>
      </c>
      <c r="K273" t="s">
        <v>37</v>
      </c>
      <c r="L273" t="s">
        <v>33</v>
      </c>
      <c r="M273" t="s">
        <v>31</v>
      </c>
      <c r="N273" t="s">
        <v>27</v>
      </c>
      <c r="O273" t="s">
        <v>162</v>
      </c>
    </row>
    <row r="274" spans="1:15" x14ac:dyDescent="0.2">
      <c r="A274">
        <v>120</v>
      </c>
      <c r="B274" s="3" t="s">
        <v>164</v>
      </c>
      <c r="C274" s="3" t="s">
        <v>78</v>
      </c>
      <c r="D274">
        <v>39</v>
      </c>
      <c r="E274" s="12" t="s">
        <v>88</v>
      </c>
      <c r="F274" t="s">
        <v>263</v>
      </c>
      <c r="G274" s="3">
        <v>1</v>
      </c>
      <c r="H274" t="s">
        <v>52</v>
      </c>
      <c r="I274" t="s">
        <v>87</v>
      </c>
      <c r="J274" t="s">
        <v>27</v>
      </c>
      <c r="K274" t="s">
        <v>37</v>
      </c>
      <c r="L274" t="s">
        <v>33</v>
      </c>
      <c r="M274" t="s">
        <v>31</v>
      </c>
      <c r="N274" t="s">
        <v>27</v>
      </c>
      <c r="O274" t="s">
        <v>162</v>
      </c>
    </row>
    <row r="275" spans="1:15" x14ac:dyDescent="0.2">
      <c r="A275">
        <v>121</v>
      </c>
      <c r="B275" s="3" t="s">
        <v>164</v>
      </c>
      <c r="C275" s="3" t="s">
        <v>78</v>
      </c>
      <c r="D275">
        <v>40</v>
      </c>
      <c r="E275" s="12" t="s">
        <v>88</v>
      </c>
      <c r="F275" t="s">
        <v>263</v>
      </c>
      <c r="G275" s="3">
        <v>1</v>
      </c>
      <c r="H275" t="s">
        <v>52</v>
      </c>
      <c r="I275" t="s">
        <v>87</v>
      </c>
      <c r="J275" t="s">
        <v>27</v>
      </c>
      <c r="K275" t="s">
        <v>37</v>
      </c>
      <c r="L275" t="s">
        <v>33</v>
      </c>
      <c r="M275" t="s">
        <v>31</v>
      </c>
      <c r="N275" t="s">
        <v>27</v>
      </c>
      <c r="O275" t="s">
        <v>162</v>
      </c>
    </row>
    <row r="276" spans="1:15" x14ac:dyDescent="0.2">
      <c r="A276">
        <v>122</v>
      </c>
      <c r="B276" s="3" t="s">
        <v>164</v>
      </c>
      <c r="C276" s="3" t="s">
        <v>78</v>
      </c>
      <c r="D276">
        <v>41</v>
      </c>
      <c r="E276" s="12" t="s">
        <v>88</v>
      </c>
      <c r="F276" t="s">
        <v>263</v>
      </c>
      <c r="G276" s="3">
        <v>1</v>
      </c>
      <c r="H276" t="s">
        <v>52</v>
      </c>
      <c r="I276" t="s">
        <v>87</v>
      </c>
      <c r="J276" t="s">
        <v>27</v>
      </c>
      <c r="K276" t="s">
        <v>37</v>
      </c>
      <c r="L276" t="s">
        <v>33</v>
      </c>
      <c r="M276" t="s">
        <v>31</v>
      </c>
      <c r="N276" t="s">
        <v>27</v>
      </c>
      <c r="O276" t="s">
        <v>162</v>
      </c>
    </row>
    <row r="277" spans="1:15" x14ac:dyDescent="0.2">
      <c r="A277">
        <v>123</v>
      </c>
      <c r="B277" s="3" t="s">
        <v>164</v>
      </c>
      <c r="C277" s="3" t="s">
        <v>78</v>
      </c>
      <c r="D277">
        <v>42</v>
      </c>
      <c r="E277" s="12" t="s">
        <v>88</v>
      </c>
      <c r="F277" t="s">
        <v>263</v>
      </c>
      <c r="G277" s="3">
        <v>1</v>
      </c>
      <c r="H277" t="s">
        <v>52</v>
      </c>
      <c r="I277" t="s">
        <v>87</v>
      </c>
      <c r="J277" t="s">
        <v>27</v>
      </c>
      <c r="K277" t="s">
        <v>37</v>
      </c>
      <c r="L277" t="s">
        <v>33</v>
      </c>
      <c r="M277" t="s">
        <v>31</v>
      </c>
      <c r="N277" t="s">
        <v>27</v>
      </c>
      <c r="O277" t="s">
        <v>162</v>
      </c>
    </row>
    <row r="278" spans="1:15" x14ac:dyDescent="0.2">
      <c r="A278">
        <v>124</v>
      </c>
      <c r="B278" s="3" t="s">
        <v>164</v>
      </c>
      <c r="C278" s="3" t="s">
        <v>78</v>
      </c>
      <c r="D278">
        <v>43</v>
      </c>
      <c r="E278" s="12" t="s">
        <v>88</v>
      </c>
      <c r="F278" t="s">
        <v>263</v>
      </c>
      <c r="G278" s="3">
        <v>1</v>
      </c>
      <c r="H278" t="s">
        <v>52</v>
      </c>
      <c r="I278" t="s">
        <v>87</v>
      </c>
      <c r="J278" t="s">
        <v>27</v>
      </c>
      <c r="K278" t="s">
        <v>37</v>
      </c>
      <c r="L278" t="s">
        <v>33</v>
      </c>
      <c r="M278" t="s">
        <v>31</v>
      </c>
      <c r="N278" t="s">
        <v>27</v>
      </c>
      <c r="O278" t="s">
        <v>162</v>
      </c>
    </row>
    <row r="279" spans="1:15" x14ac:dyDescent="0.2">
      <c r="A279">
        <v>125</v>
      </c>
      <c r="B279" s="3" t="s">
        <v>164</v>
      </c>
      <c r="C279" s="3" t="s">
        <v>78</v>
      </c>
      <c r="D279">
        <v>44</v>
      </c>
      <c r="E279" s="12" t="s">
        <v>88</v>
      </c>
      <c r="F279" t="s">
        <v>263</v>
      </c>
      <c r="G279" s="3">
        <v>1</v>
      </c>
      <c r="H279" t="s">
        <v>52</v>
      </c>
      <c r="I279" t="s">
        <v>87</v>
      </c>
      <c r="J279" t="s">
        <v>27</v>
      </c>
      <c r="K279" t="s">
        <v>37</v>
      </c>
      <c r="L279" t="s">
        <v>33</v>
      </c>
      <c r="M279" t="s">
        <v>31</v>
      </c>
      <c r="N279" t="s">
        <v>27</v>
      </c>
      <c r="O279" t="s">
        <v>162</v>
      </c>
    </row>
    <row r="280" spans="1:15" x14ac:dyDescent="0.2">
      <c r="A280">
        <v>126</v>
      </c>
      <c r="B280" s="3" t="s">
        <v>164</v>
      </c>
      <c r="C280" s="3" t="s">
        <v>78</v>
      </c>
      <c r="D280">
        <v>45</v>
      </c>
      <c r="E280" s="12" t="s">
        <v>88</v>
      </c>
      <c r="F280" t="s">
        <v>263</v>
      </c>
      <c r="G280" s="3">
        <v>1</v>
      </c>
      <c r="H280" t="s">
        <v>52</v>
      </c>
      <c r="I280" t="s">
        <v>87</v>
      </c>
      <c r="J280" t="s">
        <v>27</v>
      </c>
      <c r="K280" t="s">
        <v>37</v>
      </c>
      <c r="L280" t="s">
        <v>33</v>
      </c>
      <c r="M280" t="s">
        <v>31</v>
      </c>
      <c r="N280" t="s">
        <v>27</v>
      </c>
      <c r="O280" t="s">
        <v>162</v>
      </c>
    </row>
    <row r="281" spans="1:15" x14ac:dyDescent="0.2">
      <c r="A281">
        <v>127</v>
      </c>
      <c r="B281" s="3" t="s">
        <v>164</v>
      </c>
      <c r="C281" s="3" t="s">
        <v>78</v>
      </c>
      <c r="D281">
        <v>46</v>
      </c>
      <c r="E281" s="12" t="s">
        <v>88</v>
      </c>
      <c r="F281" t="s">
        <v>263</v>
      </c>
      <c r="G281" s="3">
        <v>1</v>
      </c>
      <c r="H281" t="s">
        <v>52</v>
      </c>
      <c r="I281" t="s">
        <v>87</v>
      </c>
      <c r="J281" t="s">
        <v>27</v>
      </c>
      <c r="K281" t="s">
        <v>37</v>
      </c>
      <c r="L281" t="s">
        <v>33</v>
      </c>
      <c r="M281" t="s">
        <v>31</v>
      </c>
      <c r="N281" t="s">
        <v>27</v>
      </c>
      <c r="O281" t="s">
        <v>162</v>
      </c>
    </row>
    <row r="282" spans="1:15" x14ac:dyDescent="0.2">
      <c r="A282">
        <v>128</v>
      </c>
      <c r="B282" s="3" t="s">
        <v>164</v>
      </c>
      <c r="C282" s="3" t="s">
        <v>78</v>
      </c>
      <c r="D282">
        <v>47</v>
      </c>
      <c r="E282" s="12" t="s">
        <v>88</v>
      </c>
      <c r="F282" t="s">
        <v>263</v>
      </c>
      <c r="G282" s="3">
        <v>1</v>
      </c>
      <c r="H282" t="s">
        <v>52</v>
      </c>
      <c r="I282" t="s">
        <v>87</v>
      </c>
      <c r="J282" t="s">
        <v>27</v>
      </c>
      <c r="K282" t="s">
        <v>37</v>
      </c>
      <c r="L282" t="s">
        <v>33</v>
      </c>
      <c r="M282" t="s">
        <v>31</v>
      </c>
      <c r="N282" t="s">
        <v>27</v>
      </c>
      <c r="O282" t="s">
        <v>162</v>
      </c>
    </row>
    <row r="283" spans="1:15" x14ac:dyDescent="0.2">
      <c r="A283">
        <v>129</v>
      </c>
      <c r="B283" s="3" t="s">
        <v>164</v>
      </c>
      <c r="C283" s="3" t="s">
        <v>78</v>
      </c>
      <c r="D283">
        <v>48</v>
      </c>
      <c r="E283" s="12" t="s">
        <v>88</v>
      </c>
      <c r="F283" t="s">
        <v>263</v>
      </c>
      <c r="G283" s="3">
        <v>1</v>
      </c>
      <c r="H283" t="s">
        <v>52</v>
      </c>
      <c r="I283" t="s">
        <v>87</v>
      </c>
      <c r="J283" t="s">
        <v>27</v>
      </c>
      <c r="K283" t="s">
        <v>37</v>
      </c>
      <c r="L283" t="s">
        <v>33</v>
      </c>
      <c r="M283" t="s">
        <v>31</v>
      </c>
      <c r="N283" t="s">
        <v>27</v>
      </c>
      <c r="O283" t="s">
        <v>162</v>
      </c>
    </row>
    <row r="284" spans="1:15" x14ac:dyDescent="0.2">
      <c r="A284">
        <v>130</v>
      </c>
      <c r="B284" s="3" t="s">
        <v>164</v>
      </c>
      <c r="C284" s="3" t="s">
        <v>78</v>
      </c>
      <c r="D284">
        <v>49</v>
      </c>
      <c r="E284" s="12" t="s">
        <v>88</v>
      </c>
      <c r="F284" t="s">
        <v>263</v>
      </c>
      <c r="G284" s="3">
        <v>1</v>
      </c>
      <c r="H284" t="s">
        <v>52</v>
      </c>
      <c r="I284" t="s">
        <v>87</v>
      </c>
      <c r="J284" t="s">
        <v>27</v>
      </c>
      <c r="K284" t="s">
        <v>37</v>
      </c>
      <c r="L284" t="s">
        <v>33</v>
      </c>
      <c r="M284" t="s">
        <v>31</v>
      </c>
      <c r="N284" t="s">
        <v>27</v>
      </c>
      <c r="O284" t="s">
        <v>162</v>
      </c>
    </row>
    <row r="285" spans="1:15" x14ac:dyDescent="0.2">
      <c r="A285">
        <v>131</v>
      </c>
      <c r="B285" s="3" t="s">
        <v>164</v>
      </c>
      <c r="C285" s="3" t="s">
        <v>78</v>
      </c>
      <c r="D285">
        <v>50</v>
      </c>
      <c r="E285" s="12" t="s">
        <v>119</v>
      </c>
      <c r="F285" t="s">
        <v>286</v>
      </c>
      <c r="G285" s="3">
        <v>3</v>
      </c>
      <c r="H285" t="s">
        <v>31</v>
      </c>
      <c r="I285" t="s">
        <v>26</v>
      </c>
      <c r="J285" t="s">
        <v>27</v>
      </c>
      <c r="K285" t="s">
        <v>37</v>
      </c>
      <c r="L285" t="s">
        <v>33</v>
      </c>
      <c r="M285" t="s">
        <v>29</v>
      </c>
      <c r="N285" t="s">
        <v>27</v>
      </c>
    </row>
    <row r="286" spans="1:15" x14ac:dyDescent="0.2">
      <c r="A286">
        <v>132</v>
      </c>
      <c r="B286" s="3" t="s">
        <v>164</v>
      </c>
      <c r="C286" s="3" t="s">
        <v>78</v>
      </c>
      <c r="D286">
        <v>51</v>
      </c>
      <c r="E286" s="12" t="s">
        <v>126</v>
      </c>
      <c r="F286" t="s">
        <v>273</v>
      </c>
      <c r="G286" s="3">
        <v>3</v>
      </c>
      <c r="H286" t="s">
        <v>31</v>
      </c>
      <c r="I286" t="s">
        <v>26</v>
      </c>
      <c r="J286" t="s">
        <v>27</v>
      </c>
      <c r="K286" t="s">
        <v>37</v>
      </c>
      <c r="L286" t="s">
        <v>33</v>
      </c>
      <c r="M286" t="s">
        <v>38</v>
      </c>
      <c r="N286" t="s">
        <v>84</v>
      </c>
      <c r="O286" t="s">
        <v>165</v>
      </c>
    </row>
    <row r="287" spans="1:15" x14ac:dyDescent="0.2">
      <c r="A287">
        <v>133</v>
      </c>
      <c r="B287" s="3" t="s">
        <v>164</v>
      </c>
      <c r="C287" s="3" t="s">
        <v>78</v>
      </c>
      <c r="D287">
        <v>52</v>
      </c>
      <c r="E287" s="12" t="s">
        <v>167</v>
      </c>
      <c r="F287" t="s">
        <v>298</v>
      </c>
      <c r="G287" s="3">
        <v>2</v>
      </c>
      <c r="H287" t="s">
        <v>38</v>
      </c>
      <c r="I287" t="s">
        <v>42</v>
      </c>
      <c r="J287" t="s">
        <v>27</v>
      </c>
      <c r="K287" t="s">
        <v>37</v>
      </c>
      <c r="L287" t="s">
        <v>33</v>
      </c>
      <c r="M287" t="s">
        <v>38</v>
      </c>
      <c r="N287" t="s">
        <v>84</v>
      </c>
      <c r="O287" t="s">
        <v>166</v>
      </c>
    </row>
    <row r="288" spans="1:15" x14ac:dyDescent="0.2">
      <c r="A288">
        <v>50</v>
      </c>
      <c r="B288" s="3" t="s">
        <v>122</v>
      </c>
      <c r="C288" s="3" t="s">
        <v>78</v>
      </c>
      <c r="D288">
        <v>1</v>
      </c>
      <c r="E288" s="12" t="s">
        <v>79</v>
      </c>
      <c r="F288" t="s">
        <v>285</v>
      </c>
      <c r="G288" s="3">
        <v>5</v>
      </c>
      <c r="H288" t="s">
        <v>31</v>
      </c>
      <c r="I288" t="s">
        <v>26</v>
      </c>
      <c r="J288" t="s">
        <v>27</v>
      </c>
      <c r="K288" t="s">
        <v>37</v>
      </c>
      <c r="L288" t="s">
        <v>33</v>
      </c>
      <c r="M288" t="s">
        <v>31</v>
      </c>
      <c r="N288" t="s">
        <v>27</v>
      </c>
      <c r="O288" t="s">
        <v>121</v>
      </c>
    </row>
    <row r="289" spans="1:15" x14ac:dyDescent="0.2">
      <c r="A289">
        <v>51</v>
      </c>
      <c r="B289" s="3" t="s">
        <v>122</v>
      </c>
      <c r="C289" s="3" t="s">
        <v>78</v>
      </c>
      <c r="D289">
        <v>2</v>
      </c>
      <c r="E289" s="12" t="s">
        <v>79</v>
      </c>
      <c r="F289" t="s">
        <v>285</v>
      </c>
      <c r="G289" s="3">
        <v>5</v>
      </c>
      <c r="H289" t="s">
        <v>31</v>
      </c>
      <c r="I289" t="s">
        <v>26</v>
      </c>
      <c r="J289" t="s">
        <v>27</v>
      </c>
      <c r="K289" t="s">
        <v>37</v>
      </c>
      <c r="L289" t="s">
        <v>33</v>
      </c>
      <c r="M289" t="s">
        <v>31</v>
      </c>
      <c r="N289" t="s">
        <v>27</v>
      </c>
      <c r="O289" t="s">
        <v>123</v>
      </c>
    </row>
    <row r="290" spans="1:15" x14ac:dyDescent="0.2">
      <c r="A290">
        <v>52</v>
      </c>
      <c r="B290" s="3" t="s">
        <v>122</v>
      </c>
      <c r="C290" s="3" t="s">
        <v>78</v>
      </c>
      <c r="D290">
        <v>3</v>
      </c>
      <c r="E290" s="12" t="s">
        <v>79</v>
      </c>
      <c r="F290" t="s">
        <v>285</v>
      </c>
      <c r="G290" s="3">
        <v>5</v>
      </c>
      <c r="H290" t="s">
        <v>31</v>
      </c>
      <c r="I290" t="s">
        <v>26</v>
      </c>
      <c r="J290" t="s">
        <v>27</v>
      </c>
      <c r="K290" t="s">
        <v>37</v>
      </c>
      <c r="L290" t="s">
        <v>33</v>
      </c>
      <c r="M290" t="s">
        <v>31</v>
      </c>
      <c r="N290" t="s">
        <v>27</v>
      </c>
    </row>
    <row r="291" spans="1:15" x14ac:dyDescent="0.2">
      <c r="A291">
        <v>53</v>
      </c>
      <c r="B291" s="3" t="s">
        <v>122</v>
      </c>
      <c r="C291" s="3" t="s">
        <v>78</v>
      </c>
      <c r="D291">
        <v>4</v>
      </c>
      <c r="E291" s="12" t="s">
        <v>79</v>
      </c>
      <c r="F291" t="s">
        <v>285</v>
      </c>
      <c r="G291" s="3">
        <v>5</v>
      </c>
      <c r="H291" t="s">
        <v>31</v>
      </c>
      <c r="I291" t="s">
        <v>26</v>
      </c>
      <c r="J291" t="s">
        <v>27</v>
      </c>
      <c r="K291" t="s">
        <v>37</v>
      </c>
      <c r="L291" t="s">
        <v>33</v>
      </c>
      <c r="M291" t="s">
        <v>31</v>
      </c>
      <c r="N291" t="s">
        <v>27</v>
      </c>
    </row>
    <row r="292" spans="1:15" x14ac:dyDescent="0.2">
      <c r="A292">
        <v>54</v>
      </c>
      <c r="B292" s="3" t="s">
        <v>122</v>
      </c>
      <c r="C292" s="3" t="s">
        <v>78</v>
      </c>
      <c r="D292">
        <v>5</v>
      </c>
      <c r="E292" s="12" t="s">
        <v>79</v>
      </c>
      <c r="F292" t="s">
        <v>285</v>
      </c>
      <c r="G292" s="3">
        <v>5</v>
      </c>
      <c r="H292" t="s">
        <v>31</v>
      </c>
      <c r="I292" t="s">
        <v>26</v>
      </c>
      <c r="J292" t="s">
        <v>27</v>
      </c>
      <c r="K292" t="s">
        <v>37</v>
      </c>
      <c r="L292" t="s">
        <v>33</v>
      </c>
      <c r="M292" t="s">
        <v>31</v>
      </c>
      <c r="N292" t="s">
        <v>27</v>
      </c>
    </row>
    <row r="293" spans="1:15" x14ac:dyDescent="0.2">
      <c r="A293">
        <v>55</v>
      </c>
      <c r="B293" s="3" t="s">
        <v>122</v>
      </c>
      <c r="C293" s="3" t="s">
        <v>78</v>
      </c>
      <c r="D293">
        <v>6</v>
      </c>
      <c r="E293" s="12" t="s">
        <v>79</v>
      </c>
      <c r="F293" t="s">
        <v>285</v>
      </c>
      <c r="G293" s="3">
        <v>2</v>
      </c>
      <c r="H293" t="s">
        <v>52</v>
      </c>
      <c r="I293" t="s">
        <v>87</v>
      </c>
      <c r="J293" t="s">
        <v>27</v>
      </c>
      <c r="K293" t="s">
        <v>37</v>
      </c>
      <c r="L293" t="s">
        <v>33</v>
      </c>
      <c r="M293" t="s">
        <v>31</v>
      </c>
      <c r="N293" t="s">
        <v>27</v>
      </c>
    </row>
    <row r="294" spans="1:15" x14ac:dyDescent="0.2">
      <c r="A294">
        <v>56</v>
      </c>
      <c r="B294" s="3" t="s">
        <v>122</v>
      </c>
      <c r="C294" s="3" t="s">
        <v>78</v>
      </c>
      <c r="D294">
        <v>7</v>
      </c>
      <c r="E294" s="12" t="s">
        <v>79</v>
      </c>
      <c r="F294" t="s">
        <v>285</v>
      </c>
      <c r="G294" s="3">
        <v>2</v>
      </c>
      <c r="H294" t="s">
        <v>52</v>
      </c>
      <c r="I294" t="s">
        <v>87</v>
      </c>
      <c r="J294" t="s">
        <v>27</v>
      </c>
      <c r="K294" t="s">
        <v>37</v>
      </c>
      <c r="L294" t="s">
        <v>33</v>
      </c>
      <c r="M294" t="s">
        <v>31</v>
      </c>
      <c r="N294" t="s">
        <v>27</v>
      </c>
    </row>
    <row r="295" spans="1:15" x14ac:dyDescent="0.2">
      <c r="A295">
        <v>57</v>
      </c>
      <c r="B295" s="3" t="s">
        <v>122</v>
      </c>
      <c r="C295" s="3" t="s">
        <v>78</v>
      </c>
      <c r="D295">
        <v>8</v>
      </c>
      <c r="E295" s="12" t="s">
        <v>79</v>
      </c>
      <c r="F295" t="s">
        <v>285</v>
      </c>
      <c r="G295" s="3">
        <v>3</v>
      </c>
      <c r="H295" t="s">
        <v>52</v>
      </c>
      <c r="I295" t="s">
        <v>87</v>
      </c>
      <c r="J295" t="s">
        <v>27</v>
      </c>
      <c r="K295" t="s">
        <v>37</v>
      </c>
      <c r="L295" t="s">
        <v>33</v>
      </c>
      <c r="M295" t="s">
        <v>31</v>
      </c>
      <c r="N295" t="s">
        <v>27</v>
      </c>
    </row>
    <row r="296" spans="1:15" x14ac:dyDescent="0.2">
      <c r="A296">
        <v>58</v>
      </c>
      <c r="B296" s="3" t="s">
        <v>122</v>
      </c>
      <c r="C296" s="3" t="s">
        <v>78</v>
      </c>
      <c r="D296">
        <v>9</v>
      </c>
      <c r="E296" s="12" t="s">
        <v>79</v>
      </c>
      <c r="F296" t="s">
        <v>285</v>
      </c>
      <c r="G296" s="3">
        <v>4</v>
      </c>
      <c r="H296" t="s">
        <v>52</v>
      </c>
      <c r="I296" t="s">
        <v>26</v>
      </c>
      <c r="J296" t="s">
        <v>27</v>
      </c>
      <c r="K296" t="s">
        <v>37</v>
      </c>
      <c r="L296" t="s">
        <v>33</v>
      </c>
      <c r="M296" t="s">
        <v>31</v>
      </c>
      <c r="N296" t="s">
        <v>84</v>
      </c>
      <c r="O296" t="s">
        <v>124</v>
      </c>
    </row>
    <row r="297" spans="1:15" x14ac:dyDescent="0.2">
      <c r="A297">
        <v>59</v>
      </c>
      <c r="B297" s="3" t="s">
        <v>122</v>
      </c>
      <c r="C297" s="3" t="s">
        <v>78</v>
      </c>
      <c r="D297">
        <v>10</v>
      </c>
      <c r="E297" s="12" t="s">
        <v>82</v>
      </c>
      <c r="F297" t="s">
        <v>284</v>
      </c>
      <c r="G297" s="3">
        <v>8</v>
      </c>
      <c r="H297" t="s">
        <v>31</v>
      </c>
      <c r="I297" t="s">
        <v>26</v>
      </c>
      <c r="J297" t="s">
        <v>27</v>
      </c>
      <c r="K297" t="s">
        <v>37</v>
      </c>
      <c r="L297" t="s">
        <v>33</v>
      </c>
      <c r="M297" t="s">
        <v>38</v>
      </c>
      <c r="N297" t="s">
        <v>27</v>
      </c>
      <c r="O297" t="s">
        <v>125</v>
      </c>
    </row>
    <row r="298" spans="1:15" x14ac:dyDescent="0.2">
      <c r="A298">
        <v>156</v>
      </c>
      <c r="B298" s="3" t="s">
        <v>174</v>
      </c>
      <c r="C298" s="3" t="s">
        <v>78</v>
      </c>
      <c r="D298">
        <v>1</v>
      </c>
      <c r="E298" s="12" t="s">
        <v>94</v>
      </c>
      <c r="F298" t="s">
        <v>290</v>
      </c>
      <c r="G298" s="3">
        <v>10</v>
      </c>
      <c r="H298" t="s">
        <v>25</v>
      </c>
      <c r="I298" t="s">
        <v>26</v>
      </c>
      <c r="J298" t="s">
        <v>27</v>
      </c>
      <c r="K298" t="s">
        <v>37</v>
      </c>
      <c r="L298" t="s">
        <v>33</v>
      </c>
      <c r="M298" t="s">
        <v>29</v>
      </c>
      <c r="N298" t="s">
        <v>27</v>
      </c>
    </row>
    <row r="299" spans="1:15" x14ac:dyDescent="0.2">
      <c r="A299">
        <v>157</v>
      </c>
      <c r="B299" s="3" t="s">
        <v>174</v>
      </c>
      <c r="C299" s="3" t="s">
        <v>78</v>
      </c>
      <c r="D299">
        <v>2</v>
      </c>
      <c r="E299" s="12" t="s">
        <v>79</v>
      </c>
      <c r="F299" t="s">
        <v>285</v>
      </c>
      <c r="G299" s="3">
        <v>8</v>
      </c>
      <c r="H299" t="s">
        <v>52</v>
      </c>
      <c r="I299" t="s">
        <v>26</v>
      </c>
      <c r="J299" t="s">
        <v>27</v>
      </c>
      <c r="K299" t="s">
        <v>37</v>
      </c>
      <c r="L299" t="s">
        <v>33</v>
      </c>
      <c r="M299" t="s">
        <v>29</v>
      </c>
      <c r="N299" t="s">
        <v>27</v>
      </c>
    </row>
    <row r="300" spans="1:15" x14ac:dyDescent="0.2">
      <c r="A300">
        <v>158</v>
      </c>
      <c r="B300" s="3" t="s">
        <v>174</v>
      </c>
      <c r="C300" s="3" t="s">
        <v>78</v>
      </c>
      <c r="D300">
        <v>3</v>
      </c>
      <c r="E300" s="12" t="s">
        <v>79</v>
      </c>
      <c r="F300" t="s">
        <v>285</v>
      </c>
      <c r="G300" s="3">
        <v>8</v>
      </c>
      <c r="H300" t="s">
        <v>52</v>
      </c>
      <c r="I300" t="s">
        <v>26</v>
      </c>
      <c r="J300" t="s">
        <v>27</v>
      </c>
      <c r="K300" t="s">
        <v>37</v>
      </c>
      <c r="L300" t="s">
        <v>33</v>
      </c>
      <c r="M300" t="s">
        <v>29</v>
      </c>
      <c r="N300" t="s">
        <v>27</v>
      </c>
    </row>
    <row r="301" spans="1:15" x14ac:dyDescent="0.2">
      <c r="A301">
        <v>159</v>
      </c>
      <c r="B301" s="3" t="s">
        <v>174</v>
      </c>
      <c r="C301" s="3" t="s">
        <v>78</v>
      </c>
      <c r="D301">
        <v>4</v>
      </c>
      <c r="E301" s="12" t="s">
        <v>75</v>
      </c>
      <c r="F301" t="s">
        <v>297</v>
      </c>
      <c r="G301" s="3">
        <v>16</v>
      </c>
      <c r="H301" t="s">
        <v>31</v>
      </c>
      <c r="I301" t="s">
        <v>26</v>
      </c>
      <c r="J301" t="s">
        <v>27</v>
      </c>
      <c r="K301" t="s">
        <v>37</v>
      </c>
      <c r="L301" t="s">
        <v>33</v>
      </c>
      <c r="M301" t="s">
        <v>29</v>
      </c>
      <c r="N301" t="s">
        <v>27</v>
      </c>
    </row>
    <row r="302" spans="1:15" x14ac:dyDescent="0.2">
      <c r="A302">
        <v>160</v>
      </c>
      <c r="B302" s="3" t="s">
        <v>174</v>
      </c>
      <c r="C302" s="3" t="s">
        <v>78</v>
      </c>
      <c r="D302">
        <v>5</v>
      </c>
      <c r="E302" s="12" t="s">
        <v>94</v>
      </c>
      <c r="F302" t="s">
        <v>290</v>
      </c>
      <c r="G302" s="3">
        <v>14</v>
      </c>
      <c r="H302" t="s">
        <v>38</v>
      </c>
      <c r="I302" t="s">
        <v>42</v>
      </c>
      <c r="J302" t="s">
        <v>27</v>
      </c>
      <c r="K302" t="s">
        <v>28</v>
      </c>
      <c r="L302" t="s">
        <v>33</v>
      </c>
      <c r="M302" t="s">
        <v>31</v>
      </c>
      <c r="N302" t="s">
        <v>27</v>
      </c>
      <c r="O302" t="s">
        <v>175</v>
      </c>
    </row>
    <row r="303" spans="1:15" x14ac:dyDescent="0.2">
      <c r="A303">
        <v>161</v>
      </c>
      <c r="B303" s="3" t="s">
        <v>174</v>
      </c>
      <c r="C303" s="3" t="s">
        <v>78</v>
      </c>
      <c r="D303">
        <v>6</v>
      </c>
      <c r="E303" s="12" t="s">
        <v>119</v>
      </c>
      <c r="F303" t="s">
        <v>286</v>
      </c>
      <c r="G303" s="3">
        <v>5</v>
      </c>
      <c r="H303" t="s">
        <v>38</v>
      </c>
      <c r="I303" t="s">
        <v>42</v>
      </c>
      <c r="J303" t="s">
        <v>27</v>
      </c>
      <c r="K303" t="s">
        <v>37</v>
      </c>
      <c r="L303" t="s">
        <v>33</v>
      </c>
      <c r="M303" t="s">
        <v>31</v>
      </c>
      <c r="N303" t="s">
        <v>27</v>
      </c>
      <c r="O303" t="s">
        <v>176</v>
      </c>
    </row>
    <row r="304" spans="1:15" x14ac:dyDescent="0.2">
      <c r="A304">
        <v>162</v>
      </c>
      <c r="B304" s="3" t="s">
        <v>174</v>
      </c>
      <c r="C304" s="3" t="s">
        <v>78</v>
      </c>
      <c r="D304">
        <v>7</v>
      </c>
      <c r="E304" s="12" t="s">
        <v>94</v>
      </c>
      <c r="F304" t="s">
        <v>290</v>
      </c>
      <c r="G304" s="3">
        <v>10</v>
      </c>
      <c r="H304" t="s">
        <v>38</v>
      </c>
      <c r="I304" t="s">
        <v>35</v>
      </c>
      <c r="J304" t="s">
        <v>27</v>
      </c>
      <c r="K304" t="s">
        <v>34</v>
      </c>
      <c r="L304" t="s">
        <v>33</v>
      </c>
      <c r="M304" t="s">
        <v>31</v>
      </c>
      <c r="N304" t="s">
        <v>27</v>
      </c>
      <c r="O304" t="s">
        <v>49</v>
      </c>
    </row>
    <row r="305" spans="1:15" x14ac:dyDescent="0.2">
      <c r="A305">
        <v>163</v>
      </c>
      <c r="B305" s="3" t="s">
        <v>174</v>
      </c>
      <c r="C305" s="3" t="s">
        <v>78</v>
      </c>
      <c r="D305">
        <v>8</v>
      </c>
      <c r="E305" s="12" t="s">
        <v>177</v>
      </c>
      <c r="F305" t="s">
        <v>260</v>
      </c>
      <c r="G305" s="3">
        <v>9</v>
      </c>
      <c r="H305" t="s">
        <v>31</v>
      </c>
      <c r="I305" t="s">
        <v>26</v>
      </c>
      <c r="J305" t="s">
        <v>27</v>
      </c>
      <c r="K305" t="s">
        <v>37</v>
      </c>
      <c r="L305" t="s">
        <v>33</v>
      </c>
      <c r="M305" t="s">
        <v>31</v>
      </c>
      <c r="N305" t="s">
        <v>27</v>
      </c>
      <c r="O305" t="s">
        <v>43</v>
      </c>
    </row>
    <row r="306" spans="1:15" x14ac:dyDescent="0.2">
      <c r="A306">
        <v>165</v>
      </c>
      <c r="B306" s="3" t="s">
        <v>174</v>
      </c>
      <c r="C306" s="3" t="s">
        <v>78</v>
      </c>
      <c r="D306">
        <v>9</v>
      </c>
      <c r="E306" s="12" t="s">
        <v>171</v>
      </c>
      <c r="F306" t="s">
        <v>281</v>
      </c>
      <c r="G306" s="3">
        <v>4</v>
      </c>
      <c r="H306" t="s">
        <v>52</v>
      </c>
      <c r="I306" t="s">
        <v>26</v>
      </c>
      <c r="J306" t="s">
        <v>27</v>
      </c>
      <c r="K306" t="s">
        <v>37</v>
      </c>
      <c r="L306" t="s">
        <v>33</v>
      </c>
      <c r="M306" t="s">
        <v>31</v>
      </c>
      <c r="N306" t="s">
        <v>27</v>
      </c>
    </row>
    <row r="307" spans="1:15" x14ac:dyDescent="0.2">
      <c r="A307">
        <v>166</v>
      </c>
      <c r="B307" s="3" t="s">
        <v>174</v>
      </c>
      <c r="C307" s="3" t="s">
        <v>78</v>
      </c>
      <c r="D307">
        <v>10</v>
      </c>
      <c r="E307" s="12" t="s">
        <v>179</v>
      </c>
      <c r="F307" t="s">
        <v>266</v>
      </c>
      <c r="G307" s="3">
        <v>8</v>
      </c>
      <c r="H307" t="s">
        <v>31</v>
      </c>
      <c r="I307" t="s">
        <v>87</v>
      </c>
      <c r="J307" t="s">
        <v>27</v>
      </c>
      <c r="K307" t="s">
        <v>37</v>
      </c>
      <c r="L307" t="s">
        <v>33</v>
      </c>
      <c r="M307" t="s">
        <v>31</v>
      </c>
      <c r="N307" t="s">
        <v>27</v>
      </c>
    </row>
    <row r="308" spans="1:15" x14ac:dyDescent="0.2">
      <c r="A308">
        <v>167</v>
      </c>
      <c r="B308" s="3" t="s">
        <v>174</v>
      </c>
      <c r="C308" s="3" t="s">
        <v>78</v>
      </c>
      <c r="D308">
        <v>11</v>
      </c>
      <c r="E308" s="12" t="s">
        <v>146</v>
      </c>
      <c r="F308" t="s">
        <v>280</v>
      </c>
      <c r="G308" s="3">
        <v>2</v>
      </c>
      <c r="H308" t="s">
        <v>52</v>
      </c>
      <c r="I308" t="s">
        <v>26</v>
      </c>
      <c r="J308" t="s">
        <v>27</v>
      </c>
      <c r="K308" t="s">
        <v>37</v>
      </c>
      <c r="L308" t="s">
        <v>33</v>
      </c>
      <c r="M308" t="s">
        <v>29</v>
      </c>
      <c r="N308" t="s">
        <v>27</v>
      </c>
    </row>
    <row r="309" spans="1:15" x14ac:dyDescent="0.2">
      <c r="A309">
        <v>168</v>
      </c>
      <c r="B309" s="3" t="s">
        <v>174</v>
      </c>
      <c r="C309" s="3" t="s">
        <v>78</v>
      </c>
      <c r="D309">
        <v>12</v>
      </c>
      <c r="E309" s="12" t="s">
        <v>152</v>
      </c>
      <c r="F309" t="s">
        <v>276</v>
      </c>
      <c r="G309" s="3">
        <v>7</v>
      </c>
      <c r="H309" t="s">
        <v>31</v>
      </c>
      <c r="I309" t="s">
        <v>26</v>
      </c>
      <c r="J309" t="s">
        <v>27</v>
      </c>
      <c r="K309" t="s">
        <v>37</v>
      </c>
      <c r="L309" t="s">
        <v>33</v>
      </c>
      <c r="M309" t="s">
        <v>31</v>
      </c>
      <c r="N309" t="s">
        <v>27</v>
      </c>
    </row>
    <row r="310" spans="1:15" x14ac:dyDescent="0.2">
      <c r="A310">
        <v>169</v>
      </c>
      <c r="B310" s="3" t="s">
        <v>174</v>
      </c>
      <c r="C310" s="3" t="s">
        <v>78</v>
      </c>
      <c r="D310">
        <v>13</v>
      </c>
      <c r="E310" s="12" t="s">
        <v>152</v>
      </c>
      <c r="F310" t="s">
        <v>276</v>
      </c>
      <c r="G310" s="3">
        <v>7</v>
      </c>
      <c r="H310" t="s">
        <v>31</v>
      </c>
      <c r="I310" t="s">
        <v>26</v>
      </c>
      <c r="J310" t="s">
        <v>27</v>
      </c>
      <c r="K310" t="s">
        <v>37</v>
      </c>
      <c r="L310" t="s">
        <v>33</v>
      </c>
      <c r="M310" t="s">
        <v>31</v>
      </c>
      <c r="N310" t="s">
        <v>27</v>
      </c>
    </row>
    <row r="311" spans="1:15" x14ac:dyDescent="0.2">
      <c r="A311">
        <v>170</v>
      </c>
      <c r="B311" s="3" t="s">
        <v>174</v>
      </c>
      <c r="C311" s="3" t="s">
        <v>78</v>
      </c>
      <c r="D311">
        <v>14</v>
      </c>
      <c r="E311" s="12" t="s">
        <v>179</v>
      </c>
      <c r="F311" t="s">
        <v>266</v>
      </c>
      <c r="G311" s="3">
        <v>14</v>
      </c>
      <c r="H311" t="s">
        <v>52</v>
      </c>
      <c r="I311" t="s">
        <v>26</v>
      </c>
      <c r="J311" t="s">
        <v>27</v>
      </c>
      <c r="K311" t="s">
        <v>37</v>
      </c>
      <c r="L311" t="s">
        <v>33</v>
      </c>
      <c r="M311" t="s">
        <v>31</v>
      </c>
      <c r="N311" t="s">
        <v>27</v>
      </c>
    </row>
    <row r="312" spans="1:15" x14ac:dyDescent="0.2">
      <c r="A312">
        <v>171</v>
      </c>
      <c r="B312" s="3" t="s">
        <v>174</v>
      </c>
      <c r="C312" s="3" t="s">
        <v>78</v>
      </c>
      <c r="D312">
        <v>15</v>
      </c>
      <c r="E312" s="12" t="s">
        <v>56</v>
      </c>
      <c r="F312" t="s">
        <v>294</v>
      </c>
      <c r="G312" s="3">
        <v>12</v>
      </c>
      <c r="H312" t="s">
        <v>31</v>
      </c>
      <c r="I312" t="s">
        <v>26</v>
      </c>
      <c r="J312" t="s">
        <v>27</v>
      </c>
      <c r="K312" t="s">
        <v>37</v>
      </c>
      <c r="L312" t="s">
        <v>33</v>
      </c>
      <c r="M312" t="s">
        <v>31</v>
      </c>
      <c r="N312" t="s">
        <v>27</v>
      </c>
    </row>
    <row r="313" spans="1:15" x14ac:dyDescent="0.2">
      <c r="A313">
        <v>172</v>
      </c>
      <c r="B313" s="3" t="s">
        <v>174</v>
      </c>
      <c r="C313" s="3" t="s">
        <v>78</v>
      </c>
      <c r="D313">
        <v>16</v>
      </c>
      <c r="E313" s="12" t="s">
        <v>217</v>
      </c>
      <c r="F313" t="s">
        <v>295</v>
      </c>
      <c r="G313" s="3">
        <v>32</v>
      </c>
      <c r="H313" t="s">
        <v>31</v>
      </c>
      <c r="I313" t="s">
        <v>26</v>
      </c>
      <c r="J313" t="s">
        <v>27</v>
      </c>
      <c r="K313" t="s">
        <v>37</v>
      </c>
      <c r="L313" t="s">
        <v>33</v>
      </c>
      <c r="M313" t="s">
        <v>31</v>
      </c>
      <c r="N313" t="s">
        <v>27</v>
      </c>
    </row>
    <row r="314" spans="1:15" x14ac:dyDescent="0.2">
      <c r="A314">
        <v>92</v>
      </c>
      <c r="B314" s="3" t="s">
        <v>163</v>
      </c>
      <c r="C314" s="3" t="s">
        <v>78</v>
      </c>
      <c r="D314">
        <v>11</v>
      </c>
      <c r="E314" s="12" t="s">
        <v>88</v>
      </c>
      <c r="F314" t="s">
        <v>263</v>
      </c>
      <c r="G314" s="3">
        <v>1</v>
      </c>
      <c r="H314" t="s">
        <v>52</v>
      </c>
      <c r="I314" t="s">
        <v>87</v>
      </c>
      <c r="J314" t="s">
        <v>27</v>
      </c>
      <c r="K314" t="s">
        <v>37</v>
      </c>
      <c r="L314" t="s">
        <v>33</v>
      </c>
      <c r="M314" t="s">
        <v>31</v>
      </c>
      <c r="N314" t="s">
        <v>27</v>
      </c>
      <c r="O314" t="s">
        <v>162</v>
      </c>
    </row>
    <row r="315" spans="1:15" x14ac:dyDescent="0.2">
      <c r="A315">
        <v>93</v>
      </c>
      <c r="B315" s="3" t="s">
        <v>163</v>
      </c>
      <c r="C315" s="3" t="s">
        <v>78</v>
      </c>
      <c r="D315">
        <v>12</v>
      </c>
      <c r="E315" s="12" t="s">
        <v>88</v>
      </c>
      <c r="F315" t="s">
        <v>263</v>
      </c>
      <c r="G315" s="3">
        <v>1</v>
      </c>
      <c r="H315" t="s">
        <v>52</v>
      </c>
      <c r="I315" t="s">
        <v>87</v>
      </c>
      <c r="J315" t="s">
        <v>27</v>
      </c>
      <c r="K315" t="s">
        <v>37</v>
      </c>
      <c r="L315" t="s">
        <v>33</v>
      </c>
      <c r="M315" t="s">
        <v>31</v>
      </c>
      <c r="N315" t="s">
        <v>27</v>
      </c>
      <c r="O315" t="s">
        <v>162</v>
      </c>
    </row>
    <row r="316" spans="1:15" x14ac:dyDescent="0.2">
      <c r="A316">
        <v>94</v>
      </c>
      <c r="B316" s="3" t="s">
        <v>163</v>
      </c>
      <c r="C316" s="3" t="s">
        <v>78</v>
      </c>
      <c r="D316">
        <v>13</v>
      </c>
      <c r="E316" s="12" t="s">
        <v>88</v>
      </c>
      <c r="F316" t="s">
        <v>263</v>
      </c>
      <c r="G316" s="3">
        <v>1</v>
      </c>
      <c r="H316" t="s">
        <v>52</v>
      </c>
      <c r="I316" t="s">
        <v>87</v>
      </c>
      <c r="J316" t="s">
        <v>27</v>
      </c>
      <c r="K316" t="s">
        <v>37</v>
      </c>
      <c r="L316" t="s">
        <v>33</v>
      </c>
      <c r="M316" t="s">
        <v>31</v>
      </c>
      <c r="N316" t="s">
        <v>27</v>
      </c>
      <c r="O316" t="s">
        <v>162</v>
      </c>
    </row>
    <row r="317" spans="1:15" x14ac:dyDescent="0.2">
      <c r="A317">
        <v>95</v>
      </c>
      <c r="B317" s="3" t="s">
        <v>163</v>
      </c>
      <c r="C317" s="3" t="s">
        <v>78</v>
      </c>
      <c r="D317">
        <v>14</v>
      </c>
      <c r="E317" s="12" t="s">
        <v>88</v>
      </c>
      <c r="F317" t="s">
        <v>263</v>
      </c>
      <c r="G317" s="3">
        <v>1</v>
      </c>
      <c r="H317" t="s">
        <v>52</v>
      </c>
      <c r="I317" t="s">
        <v>87</v>
      </c>
      <c r="J317" t="s">
        <v>27</v>
      </c>
      <c r="K317" t="s">
        <v>37</v>
      </c>
      <c r="L317" t="s">
        <v>33</v>
      </c>
      <c r="M317" t="s">
        <v>31</v>
      </c>
      <c r="N317" t="s">
        <v>27</v>
      </c>
      <c r="O317" t="s">
        <v>162</v>
      </c>
    </row>
    <row r="318" spans="1:15" x14ac:dyDescent="0.2">
      <c r="A318">
        <v>96</v>
      </c>
      <c r="B318" s="3" t="s">
        <v>163</v>
      </c>
      <c r="C318" s="3" t="s">
        <v>78</v>
      </c>
      <c r="D318">
        <v>15</v>
      </c>
      <c r="E318" s="12" t="s">
        <v>88</v>
      </c>
      <c r="F318" t="s">
        <v>263</v>
      </c>
      <c r="G318" s="3">
        <v>1</v>
      </c>
      <c r="H318" t="s">
        <v>52</v>
      </c>
      <c r="I318" t="s">
        <v>87</v>
      </c>
      <c r="J318" t="s">
        <v>27</v>
      </c>
      <c r="K318" t="s">
        <v>37</v>
      </c>
      <c r="L318" t="s">
        <v>33</v>
      </c>
      <c r="M318" t="s">
        <v>31</v>
      </c>
      <c r="N318" t="s">
        <v>27</v>
      </c>
      <c r="O318" t="s">
        <v>162</v>
      </c>
    </row>
    <row r="319" spans="1:15" x14ac:dyDescent="0.2">
      <c r="A319">
        <v>97</v>
      </c>
      <c r="B319" s="3" t="s">
        <v>163</v>
      </c>
      <c r="C319" s="3" t="s">
        <v>78</v>
      </c>
      <c r="D319">
        <v>16</v>
      </c>
      <c r="E319" s="12" t="s">
        <v>88</v>
      </c>
      <c r="F319" t="s">
        <v>263</v>
      </c>
      <c r="G319" s="3">
        <v>1</v>
      </c>
      <c r="H319" t="s">
        <v>52</v>
      </c>
      <c r="I319" t="s">
        <v>87</v>
      </c>
      <c r="J319" t="s">
        <v>27</v>
      </c>
      <c r="K319" t="s">
        <v>37</v>
      </c>
      <c r="L319" t="s">
        <v>33</v>
      </c>
      <c r="M319" t="s">
        <v>31</v>
      </c>
      <c r="N319" t="s">
        <v>27</v>
      </c>
      <c r="O319" t="s">
        <v>162</v>
      </c>
    </row>
    <row r="320" spans="1:15" x14ac:dyDescent="0.2">
      <c r="A320">
        <v>98</v>
      </c>
      <c r="B320" s="3" t="s">
        <v>163</v>
      </c>
      <c r="C320" s="3" t="s">
        <v>78</v>
      </c>
      <c r="D320">
        <v>17</v>
      </c>
      <c r="E320" s="12" t="s">
        <v>88</v>
      </c>
      <c r="F320" t="s">
        <v>263</v>
      </c>
      <c r="G320" s="3">
        <v>1</v>
      </c>
      <c r="H320" t="s">
        <v>52</v>
      </c>
      <c r="I320" t="s">
        <v>87</v>
      </c>
      <c r="J320" t="s">
        <v>27</v>
      </c>
      <c r="K320" t="s">
        <v>37</v>
      </c>
      <c r="L320" t="s">
        <v>33</v>
      </c>
      <c r="M320" t="s">
        <v>31</v>
      </c>
      <c r="N320" t="s">
        <v>27</v>
      </c>
      <c r="O320" t="s">
        <v>162</v>
      </c>
    </row>
    <row r="321" spans="1:15" x14ac:dyDescent="0.2">
      <c r="A321">
        <v>99</v>
      </c>
      <c r="B321" s="3" t="s">
        <v>163</v>
      </c>
      <c r="C321" s="3" t="s">
        <v>78</v>
      </c>
      <c r="D321">
        <v>18</v>
      </c>
      <c r="E321" s="12" t="s">
        <v>88</v>
      </c>
      <c r="F321" t="s">
        <v>263</v>
      </c>
      <c r="G321" s="3">
        <v>1</v>
      </c>
      <c r="H321" t="s">
        <v>52</v>
      </c>
      <c r="I321" t="s">
        <v>87</v>
      </c>
      <c r="J321" t="s">
        <v>27</v>
      </c>
      <c r="K321" t="s">
        <v>37</v>
      </c>
      <c r="L321" t="s">
        <v>33</v>
      </c>
      <c r="M321" t="s">
        <v>31</v>
      </c>
      <c r="N321" t="s">
        <v>27</v>
      </c>
      <c r="O321" t="s">
        <v>162</v>
      </c>
    </row>
    <row r="322" spans="1:15" x14ac:dyDescent="0.2">
      <c r="A322">
        <v>100</v>
      </c>
      <c r="B322" s="3" t="s">
        <v>163</v>
      </c>
      <c r="C322" s="3" t="s">
        <v>78</v>
      </c>
      <c r="D322">
        <v>19</v>
      </c>
      <c r="E322" s="12" t="s">
        <v>88</v>
      </c>
      <c r="F322" t="s">
        <v>263</v>
      </c>
      <c r="G322" s="3">
        <v>1</v>
      </c>
      <c r="H322" t="s">
        <v>52</v>
      </c>
      <c r="I322" t="s">
        <v>87</v>
      </c>
      <c r="J322" t="s">
        <v>27</v>
      </c>
      <c r="K322" t="s">
        <v>37</v>
      </c>
      <c r="L322" t="s">
        <v>33</v>
      </c>
      <c r="M322" t="s">
        <v>31</v>
      </c>
      <c r="N322" t="s">
        <v>27</v>
      </c>
      <c r="O322" t="s">
        <v>162</v>
      </c>
    </row>
    <row r="323" spans="1:15" x14ac:dyDescent="0.2">
      <c r="A323">
        <v>101</v>
      </c>
      <c r="B323" s="3" t="s">
        <v>163</v>
      </c>
      <c r="C323" s="3" t="s">
        <v>78</v>
      </c>
      <c r="D323">
        <v>20</v>
      </c>
      <c r="E323" s="12" t="s">
        <v>88</v>
      </c>
      <c r="F323" t="s">
        <v>263</v>
      </c>
      <c r="G323" s="3">
        <v>1</v>
      </c>
      <c r="H323" t="s">
        <v>52</v>
      </c>
      <c r="I323" t="s">
        <v>87</v>
      </c>
      <c r="J323" t="s">
        <v>27</v>
      </c>
      <c r="K323" t="s">
        <v>37</v>
      </c>
      <c r="L323" t="s">
        <v>33</v>
      </c>
      <c r="M323" t="s">
        <v>31</v>
      </c>
      <c r="N323" t="s">
        <v>27</v>
      </c>
      <c r="O323" t="s">
        <v>162</v>
      </c>
    </row>
    <row r="324" spans="1:15" x14ac:dyDescent="0.2">
      <c r="A324">
        <v>102</v>
      </c>
      <c r="B324" s="3" t="s">
        <v>163</v>
      </c>
      <c r="C324" s="3" t="s">
        <v>78</v>
      </c>
      <c r="D324">
        <v>21</v>
      </c>
      <c r="E324" s="12" t="s">
        <v>88</v>
      </c>
      <c r="F324" t="s">
        <v>263</v>
      </c>
      <c r="G324" s="3">
        <v>1</v>
      </c>
      <c r="H324" t="s">
        <v>52</v>
      </c>
      <c r="I324" t="s">
        <v>87</v>
      </c>
      <c r="J324" t="s">
        <v>27</v>
      </c>
      <c r="K324" t="s">
        <v>37</v>
      </c>
      <c r="L324" t="s">
        <v>33</v>
      </c>
      <c r="M324" t="s">
        <v>31</v>
      </c>
      <c r="N324" t="s">
        <v>27</v>
      </c>
      <c r="O324" t="s">
        <v>162</v>
      </c>
    </row>
    <row r="325" spans="1:15" x14ac:dyDescent="0.2">
      <c r="A325">
        <v>103</v>
      </c>
      <c r="B325" s="3" t="s">
        <v>163</v>
      </c>
      <c r="C325" s="3" t="s">
        <v>78</v>
      </c>
      <c r="D325">
        <v>22</v>
      </c>
      <c r="E325" s="12" t="s">
        <v>88</v>
      </c>
      <c r="F325" t="s">
        <v>263</v>
      </c>
      <c r="G325" s="3">
        <v>1</v>
      </c>
      <c r="H325" t="s">
        <v>52</v>
      </c>
      <c r="I325" t="s">
        <v>87</v>
      </c>
      <c r="J325" t="s">
        <v>27</v>
      </c>
      <c r="K325" t="s">
        <v>37</v>
      </c>
      <c r="L325" t="s">
        <v>33</v>
      </c>
      <c r="M325" t="s">
        <v>31</v>
      </c>
      <c r="N325" t="s">
        <v>27</v>
      </c>
      <c r="O325" t="s">
        <v>162</v>
      </c>
    </row>
    <row r="326" spans="1:15" x14ac:dyDescent="0.2">
      <c r="A326">
        <v>104</v>
      </c>
      <c r="B326" s="3" t="s">
        <v>163</v>
      </c>
      <c r="C326" s="3" t="s">
        <v>78</v>
      </c>
      <c r="D326">
        <v>23</v>
      </c>
      <c r="E326" s="12" t="s">
        <v>88</v>
      </c>
      <c r="F326" t="s">
        <v>263</v>
      </c>
      <c r="G326" s="3">
        <v>1</v>
      </c>
      <c r="H326" t="s">
        <v>52</v>
      </c>
      <c r="I326" t="s">
        <v>87</v>
      </c>
      <c r="J326" t="s">
        <v>27</v>
      </c>
      <c r="K326" t="s">
        <v>37</v>
      </c>
      <c r="L326" t="s">
        <v>33</v>
      </c>
      <c r="M326" t="s">
        <v>31</v>
      </c>
      <c r="N326" t="s">
        <v>27</v>
      </c>
      <c r="O326" t="s">
        <v>162</v>
      </c>
    </row>
    <row r="327" spans="1:15" x14ac:dyDescent="0.2">
      <c r="A327">
        <v>105</v>
      </c>
      <c r="B327" s="3" t="s">
        <v>163</v>
      </c>
      <c r="C327" s="3" t="s">
        <v>78</v>
      </c>
      <c r="D327">
        <v>24</v>
      </c>
      <c r="E327" s="12" t="s">
        <v>88</v>
      </c>
      <c r="F327" t="s">
        <v>263</v>
      </c>
      <c r="G327" s="3">
        <v>1</v>
      </c>
      <c r="H327" t="s">
        <v>52</v>
      </c>
      <c r="I327" t="s">
        <v>87</v>
      </c>
      <c r="J327" t="s">
        <v>27</v>
      </c>
      <c r="K327" t="s">
        <v>37</v>
      </c>
      <c r="L327" t="s">
        <v>33</v>
      </c>
      <c r="M327" t="s">
        <v>31</v>
      </c>
      <c r="N327" t="s">
        <v>27</v>
      </c>
      <c r="O327" t="s">
        <v>162</v>
      </c>
    </row>
    <row r="328" spans="1:15" x14ac:dyDescent="0.2">
      <c r="A328">
        <v>106</v>
      </c>
      <c r="B328" s="3" t="s">
        <v>163</v>
      </c>
      <c r="C328" s="3" t="s">
        <v>78</v>
      </c>
      <c r="D328">
        <v>25</v>
      </c>
      <c r="E328" s="12" t="s">
        <v>88</v>
      </c>
      <c r="F328" t="s">
        <v>263</v>
      </c>
      <c r="G328" s="3">
        <v>1</v>
      </c>
      <c r="H328" t="s">
        <v>52</v>
      </c>
      <c r="I328" t="s">
        <v>87</v>
      </c>
      <c r="J328" t="s">
        <v>27</v>
      </c>
      <c r="K328" t="s">
        <v>37</v>
      </c>
      <c r="L328" t="s">
        <v>33</v>
      </c>
      <c r="M328" t="s">
        <v>31</v>
      </c>
      <c r="N328" t="s">
        <v>27</v>
      </c>
      <c r="O328" t="s">
        <v>162</v>
      </c>
    </row>
    <row r="329" spans="1:15" x14ac:dyDescent="0.2">
      <c r="A329">
        <v>107</v>
      </c>
      <c r="B329" s="3" t="s">
        <v>163</v>
      </c>
      <c r="C329" s="3" t="s">
        <v>78</v>
      </c>
      <c r="D329">
        <v>26</v>
      </c>
      <c r="E329" s="12" t="s">
        <v>88</v>
      </c>
      <c r="F329" t="s">
        <v>263</v>
      </c>
      <c r="G329" s="3">
        <v>1</v>
      </c>
      <c r="H329" t="s">
        <v>52</v>
      </c>
      <c r="I329" t="s">
        <v>87</v>
      </c>
      <c r="J329" t="s">
        <v>27</v>
      </c>
      <c r="K329" t="s">
        <v>37</v>
      </c>
      <c r="L329" t="s">
        <v>33</v>
      </c>
      <c r="M329" t="s">
        <v>31</v>
      </c>
      <c r="N329" t="s">
        <v>27</v>
      </c>
      <c r="O329" t="s">
        <v>162</v>
      </c>
    </row>
    <row r="330" spans="1:15" x14ac:dyDescent="0.2">
      <c r="A330">
        <v>108</v>
      </c>
      <c r="B330" s="3" t="s">
        <v>163</v>
      </c>
      <c r="C330" s="3" t="s">
        <v>78</v>
      </c>
      <c r="D330">
        <v>27</v>
      </c>
      <c r="E330" s="12" t="s">
        <v>88</v>
      </c>
      <c r="F330" t="s">
        <v>263</v>
      </c>
      <c r="G330" s="3">
        <v>1</v>
      </c>
      <c r="H330" t="s">
        <v>52</v>
      </c>
      <c r="I330" t="s">
        <v>87</v>
      </c>
      <c r="J330" t="s">
        <v>27</v>
      </c>
      <c r="K330" t="s">
        <v>37</v>
      </c>
      <c r="L330" t="s">
        <v>33</v>
      </c>
      <c r="M330" t="s">
        <v>31</v>
      </c>
      <c r="N330" t="s">
        <v>27</v>
      </c>
      <c r="O330" t="s">
        <v>162</v>
      </c>
    </row>
    <row r="331" spans="1:15" x14ac:dyDescent="0.2">
      <c r="A331">
        <v>109</v>
      </c>
      <c r="B331" s="3" t="s">
        <v>163</v>
      </c>
      <c r="C331" s="3" t="s">
        <v>78</v>
      </c>
      <c r="D331">
        <v>28</v>
      </c>
      <c r="E331" s="12" t="s">
        <v>88</v>
      </c>
      <c r="F331" t="s">
        <v>263</v>
      </c>
      <c r="G331" s="3">
        <v>1</v>
      </c>
      <c r="H331" t="s">
        <v>52</v>
      </c>
      <c r="I331" t="s">
        <v>87</v>
      </c>
      <c r="J331" t="s">
        <v>27</v>
      </c>
      <c r="K331" t="s">
        <v>37</v>
      </c>
      <c r="L331" t="s">
        <v>33</v>
      </c>
      <c r="M331" t="s">
        <v>31</v>
      </c>
      <c r="N331" t="s">
        <v>27</v>
      </c>
      <c r="O331" t="s">
        <v>162</v>
      </c>
    </row>
    <row r="332" spans="1:15" x14ac:dyDescent="0.2">
      <c r="A332">
        <v>110</v>
      </c>
      <c r="B332" s="3" t="s">
        <v>163</v>
      </c>
      <c r="C332" s="3" t="s">
        <v>78</v>
      </c>
      <c r="D332">
        <v>29</v>
      </c>
      <c r="E332" s="12" t="s">
        <v>88</v>
      </c>
      <c r="F332" t="s">
        <v>263</v>
      </c>
      <c r="G332" s="3">
        <v>1</v>
      </c>
      <c r="H332" t="s">
        <v>52</v>
      </c>
      <c r="I332" t="s">
        <v>87</v>
      </c>
      <c r="J332" t="s">
        <v>27</v>
      </c>
      <c r="K332" t="s">
        <v>37</v>
      </c>
      <c r="L332" t="s">
        <v>33</v>
      </c>
      <c r="M332" t="s">
        <v>31</v>
      </c>
      <c r="N332" t="s">
        <v>27</v>
      </c>
      <c r="O332" t="s">
        <v>162</v>
      </c>
    </row>
    <row r="333" spans="1:15" x14ac:dyDescent="0.2">
      <c r="A333">
        <v>111</v>
      </c>
      <c r="B333" s="3" t="s">
        <v>163</v>
      </c>
      <c r="C333" s="3" t="s">
        <v>78</v>
      </c>
      <c r="D333">
        <v>30</v>
      </c>
      <c r="E333" s="12" t="s">
        <v>88</v>
      </c>
      <c r="F333" t="s">
        <v>263</v>
      </c>
      <c r="G333" s="3">
        <v>1</v>
      </c>
      <c r="H333" t="s">
        <v>52</v>
      </c>
      <c r="I333" t="s">
        <v>87</v>
      </c>
      <c r="J333" t="s">
        <v>27</v>
      </c>
      <c r="K333" t="s">
        <v>37</v>
      </c>
      <c r="L333" t="s">
        <v>33</v>
      </c>
      <c r="M333" t="s">
        <v>31</v>
      </c>
      <c r="N333" t="s">
        <v>27</v>
      </c>
      <c r="O333" t="s">
        <v>162</v>
      </c>
    </row>
    <row r="334" spans="1:15" x14ac:dyDescent="0.2">
      <c r="A334">
        <v>112</v>
      </c>
      <c r="B334" s="3" t="s">
        <v>163</v>
      </c>
      <c r="C334" s="3" t="s">
        <v>78</v>
      </c>
      <c r="D334">
        <v>31</v>
      </c>
      <c r="E334" s="12" t="s">
        <v>88</v>
      </c>
      <c r="F334" t="s">
        <v>263</v>
      </c>
      <c r="G334" s="3">
        <v>1</v>
      </c>
      <c r="H334" t="s">
        <v>52</v>
      </c>
      <c r="I334" t="s">
        <v>87</v>
      </c>
      <c r="J334" t="s">
        <v>27</v>
      </c>
      <c r="K334" t="s">
        <v>37</v>
      </c>
      <c r="L334" t="s">
        <v>33</v>
      </c>
      <c r="M334" t="s">
        <v>31</v>
      </c>
      <c r="N334" t="s">
        <v>27</v>
      </c>
      <c r="O334" t="s">
        <v>162</v>
      </c>
    </row>
    <row r="335" spans="1:15" x14ac:dyDescent="0.2">
      <c r="A335">
        <v>113</v>
      </c>
      <c r="B335" s="3" t="s">
        <v>163</v>
      </c>
      <c r="C335" s="3" t="s">
        <v>78</v>
      </c>
      <c r="D335">
        <v>32</v>
      </c>
      <c r="E335" s="12" t="s">
        <v>88</v>
      </c>
      <c r="F335" t="s">
        <v>263</v>
      </c>
      <c r="G335" s="3">
        <v>1</v>
      </c>
      <c r="H335" t="s">
        <v>52</v>
      </c>
      <c r="I335" t="s">
        <v>87</v>
      </c>
      <c r="J335" t="s">
        <v>27</v>
      </c>
      <c r="K335" t="s">
        <v>37</v>
      </c>
      <c r="L335" t="s">
        <v>33</v>
      </c>
      <c r="M335" t="s">
        <v>31</v>
      </c>
      <c r="N335" t="s">
        <v>27</v>
      </c>
      <c r="O335" t="s">
        <v>162</v>
      </c>
    </row>
    <row r="336" spans="1:15" x14ac:dyDescent="0.2">
      <c r="A336">
        <v>114</v>
      </c>
      <c r="B336" s="3" t="s">
        <v>163</v>
      </c>
      <c r="C336" s="3" t="s">
        <v>78</v>
      </c>
      <c r="D336">
        <v>33</v>
      </c>
      <c r="E336" s="12" t="s">
        <v>88</v>
      </c>
      <c r="F336" t="s">
        <v>263</v>
      </c>
      <c r="G336" s="3">
        <v>1</v>
      </c>
      <c r="H336" t="s">
        <v>52</v>
      </c>
      <c r="I336" t="s">
        <v>87</v>
      </c>
      <c r="J336" t="s">
        <v>27</v>
      </c>
      <c r="K336" t="s">
        <v>37</v>
      </c>
      <c r="L336" t="s">
        <v>33</v>
      </c>
      <c r="M336" t="s">
        <v>31</v>
      </c>
      <c r="N336" t="s">
        <v>27</v>
      </c>
      <c r="O336" t="s">
        <v>162</v>
      </c>
    </row>
    <row r="337" spans="1:15" x14ac:dyDescent="0.2">
      <c r="A337">
        <v>115</v>
      </c>
      <c r="B337" s="3" t="s">
        <v>163</v>
      </c>
      <c r="C337" s="3" t="s">
        <v>78</v>
      </c>
      <c r="D337">
        <v>34</v>
      </c>
      <c r="E337" s="12" t="s">
        <v>88</v>
      </c>
      <c r="F337" t="s">
        <v>263</v>
      </c>
      <c r="G337" s="3">
        <v>1</v>
      </c>
      <c r="H337" t="s">
        <v>52</v>
      </c>
      <c r="I337" t="s">
        <v>87</v>
      </c>
      <c r="J337" t="s">
        <v>27</v>
      </c>
      <c r="K337" t="s">
        <v>37</v>
      </c>
      <c r="L337" t="s">
        <v>33</v>
      </c>
      <c r="M337" t="s">
        <v>31</v>
      </c>
      <c r="N337" t="s">
        <v>27</v>
      </c>
      <c r="O337" t="s">
        <v>162</v>
      </c>
    </row>
    <row r="338" spans="1:15" x14ac:dyDescent="0.2">
      <c r="A338">
        <v>116</v>
      </c>
      <c r="B338" s="3" t="s">
        <v>163</v>
      </c>
      <c r="C338" s="3" t="s">
        <v>78</v>
      </c>
      <c r="D338">
        <v>35</v>
      </c>
      <c r="E338" s="12" t="s">
        <v>88</v>
      </c>
      <c r="F338" t="s">
        <v>263</v>
      </c>
      <c r="G338" s="3">
        <v>1</v>
      </c>
      <c r="H338" t="s">
        <v>52</v>
      </c>
      <c r="I338" t="s">
        <v>87</v>
      </c>
      <c r="J338" t="s">
        <v>27</v>
      </c>
      <c r="K338" t="s">
        <v>37</v>
      </c>
      <c r="L338" t="s">
        <v>33</v>
      </c>
      <c r="M338" t="s">
        <v>31</v>
      </c>
      <c r="N338" t="s">
        <v>27</v>
      </c>
      <c r="O338" t="s">
        <v>162</v>
      </c>
    </row>
    <row r="339" spans="1:15" x14ac:dyDescent="0.2">
      <c r="A339">
        <v>117</v>
      </c>
      <c r="B339" s="3" t="s">
        <v>163</v>
      </c>
      <c r="C339" s="3" t="s">
        <v>78</v>
      </c>
      <c r="D339">
        <v>36</v>
      </c>
      <c r="E339" s="12" t="s">
        <v>88</v>
      </c>
      <c r="F339" t="s">
        <v>263</v>
      </c>
      <c r="G339" s="3">
        <v>1</v>
      </c>
      <c r="H339" t="s">
        <v>52</v>
      </c>
      <c r="I339" t="s">
        <v>87</v>
      </c>
      <c r="J339" t="s">
        <v>27</v>
      </c>
      <c r="K339" t="s">
        <v>37</v>
      </c>
      <c r="L339" t="s">
        <v>33</v>
      </c>
      <c r="M339" t="s">
        <v>31</v>
      </c>
      <c r="N339" t="s">
        <v>27</v>
      </c>
      <c r="O339" t="s">
        <v>162</v>
      </c>
    </row>
    <row r="340" spans="1:15" x14ac:dyDescent="0.2">
      <c r="A340">
        <v>118</v>
      </c>
      <c r="B340" s="3" t="s">
        <v>163</v>
      </c>
      <c r="C340" s="3" t="s">
        <v>78</v>
      </c>
      <c r="D340">
        <v>37</v>
      </c>
      <c r="E340" s="12" t="s">
        <v>88</v>
      </c>
      <c r="F340" t="s">
        <v>263</v>
      </c>
      <c r="G340" s="3">
        <v>1</v>
      </c>
      <c r="H340" t="s">
        <v>52</v>
      </c>
      <c r="I340" t="s">
        <v>87</v>
      </c>
      <c r="J340" t="s">
        <v>27</v>
      </c>
      <c r="K340" t="s">
        <v>37</v>
      </c>
      <c r="L340" t="s">
        <v>33</v>
      </c>
      <c r="M340" t="s">
        <v>31</v>
      </c>
      <c r="N340" t="s">
        <v>27</v>
      </c>
      <c r="O340" t="s">
        <v>162</v>
      </c>
    </row>
  </sheetData>
  <phoneticPr fontId="1" type="noConversion"/>
  <printOptions gridLines="1"/>
  <pageMargins left="0.75" right="0.75" top="1" bottom="1" header="0.5" footer="0.5"/>
  <pageSetup paperSize="3" scale="81" fitToHeight="50" orientation="landscape" r:id="rId1"/>
  <headerFooter alignWithMargins="0">
    <oddHeader>&amp;LEagle Point National Cemetery&amp;CLandscape Tree Inventory Records Arranged by Cemetery Section</oddHeader>
    <oddFooter>&amp;LDavey Resource Group&amp;C&amp;P&amp;R&amp;D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Eagle Point NC 2005 TK data</vt:lpstr>
      <vt:lpstr>276-339</vt:lpstr>
      <vt:lpstr>201-275</vt:lpstr>
      <vt:lpstr>126-200</vt:lpstr>
      <vt:lpstr>51-125</vt:lpstr>
      <vt:lpstr>top 50</vt:lpstr>
      <vt:lpstr>Prioritized</vt:lpstr>
      <vt:lpstr>BY MAINTENANCE</vt:lpstr>
      <vt:lpstr>all edited with common</vt:lpstr>
      <vt:lpstr>'all edited with common'!Print_Titles</vt:lpstr>
      <vt:lpstr>'BY MAINTENANCE'!Print_Titles</vt:lpstr>
      <vt:lpstr>Prioritized!Print_Titles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Gaussa, Michael</dc:creator>
  <cp:lastModifiedBy>Gaussa, Michael</cp:lastModifiedBy>
  <cp:lastPrinted>2006-04-17T13:49:54Z</cp:lastPrinted>
  <dcterms:created xsi:type="dcterms:W3CDTF">2006-02-21T15:20:48Z</dcterms:created>
  <dcterms:modified xsi:type="dcterms:W3CDTF">2023-12-21T15:22:08Z</dcterms:modified>
</cp:coreProperties>
</file>