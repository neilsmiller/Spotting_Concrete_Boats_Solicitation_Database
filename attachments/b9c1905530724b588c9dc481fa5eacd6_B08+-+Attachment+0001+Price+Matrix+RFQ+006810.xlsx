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Jamon.I.Thomas\Downloads\PANROC-25-P-0000 006810 Welding Supplies\"/>
    </mc:Choice>
  </mc:AlternateContent>
  <xr:revisionPtr revIDLastSave="0" documentId="13_ncr:1_{43D7A0F6-28C8-40AF-AD76-2AA543408698}" xr6:coauthVersionLast="47" xr6:coauthVersionMax="47" xr10:uidLastSave="{00000000-0000-0000-0000-000000000000}"/>
  <bookViews>
    <workbookView xWindow="57480" yWindow="90" windowWidth="29040" windowHeight="15510" xr2:uid="{00000000-000D-0000-FFFF-FFFF00000000}"/>
  </bookViews>
  <sheets>
    <sheet name="RFQ# 1426" sheetId="1" r:id="rId1"/>
  </sheets>
  <definedNames>
    <definedName name="_xlnm.Print_Area" localSheetId="0">'RFQ# 1426'!$A$1:$I$9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 r="G27" i="1"/>
  <c r="G26" i="1"/>
  <c r="G25" i="1"/>
  <c r="G24" i="1"/>
  <c r="G23" i="1"/>
  <c r="G22" i="1"/>
  <c r="G21" i="1"/>
  <c r="G20" i="1"/>
  <c r="G19" i="1"/>
  <c r="G18" i="1"/>
  <c r="G17" i="1"/>
  <c r="G16" i="1"/>
  <c r="G15" i="1"/>
  <c r="G14" i="1"/>
  <c r="G13" i="1"/>
  <c r="G12" i="1"/>
  <c r="G11" i="1"/>
  <c r="G10" i="1"/>
  <c r="G8" i="1"/>
  <c r="G9" i="1"/>
  <c r="G7" i="1"/>
</calcChain>
</file>

<file path=xl/sharedStrings.xml><?xml version="1.0" encoding="utf-8"?>
<sst xmlns="http://schemas.openxmlformats.org/spreadsheetml/2006/main" count="120" uniqueCount="56">
  <si>
    <t xml:space="preserve">VENDOR NAME: </t>
  </si>
  <si>
    <t>VENDOR CAGE CODE:</t>
  </si>
  <si>
    <t xml:space="preserve">VENDOR POC: </t>
  </si>
  <si>
    <t>CLIN</t>
  </si>
  <si>
    <t>Quantity</t>
  </si>
  <si>
    <t>Unit of Issue</t>
  </si>
  <si>
    <t xml:space="preserve">Unit Price </t>
  </si>
  <si>
    <t>Total</t>
  </si>
  <si>
    <t>Required Delivery Date</t>
  </si>
  <si>
    <t>Can you meet Required delivery date? Y/N (If No, please state your best delivery below)</t>
  </si>
  <si>
    <t>0001</t>
  </si>
  <si>
    <t>EA</t>
  </si>
  <si>
    <t>0002</t>
  </si>
  <si>
    <t>0003</t>
  </si>
  <si>
    <t xml:space="preserve">Delivery Location: </t>
  </si>
  <si>
    <t xml:space="preserve">14 Calendar days after date of award </t>
  </si>
  <si>
    <t>TRANSPORTATION OFFICER 
BLDG 299, BECK AND GILLESPIE
ROCK ISLAND, IL 61299-5000</t>
  </si>
  <si>
    <t>0004</t>
  </si>
  <si>
    <t>0005</t>
  </si>
  <si>
    <t>0006</t>
  </si>
  <si>
    <t>Short Description</t>
  </si>
  <si>
    <t>Extended Description</t>
  </si>
  <si>
    <t>ATTACHMENT 0001: PRICE MATRIX RFQ - PANROC-25-P-0000 006810</t>
  </si>
  <si>
    <t>Regulator Guard</t>
  </si>
  <si>
    <t>0021</t>
  </si>
  <si>
    <t>0020</t>
  </si>
  <si>
    <t>0019</t>
  </si>
  <si>
    <t>0018</t>
  </si>
  <si>
    <t>0017</t>
  </si>
  <si>
    <t>0016</t>
  </si>
  <si>
    <t>0015</t>
  </si>
  <si>
    <t>0014</t>
  </si>
  <si>
    <t>0013</t>
  </si>
  <si>
    <t>0012</t>
  </si>
  <si>
    <t>0011</t>
  </si>
  <si>
    <t>0010</t>
  </si>
  <si>
    <t>0009</t>
  </si>
  <si>
    <t>0008</t>
  </si>
  <si>
    <t>0007</t>
  </si>
  <si>
    <t>Acetylene Regulator</t>
  </si>
  <si>
    <t>Hose, Fitting Assy, High Pressure Inert</t>
  </si>
  <si>
    <t>Hose, Fitting Assy, High Pressure, Fuel Gas</t>
  </si>
  <si>
    <t>Elbow, Pipe, 90 Deg</t>
  </si>
  <si>
    <t>Adapter, CGA580, Argon</t>
  </si>
  <si>
    <t>Hose Reel, Argon</t>
  </si>
  <si>
    <t>Oxy High Pressure Hose Assy</t>
  </si>
  <si>
    <t>Hose Reel, Oxygen, Acetylene</t>
  </si>
  <si>
    <t>SUGGESTED SOURCE:
MANUFACTURER: S.J. SMITH COMPANY, INC.
PART NUMBER: 1830-3120
QA REQUIREMENTS FOR THIS MATERIAL ARE AS FOLLOWS:
- CERTIFICATE OF CONFORMANCE (COC), see FAR 52.246-15 CERTIFICATE OF CONFORMANCE
- CERTIFIED TEST REPORT MUST (CTR) or MILL TEST REPORTS (MTR’s)
BOTH SHALL ACCOMPANY YOUR SHIPMENT TO ROCK ISLAND ARSENAL FOR ACCEPTANCE.
IN ACCORDANCE WITH DRAWING # 11E421085 LISTED AS “ATTACHMENT 0002 – DRW# 11E421085</t>
  </si>
  <si>
    <t>SUGGESTED SOURCE:
MANUFACTURER: S.J. SMITH CO., INC.
PART NUMBER: PF92CV186B1
HOSE, FITTING ASSY, HIGH PRESSURE,
NITROGEN AND ARGON, TYPE HIGH PRESSURE HOSE, LENGTH 186 INCHES NOMINAL, HOSE SIZE 1/4 INCH, GAS TYPE ARGON, HOSE TYPE 304 STAINLESS STEEL FLEXIBLE BRAID WITH TEFLON CORE, CONNECTIONS BRASS RH MALE THREAD
WITH CHECK VALVE IN INLET SIDE; CGA 580, HOSE PRESSURE RATING 3000 PSIG
QA REQUIREMENTS FOR THIS MATERIAL ARE AS FOLLOWS:
- CERTIFICATE OF CONFORMANCE (COC), see FAR 52.246-15 CERTIFICATE OF CONFORMANCE
- CERTIFIED TEST REPORT MUST (CTR) or MILL TEST REPORTS (MTR’s)
BOTH SHALL ACCOMPANY YOUR SHIPMENT TO ROCK ISLAND ARSENAL FOR ACCEPTANCE.
IN ACCORDANCE WITH DRAWING 11E421712 LISTED AS “ATTACHMENT 0004 – DRW# 11E421712</t>
  </si>
  <si>
    <t>SUGGESTED SOURCE:
MANUFACTURER: S.J. SMITH CO., INC.
PART NUMBER: PF15CVI80BI
VENDOR DESCRIPTION HOSE, FITTING ASSY, HIGH PRESSURE, FUEL GAS, TYPE HIGH PRESSURE FUEL GAS HOSE, LENGTH 180 INCHES NOMINAL, HOSE SIZE 1/4 INCH, GAS TYPE ACETYLENE, HOSE TYPE 304 STAINLESS STEEL FLEXIBLE BRAID WITH TEFLON CORE, CONNECTIONS BRASS LH MALE THREAD WITH
CHECK VALVE IN INLET SIDE, HOSE PRESSURE RATING 500 PSIG MAX, SPECIAL
QA REQUIREMENTS FOR THIS MATERIAL ARE AS FOLLOWS:
- CERTIFICATE OF CONFORMANCE (COC), see FAR 52.246-15 CERTIFICATE OF CONFORMANCE
- CERTIFIED TEST REPORT MUST (CTR) or MILL TEST REPORTS (MTR’s)
BOTH SHALL ACCOMPANY YOUR SHIPMENT TO ROCK ISLAND ARSENAL FOR ACCEPTANCE.
IN ACCORDANCE WITH DRAWING # 11E421710 LISTED AS “ATTACHMENT 0005 – DRW# 11E421710</t>
  </si>
  <si>
    <t>SUGGESTED SOURCE:
MANUFACTURER: WESTERN ENTERPRISES
PART NUMBER: BL-4HP
VENDOR DESCRIPTION 90 DEG FEMALE TO MALE NPT, 1/4" X 1/4", TYPE PIPE FITTING, MATERIAL BRASS, SIZE 1/4" FEMALE TO 1/4" MALE NPT, 90° ELBOW, GAS TYPE ACETYLENE, PRESSURE RATING 3000 PSIG MAX
QA REQUIREMENTS FOR THIS MATERIAL ARE AS FOLLOWS:
- CERTIFICATE OF CONFORMANCE (COC), see FAR 52.246-15 CERTIFICATE OF CONFORMANCE
- CERTIFIED TEST REPORT MUST (CTR) or MILL TEST REPORTS (MTR’s)
BOTH SHALL ACCOMPANY YOUR SHIPMENT TO ROCK ISLAND ARSENAL FOR ACCEPTANCE.
IN ACCORDANCE WITH DRAWING 11E421715 LISTED AS “ATTACHMENT 0006 – DRW# 11E421715</t>
  </si>
  <si>
    <t>SUGGESTED SOURCE:
MANUFACTURER: WESTERN ENTERPRISES
PART NUMBER: B-70
VENDOR DESCRIPTION MALE NPT OUTLET ADAPTORS FOR MANIFOLD PIPELINE, BRASS, CGA-580, .965" - 14 NGO, RH FEMALE TO 1/4" NPT, TYPE PIPE FITTING, MATERIAL BRASS, SIZE .965" - 14 NGO (CGA-580), RH FEMALE TO 1/4" NPT, GAS TYPE ARGON, PRESSURE RATING 3000 PSIG MAX
QA REQUIREMENTS FOR THIS MATERIAL ARE AS FOLLOWS:
- CERTIFICATE OF CONFORMANCE (COC), see FAR 52.246-15 CERTIFICATE OF CONFORMANCE
- CERTIFIED TEST REPORT MUST (CTR) or MILL TEST REPORTS (MTR’s)
BOTH SHALL ACCOMPANY YOUR SHIPMENT TO ROCK ISLAND ARSENAL FOR ACCEPTANCE.
IN ACCORDANCE WITH DRAWING 11E421717 LISTED AS “ATTACHMENT 0007 – DRW# 11E421717</t>
  </si>
  <si>
    <t>SUGGESTED SOURCE:
MANUFACTURER: CONTROLS CORP OF AMERICA.
PART NUMBER: 806-8409
TYPE: REGULATOR
GAS: ACETYLENE
OUTLET PRESSURE: 0-15 PSIG (O-1 BAR)
QA REQUIREMENTS FOR THIS MATERIAL ARE AS FOLLOWS:
- CERTIFICATE OF CONFORMANCE (COC), see FAR 52.246-15 CERTIFICATE OF CONFORMANCE
SHIPMENT TO ROCK ISLAND ARSENAL FOR ACCEPTANCE.
IN ACCORDANCE WITH DRAWING # 11E421087 LISTED AS “ATTACHMENT 0003 – DRW# 11E421087</t>
  </si>
  <si>
    <t>SUGGESTED SOURCE:
MANUFACTURER: S.J. SMITH CO., INC.
PART NUMBER: PF63CV180B1
VENDOR DESCRIPTION HOSE, FITTING ASSY, HIGH PRESSURE,
OXTGEN, TYPE HIGH PRESSURE HOSE, LENGTH 180 INCHES NOMINAL, HOSE SIZE 1/4 INCH, GAS TYPE OXYGEN, HOSE TYPE 304 STAINLESS STEEL FLEXIBLE BRAID WITH TEFLON CORE, CONNECTIONS BRASS RH FEMALE THREAD WITH CHECK VALVE IN INLET SIDE; CGA 540, HOSE PRESSURE RATING 3000 PSIG MAX, SPECIAL
QA REQUIREMENTS FOR THIS MATERIAL ARE AS FOLLOWS:
- CERTIFICATE OF CONFORMANCE (COC), see FAR 52.246-15 CERTIFICATE OF CONFORMANCE
SHIPMENT TO ROCK ISLAND ARSENAL FOR ACCEPTANCE.
IN ACCORDANCE WITH DRAWING 11E421711 LISTED AS “ATTACHMENT 0009 – DRW# 11E421711</t>
  </si>
  <si>
    <t>SUGGESTED SOURCE:
IAW: PRINT DRW# 11E421081 
QA REQUIREMENTS FOR THIS MATERIAL ARE AS FOLLOWS:
- CERTIFICATE OF CONFORMANCE (COC), see FAR 52.246-15 CERTIFICATE OF CONFORMANCE
SHIPMENT TO ROCK ISLAND ARSENAL FOR ACCEPTANCE.
IN ACCORDANCE WITH DRAWING # 11E421081 LISTED AS “ATTACHMENT 0010 – DRW# 11E421081</t>
  </si>
  <si>
    <t>SUGGESTED SOURCE:
IAW: PRINT DRW# 11E421082 
DRW# 11E421082 is an assembly with downparts 11E421093, 11E421094, and 11E421097 all a part of Attachtment 0008
QA REQUIREMENTS FOR THIS MATERIAL ARE AS FOLLOWS:
- CERTIFICATE OF CONFORMANCE (COC), see FAR 52.246-15 CERTIFICATE OF CONFORMANCE
SHIPMENT TO ROCK ISLAND ARSENAL FOR ACCEPTANCE.
IN ACCORDANCE WITH DRAWING # 11E421082 LISTED AS “ATTACHMENT 0008 – DRW# 11E421082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</si>
</sst>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7" x14ac:knownFonts="1">
    <font>
      <sz val="11"/>
      <color theme="1"/>
      <name val="Calibri"/>
      <family val="2"/>
      <scheme val="minor"/>
    </font>
    <font>
      <b/>
      <sz val="14"/>
      <color theme="1"/>
      <name val="Arial"/>
      <family val="2"/>
    </font>
    <font>
      <sz val="14"/>
      <color theme="1"/>
      <name val="Arial"/>
      <family val="2"/>
    </font>
    <font>
      <b/>
      <sz val="14"/>
      <name val="Arial"/>
      <family val="2"/>
    </font>
    <font>
      <sz val="14"/>
      <name val="Times New Roman"/>
      <family val="1"/>
    </font>
    <font>
      <sz val="12"/>
      <color theme="1"/>
      <name val="Arial"/>
      <family val="2"/>
    </font>
    <font>
      <b/>
      <sz val="14"/>
      <color rgb="FF000000"/>
      <name val="Arial"/>
      <family val="2"/>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FFFFFF"/>
        <bgColor rgb="FF000000"/>
      </patternFill>
    </fill>
    <fill>
      <patternFill patternType="solid">
        <fgColor theme="3" tint="0.79998168889431442"/>
        <bgColor indexed="64"/>
      </patternFill>
    </fill>
  </fills>
  <borders count="17">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40">
    <xf numFmtId="0" fontId="0" fillId="0" borderId="0" xfId="0"/>
    <xf numFmtId="0" fontId="2" fillId="0" borderId="0" xfId="0" applyFont="1"/>
    <xf numFmtId="0" fontId="2" fillId="0" borderId="0" xfId="0" applyFont="1" applyAlignment="1">
      <alignment horizontal="center" vertical="center"/>
    </xf>
    <xf numFmtId="49" fontId="2" fillId="0" borderId="0" xfId="0" applyNumberFormat="1" applyFont="1" applyAlignment="1">
      <alignment horizontal="center"/>
    </xf>
    <xf numFmtId="0" fontId="3" fillId="0" borderId="0" xfId="0" applyFont="1" applyAlignment="1">
      <alignment horizontal="left" vertical="top" wrapText="1"/>
    </xf>
    <xf numFmtId="0" fontId="2" fillId="0" borderId="0" xfId="0" applyFont="1" applyAlignment="1">
      <alignment horizontal="center"/>
    </xf>
    <xf numFmtId="0" fontId="5" fillId="0" borderId="0" xfId="0" applyFont="1"/>
    <xf numFmtId="0" fontId="5" fillId="0" borderId="0" xfId="0" applyFont="1" applyAlignment="1">
      <alignment horizontal="center" vertical="center"/>
    </xf>
    <xf numFmtId="49" fontId="1" fillId="4" borderId="12" xfId="0" applyNumberFormat="1" applyFont="1" applyFill="1" applyBorder="1" applyAlignment="1">
      <alignment horizontal="center" vertical="center" wrapText="1"/>
    </xf>
    <xf numFmtId="0" fontId="1" fillId="4" borderId="14" xfId="0" applyFont="1" applyFill="1" applyBorder="1" applyAlignment="1">
      <alignment horizontal="center" vertical="center" wrapText="1"/>
    </xf>
    <xf numFmtId="4" fontId="1" fillId="4" borderId="13" xfId="0" applyNumberFormat="1" applyFont="1" applyFill="1" applyBorder="1" applyAlignment="1">
      <alignment horizontal="center" vertical="center" wrapText="1"/>
    </xf>
    <xf numFmtId="0" fontId="1" fillId="4" borderId="11" xfId="0" applyFont="1" applyFill="1" applyBorder="1" applyAlignment="1">
      <alignment horizontal="center" vertical="center" wrapText="1"/>
    </xf>
    <xf numFmtId="49" fontId="2" fillId="0" borderId="12" xfId="0" quotePrefix="1" applyNumberFormat="1" applyFont="1" applyBorder="1" applyAlignment="1">
      <alignment horizontal="center" vertical="center"/>
    </xf>
    <xf numFmtId="3" fontId="2" fillId="0" borderId="14" xfId="0" applyNumberFormat="1" applyFont="1" applyBorder="1" applyAlignment="1">
      <alignment horizontal="center" vertical="center"/>
    </xf>
    <xf numFmtId="0" fontId="2" fillId="0" borderId="14" xfId="0" applyFont="1" applyBorder="1" applyAlignment="1">
      <alignment horizontal="center" vertical="center"/>
    </xf>
    <xf numFmtId="164" fontId="2" fillId="3" borderId="14" xfId="0" applyNumberFormat="1" applyFont="1" applyFill="1" applyBorder="1" applyAlignment="1" applyProtection="1">
      <alignment horizontal="center" vertical="center"/>
      <protection locked="0"/>
    </xf>
    <xf numFmtId="44" fontId="2" fillId="0" borderId="14" xfId="0" applyNumberFormat="1" applyFont="1" applyBorder="1" applyAlignment="1">
      <alignment horizontal="center" vertical="center"/>
    </xf>
    <xf numFmtId="0" fontId="2" fillId="3" borderId="15" xfId="0" applyFont="1" applyFill="1" applyBorder="1" applyAlignment="1" applyProtection="1">
      <alignment horizontal="center" vertical="center"/>
      <protection locked="0"/>
    </xf>
    <xf numFmtId="15" fontId="4" fillId="0" borderId="14" xfId="0" applyNumberFormat="1" applyFont="1" applyBorder="1" applyAlignment="1">
      <alignment horizontal="center" wrapText="1"/>
    </xf>
    <xf numFmtId="0" fontId="3" fillId="7" borderId="16" xfId="0" applyFont="1" applyFill="1" applyBorder="1" applyAlignment="1">
      <alignment horizontal="left" vertical="top" wrapText="1"/>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44" fontId="2" fillId="5" borderId="5" xfId="0" applyNumberFormat="1" applyFont="1" applyFill="1" applyBorder="1" applyAlignment="1">
      <alignment horizontal="center" vertical="center"/>
    </xf>
    <xf numFmtId="15" fontId="2" fillId="0" borderId="0" xfId="0" applyNumberFormat="1" applyFont="1" applyAlignment="1">
      <alignment horizontal="center"/>
    </xf>
    <xf numFmtId="0" fontId="6" fillId="6" borderId="14" xfId="0" applyFont="1" applyFill="1" applyBorder="1" applyAlignment="1">
      <alignment vertical="center" wrapText="1"/>
    </xf>
    <xf numFmtId="0" fontId="1" fillId="0" borderId="0" xfId="0" applyFont="1" applyBorder="1" applyAlignment="1">
      <alignment horizontal="center" vertical="center"/>
    </xf>
    <xf numFmtId="0" fontId="3" fillId="7" borderId="0" xfId="0" applyFont="1" applyFill="1" applyBorder="1" applyAlignment="1">
      <alignment horizontal="left" vertical="top" wrapText="1"/>
    </xf>
    <xf numFmtId="0" fontId="3" fillId="4" borderId="13" xfId="0" applyFont="1" applyFill="1" applyBorder="1" applyAlignment="1">
      <alignment horizontal="center" vertical="center"/>
    </xf>
    <xf numFmtId="0" fontId="2" fillId="0" borderId="0" xfId="0" applyFont="1" applyFill="1"/>
    <xf numFmtId="0" fontId="5" fillId="0" borderId="0" xfId="0" applyFont="1" applyFill="1"/>
    <xf numFmtId="0" fontId="1" fillId="0" borderId="6" xfId="0" applyFont="1" applyFill="1" applyBorder="1" applyAlignment="1">
      <alignment horizontal="center" vertical="center"/>
    </xf>
    <xf numFmtId="0" fontId="1" fillId="0" borderId="4" xfId="0" applyFont="1" applyFill="1" applyBorder="1" applyAlignment="1">
      <alignment horizontal="center" vertic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3" borderId="6" xfId="0" applyFont="1" applyFill="1" applyBorder="1" applyAlignment="1">
      <alignment horizontal="center" vertical="center"/>
    </xf>
    <xf numFmtId="0" fontId="0" fillId="3" borderId="7" xfId="0" applyFill="1" applyBorder="1" applyAlignment="1">
      <alignment horizontal="center"/>
    </xf>
    <xf numFmtId="0" fontId="0" fillId="3" borderId="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topLeftCell="A18" zoomScale="67" zoomScaleNormal="130" workbookViewId="0">
      <selection activeCell="C22" sqref="C22"/>
    </sheetView>
  </sheetViews>
  <sheetFormatPr defaultColWidth="9.109375" defaultRowHeight="17.399999999999999" x14ac:dyDescent="0.3"/>
  <cols>
    <col min="1" max="1" width="8.33203125" style="3" customWidth="1"/>
    <col min="2" max="2" width="54.6640625" style="1" customWidth="1"/>
    <col min="3" max="3" width="87.6640625" style="1" customWidth="1"/>
    <col min="4" max="4" width="16.88671875" style="1" customWidth="1"/>
    <col min="5" max="5" width="12.33203125" style="1" customWidth="1"/>
    <col min="6" max="6" width="16.88671875" style="5" customWidth="1"/>
    <col min="7" max="7" width="24" style="5" customWidth="1"/>
    <col min="8" max="8" width="20.109375" style="5" customWidth="1"/>
    <col min="9" max="9" width="33.109375" style="1" customWidth="1"/>
    <col min="10" max="10" width="11" style="1" customWidth="1"/>
    <col min="11" max="16384" width="9.109375" style="1"/>
  </cols>
  <sheetData>
    <row r="1" spans="1:10" x14ac:dyDescent="0.3">
      <c r="A1" s="34" t="s">
        <v>22</v>
      </c>
      <c r="B1" s="35"/>
      <c r="C1" s="35"/>
      <c r="D1" s="35"/>
      <c r="E1" s="35"/>
      <c r="F1" s="35"/>
      <c r="G1" s="35"/>
      <c r="H1" s="36"/>
      <c r="J1" s="6"/>
    </row>
    <row r="2" spans="1:10" s="30" customFormat="1" x14ac:dyDescent="0.3">
      <c r="A2" s="32" t="s">
        <v>0</v>
      </c>
      <c r="B2" s="33"/>
      <c r="C2" s="37"/>
      <c r="D2" s="38"/>
      <c r="E2" s="38"/>
      <c r="F2" s="38"/>
      <c r="G2" s="38"/>
      <c r="H2" s="39"/>
      <c r="J2" s="31"/>
    </row>
    <row r="3" spans="1:10" s="30" customFormat="1" x14ac:dyDescent="0.3">
      <c r="A3" s="32" t="s">
        <v>1</v>
      </c>
      <c r="B3" s="33"/>
      <c r="C3" s="37"/>
      <c r="D3" s="38"/>
      <c r="E3" s="38"/>
      <c r="F3" s="38"/>
      <c r="G3" s="38"/>
      <c r="H3" s="39"/>
      <c r="J3" s="31"/>
    </row>
    <row r="4" spans="1:10" s="30" customFormat="1" x14ac:dyDescent="0.3">
      <c r="A4" s="32" t="s">
        <v>2</v>
      </c>
      <c r="B4" s="33"/>
      <c r="C4" s="37"/>
      <c r="D4" s="38"/>
      <c r="E4" s="38"/>
      <c r="F4" s="38"/>
      <c r="G4" s="38"/>
      <c r="H4" s="39"/>
      <c r="J4" s="31"/>
    </row>
    <row r="5" spans="1:10" ht="18" thickBot="1" x14ac:dyDescent="0.35">
      <c r="A5" s="20"/>
      <c r="B5" s="21"/>
      <c r="C5" s="27"/>
      <c r="D5" s="5"/>
      <c r="E5" s="22"/>
      <c r="F5" s="23"/>
      <c r="G5" s="23"/>
      <c r="H5" s="22"/>
      <c r="J5" s="6"/>
    </row>
    <row r="6" spans="1:10" s="2" customFormat="1" ht="70.2" thickBot="1" x14ac:dyDescent="0.35">
      <c r="A6" s="8" t="s">
        <v>3</v>
      </c>
      <c r="B6" s="29" t="s">
        <v>20</v>
      </c>
      <c r="C6" s="29" t="s">
        <v>21</v>
      </c>
      <c r="D6" s="9" t="s">
        <v>4</v>
      </c>
      <c r="E6" s="9" t="s">
        <v>5</v>
      </c>
      <c r="F6" s="9" t="s">
        <v>6</v>
      </c>
      <c r="G6" s="10" t="s">
        <v>7</v>
      </c>
      <c r="H6" s="11" t="s">
        <v>8</v>
      </c>
      <c r="I6" s="11" t="s">
        <v>9</v>
      </c>
      <c r="J6" s="7"/>
    </row>
    <row r="7" spans="1:10" ht="244.2" thickBot="1" x14ac:dyDescent="0.4">
      <c r="A7" s="12" t="s">
        <v>10</v>
      </c>
      <c r="B7" s="26" t="s">
        <v>23</v>
      </c>
      <c r="C7" s="26" t="s">
        <v>47</v>
      </c>
      <c r="D7" s="13">
        <v>6</v>
      </c>
      <c r="E7" s="14" t="s">
        <v>11</v>
      </c>
      <c r="F7" s="15"/>
      <c r="G7" s="16">
        <f t="shared" ref="G7:G12" si="0">D7*F7</f>
        <v>0</v>
      </c>
      <c r="H7" s="18" t="s">
        <v>15</v>
      </c>
      <c r="I7" s="17"/>
      <c r="J7" s="6"/>
    </row>
    <row r="8" spans="1:10" ht="244.2" thickBot="1" x14ac:dyDescent="0.4">
      <c r="A8" s="12" t="s">
        <v>12</v>
      </c>
      <c r="B8" s="26" t="s">
        <v>23</v>
      </c>
      <c r="C8" s="26" t="s">
        <v>47</v>
      </c>
      <c r="D8" s="13">
        <v>3</v>
      </c>
      <c r="E8" s="14" t="s">
        <v>11</v>
      </c>
      <c r="F8" s="15"/>
      <c r="G8" s="16">
        <f t="shared" si="0"/>
        <v>0</v>
      </c>
      <c r="H8" s="18" t="s">
        <v>15</v>
      </c>
      <c r="I8" s="17"/>
      <c r="J8" s="6"/>
    </row>
    <row r="9" spans="1:10" ht="279" thickBot="1" x14ac:dyDescent="0.4">
      <c r="A9" s="12" t="s">
        <v>13</v>
      </c>
      <c r="B9" s="26" t="s">
        <v>39</v>
      </c>
      <c r="C9" s="26" t="s">
        <v>52</v>
      </c>
      <c r="D9" s="13">
        <v>6</v>
      </c>
      <c r="E9" s="14" t="s">
        <v>11</v>
      </c>
      <c r="F9" s="15"/>
      <c r="G9" s="16">
        <f t="shared" si="0"/>
        <v>0</v>
      </c>
      <c r="H9" s="18" t="s">
        <v>15</v>
      </c>
      <c r="I9" s="17"/>
      <c r="J9" s="6"/>
    </row>
    <row r="10" spans="1:10" ht="279" thickBot="1" x14ac:dyDescent="0.4">
      <c r="A10" s="12" t="s">
        <v>17</v>
      </c>
      <c r="B10" s="26" t="s">
        <v>39</v>
      </c>
      <c r="C10" s="26" t="s">
        <v>52</v>
      </c>
      <c r="D10" s="13">
        <v>3</v>
      </c>
      <c r="E10" s="14" t="s">
        <v>11</v>
      </c>
      <c r="F10" s="15"/>
      <c r="G10" s="16">
        <f t="shared" si="0"/>
        <v>0</v>
      </c>
      <c r="H10" s="18" t="s">
        <v>15</v>
      </c>
      <c r="I10" s="17"/>
      <c r="J10" s="6"/>
    </row>
    <row r="11" spans="1:10" ht="383.4" thickBot="1" x14ac:dyDescent="0.4">
      <c r="A11" s="12" t="s">
        <v>18</v>
      </c>
      <c r="B11" s="26" t="s">
        <v>40</v>
      </c>
      <c r="C11" s="26" t="s">
        <v>48</v>
      </c>
      <c r="D11" s="13">
        <v>12</v>
      </c>
      <c r="E11" s="14" t="s">
        <v>11</v>
      </c>
      <c r="F11" s="15"/>
      <c r="G11" s="16">
        <f t="shared" si="0"/>
        <v>0</v>
      </c>
      <c r="H11" s="18" t="s">
        <v>15</v>
      </c>
      <c r="I11" s="17"/>
      <c r="J11" s="6"/>
    </row>
    <row r="12" spans="1:10" ht="383.4" thickBot="1" x14ac:dyDescent="0.4">
      <c r="A12" s="12" t="s">
        <v>19</v>
      </c>
      <c r="B12" s="26" t="s">
        <v>40</v>
      </c>
      <c r="C12" s="26" t="s">
        <v>48</v>
      </c>
      <c r="D12" s="13">
        <v>6</v>
      </c>
      <c r="E12" s="14" t="s">
        <v>11</v>
      </c>
      <c r="F12" s="15"/>
      <c r="G12" s="16">
        <f t="shared" si="0"/>
        <v>0</v>
      </c>
      <c r="H12" s="18" t="s">
        <v>15</v>
      </c>
      <c r="I12" s="17"/>
      <c r="J12" s="6"/>
    </row>
    <row r="13" spans="1:10" ht="383.4" thickBot="1" x14ac:dyDescent="0.4">
      <c r="A13" s="12" t="s">
        <v>38</v>
      </c>
      <c r="B13" s="26" t="s">
        <v>41</v>
      </c>
      <c r="C13" s="26" t="s">
        <v>49</v>
      </c>
      <c r="D13" s="13">
        <v>6</v>
      </c>
      <c r="E13" s="14" t="s">
        <v>11</v>
      </c>
      <c r="F13" s="15"/>
      <c r="G13" s="16">
        <f t="shared" ref="G13:G27" si="1">D13*F13</f>
        <v>0</v>
      </c>
      <c r="H13" s="18" t="s">
        <v>15</v>
      </c>
      <c r="I13" s="17"/>
      <c r="J13" s="6"/>
    </row>
    <row r="14" spans="1:10" ht="383.4" thickBot="1" x14ac:dyDescent="0.4">
      <c r="A14" s="12" t="s">
        <v>37</v>
      </c>
      <c r="B14" s="26" t="s">
        <v>41</v>
      </c>
      <c r="C14" s="26" t="s">
        <v>49</v>
      </c>
      <c r="D14" s="13">
        <v>3</v>
      </c>
      <c r="E14" s="14" t="s">
        <v>11</v>
      </c>
      <c r="F14" s="15"/>
      <c r="G14" s="16">
        <f t="shared" si="1"/>
        <v>0</v>
      </c>
      <c r="H14" s="18" t="s">
        <v>15</v>
      </c>
      <c r="I14" s="17"/>
      <c r="J14" s="6"/>
    </row>
    <row r="15" spans="1:10" ht="331.2" thickBot="1" x14ac:dyDescent="0.4">
      <c r="A15" s="12" t="s">
        <v>36</v>
      </c>
      <c r="B15" s="26" t="s">
        <v>42</v>
      </c>
      <c r="C15" s="26" t="s">
        <v>50</v>
      </c>
      <c r="D15" s="13">
        <v>6</v>
      </c>
      <c r="E15" s="14" t="s">
        <v>11</v>
      </c>
      <c r="F15" s="15"/>
      <c r="G15" s="16">
        <f t="shared" si="1"/>
        <v>0</v>
      </c>
      <c r="H15" s="18" t="s">
        <v>15</v>
      </c>
      <c r="I15" s="17"/>
      <c r="J15" s="6"/>
    </row>
    <row r="16" spans="1:10" ht="331.2" thickBot="1" x14ac:dyDescent="0.4">
      <c r="A16" s="12" t="s">
        <v>35</v>
      </c>
      <c r="B16" s="26" t="s">
        <v>42</v>
      </c>
      <c r="C16" s="26" t="s">
        <v>50</v>
      </c>
      <c r="D16" s="13">
        <v>3</v>
      </c>
      <c r="E16" s="14" t="s">
        <v>11</v>
      </c>
      <c r="F16" s="15"/>
      <c r="G16" s="16">
        <f t="shared" si="1"/>
        <v>0</v>
      </c>
      <c r="H16" s="18" t="s">
        <v>15</v>
      </c>
      <c r="I16" s="17"/>
      <c r="J16" s="6"/>
    </row>
    <row r="17" spans="1:10" ht="348.6" thickBot="1" x14ac:dyDescent="0.4">
      <c r="A17" s="12" t="s">
        <v>34</v>
      </c>
      <c r="B17" s="26" t="s">
        <v>43</v>
      </c>
      <c r="C17" s="26" t="s">
        <v>51</v>
      </c>
      <c r="D17" s="13">
        <v>6</v>
      </c>
      <c r="E17" s="14" t="s">
        <v>11</v>
      </c>
      <c r="F17" s="15"/>
      <c r="G17" s="16">
        <f t="shared" si="1"/>
        <v>0</v>
      </c>
      <c r="H17" s="18" t="s">
        <v>15</v>
      </c>
      <c r="I17" s="17"/>
      <c r="J17" s="6"/>
    </row>
    <row r="18" spans="1:10" ht="348.6" thickBot="1" x14ac:dyDescent="0.4">
      <c r="A18" s="12" t="s">
        <v>33</v>
      </c>
      <c r="B18" s="26" t="s">
        <v>43</v>
      </c>
      <c r="C18" s="26" t="s">
        <v>51</v>
      </c>
      <c r="D18" s="13">
        <v>3</v>
      </c>
      <c r="E18" s="14" t="s">
        <v>11</v>
      </c>
      <c r="F18" s="15"/>
      <c r="G18" s="16">
        <f t="shared" si="1"/>
        <v>0</v>
      </c>
      <c r="H18" s="18" t="s">
        <v>15</v>
      </c>
      <c r="I18" s="17"/>
      <c r="J18" s="6"/>
    </row>
    <row r="19" spans="1:10" ht="244.2" thickBot="1" x14ac:dyDescent="0.4">
      <c r="A19" s="12" t="s">
        <v>32</v>
      </c>
      <c r="B19" s="26" t="s">
        <v>44</v>
      </c>
      <c r="C19" s="26" t="s">
        <v>55</v>
      </c>
      <c r="D19" s="13">
        <v>2</v>
      </c>
      <c r="E19" s="14" t="s">
        <v>11</v>
      </c>
      <c r="F19" s="15"/>
      <c r="G19" s="16">
        <f t="shared" si="1"/>
        <v>0</v>
      </c>
      <c r="H19" s="18" t="s">
        <v>15</v>
      </c>
      <c r="I19" s="17"/>
      <c r="J19" s="6"/>
    </row>
    <row r="20" spans="1:10" ht="244.2" thickBot="1" x14ac:dyDescent="0.4">
      <c r="A20" s="12" t="s">
        <v>31</v>
      </c>
      <c r="B20" s="26" t="s">
        <v>44</v>
      </c>
      <c r="C20" s="26" t="s">
        <v>55</v>
      </c>
      <c r="D20" s="13">
        <v>1</v>
      </c>
      <c r="E20" s="14" t="s">
        <v>11</v>
      </c>
      <c r="F20" s="15"/>
      <c r="G20" s="16">
        <f t="shared" si="1"/>
        <v>0</v>
      </c>
      <c r="H20" s="18" t="s">
        <v>15</v>
      </c>
      <c r="I20" s="17"/>
      <c r="J20" s="6"/>
    </row>
    <row r="21" spans="1:10" ht="244.2" thickBot="1" x14ac:dyDescent="0.4">
      <c r="A21" s="12" t="s">
        <v>30</v>
      </c>
      <c r="B21" s="26" t="s">
        <v>44</v>
      </c>
      <c r="C21" s="26" t="s">
        <v>55</v>
      </c>
      <c r="D21" s="13">
        <v>6</v>
      </c>
      <c r="E21" s="14" t="s">
        <v>11</v>
      </c>
      <c r="F21" s="15"/>
      <c r="G21" s="16">
        <f t="shared" si="1"/>
        <v>0</v>
      </c>
      <c r="H21" s="18" t="s">
        <v>15</v>
      </c>
      <c r="I21" s="17"/>
      <c r="J21" s="6"/>
    </row>
    <row r="22" spans="1:10" ht="244.2" thickBot="1" x14ac:dyDescent="0.4">
      <c r="A22" s="12" t="s">
        <v>29</v>
      </c>
      <c r="B22" s="26" t="s">
        <v>44</v>
      </c>
      <c r="C22" s="26" t="s">
        <v>55</v>
      </c>
      <c r="D22" s="13">
        <v>3</v>
      </c>
      <c r="E22" s="14" t="s">
        <v>11</v>
      </c>
      <c r="F22" s="15"/>
      <c r="G22" s="16">
        <f t="shared" si="1"/>
        <v>0</v>
      </c>
      <c r="H22" s="18" t="s">
        <v>15</v>
      </c>
      <c r="I22" s="17"/>
      <c r="J22" s="6"/>
    </row>
    <row r="23" spans="1:10" ht="348.6" thickBot="1" x14ac:dyDescent="0.4">
      <c r="A23" s="12" t="s">
        <v>28</v>
      </c>
      <c r="B23" s="26" t="s">
        <v>45</v>
      </c>
      <c r="C23" s="26" t="s">
        <v>53</v>
      </c>
      <c r="D23" s="13">
        <v>6</v>
      </c>
      <c r="E23" s="14" t="s">
        <v>11</v>
      </c>
      <c r="F23" s="15"/>
      <c r="G23" s="16">
        <f t="shared" si="1"/>
        <v>0</v>
      </c>
      <c r="H23" s="18" t="s">
        <v>15</v>
      </c>
      <c r="I23" s="17"/>
      <c r="J23" s="6"/>
    </row>
    <row r="24" spans="1:10" ht="348.6" thickBot="1" x14ac:dyDescent="0.4">
      <c r="A24" s="12" t="s">
        <v>27</v>
      </c>
      <c r="B24" s="26" t="s">
        <v>45</v>
      </c>
      <c r="C24" s="26" t="s">
        <v>53</v>
      </c>
      <c r="D24" s="13">
        <v>3</v>
      </c>
      <c r="E24" s="14" t="s">
        <v>11</v>
      </c>
      <c r="F24" s="15"/>
      <c r="G24" s="16">
        <f t="shared" si="1"/>
        <v>0</v>
      </c>
      <c r="H24" s="18" t="s">
        <v>15</v>
      </c>
      <c r="I24" s="17"/>
      <c r="J24" s="6"/>
    </row>
    <row r="25" spans="1:10" ht="209.4" thickBot="1" x14ac:dyDescent="0.4">
      <c r="A25" s="12" t="s">
        <v>26</v>
      </c>
      <c r="B25" s="26" t="s">
        <v>46</v>
      </c>
      <c r="C25" s="26" t="s">
        <v>54</v>
      </c>
      <c r="D25" s="13">
        <v>1</v>
      </c>
      <c r="E25" s="14" t="s">
        <v>11</v>
      </c>
      <c r="F25" s="15"/>
      <c r="G25" s="16">
        <f t="shared" si="1"/>
        <v>0</v>
      </c>
      <c r="H25" s="18" t="s">
        <v>15</v>
      </c>
      <c r="I25" s="17"/>
      <c r="J25" s="6"/>
    </row>
    <row r="26" spans="1:10" ht="209.4" thickBot="1" x14ac:dyDescent="0.4">
      <c r="A26" s="12" t="s">
        <v>25</v>
      </c>
      <c r="B26" s="26" t="s">
        <v>46</v>
      </c>
      <c r="C26" s="26" t="s">
        <v>54</v>
      </c>
      <c r="D26" s="13">
        <v>6</v>
      </c>
      <c r="E26" s="14" t="s">
        <v>11</v>
      </c>
      <c r="F26" s="15"/>
      <c r="G26" s="16">
        <f t="shared" si="1"/>
        <v>0</v>
      </c>
      <c r="H26" s="18" t="s">
        <v>15</v>
      </c>
      <c r="I26" s="17"/>
      <c r="J26" s="6"/>
    </row>
    <row r="27" spans="1:10" ht="209.4" thickBot="1" x14ac:dyDescent="0.4">
      <c r="A27" s="12" t="s">
        <v>24</v>
      </c>
      <c r="B27" s="26" t="s">
        <v>46</v>
      </c>
      <c r="C27" s="26" t="s">
        <v>54</v>
      </c>
      <c r="D27" s="13">
        <v>3</v>
      </c>
      <c r="E27" s="14" t="s">
        <v>11</v>
      </c>
      <c r="F27" s="15"/>
      <c r="G27" s="16">
        <f t="shared" si="1"/>
        <v>0</v>
      </c>
      <c r="H27" s="18" t="s">
        <v>15</v>
      </c>
      <c r="I27" s="17"/>
      <c r="J27" s="6"/>
    </row>
    <row r="28" spans="1:10" ht="18" thickBot="1" x14ac:dyDescent="0.35">
      <c r="B28" s="19" t="s">
        <v>14</v>
      </c>
      <c r="C28" s="28"/>
      <c r="F28" s="1"/>
      <c r="G28" s="24">
        <f>SUM(G27:G27)</f>
        <v>0</v>
      </c>
      <c r="H28" s="25"/>
      <c r="J28" s="6"/>
    </row>
    <row r="29" spans="1:10" ht="52.2" x14ac:dyDescent="0.3">
      <c r="A29" s="4"/>
      <c r="B29" s="19" t="s">
        <v>16</v>
      </c>
      <c r="C29" s="28"/>
      <c r="F29" s="1"/>
      <c r="G29" s="1"/>
      <c r="H29" s="1"/>
    </row>
  </sheetData>
  <sheetProtection selectLockedCells="1"/>
  <mergeCells count="7">
    <mergeCell ref="A4:B4"/>
    <mergeCell ref="A1:H1"/>
    <mergeCell ref="A2:B2"/>
    <mergeCell ref="A3:B3"/>
    <mergeCell ref="C2:H2"/>
    <mergeCell ref="C3:H3"/>
    <mergeCell ref="C4:H4"/>
  </mergeCells>
  <pageMargins left="0.7" right="0.7" top="0.75" bottom="0.75" header="0.3" footer="0.3"/>
  <pageSetup scale="6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16" ma:contentTypeDescription="Create a new document." ma:contentTypeScope="" ma:versionID="0d5c24e903f8bd227ded29c0c432dc44">
  <xsd:schema xmlns:xsd="http://www.w3.org/2001/XMLSchema" xmlns:xs="http://www.w3.org/2001/XMLSchema" xmlns:p="http://schemas.microsoft.com/office/2006/metadata/properties" xmlns:ns2="4233fc49-3339-4531-8895-cee7bd229291" xmlns:ns3="c93905bf-b08c-430b-8630-76f4d352397a" targetNamespace="http://schemas.microsoft.com/office/2006/metadata/properties" ma:root="true" ma:fieldsID="4936a4021d47d176bea35f2b953187ad" ns2:_="" ns3:_="">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8d15138-f141-4433-9cbd-b02043ec86ba}"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33fc49-3339-4531-8895-cee7bd229291">
      <Terms xmlns="http://schemas.microsoft.com/office/infopath/2007/PartnerControls"/>
    </lcf76f155ced4ddcb4097134ff3c332f>
    <TaxCatchAll xmlns="c93905bf-b08c-430b-8630-76f4d352397a" xsi:nil="true"/>
    <SharedWithUsers xmlns="c93905bf-b08c-430b-8630-76f4d352397a">
      <UserInfo>
        <DisplayName/>
        <AccountId xsi:nil="true"/>
        <AccountType/>
      </UserInfo>
    </SharedWithUsers>
  </documentManagement>
</p:properties>
</file>

<file path=customXml/itemProps1.xml><?xml version="1.0" encoding="utf-8"?>
<ds:datastoreItem xmlns:ds="http://schemas.openxmlformats.org/officeDocument/2006/customXml" ds:itemID="{DD8B2892-5AB4-4A12-8530-78302589E08C}">
  <ds:schemaRefs>
    <ds:schemaRef ds:uri="http://schemas.microsoft.com/sharepoint/v3/contenttype/forms"/>
  </ds:schemaRefs>
</ds:datastoreItem>
</file>

<file path=customXml/itemProps2.xml><?xml version="1.0" encoding="utf-8"?>
<ds:datastoreItem xmlns:ds="http://schemas.openxmlformats.org/officeDocument/2006/customXml" ds:itemID="{BE4E8F44-92B0-4E0D-BD4F-6A982BAD0D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33fc49-3339-4531-8895-cee7bd229291"/>
    <ds:schemaRef ds:uri="c93905bf-b08c-430b-8630-76f4d35239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A9D588-76E6-4D72-9D67-28F7EB5C5FAE}">
  <ds:schemaRefs>
    <ds:schemaRef ds:uri="http://purl.org/dc/terms/"/>
    <ds:schemaRef ds:uri="4233fc49-3339-4531-8895-cee7bd229291"/>
    <ds:schemaRef ds:uri="http://schemas.microsoft.com/office/infopath/2007/PartnerControls"/>
    <ds:schemaRef ds:uri="http://purl.org/dc/elements/1.1/"/>
    <ds:schemaRef ds:uri="http://www.w3.org/XML/1998/namespace"/>
    <ds:schemaRef ds:uri="http://schemas.openxmlformats.org/package/2006/metadata/core-properties"/>
    <ds:schemaRef ds:uri="http://schemas.microsoft.com/office/2006/documentManagement/types"/>
    <ds:schemaRef ds:uri="c93905bf-b08c-430b-8630-76f4d352397a"/>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RFQ# 1426</vt:lpstr>
      <vt:lpstr>'RFQ# 1426'!Print_Area</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Rivard Jr, Lynn J CIV USA</dc:creator>
  <cp:keywords/>
  <dc:description/>
  <cp:lastModifiedBy>Thomas, Jamon I CIV USARMY ACC (USA)</cp:lastModifiedBy>
  <cp:revision/>
  <dcterms:created xsi:type="dcterms:W3CDTF">2018-11-21T17:32:19Z</dcterms:created>
  <dcterms:modified xsi:type="dcterms:W3CDTF">2025-06-05T16:30:21Z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y fmtid="{D5CDD505-2E9C-101B-9397-08002B2CF9AE}" pid="4" name="Order">
    <vt:r8>179100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