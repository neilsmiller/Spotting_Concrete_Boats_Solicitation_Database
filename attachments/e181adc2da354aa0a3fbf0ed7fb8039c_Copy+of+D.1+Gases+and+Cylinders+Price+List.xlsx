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dayna_cantu_va_gov/Documents/Desktop/740 GAS SOLICITATION/HCA APPROVED/"/>
    </mc:Choice>
  </mc:AlternateContent>
  <xr:revisionPtr revIDLastSave="0" documentId="8_{BE1A121B-EBD4-4670-BC7C-D13FDF14C3ED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Base Year" sheetId="1" r:id="rId1"/>
    <sheet name="Option Year 1" sheetId="2" r:id="rId2"/>
    <sheet name="Option Year 2" sheetId="3" r:id="rId3"/>
    <sheet name="Option Year 3" sheetId="4" r:id="rId4"/>
    <sheet name="Option Year 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5" l="1"/>
  <c r="G21" i="5"/>
  <c r="G19" i="5"/>
  <c r="G18" i="5"/>
  <c r="G17" i="5"/>
  <c r="G16" i="5"/>
  <c r="G15" i="5"/>
  <c r="G14" i="5"/>
  <c r="G13" i="5"/>
  <c r="G11" i="5"/>
  <c r="G10" i="5"/>
  <c r="G9" i="5"/>
  <c r="G8" i="5"/>
  <c r="G7" i="5"/>
  <c r="G6" i="5"/>
  <c r="G5" i="5"/>
  <c r="G22" i="4"/>
  <c r="G21" i="4"/>
  <c r="G19" i="4"/>
  <c r="G18" i="4"/>
  <c r="G17" i="4"/>
  <c r="G16" i="4"/>
  <c r="G15" i="4"/>
  <c r="G14" i="4"/>
  <c r="G13" i="4"/>
  <c r="G11" i="4"/>
  <c r="G10" i="4"/>
  <c r="G9" i="4"/>
  <c r="G8" i="4"/>
  <c r="G7" i="4"/>
  <c r="G6" i="4"/>
  <c r="G5" i="4"/>
  <c r="G23" i="4" s="1"/>
  <c r="G22" i="3"/>
  <c r="G21" i="3"/>
  <c r="G19" i="3"/>
  <c r="G18" i="3"/>
  <c r="G17" i="3"/>
  <c r="G16" i="3"/>
  <c r="G15" i="3"/>
  <c r="G14" i="3"/>
  <c r="G13" i="3"/>
  <c r="G11" i="3"/>
  <c r="G10" i="3"/>
  <c r="G9" i="3"/>
  <c r="G8" i="3"/>
  <c r="G7" i="3"/>
  <c r="G6" i="3"/>
  <c r="G5" i="3"/>
  <c r="G22" i="1"/>
  <c r="G21" i="1"/>
  <c r="G19" i="1"/>
  <c r="G18" i="1"/>
  <c r="G17" i="1"/>
  <c r="G16" i="1"/>
  <c r="G15" i="1"/>
  <c r="G14" i="1"/>
  <c r="G13" i="1"/>
  <c r="G11" i="1"/>
  <c r="G10" i="1"/>
  <c r="G9" i="1"/>
  <c r="G8" i="1"/>
  <c r="G7" i="1"/>
  <c r="G6" i="1"/>
  <c r="G5" i="1"/>
  <c r="G22" i="2"/>
  <c r="G21" i="2"/>
  <c r="G19" i="2"/>
  <c r="G18" i="2"/>
  <c r="G17" i="2"/>
  <c r="G16" i="2"/>
  <c r="G15" i="2"/>
  <c r="G14" i="2"/>
  <c r="G13" i="2"/>
  <c r="G11" i="2"/>
  <c r="G10" i="2"/>
  <c r="G9" i="2"/>
  <c r="G8" i="2"/>
  <c r="G7" i="2"/>
  <c r="G6" i="2"/>
  <c r="G5" i="2"/>
  <c r="G23" i="5" l="1"/>
  <c r="G23" i="3"/>
  <c r="G23" i="1"/>
  <c r="G23" i="2"/>
</calcChain>
</file>

<file path=xl/sharedStrings.xml><?xml version="1.0" encoding="utf-8"?>
<sst xmlns="http://schemas.openxmlformats.org/spreadsheetml/2006/main" count="415" uniqueCount="123">
  <si>
    <t>DESCRIPTION</t>
  </si>
  <si>
    <t>SIZE</t>
  </si>
  <si>
    <t>UNIT</t>
  </si>
  <si>
    <t>E</t>
  </si>
  <si>
    <t>Emergency Delivery Fee</t>
  </si>
  <si>
    <t>N/A</t>
  </si>
  <si>
    <t>GASES</t>
  </si>
  <si>
    <t>UNIT PRICE</t>
  </si>
  <si>
    <t>TOTAL</t>
  </si>
  <si>
    <t xml:space="preserve">ESTIMATED QTY </t>
  </si>
  <si>
    <t>LINE ITEM</t>
  </si>
  <si>
    <t>TESTING AND EMERGENCY ITEMS</t>
  </si>
  <si>
    <t>Base Year</t>
  </si>
  <si>
    <t xml:space="preserve">Total Base </t>
  </si>
  <si>
    <t>Hydrostatic Testing of GFE</t>
  </si>
  <si>
    <t xml:space="preserve">                       RENTALS</t>
  </si>
  <si>
    <t>K</t>
  </si>
  <si>
    <t>NI NF200, NITROGEN GASEOUS "K" REFILL H</t>
  </si>
  <si>
    <t xml:space="preserve"> AI USP200, AIR MEDICAL GRADE "K" REFILL</t>
  </si>
  <si>
    <t>NS USP56, NITROUS OXIDE "K" REFILL</t>
  </si>
  <si>
    <t>OX USP200, OXYGEN, GASEOUS "K" REFILL</t>
  </si>
  <si>
    <t>OX USPEA, OXYGEN, MEDICAL "E" REFILL</t>
  </si>
  <si>
    <t>Z04NI6852003016, LUNG DIFFUSION: 0.3 % CM/ 10% HE/21% OX/BAL NI, SIZE "K"</t>
  </si>
  <si>
    <t>CD USPEA, CARBON DIOXIDE USPEA CGA 940</t>
  </si>
  <si>
    <t>NS USPE, NITROUS OXIDE SIZE "E"</t>
  </si>
  <si>
    <t>Z04NI6852003016, LUNG DIFFUSION: 0.3 % CM/ 10% HE/21% OX/BAL NI, SIZE "E"</t>
  </si>
  <si>
    <t xml:space="preserve"> AI USP200, AIR MEDICAL GRADE </t>
  </si>
  <si>
    <t>NI NF200, NITROGEN GASEOUS</t>
  </si>
  <si>
    <t>NS USP56, NITROUS OXIDE</t>
  </si>
  <si>
    <t>OX USP200, OXYGEN, GASEOUS</t>
  </si>
  <si>
    <t xml:space="preserve">OX USPEA, OXYGEN, MEDICAL </t>
  </si>
  <si>
    <t>Z04NI6852003016, LUNG DIFFUSION: 0.3 % CM/ 10% HE/21% OX/BAL NI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</si>
  <si>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</si>
  <si>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</si>
  <si>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</si>
  <si>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</si>
  <si>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</si>
  <si>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</si>
  <si>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</si>
  <si>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</si>
  <si>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</si>
  <si>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</si>
  <si>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</si>
  <si>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</si>
  <si>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</si>
  <si>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</si>
  <si>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</si>
  <si>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</si>
  <si>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(GFE)</t>
  </si>
  <si>
    <t>CY</t>
  </si>
  <si>
    <t>EA</t>
  </si>
  <si>
    <t>Option Year 1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</si>
  <si>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</si>
  <si>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</si>
  <si>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</si>
  <si>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</si>
  <si>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</si>
  <si>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</si>
  <si>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</si>
  <si>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</si>
  <si>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</si>
  <si>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</si>
  <si>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</si>
  <si>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</si>
  <si>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</si>
  <si>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</si>
  <si>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</si>
  <si>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</si>
  <si>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Option Year 2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</si>
  <si>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</si>
  <si>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</si>
  <si>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</si>
  <si>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</si>
  <si>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</si>
  <si>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</si>
  <si>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</si>
  <si>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</si>
  <si>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</si>
  <si>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</si>
  <si>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</si>
  <si>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</si>
  <si>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</si>
  <si>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</si>
  <si>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</si>
  <si>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</si>
  <si>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 xml:space="preserve">Total OY2 </t>
  </si>
  <si>
    <t>Total OY1</t>
  </si>
  <si>
    <t>Option Year 3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</si>
  <si>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</si>
  <si>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</si>
  <si>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</si>
  <si>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</si>
  <si>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</si>
  <si>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</si>
  <si>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</si>
  <si>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</si>
  <si>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</si>
  <si>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</si>
  <si>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</si>
  <si>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</si>
  <si>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</si>
  <si>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</si>
  <si>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</si>
  <si>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</si>
  <si>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Total OY3</t>
  </si>
  <si>
    <t>Option Year 4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</si>
  <si>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</si>
  <si>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</si>
  <si>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</si>
  <si>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</si>
  <si>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</si>
  <si>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</si>
  <si>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</si>
  <si>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</si>
  <si>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</si>
  <si>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</si>
  <si>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</si>
  <si>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</si>
  <si>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</si>
  <si>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</si>
  <si>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</si>
  <si>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</si>
  <si>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Total OY4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</si>
</sst>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20"/>
      <color theme="1"/>
      <name val="Times New Roman"/>
      <family val="1"/>
    </font>
    <font>
      <sz val="14"/>
      <color theme="1"/>
      <name val="Calibri"/>
      <family val="2"/>
      <scheme val="minor"/>
    </font>
    <font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sz val="14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18" fillId="0" borderId="10" xfId="0" applyFont="1" applyBorder="1" applyAlignment="1">
      <alignment horizontal="left" wrapText="1"/>
    </xf>
    <xf numFmtId="0" fontId="19" fillId="0" borderId="12" xfId="0" applyFont="1" applyBorder="1"/>
    <xf numFmtId="0" fontId="18" fillId="0" borderId="18" xfId="0" applyFont="1" applyBorder="1" applyAlignment="1">
      <alignment horizontal="left" wrapText="1"/>
    </xf>
    <xf numFmtId="44" fontId="18" fillId="0" borderId="10" xfId="42" applyFont="1" applyFill="1" applyBorder="1"/>
    <xf numFmtId="44" fontId="18" fillId="0" borderId="18" xfId="42" applyFont="1" applyBorder="1"/>
    <xf numFmtId="44" fontId="18" fillId="0" borderId="17" xfId="42" applyFont="1" applyBorder="1"/>
    <xf numFmtId="44" fontId="18" fillId="0" borderId="17" xfId="42" applyFont="1" applyFill="1" applyBorder="1"/>
    <xf numFmtId="44" fontId="18" fillId="0" borderId="19" xfId="42" applyFont="1" applyBorder="1"/>
    <xf numFmtId="44" fontId="19" fillId="0" borderId="13" xfId="42" applyFont="1" applyFill="1" applyBorder="1"/>
    <xf numFmtId="0" fontId="19" fillId="33" borderId="2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/>
    <xf numFmtId="49" fontId="22" fillId="0" borderId="21" xfId="0" applyNumberFormat="1" applyFont="1" applyBorder="1"/>
    <xf numFmtId="0" fontId="22" fillId="36" borderId="10" xfId="0" applyFont="1" applyFill="1" applyBorder="1" applyAlignment="1">
      <alignment wrapText="1"/>
    </xf>
    <xf numFmtId="44" fontId="22" fillId="36" borderId="10" xfId="42" applyFont="1" applyFill="1" applyBorder="1" applyAlignment="1">
      <alignment horizontal="center" vertical="center"/>
    </xf>
    <xf numFmtId="0" fontId="23" fillId="34" borderId="17" xfId="0" applyFont="1" applyFill="1" applyBorder="1"/>
    <xf numFmtId="0" fontId="24" fillId="0" borderId="0" xfId="0" applyFont="1"/>
    <xf numFmtId="49" fontId="22" fillId="0" borderId="16" xfId="0" applyNumberFormat="1" applyFont="1" applyBorder="1"/>
    <xf numFmtId="44" fontId="25" fillId="36" borderId="10" xfId="42" applyFont="1" applyFill="1" applyBorder="1" applyAlignment="1">
      <alignment horizontal="center" vertical="center"/>
    </xf>
    <xf numFmtId="0" fontId="22" fillId="0" borderId="0" xfId="0" applyFont="1" applyAlignment="1">
      <alignment horizontal="left" wrapText="1"/>
    </xf>
    <xf numFmtId="0" fontId="22" fillId="0" borderId="0" xfId="0" applyFont="1" applyAlignment="1">
      <alignment horizontal="center"/>
    </xf>
    <xf numFmtId="3" fontId="18" fillId="0" borderId="10" xfId="0" applyNumberFormat="1" applyFont="1" applyBorder="1" applyAlignment="1">
      <alignment horizontal="center"/>
    </xf>
    <xf numFmtId="49" fontId="21" fillId="34" borderId="10" xfId="0" applyNumberFormat="1" applyFont="1" applyFill="1" applyBorder="1" applyAlignment="1">
      <alignment horizontal="center"/>
    </xf>
    <xf numFmtId="0" fontId="22" fillId="36" borderId="10" xfId="0" applyFont="1" applyFill="1" applyBorder="1" applyAlignment="1">
      <alignment horizontal="left" wrapText="1"/>
    </xf>
    <xf numFmtId="0" fontId="21" fillId="35" borderId="20" xfId="0" applyFont="1" applyFill="1" applyBorder="1" applyAlignment="1">
      <alignment horizontal="center"/>
    </xf>
    <xf numFmtId="0" fontId="21" fillId="34" borderId="20" xfId="0" applyFont="1" applyFill="1" applyBorder="1" applyAlignment="1">
      <alignment horizontal="center" vertical="center" wrapText="1"/>
    </xf>
    <xf numFmtId="49" fontId="21" fillId="34" borderId="16" xfId="0" applyNumberFormat="1" applyFont="1" applyFill="1" applyBorder="1" applyAlignment="1">
      <alignment horizontal="center" vertical="center"/>
    </xf>
    <xf numFmtId="49" fontId="21" fillId="34" borderId="10" xfId="0" applyNumberFormat="1" applyFont="1" applyFill="1" applyBorder="1" applyAlignment="1">
      <alignment horizontal="center" vertical="center"/>
    </xf>
    <xf numFmtId="49" fontId="21" fillId="34" borderId="14" xfId="0" applyNumberFormat="1" applyFont="1" applyFill="1" applyBorder="1" applyAlignment="1">
      <alignment horizontal="center" vertical="center"/>
    </xf>
    <xf numFmtId="49" fontId="21" fillId="34" borderId="11" xfId="0" applyNumberFormat="1" applyFont="1" applyFill="1" applyBorder="1" applyAlignment="1">
      <alignment horizontal="center" vertical="center"/>
    </xf>
    <xf numFmtId="49" fontId="21" fillId="34" borderId="15" xfId="0" applyNumberFormat="1" applyFont="1" applyFill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42" builtinId="4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mruColors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0"/>
  <sheetViews>
    <sheetView tabSelected="1" zoomScaleNormal="100" zoomScaleSheetLayoutView="100" workbookViewId="0">
      <pane ySplit="4" topLeftCell="A5" activePane="bottomLeft" state="frozen"/>
      <selection pane="bottomLeft" activeCell="A22" sqref="A22"/>
    </sheetView>
  </sheetViews>
  <sheetFormatPr defaultRowHeight="14.5" x14ac:dyDescent="0.35"/>
  <cols>
    <col min="1" max="1" width="12.81640625" customWidth="1"/>
    <col min="2" max="2" width="75.54296875" bestFit="1" customWidth="1"/>
    <col min="3" max="3" width="8.81640625" style="13"/>
    <col min="4" max="4" width="18" style="13" customWidth="1"/>
    <col min="5" max="5" width="11.1796875" customWidth="1"/>
    <col min="6" max="6" width="24.54296875" customWidth="1"/>
    <col min="7" max="7" width="22.81640625" customWidth="1"/>
  </cols>
  <sheetData>
    <row r="1" spans="1:7" ht="15" thickBot="1" x14ac:dyDescent="0.4">
      <c r="A1" s="27" t="s">
        <v>12</v>
      </c>
      <c r="B1" s="27"/>
      <c r="C1" s="27"/>
      <c r="D1" s="27"/>
      <c r="E1" s="27"/>
      <c r="F1" s="27"/>
      <c r="G1" s="27"/>
    </row>
    <row r="2" spans="1:7" ht="15" thickBot="1" x14ac:dyDescent="0.4">
      <c r="A2" s="27"/>
      <c r="B2" s="27"/>
      <c r="C2" s="27"/>
      <c r="D2" s="27"/>
      <c r="E2" s="27"/>
      <c r="F2" s="27"/>
      <c r="G2" s="27"/>
    </row>
    <row r="3" spans="1:7" s="14" customFormat="1" ht="101.15" customHeight="1" thickBot="1" x14ac:dyDescent="0.5">
      <c r="A3" s="10" t="s">
        <v>10</v>
      </c>
      <c r="B3" s="10" t="s">
        <v>0</v>
      </c>
      <c r="C3" s="10" t="s">
        <v>1</v>
      </c>
      <c r="D3" s="10" t="s">
        <v>9</v>
      </c>
      <c r="E3" s="10" t="s">
        <v>2</v>
      </c>
      <c r="F3" s="10" t="s">
        <v>7</v>
      </c>
      <c r="G3" s="10" t="s">
        <v>8</v>
      </c>
    </row>
    <row r="4" spans="1:7" ht="30" customHeight="1" thickBot="1" x14ac:dyDescent="0.4">
      <c r="A4" s="28" t="s">
        <v>6</v>
      </c>
      <c r="B4" s="28"/>
      <c r="C4" s="28"/>
      <c r="D4" s="28"/>
      <c r="E4" s="28"/>
      <c r="F4" s="28"/>
      <c r="G4" s="28"/>
    </row>
    <row r="5" spans="1:7" s="14" customFormat="1" ht="37.5" customHeight="1" x14ac:dyDescent="0.45">
      <c r="A5" s="15" t="s">
        <v>32</v>
      </c>
      <c r="B5" s="16" t="s">
        <v>26</v>
      </c>
      <c r="C5" s="11" t="s">
        <v>16</v>
      </c>
      <c r="D5" s="11">
        <v>14</v>
      </c>
      <c r="E5" s="11" t="s">
        <v>49</v>
      </c>
      <c r="F5" s="17"/>
      <c r="G5" s="6">
        <f>D5*F5</f>
        <v>0</v>
      </c>
    </row>
    <row r="6" spans="1:7" s="14" customFormat="1" ht="37.5" customHeight="1" x14ac:dyDescent="0.45">
      <c r="A6" s="15" t="s">
        <v>33</v>
      </c>
      <c r="B6" s="16" t="s">
        <v>27</v>
      </c>
      <c r="C6" s="11" t="s">
        <v>16</v>
      </c>
      <c r="D6" s="11">
        <v>4</v>
      </c>
      <c r="E6" s="11" t="s">
        <v>49</v>
      </c>
      <c r="F6" s="17"/>
      <c r="G6" s="6">
        <f>D6*F6</f>
        <v>0</v>
      </c>
    </row>
    <row r="7" spans="1:7" s="14" customFormat="1" ht="36" customHeight="1" x14ac:dyDescent="0.45">
      <c r="A7" s="15" t="s">
        <v>34</v>
      </c>
      <c r="B7" s="16" t="s">
        <v>28</v>
      </c>
      <c r="C7" s="11" t="s">
        <v>16</v>
      </c>
      <c r="D7" s="11">
        <v>4</v>
      </c>
      <c r="E7" s="11" t="s">
        <v>49</v>
      </c>
      <c r="F7" s="17"/>
      <c r="G7" s="6">
        <f t="shared" ref="G7:G10" si="0">D7*F7</f>
        <v>0</v>
      </c>
    </row>
    <row r="8" spans="1:7" s="14" customFormat="1" ht="34.5" customHeight="1" x14ac:dyDescent="0.45">
      <c r="A8" s="15" t="s">
        <v>35</v>
      </c>
      <c r="B8" s="16" t="s">
        <v>29</v>
      </c>
      <c r="C8" s="11" t="s">
        <v>16</v>
      </c>
      <c r="D8" s="11">
        <v>33</v>
      </c>
      <c r="E8" s="11" t="s">
        <v>49</v>
      </c>
      <c r="F8" s="17"/>
      <c r="G8" s="6">
        <f t="shared" si="0"/>
        <v>0</v>
      </c>
    </row>
    <row r="9" spans="1:7" s="14" customFormat="1" ht="37.4" customHeight="1" x14ac:dyDescent="0.45">
      <c r="A9" s="15" t="s">
        <v>36</v>
      </c>
      <c r="B9" s="16" t="s">
        <v>30</v>
      </c>
      <c r="C9" s="11" t="s">
        <v>3</v>
      </c>
      <c r="D9" s="11">
        <v>70</v>
      </c>
      <c r="E9" s="11" t="s">
        <v>49</v>
      </c>
      <c r="F9" s="17"/>
      <c r="G9" s="6">
        <f t="shared" si="0"/>
        <v>0</v>
      </c>
    </row>
    <row r="10" spans="1:7" s="14" customFormat="1" ht="35.9" customHeight="1" x14ac:dyDescent="0.45">
      <c r="A10" s="15" t="s">
        <v>37</v>
      </c>
      <c r="B10" s="16" t="s">
        <v>31</v>
      </c>
      <c r="C10" s="11" t="s">
        <v>16</v>
      </c>
      <c r="D10" s="11">
        <v>4</v>
      </c>
      <c r="E10" s="11" t="s">
        <v>49</v>
      </c>
      <c r="F10" s="17"/>
      <c r="G10" s="6">
        <f t="shared" si="0"/>
        <v>0</v>
      </c>
    </row>
    <row r="11" spans="1:7" s="14" customFormat="1" ht="34.5" customHeight="1" x14ac:dyDescent="0.45">
      <c r="A11" s="15" t="s">
        <v>38</v>
      </c>
      <c r="B11" s="16" t="s">
        <v>23</v>
      </c>
      <c r="C11" s="11" t="s">
        <v>3</v>
      </c>
      <c r="D11" s="11">
        <v>8</v>
      </c>
      <c r="E11" s="11" t="s">
        <v>49</v>
      </c>
      <c r="F11" s="17"/>
      <c r="G11" s="6">
        <f>D11*F11</f>
        <v>0</v>
      </c>
    </row>
    <row r="12" spans="1:7" s="14" customFormat="1" ht="35.9" customHeight="1" x14ac:dyDescent="0.55000000000000004">
      <c r="A12" s="29" t="s">
        <v>15</v>
      </c>
      <c r="B12" s="30"/>
      <c r="C12" s="30"/>
      <c r="D12" s="30"/>
      <c r="E12" s="30"/>
      <c r="F12" s="30"/>
      <c r="G12" s="18"/>
    </row>
    <row r="13" spans="1:7" s="14" customFormat="1" ht="33" customHeight="1" x14ac:dyDescent="0.45">
      <c r="A13" s="20" t="s">
        <v>39</v>
      </c>
      <c r="B13" s="16" t="s">
        <v>18</v>
      </c>
      <c r="C13" s="11" t="s">
        <v>16</v>
      </c>
      <c r="D13" s="24">
        <v>65</v>
      </c>
      <c r="E13" s="11" t="s">
        <v>49</v>
      </c>
      <c r="F13" s="21"/>
      <c r="G13" s="7">
        <f t="shared" ref="G13:G19" si="1">D13*F13</f>
        <v>0</v>
      </c>
    </row>
    <row r="14" spans="1:7" s="14" customFormat="1" ht="36" customHeight="1" x14ac:dyDescent="0.45">
      <c r="A14" s="20" t="s">
        <v>40</v>
      </c>
      <c r="B14" s="16" t="s">
        <v>17</v>
      </c>
      <c r="C14" s="11" t="s">
        <v>16</v>
      </c>
      <c r="D14" s="24">
        <v>20</v>
      </c>
      <c r="E14" s="11" t="s">
        <v>49</v>
      </c>
      <c r="F14" s="21"/>
      <c r="G14" s="7">
        <f t="shared" si="1"/>
        <v>0</v>
      </c>
    </row>
    <row r="15" spans="1:7" s="14" customFormat="1" ht="37.4" customHeight="1" x14ac:dyDescent="0.45">
      <c r="A15" s="20" t="s">
        <v>41</v>
      </c>
      <c r="B15" s="16" t="s">
        <v>19</v>
      </c>
      <c r="C15" s="11" t="s">
        <v>16</v>
      </c>
      <c r="D15" s="24">
        <v>20</v>
      </c>
      <c r="E15" s="11" t="s">
        <v>49</v>
      </c>
      <c r="F15" s="21"/>
      <c r="G15" s="6">
        <f t="shared" si="1"/>
        <v>0</v>
      </c>
    </row>
    <row r="16" spans="1:7" s="14" customFormat="1" ht="36" customHeight="1" x14ac:dyDescent="0.45">
      <c r="A16" s="20" t="s">
        <v>42</v>
      </c>
      <c r="B16" s="16" t="s">
        <v>20</v>
      </c>
      <c r="C16" s="11" t="s">
        <v>16</v>
      </c>
      <c r="D16" s="24">
        <v>60</v>
      </c>
      <c r="E16" s="11" t="s">
        <v>49</v>
      </c>
      <c r="F16" s="21"/>
      <c r="G16" s="6">
        <f t="shared" si="1"/>
        <v>0</v>
      </c>
    </row>
    <row r="17" spans="1:7" s="14" customFormat="1" ht="37.4" customHeight="1" x14ac:dyDescent="0.45">
      <c r="A17" s="20" t="s">
        <v>43</v>
      </c>
      <c r="B17" s="16" t="s">
        <v>21</v>
      </c>
      <c r="C17" s="11" t="s">
        <v>3</v>
      </c>
      <c r="D17" s="24">
        <v>140</v>
      </c>
      <c r="E17" s="11" t="s">
        <v>49</v>
      </c>
      <c r="F17" s="21"/>
      <c r="G17" s="7">
        <f t="shared" si="1"/>
        <v>0</v>
      </c>
    </row>
    <row r="18" spans="1:7" s="14" customFormat="1" ht="35.9" customHeight="1" x14ac:dyDescent="0.45">
      <c r="A18" s="20" t="s">
        <v>44</v>
      </c>
      <c r="B18" s="16" t="s">
        <v>22</v>
      </c>
      <c r="C18" s="11" t="s">
        <v>16</v>
      </c>
      <c r="D18" s="24">
        <v>4</v>
      </c>
      <c r="E18" s="11" t="s">
        <v>49</v>
      </c>
      <c r="F18" s="17"/>
      <c r="G18" s="6">
        <f t="shared" si="1"/>
        <v>0</v>
      </c>
    </row>
    <row r="19" spans="1:7" s="14" customFormat="1" ht="34.5" customHeight="1" x14ac:dyDescent="0.45">
      <c r="A19" s="20" t="s">
        <v>45</v>
      </c>
      <c r="B19" s="16" t="s">
        <v>23</v>
      </c>
      <c r="C19" s="11" t="s">
        <v>3</v>
      </c>
      <c r="D19" s="24">
        <v>16</v>
      </c>
      <c r="E19" s="11" t="s">
        <v>49</v>
      </c>
      <c r="F19" s="17"/>
      <c r="G19" s="6">
        <f t="shared" si="1"/>
        <v>0</v>
      </c>
    </row>
    <row r="20" spans="1:7" s="14" customFormat="1" ht="35.9" customHeight="1" x14ac:dyDescent="0.45">
      <c r="A20" s="31" t="s">
        <v>11</v>
      </c>
      <c r="B20" s="32"/>
      <c r="C20" s="32"/>
      <c r="D20" s="32"/>
      <c r="E20" s="32"/>
      <c r="F20" s="32"/>
      <c r="G20" s="33"/>
    </row>
    <row r="21" spans="1:7" s="14" customFormat="1" ht="33" customHeight="1" x14ac:dyDescent="0.45">
      <c r="A21" s="20" t="s">
        <v>46</v>
      </c>
      <c r="B21" s="1" t="s">
        <v>14</v>
      </c>
      <c r="C21" s="11" t="s">
        <v>5</v>
      </c>
      <c r="D21" s="24">
        <v>1</v>
      </c>
      <c r="E21" s="11" t="s">
        <v>50</v>
      </c>
      <c r="F21" s="4"/>
      <c r="G21" s="7">
        <f>D21*F21</f>
        <v>0</v>
      </c>
    </row>
    <row r="22" spans="1:7" s="14" customFormat="1" ht="37.4" customHeight="1" thickBot="1" x14ac:dyDescent="0.5">
      <c r="A22" s="20" t="s">
        <v>47</v>
      </c>
      <c r="B22" s="3" t="s">
        <v>4</v>
      </c>
      <c r="C22" s="12" t="s">
        <v>5</v>
      </c>
      <c r="D22" s="12">
        <v>1</v>
      </c>
      <c r="E22" s="12" t="s">
        <v>50</v>
      </c>
      <c r="F22" s="5"/>
      <c r="G22" s="8">
        <f>D22*F22</f>
        <v>0</v>
      </c>
    </row>
    <row r="23" spans="1:7" s="14" customFormat="1" ht="36" customHeight="1" thickBot="1" x14ac:dyDescent="0.5">
      <c r="B23" s="22"/>
      <c r="C23" s="23"/>
      <c r="D23" s="23"/>
      <c r="F23" s="2" t="s">
        <v>13</v>
      </c>
      <c r="G23" s="9">
        <f>SUM(G5:G22)</f>
        <v>0</v>
      </c>
    </row>
    <row r="24" spans="1:7" s="14" customFormat="1" ht="37.4" customHeight="1" x14ac:dyDescent="0.45">
      <c r="A24"/>
      <c r="C24" s="13"/>
      <c r="D24" s="13"/>
      <c r="E24"/>
      <c r="F24"/>
      <c r="G24"/>
    </row>
    <row r="25" spans="1:7" s="14" customFormat="1" ht="34.5" customHeight="1" x14ac:dyDescent="0.45">
      <c r="A25"/>
      <c r="B25"/>
      <c r="C25" s="13"/>
      <c r="D25" s="13"/>
      <c r="E25"/>
      <c r="F25"/>
      <c r="G25"/>
    </row>
    <row r="26" spans="1:7" s="14" customFormat="1" ht="35.9" customHeight="1" x14ac:dyDescent="0.5">
      <c r="A26" s="25" t="s">
        <v>48</v>
      </c>
      <c r="B26" s="25"/>
      <c r="C26" s="25"/>
      <c r="D26" s="25"/>
      <c r="E26" s="25"/>
    </row>
    <row r="27" spans="1:7" s="14" customFormat="1" ht="33" customHeight="1" x14ac:dyDescent="0.45">
      <c r="A27" s="26" t="s">
        <v>25</v>
      </c>
      <c r="B27" s="26"/>
      <c r="C27" s="11" t="s">
        <v>3</v>
      </c>
      <c r="D27" s="24">
        <v>8</v>
      </c>
      <c r="E27" s="11" t="s">
        <v>49</v>
      </c>
    </row>
    <row r="28" spans="1:7" s="14" customFormat="1" ht="37.4" customHeight="1" x14ac:dyDescent="0.45">
      <c r="A28" s="26" t="s">
        <v>24</v>
      </c>
      <c r="B28" s="26"/>
      <c r="C28" s="11" t="s">
        <v>3</v>
      </c>
      <c r="D28" s="24">
        <v>3</v>
      </c>
      <c r="E28" s="11" t="s">
        <v>49</v>
      </c>
    </row>
    <row r="29" spans="1:7" s="14" customFormat="1" ht="34.5" customHeight="1" x14ac:dyDescent="0.45">
      <c r="A29"/>
      <c r="B29"/>
      <c r="C29" s="13"/>
      <c r="D29" s="13"/>
      <c r="E29"/>
      <c r="F29"/>
      <c r="G29"/>
    </row>
    <row r="30" spans="1:7" s="14" customFormat="1" ht="35.9" customHeight="1" x14ac:dyDescent="0.45">
      <c r="A30"/>
      <c r="B30"/>
      <c r="C30" s="13"/>
      <c r="D30" s="13"/>
      <c r="E30"/>
      <c r="F30"/>
      <c r="G30"/>
    </row>
    <row r="31" spans="1:7" s="14" customFormat="1" ht="33" customHeight="1" x14ac:dyDescent="0.45">
      <c r="A31"/>
      <c r="B31"/>
      <c r="C31" s="13"/>
      <c r="D31" s="13"/>
      <c r="E31"/>
      <c r="F31"/>
      <c r="G31"/>
    </row>
    <row r="32" spans="1:7" s="14" customFormat="1" ht="36" customHeight="1" x14ac:dyDescent="0.45">
      <c r="A32"/>
      <c r="B32"/>
      <c r="C32" s="13"/>
      <c r="D32" s="13"/>
      <c r="E32"/>
      <c r="F32"/>
      <c r="G32"/>
    </row>
    <row r="33" spans="1:7" s="14" customFormat="1" ht="37.4" customHeight="1" x14ac:dyDescent="0.45">
      <c r="A33"/>
      <c r="B33"/>
      <c r="C33" s="13"/>
      <c r="D33" s="13"/>
      <c r="E33"/>
      <c r="F33"/>
      <c r="G33"/>
    </row>
    <row r="34" spans="1:7" s="14" customFormat="1" ht="35.9" customHeight="1" x14ac:dyDescent="0.45">
      <c r="A34"/>
      <c r="B34"/>
      <c r="C34" s="13"/>
      <c r="D34" s="13"/>
      <c r="E34"/>
      <c r="F34"/>
      <c r="G34"/>
    </row>
    <row r="35" spans="1:7" s="14" customFormat="1" ht="35.9" customHeight="1" x14ac:dyDescent="0.45">
      <c r="A35"/>
      <c r="B35"/>
      <c r="C35" s="13"/>
      <c r="D35" s="13"/>
      <c r="E35"/>
      <c r="F35"/>
      <c r="G35"/>
    </row>
    <row r="36" spans="1:7" s="14" customFormat="1" ht="35.9" customHeight="1" x14ac:dyDescent="0.45">
      <c r="A36"/>
      <c r="B36"/>
      <c r="C36" s="13"/>
      <c r="D36" s="13"/>
      <c r="E36"/>
      <c r="F36"/>
      <c r="G36"/>
    </row>
    <row r="37" spans="1:7" s="19" customFormat="1" ht="35.9" customHeight="1" x14ac:dyDescent="0.6">
      <c r="A37"/>
      <c r="B37"/>
      <c r="C37" s="13"/>
      <c r="D37" s="13"/>
      <c r="E37"/>
      <c r="F37"/>
      <c r="G37"/>
    </row>
    <row r="38" spans="1:7" s="14" customFormat="1" ht="35.9" customHeight="1" x14ac:dyDescent="0.45">
      <c r="A38"/>
      <c r="B38"/>
      <c r="C38" s="13"/>
      <c r="D38" s="13"/>
      <c r="E38"/>
      <c r="F38"/>
      <c r="G38"/>
    </row>
    <row r="39" spans="1:7" s="14" customFormat="1" ht="37.4" customHeight="1" x14ac:dyDescent="0.45">
      <c r="A39"/>
      <c r="B39"/>
      <c r="C39" s="13"/>
      <c r="D39" s="13"/>
      <c r="E39"/>
      <c r="F39"/>
      <c r="G39"/>
    </row>
    <row r="40" spans="1:7" s="14" customFormat="1" ht="34.5" customHeight="1" x14ac:dyDescent="0.45">
      <c r="A40"/>
      <c r="B40"/>
      <c r="C40" s="13"/>
      <c r="D40" s="13"/>
      <c r="E40"/>
      <c r="F40"/>
      <c r="G40"/>
    </row>
    <row r="41" spans="1:7" s="14" customFormat="1" ht="34.5" customHeight="1" x14ac:dyDescent="0.45">
      <c r="A41"/>
      <c r="B41"/>
      <c r="C41" s="13"/>
      <c r="D41" s="13"/>
      <c r="E41"/>
      <c r="F41"/>
      <c r="G41"/>
    </row>
    <row r="42" spans="1:7" s="14" customFormat="1" ht="37.4" customHeight="1" x14ac:dyDescent="0.45">
      <c r="A42"/>
      <c r="B42"/>
      <c r="C42" s="13"/>
      <c r="D42" s="13"/>
      <c r="E42"/>
      <c r="F42"/>
      <c r="G42"/>
    </row>
    <row r="43" spans="1:7" s="14" customFormat="1" ht="34.5" customHeight="1" x14ac:dyDescent="0.45">
      <c r="A43"/>
      <c r="B43"/>
      <c r="C43" s="13"/>
      <c r="D43" s="13"/>
      <c r="E43"/>
      <c r="F43"/>
      <c r="G43"/>
    </row>
    <row r="44" spans="1:7" s="14" customFormat="1" ht="37.4" customHeight="1" x14ac:dyDescent="0.45">
      <c r="A44"/>
      <c r="B44"/>
      <c r="C44" s="13"/>
      <c r="D44" s="13"/>
      <c r="E44"/>
      <c r="F44"/>
      <c r="G44"/>
    </row>
    <row r="45" spans="1:7" s="14" customFormat="1" ht="34.5" customHeight="1" x14ac:dyDescent="0.45">
      <c r="A45"/>
      <c r="B45"/>
      <c r="C45" s="13"/>
      <c r="D45" s="13"/>
      <c r="E45"/>
      <c r="F45"/>
      <c r="G45"/>
    </row>
    <row r="46" spans="1:7" s="14" customFormat="1" ht="34.5" customHeight="1" x14ac:dyDescent="0.45">
      <c r="A46"/>
      <c r="B46"/>
      <c r="C46" s="13"/>
      <c r="D46" s="13"/>
      <c r="E46"/>
      <c r="F46"/>
      <c r="G46"/>
    </row>
    <row r="47" spans="1:7" s="19" customFormat="1" ht="37.4" customHeight="1" x14ac:dyDescent="0.6">
      <c r="A47"/>
      <c r="B47"/>
      <c r="C47" s="13"/>
      <c r="D47" s="13"/>
      <c r="E47"/>
      <c r="F47"/>
      <c r="G47"/>
    </row>
    <row r="48" spans="1:7" s="14" customFormat="1" ht="35.9" customHeight="1" x14ac:dyDescent="0.45">
      <c r="A48"/>
      <c r="B48"/>
      <c r="C48" s="13"/>
      <c r="D48" s="13"/>
      <c r="E48"/>
      <c r="F48"/>
      <c r="G48"/>
    </row>
    <row r="49" spans="1:7" s="14" customFormat="1" ht="31.5" customHeight="1" x14ac:dyDescent="0.45">
      <c r="A49"/>
      <c r="B49"/>
      <c r="C49" s="13"/>
      <c r="D49" s="13"/>
      <c r="E49"/>
      <c r="F49"/>
      <c r="G49"/>
    </row>
    <row r="50" spans="1:7" s="14" customFormat="1" ht="32.15" customHeight="1" x14ac:dyDescent="0.45">
      <c r="A50"/>
      <c r="B50"/>
      <c r="C50" s="13"/>
      <c r="D50" s="13"/>
      <c r="E50"/>
      <c r="F50"/>
      <c r="G50"/>
    </row>
  </sheetData>
  <mergeCells count="7">
    <mergeCell ref="A26:E26"/>
    <mergeCell ref="A27:B27"/>
    <mergeCell ref="A28:B28"/>
    <mergeCell ref="A1:G2"/>
    <mergeCell ref="A4:G4"/>
    <mergeCell ref="A12:F12"/>
    <mergeCell ref="A20:G20"/>
  </mergeCells>
  <phoneticPr fontId="20" type="noConversion"/>
  <pageMargins left="0.25" right="0.25" top="0.75" bottom="0.75" header="0.3" footer="0.3"/>
  <pageSetup scale="7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1B17-7E9D-4189-A568-754C95675C7F}">
  <dimension ref="A1:G50"/>
  <sheetViews>
    <sheetView zoomScaleNormal="100" workbookViewId="0">
      <selection activeCell="H3" sqref="H3"/>
    </sheetView>
  </sheetViews>
  <sheetFormatPr defaultRowHeight="14.5" x14ac:dyDescent="0.35"/>
  <cols>
    <col min="1" max="1" width="12.81640625" customWidth="1"/>
    <col min="2" max="2" width="75.54296875" bestFit="1" customWidth="1"/>
    <col min="3" max="3" width="9.1796875" style="13"/>
    <col min="4" max="4" width="18" style="13" customWidth="1"/>
    <col min="5" max="5" width="11.1796875" customWidth="1"/>
    <col min="6" max="6" width="24.54296875" customWidth="1"/>
    <col min="7" max="7" width="22.81640625" customWidth="1"/>
  </cols>
  <sheetData>
    <row r="1" spans="1:7" ht="15" thickBot="1" x14ac:dyDescent="0.4">
      <c r="A1" s="27" t="s">
        <v>51</v>
      </c>
      <c r="B1" s="27"/>
      <c r="C1" s="27"/>
      <c r="D1" s="27"/>
      <c r="E1" s="27"/>
      <c r="F1" s="27"/>
      <c r="G1" s="27"/>
    </row>
    <row r="2" spans="1:7" ht="15" thickBot="1" x14ac:dyDescent="0.4">
      <c r="A2" s="27"/>
      <c r="B2" s="27"/>
      <c r="C2" s="27"/>
      <c r="D2" s="27"/>
      <c r="E2" s="27"/>
      <c r="F2" s="27"/>
      <c r="G2" s="27"/>
    </row>
    <row r="3" spans="1:7" s="14" customFormat="1" ht="101.15" customHeight="1" thickBot="1" x14ac:dyDescent="0.5">
      <c r="A3" s="10" t="s">
        <v>10</v>
      </c>
      <c r="B3" s="10" t="s">
        <v>0</v>
      </c>
      <c r="C3" s="10" t="s">
        <v>1</v>
      </c>
      <c r="D3" s="10" t="s">
        <v>9</v>
      </c>
      <c r="E3" s="10" t="s">
        <v>2</v>
      </c>
      <c r="F3" s="10" t="s">
        <v>7</v>
      </c>
      <c r="G3" s="10" t="s">
        <v>8</v>
      </c>
    </row>
    <row r="4" spans="1:7" ht="30" customHeight="1" thickBot="1" x14ac:dyDescent="0.4">
      <c r="A4" s="28" t="s">
        <v>6</v>
      </c>
      <c r="B4" s="28"/>
      <c r="C4" s="28"/>
      <c r="D4" s="28"/>
      <c r="E4" s="28"/>
      <c r="F4" s="28"/>
      <c r="G4" s="28"/>
    </row>
    <row r="5" spans="1:7" s="14" customFormat="1" ht="37.5" customHeight="1" x14ac:dyDescent="0.45">
      <c r="A5" s="15" t="s">
        <v>52</v>
      </c>
      <c r="B5" s="16" t="s">
        <v>26</v>
      </c>
      <c r="C5" s="11" t="s">
        <v>16</v>
      </c>
      <c r="D5" s="11">
        <v>14</v>
      </c>
      <c r="E5" s="11" t="s">
        <v>49</v>
      </c>
      <c r="F5" s="17"/>
      <c r="G5" s="6">
        <f>D5*F5</f>
        <v>0</v>
      </c>
    </row>
    <row r="6" spans="1:7" s="14" customFormat="1" ht="37.5" customHeight="1" x14ac:dyDescent="0.45">
      <c r="A6" s="15" t="s">
        <v>53</v>
      </c>
      <c r="B6" s="16" t="s">
        <v>27</v>
      </c>
      <c r="C6" s="11" t="s">
        <v>16</v>
      </c>
      <c r="D6" s="11">
        <v>4</v>
      </c>
      <c r="E6" s="11" t="s">
        <v>49</v>
      </c>
      <c r="F6" s="17"/>
      <c r="G6" s="6">
        <f>D6*F6</f>
        <v>0</v>
      </c>
    </row>
    <row r="7" spans="1:7" s="14" customFormat="1" ht="36" customHeight="1" x14ac:dyDescent="0.45">
      <c r="A7" s="15" t="s">
        <v>54</v>
      </c>
      <c r="B7" s="16" t="s">
        <v>28</v>
      </c>
      <c r="C7" s="11" t="s">
        <v>16</v>
      </c>
      <c r="D7" s="11">
        <v>4</v>
      </c>
      <c r="E7" s="11" t="s">
        <v>49</v>
      </c>
      <c r="F7" s="17"/>
      <c r="G7" s="6">
        <f t="shared" ref="G7:G10" si="0">D7*F7</f>
        <v>0</v>
      </c>
    </row>
    <row r="8" spans="1:7" s="14" customFormat="1" ht="34.5" customHeight="1" x14ac:dyDescent="0.45">
      <c r="A8" s="15" t="s">
        <v>55</v>
      </c>
      <c r="B8" s="16" t="s">
        <v>29</v>
      </c>
      <c r="C8" s="11" t="s">
        <v>16</v>
      </c>
      <c r="D8" s="11">
        <v>33</v>
      </c>
      <c r="E8" s="11" t="s">
        <v>49</v>
      </c>
      <c r="F8" s="17"/>
      <c r="G8" s="6">
        <f t="shared" si="0"/>
        <v>0</v>
      </c>
    </row>
    <row r="9" spans="1:7" s="14" customFormat="1" ht="37.4" customHeight="1" x14ac:dyDescent="0.45">
      <c r="A9" s="15" t="s">
        <v>56</v>
      </c>
      <c r="B9" s="16" t="s">
        <v>30</v>
      </c>
      <c r="C9" s="11" t="s">
        <v>3</v>
      </c>
      <c r="D9" s="11">
        <v>70</v>
      </c>
      <c r="E9" s="11" t="s">
        <v>49</v>
      </c>
      <c r="F9" s="17"/>
      <c r="G9" s="6">
        <f t="shared" si="0"/>
        <v>0</v>
      </c>
    </row>
    <row r="10" spans="1:7" s="14" customFormat="1" ht="35.9" customHeight="1" x14ac:dyDescent="0.45">
      <c r="A10" s="15" t="s">
        <v>57</v>
      </c>
      <c r="B10" s="16" t="s">
        <v>31</v>
      </c>
      <c r="C10" s="11" t="s">
        <v>16</v>
      </c>
      <c r="D10" s="11">
        <v>4</v>
      </c>
      <c r="E10" s="11" t="s">
        <v>49</v>
      </c>
      <c r="F10" s="17"/>
      <c r="G10" s="6">
        <f t="shared" si="0"/>
        <v>0</v>
      </c>
    </row>
    <row r="11" spans="1:7" s="14" customFormat="1" ht="34.5" customHeight="1" x14ac:dyDescent="0.45">
      <c r="A11" s="15" t="s">
        <v>58</v>
      </c>
      <c r="B11" s="16" t="s">
        <v>23</v>
      </c>
      <c r="C11" s="11" t="s">
        <v>3</v>
      </c>
      <c r="D11" s="11">
        <v>8</v>
      </c>
      <c r="E11" s="11" t="s">
        <v>49</v>
      </c>
      <c r="F11" s="17"/>
      <c r="G11" s="6">
        <f>D11*F11</f>
        <v>0</v>
      </c>
    </row>
    <row r="12" spans="1:7" s="14" customFormat="1" ht="35.9" customHeight="1" x14ac:dyDescent="0.55000000000000004">
      <c r="A12" s="29" t="s">
        <v>15</v>
      </c>
      <c r="B12" s="30"/>
      <c r="C12" s="30"/>
      <c r="D12" s="30"/>
      <c r="E12" s="30"/>
      <c r="F12" s="30"/>
      <c r="G12" s="18"/>
    </row>
    <row r="13" spans="1:7" s="14" customFormat="1" ht="33" customHeight="1" x14ac:dyDescent="0.45">
      <c r="A13" s="20" t="s">
        <v>59</v>
      </c>
      <c r="B13" s="16" t="s">
        <v>18</v>
      </c>
      <c r="C13" s="11" t="s">
        <v>16</v>
      </c>
      <c r="D13" s="24">
        <v>65</v>
      </c>
      <c r="E13" s="11" t="s">
        <v>49</v>
      </c>
      <c r="F13" s="21"/>
      <c r="G13" s="7">
        <f t="shared" ref="G13:G19" si="1">D13*F13</f>
        <v>0</v>
      </c>
    </row>
    <row r="14" spans="1:7" s="14" customFormat="1" ht="36" customHeight="1" x14ac:dyDescent="0.45">
      <c r="A14" s="20" t="s">
        <v>60</v>
      </c>
      <c r="B14" s="16" t="s">
        <v>17</v>
      </c>
      <c r="C14" s="11" t="s">
        <v>16</v>
      </c>
      <c r="D14" s="24">
        <v>20</v>
      </c>
      <c r="E14" s="11" t="s">
        <v>49</v>
      </c>
      <c r="F14" s="21"/>
      <c r="G14" s="7">
        <f t="shared" si="1"/>
        <v>0</v>
      </c>
    </row>
    <row r="15" spans="1:7" s="14" customFormat="1" ht="37.4" customHeight="1" x14ac:dyDescent="0.45">
      <c r="A15" s="20" t="s">
        <v>61</v>
      </c>
      <c r="B15" s="16" t="s">
        <v>19</v>
      </c>
      <c r="C15" s="11" t="s">
        <v>16</v>
      </c>
      <c r="D15" s="24">
        <v>20</v>
      </c>
      <c r="E15" s="11" t="s">
        <v>49</v>
      </c>
      <c r="F15" s="21"/>
      <c r="G15" s="6">
        <f t="shared" si="1"/>
        <v>0</v>
      </c>
    </row>
    <row r="16" spans="1:7" s="14" customFormat="1" ht="36" customHeight="1" x14ac:dyDescent="0.45">
      <c r="A16" s="20" t="s">
        <v>62</v>
      </c>
      <c r="B16" s="16" t="s">
        <v>20</v>
      </c>
      <c r="C16" s="11" t="s">
        <v>16</v>
      </c>
      <c r="D16" s="24">
        <v>60</v>
      </c>
      <c r="E16" s="11" t="s">
        <v>49</v>
      </c>
      <c r="F16" s="21"/>
      <c r="G16" s="6">
        <f t="shared" si="1"/>
        <v>0</v>
      </c>
    </row>
    <row r="17" spans="1:7" s="14" customFormat="1" ht="37.4" customHeight="1" x14ac:dyDescent="0.45">
      <c r="A17" s="20" t="s">
        <v>63</v>
      </c>
      <c r="B17" s="16" t="s">
        <v>21</v>
      </c>
      <c r="C17" s="11" t="s">
        <v>3</v>
      </c>
      <c r="D17" s="24">
        <v>140</v>
      </c>
      <c r="E17" s="11" t="s">
        <v>49</v>
      </c>
      <c r="F17" s="21"/>
      <c r="G17" s="7">
        <f t="shared" si="1"/>
        <v>0</v>
      </c>
    </row>
    <row r="18" spans="1:7" s="14" customFormat="1" ht="35.9" customHeight="1" x14ac:dyDescent="0.45">
      <c r="A18" s="20" t="s">
        <v>64</v>
      </c>
      <c r="B18" s="16" t="s">
        <v>22</v>
      </c>
      <c r="C18" s="11" t="s">
        <v>16</v>
      </c>
      <c r="D18" s="24">
        <v>4</v>
      </c>
      <c r="E18" s="11" t="s">
        <v>49</v>
      </c>
      <c r="F18" s="17"/>
      <c r="G18" s="6">
        <f t="shared" si="1"/>
        <v>0</v>
      </c>
    </row>
    <row r="19" spans="1:7" s="14" customFormat="1" ht="34.5" customHeight="1" x14ac:dyDescent="0.45">
      <c r="A19" s="20" t="s">
        <v>65</v>
      </c>
      <c r="B19" s="16" t="s">
        <v>23</v>
      </c>
      <c r="C19" s="11" t="s">
        <v>3</v>
      </c>
      <c r="D19" s="24">
        <v>16</v>
      </c>
      <c r="E19" s="11" t="s">
        <v>49</v>
      </c>
      <c r="F19" s="17"/>
      <c r="G19" s="6">
        <f t="shared" si="1"/>
        <v>0</v>
      </c>
    </row>
    <row r="20" spans="1:7" s="14" customFormat="1" ht="35.9" customHeight="1" x14ac:dyDescent="0.45">
      <c r="A20" s="31" t="s">
        <v>11</v>
      </c>
      <c r="B20" s="32"/>
      <c r="C20" s="32"/>
      <c r="D20" s="32"/>
      <c r="E20" s="32"/>
      <c r="F20" s="32"/>
      <c r="G20" s="33"/>
    </row>
    <row r="21" spans="1:7" s="14" customFormat="1" ht="33" customHeight="1" x14ac:dyDescent="0.45">
      <c r="A21" s="20" t="s">
        <v>66</v>
      </c>
      <c r="B21" s="1" t="s">
        <v>14</v>
      </c>
      <c r="C21" s="11" t="s">
        <v>5</v>
      </c>
      <c r="D21" s="24">
        <v>1</v>
      </c>
      <c r="E21" s="11" t="s">
        <v>50</v>
      </c>
      <c r="F21" s="4"/>
      <c r="G21" s="7">
        <f>D21*F21</f>
        <v>0</v>
      </c>
    </row>
    <row r="22" spans="1:7" s="14" customFormat="1" ht="37.4" customHeight="1" thickBot="1" x14ac:dyDescent="0.5">
      <c r="A22" s="20" t="s">
        <v>67</v>
      </c>
      <c r="B22" s="3" t="s">
        <v>4</v>
      </c>
      <c r="C22" s="12" t="s">
        <v>5</v>
      </c>
      <c r="D22" s="12">
        <v>1</v>
      </c>
      <c r="E22" s="12" t="s">
        <v>50</v>
      </c>
      <c r="F22" s="5"/>
      <c r="G22" s="8">
        <f>D22*F22</f>
        <v>0</v>
      </c>
    </row>
    <row r="23" spans="1:7" s="14" customFormat="1" ht="36" customHeight="1" thickBot="1" x14ac:dyDescent="0.5">
      <c r="B23" s="22"/>
      <c r="C23" s="23"/>
      <c r="D23" s="23"/>
      <c r="F23" s="2" t="s">
        <v>86</v>
      </c>
      <c r="G23" s="9">
        <f>SUM(G5:G22)</f>
        <v>0</v>
      </c>
    </row>
    <row r="24" spans="1:7" s="14" customFormat="1" ht="37.4" customHeight="1" x14ac:dyDescent="0.45">
      <c r="A24"/>
      <c r="C24" s="13"/>
      <c r="D24" s="13"/>
      <c r="E24"/>
      <c r="F24"/>
      <c r="G24"/>
    </row>
    <row r="25" spans="1:7" s="14" customFormat="1" ht="34.5" customHeight="1" x14ac:dyDescent="0.45">
      <c r="A25"/>
      <c r="B25"/>
      <c r="C25" s="13"/>
      <c r="D25" s="13"/>
      <c r="E25"/>
      <c r="F25"/>
      <c r="G25"/>
    </row>
    <row r="26" spans="1:7" s="14" customFormat="1" ht="35.9" customHeight="1" x14ac:dyDescent="0.5">
      <c r="A26" s="25" t="s">
        <v>48</v>
      </c>
      <c r="B26" s="25"/>
      <c r="C26" s="25"/>
      <c r="D26" s="25"/>
      <c r="E26" s="25"/>
    </row>
    <row r="27" spans="1:7" s="14" customFormat="1" ht="33" customHeight="1" x14ac:dyDescent="0.45">
      <c r="A27" s="26" t="s">
        <v>25</v>
      </c>
      <c r="B27" s="26"/>
      <c r="C27" s="11" t="s">
        <v>3</v>
      </c>
      <c r="D27" s="24">
        <v>8</v>
      </c>
      <c r="E27" s="11" t="s">
        <v>49</v>
      </c>
    </row>
    <row r="28" spans="1:7" s="14" customFormat="1" ht="37.4" customHeight="1" x14ac:dyDescent="0.45">
      <c r="A28" s="26" t="s">
        <v>24</v>
      </c>
      <c r="B28" s="26"/>
      <c r="C28" s="11" t="s">
        <v>3</v>
      </c>
      <c r="D28" s="24">
        <v>3</v>
      </c>
      <c r="E28" s="11" t="s">
        <v>49</v>
      </c>
    </row>
    <row r="29" spans="1:7" s="14" customFormat="1" ht="34.5" customHeight="1" x14ac:dyDescent="0.45">
      <c r="A29"/>
      <c r="B29"/>
      <c r="C29" s="13"/>
      <c r="D29" s="13"/>
      <c r="E29"/>
      <c r="F29"/>
      <c r="G29"/>
    </row>
    <row r="30" spans="1:7" s="14" customFormat="1" ht="35.9" customHeight="1" x14ac:dyDescent="0.45">
      <c r="A30"/>
      <c r="B30"/>
      <c r="C30" s="13"/>
      <c r="D30" s="13"/>
      <c r="E30"/>
      <c r="F30"/>
      <c r="G30"/>
    </row>
    <row r="31" spans="1:7" s="14" customFormat="1" ht="33" customHeight="1" x14ac:dyDescent="0.45">
      <c r="A31"/>
      <c r="B31"/>
      <c r="C31" s="13"/>
      <c r="D31" s="13"/>
      <c r="E31"/>
      <c r="F31"/>
      <c r="G31"/>
    </row>
    <row r="32" spans="1:7" s="14" customFormat="1" ht="36" customHeight="1" x14ac:dyDescent="0.45">
      <c r="A32"/>
      <c r="B32"/>
      <c r="C32" s="13"/>
      <c r="D32" s="13"/>
      <c r="E32"/>
      <c r="F32"/>
      <c r="G32"/>
    </row>
    <row r="33" spans="1:7" s="14" customFormat="1" ht="37.4" customHeight="1" x14ac:dyDescent="0.45">
      <c r="A33"/>
      <c r="B33"/>
      <c r="C33" s="13"/>
      <c r="D33" s="13"/>
      <c r="E33"/>
      <c r="F33"/>
      <c r="G33"/>
    </row>
    <row r="34" spans="1:7" s="14" customFormat="1" ht="35.9" customHeight="1" x14ac:dyDescent="0.45">
      <c r="A34"/>
      <c r="B34"/>
      <c r="C34" s="13"/>
      <c r="D34" s="13"/>
      <c r="E34"/>
      <c r="F34"/>
      <c r="G34"/>
    </row>
    <row r="35" spans="1:7" s="14" customFormat="1" ht="35.9" customHeight="1" x14ac:dyDescent="0.45">
      <c r="A35"/>
      <c r="B35"/>
      <c r="C35" s="13"/>
      <c r="D35" s="13"/>
      <c r="E35"/>
      <c r="F35"/>
      <c r="G35"/>
    </row>
    <row r="36" spans="1:7" s="14" customFormat="1" ht="35.9" customHeight="1" x14ac:dyDescent="0.45">
      <c r="A36"/>
      <c r="B36"/>
      <c r="C36" s="13"/>
      <c r="D36" s="13"/>
      <c r="E36"/>
      <c r="F36"/>
      <c r="G36"/>
    </row>
    <row r="37" spans="1:7" s="19" customFormat="1" ht="35.9" customHeight="1" x14ac:dyDescent="0.6">
      <c r="A37"/>
      <c r="B37"/>
      <c r="C37" s="13"/>
      <c r="D37" s="13"/>
      <c r="E37"/>
      <c r="F37"/>
      <c r="G37"/>
    </row>
    <row r="38" spans="1:7" s="14" customFormat="1" ht="35.9" customHeight="1" x14ac:dyDescent="0.45">
      <c r="A38"/>
      <c r="B38"/>
      <c r="C38" s="13"/>
      <c r="D38" s="13"/>
      <c r="E38"/>
      <c r="F38"/>
      <c r="G38"/>
    </row>
    <row r="39" spans="1:7" s="14" customFormat="1" ht="37.4" customHeight="1" x14ac:dyDescent="0.45">
      <c r="A39"/>
      <c r="B39"/>
      <c r="C39" s="13"/>
      <c r="D39" s="13"/>
      <c r="E39"/>
      <c r="F39"/>
      <c r="G39"/>
    </row>
    <row r="40" spans="1:7" s="14" customFormat="1" ht="34.5" customHeight="1" x14ac:dyDescent="0.45">
      <c r="A40"/>
      <c r="B40"/>
      <c r="C40" s="13"/>
      <c r="D40" s="13"/>
      <c r="E40"/>
      <c r="F40"/>
      <c r="G40"/>
    </row>
    <row r="41" spans="1:7" s="14" customFormat="1" ht="34.5" customHeight="1" x14ac:dyDescent="0.45">
      <c r="A41"/>
      <c r="B41"/>
      <c r="C41" s="13"/>
      <c r="D41" s="13"/>
      <c r="E41"/>
      <c r="F41"/>
      <c r="G41"/>
    </row>
    <row r="42" spans="1:7" s="14" customFormat="1" ht="37.4" customHeight="1" x14ac:dyDescent="0.45">
      <c r="A42"/>
      <c r="B42"/>
      <c r="C42" s="13"/>
      <c r="D42" s="13"/>
      <c r="E42"/>
      <c r="F42"/>
      <c r="G42"/>
    </row>
    <row r="43" spans="1:7" s="14" customFormat="1" ht="34.5" customHeight="1" x14ac:dyDescent="0.45">
      <c r="A43"/>
      <c r="B43"/>
      <c r="C43" s="13"/>
      <c r="D43" s="13"/>
      <c r="E43"/>
      <c r="F43"/>
      <c r="G43"/>
    </row>
    <row r="44" spans="1:7" s="14" customFormat="1" ht="37.4" customHeight="1" x14ac:dyDescent="0.45">
      <c r="A44"/>
      <c r="B44"/>
      <c r="C44" s="13"/>
      <c r="D44" s="13"/>
      <c r="E44"/>
      <c r="F44"/>
      <c r="G44"/>
    </row>
    <row r="45" spans="1:7" s="14" customFormat="1" ht="34.5" customHeight="1" x14ac:dyDescent="0.45">
      <c r="A45"/>
      <c r="B45"/>
      <c r="C45" s="13"/>
      <c r="D45" s="13"/>
      <c r="E45"/>
      <c r="F45"/>
      <c r="G45"/>
    </row>
    <row r="46" spans="1:7" s="14" customFormat="1" ht="34.5" customHeight="1" x14ac:dyDescent="0.45">
      <c r="A46"/>
      <c r="B46"/>
      <c r="C46" s="13"/>
      <c r="D46" s="13"/>
      <c r="E46"/>
      <c r="F46"/>
      <c r="G46"/>
    </row>
    <row r="47" spans="1:7" s="19" customFormat="1" ht="37.4" customHeight="1" x14ac:dyDescent="0.6">
      <c r="A47"/>
      <c r="B47"/>
      <c r="C47" s="13"/>
      <c r="D47" s="13"/>
      <c r="E47"/>
      <c r="F47"/>
      <c r="G47"/>
    </row>
    <row r="48" spans="1:7" s="14" customFormat="1" ht="35.9" customHeight="1" x14ac:dyDescent="0.45">
      <c r="A48"/>
      <c r="B48"/>
      <c r="C48" s="13"/>
      <c r="D48" s="13"/>
      <c r="E48"/>
      <c r="F48"/>
      <c r="G48"/>
    </row>
    <row r="49" spans="1:7" s="14" customFormat="1" ht="31.5" customHeight="1" x14ac:dyDescent="0.45">
      <c r="A49"/>
      <c r="B49"/>
      <c r="C49" s="13"/>
      <c r="D49" s="13"/>
      <c r="E49"/>
      <c r="F49"/>
      <c r="G49"/>
    </row>
    <row r="50" spans="1:7" s="14" customFormat="1" ht="32.15" customHeight="1" x14ac:dyDescent="0.45">
      <c r="A50"/>
      <c r="B50"/>
      <c r="C50" s="13"/>
      <c r="D50" s="13"/>
      <c r="E50"/>
      <c r="F50"/>
      <c r="G50"/>
    </row>
  </sheetData>
  <mergeCells count="7">
    <mergeCell ref="A26:E26"/>
    <mergeCell ref="A27:B27"/>
    <mergeCell ref="A28:B28"/>
    <mergeCell ref="A4:G4"/>
    <mergeCell ref="A1:G2"/>
    <mergeCell ref="A12:F12"/>
    <mergeCell ref="A20:G20"/>
  </mergeCells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1DF11-AE6A-4D6A-8867-7125C7584D98}">
  <dimension ref="A1:G50"/>
  <sheetViews>
    <sheetView zoomScaleNormal="100" workbookViewId="0">
      <selection activeCell="H3" sqref="H3"/>
    </sheetView>
  </sheetViews>
  <sheetFormatPr defaultRowHeight="14.5" x14ac:dyDescent="0.35"/>
  <cols>
    <col min="1" max="1" width="12.81640625" customWidth="1"/>
    <col min="2" max="2" width="75.54296875" bestFit="1" customWidth="1"/>
    <col min="3" max="3" width="8.81640625" style="13"/>
    <col min="4" max="4" width="18" style="13" customWidth="1"/>
    <col min="5" max="5" width="11.1796875" customWidth="1"/>
    <col min="6" max="6" width="24.54296875" customWidth="1"/>
    <col min="7" max="7" width="22.81640625" customWidth="1"/>
  </cols>
  <sheetData>
    <row r="1" spans="1:7" ht="15" thickBot="1" x14ac:dyDescent="0.4">
      <c r="A1" s="27" t="s">
        <v>68</v>
      </c>
      <c r="B1" s="27"/>
      <c r="C1" s="27"/>
      <c r="D1" s="27"/>
      <c r="E1" s="27"/>
      <c r="F1" s="27"/>
      <c r="G1" s="27"/>
    </row>
    <row r="2" spans="1:7" ht="15" thickBot="1" x14ac:dyDescent="0.4">
      <c r="A2" s="27"/>
      <c r="B2" s="27"/>
      <c r="C2" s="27"/>
      <c r="D2" s="27"/>
      <c r="E2" s="27"/>
      <c r="F2" s="27"/>
      <c r="G2" s="27"/>
    </row>
    <row r="3" spans="1:7" s="14" customFormat="1" ht="101.15" customHeight="1" thickBot="1" x14ac:dyDescent="0.5">
      <c r="A3" s="10" t="s">
        <v>10</v>
      </c>
      <c r="B3" s="10" t="s">
        <v>0</v>
      </c>
      <c r="C3" s="10" t="s">
        <v>1</v>
      </c>
      <c r="D3" s="10" t="s">
        <v>9</v>
      </c>
      <c r="E3" s="10" t="s">
        <v>2</v>
      </c>
      <c r="F3" s="10" t="s">
        <v>7</v>
      </c>
      <c r="G3" s="10" t="s">
        <v>8</v>
      </c>
    </row>
    <row r="4" spans="1:7" ht="30" customHeight="1" thickBot="1" x14ac:dyDescent="0.4">
      <c r="A4" s="28" t="s">
        <v>6</v>
      </c>
      <c r="B4" s="28"/>
      <c r="C4" s="28"/>
      <c r="D4" s="28"/>
      <c r="E4" s="28"/>
      <c r="F4" s="28"/>
      <c r="G4" s="28"/>
    </row>
    <row r="5" spans="1:7" s="14" customFormat="1" ht="37.5" customHeight="1" x14ac:dyDescent="0.45">
      <c r="A5" s="15" t="s">
        <v>69</v>
      </c>
      <c r="B5" s="16" t="s">
        <v>26</v>
      </c>
      <c r="C5" s="11" t="s">
        <v>16</v>
      </c>
      <c r="D5" s="11">
        <v>14</v>
      </c>
      <c r="E5" s="11" t="s">
        <v>49</v>
      </c>
      <c r="F5" s="17"/>
      <c r="G5" s="6">
        <f>D5*F5</f>
        <v>0</v>
      </c>
    </row>
    <row r="6" spans="1:7" s="14" customFormat="1" ht="37.5" customHeight="1" x14ac:dyDescent="0.45">
      <c r="A6" s="15" t="s">
        <v>70</v>
      </c>
      <c r="B6" s="16" t="s">
        <v>27</v>
      </c>
      <c r="C6" s="11" t="s">
        <v>16</v>
      </c>
      <c r="D6" s="11">
        <v>4</v>
      </c>
      <c r="E6" s="11" t="s">
        <v>49</v>
      </c>
      <c r="F6" s="17"/>
      <c r="G6" s="6">
        <f>D6*F6</f>
        <v>0</v>
      </c>
    </row>
    <row r="7" spans="1:7" s="14" customFormat="1" ht="36" customHeight="1" x14ac:dyDescent="0.45">
      <c r="A7" s="15" t="s">
        <v>71</v>
      </c>
      <c r="B7" s="16" t="s">
        <v>28</v>
      </c>
      <c r="C7" s="11" t="s">
        <v>16</v>
      </c>
      <c r="D7" s="11">
        <v>4</v>
      </c>
      <c r="E7" s="11" t="s">
        <v>49</v>
      </c>
      <c r="F7" s="17"/>
      <c r="G7" s="6">
        <f t="shared" ref="G7:G10" si="0">D7*F7</f>
        <v>0</v>
      </c>
    </row>
    <row r="8" spans="1:7" s="14" customFormat="1" ht="34.5" customHeight="1" x14ac:dyDescent="0.45">
      <c r="A8" s="15" t="s">
        <v>72</v>
      </c>
      <c r="B8" s="16" t="s">
        <v>29</v>
      </c>
      <c r="C8" s="11" t="s">
        <v>16</v>
      </c>
      <c r="D8" s="11">
        <v>33</v>
      </c>
      <c r="E8" s="11" t="s">
        <v>49</v>
      </c>
      <c r="F8" s="17"/>
      <c r="G8" s="6">
        <f t="shared" si="0"/>
        <v>0</v>
      </c>
    </row>
    <row r="9" spans="1:7" s="14" customFormat="1" ht="37.4" customHeight="1" x14ac:dyDescent="0.45">
      <c r="A9" s="15" t="s">
        <v>73</v>
      </c>
      <c r="B9" s="16" t="s">
        <v>30</v>
      </c>
      <c r="C9" s="11" t="s">
        <v>3</v>
      </c>
      <c r="D9" s="11">
        <v>70</v>
      </c>
      <c r="E9" s="11" t="s">
        <v>49</v>
      </c>
      <c r="F9" s="17"/>
      <c r="G9" s="6">
        <f t="shared" si="0"/>
        <v>0</v>
      </c>
    </row>
    <row r="10" spans="1:7" s="14" customFormat="1" ht="35.9" customHeight="1" x14ac:dyDescent="0.45">
      <c r="A10" s="15" t="s">
        <v>74</v>
      </c>
      <c r="B10" s="16" t="s">
        <v>31</v>
      </c>
      <c r="C10" s="11" t="s">
        <v>16</v>
      </c>
      <c r="D10" s="11">
        <v>4</v>
      </c>
      <c r="E10" s="11" t="s">
        <v>49</v>
      </c>
      <c r="F10" s="17"/>
      <c r="G10" s="6">
        <f t="shared" si="0"/>
        <v>0</v>
      </c>
    </row>
    <row r="11" spans="1:7" s="14" customFormat="1" ht="34.5" customHeight="1" x14ac:dyDescent="0.45">
      <c r="A11" s="15" t="s">
        <v>75</v>
      </c>
      <c r="B11" s="16" t="s">
        <v>23</v>
      </c>
      <c r="C11" s="11" t="s">
        <v>3</v>
      </c>
      <c r="D11" s="11">
        <v>8</v>
      </c>
      <c r="E11" s="11" t="s">
        <v>49</v>
      </c>
      <c r="F11" s="17"/>
      <c r="G11" s="6">
        <f>D11*F11</f>
        <v>0</v>
      </c>
    </row>
    <row r="12" spans="1:7" s="14" customFormat="1" ht="35.9" customHeight="1" x14ac:dyDescent="0.55000000000000004">
      <c r="A12" s="29" t="s">
        <v>15</v>
      </c>
      <c r="B12" s="30"/>
      <c r="C12" s="30"/>
      <c r="D12" s="30"/>
      <c r="E12" s="30"/>
      <c r="F12" s="30"/>
      <c r="G12" s="18"/>
    </row>
    <row r="13" spans="1:7" s="14" customFormat="1" ht="33" customHeight="1" x14ac:dyDescent="0.45">
      <c r="A13" s="20" t="s">
        <v>76</v>
      </c>
      <c r="B13" s="16" t="s">
        <v>18</v>
      </c>
      <c r="C13" s="11" t="s">
        <v>16</v>
      </c>
      <c r="D13" s="24">
        <v>65</v>
      </c>
      <c r="E13" s="11" t="s">
        <v>49</v>
      </c>
      <c r="F13" s="21"/>
      <c r="G13" s="7">
        <f t="shared" ref="G13:G19" si="1">D13*F13</f>
        <v>0</v>
      </c>
    </row>
    <row r="14" spans="1:7" s="14" customFormat="1" ht="36" customHeight="1" x14ac:dyDescent="0.45">
      <c r="A14" s="20" t="s">
        <v>77</v>
      </c>
      <c r="B14" s="16" t="s">
        <v>17</v>
      </c>
      <c r="C14" s="11" t="s">
        <v>16</v>
      </c>
      <c r="D14" s="24">
        <v>20</v>
      </c>
      <c r="E14" s="11" t="s">
        <v>49</v>
      </c>
      <c r="F14" s="21"/>
      <c r="G14" s="7">
        <f t="shared" si="1"/>
        <v>0</v>
      </c>
    </row>
    <row r="15" spans="1:7" s="14" customFormat="1" ht="37.4" customHeight="1" x14ac:dyDescent="0.45">
      <c r="A15" s="20" t="s">
        <v>78</v>
      </c>
      <c r="B15" s="16" t="s">
        <v>19</v>
      </c>
      <c r="C15" s="11" t="s">
        <v>16</v>
      </c>
      <c r="D15" s="24">
        <v>20</v>
      </c>
      <c r="E15" s="11" t="s">
        <v>49</v>
      </c>
      <c r="F15" s="21"/>
      <c r="G15" s="6">
        <f t="shared" si="1"/>
        <v>0</v>
      </c>
    </row>
    <row r="16" spans="1:7" s="14" customFormat="1" ht="36" customHeight="1" x14ac:dyDescent="0.45">
      <c r="A16" s="20" t="s">
        <v>79</v>
      </c>
      <c r="B16" s="16" t="s">
        <v>20</v>
      </c>
      <c r="C16" s="11" t="s">
        <v>16</v>
      </c>
      <c r="D16" s="24">
        <v>60</v>
      </c>
      <c r="E16" s="11" t="s">
        <v>49</v>
      </c>
      <c r="F16" s="21"/>
      <c r="G16" s="6">
        <f t="shared" si="1"/>
        <v>0</v>
      </c>
    </row>
    <row r="17" spans="1:7" s="14" customFormat="1" ht="37.4" customHeight="1" x14ac:dyDescent="0.45">
      <c r="A17" s="20" t="s">
        <v>80</v>
      </c>
      <c r="B17" s="16" t="s">
        <v>21</v>
      </c>
      <c r="C17" s="11" t="s">
        <v>3</v>
      </c>
      <c r="D17" s="24">
        <v>140</v>
      </c>
      <c r="E17" s="11" t="s">
        <v>49</v>
      </c>
      <c r="F17" s="21"/>
      <c r="G17" s="7">
        <f t="shared" si="1"/>
        <v>0</v>
      </c>
    </row>
    <row r="18" spans="1:7" s="14" customFormat="1" ht="35.9" customHeight="1" x14ac:dyDescent="0.45">
      <c r="A18" s="20" t="s">
        <v>81</v>
      </c>
      <c r="B18" s="16" t="s">
        <v>22</v>
      </c>
      <c r="C18" s="11" t="s">
        <v>16</v>
      </c>
      <c r="D18" s="24">
        <v>4</v>
      </c>
      <c r="E18" s="11" t="s">
        <v>49</v>
      </c>
      <c r="F18" s="17"/>
      <c r="G18" s="6">
        <f t="shared" si="1"/>
        <v>0</v>
      </c>
    </row>
    <row r="19" spans="1:7" s="14" customFormat="1" ht="34.5" customHeight="1" x14ac:dyDescent="0.45">
      <c r="A19" s="20" t="s">
        <v>82</v>
      </c>
      <c r="B19" s="16" t="s">
        <v>23</v>
      </c>
      <c r="C19" s="11" t="s">
        <v>3</v>
      </c>
      <c r="D19" s="24">
        <v>16</v>
      </c>
      <c r="E19" s="11" t="s">
        <v>49</v>
      </c>
      <c r="F19" s="17"/>
      <c r="G19" s="6">
        <f t="shared" si="1"/>
        <v>0</v>
      </c>
    </row>
    <row r="20" spans="1:7" s="14" customFormat="1" ht="35.9" customHeight="1" x14ac:dyDescent="0.45">
      <c r="A20" s="31" t="s">
        <v>11</v>
      </c>
      <c r="B20" s="32"/>
      <c r="C20" s="32"/>
      <c r="D20" s="32"/>
      <c r="E20" s="32"/>
      <c r="F20" s="32"/>
      <c r="G20" s="33"/>
    </row>
    <row r="21" spans="1:7" s="14" customFormat="1" ht="33" customHeight="1" x14ac:dyDescent="0.45">
      <c r="A21" s="20" t="s">
        <v>83</v>
      </c>
      <c r="B21" s="1" t="s">
        <v>14</v>
      </c>
      <c r="C21" s="11" t="s">
        <v>5</v>
      </c>
      <c r="D21" s="24">
        <v>1</v>
      </c>
      <c r="E21" s="11" t="s">
        <v>50</v>
      </c>
      <c r="F21" s="4"/>
      <c r="G21" s="7">
        <f>D21*F21</f>
        <v>0</v>
      </c>
    </row>
    <row r="22" spans="1:7" s="14" customFormat="1" ht="37.4" customHeight="1" thickBot="1" x14ac:dyDescent="0.5">
      <c r="A22" s="20" t="s">
        <v>84</v>
      </c>
      <c r="B22" s="3" t="s">
        <v>4</v>
      </c>
      <c r="C22" s="12" t="s">
        <v>5</v>
      </c>
      <c r="D22" s="12">
        <v>1</v>
      </c>
      <c r="E22" s="12" t="s">
        <v>50</v>
      </c>
      <c r="F22" s="5"/>
      <c r="G22" s="8">
        <f>D22*F22</f>
        <v>0</v>
      </c>
    </row>
    <row r="23" spans="1:7" s="14" customFormat="1" ht="36" customHeight="1" thickBot="1" x14ac:dyDescent="0.5">
      <c r="B23" s="22"/>
      <c r="C23" s="23"/>
      <c r="D23" s="23"/>
      <c r="F23" s="2" t="s">
        <v>85</v>
      </c>
      <c r="G23" s="9">
        <f>SUM(G5:G22)</f>
        <v>0</v>
      </c>
    </row>
    <row r="24" spans="1:7" s="14" customFormat="1" ht="37.4" customHeight="1" x14ac:dyDescent="0.45">
      <c r="A24"/>
      <c r="C24" s="13"/>
      <c r="D24" s="13"/>
      <c r="E24"/>
      <c r="F24"/>
      <c r="G24"/>
    </row>
    <row r="25" spans="1:7" s="14" customFormat="1" ht="34.5" customHeight="1" x14ac:dyDescent="0.45">
      <c r="A25"/>
      <c r="B25"/>
      <c r="C25" s="13"/>
      <c r="D25" s="13"/>
      <c r="E25"/>
      <c r="F25"/>
      <c r="G25"/>
    </row>
    <row r="26" spans="1:7" s="14" customFormat="1" ht="35.9" customHeight="1" x14ac:dyDescent="0.5">
      <c r="A26" s="25" t="s">
        <v>48</v>
      </c>
      <c r="B26" s="25"/>
      <c r="C26" s="25"/>
      <c r="D26" s="25"/>
      <c r="E26" s="25"/>
    </row>
    <row r="27" spans="1:7" s="14" customFormat="1" ht="33" customHeight="1" x14ac:dyDescent="0.45">
      <c r="A27" s="26" t="s">
        <v>25</v>
      </c>
      <c r="B27" s="26"/>
      <c r="C27" s="11" t="s">
        <v>3</v>
      </c>
      <c r="D27" s="24">
        <v>8</v>
      </c>
      <c r="E27" s="11" t="s">
        <v>49</v>
      </c>
    </row>
    <row r="28" spans="1:7" s="14" customFormat="1" ht="37.4" customHeight="1" x14ac:dyDescent="0.45">
      <c r="A28" s="26" t="s">
        <v>24</v>
      </c>
      <c r="B28" s="26"/>
      <c r="C28" s="11" t="s">
        <v>3</v>
      </c>
      <c r="D28" s="24">
        <v>3</v>
      </c>
      <c r="E28" s="11" t="s">
        <v>49</v>
      </c>
    </row>
    <row r="29" spans="1:7" s="14" customFormat="1" ht="34.5" customHeight="1" x14ac:dyDescent="0.45">
      <c r="A29"/>
      <c r="B29"/>
      <c r="C29" s="13"/>
      <c r="D29" s="13"/>
      <c r="E29"/>
      <c r="F29"/>
      <c r="G29"/>
    </row>
    <row r="30" spans="1:7" s="14" customFormat="1" ht="35.9" customHeight="1" x14ac:dyDescent="0.45">
      <c r="A30"/>
      <c r="B30"/>
      <c r="C30" s="13"/>
      <c r="D30" s="13"/>
      <c r="E30"/>
      <c r="F30"/>
      <c r="G30"/>
    </row>
    <row r="31" spans="1:7" s="14" customFormat="1" ht="33" customHeight="1" x14ac:dyDescent="0.45">
      <c r="A31"/>
      <c r="B31"/>
      <c r="C31" s="13"/>
      <c r="D31" s="13"/>
      <c r="E31"/>
      <c r="F31"/>
      <c r="G31"/>
    </row>
    <row r="32" spans="1:7" s="14" customFormat="1" ht="36" customHeight="1" x14ac:dyDescent="0.45">
      <c r="A32"/>
      <c r="B32"/>
      <c r="C32" s="13"/>
      <c r="D32" s="13"/>
      <c r="E32"/>
      <c r="F32"/>
      <c r="G32"/>
    </row>
    <row r="33" spans="1:7" s="14" customFormat="1" ht="37.4" customHeight="1" x14ac:dyDescent="0.45">
      <c r="A33"/>
      <c r="B33"/>
      <c r="C33" s="13"/>
      <c r="D33" s="13"/>
      <c r="E33"/>
      <c r="F33"/>
      <c r="G33"/>
    </row>
    <row r="34" spans="1:7" s="14" customFormat="1" ht="35.9" customHeight="1" x14ac:dyDescent="0.45">
      <c r="A34"/>
      <c r="B34"/>
      <c r="C34" s="13"/>
      <c r="D34" s="13"/>
      <c r="E34"/>
      <c r="F34"/>
      <c r="G34"/>
    </row>
    <row r="35" spans="1:7" s="14" customFormat="1" ht="35.9" customHeight="1" x14ac:dyDescent="0.45">
      <c r="A35"/>
      <c r="B35"/>
      <c r="C35" s="13"/>
      <c r="D35" s="13"/>
      <c r="E35"/>
      <c r="F35"/>
      <c r="G35"/>
    </row>
    <row r="36" spans="1:7" s="14" customFormat="1" ht="35.9" customHeight="1" x14ac:dyDescent="0.45">
      <c r="A36"/>
      <c r="B36"/>
      <c r="C36" s="13"/>
      <c r="D36" s="13"/>
      <c r="E36"/>
      <c r="F36"/>
      <c r="G36"/>
    </row>
    <row r="37" spans="1:7" s="19" customFormat="1" ht="35.9" customHeight="1" x14ac:dyDescent="0.6">
      <c r="A37"/>
      <c r="B37"/>
      <c r="C37" s="13"/>
      <c r="D37" s="13"/>
      <c r="E37"/>
      <c r="F37"/>
      <c r="G37"/>
    </row>
    <row r="38" spans="1:7" s="14" customFormat="1" ht="35.9" customHeight="1" x14ac:dyDescent="0.45">
      <c r="A38"/>
      <c r="B38"/>
      <c r="C38" s="13"/>
      <c r="D38" s="13"/>
      <c r="E38"/>
      <c r="F38"/>
      <c r="G38"/>
    </row>
    <row r="39" spans="1:7" s="14" customFormat="1" ht="37.4" customHeight="1" x14ac:dyDescent="0.45">
      <c r="A39"/>
      <c r="B39"/>
      <c r="C39" s="13"/>
      <c r="D39" s="13"/>
      <c r="E39"/>
      <c r="F39"/>
      <c r="G39"/>
    </row>
    <row r="40" spans="1:7" s="14" customFormat="1" ht="34.5" customHeight="1" x14ac:dyDescent="0.45">
      <c r="A40"/>
      <c r="B40"/>
      <c r="C40" s="13"/>
      <c r="D40" s="13"/>
      <c r="E40"/>
      <c r="F40"/>
      <c r="G40"/>
    </row>
    <row r="41" spans="1:7" s="14" customFormat="1" ht="34.5" customHeight="1" x14ac:dyDescent="0.45">
      <c r="A41"/>
      <c r="B41"/>
      <c r="C41" s="13"/>
      <c r="D41" s="13"/>
      <c r="E41"/>
      <c r="F41"/>
      <c r="G41"/>
    </row>
    <row r="42" spans="1:7" s="14" customFormat="1" ht="37.4" customHeight="1" x14ac:dyDescent="0.45">
      <c r="A42"/>
      <c r="B42"/>
      <c r="C42" s="13"/>
      <c r="D42" s="13"/>
      <c r="E42"/>
      <c r="F42"/>
      <c r="G42"/>
    </row>
    <row r="43" spans="1:7" s="14" customFormat="1" ht="34.5" customHeight="1" x14ac:dyDescent="0.45">
      <c r="A43"/>
      <c r="B43"/>
      <c r="C43" s="13"/>
      <c r="D43" s="13"/>
      <c r="E43"/>
      <c r="F43"/>
      <c r="G43"/>
    </row>
    <row r="44" spans="1:7" s="14" customFormat="1" ht="37.4" customHeight="1" x14ac:dyDescent="0.45">
      <c r="A44"/>
      <c r="B44"/>
      <c r="C44" s="13"/>
      <c r="D44" s="13"/>
      <c r="E44"/>
      <c r="F44"/>
      <c r="G44"/>
    </row>
    <row r="45" spans="1:7" s="14" customFormat="1" ht="34.5" customHeight="1" x14ac:dyDescent="0.45">
      <c r="A45"/>
      <c r="B45"/>
      <c r="C45" s="13"/>
      <c r="D45" s="13"/>
      <c r="E45"/>
      <c r="F45"/>
      <c r="G45"/>
    </row>
    <row r="46" spans="1:7" s="14" customFormat="1" ht="34.5" customHeight="1" x14ac:dyDescent="0.45">
      <c r="A46"/>
      <c r="B46"/>
      <c r="C46" s="13"/>
      <c r="D46" s="13"/>
      <c r="E46"/>
      <c r="F46"/>
      <c r="G46"/>
    </row>
    <row r="47" spans="1:7" s="19" customFormat="1" ht="37.4" customHeight="1" x14ac:dyDescent="0.6">
      <c r="A47"/>
      <c r="B47"/>
      <c r="C47" s="13"/>
      <c r="D47" s="13"/>
      <c r="E47"/>
      <c r="F47"/>
      <c r="G47"/>
    </row>
    <row r="48" spans="1:7" s="14" customFormat="1" ht="35.9" customHeight="1" x14ac:dyDescent="0.45">
      <c r="A48"/>
      <c r="B48"/>
      <c r="C48" s="13"/>
      <c r="D48" s="13"/>
      <c r="E48"/>
      <c r="F48"/>
      <c r="G48"/>
    </row>
    <row r="49" spans="1:7" s="14" customFormat="1" ht="31.5" customHeight="1" x14ac:dyDescent="0.45">
      <c r="A49"/>
      <c r="B49"/>
      <c r="C49" s="13"/>
      <c r="D49" s="13"/>
      <c r="E49"/>
      <c r="F49"/>
      <c r="G49"/>
    </row>
    <row r="50" spans="1:7" s="14" customFormat="1" ht="32.15" customHeight="1" x14ac:dyDescent="0.45">
      <c r="A50"/>
      <c r="B50"/>
      <c r="C50" s="13"/>
      <c r="D50" s="13"/>
      <c r="E50"/>
      <c r="F50"/>
      <c r="G50"/>
    </row>
  </sheetData>
  <mergeCells count="7">
    <mergeCell ref="A26:E26"/>
    <mergeCell ref="A27:B27"/>
    <mergeCell ref="A28:B28"/>
    <mergeCell ref="A1:G2"/>
    <mergeCell ref="A4:G4"/>
    <mergeCell ref="A12:F12"/>
    <mergeCell ref="A20:G20"/>
  </mergeCells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06C0-EDA9-48BA-A517-D522E3127A58}">
  <dimension ref="A1:G50"/>
  <sheetViews>
    <sheetView zoomScaleNormal="100" workbookViewId="0">
      <selection activeCell="H3" sqref="H3"/>
    </sheetView>
  </sheetViews>
  <sheetFormatPr defaultRowHeight="14.5" x14ac:dyDescent="0.35"/>
  <cols>
    <col min="1" max="1" width="12.81640625" customWidth="1"/>
    <col min="2" max="2" width="75.54296875" bestFit="1" customWidth="1"/>
    <col min="3" max="3" width="8.81640625" style="13"/>
    <col min="4" max="4" width="18" style="13" customWidth="1"/>
    <col min="5" max="5" width="11.1796875" customWidth="1"/>
    <col min="6" max="6" width="24.54296875" customWidth="1"/>
    <col min="7" max="7" width="22.81640625" customWidth="1"/>
  </cols>
  <sheetData>
    <row r="1" spans="1:7" ht="15" thickBot="1" x14ac:dyDescent="0.4">
      <c r="A1" s="27" t="s">
        <v>87</v>
      </c>
      <c r="B1" s="27"/>
      <c r="C1" s="27"/>
      <c r="D1" s="27"/>
      <c r="E1" s="27"/>
      <c r="F1" s="27"/>
      <c r="G1" s="27"/>
    </row>
    <row r="2" spans="1:7" ht="15" thickBot="1" x14ac:dyDescent="0.4">
      <c r="A2" s="27"/>
      <c r="B2" s="27"/>
      <c r="C2" s="27"/>
      <c r="D2" s="27"/>
      <c r="E2" s="27"/>
      <c r="F2" s="27"/>
      <c r="G2" s="27"/>
    </row>
    <row r="3" spans="1:7" s="14" customFormat="1" ht="101.15" customHeight="1" thickBot="1" x14ac:dyDescent="0.5">
      <c r="A3" s="10" t="s">
        <v>10</v>
      </c>
      <c r="B3" s="10" t="s">
        <v>0</v>
      </c>
      <c r="C3" s="10" t="s">
        <v>1</v>
      </c>
      <c r="D3" s="10" t="s">
        <v>9</v>
      </c>
      <c r="E3" s="10" t="s">
        <v>2</v>
      </c>
      <c r="F3" s="10" t="s">
        <v>7</v>
      </c>
      <c r="G3" s="10" t="s">
        <v>8</v>
      </c>
    </row>
    <row r="4" spans="1:7" ht="30" customHeight="1" thickBot="1" x14ac:dyDescent="0.4">
      <c r="A4" s="28" t="s">
        <v>6</v>
      </c>
      <c r="B4" s="28"/>
      <c r="C4" s="28"/>
      <c r="D4" s="28"/>
      <c r="E4" s="28"/>
      <c r="F4" s="28"/>
      <c r="G4" s="28"/>
    </row>
    <row r="5" spans="1:7" s="14" customFormat="1" ht="37.5" customHeight="1" x14ac:dyDescent="0.45">
      <c r="A5" s="15" t="s">
        <v>88</v>
      </c>
      <c r="B5" s="16" t="s">
        <v>26</v>
      </c>
      <c r="C5" s="11" t="s">
        <v>16</v>
      </c>
      <c r="D5" s="11">
        <v>14</v>
      </c>
      <c r="E5" s="11" t="s">
        <v>49</v>
      </c>
      <c r="F5" s="17"/>
      <c r="G5" s="6">
        <f>D5*F5</f>
        <v>0</v>
      </c>
    </row>
    <row r="6" spans="1:7" s="14" customFormat="1" ht="37.5" customHeight="1" x14ac:dyDescent="0.45">
      <c r="A6" s="15" t="s">
        <v>89</v>
      </c>
      <c r="B6" s="16" t="s">
        <v>27</v>
      </c>
      <c r="C6" s="11" t="s">
        <v>16</v>
      </c>
      <c r="D6" s="11">
        <v>4</v>
      </c>
      <c r="E6" s="11" t="s">
        <v>49</v>
      </c>
      <c r="F6" s="17"/>
      <c r="G6" s="6">
        <f>D6*F6</f>
        <v>0</v>
      </c>
    </row>
    <row r="7" spans="1:7" s="14" customFormat="1" ht="36" customHeight="1" x14ac:dyDescent="0.45">
      <c r="A7" s="15" t="s">
        <v>90</v>
      </c>
      <c r="B7" s="16" t="s">
        <v>28</v>
      </c>
      <c r="C7" s="11" t="s">
        <v>16</v>
      </c>
      <c r="D7" s="11">
        <v>4</v>
      </c>
      <c r="E7" s="11" t="s">
        <v>49</v>
      </c>
      <c r="F7" s="17"/>
      <c r="G7" s="6">
        <f t="shared" ref="G7:G10" si="0">D7*F7</f>
        <v>0</v>
      </c>
    </row>
    <row r="8" spans="1:7" s="14" customFormat="1" ht="34.5" customHeight="1" x14ac:dyDescent="0.45">
      <c r="A8" s="15" t="s">
        <v>91</v>
      </c>
      <c r="B8" s="16" t="s">
        <v>29</v>
      </c>
      <c r="C8" s="11" t="s">
        <v>16</v>
      </c>
      <c r="D8" s="11">
        <v>33</v>
      </c>
      <c r="E8" s="11" t="s">
        <v>49</v>
      </c>
      <c r="F8" s="17"/>
      <c r="G8" s="6">
        <f t="shared" si="0"/>
        <v>0</v>
      </c>
    </row>
    <row r="9" spans="1:7" s="14" customFormat="1" ht="37.4" customHeight="1" x14ac:dyDescent="0.45">
      <c r="A9" s="15" t="s">
        <v>92</v>
      </c>
      <c r="B9" s="16" t="s">
        <v>30</v>
      </c>
      <c r="C9" s="11" t="s">
        <v>3</v>
      </c>
      <c r="D9" s="11">
        <v>70</v>
      </c>
      <c r="E9" s="11" t="s">
        <v>49</v>
      </c>
      <c r="F9" s="17"/>
      <c r="G9" s="6">
        <f t="shared" si="0"/>
        <v>0</v>
      </c>
    </row>
    <row r="10" spans="1:7" s="14" customFormat="1" ht="35.9" customHeight="1" x14ac:dyDescent="0.45">
      <c r="A10" s="15" t="s">
        <v>93</v>
      </c>
      <c r="B10" s="16" t="s">
        <v>31</v>
      </c>
      <c r="C10" s="11" t="s">
        <v>16</v>
      </c>
      <c r="D10" s="11">
        <v>4</v>
      </c>
      <c r="E10" s="11" t="s">
        <v>49</v>
      </c>
      <c r="F10" s="17"/>
      <c r="G10" s="6">
        <f t="shared" si="0"/>
        <v>0</v>
      </c>
    </row>
    <row r="11" spans="1:7" s="14" customFormat="1" ht="34.5" customHeight="1" x14ac:dyDescent="0.45">
      <c r="A11" s="15" t="s">
        <v>94</v>
      </c>
      <c r="B11" s="16" t="s">
        <v>23</v>
      </c>
      <c r="C11" s="11" t="s">
        <v>3</v>
      </c>
      <c r="D11" s="11">
        <v>8</v>
      </c>
      <c r="E11" s="11" t="s">
        <v>49</v>
      </c>
      <c r="F11" s="17"/>
      <c r="G11" s="6">
        <f>D11*F11</f>
        <v>0</v>
      </c>
    </row>
    <row r="12" spans="1:7" s="14" customFormat="1" ht="35.9" customHeight="1" x14ac:dyDescent="0.55000000000000004">
      <c r="A12" s="29" t="s">
        <v>15</v>
      </c>
      <c r="B12" s="30"/>
      <c r="C12" s="30"/>
      <c r="D12" s="30"/>
      <c r="E12" s="30"/>
      <c r="F12" s="30"/>
      <c r="G12" s="18"/>
    </row>
    <row r="13" spans="1:7" s="14" customFormat="1" ht="33" customHeight="1" x14ac:dyDescent="0.45">
      <c r="A13" s="20" t="s">
        <v>95</v>
      </c>
      <c r="B13" s="16" t="s">
        <v>18</v>
      </c>
      <c r="C13" s="11" t="s">
        <v>16</v>
      </c>
      <c r="D13" s="24">
        <v>65</v>
      </c>
      <c r="E13" s="11" t="s">
        <v>49</v>
      </c>
      <c r="F13" s="21"/>
      <c r="G13" s="7">
        <f t="shared" ref="G13:G19" si="1">D13*F13</f>
        <v>0</v>
      </c>
    </row>
    <row r="14" spans="1:7" s="14" customFormat="1" ht="36" customHeight="1" x14ac:dyDescent="0.45">
      <c r="A14" s="20" t="s">
        <v>96</v>
      </c>
      <c r="B14" s="16" t="s">
        <v>17</v>
      </c>
      <c r="C14" s="11" t="s">
        <v>16</v>
      </c>
      <c r="D14" s="24">
        <v>20</v>
      </c>
      <c r="E14" s="11" t="s">
        <v>49</v>
      </c>
      <c r="F14" s="21"/>
      <c r="G14" s="7">
        <f t="shared" si="1"/>
        <v>0</v>
      </c>
    </row>
    <row r="15" spans="1:7" s="14" customFormat="1" ht="37.4" customHeight="1" x14ac:dyDescent="0.45">
      <c r="A15" s="20" t="s">
        <v>97</v>
      </c>
      <c r="B15" s="16" t="s">
        <v>19</v>
      </c>
      <c r="C15" s="11" t="s">
        <v>16</v>
      </c>
      <c r="D15" s="24">
        <v>20</v>
      </c>
      <c r="E15" s="11" t="s">
        <v>49</v>
      </c>
      <c r="F15" s="21"/>
      <c r="G15" s="6">
        <f t="shared" si="1"/>
        <v>0</v>
      </c>
    </row>
    <row r="16" spans="1:7" s="14" customFormat="1" ht="36" customHeight="1" x14ac:dyDescent="0.45">
      <c r="A16" s="20" t="s">
        <v>98</v>
      </c>
      <c r="B16" s="16" t="s">
        <v>20</v>
      </c>
      <c r="C16" s="11" t="s">
        <v>16</v>
      </c>
      <c r="D16" s="24">
        <v>60</v>
      </c>
      <c r="E16" s="11" t="s">
        <v>49</v>
      </c>
      <c r="F16" s="21"/>
      <c r="G16" s="6">
        <f t="shared" si="1"/>
        <v>0</v>
      </c>
    </row>
    <row r="17" spans="1:7" s="14" customFormat="1" ht="37.4" customHeight="1" x14ac:dyDescent="0.45">
      <c r="A17" s="20" t="s">
        <v>99</v>
      </c>
      <c r="B17" s="16" t="s">
        <v>21</v>
      </c>
      <c r="C17" s="11" t="s">
        <v>3</v>
      </c>
      <c r="D17" s="24">
        <v>140</v>
      </c>
      <c r="E17" s="11" t="s">
        <v>49</v>
      </c>
      <c r="F17" s="21"/>
      <c r="G17" s="7">
        <f t="shared" si="1"/>
        <v>0</v>
      </c>
    </row>
    <row r="18" spans="1:7" s="14" customFormat="1" ht="35.9" customHeight="1" x14ac:dyDescent="0.45">
      <c r="A18" s="20" t="s">
        <v>100</v>
      </c>
      <c r="B18" s="16" t="s">
        <v>22</v>
      </c>
      <c r="C18" s="11" t="s">
        <v>16</v>
      </c>
      <c r="D18" s="24">
        <v>4</v>
      </c>
      <c r="E18" s="11" t="s">
        <v>49</v>
      </c>
      <c r="F18" s="17"/>
      <c r="G18" s="6">
        <f t="shared" si="1"/>
        <v>0</v>
      </c>
    </row>
    <row r="19" spans="1:7" s="14" customFormat="1" ht="34.5" customHeight="1" x14ac:dyDescent="0.45">
      <c r="A19" s="20" t="s">
        <v>101</v>
      </c>
      <c r="B19" s="16" t="s">
        <v>23</v>
      </c>
      <c r="C19" s="11" t="s">
        <v>3</v>
      </c>
      <c r="D19" s="24">
        <v>16</v>
      </c>
      <c r="E19" s="11" t="s">
        <v>49</v>
      </c>
      <c r="F19" s="17"/>
      <c r="G19" s="6">
        <f t="shared" si="1"/>
        <v>0</v>
      </c>
    </row>
    <row r="20" spans="1:7" s="14" customFormat="1" ht="35.9" customHeight="1" x14ac:dyDescent="0.45">
      <c r="A20" s="31" t="s">
        <v>11</v>
      </c>
      <c r="B20" s="32"/>
      <c r="C20" s="32"/>
      <c r="D20" s="32"/>
      <c r="E20" s="32"/>
      <c r="F20" s="32"/>
      <c r="G20" s="33"/>
    </row>
    <row r="21" spans="1:7" s="14" customFormat="1" ht="33" customHeight="1" x14ac:dyDescent="0.45">
      <c r="A21" s="20" t="s">
        <v>102</v>
      </c>
      <c r="B21" s="1" t="s">
        <v>14</v>
      </c>
      <c r="C21" s="11" t="s">
        <v>5</v>
      </c>
      <c r="D21" s="24">
        <v>1</v>
      </c>
      <c r="E21" s="11" t="s">
        <v>50</v>
      </c>
      <c r="F21" s="4"/>
      <c r="G21" s="7">
        <f>D21*F21</f>
        <v>0</v>
      </c>
    </row>
    <row r="22" spans="1:7" s="14" customFormat="1" ht="37.4" customHeight="1" thickBot="1" x14ac:dyDescent="0.5">
      <c r="A22" s="20" t="s">
        <v>103</v>
      </c>
      <c r="B22" s="3" t="s">
        <v>4</v>
      </c>
      <c r="C22" s="12" t="s">
        <v>5</v>
      </c>
      <c r="D22" s="12">
        <v>1</v>
      </c>
      <c r="E22" s="12" t="s">
        <v>50</v>
      </c>
      <c r="F22" s="5"/>
      <c r="G22" s="8">
        <f>D22*F22</f>
        <v>0</v>
      </c>
    </row>
    <row r="23" spans="1:7" s="14" customFormat="1" ht="36" customHeight="1" thickBot="1" x14ac:dyDescent="0.5">
      <c r="B23" s="22"/>
      <c r="C23" s="23"/>
      <c r="D23" s="23"/>
      <c r="F23" s="2" t="s">
        <v>104</v>
      </c>
      <c r="G23" s="9">
        <f>SUM(G5:G22)</f>
        <v>0</v>
      </c>
    </row>
    <row r="24" spans="1:7" s="14" customFormat="1" ht="37.4" customHeight="1" x14ac:dyDescent="0.45">
      <c r="A24"/>
      <c r="C24" s="13"/>
      <c r="D24" s="13"/>
      <c r="E24"/>
      <c r="F24"/>
      <c r="G24"/>
    </row>
    <row r="25" spans="1:7" s="14" customFormat="1" ht="34.5" customHeight="1" x14ac:dyDescent="0.45">
      <c r="A25"/>
      <c r="B25"/>
      <c r="C25" s="13"/>
      <c r="D25" s="13"/>
      <c r="E25"/>
      <c r="F25"/>
      <c r="G25"/>
    </row>
    <row r="26" spans="1:7" s="14" customFormat="1" ht="35.9" customHeight="1" x14ac:dyDescent="0.5">
      <c r="A26" s="25" t="s">
        <v>48</v>
      </c>
      <c r="B26" s="25"/>
      <c r="C26" s="25"/>
      <c r="D26" s="25"/>
      <c r="E26" s="25"/>
    </row>
    <row r="27" spans="1:7" s="14" customFormat="1" ht="33" customHeight="1" x14ac:dyDescent="0.45">
      <c r="A27" s="26" t="s">
        <v>25</v>
      </c>
      <c r="B27" s="26"/>
      <c r="C27" s="11" t="s">
        <v>3</v>
      </c>
      <c r="D27" s="24">
        <v>8</v>
      </c>
      <c r="E27" s="11" t="s">
        <v>49</v>
      </c>
    </row>
    <row r="28" spans="1:7" s="14" customFormat="1" ht="37.4" customHeight="1" x14ac:dyDescent="0.45">
      <c r="A28" s="26" t="s">
        <v>24</v>
      </c>
      <c r="B28" s="26"/>
      <c r="C28" s="11" t="s">
        <v>3</v>
      </c>
      <c r="D28" s="24">
        <v>3</v>
      </c>
      <c r="E28" s="11" t="s">
        <v>49</v>
      </c>
    </row>
    <row r="29" spans="1:7" s="14" customFormat="1" ht="34.5" customHeight="1" x14ac:dyDescent="0.45">
      <c r="A29"/>
      <c r="B29"/>
      <c r="C29" s="13"/>
      <c r="D29" s="13"/>
      <c r="E29"/>
      <c r="F29"/>
      <c r="G29"/>
    </row>
    <row r="30" spans="1:7" s="14" customFormat="1" ht="35.9" customHeight="1" x14ac:dyDescent="0.45">
      <c r="A30"/>
      <c r="B30"/>
      <c r="C30" s="13"/>
      <c r="D30" s="13"/>
      <c r="E30"/>
      <c r="F30"/>
      <c r="G30"/>
    </row>
    <row r="31" spans="1:7" s="14" customFormat="1" ht="33" customHeight="1" x14ac:dyDescent="0.45">
      <c r="A31"/>
      <c r="B31"/>
      <c r="C31" s="13"/>
      <c r="D31" s="13"/>
      <c r="E31"/>
      <c r="F31"/>
      <c r="G31"/>
    </row>
    <row r="32" spans="1:7" s="14" customFormat="1" ht="36" customHeight="1" x14ac:dyDescent="0.45">
      <c r="A32"/>
      <c r="B32"/>
      <c r="C32" s="13"/>
      <c r="D32" s="13"/>
      <c r="E32"/>
      <c r="F32"/>
      <c r="G32"/>
    </row>
    <row r="33" spans="1:7" s="14" customFormat="1" ht="37.4" customHeight="1" x14ac:dyDescent="0.45">
      <c r="A33"/>
      <c r="B33"/>
      <c r="C33" s="13"/>
      <c r="D33" s="13"/>
      <c r="E33"/>
      <c r="F33"/>
      <c r="G33"/>
    </row>
    <row r="34" spans="1:7" s="14" customFormat="1" ht="35.9" customHeight="1" x14ac:dyDescent="0.45">
      <c r="A34"/>
      <c r="B34"/>
      <c r="C34" s="13"/>
      <c r="D34" s="13"/>
      <c r="E34"/>
      <c r="F34"/>
      <c r="G34"/>
    </row>
    <row r="35" spans="1:7" s="14" customFormat="1" ht="35.9" customHeight="1" x14ac:dyDescent="0.45">
      <c r="A35"/>
      <c r="B35"/>
      <c r="C35" s="13"/>
      <c r="D35" s="13"/>
      <c r="E35"/>
      <c r="F35"/>
      <c r="G35"/>
    </row>
    <row r="36" spans="1:7" s="14" customFormat="1" ht="35.9" customHeight="1" x14ac:dyDescent="0.45">
      <c r="A36"/>
      <c r="B36"/>
      <c r="C36" s="13"/>
      <c r="D36" s="13"/>
      <c r="E36"/>
      <c r="F36"/>
      <c r="G36"/>
    </row>
    <row r="37" spans="1:7" s="19" customFormat="1" ht="35.9" customHeight="1" x14ac:dyDescent="0.6">
      <c r="A37"/>
      <c r="B37"/>
      <c r="C37" s="13"/>
      <c r="D37" s="13"/>
      <c r="E37"/>
      <c r="F37"/>
      <c r="G37"/>
    </row>
    <row r="38" spans="1:7" s="14" customFormat="1" ht="35.9" customHeight="1" x14ac:dyDescent="0.45">
      <c r="A38"/>
      <c r="B38"/>
      <c r="C38" s="13"/>
      <c r="D38" s="13"/>
      <c r="E38"/>
      <c r="F38"/>
      <c r="G38"/>
    </row>
    <row r="39" spans="1:7" s="14" customFormat="1" ht="37.4" customHeight="1" x14ac:dyDescent="0.45">
      <c r="A39"/>
      <c r="B39"/>
      <c r="C39" s="13"/>
      <c r="D39" s="13"/>
      <c r="E39"/>
      <c r="F39"/>
      <c r="G39"/>
    </row>
    <row r="40" spans="1:7" s="14" customFormat="1" ht="34.5" customHeight="1" x14ac:dyDescent="0.45">
      <c r="A40"/>
      <c r="B40"/>
      <c r="C40" s="13"/>
      <c r="D40" s="13"/>
      <c r="E40"/>
      <c r="F40"/>
      <c r="G40"/>
    </row>
    <row r="41" spans="1:7" s="14" customFormat="1" ht="34.5" customHeight="1" x14ac:dyDescent="0.45">
      <c r="A41"/>
      <c r="B41"/>
      <c r="C41" s="13"/>
      <c r="D41" s="13"/>
      <c r="E41"/>
      <c r="F41"/>
      <c r="G41"/>
    </row>
    <row r="42" spans="1:7" s="14" customFormat="1" ht="37.4" customHeight="1" x14ac:dyDescent="0.45">
      <c r="A42"/>
      <c r="B42"/>
      <c r="C42" s="13"/>
      <c r="D42" s="13"/>
      <c r="E42"/>
      <c r="F42"/>
      <c r="G42"/>
    </row>
    <row r="43" spans="1:7" s="14" customFormat="1" ht="34.5" customHeight="1" x14ac:dyDescent="0.45">
      <c r="A43"/>
      <c r="B43"/>
      <c r="C43" s="13"/>
      <c r="D43" s="13"/>
      <c r="E43"/>
      <c r="F43"/>
      <c r="G43"/>
    </row>
    <row r="44" spans="1:7" s="14" customFormat="1" ht="37.4" customHeight="1" x14ac:dyDescent="0.45">
      <c r="A44"/>
      <c r="B44"/>
      <c r="C44" s="13"/>
      <c r="D44" s="13"/>
      <c r="E44"/>
      <c r="F44"/>
      <c r="G44"/>
    </row>
    <row r="45" spans="1:7" s="14" customFormat="1" ht="34.5" customHeight="1" x14ac:dyDescent="0.45">
      <c r="A45"/>
      <c r="B45"/>
      <c r="C45" s="13"/>
      <c r="D45" s="13"/>
      <c r="E45"/>
      <c r="F45"/>
      <c r="G45"/>
    </row>
    <row r="46" spans="1:7" s="14" customFormat="1" ht="34.5" customHeight="1" x14ac:dyDescent="0.45">
      <c r="A46"/>
      <c r="B46"/>
      <c r="C46" s="13"/>
      <c r="D46" s="13"/>
      <c r="E46"/>
      <c r="F46"/>
      <c r="G46"/>
    </row>
    <row r="47" spans="1:7" s="19" customFormat="1" ht="37.4" customHeight="1" x14ac:dyDescent="0.6">
      <c r="A47"/>
      <c r="B47"/>
      <c r="C47" s="13"/>
      <c r="D47" s="13"/>
      <c r="E47"/>
      <c r="F47"/>
      <c r="G47"/>
    </row>
    <row r="48" spans="1:7" s="14" customFormat="1" ht="35.9" customHeight="1" x14ac:dyDescent="0.45">
      <c r="A48"/>
      <c r="B48"/>
      <c r="C48" s="13"/>
      <c r="D48" s="13"/>
      <c r="E48"/>
      <c r="F48"/>
      <c r="G48"/>
    </row>
    <row r="49" spans="1:7" s="14" customFormat="1" ht="31.5" customHeight="1" x14ac:dyDescent="0.45">
      <c r="A49"/>
      <c r="B49"/>
      <c r="C49" s="13"/>
      <c r="D49" s="13"/>
      <c r="E49"/>
      <c r="F49"/>
      <c r="G49"/>
    </row>
    <row r="50" spans="1:7" s="14" customFormat="1" ht="32.15" customHeight="1" x14ac:dyDescent="0.45">
      <c r="A50"/>
      <c r="B50"/>
      <c r="C50" s="13"/>
      <c r="D50" s="13"/>
      <c r="E50"/>
      <c r="F50"/>
      <c r="G50"/>
    </row>
  </sheetData>
  <mergeCells count="7">
    <mergeCell ref="A26:E26"/>
    <mergeCell ref="A27:B27"/>
    <mergeCell ref="A28:B28"/>
    <mergeCell ref="A1:G2"/>
    <mergeCell ref="A4:G4"/>
    <mergeCell ref="A12:F12"/>
    <mergeCell ref="A20:G20"/>
  </mergeCells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AD38-FA6E-498E-A65A-409A6FE2ABCF}">
  <dimension ref="A1:G50"/>
  <sheetViews>
    <sheetView zoomScaleNormal="100" workbookViewId="0">
      <selection activeCell="H3" sqref="H3"/>
    </sheetView>
  </sheetViews>
  <sheetFormatPr defaultRowHeight="14.5" x14ac:dyDescent="0.35"/>
  <cols>
    <col min="1" max="1" width="12.81640625" customWidth="1"/>
    <col min="2" max="2" width="75.54296875" bestFit="1" customWidth="1"/>
    <col min="3" max="3" width="8.81640625" style="13"/>
    <col min="4" max="4" width="18" style="13" customWidth="1"/>
    <col min="5" max="5" width="11.1796875" customWidth="1"/>
    <col min="6" max="6" width="24.54296875" customWidth="1"/>
    <col min="7" max="7" width="22.81640625" customWidth="1"/>
  </cols>
  <sheetData>
    <row r="1" spans="1:7" ht="15" thickBot="1" x14ac:dyDescent="0.4">
      <c r="A1" s="27" t="s">
        <v>105</v>
      </c>
      <c r="B1" s="27"/>
      <c r="C1" s="27"/>
      <c r="D1" s="27"/>
      <c r="E1" s="27"/>
      <c r="F1" s="27"/>
      <c r="G1" s="27"/>
    </row>
    <row r="2" spans="1:7" ht="15" thickBot="1" x14ac:dyDescent="0.4">
      <c r="A2" s="27"/>
      <c r="B2" s="27"/>
      <c r="C2" s="27"/>
      <c r="D2" s="27"/>
      <c r="E2" s="27"/>
      <c r="F2" s="27"/>
      <c r="G2" s="27"/>
    </row>
    <row r="3" spans="1:7" s="14" customFormat="1" ht="101.15" customHeight="1" thickBot="1" x14ac:dyDescent="0.5">
      <c r="A3" s="10" t="s">
        <v>10</v>
      </c>
      <c r="B3" s="10" t="s">
        <v>0</v>
      </c>
      <c r="C3" s="10" t="s">
        <v>1</v>
      </c>
      <c r="D3" s="10" t="s">
        <v>9</v>
      </c>
      <c r="E3" s="10" t="s">
        <v>2</v>
      </c>
      <c r="F3" s="10" t="s">
        <v>7</v>
      </c>
      <c r="G3" s="10" t="s">
        <v>8</v>
      </c>
    </row>
    <row r="4" spans="1:7" ht="30" customHeight="1" thickBot="1" x14ac:dyDescent="0.4">
      <c r="A4" s="28" t="s">
        <v>6</v>
      </c>
      <c r="B4" s="28"/>
      <c r="C4" s="28"/>
      <c r="D4" s="28"/>
      <c r="E4" s="28"/>
      <c r="F4" s="28"/>
      <c r="G4" s="28"/>
    </row>
    <row r="5" spans="1:7" s="14" customFormat="1" ht="37.5" customHeight="1" x14ac:dyDescent="0.45">
      <c r="A5" s="15" t="s">
        <v>106</v>
      </c>
      <c r="B5" s="16" t="s">
        <v>26</v>
      </c>
      <c r="C5" s="11" t="s">
        <v>16</v>
      </c>
      <c r="D5" s="11">
        <v>14</v>
      </c>
      <c r="E5" s="11" t="s">
        <v>49</v>
      </c>
      <c r="F5" s="17"/>
      <c r="G5" s="6">
        <f>D5*F5</f>
        <v>0</v>
      </c>
    </row>
    <row r="6" spans="1:7" s="14" customFormat="1" ht="37.5" customHeight="1" x14ac:dyDescent="0.45">
      <c r="A6" s="15" t="s">
        <v>107</v>
      </c>
      <c r="B6" s="16" t="s">
        <v>27</v>
      </c>
      <c r="C6" s="11" t="s">
        <v>16</v>
      </c>
      <c r="D6" s="11">
        <v>4</v>
      </c>
      <c r="E6" s="11" t="s">
        <v>49</v>
      </c>
      <c r="F6" s="17"/>
      <c r="G6" s="6">
        <f>D6*F6</f>
        <v>0</v>
      </c>
    </row>
    <row r="7" spans="1:7" s="14" customFormat="1" ht="36" customHeight="1" x14ac:dyDescent="0.45">
      <c r="A7" s="15" t="s">
        <v>108</v>
      </c>
      <c r="B7" s="16" t="s">
        <v>28</v>
      </c>
      <c r="C7" s="11" t="s">
        <v>16</v>
      </c>
      <c r="D7" s="11">
        <v>4</v>
      </c>
      <c r="E7" s="11" t="s">
        <v>49</v>
      </c>
      <c r="F7" s="17"/>
      <c r="G7" s="6">
        <f t="shared" ref="G7:G10" si="0">D7*F7</f>
        <v>0</v>
      </c>
    </row>
    <row r="8" spans="1:7" s="14" customFormat="1" ht="34.5" customHeight="1" x14ac:dyDescent="0.45">
      <c r="A8" s="15" t="s">
        <v>109</v>
      </c>
      <c r="B8" s="16" t="s">
        <v>29</v>
      </c>
      <c r="C8" s="11" t="s">
        <v>16</v>
      </c>
      <c r="D8" s="11">
        <v>33</v>
      </c>
      <c r="E8" s="11" t="s">
        <v>49</v>
      </c>
      <c r="F8" s="17"/>
      <c r="G8" s="6">
        <f t="shared" si="0"/>
        <v>0</v>
      </c>
    </row>
    <row r="9" spans="1:7" s="14" customFormat="1" ht="37.4" customHeight="1" x14ac:dyDescent="0.45">
      <c r="A9" s="15" t="s">
        <v>110</v>
      </c>
      <c r="B9" s="16" t="s">
        <v>30</v>
      </c>
      <c r="C9" s="11" t="s">
        <v>3</v>
      </c>
      <c r="D9" s="11">
        <v>70</v>
      </c>
      <c r="E9" s="11" t="s">
        <v>49</v>
      </c>
      <c r="F9" s="17"/>
      <c r="G9" s="6">
        <f t="shared" si="0"/>
        <v>0</v>
      </c>
    </row>
    <row r="10" spans="1:7" s="14" customFormat="1" ht="35.9" customHeight="1" x14ac:dyDescent="0.45">
      <c r="A10" s="15" t="s">
        <v>111</v>
      </c>
      <c r="B10" s="16" t="s">
        <v>31</v>
      </c>
      <c r="C10" s="11" t="s">
        <v>16</v>
      </c>
      <c r="D10" s="11">
        <v>4</v>
      </c>
      <c r="E10" s="11" t="s">
        <v>49</v>
      </c>
      <c r="F10" s="17"/>
      <c r="G10" s="6">
        <f t="shared" si="0"/>
        <v>0</v>
      </c>
    </row>
    <row r="11" spans="1:7" s="14" customFormat="1" ht="34.5" customHeight="1" x14ac:dyDescent="0.45">
      <c r="A11" s="15" t="s">
        <v>112</v>
      </c>
      <c r="B11" s="16" t="s">
        <v>23</v>
      </c>
      <c r="C11" s="11" t="s">
        <v>3</v>
      </c>
      <c r="D11" s="11">
        <v>8</v>
      </c>
      <c r="E11" s="11" t="s">
        <v>49</v>
      </c>
      <c r="F11" s="17"/>
      <c r="G11" s="6">
        <f>D11*F11</f>
        <v>0</v>
      </c>
    </row>
    <row r="12" spans="1:7" s="14" customFormat="1" ht="35.9" customHeight="1" x14ac:dyDescent="0.55000000000000004">
      <c r="A12" s="29" t="s">
        <v>15</v>
      </c>
      <c r="B12" s="30"/>
      <c r="C12" s="30"/>
      <c r="D12" s="30"/>
      <c r="E12" s="30"/>
      <c r="F12" s="30"/>
      <c r="G12" s="18"/>
    </row>
    <row r="13" spans="1:7" s="14" customFormat="1" ht="33" customHeight="1" x14ac:dyDescent="0.45">
      <c r="A13" s="20" t="s">
        <v>113</v>
      </c>
      <c r="B13" s="16" t="s">
        <v>18</v>
      </c>
      <c r="C13" s="11" t="s">
        <v>16</v>
      </c>
      <c r="D13" s="24">
        <v>65</v>
      </c>
      <c r="E13" s="11" t="s">
        <v>49</v>
      </c>
      <c r="F13" s="21"/>
      <c r="G13" s="7">
        <f t="shared" ref="G13:G19" si="1">D13*F13</f>
        <v>0</v>
      </c>
    </row>
    <row r="14" spans="1:7" s="14" customFormat="1" ht="36" customHeight="1" x14ac:dyDescent="0.45">
      <c r="A14" s="20" t="s">
        <v>114</v>
      </c>
      <c r="B14" s="16" t="s">
        <v>17</v>
      </c>
      <c r="C14" s="11" t="s">
        <v>16</v>
      </c>
      <c r="D14" s="24">
        <v>20</v>
      </c>
      <c r="E14" s="11" t="s">
        <v>49</v>
      </c>
      <c r="F14" s="21"/>
      <c r="G14" s="7">
        <f t="shared" si="1"/>
        <v>0</v>
      </c>
    </row>
    <row r="15" spans="1:7" s="14" customFormat="1" ht="37.4" customHeight="1" x14ac:dyDescent="0.45">
      <c r="A15" s="20" t="s">
        <v>115</v>
      </c>
      <c r="B15" s="16" t="s">
        <v>19</v>
      </c>
      <c r="C15" s="11" t="s">
        <v>16</v>
      </c>
      <c r="D15" s="24">
        <v>20</v>
      </c>
      <c r="E15" s="11" t="s">
        <v>49</v>
      </c>
      <c r="F15" s="21"/>
      <c r="G15" s="6">
        <f t="shared" si="1"/>
        <v>0</v>
      </c>
    </row>
    <row r="16" spans="1:7" s="14" customFormat="1" ht="36" customHeight="1" x14ac:dyDescent="0.45">
      <c r="A16" s="20" t="s">
        <v>116</v>
      </c>
      <c r="B16" s="16" t="s">
        <v>20</v>
      </c>
      <c r="C16" s="11" t="s">
        <v>16</v>
      </c>
      <c r="D16" s="24">
        <v>60</v>
      </c>
      <c r="E16" s="11" t="s">
        <v>49</v>
      </c>
      <c r="F16" s="21"/>
      <c r="G16" s="6">
        <f t="shared" si="1"/>
        <v>0</v>
      </c>
    </row>
    <row r="17" spans="1:7" s="14" customFormat="1" ht="37.4" customHeight="1" x14ac:dyDescent="0.45">
      <c r="A17" s="20" t="s">
        <v>117</v>
      </c>
      <c r="B17" s="16" t="s">
        <v>21</v>
      </c>
      <c r="C17" s="11" t="s">
        <v>3</v>
      </c>
      <c r="D17" s="24">
        <v>140</v>
      </c>
      <c r="E17" s="11" t="s">
        <v>49</v>
      </c>
      <c r="F17" s="21"/>
      <c r="G17" s="7">
        <f t="shared" si="1"/>
        <v>0</v>
      </c>
    </row>
    <row r="18" spans="1:7" s="14" customFormat="1" ht="35.9" customHeight="1" x14ac:dyDescent="0.45">
      <c r="A18" s="20" t="s">
        <v>118</v>
      </c>
      <c r="B18" s="16" t="s">
        <v>22</v>
      </c>
      <c r="C18" s="11" t="s">
        <v>16</v>
      </c>
      <c r="D18" s="24">
        <v>4</v>
      </c>
      <c r="E18" s="11" t="s">
        <v>49</v>
      </c>
      <c r="F18" s="17"/>
      <c r="G18" s="6">
        <f t="shared" si="1"/>
        <v>0</v>
      </c>
    </row>
    <row r="19" spans="1:7" s="14" customFormat="1" ht="34.5" customHeight="1" x14ac:dyDescent="0.45">
      <c r="A19" s="20" t="s">
        <v>119</v>
      </c>
      <c r="B19" s="16" t="s">
        <v>23</v>
      </c>
      <c r="C19" s="11" t="s">
        <v>3</v>
      </c>
      <c r="D19" s="24">
        <v>16</v>
      </c>
      <c r="E19" s="11" t="s">
        <v>49</v>
      </c>
      <c r="F19" s="17"/>
      <c r="G19" s="6">
        <f t="shared" si="1"/>
        <v>0</v>
      </c>
    </row>
    <row r="20" spans="1:7" s="14" customFormat="1" ht="35.9" customHeight="1" x14ac:dyDescent="0.45">
      <c r="A20" s="31" t="s">
        <v>11</v>
      </c>
      <c r="B20" s="32"/>
      <c r="C20" s="32"/>
      <c r="D20" s="32"/>
      <c r="E20" s="32"/>
      <c r="F20" s="32"/>
      <c r="G20" s="33"/>
    </row>
    <row r="21" spans="1:7" s="14" customFormat="1" ht="33" customHeight="1" x14ac:dyDescent="0.45">
      <c r="A21" s="20" t="s">
        <v>120</v>
      </c>
      <c r="B21" s="1" t="s">
        <v>14</v>
      </c>
      <c r="C21" s="11" t="s">
        <v>5</v>
      </c>
      <c r="D21" s="24">
        <v>1</v>
      </c>
      <c r="E21" s="11" t="s">
        <v>50</v>
      </c>
      <c r="F21" s="4"/>
      <c r="G21" s="7">
        <f>D21*F21</f>
        <v>0</v>
      </c>
    </row>
    <row r="22" spans="1:7" s="14" customFormat="1" ht="37.4" customHeight="1" thickBot="1" x14ac:dyDescent="0.5">
      <c r="A22" s="20" t="s">
        <v>121</v>
      </c>
      <c r="B22" s="3" t="s">
        <v>4</v>
      </c>
      <c r="C22" s="12" t="s">
        <v>5</v>
      </c>
      <c r="D22" s="12">
        <v>1</v>
      </c>
      <c r="E22" s="12" t="s">
        <v>50</v>
      </c>
      <c r="F22" s="5"/>
      <c r="G22" s="8">
        <f>D22*F22</f>
        <v>0</v>
      </c>
    </row>
    <row r="23" spans="1:7" s="14" customFormat="1" ht="36" customHeight="1" thickBot="1" x14ac:dyDescent="0.5">
      <c r="B23" s="22"/>
      <c r="C23" s="23"/>
      <c r="D23" s="23"/>
      <c r="F23" s="2" t="s">
        <v>122</v>
      </c>
      <c r="G23" s="9">
        <f>SUM(G5:G22)</f>
        <v>0</v>
      </c>
    </row>
    <row r="24" spans="1:7" s="14" customFormat="1" ht="37.4" customHeight="1" x14ac:dyDescent="0.45">
      <c r="A24"/>
      <c r="C24" s="13"/>
      <c r="D24" s="13"/>
      <c r="E24"/>
      <c r="F24"/>
      <c r="G24"/>
    </row>
    <row r="25" spans="1:7" s="14" customFormat="1" ht="34.5" customHeight="1" x14ac:dyDescent="0.45">
      <c r="A25"/>
      <c r="B25"/>
      <c r="C25" s="13"/>
      <c r="D25" s="13"/>
      <c r="E25"/>
      <c r="F25"/>
      <c r="G25"/>
    </row>
    <row r="26" spans="1:7" s="14" customFormat="1" ht="35.9" customHeight="1" x14ac:dyDescent="0.5">
      <c r="A26" s="25" t="s">
        <v>48</v>
      </c>
      <c r="B26" s="25"/>
      <c r="C26" s="25"/>
      <c r="D26" s="25"/>
      <c r="E26" s="25"/>
    </row>
    <row r="27" spans="1:7" s="14" customFormat="1" ht="33" customHeight="1" x14ac:dyDescent="0.45">
      <c r="A27" s="26" t="s">
        <v>25</v>
      </c>
      <c r="B27" s="26"/>
      <c r="C27" s="11" t="s">
        <v>3</v>
      </c>
      <c r="D27" s="24">
        <v>8</v>
      </c>
      <c r="E27" s="11" t="s">
        <v>49</v>
      </c>
    </row>
    <row r="28" spans="1:7" s="14" customFormat="1" ht="37.4" customHeight="1" x14ac:dyDescent="0.45">
      <c r="A28" s="26" t="s">
        <v>24</v>
      </c>
      <c r="B28" s="26"/>
      <c r="C28" s="11" t="s">
        <v>3</v>
      </c>
      <c r="D28" s="24">
        <v>3</v>
      </c>
      <c r="E28" s="11" t="s">
        <v>49</v>
      </c>
    </row>
    <row r="29" spans="1:7" s="14" customFormat="1" ht="34.5" customHeight="1" x14ac:dyDescent="0.45">
      <c r="A29"/>
      <c r="B29"/>
      <c r="C29" s="13"/>
      <c r="D29" s="13"/>
      <c r="E29"/>
      <c r="F29"/>
      <c r="G29"/>
    </row>
    <row r="30" spans="1:7" s="14" customFormat="1" ht="35.9" customHeight="1" x14ac:dyDescent="0.45">
      <c r="A30"/>
      <c r="B30"/>
      <c r="C30" s="13"/>
      <c r="D30" s="13"/>
      <c r="E30"/>
      <c r="F30"/>
      <c r="G30"/>
    </row>
    <row r="31" spans="1:7" s="14" customFormat="1" ht="33" customHeight="1" x14ac:dyDescent="0.45">
      <c r="A31"/>
      <c r="B31"/>
      <c r="C31" s="13"/>
      <c r="D31" s="13"/>
      <c r="E31"/>
      <c r="F31"/>
      <c r="G31"/>
    </row>
    <row r="32" spans="1:7" s="14" customFormat="1" ht="36" customHeight="1" x14ac:dyDescent="0.45">
      <c r="A32"/>
      <c r="B32"/>
      <c r="C32" s="13"/>
      <c r="D32" s="13"/>
      <c r="E32"/>
      <c r="F32"/>
      <c r="G32"/>
    </row>
    <row r="33" spans="1:7" s="14" customFormat="1" ht="37.4" customHeight="1" x14ac:dyDescent="0.45">
      <c r="A33"/>
      <c r="B33"/>
      <c r="C33" s="13"/>
      <c r="D33" s="13"/>
      <c r="E33"/>
      <c r="F33"/>
      <c r="G33"/>
    </row>
    <row r="34" spans="1:7" s="14" customFormat="1" ht="35.9" customHeight="1" x14ac:dyDescent="0.45">
      <c r="A34"/>
      <c r="B34"/>
      <c r="C34" s="13"/>
      <c r="D34" s="13"/>
      <c r="E34"/>
      <c r="F34"/>
      <c r="G34"/>
    </row>
    <row r="35" spans="1:7" s="14" customFormat="1" ht="35.9" customHeight="1" x14ac:dyDescent="0.45">
      <c r="A35"/>
      <c r="B35"/>
      <c r="C35" s="13"/>
      <c r="D35" s="13"/>
      <c r="E35"/>
      <c r="F35"/>
      <c r="G35"/>
    </row>
    <row r="36" spans="1:7" s="14" customFormat="1" ht="35.9" customHeight="1" x14ac:dyDescent="0.45">
      <c r="A36"/>
      <c r="B36"/>
      <c r="C36" s="13"/>
      <c r="D36" s="13"/>
      <c r="E36"/>
      <c r="F36"/>
      <c r="G36"/>
    </row>
    <row r="37" spans="1:7" s="19" customFormat="1" ht="35.9" customHeight="1" x14ac:dyDescent="0.6">
      <c r="A37"/>
      <c r="B37"/>
      <c r="C37" s="13"/>
      <c r="D37" s="13"/>
      <c r="E37"/>
      <c r="F37"/>
      <c r="G37"/>
    </row>
    <row r="38" spans="1:7" s="14" customFormat="1" ht="35.9" customHeight="1" x14ac:dyDescent="0.45">
      <c r="A38"/>
      <c r="B38"/>
      <c r="C38" s="13"/>
      <c r="D38" s="13"/>
      <c r="E38"/>
      <c r="F38"/>
      <c r="G38"/>
    </row>
    <row r="39" spans="1:7" s="14" customFormat="1" ht="37.4" customHeight="1" x14ac:dyDescent="0.45">
      <c r="A39"/>
      <c r="B39"/>
      <c r="C39" s="13"/>
      <c r="D39" s="13"/>
      <c r="E39"/>
      <c r="F39"/>
      <c r="G39"/>
    </row>
    <row r="40" spans="1:7" s="14" customFormat="1" ht="34.5" customHeight="1" x14ac:dyDescent="0.45">
      <c r="A40"/>
      <c r="B40"/>
      <c r="C40" s="13"/>
      <c r="D40" s="13"/>
      <c r="E40"/>
      <c r="F40"/>
      <c r="G40"/>
    </row>
    <row r="41" spans="1:7" s="14" customFormat="1" ht="34.5" customHeight="1" x14ac:dyDescent="0.45">
      <c r="A41"/>
      <c r="B41"/>
      <c r="C41" s="13"/>
      <c r="D41" s="13"/>
      <c r="E41"/>
      <c r="F41"/>
      <c r="G41"/>
    </row>
    <row r="42" spans="1:7" s="14" customFormat="1" ht="37.4" customHeight="1" x14ac:dyDescent="0.45">
      <c r="A42"/>
      <c r="B42"/>
      <c r="C42" s="13"/>
      <c r="D42" s="13"/>
      <c r="E42"/>
      <c r="F42"/>
      <c r="G42"/>
    </row>
    <row r="43" spans="1:7" s="14" customFormat="1" ht="34.5" customHeight="1" x14ac:dyDescent="0.45">
      <c r="A43"/>
      <c r="B43"/>
      <c r="C43" s="13"/>
      <c r="D43" s="13"/>
      <c r="E43"/>
      <c r="F43"/>
      <c r="G43"/>
    </row>
    <row r="44" spans="1:7" s="14" customFormat="1" ht="37.4" customHeight="1" x14ac:dyDescent="0.45">
      <c r="A44"/>
      <c r="B44"/>
      <c r="C44" s="13"/>
      <c r="D44" s="13"/>
      <c r="E44"/>
      <c r="F44"/>
      <c r="G44"/>
    </row>
    <row r="45" spans="1:7" s="14" customFormat="1" ht="34.5" customHeight="1" x14ac:dyDescent="0.45">
      <c r="A45"/>
      <c r="B45"/>
      <c r="C45" s="13"/>
      <c r="D45" s="13"/>
      <c r="E45"/>
      <c r="F45"/>
      <c r="G45"/>
    </row>
    <row r="46" spans="1:7" s="14" customFormat="1" ht="34.5" customHeight="1" x14ac:dyDescent="0.45">
      <c r="A46"/>
      <c r="B46"/>
      <c r="C46" s="13"/>
      <c r="D46" s="13"/>
      <c r="E46"/>
      <c r="F46"/>
      <c r="G46"/>
    </row>
    <row r="47" spans="1:7" s="19" customFormat="1" ht="37.4" customHeight="1" x14ac:dyDescent="0.6">
      <c r="A47"/>
      <c r="B47"/>
      <c r="C47" s="13"/>
      <c r="D47" s="13"/>
      <c r="E47"/>
      <c r="F47"/>
      <c r="G47"/>
    </row>
    <row r="48" spans="1:7" s="14" customFormat="1" ht="35.9" customHeight="1" x14ac:dyDescent="0.45">
      <c r="A48"/>
      <c r="B48"/>
      <c r="C48" s="13"/>
      <c r="D48" s="13"/>
      <c r="E48"/>
      <c r="F48"/>
      <c r="G48"/>
    </row>
    <row r="49" spans="1:7" s="14" customFormat="1" ht="31.5" customHeight="1" x14ac:dyDescent="0.45">
      <c r="A49"/>
      <c r="B49"/>
      <c r="C49" s="13"/>
      <c r="D49" s="13"/>
      <c r="E49"/>
      <c r="F49"/>
      <c r="G49"/>
    </row>
    <row r="50" spans="1:7" s="14" customFormat="1" ht="32.15" customHeight="1" x14ac:dyDescent="0.45">
      <c r="A50"/>
      <c r="B50"/>
      <c r="C50" s="13"/>
      <c r="D50" s="13"/>
      <c r="E50"/>
      <c r="F50"/>
      <c r="G50"/>
    </row>
  </sheetData>
  <mergeCells count="7">
    <mergeCell ref="A26:E26"/>
    <mergeCell ref="A27:B27"/>
    <mergeCell ref="A28:B28"/>
    <mergeCell ref="A1:G2"/>
    <mergeCell ref="A4:G4"/>
    <mergeCell ref="A12:F12"/>
    <mergeCell ref="A20:G20"/>
  </mergeCells>
  <phoneticPr fontId="2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C8687C-B355-4157-8D93-3C730E4A914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DE78C3C-8DEA-4951-8C25-14E2B216A3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AACA8C-04C4-4E1E-9970-CDEA2FD367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 Year</vt:lpstr>
      <vt:lpstr>Option Year 1</vt:lpstr>
      <vt:lpstr>Option Year 2</vt:lpstr>
      <vt:lpstr>Option Year 3</vt:lpstr>
      <vt:lpstr>Option Year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Cantu, Dayna K.</dc:creator>
  <cp:lastModifiedBy>Cantu, Dayna K.</cp:lastModifiedBy>
  <cp:lastPrinted>2025-06-09T22:24:34Z</cp:lastPrinted>
  <dcterms:created xsi:type="dcterms:W3CDTF">2024-12-12T14:58:03Z</dcterms:created>
  <dcterms:modified xsi:type="dcterms:W3CDTF">2026-04-29T15:02:33Z</dcterms:modified>
</cp:coreProperties>
</file>