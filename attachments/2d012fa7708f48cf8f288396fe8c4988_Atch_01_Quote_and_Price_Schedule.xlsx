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cquisitions\Contract files\Option Year Contracts\44041738_DEPO Janitorial\B_Solicitation\"/>
    </mc:Choice>
  </mc:AlternateContent>
  <xr:revisionPtr revIDLastSave="0" documentId="13_ncr:1_{104760A4-25BF-406E-B6B4-581C0F36137F}" xr6:coauthVersionLast="47" xr6:coauthVersionMax="47" xr10:uidLastSave="{00000000-0000-0000-0000-000000000000}"/>
  <bookViews>
    <workbookView xWindow="1125" yWindow="1125" windowWidth="28800" windowHeight="15345" xr2:uid="{F4F35914-7C5C-4D80-8F26-4AE16B1D9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7" i="1"/>
  <c r="F14" i="1"/>
  <c r="F19" i="1"/>
  <c r="F18" i="1"/>
  <c r="F16" i="1"/>
  <c r="F15" i="1"/>
  <c r="F13" i="1"/>
  <c r="F12" i="1"/>
  <c r="F10" i="1"/>
  <c r="F9" i="1"/>
  <c r="F11" i="1" s="1"/>
  <c r="F7" i="1"/>
  <c r="F6" i="1"/>
  <c r="F8" i="1" l="1"/>
  <c r="F21" i="1"/>
</calcChain>
</file>

<file path=xl/sharedStrings.xml><?xml version="1.0" encoding="utf-8"?>
<sst xmlns="http://schemas.openxmlformats.org/spreadsheetml/2006/main" count="37" uniqueCount="28">
  <si>
    <t xml:space="preserve">LINE ITEM NO. </t>
  </si>
  <si>
    <r>
      <t>ITEM DECSRIPTION</t>
    </r>
    <r>
      <rPr>
        <sz val="12"/>
        <color rgb="FF000000"/>
        <rFont val="Times New Roman"/>
        <family val="1"/>
      </rPr>
      <t xml:space="preserve"> </t>
    </r>
  </si>
  <si>
    <r>
      <t>UNIT OF ISSUE</t>
    </r>
    <r>
      <rPr>
        <sz val="12"/>
        <color rgb="FF000000"/>
        <rFont val="Times New Roman"/>
        <family val="1"/>
      </rPr>
      <t xml:space="preserve"> </t>
    </r>
  </si>
  <si>
    <t>Day</t>
  </si>
  <si>
    <t>UNIT PRICE</t>
  </si>
  <si>
    <t>*QTY</t>
  </si>
  <si>
    <t>Price Schedule</t>
  </si>
  <si>
    <t>Attachment 01</t>
  </si>
  <si>
    <t>Base Year - Public Restrooms (serviced daily)</t>
  </si>
  <si>
    <t>Base Year - Community Building (serviced weekly)</t>
  </si>
  <si>
    <t>Option Year 1 - Public Restrooms (serviced daily)</t>
  </si>
  <si>
    <t>Option Year 1 - Community Building (serviced weekly)</t>
  </si>
  <si>
    <t>Option Year 2 - Public Restrooms (serviced daily)</t>
  </si>
  <si>
    <t>Option Year 2 - Community Building (serviced weekly)</t>
  </si>
  <si>
    <t>Option Year 3 - Public Restrooms (serviced daily)</t>
  </si>
  <si>
    <t>Option Year 3 - Community Building (serviced weekly)</t>
  </si>
  <si>
    <t>Option Year 4 - Public Restrooms (serviced daily)</t>
  </si>
  <si>
    <t>Option Year 4 - Community Building (serviced weekly)</t>
  </si>
  <si>
    <t>DEVILS POSTPILE NATIONAL MONUMENT – CUSTODIAL SERVICES</t>
  </si>
  <si>
    <t xml:space="preserve">*The annual performance period is approximately 17-22 weeks and is dependent upon weather. For the purpose of price comparison, a 22 week performance period is used above.  Actual work will be scheduled between the Contractor and the COR yearly. </t>
  </si>
  <si>
    <t>TOTAL FOR SERVICE</t>
  </si>
  <si>
    <t>Instructions: Offerors must complete highlighted fields shown below. Failure to submit pricing for all items may render the offer non-responsive. If no specific line item exists for a portion of the work, include the costs in a related item. In case of error in summation, the total of the corrected amount (qty x unit price) governs. Pricing must be rounded to two decimal places.</t>
  </si>
  <si>
    <t>Total Base Year</t>
  </si>
  <si>
    <t>Total Option Year 1</t>
  </si>
  <si>
    <t>Total Option Year 2</t>
  </si>
  <si>
    <t>Total Option Year 3</t>
  </si>
  <si>
    <t>Total Option Year 4</t>
  </si>
  <si>
    <t>TOTAL CONTRACT VALUE (base + all options)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</si>
</sst>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b/>
      <sz val="12"/>
      <name val="Times New Roman"/>
      <family val="1"/>
    </font>
    <font>
      <i/>
      <sz val="12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justify" vertical="center"/>
    </xf>
    <xf numFmtId="4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6" fillId="2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1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4" fontId="9" fillId="3" borderId="1" xfId="1" applyFont="1" applyFill="1" applyBorder="1" applyAlignment="1">
      <alignment horizontal="center" vertical="center"/>
    </xf>
    <xf numFmtId="44" fontId="9" fillId="3" borderId="3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0FF2-F759-4611-9D8F-C6E33D58410B}">
  <sheetPr>
    <pageSetUpPr fitToPage="1"/>
  </sheetPr>
  <dimension ref="A1:G24"/>
  <sheetViews>
    <sheetView tabSelected="1" zoomScale="90" zoomScaleNormal="90" workbookViewId="0">
      <selection activeCell="K6" sqref="K6"/>
    </sheetView>
  </sheetViews>
  <sheetFormatPr defaultRowHeight="15" x14ac:dyDescent="0.25"/>
  <cols>
    <col min="1" max="1" width="10.5703125" customWidth="1"/>
    <col min="2" max="2" width="65.7109375" customWidth="1"/>
    <col min="4" max="4" width="10.85546875" customWidth="1"/>
    <col min="5" max="5" width="13.42578125" customWidth="1"/>
    <col min="6" max="6" width="15.42578125" customWidth="1"/>
    <col min="7" max="7" width="12.140625" bestFit="1" customWidth="1"/>
  </cols>
  <sheetData>
    <row r="1" spans="1:7" ht="15.75" x14ac:dyDescent="0.25">
      <c r="A1" s="19" t="s">
        <v>7</v>
      </c>
      <c r="B1" s="19"/>
      <c r="C1" s="19"/>
      <c r="D1" s="19"/>
      <c r="E1" s="19"/>
      <c r="F1" s="19"/>
    </row>
    <row r="2" spans="1:7" ht="15.75" x14ac:dyDescent="0.25">
      <c r="A2" s="14" t="s">
        <v>18</v>
      </c>
      <c r="B2" s="14"/>
      <c r="C2" s="14"/>
      <c r="D2" s="14"/>
      <c r="E2" s="14"/>
      <c r="F2" s="14"/>
    </row>
    <row r="3" spans="1:7" ht="15.75" x14ac:dyDescent="0.25">
      <c r="A3" s="14" t="s">
        <v>6</v>
      </c>
      <c r="B3" s="14"/>
      <c r="C3" s="14"/>
      <c r="D3" s="14"/>
      <c r="E3" s="14"/>
      <c r="F3" s="14"/>
    </row>
    <row r="4" spans="1:7" ht="55.5" customHeight="1" x14ac:dyDescent="0.25">
      <c r="A4" s="20" t="s">
        <v>21</v>
      </c>
      <c r="B4" s="20"/>
      <c r="C4" s="20"/>
      <c r="D4" s="20"/>
      <c r="E4" s="20"/>
      <c r="F4" s="20"/>
    </row>
    <row r="5" spans="1:7" ht="47.25" x14ac:dyDescent="0.25">
      <c r="A5" s="7" t="s">
        <v>0</v>
      </c>
      <c r="B5" s="7" t="s">
        <v>1</v>
      </c>
      <c r="C5" s="7" t="s">
        <v>5</v>
      </c>
      <c r="D5" s="7" t="s">
        <v>2</v>
      </c>
      <c r="E5" s="7" t="s">
        <v>4</v>
      </c>
      <c r="F5" s="13" t="s">
        <v>20</v>
      </c>
    </row>
    <row r="6" spans="1:7" ht="15.75" x14ac:dyDescent="0.25">
      <c r="A6" s="14">
        <v>10</v>
      </c>
      <c r="B6" s="4" t="s">
        <v>8</v>
      </c>
      <c r="C6" s="3">
        <v>154</v>
      </c>
      <c r="D6" s="1" t="s">
        <v>3</v>
      </c>
      <c r="E6" s="12"/>
      <c r="F6" s="2">
        <f>(C6*E6)</f>
        <v>0</v>
      </c>
      <c r="G6" s="6"/>
    </row>
    <row r="7" spans="1:7" ht="15.75" x14ac:dyDescent="0.25">
      <c r="A7" s="14"/>
      <c r="B7" s="5" t="s">
        <v>9</v>
      </c>
      <c r="C7" s="3">
        <v>22</v>
      </c>
      <c r="D7" s="1" t="s">
        <v>3</v>
      </c>
      <c r="E7" s="12"/>
      <c r="F7" s="2">
        <f t="shared" ref="F7:F19" si="0">(C7*E7)</f>
        <v>0</v>
      </c>
    </row>
    <row r="8" spans="1:7" ht="15.75" x14ac:dyDescent="0.25">
      <c r="A8" s="14"/>
      <c r="B8" s="18" t="s">
        <v>22</v>
      </c>
      <c r="C8" s="18"/>
      <c r="D8" s="18"/>
      <c r="E8" s="18"/>
      <c r="F8" s="15">
        <f>SUM(F6:F7)</f>
        <v>0</v>
      </c>
    </row>
    <row r="9" spans="1:7" ht="15.75" x14ac:dyDescent="0.25">
      <c r="A9" s="14">
        <v>20</v>
      </c>
      <c r="B9" s="4" t="s">
        <v>10</v>
      </c>
      <c r="C9" s="3">
        <v>154</v>
      </c>
      <c r="D9" s="1" t="s">
        <v>3</v>
      </c>
      <c r="E9" s="12"/>
      <c r="F9" s="2">
        <f t="shared" si="0"/>
        <v>0</v>
      </c>
    </row>
    <row r="10" spans="1:7" ht="15.75" x14ac:dyDescent="0.25">
      <c r="A10" s="14"/>
      <c r="B10" s="5" t="s">
        <v>11</v>
      </c>
      <c r="C10" s="3">
        <v>22</v>
      </c>
      <c r="D10" s="1" t="s">
        <v>3</v>
      </c>
      <c r="E10" s="12"/>
      <c r="F10" s="2">
        <f t="shared" si="0"/>
        <v>0</v>
      </c>
    </row>
    <row r="11" spans="1:7" ht="15.75" x14ac:dyDescent="0.25">
      <c r="A11" s="14"/>
      <c r="B11" s="18" t="s">
        <v>23</v>
      </c>
      <c r="C11" s="18"/>
      <c r="D11" s="18"/>
      <c r="E11" s="18"/>
      <c r="F11" s="15">
        <f>SUM(F9:F10)</f>
        <v>0</v>
      </c>
    </row>
    <row r="12" spans="1:7" ht="15.75" x14ac:dyDescent="0.25">
      <c r="A12" s="14">
        <v>30</v>
      </c>
      <c r="B12" s="4" t="s">
        <v>12</v>
      </c>
      <c r="C12" s="3">
        <v>154</v>
      </c>
      <c r="D12" s="1" t="s">
        <v>3</v>
      </c>
      <c r="E12" s="12"/>
      <c r="F12" s="2">
        <f t="shared" si="0"/>
        <v>0</v>
      </c>
    </row>
    <row r="13" spans="1:7" ht="15.75" x14ac:dyDescent="0.25">
      <c r="A13" s="14"/>
      <c r="B13" s="5" t="s">
        <v>13</v>
      </c>
      <c r="C13" s="3">
        <v>22</v>
      </c>
      <c r="D13" s="1" t="s">
        <v>3</v>
      </c>
      <c r="E13" s="12"/>
      <c r="F13" s="2">
        <f t="shared" si="0"/>
        <v>0</v>
      </c>
    </row>
    <row r="14" spans="1:7" ht="15.75" x14ac:dyDescent="0.25">
      <c r="A14" s="14"/>
      <c r="B14" s="18" t="s">
        <v>24</v>
      </c>
      <c r="C14" s="18"/>
      <c r="D14" s="18"/>
      <c r="E14" s="18"/>
      <c r="F14" s="15">
        <f>SUM(F12:F13)</f>
        <v>0</v>
      </c>
    </row>
    <row r="15" spans="1:7" ht="15.75" x14ac:dyDescent="0.25">
      <c r="A15" s="14">
        <v>40</v>
      </c>
      <c r="B15" s="4" t="s">
        <v>14</v>
      </c>
      <c r="C15" s="3">
        <v>154</v>
      </c>
      <c r="D15" s="1" t="s">
        <v>3</v>
      </c>
      <c r="E15" s="12"/>
      <c r="F15" s="2">
        <f t="shared" si="0"/>
        <v>0</v>
      </c>
    </row>
    <row r="16" spans="1:7" ht="15.75" x14ac:dyDescent="0.25">
      <c r="A16" s="14"/>
      <c r="B16" s="5" t="s">
        <v>15</v>
      </c>
      <c r="C16" s="3">
        <v>22</v>
      </c>
      <c r="D16" s="1" t="s">
        <v>3</v>
      </c>
      <c r="E16" s="12"/>
      <c r="F16" s="2">
        <f t="shared" si="0"/>
        <v>0</v>
      </c>
    </row>
    <row r="17" spans="1:6" ht="15.75" x14ac:dyDescent="0.25">
      <c r="A17" s="14"/>
      <c r="B17" s="18" t="s">
        <v>25</v>
      </c>
      <c r="C17" s="18"/>
      <c r="D17" s="18"/>
      <c r="E17" s="18"/>
      <c r="F17" s="15">
        <f>SUM(F15:F16)</f>
        <v>0</v>
      </c>
    </row>
    <row r="18" spans="1:6" ht="15.75" x14ac:dyDescent="0.25">
      <c r="A18" s="14">
        <v>50</v>
      </c>
      <c r="B18" s="4" t="s">
        <v>16</v>
      </c>
      <c r="C18" s="3">
        <v>154</v>
      </c>
      <c r="D18" s="1" t="s">
        <v>3</v>
      </c>
      <c r="E18" s="12"/>
      <c r="F18" s="2">
        <f t="shared" si="0"/>
        <v>0</v>
      </c>
    </row>
    <row r="19" spans="1:6" ht="15.75" x14ac:dyDescent="0.25">
      <c r="A19" s="14"/>
      <c r="B19" s="5" t="s">
        <v>17</v>
      </c>
      <c r="C19" s="3">
        <v>22</v>
      </c>
      <c r="D19" s="1" t="s">
        <v>3</v>
      </c>
      <c r="E19" s="12"/>
      <c r="F19" s="2">
        <f t="shared" si="0"/>
        <v>0</v>
      </c>
    </row>
    <row r="20" spans="1:6" ht="15.75" x14ac:dyDescent="0.25">
      <c r="A20" s="14"/>
      <c r="B20" s="18" t="s">
        <v>26</v>
      </c>
      <c r="C20" s="18"/>
      <c r="D20" s="18"/>
      <c r="E20" s="18"/>
      <c r="F20" s="16">
        <f>SUM(F18:F19)</f>
        <v>0</v>
      </c>
    </row>
    <row r="21" spans="1:6" ht="15.75" x14ac:dyDescent="0.25">
      <c r="A21" s="17" t="s">
        <v>27</v>
      </c>
      <c r="B21" s="17"/>
      <c r="C21" s="17"/>
      <c r="D21" s="17"/>
      <c r="E21" s="17"/>
      <c r="F21" s="8">
        <f>SUM(F8,F11,F14,F17,F20)</f>
        <v>0</v>
      </c>
    </row>
    <row r="22" spans="1:6" ht="15.75" customHeight="1" x14ac:dyDescent="0.25">
      <c r="A22" s="11"/>
      <c r="B22" s="11"/>
      <c r="C22" s="11"/>
      <c r="D22" s="11"/>
      <c r="E22" s="11"/>
      <c r="F22" s="11"/>
    </row>
    <row r="23" spans="1:6" ht="33" customHeight="1" x14ac:dyDescent="0.25">
      <c r="A23" s="10" t="s">
        <v>19</v>
      </c>
      <c r="B23" s="10"/>
      <c r="C23" s="10"/>
      <c r="D23" s="10"/>
      <c r="E23" s="10"/>
      <c r="F23" s="10"/>
    </row>
    <row r="24" spans="1:6" ht="15.75" x14ac:dyDescent="0.25">
      <c r="A24" s="9"/>
      <c r="B24" s="9"/>
      <c r="C24" s="9"/>
      <c r="D24" s="9"/>
      <c r="E24" s="9"/>
      <c r="F24" s="9"/>
    </row>
  </sheetData>
  <mergeCells count="17">
    <mergeCell ref="A6:A8"/>
    <mergeCell ref="A9:A11"/>
    <mergeCell ref="A12:A14"/>
    <mergeCell ref="A15:A17"/>
    <mergeCell ref="B8:E8"/>
    <mergeCell ref="B11:E11"/>
    <mergeCell ref="B14:E14"/>
    <mergeCell ref="B17:E17"/>
    <mergeCell ref="A23:F23"/>
    <mergeCell ref="A22:F22"/>
    <mergeCell ref="A18:A20"/>
    <mergeCell ref="B20:E20"/>
    <mergeCell ref="A21:E21"/>
    <mergeCell ref="A1:F1"/>
    <mergeCell ref="A2:F2"/>
    <mergeCell ref="A3:F3"/>
    <mergeCell ref="A4:F4"/>
  </mergeCells>
  <pageMargins left="0.7" right="0.7" top="0.75" bottom="0.75" header="0.3" footer="0.3"/>
  <pageSetup scale="97" orientation="landscape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Kawasaki-Yee, Bryceson</dc:creator>
  <cp:lastModifiedBy>Henson, Lisa L</cp:lastModifiedBy>
  <cp:lastPrinted>2026-05-04T21:42:47Z</cp:lastPrinted>
  <dcterms:created xsi:type="dcterms:W3CDTF">2025-03-03T21:19:56Z</dcterms:created>
  <dcterms:modified xsi:type="dcterms:W3CDTF">2026-05-04T21:44:11Z</dcterms:modified>
</cp:coreProperties>
</file>