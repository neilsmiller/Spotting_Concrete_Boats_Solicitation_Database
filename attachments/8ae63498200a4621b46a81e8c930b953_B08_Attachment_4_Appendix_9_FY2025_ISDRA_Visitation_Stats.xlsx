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Z:\01 Acquisition Workload\01 Laurie Ehlinger\0044039225 ISDRA Fee Collection\"/>
    </mc:Choice>
  </mc:AlternateContent>
  <xr:revisionPtr revIDLastSave="0" documentId="8_{FD2E42D0-95F3-45ED-AC1E-EAC83245C667}" xr6:coauthVersionLast="47" xr6:coauthVersionMax="47" xr10:uidLastSave="{00000000-0000-0000-0000-000000000000}"/>
  <bookViews>
    <workbookView xWindow="7320" yWindow="3495" windowWidth="21600" windowHeight="11295" xr2:uid="{7F0A4E44-4190-42B6-886A-D88B00F53132}"/>
  </bookViews>
  <sheets>
    <sheet name="FY 2025 ISDRA Visitatio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F67" i="1" l="1"/>
  <c r="B67" i="1"/>
  <c r="F66" i="1"/>
  <c r="B66" i="1"/>
  <c r="F65" i="1"/>
  <c r="B65" i="1"/>
  <c r="M190" i="1"/>
  <c r="U71" i="1"/>
  <c r="F64" i="1" l="1"/>
  <c r="B64" i="1"/>
  <c r="B63" i="1"/>
  <c r="F63" i="1"/>
  <c r="C57" i="1"/>
  <c r="C58" i="1" s="1"/>
  <c r="D57" i="1"/>
  <c r="D58" i="1" s="1"/>
  <c r="E57" i="1"/>
  <c r="E58" i="1" s="1"/>
  <c r="F57" i="1"/>
  <c r="F58" i="1" s="1"/>
  <c r="G57" i="1"/>
  <c r="G58" i="1" s="1"/>
  <c r="H57" i="1"/>
  <c r="H58" i="1" s="1"/>
  <c r="I57" i="1"/>
  <c r="I58" i="1" s="1"/>
  <c r="B57" i="1"/>
  <c r="B58" i="1" s="1"/>
  <c r="J4" i="1"/>
  <c r="J5" i="1"/>
  <c r="L5" i="1" s="1"/>
  <c r="J6" i="1"/>
  <c r="L6" i="1" s="1"/>
  <c r="J7" i="1"/>
  <c r="L7" i="1" s="1"/>
  <c r="J8" i="1"/>
  <c r="L8" i="1" s="1"/>
  <c r="J9" i="1"/>
  <c r="L9" i="1" s="1"/>
  <c r="J10" i="1"/>
  <c r="L10" i="1" s="1"/>
  <c r="J11" i="1"/>
  <c r="L11" i="1" s="1"/>
  <c r="J12" i="1"/>
  <c r="L12" i="1" s="1"/>
  <c r="J13" i="1"/>
  <c r="L13" i="1" s="1"/>
  <c r="J14" i="1"/>
  <c r="L14" i="1" s="1"/>
  <c r="J15" i="1"/>
  <c r="L15" i="1" s="1"/>
  <c r="J16" i="1"/>
  <c r="L16" i="1" s="1"/>
  <c r="J17" i="1"/>
  <c r="L17" i="1" s="1"/>
  <c r="J18" i="1"/>
  <c r="L18" i="1" s="1"/>
  <c r="J19" i="1"/>
  <c r="L19" i="1" s="1"/>
  <c r="J20" i="1"/>
  <c r="L20" i="1" s="1"/>
  <c r="J21" i="1"/>
  <c r="L21" i="1" s="1"/>
  <c r="J22" i="1"/>
  <c r="L22" i="1" s="1"/>
  <c r="J23" i="1"/>
  <c r="L23" i="1" s="1"/>
  <c r="J24" i="1"/>
  <c r="L24" i="1" s="1"/>
  <c r="J25" i="1"/>
  <c r="L25" i="1" s="1"/>
  <c r="J26" i="1"/>
  <c r="L26" i="1" s="1"/>
  <c r="J27" i="1"/>
  <c r="L27" i="1" s="1"/>
  <c r="J28" i="1"/>
  <c r="L28" i="1" s="1"/>
  <c r="J29" i="1"/>
  <c r="L29" i="1" s="1"/>
  <c r="J30" i="1"/>
  <c r="L30" i="1" s="1"/>
  <c r="J31" i="1"/>
  <c r="L31" i="1" s="1"/>
  <c r="J32" i="1"/>
  <c r="L32" i="1" s="1"/>
  <c r="J33" i="1"/>
  <c r="L33" i="1" s="1"/>
  <c r="J34" i="1"/>
  <c r="L34" i="1" s="1"/>
  <c r="J35" i="1"/>
  <c r="L35" i="1" s="1"/>
  <c r="J36" i="1"/>
  <c r="L36" i="1" s="1"/>
  <c r="J37" i="1"/>
  <c r="L37" i="1" s="1"/>
  <c r="J38" i="1"/>
  <c r="L38" i="1" s="1"/>
  <c r="J39" i="1"/>
  <c r="L39" i="1" s="1"/>
  <c r="J40" i="1"/>
  <c r="L40" i="1" s="1"/>
  <c r="J41" i="1"/>
  <c r="L41" i="1" s="1"/>
  <c r="J42" i="1"/>
  <c r="L42" i="1" s="1"/>
  <c r="J43" i="1"/>
  <c r="L43" i="1" s="1"/>
  <c r="J44" i="1"/>
  <c r="L44" i="1" s="1"/>
  <c r="J45" i="1"/>
  <c r="L45" i="1" s="1"/>
  <c r="J46" i="1"/>
  <c r="L46" i="1" s="1"/>
  <c r="J47" i="1"/>
  <c r="L47" i="1" s="1"/>
  <c r="J48" i="1"/>
  <c r="L48" i="1" s="1"/>
  <c r="J49" i="1"/>
  <c r="L49" i="1" s="1"/>
  <c r="J50" i="1"/>
  <c r="L50" i="1" s="1"/>
  <c r="J51" i="1"/>
  <c r="L51" i="1" s="1"/>
  <c r="J52" i="1"/>
  <c r="L52" i="1" s="1"/>
  <c r="J53" i="1"/>
  <c r="L53" i="1" s="1"/>
  <c r="J54" i="1"/>
  <c r="L54" i="1" s="1"/>
  <c r="J3" i="1"/>
  <c r="K3" i="1" s="1"/>
  <c r="F59" i="1" l="1"/>
  <c r="B59" i="1"/>
  <c r="L3" i="1"/>
  <c r="M3" i="1" s="1"/>
  <c r="K4" i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L4" i="1"/>
  <c r="B60" i="1" l="1"/>
  <c r="M4" i="1"/>
  <c r="F61" i="1" l="1"/>
  <c r="V71" i="1"/>
  <c r="M5" i="1"/>
  <c r="N4" i="1"/>
  <c r="B61" i="1"/>
  <c r="M6" i="1" l="1"/>
  <c r="N5" i="1"/>
  <c r="M7" i="1" l="1"/>
  <c r="N6" i="1"/>
  <c r="M8" i="1" l="1"/>
  <c r="N7" i="1"/>
  <c r="M9" i="1" l="1"/>
  <c r="N8" i="1"/>
  <c r="M10" i="1" l="1"/>
  <c r="N9" i="1"/>
  <c r="M11" i="1" l="1"/>
  <c r="N10" i="1"/>
  <c r="M12" i="1" l="1"/>
  <c r="N11" i="1"/>
  <c r="M13" i="1" l="1"/>
  <c r="N12" i="1"/>
  <c r="M14" i="1" l="1"/>
  <c r="N13" i="1"/>
  <c r="M15" i="1" l="1"/>
  <c r="N14" i="1"/>
  <c r="M16" i="1" l="1"/>
  <c r="N15" i="1"/>
  <c r="M17" i="1" l="1"/>
  <c r="N16" i="1"/>
  <c r="M18" i="1" l="1"/>
  <c r="N17" i="1"/>
  <c r="M19" i="1" l="1"/>
  <c r="N18" i="1"/>
  <c r="M20" i="1" l="1"/>
  <c r="N19" i="1"/>
  <c r="M21" i="1" l="1"/>
  <c r="N20" i="1"/>
  <c r="M22" i="1" l="1"/>
  <c r="N21" i="1"/>
  <c r="M23" i="1" l="1"/>
  <c r="N22" i="1"/>
  <c r="M24" i="1" l="1"/>
  <c r="N23" i="1"/>
  <c r="M25" i="1" l="1"/>
  <c r="N24" i="1"/>
  <c r="M26" i="1" l="1"/>
  <c r="N25" i="1"/>
  <c r="M27" i="1" l="1"/>
  <c r="N26" i="1"/>
  <c r="M28" i="1" l="1"/>
  <c r="N27" i="1"/>
  <c r="M29" i="1" l="1"/>
  <c r="N28" i="1"/>
  <c r="M30" i="1" l="1"/>
  <c r="N29" i="1"/>
  <c r="M31" i="1" l="1"/>
  <c r="N30" i="1"/>
  <c r="M32" i="1" l="1"/>
  <c r="N31" i="1"/>
  <c r="M33" i="1" l="1"/>
  <c r="N32" i="1"/>
  <c r="M34" i="1" l="1"/>
  <c r="N33" i="1"/>
  <c r="M35" i="1" l="1"/>
  <c r="N34" i="1"/>
  <c r="M36" i="1" l="1"/>
  <c r="N35" i="1"/>
  <c r="M37" i="1" l="1"/>
  <c r="N36" i="1"/>
  <c r="M38" i="1" l="1"/>
  <c r="N37" i="1"/>
  <c r="M39" i="1" l="1"/>
  <c r="N38" i="1"/>
  <c r="M40" i="1" l="1"/>
  <c r="N39" i="1"/>
  <c r="M41" i="1" l="1"/>
  <c r="N40" i="1"/>
  <c r="M42" i="1" l="1"/>
  <c r="N41" i="1"/>
  <c r="M43" i="1" l="1"/>
  <c r="N42" i="1"/>
  <c r="M44" i="1" l="1"/>
  <c r="N43" i="1"/>
  <c r="M45" i="1" l="1"/>
  <c r="N44" i="1"/>
  <c r="M46" i="1" l="1"/>
  <c r="N45" i="1"/>
  <c r="M47" i="1" l="1"/>
  <c r="N46" i="1"/>
  <c r="M48" i="1" l="1"/>
  <c r="N47" i="1"/>
  <c r="M49" i="1" l="1"/>
  <c r="N48" i="1"/>
  <c r="M50" i="1" l="1"/>
  <c r="N49" i="1"/>
  <c r="M51" i="1" l="1"/>
  <c r="N50" i="1"/>
  <c r="M52" i="1" l="1"/>
  <c r="N51" i="1"/>
  <c r="M53" i="1" l="1"/>
  <c r="N52" i="1"/>
  <c r="M54" i="1" l="1"/>
  <c r="N54" i="1" s="1"/>
  <c r="N53" i="1"/>
  <c r="N55" i="1" l="1"/>
</calcChain>
</file>

<file path=xl/sharedStrings.xml><?xml version="1.0" encoding="utf-8"?>
<sst xmlns="http://schemas.openxmlformats.org/spreadsheetml/2006/main" count="107" uniqueCount="100">
  <si>
    <t>FY 2025 ISDRA Visitation Stats</t>
  </si>
  <si>
    <t>Data Collection Date</t>
  </si>
  <si>
    <t>Gecko Rd</t>
  </si>
  <si>
    <t>Osborne</t>
  </si>
  <si>
    <t>Glamis Flats</t>
  </si>
  <si>
    <t>Wash Rd</t>
  </si>
  <si>
    <t>Buttercup</t>
  </si>
  <si>
    <t>Dunebuggy Flats</t>
  </si>
  <si>
    <t>Olgilby</t>
  </si>
  <si>
    <t>Dunes Vista</t>
  </si>
  <si>
    <t>Weekly Vehicles FY 2025</t>
  </si>
  <si>
    <t>Cumulative Vehicles FY 2025</t>
  </si>
  <si>
    <t>Weekly Visitation FY 2025</t>
  </si>
  <si>
    <t>Cumulative Visitation FY 2025</t>
  </si>
  <si>
    <t>Change in visitation FY 2023/ FY 2024</t>
  </si>
  <si>
    <t>Weekly Vehicles FY 2024</t>
  </si>
  <si>
    <t>Cumulative Vehicles FY 2024</t>
  </si>
  <si>
    <t>Weekly Visitation FY 2024</t>
  </si>
  <si>
    <t>Cumulative Visitation FY 2024</t>
  </si>
  <si>
    <t>Weekly Vehicles FY 2023</t>
  </si>
  <si>
    <t>Cumulative Vehicles FY 2023</t>
  </si>
  <si>
    <t>Weekly Visitation FY 2023</t>
  </si>
  <si>
    <t>Cumulative Visitation FY 2023</t>
  </si>
  <si>
    <t>Weekly Vehicles FY 2022</t>
  </si>
  <si>
    <t>Cumulative Vehicles FY 2022</t>
  </si>
  <si>
    <t>Weekly Visitation FY 2022</t>
  </si>
  <si>
    <t>Cumulative Visitation FY 2022</t>
  </si>
  <si>
    <t>Weekly Vehicles FY 2021</t>
  </si>
  <si>
    <t>Cumulative Vehicles FY 2021</t>
  </si>
  <si>
    <t>Weekly Visitation FY 2021</t>
  </si>
  <si>
    <t>Cumulative Visitation FY 2021</t>
  </si>
  <si>
    <t>Weekly Vehicles FY 2020</t>
  </si>
  <si>
    <t>Cumulative Vehicles FY 2020</t>
  </si>
  <si>
    <t>Weekly Visitation FY 2020</t>
  </si>
  <si>
    <t>Cumulative Visitation FY 2020</t>
  </si>
  <si>
    <t>Weekly Vehicles FY 2019</t>
  </si>
  <si>
    <t>Cumulative Vehicles FY 2019</t>
  </si>
  <si>
    <t>Weekly Visitation FY 2019</t>
  </si>
  <si>
    <t>Cumulative Visitation FY 2019</t>
  </si>
  <si>
    <t>Weekly Vehicles FY 2018</t>
  </si>
  <si>
    <t>Cumulative Vehicles FY 2018</t>
  </si>
  <si>
    <t>Weekly Visitation FY 2018</t>
  </si>
  <si>
    <t>Cumulative Visitation FY 2018</t>
  </si>
  <si>
    <t>Weekly Vehicles FY 2017</t>
  </si>
  <si>
    <t>Cumulative Vehicles FY 2017</t>
  </si>
  <si>
    <t>Weekly Visitation FY 2017</t>
  </si>
  <si>
    <t>Cumulative Visitation FY 2017</t>
  </si>
  <si>
    <t>Weekly Visitation FY 2016</t>
  </si>
  <si>
    <t>Cumulative Visitation FY 2016</t>
  </si>
  <si>
    <t>Weekly Visitation FY 2015</t>
  </si>
  <si>
    <t>Cumulative Visitation FY 2015</t>
  </si>
  <si>
    <t>Weekly Visitation FY 2014</t>
  </si>
  <si>
    <t>Cumulative Visitation FY 2014</t>
  </si>
  <si>
    <t>Weekly Visitation FY 2013</t>
  </si>
  <si>
    <t>Cumulative Visitation FY 2013</t>
  </si>
  <si>
    <t>Weekly Visitation FY 2012</t>
  </si>
  <si>
    <t>Cumulative Visitation FY 2012</t>
  </si>
  <si>
    <t>Weekly Visitation FY 2011</t>
  </si>
  <si>
    <t>Cumulative Visitation FY 2011</t>
  </si>
  <si>
    <t>Weekly Visitation FY 2010</t>
  </si>
  <si>
    <t>Cumulative Visitation FY 2010</t>
  </si>
  <si>
    <t>Weekly Visitation FY 2009</t>
  </si>
  <si>
    <t>Cumulative Visitation FY 2009</t>
  </si>
  <si>
    <t>Weekly Visitation FY 2008</t>
  </si>
  <si>
    <t>North Dunes</t>
  </si>
  <si>
    <t>South Dunes</t>
  </si>
  <si>
    <t>DBF</t>
  </si>
  <si>
    <t>Total Vehicles by Location</t>
  </si>
  <si>
    <t>Total Visitors by Location</t>
  </si>
  <si>
    <t>Total Visitation by Area</t>
  </si>
  <si>
    <t>Total Visiation</t>
  </si>
  <si>
    <t>Visitation Percentage by Area</t>
  </si>
  <si>
    <t>Holiday Visitation by Area</t>
  </si>
  <si>
    <t>Halloween</t>
  </si>
  <si>
    <t>Thanksgiving</t>
  </si>
  <si>
    <t>New Years Incident</t>
  </si>
  <si>
    <t>New Years Post Patrol</t>
  </si>
  <si>
    <t>Presidents Day</t>
  </si>
  <si>
    <t>Historical Annual Visitation</t>
  </si>
  <si>
    <t>FY2005</t>
  </si>
  <si>
    <t>FY2006</t>
  </si>
  <si>
    <t>FY2007</t>
  </si>
  <si>
    <t>FY2008</t>
  </si>
  <si>
    <t>FY2009</t>
  </si>
  <si>
    <t>FY2010</t>
  </si>
  <si>
    <t>FY2011</t>
  </si>
  <si>
    <t>FY2012</t>
  </si>
  <si>
    <t>FY2013</t>
  </si>
  <si>
    <t>FY2014</t>
  </si>
  <si>
    <t>FY2015</t>
  </si>
  <si>
    <t>FY2016</t>
  </si>
  <si>
    <t>FY2017</t>
  </si>
  <si>
    <t>FY2018</t>
  </si>
  <si>
    <t>FY2019</t>
  </si>
  <si>
    <t>FY2020</t>
  </si>
  <si>
    <t>FY 2021</t>
  </si>
  <si>
    <t>FY2022</t>
  </si>
  <si>
    <t>FY2023</t>
  </si>
  <si>
    <t>FY2024</t>
  </si>
  <si>
    <t>FY2025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</si>
</sst>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2"/>
      <name val="Arial"/>
      <family val="2"/>
    </font>
    <font>
      <b/>
      <sz val="11"/>
      <color rgb="FFFF000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16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2" applyNumberFormat="0" applyFont="0" applyAlignment="0" applyProtection="0"/>
  </cellStyleXfs>
  <cellXfs count="87">
    <xf numFmtId="0" fontId="0" fillId="0" borderId="0" xfId="0"/>
    <xf numFmtId="0" fontId="8" fillId="5" borderId="3" xfId="0" applyFont="1" applyFill="1" applyBorder="1" applyAlignment="1">
      <alignment textRotation="90" wrapText="1"/>
    </xf>
    <xf numFmtId="0" fontId="5" fillId="6" borderId="3" xfId="0" applyFont="1" applyFill="1" applyBorder="1" applyAlignment="1">
      <alignment textRotation="90" wrapText="1"/>
    </xf>
    <xf numFmtId="0" fontId="5" fillId="7" borderId="3" xfId="3" applyFont="1" applyFill="1" applyBorder="1" applyAlignment="1">
      <alignment textRotation="90" wrapText="1"/>
    </xf>
    <xf numFmtId="3" fontId="9" fillId="6" borderId="3" xfId="0" applyNumberFormat="1" applyFont="1" applyFill="1" applyBorder="1" applyAlignment="1">
      <alignment horizontal="center" textRotation="90" wrapText="1"/>
    </xf>
    <xf numFmtId="1" fontId="0" fillId="0" borderId="0" xfId="0" applyNumberFormat="1"/>
    <xf numFmtId="1" fontId="0" fillId="0" borderId="3" xfId="0" applyNumberFormat="1" applyBorder="1"/>
    <xf numFmtId="1" fontId="10" fillId="0" borderId="3" xfId="0" applyNumberFormat="1" applyFont="1" applyBorder="1"/>
    <xf numFmtId="1" fontId="0" fillId="0" borderId="4" xfId="0" applyNumberFormat="1" applyBorder="1"/>
    <xf numFmtId="0" fontId="5" fillId="9" borderId="3" xfId="3" applyFont="1" applyFill="1" applyBorder="1" applyAlignment="1">
      <alignment textRotation="90" wrapText="1"/>
    </xf>
    <xf numFmtId="1" fontId="5" fillId="9" borderId="3" xfId="3" applyNumberFormat="1" applyFont="1" applyFill="1" applyBorder="1" applyAlignment="1">
      <alignment textRotation="90" wrapText="1"/>
    </xf>
    <xf numFmtId="0" fontId="11" fillId="8" borderId="3" xfId="2" applyFont="1" applyFill="1" applyBorder="1" applyAlignment="1">
      <alignment textRotation="90" wrapText="1"/>
    </xf>
    <xf numFmtId="0" fontId="5" fillId="0" borderId="3" xfId="0" applyFont="1" applyBorder="1" applyAlignment="1">
      <alignment textRotation="90" wrapText="1"/>
    </xf>
    <xf numFmtId="1" fontId="11" fillId="8" borderId="3" xfId="2" applyNumberFormat="1" applyFont="1" applyFill="1" applyBorder="1" applyAlignment="1">
      <alignment textRotation="90" wrapText="1"/>
    </xf>
    <xf numFmtId="1" fontId="5" fillId="0" borderId="3" xfId="0" applyNumberFormat="1" applyFont="1" applyBorder="1" applyAlignment="1">
      <alignment textRotation="90" wrapText="1"/>
    </xf>
    <xf numFmtId="1" fontId="4" fillId="0" borderId="3" xfId="0" applyNumberFormat="1" applyFont="1" applyBorder="1"/>
    <xf numFmtId="1" fontId="12" fillId="0" borderId="3" xfId="0" applyNumberFormat="1" applyFont="1" applyBorder="1"/>
    <xf numFmtId="0" fontId="0" fillId="0" borderId="3" xfId="0" applyBorder="1"/>
    <xf numFmtId="0" fontId="6" fillId="0" borderId="3" xfId="0" applyFont="1" applyBorder="1" applyAlignment="1">
      <alignment textRotation="90" wrapText="1"/>
    </xf>
    <xf numFmtId="14" fontId="0" fillId="0" borderId="3" xfId="0" applyNumberFormat="1" applyBorder="1"/>
    <xf numFmtId="14" fontId="10" fillId="0" borderId="3" xfId="0" applyNumberFormat="1" applyFont="1" applyBorder="1"/>
    <xf numFmtId="0" fontId="10" fillId="0" borderId="3" xfId="0" applyFont="1" applyBorder="1"/>
    <xf numFmtId="0" fontId="0" fillId="10" borderId="3" xfId="0" applyFill="1" applyBorder="1"/>
    <xf numFmtId="0" fontId="0" fillId="10" borderId="0" xfId="0" applyFill="1"/>
    <xf numFmtId="9" fontId="0" fillId="0" borderId="3" xfId="0" applyNumberFormat="1" applyBorder="1"/>
    <xf numFmtId="1" fontId="16" fillId="8" borderId="3" xfId="1" applyNumberFormat="1" applyFont="1" applyFill="1" applyBorder="1" applyAlignment="1">
      <alignment textRotation="90" wrapText="1"/>
    </xf>
    <xf numFmtId="0" fontId="16" fillId="8" borderId="3" xfId="1" applyFont="1" applyFill="1" applyBorder="1" applyAlignment="1">
      <alignment textRotation="90" wrapText="1"/>
    </xf>
    <xf numFmtId="0" fontId="16" fillId="12" borderId="3" xfId="1" applyFont="1" applyFill="1" applyBorder="1" applyAlignment="1">
      <alignment textRotation="90" wrapText="1"/>
    </xf>
    <xf numFmtId="0" fontId="8" fillId="13" borderId="3" xfId="1" applyFont="1" applyFill="1" applyBorder="1" applyAlignment="1">
      <alignment textRotation="90" wrapText="1"/>
    </xf>
    <xf numFmtId="3" fontId="15" fillId="10" borderId="0" xfId="0" applyNumberFormat="1" applyFont="1" applyFill="1"/>
    <xf numFmtId="1" fontId="15" fillId="10" borderId="0" xfId="0" applyNumberFormat="1" applyFont="1" applyFill="1"/>
    <xf numFmtId="0" fontId="0" fillId="9" borderId="3" xfId="0" applyFill="1" applyBorder="1"/>
    <xf numFmtId="0" fontId="0" fillId="9" borderId="0" xfId="0" applyFill="1"/>
    <xf numFmtId="0" fontId="13" fillId="9" borderId="3" xfId="0" applyFont="1" applyFill="1" applyBorder="1" applyAlignment="1">
      <alignment wrapText="1"/>
    </xf>
    <xf numFmtId="1" fontId="0" fillId="9" borderId="3" xfId="0" applyNumberFormat="1" applyFill="1" applyBorder="1"/>
    <xf numFmtId="0" fontId="13" fillId="9" borderId="3" xfId="0" applyFont="1" applyFill="1" applyBorder="1"/>
    <xf numFmtId="0" fontId="13" fillId="15" borderId="3" xfId="0" applyFont="1" applyFill="1" applyBorder="1" applyAlignment="1">
      <alignment horizontal="left" wrapText="1"/>
    </xf>
    <xf numFmtId="0" fontId="13" fillId="11" borderId="3" xfId="0" applyFont="1" applyFill="1" applyBorder="1"/>
    <xf numFmtId="0" fontId="13" fillId="16" borderId="3" xfId="0" applyFont="1" applyFill="1" applyBorder="1"/>
    <xf numFmtId="0" fontId="13" fillId="17" borderId="3" xfId="0" applyFont="1" applyFill="1" applyBorder="1"/>
    <xf numFmtId="0" fontId="0" fillId="17" borderId="0" xfId="0" applyFill="1"/>
    <xf numFmtId="0" fontId="17" fillId="9" borderId="3" xfId="0" applyFont="1" applyFill="1" applyBorder="1" applyAlignment="1">
      <alignment wrapText="1"/>
    </xf>
    <xf numFmtId="0" fontId="17" fillId="9" borderId="3" xfId="0" applyFont="1" applyFill="1" applyBorder="1"/>
    <xf numFmtId="0" fontId="17" fillId="9" borderId="3" xfId="0" applyFont="1" applyFill="1" applyBorder="1" applyAlignment="1">
      <alignment horizontal="center" wrapText="1"/>
    </xf>
    <xf numFmtId="9" fontId="0" fillId="0" borderId="0" xfId="0" applyNumberFormat="1"/>
    <xf numFmtId="0" fontId="18" fillId="13" borderId="3" xfId="1" applyFont="1" applyFill="1" applyBorder="1" applyAlignment="1">
      <alignment textRotation="90" wrapText="1"/>
    </xf>
    <xf numFmtId="1" fontId="19" fillId="0" borderId="3" xfId="0" applyNumberFormat="1" applyFont="1" applyBorder="1"/>
    <xf numFmtId="1" fontId="20" fillId="0" borderId="3" xfId="0" applyNumberFormat="1" applyFont="1" applyBorder="1"/>
    <xf numFmtId="1" fontId="19" fillId="0" borderId="0" xfId="0" applyNumberFormat="1" applyFont="1"/>
    <xf numFmtId="9" fontId="0" fillId="18" borderId="3" xfId="0" applyNumberFormat="1" applyFill="1" applyBorder="1"/>
    <xf numFmtId="14" fontId="12" fillId="0" borderId="3" xfId="0" applyNumberFormat="1" applyFont="1" applyBorder="1"/>
    <xf numFmtId="0" fontId="12" fillId="0" borderId="3" xfId="0" applyFont="1" applyBorder="1"/>
    <xf numFmtId="1" fontId="21" fillId="0" borderId="3" xfId="0" applyNumberFormat="1" applyFont="1" applyBorder="1"/>
    <xf numFmtId="9" fontId="10" fillId="0" borderId="3" xfId="0" applyNumberFormat="1" applyFont="1" applyBorder="1"/>
    <xf numFmtId="3" fontId="0" fillId="0" borderId="3" xfId="0" applyNumberFormat="1" applyBorder="1"/>
    <xf numFmtId="1" fontId="0" fillId="11" borderId="3" xfId="0" applyNumberFormat="1" applyFill="1" applyBorder="1" applyAlignment="1">
      <alignment horizontal="center" wrapText="1"/>
    </xf>
    <xf numFmtId="1" fontId="0" fillId="16" borderId="3" xfId="0" applyNumberFormat="1" applyFill="1" applyBorder="1" applyAlignment="1">
      <alignment horizontal="center" wrapText="1"/>
    </xf>
    <xf numFmtId="1" fontId="0" fillId="17" borderId="3" xfId="0" applyNumberFormat="1" applyFill="1" applyBorder="1" applyAlignment="1">
      <alignment horizontal="center" wrapText="1"/>
    </xf>
    <xf numFmtId="0" fontId="0" fillId="10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1" fontId="0" fillId="16" borderId="5" xfId="0" applyNumberFormat="1" applyFill="1" applyBorder="1" applyAlignment="1">
      <alignment horizontal="center" wrapText="1"/>
    </xf>
    <xf numFmtId="1" fontId="0" fillId="16" borderId="6" xfId="0" applyNumberFormat="1" applyFill="1" applyBorder="1" applyAlignment="1">
      <alignment horizontal="center" wrapText="1"/>
    </xf>
    <xf numFmtId="1" fontId="0" fillId="16" borderId="7" xfId="0" applyNumberFormat="1" applyFill="1" applyBorder="1" applyAlignment="1">
      <alignment horizontal="center" wrapText="1"/>
    </xf>
    <xf numFmtId="0" fontId="7" fillId="0" borderId="0" xfId="0" applyFont="1" applyAlignment="1">
      <alignment horizontal="left"/>
    </xf>
    <xf numFmtId="0" fontId="12" fillId="5" borderId="5" xfId="0" applyFont="1" applyFill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0" fontId="12" fillId="5" borderId="7" xfId="0" applyFon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6" xfId="0" applyNumberFormat="1" applyFill="1" applyBorder="1" applyAlignment="1">
      <alignment horizontal="center"/>
    </xf>
    <xf numFmtId="1" fontId="0" fillId="5" borderId="7" xfId="0" applyNumberFormat="1" applyFill="1" applyBorder="1" applyAlignment="1">
      <alignment horizontal="center"/>
    </xf>
    <xf numFmtId="1" fontId="0" fillId="6" borderId="5" xfId="0" applyNumberFormat="1" applyFill="1" applyBorder="1" applyAlignment="1">
      <alignment horizontal="center"/>
    </xf>
    <xf numFmtId="1" fontId="0" fillId="6" borderId="6" xfId="0" applyNumberFormat="1" applyFill="1" applyBorder="1" applyAlignment="1">
      <alignment horizontal="center"/>
    </xf>
    <xf numFmtId="1" fontId="0" fillId="6" borderId="7" xfId="0" applyNumberFormat="1" applyFill="1" applyBorder="1" applyAlignment="1">
      <alignment horizontal="center"/>
    </xf>
    <xf numFmtId="3" fontId="0" fillId="14" borderId="5" xfId="0" applyNumberFormat="1" applyFill="1" applyBorder="1" applyAlignment="1">
      <alignment horizontal="center"/>
    </xf>
    <xf numFmtId="3" fontId="0" fillId="14" borderId="6" xfId="0" applyNumberFormat="1" applyFill="1" applyBorder="1" applyAlignment="1">
      <alignment horizontal="center"/>
    </xf>
    <xf numFmtId="3" fontId="0" fillId="14" borderId="7" xfId="0" applyNumberFormat="1" applyFill="1" applyBorder="1" applyAlignment="1">
      <alignment horizontal="center"/>
    </xf>
    <xf numFmtId="9" fontId="6" fillId="9" borderId="5" xfId="0" applyNumberFormat="1" applyFont="1" applyFill="1" applyBorder="1" applyAlignment="1">
      <alignment horizontal="center"/>
    </xf>
    <xf numFmtId="9" fontId="6" fillId="9" borderId="6" xfId="0" applyNumberFormat="1" applyFont="1" applyFill="1" applyBorder="1" applyAlignment="1">
      <alignment horizontal="center"/>
    </xf>
    <xf numFmtId="9" fontId="6" fillId="9" borderId="7" xfId="0" applyNumberFormat="1" applyFont="1" applyFill="1" applyBorder="1" applyAlignment="1">
      <alignment horizontal="center"/>
    </xf>
    <xf numFmtId="9" fontId="14" fillId="9" borderId="5" xfId="0" applyNumberFormat="1" applyFont="1" applyFill="1" applyBorder="1" applyAlignment="1">
      <alignment horizontal="center"/>
    </xf>
    <xf numFmtId="9" fontId="14" fillId="9" borderId="6" xfId="0" applyNumberFormat="1" applyFont="1" applyFill="1" applyBorder="1" applyAlignment="1">
      <alignment horizontal="center"/>
    </xf>
    <xf numFmtId="9" fontId="14" fillId="9" borderId="7" xfId="0" applyNumberFormat="1" applyFont="1" applyFill="1" applyBorder="1" applyAlignment="1">
      <alignment horizontal="center"/>
    </xf>
    <xf numFmtId="1" fontId="0" fillId="15" borderId="3" xfId="0" applyNumberFormat="1" applyFill="1" applyBorder="1" applyAlignment="1">
      <alignment horizontal="center" wrapText="1"/>
    </xf>
    <xf numFmtId="0" fontId="13" fillId="9" borderId="8" xfId="0" applyFont="1" applyFill="1" applyBorder="1" applyAlignment="1">
      <alignment horizontal="center"/>
    </xf>
  </cellXfs>
  <cellStyles count="4">
    <cellStyle name="Check Cell" xfId="2" builtinId="23"/>
    <cellStyle name="Good" xfId="1" builtinId="26"/>
    <cellStyle name="Normal" xfId="0" builtinId="0"/>
    <cellStyle name="Note" xfId="3" builtinId="10"/>
  </cellStyles>
  <dxfs count="0"/>
  <tableStyles count="0" defaultTableStyle="TableStyleMedium2" defaultPivotStyle="PivotStyleLight16"/>
  <colors>
    <mruColors>
      <color rgb="FFE729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Relationship Id="rId4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674452490370768E-2"/>
          <c:y val="4.1106958606991983E-2"/>
          <c:w val="0.92971860986332155"/>
          <c:h val="0.8558986664918811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'FY 2025 ISDRA Visitation'!$A$70:$V$70</c:f>
              <c:strCache>
                <c:ptCount val="22"/>
                <c:pt idx="0">
                  <c:v>Historical Annual Visitation</c:v>
                </c:pt>
                <c:pt idx="1">
                  <c:v>FY2005</c:v>
                </c:pt>
                <c:pt idx="2">
                  <c:v>FY2006</c:v>
                </c:pt>
                <c:pt idx="3">
                  <c:v>FY2007</c:v>
                </c:pt>
                <c:pt idx="4">
                  <c:v>FY2008</c:v>
                </c:pt>
                <c:pt idx="5">
                  <c:v>FY2009</c:v>
                </c:pt>
                <c:pt idx="6">
                  <c:v>FY2010</c:v>
                </c:pt>
                <c:pt idx="7">
                  <c:v>FY2011</c:v>
                </c:pt>
                <c:pt idx="8">
                  <c:v>FY2012</c:v>
                </c:pt>
                <c:pt idx="9">
                  <c:v>FY2013</c:v>
                </c:pt>
                <c:pt idx="10">
                  <c:v>FY2014</c:v>
                </c:pt>
                <c:pt idx="11">
                  <c:v>FY2015</c:v>
                </c:pt>
                <c:pt idx="12">
                  <c:v>FY2016</c:v>
                </c:pt>
                <c:pt idx="13">
                  <c:v>FY2017</c:v>
                </c:pt>
                <c:pt idx="14">
                  <c:v>FY2018</c:v>
                </c:pt>
                <c:pt idx="15">
                  <c:v>FY2019</c:v>
                </c:pt>
                <c:pt idx="16">
                  <c:v>FY2020</c:v>
                </c:pt>
                <c:pt idx="17">
                  <c:v>FY 2021</c:v>
                </c:pt>
                <c:pt idx="18">
                  <c:v>FY2022</c:v>
                </c:pt>
                <c:pt idx="19">
                  <c:v>FY2023</c:v>
                </c:pt>
                <c:pt idx="20">
                  <c:v>FY2024</c:v>
                </c:pt>
                <c:pt idx="21">
                  <c:v>FY2025</c:v>
                </c:pt>
              </c:strCache>
            </c:strRef>
          </c:cat>
          <c:val>
            <c:numRef>
              <c:f>'FY 2025 ISDRA Visitation'!$A$71:$V$71</c:f>
              <c:numCache>
                <c:formatCode>#,##0</c:formatCode>
                <c:ptCount val="22"/>
                <c:pt idx="1">
                  <c:v>1392389</c:v>
                </c:pt>
                <c:pt idx="2">
                  <c:v>1464580</c:v>
                </c:pt>
                <c:pt idx="3">
                  <c:v>1457685</c:v>
                </c:pt>
                <c:pt idx="4">
                  <c:v>1376394</c:v>
                </c:pt>
                <c:pt idx="5">
                  <c:v>1312526</c:v>
                </c:pt>
                <c:pt idx="6">
                  <c:v>1280535</c:v>
                </c:pt>
                <c:pt idx="7">
                  <c:v>1124389</c:v>
                </c:pt>
                <c:pt idx="8">
                  <c:v>1118931</c:v>
                </c:pt>
                <c:pt idx="9">
                  <c:v>1014568</c:v>
                </c:pt>
                <c:pt idx="10">
                  <c:v>958715</c:v>
                </c:pt>
                <c:pt idx="11">
                  <c:v>954368</c:v>
                </c:pt>
                <c:pt idx="12">
                  <c:v>864483</c:v>
                </c:pt>
                <c:pt idx="13">
                  <c:v>803583</c:v>
                </c:pt>
                <c:pt idx="14">
                  <c:v>883061</c:v>
                </c:pt>
                <c:pt idx="15">
                  <c:v>934707</c:v>
                </c:pt>
                <c:pt idx="16">
                  <c:v>946495</c:v>
                </c:pt>
                <c:pt idx="17">
                  <c:v>1189590.5</c:v>
                </c:pt>
                <c:pt idx="18">
                  <c:v>1023554</c:v>
                </c:pt>
                <c:pt idx="19">
                  <c:v>955770</c:v>
                </c:pt>
                <c:pt idx="20">
                  <c:v>1075609.5</c:v>
                </c:pt>
                <c:pt idx="21" formatCode="0">
                  <c:v>1030540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02-41FA-94BB-654491E9D81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95293519"/>
        <c:axId val="1295291119"/>
      </c:barChart>
      <c:catAx>
        <c:axId val="129529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291119"/>
        <c:crosses val="autoZero"/>
        <c:auto val="1"/>
        <c:lblAlgn val="ctr"/>
        <c:lblOffset val="100"/>
        <c:noMultiLvlLbl val="0"/>
      </c:catAx>
      <c:valAx>
        <c:axId val="129529111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95293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727815953834115E-2"/>
          <c:y val="0.11796313317335327"/>
          <c:w val="0.93257154865118008"/>
          <c:h val="0.84980852753195879"/>
        </c:manualLayout>
      </c:layout>
      <c:lineChart>
        <c:grouping val="standard"/>
        <c:varyColors val="0"/>
        <c:ser>
          <c:idx val="5"/>
          <c:order val="4"/>
          <c:tx>
            <c:v>FY2020</c:v>
          </c:tx>
          <c:spPr>
            <a:ln w="6350" cap="rnd">
              <a:solidFill>
                <a:srgbClr val="00B050"/>
              </a:solidFill>
              <a:prstDash val="solid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'FY 2025 ISDRA Visitation'!$A$3:$A$54</c:f>
              <c:numCache>
                <c:formatCode>m/d/yyyy</c:formatCode>
                <c:ptCount val="52"/>
                <c:pt idx="0">
                  <c:v>45571</c:v>
                </c:pt>
                <c:pt idx="1">
                  <c:v>45578</c:v>
                </c:pt>
                <c:pt idx="2">
                  <c:v>45585</c:v>
                </c:pt>
                <c:pt idx="3">
                  <c:v>45592</c:v>
                </c:pt>
                <c:pt idx="4">
                  <c:v>45599</c:v>
                </c:pt>
                <c:pt idx="5">
                  <c:v>45606</c:v>
                </c:pt>
                <c:pt idx="6">
                  <c:v>45613</c:v>
                </c:pt>
                <c:pt idx="7">
                  <c:v>45620</c:v>
                </c:pt>
                <c:pt idx="8">
                  <c:v>45627</c:v>
                </c:pt>
                <c:pt idx="9">
                  <c:v>45634</c:v>
                </c:pt>
                <c:pt idx="10">
                  <c:v>45641</c:v>
                </c:pt>
                <c:pt idx="11">
                  <c:v>45648</c:v>
                </c:pt>
                <c:pt idx="12">
                  <c:v>45655</c:v>
                </c:pt>
                <c:pt idx="13">
                  <c:v>45662</c:v>
                </c:pt>
                <c:pt idx="14">
                  <c:v>45669</c:v>
                </c:pt>
                <c:pt idx="15">
                  <c:v>45676</c:v>
                </c:pt>
                <c:pt idx="16">
                  <c:v>45683</c:v>
                </c:pt>
                <c:pt idx="17">
                  <c:v>45690</c:v>
                </c:pt>
                <c:pt idx="18">
                  <c:v>45697</c:v>
                </c:pt>
                <c:pt idx="19">
                  <c:v>45704</c:v>
                </c:pt>
                <c:pt idx="20">
                  <c:v>45711</c:v>
                </c:pt>
                <c:pt idx="21">
                  <c:v>45718</c:v>
                </c:pt>
                <c:pt idx="22">
                  <c:v>45725</c:v>
                </c:pt>
                <c:pt idx="23">
                  <c:v>45732</c:v>
                </c:pt>
                <c:pt idx="24">
                  <c:v>45739</c:v>
                </c:pt>
                <c:pt idx="25">
                  <c:v>45746</c:v>
                </c:pt>
                <c:pt idx="26">
                  <c:v>45753</c:v>
                </c:pt>
                <c:pt idx="27">
                  <c:v>45760</c:v>
                </c:pt>
                <c:pt idx="28">
                  <c:v>45767</c:v>
                </c:pt>
                <c:pt idx="29">
                  <c:v>45774</c:v>
                </c:pt>
                <c:pt idx="30">
                  <c:v>45781</c:v>
                </c:pt>
                <c:pt idx="31">
                  <c:v>45788</c:v>
                </c:pt>
                <c:pt idx="32">
                  <c:v>45795</c:v>
                </c:pt>
                <c:pt idx="33">
                  <c:v>45802</c:v>
                </c:pt>
                <c:pt idx="34">
                  <c:v>45809</c:v>
                </c:pt>
                <c:pt idx="35">
                  <c:v>45816</c:v>
                </c:pt>
                <c:pt idx="36">
                  <c:v>45823</c:v>
                </c:pt>
                <c:pt idx="37">
                  <c:v>45830</c:v>
                </c:pt>
                <c:pt idx="38">
                  <c:v>45837</c:v>
                </c:pt>
                <c:pt idx="39">
                  <c:v>45844</c:v>
                </c:pt>
                <c:pt idx="40">
                  <c:v>45851</c:v>
                </c:pt>
                <c:pt idx="41">
                  <c:v>45858</c:v>
                </c:pt>
                <c:pt idx="42">
                  <c:v>45865</c:v>
                </c:pt>
                <c:pt idx="43">
                  <c:v>45872</c:v>
                </c:pt>
                <c:pt idx="44">
                  <c:v>45879</c:v>
                </c:pt>
                <c:pt idx="45">
                  <c:v>45886</c:v>
                </c:pt>
                <c:pt idx="46">
                  <c:v>45893</c:v>
                </c:pt>
                <c:pt idx="47">
                  <c:v>45900</c:v>
                </c:pt>
                <c:pt idx="48">
                  <c:v>45907</c:v>
                </c:pt>
                <c:pt idx="49">
                  <c:v>45914</c:v>
                </c:pt>
                <c:pt idx="50">
                  <c:v>45921</c:v>
                </c:pt>
                <c:pt idx="51">
                  <c:v>45928</c:v>
                </c:pt>
              </c:numCache>
            </c:numRef>
          </c:cat>
          <c:val>
            <c:numRef>
              <c:f>'[2]FY20 Weekly Visitation'!$M$3:$M$53</c:f>
              <c:numCache>
                <c:formatCode>General</c:formatCode>
                <c:ptCount val="51"/>
                <c:pt idx="0">
                  <c:v>6646.5</c:v>
                </c:pt>
                <c:pt idx="1">
                  <c:v>8781.5</c:v>
                </c:pt>
                <c:pt idx="2">
                  <c:v>14192.5</c:v>
                </c:pt>
                <c:pt idx="3">
                  <c:v>74088</c:v>
                </c:pt>
                <c:pt idx="4">
                  <c:v>25742.5</c:v>
                </c:pt>
                <c:pt idx="5">
                  <c:v>38493</c:v>
                </c:pt>
                <c:pt idx="6">
                  <c:v>22998.5</c:v>
                </c:pt>
                <c:pt idx="7">
                  <c:v>29991.5</c:v>
                </c:pt>
                <c:pt idx="8">
                  <c:v>90265</c:v>
                </c:pt>
                <c:pt idx="9">
                  <c:v>14819</c:v>
                </c:pt>
                <c:pt idx="10">
                  <c:v>16705.5</c:v>
                </c:pt>
                <c:pt idx="11">
                  <c:v>11056.5</c:v>
                </c:pt>
                <c:pt idx="12">
                  <c:v>67543</c:v>
                </c:pt>
                <c:pt idx="13">
                  <c:v>53378.5</c:v>
                </c:pt>
                <c:pt idx="14">
                  <c:v>14325.5</c:v>
                </c:pt>
                <c:pt idx="15">
                  <c:v>26806.5</c:v>
                </c:pt>
                <c:pt idx="16">
                  <c:v>22099</c:v>
                </c:pt>
                <c:pt idx="17">
                  <c:v>29687</c:v>
                </c:pt>
                <c:pt idx="18">
                  <c:v>20104</c:v>
                </c:pt>
                <c:pt idx="19">
                  <c:v>66272.5</c:v>
                </c:pt>
                <c:pt idx="20">
                  <c:v>33838</c:v>
                </c:pt>
                <c:pt idx="21">
                  <c:v>25504.5</c:v>
                </c:pt>
                <c:pt idx="22">
                  <c:v>21731.5</c:v>
                </c:pt>
                <c:pt idx="23">
                  <c:v>24850</c:v>
                </c:pt>
                <c:pt idx="24">
                  <c:v>22589</c:v>
                </c:pt>
                <c:pt idx="25">
                  <c:v>19078.5</c:v>
                </c:pt>
                <c:pt idx="26">
                  <c:v>9159.5</c:v>
                </c:pt>
                <c:pt idx="27">
                  <c:v>9432.5</c:v>
                </c:pt>
                <c:pt idx="28">
                  <c:v>12019</c:v>
                </c:pt>
                <c:pt idx="29">
                  <c:v>5883.5</c:v>
                </c:pt>
                <c:pt idx="30">
                  <c:v>3629.5</c:v>
                </c:pt>
                <c:pt idx="31">
                  <c:v>3230.5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58450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67952.5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BB-43FD-AC9D-751B7C5A250F}"/>
            </c:ext>
          </c:extLst>
        </c:ser>
        <c:ser>
          <c:idx val="6"/>
          <c:order val="6"/>
          <c:tx>
            <c:v>FY2021</c:v>
          </c:tx>
          <c:spPr>
            <a:ln w="22225" cap="rnd">
              <a:solidFill>
                <a:srgbClr val="FF0000"/>
              </a:solidFill>
              <a:prstDash val="solid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'FY 2025 ISDRA Visitation'!$A$3:$A$54</c:f>
              <c:numCache>
                <c:formatCode>m/d/yyyy</c:formatCode>
                <c:ptCount val="52"/>
                <c:pt idx="0">
                  <c:v>45571</c:v>
                </c:pt>
                <c:pt idx="1">
                  <c:v>45578</c:v>
                </c:pt>
                <c:pt idx="2">
                  <c:v>45585</c:v>
                </c:pt>
                <c:pt idx="3">
                  <c:v>45592</c:v>
                </c:pt>
                <c:pt idx="4">
                  <c:v>45599</c:v>
                </c:pt>
                <c:pt idx="5">
                  <c:v>45606</c:v>
                </c:pt>
                <c:pt idx="6">
                  <c:v>45613</c:v>
                </c:pt>
                <c:pt idx="7">
                  <c:v>45620</c:v>
                </c:pt>
                <c:pt idx="8">
                  <c:v>45627</c:v>
                </c:pt>
                <c:pt idx="9">
                  <c:v>45634</c:v>
                </c:pt>
                <c:pt idx="10">
                  <c:v>45641</c:v>
                </c:pt>
                <c:pt idx="11">
                  <c:v>45648</c:v>
                </c:pt>
                <c:pt idx="12">
                  <c:v>45655</c:v>
                </c:pt>
                <c:pt idx="13">
                  <c:v>45662</c:v>
                </c:pt>
                <c:pt idx="14">
                  <c:v>45669</c:v>
                </c:pt>
                <c:pt idx="15">
                  <c:v>45676</c:v>
                </c:pt>
                <c:pt idx="16">
                  <c:v>45683</c:v>
                </c:pt>
                <c:pt idx="17">
                  <c:v>45690</c:v>
                </c:pt>
                <c:pt idx="18">
                  <c:v>45697</c:v>
                </c:pt>
                <c:pt idx="19">
                  <c:v>45704</c:v>
                </c:pt>
                <c:pt idx="20">
                  <c:v>45711</c:v>
                </c:pt>
                <c:pt idx="21">
                  <c:v>45718</c:v>
                </c:pt>
                <c:pt idx="22">
                  <c:v>45725</c:v>
                </c:pt>
                <c:pt idx="23">
                  <c:v>45732</c:v>
                </c:pt>
                <c:pt idx="24">
                  <c:v>45739</c:v>
                </c:pt>
                <c:pt idx="25">
                  <c:v>45746</c:v>
                </c:pt>
                <c:pt idx="26">
                  <c:v>45753</c:v>
                </c:pt>
                <c:pt idx="27">
                  <c:v>45760</c:v>
                </c:pt>
                <c:pt idx="28">
                  <c:v>45767</c:v>
                </c:pt>
                <c:pt idx="29">
                  <c:v>45774</c:v>
                </c:pt>
                <c:pt idx="30">
                  <c:v>45781</c:v>
                </c:pt>
                <c:pt idx="31">
                  <c:v>45788</c:v>
                </c:pt>
                <c:pt idx="32">
                  <c:v>45795</c:v>
                </c:pt>
                <c:pt idx="33">
                  <c:v>45802</c:v>
                </c:pt>
                <c:pt idx="34">
                  <c:v>45809</c:v>
                </c:pt>
                <c:pt idx="35">
                  <c:v>45816</c:v>
                </c:pt>
                <c:pt idx="36">
                  <c:v>45823</c:v>
                </c:pt>
                <c:pt idx="37">
                  <c:v>45830</c:v>
                </c:pt>
                <c:pt idx="38">
                  <c:v>45837</c:v>
                </c:pt>
                <c:pt idx="39">
                  <c:v>45844</c:v>
                </c:pt>
                <c:pt idx="40">
                  <c:v>45851</c:v>
                </c:pt>
                <c:pt idx="41">
                  <c:v>45858</c:v>
                </c:pt>
                <c:pt idx="42">
                  <c:v>45865</c:v>
                </c:pt>
                <c:pt idx="43">
                  <c:v>45872</c:v>
                </c:pt>
                <c:pt idx="44">
                  <c:v>45879</c:v>
                </c:pt>
                <c:pt idx="45">
                  <c:v>45886</c:v>
                </c:pt>
                <c:pt idx="46">
                  <c:v>45893</c:v>
                </c:pt>
                <c:pt idx="47">
                  <c:v>45900</c:v>
                </c:pt>
                <c:pt idx="48">
                  <c:v>45907</c:v>
                </c:pt>
                <c:pt idx="49">
                  <c:v>45914</c:v>
                </c:pt>
                <c:pt idx="50">
                  <c:v>45921</c:v>
                </c:pt>
                <c:pt idx="51">
                  <c:v>45928</c:v>
                </c:pt>
              </c:numCache>
            </c:numRef>
          </c:cat>
          <c:val>
            <c:numRef>
              <c:f>'[3]Weekly Visitation'!$M$3:$M$53</c:f>
              <c:numCache>
                <c:formatCode>General</c:formatCode>
                <c:ptCount val="51"/>
                <c:pt idx="0">
                  <c:v>0</c:v>
                </c:pt>
                <c:pt idx="1">
                  <c:v>14777</c:v>
                </c:pt>
                <c:pt idx="2">
                  <c:v>6069</c:v>
                </c:pt>
                <c:pt idx="3">
                  <c:v>25602.5</c:v>
                </c:pt>
                <c:pt idx="4">
                  <c:v>75593</c:v>
                </c:pt>
                <c:pt idx="5">
                  <c:v>31594.5</c:v>
                </c:pt>
                <c:pt idx="6">
                  <c:v>50669.5</c:v>
                </c:pt>
                <c:pt idx="7">
                  <c:v>43596</c:v>
                </c:pt>
                <c:pt idx="8">
                  <c:v>121660</c:v>
                </c:pt>
                <c:pt idx="9">
                  <c:v>23905</c:v>
                </c:pt>
                <c:pt idx="10">
                  <c:v>27545</c:v>
                </c:pt>
                <c:pt idx="11">
                  <c:v>20373.5</c:v>
                </c:pt>
                <c:pt idx="12">
                  <c:v>37656.5</c:v>
                </c:pt>
                <c:pt idx="13">
                  <c:v>120200.5</c:v>
                </c:pt>
                <c:pt idx="14">
                  <c:v>25025</c:v>
                </c:pt>
                <c:pt idx="15">
                  <c:v>34926.5</c:v>
                </c:pt>
                <c:pt idx="16">
                  <c:v>30446.5</c:v>
                </c:pt>
                <c:pt idx="17">
                  <c:v>24633</c:v>
                </c:pt>
                <c:pt idx="18">
                  <c:v>27300</c:v>
                </c:pt>
                <c:pt idx="19">
                  <c:v>82330.5</c:v>
                </c:pt>
                <c:pt idx="20">
                  <c:v>38293.5</c:v>
                </c:pt>
                <c:pt idx="21">
                  <c:v>29204</c:v>
                </c:pt>
                <c:pt idx="22">
                  <c:v>32536</c:v>
                </c:pt>
                <c:pt idx="23">
                  <c:v>27506.5</c:v>
                </c:pt>
                <c:pt idx="24">
                  <c:v>29564.5</c:v>
                </c:pt>
                <c:pt idx="25">
                  <c:v>29977.5</c:v>
                </c:pt>
                <c:pt idx="26">
                  <c:v>19771.5</c:v>
                </c:pt>
                <c:pt idx="27">
                  <c:v>13622</c:v>
                </c:pt>
                <c:pt idx="28">
                  <c:v>10787</c:v>
                </c:pt>
                <c:pt idx="29">
                  <c:v>10367</c:v>
                </c:pt>
                <c:pt idx="30">
                  <c:v>8221.5</c:v>
                </c:pt>
                <c:pt idx="31">
                  <c:v>4252.5</c:v>
                </c:pt>
                <c:pt idx="32">
                  <c:v>6937</c:v>
                </c:pt>
                <c:pt idx="33">
                  <c:v>6538</c:v>
                </c:pt>
                <c:pt idx="34">
                  <c:v>5649</c:v>
                </c:pt>
                <c:pt idx="35">
                  <c:v>5729.5</c:v>
                </c:pt>
                <c:pt idx="36">
                  <c:v>5537</c:v>
                </c:pt>
                <c:pt idx="37">
                  <c:v>5092.5</c:v>
                </c:pt>
                <c:pt idx="38">
                  <c:v>4714.5</c:v>
                </c:pt>
                <c:pt idx="39">
                  <c:v>4732</c:v>
                </c:pt>
                <c:pt idx="40">
                  <c:v>4655</c:v>
                </c:pt>
                <c:pt idx="41">
                  <c:v>7213.5</c:v>
                </c:pt>
                <c:pt idx="42">
                  <c:v>6930</c:v>
                </c:pt>
                <c:pt idx="43">
                  <c:v>6741</c:v>
                </c:pt>
                <c:pt idx="44">
                  <c:v>5404</c:v>
                </c:pt>
                <c:pt idx="45">
                  <c:v>7084</c:v>
                </c:pt>
                <c:pt idx="46">
                  <c:v>7070</c:v>
                </c:pt>
                <c:pt idx="47">
                  <c:v>5670</c:v>
                </c:pt>
                <c:pt idx="48">
                  <c:v>5523</c:v>
                </c:pt>
                <c:pt idx="49">
                  <c:v>5236</c:v>
                </c:pt>
                <c:pt idx="50">
                  <c:v>5127.5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BB-43FD-AC9D-751B7C5A250F}"/>
            </c:ext>
          </c:extLst>
        </c:ser>
        <c:ser>
          <c:idx val="7"/>
          <c:order val="7"/>
          <c:tx>
            <c:v>FY2022</c:v>
          </c:tx>
          <c:spPr>
            <a:ln w="15875" cap="rnd">
              <a:solidFill>
                <a:srgbClr val="FFC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'FY 2025 ISDRA Visitation'!$A$3:$A$54</c:f>
              <c:numCache>
                <c:formatCode>m/d/yyyy</c:formatCode>
                <c:ptCount val="52"/>
                <c:pt idx="0">
                  <c:v>45571</c:v>
                </c:pt>
                <c:pt idx="1">
                  <c:v>45578</c:v>
                </c:pt>
                <c:pt idx="2">
                  <c:v>45585</c:v>
                </c:pt>
                <c:pt idx="3">
                  <c:v>45592</c:v>
                </c:pt>
                <c:pt idx="4">
                  <c:v>45599</c:v>
                </c:pt>
                <c:pt idx="5">
                  <c:v>45606</c:v>
                </c:pt>
                <c:pt idx="6">
                  <c:v>45613</c:v>
                </c:pt>
                <c:pt idx="7">
                  <c:v>45620</c:v>
                </c:pt>
                <c:pt idx="8">
                  <c:v>45627</c:v>
                </c:pt>
                <c:pt idx="9">
                  <c:v>45634</c:v>
                </c:pt>
                <c:pt idx="10">
                  <c:v>45641</c:v>
                </c:pt>
                <c:pt idx="11">
                  <c:v>45648</c:v>
                </c:pt>
                <c:pt idx="12">
                  <c:v>45655</c:v>
                </c:pt>
                <c:pt idx="13">
                  <c:v>45662</c:v>
                </c:pt>
                <c:pt idx="14">
                  <c:v>45669</c:v>
                </c:pt>
                <c:pt idx="15">
                  <c:v>45676</c:v>
                </c:pt>
                <c:pt idx="16">
                  <c:v>45683</c:v>
                </c:pt>
                <c:pt idx="17">
                  <c:v>45690</c:v>
                </c:pt>
                <c:pt idx="18">
                  <c:v>45697</c:v>
                </c:pt>
                <c:pt idx="19">
                  <c:v>45704</c:v>
                </c:pt>
                <c:pt idx="20">
                  <c:v>45711</c:v>
                </c:pt>
                <c:pt idx="21">
                  <c:v>45718</c:v>
                </c:pt>
                <c:pt idx="22">
                  <c:v>45725</c:v>
                </c:pt>
                <c:pt idx="23">
                  <c:v>45732</c:v>
                </c:pt>
                <c:pt idx="24">
                  <c:v>45739</c:v>
                </c:pt>
                <c:pt idx="25">
                  <c:v>45746</c:v>
                </c:pt>
                <c:pt idx="26">
                  <c:v>45753</c:v>
                </c:pt>
                <c:pt idx="27">
                  <c:v>45760</c:v>
                </c:pt>
                <c:pt idx="28">
                  <c:v>45767</c:v>
                </c:pt>
                <c:pt idx="29">
                  <c:v>45774</c:v>
                </c:pt>
                <c:pt idx="30">
                  <c:v>45781</c:v>
                </c:pt>
                <c:pt idx="31">
                  <c:v>45788</c:v>
                </c:pt>
                <c:pt idx="32">
                  <c:v>45795</c:v>
                </c:pt>
                <c:pt idx="33">
                  <c:v>45802</c:v>
                </c:pt>
                <c:pt idx="34">
                  <c:v>45809</c:v>
                </c:pt>
                <c:pt idx="35">
                  <c:v>45816</c:v>
                </c:pt>
                <c:pt idx="36">
                  <c:v>45823</c:v>
                </c:pt>
                <c:pt idx="37">
                  <c:v>45830</c:v>
                </c:pt>
                <c:pt idx="38">
                  <c:v>45837</c:v>
                </c:pt>
                <c:pt idx="39">
                  <c:v>45844</c:v>
                </c:pt>
                <c:pt idx="40">
                  <c:v>45851</c:v>
                </c:pt>
                <c:pt idx="41">
                  <c:v>45858</c:v>
                </c:pt>
                <c:pt idx="42">
                  <c:v>45865</c:v>
                </c:pt>
                <c:pt idx="43">
                  <c:v>45872</c:v>
                </c:pt>
                <c:pt idx="44">
                  <c:v>45879</c:v>
                </c:pt>
                <c:pt idx="45">
                  <c:v>45886</c:v>
                </c:pt>
                <c:pt idx="46">
                  <c:v>45893</c:v>
                </c:pt>
                <c:pt idx="47">
                  <c:v>45900</c:v>
                </c:pt>
                <c:pt idx="48">
                  <c:v>45907</c:v>
                </c:pt>
                <c:pt idx="49">
                  <c:v>45914</c:v>
                </c:pt>
                <c:pt idx="50">
                  <c:v>45921</c:v>
                </c:pt>
                <c:pt idx="51">
                  <c:v>45928</c:v>
                </c:pt>
              </c:numCache>
            </c:numRef>
          </c:cat>
          <c:val>
            <c:numRef>
              <c:f>'[4]Weekly Visitation'!$M$7:$M$58</c:f>
              <c:numCache>
                <c:formatCode>General</c:formatCode>
                <c:ptCount val="52"/>
                <c:pt idx="0">
                  <c:v>7234.5</c:v>
                </c:pt>
                <c:pt idx="1">
                  <c:v>8158.5</c:v>
                </c:pt>
                <c:pt idx="2">
                  <c:v>10738</c:v>
                </c:pt>
                <c:pt idx="3">
                  <c:v>17640</c:v>
                </c:pt>
                <c:pt idx="4">
                  <c:v>78795.5</c:v>
                </c:pt>
                <c:pt idx="5">
                  <c:v>26288.5</c:v>
                </c:pt>
                <c:pt idx="6">
                  <c:v>48877.5</c:v>
                </c:pt>
                <c:pt idx="7">
                  <c:v>35882</c:v>
                </c:pt>
                <c:pt idx="8">
                  <c:v>127645</c:v>
                </c:pt>
                <c:pt idx="9">
                  <c:v>17297</c:v>
                </c:pt>
                <c:pt idx="10">
                  <c:v>24146.5</c:v>
                </c:pt>
                <c:pt idx="11">
                  <c:v>16373</c:v>
                </c:pt>
                <c:pt idx="12">
                  <c:v>22421</c:v>
                </c:pt>
                <c:pt idx="13">
                  <c:v>104755</c:v>
                </c:pt>
                <c:pt idx="14">
                  <c:v>21822.5</c:v>
                </c:pt>
                <c:pt idx="15">
                  <c:v>32623.5</c:v>
                </c:pt>
                <c:pt idx="16">
                  <c:v>20181</c:v>
                </c:pt>
                <c:pt idx="17">
                  <c:v>23681</c:v>
                </c:pt>
                <c:pt idx="18">
                  <c:v>19201</c:v>
                </c:pt>
                <c:pt idx="19">
                  <c:v>23691.5</c:v>
                </c:pt>
                <c:pt idx="20">
                  <c:v>84126</c:v>
                </c:pt>
                <c:pt idx="21">
                  <c:v>28794.5</c:v>
                </c:pt>
                <c:pt idx="22">
                  <c:v>17696</c:v>
                </c:pt>
                <c:pt idx="23">
                  <c:v>24157</c:v>
                </c:pt>
                <c:pt idx="24">
                  <c:v>23411.5</c:v>
                </c:pt>
                <c:pt idx="25">
                  <c:v>15799</c:v>
                </c:pt>
                <c:pt idx="26">
                  <c:v>14164.5</c:v>
                </c:pt>
                <c:pt idx="27">
                  <c:v>7966</c:v>
                </c:pt>
                <c:pt idx="28">
                  <c:v>10997</c:v>
                </c:pt>
                <c:pt idx="29">
                  <c:v>6881</c:v>
                </c:pt>
                <c:pt idx="30">
                  <c:v>5607</c:v>
                </c:pt>
                <c:pt idx="31">
                  <c:v>5523</c:v>
                </c:pt>
                <c:pt idx="32">
                  <c:v>6636</c:v>
                </c:pt>
                <c:pt idx="33">
                  <c:v>6510</c:v>
                </c:pt>
                <c:pt idx="34">
                  <c:v>3447.5</c:v>
                </c:pt>
                <c:pt idx="35">
                  <c:v>3451</c:v>
                </c:pt>
                <c:pt idx="36">
                  <c:v>3451</c:v>
                </c:pt>
                <c:pt idx="37">
                  <c:v>3437</c:v>
                </c:pt>
                <c:pt idx="38">
                  <c:v>3454.5</c:v>
                </c:pt>
                <c:pt idx="39">
                  <c:v>5474</c:v>
                </c:pt>
                <c:pt idx="40">
                  <c:v>5509</c:v>
                </c:pt>
                <c:pt idx="41">
                  <c:v>4963</c:v>
                </c:pt>
                <c:pt idx="42">
                  <c:v>4406.5</c:v>
                </c:pt>
                <c:pt idx="43">
                  <c:v>4203.5</c:v>
                </c:pt>
                <c:pt idx="44">
                  <c:v>3986.5</c:v>
                </c:pt>
                <c:pt idx="45">
                  <c:v>3808</c:v>
                </c:pt>
                <c:pt idx="46">
                  <c:v>3671.5</c:v>
                </c:pt>
                <c:pt idx="47">
                  <c:v>4154.5</c:v>
                </c:pt>
                <c:pt idx="48">
                  <c:v>4256</c:v>
                </c:pt>
                <c:pt idx="49">
                  <c:v>4361</c:v>
                </c:pt>
                <c:pt idx="50">
                  <c:v>4361</c:v>
                </c:pt>
                <c:pt idx="51">
                  <c:v>7437.5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BB-43FD-AC9D-751B7C5A250F}"/>
            </c:ext>
          </c:extLst>
        </c:ser>
        <c:ser>
          <c:idx val="8"/>
          <c:order val="8"/>
          <c:tx>
            <c:v>FY 2023</c:v>
          </c:tx>
          <c:spPr>
            <a:ln w="15875" cap="rnd">
              <a:solidFill>
                <a:sysClr val="window" lastClr="FFFFFF"/>
              </a:solidFill>
              <a:prstDash val="solid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'FY 2025 ISDRA Visitation'!$A$3:$A$54</c:f>
              <c:numCache>
                <c:formatCode>m/d/yyyy</c:formatCode>
                <c:ptCount val="52"/>
                <c:pt idx="0">
                  <c:v>45571</c:v>
                </c:pt>
                <c:pt idx="1">
                  <c:v>45578</c:v>
                </c:pt>
                <c:pt idx="2">
                  <c:v>45585</c:v>
                </c:pt>
                <c:pt idx="3">
                  <c:v>45592</c:v>
                </c:pt>
                <c:pt idx="4">
                  <c:v>45599</c:v>
                </c:pt>
                <c:pt idx="5">
                  <c:v>45606</c:v>
                </c:pt>
                <c:pt idx="6">
                  <c:v>45613</c:v>
                </c:pt>
                <c:pt idx="7">
                  <c:v>45620</c:v>
                </c:pt>
                <c:pt idx="8">
                  <c:v>45627</c:v>
                </c:pt>
                <c:pt idx="9">
                  <c:v>45634</c:v>
                </c:pt>
                <c:pt idx="10">
                  <c:v>45641</c:v>
                </c:pt>
                <c:pt idx="11">
                  <c:v>45648</c:v>
                </c:pt>
                <c:pt idx="12">
                  <c:v>45655</c:v>
                </c:pt>
                <c:pt idx="13">
                  <c:v>45662</c:v>
                </c:pt>
                <c:pt idx="14">
                  <c:v>45669</c:v>
                </c:pt>
                <c:pt idx="15">
                  <c:v>45676</c:v>
                </c:pt>
                <c:pt idx="16">
                  <c:v>45683</c:v>
                </c:pt>
                <c:pt idx="17">
                  <c:v>45690</c:v>
                </c:pt>
                <c:pt idx="18">
                  <c:v>45697</c:v>
                </c:pt>
                <c:pt idx="19">
                  <c:v>45704</c:v>
                </c:pt>
                <c:pt idx="20">
                  <c:v>45711</c:v>
                </c:pt>
                <c:pt idx="21">
                  <c:v>45718</c:v>
                </c:pt>
                <c:pt idx="22">
                  <c:v>45725</c:v>
                </c:pt>
                <c:pt idx="23">
                  <c:v>45732</c:v>
                </c:pt>
                <c:pt idx="24">
                  <c:v>45739</c:v>
                </c:pt>
                <c:pt idx="25">
                  <c:v>45746</c:v>
                </c:pt>
                <c:pt idx="26">
                  <c:v>45753</c:v>
                </c:pt>
                <c:pt idx="27">
                  <c:v>45760</c:v>
                </c:pt>
                <c:pt idx="28">
                  <c:v>45767</c:v>
                </c:pt>
                <c:pt idx="29">
                  <c:v>45774</c:v>
                </c:pt>
                <c:pt idx="30">
                  <c:v>45781</c:v>
                </c:pt>
                <c:pt idx="31">
                  <c:v>45788</c:v>
                </c:pt>
                <c:pt idx="32">
                  <c:v>45795</c:v>
                </c:pt>
                <c:pt idx="33">
                  <c:v>45802</c:v>
                </c:pt>
                <c:pt idx="34">
                  <c:v>45809</c:v>
                </c:pt>
                <c:pt idx="35">
                  <c:v>45816</c:v>
                </c:pt>
                <c:pt idx="36">
                  <c:v>45823</c:v>
                </c:pt>
                <c:pt idx="37">
                  <c:v>45830</c:v>
                </c:pt>
                <c:pt idx="38">
                  <c:v>45837</c:v>
                </c:pt>
                <c:pt idx="39">
                  <c:v>45844</c:v>
                </c:pt>
                <c:pt idx="40">
                  <c:v>45851</c:v>
                </c:pt>
                <c:pt idx="41">
                  <c:v>45858</c:v>
                </c:pt>
                <c:pt idx="42">
                  <c:v>45865</c:v>
                </c:pt>
                <c:pt idx="43">
                  <c:v>45872</c:v>
                </c:pt>
                <c:pt idx="44">
                  <c:v>45879</c:v>
                </c:pt>
                <c:pt idx="45">
                  <c:v>45886</c:v>
                </c:pt>
                <c:pt idx="46">
                  <c:v>45893</c:v>
                </c:pt>
                <c:pt idx="47">
                  <c:v>45900</c:v>
                </c:pt>
                <c:pt idx="48">
                  <c:v>45907</c:v>
                </c:pt>
                <c:pt idx="49">
                  <c:v>45914</c:v>
                </c:pt>
                <c:pt idx="50">
                  <c:v>45921</c:v>
                </c:pt>
                <c:pt idx="51">
                  <c:v>45928</c:v>
                </c:pt>
              </c:numCache>
            </c:numRef>
          </c:cat>
          <c:val>
            <c:numRef>
              <c:f>'[1]Weely Visitation'!$R$4:$R$55</c:f>
              <c:numCache>
                <c:formatCode>General</c:formatCode>
                <c:ptCount val="52"/>
                <c:pt idx="0">
                  <c:v>4770.5</c:v>
                </c:pt>
                <c:pt idx="1">
                  <c:v>5694.5</c:v>
                </c:pt>
                <c:pt idx="2">
                  <c:v>9184</c:v>
                </c:pt>
                <c:pt idx="3">
                  <c:v>14486.5</c:v>
                </c:pt>
                <c:pt idx="4">
                  <c:v>79320.5</c:v>
                </c:pt>
                <c:pt idx="5">
                  <c:v>19607</c:v>
                </c:pt>
                <c:pt idx="6">
                  <c:v>35262.5</c:v>
                </c:pt>
                <c:pt idx="7">
                  <c:v>27531</c:v>
                </c:pt>
                <c:pt idx="8">
                  <c:v>99596</c:v>
                </c:pt>
                <c:pt idx="9">
                  <c:v>13898.5</c:v>
                </c:pt>
                <c:pt idx="10">
                  <c:v>22967</c:v>
                </c:pt>
                <c:pt idx="11">
                  <c:v>13895</c:v>
                </c:pt>
                <c:pt idx="12">
                  <c:v>13307</c:v>
                </c:pt>
                <c:pt idx="13">
                  <c:v>106519</c:v>
                </c:pt>
                <c:pt idx="14">
                  <c:v>25469.5</c:v>
                </c:pt>
                <c:pt idx="15">
                  <c:v>31216.5</c:v>
                </c:pt>
                <c:pt idx="16">
                  <c:v>19530</c:v>
                </c:pt>
                <c:pt idx="17">
                  <c:v>19467</c:v>
                </c:pt>
                <c:pt idx="18">
                  <c:v>23688</c:v>
                </c:pt>
                <c:pt idx="19">
                  <c:v>20839</c:v>
                </c:pt>
                <c:pt idx="20">
                  <c:v>71659</c:v>
                </c:pt>
                <c:pt idx="21">
                  <c:v>26390</c:v>
                </c:pt>
                <c:pt idx="22">
                  <c:v>26778.5</c:v>
                </c:pt>
                <c:pt idx="23">
                  <c:v>20590.5</c:v>
                </c:pt>
                <c:pt idx="24">
                  <c:v>24139.5</c:v>
                </c:pt>
                <c:pt idx="25">
                  <c:v>20146</c:v>
                </c:pt>
                <c:pt idx="26">
                  <c:v>19911.5</c:v>
                </c:pt>
                <c:pt idx="27">
                  <c:v>15641.5</c:v>
                </c:pt>
                <c:pt idx="28">
                  <c:v>14108.5</c:v>
                </c:pt>
                <c:pt idx="29">
                  <c:v>13580</c:v>
                </c:pt>
                <c:pt idx="30">
                  <c:v>5547.5</c:v>
                </c:pt>
                <c:pt idx="31">
                  <c:v>5411</c:v>
                </c:pt>
                <c:pt idx="32">
                  <c:v>5316.5</c:v>
                </c:pt>
                <c:pt idx="33">
                  <c:v>4147.5</c:v>
                </c:pt>
                <c:pt idx="34">
                  <c:v>4147.5</c:v>
                </c:pt>
                <c:pt idx="35">
                  <c:v>4147.5</c:v>
                </c:pt>
                <c:pt idx="36">
                  <c:v>4147.5</c:v>
                </c:pt>
                <c:pt idx="37">
                  <c:v>4147.5</c:v>
                </c:pt>
                <c:pt idx="38">
                  <c:v>4147.5</c:v>
                </c:pt>
                <c:pt idx="39">
                  <c:v>4147.5</c:v>
                </c:pt>
                <c:pt idx="40">
                  <c:v>4147.5</c:v>
                </c:pt>
                <c:pt idx="41">
                  <c:v>4147.5</c:v>
                </c:pt>
                <c:pt idx="42">
                  <c:v>4147.5</c:v>
                </c:pt>
                <c:pt idx="43">
                  <c:v>4147.5</c:v>
                </c:pt>
                <c:pt idx="44">
                  <c:v>4147.5</c:v>
                </c:pt>
                <c:pt idx="45">
                  <c:v>4147.5</c:v>
                </c:pt>
                <c:pt idx="46">
                  <c:v>4147.5</c:v>
                </c:pt>
                <c:pt idx="47">
                  <c:v>4147.5</c:v>
                </c:pt>
                <c:pt idx="48">
                  <c:v>4522</c:v>
                </c:pt>
                <c:pt idx="49">
                  <c:v>4522</c:v>
                </c:pt>
                <c:pt idx="50">
                  <c:v>4522</c:v>
                </c:pt>
                <c:pt idx="51">
                  <c:v>4522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BB-43FD-AC9D-751B7C5A250F}"/>
            </c:ext>
          </c:extLst>
        </c:ser>
        <c:ser>
          <c:idx val="9"/>
          <c:order val="9"/>
          <c:tx>
            <c:v>FY2024</c:v>
          </c:tx>
          <c:spPr>
            <a:ln w="19050" cap="rnd">
              <a:solidFill>
                <a:srgbClr val="B7F40A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'FY 2025 ISDRA Visitation'!$A$3:$A$54</c:f>
              <c:numCache>
                <c:formatCode>m/d/yyyy</c:formatCode>
                <c:ptCount val="52"/>
                <c:pt idx="0">
                  <c:v>45571</c:v>
                </c:pt>
                <c:pt idx="1">
                  <c:v>45578</c:v>
                </c:pt>
                <c:pt idx="2">
                  <c:v>45585</c:v>
                </c:pt>
                <c:pt idx="3">
                  <c:v>45592</c:v>
                </c:pt>
                <c:pt idx="4">
                  <c:v>45599</c:v>
                </c:pt>
                <c:pt idx="5">
                  <c:v>45606</c:v>
                </c:pt>
                <c:pt idx="6">
                  <c:v>45613</c:v>
                </c:pt>
                <c:pt idx="7">
                  <c:v>45620</c:v>
                </c:pt>
                <c:pt idx="8">
                  <c:v>45627</c:v>
                </c:pt>
                <c:pt idx="9">
                  <c:v>45634</c:v>
                </c:pt>
                <c:pt idx="10">
                  <c:v>45641</c:v>
                </c:pt>
                <c:pt idx="11">
                  <c:v>45648</c:v>
                </c:pt>
                <c:pt idx="12">
                  <c:v>45655</c:v>
                </c:pt>
                <c:pt idx="13">
                  <c:v>45662</c:v>
                </c:pt>
                <c:pt idx="14">
                  <c:v>45669</c:v>
                </c:pt>
                <c:pt idx="15">
                  <c:v>45676</c:v>
                </c:pt>
                <c:pt idx="16">
                  <c:v>45683</c:v>
                </c:pt>
                <c:pt idx="17">
                  <c:v>45690</c:v>
                </c:pt>
                <c:pt idx="18">
                  <c:v>45697</c:v>
                </c:pt>
                <c:pt idx="19">
                  <c:v>45704</c:v>
                </c:pt>
                <c:pt idx="20">
                  <c:v>45711</c:v>
                </c:pt>
                <c:pt idx="21">
                  <c:v>45718</c:v>
                </c:pt>
                <c:pt idx="22">
                  <c:v>45725</c:v>
                </c:pt>
                <c:pt idx="23">
                  <c:v>45732</c:v>
                </c:pt>
                <c:pt idx="24">
                  <c:v>45739</c:v>
                </c:pt>
                <c:pt idx="25">
                  <c:v>45746</c:v>
                </c:pt>
                <c:pt idx="26">
                  <c:v>45753</c:v>
                </c:pt>
                <c:pt idx="27">
                  <c:v>45760</c:v>
                </c:pt>
                <c:pt idx="28">
                  <c:v>45767</c:v>
                </c:pt>
                <c:pt idx="29">
                  <c:v>45774</c:v>
                </c:pt>
                <c:pt idx="30">
                  <c:v>45781</c:v>
                </c:pt>
                <c:pt idx="31">
                  <c:v>45788</c:v>
                </c:pt>
                <c:pt idx="32">
                  <c:v>45795</c:v>
                </c:pt>
                <c:pt idx="33">
                  <c:v>45802</c:v>
                </c:pt>
                <c:pt idx="34">
                  <c:v>45809</c:v>
                </c:pt>
                <c:pt idx="35">
                  <c:v>45816</c:v>
                </c:pt>
                <c:pt idx="36">
                  <c:v>45823</c:v>
                </c:pt>
                <c:pt idx="37">
                  <c:v>45830</c:v>
                </c:pt>
                <c:pt idx="38">
                  <c:v>45837</c:v>
                </c:pt>
                <c:pt idx="39">
                  <c:v>45844</c:v>
                </c:pt>
                <c:pt idx="40">
                  <c:v>45851</c:v>
                </c:pt>
                <c:pt idx="41">
                  <c:v>45858</c:v>
                </c:pt>
                <c:pt idx="42">
                  <c:v>45865</c:v>
                </c:pt>
                <c:pt idx="43">
                  <c:v>45872</c:v>
                </c:pt>
                <c:pt idx="44">
                  <c:v>45879</c:v>
                </c:pt>
                <c:pt idx="45">
                  <c:v>45886</c:v>
                </c:pt>
                <c:pt idx="46">
                  <c:v>45893</c:v>
                </c:pt>
                <c:pt idx="47">
                  <c:v>45900</c:v>
                </c:pt>
                <c:pt idx="48">
                  <c:v>45907</c:v>
                </c:pt>
                <c:pt idx="49">
                  <c:v>45914</c:v>
                </c:pt>
                <c:pt idx="50">
                  <c:v>45921</c:v>
                </c:pt>
                <c:pt idx="51">
                  <c:v>45928</c:v>
                </c:pt>
              </c:numCache>
            </c:numRef>
          </c:cat>
          <c:val>
            <c:numRef>
              <c:f>'[1]Weely Visitation'!$M$4:$M$55</c:f>
              <c:numCache>
                <c:formatCode>General</c:formatCode>
                <c:ptCount val="52"/>
                <c:pt idx="0">
                  <c:v>5505.5</c:v>
                </c:pt>
                <c:pt idx="1">
                  <c:v>6076</c:v>
                </c:pt>
                <c:pt idx="2">
                  <c:v>9313.5</c:v>
                </c:pt>
                <c:pt idx="3">
                  <c:v>15340.5</c:v>
                </c:pt>
                <c:pt idx="4">
                  <c:v>115419.5</c:v>
                </c:pt>
                <c:pt idx="5">
                  <c:v>25480</c:v>
                </c:pt>
                <c:pt idx="6">
                  <c:v>50501.5</c:v>
                </c:pt>
                <c:pt idx="7">
                  <c:v>32875.5</c:v>
                </c:pt>
                <c:pt idx="8">
                  <c:v>116028.5</c:v>
                </c:pt>
                <c:pt idx="9">
                  <c:v>17090.5</c:v>
                </c:pt>
                <c:pt idx="10">
                  <c:v>19981.5</c:v>
                </c:pt>
                <c:pt idx="11">
                  <c:v>17216.5</c:v>
                </c:pt>
                <c:pt idx="12">
                  <c:v>16331</c:v>
                </c:pt>
                <c:pt idx="13">
                  <c:v>126444.5</c:v>
                </c:pt>
                <c:pt idx="14">
                  <c:v>25280.5</c:v>
                </c:pt>
                <c:pt idx="15">
                  <c:v>29617</c:v>
                </c:pt>
                <c:pt idx="16">
                  <c:v>20212.5</c:v>
                </c:pt>
                <c:pt idx="17">
                  <c:v>19540.5</c:v>
                </c:pt>
                <c:pt idx="18">
                  <c:v>20727</c:v>
                </c:pt>
                <c:pt idx="19">
                  <c:v>19551</c:v>
                </c:pt>
                <c:pt idx="20">
                  <c:v>78925</c:v>
                </c:pt>
                <c:pt idx="21">
                  <c:v>26705</c:v>
                </c:pt>
                <c:pt idx="22">
                  <c:v>17580.5</c:v>
                </c:pt>
                <c:pt idx="23">
                  <c:v>25851</c:v>
                </c:pt>
                <c:pt idx="24">
                  <c:v>43158.5</c:v>
                </c:pt>
                <c:pt idx="25">
                  <c:v>22354.5</c:v>
                </c:pt>
                <c:pt idx="26">
                  <c:v>15666</c:v>
                </c:pt>
                <c:pt idx="27">
                  <c:v>14161</c:v>
                </c:pt>
                <c:pt idx="28">
                  <c:v>9901.5</c:v>
                </c:pt>
                <c:pt idx="29">
                  <c:v>13580</c:v>
                </c:pt>
                <c:pt idx="30">
                  <c:v>5547.5</c:v>
                </c:pt>
                <c:pt idx="31">
                  <c:v>5411</c:v>
                </c:pt>
                <c:pt idx="32">
                  <c:v>5316.5</c:v>
                </c:pt>
                <c:pt idx="33">
                  <c:v>5159</c:v>
                </c:pt>
                <c:pt idx="34">
                  <c:v>5159</c:v>
                </c:pt>
                <c:pt idx="35">
                  <c:v>5159</c:v>
                </c:pt>
                <c:pt idx="36">
                  <c:v>5159</c:v>
                </c:pt>
                <c:pt idx="37">
                  <c:v>5159</c:v>
                </c:pt>
                <c:pt idx="38">
                  <c:v>5159</c:v>
                </c:pt>
                <c:pt idx="39">
                  <c:v>5159</c:v>
                </c:pt>
                <c:pt idx="40">
                  <c:v>5159</c:v>
                </c:pt>
                <c:pt idx="41">
                  <c:v>5159</c:v>
                </c:pt>
                <c:pt idx="42">
                  <c:v>5159</c:v>
                </c:pt>
                <c:pt idx="43">
                  <c:v>5159</c:v>
                </c:pt>
                <c:pt idx="44">
                  <c:v>5159</c:v>
                </c:pt>
                <c:pt idx="45">
                  <c:v>5159</c:v>
                </c:pt>
                <c:pt idx="46">
                  <c:v>5159</c:v>
                </c:pt>
                <c:pt idx="47">
                  <c:v>5159</c:v>
                </c:pt>
                <c:pt idx="48">
                  <c:v>5533.5</c:v>
                </c:pt>
                <c:pt idx="49">
                  <c:v>5533.5</c:v>
                </c:pt>
                <c:pt idx="50">
                  <c:v>5533.5</c:v>
                </c:pt>
                <c:pt idx="51">
                  <c:v>5533.5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BB-43FD-AC9D-751B7C5A250F}"/>
            </c:ext>
          </c:extLst>
        </c:ser>
        <c:ser>
          <c:idx val="10"/>
          <c:order val="10"/>
          <c:tx>
            <c:v>FY2025</c:v>
          </c:tx>
          <c:spPr>
            <a:ln w="41275" cap="rnd">
              <a:solidFill>
                <a:srgbClr val="E729D0"/>
              </a:solidFill>
              <a:prstDash val="sys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'FY 2025 ISDRA Visitation'!$A$3:$A$54</c:f>
              <c:numCache>
                <c:formatCode>m/d/yyyy</c:formatCode>
                <c:ptCount val="52"/>
                <c:pt idx="0">
                  <c:v>45571</c:v>
                </c:pt>
                <c:pt idx="1">
                  <c:v>45578</c:v>
                </c:pt>
                <c:pt idx="2">
                  <c:v>45585</c:v>
                </c:pt>
                <c:pt idx="3">
                  <c:v>45592</c:v>
                </c:pt>
                <c:pt idx="4">
                  <c:v>45599</c:v>
                </c:pt>
                <c:pt idx="5">
                  <c:v>45606</c:v>
                </c:pt>
                <c:pt idx="6">
                  <c:v>45613</c:v>
                </c:pt>
                <c:pt idx="7">
                  <c:v>45620</c:v>
                </c:pt>
                <c:pt idx="8">
                  <c:v>45627</c:v>
                </c:pt>
                <c:pt idx="9">
                  <c:v>45634</c:v>
                </c:pt>
                <c:pt idx="10">
                  <c:v>45641</c:v>
                </c:pt>
                <c:pt idx="11">
                  <c:v>45648</c:v>
                </c:pt>
                <c:pt idx="12">
                  <c:v>45655</c:v>
                </c:pt>
                <c:pt idx="13">
                  <c:v>45662</c:v>
                </c:pt>
                <c:pt idx="14">
                  <c:v>45669</c:v>
                </c:pt>
                <c:pt idx="15">
                  <c:v>45676</c:v>
                </c:pt>
                <c:pt idx="16">
                  <c:v>45683</c:v>
                </c:pt>
                <c:pt idx="17">
                  <c:v>45690</c:v>
                </c:pt>
                <c:pt idx="18">
                  <c:v>45697</c:v>
                </c:pt>
                <c:pt idx="19">
                  <c:v>45704</c:v>
                </c:pt>
                <c:pt idx="20">
                  <c:v>45711</c:v>
                </c:pt>
                <c:pt idx="21">
                  <c:v>45718</c:v>
                </c:pt>
                <c:pt idx="22">
                  <c:v>45725</c:v>
                </c:pt>
                <c:pt idx="23">
                  <c:v>45732</c:v>
                </c:pt>
                <c:pt idx="24">
                  <c:v>45739</c:v>
                </c:pt>
                <c:pt idx="25">
                  <c:v>45746</c:v>
                </c:pt>
                <c:pt idx="26">
                  <c:v>45753</c:v>
                </c:pt>
                <c:pt idx="27">
                  <c:v>45760</c:v>
                </c:pt>
                <c:pt idx="28">
                  <c:v>45767</c:v>
                </c:pt>
                <c:pt idx="29">
                  <c:v>45774</c:v>
                </c:pt>
                <c:pt idx="30">
                  <c:v>45781</c:v>
                </c:pt>
                <c:pt idx="31">
                  <c:v>45788</c:v>
                </c:pt>
                <c:pt idx="32">
                  <c:v>45795</c:v>
                </c:pt>
                <c:pt idx="33">
                  <c:v>45802</c:v>
                </c:pt>
                <c:pt idx="34">
                  <c:v>45809</c:v>
                </c:pt>
                <c:pt idx="35">
                  <c:v>45816</c:v>
                </c:pt>
                <c:pt idx="36">
                  <c:v>45823</c:v>
                </c:pt>
                <c:pt idx="37">
                  <c:v>45830</c:v>
                </c:pt>
                <c:pt idx="38">
                  <c:v>45837</c:v>
                </c:pt>
                <c:pt idx="39">
                  <c:v>45844</c:v>
                </c:pt>
                <c:pt idx="40">
                  <c:v>45851</c:v>
                </c:pt>
                <c:pt idx="41">
                  <c:v>45858</c:v>
                </c:pt>
                <c:pt idx="42">
                  <c:v>45865</c:v>
                </c:pt>
                <c:pt idx="43">
                  <c:v>45872</c:v>
                </c:pt>
                <c:pt idx="44">
                  <c:v>45879</c:v>
                </c:pt>
                <c:pt idx="45">
                  <c:v>45886</c:v>
                </c:pt>
                <c:pt idx="46">
                  <c:v>45893</c:v>
                </c:pt>
                <c:pt idx="47">
                  <c:v>45900</c:v>
                </c:pt>
                <c:pt idx="48">
                  <c:v>45907</c:v>
                </c:pt>
                <c:pt idx="49">
                  <c:v>45914</c:v>
                </c:pt>
                <c:pt idx="50">
                  <c:v>45921</c:v>
                </c:pt>
                <c:pt idx="51">
                  <c:v>45928</c:v>
                </c:pt>
              </c:numCache>
            </c:numRef>
          </c:cat>
          <c:val>
            <c:numRef>
              <c:f>'FY 2025 ISDRA Visitation'!$L$3:$L$54</c:f>
              <c:numCache>
                <c:formatCode>0</c:formatCode>
                <c:ptCount val="52"/>
                <c:pt idx="0">
                  <c:v>4847.5</c:v>
                </c:pt>
                <c:pt idx="1">
                  <c:v>5719</c:v>
                </c:pt>
                <c:pt idx="2">
                  <c:v>10405.5</c:v>
                </c:pt>
                <c:pt idx="3">
                  <c:v>16530.5</c:v>
                </c:pt>
                <c:pt idx="4">
                  <c:v>122279.5</c:v>
                </c:pt>
                <c:pt idx="5">
                  <c:v>53679.5</c:v>
                </c:pt>
                <c:pt idx="6">
                  <c:v>24059</c:v>
                </c:pt>
                <c:pt idx="7">
                  <c:v>30467.5</c:v>
                </c:pt>
                <c:pt idx="8">
                  <c:v>120088.5</c:v>
                </c:pt>
                <c:pt idx="9">
                  <c:v>19712</c:v>
                </c:pt>
                <c:pt idx="10">
                  <c:v>15018.5</c:v>
                </c:pt>
                <c:pt idx="11">
                  <c:v>18406.5</c:v>
                </c:pt>
                <c:pt idx="12">
                  <c:v>76111</c:v>
                </c:pt>
                <c:pt idx="13">
                  <c:v>63087.5</c:v>
                </c:pt>
                <c:pt idx="14">
                  <c:v>18651.5</c:v>
                </c:pt>
                <c:pt idx="15">
                  <c:v>33190.5</c:v>
                </c:pt>
                <c:pt idx="16">
                  <c:v>22123.5</c:v>
                </c:pt>
                <c:pt idx="17">
                  <c:v>20009.5</c:v>
                </c:pt>
                <c:pt idx="18">
                  <c:v>21336</c:v>
                </c:pt>
                <c:pt idx="19">
                  <c:v>69184.5</c:v>
                </c:pt>
                <c:pt idx="20">
                  <c:v>32963</c:v>
                </c:pt>
                <c:pt idx="21">
                  <c:v>29421</c:v>
                </c:pt>
                <c:pt idx="22">
                  <c:v>15918</c:v>
                </c:pt>
                <c:pt idx="23">
                  <c:v>24668</c:v>
                </c:pt>
                <c:pt idx="24">
                  <c:v>21441</c:v>
                </c:pt>
                <c:pt idx="25">
                  <c:v>14045.5</c:v>
                </c:pt>
                <c:pt idx="26">
                  <c:v>12348</c:v>
                </c:pt>
                <c:pt idx="27">
                  <c:v>6692</c:v>
                </c:pt>
                <c:pt idx="28">
                  <c:v>9226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23751</c:v>
                </c:pt>
                <c:pt idx="34">
                  <c:v>5670</c:v>
                </c:pt>
                <c:pt idx="35">
                  <c:v>0</c:v>
                </c:pt>
                <c:pt idx="36">
                  <c:v>5078.5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23859.5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34601</c:v>
                </c:pt>
                <c:pt idx="51">
                  <c:v>5950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CBB-43FD-AC9D-751B7C5A2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3247528"/>
        <c:axId val="7832540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FY 2019</c:v>
                </c:tx>
                <c:spPr>
                  <a:ln w="6350" cap="rnd">
                    <a:solidFill>
                      <a:srgbClr val="0070C0"/>
                    </a:solidFill>
                    <a:prstDash val="solid"/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'FY 2025 ISDRA Visitation'!$A$3:$A$54</c15:sqref>
                        </c15:formulaRef>
                      </c:ext>
                    </c:extLst>
                    <c:numCache>
                      <c:formatCode>m/d/yyyy</c:formatCode>
                      <c:ptCount val="52"/>
                      <c:pt idx="0">
                        <c:v>45571</c:v>
                      </c:pt>
                      <c:pt idx="1">
                        <c:v>45578</c:v>
                      </c:pt>
                      <c:pt idx="2">
                        <c:v>45585</c:v>
                      </c:pt>
                      <c:pt idx="3">
                        <c:v>45592</c:v>
                      </c:pt>
                      <c:pt idx="4">
                        <c:v>45599</c:v>
                      </c:pt>
                      <c:pt idx="5">
                        <c:v>45606</c:v>
                      </c:pt>
                      <c:pt idx="6">
                        <c:v>45613</c:v>
                      </c:pt>
                      <c:pt idx="7">
                        <c:v>45620</c:v>
                      </c:pt>
                      <c:pt idx="8">
                        <c:v>45627</c:v>
                      </c:pt>
                      <c:pt idx="9">
                        <c:v>45634</c:v>
                      </c:pt>
                      <c:pt idx="10">
                        <c:v>45641</c:v>
                      </c:pt>
                      <c:pt idx="11">
                        <c:v>45648</c:v>
                      </c:pt>
                      <c:pt idx="12">
                        <c:v>45655</c:v>
                      </c:pt>
                      <c:pt idx="13">
                        <c:v>45662</c:v>
                      </c:pt>
                      <c:pt idx="14">
                        <c:v>45669</c:v>
                      </c:pt>
                      <c:pt idx="15">
                        <c:v>45676</c:v>
                      </c:pt>
                      <c:pt idx="16">
                        <c:v>45683</c:v>
                      </c:pt>
                      <c:pt idx="17">
                        <c:v>45690</c:v>
                      </c:pt>
                      <c:pt idx="18">
                        <c:v>45697</c:v>
                      </c:pt>
                      <c:pt idx="19">
                        <c:v>45704</c:v>
                      </c:pt>
                      <c:pt idx="20">
                        <c:v>45711</c:v>
                      </c:pt>
                      <c:pt idx="21">
                        <c:v>45718</c:v>
                      </c:pt>
                      <c:pt idx="22">
                        <c:v>45725</c:v>
                      </c:pt>
                      <c:pt idx="23">
                        <c:v>45732</c:v>
                      </c:pt>
                      <c:pt idx="24">
                        <c:v>45739</c:v>
                      </c:pt>
                      <c:pt idx="25">
                        <c:v>45746</c:v>
                      </c:pt>
                      <c:pt idx="26">
                        <c:v>45753</c:v>
                      </c:pt>
                      <c:pt idx="27">
                        <c:v>45760</c:v>
                      </c:pt>
                      <c:pt idx="28">
                        <c:v>45767</c:v>
                      </c:pt>
                      <c:pt idx="29">
                        <c:v>45774</c:v>
                      </c:pt>
                      <c:pt idx="30">
                        <c:v>45781</c:v>
                      </c:pt>
                      <c:pt idx="31">
                        <c:v>45788</c:v>
                      </c:pt>
                      <c:pt idx="32">
                        <c:v>45795</c:v>
                      </c:pt>
                      <c:pt idx="33">
                        <c:v>45802</c:v>
                      </c:pt>
                      <c:pt idx="34">
                        <c:v>45809</c:v>
                      </c:pt>
                      <c:pt idx="35">
                        <c:v>45816</c:v>
                      </c:pt>
                      <c:pt idx="36">
                        <c:v>45823</c:v>
                      </c:pt>
                      <c:pt idx="37">
                        <c:v>45830</c:v>
                      </c:pt>
                      <c:pt idx="38">
                        <c:v>45837</c:v>
                      </c:pt>
                      <c:pt idx="39">
                        <c:v>45844</c:v>
                      </c:pt>
                      <c:pt idx="40">
                        <c:v>45851</c:v>
                      </c:pt>
                      <c:pt idx="41">
                        <c:v>45858</c:v>
                      </c:pt>
                      <c:pt idx="42">
                        <c:v>45865</c:v>
                      </c:pt>
                      <c:pt idx="43">
                        <c:v>45872</c:v>
                      </c:pt>
                      <c:pt idx="44">
                        <c:v>45879</c:v>
                      </c:pt>
                      <c:pt idx="45">
                        <c:v>45886</c:v>
                      </c:pt>
                      <c:pt idx="46">
                        <c:v>45893</c:v>
                      </c:pt>
                      <c:pt idx="47">
                        <c:v>45900</c:v>
                      </c:pt>
                      <c:pt idx="48">
                        <c:v>45907</c:v>
                      </c:pt>
                      <c:pt idx="49">
                        <c:v>45914</c:v>
                      </c:pt>
                      <c:pt idx="50">
                        <c:v>45921</c:v>
                      </c:pt>
                      <c:pt idx="51">
                        <c:v>45928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'[5] Weekly Visitation'!$M$3:$M$52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4648</c:v>
                      </c:pt>
                      <c:pt idx="1">
                        <c:v>8193.5</c:v>
                      </c:pt>
                      <c:pt idx="2">
                        <c:v>13590.5</c:v>
                      </c:pt>
                      <c:pt idx="3">
                        <c:v>64484</c:v>
                      </c:pt>
                      <c:pt idx="4">
                        <c:v>25896.5</c:v>
                      </c:pt>
                      <c:pt idx="5">
                        <c:v>34716.5</c:v>
                      </c:pt>
                      <c:pt idx="6">
                        <c:v>31440.5</c:v>
                      </c:pt>
                      <c:pt idx="7">
                        <c:v>105553</c:v>
                      </c:pt>
                      <c:pt idx="8">
                        <c:v>17010</c:v>
                      </c:pt>
                      <c:pt idx="9">
                        <c:v>14637</c:v>
                      </c:pt>
                      <c:pt idx="10">
                        <c:v>14413</c:v>
                      </c:pt>
                      <c:pt idx="11">
                        <c:v>16856</c:v>
                      </c:pt>
                      <c:pt idx="12">
                        <c:v>87773</c:v>
                      </c:pt>
                      <c:pt idx="13">
                        <c:v>31822</c:v>
                      </c:pt>
                      <c:pt idx="14">
                        <c:v>15844.5</c:v>
                      </c:pt>
                      <c:pt idx="15">
                        <c:v>30303</c:v>
                      </c:pt>
                      <c:pt idx="16">
                        <c:v>22029</c:v>
                      </c:pt>
                      <c:pt idx="17">
                        <c:v>18959.5</c:v>
                      </c:pt>
                      <c:pt idx="18">
                        <c:v>21238</c:v>
                      </c:pt>
                      <c:pt idx="19">
                        <c:v>51047.5</c:v>
                      </c:pt>
                      <c:pt idx="20">
                        <c:v>31269</c:v>
                      </c:pt>
                      <c:pt idx="21">
                        <c:v>23418.5</c:v>
                      </c:pt>
                      <c:pt idx="22">
                        <c:v>23796.5</c:v>
                      </c:pt>
                      <c:pt idx="23">
                        <c:v>23096.5</c:v>
                      </c:pt>
                      <c:pt idx="24">
                        <c:v>24192</c:v>
                      </c:pt>
                      <c:pt idx="25">
                        <c:v>22162</c:v>
                      </c:pt>
                      <c:pt idx="26">
                        <c:v>12876.5</c:v>
                      </c:pt>
                      <c:pt idx="27">
                        <c:v>12414.5</c:v>
                      </c:pt>
                      <c:pt idx="28">
                        <c:v>10199</c:v>
                      </c:pt>
                      <c:pt idx="29">
                        <c:v>13783</c:v>
                      </c:pt>
                      <c:pt idx="30">
                        <c:v>12075</c:v>
                      </c:pt>
                      <c:pt idx="31">
                        <c:v>7917</c:v>
                      </c:pt>
                      <c:pt idx="32">
                        <c:v>12124</c:v>
                      </c:pt>
                      <c:pt idx="33">
                        <c:v>4907</c:v>
                      </c:pt>
                      <c:pt idx="34">
                        <c:v>4501</c:v>
                      </c:pt>
                      <c:pt idx="35">
                        <c:v>5278</c:v>
                      </c:pt>
                      <c:pt idx="36">
                        <c:v>3790.5</c:v>
                      </c:pt>
                      <c:pt idx="37">
                        <c:v>5183.5</c:v>
                      </c:pt>
                      <c:pt idx="38">
                        <c:v>4004</c:v>
                      </c:pt>
                      <c:pt idx="39">
                        <c:v>3734.5</c:v>
                      </c:pt>
                      <c:pt idx="40">
                        <c:v>4098.5</c:v>
                      </c:pt>
                      <c:pt idx="41">
                        <c:v>4060</c:v>
                      </c:pt>
                      <c:pt idx="42">
                        <c:v>3822</c:v>
                      </c:pt>
                      <c:pt idx="43">
                        <c:v>4515</c:v>
                      </c:pt>
                      <c:pt idx="44">
                        <c:v>3447.5</c:v>
                      </c:pt>
                      <c:pt idx="45">
                        <c:v>4116</c:v>
                      </c:pt>
                      <c:pt idx="46">
                        <c:v>0</c:v>
                      </c:pt>
                      <c:pt idx="47">
                        <c:v>5407.5</c:v>
                      </c:pt>
                      <c:pt idx="48">
                        <c:v>3934</c:v>
                      </c:pt>
                      <c:pt idx="49">
                        <c:v>4256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6CBB-43FD-AC9D-751B7C5A250F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v>FY 2018</c:v>
                </c:tx>
                <c:spPr>
                  <a:ln w="6350" cap="rnd">
                    <a:solidFill>
                      <a:srgbClr val="FFFF00"/>
                    </a:solidFill>
                    <a:prstDash val="lgDash"/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'FY 2025 ISDRA Visitation'!$A$3:$A$54</c15:sqref>
                        </c15:formulaRef>
                      </c:ext>
                    </c:extLst>
                    <c:numCache>
                      <c:formatCode>m/d/yyyy</c:formatCode>
                      <c:ptCount val="52"/>
                      <c:pt idx="0">
                        <c:v>45571</c:v>
                      </c:pt>
                      <c:pt idx="1">
                        <c:v>45578</c:v>
                      </c:pt>
                      <c:pt idx="2">
                        <c:v>45585</c:v>
                      </c:pt>
                      <c:pt idx="3">
                        <c:v>45592</c:v>
                      </c:pt>
                      <c:pt idx="4">
                        <c:v>45599</c:v>
                      </c:pt>
                      <c:pt idx="5">
                        <c:v>45606</c:v>
                      </c:pt>
                      <c:pt idx="6">
                        <c:v>45613</c:v>
                      </c:pt>
                      <c:pt idx="7">
                        <c:v>45620</c:v>
                      </c:pt>
                      <c:pt idx="8">
                        <c:v>45627</c:v>
                      </c:pt>
                      <c:pt idx="9">
                        <c:v>45634</c:v>
                      </c:pt>
                      <c:pt idx="10">
                        <c:v>45641</c:v>
                      </c:pt>
                      <c:pt idx="11">
                        <c:v>45648</c:v>
                      </c:pt>
                      <c:pt idx="12">
                        <c:v>45655</c:v>
                      </c:pt>
                      <c:pt idx="13">
                        <c:v>45662</c:v>
                      </c:pt>
                      <c:pt idx="14">
                        <c:v>45669</c:v>
                      </c:pt>
                      <c:pt idx="15">
                        <c:v>45676</c:v>
                      </c:pt>
                      <c:pt idx="16">
                        <c:v>45683</c:v>
                      </c:pt>
                      <c:pt idx="17">
                        <c:v>45690</c:v>
                      </c:pt>
                      <c:pt idx="18">
                        <c:v>45697</c:v>
                      </c:pt>
                      <c:pt idx="19">
                        <c:v>45704</c:v>
                      </c:pt>
                      <c:pt idx="20">
                        <c:v>45711</c:v>
                      </c:pt>
                      <c:pt idx="21">
                        <c:v>45718</c:v>
                      </c:pt>
                      <c:pt idx="22">
                        <c:v>45725</c:v>
                      </c:pt>
                      <c:pt idx="23">
                        <c:v>45732</c:v>
                      </c:pt>
                      <c:pt idx="24">
                        <c:v>45739</c:v>
                      </c:pt>
                      <c:pt idx="25">
                        <c:v>45746</c:v>
                      </c:pt>
                      <c:pt idx="26">
                        <c:v>45753</c:v>
                      </c:pt>
                      <c:pt idx="27">
                        <c:v>45760</c:v>
                      </c:pt>
                      <c:pt idx="28">
                        <c:v>45767</c:v>
                      </c:pt>
                      <c:pt idx="29">
                        <c:v>45774</c:v>
                      </c:pt>
                      <c:pt idx="30">
                        <c:v>45781</c:v>
                      </c:pt>
                      <c:pt idx="31">
                        <c:v>45788</c:v>
                      </c:pt>
                      <c:pt idx="32">
                        <c:v>45795</c:v>
                      </c:pt>
                      <c:pt idx="33">
                        <c:v>45802</c:v>
                      </c:pt>
                      <c:pt idx="34">
                        <c:v>45809</c:v>
                      </c:pt>
                      <c:pt idx="35">
                        <c:v>45816</c:v>
                      </c:pt>
                      <c:pt idx="36">
                        <c:v>45823</c:v>
                      </c:pt>
                      <c:pt idx="37">
                        <c:v>45830</c:v>
                      </c:pt>
                      <c:pt idx="38">
                        <c:v>45837</c:v>
                      </c:pt>
                      <c:pt idx="39">
                        <c:v>45844</c:v>
                      </c:pt>
                      <c:pt idx="40">
                        <c:v>45851</c:v>
                      </c:pt>
                      <c:pt idx="41">
                        <c:v>45858</c:v>
                      </c:pt>
                      <c:pt idx="42">
                        <c:v>45865</c:v>
                      </c:pt>
                      <c:pt idx="43">
                        <c:v>45872</c:v>
                      </c:pt>
                      <c:pt idx="44">
                        <c:v>45879</c:v>
                      </c:pt>
                      <c:pt idx="45">
                        <c:v>45886</c:v>
                      </c:pt>
                      <c:pt idx="46">
                        <c:v>45893</c:v>
                      </c:pt>
                      <c:pt idx="47">
                        <c:v>45900</c:v>
                      </c:pt>
                      <c:pt idx="48">
                        <c:v>45907</c:v>
                      </c:pt>
                      <c:pt idx="49">
                        <c:v>45914</c:v>
                      </c:pt>
                      <c:pt idx="50">
                        <c:v>45921</c:v>
                      </c:pt>
                      <c:pt idx="51">
                        <c:v>45928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'[5] Weekly Visitation'!$Q$3:$Q$52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2863</c:v>
                      </c:pt>
                      <c:pt idx="1">
                        <c:v>2901.5</c:v>
                      </c:pt>
                      <c:pt idx="2">
                        <c:v>5589.5</c:v>
                      </c:pt>
                      <c:pt idx="3">
                        <c:v>14077</c:v>
                      </c:pt>
                      <c:pt idx="4">
                        <c:v>71375.5</c:v>
                      </c:pt>
                      <c:pt idx="5">
                        <c:v>21084</c:v>
                      </c:pt>
                      <c:pt idx="6">
                        <c:v>32791.5</c:v>
                      </c:pt>
                      <c:pt idx="7">
                        <c:v>30149</c:v>
                      </c:pt>
                      <c:pt idx="8">
                        <c:v>106312.5</c:v>
                      </c:pt>
                      <c:pt idx="9">
                        <c:v>15890</c:v>
                      </c:pt>
                      <c:pt idx="10">
                        <c:v>13814.5</c:v>
                      </c:pt>
                      <c:pt idx="11">
                        <c:v>15708</c:v>
                      </c:pt>
                      <c:pt idx="12">
                        <c:v>13762</c:v>
                      </c:pt>
                      <c:pt idx="13">
                        <c:v>85018.5</c:v>
                      </c:pt>
                      <c:pt idx="14">
                        <c:v>27692</c:v>
                      </c:pt>
                      <c:pt idx="15">
                        <c:v>28259</c:v>
                      </c:pt>
                      <c:pt idx="16">
                        <c:v>18910.5</c:v>
                      </c:pt>
                      <c:pt idx="17">
                        <c:v>19204.5</c:v>
                      </c:pt>
                      <c:pt idx="18">
                        <c:v>19467</c:v>
                      </c:pt>
                      <c:pt idx="19">
                        <c:v>18756.5</c:v>
                      </c:pt>
                      <c:pt idx="20">
                        <c:v>74644.5</c:v>
                      </c:pt>
                      <c:pt idx="21">
                        <c:v>28199.5</c:v>
                      </c:pt>
                      <c:pt idx="22">
                        <c:v>19533.5</c:v>
                      </c:pt>
                      <c:pt idx="23">
                        <c:v>17986.5</c:v>
                      </c:pt>
                      <c:pt idx="24">
                        <c:v>19943</c:v>
                      </c:pt>
                      <c:pt idx="25">
                        <c:v>19428.5</c:v>
                      </c:pt>
                      <c:pt idx="26">
                        <c:v>20191.5</c:v>
                      </c:pt>
                      <c:pt idx="27">
                        <c:v>13160</c:v>
                      </c:pt>
                      <c:pt idx="28">
                        <c:v>8365</c:v>
                      </c:pt>
                      <c:pt idx="29">
                        <c:v>8722</c:v>
                      </c:pt>
                      <c:pt idx="30">
                        <c:v>4714.5</c:v>
                      </c:pt>
                      <c:pt idx="31">
                        <c:v>2985.5</c:v>
                      </c:pt>
                      <c:pt idx="32">
                        <c:v>1662.5</c:v>
                      </c:pt>
                      <c:pt idx="33">
                        <c:v>4287.5</c:v>
                      </c:pt>
                      <c:pt idx="34">
                        <c:v>5596.5</c:v>
                      </c:pt>
                      <c:pt idx="35">
                        <c:v>7080.5</c:v>
                      </c:pt>
                      <c:pt idx="36">
                        <c:v>2898</c:v>
                      </c:pt>
                      <c:pt idx="37">
                        <c:v>3003</c:v>
                      </c:pt>
                      <c:pt idx="38">
                        <c:v>1267</c:v>
                      </c:pt>
                      <c:pt idx="39">
                        <c:v>927.5</c:v>
                      </c:pt>
                      <c:pt idx="40">
                        <c:v>10272.5</c:v>
                      </c:pt>
                      <c:pt idx="41">
                        <c:v>3332</c:v>
                      </c:pt>
                      <c:pt idx="42">
                        <c:v>3853.5</c:v>
                      </c:pt>
                      <c:pt idx="43">
                        <c:v>3594.5</c:v>
                      </c:pt>
                      <c:pt idx="44">
                        <c:v>3293.5</c:v>
                      </c:pt>
                      <c:pt idx="45">
                        <c:v>4224.5</c:v>
                      </c:pt>
                      <c:pt idx="46">
                        <c:v>4574.5</c:v>
                      </c:pt>
                      <c:pt idx="47">
                        <c:v>4291</c:v>
                      </c:pt>
                      <c:pt idx="48">
                        <c:v>4756.5</c:v>
                      </c:pt>
                      <c:pt idx="49">
                        <c:v>4525.5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CBB-43FD-AC9D-751B7C5A250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FY 2017</c:v>
                </c:tx>
                <c:spPr>
                  <a:ln w="6350" cap="rnd">
                    <a:solidFill>
                      <a:srgbClr val="7030A0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'FY 2025 ISDRA Visitation'!$A$3:$A$54</c15:sqref>
                        </c15:formulaRef>
                      </c:ext>
                    </c:extLst>
                    <c:numCache>
                      <c:formatCode>m/d/yyyy</c:formatCode>
                      <c:ptCount val="52"/>
                      <c:pt idx="0">
                        <c:v>45571</c:v>
                      </c:pt>
                      <c:pt idx="1">
                        <c:v>45578</c:v>
                      </c:pt>
                      <c:pt idx="2">
                        <c:v>45585</c:v>
                      </c:pt>
                      <c:pt idx="3">
                        <c:v>45592</c:v>
                      </c:pt>
                      <c:pt idx="4">
                        <c:v>45599</c:v>
                      </c:pt>
                      <c:pt idx="5">
                        <c:v>45606</c:v>
                      </c:pt>
                      <c:pt idx="6">
                        <c:v>45613</c:v>
                      </c:pt>
                      <c:pt idx="7">
                        <c:v>45620</c:v>
                      </c:pt>
                      <c:pt idx="8">
                        <c:v>45627</c:v>
                      </c:pt>
                      <c:pt idx="9">
                        <c:v>45634</c:v>
                      </c:pt>
                      <c:pt idx="10">
                        <c:v>45641</c:v>
                      </c:pt>
                      <c:pt idx="11">
                        <c:v>45648</c:v>
                      </c:pt>
                      <c:pt idx="12">
                        <c:v>45655</c:v>
                      </c:pt>
                      <c:pt idx="13">
                        <c:v>45662</c:v>
                      </c:pt>
                      <c:pt idx="14">
                        <c:v>45669</c:v>
                      </c:pt>
                      <c:pt idx="15">
                        <c:v>45676</c:v>
                      </c:pt>
                      <c:pt idx="16">
                        <c:v>45683</c:v>
                      </c:pt>
                      <c:pt idx="17">
                        <c:v>45690</c:v>
                      </c:pt>
                      <c:pt idx="18">
                        <c:v>45697</c:v>
                      </c:pt>
                      <c:pt idx="19">
                        <c:v>45704</c:v>
                      </c:pt>
                      <c:pt idx="20">
                        <c:v>45711</c:v>
                      </c:pt>
                      <c:pt idx="21">
                        <c:v>45718</c:v>
                      </c:pt>
                      <c:pt idx="22">
                        <c:v>45725</c:v>
                      </c:pt>
                      <c:pt idx="23">
                        <c:v>45732</c:v>
                      </c:pt>
                      <c:pt idx="24">
                        <c:v>45739</c:v>
                      </c:pt>
                      <c:pt idx="25">
                        <c:v>45746</c:v>
                      </c:pt>
                      <c:pt idx="26">
                        <c:v>45753</c:v>
                      </c:pt>
                      <c:pt idx="27">
                        <c:v>45760</c:v>
                      </c:pt>
                      <c:pt idx="28">
                        <c:v>45767</c:v>
                      </c:pt>
                      <c:pt idx="29">
                        <c:v>45774</c:v>
                      </c:pt>
                      <c:pt idx="30">
                        <c:v>45781</c:v>
                      </c:pt>
                      <c:pt idx="31">
                        <c:v>45788</c:v>
                      </c:pt>
                      <c:pt idx="32">
                        <c:v>45795</c:v>
                      </c:pt>
                      <c:pt idx="33">
                        <c:v>45802</c:v>
                      </c:pt>
                      <c:pt idx="34">
                        <c:v>45809</c:v>
                      </c:pt>
                      <c:pt idx="35">
                        <c:v>45816</c:v>
                      </c:pt>
                      <c:pt idx="36">
                        <c:v>45823</c:v>
                      </c:pt>
                      <c:pt idx="37">
                        <c:v>45830</c:v>
                      </c:pt>
                      <c:pt idx="38">
                        <c:v>45837</c:v>
                      </c:pt>
                      <c:pt idx="39">
                        <c:v>45844</c:v>
                      </c:pt>
                      <c:pt idx="40">
                        <c:v>45851</c:v>
                      </c:pt>
                      <c:pt idx="41">
                        <c:v>45858</c:v>
                      </c:pt>
                      <c:pt idx="42">
                        <c:v>45865</c:v>
                      </c:pt>
                      <c:pt idx="43">
                        <c:v>45872</c:v>
                      </c:pt>
                      <c:pt idx="44">
                        <c:v>45879</c:v>
                      </c:pt>
                      <c:pt idx="45">
                        <c:v>45886</c:v>
                      </c:pt>
                      <c:pt idx="46">
                        <c:v>45893</c:v>
                      </c:pt>
                      <c:pt idx="47">
                        <c:v>45900</c:v>
                      </c:pt>
                      <c:pt idx="48">
                        <c:v>45907</c:v>
                      </c:pt>
                      <c:pt idx="49">
                        <c:v>45914</c:v>
                      </c:pt>
                      <c:pt idx="50">
                        <c:v>45921</c:v>
                      </c:pt>
                      <c:pt idx="51">
                        <c:v>45928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'[6]Weekly Visitation'!$Q$3:$Q$54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3948</c:v>
                      </c:pt>
                      <c:pt idx="1">
                        <c:v>5852</c:v>
                      </c:pt>
                      <c:pt idx="2">
                        <c:v>8225</c:v>
                      </c:pt>
                      <c:pt idx="3">
                        <c:v>11256</c:v>
                      </c:pt>
                      <c:pt idx="4">
                        <c:v>72695</c:v>
                      </c:pt>
                      <c:pt idx="5">
                        <c:v>20251</c:v>
                      </c:pt>
                      <c:pt idx="6">
                        <c:v>31279.5</c:v>
                      </c:pt>
                      <c:pt idx="7">
                        <c:v>27930</c:v>
                      </c:pt>
                      <c:pt idx="8">
                        <c:v>100835</c:v>
                      </c:pt>
                      <c:pt idx="9">
                        <c:v>13895</c:v>
                      </c:pt>
                      <c:pt idx="10">
                        <c:v>17255</c:v>
                      </c:pt>
                      <c:pt idx="11">
                        <c:v>12078.5</c:v>
                      </c:pt>
                      <c:pt idx="12">
                        <c:v>13335</c:v>
                      </c:pt>
                      <c:pt idx="13">
                        <c:v>73395</c:v>
                      </c:pt>
                      <c:pt idx="14">
                        <c:v>23611</c:v>
                      </c:pt>
                      <c:pt idx="15">
                        <c:v>27380.5</c:v>
                      </c:pt>
                      <c:pt idx="16">
                        <c:v>11203.5</c:v>
                      </c:pt>
                      <c:pt idx="17">
                        <c:v>15813</c:v>
                      </c:pt>
                      <c:pt idx="18">
                        <c:v>19929</c:v>
                      </c:pt>
                      <c:pt idx="19">
                        <c:v>18945.5</c:v>
                      </c:pt>
                      <c:pt idx="20">
                        <c:v>67343.5</c:v>
                      </c:pt>
                      <c:pt idx="21">
                        <c:v>33701.5</c:v>
                      </c:pt>
                      <c:pt idx="22">
                        <c:v>16093</c:v>
                      </c:pt>
                      <c:pt idx="23">
                        <c:v>17671.5</c:v>
                      </c:pt>
                      <c:pt idx="24">
                        <c:v>17955</c:v>
                      </c:pt>
                      <c:pt idx="25">
                        <c:v>17500</c:v>
                      </c:pt>
                      <c:pt idx="26">
                        <c:v>15729</c:v>
                      </c:pt>
                      <c:pt idx="27">
                        <c:v>10279.5</c:v>
                      </c:pt>
                      <c:pt idx="28">
                        <c:v>11511.5</c:v>
                      </c:pt>
                      <c:pt idx="29">
                        <c:v>5565</c:v>
                      </c:pt>
                      <c:pt idx="30">
                        <c:v>4154.5</c:v>
                      </c:pt>
                      <c:pt idx="31">
                        <c:v>1571.5</c:v>
                      </c:pt>
                      <c:pt idx="32">
                        <c:v>1438.5</c:v>
                      </c:pt>
                      <c:pt idx="33">
                        <c:v>2485</c:v>
                      </c:pt>
                      <c:pt idx="34">
                        <c:v>3636.5</c:v>
                      </c:pt>
                      <c:pt idx="35">
                        <c:v>2716</c:v>
                      </c:pt>
                      <c:pt idx="36">
                        <c:v>4389</c:v>
                      </c:pt>
                      <c:pt idx="37">
                        <c:v>2639</c:v>
                      </c:pt>
                      <c:pt idx="38">
                        <c:v>3027.5</c:v>
                      </c:pt>
                      <c:pt idx="39">
                        <c:v>3594.5</c:v>
                      </c:pt>
                      <c:pt idx="40">
                        <c:v>2243.5</c:v>
                      </c:pt>
                      <c:pt idx="41">
                        <c:v>2660</c:v>
                      </c:pt>
                      <c:pt idx="42">
                        <c:v>2649.5</c:v>
                      </c:pt>
                      <c:pt idx="43">
                        <c:v>2499</c:v>
                      </c:pt>
                      <c:pt idx="44">
                        <c:v>2674</c:v>
                      </c:pt>
                      <c:pt idx="45">
                        <c:v>2292.5</c:v>
                      </c:pt>
                      <c:pt idx="46">
                        <c:v>2793</c:v>
                      </c:pt>
                      <c:pt idx="47">
                        <c:v>2317</c:v>
                      </c:pt>
                      <c:pt idx="48">
                        <c:v>3594.5</c:v>
                      </c:pt>
                      <c:pt idx="49">
                        <c:v>3594.5</c:v>
                      </c:pt>
                      <c:pt idx="50">
                        <c:v>2439.5</c:v>
                      </c:pt>
                      <c:pt idx="51">
                        <c:v>2184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CBB-43FD-AC9D-751B7C5A250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FY 2016</c:v>
                </c:tx>
                <c:spPr>
                  <a:ln w="6350" cap="rnd">
                    <a:solidFill>
                      <a:srgbClr val="FFFF00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'FY 2025 ISDRA Visitation'!$A$3:$A$54</c15:sqref>
                        </c15:formulaRef>
                      </c:ext>
                    </c:extLst>
                    <c:numCache>
                      <c:formatCode>m/d/yyyy</c:formatCode>
                      <c:ptCount val="52"/>
                      <c:pt idx="0">
                        <c:v>45571</c:v>
                      </c:pt>
                      <c:pt idx="1">
                        <c:v>45578</c:v>
                      </c:pt>
                      <c:pt idx="2">
                        <c:v>45585</c:v>
                      </c:pt>
                      <c:pt idx="3">
                        <c:v>45592</c:v>
                      </c:pt>
                      <c:pt idx="4">
                        <c:v>45599</c:v>
                      </c:pt>
                      <c:pt idx="5">
                        <c:v>45606</c:v>
                      </c:pt>
                      <c:pt idx="6">
                        <c:v>45613</c:v>
                      </c:pt>
                      <c:pt idx="7">
                        <c:v>45620</c:v>
                      </c:pt>
                      <c:pt idx="8">
                        <c:v>45627</c:v>
                      </c:pt>
                      <c:pt idx="9">
                        <c:v>45634</c:v>
                      </c:pt>
                      <c:pt idx="10">
                        <c:v>45641</c:v>
                      </c:pt>
                      <c:pt idx="11">
                        <c:v>45648</c:v>
                      </c:pt>
                      <c:pt idx="12">
                        <c:v>45655</c:v>
                      </c:pt>
                      <c:pt idx="13">
                        <c:v>45662</c:v>
                      </c:pt>
                      <c:pt idx="14">
                        <c:v>45669</c:v>
                      </c:pt>
                      <c:pt idx="15">
                        <c:v>45676</c:v>
                      </c:pt>
                      <c:pt idx="16">
                        <c:v>45683</c:v>
                      </c:pt>
                      <c:pt idx="17">
                        <c:v>45690</c:v>
                      </c:pt>
                      <c:pt idx="18">
                        <c:v>45697</c:v>
                      </c:pt>
                      <c:pt idx="19">
                        <c:v>45704</c:v>
                      </c:pt>
                      <c:pt idx="20">
                        <c:v>45711</c:v>
                      </c:pt>
                      <c:pt idx="21">
                        <c:v>45718</c:v>
                      </c:pt>
                      <c:pt idx="22">
                        <c:v>45725</c:v>
                      </c:pt>
                      <c:pt idx="23">
                        <c:v>45732</c:v>
                      </c:pt>
                      <c:pt idx="24">
                        <c:v>45739</c:v>
                      </c:pt>
                      <c:pt idx="25">
                        <c:v>45746</c:v>
                      </c:pt>
                      <c:pt idx="26">
                        <c:v>45753</c:v>
                      </c:pt>
                      <c:pt idx="27">
                        <c:v>45760</c:v>
                      </c:pt>
                      <c:pt idx="28">
                        <c:v>45767</c:v>
                      </c:pt>
                      <c:pt idx="29">
                        <c:v>45774</c:v>
                      </c:pt>
                      <c:pt idx="30">
                        <c:v>45781</c:v>
                      </c:pt>
                      <c:pt idx="31">
                        <c:v>45788</c:v>
                      </c:pt>
                      <c:pt idx="32">
                        <c:v>45795</c:v>
                      </c:pt>
                      <c:pt idx="33">
                        <c:v>45802</c:v>
                      </c:pt>
                      <c:pt idx="34">
                        <c:v>45809</c:v>
                      </c:pt>
                      <c:pt idx="35">
                        <c:v>45816</c:v>
                      </c:pt>
                      <c:pt idx="36">
                        <c:v>45823</c:v>
                      </c:pt>
                      <c:pt idx="37">
                        <c:v>45830</c:v>
                      </c:pt>
                      <c:pt idx="38">
                        <c:v>45837</c:v>
                      </c:pt>
                      <c:pt idx="39">
                        <c:v>45844</c:v>
                      </c:pt>
                      <c:pt idx="40">
                        <c:v>45851</c:v>
                      </c:pt>
                      <c:pt idx="41">
                        <c:v>45858</c:v>
                      </c:pt>
                      <c:pt idx="42">
                        <c:v>45865</c:v>
                      </c:pt>
                      <c:pt idx="43">
                        <c:v>45872</c:v>
                      </c:pt>
                      <c:pt idx="44">
                        <c:v>45879</c:v>
                      </c:pt>
                      <c:pt idx="45">
                        <c:v>45886</c:v>
                      </c:pt>
                      <c:pt idx="46">
                        <c:v>45893</c:v>
                      </c:pt>
                      <c:pt idx="47">
                        <c:v>45900</c:v>
                      </c:pt>
                      <c:pt idx="48">
                        <c:v>45907</c:v>
                      </c:pt>
                      <c:pt idx="49">
                        <c:v>45914</c:v>
                      </c:pt>
                      <c:pt idx="50">
                        <c:v>45921</c:v>
                      </c:pt>
                      <c:pt idx="51">
                        <c:v>45928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'[6]Weekly Visitation'!$S$3:$S$54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5428.5</c:v>
                      </c:pt>
                      <c:pt idx="1">
                        <c:v>5117</c:v>
                      </c:pt>
                      <c:pt idx="2">
                        <c:v>10223.5</c:v>
                      </c:pt>
                      <c:pt idx="3">
                        <c:v>15701</c:v>
                      </c:pt>
                      <c:pt idx="4">
                        <c:v>77700</c:v>
                      </c:pt>
                      <c:pt idx="5">
                        <c:v>21969.5</c:v>
                      </c:pt>
                      <c:pt idx="6">
                        <c:v>21133</c:v>
                      </c:pt>
                      <c:pt idx="7">
                        <c:v>28231</c:v>
                      </c:pt>
                      <c:pt idx="8">
                        <c:v>102690</c:v>
                      </c:pt>
                      <c:pt idx="9">
                        <c:v>14892.5</c:v>
                      </c:pt>
                      <c:pt idx="10">
                        <c:v>12603.5</c:v>
                      </c:pt>
                      <c:pt idx="11">
                        <c:v>13881</c:v>
                      </c:pt>
                      <c:pt idx="12">
                        <c:v>31633</c:v>
                      </c:pt>
                      <c:pt idx="13">
                        <c:v>84850.5</c:v>
                      </c:pt>
                      <c:pt idx="14">
                        <c:v>14679</c:v>
                      </c:pt>
                      <c:pt idx="15">
                        <c:v>22921.5</c:v>
                      </c:pt>
                      <c:pt idx="16">
                        <c:v>20030.5</c:v>
                      </c:pt>
                      <c:pt idx="17">
                        <c:v>18676</c:v>
                      </c:pt>
                      <c:pt idx="18">
                        <c:v>17335.5</c:v>
                      </c:pt>
                      <c:pt idx="19">
                        <c:v>73199</c:v>
                      </c:pt>
                      <c:pt idx="20">
                        <c:v>23849</c:v>
                      </c:pt>
                      <c:pt idx="21">
                        <c:v>21224</c:v>
                      </c:pt>
                      <c:pt idx="22">
                        <c:v>14476</c:v>
                      </c:pt>
                      <c:pt idx="23">
                        <c:v>15358</c:v>
                      </c:pt>
                      <c:pt idx="24">
                        <c:v>19659.5</c:v>
                      </c:pt>
                      <c:pt idx="25">
                        <c:v>19050.5</c:v>
                      </c:pt>
                      <c:pt idx="26">
                        <c:v>14206.5</c:v>
                      </c:pt>
                      <c:pt idx="27">
                        <c:v>11014.5</c:v>
                      </c:pt>
                      <c:pt idx="28">
                        <c:v>8309</c:v>
                      </c:pt>
                      <c:pt idx="29">
                        <c:v>7014</c:v>
                      </c:pt>
                      <c:pt idx="30">
                        <c:v>6020</c:v>
                      </c:pt>
                      <c:pt idx="31">
                        <c:v>3794</c:v>
                      </c:pt>
                      <c:pt idx="32">
                        <c:v>6765.5</c:v>
                      </c:pt>
                      <c:pt idx="33">
                        <c:v>6065.5</c:v>
                      </c:pt>
                      <c:pt idx="34">
                        <c:v>6314</c:v>
                      </c:pt>
                      <c:pt idx="35">
                        <c:v>8053.5</c:v>
                      </c:pt>
                      <c:pt idx="36">
                        <c:v>4102</c:v>
                      </c:pt>
                      <c:pt idx="37">
                        <c:v>4046</c:v>
                      </c:pt>
                      <c:pt idx="38">
                        <c:v>3685.5</c:v>
                      </c:pt>
                      <c:pt idx="39">
                        <c:v>5610.5</c:v>
                      </c:pt>
                      <c:pt idx="40">
                        <c:v>2278.5</c:v>
                      </c:pt>
                      <c:pt idx="41">
                        <c:v>4728.5</c:v>
                      </c:pt>
                      <c:pt idx="42">
                        <c:v>3276</c:v>
                      </c:pt>
                      <c:pt idx="43">
                        <c:v>3192</c:v>
                      </c:pt>
                      <c:pt idx="44">
                        <c:v>3577</c:v>
                      </c:pt>
                      <c:pt idx="45">
                        <c:v>3381</c:v>
                      </c:pt>
                      <c:pt idx="46">
                        <c:v>3832.5</c:v>
                      </c:pt>
                      <c:pt idx="47">
                        <c:v>3472</c:v>
                      </c:pt>
                      <c:pt idx="48">
                        <c:v>4039</c:v>
                      </c:pt>
                      <c:pt idx="50">
                        <c:v>3871</c:v>
                      </c:pt>
                      <c:pt idx="51">
                        <c:v>3503.5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CBB-43FD-AC9D-751B7C5A250F}"/>
                  </c:ext>
                </c:extLst>
              </c15:ser>
            </c15:filteredLineSeries>
            <c15:filteredLineSeries>
              <c15:ser>
                <c:idx val="4"/>
                <c:order val="5"/>
                <c:tx>
                  <c:v>FY 2015</c:v>
                </c:tx>
                <c:spPr>
                  <a:ln w="6350" cap="rnd">
                    <a:solidFill>
                      <a:srgbClr val="00B0F0"/>
                    </a:solidFill>
                    <a:prstDash val="lgDash"/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'FY 2025 ISDRA Visitation'!$A$3:$A$54</c15:sqref>
                        </c15:formulaRef>
                      </c:ext>
                    </c:extLst>
                    <c:numCache>
                      <c:formatCode>m/d/yyyy</c:formatCode>
                      <c:ptCount val="52"/>
                      <c:pt idx="0">
                        <c:v>45571</c:v>
                      </c:pt>
                      <c:pt idx="1">
                        <c:v>45578</c:v>
                      </c:pt>
                      <c:pt idx="2">
                        <c:v>45585</c:v>
                      </c:pt>
                      <c:pt idx="3">
                        <c:v>45592</c:v>
                      </c:pt>
                      <c:pt idx="4">
                        <c:v>45599</c:v>
                      </c:pt>
                      <c:pt idx="5">
                        <c:v>45606</c:v>
                      </c:pt>
                      <c:pt idx="6">
                        <c:v>45613</c:v>
                      </c:pt>
                      <c:pt idx="7">
                        <c:v>45620</c:v>
                      </c:pt>
                      <c:pt idx="8">
                        <c:v>45627</c:v>
                      </c:pt>
                      <c:pt idx="9">
                        <c:v>45634</c:v>
                      </c:pt>
                      <c:pt idx="10">
                        <c:v>45641</c:v>
                      </c:pt>
                      <c:pt idx="11">
                        <c:v>45648</c:v>
                      </c:pt>
                      <c:pt idx="12">
                        <c:v>45655</c:v>
                      </c:pt>
                      <c:pt idx="13">
                        <c:v>45662</c:v>
                      </c:pt>
                      <c:pt idx="14">
                        <c:v>45669</c:v>
                      </c:pt>
                      <c:pt idx="15">
                        <c:v>45676</c:v>
                      </c:pt>
                      <c:pt idx="16">
                        <c:v>45683</c:v>
                      </c:pt>
                      <c:pt idx="17">
                        <c:v>45690</c:v>
                      </c:pt>
                      <c:pt idx="18">
                        <c:v>45697</c:v>
                      </c:pt>
                      <c:pt idx="19">
                        <c:v>45704</c:v>
                      </c:pt>
                      <c:pt idx="20">
                        <c:v>45711</c:v>
                      </c:pt>
                      <c:pt idx="21">
                        <c:v>45718</c:v>
                      </c:pt>
                      <c:pt idx="22">
                        <c:v>45725</c:v>
                      </c:pt>
                      <c:pt idx="23">
                        <c:v>45732</c:v>
                      </c:pt>
                      <c:pt idx="24">
                        <c:v>45739</c:v>
                      </c:pt>
                      <c:pt idx="25">
                        <c:v>45746</c:v>
                      </c:pt>
                      <c:pt idx="26">
                        <c:v>45753</c:v>
                      </c:pt>
                      <c:pt idx="27">
                        <c:v>45760</c:v>
                      </c:pt>
                      <c:pt idx="28">
                        <c:v>45767</c:v>
                      </c:pt>
                      <c:pt idx="29">
                        <c:v>45774</c:v>
                      </c:pt>
                      <c:pt idx="30">
                        <c:v>45781</c:v>
                      </c:pt>
                      <c:pt idx="31">
                        <c:v>45788</c:v>
                      </c:pt>
                      <c:pt idx="32">
                        <c:v>45795</c:v>
                      </c:pt>
                      <c:pt idx="33">
                        <c:v>45802</c:v>
                      </c:pt>
                      <c:pt idx="34">
                        <c:v>45809</c:v>
                      </c:pt>
                      <c:pt idx="35">
                        <c:v>45816</c:v>
                      </c:pt>
                      <c:pt idx="36">
                        <c:v>45823</c:v>
                      </c:pt>
                      <c:pt idx="37">
                        <c:v>45830</c:v>
                      </c:pt>
                      <c:pt idx="38">
                        <c:v>45837</c:v>
                      </c:pt>
                      <c:pt idx="39">
                        <c:v>45844</c:v>
                      </c:pt>
                      <c:pt idx="40">
                        <c:v>45851</c:v>
                      </c:pt>
                      <c:pt idx="41">
                        <c:v>45858</c:v>
                      </c:pt>
                      <c:pt idx="42">
                        <c:v>45865</c:v>
                      </c:pt>
                      <c:pt idx="43">
                        <c:v>45872</c:v>
                      </c:pt>
                      <c:pt idx="44">
                        <c:v>45879</c:v>
                      </c:pt>
                      <c:pt idx="45">
                        <c:v>45886</c:v>
                      </c:pt>
                      <c:pt idx="46">
                        <c:v>45893</c:v>
                      </c:pt>
                      <c:pt idx="47">
                        <c:v>45900</c:v>
                      </c:pt>
                      <c:pt idx="48">
                        <c:v>45907</c:v>
                      </c:pt>
                      <c:pt idx="49">
                        <c:v>45914</c:v>
                      </c:pt>
                      <c:pt idx="50">
                        <c:v>45921</c:v>
                      </c:pt>
                      <c:pt idx="51">
                        <c:v>45928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'[6]Weekly Visitation'!$U$3:$U$54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0</c:v>
                      </c:pt>
                      <c:pt idx="1">
                        <c:v>9257.5</c:v>
                      </c:pt>
                      <c:pt idx="2">
                        <c:v>9138.5</c:v>
                      </c:pt>
                      <c:pt idx="3">
                        <c:v>18182.5</c:v>
                      </c:pt>
                      <c:pt idx="4">
                        <c:v>60595.5</c:v>
                      </c:pt>
                      <c:pt idx="5">
                        <c:v>42364</c:v>
                      </c:pt>
                      <c:pt idx="6">
                        <c:v>20324.5</c:v>
                      </c:pt>
                      <c:pt idx="7">
                        <c:v>39557</c:v>
                      </c:pt>
                      <c:pt idx="8">
                        <c:v>127669.5</c:v>
                      </c:pt>
                      <c:pt idx="9">
                        <c:v>13525.75</c:v>
                      </c:pt>
                      <c:pt idx="10">
                        <c:v>15081.5</c:v>
                      </c:pt>
                      <c:pt idx="11">
                        <c:v>14448</c:v>
                      </c:pt>
                      <c:pt idx="12">
                        <c:v>66650.5</c:v>
                      </c:pt>
                      <c:pt idx="13">
                        <c:v>78907.5</c:v>
                      </c:pt>
                      <c:pt idx="14">
                        <c:v>17664.5</c:v>
                      </c:pt>
                      <c:pt idx="15">
                        <c:v>29746.5</c:v>
                      </c:pt>
                      <c:pt idx="16">
                        <c:v>21311.5</c:v>
                      </c:pt>
                      <c:pt idx="17">
                        <c:v>18340</c:v>
                      </c:pt>
                      <c:pt idx="18">
                        <c:v>18991</c:v>
                      </c:pt>
                      <c:pt idx="19">
                        <c:v>58030</c:v>
                      </c:pt>
                      <c:pt idx="20">
                        <c:v>29228.5</c:v>
                      </c:pt>
                      <c:pt idx="21">
                        <c:v>24605</c:v>
                      </c:pt>
                      <c:pt idx="22">
                        <c:v>21868</c:v>
                      </c:pt>
                      <c:pt idx="23">
                        <c:v>20786.5</c:v>
                      </c:pt>
                      <c:pt idx="24">
                        <c:v>20618.5</c:v>
                      </c:pt>
                      <c:pt idx="25">
                        <c:v>15837.5</c:v>
                      </c:pt>
                      <c:pt idx="26">
                        <c:v>14518</c:v>
                      </c:pt>
                      <c:pt idx="27">
                        <c:v>11256</c:v>
                      </c:pt>
                      <c:pt idx="28">
                        <c:v>8134</c:v>
                      </c:pt>
                      <c:pt idx="29">
                        <c:v>5250</c:v>
                      </c:pt>
                      <c:pt idx="30">
                        <c:v>4406.5</c:v>
                      </c:pt>
                      <c:pt idx="31">
                        <c:v>4865</c:v>
                      </c:pt>
                      <c:pt idx="32">
                        <c:v>4602.5</c:v>
                      </c:pt>
                      <c:pt idx="33">
                        <c:v>7007</c:v>
                      </c:pt>
                      <c:pt idx="34">
                        <c:v>4235</c:v>
                      </c:pt>
                      <c:pt idx="35">
                        <c:v>3426.5</c:v>
                      </c:pt>
                      <c:pt idx="36">
                        <c:v>2933</c:v>
                      </c:pt>
                      <c:pt idx="37">
                        <c:v>3972.5</c:v>
                      </c:pt>
                      <c:pt idx="38">
                        <c:v>5974.5</c:v>
                      </c:pt>
                      <c:pt idx="39">
                        <c:v>4315.5</c:v>
                      </c:pt>
                      <c:pt idx="40">
                        <c:v>3020.5</c:v>
                      </c:pt>
                      <c:pt idx="41">
                        <c:v>4819.5</c:v>
                      </c:pt>
                      <c:pt idx="42">
                        <c:v>4655</c:v>
                      </c:pt>
                      <c:pt idx="43">
                        <c:v>3563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CBB-43FD-AC9D-751B7C5A250F}"/>
                  </c:ext>
                </c:extLst>
              </c15:ser>
            </c15:filteredLineSeries>
          </c:ext>
        </c:extLst>
      </c:lineChart>
      <c:dateAx>
        <c:axId val="783247528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254088"/>
        <c:crosses val="autoZero"/>
        <c:auto val="0"/>
        <c:lblOffset val="100"/>
        <c:baseTimeUnit val="days"/>
        <c:majorUnit val="12"/>
      </c:dateAx>
      <c:valAx>
        <c:axId val="783254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247528"/>
        <c:crosses val="autoZero"/>
        <c:crossBetween val="between"/>
      </c:valAx>
      <c:spPr>
        <a:solidFill>
          <a:sysClr val="windowText" lastClr="000000"/>
        </a:solidFill>
        <a:ln>
          <a:solidFill>
            <a:srgbClr val="E7E6E6"/>
          </a:solidFill>
          <a:prstDash val="solid"/>
          <a:miter lim="800000"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26577165238143374"/>
          <c:y val="4.3406612897761362E-2"/>
          <c:w val="0.32769903174270654"/>
          <c:h val="3.97701599531837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20683</xdr:colOff>
      <xdr:row>106</xdr:row>
      <xdr:rowOff>158932</xdr:rowOff>
    </xdr:from>
    <xdr:to>
      <xdr:col>31</xdr:col>
      <xdr:colOff>424543</xdr:colOff>
      <xdr:row>149</xdr:row>
      <xdr:rowOff>87085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96AC57-A5D5-D6F7-5F9B-7571FFD3A3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0</xdr:colOff>
      <xdr:row>75</xdr:row>
      <xdr:rowOff>73326</xdr:rowOff>
    </xdr:from>
    <xdr:to>
      <xdr:col>64</xdr:col>
      <xdr:colOff>373288</xdr:colOff>
      <xdr:row>114</xdr:row>
      <xdr:rowOff>174926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2FAC44-AD51-4139-BC09-7D2E05CB9C83}"/>
            </a:ext>
            <a:ext uri="{147F2762-F138-4A5C-976F-8EAC2B608ADB}">
              <a16:predDERef xmlns:a16="http://schemas.microsoft.com/office/drawing/2014/main" pred="{EA96AC57-A5D5-D6F7-5F9B-7571FFD3A3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0.07626</cdr:x>
      <cdr:y>0.39491</cdr:y>
    </cdr:from>
    <cdr:to>
      <cdr:x>0.15409</cdr:x>
      <cdr:y>0.4324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23925" y="2809875"/>
          <a:ext cx="942975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CA" sz="1100">
              <a:solidFill>
                <a:srgbClr val="FFC000"/>
              </a:solidFill>
            </a:rPr>
            <a:t>Halloween</a:t>
          </a:r>
        </a:p>
      </cdr:txBody>
    </cdr:sp>
  </cdr:relSizeAnchor>
  <cdr:relSizeAnchor xmlns:cdr="http://schemas.openxmlformats.org/drawingml/2006/chartDrawing">
    <cdr:from>
      <cdr:x>0.15016</cdr:x>
      <cdr:y>0.09237</cdr:y>
    </cdr:from>
    <cdr:to>
      <cdr:x>0.19492</cdr:x>
      <cdr:y>0.14335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287246" y="1112978"/>
          <a:ext cx="979954" cy="6142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CA" sz="1100">
              <a:solidFill>
                <a:srgbClr val="FFC000"/>
              </a:solidFill>
            </a:rPr>
            <a:t>Thanksgiving</a:t>
          </a:r>
        </a:p>
      </cdr:txBody>
    </cdr:sp>
  </cdr:relSizeAnchor>
  <cdr:relSizeAnchor xmlns:cdr="http://schemas.openxmlformats.org/drawingml/2006/chartDrawing">
    <cdr:from>
      <cdr:x>0.24214</cdr:x>
      <cdr:y>0.3842</cdr:y>
    </cdr:from>
    <cdr:to>
      <cdr:x>0.31132</cdr:x>
      <cdr:y>0.44578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933700" y="2733675"/>
          <a:ext cx="838200" cy="4381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CA" sz="1100">
              <a:solidFill>
                <a:srgbClr val="FFC000"/>
              </a:solidFill>
            </a:rPr>
            <a:t>New Years</a:t>
          </a:r>
        </a:p>
      </cdr:txBody>
    </cdr:sp>
  </cdr:relSizeAnchor>
  <cdr:relSizeAnchor xmlns:cdr="http://schemas.openxmlformats.org/drawingml/2006/chartDrawing">
    <cdr:from>
      <cdr:x>0.35692</cdr:x>
      <cdr:y>0.44578</cdr:y>
    </cdr:from>
    <cdr:to>
      <cdr:x>0.43711</cdr:x>
      <cdr:y>0.49531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4324350" y="3171825"/>
          <a:ext cx="971550" cy="3524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CA" sz="1100">
              <a:solidFill>
                <a:srgbClr val="FFC000"/>
              </a:solidFill>
            </a:rPr>
            <a:t>Presidents</a:t>
          </a:r>
        </a:p>
      </cdr:txBody>
    </cdr:sp>
  </cdr:relSizeAnchor>
  <cdr:relSizeAnchor xmlns:cdr="http://schemas.openxmlformats.org/drawingml/2006/chartDrawing">
    <cdr:from>
      <cdr:x>0.40289</cdr:x>
      <cdr:y>0</cdr:y>
    </cdr:from>
    <cdr:to>
      <cdr:x>0.73047</cdr:x>
      <cdr:y>0.05632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8002571" y="0"/>
          <a:ext cx="6506656" cy="4148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2400" b="1">
              <a:solidFill>
                <a:schemeClr val="bg1"/>
              </a:solidFill>
            </a:rPr>
            <a:t>FY25 Weekly Visitation Comparison</a:t>
          </a:r>
        </a:p>
      </cdr:txBody>
    </cdr:sp>
  </cdr:relSizeAnchor>
  <cdr:relSizeAnchor xmlns:cdr="http://schemas.openxmlformats.org/drawingml/2006/chartDrawing">
    <cdr:from>
      <cdr:x>0.72147</cdr:x>
      <cdr:y>0.42437</cdr:y>
    </cdr:from>
    <cdr:to>
      <cdr:x>0.93254</cdr:x>
      <cdr:y>0.56062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A27F319F-F19C-4DD1-9771-29D314F576B6}"/>
            </a:ext>
          </a:extLst>
        </cdr:cNvPr>
        <cdr:cNvSpPr txBox="1"/>
      </cdr:nvSpPr>
      <cdr:spPr>
        <a:xfrm xmlns:a="http://schemas.openxmlformats.org/drawingml/2006/main">
          <a:off x="20602770" y="7344410"/>
          <a:ext cx="6027546" cy="23580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400">
              <a:solidFill>
                <a:srgbClr val="FF0000"/>
              </a:solidFill>
            </a:rPr>
            <a:t>Visitation</a:t>
          </a:r>
          <a:r>
            <a:rPr lang="en-US" sz="2400" baseline="0">
              <a:solidFill>
                <a:srgbClr val="FF0000"/>
              </a:solidFill>
            </a:rPr>
            <a:t> spike due to first data entry  since 5/10/20. Weekly Visitation was not collected due to summer stattion closures, and no staff in field due to Covid-19 Pandemic.</a:t>
          </a:r>
          <a:endParaRPr lang="en-US" sz="2400">
            <a:solidFill>
              <a:srgbClr val="FF0000"/>
            </a:solidFill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lm.doi.net\dfs\ca\ec\loc\data\isdra\read_only\visitation\FY2024%20ISDRA%20Visitation.xlsx" TargetMode="External"/><Relationship Id="rId1" Type="http://schemas.openxmlformats.org/officeDocument/2006/relationships/externalLinkPath" Target="file:///\\blm.doi.net\dfs\ca\ec\loc\data\isdra\read_only\visitation\FY2024%20ISDRA%20Visit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m.doi.net\dfs\ca\ec\loc\data\isdra\read_only\visitation\FY20%20ISDRA%20Weekly%20Visitation%20Da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m.doi.net\dfs\ca\ec\loc\data\isdra\read_only\visitation\FY21%20ISDRA%20Weekly%20Visitaion%20Data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lm.doi.net\dfs\ca\ec\loc\data\isdra\read_only\visitation\FY22%20ISDRA%20Weekly%20Visitation.xlsx" TargetMode="External"/><Relationship Id="rId1" Type="http://schemas.openxmlformats.org/officeDocument/2006/relationships/externalLinkPath" Target="file:///\\blm.doi.net\dfs\ca\ec\loc\data\isdra\read_only\visitation\FY22%20ISDRA%20Weekly%20Visitatio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m.doi.net\dfs\ca\ec\loc\data\isdra\read_only\visitation\FY19%20ISDRA%20Visitatio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m.doi.net\dfs\ca\ec\loc\data\isdra\read_only\visitation\FY18%20ISDRA%20Visitation%20Data_Revi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eely Visitation"/>
      <sheetName val="Holiday Comparison "/>
      <sheetName val="Hisorical Total Visitation"/>
      <sheetName val="Historical Weekly Visitation"/>
    </sheetNames>
    <sheetDataSet>
      <sheetData sheetId="0">
        <row r="4">
          <cell r="M4">
            <v>5505.5</v>
          </cell>
          <cell r="R4">
            <v>4770.5</v>
          </cell>
        </row>
        <row r="5">
          <cell r="M5">
            <v>6076</v>
          </cell>
          <cell r="R5">
            <v>5694.5</v>
          </cell>
        </row>
        <row r="6">
          <cell r="M6">
            <v>9313.5</v>
          </cell>
          <cell r="R6">
            <v>9184</v>
          </cell>
        </row>
        <row r="7">
          <cell r="M7">
            <v>15340.5</v>
          </cell>
          <cell r="R7">
            <v>14486.5</v>
          </cell>
        </row>
        <row r="8">
          <cell r="M8">
            <v>115419.5</v>
          </cell>
          <cell r="R8">
            <v>79320.5</v>
          </cell>
        </row>
        <row r="9">
          <cell r="M9">
            <v>25480</v>
          </cell>
          <cell r="R9">
            <v>19607</v>
          </cell>
        </row>
        <row r="10">
          <cell r="M10">
            <v>50501.5</v>
          </cell>
          <cell r="R10">
            <v>35262.5</v>
          </cell>
        </row>
        <row r="11">
          <cell r="M11">
            <v>32875.5</v>
          </cell>
          <cell r="R11">
            <v>27531</v>
          </cell>
        </row>
        <row r="12">
          <cell r="M12">
            <v>116028.5</v>
          </cell>
          <cell r="R12">
            <v>99596</v>
          </cell>
        </row>
        <row r="13">
          <cell r="M13">
            <v>17090.5</v>
          </cell>
          <cell r="R13">
            <v>13898.5</v>
          </cell>
        </row>
        <row r="14">
          <cell r="M14">
            <v>19981.5</v>
          </cell>
          <cell r="R14">
            <v>22967</v>
          </cell>
        </row>
        <row r="15">
          <cell r="M15">
            <v>17216.5</v>
          </cell>
          <cell r="R15">
            <v>13895</v>
          </cell>
        </row>
        <row r="16">
          <cell r="M16">
            <v>16331</v>
          </cell>
          <cell r="R16">
            <v>13307</v>
          </cell>
        </row>
        <row r="17">
          <cell r="M17">
            <v>126444.5</v>
          </cell>
          <cell r="R17">
            <v>106519</v>
          </cell>
        </row>
        <row r="18">
          <cell r="M18">
            <v>25280.5</v>
          </cell>
          <cell r="R18">
            <v>25469.5</v>
          </cell>
        </row>
        <row r="19">
          <cell r="M19">
            <v>29617</v>
          </cell>
          <cell r="R19">
            <v>31216.5</v>
          </cell>
        </row>
        <row r="20">
          <cell r="M20">
            <v>20212.5</v>
          </cell>
          <cell r="R20">
            <v>19530</v>
          </cell>
        </row>
        <row r="21">
          <cell r="M21">
            <v>19540.5</v>
          </cell>
          <cell r="R21">
            <v>19467</v>
          </cell>
        </row>
        <row r="22">
          <cell r="M22">
            <v>20727</v>
          </cell>
          <cell r="R22">
            <v>23688</v>
          </cell>
        </row>
        <row r="23">
          <cell r="M23">
            <v>19551</v>
          </cell>
          <cell r="R23">
            <v>20839</v>
          </cell>
        </row>
        <row r="24">
          <cell r="M24">
            <v>78925</v>
          </cell>
          <cell r="R24">
            <v>71659</v>
          </cell>
        </row>
        <row r="25">
          <cell r="M25">
            <v>26705</v>
          </cell>
          <cell r="R25">
            <v>26390</v>
          </cell>
        </row>
        <row r="26">
          <cell r="M26">
            <v>17580.5</v>
          </cell>
          <cell r="R26">
            <v>26778.5</v>
          </cell>
        </row>
        <row r="27">
          <cell r="M27">
            <v>25851</v>
          </cell>
          <cell r="R27">
            <v>20590.5</v>
          </cell>
        </row>
        <row r="28">
          <cell r="M28">
            <v>43158.5</v>
          </cell>
          <cell r="R28">
            <v>24139.5</v>
          </cell>
        </row>
        <row r="29">
          <cell r="M29">
            <v>22354.5</v>
          </cell>
          <cell r="R29">
            <v>20146</v>
          </cell>
        </row>
        <row r="30">
          <cell r="M30">
            <v>15666</v>
          </cell>
          <cell r="R30">
            <v>19911.5</v>
          </cell>
        </row>
        <row r="31">
          <cell r="M31">
            <v>14161</v>
          </cell>
          <cell r="R31">
            <v>15641.5</v>
          </cell>
        </row>
        <row r="32">
          <cell r="M32">
            <v>9901.5</v>
          </cell>
          <cell r="R32">
            <v>14108.5</v>
          </cell>
        </row>
        <row r="33">
          <cell r="M33">
            <v>13580</v>
          </cell>
          <cell r="R33">
            <v>13580</v>
          </cell>
        </row>
        <row r="34">
          <cell r="M34">
            <v>5547.5</v>
          </cell>
          <cell r="R34">
            <v>5547.5</v>
          </cell>
        </row>
        <row r="35">
          <cell r="M35">
            <v>5411</v>
          </cell>
          <cell r="R35">
            <v>5411</v>
          </cell>
        </row>
        <row r="36">
          <cell r="M36">
            <v>5316.5</v>
          </cell>
          <cell r="R36">
            <v>5316.5</v>
          </cell>
        </row>
        <row r="37">
          <cell r="M37">
            <v>5159</v>
          </cell>
          <cell r="R37">
            <v>4147.5</v>
          </cell>
        </row>
        <row r="38">
          <cell r="M38">
            <v>5159</v>
          </cell>
          <cell r="R38">
            <v>4147.5</v>
          </cell>
        </row>
        <row r="39">
          <cell r="M39">
            <v>5159</v>
          </cell>
          <cell r="R39">
            <v>4147.5</v>
          </cell>
        </row>
        <row r="40">
          <cell r="M40">
            <v>5159</v>
          </cell>
          <cell r="R40">
            <v>4147.5</v>
          </cell>
        </row>
        <row r="41">
          <cell r="M41">
            <v>5159</v>
          </cell>
          <cell r="R41">
            <v>4147.5</v>
          </cell>
        </row>
        <row r="42">
          <cell r="M42">
            <v>5159</v>
          </cell>
          <cell r="R42">
            <v>4147.5</v>
          </cell>
        </row>
        <row r="43">
          <cell r="M43">
            <v>5159</v>
          </cell>
          <cell r="R43">
            <v>4147.5</v>
          </cell>
        </row>
        <row r="44">
          <cell r="M44">
            <v>5159</v>
          </cell>
          <cell r="R44">
            <v>4147.5</v>
          </cell>
        </row>
        <row r="45">
          <cell r="M45">
            <v>5159</v>
          </cell>
          <cell r="R45">
            <v>4147.5</v>
          </cell>
        </row>
        <row r="46">
          <cell r="M46">
            <v>5159</v>
          </cell>
          <cell r="R46">
            <v>4147.5</v>
          </cell>
        </row>
        <row r="47">
          <cell r="M47">
            <v>5159</v>
          </cell>
          <cell r="R47">
            <v>4147.5</v>
          </cell>
        </row>
        <row r="48">
          <cell r="M48">
            <v>5159</v>
          </cell>
          <cell r="R48">
            <v>4147.5</v>
          </cell>
        </row>
        <row r="49">
          <cell r="M49">
            <v>5159</v>
          </cell>
          <cell r="R49">
            <v>4147.5</v>
          </cell>
        </row>
        <row r="50">
          <cell r="M50">
            <v>5159</v>
          </cell>
          <cell r="R50">
            <v>4147.5</v>
          </cell>
        </row>
        <row r="51">
          <cell r="M51">
            <v>5159</v>
          </cell>
          <cell r="R51">
            <v>4147.5</v>
          </cell>
        </row>
        <row r="52">
          <cell r="M52">
            <v>5533.5</v>
          </cell>
          <cell r="R52">
            <v>4522</v>
          </cell>
        </row>
        <row r="53">
          <cell r="M53">
            <v>5533.5</v>
          </cell>
          <cell r="R53">
            <v>4522</v>
          </cell>
        </row>
        <row r="54">
          <cell r="M54">
            <v>5533.5</v>
          </cell>
          <cell r="R54">
            <v>4522</v>
          </cell>
        </row>
        <row r="55">
          <cell r="M55">
            <v>5533.5</v>
          </cell>
          <cell r="R55">
            <v>4522</v>
          </cell>
        </row>
      </sheetData>
      <sheetData sheetId="1"/>
      <sheetData sheetId="2">
        <row r="2">
          <cell r="T2">
            <v>1075609.5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Y20 Weekly Visitation"/>
      <sheetName val="Weekly Visitation Graph"/>
      <sheetName val="Historical Visitation"/>
    </sheetNames>
    <sheetDataSet>
      <sheetData sheetId="0">
        <row r="3">
          <cell r="M3">
            <v>6646.5</v>
          </cell>
        </row>
        <row r="4">
          <cell r="M4">
            <v>8781.5</v>
          </cell>
        </row>
        <row r="5">
          <cell r="M5">
            <v>14192.5</v>
          </cell>
        </row>
        <row r="6">
          <cell r="M6">
            <v>74088</v>
          </cell>
        </row>
        <row r="7">
          <cell r="M7">
            <v>25742.5</v>
          </cell>
        </row>
        <row r="8">
          <cell r="M8">
            <v>38493</v>
          </cell>
        </row>
        <row r="9">
          <cell r="M9">
            <v>22998.5</v>
          </cell>
        </row>
        <row r="10">
          <cell r="M10">
            <v>29991.5</v>
          </cell>
        </row>
        <row r="11">
          <cell r="M11">
            <v>90265</v>
          </cell>
        </row>
        <row r="12">
          <cell r="M12">
            <v>14819</v>
          </cell>
        </row>
        <row r="13">
          <cell r="M13">
            <v>16705.5</v>
          </cell>
        </row>
        <row r="14">
          <cell r="M14">
            <v>11056.5</v>
          </cell>
        </row>
        <row r="15">
          <cell r="M15">
            <v>67543</v>
          </cell>
        </row>
        <row r="16">
          <cell r="M16">
            <v>53378.5</v>
          </cell>
        </row>
        <row r="17">
          <cell r="M17">
            <v>14325.5</v>
          </cell>
        </row>
        <row r="18">
          <cell r="M18">
            <v>26806.5</v>
          </cell>
        </row>
        <row r="19">
          <cell r="M19">
            <v>22099</v>
          </cell>
        </row>
        <row r="20">
          <cell r="M20">
            <v>29687</v>
          </cell>
        </row>
        <row r="21">
          <cell r="M21">
            <v>20104</v>
          </cell>
        </row>
        <row r="22">
          <cell r="M22">
            <v>66272.5</v>
          </cell>
        </row>
        <row r="23">
          <cell r="M23">
            <v>33838</v>
          </cell>
        </row>
        <row r="24">
          <cell r="M24">
            <v>25504.5</v>
          </cell>
        </row>
        <row r="25">
          <cell r="M25">
            <v>21731.5</v>
          </cell>
        </row>
        <row r="26">
          <cell r="M26">
            <v>24850</v>
          </cell>
        </row>
        <row r="27">
          <cell r="M27">
            <v>22589</v>
          </cell>
        </row>
        <row r="28">
          <cell r="M28">
            <v>19078.5</v>
          </cell>
        </row>
        <row r="29">
          <cell r="M29">
            <v>9159.5</v>
          </cell>
        </row>
        <row r="30">
          <cell r="M30">
            <v>9432.5</v>
          </cell>
        </row>
        <row r="31">
          <cell r="M31">
            <v>12019</v>
          </cell>
        </row>
        <row r="32">
          <cell r="M32">
            <v>5883.5</v>
          </cell>
        </row>
        <row r="33">
          <cell r="M33">
            <v>3629.5</v>
          </cell>
        </row>
        <row r="34">
          <cell r="M34">
            <v>3230.5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0</v>
          </cell>
        </row>
        <row r="38">
          <cell r="M38">
            <v>0</v>
          </cell>
        </row>
        <row r="39">
          <cell r="M39">
            <v>0</v>
          </cell>
        </row>
        <row r="40">
          <cell r="M40">
            <v>0</v>
          </cell>
        </row>
        <row r="41">
          <cell r="M41">
            <v>0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58450</v>
          </cell>
        </row>
        <row r="49">
          <cell r="M49">
            <v>0</v>
          </cell>
        </row>
        <row r="50">
          <cell r="M50">
            <v>0</v>
          </cell>
        </row>
        <row r="51">
          <cell r="M51">
            <v>0</v>
          </cell>
        </row>
        <row r="52">
          <cell r="M52">
            <v>0</v>
          </cell>
        </row>
        <row r="53">
          <cell r="M53">
            <v>67952.5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Visitation"/>
      <sheetName val="Area Holiday Visitation"/>
      <sheetName val="Weekly Visitation Graph"/>
      <sheetName val="Historical Visitation"/>
      <sheetName val="Sheet1"/>
    </sheetNames>
    <sheetDataSet>
      <sheetData sheetId="0">
        <row r="3">
          <cell r="M3">
            <v>0</v>
          </cell>
        </row>
        <row r="4">
          <cell r="M4">
            <v>14777</v>
          </cell>
        </row>
        <row r="5">
          <cell r="M5">
            <v>6069</v>
          </cell>
        </row>
        <row r="6">
          <cell r="M6">
            <v>25602.5</v>
          </cell>
        </row>
        <row r="7">
          <cell r="M7">
            <v>75593</v>
          </cell>
        </row>
        <row r="8">
          <cell r="M8">
            <v>31594.5</v>
          </cell>
        </row>
        <row r="9">
          <cell r="M9">
            <v>50669.5</v>
          </cell>
        </row>
        <row r="10">
          <cell r="M10">
            <v>43596</v>
          </cell>
        </row>
        <row r="11">
          <cell r="M11">
            <v>121660</v>
          </cell>
        </row>
        <row r="12">
          <cell r="M12">
            <v>23905</v>
          </cell>
        </row>
        <row r="13">
          <cell r="M13">
            <v>27545</v>
          </cell>
        </row>
        <row r="14">
          <cell r="M14">
            <v>20373.5</v>
          </cell>
        </row>
        <row r="15">
          <cell r="M15">
            <v>37656.5</v>
          </cell>
        </row>
        <row r="16">
          <cell r="M16">
            <v>120200.5</v>
          </cell>
        </row>
        <row r="17">
          <cell r="M17">
            <v>25025</v>
          </cell>
        </row>
        <row r="18">
          <cell r="M18">
            <v>34926.5</v>
          </cell>
        </row>
        <row r="19">
          <cell r="M19">
            <v>30446.5</v>
          </cell>
        </row>
        <row r="20">
          <cell r="M20">
            <v>24633</v>
          </cell>
        </row>
        <row r="21">
          <cell r="M21">
            <v>27300</v>
          </cell>
        </row>
        <row r="22">
          <cell r="M22">
            <v>82330.5</v>
          </cell>
        </row>
        <row r="23">
          <cell r="M23">
            <v>38293.5</v>
          </cell>
        </row>
        <row r="24">
          <cell r="M24">
            <v>29204</v>
          </cell>
        </row>
        <row r="25">
          <cell r="M25">
            <v>32536</v>
          </cell>
        </row>
        <row r="26">
          <cell r="M26">
            <v>27506.5</v>
          </cell>
        </row>
        <row r="27">
          <cell r="M27">
            <v>29564.5</v>
          </cell>
        </row>
        <row r="28">
          <cell r="M28">
            <v>29977.5</v>
          </cell>
        </row>
        <row r="29">
          <cell r="M29">
            <v>19771.5</v>
          </cell>
        </row>
        <row r="30">
          <cell r="M30">
            <v>13622</v>
          </cell>
        </row>
        <row r="31">
          <cell r="M31">
            <v>10787</v>
          </cell>
        </row>
        <row r="32">
          <cell r="M32">
            <v>10367</v>
          </cell>
        </row>
        <row r="33">
          <cell r="M33">
            <v>8221.5</v>
          </cell>
        </row>
        <row r="34">
          <cell r="M34">
            <v>4252.5</v>
          </cell>
        </row>
        <row r="35">
          <cell r="M35">
            <v>6937</v>
          </cell>
        </row>
        <row r="36">
          <cell r="M36">
            <v>6538</v>
          </cell>
        </row>
        <row r="37">
          <cell r="M37">
            <v>5649</v>
          </cell>
        </row>
        <row r="38">
          <cell r="M38">
            <v>5729.5</v>
          </cell>
        </row>
        <row r="39">
          <cell r="M39">
            <v>5537</v>
          </cell>
        </row>
        <row r="40">
          <cell r="M40">
            <v>5092.5</v>
          </cell>
        </row>
        <row r="41">
          <cell r="M41">
            <v>4714.5</v>
          </cell>
        </row>
        <row r="42">
          <cell r="M42">
            <v>4732</v>
          </cell>
        </row>
        <row r="43">
          <cell r="M43">
            <v>4655</v>
          </cell>
        </row>
        <row r="44">
          <cell r="M44">
            <v>7213.5</v>
          </cell>
        </row>
        <row r="45">
          <cell r="M45">
            <v>6930</v>
          </cell>
        </row>
        <row r="46">
          <cell r="M46">
            <v>6741</v>
          </cell>
        </row>
        <row r="47">
          <cell r="M47">
            <v>5404</v>
          </cell>
        </row>
        <row r="48">
          <cell r="M48">
            <v>7084</v>
          </cell>
        </row>
        <row r="49">
          <cell r="M49">
            <v>7070</v>
          </cell>
        </row>
        <row r="50">
          <cell r="M50">
            <v>5670</v>
          </cell>
        </row>
        <row r="51">
          <cell r="M51">
            <v>5523</v>
          </cell>
        </row>
        <row r="52">
          <cell r="M52">
            <v>5236</v>
          </cell>
        </row>
        <row r="53">
          <cell r="M53">
            <v>5127.5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eekly Visitation"/>
      <sheetName val="Weekly Visitation Graph"/>
      <sheetName val="Holiday Visitation Comparision"/>
      <sheetName val="Historical Visitation"/>
    </sheetNames>
    <sheetDataSet>
      <sheetData sheetId="0">
        <row r="7">
          <cell r="M7">
            <v>7234.5</v>
          </cell>
        </row>
        <row r="8">
          <cell r="M8">
            <v>8158.5</v>
          </cell>
        </row>
        <row r="9">
          <cell r="M9">
            <v>10738</v>
          </cell>
        </row>
        <row r="10">
          <cell r="M10">
            <v>17640</v>
          </cell>
        </row>
        <row r="11">
          <cell r="M11">
            <v>78795.5</v>
          </cell>
        </row>
        <row r="12">
          <cell r="M12">
            <v>26288.5</v>
          </cell>
        </row>
        <row r="13">
          <cell r="M13">
            <v>48877.5</v>
          </cell>
        </row>
        <row r="14">
          <cell r="M14">
            <v>35882</v>
          </cell>
        </row>
        <row r="15">
          <cell r="M15">
            <v>127645</v>
          </cell>
        </row>
        <row r="16">
          <cell r="M16">
            <v>17297</v>
          </cell>
        </row>
        <row r="17">
          <cell r="M17">
            <v>24146.5</v>
          </cell>
        </row>
        <row r="18">
          <cell r="M18">
            <v>16373</v>
          </cell>
        </row>
        <row r="19">
          <cell r="M19">
            <v>22421</v>
          </cell>
        </row>
        <row r="20">
          <cell r="M20">
            <v>104755</v>
          </cell>
        </row>
        <row r="21">
          <cell r="M21">
            <v>21822.5</v>
          </cell>
        </row>
        <row r="22">
          <cell r="M22">
            <v>32623.5</v>
          </cell>
        </row>
        <row r="23">
          <cell r="M23">
            <v>20181</v>
          </cell>
        </row>
        <row r="24">
          <cell r="M24">
            <v>23681</v>
          </cell>
        </row>
        <row r="25">
          <cell r="M25">
            <v>19201</v>
          </cell>
        </row>
        <row r="26">
          <cell r="M26">
            <v>23691.5</v>
          </cell>
        </row>
        <row r="27">
          <cell r="M27">
            <v>84126</v>
          </cell>
        </row>
        <row r="28">
          <cell r="M28">
            <v>28794.5</v>
          </cell>
        </row>
        <row r="29">
          <cell r="M29">
            <v>17696</v>
          </cell>
        </row>
        <row r="30">
          <cell r="M30">
            <v>24157</v>
          </cell>
        </row>
        <row r="31">
          <cell r="M31">
            <v>23411.5</v>
          </cell>
        </row>
        <row r="32">
          <cell r="M32">
            <v>15799</v>
          </cell>
        </row>
        <row r="33">
          <cell r="M33">
            <v>14164.5</v>
          </cell>
        </row>
        <row r="34">
          <cell r="M34">
            <v>7966</v>
          </cell>
        </row>
        <row r="35">
          <cell r="M35">
            <v>10997</v>
          </cell>
        </row>
        <row r="36">
          <cell r="M36">
            <v>6881</v>
          </cell>
        </row>
        <row r="37">
          <cell r="M37">
            <v>5607</v>
          </cell>
        </row>
        <row r="38">
          <cell r="M38">
            <v>5523</v>
          </cell>
        </row>
        <row r="39">
          <cell r="M39">
            <v>6636</v>
          </cell>
        </row>
        <row r="40">
          <cell r="M40">
            <v>6510</v>
          </cell>
        </row>
        <row r="41">
          <cell r="M41">
            <v>3447.5</v>
          </cell>
        </row>
        <row r="42">
          <cell r="M42">
            <v>3451</v>
          </cell>
        </row>
        <row r="43">
          <cell r="M43">
            <v>3451</v>
          </cell>
        </row>
        <row r="44">
          <cell r="M44">
            <v>3437</v>
          </cell>
        </row>
        <row r="45">
          <cell r="M45">
            <v>3454.5</v>
          </cell>
        </row>
        <row r="46">
          <cell r="M46">
            <v>5474</v>
          </cell>
        </row>
        <row r="47">
          <cell r="M47">
            <v>5509</v>
          </cell>
        </row>
        <row r="48">
          <cell r="M48">
            <v>4963</v>
          </cell>
        </row>
        <row r="49">
          <cell r="M49">
            <v>4406.5</v>
          </cell>
        </row>
        <row r="50">
          <cell r="M50">
            <v>4203.5</v>
          </cell>
        </row>
        <row r="51">
          <cell r="M51">
            <v>3986.5</v>
          </cell>
        </row>
        <row r="52">
          <cell r="M52">
            <v>3808</v>
          </cell>
        </row>
        <row r="53">
          <cell r="M53">
            <v>3671.5</v>
          </cell>
        </row>
        <row r="54">
          <cell r="M54">
            <v>4154.5</v>
          </cell>
        </row>
        <row r="55">
          <cell r="M55">
            <v>4256</v>
          </cell>
        </row>
        <row r="56">
          <cell r="M56">
            <v>4361</v>
          </cell>
        </row>
        <row r="57">
          <cell r="M57">
            <v>4361</v>
          </cell>
        </row>
        <row r="58">
          <cell r="M58">
            <v>7437.5</v>
          </cell>
        </row>
      </sheetData>
      <sheetData sheetId="1"/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Weekly Visitation"/>
      <sheetName val="Weekly Visitation Graph"/>
      <sheetName val="Historical Visitation"/>
    </sheetNames>
    <sheetDataSet>
      <sheetData sheetId="0">
        <row r="3">
          <cell r="M3">
            <v>4648</v>
          </cell>
          <cell r="Q3">
            <v>2863</v>
          </cell>
        </row>
        <row r="4">
          <cell r="M4">
            <v>8193.5</v>
          </cell>
          <cell r="Q4">
            <v>2901.5</v>
          </cell>
        </row>
        <row r="5">
          <cell r="M5">
            <v>13590.5</v>
          </cell>
          <cell r="Q5">
            <v>5589.5</v>
          </cell>
        </row>
        <row r="6">
          <cell r="M6">
            <v>64484</v>
          </cell>
          <cell r="Q6">
            <v>14077</v>
          </cell>
        </row>
        <row r="7">
          <cell r="M7">
            <v>25896.5</v>
          </cell>
          <cell r="Q7">
            <v>71375.5</v>
          </cell>
        </row>
        <row r="8">
          <cell r="M8">
            <v>34716.5</v>
          </cell>
          <cell r="Q8">
            <v>21084</v>
          </cell>
        </row>
        <row r="9">
          <cell r="M9">
            <v>31440.5</v>
          </cell>
          <cell r="Q9">
            <v>32791.5</v>
          </cell>
        </row>
        <row r="10">
          <cell r="M10">
            <v>105553</v>
          </cell>
          <cell r="Q10">
            <v>30149</v>
          </cell>
        </row>
        <row r="11">
          <cell r="M11">
            <v>17010</v>
          </cell>
          <cell r="Q11">
            <v>106312.5</v>
          </cell>
        </row>
        <row r="12">
          <cell r="M12">
            <v>14637</v>
          </cell>
          <cell r="Q12">
            <v>15890</v>
          </cell>
        </row>
        <row r="13">
          <cell r="M13">
            <v>14413</v>
          </cell>
          <cell r="Q13">
            <v>13814.5</v>
          </cell>
        </row>
        <row r="14">
          <cell r="M14">
            <v>16856</v>
          </cell>
          <cell r="Q14">
            <v>15708</v>
          </cell>
        </row>
        <row r="15">
          <cell r="M15">
            <v>87773</v>
          </cell>
          <cell r="Q15">
            <v>13762</v>
          </cell>
        </row>
        <row r="16">
          <cell r="M16">
            <v>31822</v>
          </cell>
          <cell r="Q16">
            <v>85018.5</v>
          </cell>
        </row>
        <row r="17">
          <cell r="M17">
            <v>15844.5</v>
          </cell>
          <cell r="Q17">
            <v>27692</v>
          </cell>
        </row>
        <row r="18">
          <cell r="M18">
            <v>30303</v>
          </cell>
          <cell r="Q18">
            <v>28259</v>
          </cell>
        </row>
        <row r="19">
          <cell r="M19">
            <v>22029</v>
          </cell>
          <cell r="Q19">
            <v>18910.5</v>
          </cell>
        </row>
        <row r="20">
          <cell r="M20">
            <v>18959.5</v>
          </cell>
          <cell r="Q20">
            <v>19204.5</v>
          </cell>
        </row>
        <row r="21">
          <cell r="M21">
            <v>21238</v>
          </cell>
          <cell r="Q21">
            <v>19467</v>
          </cell>
        </row>
        <row r="22">
          <cell r="M22">
            <v>51047.5</v>
          </cell>
          <cell r="Q22">
            <v>18756.5</v>
          </cell>
        </row>
        <row r="23">
          <cell r="M23">
            <v>31269</v>
          </cell>
          <cell r="Q23">
            <v>74644.5</v>
          </cell>
        </row>
        <row r="24">
          <cell r="M24">
            <v>23418.5</v>
          </cell>
          <cell r="Q24">
            <v>28199.5</v>
          </cell>
        </row>
        <row r="25">
          <cell r="M25">
            <v>23796.5</v>
          </cell>
          <cell r="Q25">
            <v>19533.5</v>
          </cell>
        </row>
        <row r="26">
          <cell r="M26">
            <v>23096.5</v>
          </cell>
          <cell r="Q26">
            <v>17986.5</v>
          </cell>
        </row>
        <row r="27">
          <cell r="M27">
            <v>24192</v>
          </cell>
          <cell r="Q27">
            <v>19943</v>
          </cell>
        </row>
        <row r="28">
          <cell r="M28">
            <v>22162</v>
          </cell>
          <cell r="Q28">
            <v>19428.5</v>
          </cell>
        </row>
        <row r="29">
          <cell r="M29">
            <v>12876.5</v>
          </cell>
          <cell r="Q29">
            <v>20191.5</v>
          </cell>
        </row>
        <row r="30">
          <cell r="M30">
            <v>12414.5</v>
          </cell>
          <cell r="Q30">
            <v>13160</v>
          </cell>
        </row>
        <row r="31">
          <cell r="M31">
            <v>10199</v>
          </cell>
          <cell r="Q31">
            <v>8365</v>
          </cell>
        </row>
        <row r="32">
          <cell r="M32">
            <v>13783</v>
          </cell>
          <cell r="Q32">
            <v>8722</v>
          </cell>
        </row>
        <row r="33">
          <cell r="M33">
            <v>12075</v>
          </cell>
          <cell r="Q33">
            <v>4714.5</v>
          </cell>
        </row>
        <row r="34">
          <cell r="M34">
            <v>7917</v>
          </cell>
          <cell r="Q34">
            <v>2985.5</v>
          </cell>
        </row>
        <row r="35">
          <cell r="M35">
            <v>12124</v>
          </cell>
          <cell r="Q35">
            <v>1662.5</v>
          </cell>
        </row>
        <row r="36">
          <cell r="M36">
            <v>4907</v>
          </cell>
          <cell r="Q36">
            <v>4287.5</v>
          </cell>
        </row>
        <row r="37">
          <cell r="M37">
            <v>4501</v>
          </cell>
          <cell r="Q37">
            <v>5596.5</v>
          </cell>
        </row>
        <row r="38">
          <cell r="M38">
            <v>5278</v>
          </cell>
          <cell r="Q38">
            <v>7080.5</v>
          </cell>
        </row>
        <row r="39">
          <cell r="M39">
            <v>3790.5</v>
          </cell>
          <cell r="Q39">
            <v>2898</v>
          </cell>
        </row>
        <row r="40">
          <cell r="M40">
            <v>5183.5</v>
          </cell>
          <cell r="Q40">
            <v>3003</v>
          </cell>
        </row>
        <row r="41">
          <cell r="M41">
            <v>4004</v>
          </cell>
          <cell r="Q41">
            <v>1267</v>
          </cell>
        </row>
        <row r="42">
          <cell r="M42">
            <v>3734.5</v>
          </cell>
          <cell r="Q42">
            <v>927.5</v>
          </cell>
        </row>
        <row r="43">
          <cell r="M43">
            <v>4098.5</v>
          </cell>
          <cell r="Q43">
            <v>10272.5</v>
          </cell>
        </row>
        <row r="44">
          <cell r="M44">
            <v>4060</v>
          </cell>
          <cell r="Q44">
            <v>3332</v>
          </cell>
        </row>
        <row r="45">
          <cell r="M45">
            <v>3822</v>
          </cell>
          <cell r="Q45">
            <v>3853.5</v>
          </cell>
        </row>
        <row r="46">
          <cell r="M46">
            <v>4515</v>
          </cell>
          <cell r="Q46">
            <v>3594.5</v>
          </cell>
        </row>
        <row r="47">
          <cell r="M47">
            <v>3447.5</v>
          </cell>
          <cell r="Q47">
            <v>3293.5</v>
          </cell>
        </row>
        <row r="48">
          <cell r="M48">
            <v>4116</v>
          </cell>
          <cell r="Q48">
            <v>4224.5</v>
          </cell>
        </row>
        <row r="49">
          <cell r="M49">
            <v>0</v>
          </cell>
          <cell r="Q49">
            <v>4574.5</v>
          </cell>
        </row>
        <row r="50">
          <cell r="M50">
            <v>5407.5</v>
          </cell>
          <cell r="Q50">
            <v>4291</v>
          </cell>
        </row>
        <row r="51">
          <cell r="M51">
            <v>3934</v>
          </cell>
          <cell r="Q51">
            <v>4756.5</v>
          </cell>
        </row>
        <row r="52">
          <cell r="M52">
            <v>4256</v>
          </cell>
          <cell r="Q52">
            <v>4525.5</v>
          </cell>
        </row>
      </sheetData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Visitation"/>
      <sheetName val="Weekly Visitation Graph"/>
      <sheetName val="Historical Visitation"/>
    </sheetNames>
    <sheetDataSet>
      <sheetData sheetId="0">
        <row r="3">
          <cell r="Q3">
            <v>3948</v>
          </cell>
          <cell r="S3">
            <v>5428.5</v>
          </cell>
          <cell r="U3">
            <v>0</v>
          </cell>
        </row>
        <row r="4">
          <cell r="Q4">
            <v>5852</v>
          </cell>
          <cell r="S4">
            <v>5117</v>
          </cell>
          <cell r="U4">
            <v>9257.5</v>
          </cell>
        </row>
        <row r="5">
          <cell r="Q5">
            <v>8225</v>
          </cell>
          <cell r="S5">
            <v>10223.5</v>
          </cell>
          <cell r="U5">
            <v>9138.5</v>
          </cell>
        </row>
        <row r="6">
          <cell r="Q6">
            <v>11256</v>
          </cell>
          <cell r="S6">
            <v>15701</v>
          </cell>
          <cell r="U6">
            <v>18182.5</v>
          </cell>
        </row>
        <row r="7">
          <cell r="Q7">
            <v>72695</v>
          </cell>
          <cell r="S7">
            <v>77700</v>
          </cell>
          <cell r="U7">
            <v>60595.5</v>
          </cell>
        </row>
        <row r="8">
          <cell r="Q8">
            <v>20251</v>
          </cell>
          <cell r="S8">
            <v>21969.5</v>
          </cell>
          <cell r="U8">
            <v>42364</v>
          </cell>
        </row>
        <row r="9">
          <cell r="Q9">
            <v>31279.5</v>
          </cell>
          <cell r="S9">
            <v>21133</v>
          </cell>
          <cell r="U9">
            <v>20324.5</v>
          </cell>
        </row>
        <row r="10">
          <cell r="Q10">
            <v>27930</v>
          </cell>
          <cell r="S10">
            <v>28231</v>
          </cell>
          <cell r="U10">
            <v>39557</v>
          </cell>
        </row>
        <row r="11">
          <cell r="Q11">
            <v>100835</v>
          </cell>
          <cell r="S11">
            <v>102690</v>
          </cell>
          <cell r="U11">
            <v>127669.5</v>
          </cell>
        </row>
        <row r="12">
          <cell r="Q12">
            <v>13895</v>
          </cell>
          <cell r="S12">
            <v>14892.5</v>
          </cell>
          <cell r="U12">
            <v>13525.75</v>
          </cell>
        </row>
        <row r="13">
          <cell r="Q13">
            <v>17255</v>
          </cell>
          <cell r="S13">
            <v>12603.5</v>
          </cell>
          <cell r="U13">
            <v>15081.5</v>
          </cell>
        </row>
        <row r="14">
          <cell r="Q14">
            <v>12078.5</v>
          </cell>
          <cell r="S14">
            <v>13881</v>
          </cell>
          <cell r="U14">
            <v>14448</v>
          </cell>
        </row>
        <row r="15">
          <cell r="Q15">
            <v>13335</v>
          </cell>
          <cell r="S15">
            <v>31633</v>
          </cell>
          <cell r="U15">
            <v>66650.5</v>
          </cell>
        </row>
        <row r="16">
          <cell r="Q16">
            <v>73395</v>
          </cell>
          <cell r="S16">
            <v>84850.5</v>
          </cell>
          <cell r="U16">
            <v>78907.5</v>
          </cell>
        </row>
        <row r="17">
          <cell r="Q17">
            <v>23611</v>
          </cell>
          <cell r="S17">
            <v>14679</v>
          </cell>
          <cell r="U17">
            <v>17664.5</v>
          </cell>
        </row>
        <row r="18">
          <cell r="Q18">
            <v>27380.5</v>
          </cell>
          <cell r="S18">
            <v>22921.5</v>
          </cell>
          <cell r="U18">
            <v>29746.5</v>
          </cell>
        </row>
        <row r="19">
          <cell r="Q19">
            <v>11203.5</v>
          </cell>
          <cell r="S19">
            <v>20030.5</v>
          </cell>
          <cell r="U19">
            <v>21311.5</v>
          </cell>
        </row>
        <row r="20">
          <cell r="Q20">
            <v>15813</v>
          </cell>
          <cell r="S20">
            <v>18676</v>
          </cell>
          <cell r="U20">
            <v>18340</v>
          </cell>
        </row>
        <row r="21">
          <cell r="Q21">
            <v>19929</v>
          </cell>
          <cell r="S21">
            <v>17335.5</v>
          </cell>
          <cell r="U21">
            <v>18991</v>
          </cell>
        </row>
        <row r="22">
          <cell r="Q22">
            <v>18945.5</v>
          </cell>
          <cell r="S22">
            <v>73199</v>
          </cell>
          <cell r="U22">
            <v>58030</v>
          </cell>
        </row>
        <row r="23">
          <cell r="Q23">
            <v>67343.5</v>
          </cell>
          <cell r="S23">
            <v>23849</v>
          </cell>
          <cell r="U23">
            <v>29228.5</v>
          </cell>
        </row>
        <row r="24">
          <cell r="Q24">
            <v>33701.5</v>
          </cell>
          <cell r="S24">
            <v>21224</v>
          </cell>
          <cell r="U24">
            <v>24605</v>
          </cell>
        </row>
        <row r="25">
          <cell r="Q25">
            <v>16093</v>
          </cell>
          <cell r="S25">
            <v>14476</v>
          </cell>
          <cell r="U25">
            <v>21868</v>
          </cell>
        </row>
        <row r="26">
          <cell r="Q26">
            <v>17671.5</v>
          </cell>
          <cell r="S26">
            <v>15358</v>
          </cell>
          <cell r="U26">
            <v>20786.5</v>
          </cell>
        </row>
        <row r="27">
          <cell r="Q27">
            <v>17955</v>
          </cell>
          <cell r="S27">
            <v>19659.5</v>
          </cell>
          <cell r="U27">
            <v>20618.5</v>
          </cell>
        </row>
        <row r="28">
          <cell r="Q28">
            <v>17500</v>
          </cell>
          <cell r="S28">
            <v>19050.5</v>
          </cell>
          <cell r="U28">
            <v>15837.5</v>
          </cell>
        </row>
        <row r="29">
          <cell r="Q29">
            <v>15729</v>
          </cell>
          <cell r="S29">
            <v>14206.5</v>
          </cell>
          <cell r="U29">
            <v>14518</v>
          </cell>
        </row>
        <row r="30">
          <cell r="Q30">
            <v>10279.5</v>
          </cell>
          <cell r="S30">
            <v>11014.5</v>
          </cell>
          <cell r="U30">
            <v>11256</v>
          </cell>
        </row>
        <row r="31">
          <cell r="Q31">
            <v>11511.5</v>
          </cell>
          <cell r="S31">
            <v>8309</v>
          </cell>
          <cell r="U31">
            <v>8134</v>
          </cell>
        </row>
        <row r="32">
          <cell r="Q32">
            <v>5565</v>
          </cell>
          <cell r="S32">
            <v>7014</v>
          </cell>
          <cell r="U32">
            <v>5250</v>
          </cell>
        </row>
        <row r="33">
          <cell r="Q33">
            <v>4154.5</v>
          </cell>
          <cell r="S33">
            <v>6020</v>
          </cell>
          <cell r="U33">
            <v>4406.5</v>
          </cell>
        </row>
        <row r="34">
          <cell r="Q34">
            <v>1571.5</v>
          </cell>
          <cell r="S34">
            <v>3794</v>
          </cell>
          <cell r="U34">
            <v>4865</v>
          </cell>
        </row>
        <row r="35">
          <cell r="Q35">
            <v>1438.5</v>
          </cell>
          <cell r="S35">
            <v>6765.5</v>
          </cell>
          <cell r="U35">
            <v>4602.5</v>
          </cell>
        </row>
        <row r="36">
          <cell r="Q36">
            <v>2485</v>
          </cell>
          <cell r="S36">
            <v>6065.5</v>
          </cell>
          <cell r="U36">
            <v>7007</v>
          </cell>
        </row>
        <row r="37">
          <cell r="Q37">
            <v>3636.5</v>
          </cell>
          <cell r="S37">
            <v>6314</v>
          </cell>
          <cell r="U37">
            <v>4235</v>
          </cell>
        </row>
        <row r="38">
          <cell r="Q38">
            <v>2716</v>
          </cell>
          <cell r="S38">
            <v>8053.5</v>
          </cell>
          <cell r="U38">
            <v>3426.5</v>
          </cell>
        </row>
        <row r="39">
          <cell r="Q39">
            <v>4389</v>
          </cell>
          <cell r="S39">
            <v>4102</v>
          </cell>
          <cell r="U39">
            <v>2933</v>
          </cell>
        </row>
        <row r="40">
          <cell r="Q40">
            <v>2639</v>
          </cell>
          <cell r="S40">
            <v>4046</v>
          </cell>
          <cell r="U40">
            <v>3972.5</v>
          </cell>
        </row>
        <row r="41">
          <cell r="Q41">
            <v>3027.5</v>
          </cell>
          <cell r="S41">
            <v>3685.5</v>
          </cell>
          <cell r="U41">
            <v>5974.5</v>
          </cell>
        </row>
        <row r="42">
          <cell r="Q42">
            <v>3594.5</v>
          </cell>
          <cell r="S42">
            <v>5610.5</v>
          </cell>
          <cell r="U42">
            <v>4315.5</v>
          </cell>
        </row>
        <row r="43">
          <cell r="Q43">
            <v>2243.5</v>
          </cell>
          <cell r="S43">
            <v>2278.5</v>
          </cell>
          <cell r="U43">
            <v>3020.5</v>
          </cell>
        </row>
        <row r="44">
          <cell r="Q44">
            <v>2660</v>
          </cell>
          <cell r="S44">
            <v>4728.5</v>
          </cell>
          <cell r="U44">
            <v>4819.5</v>
          </cell>
        </row>
        <row r="45">
          <cell r="Q45">
            <v>2649.5</v>
          </cell>
          <cell r="S45">
            <v>3276</v>
          </cell>
          <cell r="U45">
            <v>4655</v>
          </cell>
        </row>
        <row r="46">
          <cell r="Q46">
            <v>2499</v>
          </cell>
          <cell r="S46">
            <v>3192</v>
          </cell>
          <cell r="U46">
            <v>3563</v>
          </cell>
        </row>
        <row r="47">
          <cell r="Q47">
            <v>2674</v>
          </cell>
          <cell r="S47">
            <v>3577</v>
          </cell>
          <cell r="U47">
            <v>0</v>
          </cell>
        </row>
        <row r="48">
          <cell r="Q48">
            <v>2292.5</v>
          </cell>
          <cell r="S48">
            <v>3381</v>
          </cell>
          <cell r="U48">
            <v>0</v>
          </cell>
        </row>
        <row r="49">
          <cell r="Q49">
            <v>2793</v>
          </cell>
          <cell r="S49">
            <v>3832.5</v>
          </cell>
          <cell r="U49">
            <v>0</v>
          </cell>
        </row>
        <row r="50">
          <cell r="Q50">
            <v>2317</v>
          </cell>
          <cell r="S50">
            <v>3472</v>
          </cell>
          <cell r="U50">
            <v>0</v>
          </cell>
        </row>
        <row r="51">
          <cell r="Q51">
            <v>3594.5</v>
          </cell>
          <cell r="S51">
            <v>4039</v>
          </cell>
          <cell r="U51">
            <v>0</v>
          </cell>
        </row>
        <row r="52">
          <cell r="Q52">
            <v>3594.5</v>
          </cell>
          <cell r="S52"/>
          <cell r="U52"/>
        </row>
        <row r="53">
          <cell r="Q53">
            <v>2439.5</v>
          </cell>
          <cell r="S53">
            <v>3871</v>
          </cell>
          <cell r="U53">
            <v>0</v>
          </cell>
        </row>
        <row r="54">
          <cell r="Q54">
            <v>2184</v>
          </cell>
          <cell r="S54">
            <v>3503.5</v>
          </cell>
          <cell r="U54">
            <v>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21B34-A728-4346-9508-6AA930DBC7D5}">
  <dimension ref="A1:BL190"/>
  <sheetViews>
    <sheetView tabSelected="1" topLeftCell="A32" zoomScaleNormal="100" workbookViewId="0">
      <selection activeCell="L6" sqref="L6"/>
    </sheetView>
  </sheetViews>
  <sheetFormatPr defaultRowHeight="15" x14ac:dyDescent="0.25"/>
  <cols>
    <col min="1" max="1" width="20.42578125" customWidth="1"/>
    <col min="2" max="9" width="8.85546875" customWidth="1"/>
    <col min="12" max="12" width="17.7109375" customWidth="1"/>
    <col min="17" max="17" width="18.28515625" customWidth="1"/>
  </cols>
  <sheetData>
    <row r="1" spans="1:64" ht="49.15" customHeight="1" x14ac:dyDescent="1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L1" s="23"/>
    </row>
    <row r="2" spans="1:64" ht="132.6" customHeight="1" x14ac:dyDescent="0.25">
      <c r="A2" s="18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8" t="s">
        <v>10</v>
      </c>
      <c r="K2" s="3" t="s">
        <v>11</v>
      </c>
      <c r="L2" s="45" t="s">
        <v>12</v>
      </c>
      <c r="M2" s="3" t="s">
        <v>13</v>
      </c>
      <c r="N2" s="4" t="s">
        <v>14</v>
      </c>
      <c r="O2" s="28" t="s">
        <v>15</v>
      </c>
      <c r="P2" s="3" t="s">
        <v>16</v>
      </c>
      <c r="Q2" s="45" t="s">
        <v>17</v>
      </c>
      <c r="R2" s="3" t="s">
        <v>18</v>
      </c>
      <c r="S2" s="27" t="s">
        <v>19</v>
      </c>
      <c r="T2" s="9" t="s">
        <v>20</v>
      </c>
      <c r="U2" s="27" t="s">
        <v>21</v>
      </c>
      <c r="V2" s="9" t="s">
        <v>22</v>
      </c>
      <c r="W2" s="27" t="s">
        <v>23</v>
      </c>
      <c r="X2" s="9" t="s">
        <v>24</v>
      </c>
      <c r="Y2" s="27" t="s">
        <v>25</v>
      </c>
      <c r="Z2" s="9" t="s">
        <v>26</v>
      </c>
      <c r="AA2" s="27" t="s">
        <v>27</v>
      </c>
      <c r="AB2" s="9" t="s">
        <v>28</v>
      </c>
      <c r="AC2" s="27" t="s">
        <v>29</v>
      </c>
      <c r="AD2" s="9" t="s">
        <v>30</v>
      </c>
      <c r="AE2" s="27" t="s">
        <v>31</v>
      </c>
      <c r="AF2" s="9" t="s">
        <v>32</v>
      </c>
      <c r="AG2" s="27" t="s">
        <v>33</v>
      </c>
      <c r="AH2" s="9" t="s">
        <v>34</v>
      </c>
      <c r="AI2" s="26" t="s">
        <v>35</v>
      </c>
      <c r="AJ2" s="9" t="s">
        <v>36</v>
      </c>
      <c r="AK2" s="25" t="s">
        <v>37</v>
      </c>
      <c r="AL2" s="10" t="s">
        <v>38</v>
      </c>
      <c r="AM2" s="11" t="s">
        <v>39</v>
      </c>
      <c r="AN2" s="12" t="s">
        <v>40</v>
      </c>
      <c r="AO2" s="13" t="s">
        <v>41</v>
      </c>
      <c r="AP2" s="14" t="s">
        <v>42</v>
      </c>
      <c r="AQ2" s="13" t="s">
        <v>43</v>
      </c>
      <c r="AR2" s="14" t="s">
        <v>44</v>
      </c>
      <c r="AS2" s="13" t="s">
        <v>45</v>
      </c>
      <c r="AT2" s="14" t="s">
        <v>46</v>
      </c>
      <c r="AU2" s="13" t="s">
        <v>47</v>
      </c>
      <c r="AV2" s="14" t="s">
        <v>48</v>
      </c>
      <c r="AW2" s="13" t="s">
        <v>49</v>
      </c>
      <c r="AX2" s="14" t="s">
        <v>50</v>
      </c>
      <c r="AY2" s="13" t="s">
        <v>51</v>
      </c>
      <c r="AZ2" s="14" t="s">
        <v>52</v>
      </c>
      <c r="BA2" s="11" t="s">
        <v>53</v>
      </c>
      <c r="BB2" s="12" t="s">
        <v>54</v>
      </c>
      <c r="BC2" s="13" t="s">
        <v>55</v>
      </c>
      <c r="BD2" s="14" t="s">
        <v>56</v>
      </c>
      <c r="BE2" s="11" t="s">
        <v>57</v>
      </c>
      <c r="BF2" s="12" t="s">
        <v>58</v>
      </c>
      <c r="BG2" s="13" t="s">
        <v>59</v>
      </c>
      <c r="BH2" s="14" t="s">
        <v>60</v>
      </c>
      <c r="BI2" s="13" t="s">
        <v>61</v>
      </c>
      <c r="BJ2" s="14" t="s">
        <v>62</v>
      </c>
      <c r="BK2" s="13" t="s">
        <v>63</v>
      </c>
      <c r="BL2" s="23"/>
    </row>
    <row r="3" spans="1:64" ht="21" x14ac:dyDescent="0.35">
      <c r="A3" s="19">
        <v>45571</v>
      </c>
      <c r="B3" s="17">
        <v>197</v>
      </c>
      <c r="C3" s="17">
        <v>417</v>
      </c>
      <c r="D3" s="17">
        <v>60</v>
      </c>
      <c r="E3" s="17">
        <v>110</v>
      </c>
      <c r="F3" s="17">
        <v>461</v>
      </c>
      <c r="G3" s="17">
        <v>133</v>
      </c>
      <c r="H3" s="17">
        <v>3</v>
      </c>
      <c r="I3" s="17">
        <v>4</v>
      </c>
      <c r="J3" s="17">
        <f t="shared" ref="J3:J34" si="0">SUM(B3:I3)</f>
        <v>1385</v>
      </c>
      <c r="K3" s="17">
        <f>J3</f>
        <v>1385</v>
      </c>
      <c r="L3" s="46">
        <f>J3*3.5</f>
        <v>4847.5</v>
      </c>
      <c r="M3" s="6">
        <f>L3</f>
        <v>4847.5</v>
      </c>
      <c r="N3" s="24">
        <f>(M3-R3)/R3</f>
        <v>-0.11951684678957407</v>
      </c>
      <c r="O3" s="6">
        <v>1573</v>
      </c>
      <c r="P3" s="6">
        <v>1573</v>
      </c>
      <c r="Q3" s="46">
        <v>5505.5</v>
      </c>
      <c r="R3" s="6">
        <v>5505.5</v>
      </c>
      <c r="S3" s="6">
        <v>1363</v>
      </c>
      <c r="T3" s="6">
        <v>1363</v>
      </c>
      <c r="U3" s="6">
        <v>4770.5</v>
      </c>
      <c r="V3" s="6">
        <v>4770.5</v>
      </c>
      <c r="W3" s="6">
        <v>2067</v>
      </c>
      <c r="X3" s="6">
        <v>2067</v>
      </c>
      <c r="Y3" s="6">
        <v>7234.5</v>
      </c>
      <c r="Z3" s="6">
        <v>7234.5</v>
      </c>
      <c r="AA3" s="6">
        <v>0</v>
      </c>
      <c r="AB3" s="6">
        <v>0</v>
      </c>
      <c r="AC3" s="6">
        <v>0</v>
      </c>
      <c r="AD3" s="6">
        <v>0</v>
      </c>
      <c r="AE3" s="6">
        <v>1899</v>
      </c>
      <c r="AF3" s="6">
        <v>6646.5</v>
      </c>
      <c r="AG3" s="6">
        <v>6646.5</v>
      </c>
      <c r="AH3" s="6">
        <v>1328</v>
      </c>
      <c r="AI3" s="6">
        <v>1328</v>
      </c>
      <c r="AJ3" s="6">
        <v>4648</v>
      </c>
      <c r="AK3" s="6">
        <v>4648</v>
      </c>
      <c r="AL3" s="6">
        <v>818</v>
      </c>
      <c r="AM3" s="6">
        <v>818</v>
      </c>
      <c r="AN3" s="6">
        <v>2863</v>
      </c>
      <c r="AO3" s="6">
        <v>2863</v>
      </c>
      <c r="AP3" s="6">
        <v>5428.5</v>
      </c>
      <c r="AQ3" s="6">
        <v>5429</v>
      </c>
      <c r="AR3" s="6">
        <v>0</v>
      </c>
      <c r="AS3" s="6">
        <v>0</v>
      </c>
      <c r="AT3" s="6">
        <v>5428.5</v>
      </c>
      <c r="AU3" s="6">
        <v>5429</v>
      </c>
      <c r="AV3" s="6">
        <v>0</v>
      </c>
      <c r="AW3" s="6">
        <v>0</v>
      </c>
      <c r="AX3" s="6">
        <v>14476</v>
      </c>
      <c r="AY3" s="6">
        <v>14476</v>
      </c>
      <c r="AZ3" s="6">
        <v>12450</v>
      </c>
      <c r="BA3" s="6">
        <v>24234</v>
      </c>
      <c r="BB3" s="6">
        <v>14614.25</v>
      </c>
      <c r="BC3" s="6">
        <v>36975.75</v>
      </c>
      <c r="BD3" s="6">
        <v>25022</v>
      </c>
      <c r="BE3" s="6">
        <v>55790</v>
      </c>
      <c r="BF3" s="6">
        <v>23306.5</v>
      </c>
      <c r="BG3" s="6">
        <v>47456.5</v>
      </c>
      <c r="BH3" s="6">
        <v>15284.5</v>
      </c>
      <c r="BI3" s="6">
        <v>45442</v>
      </c>
      <c r="BJ3" s="6">
        <v>20863.5</v>
      </c>
      <c r="BK3" s="6">
        <v>44159.5</v>
      </c>
      <c r="BL3" s="23"/>
    </row>
    <row r="4" spans="1:64" ht="21" x14ac:dyDescent="0.35">
      <c r="A4" s="19">
        <v>45578</v>
      </c>
      <c r="B4" s="17">
        <v>361</v>
      </c>
      <c r="C4" s="17">
        <v>481</v>
      </c>
      <c r="D4" s="17">
        <v>80</v>
      </c>
      <c r="E4" s="17">
        <v>110</v>
      </c>
      <c r="F4" s="17">
        <v>461</v>
      </c>
      <c r="G4" s="17">
        <v>134</v>
      </c>
      <c r="H4" s="17">
        <v>3</v>
      </c>
      <c r="I4" s="17">
        <v>4</v>
      </c>
      <c r="J4" s="17">
        <f t="shared" si="0"/>
        <v>1634</v>
      </c>
      <c r="K4" s="17">
        <f>K3+J4</f>
        <v>3019</v>
      </c>
      <c r="L4" s="46">
        <f t="shared" ref="L4:L54" si="1">J4*3.5</f>
        <v>5719</v>
      </c>
      <c r="M4" s="6">
        <f>M3+L4</f>
        <v>10566.5</v>
      </c>
      <c r="N4" s="24">
        <f t="shared" ref="N4:N54" si="2">(M4-R4)/R4</f>
        <v>-8.7639770323360539E-2</v>
      </c>
      <c r="O4" s="6">
        <v>1736</v>
      </c>
      <c r="P4" s="6">
        <v>3309</v>
      </c>
      <c r="Q4" s="46">
        <v>6076</v>
      </c>
      <c r="R4" s="6">
        <v>11581.5</v>
      </c>
      <c r="S4" s="6">
        <v>1627</v>
      </c>
      <c r="T4" s="6">
        <v>2990</v>
      </c>
      <c r="U4" s="6">
        <v>5694.5</v>
      </c>
      <c r="V4" s="6">
        <v>10465</v>
      </c>
      <c r="W4" s="6">
        <v>2331</v>
      </c>
      <c r="X4" s="6">
        <v>4398</v>
      </c>
      <c r="Y4" s="6">
        <v>8158.5</v>
      </c>
      <c r="Z4" s="6">
        <v>15393</v>
      </c>
      <c r="AA4" s="6">
        <v>4222</v>
      </c>
      <c r="AB4" s="6">
        <v>4222</v>
      </c>
      <c r="AC4" s="6">
        <v>14777</v>
      </c>
      <c r="AD4" s="6">
        <v>14777</v>
      </c>
      <c r="AE4" s="6">
        <v>4408</v>
      </c>
      <c r="AF4" s="6">
        <v>8781.5</v>
      </c>
      <c r="AG4" s="6">
        <v>15428</v>
      </c>
      <c r="AH4" s="6">
        <v>2341</v>
      </c>
      <c r="AI4" s="6">
        <v>3669</v>
      </c>
      <c r="AJ4" s="6">
        <v>8193.5</v>
      </c>
      <c r="AK4" s="6">
        <v>12841.5</v>
      </c>
      <c r="AL4" s="6">
        <v>829</v>
      </c>
      <c r="AM4" s="6">
        <v>1647</v>
      </c>
      <c r="AN4" s="6">
        <v>2901.5</v>
      </c>
      <c r="AO4" s="6">
        <v>5764.5</v>
      </c>
      <c r="AP4" s="6">
        <v>5117</v>
      </c>
      <c r="AQ4" s="6">
        <v>10546</v>
      </c>
      <c r="AR4" s="6">
        <v>2645</v>
      </c>
      <c r="AS4" s="6">
        <v>2645</v>
      </c>
      <c r="AT4" s="6">
        <v>5117</v>
      </c>
      <c r="AU4" s="6">
        <v>10546</v>
      </c>
      <c r="AV4" s="6">
        <v>9257.5</v>
      </c>
      <c r="AW4" s="6">
        <v>9257.5</v>
      </c>
      <c r="AX4" s="6">
        <v>14539</v>
      </c>
      <c r="AY4" s="6">
        <v>29015</v>
      </c>
      <c r="AZ4" s="6">
        <v>11792</v>
      </c>
      <c r="BA4" s="6">
        <v>36026</v>
      </c>
      <c r="BB4" s="6">
        <v>27538</v>
      </c>
      <c r="BC4" s="6">
        <v>64513.75</v>
      </c>
      <c r="BD4" s="6">
        <v>75170</v>
      </c>
      <c r="BE4" s="6">
        <v>130960</v>
      </c>
      <c r="BF4" s="6">
        <v>20230</v>
      </c>
      <c r="BG4" s="6">
        <v>67686.5</v>
      </c>
      <c r="BH4" s="6">
        <v>31246.25</v>
      </c>
      <c r="BI4" s="6">
        <v>76688.25</v>
      </c>
      <c r="BJ4" s="6">
        <v>31193.75</v>
      </c>
      <c r="BK4" s="6">
        <v>75353.25</v>
      </c>
      <c r="BL4" s="23"/>
    </row>
    <row r="5" spans="1:64" ht="21" x14ac:dyDescent="0.35">
      <c r="A5" s="19">
        <v>45585</v>
      </c>
      <c r="B5" s="17">
        <v>1380</v>
      </c>
      <c r="C5" s="17">
        <v>451</v>
      </c>
      <c r="D5" s="17">
        <v>282</v>
      </c>
      <c r="E5" s="17">
        <v>156</v>
      </c>
      <c r="F5" s="17">
        <v>561</v>
      </c>
      <c r="G5" s="17">
        <v>136</v>
      </c>
      <c r="H5" s="17">
        <v>3</v>
      </c>
      <c r="I5" s="17">
        <v>4</v>
      </c>
      <c r="J5" s="17">
        <f t="shared" si="0"/>
        <v>2973</v>
      </c>
      <c r="K5" s="17">
        <f t="shared" ref="K5:K54" si="3">K4+J5</f>
        <v>5992</v>
      </c>
      <c r="L5" s="46">
        <f t="shared" si="1"/>
        <v>10405.5</v>
      </c>
      <c r="M5" s="6">
        <f t="shared" ref="M5:M54" si="4">M4+L5</f>
        <v>20972</v>
      </c>
      <c r="N5" s="24">
        <f t="shared" si="2"/>
        <v>3.6850921273031824E-3</v>
      </c>
      <c r="O5" s="6">
        <v>2661</v>
      </c>
      <c r="P5" s="6">
        <v>5970</v>
      </c>
      <c r="Q5" s="46">
        <v>9313.5</v>
      </c>
      <c r="R5" s="6">
        <v>20895</v>
      </c>
      <c r="S5" s="6">
        <v>2624</v>
      </c>
      <c r="T5" s="6">
        <v>5614</v>
      </c>
      <c r="U5" s="6">
        <v>9184</v>
      </c>
      <c r="V5" s="6">
        <v>19649</v>
      </c>
      <c r="W5" s="6">
        <v>3068</v>
      </c>
      <c r="X5" s="6">
        <v>7466</v>
      </c>
      <c r="Y5" s="6">
        <v>10738</v>
      </c>
      <c r="Z5" s="6">
        <v>26131</v>
      </c>
      <c r="AA5" s="6">
        <v>1734</v>
      </c>
      <c r="AB5" s="6">
        <v>5956</v>
      </c>
      <c r="AC5" s="6">
        <v>6069</v>
      </c>
      <c r="AD5" s="6">
        <v>20846</v>
      </c>
      <c r="AE5" s="6">
        <v>8463</v>
      </c>
      <c r="AF5" s="6">
        <v>14192.5</v>
      </c>
      <c r="AG5" s="6">
        <v>29620.5</v>
      </c>
      <c r="AH5" s="6">
        <v>3883</v>
      </c>
      <c r="AI5" s="6">
        <v>7552</v>
      </c>
      <c r="AJ5" s="6">
        <v>13590.5</v>
      </c>
      <c r="AK5" s="6">
        <v>26432</v>
      </c>
      <c r="AL5" s="6">
        <v>1597</v>
      </c>
      <c r="AM5" s="6">
        <v>3244</v>
      </c>
      <c r="AN5" s="6">
        <v>5589.5</v>
      </c>
      <c r="AO5" s="6">
        <v>11354</v>
      </c>
      <c r="AP5" s="6">
        <v>10223.5</v>
      </c>
      <c r="AQ5" s="6">
        <v>20769.5</v>
      </c>
      <c r="AR5" s="6">
        <v>2611</v>
      </c>
      <c r="AS5" s="6">
        <v>5256</v>
      </c>
      <c r="AT5" s="6">
        <v>10223.5</v>
      </c>
      <c r="AU5" s="6">
        <v>20769.5</v>
      </c>
      <c r="AV5" s="6">
        <v>9138.5</v>
      </c>
      <c r="AW5" s="6">
        <v>18396</v>
      </c>
      <c r="AX5" s="6">
        <v>23135</v>
      </c>
      <c r="AY5" s="6">
        <v>52150</v>
      </c>
      <c r="AZ5" s="6">
        <v>40285</v>
      </c>
      <c r="BA5" s="6">
        <v>76311</v>
      </c>
      <c r="BB5" s="6">
        <v>78361.5</v>
      </c>
      <c r="BC5" s="6">
        <v>142875.25</v>
      </c>
      <c r="BD5" s="6">
        <v>25760</v>
      </c>
      <c r="BE5" s="6">
        <v>156720</v>
      </c>
      <c r="BF5" s="6">
        <v>64680</v>
      </c>
      <c r="BG5" s="6">
        <v>132366.5</v>
      </c>
      <c r="BH5" s="6">
        <v>90021.75</v>
      </c>
      <c r="BI5" s="6">
        <v>166710</v>
      </c>
      <c r="BJ5" s="6">
        <v>82586</v>
      </c>
      <c r="BK5" s="6">
        <v>157939.25</v>
      </c>
      <c r="BL5" s="23"/>
    </row>
    <row r="6" spans="1:64" ht="21" x14ac:dyDescent="0.35">
      <c r="A6" s="19">
        <v>45592</v>
      </c>
      <c r="B6" s="17">
        <v>1290</v>
      </c>
      <c r="C6" s="17">
        <v>469</v>
      </c>
      <c r="D6" s="17">
        <v>889</v>
      </c>
      <c r="E6" s="17">
        <v>1224</v>
      </c>
      <c r="F6" s="17">
        <v>581</v>
      </c>
      <c r="G6" s="17">
        <v>268</v>
      </c>
      <c r="H6" s="17"/>
      <c r="I6" s="17">
        <v>2</v>
      </c>
      <c r="J6" s="17">
        <f t="shared" si="0"/>
        <v>4723</v>
      </c>
      <c r="K6" s="17">
        <f t="shared" si="3"/>
        <v>10715</v>
      </c>
      <c r="L6" s="46">
        <f t="shared" si="1"/>
        <v>16530.5</v>
      </c>
      <c r="M6" s="6">
        <f t="shared" si="4"/>
        <v>37502.5</v>
      </c>
      <c r="N6" s="24">
        <f t="shared" si="2"/>
        <v>3.4965710422099873E-2</v>
      </c>
      <c r="O6" s="6">
        <v>4383</v>
      </c>
      <c r="P6" s="6">
        <v>10353</v>
      </c>
      <c r="Q6" s="46">
        <v>15340.5</v>
      </c>
      <c r="R6" s="6">
        <v>36235.5</v>
      </c>
      <c r="S6" s="6">
        <v>4139</v>
      </c>
      <c r="T6" s="6">
        <v>9753</v>
      </c>
      <c r="U6" s="6">
        <v>14486.5</v>
      </c>
      <c r="V6" s="6">
        <v>34135.5</v>
      </c>
      <c r="W6" s="6">
        <v>5040</v>
      </c>
      <c r="X6" s="6">
        <v>12506</v>
      </c>
      <c r="Y6" s="6">
        <v>17640</v>
      </c>
      <c r="Z6" s="6">
        <v>43771</v>
      </c>
      <c r="AA6" s="6">
        <v>7315</v>
      </c>
      <c r="AB6" s="6">
        <v>13271</v>
      </c>
      <c r="AC6" s="6">
        <v>25602.5</v>
      </c>
      <c r="AD6" s="6">
        <v>46448.5</v>
      </c>
      <c r="AE6" s="6">
        <v>29631</v>
      </c>
      <c r="AF6" s="6">
        <v>25742.5</v>
      </c>
      <c r="AG6" s="6">
        <v>103708.5</v>
      </c>
      <c r="AH6" s="6">
        <v>18424</v>
      </c>
      <c r="AI6" s="6">
        <v>25976</v>
      </c>
      <c r="AJ6" s="6">
        <v>64484</v>
      </c>
      <c r="AK6" s="6">
        <v>90916</v>
      </c>
      <c r="AL6" s="6">
        <v>4022</v>
      </c>
      <c r="AM6" s="6">
        <v>7266</v>
      </c>
      <c r="AN6" s="6">
        <v>14077</v>
      </c>
      <c r="AO6" s="6">
        <v>25431</v>
      </c>
      <c r="AP6" s="6">
        <v>15701</v>
      </c>
      <c r="AQ6" s="6">
        <v>36470.5</v>
      </c>
      <c r="AR6" s="6">
        <v>5195</v>
      </c>
      <c r="AS6" s="6">
        <v>10451</v>
      </c>
      <c r="AT6" s="6">
        <v>15701</v>
      </c>
      <c r="AU6" s="6">
        <v>36470.5</v>
      </c>
      <c r="AV6" s="6">
        <v>18182.5</v>
      </c>
      <c r="AW6" s="6">
        <v>36578.5</v>
      </c>
      <c r="AX6" s="6">
        <v>55601</v>
      </c>
      <c r="AY6" s="6">
        <v>107751</v>
      </c>
      <c r="AZ6" s="6">
        <v>42341</v>
      </c>
      <c r="BA6" s="6">
        <v>118652</v>
      </c>
      <c r="BB6" s="6">
        <v>52570</v>
      </c>
      <c r="BC6" s="6">
        <v>195445.25</v>
      </c>
      <c r="BD6" s="6">
        <v>36936</v>
      </c>
      <c r="BE6" s="6">
        <v>193655</v>
      </c>
      <c r="BF6" s="6">
        <v>33615.75</v>
      </c>
      <c r="BG6" s="6">
        <v>165982.25</v>
      </c>
      <c r="BH6" s="6">
        <v>49561.75</v>
      </c>
      <c r="BI6" s="6">
        <v>216271.75</v>
      </c>
      <c r="BJ6" s="6">
        <v>73584</v>
      </c>
      <c r="BK6" s="6">
        <v>231523.25</v>
      </c>
      <c r="BL6" s="23"/>
    </row>
    <row r="7" spans="1:64" ht="21" x14ac:dyDescent="0.35">
      <c r="A7" s="20">
        <v>45599</v>
      </c>
      <c r="B7" s="21">
        <v>10613</v>
      </c>
      <c r="C7" s="21">
        <v>1023</v>
      </c>
      <c r="D7" s="21">
        <v>7387</v>
      </c>
      <c r="E7" s="21">
        <v>13506</v>
      </c>
      <c r="F7" s="21">
        <v>1018</v>
      </c>
      <c r="G7" s="21">
        <v>1352</v>
      </c>
      <c r="H7" s="21"/>
      <c r="I7" s="21">
        <v>38</v>
      </c>
      <c r="J7" s="21">
        <f t="shared" si="0"/>
        <v>34937</v>
      </c>
      <c r="K7" s="21">
        <f t="shared" si="3"/>
        <v>45652</v>
      </c>
      <c r="L7" s="47">
        <f t="shared" si="1"/>
        <v>122279.5</v>
      </c>
      <c r="M7" s="7">
        <f t="shared" si="4"/>
        <v>159782</v>
      </c>
      <c r="N7" s="24">
        <f t="shared" si="2"/>
        <v>5.358873759519963E-2</v>
      </c>
      <c r="O7" s="7">
        <v>32977</v>
      </c>
      <c r="P7" s="7">
        <v>43330</v>
      </c>
      <c r="Q7" s="47">
        <v>115419.5</v>
      </c>
      <c r="R7" s="7">
        <v>151655</v>
      </c>
      <c r="S7" s="7">
        <v>22663</v>
      </c>
      <c r="T7" s="7">
        <v>32416</v>
      </c>
      <c r="U7" s="7">
        <v>79320.5</v>
      </c>
      <c r="V7" s="7">
        <v>113456</v>
      </c>
      <c r="W7" s="7">
        <v>22513</v>
      </c>
      <c r="X7" s="7">
        <v>35019</v>
      </c>
      <c r="Y7" s="7">
        <v>78795.5</v>
      </c>
      <c r="Z7" s="6">
        <v>122566.5</v>
      </c>
      <c r="AA7" s="6">
        <v>21598</v>
      </c>
      <c r="AB7" s="6">
        <v>34869</v>
      </c>
      <c r="AC7" s="6">
        <v>75593</v>
      </c>
      <c r="AD7" s="6">
        <v>122041.5</v>
      </c>
      <c r="AE7" s="15">
        <v>36986</v>
      </c>
      <c r="AF7" s="15">
        <v>74088</v>
      </c>
      <c r="AG7" s="15">
        <v>129451</v>
      </c>
      <c r="AH7" s="6">
        <v>7399</v>
      </c>
      <c r="AI7" s="6">
        <v>33375</v>
      </c>
      <c r="AJ7" s="6">
        <v>25896.5</v>
      </c>
      <c r="AK7" s="6">
        <v>116812.5</v>
      </c>
      <c r="AL7" s="6">
        <v>20393</v>
      </c>
      <c r="AM7" s="6">
        <v>27659</v>
      </c>
      <c r="AN7" s="6">
        <v>71375.5</v>
      </c>
      <c r="AO7" s="6">
        <v>96806.5</v>
      </c>
      <c r="AP7" s="6">
        <v>77700</v>
      </c>
      <c r="AQ7" s="6">
        <v>114170.5</v>
      </c>
      <c r="AR7" s="6">
        <v>17313</v>
      </c>
      <c r="AS7" s="6">
        <v>27764</v>
      </c>
      <c r="AT7" s="6">
        <v>77700</v>
      </c>
      <c r="AU7" s="6">
        <v>114170.5</v>
      </c>
      <c r="AV7" s="6">
        <v>60595.5</v>
      </c>
      <c r="AW7" s="6">
        <v>97174</v>
      </c>
      <c r="AX7" s="6">
        <v>29956.5</v>
      </c>
      <c r="AY7" s="6">
        <v>137707.5</v>
      </c>
      <c r="AZ7" s="6">
        <v>40933</v>
      </c>
      <c r="BA7" s="6">
        <v>159584</v>
      </c>
      <c r="BB7" s="6">
        <v>34163</v>
      </c>
      <c r="BC7" s="6">
        <v>229608.25</v>
      </c>
      <c r="BD7" s="6">
        <v>37503</v>
      </c>
      <c r="BE7" s="6">
        <v>231158</v>
      </c>
      <c r="BF7" s="6">
        <v>29974</v>
      </c>
      <c r="BG7" s="6">
        <v>195956.25</v>
      </c>
      <c r="BH7" s="6">
        <v>30849</v>
      </c>
      <c r="BI7" s="6">
        <v>247120.75</v>
      </c>
      <c r="BJ7" s="6">
        <v>47864.25</v>
      </c>
      <c r="BK7" s="6">
        <v>279387.5</v>
      </c>
      <c r="BL7" s="23"/>
    </row>
    <row r="8" spans="1:64" ht="21" x14ac:dyDescent="0.35">
      <c r="A8" s="19">
        <v>45606</v>
      </c>
      <c r="B8" s="17">
        <v>5067</v>
      </c>
      <c r="C8" s="17">
        <v>693</v>
      </c>
      <c r="D8" s="17">
        <v>1783</v>
      </c>
      <c r="E8" s="17">
        <v>5440</v>
      </c>
      <c r="F8" s="17">
        <v>1007</v>
      </c>
      <c r="G8" s="17">
        <v>1317</v>
      </c>
      <c r="H8" s="17"/>
      <c r="I8" s="17">
        <v>30</v>
      </c>
      <c r="J8" s="17">
        <f t="shared" si="0"/>
        <v>15337</v>
      </c>
      <c r="K8" s="17">
        <f t="shared" si="3"/>
        <v>60989</v>
      </c>
      <c r="L8" s="46">
        <f t="shared" si="1"/>
        <v>53679.5</v>
      </c>
      <c r="M8" s="6">
        <f t="shared" si="4"/>
        <v>213461.5</v>
      </c>
      <c r="N8" s="24">
        <f t="shared" si="2"/>
        <v>0.20507804781663702</v>
      </c>
      <c r="O8" s="6">
        <v>7280</v>
      </c>
      <c r="P8" s="6">
        <v>50610</v>
      </c>
      <c r="Q8" s="46">
        <v>25480</v>
      </c>
      <c r="R8" s="6">
        <v>177135</v>
      </c>
      <c r="S8" s="6">
        <v>5602</v>
      </c>
      <c r="T8" s="6">
        <v>38018</v>
      </c>
      <c r="U8" s="6">
        <v>19607</v>
      </c>
      <c r="V8" s="6">
        <v>133063</v>
      </c>
      <c r="W8" s="6">
        <v>7511</v>
      </c>
      <c r="X8" s="6">
        <v>42530</v>
      </c>
      <c r="Y8" s="6">
        <v>26288.5</v>
      </c>
      <c r="Z8" s="6">
        <v>148855</v>
      </c>
      <c r="AA8" s="6">
        <v>9027</v>
      </c>
      <c r="AB8" s="6">
        <v>43896</v>
      </c>
      <c r="AC8" s="6">
        <v>31594.5</v>
      </c>
      <c r="AD8" s="6">
        <v>153636</v>
      </c>
      <c r="AE8" s="6">
        <v>54555</v>
      </c>
      <c r="AF8" s="6">
        <v>22998.5</v>
      </c>
      <c r="AG8" s="6">
        <v>190942.5</v>
      </c>
      <c r="AH8" s="6">
        <v>8983</v>
      </c>
      <c r="AI8" s="6">
        <v>52277</v>
      </c>
      <c r="AJ8" s="6">
        <v>31440.5</v>
      </c>
      <c r="AK8" s="6">
        <v>182969.5</v>
      </c>
      <c r="AL8" s="6">
        <v>9369</v>
      </c>
      <c r="AM8" s="6">
        <v>43052</v>
      </c>
      <c r="AN8" s="6">
        <v>32791.5</v>
      </c>
      <c r="AO8" s="6">
        <v>150682</v>
      </c>
      <c r="AP8" s="6">
        <v>21133</v>
      </c>
      <c r="AQ8" s="6">
        <v>157273</v>
      </c>
      <c r="AR8" s="6">
        <v>5807</v>
      </c>
      <c r="AS8" s="6">
        <v>45675</v>
      </c>
      <c r="AT8" s="6">
        <v>21133</v>
      </c>
      <c r="AU8" s="6">
        <v>157273</v>
      </c>
      <c r="AV8" s="6">
        <v>20324.5</v>
      </c>
      <c r="AW8" s="6">
        <v>159862.5</v>
      </c>
      <c r="AX8" s="6">
        <v>33447.75</v>
      </c>
      <c r="AY8" s="6">
        <v>190036</v>
      </c>
      <c r="AZ8" s="6">
        <v>132979</v>
      </c>
      <c r="BA8" s="6">
        <v>326756</v>
      </c>
      <c r="BB8" s="6">
        <v>142287.25</v>
      </c>
      <c r="BC8" s="6">
        <v>409921.25</v>
      </c>
      <c r="BD8" s="6">
        <v>13220</v>
      </c>
      <c r="BE8" s="6">
        <v>390164</v>
      </c>
      <c r="BF8" s="6">
        <v>168428.75</v>
      </c>
      <c r="BG8" s="6">
        <v>406028</v>
      </c>
      <c r="BH8" s="6">
        <v>171773</v>
      </c>
      <c r="BI8" s="6">
        <v>465491</v>
      </c>
      <c r="BJ8" s="6">
        <v>165628.75</v>
      </c>
      <c r="BK8" s="6">
        <v>491851.5</v>
      </c>
      <c r="BL8" s="23"/>
    </row>
    <row r="9" spans="1:64" ht="21" x14ac:dyDescent="0.35">
      <c r="A9" s="19">
        <v>45613</v>
      </c>
      <c r="B9" s="17">
        <v>2761</v>
      </c>
      <c r="C9" s="17">
        <v>616</v>
      </c>
      <c r="D9" s="17">
        <v>680</v>
      </c>
      <c r="E9" s="17">
        <v>1371</v>
      </c>
      <c r="F9" s="17">
        <v>923</v>
      </c>
      <c r="G9" s="17">
        <v>499</v>
      </c>
      <c r="H9" s="17"/>
      <c r="I9" s="17">
        <v>24</v>
      </c>
      <c r="J9" s="17">
        <f t="shared" si="0"/>
        <v>6874</v>
      </c>
      <c r="K9" s="17">
        <f t="shared" si="3"/>
        <v>67863</v>
      </c>
      <c r="L9" s="46">
        <f t="shared" si="1"/>
        <v>24059</v>
      </c>
      <c r="M9" s="6">
        <f t="shared" si="4"/>
        <v>237520.5</v>
      </c>
      <c r="N9" s="24">
        <f t="shared" si="2"/>
        <v>4.3420101785082793E-2</v>
      </c>
      <c r="O9" s="6">
        <v>14429</v>
      </c>
      <c r="P9" s="6">
        <v>65039</v>
      </c>
      <c r="Q9" s="46">
        <v>50501.5</v>
      </c>
      <c r="R9" s="6">
        <v>227636.5</v>
      </c>
      <c r="S9" s="6">
        <v>10075</v>
      </c>
      <c r="T9" s="6">
        <v>48093</v>
      </c>
      <c r="U9" s="6">
        <v>35262.5</v>
      </c>
      <c r="V9" s="6">
        <v>168325.5</v>
      </c>
      <c r="W9" s="6">
        <v>13965</v>
      </c>
      <c r="X9" s="6">
        <v>56495</v>
      </c>
      <c r="Y9" s="6">
        <v>48877.5</v>
      </c>
      <c r="Z9" s="6">
        <v>197732.5</v>
      </c>
      <c r="AA9" s="6">
        <v>14477</v>
      </c>
      <c r="AB9" s="6">
        <v>58373</v>
      </c>
      <c r="AC9" s="6">
        <v>50669.5</v>
      </c>
      <c r="AD9" s="6">
        <v>204305.5</v>
      </c>
      <c r="AE9" s="6">
        <v>63124</v>
      </c>
      <c r="AF9" s="6">
        <v>29991.5</v>
      </c>
      <c r="AG9" s="6">
        <v>220934</v>
      </c>
      <c r="AH9" s="6">
        <v>30158</v>
      </c>
      <c r="AI9" s="6">
        <v>82435</v>
      </c>
      <c r="AJ9" s="6">
        <v>105553</v>
      </c>
      <c r="AK9" s="6">
        <v>288522.5</v>
      </c>
      <c r="AL9" s="6">
        <v>8614</v>
      </c>
      <c r="AM9" s="6">
        <v>51666</v>
      </c>
      <c r="AN9" s="6">
        <v>30149</v>
      </c>
      <c r="AO9" s="6">
        <v>180831</v>
      </c>
      <c r="AP9" s="6">
        <v>28231</v>
      </c>
      <c r="AQ9" s="6">
        <v>185504</v>
      </c>
      <c r="AR9" s="6">
        <v>11302</v>
      </c>
      <c r="AS9" s="6">
        <v>56977</v>
      </c>
      <c r="AT9" s="6">
        <v>28231</v>
      </c>
      <c r="AU9" s="6">
        <v>185504</v>
      </c>
      <c r="AV9" s="6">
        <v>39557</v>
      </c>
      <c r="AW9" s="6">
        <v>199419.5</v>
      </c>
      <c r="AX9" s="6">
        <v>101556</v>
      </c>
      <c r="AY9" s="6">
        <v>291592</v>
      </c>
      <c r="AZ9" s="6">
        <v>13745</v>
      </c>
      <c r="BA9" s="6">
        <v>340501</v>
      </c>
      <c r="BB9" s="6">
        <v>14152.25</v>
      </c>
      <c r="BC9" s="6">
        <v>424073.5</v>
      </c>
      <c r="BD9" s="6">
        <v>15722</v>
      </c>
      <c r="BE9" s="6">
        <v>405886</v>
      </c>
      <c r="BF9" s="6">
        <v>17059</v>
      </c>
      <c r="BG9" s="6">
        <v>423087</v>
      </c>
      <c r="BH9" s="6">
        <v>16653</v>
      </c>
      <c r="BI9" s="6">
        <v>482144</v>
      </c>
      <c r="BJ9" s="6">
        <v>20378.75</v>
      </c>
      <c r="BK9" s="6">
        <v>512230.25</v>
      </c>
      <c r="BL9" s="23"/>
    </row>
    <row r="10" spans="1:64" ht="21" x14ac:dyDescent="0.35">
      <c r="A10" s="19">
        <v>45620</v>
      </c>
      <c r="B10" s="17">
        <v>3368</v>
      </c>
      <c r="C10" s="17">
        <v>586</v>
      </c>
      <c r="D10" s="17">
        <v>941</v>
      </c>
      <c r="E10" s="17">
        <v>2209</v>
      </c>
      <c r="F10" s="17">
        <v>1461</v>
      </c>
      <c r="G10" s="17">
        <v>133</v>
      </c>
      <c r="H10" s="17"/>
      <c r="I10" s="17">
        <v>7</v>
      </c>
      <c r="J10" s="17">
        <f t="shared" si="0"/>
        <v>8705</v>
      </c>
      <c r="K10" s="17">
        <f t="shared" si="3"/>
        <v>76568</v>
      </c>
      <c r="L10" s="46">
        <f t="shared" si="1"/>
        <v>30467.5</v>
      </c>
      <c r="M10" s="6">
        <f t="shared" si="4"/>
        <v>267988</v>
      </c>
      <c r="N10" s="24">
        <f t="shared" si="2"/>
        <v>2.8697334479793637E-2</v>
      </c>
      <c r="O10" s="6">
        <v>9393</v>
      </c>
      <c r="P10" s="6">
        <v>74432</v>
      </c>
      <c r="Q10" s="46">
        <v>32875.5</v>
      </c>
      <c r="R10" s="6">
        <v>260512</v>
      </c>
      <c r="S10" s="6">
        <v>7866</v>
      </c>
      <c r="T10" s="6">
        <v>55959</v>
      </c>
      <c r="U10" s="6">
        <v>27531</v>
      </c>
      <c r="V10" s="6">
        <v>195856.5</v>
      </c>
      <c r="W10" s="6">
        <v>10252</v>
      </c>
      <c r="X10" s="6">
        <v>66747</v>
      </c>
      <c r="Y10" s="6">
        <v>35882</v>
      </c>
      <c r="Z10" s="6">
        <v>233614.5</v>
      </c>
      <c r="AA10" s="6">
        <v>12456</v>
      </c>
      <c r="AB10" s="6">
        <v>70829</v>
      </c>
      <c r="AC10" s="6">
        <v>43596</v>
      </c>
      <c r="AD10" s="6">
        <v>247901.5</v>
      </c>
      <c r="AE10" s="6">
        <v>88914</v>
      </c>
      <c r="AF10" s="6">
        <v>90265</v>
      </c>
      <c r="AG10" s="6">
        <v>311199</v>
      </c>
      <c r="AH10" s="6">
        <v>4860</v>
      </c>
      <c r="AI10" s="6">
        <v>87295</v>
      </c>
      <c r="AJ10" s="6">
        <v>17010</v>
      </c>
      <c r="AK10" s="6">
        <v>305532.5</v>
      </c>
      <c r="AL10" s="6">
        <v>30375</v>
      </c>
      <c r="AM10" s="6">
        <v>82041</v>
      </c>
      <c r="AN10" s="6">
        <v>106312.5</v>
      </c>
      <c r="AO10" s="6">
        <v>287143.5</v>
      </c>
      <c r="AP10" s="6">
        <v>102690</v>
      </c>
      <c r="AQ10" s="6">
        <v>288194</v>
      </c>
      <c r="AR10" s="6">
        <v>36477</v>
      </c>
      <c r="AS10" s="6">
        <v>93454</v>
      </c>
      <c r="AT10" s="6">
        <v>102690</v>
      </c>
      <c r="AU10" s="6">
        <v>288194</v>
      </c>
      <c r="AV10" s="6">
        <v>127669.5</v>
      </c>
      <c r="AW10" s="6">
        <v>327089</v>
      </c>
      <c r="AX10" s="6">
        <v>13559</v>
      </c>
      <c r="AY10" s="6">
        <v>305151</v>
      </c>
      <c r="AZ10" s="6">
        <v>13801</v>
      </c>
      <c r="BA10" s="6">
        <v>354301</v>
      </c>
      <c r="BB10" s="6">
        <v>18378.5</v>
      </c>
      <c r="BC10" s="6">
        <v>442452</v>
      </c>
      <c r="BD10" s="6">
        <v>15127</v>
      </c>
      <c r="BE10" s="6">
        <v>421013</v>
      </c>
      <c r="BF10" s="6">
        <v>14873.25</v>
      </c>
      <c r="BG10" s="6">
        <v>437960.25</v>
      </c>
      <c r="BH10" s="6">
        <v>15769.25</v>
      </c>
      <c r="BI10" s="6">
        <v>497913.25</v>
      </c>
      <c r="BJ10" s="6">
        <v>17346</v>
      </c>
      <c r="BK10" s="6">
        <v>529576.25</v>
      </c>
      <c r="BL10" s="23"/>
    </row>
    <row r="11" spans="1:64" ht="21" x14ac:dyDescent="0.35">
      <c r="A11" s="20">
        <v>45627</v>
      </c>
      <c r="B11" s="21">
        <v>8122</v>
      </c>
      <c r="C11" s="21">
        <v>1197</v>
      </c>
      <c r="D11" s="21">
        <v>3381</v>
      </c>
      <c r="E11" s="21">
        <v>9443</v>
      </c>
      <c r="F11" s="21">
        <v>5387</v>
      </c>
      <c r="G11" s="21">
        <v>6564</v>
      </c>
      <c r="H11" s="21"/>
      <c r="I11" s="21">
        <v>217</v>
      </c>
      <c r="J11" s="21">
        <f t="shared" si="0"/>
        <v>34311</v>
      </c>
      <c r="K11" s="21">
        <f t="shared" si="3"/>
        <v>110879</v>
      </c>
      <c r="L11" s="47">
        <f t="shared" si="1"/>
        <v>120088.5</v>
      </c>
      <c r="M11" s="7">
        <f t="shared" si="4"/>
        <v>388076.5</v>
      </c>
      <c r="N11" s="24">
        <f t="shared" si="2"/>
        <v>3.0636810648522535E-2</v>
      </c>
      <c r="O11" s="7">
        <v>33151</v>
      </c>
      <c r="P11" s="7">
        <v>107583</v>
      </c>
      <c r="Q11" s="47">
        <v>116028.5</v>
      </c>
      <c r="R11" s="7">
        <v>376540.5</v>
      </c>
      <c r="S11" s="7">
        <v>28456</v>
      </c>
      <c r="T11" s="7">
        <v>84415</v>
      </c>
      <c r="U11" s="7">
        <v>99596</v>
      </c>
      <c r="V11" s="7">
        <v>295452.5</v>
      </c>
      <c r="W11" s="7">
        <v>36470</v>
      </c>
      <c r="X11" s="7">
        <v>103217</v>
      </c>
      <c r="Y11" s="7">
        <v>127645</v>
      </c>
      <c r="Z11" s="6">
        <v>361259.5</v>
      </c>
      <c r="AA11" s="6">
        <v>34760</v>
      </c>
      <c r="AB11" s="6">
        <v>105589</v>
      </c>
      <c r="AC11" s="6">
        <v>121660</v>
      </c>
      <c r="AD11" s="6">
        <v>369561.5</v>
      </c>
      <c r="AE11" s="15">
        <v>4234</v>
      </c>
      <c r="AF11" s="15">
        <v>14819</v>
      </c>
      <c r="AG11" s="15">
        <v>326018</v>
      </c>
      <c r="AH11" s="6">
        <v>4182</v>
      </c>
      <c r="AI11" s="6">
        <v>91477</v>
      </c>
      <c r="AJ11" s="6">
        <v>14637</v>
      </c>
      <c r="AK11" s="6">
        <v>320169.5</v>
      </c>
      <c r="AL11" s="6">
        <v>4540</v>
      </c>
      <c r="AM11" s="6">
        <v>86581</v>
      </c>
      <c r="AN11" s="6">
        <v>15890</v>
      </c>
      <c r="AO11" s="6">
        <v>303033.5</v>
      </c>
      <c r="AP11" s="6">
        <v>14892.5</v>
      </c>
      <c r="AQ11" s="6">
        <v>303086.5</v>
      </c>
      <c r="AR11" s="6">
        <v>3864.5</v>
      </c>
      <c r="AS11" s="6">
        <v>97318.5</v>
      </c>
      <c r="AT11" s="6">
        <v>14892.5</v>
      </c>
      <c r="AU11" s="6">
        <v>303086.5</v>
      </c>
      <c r="AV11" s="6">
        <v>13525.75</v>
      </c>
      <c r="AW11" s="6">
        <v>340614.75</v>
      </c>
      <c r="AX11" s="6">
        <v>15221.5</v>
      </c>
      <c r="AY11" s="6">
        <v>320372.5</v>
      </c>
      <c r="AZ11" s="6">
        <v>16468</v>
      </c>
      <c r="BA11" s="6">
        <v>370769</v>
      </c>
      <c r="BB11" s="6">
        <v>13286</v>
      </c>
      <c r="BC11" s="6">
        <v>455738</v>
      </c>
      <c r="BD11" s="6">
        <v>27853</v>
      </c>
      <c r="BE11" s="6">
        <v>448866</v>
      </c>
      <c r="BF11" s="6">
        <v>46310.25</v>
      </c>
      <c r="BG11" s="6">
        <v>498993.25</v>
      </c>
      <c r="BH11" s="6">
        <v>53203.5</v>
      </c>
      <c r="BI11" s="6">
        <v>565764.25</v>
      </c>
      <c r="BJ11" s="6">
        <v>51689.75</v>
      </c>
      <c r="BK11" s="6">
        <v>602297.5</v>
      </c>
      <c r="BL11" s="23"/>
    </row>
    <row r="12" spans="1:64" ht="21" x14ac:dyDescent="0.35">
      <c r="A12" s="19">
        <v>45634</v>
      </c>
      <c r="B12" s="17">
        <v>2098</v>
      </c>
      <c r="C12" s="17">
        <v>512</v>
      </c>
      <c r="D12" s="17">
        <v>675</v>
      </c>
      <c r="E12" s="17">
        <v>984</v>
      </c>
      <c r="F12" s="17">
        <v>918</v>
      </c>
      <c r="G12" s="17">
        <v>424</v>
      </c>
      <c r="H12" s="17"/>
      <c r="I12" s="17">
        <v>21</v>
      </c>
      <c r="J12" s="17">
        <f t="shared" si="0"/>
        <v>5632</v>
      </c>
      <c r="K12" s="17">
        <f t="shared" si="3"/>
        <v>116511</v>
      </c>
      <c r="L12" s="46">
        <f t="shared" si="1"/>
        <v>19712</v>
      </c>
      <c r="M12" s="6">
        <f t="shared" si="4"/>
        <v>407788.5</v>
      </c>
      <c r="N12" s="24">
        <f t="shared" si="2"/>
        <v>3.5966425408567926E-2</v>
      </c>
      <c r="O12" s="6">
        <v>4883</v>
      </c>
      <c r="P12" s="6">
        <v>112466</v>
      </c>
      <c r="Q12" s="46">
        <v>17090.5</v>
      </c>
      <c r="R12" s="6">
        <v>393631</v>
      </c>
      <c r="S12" s="6">
        <v>3971</v>
      </c>
      <c r="T12" s="6">
        <v>88386</v>
      </c>
      <c r="U12" s="6">
        <v>13898.5</v>
      </c>
      <c r="V12" s="6">
        <v>309351</v>
      </c>
      <c r="W12" s="6">
        <v>4942</v>
      </c>
      <c r="X12" s="6">
        <v>108159</v>
      </c>
      <c r="Y12" s="6">
        <v>17297</v>
      </c>
      <c r="Z12" s="6">
        <v>378556.5</v>
      </c>
      <c r="AA12" s="6">
        <v>6830</v>
      </c>
      <c r="AB12" s="6">
        <v>112419</v>
      </c>
      <c r="AC12" s="6">
        <v>23905</v>
      </c>
      <c r="AD12" s="6">
        <v>393466.5</v>
      </c>
      <c r="AE12" s="6">
        <v>4773</v>
      </c>
      <c r="AF12" s="6">
        <v>16705.5</v>
      </c>
      <c r="AG12" s="6">
        <v>342723.5</v>
      </c>
      <c r="AH12" s="6">
        <v>4118</v>
      </c>
      <c r="AI12" s="6">
        <v>95595</v>
      </c>
      <c r="AJ12" s="6">
        <v>14413</v>
      </c>
      <c r="AK12" s="6">
        <v>334582.5</v>
      </c>
      <c r="AL12" s="6">
        <v>3947</v>
      </c>
      <c r="AM12" s="6">
        <v>90528</v>
      </c>
      <c r="AN12" s="6">
        <v>13814.5</v>
      </c>
      <c r="AO12" s="6">
        <v>316848</v>
      </c>
      <c r="AP12" s="6">
        <v>12603.5</v>
      </c>
      <c r="AQ12" s="6">
        <v>315690</v>
      </c>
      <c r="AR12" s="6">
        <v>4309</v>
      </c>
      <c r="AS12" s="6">
        <v>101627.5</v>
      </c>
      <c r="AT12" s="6">
        <v>12603.5</v>
      </c>
      <c r="AU12" s="6">
        <v>315690</v>
      </c>
      <c r="AV12" s="6">
        <v>15081.5</v>
      </c>
      <c r="AW12" s="6">
        <v>355696.25</v>
      </c>
      <c r="AX12" s="6">
        <v>20874</v>
      </c>
      <c r="AY12" s="6">
        <v>341246.5</v>
      </c>
      <c r="AZ12" s="6">
        <v>16966</v>
      </c>
      <c r="BA12" s="6">
        <v>387735</v>
      </c>
      <c r="BB12" s="6">
        <v>15979.25</v>
      </c>
      <c r="BC12" s="6">
        <v>471717.25</v>
      </c>
      <c r="BD12" s="6">
        <v>119635</v>
      </c>
      <c r="BE12" s="6">
        <v>568502</v>
      </c>
      <c r="BF12" s="6">
        <v>129442.25</v>
      </c>
      <c r="BG12" s="6">
        <v>628435.5</v>
      </c>
      <c r="BH12" s="6">
        <v>119124.25</v>
      </c>
      <c r="BI12" s="6">
        <v>684888.5</v>
      </c>
      <c r="BJ12" s="6">
        <v>102973.5</v>
      </c>
      <c r="BK12" s="6">
        <v>705271</v>
      </c>
      <c r="BL12" s="23"/>
    </row>
    <row r="13" spans="1:64" ht="21" x14ac:dyDescent="0.35">
      <c r="A13" s="19">
        <v>45641</v>
      </c>
      <c r="B13" s="17">
        <v>1819</v>
      </c>
      <c r="C13" s="17">
        <v>478</v>
      </c>
      <c r="D13" s="17">
        <v>450</v>
      </c>
      <c r="E13" s="17">
        <v>820</v>
      </c>
      <c r="F13" s="17">
        <v>681</v>
      </c>
      <c r="G13" s="17">
        <v>41</v>
      </c>
      <c r="H13" s="17"/>
      <c r="I13" s="17">
        <v>2</v>
      </c>
      <c r="J13" s="17">
        <f t="shared" si="0"/>
        <v>4291</v>
      </c>
      <c r="K13" s="17">
        <f t="shared" si="3"/>
        <v>120802</v>
      </c>
      <c r="L13" s="46">
        <f t="shared" si="1"/>
        <v>15018.5</v>
      </c>
      <c r="M13" s="6">
        <f t="shared" si="4"/>
        <v>422807</v>
      </c>
      <c r="N13" s="24">
        <f t="shared" si="2"/>
        <v>2.2229744023693675E-2</v>
      </c>
      <c r="O13" s="6">
        <v>5709</v>
      </c>
      <c r="P13" s="6">
        <v>118175</v>
      </c>
      <c r="Q13" s="46">
        <v>19981.5</v>
      </c>
      <c r="R13" s="6">
        <v>413612.5</v>
      </c>
      <c r="S13" s="6">
        <v>6562</v>
      </c>
      <c r="T13" s="6">
        <v>94948</v>
      </c>
      <c r="U13" s="6">
        <v>22967</v>
      </c>
      <c r="V13" s="6">
        <v>332318</v>
      </c>
      <c r="W13" s="6">
        <v>6899</v>
      </c>
      <c r="X13" s="6">
        <v>115058</v>
      </c>
      <c r="Y13" s="6">
        <v>24146.5</v>
      </c>
      <c r="Z13" s="6">
        <v>402703</v>
      </c>
      <c r="AA13" s="6">
        <v>7870</v>
      </c>
      <c r="AB13" s="6">
        <v>120289</v>
      </c>
      <c r="AC13" s="6">
        <v>27545</v>
      </c>
      <c r="AD13" s="6">
        <v>421011.5</v>
      </c>
      <c r="AE13" s="6">
        <v>3159</v>
      </c>
      <c r="AF13" s="6">
        <v>11056.5</v>
      </c>
      <c r="AG13" s="6">
        <v>353780</v>
      </c>
      <c r="AH13" s="6">
        <v>4816</v>
      </c>
      <c r="AI13" s="6">
        <v>100411</v>
      </c>
      <c r="AJ13" s="6">
        <v>16856</v>
      </c>
      <c r="AK13" s="6">
        <v>351438.5</v>
      </c>
      <c r="AL13" s="6">
        <v>4488</v>
      </c>
      <c r="AM13" s="6">
        <v>95016</v>
      </c>
      <c r="AN13" s="6">
        <v>15708</v>
      </c>
      <c r="AO13" s="6">
        <v>332556</v>
      </c>
      <c r="AP13" s="6">
        <v>13881</v>
      </c>
      <c r="AQ13" s="6">
        <v>329571</v>
      </c>
      <c r="AR13" s="6">
        <v>4128</v>
      </c>
      <c r="AS13" s="6">
        <v>105755.5</v>
      </c>
      <c r="AT13" s="6">
        <v>13881</v>
      </c>
      <c r="AU13" s="6">
        <v>329571</v>
      </c>
      <c r="AV13" s="6">
        <v>14448</v>
      </c>
      <c r="AW13" s="6">
        <v>370144.25</v>
      </c>
      <c r="AX13" s="6">
        <v>92006.25</v>
      </c>
      <c r="AY13" s="6">
        <v>433252.75</v>
      </c>
      <c r="AZ13" s="6">
        <v>115362</v>
      </c>
      <c r="BA13" s="6">
        <v>503097</v>
      </c>
      <c r="BB13" s="6">
        <v>132077.75</v>
      </c>
      <c r="BC13" s="6">
        <v>603795</v>
      </c>
      <c r="BD13" s="6">
        <v>15502</v>
      </c>
      <c r="BE13" s="6">
        <v>584003</v>
      </c>
      <c r="BF13" s="6">
        <v>21346.5</v>
      </c>
      <c r="BG13" s="6">
        <v>649782</v>
      </c>
      <c r="BH13" s="6">
        <v>23439.5</v>
      </c>
      <c r="BI13" s="6">
        <v>708328</v>
      </c>
      <c r="BJ13" s="6">
        <v>47782</v>
      </c>
      <c r="BK13" s="6">
        <v>753053</v>
      </c>
      <c r="BL13" s="23"/>
    </row>
    <row r="14" spans="1:64" ht="21" x14ac:dyDescent="0.35">
      <c r="A14" s="19">
        <v>45648</v>
      </c>
      <c r="B14" s="17">
        <v>1937</v>
      </c>
      <c r="C14" s="17">
        <v>591</v>
      </c>
      <c r="D14" s="17">
        <v>471</v>
      </c>
      <c r="E14" s="17">
        <v>1005</v>
      </c>
      <c r="F14" s="17">
        <v>846</v>
      </c>
      <c r="G14" s="17">
        <v>397</v>
      </c>
      <c r="H14" s="17"/>
      <c r="I14" s="17">
        <v>12</v>
      </c>
      <c r="J14" s="17">
        <f t="shared" si="0"/>
        <v>5259</v>
      </c>
      <c r="K14" s="17">
        <f t="shared" si="3"/>
        <v>126061</v>
      </c>
      <c r="L14" s="46">
        <f t="shared" si="1"/>
        <v>18406.5</v>
      </c>
      <c r="M14" s="6">
        <f t="shared" si="4"/>
        <v>441213.5</v>
      </c>
      <c r="N14" s="24">
        <f t="shared" si="2"/>
        <v>2.4103530635124378E-2</v>
      </c>
      <c r="O14" s="6">
        <v>4919</v>
      </c>
      <c r="P14" s="6">
        <v>123094</v>
      </c>
      <c r="Q14" s="46">
        <v>17216.5</v>
      </c>
      <c r="R14" s="6">
        <v>430829</v>
      </c>
      <c r="S14" s="6">
        <v>3970</v>
      </c>
      <c r="T14" s="6">
        <v>98918</v>
      </c>
      <c r="U14" s="6">
        <v>13895</v>
      </c>
      <c r="V14" s="6">
        <v>346213</v>
      </c>
      <c r="W14" s="6">
        <v>4678</v>
      </c>
      <c r="X14" s="6">
        <v>119736</v>
      </c>
      <c r="Y14" s="6">
        <v>16373</v>
      </c>
      <c r="Z14" s="6">
        <v>419076</v>
      </c>
      <c r="AA14" s="6">
        <v>5821</v>
      </c>
      <c r="AB14" s="6">
        <v>126110</v>
      </c>
      <c r="AC14" s="6">
        <v>20373.5</v>
      </c>
      <c r="AD14" s="6">
        <v>441385</v>
      </c>
      <c r="AE14" s="6">
        <v>19298</v>
      </c>
      <c r="AF14" s="6">
        <v>67543</v>
      </c>
      <c r="AG14" s="6">
        <v>421323</v>
      </c>
      <c r="AH14" s="6">
        <v>25078</v>
      </c>
      <c r="AI14" s="6">
        <v>125489</v>
      </c>
      <c r="AJ14" s="6">
        <v>87773</v>
      </c>
      <c r="AK14" s="6">
        <v>439211.5</v>
      </c>
      <c r="AL14" s="6">
        <v>3932</v>
      </c>
      <c r="AM14" s="6">
        <v>98948</v>
      </c>
      <c r="AN14" s="6">
        <v>13762</v>
      </c>
      <c r="AO14" s="6">
        <v>346318</v>
      </c>
      <c r="AP14" s="6">
        <v>31633</v>
      </c>
      <c r="AQ14" s="6">
        <v>361204</v>
      </c>
      <c r="AR14" s="6">
        <v>19043</v>
      </c>
      <c r="AS14" s="6">
        <v>124798.5</v>
      </c>
      <c r="AT14" s="6">
        <v>31633</v>
      </c>
      <c r="AU14" s="6">
        <v>361204</v>
      </c>
      <c r="AV14" s="6">
        <v>66650.5</v>
      </c>
      <c r="AW14" s="6">
        <v>436794.75</v>
      </c>
      <c r="AX14" s="6">
        <v>58831.5</v>
      </c>
      <c r="AY14" s="6">
        <v>492084.25</v>
      </c>
      <c r="AZ14" s="6">
        <v>41591</v>
      </c>
      <c r="BA14" s="6">
        <v>544687</v>
      </c>
      <c r="BB14" s="6">
        <v>18148</v>
      </c>
      <c r="BC14" s="6">
        <v>621943</v>
      </c>
      <c r="BD14" s="6">
        <v>36208</v>
      </c>
      <c r="BE14" s="6">
        <v>620211</v>
      </c>
      <c r="BF14" s="6">
        <v>39705.75</v>
      </c>
      <c r="BG14" s="6">
        <v>689487.75</v>
      </c>
      <c r="BH14" s="6">
        <v>45461.5</v>
      </c>
      <c r="BI14" s="6">
        <v>753789.5</v>
      </c>
      <c r="BJ14" s="6">
        <v>24377.5</v>
      </c>
      <c r="BK14" s="6">
        <v>777430.5</v>
      </c>
      <c r="BL14" s="23"/>
    </row>
    <row r="15" spans="1:64" ht="21" x14ac:dyDescent="0.35">
      <c r="A15" s="20">
        <v>45655</v>
      </c>
      <c r="B15" s="21">
        <v>5276</v>
      </c>
      <c r="C15" s="21">
        <v>765</v>
      </c>
      <c r="D15" s="21">
        <v>2104</v>
      </c>
      <c r="E15" s="21">
        <v>7897</v>
      </c>
      <c r="F15" s="21">
        <v>2314</v>
      </c>
      <c r="G15" s="21">
        <v>3282</v>
      </c>
      <c r="H15" s="21"/>
      <c r="I15" s="21">
        <v>108</v>
      </c>
      <c r="J15" s="21">
        <f t="shared" si="0"/>
        <v>21746</v>
      </c>
      <c r="K15" s="21">
        <f t="shared" si="3"/>
        <v>147807</v>
      </c>
      <c r="L15" s="47">
        <f t="shared" si="1"/>
        <v>76111</v>
      </c>
      <c r="M15" s="6">
        <f t="shared" si="4"/>
        <v>517324.5</v>
      </c>
      <c r="N15" s="24">
        <f t="shared" si="2"/>
        <v>0.15691139636819035</v>
      </c>
      <c r="O15" s="6">
        <v>4666</v>
      </c>
      <c r="P15" s="6">
        <v>127760</v>
      </c>
      <c r="Q15" s="46">
        <v>16331</v>
      </c>
      <c r="R15" s="6">
        <v>447160</v>
      </c>
      <c r="S15" s="6">
        <v>3802</v>
      </c>
      <c r="T15" s="6">
        <v>102720</v>
      </c>
      <c r="U15" s="6">
        <v>13307</v>
      </c>
      <c r="V15" s="6">
        <v>359520</v>
      </c>
      <c r="W15" s="6">
        <v>6406</v>
      </c>
      <c r="X15" s="6">
        <v>126142</v>
      </c>
      <c r="Y15" s="6">
        <v>22421</v>
      </c>
      <c r="Z15" s="6">
        <v>441497</v>
      </c>
      <c r="AA15" s="6">
        <v>10759</v>
      </c>
      <c r="AB15" s="6">
        <v>136869</v>
      </c>
      <c r="AC15" s="6">
        <v>37656.5</v>
      </c>
      <c r="AD15" s="6">
        <v>479041.5</v>
      </c>
      <c r="AE15" s="6">
        <v>15251</v>
      </c>
      <c r="AF15" s="6">
        <v>53378.5</v>
      </c>
      <c r="AG15" s="6">
        <v>474701.5</v>
      </c>
      <c r="AH15" s="6">
        <v>9092</v>
      </c>
      <c r="AI15" s="6">
        <v>134581</v>
      </c>
      <c r="AJ15" s="6">
        <v>31822</v>
      </c>
      <c r="AK15" s="6">
        <v>471033.5</v>
      </c>
      <c r="AL15" s="6">
        <v>24291</v>
      </c>
      <c r="AM15" s="6">
        <v>123239</v>
      </c>
      <c r="AN15" s="6">
        <v>85018.5</v>
      </c>
      <c r="AO15" s="6">
        <v>431336.5</v>
      </c>
      <c r="AP15" s="6">
        <v>84850.5</v>
      </c>
      <c r="AQ15" s="6">
        <v>446054.5</v>
      </c>
      <c r="AR15" s="6">
        <v>22545</v>
      </c>
      <c r="AS15" s="6">
        <v>147343.5</v>
      </c>
      <c r="AT15" s="6">
        <v>84850.5</v>
      </c>
      <c r="AU15" s="6">
        <v>446054.5</v>
      </c>
      <c r="AV15" s="6">
        <v>78907.5</v>
      </c>
      <c r="AW15" s="6">
        <v>515702.25</v>
      </c>
      <c r="AX15" s="6">
        <v>14628.25</v>
      </c>
      <c r="AY15" s="6">
        <v>506712.5</v>
      </c>
      <c r="AZ15" s="6">
        <v>15750</v>
      </c>
      <c r="BA15" s="6">
        <v>560437</v>
      </c>
      <c r="BB15" s="6">
        <v>35605.5</v>
      </c>
      <c r="BC15" s="6">
        <v>657548.5</v>
      </c>
      <c r="BD15" s="6">
        <v>18790</v>
      </c>
      <c r="BE15" s="6">
        <v>639000</v>
      </c>
      <c r="BF15" s="6">
        <v>16203.25</v>
      </c>
      <c r="BG15" s="6">
        <v>705691</v>
      </c>
      <c r="BH15" s="6">
        <v>33638.5</v>
      </c>
      <c r="BI15" s="6">
        <v>787428</v>
      </c>
      <c r="BJ15" s="6">
        <v>46403</v>
      </c>
      <c r="BK15" s="6">
        <v>823833.5</v>
      </c>
      <c r="BL15" s="23"/>
    </row>
    <row r="16" spans="1:64" ht="21" x14ac:dyDescent="0.35">
      <c r="A16" s="20">
        <v>45662</v>
      </c>
      <c r="B16" s="21">
        <v>4775</v>
      </c>
      <c r="C16" s="21">
        <v>1016</v>
      </c>
      <c r="D16" s="21">
        <v>2294</v>
      </c>
      <c r="E16" s="21">
        <v>6466</v>
      </c>
      <c r="F16" s="21">
        <v>2093</v>
      </c>
      <c r="G16" s="21">
        <v>1316</v>
      </c>
      <c r="H16" s="21"/>
      <c r="I16" s="21">
        <v>65</v>
      </c>
      <c r="J16" s="21">
        <f t="shared" si="0"/>
        <v>18025</v>
      </c>
      <c r="K16" s="21">
        <f t="shared" si="3"/>
        <v>165832</v>
      </c>
      <c r="L16" s="47">
        <f t="shared" si="1"/>
        <v>63087.5</v>
      </c>
      <c r="M16" s="7">
        <f t="shared" si="4"/>
        <v>580412</v>
      </c>
      <c r="N16" s="24">
        <f t="shared" si="2"/>
        <v>1.1867933393130633E-2</v>
      </c>
      <c r="O16" s="7">
        <v>36127</v>
      </c>
      <c r="P16" s="7">
        <v>163887</v>
      </c>
      <c r="Q16" s="47">
        <v>126444.5</v>
      </c>
      <c r="R16" s="7">
        <v>573604.5</v>
      </c>
      <c r="S16" s="7">
        <v>30434</v>
      </c>
      <c r="T16" s="7">
        <v>133154</v>
      </c>
      <c r="U16" s="7">
        <v>106519</v>
      </c>
      <c r="V16" s="7">
        <v>466039</v>
      </c>
      <c r="W16" s="7">
        <v>29930</v>
      </c>
      <c r="X16" s="7">
        <v>156072</v>
      </c>
      <c r="Y16" s="7">
        <v>104755</v>
      </c>
      <c r="Z16" s="6">
        <v>546252</v>
      </c>
      <c r="AA16" s="6">
        <v>34343</v>
      </c>
      <c r="AB16" s="6">
        <v>171212</v>
      </c>
      <c r="AC16" s="6">
        <v>120200.5</v>
      </c>
      <c r="AD16" s="6">
        <v>599242</v>
      </c>
      <c r="AE16" s="15">
        <v>4093</v>
      </c>
      <c r="AF16" s="15">
        <v>14325.5</v>
      </c>
      <c r="AG16" s="15">
        <v>489027</v>
      </c>
      <c r="AH16" s="6">
        <v>4527</v>
      </c>
      <c r="AI16" s="6">
        <v>139108</v>
      </c>
      <c r="AJ16" s="6">
        <v>15844.5</v>
      </c>
      <c r="AK16" s="6">
        <v>486878</v>
      </c>
      <c r="AL16" s="6">
        <v>7912</v>
      </c>
      <c r="AM16" s="6">
        <v>131151</v>
      </c>
      <c r="AN16" s="6">
        <v>27692</v>
      </c>
      <c r="AO16" s="6">
        <v>459028.5</v>
      </c>
      <c r="AP16" s="6">
        <v>14679</v>
      </c>
      <c r="AQ16" s="6">
        <v>460733.5</v>
      </c>
      <c r="AR16" s="6">
        <v>5047</v>
      </c>
      <c r="AS16" s="6">
        <v>152390.5</v>
      </c>
      <c r="AT16" s="6">
        <v>14679</v>
      </c>
      <c r="AU16" s="6">
        <v>460733.5</v>
      </c>
      <c r="AV16" s="6">
        <v>17664.5</v>
      </c>
      <c r="AW16" s="6">
        <v>533366.75</v>
      </c>
      <c r="AX16" s="6">
        <v>18462.5</v>
      </c>
      <c r="AY16" s="6">
        <v>525175</v>
      </c>
      <c r="AZ16" s="6">
        <v>29876</v>
      </c>
      <c r="BA16" s="6">
        <v>590313</v>
      </c>
      <c r="BB16" s="6">
        <v>18970</v>
      </c>
      <c r="BC16" s="6">
        <v>676518.5</v>
      </c>
      <c r="BD16" s="6">
        <v>23688</v>
      </c>
      <c r="BE16" s="6">
        <v>662688</v>
      </c>
      <c r="BF16" s="6">
        <v>26180</v>
      </c>
      <c r="BG16" s="6">
        <v>731871</v>
      </c>
      <c r="BH16" s="6">
        <v>28280</v>
      </c>
      <c r="BI16" s="6">
        <v>815708</v>
      </c>
      <c r="BJ16" s="6">
        <v>26680.5</v>
      </c>
      <c r="BK16" s="6">
        <v>850514</v>
      </c>
      <c r="BL16" s="23"/>
    </row>
    <row r="17" spans="1:64" ht="21" x14ac:dyDescent="0.35">
      <c r="A17" s="19">
        <v>45669</v>
      </c>
      <c r="B17" s="17">
        <v>2076</v>
      </c>
      <c r="C17" s="17">
        <v>591</v>
      </c>
      <c r="D17" s="17">
        <v>471</v>
      </c>
      <c r="E17" s="17">
        <v>1005</v>
      </c>
      <c r="F17" s="17">
        <v>799</v>
      </c>
      <c r="G17" s="17">
        <v>384</v>
      </c>
      <c r="H17" s="17"/>
      <c r="I17" s="17">
        <v>3</v>
      </c>
      <c r="J17" s="17">
        <f t="shared" si="0"/>
        <v>5329</v>
      </c>
      <c r="K17" s="17">
        <f t="shared" si="3"/>
        <v>171161</v>
      </c>
      <c r="L17" s="46">
        <f t="shared" si="1"/>
        <v>18651.5</v>
      </c>
      <c r="M17" s="6">
        <f t="shared" si="4"/>
        <v>599063.5</v>
      </c>
      <c r="N17" s="24">
        <f t="shared" si="2"/>
        <v>2.9805388346677576E-4</v>
      </c>
      <c r="O17" s="6">
        <v>7223</v>
      </c>
      <c r="P17" s="6">
        <v>171110</v>
      </c>
      <c r="Q17" s="46">
        <v>25280.5</v>
      </c>
      <c r="R17" s="6">
        <v>598885</v>
      </c>
      <c r="S17" s="6">
        <v>7277</v>
      </c>
      <c r="T17" s="6">
        <v>140431</v>
      </c>
      <c r="U17" s="6">
        <v>25469.5</v>
      </c>
      <c r="V17" s="6">
        <v>491508.5</v>
      </c>
      <c r="W17" s="6">
        <v>6235</v>
      </c>
      <c r="X17" s="6">
        <v>162307</v>
      </c>
      <c r="Y17" s="6">
        <v>21822.5</v>
      </c>
      <c r="Z17" s="6">
        <v>568074.5</v>
      </c>
      <c r="AA17" s="6">
        <v>7150</v>
      </c>
      <c r="AB17" s="6">
        <v>178362</v>
      </c>
      <c r="AC17" s="6">
        <v>25025</v>
      </c>
      <c r="AD17" s="6">
        <v>624267</v>
      </c>
      <c r="AE17" s="6">
        <v>7659</v>
      </c>
      <c r="AF17" s="6">
        <v>26806.5</v>
      </c>
      <c r="AG17" s="6">
        <v>515833.5</v>
      </c>
      <c r="AH17" s="6">
        <v>8658</v>
      </c>
      <c r="AI17" s="6">
        <v>147766</v>
      </c>
      <c r="AJ17" s="6">
        <v>30303</v>
      </c>
      <c r="AK17" s="6">
        <v>517181</v>
      </c>
      <c r="AL17" s="6">
        <v>8074</v>
      </c>
      <c r="AM17" s="6">
        <v>139225</v>
      </c>
      <c r="AN17" s="6">
        <v>28259</v>
      </c>
      <c r="AO17" s="6">
        <v>487287.5</v>
      </c>
      <c r="AP17" s="6">
        <v>22921.5</v>
      </c>
      <c r="AQ17" s="6">
        <v>483655</v>
      </c>
      <c r="AR17" s="6">
        <v>8499</v>
      </c>
      <c r="AS17" s="6">
        <v>160889.5</v>
      </c>
      <c r="AT17" s="6">
        <v>22921.5</v>
      </c>
      <c r="AU17" s="6">
        <v>483655</v>
      </c>
      <c r="AV17" s="6">
        <v>29746.5</v>
      </c>
      <c r="AW17" s="6">
        <v>563113.25</v>
      </c>
      <c r="AX17" s="6">
        <v>21418.25</v>
      </c>
      <c r="AY17" s="6">
        <v>546593.25</v>
      </c>
      <c r="AZ17" s="6">
        <v>20979</v>
      </c>
      <c r="BA17" s="6">
        <v>611292</v>
      </c>
      <c r="BB17" s="6">
        <v>22272.25</v>
      </c>
      <c r="BC17" s="6">
        <v>698790.75</v>
      </c>
      <c r="BD17" s="6">
        <v>18914</v>
      </c>
      <c r="BE17" s="6">
        <v>681602</v>
      </c>
      <c r="BF17" s="6">
        <v>18905.25</v>
      </c>
      <c r="BG17" s="6">
        <v>750776.25</v>
      </c>
      <c r="BH17" s="6">
        <v>24942.75</v>
      </c>
      <c r="BI17" s="6">
        <v>840650.75</v>
      </c>
      <c r="BJ17" s="6">
        <v>25163.25</v>
      </c>
      <c r="BK17" s="6">
        <v>875677.25</v>
      </c>
      <c r="BL17" s="23"/>
    </row>
    <row r="18" spans="1:64" ht="21" x14ac:dyDescent="0.35">
      <c r="A18" s="19">
        <v>45676</v>
      </c>
      <c r="B18" s="17">
        <v>2838</v>
      </c>
      <c r="C18" s="17">
        <v>924</v>
      </c>
      <c r="D18" s="17">
        <v>970</v>
      </c>
      <c r="E18" s="17">
        <v>2454</v>
      </c>
      <c r="F18" s="17">
        <v>1308</v>
      </c>
      <c r="G18" s="17">
        <v>959</v>
      </c>
      <c r="H18" s="17"/>
      <c r="I18" s="17">
        <v>30</v>
      </c>
      <c r="J18" s="17">
        <f t="shared" si="0"/>
        <v>9483</v>
      </c>
      <c r="K18" s="17">
        <f t="shared" si="3"/>
        <v>180644</v>
      </c>
      <c r="L18" s="46">
        <f t="shared" si="1"/>
        <v>33190.5</v>
      </c>
      <c r="M18" s="6">
        <f t="shared" si="4"/>
        <v>632254</v>
      </c>
      <c r="N18" s="24">
        <f t="shared" si="2"/>
        <v>5.9697502951462367E-3</v>
      </c>
      <c r="O18" s="6">
        <v>8462</v>
      </c>
      <c r="P18" s="6">
        <v>179572</v>
      </c>
      <c r="Q18" s="46">
        <v>29617</v>
      </c>
      <c r="R18" s="6">
        <v>628502</v>
      </c>
      <c r="S18" s="6">
        <v>8919</v>
      </c>
      <c r="T18" s="6">
        <v>149350</v>
      </c>
      <c r="U18" s="6">
        <v>31216.5</v>
      </c>
      <c r="V18" s="6">
        <v>522725</v>
      </c>
      <c r="W18" s="6">
        <v>9321</v>
      </c>
      <c r="X18" s="6">
        <v>171628</v>
      </c>
      <c r="Y18" s="6">
        <v>32623.5</v>
      </c>
      <c r="Z18" s="6">
        <v>600698</v>
      </c>
      <c r="AA18" s="6">
        <v>9979</v>
      </c>
      <c r="AB18" s="6">
        <v>188341</v>
      </c>
      <c r="AC18" s="6">
        <v>34926.5</v>
      </c>
      <c r="AD18" s="6">
        <v>659193.5</v>
      </c>
      <c r="AE18" s="6">
        <v>6314</v>
      </c>
      <c r="AF18" s="6">
        <v>22099</v>
      </c>
      <c r="AG18" s="6">
        <v>537932.5</v>
      </c>
      <c r="AH18" s="6">
        <v>6294</v>
      </c>
      <c r="AI18" s="6">
        <v>154060</v>
      </c>
      <c r="AJ18" s="6">
        <v>22029</v>
      </c>
      <c r="AK18" s="6">
        <v>539210</v>
      </c>
      <c r="AL18" s="6">
        <v>5403</v>
      </c>
      <c r="AM18" s="6">
        <v>144628</v>
      </c>
      <c r="AN18" s="6">
        <v>18910.5</v>
      </c>
      <c r="AO18" s="6">
        <v>506198</v>
      </c>
      <c r="AP18" s="6">
        <v>20030.5</v>
      </c>
      <c r="AQ18" s="6">
        <v>503685.5</v>
      </c>
      <c r="AR18" s="6">
        <v>6089</v>
      </c>
      <c r="AS18" s="6">
        <v>166978.5</v>
      </c>
      <c r="AT18" s="6">
        <v>20030.5</v>
      </c>
      <c r="AU18" s="6">
        <v>503685.5</v>
      </c>
      <c r="AV18" s="6">
        <v>21311.5</v>
      </c>
      <c r="AW18" s="6">
        <v>584424.75</v>
      </c>
      <c r="AX18" s="6">
        <v>17521</v>
      </c>
      <c r="AY18" s="6">
        <v>564114.25</v>
      </c>
      <c r="AZ18" s="6">
        <v>18746</v>
      </c>
      <c r="BA18" s="6">
        <v>630038</v>
      </c>
      <c r="BB18" s="6">
        <v>24398.5</v>
      </c>
      <c r="BC18" s="6">
        <v>723189.25</v>
      </c>
      <c r="BD18" s="6">
        <v>22561</v>
      </c>
      <c r="BE18" s="6">
        <v>704163</v>
      </c>
      <c r="BF18" s="6">
        <v>91266</v>
      </c>
      <c r="BG18" s="6">
        <v>842042.25</v>
      </c>
      <c r="BH18" s="6">
        <v>85876</v>
      </c>
      <c r="BI18" s="6">
        <v>926526.75</v>
      </c>
      <c r="BJ18" s="6">
        <v>26566.75</v>
      </c>
      <c r="BK18" s="6">
        <v>902244</v>
      </c>
      <c r="BL18" s="23"/>
    </row>
    <row r="19" spans="1:64" ht="21" x14ac:dyDescent="0.35">
      <c r="A19" s="19">
        <v>45683</v>
      </c>
      <c r="B19" s="17">
        <v>1883</v>
      </c>
      <c r="C19" s="17">
        <v>871</v>
      </c>
      <c r="D19" s="17">
        <v>695</v>
      </c>
      <c r="E19" s="17">
        <v>1532</v>
      </c>
      <c r="F19" s="17">
        <v>966</v>
      </c>
      <c r="G19" s="17">
        <v>352</v>
      </c>
      <c r="H19" s="17"/>
      <c r="I19" s="17">
        <v>22</v>
      </c>
      <c r="J19" s="17">
        <f t="shared" si="0"/>
        <v>6321</v>
      </c>
      <c r="K19" s="17">
        <f t="shared" si="3"/>
        <v>186965</v>
      </c>
      <c r="L19" s="46">
        <f t="shared" si="1"/>
        <v>22123.5</v>
      </c>
      <c r="M19" s="6">
        <f t="shared" si="4"/>
        <v>654377.5</v>
      </c>
      <c r="N19" s="24">
        <f t="shared" si="2"/>
        <v>8.7295720998991078E-3</v>
      </c>
      <c r="O19" s="6">
        <v>5775</v>
      </c>
      <c r="P19" s="6">
        <v>185347</v>
      </c>
      <c r="Q19" s="46">
        <v>20212.5</v>
      </c>
      <c r="R19" s="6">
        <v>648714.5</v>
      </c>
      <c r="S19" s="6">
        <v>5580</v>
      </c>
      <c r="T19" s="6">
        <v>154930</v>
      </c>
      <c r="U19" s="6">
        <v>19530</v>
      </c>
      <c r="V19" s="6">
        <v>542255</v>
      </c>
      <c r="W19" s="6">
        <v>5766</v>
      </c>
      <c r="X19" s="6">
        <v>177394</v>
      </c>
      <c r="Y19" s="6">
        <v>20181</v>
      </c>
      <c r="Z19" s="6">
        <v>620879</v>
      </c>
      <c r="AA19" s="6">
        <v>8699</v>
      </c>
      <c r="AB19" s="6">
        <v>197040</v>
      </c>
      <c r="AC19" s="6">
        <v>30446.5</v>
      </c>
      <c r="AD19" s="6">
        <v>689640</v>
      </c>
      <c r="AE19" s="6">
        <v>8482</v>
      </c>
      <c r="AF19" s="6">
        <v>29687</v>
      </c>
      <c r="AG19" s="6">
        <v>567619.5</v>
      </c>
      <c r="AH19" s="6">
        <v>5417</v>
      </c>
      <c r="AI19" s="6">
        <v>159477</v>
      </c>
      <c r="AJ19" s="6">
        <v>18959.5</v>
      </c>
      <c r="AK19" s="6">
        <v>558169.5</v>
      </c>
      <c r="AL19" s="6">
        <v>5487</v>
      </c>
      <c r="AM19" s="6">
        <v>150115</v>
      </c>
      <c r="AN19" s="6">
        <v>19204.5</v>
      </c>
      <c r="AO19" s="6">
        <v>525402.5</v>
      </c>
      <c r="AP19" s="6">
        <v>18676</v>
      </c>
      <c r="AQ19" s="6">
        <v>522361.5</v>
      </c>
      <c r="AR19" s="6">
        <v>5240</v>
      </c>
      <c r="AS19" s="6">
        <v>172218.5</v>
      </c>
      <c r="AT19" s="6">
        <v>18676</v>
      </c>
      <c r="AU19" s="6">
        <v>522361.5</v>
      </c>
      <c r="AV19" s="6">
        <v>18340</v>
      </c>
      <c r="AW19" s="6">
        <v>602764.75</v>
      </c>
      <c r="AX19" s="6">
        <v>17710</v>
      </c>
      <c r="AY19" s="6">
        <v>581824.25</v>
      </c>
      <c r="AZ19" s="6">
        <v>18816</v>
      </c>
      <c r="BA19" s="6">
        <v>648854</v>
      </c>
      <c r="BB19" s="6">
        <v>21866.25</v>
      </c>
      <c r="BC19" s="6">
        <v>745055.5</v>
      </c>
      <c r="BD19" s="6">
        <v>97496</v>
      </c>
      <c r="BE19" s="6">
        <v>801659</v>
      </c>
      <c r="BF19" s="6">
        <v>27034</v>
      </c>
      <c r="BG19" s="6">
        <v>869076.25</v>
      </c>
      <c r="BH19" s="6">
        <v>30940</v>
      </c>
      <c r="BI19" s="6">
        <v>957466.75</v>
      </c>
      <c r="BJ19" s="6">
        <v>108879.75</v>
      </c>
      <c r="BK19" s="6">
        <v>1011123.75</v>
      </c>
      <c r="BL19" s="23"/>
    </row>
    <row r="20" spans="1:64" ht="21" x14ac:dyDescent="0.35">
      <c r="A20" s="19">
        <v>45690</v>
      </c>
      <c r="B20" s="17">
        <v>1640</v>
      </c>
      <c r="C20" s="17">
        <v>709</v>
      </c>
      <c r="D20" s="17">
        <v>403</v>
      </c>
      <c r="E20" s="17">
        <v>1710</v>
      </c>
      <c r="F20" s="17">
        <v>805</v>
      </c>
      <c r="G20" s="17">
        <v>445</v>
      </c>
      <c r="H20" s="17"/>
      <c r="I20" s="17">
        <v>5</v>
      </c>
      <c r="J20" s="17">
        <f t="shared" si="0"/>
        <v>5717</v>
      </c>
      <c r="K20" s="17">
        <f t="shared" si="3"/>
        <v>192682</v>
      </c>
      <c r="L20" s="46">
        <f t="shared" si="1"/>
        <v>20009.5</v>
      </c>
      <c r="M20" s="6">
        <f t="shared" si="4"/>
        <v>674387</v>
      </c>
      <c r="N20" s="24">
        <f t="shared" si="2"/>
        <v>9.1761378515686377E-3</v>
      </c>
      <c r="O20" s="6">
        <v>5583</v>
      </c>
      <c r="P20" s="6">
        <v>190930</v>
      </c>
      <c r="Q20" s="46">
        <v>19540.5</v>
      </c>
      <c r="R20" s="6">
        <v>668255</v>
      </c>
      <c r="S20" s="6">
        <v>5562</v>
      </c>
      <c r="T20" s="6">
        <v>160492</v>
      </c>
      <c r="U20" s="6">
        <v>19467</v>
      </c>
      <c r="V20" s="6">
        <v>561722</v>
      </c>
      <c r="W20" s="6">
        <v>6766</v>
      </c>
      <c r="X20" s="6">
        <v>184160</v>
      </c>
      <c r="Y20" s="6">
        <v>23681</v>
      </c>
      <c r="Z20" s="6">
        <v>644560</v>
      </c>
      <c r="AA20" s="6">
        <v>7038</v>
      </c>
      <c r="AB20" s="6">
        <v>204078</v>
      </c>
      <c r="AC20" s="6">
        <v>24633</v>
      </c>
      <c r="AD20" s="6">
        <v>714273</v>
      </c>
      <c r="AE20" s="6">
        <v>5744</v>
      </c>
      <c r="AF20" s="6">
        <v>20104</v>
      </c>
      <c r="AG20" s="6">
        <v>587723.5</v>
      </c>
      <c r="AH20" s="6">
        <v>6068</v>
      </c>
      <c r="AI20" s="6">
        <v>165545</v>
      </c>
      <c r="AJ20" s="6">
        <v>21238</v>
      </c>
      <c r="AK20" s="6">
        <v>579407.5</v>
      </c>
      <c r="AL20" s="6">
        <v>5562</v>
      </c>
      <c r="AM20" s="6">
        <v>155677</v>
      </c>
      <c r="AN20" s="6">
        <v>19467</v>
      </c>
      <c r="AO20" s="6">
        <v>544869.5</v>
      </c>
      <c r="AP20" s="6">
        <v>17335.5</v>
      </c>
      <c r="AQ20" s="6">
        <v>539697</v>
      </c>
      <c r="AR20" s="6">
        <v>5426</v>
      </c>
      <c r="AS20" s="6">
        <v>177644.5</v>
      </c>
      <c r="AT20" s="6">
        <v>17335.5</v>
      </c>
      <c r="AU20" s="6">
        <v>539697</v>
      </c>
      <c r="AV20" s="6">
        <v>18991</v>
      </c>
      <c r="AW20" s="6">
        <v>621755.75</v>
      </c>
      <c r="AX20" s="6">
        <v>69079.5</v>
      </c>
      <c r="AY20" s="6">
        <v>650903.75</v>
      </c>
      <c r="AZ20" s="6">
        <v>87463</v>
      </c>
      <c r="BA20" s="6">
        <v>736318</v>
      </c>
      <c r="BB20" s="6">
        <v>93975</v>
      </c>
      <c r="BC20" s="6">
        <v>839030.5</v>
      </c>
      <c r="BD20" s="6">
        <v>23737</v>
      </c>
      <c r="BE20" s="6">
        <v>825396</v>
      </c>
      <c r="BF20" s="6">
        <v>27380.5</v>
      </c>
      <c r="BG20" s="6">
        <v>896456.75</v>
      </c>
      <c r="BH20" s="6">
        <v>30420.25</v>
      </c>
      <c r="BI20" s="6">
        <v>987887</v>
      </c>
      <c r="BJ20" s="6">
        <v>30628.5</v>
      </c>
      <c r="BK20" s="6">
        <v>1041752.25</v>
      </c>
      <c r="BL20" s="23"/>
    </row>
    <row r="21" spans="1:64" ht="21" x14ac:dyDescent="0.35">
      <c r="A21" s="19">
        <v>45697</v>
      </c>
      <c r="B21" s="17">
        <v>2094</v>
      </c>
      <c r="C21" s="17">
        <v>562</v>
      </c>
      <c r="D21" s="17">
        <v>453</v>
      </c>
      <c r="E21" s="17">
        <v>1330</v>
      </c>
      <c r="F21" s="17">
        <v>830</v>
      </c>
      <c r="G21" s="17">
        <v>821</v>
      </c>
      <c r="H21" s="17"/>
      <c r="I21" s="17">
        <v>6</v>
      </c>
      <c r="J21" s="17">
        <f t="shared" si="0"/>
        <v>6096</v>
      </c>
      <c r="K21" s="17">
        <f t="shared" si="3"/>
        <v>198778</v>
      </c>
      <c r="L21" s="46">
        <f t="shared" si="1"/>
        <v>21336</v>
      </c>
      <c r="M21" s="6">
        <f t="shared" si="4"/>
        <v>695723</v>
      </c>
      <c r="N21" s="24">
        <f t="shared" si="2"/>
        <v>9.7840001625586741E-3</v>
      </c>
      <c r="O21" s="6">
        <v>5922</v>
      </c>
      <c r="P21" s="6">
        <v>196852</v>
      </c>
      <c r="Q21" s="46">
        <v>20727</v>
      </c>
      <c r="R21" s="6">
        <v>688982</v>
      </c>
      <c r="S21" s="6">
        <v>6768</v>
      </c>
      <c r="T21" s="6">
        <v>167260</v>
      </c>
      <c r="U21" s="6">
        <v>23688</v>
      </c>
      <c r="V21" s="6">
        <v>585410</v>
      </c>
      <c r="W21" s="6">
        <v>5486</v>
      </c>
      <c r="X21" s="6">
        <v>189646</v>
      </c>
      <c r="Y21" s="6">
        <v>19201</v>
      </c>
      <c r="Z21" s="6">
        <v>663761</v>
      </c>
      <c r="AA21" s="6">
        <v>7800</v>
      </c>
      <c r="AB21" s="6">
        <v>211878</v>
      </c>
      <c r="AC21" s="6">
        <v>27300</v>
      </c>
      <c r="AD21" s="6">
        <v>741573</v>
      </c>
      <c r="AE21" s="6">
        <v>18935</v>
      </c>
      <c r="AF21" s="6">
        <v>66272.5</v>
      </c>
      <c r="AG21" s="6">
        <v>653996</v>
      </c>
      <c r="AH21" s="6">
        <v>14585</v>
      </c>
      <c r="AI21" s="6">
        <v>180130</v>
      </c>
      <c r="AJ21" s="6">
        <v>51047.5</v>
      </c>
      <c r="AK21" s="6">
        <v>630455</v>
      </c>
      <c r="AL21" s="6">
        <v>5359</v>
      </c>
      <c r="AM21" s="6">
        <v>161036</v>
      </c>
      <c r="AN21" s="6">
        <v>18756.5</v>
      </c>
      <c r="AO21" s="6">
        <v>563626</v>
      </c>
      <c r="AP21" s="6">
        <v>73199</v>
      </c>
      <c r="AQ21" s="6">
        <v>612896</v>
      </c>
      <c r="AR21" s="6">
        <v>16580</v>
      </c>
      <c r="AS21" s="6">
        <v>194224.5</v>
      </c>
      <c r="AT21" s="6">
        <v>73199</v>
      </c>
      <c r="AU21" s="6">
        <v>612896</v>
      </c>
      <c r="AV21" s="6">
        <v>58030</v>
      </c>
      <c r="AW21" s="6">
        <v>679785.75</v>
      </c>
      <c r="AX21" s="6">
        <v>30257.5</v>
      </c>
      <c r="AY21" s="6">
        <v>681161.25</v>
      </c>
      <c r="AZ21" s="6">
        <v>26961</v>
      </c>
      <c r="BA21" s="6">
        <v>763278</v>
      </c>
      <c r="BB21" s="6">
        <v>19946.5</v>
      </c>
      <c r="BC21" s="6">
        <v>858977</v>
      </c>
      <c r="BD21" s="6">
        <v>23676</v>
      </c>
      <c r="BE21" s="6">
        <v>849072</v>
      </c>
      <c r="BF21" s="6">
        <v>24178</v>
      </c>
      <c r="BG21" s="6">
        <v>920634.75</v>
      </c>
      <c r="BH21" s="6">
        <v>27209</v>
      </c>
      <c r="BI21" s="6">
        <v>1015096</v>
      </c>
      <c r="BJ21" s="6">
        <v>27030.5</v>
      </c>
      <c r="BK21" s="6">
        <v>1068782.75</v>
      </c>
      <c r="BL21" s="23"/>
    </row>
    <row r="22" spans="1:64" ht="21" x14ac:dyDescent="0.35">
      <c r="A22" s="20">
        <v>45704</v>
      </c>
      <c r="B22" s="21">
        <v>5317</v>
      </c>
      <c r="C22" s="21">
        <v>556</v>
      </c>
      <c r="D22" s="21">
        <v>1801</v>
      </c>
      <c r="E22" s="21">
        <v>6951</v>
      </c>
      <c r="F22" s="21">
        <v>2112</v>
      </c>
      <c r="G22" s="21">
        <v>2990</v>
      </c>
      <c r="H22" s="21"/>
      <c r="I22" s="21">
        <v>40</v>
      </c>
      <c r="J22" s="21">
        <f t="shared" si="0"/>
        <v>19767</v>
      </c>
      <c r="K22" s="21">
        <f t="shared" si="3"/>
        <v>218545</v>
      </c>
      <c r="L22" s="47">
        <f t="shared" si="1"/>
        <v>69184.5</v>
      </c>
      <c r="M22" s="7">
        <f t="shared" si="4"/>
        <v>764907.5</v>
      </c>
      <c r="N22" s="53">
        <f t="shared" si="2"/>
        <v>7.9565101413766187E-2</v>
      </c>
      <c r="O22" s="7">
        <v>5586</v>
      </c>
      <c r="P22" s="7">
        <v>202438</v>
      </c>
      <c r="Q22" s="46">
        <v>19551</v>
      </c>
      <c r="R22" s="6">
        <v>708533</v>
      </c>
      <c r="S22" s="6">
        <v>5954</v>
      </c>
      <c r="T22" s="6">
        <v>173214</v>
      </c>
      <c r="U22" s="6">
        <v>20839</v>
      </c>
      <c r="V22" s="6">
        <v>606249</v>
      </c>
      <c r="W22" s="6">
        <v>6769</v>
      </c>
      <c r="X22" s="6">
        <v>196415</v>
      </c>
      <c r="Y22" s="6">
        <v>23691.5</v>
      </c>
      <c r="Z22" s="6">
        <v>687452.5</v>
      </c>
      <c r="AA22" s="6">
        <v>23523</v>
      </c>
      <c r="AB22" s="6">
        <v>235401</v>
      </c>
      <c r="AC22" s="6">
        <v>82330.5</v>
      </c>
      <c r="AD22" s="6">
        <v>823903.5</v>
      </c>
      <c r="AE22" s="16">
        <v>9668</v>
      </c>
      <c r="AF22" s="16">
        <v>33838</v>
      </c>
      <c r="AG22" s="16">
        <v>687834</v>
      </c>
      <c r="AH22" s="6">
        <v>8934</v>
      </c>
      <c r="AI22" s="6">
        <v>189064</v>
      </c>
      <c r="AJ22" s="6">
        <v>31269</v>
      </c>
      <c r="AK22" s="6">
        <v>661724</v>
      </c>
      <c r="AL22" s="6">
        <v>21327</v>
      </c>
      <c r="AM22" s="6">
        <v>182363</v>
      </c>
      <c r="AN22" s="6">
        <v>74644.5</v>
      </c>
      <c r="AO22" s="6">
        <v>638270.5</v>
      </c>
      <c r="AP22" s="6">
        <v>23849</v>
      </c>
      <c r="AQ22" s="6">
        <v>636745</v>
      </c>
      <c r="AR22" s="6">
        <v>8351</v>
      </c>
      <c r="AS22" s="6">
        <v>202575.5</v>
      </c>
      <c r="AT22" s="6">
        <v>23849</v>
      </c>
      <c r="AU22" s="6">
        <v>636745</v>
      </c>
      <c r="AV22" s="6">
        <v>29228.5</v>
      </c>
      <c r="AW22" s="6">
        <v>709014.25</v>
      </c>
      <c r="AX22" s="6">
        <v>20601</v>
      </c>
      <c r="AY22" s="6">
        <v>701762.25</v>
      </c>
      <c r="AZ22" s="6">
        <v>17159</v>
      </c>
      <c r="BA22" s="6">
        <v>780437</v>
      </c>
      <c r="BB22" s="6">
        <v>15184.75</v>
      </c>
      <c r="BC22" s="6">
        <v>874161.75</v>
      </c>
      <c r="BD22" s="6">
        <v>27626</v>
      </c>
      <c r="BE22" s="6">
        <v>876698</v>
      </c>
      <c r="BF22" s="6">
        <v>31587.5</v>
      </c>
      <c r="BG22" s="6">
        <v>952222.25</v>
      </c>
      <c r="BH22" s="6">
        <v>33220.25</v>
      </c>
      <c r="BI22" s="6">
        <v>1048316.25</v>
      </c>
      <c r="BJ22" s="6">
        <v>29288</v>
      </c>
      <c r="BK22" s="6">
        <v>1098070.75</v>
      </c>
      <c r="BL22" s="23"/>
    </row>
    <row r="23" spans="1:64" ht="21" x14ac:dyDescent="0.35">
      <c r="A23" s="50">
        <v>45711</v>
      </c>
      <c r="B23" s="51">
        <v>3577</v>
      </c>
      <c r="C23" s="51">
        <v>834</v>
      </c>
      <c r="D23" s="51">
        <v>967</v>
      </c>
      <c r="E23" s="51">
        <v>2037</v>
      </c>
      <c r="F23" s="51">
        <v>1188</v>
      </c>
      <c r="G23" s="51">
        <v>787</v>
      </c>
      <c r="H23" s="51"/>
      <c r="I23" s="51">
        <v>28</v>
      </c>
      <c r="J23" s="51">
        <f t="shared" si="0"/>
        <v>9418</v>
      </c>
      <c r="K23" s="51">
        <f t="shared" si="3"/>
        <v>227963</v>
      </c>
      <c r="L23" s="52">
        <f t="shared" si="1"/>
        <v>32963</v>
      </c>
      <c r="M23" s="16">
        <f t="shared" si="4"/>
        <v>797870.5</v>
      </c>
      <c r="N23" s="24">
        <f t="shared" si="2"/>
        <v>1.3222927445019289E-2</v>
      </c>
      <c r="O23" s="7">
        <v>22550</v>
      </c>
      <c r="P23" s="7">
        <v>224988</v>
      </c>
      <c r="Q23" s="47">
        <v>78925</v>
      </c>
      <c r="R23" s="7">
        <v>787458</v>
      </c>
      <c r="S23" s="7">
        <v>20474</v>
      </c>
      <c r="T23" s="7">
        <v>193688</v>
      </c>
      <c r="U23" s="7">
        <v>71659</v>
      </c>
      <c r="V23" s="7">
        <v>677908</v>
      </c>
      <c r="W23" s="7">
        <v>24036</v>
      </c>
      <c r="X23" s="7">
        <v>220451</v>
      </c>
      <c r="Y23" s="7">
        <v>84126</v>
      </c>
      <c r="Z23" s="6">
        <v>771578.5</v>
      </c>
      <c r="AA23" s="6">
        <v>10941</v>
      </c>
      <c r="AB23" s="6">
        <v>246342</v>
      </c>
      <c r="AC23" s="6">
        <v>38293.5</v>
      </c>
      <c r="AD23" s="6">
        <v>862197</v>
      </c>
      <c r="AE23" s="15">
        <v>7287</v>
      </c>
      <c r="AF23" s="15">
        <v>25504.5</v>
      </c>
      <c r="AG23" s="15">
        <v>713338.5</v>
      </c>
      <c r="AH23" s="6">
        <v>6691</v>
      </c>
      <c r="AI23" s="6">
        <v>195755</v>
      </c>
      <c r="AJ23" s="6">
        <v>23418.5</v>
      </c>
      <c r="AK23" s="6">
        <v>685142.5</v>
      </c>
      <c r="AL23" s="6">
        <v>8057</v>
      </c>
      <c r="AM23" s="6">
        <v>190420</v>
      </c>
      <c r="AN23" s="6">
        <v>28199.5</v>
      </c>
      <c r="AO23" s="6">
        <v>666470</v>
      </c>
      <c r="AP23" s="6">
        <v>21224</v>
      </c>
      <c r="AQ23" s="6">
        <v>657969</v>
      </c>
      <c r="AR23" s="6">
        <v>7030</v>
      </c>
      <c r="AS23" s="6">
        <v>209605.5</v>
      </c>
      <c r="AT23" s="6">
        <v>21224</v>
      </c>
      <c r="AU23" s="6">
        <v>657969</v>
      </c>
      <c r="AV23" s="6">
        <v>24605</v>
      </c>
      <c r="AW23" s="6">
        <v>733619.25</v>
      </c>
      <c r="AX23" s="6">
        <v>19810</v>
      </c>
      <c r="AY23" s="6">
        <v>721572.25</v>
      </c>
      <c r="AZ23" s="6">
        <v>20207</v>
      </c>
      <c r="BA23" s="6">
        <v>800644</v>
      </c>
      <c r="BB23" s="6">
        <v>21570.5</v>
      </c>
      <c r="BC23" s="6">
        <v>895732.25</v>
      </c>
      <c r="BD23" s="6">
        <v>33471</v>
      </c>
      <c r="BE23" s="6">
        <v>910168</v>
      </c>
      <c r="BF23" s="6">
        <v>38855.25</v>
      </c>
      <c r="BG23" s="6">
        <v>991077.5</v>
      </c>
      <c r="BH23" s="6">
        <v>46359.25</v>
      </c>
      <c r="BI23" s="6">
        <v>1094675.5</v>
      </c>
      <c r="BJ23" s="6">
        <v>36055.25</v>
      </c>
      <c r="BK23" s="6">
        <v>1134126</v>
      </c>
      <c r="BL23" s="23"/>
    </row>
    <row r="24" spans="1:64" ht="21" x14ac:dyDescent="0.35">
      <c r="A24" s="19">
        <v>45718</v>
      </c>
      <c r="B24" s="17">
        <v>3577</v>
      </c>
      <c r="C24" s="17">
        <v>799</v>
      </c>
      <c r="D24" s="17">
        <v>814</v>
      </c>
      <c r="E24" s="17">
        <v>1624</v>
      </c>
      <c r="F24" s="17">
        <v>921</v>
      </c>
      <c r="G24" s="17">
        <v>656</v>
      </c>
      <c r="H24" s="17"/>
      <c r="I24" s="17">
        <v>15</v>
      </c>
      <c r="J24" s="17">
        <f t="shared" si="0"/>
        <v>8406</v>
      </c>
      <c r="K24" s="17">
        <f t="shared" si="3"/>
        <v>236369</v>
      </c>
      <c r="L24" s="46">
        <f t="shared" si="1"/>
        <v>29421</v>
      </c>
      <c r="M24" s="6">
        <f t="shared" si="4"/>
        <v>827291.5</v>
      </c>
      <c r="N24" s="24">
        <f t="shared" si="2"/>
        <v>1.6125149386547903E-2</v>
      </c>
      <c r="O24" s="6">
        <v>7630</v>
      </c>
      <c r="P24" s="6">
        <v>232618</v>
      </c>
      <c r="Q24" s="46">
        <v>26705</v>
      </c>
      <c r="R24" s="6">
        <v>814163</v>
      </c>
      <c r="S24" s="6">
        <v>7540</v>
      </c>
      <c r="T24" s="6">
        <v>201228</v>
      </c>
      <c r="U24" s="6">
        <v>26390</v>
      </c>
      <c r="V24" s="6">
        <v>704298</v>
      </c>
      <c r="W24" s="6">
        <v>8227</v>
      </c>
      <c r="X24" s="6">
        <v>228678</v>
      </c>
      <c r="Y24" s="6">
        <v>28794.5</v>
      </c>
      <c r="Z24" s="6">
        <v>800373</v>
      </c>
      <c r="AA24" s="6">
        <v>8344</v>
      </c>
      <c r="AB24" s="6">
        <v>254686</v>
      </c>
      <c r="AC24" s="6">
        <v>29204</v>
      </c>
      <c r="AD24" s="6">
        <v>891401</v>
      </c>
      <c r="AE24" s="6">
        <v>6209</v>
      </c>
      <c r="AF24" s="6">
        <v>21731.5</v>
      </c>
      <c r="AG24" s="6">
        <v>735070</v>
      </c>
      <c r="AH24" s="6">
        <v>6799</v>
      </c>
      <c r="AI24" s="6">
        <v>202554</v>
      </c>
      <c r="AJ24" s="6">
        <v>23796.5</v>
      </c>
      <c r="AK24" s="6">
        <v>708939</v>
      </c>
      <c r="AL24" s="6">
        <v>5581</v>
      </c>
      <c r="AM24" s="6">
        <v>196001</v>
      </c>
      <c r="AN24" s="6">
        <v>19533.5</v>
      </c>
      <c r="AO24" s="6">
        <v>686003.5</v>
      </c>
      <c r="AP24" s="6">
        <v>14476</v>
      </c>
      <c r="AQ24" s="6">
        <v>672445</v>
      </c>
      <c r="AR24" s="6">
        <v>6248</v>
      </c>
      <c r="AS24" s="6">
        <v>215853.5</v>
      </c>
      <c r="AT24" s="6">
        <v>14476</v>
      </c>
      <c r="AU24" s="6">
        <v>672445</v>
      </c>
      <c r="AV24" s="6">
        <v>21868</v>
      </c>
      <c r="AW24" s="6">
        <v>755487.25</v>
      </c>
      <c r="AX24" s="6">
        <v>27681.5</v>
      </c>
      <c r="AY24" s="6">
        <v>749253.75</v>
      </c>
      <c r="AZ24" s="6">
        <v>25450</v>
      </c>
      <c r="BA24" s="6">
        <v>826094</v>
      </c>
      <c r="BB24" s="6">
        <v>25698.75</v>
      </c>
      <c r="BC24" s="6">
        <v>921431</v>
      </c>
      <c r="BD24" s="6">
        <v>23475</v>
      </c>
      <c r="BE24" s="6">
        <v>933643</v>
      </c>
      <c r="BF24" s="6">
        <v>28364</v>
      </c>
      <c r="BG24" s="6">
        <v>1019441.5</v>
      </c>
      <c r="BH24" s="6">
        <v>26967.5</v>
      </c>
      <c r="BI24" s="6">
        <v>1121643</v>
      </c>
      <c r="BJ24" s="6">
        <v>47783.75</v>
      </c>
      <c r="BK24" s="6">
        <v>1181909.75</v>
      </c>
      <c r="BL24" s="23"/>
    </row>
    <row r="25" spans="1:64" ht="21" x14ac:dyDescent="0.35">
      <c r="A25" s="19">
        <v>45725</v>
      </c>
      <c r="B25" s="17">
        <v>1751</v>
      </c>
      <c r="C25" s="17">
        <v>402</v>
      </c>
      <c r="D25" s="17">
        <v>361</v>
      </c>
      <c r="E25" s="17">
        <v>703</v>
      </c>
      <c r="F25" s="17">
        <v>961</v>
      </c>
      <c r="G25" s="17">
        <v>367</v>
      </c>
      <c r="H25" s="17"/>
      <c r="I25" s="17">
        <v>3</v>
      </c>
      <c r="J25" s="17">
        <f t="shared" si="0"/>
        <v>4548</v>
      </c>
      <c r="K25" s="17">
        <f t="shared" si="3"/>
        <v>240917</v>
      </c>
      <c r="L25" s="46">
        <f t="shared" si="1"/>
        <v>15918</v>
      </c>
      <c r="M25" s="6">
        <f t="shared" si="4"/>
        <v>843209.5</v>
      </c>
      <c r="N25" s="24">
        <f t="shared" si="2"/>
        <v>1.3785499976855846E-2</v>
      </c>
      <c r="O25" s="6">
        <v>5023</v>
      </c>
      <c r="P25" s="6">
        <v>237641</v>
      </c>
      <c r="Q25" s="46">
        <v>17580.5</v>
      </c>
      <c r="R25" s="6">
        <v>831743.5</v>
      </c>
      <c r="S25" s="6">
        <v>7651</v>
      </c>
      <c r="T25" s="6">
        <v>208879</v>
      </c>
      <c r="U25" s="6">
        <v>26778.5</v>
      </c>
      <c r="V25" s="6">
        <v>731076.5</v>
      </c>
      <c r="W25" s="6">
        <v>5056</v>
      </c>
      <c r="X25" s="6">
        <v>233734</v>
      </c>
      <c r="Y25" s="6">
        <v>17696</v>
      </c>
      <c r="Z25" s="6">
        <v>818069</v>
      </c>
      <c r="AA25" s="6">
        <v>9296</v>
      </c>
      <c r="AB25" s="6">
        <v>263982</v>
      </c>
      <c r="AC25" s="6">
        <v>32536</v>
      </c>
      <c r="AD25" s="6">
        <v>923937</v>
      </c>
      <c r="AE25" s="6">
        <v>7100</v>
      </c>
      <c r="AF25" s="6">
        <v>24850</v>
      </c>
      <c r="AG25" s="6">
        <v>759920</v>
      </c>
      <c r="AH25" s="6">
        <v>6799</v>
      </c>
      <c r="AI25" s="6">
        <v>202554</v>
      </c>
      <c r="AJ25" s="6">
        <v>23796.5</v>
      </c>
      <c r="AK25" s="6">
        <v>708939</v>
      </c>
      <c r="AL25" s="6">
        <v>5581</v>
      </c>
      <c r="AM25" s="6">
        <v>196001</v>
      </c>
      <c r="AN25" s="6">
        <v>19533.5</v>
      </c>
      <c r="AO25" s="6">
        <v>686003.5</v>
      </c>
      <c r="AP25" s="6">
        <v>14476</v>
      </c>
      <c r="AQ25" s="6">
        <v>672445</v>
      </c>
      <c r="AR25" s="6">
        <v>6248</v>
      </c>
      <c r="AS25" s="6">
        <v>215853.5</v>
      </c>
      <c r="AT25" s="6">
        <v>14476</v>
      </c>
      <c r="AU25" s="6">
        <v>672445</v>
      </c>
      <c r="AV25" s="6">
        <v>21868</v>
      </c>
      <c r="AW25" s="6">
        <v>755487.25</v>
      </c>
      <c r="AX25" s="6">
        <v>27681.5</v>
      </c>
      <c r="AY25" s="6">
        <v>749253.75</v>
      </c>
      <c r="AZ25" s="6">
        <v>25450</v>
      </c>
      <c r="BA25" s="6">
        <v>826094</v>
      </c>
      <c r="BB25" s="6">
        <v>25698.75</v>
      </c>
      <c r="BC25" s="6">
        <v>921431</v>
      </c>
      <c r="BD25" s="6">
        <v>23475</v>
      </c>
      <c r="BE25" s="6">
        <v>933643</v>
      </c>
      <c r="BF25" s="6">
        <v>28364</v>
      </c>
      <c r="BG25" s="6">
        <v>1019441.5</v>
      </c>
      <c r="BH25" s="6">
        <v>26967.5</v>
      </c>
      <c r="BI25" s="6">
        <v>1121643</v>
      </c>
      <c r="BJ25" s="6">
        <v>47783.75</v>
      </c>
      <c r="BK25" s="6">
        <v>1181909.75</v>
      </c>
      <c r="BL25" s="23"/>
    </row>
    <row r="26" spans="1:64" ht="21" x14ac:dyDescent="0.35">
      <c r="A26" s="19">
        <v>45732</v>
      </c>
      <c r="B26" s="17">
        <v>2114</v>
      </c>
      <c r="C26" s="17">
        <v>703</v>
      </c>
      <c r="D26" s="17">
        <v>433</v>
      </c>
      <c r="E26" s="17">
        <v>1668</v>
      </c>
      <c r="F26" s="17">
        <v>1625</v>
      </c>
      <c r="G26" s="17">
        <v>497</v>
      </c>
      <c r="H26" s="17"/>
      <c r="I26" s="17">
        <v>8</v>
      </c>
      <c r="J26" s="17">
        <f t="shared" si="0"/>
        <v>7048</v>
      </c>
      <c r="K26" s="17">
        <f t="shared" si="3"/>
        <v>247965</v>
      </c>
      <c r="L26" s="46">
        <f t="shared" si="1"/>
        <v>24668</v>
      </c>
      <c r="M26" s="6">
        <f t="shared" si="4"/>
        <v>867877.5</v>
      </c>
      <c r="N26" s="24">
        <f t="shared" si="2"/>
        <v>1.1990515330963526E-2</v>
      </c>
      <c r="O26" s="6">
        <v>7386</v>
      </c>
      <c r="P26" s="6">
        <v>245027</v>
      </c>
      <c r="Q26" s="46">
        <v>25851</v>
      </c>
      <c r="R26" s="6">
        <v>857594.5</v>
      </c>
      <c r="S26" s="6">
        <v>5883</v>
      </c>
      <c r="T26" s="6">
        <v>214762</v>
      </c>
      <c r="U26" s="6">
        <v>20590.5</v>
      </c>
      <c r="V26" s="6">
        <v>751667</v>
      </c>
      <c r="W26" s="6">
        <v>6902</v>
      </c>
      <c r="X26" s="6">
        <v>240636</v>
      </c>
      <c r="Y26" s="6">
        <v>24157</v>
      </c>
      <c r="Z26" s="6">
        <v>842226</v>
      </c>
      <c r="AA26" s="6">
        <v>7859</v>
      </c>
      <c r="AB26" s="6">
        <v>271841</v>
      </c>
      <c r="AC26" s="6">
        <v>27506.5</v>
      </c>
      <c r="AD26" s="6">
        <v>951443.5</v>
      </c>
      <c r="AE26" s="6">
        <v>6454</v>
      </c>
      <c r="AF26" s="6">
        <v>22589</v>
      </c>
      <c r="AG26" s="6">
        <v>757659</v>
      </c>
      <c r="AH26" s="6">
        <v>6599</v>
      </c>
      <c r="AI26" s="6">
        <v>209153</v>
      </c>
      <c r="AJ26" s="6">
        <v>23096.5</v>
      </c>
      <c r="AK26" s="6">
        <v>732035.5</v>
      </c>
      <c r="AL26" s="6">
        <v>5139</v>
      </c>
      <c r="AM26" s="6">
        <v>201140</v>
      </c>
      <c r="AN26" s="6">
        <v>17986.5</v>
      </c>
      <c r="AO26" s="6">
        <v>703990</v>
      </c>
      <c r="AP26" s="6">
        <v>15358</v>
      </c>
      <c r="AQ26" s="6">
        <v>687803</v>
      </c>
      <c r="AR26" s="6">
        <v>5939</v>
      </c>
      <c r="AS26" s="6">
        <v>221792.5</v>
      </c>
      <c r="AT26" s="6">
        <v>15358</v>
      </c>
      <c r="AU26" s="6">
        <v>687803</v>
      </c>
      <c r="AV26" s="6">
        <v>20786.5</v>
      </c>
      <c r="AW26" s="6">
        <v>776273.75</v>
      </c>
      <c r="AX26" s="6">
        <v>26565</v>
      </c>
      <c r="AY26" s="6">
        <v>775818.75</v>
      </c>
      <c r="AZ26" s="6">
        <v>25632</v>
      </c>
      <c r="BA26" s="6">
        <v>851727</v>
      </c>
      <c r="BB26" s="6">
        <v>22256.5</v>
      </c>
      <c r="BC26" s="6">
        <v>943687.5</v>
      </c>
      <c r="BD26" s="6">
        <v>17008</v>
      </c>
      <c r="BE26" s="6">
        <v>950651</v>
      </c>
      <c r="BF26" s="6">
        <v>40180</v>
      </c>
      <c r="BG26" s="6">
        <v>1059621.5</v>
      </c>
      <c r="BH26" s="6">
        <v>22790.25</v>
      </c>
      <c r="BI26" s="6">
        <v>1144433.25</v>
      </c>
      <c r="BJ26" s="6">
        <v>31209.5</v>
      </c>
      <c r="BK26" s="6">
        <v>1213119.25</v>
      </c>
      <c r="BL26" s="23"/>
    </row>
    <row r="27" spans="1:64" ht="21" x14ac:dyDescent="0.35">
      <c r="A27" s="19">
        <v>45739</v>
      </c>
      <c r="B27" s="17">
        <v>2104</v>
      </c>
      <c r="C27" s="17">
        <v>517</v>
      </c>
      <c r="D27" s="17">
        <v>340</v>
      </c>
      <c r="E27" s="17">
        <v>1562</v>
      </c>
      <c r="F27" s="17">
        <v>1215</v>
      </c>
      <c r="G27" s="17">
        <v>385</v>
      </c>
      <c r="H27" s="17"/>
      <c r="I27" s="17">
        <v>3</v>
      </c>
      <c r="J27" s="17">
        <f t="shared" si="0"/>
        <v>6126</v>
      </c>
      <c r="K27" s="17">
        <f t="shared" si="3"/>
        <v>254091</v>
      </c>
      <c r="L27" s="46">
        <f t="shared" si="1"/>
        <v>21441</v>
      </c>
      <c r="M27" s="6">
        <f t="shared" si="4"/>
        <v>889318.5</v>
      </c>
      <c r="N27" s="24">
        <f t="shared" si="2"/>
        <v>-1.2694379036206373E-2</v>
      </c>
      <c r="O27" s="6">
        <v>12331</v>
      </c>
      <c r="P27" s="6">
        <v>257358</v>
      </c>
      <c r="Q27" s="46">
        <v>43158.5</v>
      </c>
      <c r="R27" s="6">
        <v>900753</v>
      </c>
      <c r="S27" s="6">
        <v>6897</v>
      </c>
      <c r="T27" s="6">
        <v>221659</v>
      </c>
      <c r="U27" s="6">
        <v>24139.5</v>
      </c>
      <c r="V27" s="6">
        <v>775806.5</v>
      </c>
      <c r="W27" s="6">
        <v>6689</v>
      </c>
      <c r="X27" s="6">
        <v>247325</v>
      </c>
      <c r="Y27" s="6">
        <v>23411.5</v>
      </c>
      <c r="Z27" s="6">
        <v>865637.5</v>
      </c>
      <c r="AA27" s="6">
        <v>8447</v>
      </c>
      <c r="AB27" s="6">
        <v>280288</v>
      </c>
      <c r="AC27" s="6">
        <v>29564.5</v>
      </c>
      <c r="AD27" s="6">
        <v>981008</v>
      </c>
      <c r="AE27" s="6">
        <v>5451</v>
      </c>
      <c r="AF27" s="6">
        <v>19078.5</v>
      </c>
      <c r="AG27" s="6">
        <v>776737.5</v>
      </c>
      <c r="AH27" s="6">
        <v>6912</v>
      </c>
      <c r="AI27" s="6">
        <v>216065</v>
      </c>
      <c r="AJ27" s="6">
        <v>24192</v>
      </c>
      <c r="AK27" s="6">
        <v>756227.5</v>
      </c>
      <c r="AL27" s="6">
        <v>5698</v>
      </c>
      <c r="AM27" s="6">
        <v>206838</v>
      </c>
      <c r="AN27" s="6">
        <v>19943</v>
      </c>
      <c r="AO27" s="6">
        <v>723933</v>
      </c>
      <c r="AP27" s="6">
        <v>19659.5</v>
      </c>
      <c r="AQ27" s="6">
        <v>707462.5</v>
      </c>
      <c r="AR27" s="6">
        <v>5891</v>
      </c>
      <c r="AS27" s="6">
        <v>227683.5</v>
      </c>
      <c r="AT27" s="6">
        <v>19659.5</v>
      </c>
      <c r="AU27" s="6">
        <v>707462.5</v>
      </c>
      <c r="AV27" s="6">
        <v>20618.5</v>
      </c>
      <c r="AW27" s="6">
        <v>796892.25</v>
      </c>
      <c r="AX27" s="6">
        <v>25385.5</v>
      </c>
      <c r="AY27" s="6">
        <v>801204.25</v>
      </c>
      <c r="AZ27" s="6">
        <v>30604</v>
      </c>
      <c r="BA27" s="6">
        <v>882331</v>
      </c>
      <c r="BB27" s="6">
        <v>26950</v>
      </c>
      <c r="BC27" s="6">
        <v>970637.5</v>
      </c>
      <c r="BD27" s="6">
        <v>25470</v>
      </c>
      <c r="BE27" s="6">
        <v>976120</v>
      </c>
      <c r="BF27" s="6">
        <v>25672.5</v>
      </c>
      <c r="BG27" s="6">
        <v>1085294</v>
      </c>
      <c r="BH27" s="6">
        <v>32242</v>
      </c>
      <c r="BI27" s="6">
        <v>1176675.25</v>
      </c>
      <c r="BJ27" s="6">
        <v>19026</v>
      </c>
      <c r="BK27" s="6">
        <v>1232145.25</v>
      </c>
      <c r="BL27" s="23"/>
    </row>
    <row r="28" spans="1:64" ht="21" x14ac:dyDescent="0.35">
      <c r="A28" s="19">
        <v>45746</v>
      </c>
      <c r="B28" s="17">
        <v>1373</v>
      </c>
      <c r="C28" s="17">
        <v>567</v>
      </c>
      <c r="D28" s="17">
        <v>256</v>
      </c>
      <c r="E28" s="17">
        <v>756</v>
      </c>
      <c r="F28" s="17">
        <v>824</v>
      </c>
      <c r="G28" s="17">
        <v>233</v>
      </c>
      <c r="H28" s="17"/>
      <c r="I28" s="17">
        <v>4</v>
      </c>
      <c r="J28" s="17">
        <f t="shared" si="0"/>
        <v>4013</v>
      </c>
      <c r="K28" s="17">
        <f t="shared" si="3"/>
        <v>258104</v>
      </c>
      <c r="L28" s="46">
        <f t="shared" si="1"/>
        <v>14045.5</v>
      </c>
      <c r="M28" s="6">
        <f t="shared" si="4"/>
        <v>903364</v>
      </c>
      <c r="N28" s="24">
        <f t="shared" si="2"/>
        <v>-2.1388083186411118E-2</v>
      </c>
      <c r="O28" s="6">
        <v>6387</v>
      </c>
      <c r="P28" s="6">
        <v>263745</v>
      </c>
      <c r="Q28" s="46">
        <v>22354.5</v>
      </c>
      <c r="R28" s="6">
        <v>923107.5</v>
      </c>
      <c r="S28" s="6">
        <v>5756</v>
      </c>
      <c r="T28" s="6">
        <v>227415</v>
      </c>
      <c r="U28" s="6">
        <v>20146</v>
      </c>
      <c r="V28" s="6">
        <v>795952.5</v>
      </c>
      <c r="W28" s="6">
        <v>4514</v>
      </c>
      <c r="X28" s="6">
        <v>251839</v>
      </c>
      <c r="Y28" s="6">
        <v>15799</v>
      </c>
      <c r="Z28" s="6">
        <v>881436.5</v>
      </c>
      <c r="AA28" s="6">
        <v>8565</v>
      </c>
      <c r="AB28" s="6">
        <v>288853</v>
      </c>
      <c r="AC28" s="6">
        <v>29977.5</v>
      </c>
      <c r="AD28" s="6">
        <v>1010985.5</v>
      </c>
      <c r="AE28" s="6">
        <v>2617</v>
      </c>
      <c r="AF28" s="6">
        <v>9159.5</v>
      </c>
      <c r="AG28" s="6">
        <v>785897</v>
      </c>
      <c r="AH28" s="6">
        <v>6332</v>
      </c>
      <c r="AI28" s="6">
        <v>222397</v>
      </c>
      <c r="AJ28" s="6">
        <v>22162</v>
      </c>
      <c r="AK28" s="6">
        <v>778389.5</v>
      </c>
      <c r="AL28" s="6">
        <v>5551</v>
      </c>
      <c r="AM28" s="6">
        <v>212389</v>
      </c>
      <c r="AN28" s="6">
        <v>19428.5</v>
      </c>
      <c r="AO28" s="6">
        <v>743361.5</v>
      </c>
      <c r="AP28" s="6">
        <v>19050.5</v>
      </c>
      <c r="AQ28" s="6">
        <v>726513</v>
      </c>
      <c r="AR28" s="6">
        <v>4525</v>
      </c>
      <c r="AS28" s="6">
        <v>232208.5</v>
      </c>
      <c r="AT28" s="6">
        <v>19050.5</v>
      </c>
      <c r="AU28" s="6">
        <v>726513</v>
      </c>
      <c r="AV28" s="6">
        <v>15837.5</v>
      </c>
      <c r="AW28" s="6">
        <v>812729.75</v>
      </c>
      <c r="AX28" s="6">
        <v>14507.5</v>
      </c>
      <c r="AY28" s="6">
        <v>815711.75</v>
      </c>
      <c r="AZ28" s="6">
        <v>17978</v>
      </c>
      <c r="BA28" s="6">
        <v>900308</v>
      </c>
      <c r="BB28" s="6">
        <v>27468</v>
      </c>
      <c r="BC28" s="6">
        <v>998105.5</v>
      </c>
      <c r="BD28" s="6">
        <v>17369</v>
      </c>
      <c r="BE28" s="6">
        <v>993489</v>
      </c>
      <c r="BF28" s="6">
        <v>20753.25</v>
      </c>
      <c r="BG28" s="6">
        <v>1106047.25</v>
      </c>
      <c r="BH28" s="6">
        <v>23234.75</v>
      </c>
      <c r="BI28" s="6">
        <v>1199910</v>
      </c>
      <c r="BJ28" s="6">
        <v>19470.5</v>
      </c>
      <c r="BK28" s="6">
        <v>1251615.75</v>
      </c>
      <c r="BL28" s="23"/>
    </row>
    <row r="29" spans="1:64" ht="21" x14ac:dyDescent="0.35">
      <c r="A29" s="19">
        <v>45753</v>
      </c>
      <c r="B29" s="17">
        <v>1198</v>
      </c>
      <c r="C29" s="17">
        <v>582</v>
      </c>
      <c r="D29" s="17">
        <v>239</v>
      </c>
      <c r="E29" s="17">
        <v>456</v>
      </c>
      <c r="F29" s="17">
        <v>797</v>
      </c>
      <c r="G29" s="17">
        <v>255</v>
      </c>
      <c r="H29" s="17"/>
      <c r="I29" s="17">
        <v>1</v>
      </c>
      <c r="J29" s="17">
        <f t="shared" si="0"/>
        <v>3528</v>
      </c>
      <c r="K29" s="17">
        <f t="shared" si="3"/>
        <v>261632</v>
      </c>
      <c r="L29" s="46">
        <f t="shared" si="1"/>
        <v>12348</v>
      </c>
      <c r="M29" s="6">
        <f t="shared" si="4"/>
        <v>915712</v>
      </c>
      <c r="N29" s="24">
        <f t="shared" si="2"/>
        <v>-2.4565563471913087E-2</v>
      </c>
      <c r="O29" s="6">
        <v>4476</v>
      </c>
      <c r="P29" s="6">
        <v>268221</v>
      </c>
      <c r="Q29" s="46">
        <v>15666</v>
      </c>
      <c r="R29" s="6">
        <v>938773.5</v>
      </c>
      <c r="S29" s="6">
        <v>5689</v>
      </c>
      <c r="T29" s="6">
        <v>233104</v>
      </c>
      <c r="U29" s="6">
        <v>19911.5</v>
      </c>
      <c r="V29" s="6">
        <v>815864</v>
      </c>
      <c r="W29" s="6">
        <v>4047</v>
      </c>
      <c r="X29" s="6">
        <v>255886</v>
      </c>
      <c r="Y29" s="6">
        <v>14164.5</v>
      </c>
      <c r="Z29" s="6">
        <v>895601</v>
      </c>
      <c r="AA29" s="6">
        <v>5649</v>
      </c>
      <c r="AB29" s="6">
        <v>294502</v>
      </c>
      <c r="AC29" s="6">
        <v>19771.5</v>
      </c>
      <c r="AD29" s="6">
        <v>1030757</v>
      </c>
      <c r="AE29" s="6">
        <v>2695</v>
      </c>
      <c r="AF29" s="6">
        <v>9432.5</v>
      </c>
      <c r="AG29" s="6">
        <v>795329.5</v>
      </c>
      <c r="AH29" s="6">
        <v>3679</v>
      </c>
      <c r="AI29" s="6">
        <v>226076</v>
      </c>
      <c r="AJ29" s="6">
        <v>12876.5</v>
      </c>
      <c r="AK29" s="6">
        <v>791266</v>
      </c>
      <c r="AL29" s="6">
        <v>5769</v>
      </c>
      <c r="AM29" s="6">
        <v>218158</v>
      </c>
      <c r="AN29" s="6">
        <v>20191.5</v>
      </c>
      <c r="AO29" s="6">
        <v>763553</v>
      </c>
      <c r="AP29" s="6">
        <v>14206.5</v>
      </c>
      <c r="AQ29" s="6">
        <v>740719.5</v>
      </c>
      <c r="AR29" s="6">
        <v>4148</v>
      </c>
      <c r="AS29" s="6">
        <v>236356.5</v>
      </c>
      <c r="AT29" s="6">
        <v>14206.5</v>
      </c>
      <c r="AU29" s="6">
        <v>740719.5</v>
      </c>
      <c r="AV29" s="6">
        <v>14518</v>
      </c>
      <c r="AW29" s="6">
        <v>827247.75</v>
      </c>
      <c r="AX29" s="6">
        <v>14920.5</v>
      </c>
      <c r="AY29" s="6">
        <v>830632.25</v>
      </c>
      <c r="AZ29" s="6">
        <v>8433</v>
      </c>
      <c r="BA29" s="6">
        <v>908742</v>
      </c>
      <c r="BB29" s="6">
        <v>12881.75</v>
      </c>
      <c r="BC29" s="6">
        <v>1010987.25</v>
      </c>
      <c r="BD29" s="6">
        <v>33812</v>
      </c>
      <c r="BE29" s="6">
        <v>1027301</v>
      </c>
      <c r="BF29" s="6">
        <v>18557</v>
      </c>
      <c r="BG29" s="6">
        <v>1124604.25</v>
      </c>
      <c r="BH29" s="6">
        <v>14026.25</v>
      </c>
      <c r="BI29" s="6">
        <v>1213936.25</v>
      </c>
      <c r="BJ29" s="6">
        <v>14602</v>
      </c>
      <c r="BK29" s="6">
        <v>1266217.75</v>
      </c>
      <c r="BL29" s="23"/>
    </row>
    <row r="30" spans="1:64" ht="21" x14ac:dyDescent="0.35">
      <c r="A30" s="19">
        <v>45760</v>
      </c>
      <c r="B30" s="17">
        <v>431</v>
      </c>
      <c r="C30" s="17">
        <v>327</v>
      </c>
      <c r="D30" s="17">
        <v>176</v>
      </c>
      <c r="E30" s="17">
        <v>156</v>
      </c>
      <c r="F30" s="17">
        <v>656</v>
      </c>
      <c r="G30" s="17">
        <v>166</v>
      </c>
      <c r="H30" s="17"/>
      <c r="I30" s="17">
        <v>0</v>
      </c>
      <c r="J30" s="17">
        <f t="shared" si="0"/>
        <v>1912</v>
      </c>
      <c r="K30" s="17">
        <f t="shared" si="3"/>
        <v>263544</v>
      </c>
      <c r="L30" s="46">
        <f t="shared" si="1"/>
        <v>6692</v>
      </c>
      <c r="M30" s="6">
        <f t="shared" si="4"/>
        <v>922404</v>
      </c>
      <c r="N30" s="24">
        <f t="shared" si="2"/>
        <v>-3.2038403478937952E-2</v>
      </c>
      <c r="O30" s="6">
        <v>4046</v>
      </c>
      <c r="P30" s="6">
        <v>272267</v>
      </c>
      <c r="Q30" s="46">
        <v>14161</v>
      </c>
      <c r="R30" s="6">
        <v>952934.5</v>
      </c>
      <c r="S30" s="6">
        <v>4469</v>
      </c>
      <c r="T30" s="6">
        <v>237573</v>
      </c>
      <c r="U30" s="6">
        <v>15641.5</v>
      </c>
      <c r="V30" s="6">
        <v>831505.5</v>
      </c>
      <c r="W30" s="6">
        <v>2276</v>
      </c>
      <c r="X30" s="6">
        <v>258162</v>
      </c>
      <c r="Y30" s="6">
        <v>7966</v>
      </c>
      <c r="Z30" s="6">
        <v>903567</v>
      </c>
      <c r="AA30" s="6">
        <v>3892</v>
      </c>
      <c r="AB30" s="6">
        <v>298394</v>
      </c>
      <c r="AC30" s="6">
        <v>13622</v>
      </c>
      <c r="AD30" s="6">
        <v>1044379</v>
      </c>
      <c r="AE30" s="6">
        <v>3434</v>
      </c>
      <c r="AF30" s="6">
        <v>12019</v>
      </c>
      <c r="AG30" s="6">
        <v>807348.5</v>
      </c>
      <c r="AH30" s="6">
        <v>3547</v>
      </c>
      <c r="AI30" s="6">
        <v>229623</v>
      </c>
      <c r="AJ30" s="6">
        <v>12414.5</v>
      </c>
      <c r="AK30" s="6">
        <v>803680.5</v>
      </c>
      <c r="AL30" s="6">
        <v>3760</v>
      </c>
      <c r="AM30" s="6">
        <v>221918</v>
      </c>
      <c r="AN30" s="6">
        <v>13160</v>
      </c>
      <c r="AO30" s="6">
        <v>776713</v>
      </c>
      <c r="AP30" s="6">
        <v>11014.5</v>
      </c>
      <c r="AQ30" s="6">
        <v>751734</v>
      </c>
      <c r="AR30" s="6">
        <v>3216</v>
      </c>
      <c r="AS30" s="6">
        <v>239572.5</v>
      </c>
      <c r="AT30" s="6">
        <v>11014.5</v>
      </c>
      <c r="AU30" s="6">
        <v>751734</v>
      </c>
      <c r="AV30" s="6">
        <v>11256</v>
      </c>
      <c r="AW30" s="6">
        <v>838503.75</v>
      </c>
      <c r="AX30" s="6">
        <v>21371</v>
      </c>
      <c r="AY30" s="6">
        <v>852003.25</v>
      </c>
      <c r="AZ30" s="6">
        <v>8638</v>
      </c>
      <c r="BA30" s="6">
        <v>917380</v>
      </c>
      <c r="BB30" s="6">
        <v>26005</v>
      </c>
      <c r="BC30" s="6">
        <v>1036992.25</v>
      </c>
      <c r="BD30" s="6">
        <v>8358</v>
      </c>
      <c r="BE30" s="6">
        <v>1035659</v>
      </c>
      <c r="BF30" s="6">
        <v>15020.25</v>
      </c>
      <c r="BG30" s="6">
        <v>1139624.5</v>
      </c>
      <c r="BH30" s="6">
        <v>9367.75</v>
      </c>
      <c r="BI30" s="6">
        <v>1223304</v>
      </c>
      <c r="BJ30" s="6">
        <v>9791.25</v>
      </c>
      <c r="BK30" s="6">
        <v>1276009</v>
      </c>
      <c r="BL30" s="23"/>
    </row>
    <row r="31" spans="1:64" ht="21" x14ac:dyDescent="0.35">
      <c r="A31" s="19">
        <v>45767</v>
      </c>
      <c r="B31" s="17">
        <v>748</v>
      </c>
      <c r="C31" s="17">
        <v>327</v>
      </c>
      <c r="D31" s="17">
        <v>176</v>
      </c>
      <c r="E31" s="17">
        <v>156</v>
      </c>
      <c r="F31" s="17">
        <v>972</v>
      </c>
      <c r="G31" s="17">
        <v>252</v>
      </c>
      <c r="H31" s="17"/>
      <c r="I31" s="17">
        <v>5</v>
      </c>
      <c r="J31" s="17">
        <f t="shared" si="0"/>
        <v>2636</v>
      </c>
      <c r="K31" s="17">
        <f t="shared" si="3"/>
        <v>266180</v>
      </c>
      <c r="L31" s="46">
        <f t="shared" si="1"/>
        <v>9226</v>
      </c>
      <c r="M31" s="6">
        <f t="shared" si="4"/>
        <v>931630</v>
      </c>
      <c r="N31" s="24">
        <f t="shared" si="2"/>
        <v>-3.2410503969523365E-2</v>
      </c>
      <c r="O31" s="6">
        <v>2829</v>
      </c>
      <c r="P31" s="6">
        <v>275096</v>
      </c>
      <c r="Q31" s="46">
        <v>9901.5</v>
      </c>
      <c r="R31" s="6">
        <v>962836</v>
      </c>
      <c r="S31" s="6">
        <v>4031</v>
      </c>
      <c r="T31" s="6">
        <v>241604</v>
      </c>
      <c r="U31" s="6">
        <v>14108.5</v>
      </c>
      <c r="V31" s="6">
        <v>845614</v>
      </c>
      <c r="W31" s="6">
        <v>3142</v>
      </c>
      <c r="X31" s="6">
        <v>261304</v>
      </c>
      <c r="Y31" s="6">
        <v>10997</v>
      </c>
      <c r="Z31" s="6">
        <v>914564</v>
      </c>
      <c r="AA31" s="6">
        <v>3082</v>
      </c>
      <c r="AB31" s="6">
        <v>301476</v>
      </c>
      <c r="AC31" s="6">
        <v>10787</v>
      </c>
      <c r="AD31" s="6">
        <v>1055166</v>
      </c>
      <c r="AE31" s="6">
        <v>1681</v>
      </c>
      <c r="AF31" s="6">
        <v>5883.5</v>
      </c>
      <c r="AG31" s="6">
        <v>813232</v>
      </c>
      <c r="AH31" s="6">
        <v>2914</v>
      </c>
      <c r="AI31" s="6">
        <v>232537</v>
      </c>
      <c r="AJ31" s="6">
        <v>10199</v>
      </c>
      <c r="AK31" s="6">
        <v>813879.5</v>
      </c>
      <c r="AL31" s="6">
        <v>2390</v>
      </c>
      <c r="AM31" s="6">
        <v>224308</v>
      </c>
      <c r="AN31" s="6">
        <v>8365</v>
      </c>
      <c r="AO31" s="6">
        <v>785078</v>
      </c>
      <c r="AP31" s="6">
        <v>8309</v>
      </c>
      <c r="AQ31" s="6">
        <v>760043</v>
      </c>
      <c r="AR31" s="6">
        <v>2324</v>
      </c>
      <c r="AS31" s="6">
        <v>241896.5</v>
      </c>
      <c r="AT31" s="6">
        <v>8309</v>
      </c>
      <c r="AU31" s="6">
        <v>760043</v>
      </c>
      <c r="AV31" s="6">
        <v>8134</v>
      </c>
      <c r="AW31" s="6">
        <v>846637.75</v>
      </c>
      <c r="AX31" s="6">
        <v>11742.5</v>
      </c>
      <c r="AY31" s="6">
        <v>863745.75</v>
      </c>
      <c r="AZ31" s="6">
        <v>4694</v>
      </c>
      <c r="BA31" s="6">
        <v>922073</v>
      </c>
      <c r="BB31" s="6">
        <v>5173</v>
      </c>
      <c r="BC31" s="6">
        <v>1042165.25</v>
      </c>
      <c r="BD31" s="6">
        <v>4436</v>
      </c>
      <c r="BE31" s="6">
        <v>1040095</v>
      </c>
      <c r="BF31" s="6">
        <v>5474</v>
      </c>
      <c r="BG31" s="6">
        <v>1145098.5</v>
      </c>
      <c r="BH31" s="6">
        <v>4081</v>
      </c>
      <c r="BI31" s="6">
        <v>1227385</v>
      </c>
      <c r="BJ31" s="6">
        <v>5855.5</v>
      </c>
      <c r="BK31" s="6">
        <v>1281864.5</v>
      </c>
      <c r="BL31" s="23"/>
    </row>
    <row r="32" spans="1:64" ht="21" x14ac:dyDescent="0.35">
      <c r="A32" s="19">
        <v>45774</v>
      </c>
      <c r="B32" s="17"/>
      <c r="C32" s="17"/>
      <c r="D32" s="17"/>
      <c r="E32" s="17"/>
      <c r="F32" s="17"/>
      <c r="G32" s="17"/>
      <c r="H32" s="17"/>
      <c r="I32" s="17"/>
      <c r="J32" s="17">
        <f t="shared" si="0"/>
        <v>0</v>
      </c>
      <c r="K32" s="17">
        <f t="shared" si="3"/>
        <v>266180</v>
      </c>
      <c r="L32" s="46">
        <f t="shared" si="1"/>
        <v>0</v>
      </c>
      <c r="M32" s="6">
        <f t="shared" si="4"/>
        <v>931630</v>
      </c>
      <c r="N32" s="24">
        <f t="shared" si="2"/>
        <v>-3.2410503969523365E-2</v>
      </c>
      <c r="O32" s="6">
        <v>0</v>
      </c>
      <c r="P32" s="6">
        <v>275096</v>
      </c>
      <c r="Q32" s="46">
        <v>0</v>
      </c>
      <c r="R32" s="6">
        <v>962836</v>
      </c>
      <c r="S32" s="6">
        <v>3880</v>
      </c>
      <c r="T32" s="6">
        <v>245484</v>
      </c>
      <c r="U32" s="6">
        <v>13580</v>
      </c>
      <c r="V32" s="6">
        <v>859194</v>
      </c>
      <c r="W32" s="6">
        <v>1966</v>
      </c>
      <c r="X32" s="6">
        <v>263270</v>
      </c>
      <c r="Y32" s="6">
        <v>6881</v>
      </c>
      <c r="Z32" s="6">
        <v>921445</v>
      </c>
      <c r="AA32" s="6">
        <v>2962</v>
      </c>
      <c r="AB32" s="6">
        <v>304438</v>
      </c>
      <c r="AC32" s="6">
        <v>10367</v>
      </c>
      <c r="AD32" s="6">
        <v>1065533</v>
      </c>
      <c r="AE32" s="6">
        <v>1037</v>
      </c>
      <c r="AF32" s="6">
        <v>3629.5</v>
      </c>
      <c r="AG32" s="6">
        <v>816861.5</v>
      </c>
      <c r="AH32" s="6">
        <v>3938</v>
      </c>
      <c r="AI32" s="6">
        <v>236475</v>
      </c>
      <c r="AJ32" s="6">
        <v>13783</v>
      </c>
      <c r="AK32" s="6">
        <v>827662.5</v>
      </c>
      <c r="AL32" s="6">
        <v>2492</v>
      </c>
      <c r="AM32" s="6">
        <v>226800</v>
      </c>
      <c r="AN32" s="6">
        <v>8722</v>
      </c>
      <c r="AO32" s="6">
        <v>793800</v>
      </c>
      <c r="AP32" s="6">
        <v>7014</v>
      </c>
      <c r="AQ32" s="6">
        <v>767057</v>
      </c>
      <c r="AR32" s="6">
        <v>1500</v>
      </c>
      <c r="AS32" s="6">
        <v>243396.5</v>
      </c>
      <c r="AT32" s="6">
        <v>7014</v>
      </c>
      <c r="AU32" s="6">
        <v>767057</v>
      </c>
      <c r="AV32" s="6">
        <v>5250</v>
      </c>
      <c r="AW32" s="6">
        <v>851887.75</v>
      </c>
      <c r="AX32" s="6">
        <v>6825</v>
      </c>
      <c r="AY32" s="6">
        <v>870570.75</v>
      </c>
      <c r="AZ32" s="6">
        <v>6097</v>
      </c>
      <c r="BA32" s="6">
        <v>928170</v>
      </c>
      <c r="BB32" s="6">
        <v>3426.5</v>
      </c>
      <c r="BC32" s="6">
        <v>1045591.75</v>
      </c>
      <c r="BD32" s="6">
        <v>2863</v>
      </c>
      <c r="BE32" s="6">
        <v>1042958</v>
      </c>
      <c r="BF32" s="6">
        <v>4158</v>
      </c>
      <c r="BG32" s="6">
        <v>1149256.5</v>
      </c>
      <c r="BH32" s="6">
        <v>3097.5</v>
      </c>
      <c r="BI32" s="6">
        <v>1230482.5</v>
      </c>
      <c r="BJ32" s="6">
        <v>5288.5</v>
      </c>
      <c r="BK32" s="6">
        <v>1287153</v>
      </c>
      <c r="BL32" s="23"/>
    </row>
    <row r="33" spans="1:64" ht="21" x14ac:dyDescent="0.35">
      <c r="A33" s="19">
        <v>45781</v>
      </c>
      <c r="B33" s="17"/>
      <c r="C33" s="17"/>
      <c r="D33" s="17"/>
      <c r="E33" s="17"/>
      <c r="F33" s="17"/>
      <c r="G33" s="17"/>
      <c r="H33" s="17"/>
      <c r="I33" s="17"/>
      <c r="J33" s="17">
        <f t="shared" si="0"/>
        <v>0</v>
      </c>
      <c r="K33" s="17">
        <f t="shared" si="3"/>
        <v>266180</v>
      </c>
      <c r="L33" s="46">
        <f t="shared" si="1"/>
        <v>0</v>
      </c>
      <c r="M33" s="6">
        <f t="shared" si="4"/>
        <v>931630</v>
      </c>
      <c r="N33" s="24">
        <f t="shared" si="2"/>
        <v>-3.2410503969523365E-2</v>
      </c>
      <c r="O33" s="6">
        <v>0</v>
      </c>
      <c r="P33" s="6">
        <v>275096</v>
      </c>
      <c r="Q33" s="46">
        <v>0</v>
      </c>
      <c r="R33" s="6">
        <v>962836</v>
      </c>
      <c r="S33" s="6">
        <v>1585</v>
      </c>
      <c r="T33" s="6">
        <v>247069</v>
      </c>
      <c r="U33" s="6">
        <v>5547.5</v>
      </c>
      <c r="V33" s="6">
        <v>864741.5</v>
      </c>
      <c r="W33" s="6">
        <v>1602</v>
      </c>
      <c r="X33" s="6">
        <v>264872</v>
      </c>
      <c r="Y33" s="6">
        <v>5607</v>
      </c>
      <c r="Z33" s="6">
        <v>927052</v>
      </c>
      <c r="AA33" s="6">
        <v>2349</v>
      </c>
      <c r="AB33" s="6">
        <v>306787</v>
      </c>
      <c r="AC33" s="6">
        <v>8221.5</v>
      </c>
      <c r="AD33" s="6">
        <v>1073754.5</v>
      </c>
      <c r="AE33" s="6">
        <v>923</v>
      </c>
      <c r="AF33" s="6">
        <v>3230.5</v>
      </c>
      <c r="AG33" s="6">
        <v>820092</v>
      </c>
      <c r="AH33" s="6">
        <v>3450</v>
      </c>
      <c r="AI33" s="6">
        <v>239925</v>
      </c>
      <c r="AJ33" s="6">
        <v>12075</v>
      </c>
      <c r="AK33" s="6">
        <v>839737.5</v>
      </c>
      <c r="AL33" s="6">
        <v>1347</v>
      </c>
      <c r="AM33" s="6">
        <v>228147</v>
      </c>
      <c r="AN33" s="6">
        <v>4714.5</v>
      </c>
      <c r="AO33" s="6">
        <v>798514.5</v>
      </c>
      <c r="AP33" s="6">
        <v>6020</v>
      </c>
      <c r="AQ33" s="6">
        <v>773077</v>
      </c>
      <c r="AR33" s="6">
        <v>1259</v>
      </c>
      <c r="AS33" s="6">
        <v>244655.5</v>
      </c>
      <c r="AT33" s="6">
        <v>6020</v>
      </c>
      <c r="AU33" s="6">
        <v>773077</v>
      </c>
      <c r="AV33" s="6">
        <v>4406.5</v>
      </c>
      <c r="AW33" s="6">
        <v>856294.25</v>
      </c>
      <c r="AX33" s="6">
        <v>5932.5</v>
      </c>
      <c r="AY33" s="6">
        <v>876503.25</v>
      </c>
      <c r="AZ33" s="6">
        <v>3885</v>
      </c>
      <c r="BA33" s="6">
        <v>932055</v>
      </c>
      <c r="BB33" s="6">
        <v>2502.5</v>
      </c>
      <c r="BC33" s="6">
        <v>1048094.25</v>
      </c>
      <c r="BD33" s="6">
        <v>2790</v>
      </c>
      <c r="BE33" s="6">
        <v>1045748</v>
      </c>
      <c r="BF33" s="6">
        <v>4014.5</v>
      </c>
      <c r="BG33" s="6">
        <v>1153271</v>
      </c>
      <c r="BH33" s="6">
        <v>3388</v>
      </c>
      <c r="BI33" s="6">
        <v>1233870.5</v>
      </c>
      <c r="BJ33" s="6">
        <v>4018</v>
      </c>
      <c r="BK33" s="6">
        <v>1291171</v>
      </c>
      <c r="BL33" s="23"/>
    </row>
    <row r="34" spans="1:64" ht="21" x14ac:dyDescent="0.35">
      <c r="A34" s="19">
        <v>45788</v>
      </c>
      <c r="B34" s="17"/>
      <c r="C34" s="17"/>
      <c r="D34" s="17"/>
      <c r="E34" s="17"/>
      <c r="F34" s="17"/>
      <c r="G34" s="17"/>
      <c r="H34" s="17"/>
      <c r="I34" s="17"/>
      <c r="J34" s="17">
        <f t="shared" si="0"/>
        <v>0</v>
      </c>
      <c r="K34" s="17">
        <f t="shared" si="3"/>
        <v>266180</v>
      </c>
      <c r="L34" s="46">
        <f t="shared" si="1"/>
        <v>0</v>
      </c>
      <c r="M34" s="6">
        <f t="shared" si="4"/>
        <v>931630</v>
      </c>
      <c r="N34" s="24">
        <f t="shared" si="2"/>
        <v>-3.2410503969523365E-2</v>
      </c>
      <c r="O34" s="6">
        <v>0</v>
      </c>
      <c r="P34" s="6">
        <v>275096</v>
      </c>
      <c r="Q34" s="46">
        <v>0</v>
      </c>
      <c r="R34" s="6">
        <v>962836</v>
      </c>
      <c r="S34" s="6">
        <v>1546</v>
      </c>
      <c r="T34" s="6">
        <v>248615</v>
      </c>
      <c r="U34" s="6">
        <v>5411</v>
      </c>
      <c r="V34" s="6">
        <v>870152.5</v>
      </c>
      <c r="W34" s="6">
        <v>1578</v>
      </c>
      <c r="X34" s="6">
        <v>266450</v>
      </c>
      <c r="Y34" s="6">
        <v>5523</v>
      </c>
      <c r="Z34" s="6">
        <v>932575</v>
      </c>
      <c r="AA34" s="6">
        <v>1215</v>
      </c>
      <c r="AB34" s="6">
        <v>308002</v>
      </c>
      <c r="AC34" s="6">
        <v>4252.5</v>
      </c>
      <c r="AD34" s="6">
        <v>1078007</v>
      </c>
      <c r="AE34" s="6">
        <v>0</v>
      </c>
      <c r="AF34" s="6">
        <v>0</v>
      </c>
      <c r="AG34" s="6">
        <v>820092</v>
      </c>
      <c r="AH34" s="6">
        <v>2100</v>
      </c>
      <c r="AI34" s="6">
        <v>242025</v>
      </c>
      <c r="AJ34" s="6">
        <v>7350</v>
      </c>
      <c r="AK34" s="6">
        <v>847087.5</v>
      </c>
      <c r="AL34" s="6">
        <v>853</v>
      </c>
      <c r="AM34" s="6">
        <v>229000</v>
      </c>
      <c r="AN34" s="6">
        <v>2985.5</v>
      </c>
      <c r="AO34" s="6">
        <v>801500</v>
      </c>
      <c r="AP34" s="6">
        <v>3794</v>
      </c>
      <c r="AQ34" s="6">
        <v>776871</v>
      </c>
      <c r="AR34" s="6">
        <v>1390</v>
      </c>
      <c r="AS34" s="6">
        <v>246045.5</v>
      </c>
      <c r="AT34" s="6">
        <v>3794</v>
      </c>
      <c r="AU34" s="6">
        <v>776871</v>
      </c>
      <c r="AV34" s="6">
        <v>4865</v>
      </c>
      <c r="AW34" s="6">
        <v>861159.25</v>
      </c>
      <c r="AX34" s="6">
        <v>4441.5</v>
      </c>
      <c r="AY34" s="6">
        <v>880944.75</v>
      </c>
      <c r="AZ34" s="6">
        <v>3518</v>
      </c>
      <c r="BA34" s="6">
        <v>935573</v>
      </c>
      <c r="BB34" s="6">
        <v>2922.5</v>
      </c>
      <c r="BC34" s="6">
        <v>1051016.75</v>
      </c>
      <c r="BD34" s="6">
        <v>2058</v>
      </c>
      <c r="BE34" s="6">
        <v>1047806</v>
      </c>
      <c r="BF34" s="6">
        <v>5442.5</v>
      </c>
      <c r="BG34" s="6">
        <v>1158713.5</v>
      </c>
      <c r="BH34" s="6">
        <v>12727.75</v>
      </c>
      <c r="BI34" s="6">
        <v>1246598.25</v>
      </c>
      <c r="BJ34" s="6">
        <v>10120.25</v>
      </c>
      <c r="BK34" s="6">
        <v>1301291.25</v>
      </c>
      <c r="BL34" s="23"/>
    </row>
    <row r="35" spans="1:64" ht="21" x14ac:dyDescent="0.35">
      <c r="A35" s="19">
        <v>45795</v>
      </c>
      <c r="B35" s="17"/>
      <c r="C35" s="17"/>
      <c r="D35" s="17"/>
      <c r="E35" s="17"/>
      <c r="F35" s="17"/>
      <c r="G35" s="17"/>
      <c r="H35" s="17"/>
      <c r="I35" s="17"/>
      <c r="J35" s="17">
        <f t="shared" ref="J35:J54" si="5">SUM(B35:I35)</f>
        <v>0</v>
      </c>
      <c r="K35" s="17">
        <f t="shared" si="3"/>
        <v>266180</v>
      </c>
      <c r="L35" s="46">
        <f t="shared" si="1"/>
        <v>0</v>
      </c>
      <c r="M35" s="6">
        <f t="shared" si="4"/>
        <v>931630</v>
      </c>
      <c r="N35" s="24">
        <f t="shared" si="2"/>
        <v>-3.2410503969523365E-2</v>
      </c>
      <c r="O35" s="6">
        <v>0</v>
      </c>
      <c r="P35" s="6">
        <v>275096</v>
      </c>
      <c r="Q35" s="46">
        <v>0</v>
      </c>
      <c r="R35" s="6">
        <v>962836</v>
      </c>
      <c r="S35" s="6">
        <v>1519</v>
      </c>
      <c r="T35" s="6">
        <v>250134</v>
      </c>
      <c r="U35" s="6">
        <v>5316.5</v>
      </c>
      <c r="V35" s="6">
        <v>875469</v>
      </c>
      <c r="W35" s="6">
        <v>1896</v>
      </c>
      <c r="X35" s="6">
        <v>268346</v>
      </c>
      <c r="Y35" s="6">
        <v>6636</v>
      </c>
      <c r="Z35" s="6">
        <v>939211</v>
      </c>
      <c r="AA35" s="6">
        <v>1982</v>
      </c>
      <c r="AB35" s="6">
        <v>309984</v>
      </c>
      <c r="AC35" s="6">
        <v>6937</v>
      </c>
      <c r="AD35" s="6">
        <v>1084944</v>
      </c>
      <c r="AE35" s="6">
        <v>0</v>
      </c>
      <c r="AF35" s="6">
        <v>0</v>
      </c>
      <c r="AG35" s="6">
        <v>820092</v>
      </c>
      <c r="AH35" s="6">
        <v>3456</v>
      </c>
      <c r="AI35" s="6">
        <v>245481</v>
      </c>
      <c r="AJ35" s="6">
        <v>12096</v>
      </c>
      <c r="AK35" s="6">
        <v>859183.5</v>
      </c>
      <c r="AL35" s="6">
        <v>475</v>
      </c>
      <c r="AM35" s="6">
        <v>229475</v>
      </c>
      <c r="AN35" s="6">
        <v>1662.5</v>
      </c>
      <c r="AO35" s="6">
        <v>803162.5</v>
      </c>
      <c r="AP35" s="6">
        <v>6765.5</v>
      </c>
      <c r="AQ35" s="6">
        <v>783636.5</v>
      </c>
      <c r="AR35" s="6">
        <v>1315</v>
      </c>
      <c r="AS35" s="6">
        <v>247360.5</v>
      </c>
      <c r="AT35" s="6">
        <v>6765.5</v>
      </c>
      <c r="AU35" s="6">
        <v>783636.5</v>
      </c>
      <c r="AV35" s="6">
        <v>4602.5</v>
      </c>
      <c r="AW35" s="6">
        <v>865761.75</v>
      </c>
      <c r="AX35" s="6">
        <v>5064.5</v>
      </c>
      <c r="AY35" s="6">
        <v>886009.25</v>
      </c>
      <c r="AZ35" s="6">
        <v>4725</v>
      </c>
      <c r="BA35" s="6">
        <v>940298</v>
      </c>
      <c r="BB35" s="6">
        <v>4791.5</v>
      </c>
      <c r="BC35" s="6">
        <v>1055808.25</v>
      </c>
      <c r="BD35" s="6">
        <v>287</v>
      </c>
      <c r="BE35" s="6">
        <v>1048093</v>
      </c>
      <c r="BF35" s="6">
        <v>20720</v>
      </c>
      <c r="BG35" s="6">
        <v>1179433.5</v>
      </c>
      <c r="BH35" s="6">
        <v>4511.5</v>
      </c>
      <c r="BI35" s="6">
        <v>1251109.75</v>
      </c>
      <c r="BJ35" s="6">
        <v>3186.75</v>
      </c>
      <c r="BK35" s="6">
        <v>1304478</v>
      </c>
      <c r="BL35" s="23"/>
    </row>
    <row r="36" spans="1:64" ht="21" x14ac:dyDescent="0.35">
      <c r="A36" s="19">
        <v>45802</v>
      </c>
      <c r="B36" s="17">
        <v>850</v>
      </c>
      <c r="C36" s="17">
        <v>2933</v>
      </c>
      <c r="D36" s="17">
        <v>187</v>
      </c>
      <c r="E36" s="17"/>
      <c r="F36" s="17">
        <v>2209</v>
      </c>
      <c r="G36" s="17">
        <v>598</v>
      </c>
      <c r="H36" s="17"/>
      <c r="I36" s="17">
        <v>9</v>
      </c>
      <c r="J36" s="17">
        <f t="shared" si="5"/>
        <v>6786</v>
      </c>
      <c r="K36" s="17">
        <f t="shared" si="3"/>
        <v>272966</v>
      </c>
      <c r="L36" s="46">
        <f t="shared" si="1"/>
        <v>23751</v>
      </c>
      <c r="M36" s="6">
        <f t="shared" si="4"/>
        <v>955381</v>
      </c>
      <c r="N36" s="24">
        <f t="shared" si="2"/>
        <v>-7.7427516212522172E-3</v>
      </c>
      <c r="O36" s="6">
        <v>0</v>
      </c>
      <c r="P36" s="6">
        <v>275096</v>
      </c>
      <c r="Q36" s="46">
        <v>0</v>
      </c>
      <c r="R36" s="6">
        <v>962836</v>
      </c>
      <c r="S36" s="6">
        <v>1185</v>
      </c>
      <c r="T36" s="6">
        <v>250134</v>
      </c>
      <c r="U36" s="6">
        <v>4147.5</v>
      </c>
      <c r="V36" s="6">
        <v>875469</v>
      </c>
      <c r="W36" s="6">
        <v>1860</v>
      </c>
      <c r="X36" s="6">
        <v>270206</v>
      </c>
      <c r="Y36" s="6">
        <v>6510</v>
      </c>
      <c r="Z36" s="6">
        <v>945721</v>
      </c>
      <c r="AA36" s="6">
        <v>1868</v>
      </c>
      <c r="AB36" s="6">
        <v>311852</v>
      </c>
      <c r="AC36" s="6">
        <v>6538</v>
      </c>
      <c r="AD36" s="6">
        <v>1091482</v>
      </c>
      <c r="AE36" s="6">
        <v>0</v>
      </c>
      <c r="AF36" s="6">
        <v>0</v>
      </c>
      <c r="AG36" s="6">
        <v>820092</v>
      </c>
      <c r="AH36" s="6">
        <v>1397</v>
      </c>
      <c r="AI36" s="6">
        <v>246878</v>
      </c>
      <c r="AJ36" s="6">
        <v>4889.5</v>
      </c>
      <c r="AK36" s="6">
        <v>864073</v>
      </c>
      <c r="AL36" s="6">
        <v>1225</v>
      </c>
      <c r="AM36" s="6">
        <v>230700</v>
      </c>
      <c r="AN36" s="6">
        <v>4287.5</v>
      </c>
      <c r="AO36" s="6">
        <v>807450</v>
      </c>
      <c r="AP36" s="6">
        <v>6065.5</v>
      </c>
      <c r="AQ36" s="6">
        <v>789702</v>
      </c>
      <c r="AR36" s="6">
        <v>2002</v>
      </c>
      <c r="AS36" s="6">
        <v>249362.5</v>
      </c>
      <c r="AT36" s="6">
        <v>6065.5</v>
      </c>
      <c r="AU36" s="6">
        <v>789702</v>
      </c>
      <c r="AV36" s="6">
        <v>7007</v>
      </c>
      <c r="AW36" s="6">
        <v>872768.75</v>
      </c>
      <c r="AX36" s="6">
        <v>3370.5</v>
      </c>
      <c r="AY36" s="6">
        <v>889379.75</v>
      </c>
      <c r="AZ36" s="6">
        <v>3245</v>
      </c>
      <c r="BA36" s="6">
        <v>943542</v>
      </c>
      <c r="BB36" s="6">
        <v>2394</v>
      </c>
      <c r="BC36" s="6">
        <v>1058202.25</v>
      </c>
      <c r="BD36" s="6">
        <v>224</v>
      </c>
      <c r="BE36" s="6">
        <v>1048317</v>
      </c>
      <c r="BF36" s="6">
        <v>6849.5</v>
      </c>
      <c r="BG36" s="6">
        <v>1186283</v>
      </c>
      <c r="BH36" s="6">
        <v>3846.5</v>
      </c>
      <c r="BI36" s="6">
        <v>1254956.25</v>
      </c>
      <c r="BJ36" s="6">
        <v>3419.5</v>
      </c>
      <c r="BK36" s="6">
        <v>1307897.5</v>
      </c>
      <c r="BL36" s="23"/>
    </row>
    <row r="37" spans="1:64" ht="21" x14ac:dyDescent="0.35">
      <c r="A37" s="19">
        <v>45809</v>
      </c>
      <c r="B37" s="17">
        <v>176</v>
      </c>
      <c r="C37" s="17">
        <v>565</v>
      </c>
      <c r="D37" s="17">
        <v>90</v>
      </c>
      <c r="E37" s="17"/>
      <c r="F37" s="17">
        <v>589</v>
      </c>
      <c r="G37" s="17">
        <v>195</v>
      </c>
      <c r="H37" s="17"/>
      <c r="I37" s="17">
        <v>5</v>
      </c>
      <c r="J37" s="17">
        <f t="shared" si="5"/>
        <v>1620</v>
      </c>
      <c r="K37" s="17">
        <f t="shared" si="3"/>
        <v>274586</v>
      </c>
      <c r="L37" s="46">
        <f t="shared" si="1"/>
        <v>5670</v>
      </c>
      <c r="M37" s="6">
        <f t="shared" si="4"/>
        <v>961051</v>
      </c>
      <c r="N37" s="24">
        <f t="shared" si="2"/>
        <v>-1.8538982755110943E-3</v>
      </c>
      <c r="O37" s="6">
        <v>0</v>
      </c>
      <c r="P37" s="6">
        <v>275096</v>
      </c>
      <c r="Q37" s="46">
        <v>0</v>
      </c>
      <c r="R37" s="6">
        <v>962836</v>
      </c>
      <c r="S37" s="6">
        <v>1185</v>
      </c>
      <c r="T37" s="6">
        <v>250134</v>
      </c>
      <c r="U37" s="6">
        <v>4147.5</v>
      </c>
      <c r="V37" s="6">
        <v>875469</v>
      </c>
      <c r="W37" s="6">
        <v>985</v>
      </c>
      <c r="X37" s="6">
        <v>271191</v>
      </c>
      <c r="Y37" s="6">
        <v>3447.5</v>
      </c>
      <c r="Z37" s="6">
        <v>949168.5</v>
      </c>
      <c r="AA37" s="6">
        <v>1614</v>
      </c>
      <c r="AB37" s="6">
        <v>313466</v>
      </c>
      <c r="AC37" s="6">
        <v>5649</v>
      </c>
      <c r="AD37" s="6">
        <v>1097131</v>
      </c>
      <c r="AE37" s="6">
        <v>0</v>
      </c>
      <c r="AF37" s="6">
        <v>0</v>
      </c>
      <c r="AG37" s="6">
        <v>820092</v>
      </c>
      <c r="AH37" s="6">
        <v>1280</v>
      </c>
      <c r="AI37" s="6">
        <v>248158</v>
      </c>
      <c r="AJ37" s="6">
        <v>4480</v>
      </c>
      <c r="AK37" s="6">
        <v>868553</v>
      </c>
      <c r="AL37" s="6">
        <v>1599</v>
      </c>
      <c r="AM37" s="6">
        <v>232299</v>
      </c>
      <c r="AN37" s="6">
        <v>5596.5</v>
      </c>
      <c r="AO37" s="6">
        <v>813046.5</v>
      </c>
      <c r="AP37" s="6">
        <v>6314</v>
      </c>
      <c r="AQ37" s="6">
        <v>796016</v>
      </c>
      <c r="AR37" s="6">
        <v>1210</v>
      </c>
      <c r="AS37" s="6">
        <v>250572.5</v>
      </c>
      <c r="AT37" s="6">
        <v>6314</v>
      </c>
      <c r="AU37" s="6">
        <v>796016</v>
      </c>
      <c r="AV37" s="6">
        <v>4235</v>
      </c>
      <c r="AW37" s="6">
        <v>877003.75</v>
      </c>
      <c r="AX37" s="6">
        <v>2394</v>
      </c>
      <c r="AY37" s="6">
        <v>891773.75</v>
      </c>
      <c r="AZ37" s="6">
        <v>3066</v>
      </c>
      <c r="BA37" s="6">
        <v>946608</v>
      </c>
      <c r="BB37" s="6">
        <v>2051</v>
      </c>
      <c r="BC37" s="6">
        <v>1060253.25</v>
      </c>
      <c r="BD37" s="6">
        <v>0</v>
      </c>
      <c r="BE37" s="6">
        <v>1048317</v>
      </c>
      <c r="BF37" s="6">
        <v>13233.5</v>
      </c>
      <c r="BG37" s="6">
        <v>1199516.5</v>
      </c>
      <c r="BH37" s="6">
        <v>4756.5</v>
      </c>
      <c r="BI37" s="6">
        <v>1259712.75</v>
      </c>
      <c r="BJ37" s="6">
        <v>3174.5</v>
      </c>
      <c r="BK37" s="6">
        <v>1311072</v>
      </c>
      <c r="BL37" s="23"/>
    </row>
    <row r="38" spans="1:64" ht="21" x14ac:dyDescent="0.35">
      <c r="A38" s="19">
        <v>45816</v>
      </c>
      <c r="B38" s="17"/>
      <c r="C38" s="17"/>
      <c r="D38" s="17"/>
      <c r="E38" s="17"/>
      <c r="F38" s="17"/>
      <c r="G38" s="17"/>
      <c r="H38" s="17"/>
      <c r="I38" s="17"/>
      <c r="J38" s="17">
        <f t="shared" si="5"/>
        <v>0</v>
      </c>
      <c r="K38" s="17">
        <f t="shared" si="3"/>
        <v>274586</v>
      </c>
      <c r="L38" s="46">
        <f t="shared" si="1"/>
        <v>0</v>
      </c>
      <c r="M38" s="6">
        <f t="shared" si="4"/>
        <v>961051</v>
      </c>
      <c r="N38" s="24">
        <f t="shared" si="2"/>
        <v>-1.8538982755110943E-3</v>
      </c>
      <c r="O38" s="6">
        <v>0</v>
      </c>
      <c r="P38" s="6">
        <v>275096</v>
      </c>
      <c r="Q38" s="46">
        <v>0</v>
      </c>
      <c r="R38" s="6">
        <v>962836</v>
      </c>
      <c r="S38" s="6">
        <v>1185</v>
      </c>
      <c r="T38" s="6">
        <v>250134</v>
      </c>
      <c r="U38" s="6">
        <v>4147.5</v>
      </c>
      <c r="V38" s="6">
        <v>875469</v>
      </c>
      <c r="W38" s="6">
        <v>986</v>
      </c>
      <c r="X38" s="6">
        <v>272177</v>
      </c>
      <c r="Y38" s="6">
        <v>3451</v>
      </c>
      <c r="Z38" s="6">
        <v>952619.5</v>
      </c>
      <c r="AA38" s="6">
        <v>1637</v>
      </c>
      <c r="AB38" s="6">
        <v>315103</v>
      </c>
      <c r="AC38" s="6">
        <v>5729.5</v>
      </c>
      <c r="AD38" s="6">
        <v>1102860.5</v>
      </c>
      <c r="AE38" s="6">
        <v>0</v>
      </c>
      <c r="AF38" s="6">
        <v>0</v>
      </c>
      <c r="AG38" s="6">
        <v>820092</v>
      </c>
      <c r="AH38" s="6">
        <v>1504</v>
      </c>
      <c r="AI38" s="6">
        <v>249662</v>
      </c>
      <c r="AJ38" s="6">
        <v>5264</v>
      </c>
      <c r="AK38" s="6">
        <v>873817</v>
      </c>
      <c r="AL38" s="6">
        <v>2023</v>
      </c>
      <c r="AM38" s="6">
        <v>234322</v>
      </c>
      <c r="AN38" s="6">
        <v>7080.5</v>
      </c>
      <c r="AO38" s="6">
        <v>820127</v>
      </c>
      <c r="AP38" s="6">
        <v>8053.5</v>
      </c>
      <c r="AQ38" s="6">
        <v>804069.5</v>
      </c>
      <c r="AR38" s="6">
        <v>979</v>
      </c>
      <c r="AS38" s="6">
        <v>251551.5</v>
      </c>
      <c r="AT38" s="6">
        <v>8053.5</v>
      </c>
      <c r="AU38" s="6">
        <v>804069.5</v>
      </c>
      <c r="AV38" s="6">
        <v>3426.5</v>
      </c>
      <c r="AW38" s="6">
        <v>880430.25</v>
      </c>
      <c r="AX38" s="6">
        <v>3556</v>
      </c>
      <c r="AY38" s="6">
        <v>895329.75</v>
      </c>
      <c r="AZ38" s="6">
        <v>4141</v>
      </c>
      <c r="BA38" s="6">
        <v>950749</v>
      </c>
      <c r="BB38" s="6">
        <v>5502</v>
      </c>
      <c r="BC38" s="6">
        <v>1065755.25</v>
      </c>
      <c r="BD38" s="6">
        <v>0</v>
      </c>
      <c r="BE38" s="6">
        <v>1048317</v>
      </c>
      <c r="BF38" s="6">
        <v>3685.5</v>
      </c>
      <c r="BG38" s="6">
        <v>1203202</v>
      </c>
      <c r="BH38" s="6">
        <v>2544.5</v>
      </c>
      <c r="BI38" s="6">
        <v>1262257.25</v>
      </c>
      <c r="BJ38" s="6">
        <v>4665.5</v>
      </c>
      <c r="BK38" s="6">
        <v>1315737.5</v>
      </c>
      <c r="BL38" s="23"/>
    </row>
    <row r="39" spans="1:64" ht="21" x14ac:dyDescent="0.35">
      <c r="A39" s="19">
        <v>45823</v>
      </c>
      <c r="B39" s="17"/>
      <c r="C39" s="17"/>
      <c r="D39" s="17"/>
      <c r="E39" s="17"/>
      <c r="F39" s="17">
        <v>694</v>
      </c>
      <c r="G39" s="17">
        <v>755</v>
      </c>
      <c r="H39" s="17"/>
      <c r="I39" s="17">
        <v>2</v>
      </c>
      <c r="J39" s="17">
        <f t="shared" si="5"/>
        <v>1451</v>
      </c>
      <c r="K39" s="17">
        <f t="shared" si="3"/>
        <v>276037</v>
      </c>
      <c r="L39" s="46">
        <f t="shared" si="1"/>
        <v>5078.5</v>
      </c>
      <c r="M39" s="6">
        <f t="shared" si="4"/>
        <v>966129.5</v>
      </c>
      <c r="N39" s="24">
        <f t="shared" si="2"/>
        <v>3.4206240730508624E-3</v>
      </c>
      <c r="O39" s="6">
        <v>0</v>
      </c>
      <c r="P39" s="6">
        <v>275096</v>
      </c>
      <c r="Q39" s="46">
        <v>0</v>
      </c>
      <c r="R39" s="6">
        <v>962836</v>
      </c>
      <c r="S39" s="6">
        <v>1185</v>
      </c>
      <c r="T39" s="6">
        <v>250134</v>
      </c>
      <c r="U39" s="6">
        <v>4147.5</v>
      </c>
      <c r="V39" s="6">
        <v>875469</v>
      </c>
      <c r="W39" s="6">
        <v>986</v>
      </c>
      <c r="X39" s="6">
        <v>273163</v>
      </c>
      <c r="Y39" s="6">
        <v>3451</v>
      </c>
      <c r="Z39" s="6">
        <v>956070.5</v>
      </c>
      <c r="AA39" s="6">
        <v>1582</v>
      </c>
      <c r="AB39" s="6">
        <v>316685</v>
      </c>
      <c r="AC39" s="6">
        <v>5537</v>
      </c>
      <c r="AD39" s="6">
        <v>1108397.5</v>
      </c>
      <c r="AE39" s="6">
        <v>0</v>
      </c>
      <c r="AF39" s="6">
        <v>0</v>
      </c>
      <c r="AG39" s="6">
        <v>820092</v>
      </c>
      <c r="AH39" s="6">
        <v>1083</v>
      </c>
      <c r="AI39" s="6">
        <v>254313</v>
      </c>
      <c r="AJ39" s="6">
        <v>3790.5</v>
      </c>
      <c r="AK39" s="6">
        <v>878255</v>
      </c>
      <c r="AL39" s="6">
        <v>828</v>
      </c>
      <c r="AM39" s="6">
        <v>235150</v>
      </c>
      <c r="AN39" s="6">
        <v>2898</v>
      </c>
      <c r="AO39" s="6">
        <v>823025</v>
      </c>
      <c r="AP39" s="6">
        <v>4102</v>
      </c>
      <c r="AQ39" s="6">
        <v>808171.5</v>
      </c>
      <c r="AR39" s="6">
        <v>838</v>
      </c>
      <c r="AS39" s="6">
        <v>252389.5</v>
      </c>
      <c r="AT39" s="6">
        <v>4102</v>
      </c>
      <c r="AU39" s="6">
        <v>808171.5</v>
      </c>
      <c r="AV39" s="6">
        <v>2933</v>
      </c>
      <c r="AW39" s="6">
        <v>883363.25</v>
      </c>
      <c r="AX39" s="6">
        <v>3587.5</v>
      </c>
      <c r="AY39" s="6">
        <v>898917.25</v>
      </c>
      <c r="AZ39" s="6">
        <v>3147</v>
      </c>
      <c r="BA39" s="6">
        <v>953895</v>
      </c>
      <c r="BB39" s="6">
        <v>2922.5</v>
      </c>
      <c r="BC39" s="6">
        <v>1068677.75</v>
      </c>
      <c r="BD39" s="6">
        <v>13368</v>
      </c>
      <c r="BE39" s="6">
        <v>1061685</v>
      </c>
      <c r="BF39" s="6">
        <v>3976</v>
      </c>
      <c r="BG39" s="6">
        <v>1207178</v>
      </c>
      <c r="BH39" s="6">
        <v>6245.75</v>
      </c>
      <c r="BI39" s="6">
        <v>1268503</v>
      </c>
      <c r="BJ39" s="6">
        <v>1858.5</v>
      </c>
      <c r="BK39" s="6">
        <v>1317596</v>
      </c>
      <c r="BL39" s="23"/>
    </row>
    <row r="40" spans="1:64" ht="21" x14ac:dyDescent="0.35">
      <c r="A40" s="19">
        <v>45830</v>
      </c>
      <c r="B40" s="17"/>
      <c r="C40" s="17"/>
      <c r="D40" s="17"/>
      <c r="E40" s="17"/>
      <c r="F40" s="17"/>
      <c r="G40" s="17"/>
      <c r="H40" s="17"/>
      <c r="I40" s="17"/>
      <c r="J40" s="17">
        <f t="shared" si="5"/>
        <v>0</v>
      </c>
      <c r="K40" s="17">
        <f t="shared" si="3"/>
        <v>276037</v>
      </c>
      <c r="L40" s="46">
        <f t="shared" si="1"/>
        <v>0</v>
      </c>
      <c r="M40" s="6">
        <f t="shared" si="4"/>
        <v>966129.5</v>
      </c>
      <c r="N40" s="24">
        <f t="shared" si="2"/>
        <v>3.4206240730508624E-3</v>
      </c>
      <c r="O40" s="6">
        <v>0</v>
      </c>
      <c r="P40" s="6">
        <v>275096</v>
      </c>
      <c r="Q40" s="46">
        <v>0</v>
      </c>
      <c r="R40" s="6">
        <v>962836</v>
      </c>
      <c r="S40" s="6">
        <v>1185</v>
      </c>
      <c r="T40" s="6">
        <v>250134</v>
      </c>
      <c r="U40" s="6">
        <v>4147.5</v>
      </c>
      <c r="V40" s="6">
        <v>875469</v>
      </c>
      <c r="W40" s="6">
        <v>982</v>
      </c>
      <c r="X40" s="6">
        <v>274145</v>
      </c>
      <c r="Y40" s="6">
        <v>3437</v>
      </c>
      <c r="Z40" s="6">
        <v>959507.5</v>
      </c>
      <c r="AA40" s="6">
        <v>1455</v>
      </c>
      <c r="AB40" s="6">
        <v>318140</v>
      </c>
      <c r="AC40" s="6">
        <v>5092.5</v>
      </c>
      <c r="AD40" s="6">
        <v>1113490</v>
      </c>
      <c r="AE40" s="6">
        <v>0</v>
      </c>
      <c r="AF40" s="6">
        <v>0</v>
      </c>
      <c r="AG40" s="6">
        <v>820092</v>
      </c>
      <c r="AH40" s="6">
        <v>1481</v>
      </c>
      <c r="AI40" s="6">
        <v>252411</v>
      </c>
      <c r="AJ40" s="6">
        <v>5183.5</v>
      </c>
      <c r="AK40" s="6">
        <v>883438.5</v>
      </c>
      <c r="AL40" s="6">
        <v>858</v>
      </c>
      <c r="AM40" s="6">
        <v>236008</v>
      </c>
      <c r="AN40" s="6">
        <v>3003</v>
      </c>
      <c r="AO40" s="6">
        <v>826028</v>
      </c>
      <c r="AP40" s="6">
        <v>4046</v>
      </c>
      <c r="AQ40" s="6">
        <v>812217.5</v>
      </c>
      <c r="AR40" s="6">
        <v>1135</v>
      </c>
      <c r="AS40" s="6">
        <v>253524.5</v>
      </c>
      <c r="AT40" s="6">
        <v>4046</v>
      </c>
      <c r="AU40" s="6">
        <v>812217.5</v>
      </c>
      <c r="AV40" s="6">
        <v>3972.5</v>
      </c>
      <c r="AW40" s="6">
        <v>887335.75</v>
      </c>
      <c r="AX40" s="6">
        <v>3517.5</v>
      </c>
      <c r="AY40" s="6">
        <v>902434.75</v>
      </c>
      <c r="AZ40" s="6">
        <v>20377</v>
      </c>
      <c r="BA40" s="6">
        <v>974272</v>
      </c>
      <c r="BB40" s="6">
        <v>3251.5</v>
      </c>
      <c r="BC40" s="6">
        <v>1071929.25</v>
      </c>
      <c r="BD40" s="6">
        <v>1264</v>
      </c>
      <c r="BE40" s="6">
        <v>1062948</v>
      </c>
      <c r="BF40" s="6">
        <v>7336</v>
      </c>
      <c r="BG40" s="6">
        <v>1214514</v>
      </c>
      <c r="BH40" s="6">
        <v>2971.5</v>
      </c>
      <c r="BI40" s="6">
        <v>1271474.5</v>
      </c>
      <c r="BJ40" s="6">
        <v>3552.5</v>
      </c>
      <c r="BK40" s="6">
        <v>1321148.5</v>
      </c>
      <c r="BL40" s="23"/>
    </row>
    <row r="41" spans="1:64" ht="21" x14ac:dyDescent="0.35">
      <c r="A41" s="19">
        <v>45837</v>
      </c>
      <c r="B41" s="17"/>
      <c r="C41" s="17"/>
      <c r="D41" s="17"/>
      <c r="E41" s="17"/>
      <c r="F41" s="17"/>
      <c r="G41" s="17"/>
      <c r="H41" s="17"/>
      <c r="I41" s="17"/>
      <c r="J41" s="17">
        <f t="shared" si="5"/>
        <v>0</v>
      </c>
      <c r="K41" s="17">
        <f t="shared" si="3"/>
        <v>276037</v>
      </c>
      <c r="L41" s="46">
        <f t="shared" si="1"/>
        <v>0</v>
      </c>
      <c r="M41" s="6">
        <f t="shared" si="4"/>
        <v>966129.5</v>
      </c>
      <c r="N41" s="24">
        <f t="shared" si="2"/>
        <v>3.4206240730508624E-3</v>
      </c>
      <c r="O41" s="6">
        <v>0</v>
      </c>
      <c r="P41" s="6">
        <v>275096</v>
      </c>
      <c r="Q41" s="46">
        <v>0</v>
      </c>
      <c r="R41" s="6">
        <v>962836</v>
      </c>
      <c r="S41" s="6">
        <v>1185</v>
      </c>
      <c r="T41" s="6">
        <v>250134</v>
      </c>
      <c r="U41" s="6">
        <v>4147.5</v>
      </c>
      <c r="V41" s="6">
        <v>875469</v>
      </c>
      <c r="W41" s="6">
        <v>987</v>
      </c>
      <c r="X41" s="6">
        <v>275132</v>
      </c>
      <c r="Y41" s="6">
        <v>3454.5</v>
      </c>
      <c r="Z41" s="6">
        <v>962962</v>
      </c>
      <c r="AA41" s="6">
        <v>1347</v>
      </c>
      <c r="AB41" s="6">
        <v>319487</v>
      </c>
      <c r="AC41" s="6">
        <v>4714.5</v>
      </c>
      <c r="AD41" s="6">
        <v>1118204.5</v>
      </c>
      <c r="AE41" s="6">
        <v>0</v>
      </c>
      <c r="AF41" s="6">
        <v>0</v>
      </c>
      <c r="AG41" s="6">
        <v>820092</v>
      </c>
      <c r="AH41" s="6">
        <v>1067</v>
      </c>
      <c r="AI41" s="6">
        <v>254622</v>
      </c>
      <c r="AJ41" s="6">
        <v>3734.5</v>
      </c>
      <c r="AK41" s="6">
        <v>891177</v>
      </c>
      <c r="AL41" s="6">
        <v>362</v>
      </c>
      <c r="AM41" s="6">
        <v>236370</v>
      </c>
      <c r="AN41" s="6">
        <v>1267</v>
      </c>
      <c r="AO41" s="6">
        <v>827295</v>
      </c>
      <c r="AP41" s="6">
        <v>3685.5</v>
      </c>
      <c r="AQ41" s="6">
        <v>815903</v>
      </c>
      <c r="AR41" s="6">
        <v>1707</v>
      </c>
      <c r="AS41" s="6">
        <v>255231.5</v>
      </c>
      <c r="AT41" s="6">
        <v>3685.5</v>
      </c>
      <c r="AU41" s="6">
        <v>815903</v>
      </c>
      <c r="AV41" s="6">
        <v>5974.5</v>
      </c>
      <c r="AW41" s="6">
        <v>893310.25</v>
      </c>
      <c r="AX41" s="6">
        <v>5631.5</v>
      </c>
      <c r="AY41" s="6">
        <v>908066.25</v>
      </c>
      <c r="AZ41" s="6">
        <v>3343</v>
      </c>
      <c r="BA41" s="6">
        <v>977615</v>
      </c>
      <c r="BB41" s="6">
        <v>3661</v>
      </c>
      <c r="BC41" s="6">
        <v>1075590.25</v>
      </c>
      <c r="BD41" s="6">
        <v>732</v>
      </c>
      <c r="BE41" s="6">
        <v>1063680</v>
      </c>
      <c r="BF41" s="6">
        <v>3570</v>
      </c>
      <c r="BG41" s="6">
        <v>1218084</v>
      </c>
      <c r="BH41" s="6">
        <v>3895.5</v>
      </c>
      <c r="BI41" s="6">
        <v>1275370</v>
      </c>
      <c r="BJ41" s="6">
        <v>3388</v>
      </c>
      <c r="BK41" s="6">
        <v>1324536.5</v>
      </c>
      <c r="BL41" s="23"/>
    </row>
    <row r="42" spans="1:64" ht="21" x14ac:dyDescent="0.35">
      <c r="A42" s="19">
        <v>45844</v>
      </c>
      <c r="B42" s="17"/>
      <c r="C42" s="17"/>
      <c r="D42" s="17"/>
      <c r="E42" s="17"/>
      <c r="F42" s="17"/>
      <c r="G42" s="17"/>
      <c r="H42" s="17"/>
      <c r="I42" s="17"/>
      <c r="J42" s="17">
        <f t="shared" si="5"/>
        <v>0</v>
      </c>
      <c r="K42" s="17">
        <f t="shared" si="3"/>
        <v>276037</v>
      </c>
      <c r="L42" s="46">
        <f t="shared" si="1"/>
        <v>0</v>
      </c>
      <c r="M42" s="6">
        <f t="shared" si="4"/>
        <v>966129.5</v>
      </c>
      <c r="N42" s="24">
        <f t="shared" si="2"/>
        <v>3.4206240730508624E-3</v>
      </c>
      <c r="O42" s="6">
        <v>0</v>
      </c>
      <c r="P42" s="6">
        <v>275096</v>
      </c>
      <c r="Q42" s="46">
        <v>0</v>
      </c>
      <c r="R42" s="6">
        <v>962836</v>
      </c>
      <c r="S42" s="6">
        <v>1185</v>
      </c>
      <c r="T42" s="6">
        <v>250134</v>
      </c>
      <c r="U42" s="6">
        <v>4147.5</v>
      </c>
      <c r="V42" s="6">
        <v>875469</v>
      </c>
      <c r="W42" s="6">
        <v>1564</v>
      </c>
      <c r="X42" s="6">
        <v>276696</v>
      </c>
      <c r="Y42" s="6">
        <v>5474</v>
      </c>
      <c r="Z42" s="6">
        <v>968436</v>
      </c>
      <c r="AA42" s="6">
        <v>1352</v>
      </c>
      <c r="AB42" s="6">
        <v>320839</v>
      </c>
      <c r="AC42" s="6">
        <v>4732</v>
      </c>
      <c r="AD42" s="6">
        <v>1122936.5</v>
      </c>
      <c r="AE42" s="6">
        <v>0</v>
      </c>
      <c r="AF42" s="6">
        <v>0</v>
      </c>
      <c r="AG42" s="6">
        <v>820092</v>
      </c>
      <c r="AH42" s="6">
        <v>1171</v>
      </c>
      <c r="AI42" s="6">
        <v>255793</v>
      </c>
      <c r="AJ42" s="6">
        <v>4098.5</v>
      </c>
      <c r="AK42" s="6">
        <v>895275.5</v>
      </c>
      <c r="AL42" s="6">
        <v>265</v>
      </c>
      <c r="AM42" s="6">
        <v>236635</v>
      </c>
      <c r="AN42" s="6">
        <v>927.5</v>
      </c>
      <c r="AO42" s="6">
        <v>828222.5</v>
      </c>
      <c r="AP42" s="6">
        <v>5610.5</v>
      </c>
      <c r="AQ42" s="6">
        <v>821513.5</v>
      </c>
      <c r="AR42" s="6">
        <v>1233</v>
      </c>
      <c r="AS42" s="6">
        <v>256464.5</v>
      </c>
      <c r="AT42" s="6">
        <v>5610.5</v>
      </c>
      <c r="AU42" s="6">
        <v>821513.5</v>
      </c>
      <c r="AV42" s="6">
        <v>4315.5</v>
      </c>
      <c r="AW42" s="6">
        <v>897625.75</v>
      </c>
      <c r="AX42" s="6">
        <v>6562.5</v>
      </c>
      <c r="AY42" s="6">
        <v>914628.75</v>
      </c>
      <c r="AZ42" s="6">
        <v>3770</v>
      </c>
      <c r="BA42" s="6">
        <v>981384</v>
      </c>
      <c r="BB42" s="6">
        <v>6181</v>
      </c>
      <c r="BC42" s="6">
        <v>1081771.25</v>
      </c>
      <c r="BD42" s="6">
        <v>16247</v>
      </c>
      <c r="BE42" s="6">
        <v>1079927</v>
      </c>
      <c r="BF42" s="6">
        <v>4903.5</v>
      </c>
      <c r="BG42" s="6">
        <v>1222987.5</v>
      </c>
      <c r="BH42" s="6">
        <v>4098.5</v>
      </c>
      <c r="BI42" s="6">
        <v>1279468.5</v>
      </c>
      <c r="BJ42" s="6">
        <v>3787</v>
      </c>
      <c r="BK42" s="6">
        <v>1328323.5</v>
      </c>
      <c r="BL42" s="23"/>
    </row>
    <row r="43" spans="1:64" ht="21" x14ac:dyDescent="0.35">
      <c r="A43" s="19">
        <v>45851</v>
      </c>
      <c r="B43" s="17"/>
      <c r="C43" s="17"/>
      <c r="D43" s="17"/>
      <c r="E43" s="17"/>
      <c r="F43" s="17"/>
      <c r="G43" s="17"/>
      <c r="H43" s="17"/>
      <c r="I43" s="17"/>
      <c r="J43" s="17">
        <f t="shared" si="5"/>
        <v>0</v>
      </c>
      <c r="K43" s="17">
        <f t="shared" si="3"/>
        <v>276037</v>
      </c>
      <c r="L43" s="46">
        <f t="shared" si="1"/>
        <v>0</v>
      </c>
      <c r="M43" s="6">
        <f t="shared" si="4"/>
        <v>966129.5</v>
      </c>
      <c r="N43" s="24">
        <f t="shared" si="2"/>
        <v>3.4206240730508624E-3</v>
      </c>
      <c r="O43" s="6">
        <v>0</v>
      </c>
      <c r="P43" s="6">
        <v>275096</v>
      </c>
      <c r="Q43" s="46">
        <v>0</v>
      </c>
      <c r="R43" s="6">
        <v>962836</v>
      </c>
      <c r="S43" s="6">
        <v>1185</v>
      </c>
      <c r="T43" s="6">
        <v>250134</v>
      </c>
      <c r="U43" s="6">
        <v>4147.5</v>
      </c>
      <c r="V43" s="6">
        <v>875469</v>
      </c>
      <c r="W43" s="6">
        <v>1574</v>
      </c>
      <c r="X43" s="6">
        <v>278270</v>
      </c>
      <c r="Y43" s="6">
        <v>5509</v>
      </c>
      <c r="Z43" s="6">
        <v>973945</v>
      </c>
      <c r="AA43" s="6">
        <v>1330</v>
      </c>
      <c r="AB43" s="6">
        <v>322169</v>
      </c>
      <c r="AC43" s="6">
        <v>4655</v>
      </c>
      <c r="AD43" s="6">
        <v>1127591.5</v>
      </c>
      <c r="AE43" s="6">
        <v>0</v>
      </c>
      <c r="AF43" s="6">
        <v>0</v>
      </c>
      <c r="AG43" s="6">
        <v>820092</v>
      </c>
      <c r="AH43" s="6">
        <v>1160</v>
      </c>
      <c r="AI43" s="6">
        <v>256953</v>
      </c>
      <c r="AJ43" s="6">
        <v>4060</v>
      </c>
      <c r="AK43" s="6">
        <v>899335.5</v>
      </c>
      <c r="AL43" s="6">
        <v>2935</v>
      </c>
      <c r="AM43" s="6">
        <v>241890</v>
      </c>
      <c r="AN43" s="6">
        <v>10272.5</v>
      </c>
      <c r="AO43" s="6">
        <v>846615</v>
      </c>
      <c r="AP43" s="6">
        <v>2278.5</v>
      </c>
      <c r="AQ43" s="6">
        <v>823792</v>
      </c>
      <c r="AR43" s="6">
        <v>863</v>
      </c>
      <c r="AS43" s="6">
        <v>257327.5</v>
      </c>
      <c r="AT43" s="6">
        <v>2278.5</v>
      </c>
      <c r="AU43" s="6">
        <v>823792</v>
      </c>
      <c r="AV43" s="6">
        <v>3020.5</v>
      </c>
      <c r="AW43" s="6">
        <v>900646.25</v>
      </c>
      <c r="AX43" s="6">
        <v>5320</v>
      </c>
      <c r="AY43" s="6">
        <v>919948.75</v>
      </c>
      <c r="AZ43" s="6">
        <v>3367</v>
      </c>
      <c r="BA43" s="6">
        <v>984751</v>
      </c>
      <c r="BB43" s="6">
        <v>8568</v>
      </c>
      <c r="BC43" s="6">
        <v>1090339.25</v>
      </c>
      <c r="BD43" s="6">
        <v>1449</v>
      </c>
      <c r="BE43" s="6">
        <v>1081376</v>
      </c>
      <c r="BF43" s="6">
        <v>4165</v>
      </c>
      <c r="BG43" s="6">
        <v>1227152.5</v>
      </c>
      <c r="BH43" s="6">
        <v>6529.25</v>
      </c>
      <c r="BI43" s="6">
        <v>1285997.75</v>
      </c>
      <c r="BJ43" s="6">
        <v>0</v>
      </c>
      <c r="BK43" s="6">
        <v>1328323.5</v>
      </c>
      <c r="BL43" s="23"/>
    </row>
    <row r="44" spans="1:64" ht="21" x14ac:dyDescent="0.35">
      <c r="A44" s="19">
        <v>45858</v>
      </c>
      <c r="B44" s="17"/>
      <c r="C44" s="17"/>
      <c r="D44" s="17"/>
      <c r="E44" s="17"/>
      <c r="F44" s="17"/>
      <c r="G44" s="17"/>
      <c r="H44" s="17"/>
      <c r="I44" s="17"/>
      <c r="J44" s="17">
        <f t="shared" si="5"/>
        <v>0</v>
      </c>
      <c r="K44" s="17">
        <f t="shared" si="3"/>
        <v>276037</v>
      </c>
      <c r="L44" s="46">
        <f t="shared" si="1"/>
        <v>0</v>
      </c>
      <c r="M44" s="6">
        <f t="shared" si="4"/>
        <v>966129.5</v>
      </c>
      <c r="N44" s="24">
        <f t="shared" si="2"/>
        <v>3.4206240730508624E-3</v>
      </c>
      <c r="O44" s="6">
        <v>0</v>
      </c>
      <c r="P44" s="6">
        <v>275096</v>
      </c>
      <c r="Q44" s="46">
        <v>0</v>
      </c>
      <c r="R44" s="6">
        <v>962836</v>
      </c>
      <c r="S44" s="6">
        <v>1185</v>
      </c>
      <c r="T44" s="6">
        <v>250134</v>
      </c>
      <c r="U44" s="6">
        <v>4147.5</v>
      </c>
      <c r="V44" s="6">
        <v>875469</v>
      </c>
      <c r="W44" s="6">
        <v>1418</v>
      </c>
      <c r="X44" s="6">
        <v>279688</v>
      </c>
      <c r="Y44" s="6">
        <v>4963</v>
      </c>
      <c r="Z44" s="6">
        <v>978908</v>
      </c>
      <c r="AA44" s="6">
        <v>2061</v>
      </c>
      <c r="AB44" s="6">
        <v>324230</v>
      </c>
      <c r="AC44" s="6">
        <v>7213.5</v>
      </c>
      <c r="AD44" s="6">
        <v>1134805</v>
      </c>
      <c r="AE44" s="6">
        <v>0</v>
      </c>
      <c r="AF44" s="6">
        <v>0</v>
      </c>
      <c r="AG44" s="6">
        <v>820092</v>
      </c>
      <c r="AH44" s="6">
        <v>1092</v>
      </c>
      <c r="AI44" s="6">
        <v>258045</v>
      </c>
      <c r="AJ44" s="6">
        <v>3822</v>
      </c>
      <c r="AK44" s="6">
        <v>903157.5</v>
      </c>
      <c r="AL44" s="6">
        <v>952</v>
      </c>
      <c r="AM44" s="6">
        <v>242842</v>
      </c>
      <c r="AN44" s="6">
        <v>3332</v>
      </c>
      <c r="AO44" s="6">
        <v>849947</v>
      </c>
      <c r="AP44" s="6">
        <v>4728.5</v>
      </c>
      <c r="AQ44" s="6">
        <v>828520.5</v>
      </c>
      <c r="AR44" s="6">
        <v>1377</v>
      </c>
      <c r="AS44" s="6">
        <v>258704.5</v>
      </c>
      <c r="AT44" s="6">
        <v>4728.5</v>
      </c>
      <c r="AU44" s="6">
        <v>828520.5</v>
      </c>
      <c r="AV44" s="6">
        <v>4819.5</v>
      </c>
      <c r="AW44" s="6">
        <v>905465.75</v>
      </c>
      <c r="AX44" s="6">
        <v>3678.5</v>
      </c>
      <c r="AY44" s="6">
        <v>923627.25</v>
      </c>
      <c r="AZ44" s="6">
        <v>3602</v>
      </c>
      <c r="BA44" s="6">
        <v>988353</v>
      </c>
      <c r="BB44" s="6">
        <v>7969.5</v>
      </c>
      <c r="BC44" s="6">
        <v>1098308.75</v>
      </c>
      <c r="BD44" s="6">
        <v>2455</v>
      </c>
      <c r="BE44" s="6">
        <v>1083831</v>
      </c>
      <c r="BF44" s="6">
        <v>3997</v>
      </c>
      <c r="BG44" s="6">
        <v>1231149.5</v>
      </c>
      <c r="BH44" s="6">
        <v>3136</v>
      </c>
      <c r="BI44" s="6">
        <v>1289133.75</v>
      </c>
      <c r="BJ44" s="6">
        <v>0</v>
      </c>
      <c r="BK44" s="6">
        <v>1328323.5</v>
      </c>
      <c r="BL44" s="23"/>
    </row>
    <row r="45" spans="1:64" ht="21" x14ac:dyDescent="0.35">
      <c r="A45" s="19">
        <v>45865</v>
      </c>
      <c r="B45" s="17">
        <v>691</v>
      </c>
      <c r="C45" s="17">
        <v>2551</v>
      </c>
      <c r="D45" s="17">
        <v>366</v>
      </c>
      <c r="E45" s="17"/>
      <c r="F45" s="17">
        <v>2588</v>
      </c>
      <c r="G45" s="17">
        <v>615</v>
      </c>
      <c r="H45" s="17"/>
      <c r="I45" s="17">
        <v>6</v>
      </c>
      <c r="J45" s="17">
        <f t="shared" si="5"/>
        <v>6817</v>
      </c>
      <c r="K45" s="17">
        <f t="shared" si="3"/>
        <v>282854</v>
      </c>
      <c r="L45" s="46">
        <f t="shared" si="1"/>
        <v>23859.5</v>
      </c>
      <c r="M45" s="6">
        <f t="shared" si="4"/>
        <v>989989</v>
      </c>
      <c r="N45" s="24">
        <f t="shared" si="2"/>
        <v>2.8201064355715823E-2</v>
      </c>
      <c r="O45" s="6">
        <v>0</v>
      </c>
      <c r="P45" s="6">
        <v>275096</v>
      </c>
      <c r="Q45" s="46">
        <v>0</v>
      </c>
      <c r="R45" s="6">
        <v>962836</v>
      </c>
      <c r="S45" s="6">
        <v>1185</v>
      </c>
      <c r="T45" s="6">
        <v>250134</v>
      </c>
      <c r="U45" s="6">
        <v>4147.5</v>
      </c>
      <c r="V45" s="6">
        <v>875469</v>
      </c>
      <c r="W45" s="6">
        <v>1259</v>
      </c>
      <c r="X45" s="6">
        <v>280947</v>
      </c>
      <c r="Y45" s="6">
        <v>4406.5</v>
      </c>
      <c r="Z45" s="6">
        <v>983314.5</v>
      </c>
      <c r="AA45" s="6">
        <v>1980</v>
      </c>
      <c r="AB45" s="6">
        <v>326210</v>
      </c>
      <c r="AC45" s="6">
        <v>6930</v>
      </c>
      <c r="AD45" s="6">
        <v>1141735</v>
      </c>
      <c r="AE45" s="6">
        <v>0</v>
      </c>
      <c r="AF45" s="6">
        <v>0</v>
      </c>
      <c r="AG45" s="6">
        <v>820092</v>
      </c>
      <c r="AH45" s="6">
        <v>1290</v>
      </c>
      <c r="AI45" s="6">
        <v>259335</v>
      </c>
      <c r="AJ45" s="6">
        <v>4515</v>
      </c>
      <c r="AK45" s="6">
        <v>907672.5</v>
      </c>
      <c r="AL45" s="6">
        <v>1101</v>
      </c>
      <c r="AM45" s="6">
        <v>243943</v>
      </c>
      <c r="AN45" s="6">
        <v>3853.5</v>
      </c>
      <c r="AO45" s="6">
        <v>853800.5</v>
      </c>
      <c r="AP45" s="6">
        <v>3276</v>
      </c>
      <c r="AQ45" s="6">
        <v>831796.5</v>
      </c>
      <c r="AR45" s="6">
        <v>1330</v>
      </c>
      <c r="AS45" s="6">
        <v>260034.5</v>
      </c>
      <c r="AT45" s="6">
        <v>3276</v>
      </c>
      <c r="AU45" s="6">
        <v>831796.5</v>
      </c>
      <c r="AV45" s="6">
        <v>4655</v>
      </c>
      <c r="AW45" s="6">
        <v>910120.75</v>
      </c>
      <c r="AX45" s="6">
        <v>3899</v>
      </c>
      <c r="AY45" s="6">
        <v>927526.25</v>
      </c>
      <c r="AZ45" s="6">
        <v>3546</v>
      </c>
      <c r="BA45" s="6">
        <v>991898</v>
      </c>
      <c r="BB45" s="6">
        <v>6041</v>
      </c>
      <c r="BC45" s="6">
        <v>1104349.75</v>
      </c>
      <c r="BD45" s="6">
        <v>1271</v>
      </c>
      <c r="BE45" s="6">
        <v>1085102</v>
      </c>
      <c r="BF45" s="6">
        <v>3732.75</v>
      </c>
      <c r="BG45" s="6">
        <v>1234882.25</v>
      </c>
      <c r="BH45" s="6">
        <v>0</v>
      </c>
      <c r="BI45" s="6">
        <v>1289133.75</v>
      </c>
      <c r="BJ45" s="6">
        <v>12831</v>
      </c>
      <c r="BK45" s="6">
        <v>1341154.5</v>
      </c>
      <c r="BL45" s="23"/>
    </row>
    <row r="46" spans="1:64" ht="21" x14ac:dyDescent="0.35">
      <c r="A46" s="19">
        <v>45872</v>
      </c>
      <c r="B46" s="17"/>
      <c r="C46" s="17"/>
      <c r="D46" s="17"/>
      <c r="E46" s="17"/>
      <c r="F46" s="17"/>
      <c r="G46" s="17"/>
      <c r="H46" s="17"/>
      <c r="I46" s="17"/>
      <c r="J46" s="17">
        <f t="shared" si="5"/>
        <v>0</v>
      </c>
      <c r="K46" s="17">
        <f t="shared" si="3"/>
        <v>282854</v>
      </c>
      <c r="L46" s="46">
        <f t="shared" si="1"/>
        <v>0</v>
      </c>
      <c r="M46" s="6">
        <f t="shared" si="4"/>
        <v>989989</v>
      </c>
      <c r="N46" s="24">
        <f t="shared" si="2"/>
        <v>2.8201064355715823E-2</v>
      </c>
      <c r="O46" s="6">
        <v>0</v>
      </c>
      <c r="P46" s="6">
        <v>275096</v>
      </c>
      <c r="Q46" s="46">
        <v>0</v>
      </c>
      <c r="R46" s="6">
        <v>962836</v>
      </c>
      <c r="S46" s="6">
        <v>1185</v>
      </c>
      <c r="T46" s="6">
        <v>250134</v>
      </c>
      <c r="U46" s="6">
        <v>4147.5</v>
      </c>
      <c r="V46" s="6">
        <v>875469</v>
      </c>
      <c r="W46" s="6">
        <v>1201</v>
      </c>
      <c r="X46" s="6">
        <v>282148</v>
      </c>
      <c r="Y46" s="6">
        <v>4203.5</v>
      </c>
      <c r="Z46" s="6">
        <v>987518</v>
      </c>
      <c r="AA46" s="6">
        <v>1926</v>
      </c>
      <c r="AB46" s="6">
        <v>328136</v>
      </c>
      <c r="AC46" s="6">
        <v>6741</v>
      </c>
      <c r="AD46" s="6">
        <v>1148476</v>
      </c>
      <c r="AE46" s="6"/>
      <c r="AF46" s="6"/>
      <c r="AG46" s="6">
        <v>820092</v>
      </c>
      <c r="AH46" s="6">
        <v>985</v>
      </c>
      <c r="AI46" s="6">
        <v>260320</v>
      </c>
      <c r="AJ46" s="6">
        <v>3447.5</v>
      </c>
      <c r="AK46" s="6">
        <v>911120</v>
      </c>
      <c r="AL46" s="6">
        <v>1027</v>
      </c>
      <c r="AM46" s="6">
        <v>244970</v>
      </c>
      <c r="AN46" s="6">
        <v>3594.5</v>
      </c>
      <c r="AO46" s="6">
        <v>857395</v>
      </c>
      <c r="AP46" s="6">
        <v>3192</v>
      </c>
      <c r="AQ46" s="6">
        <v>834988.5</v>
      </c>
      <c r="AR46" s="6">
        <v>1018</v>
      </c>
      <c r="AS46" s="6">
        <v>261052.5</v>
      </c>
      <c r="AT46" s="6">
        <v>3192</v>
      </c>
      <c r="AU46" s="6">
        <v>834988.5</v>
      </c>
      <c r="AV46" s="6">
        <v>3563</v>
      </c>
      <c r="AW46" s="6">
        <v>913683.75</v>
      </c>
      <c r="AX46" s="6">
        <v>2982</v>
      </c>
      <c r="AY46" s="6">
        <v>930508.25</v>
      </c>
      <c r="AZ46" s="6">
        <v>3619</v>
      </c>
      <c r="BA46" s="6">
        <v>995517</v>
      </c>
      <c r="BB46" s="6">
        <v>6377</v>
      </c>
      <c r="BC46" s="6">
        <v>1110726.75</v>
      </c>
      <c r="BD46" s="6">
        <v>0</v>
      </c>
      <c r="BE46" s="6">
        <v>1085102</v>
      </c>
      <c r="BF46" s="6">
        <v>3438.75</v>
      </c>
      <c r="BG46" s="6">
        <v>1238321</v>
      </c>
      <c r="BH46" s="6">
        <v>0</v>
      </c>
      <c r="BI46" s="6">
        <v>1289133.75</v>
      </c>
      <c r="BJ46" s="6">
        <v>2807</v>
      </c>
      <c r="BK46" s="6">
        <v>1343961.5</v>
      </c>
      <c r="BL46" s="23"/>
    </row>
    <row r="47" spans="1:64" ht="21" x14ac:dyDescent="0.35">
      <c r="A47" s="19">
        <v>45879</v>
      </c>
      <c r="B47" s="17"/>
      <c r="C47" s="17"/>
      <c r="D47" s="17"/>
      <c r="E47" s="17"/>
      <c r="F47" s="17"/>
      <c r="G47" s="17"/>
      <c r="H47" s="17"/>
      <c r="I47" s="17"/>
      <c r="J47" s="17">
        <f t="shared" si="5"/>
        <v>0</v>
      </c>
      <c r="K47" s="17">
        <f t="shared" si="3"/>
        <v>282854</v>
      </c>
      <c r="L47" s="46">
        <f t="shared" si="1"/>
        <v>0</v>
      </c>
      <c r="M47" s="6">
        <f t="shared" si="4"/>
        <v>989989</v>
      </c>
      <c r="N47" s="24">
        <f t="shared" si="2"/>
        <v>2.8201064355715823E-2</v>
      </c>
      <c r="O47" s="6">
        <v>0</v>
      </c>
      <c r="P47" s="6">
        <v>275096</v>
      </c>
      <c r="Q47" s="46">
        <v>0</v>
      </c>
      <c r="R47" s="6">
        <v>962836</v>
      </c>
      <c r="S47" s="6">
        <v>1185</v>
      </c>
      <c r="T47" s="6">
        <v>250134</v>
      </c>
      <c r="U47" s="6">
        <v>4147.5</v>
      </c>
      <c r="V47" s="6">
        <v>875469</v>
      </c>
      <c r="W47" s="6">
        <v>1139</v>
      </c>
      <c r="X47" s="6">
        <v>283287</v>
      </c>
      <c r="Y47" s="6">
        <v>3986.5</v>
      </c>
      <c r="Z47" s="6">
        <v>991504.5</v>
      </c>
      <c r="AA47" s="6">
        <v>1544</v>
      </c>
      <c r="AB47" s="6">
        <v>329680</v>
      </c>
      <c r="AC47" s="6">
        <v>5404</v>
      </c>
      <c r="AD47" s="6">
        <v>1153880</v>
      </c>
      <c r="AE47" s="6"/>
      <c r="AF47" s="6"/>
      <c r="AG47" s="6">
        <v>820092</v>
      </c>
      <c r="AH47" s="6">
        <v>1176</v>
      </c>
      <c r="AI47" s="6">
        <v>261496</v>
      </c>
      <c r="AJ47" s="6">
        <v>4116</v>
      </c>
      <c r="AK47" s="6">
        <v>915236</v>
      </c>
      <c r="AL47" s="6">
        <v>941</v>
      </c>
      <c r="AM47" s="6">
        <v>245911</v>
      </c>
      <c r="AN47" s="6">
        <v>3293.5</v>
      </c>
      <c r="AO47" s="6">
        <v>860688.5</v>
      </c>
      <c r="AP47" s="6">
        <v>3577</v>
      </c>
      <c r="AQ47" s="6">
        <v>838565.5</v>
      </c>
      <c r="AR47" s="6">
        <v>0</v>
      </c>
      <c r="AS47" s="6">
        <v>261052.5</v>
      </c>
      <c r="AT47" s="6">
        <v>3577</v>
      </c>
      <c r="AU47" s="6">
        <v>838565.5</v>
      </c>
      <c r="AV47" s="6">
        <v>0</v>
      </c>
      <c r="AW47" s="6">
        <v>913683.75</v>
      </c>
      <c r="AX47" s="6">
        <v>4259.5</v>
      </c>
      <c r="AY47" s="6">
        <v>934767.75</v>
      </c>
      <c r="AZ47" s="6">
        <v>3245</v>
      </c>
      <c r="BA47" s="6">
        <v>998762</v>
      </c>
      <c r="BB47" s="6">
        <v>3503.5</v>
      </c>
      <c r="BC47" s="6">
        <v>1114230.25</v>
      </c>
      <c r="BD47" s="6">
        <v>1386</v>
      </c>
      <c r="BE47" s="6">
        <v>1086488</v>
      </c>
      <c r="BF47" s="6">
        <v>3930.5</v>
      </c>
      <c r="BG47" s="6">
        <v>1242251.5</v>
      </c>
      <c r="BH47" s="6">
        <v>12146.75</v>
      </c>
      <c r="BI47" s="6">
        <v>1301280.5</v>
      </c>
      <c r="BJ47" s="6">
        <v>6821.5</v>
      </c>
      <c r="BK47" s="6">
        <v>1350783</v>
      </c>
      <c r="BL47" s="23"/>
    </row>
    <row r="48" spans="1:64" ht="21" x14ac:dyDescent="0.35">
      <c r="A48" s="19">
        <v>45886</v>
      </c>
      <c r="B48" s="17"/>
      <c r="C48" s="17"/>
      <c r="D48" s="17"/>
      <c r="E48" s="17"/>
      <c r="F48" s="17"/>
      <c r="G48" s="17"/>
      <c r="H48" s="17"/>
      <c r="I48" s="17"/>
      <c r="J48" s="17">
        <f t="shared" si="5"/>
        <v>0</v>
      </c>
      <c r="K48" s="17">
        <f t="shared" si="3"/>
        <v>282854</v>
      </c>
      <c r="L48" s="46">
        <f t="shared" si="1"/>
        <v>0</v>
      </c>
      <c r="M48" s="6">
        <f t="shared" si="4"/>
        <v>989989</v>
      </c>
      <c r="N48" s="24">
        <f t="shared" si="2"/>
        <v>2.8201064355715823E-2</v>
      </c>
      <c r="O48" s="6">
        <v>0</v>
      </c>
      <c r="P48" s="6">
        <v>275096</v>
      </c>
      <c r="Q48" s="46">
        <v>0</v>
      </c>
      <c r="R48" s="6">
        <v>962836</v>
      </c>
      <c r="S48" s="6">
        <v>1185</v>
      </c>
      <c r="T48" s="6">
        <v>250134</v>
      </c>
      <c r="U48" s="6">
        <v>4147.5</v>
      </c>
      <c r="V48" s="6">
        <v>875469</v>
      </c>
      <c r="W48" s="6">
        <v>1088</v>
      </c>
      <c r="X48" s="6">
        <v>284375</v>
      </c>
      <c r="Y48" s="6">
        <v>3808</v>
      </c>
      <c r="Z48" s="6">
        <v>995312.5</v>
      </c>
      <c r="AA48" s="6">
        <v>2024</v>
      </c>
      <c r="AB48" s="6">
        <v>331704</v>
      </c>
      <c r="AC48" s="6">
        <v>7084</v>
      </c>
      <c r="AD48" s="6">
        <v>1160964</v>
      </c>
      <c r="AE48" s="6">
        <v>16700</v>
      </c>
      <c r="AF48" s="6">
        <v>58450</v>
      </c>
      <c r="AG48" s="6">
        <v>878542</v>
      </c>
      <c r="AH48" s="6">
        <v>0</v>
      </c>
      <c r="AI48" s="6">
        <v>261496</v>
      </c>
      <c r="AJ48" s="6">
        <v>0</v>
      </c>
      <c r="AK48" s="6">
        <v>915236</v>
      </c>
      <c r="AL48" s="6">
        <v>1207</v>
      </c>
      <c r="AM48" s="6">
        <v>247118</v>
      </c>
      <c r="AN48" s="6">
        <v>4224.5</v>
      </c>
      <c r="AO48" s="6">
        <v>864913</v>
      </c>
      <c r="AP48" s="6">
        <v>3381</v>
      </c>
      <c r="AQ48" s="6">
        <v>841946.5</v>
      </c>
      <c r="AR48" s="6">
        <v>0</v>
      </c>
      <c r="AS48" s="6">
        <v>261052.5</v>
      </c>
      <c r="AT48" s="6">
        <v>3381</v>
      </c>
      <c r="AU48" s="6">
        <v>841946.5</v>
      </c>
      <c r="AV48" s="6">
        <v>0</v>
      </c>
      <c r="AW48" s="6">
        <v>913683.75</v>
      </c>
      <c r="AX48" s="6">
        <v>4476.5</v>
      </c>
      <c r="AY48" s="6">
        <v>939244.25</v>
      </c>
      <c r="AZ48" s="6">
        <v>5114</v>
      </c>
      <c r="BA48" s="6">
        <v>1003875</v>
      </c>
      <c r="BB48" s="6">
        <v>3223.5</v>
      </c>
      <c r="BC48" s="6">
        <v>1117453.75</v>
      </c>
      <c r="BD48" s="6">
        <v>1267</v>
      </c>
      <c r="BE48" s="6">
        <v>1087755</v>
      </c>
      <c r="BF48" s="6">
        <v>3503.5</v>
      </c>
      <c r="BG48" s="6">
        <v>1245755</v>
      </c>
      <c r="BH48" s="6">
        <v>3367</v>
      </c>
      <c r="BI48" s="6">
        <v>1304647.5</v>
      </c>
      <c r="BJ48" s="6">
        <v>0</v>
      </c>
      <c r="BK48" s="6">
        <v>1350783</v>
      </c>
      <c r="BL48" s="23"/>
    </row>
    <row r="49" spans="1:64" ht="21" x14ac:dyDescent="0.35">
      <c r="A49" s="19">
        <v>45893</v>
      </c>
      <c r="B49" s="17"/>
      <c r="C49" s="17"/>
      <c r="D49" s="17"/>
      <c r="E49" s="17"/>
      <c r="F49" s="17"/>
      <c r="G49" s="17"/>
      <c r="H49" s="17"/>
      <c r="I49" s="17"/>
      <c r="J49" s="17">
        <f t="shared" si="5"/>
        <v>0</v>
      </c>
      <c r="K49" s="17">
        <f t="shared" si="3"/>
        <v>282854</v>
      </c>
      <c r="L49" s="46">
        <f t="shared" si="1"/>
        <v>0</v>
      </c>
      <c r="M49" s="6">
        <f t="shared" si="4"/>
        <v>989989</v>
      </c>
      <c r="N49" s="24">
        <f t="shared" si="2"/>
        <v>2.8201064355715823E-2</v>
      </c>
      <c r="O49" s="6">
        <v>0</v>
      </c>
      <c r="P49" s="6">
        <v>275096</v>
      </c>
      <c r="Q49" s="46">
        <v>0</v>
      </c>
      <c r="R49" s="6">
        <v>962836</v>
      </c>
      <c r="S49" s="6">
        <v>1185</v>
      </c>
      <c r="T49" s="6">
        <v>250134</v>
      </c>
      <c r="U49" s="6">
        <v>4147.5</v>
      </c>
      <c r="V49" s="6">
        <v>875469</v>
      </c>
      <c r="W49" s="6">
        <v>1049</v>
      </c>
      <c r="X49" s="6">
        <v>285424</v>
      </c>
      <c r="Y49" s="6">
        <v>3671.5</v>
      </c>
      <c r="Z49" s="6">
        <v>998984</v>
      </c>
      <c r="AA49" s="6">
        <v>2020</v>
      </c>
      <c r="AB49" s="6">
        <v>333724</v>
      </c>
      <c r="AC49" s="6">
        <v>7070</v>
      </c>
      <c r="AD49" s="6">
        <v>1168034</v>
      </c>
      <c r="AE49" s="6">
        <v>0</v>
      </c>
      <c r="AF49" s="6">
        <v>0</v>
      </c>
      <c r="AG49" s="6">
        <v>878542</v>
      </c>
      <c r="AH49" s="6">
        <v>1545</v>
      </c>
      <c r="AI49" s="6">
        <v>263041</v>
      </c>
      <c r="AJ49" s="6">
        <v>5407.5</v>
      </c>
      <c r="AK49" s="6">
        <v>920643.5</v>
      </c>
      <c r="AL49" s="6">
        <v>1307</v>
      </c>
      <c r="AM49" s="6">
        <v>247218</v>
      </c>
      <c r="AN49" s="6">
        <v>4574.5</v>
      </c>
      <c r="AO49" s="6">
        <v>865263</v>
      </c>
      <c r="AP49" s="6">
        <v>3832.5</v>
      </c>
      <c r="AQ49" s="6">
        <v>845779</v>
      </c>
      <c r="AR49" s="6">
        <v>0</v>
      </c>
      <c r="AS49" s="6">
        <v>261052.5</v>
      </c>
      <c r="AT49" s="6">
        <v>3832.5</v>
      </c>
      <c r="AU49" s="6">
        <v>845779</v>
      </c>
      <c r="AV49" s="6">
        <v>0</v>
      </c>
      <c r="AW49" s="6">
        <v>913683.75</v>
      </c>
      <c r="AX49" s="6">
        <v>4651.5</v>
      </c>
      <c r="AY49" s="6">
        <v>943895.75</v>
      </c>
      <c r="AZ49" s="6">
        <v>4438</v>
      </c>
      <c r="BA49" s="6">
        <v>1008313</v>
      </c>
      <c r="BB49" s="6">
        <v>1477</v>
      </c>
      <c r="BC49" s="6">
        <v>1118930.75</v>
      </c>
      <c r="BD49" s="6">
        <v>35214</v>
      </c>
      <c r="BE49" s="6">
        <v>1122968</v>
      </c>
      <c r="BF49" s="6">
        <v>4364.5</v>
      </c>
      <c r="BG49" s="6">
        <v>1250119.5</v>
      </c>
      <c r="BH49" s="6">
        <v>2404.5</v>
      </c>
      <c r="BI49" s="6">
        <v>1307052</v>
      </c>
      <c r="BJ49" s="6">
        <v>13177.5</v>
      </c>
      <c r="BK49" s="6">
        <v>1363960.5</v>
      </c>
      <c r="BL49" s="23"/>
    </row>
    <row r="50" spans="1:64" ht="21" x14ac:dyDescent="0.35">
      <c r="A50" s="19">
        <v>45900</v>
      </c>
      <c r="B50" s="17"/>
      <c r="C50" s="17"/>
      <c r="D50" s="17"/>
      <c r="E50" s="17"/>
      <c r="F50" s="17"/>
      <c r="G50" s="17"/>
      <c r="H50" s="17"/>
      <c r="I50" s="17"/>
      <c r="J50" s="17">
        <f t="shared" si="5"/>
        <v>0</v>
      </c>
      <c r="K50" s="17">
        <f t="shared" si="3"/>
        <v>282854</v>
      </c>
      <c r="L50" s="46">
        <f t="shared" si="1"/>
        <v>0</v>
      </c>
      <c r="M50" s="6">
        <f t="shared" si="4"/>
        <v>989989</v>
      </c>
      <c r="N50" s="24">
        <f t="shared" si="2"/>
        <v>2.8201064355715823E-2</v>
      </c>
      <c r="O50" s="6">
        <v>0</v>
      </c>
      <c r="P50" s="6">
        <v>275096</v>
      </c>
      <c r="Q50" s="46">
        <v>0</v>
      </c>
      <c r="R50" s="6">
        <v>962836</v>
      </c>
      <c r="S50" s="6">
        <v>1185</v>
      </c>
      <c r="T50" s="6">
        <v>250134</v>
      </c>
      <c r="U50" s="6">
        <v>4147.5</v>
      </c>
      <c r="V50" s="6">
        <v>875469</v>
      </c>
      <c r="W50" s="6">
        <v>1187</v>
      </c>
      <c r="X50" s="6">
        <v>286611</v>
      </c>
      <c r="Y50" s="6">
        <v>4154.5</v>
      </c>
      <c r="Z50" s="6">
        <v>1003138.5</v>
      </c>
      <c r="AA50" s="6">
        <v>1620</v>
      </c>
      <c r="AB50" s="6">
        <v>335344</v>
      </c>
      <c r="AC50" s="6">
        <v>5670</v>
      </c>
      <c r="AD50" s="6">
        <v>1173704</v>
      </c>
      <c r="AE50" s="6">
        <v>0</v>
      </c>
      <c r="AF50" s="6">
        <v>0</v>
      </c>
      <c r="AG50" s="6">
        <v>878542</v>
      </c>
      <c r="AH50" s="6">
        <v>1124</v>
      </c>
      <c r="AI50" s="6">
        <v>264165</v>
      </c>
      <c r="AJ50" s="6">
        <v>3934</v>
      </c>
      <c r="AK50" s="6">
        <v>924577.5</v>
      </c>
      <c r="AL50" s="6">
        <v>1226</v>
      </c>
      <c r="AM50" s="6">
        <v>248344</v>
      </c>
      <c r="AN50" s="6">
        <v>4291</v>
      </c>
      <c r="AO50" s="6">
        <v>869204</v>
      </c>
      <c r="AP50" s="6">
        <v>3472</v>
      </c>
      <c r="AQ50" s="6">
        <v>849251</v>
      </c>
      <c r="AR50" s="6">
        <v>0</v>
      </c>
      <c r="AS50" s="6">
        <v>261052.5</v>
      </c>
      <c r="AT50" s="6">
        <v>3472</v>
      </c>
      <c r="AU50" s="6">
        <v>849251</v>
      </c>
      <c r="AV50" s="6">
        <v>0</v>
      </c>
      <c r="AW50" s="6">
        <v>913683.75</v>
      </c>
      <c r="AX50" s="6">
        <v>2856</v>
      </c>
      <c r="AY50" s="6">
        <v>946751.75</v>
      </c>
      <c r="AZ50" s="6">
        <v>3472</v>
      </c>
      <c r="BA50" s="6">
        <v>1011785</v>
      </c>
      <c r="BB50" s="6">
        <v>0</v>
      </c>
      <c r="BC50" s="6">
        <v>1118930.75</v>
      </c>
      <c r="BD50" s="6">
        <v>1421</v>
      </c>
      <c r="BE50" s="6">
        <v>1124389</v>
      </c>
      <c r="BF50" s="6">
        <v>16187.5</v>
      </c>
      <c r="BG50" s="6">
        <v>1266307</v>
      </c>
      <c r="BH50" s="6">
        <v>2569</v>
      </c>
      <c r="BI50" s="6">
        <v>1309621</v>
      </c>
      <c r="BJ50" s="6">
        <v>8457.75</v>
      </c>
      <c r="BK50" s="6">
        <v>1372418.25</v>
      </c>
      <c r="BL50" s="23"/>
    </row>
    <row r="51" spans="1:64" ht="21" x14ac:dyDescent="0.35">
      <c r="A51" s="19">
        <v>45907</v>
      </c>
      <c r="B51" s="17"/>
      <c r="C51" s="17"/>
      <c r="D51" s="17"/>
      <c r="E51" s="17"/>
      <c r="F51" s="17"/>
      <c r="G51" s="17"/>
      <c r="H51" s="17"/>
      <c r="I51" s="17"/>
      <c r="J51" s="17">
        <f t="shared" si="5"/>
        <v>0</v>
      </c>
      <c r="K51" s="17">
        <f t="shared" si="3"/>
        <v>282854</v>
      </c>
      <c r="L51" s="46">
        <f t="shared" si="1"/>
        <v>0</v>
      </c>
      <c r="M51" s="6">
        <f t="shared" si="4"/>
        <v>989989</v>
      </c>
      <c r="N51" s="24">
        <f t="shared" si="2"/>
        <v>2.8201064355715823E-2</v>
      </c>
      <c r="O51" s="6">
        <v>0</v>
      </c>
      <c r="P51" s="6">
        <v>275096</v>
      </c>
      <c r="Q51" s="46">
        <v>0</v>
      </c>
      <c r="R51" s="6">
        <v>962836</v>
      </c>
      <c r="S51" s="6">
        <v>1292</v>
      </c>
      <c r="T51" s="6">
        <v>250134</v>
      </c>
      <c r="U51" s="6">
        <v>4522</v>
      </c>
      <c r="V51" s="6">
        <v>875469</v>
      </c>
      <c r="W51" s="6">
        <v>1216</v>
      </c>
      <c r="X51" s="6">
        <v>287827</v>
      </c>
      <c r="Y51" s="6">
        <v>4256</v>
      </c>
      <c r="Z51" s="6">
        <v>1007394.5</v>
      </c>
      <c r="AA51" s="6">
        <v>1578</v>
      </c>
      <c r="AB51" s="6">
        <v>336922</v>
      </c>
      <c r="AC51" s="6">
        <v>5523</v>
      </c>
      <c r="AD51" s="6">
        <v>1179227</v>
      </c>
      <c r="AE51" s="6">
        <v>0</v>
      </c>
      <c r="AF51" s="6">
        <v>0</v>
      </c>
      <c r="AG51" s="6">
        <v>878542</v>
      </c>
      <c r="AH51" s="6">
        <v>1216</v>
      </c>
      <c r="AI51" s="6">
        <v>265381</v>
      </c>
      <c r="AJ51" s="6">
        <v>4256</v>
      </c>
      <c r="AK51" s="6">
        <v>928833.5</v>
      </c>
      <c r="AL51" s="6">
        <v>1359</v>
      </c>
      <c r="AM51" s="6">
        <v>249703</v>
      </c>
      <c r="AN51" s="6">
        <v>4756.5</v>
      </c>
      <c r="AO51" s="6">
        <v>873960.5</v>
      </c>
      <c r="AP51" s="6">
        <v>4039</v>
      </c>
      <c r="AQ51" s="6">
        <v>853290</v>
      </c>
      <c r="AR51" s="6">
        <v>0</v>
      </c>
      <c r="AS51" s="6">
        <v>261052.5</v>
      </c>
      <c r="AT51" s="6">
        <v>4039</v>
      </c>
      <c r="AU51" s="6">
        <v>853290</v>
      </c>
      <c r="AV51" s="6">
        <v>0</v>
      </c>
      <c r="AW51" s="6">
        <v>913683.75</v>
      </c>
      <c r="AX51" s="6">
        <v>3241</v>
      </c>
      <c r="AY51" s="6">
        <v>949992.75</v>
      </c>
      <c r="AZ51" s="6">
        <v>2783</v>
      </c>
      <c r="BA51" s="6">
        <v>1014568</v>
      </c>
      <c r="BB51" s="6">
        <v>0</v>
      </c>
      <c r="BC51" s="6">
        <v>1118930.75</v>
      </c>
      <c r="BD51" s="6">
        <v>0</v>
      </c>
      <c r="BE51" s="6">
        <v>1124389</v>
      </c>
      <c r="BF51" s="6">
        <v>14227.5</v>
      </c>
      <c r="BG51" s="6">
        <v>1280534.5</v>
      </c>
      <c r="BH51" s="6">
        <v>2905</v>
      </c>
      <c r="BI51" s="6">
        <v>1312526</v>
      </c>
      <c r="BJ51" s="6"/>
      <c r="BK51" s="6">
        <v>1372418.25</v>
      </c>
      <c r="BL51" s="23"/>
    </row>
    <row r="52" spans="1:64" ht="21" x14ac:dyDescent="0.35">
      <c r="A52" s="19">
        <v>45914</v>
      </c>
      <c r="B52" s="17"/>
      <c r="C52" s="17"/>
      <c r="D52" s="17"/>
      <c r="E52" s="17"/>
      <c r="F52" s="17"/>
      <c r="G52" s="17"/>
      <c r="H52" s="17"/>
      <c r="I52" s="17"/>
      <c r="J52" s="17">
        <f t="shared" si="5"/>
        <v>0</v>
      </c>
      <c r="K52" s="17">
        <f t="shared" si="3"/>
        <v>282854</v>
      </c>
      <c r="L52" s="46">
        <f t="shared" si="1"/>
        <v>0</v>
      </c>
      <c r="M52" s="6">
        <f t="shared" si="4"/>
        <v>989989</v>
      </c>
      <c r="N52" s="24">
        <f t="shared" si="2"/>
        <v>2.8201064355715823E-2</v>
      </c>
      <c r="O52" s="6">
        <v>0</v>
      </c>
      <c r="P52" s="6">
        <v>275096</v>
      </c>
      <c r="Q52" s="46">
        <v>0</v>
      </c>
      <c r="R52" s="6">
        <v>962836</v>
      </c>
      <c r="S52" s="6">
        <v>1292</v>
      </c>
      <c r="T52" s="6">
        <v>250134</v>
      </c>
      <c r="U52" s="6">
        <v>4522</v>
      </c>
      <c r="V52" s="6">
        <v>875469</v>
      </c>
      <c r="W52" s="6">
        <v>1246</v>
      </c>
      <c r="X52" s="6">
        <v>289073</v>
      </c>
      <c r="Y52" s="6">
        <v>4361</v>
      </c>
      <c r="Z52" s="6">
        <v>1011755.5</v>
      </c>
      <c r="AA52" s="6">
        <v>1496</v>
      </c>
      <c r="AB52" s="6">
        <v>338418</v>
      </c>
      <c r="AC52" s="6">
        <v>5236</v>
      </c>
      <c r="AD52" s="6">
        <v>1184463</v>
      </c>
      <c r="AE52" s="6">
        <v>0</v>
      </c>
      <c r="AF52" s="6">
        <v>0</v>
      </c>
      <c r="AG52" s="6">
        <v>878542</v>
      </c>
      <c r="AH52" s="6">
        <v>1678</v>
      </c>
      <c r="AI52" s="6">
        <v>267059</v>
      </c>
      <c r="AJ52" s="6">
        <v>5873</v>
      </c>
      <c r="AK52" s="6">
        <v>934706.5</v>
      </c>
      <c r="AL52" s="6">
        <v>1293</v>
      </c>
      <c r="AM52" s="6">
        <v>250996</v>
      </c>
      <c r="AN52" s="6">
        <v>4525.5</v>
      </c>
      <c r="AO52" s="6">
        <v>878486</v>
      </c>
      <c r="AP52" s="6">
        <v>3871</v>
      </c>
      <c r="AQ52" s="6">
        <v>857161</v>
      </c>
      <c r="AR52" s="6">
        <v>0</v>
      </c>
      <c r="AS52" s="6">
        <v>261052.5</v>
      </c>
      <c r="AT52" s="6">
        <v>3871</v>
      </c>
      <c r="AU52" s="6">
        <v>857161</v>
      </c>
      <c r="AV52" s="6">
        <v>0</v>
      </c>
      <c r="AW52" s="6">
        <v>913683.75</v>
      </c>
      <c r="AX52" s="6">
        <v>4921</v>
      </c>
      <c r="AY52" s="6">
        <v>954913.75</v>
      </c>
      <c r="AZ52" s="6">
        <v>0</v>
      </c>
      <c r="BA52" s="6">
        <v>1014568</v>
      </c>
      <c r="BB52" s="6">
        <v>0</v>
      </c>
      <c r="BC52" s="6">
        <v>1118930.75</v>
      </c>
      <c r="BD52" s="6">
        <v>0</v>
      </c>
      <c r="BE52" s="6">
        <v>1124389</v>
      </c>
      <c r="BF52" s="6">
        <v>0</v>
      </c>
      <c r="BG52" s="6">
        <v>1280534.5</v>
      </c>
      <c r="BH52" s="6">
        <v>0</v>
      </c>
      <c r="BI52" s="6">
        <v>1312526</v>
      </c>
      <c r="BJ52" s="6">
        <v>3976</v>
      </c>
      <c r="BK52" s="6">
        <v>1376394.25</v>
      </c>
      <c r="BL52" s="23"/>
    </row>
    <row r="53" spans="1:64" ht="21" x14ac:dyDescent="0.35">
      <c r="A53" s="19">
        <v>45921</v>
      </c>
      <c r="B53" s="17">
        <v>1154</v>
      </c>
      <c r="C53" s="17">
        <v>2888</v>
      </c>
      <c r="D53" s="17"/>
      <c r="E53" s="17">
        <v>2294</v>
      </c>
      <c r="F53" s="17">
        <v>2620</v>
      </c>
      <c r="G53" s="17">
        <v>914</v>
      </c>
      <c r="H53" s="17"/>
      <c r="I53" s="17">
        <v>16</v>
      </c>
      <c r="J53" s="17">
        <f t="shared" si="5"/>
        <v>9886</v>
      </c>
      <c r="K53" s="17">
        <f t="shared" si="3"/>
        <v>292740</v>
      </c>
      <c r="L53" s="46">
        <f t="shared" si="1"/>
        <v>34601</v>
      </c>
      <c r="M53" s="6">
        <f t="shared" si="4"/>
        <v>1024590</v>
      </c>
      <c r="N53" s="24">
        <f t="shared" si="2"/>
        <v>6.4137610143368134E-2</v>
      </c>
      <c r="O53" s="6">
        <v>0</v>
      </c>
      <c r="P53" s="6">
        <v>275096</v>
      </c>
      <c r="Q53" s="46">
        <v>0</v>
      </c>
      <c r="R53" s="6">
        <v>962836</v>
      </c>
      <c r="S53" s="6">
        <v>1292</v>
      </c>
      <c r="T53" s="6">
        <v>250134</v>
      </c>
      <c r="U53" s="6">
        <v>4522</v>
      </c>
      <c r="V53" s="6">
        <v>875469</v>
      </c>
      <c r="W53" s="17">
        <v>1246</v>
      </c>
      <c r="X53" s="17">
        <v>290319</v>
      </c>
      <c r="Y53" s="17">
        <v>4361</v>
      </c>
      <c r="Z53" s="17">
        <v>1016116.5</v>
      </c>
      <c r="AA53" s="17">
        <v>1465</v>
      </c>
      <c r="AB53" s="17">
        <v>339883</v>
      </c>
      <c r="AC53" s="17">
        <v>5127.5</v>
      </c>
      <c r="AD53" s="17">
        <v>1189590.5</v>
      </c>
      <c r="AE53" s="17">
        <v>19415</v>
      </c>
      <c r="AF53" s="6">
        <v>67952.5</v>
      </c>
      <c r="AG53" s="6">
        <v>946494.5</v>
      </c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23"/>
    </row>
    <row r="54" spans="1:64" ht="21" x14ac:dyDescent="0.35">
      <c r="A54" s="19">
        <v>45928</v>
      </c>
      <c r="B54" s="17">
        <v>260</v>
      </c>
      <c r="C54" s="17">
        <v>517</v>
      </c>
      <c r="D54" s="17">
        <v>120</v>
      </c>
      <c r="E54" s="17">
        <v>44</v>
      </c>
      <c r="F54" s="17">
        <v>567</v>
      </c>
      <c r="G54" s="17">
        <v>192</v>
      </c>
      <c r="H54" s="17"/>
      <c r="I54" s="17"/>
      <c r="J54" s="17">
        <f t="shared" si="5"/>
        <v>1700</v>
      </c>
      <c r="K54" s="17">
        <f t="shared" si="3"/>
        <v>294440</v>
      </c>
      <c r="L54" s="46">
        <f t="shared" si="1"/>
        <v>5950</v>
      </c>
      <c r="M54" s="54">
        <f t="shared" si="4"/>
        <v>1030540</v>
      </c>
      <c r="N54" s="24">
        <f t="shared" si="2"/>
        <v>7.0317271061738448E-2</v>
      </c>
      <c r="O54" s="6">
        <v>0</v>
      </c>
      <c r="P54" s="5">
        <v>275096</v>
      </c>
      <c r="Q54" s="48">
        <v>0</v>
      </c>
      <c r="R54" s="5">
        <v>962836</v>
      </c>
      <c r="S54" s="8">
        <v>1292</v>
      </c>
      <c r="T54" s="8">
        <v>250134</v>
      </c>
      <c r="U54" s="8">
        <v>4522</v>
      </c>
      <c r="V54" s="8">
        <v>875469</v>
      </c>
      <c r="W54">
        <v>2125</v>
      </c>
      <c r="X54">
        <v>292444</v>
      </c>
      <c r="Y54" s="5">
        <v>7437.5</v>
      </c>
      <c r="Z54">
        <v>1023554</v>
      </c>
      <c r="AA54">
        <v>0</v>
      </c>
      <c r="AC54">
        <v>0</v>
      </c>
      <c r="BL54" s="23"/>
    </row>
    <row r="55" spans="1:64" x14ac:dyDescent="0.25">
      <c r="A55" s="31"/>
      <c r="B55" s="64" t="s">
        <v>64</v>
      </c>
      <c r="C55" s="65"/>
      <c r="D55" s="65"/>
      <c r="E55" s="66"/>
      <c r="F55" s="67" t="s">
        <v>65</v>
      </c>
      <c r="G55" s="68"/>
      <c r="H55" s="68"/>
      <c r="I55" s="69"/>
      <c r="J55" s="22"/>
      <c r="K55" s="22"/>
      <c r="L55" s="22"/>
      <c r="M55" s="22"/>
      <c r="N55" s="49">
        <f>AVERAGE(N3:N54)</f>
        <v>1.4019973052538111E-2</v>
      </c>
      <c r="O55" s="22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</row>
    <row r="56" spans="1:64" ht="24.75" x14ac:dyDescent="0.25">
      <c r="A56" s="31"/>
      <c r="B56" s="41" t="s">
        <v>2</v>
      </c>
      <c r="C56" s="42" t="s">
        <v>3</v>
      </c>
      <c r="D56" s="43" t="s">
        <v>4</v>
      </c>
      <c r="E56" s="41" t="s">
        <v>5</v>
      </c>
      <c r="F56" s="42" t="s">
        <v>6</v>
      </c>
      <c r="G56" s="43" t="s">
        <v>66</v>
      </c>
      <c r="H56" s="42" t="s">
        <v>8</v>
      </c>
      <c r="I56" s="43" t="s">
        <v>9</v>
      </c>
      <c r="J56" s="22"/>
      <c r="K56" s="22"/>
      <c r="L56" s="22"/>
      <c r="M56" s="22"/>
      <c r="N56" s="22"/>
      <c r="O56" s="22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</row>
    <row r="57" spans="1:64" ht="30" x14ac:dyDescent="0.25">
      <c r="A57" s="33" t="s">
        <v>67</v>
      </c>
      <c r="B57" s="31">
        <f>SUM(B3:B54)</f>
        <v>84916</v>
      </c>
      <c r="C57" s="31">
        <f t="shared" ref="C57:I57" si="6">SUM(C3:C54)</f>
        <v>28020</v>
      </c>
      <c r="D57" s="31">
        <f t="shared" si="6"/>
        <v>30795</v>
      </c>
      <c r="E57" s="31">
        <f t="shared" si="6"/>
        <v>77179</v>
      </c>
      <c r="F57" s="31">
        <f t="shared" si="6"/>
        <v>43958</v>
      </c>
      <c r="G57" s="31">
        <f t="shared" si="6"/>
        <v>28814</v>
      </c>
      <c r="H57" s="31">
        <f t="shared" si="6"/>
        <v>9</v>
      </c>
      <c r="I57" s="31">
        <f t="shared" si="6"/>
        <v>749</v>
      </c>
      <c r="J57" s="22"/>
      <c r="K57" s="22"/>
      <c r="L57" s="22"/>
      <c r="M57" s="22"/>
      <c r="N57" s="22"/>
      <c r="O57" s="22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</row>
    <row r="58" spans="1:64" ht="30" x14ac:dyDescent="0.25">
      <c r="A58" s="33" t="s">
        <v>68</v>
      </c>
      <c r="B58" s="34">
        <f>B57*3.5</f>
        <v>297206</v>
      </c>
      <c r="C58" s="34">
        <f t="shared" ref="C58:I58" si="7">C57*3.5</f>
        <v>98070</v>
      </c>
      <c r="D58" s="34">
        <f t="shared" si="7"/>
        <v>107782.5</v>
      </c>
      <c r="E58" s="34">
        <f t="shared" si="7"/>
        <v>270126.5</v>
      </c>
      <c r="F58" s="34">
        <f t="shared" si="7"/>
        <v>153853</v>
      </c>
      <c r="G58" s="34">
        <f t="shared" si="7"/>
        <v>100849</v>
      </c>
      <c r="H58" s="34">
        <f t="shared" si="7"/>
        <v>31.5</v>
      </c>
      <c r="I58" s="34">
        <f t="shared" si="7"/>
        <v>2621.5</v>
      </c>
      <c r="J58" s="22"/>
      <c r="K58" s="22"/>
      <c r="L58" s="22"/>
      <c r="M58" s="22"/>
      <c r="N58" s="22"/>
      <c r="O58" s="22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</row>
    <row r="59" spans="1:64" ht="30" x14ac:dyDescent="0.25">
      <c r="A59" s="33" t="s">
        <v>69</v>
      </c>
      <c r="B59" s="70">
        <f>SUM(B58:E58)</f>
        <v>773185</v>
      </c>
      <c r="C59" s="71"/>
      <c r="D59" s="71"/>
      <c r="E59" s="72"/>
      <c r="F59" s="73">
        <f>SUM(F58:I58)</f>
        <v>257355</v>
      </c>
      <c r="G59" s="74"/>
      <c r="H59" s="74"/>
      <c r="I59" s="75"/>
      <c r="J59" s="22"/>
      <c r="K59" s="22"/>
      <c r="L59" s="22"/>
      <c r="M59" s="22"/>
      <c r="N59" s="22"/>
      <c r="O59" s="22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</row>
    <row r="60" spans="1:64" x14ac:dyDescent="0.25">
      <c r="A60" s="35" t="s">
        <v>70</v>
      </c>
      <c r="B60" s="76">
        <f>SUM(B59:I59)</f>
        <v>1030540</v>
      </c>
      <c r="C60" s="77"/>
      <c r="D60" s="77"/>
      <c r="E60" s="77"/>
      <c r="F60" s="77"/>
      <c r="G60" s="77"/>
      <c r="H60" s="77"/>
      <c r="I60" s="78"/>
      <c r="J60" s="22"/>
      <c r="K60" s="22"/>
      <c r="L60" s="22"/>
      <c r="M60" s="22"/>
      <c r="N60" s="22"/>
      <c r="O60" s="22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</row>
    <row r="61" spans="1:64" ht="33" x14ac:dyDescent="0.45">
      <c r="A61" s="33" t="s">
        <v>71</v>
      </c>
      <c r="B61" s="79">
        <f>B59/B60</f>
        <v>0.750271702214373</v>
      </c>
      <c r="C61" s="80"/>
      <c r="D61" s="80"/>
      <c r="E61" s="81"/>
      <c r="F61" s="82">
        <f>F59/B60</f>
        <v>0.24972829778562694</v>
      </c>
      <c r="G61" s="83"/>
      <c r="H61" s="83"/>
      <c r="I61" s="84"/>
      <c r="J61" s="22"/>
      <c r="K61" s="22"/>
      <c r="L61" s="22"/>
      <c r="M61" s="22"/>
      <c r="N61" s="22"/>
      <c r="O61" s="22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</row>
    <row r="62" spans="1:64" x14ac:dyDescent="0.25">
      <c r="A62" s="32"/>
      <c r="B62" s="86" t="s">
        <v>72</v>
      </c>
      <c r="C62" s="86"/>
      <c r="D62" s="86"/>
      <c r="E62" s="86"/>
      <c r="F62" s="86"/>
      <c r="G62" s="86"/>
      <c r="H62" s="86"/>
      <c r="I62" s="86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</row>
    <row r="63" spans="1:64" x14ac:dyDescent="0.25">
      <c r="A63" s="36" t="s">
        <v>73</v>
      </c>
      <c r="B63" s="85">
        <f>(B7+C7+D7+E7)*3.5</f>
        <v>113851.5</v>
      </c>
      <c r="C63" s="85"/>
      <c r="D63" s="85"/>
      <c r="E63" s="85"/>
      <c r="F63" s="85">
        <f>(F7+G7+H7+H7+I7)*3.5</f>
        <v>8428</v>
      </c>
      <c r="G63" s="85"/>
      <c r="H63" s="85"/>
      <c r="I63" s="85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</row>
    <row r="64" spans="1:64" x14ac:dyDescent="0.25">
      <c r="A64" s="37" t="s">
        <v>74</v>
      </c>
      <c r="B64" s="55">
        <f>(B11+C11+D11+E11)*3.5</f>
        <v>77500.5</v>
      </c>
      <c r="C64" s="55"/>
      <c r="D64" s="55"/>
      <c r="E64" s="55"/>
      <c r="F64" s="55">
        <f>(F11+G11+H11+I11)*3.5</f>
        <v>42588</v>
      </c>
      <c r="G64" s="55"/>
      <c r="H64" s="55"/>
      <c r="I64" s="55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</row>
    <row r="65" spans="1:64" x14ac:dyDescent="0.25">
      <c r="A65" s="38" t="s">
        <v>75</v>
      </c>
      <c r="B65" s="60">
        <f>(B15+C15+D15+E15)*3.5</f>
        <v>56147</v>
      </c>
      <c r="C65" s="61"/>
      <c r="D65" s="61"/>
      <c r="E65" s="62"/>
      <c r="F65" s="56">
        <f>(F15+G15+H15+I15)*3.5</f>
        <v>19964</v>
      </c>
      <c r="G65" s="56"/>
      <c r="H65" s="56"/>
      <c r="I65" s="56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</row>
    <row r="66" spans="1:64" x14ac:dyDescent="0.25">
      <c r="A66" s="38" t="s">
        <v>76</v>
      </c>
      <c r="B66" s="60">
        <f>(B16+C16+D16+E16)*3.5</f>
        <v>50928.5</v>
      </c>
      <c r="C66" s="61"/>
      <c r="D66" s="61"/>
      <c r="E66" s="62"/>
      <c r="F66" s="56">
        <f>(F16+G16+H16+I16)*3.5</f>
        <v>12159</v>
      </c>
      <c r="G66" s="56"/>
      <c r="H66" s="56"/>
      <c r="I66" s="56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</row>
    <row r="67" spans="1:64" x14ac:dyDescent="0.25">
      <c r="A67" s="39" t="s">
        <v>77</v>
      </c>
      <c r="B67" s="57">
        <f>(B22+C22+D22+E22)*3.5</f>
        <v>51187.5</v>
      </c>
      <c r="C67" s="57"/>
      <c r="D67" s="57"/>
      <c r="E67" s="57"/>
      <c r="F67" s="57">
        <f>(F22+G22+H22+I22)*3.5</f>
        <v>17997</v>
      </c>
      <c r="G67" s="57"/>
      <c r="H67" s="57"/>
      <c r="I67" s="57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</row>
    <row r="68" spans="1:64" x14ac:dyDescent="0.25">
      <c r="A68" s="40"/>
      <c r="B68" s="40"/>
      <c r="C68" s="40"/>
      <c r="D68" s="40"/>
      <c r="E68" s="40"/>
      <c r="F68" s="40"/>
      <c r="G68" s="40"/>
      <c r="H68" s="40"/>
      <c r="I68" s="40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</row>
    <row r="69" spans="1:64" x14ac:dyDescent="0.2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</row>
    <row r="70" spans="1:64" x14ac:dyDescent="0.25">
      <c r="A70" s="58" t="s">
        <v>78</v>
      </c>
      <c r="B70" s="23" t="s">
        <v>79</v>
      </c>
      <c r="C70" s="23" t="s">
        <v>80</v>
      </c>
      <c r="D70" s="23" t="s">
        <v>81</v>
      </c>
      <c r="E70" s="23" t="s">
        <v>82</v>
      </c>
      <c r="F70" s="23" t="s">
        <v>83</v>
      </c>
      <c r="G70" s="23" t="s">
        <v>84</v>
      </c>
      <c r="H70" s="23" t="s">
        <v>85</v>
      </c>
      <c r="I70" s="23" t="s">
        <v>86</v>
      </c>
      <c r="J70" s="23" t="s">
        <v>87</v>
      </c>
      <c r="K70" s="23" t="s">
        <v>88</v>
      </c>
      <c r="L70" s="23" t="s">
        <v>89</v>
      </c>
      <c r="M70" s="23" t="s">
        <v>90</v>
      </c>
      <c r="N70" s="23" t="s">
        <v>91</v>
      </c>
      <c r="O70" s="23" t="s">
        <v>92</v>
      </c>
      <c r="P70" s="23" t="s">
        <v>93</v>
      </c>
      <c r="Q70" s="23" t="s">
        <v>94</v>
      </c>
      <c r="R70" s="23" t="s">
        <v>95</v>
      </c>
      <c r="S70" s="23" t="s">
        <v>96</v>
      </c>
      <c r="T70" s="23" t="s">
        <v>97</v>
      </c>
      <c r="U70" s="23" t="s">
        <v>98</v>
      </c>
      <c r="V70" s="23" t="s">
        <v>99</v>
      </c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</row>
    <row r="71" spans="1:64" x14ac:dyDescent="0.25">
      <c r="A71" s="58"/>
      <c r="B71" s="29">
        <v>1392389</v>
      </c>
      <c r="C71" s="29">
        <v>1464580</v>
      </c>
      <c r="D71" s="29">
        <v>1457685</v>
      </c>
      <c r="E71" s="29">
        <v>1376394</v>
      </c>
      <c r="F71" s="29">
        <v>1312526</v>
      </c>
      <c r="G71" s="29">
        <v>1280535</v>
      </c>
      <c r="H71" s="29">
        <v>1124389</v>
      </c>
      <c r="I71" s="29">
        <v>1118931</v>
      </c>
      <c r="J71" s="29">
        <v>1014568</v>
      </c>
      <c r="K71" s="29">
        <v>958715</v>
      </c>
      <c r="L71" s="29">
        <v>954368</v>
      </c>
      <c r="M71" s="29">
        <v>864483</v>
      </c>
      <c r="N71" s="29">
        <v>803583</v>
      </c>
      <c r="O71" s="29">
        <v>883061</v>
      </c>
      <c r="P71" s="29">
        <v>934707</v>
      </c>
      <c r="Q71" s="29">
        <v>946495</v>
      </c>
      <c r="R71" s="29">
        <v>1189590.5</v>
      </c>
      <c r="S71" s="29">
        <v>1023554</v>
      </c>
      <c r="T71" s="29">
        <v>955770</v>
      </c>
      <c r="U71" s="29">
        <f>'[1]Hisorical Total Visitation'!$T$2</f>
        <v>1075609.5</v>
      </c>
      <c r="V71" s="30">
        <f>B60</f>
        <v>1030540</v>
      </c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</row>
    <row r="72" spans="1:64" x14ac:dyDescent="0.25">
      <c r="A72" s="23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</row>
    <row r="73" spans="1:64" x14ac:dyDescent="0.25">
      <c r="A73" s="23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</row>
    <row r="74" spans="1:64" x14ac:dyDescent="0.25">
      <c r="A74" s="23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</row>
    <row r="75" spans="1:64" x14ac:dyDescent="0.25">
      <c r="A75" s="23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</row>
    <row r="76" spans="1:64" x14ac:dyDescent="0.25">
      <c r="A76" s="23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</row>
    <row r="77" spans="1:64" x14ac:dyDescent="0.25">
      <c r="A77" s="23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</row>
    <row r="78" spans="1:64" x14ac:dyDescent="0.25">
      <c r="A78" s="23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</row>
    <row r="79" spans="1:64" x14ac:dyDescent="0.25">
      <c r="A79" s="23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</row>
    <row r="80" spans="1:64" x14ac:dyDescent="0.25">
      <c r="A80" s="23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</row>
    <row r="81" spans="1:64" x14ac:dyDescent="0.25">
      <c r="A81" s="23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</row>
    <row r="82" spans="1:64" x14ac:dyDescent="0.25">
      <c r="A82" s="23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</row>
    <row r="83" spans="1:64" x14ac:dyDescent="0.25">
      <c r="A83" s="23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</row>
    <row r="84" spans="1:64" x14ac:dyDescent="0.25">
      <c r="A84" s="23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</row>
    <row r="85" spans="1:64" x14ac:dyDescent="0.25">
      <c r="A85" s="23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</row>
    <row r="86" spans="1:64" x14ac:dyDescent="0.25">
      <c r="A86" s="23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</row>
    <row r="87" spans="1:64" x14ac:dyDescent="0.25">
      <c r="A87" s="23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</row>
    <row r="88" spans="1:64" x14ac:dyDescent="0.25">
      <c r="A88" s="23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</row>
    <row r="89" spans="1:64" x14ac:dyDescent="0.25">
      <c r="A89" s="23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</row>
    <row r="90" spans="1:64" x14ac:dyDescent="0.25">
      <c r="A90" s="23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</row>
    <row r="91" spans="1:64" x14ac:dyDescent="0.25">
      <c r="A91" s="23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</row>
    <row r="92" spans="1:64" x14ac:dyDescent="0.25">
      <c r="A92" s="23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</row>
    <row r="93" spans="1:64" x14ac:dyDescent="0.25">
      <c r="A93" s="23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</row>
    <row r="94" spans="1:64" x14ac:dyDescent="0.25">
      <c r="A94" s="23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</row>
    <row r="95" spans="1:64" x14ac:dyDescent="0.25">
      <c r="A95" s="23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</row>
    <row r="96" spans="1:64" x14ac:dyDescent="0.25">
      <c r="A96" s="23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</row>
    <row r="97" spans="1:64" x14ac:dyDescent="0.25">
      <c r="A97" s="23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</row>
    <row r="98" spans="1:64" x14ac:dyDescent="0.25">
      <c r="A98" s="23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</row>
    <row r="99" spans="1:64" x14ac:dyDescent="0.2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</row>
    <row r="100" spans="1:64" x14ac:dyDescent="0.2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</row>
    <row r="101" spans="1:64" x14ac:dyDescent="0.2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</row>
    <row r="102" spans="1:64" x14ac:dyDescent="0.2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</row>
    <row r="103" spans="1:64" x14ac:dyDescent="0.2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</row>
    <row r="104" spans="1:64" x14ac:dyDescent="0.2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</row>
    <row r="105" spans="1:64" x14ac:dyDescent="0.2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</row>
    <row r="106" spans="1:64" x14ac:dyDescent="0.2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</row>
    <row r="107" spans="1:64" x14ac:dyDescent="0.2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</row>
    <row r="108" spans="1:64" x14ac:dyDescent="0.25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</row>
    <row r="109" spans="1:64" x14ac:dyDescent="0.2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</row>
    <row r="110" spans="1:64" x14ac:dyDescent="0.2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</row>
    <row r="111" spans="1:64" x14ac:dyDescent="0.2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</row>
    <row r="112" spans="1:64" x14ac:dyDescent="0.2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</row>
    <row r="113" spans="1:64" x14ac:dyDescent="0.2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</row>
    <row r="114" spans="1:64" x14ac:dyDescent="0.2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</row>
    <row r="115" spans="1:64" x14ac:dyDescent="0.2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</row>
    <row r="116" spans="1:64" x14ac:dyDescent="0.2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</row>
    <row r="117" spans="1:64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</row>
    <row r="118" spans="1:64" x14ac:dyDescent="0.2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</row>
    <row r="119" spans="1:64" x14ac:dyDescent="0.2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</row>
    <row r="120" spans="1:64" x14ac:dyDescent="0.2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</row>
    <row r="121" spans="1:64" x14ac:dyDescent="0.2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</row>
    <row r="122" spans="1:64" x14ac:dyDescent="0.2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</row>
    <row r="123" spans="1:64" x14ac:dyDescent="0.2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</row>
    <row r="124" spans="1:64" x14ac:dyDescent="0.2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</row>
    <row r="125" spans="1:64" x14ac:dyDescent="0.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</row>
    <row r="126" spans="1:64" x14ac:dyDescent="0.2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</row>
    <row r="127" spans="1:64" x14ac:dyDescent="0.2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</row>
    <row r="128" spans="1:64" x14ac:dyDescent="0.2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</row>
    <row r="129" spans="1:64" x14ac:dyDescent="0.2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</row>
    <row r="130" spans="1:64" x14ac:dyDescent="0.2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</row>
    <row r="131" spans="1:64" x14ac:dyDescent="0.2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</row>
    <row r="132" spans="1:64" x14ac:dyDescent="0.2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</row>
    <row r="133" spans="1:64" x14ac:dyDescent="0.2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</row>
    <row r="134" spans="1:64" x14ac:dyDescent="0.2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</row>
    <row r="135" spans="1:64" x14ac:dyDescent="0.2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</row>
    <row r="136" spans="1:64" x14ac:dyDescent="0.2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</row>
    <row r="137" spans="1:64" x14ac:dyDescent="0.2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</row>
    <row r="138" spans="1:64" x14ac:dyDescent="0.2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</row>
    <row r="139" spans="1:64" x14ac:dyDescent="0.2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</row>
    <row r="140" spans="1:64" x14ac:dyDescent="0.2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</row>
    <row r="141" spans="1:64" x14ac:dyDescent="0.25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</row>
    <row r="142" spans="1:64" x14ac:dyDescent="0.25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</row>
    <row r="143" spans="1:64" x14ac:dyDescent="0.2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</row>
    <row r="144" spans="1:64" x14ac:dyDescent="0.2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</row>
    <row r="145" spans="1:64" x14ac:dyDescent="0.2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</row>
    <row r="146" spans="1:64" x14ac:dyDescent="0.2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</row>
    <row r="147" spans="1:64" x14ac:dyDescent="0.2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</row>
    <row r="148" spans="1:64" x14ac:dyDescent="0.2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</row>
    <row r="149" spans="1:64" x14ac:dyDescent="0.2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</row>
    <row r="150" spans="1:64" x14ac:dyDescent="0.25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</row>
    <row r="151" spans="1:64" x14ac:dyDescent="0.2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</row>
    <row r="152" spans="1:64" x14ac:dyDescent="0.25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</row>
    <row r="153" spans="1:64" x14ac:dyDescent="0.2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</row>
    <row r="154" spans="1:64" x14ac:dyDescent="0.2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</row>
    <row r="155" spans="1:64" x14ac:dyDescent="0.2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</row>
    <row r="183" spans="13:13" x14ac:dyDescent="0.25">
      <c r="M183" s="44">
        <v>-0.11951684678957407</v>
      </c>
    </row>
    <row r="184" spans="13:13" x14ac:dyDescent="0.25">
      <c r="M184" s="44">
        <v>-8.7639770323360539E-2</v>
      </c>
    </row>
    <row r="185" spans="13:13" x14ac:dyDescent="0.25">
      <c r="M185" s="44">
        <v>3.6850921273031824E-3</v>
      </c>
    </row>
    <row r="186" spans="13:13" x14ac:dyDescent="0.25">
      <c r="M186" s="44">
        <v>0.61450787211436297</v>
      </c>
    </row>
    <row r="187" spans="13:13" x14ac:dyDescent="0.25">
      <c r="M187" s="44">
        <v>0.19206092776367412</v>
      </c>
    </row>
    <row r="188" spans="13:13" x14ac:dyDescent="0.25">
      <c r="M188" s="44">
        <v>0.32363169334123693</v>
      </c>
    </row>
    <row r="189" spans="13:13" x14ac:dyDescent="0.25">
      <c r="M189" s="44">
        <v>0.13567244268823322</v>
      </c>
    </row>
    <row r="190" spans="13:13" x14ac:dyDescent="0.25">
      <c r="M190" s="44">
        <f>AVERAGE(M183:M189)</f>
        <v>0.15177163013169653</v>
      </c>
    </row>
  </sheetData>
  <mergeCells count="21">
    <mergeCell ref="B60:I60"/>
    <mergeCell ref="B61:E61"/>
    <mergeCell ref="F61:I61"/>
    <mergeCell ref="B63:E63"/>
    <mergeCell ref="B62:I62"/>
    <mergeCell ref="F63:I63"/>
    <mergeCell ref="A1:BC1"/>
    <mergeCell ref="B55:E55"/>
    <mergeCell ref="F55:I55"/>
    <mergeCell ref="B59:E59"/>
    <mergeCell ref="F59:I59"/>
    <mergeCell ref="F64:I64"/>
    <mergeCell ref="F65:I65"/>
    <mergeCell ref="F67:I67"/>
    <mergeCell ref="A70:A71"/>
    <mergeCell ref="B72:V98"/>
    <mergeCell ref="B64:E64"/>
    <mergeCell ref="B65:E65"/>
    <mergeCell ref="B67:E67"/>
    <mergeCell ref="F66:I66"/>
    <mergeCell ref="B66:E66"/>
  </mergeCells>
  <pageMargins left="0.7" right="0.7" top="0.75" bottom="0.75" header="0.3" footer="0.3"/>
  <ignoredErrors>
    <ignoredError sqref="J3:J4 J5:J54" formulaRange="1"/>
    <ignoredError sqref="L3 L4:L21 L22:L47 L53 L48:L52 L54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 2025 ISDRA Visitation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Schlumpberger, Alex J</dc:creator>
  <cp:keywords/>
  <dc:description/>
  <cp:lastModifiedBy>Ehlinger, Laurie A</cp:lastModifiedBy>
  <cp:revision/>
  <dcterms:created xsi:type="dcterms:W3CDTF">2024-07-03T03:40:25Z</dcterms:created>
  <dcterms:modified xsi:type="dcterms:W3CDTF">2026-03-18T14:46:07Z</dcterms:modified>
  <cp:category/>
  <cp:contentStatus/>
</cp:coreProperties>
</file>