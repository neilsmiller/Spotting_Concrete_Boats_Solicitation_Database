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USTRANSCOM\TCAQ Directorate\TCAQ Shared\Government Only\Contracts\TCAQ-C\1. HTC711\P 24-R-CC01 FY25 CRAF Recompete\B. Pre-Sol\10. RFP_RFQ &amp; Amdmts\"/>
    </mc:Choice>
  </mc:AlternateContent>
  <xr:revisionPtr revIDLastSave="0" documentId="8_{B9B831F2-CEA1-4666-8452-8A2CCE7C5299}" xr6:coauthVersionLast="47" xr6:coauthVersionMax="47" xr10:uidLastSave="{00000000-0000-0000-0000-000000000000}"/>
  <bookViews>
    <workbookView xWindow="-120" yWindow="-120" windowWidth="29040" windowHeight="15840" tabRatio="881" activeTab="1" xr2:uid="{00000000-000D-0000-FFFF-FFFF00000000}"/>
  </bookViews>
  <sheets>
    <sheet name="Instructions" sheetId="9" r:id="rId1"/>
    <sheet name="Tab 1--3A, (AC 1-35)" sheetId="1" r:id="rId2"/>
    <sheet name="Tab 2--3A, (AC 36-70)" sheetId="4" r:id="rId3"/>
    <sheet name="Tab 3--3A, (AC 71-105)" sheetId="5" r:id="rId4"/>
    <sheet name="Tab 4--3A, (106-130)" sheetId="6" r:id="rId5"/>
    <sheet name="Tab 5--3A-1, Validation (LRI)" sheetId="3" r:id="rId6"/>
    <sheet name="Tab 6--3A-1, Validation (SRI)" sheetId="8" r:id="rId7"/>
    <sheet name=" Tab 7--3A-1, Validation (Nat)" sheetId="7" r:id="rId8"/>
  </sheets>
  <definedNames>
    <definedName name="_xlnm.Print_Area" localSheetId="5">'Tab 5--3A-1, Validation (LRI)'!$B$5:$J$32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8" l="1"/>
  <c r="I27" i="8" l="1"/>
  <c r="H27" i="8"/>
  <c r="I26" i="8"/>
  <c r="H26" i="8"/>
  <c r="I25" i="8"/>
  <c r="H25" i="8"/>
  <c r="I24" i="8"/>
  <c r="H24" i="8"/>
  <c r="I23" i="8"/>
  <c r="H23" i="8"/>
  <c r="I22" i="8"/>
  <c r="H22" i="8"/>
  <c r="I21" i="8"/>
  <c r="H21" i="8"/>
  <c r="I20" i="8"/>
  <c r="H20" i="8"/>
  <c r="I19" i="8"/>
  <c r="H19" i="8"/>
  <c r="I18" i="8"/>
  <c r="H18" i="8"/>
  <c r="I17" i="8"/>
  <c r="H17" i="8"/>
  <c r="I16" i="8"/>
  <c r="H16" i="8"/>
  <c r="I15" i="8"/>
  <c r="H15" i="8"/>
  <c r="I14" i="8"/>
  <c r="H14" i="8"/>
  <c r="I13" i="8"/>
  <c r="H13" i="8"/>
  <c r="I12" i="8"/>
  <c r="H12" i="8"/>
  <c r="I11" i="8"/>
  <c r="H11" i="8"/>
  <c r="I10" i="8"/>
  <c r="H10" i="8"/>
  <c r="I9" i="8"/>
  <c r="H9" i="8"/>
  <c r="I8" i="8"/>
  <c r="H8" i="8"/>
  <c r="I7" i="8"/>
  <c r="H7" i="8"/>
  <c r="I6" i="8"/>
  <c r="H6" i="8"/>
  <c r="H2" i="8"/>
  <c r="C2" i="8"/>
  <c r="H28" i="8" l="1"/>
  <c r="I28" i="8"/>
  <c r="F3" i="7"/>
  <c r="J28" i="8" l="1"/>
  <c r="F4" i="3"/>
  <c r="I20" i="3" l="1"/>
  <c r="H12" i="3"/>
  <c r="I8" i="3"/>
  <c r="I12" i="3"/>
  <c r="H2" i="7" l="1"/>
  <c r="I27" i="7"/>
  <c r="H27" i="7"/>
  <c r="I26" i="7"/>
  <c r="H26" i="7"/>
  <c r="I25" i="7"/>
  <c r="H25" i="7"/>
  <c r="I24" i="7"/>
  <c r="H24" i="7"/>
  <c r="I23" i="7"/>
  <c r="H23" i="7"/>
  <c r="I22" i="7"/>
  <c r="H22" i="7"/>
  <c r="I21" i="7"/>
  <c r="H21" i="7"/>
  <c r="I20" i="7"/>
  <c r="H20" i="7"/>
  <c r="I19" i="7"/>
  <c r="H19" i="7"/>
  <c r="I18" i="7"/>
  <c r="H18" i="7"/>
  <c r="I17" i="7"/>
  <c r="H17" i="7"/>
  <c r="I16" i="7"/>
  <c r="H16" i="7"/>
  <c r="I15" i="7"/>
  <c r="H15" i="7"/>
  <c r="I14" i="7"/>
  <c r="H14" i="7"/>
  <c r="I13" i="7"/>
  <c r="H13" i="7"/>
  <c r="I12" i="7"/>
  <c r="H12" i="7"/>
  <c r="I11" i="7"/>
  <c r="H11" i="7"/>
  <c r="I10" i="7"/>
  <c r="H10" i="7"/>
  <c r="I9" i="7"/>
  <c r="H9" i="7"/>
  <c r="I8" i="7"/>
  <c r="H8" i="7"/>
  <c r="I7" i="7"/>
  <c r="H7" i="7"/>
  <c r="I6" i="7"/>
  <c r="H6" i="7"/>
  <c r="C2" i="7"/>
  <c r="H28" i="7" l="1"/>
  <c r="I28" i="7"/>
  <c r="I7" i="3"/>
  <c r="I6" i="3"/>
  <c r="I9" i="3"/>
  <c r="J28" i="7" l="1"/>
  <c r="H2" i="3"/>
  <c r="C2" i="3"/>
  <c r="H2" i="6"/>
  <c r="C2" i="6"/>
  <c r="H2" i="5"/>
  <c r="C2" i="5"/>
  <c r="H2" i="4"/>
  <c r="C2" i="4"/>
  <c r="F4" i="6"/>
  <c r="F4" i="5"/>
  <c r="F4" i="4"/>
  <c r="B7" i="4" l="1"/>
  <c r="B8" i="4" s="1"/>
  <c r="B9" i="4" s="1"/>
  <c r="B10" i="4" s="1"/>
  <c r="B11" i="4" s="1"/>
  <c r="B12" i="4" s="1"/>
  <c r="B13" i="4" s="1"/>
  <c r="B14" i="4" s="1"/>
  <c r="B15" i="4" s="1"/>
  <c r="B16" i="4" s="1"/>
  <c r="B17" i="4" s="1"/>
  <c r="B18" i="4" s="1"/>
  <c r="B19" i="4" s="1"/>
  <c r="H6" i="3" l="1"/>
  <c r="I27" i="3" l="1"/>
  <c r="I26" i="3"/>
  <c r="I25" i="3"/>
  <c r="I24" i="3"/>
  <c r="I23" i="3"/>
  <c r="I22" i="3"/>
  <c r="I21" i="3"/>
  <c r="I19" i="3"/>
  <c r="I18" i="3"/>
  <c r="I17" i="3"/>
  <c r="I16" i="3"/>
  <c r="I15" i="3"/>
  <c r="I14" i="3"/>
  <c r="I13" i="3"/>
  <c r="I11" i="3"/>
  <c r="I10" i="3"/>
  <c r="H27" i="3"/>
  <c r="H26" i="3"/>
  <c r="H25" i="3"/>
  <c r="H24" i="3"/>
  <c r="H23" i="3"/>
  <c r="H22" i="3"/>
  <c r="H21" i="3"/>
  <c r="H20" i="3"/>
  <c r="H19" i="3"/>
  <c r="H18" i="3"/>
  <c r="H17" i="3"/>
  <c r="H16" i="3"/>
  <c r="H15" i="3"/>
  <c r="H14" i="3"/>
  <c r="H13" i="3"/>
  <c r="H11" i="3"/>
  <c r="H10" i="3"/>
  <c r="H9" i="3"/>
  <c r="H8" i="3"/>
  <c r="H7" i="3"/>
  <c r="H28" i="3" l="1"/>
  <c r="I28" i="3"/>
  <c r="J28" i="3" l="1"/>
</calcChain>
</file>

<file path=xl/sharedStrings.xml><?xml version="1.0" encoding="utf-8"?>
<sst xmlns="http://schemas.openxmlformats.org/spreadsheetml/2006/main" count="161" uniqueCount="51">
  <si>
    <t>Cargo or Passenger</t>
  </si>
  <si>
    <t>Own or Lease</t>
  </si>
  <si>
    <t xml:space="preserve">Perviously Offered A/C  use form 81 </t>
  </si>
  <si>
    <t xml:space="preserve">New Aircraft with different performance characteristics provide:
Performance Data Package to inlcude the following
1. Form 82 Front &amp; Back,
2. Form 83, and 
3. Computerized Flight Plan (CFP) </t>
  </si>
  <si>
    <t>Tails Offered</t>
  </si>
  <si>
    <r>
      <t xml:space="preserve">Domestic </t>
    </r>
    <r>
      <rPr>
        <b/>
        <i/>
        <sz val="9"/>
        <color theme="1"/>
        <rFont val="Calibri"/>
        <family val="2"/>
        <scheme val="minor"/>
      </rPr>
      <t>Must</t>
    </r>
    <r>
      <rPr>
        <i/>
        <sz val="9"/>
        <color theme="1"/>
        <rFont val="Calibri"/>
        <family val="2"/>
        <scheme val="minor"/>
      </rPr>
      <t xml:space="preserve"> offer 15% of CRAF Capable Aircraft in Fleet </t>
    </r>
  </si>
  <si>
    <r>
      <t>International</t>
    </r>
    <r>
      <rPr>
        <b/>
        <i/>
        <sz val="9"/>
        <color theme="1"/>
        <rFont val="Calibri"/>
        <family val="2"/>
        <scheme val="minor"/>
      </rPr>
      <t xml:space="preserve"> Must</t>
    </r>
    <r>
      <rPr>
        <i/>
        <sz val="9"/>
        <color theme="1"/>
        <rFont val="Calibri"/>
        <family val="2"/>
        <scheme val="minor"/>
      </rPr>
      <t xml:space="preserve"> offer 40% of WBE of the CRAF Capable Aircraft in Fleet</t>
    </r>
  </si>
  <si>
    <t xml:space="preserve">Aircaft WBE
Value </t>
  </si>
  <si>
    <t>Total WBE
Offered</t>
  </si>
  <si>
    <t xml:space="preserve">Total WBE Available </t>
  </si>
  <si>
    <t>% of WBE CRAF Capable 
 Fleet Offered</t>
  </si>
  <si>
    <t>TOTALS</t>
  </si>
  <si>
    <t xml:space="preserve">Total Aircraft
Offered </t>
  </si>
  <si>
    <t xml:space="preserve"> </t>
  </si>
  <si>
    <t>FAA OPS SPEC (D085) Aircraft Listing, Effective Date:</t>
  </si>
  <si>
    <t>No Preference</t>
  </si>
  <si>
    <t xml:space="preserve">Reg. Number </t>
  </si>
  <si>
    <t>APPENDIX 3A - LIST OF AIRCRAFT</t>
  </si>
  <si>
    <t>Contract # :</t>
  </si>
  <si>
    <t>Carrier:</t>
  </si>
  <si>
    <r>
      <t>International</t>
    </r>
    <r>
      <rPr>
        <b/>
        <i/>
        <sz val="9"/>
        <color theme="1"/>
        <rFont val="Calibri"/>
        <family val="2"/>
        <scheme val="minor"/>
      </rPr>
      <t xml:space="preserve"> Must</t>
    </r>
    <r>
      <rPr>
        <i/>
        <sz val="9"/>
        <color theme="1"/>
        <rFont val="Calibri"/>
        <family val="2"/>
        <scheme val="minor"/>
      </rPr>
      <t xml:space="preserve"> offer 40% of WBE of their CRAF Capable Aircraft in Fleet</t>
    </r>
  </si>
  <si>
    <t>Line Item</t>
  </si>
  <si>
    <t>Appendix 3A, Revised 20160901, Version 2.0                                                                                                                                           Page 1 of 4</t>
  </si>
  <si>
    <t>Appendix 3A, Revised 20160901, Version 2.0                                                                                                                                           Page 2 of 4</t>
  </si>
  <si>
    <t>Appendix 3A, Revised 20160901, Version 2.0                                                                                                                                           Page 3 of 4</t>
  </si>
  <si>
    <t>Appendix 3A, Revised 20160901, Version 2.0                                                                                                                                           Page 4 of 4</t>
  </si>
  <si>
    <t>% of CRAF Capable 
 Fleet Offered</t>
  </si>
  <si>
    <t xml:space="preserve">Total Aicraft Available </t>
  </si>
  <si>
    <t>Total Aircraft
Offered</t>
  </si>
  <si>
    <t xml:space="preserve">
Stage II</t>
  </si>
  <si>
    <t xml:space="preserve">
Stage III</t>
  </si>
  <si>
    <t>International Must offer 40% of WBE of their CRAF Capable Aircraft in Fleet</t>
  </si>
  <si>
    <t>Carrier Recommendation 
for Stage Assignment</t>
  </si>
  <si>
    <t xml:space="preserve">For carriers with large fleets not able to adhere to the 15% rule, disregard "% of CRAF Capable Fleet Offered" total if below 15%    </t>
  </si>
  <si>
    <t>Solicitation</t>
  </si>
  <si>
    <t>Long Range Section</t>
  </si>
  <si>
    <t>Short Range Section</t>
  </si>
  <si>
    <t xml:space="preserve">Aircraft Model/Series </t>
  </si>
  <si>
    <t>LRI Only
Stage I</t>
  </si>
  <si>
    <r>
      <t>Total CRAF
Capable</t>
    </r>
    <r>
      <rPr>
        <b/>
        <u/>
        <sz val="10"/>
        <color theme="1"/>
        <rFont val="Calibri"/>
        <family val="2"/>
        <scheme val="minor"/>
      </rPr>
      <t xml:space="preserve">
</t>
    </r>
    <r>
      <rPr>
        <b/>
        <sz val="10"/>
        <color theme="1"/>
        <rFont val="Calibri"/>
        <family val="2"/>
        <scheme val="minor"/>
      </rPr>
      <t>Aircraft</t>
    </r>
  </si>
  <si>
    <t>Passenger or Cargo</t>
  </si>
  <si>
    <t>Long Range International (LRI) carriers may offer aircraft in the Short Range International (SRI) section when 40% commitment has been met in the LRI section.</t>
  </si>
  <si>
    <t>Carriers participating in Short Range International (SRI) only, will list their entire fleet as listed on the DO85. Aircraft not CRAF capable will only require population of the "Aircraft Model/Series", "Total CRAF Capable Aircraft" and "Total Aircraft in Fleet" columns.</t>
  </si>
  <si>
    <r>
      <rPr>
        <b/>
        <sz val="10"/>
        <color theme="1"/>
        <rFont val="Calibri"/>
        <family val="2"/>
        <scheme val="minor"/>
      </rPr>
      <t>Total Aircraft in Fleet by Category</t>
    </r>
    <r>
      <rPr>
        <b/>
        <sz val="9"/>
        <color theme="1"/>
        <rFont val="Calibri"/>
        <family val="2"/>
        <scheme val="minor"/>
      </rPr>
      <t xml:space="preserve"> </t>
    </r>
    <r>
      <rPr>
        <b/>
        <sz val="8"/>
        <color theme="1"/>
        <rFont val="Calibri"/>
        <family val="2"/>
        <scheme val="minor"/>
      </rPr>
      <t>(Cargo/Pax)</t>
    </r>
    <r>
      <rPr>
        <b/>
        <sz val="11"/>
        <color theme="1"/>
        <rFont val="Calibri"/>
        <family val="2"/>
        <scheme val="minor"/>
      </rPr>
      <t xml:space="preserve">
</t>
    </r>
    <r>
      <rPr>
        <b/>
        <sz val="8"/>
        <color theme="1"/>
        <rFont val="Calibri"/>
        <family val="2"/>
        <scheme val="minor"/>
      </rPr>
      <t>As shown on D085</t>
    </r>
  </si>
  <si>
    <r>
      <rPr>
        <b/>
        <sz val="10"/>
        <color theme="1"/>
        <rFont val="Calibri"/>
        <family val="2"/>
        <scheme val="minor"/>
      </rPr>
      <t xml:space="preserve">Aircraft 
Model/Series by Category </t>
    </r>
    <r>
      <rPr>
        <b/>
        <sz val="8"/>
        <color theme="1"/>
        <rFont val="Calibri"/>
        <family val="2"/>
        <scheme val="minor"/>
      </rPr>
      <t xml:space="preserve">(Cargo/Pax) </t>
    </r>
    <r>
      <rPr>
        <b/>
        <sz val="11"/>
        <color theme="1"/>
        <rFont val="Calibri"/>
        <family val="2"/>
        <scheme val="minor"/>
      </rPr>
      <t xml:space="preserve">
</t>
    </r>
    <r>
      <rPr>
        <b/>
        <sz val="8"/>
        <color theme="1"/>
        <rFont val="Calibri"/>
        <family val="2"/>
        <scheme val="minor"/>
      </rPr>
      <t>As shown on D085</t>
    </r>
  </si>
  <si>
    <t xml:space="preserve">Passenger </t>
  </si>
  <si>
    <t>APPENDIX 3A-1, CRAF CAPABLE FLEET VALIDATION (Int'l Segment)</t>
  </si>
  <si>
    <t>Appendix 3A-1, 20160901                                                                                                                                                                                 Page 1 of 1</t>
  </si>
  <si>
    <t>APPENDIX 3A-1, CRAF CAPABLE FLEET VALIDATION (National Segment)</t>
  </si>
  <si>
    <t>Appendix 3A-1, 20160901                                                                                                                                                     Page 1 of 1</t>
  </si>
  <si>
    <t xml:space="preserve">HTC71124RCC01 Atch 1a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</si>
</sst>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8" x14ac:knownFonts="1">
    <font>
      <sz val="11"/>
      <color theme="1"/>
      <name val="Calibri"/>
      <family val="2"/>
      <scheme val="minor"/>
    </font>
    <font>
      <b/>
      <sz val="11"/>
      <color theme="1"/>
      <name val="Calibri"/>
      <family val="2"/>
      <scheme val="minor"/>
    </font>
    <font>
      <i/>
      <sz val="9"/>
      <color theme="1"/>
      <name val="Calibri"/>
      <family val="2"/>
      <scheme val="minor"/>
    </font>
    <font>
      <b/>
      <i/>
      <sz val="9"/>
      <color theme="1"/>
      <name val="Calibri"/>
      <family val="2"/>
      <scheme val="minor"/>
    </font>
    <font>
      <b/>
      <sz val="14"/>
      <color theme="1"/>
      <name val="Calibri"/>
      <family val="2"/>
      <scheme val="minor"/>
    </font>
    <font>
      <sz val="12"/>
      <color theme="1"/>
      <name val="Calibri"/>
      <family val="2"/>
      <scheme val="minor"/>
    </font>
    <font>
      <b/>
      <sz val="12"/>
      <color theme="1"/>
      <name val="Calibri"/>
      <family val="2"/>
      <scheme val="minor"/>
    </font>
    <font>
      <b/>
      <sz val="8"/>
      <color theme="1"/>
      <name val="Calibri"/>
      <family val="2"/>
      <scheme val="minor"/>
    </font>
    <font>
      <b/>
      <sz val="16"/>
      <color theme="1"/>
      <name val="Calibri"/>
      <family val="2"/>
      <scheme val="minor"/>
    </font>
    <font>
      <sz val="11"/>
      <name val="Calibri"/>
      <family val="2"/>
      <scheme val="minor"/>
    </font>
    <font>
      <i/>
      <sz val="11"/>
      <color theme="1"/>
      <name val="Calibri"/>
      <family val="2"/>
      <scheme val="minor"/>
    </font>
    <font>
      <b/>
      <sz val="10"/>
      <color theme="1"/>
      <name val="Calibri"/>
      <family val="2"/>
      <scheme val="minor"/>
    </font>
    <font>
      <sz val="10"/>
      <color theme="1"/>
      <name val="Calibri"/>
      <family val="2"/>
      <scheme val="minor"/>
    </font>
    <font>
      <b/>
      <sz val="14"/>
      <color rgb="FFFF0000"/>
      <name val="Calibri"/>
      <family val="2"/>
      <scheme val="minor"/>
    </font>
    <font>
      <b/>
      <i/>
      <sz val="9"/>
      <color rgb="FFFF0000"/>
      <name val="Calibri"/>
      <family val="2"/>
      <scheme val="minor"/>
    </font>
    <font>
      <b/>
      <sz val="9"/>
      <color theme="1"/>
      <name val="Calibri"/>
      <family val="2"/>
      <scheme val="minor"/>
    </font>
    <font>
      <b/>
      <u/>
      <sz val="10"/>
      <color theme="1"/>
      <name val="Calibri"/>
      <family val="2"/>
      <scheme val="minor"/>
    </font>
    <font>
      <b/>
      <sz val="12"/>
      <name val="Calibri"/>
      <family val="2"/>
      <scheme val="minor"/>
    </font>
  </fonts>
  <fills count="10">
    <fill>
      <patternFill patternType="none"/>
    </fill>
    <fill>
      <patternFill patternType="gray125"/>
    </fill>
    <fill>
      <patternFill patternType="solid">
        <fgColor theme="0" tint="-4.9989318521683403E-2"/>
        <bgColor indexed="64"/>
      </patternFill>
    </fill>
    <fill>
      <patternFill patternType="solid">
        <fgColor theme="0" tint="-0.249977111117893"/>
        <bgColor indexed="64"/>
      </patternFill>
    </fill>
    <fill>
      <patternFill patternType="solid">
        <fgColor theme="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00B050"/>
        <bgColor indexed="64"/>
      </patternFill>
    </fill>
    <fill>
      <patternFill patternType="solid">
        <fgColor theme="9" tint="0.59999389629810485"/>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medium">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medium">
        <color indexed="64"/>
      </left>
      <right/>
      <top/>
      <bottom style="medium">
        <color indexed="64"/>
      </bottom>
      <diagonal/>
    </border>
    <border>
      <left style="thin">
        <color indexed="64"/>
      </left>
      <right style="thin">
        <color indexed="64"/>
      </right>
      <top/>
      <bottom style="double">
        <color indexed="64"/>
      </bottom>
      <diagonal/>
    </border>
    <border>
      <left style="thin">
        <color indexed="64"/>
      </left>
      <right/>
      <top/>
      <bottom style="thin">
        <color indexed="64"/>
      </bottom>
      <diagonal/>
    </border>
    <border>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top style="thin">
        <color indexed="64"/>
      </top>
      <bottom style="medium">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double">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double">
        <color indexed="64"/>
      </top>
      <bottom style="thin">
        <color indexed="64"/>
      </bottom>
      <diagonal/>
    </border>
    <border>
      <left style="medium">
        <color indexed="64"/>
      </left>
      <right style="thin">
        <color indexed="64"/>
      </right>
      <top style="medium">
        <color indexed="64"/>
      </top>
      <bottom/>
      <diagonal/>
    </border>
    <border>
      <left/>
      <right/>
      <top style="medium">
        <color indexed="64"/>
      </top>
      <bottom/>
      <diagonal/>
    </border>
    <border>
      <left style="thin">
        <color indexed="64"/>
      </left>
      <right style="thin">
        <color indexed="64"/>
      </right>
      <top style="medium">
        <color indexed="64"/>
      </top>
      <bottom style="medium">
        <color indexed="64"/>
      </bottom>
      <diagonal/>
    </border>
    <border>
      <left/>
      <right/>
      <top/>
      <bottom style="thin">
        <color indexed="64"/>
      </bottom>
      <diagonal/>
    </border>
  </borders>
  <cellStyleXfs count="1">
    <xf numFmtId="0" fontId="0" fillId="0" borderId="0"/>
  </cellStyleXfs>
  <cellXfs count="155">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0" fillId="0" borderId="0" xfId="0" applyFill="1"/>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0" xfId="0" applyAlignment="1">
      <alignment horizontal="center"/>
    </xf>
    <xf numFmtId="0" fontId="0" fillId="0" borderId="0" xfId="0" applyAlignment="1">
      <alignment horizontal="center"/>
    </xf>
    <xf numFmtId="0" fontId="0" fillId="5" borderId="23" xfId="0" applyFill="1" applyBorder="1" applyProtection="1">
      <protection locked="0"/>
    </xf>
    <xf numFmtId="0" fontId="0" fillId="5" borderId="12" xfId="0" applyFill="1" applyBorder="1" applyAlignment="1" applyProtection="1">
      <alignment horizontal="center"/>
      <protection locked="0"/>
    </xf>
    <xf numFmtId="0" fontId="0" fillId="5" borderId="13" xfId="0" applyFill="1" applyBorder="1" applyAlignment="1" applyProtection="1">
      <alignment horizontal="center"/>
      <protection locked="0"/>
    </xf>
    <xf numFmtId="0" fontId="0" fillId="5" borderId="1" xfId="0" applyFill="1" applyBorder="1" applyAlignment="1" applyProtection="1">
      <alignment horizontal="center"/>
      <protection locked="0"/>
    </xf>
    <xf numFmtId="0" fontId="0" fillId="5" borderId="5" xfId="0" applyFill="1" applyBorder="1" applyAlignment="1" applyProtection="1">
      <alignment horizontal="center"/>
      <protection locked="0"/>
    </xf>
    <xf numFmtId="0" fontId="0" fillId="5" borderId="17" xfId="0" applyFill="1" applyBorder="1" applyAlignment="1" applyProtection="1">
      <alignment horizontal="center"/>
      <protection locked="0"/>
    </xf>
    <xf numFmtId="0" fontId="0" fillId="5" borderId="18" xfId="0" applyFill="1" applyBorder="1" applyAlignment="1" applyProtection="1">
      <alignment horizontal="center"/>
      <protection locked="0"/>
    </xf>
    <xf numFmtId="0" fontId="0" fillId="5" borderId="7" xfId="0" applyFill="1" applyBorder="1" applyAlignment="1" applyProtection="1">
      <alignment horizontal="center"/>
      <protection locked="0"/>
    </xf>
    <xf numFmtId="0" fontId="0" fillId="5" borderId="8" xfId="0" applyFill="1" applyBorder="1" applyAlignment="1" applyProtection="1">
      <alignment horizontal="center"/>
      <protection locked="0"/>
    </xf>
    <xf numFmtId="0" fontId="0" fillId="5" borderId="2" xfId="0" applyFill="1" applyBorder="1" applyAlignment="1" applyProtection="1">
      <alignment horizontal="center"/>
      <protection locked="0"/>
    </xf>
    <xf numFmtId="0" fontId="1" fillId="3" borderId="26" xfId="0" applyFont="1" applyFill="1" applyBorder="1" applyAlignment="1">
      <alignment horizontal="center" vertical="center" wrapText="1"/>
    </xf>
    <xf numFmtId="0" fontId="0" fillId="5" borderId="23" xfId="0" applyFill="1" applyBorder="1" applyAlignment="1" applyProtection="1">
      <alignment horizontal="center"/>
      <protection locked="0"/>
    </xf>
    <xf numFmtId="0" fontId="1" fillId="3" borderId="29" xfId="0" applyFont="1" applyFill="1" applyBorder="1" applyAlignment="1">
      <alignment horizontal="center" vertical="center" wrapText="1"/>
    </xf>
    <xf numFmtId="0" fontId="0" fillId="5" borderId="6" xfId="0" applyFill="1" applyBorder="1" applyProtection="1">
      <protection locked="0"/>
    </xf>
    <xf numFmtId="0" fontId="0" fillId="0" borderId="11" xfId="0" applyBorder="1" applyAlignment="1">
      <alignment horizontal="center"/>
    </xf>
    <xf numFmtId="0" fontId="0" fillId="5" borderId="3" xfId="0" applyFill="1" applyBorder="1" applyAlignment="1" applyProtection="1">
      <alignment horizontal="center"/>
      <protection locked="0"/>
    </xf>
    <xf numFmtId="0" fontId="0" fillId="5" borderId="30" xfId="0" applyFill="1" applyBorder="1" applyAlignment="1" applyProtection="1">
      <alignment horizontal="center"/>
      <protection locked="0"/>
    </xf>
    <xf numFmtId="0" fontId="0" fillId="5" borderId="3" xfId="0" applyFill="1" applyBorder="1" applyProtection="1">
      <protection locked="0"/>
    </xf>
    <xf numFmtId="0" fontId="0" fillId="5" borderId="24" xfId="0" applyFill="1" applyBorder="1" applyAlignment="1" applyProtection="1">
      <alignment horizontal="center"/>
      <protection locked="0"/>
    </xf>
    <xf numFmtId="0" fontId="0" fillId="5" borderId="33" xfId="0" applyFill="1" applyBorder="1" applyAlignment="1" applyProtection="1">
      <alignment horizontal="center"/>
      <protection locked="0"/>
    </xf>
    <xf numFmtId="15" fontId="6" fillId="5" borderId="34" xfId="0" applyNumberFormat="1" applyFont="1" applyFill="1" applyBorder="1" applyAlignment="1" applyProtection="1">
      <alignment horizontal="center" vertical="center"/>
      <protection locked="0"/>
    </xf>
    <xf numFmtId="0" fontId="0" fillId="0" borderId="37" xfId="0" applyBorder="1" applyAlignment="1">
      <alignment horizontal="center"/>
    </xf>
    <xf numFmtId="0" fontId="0" fillId="5" borderId="32" xfId="0" applyFill="1" applyBorder="1" applyAlignment="1" applyProtection="1">
      <alignment horizontal="center"/>
      <protection locked="0"/>
    </xf>
    <xf numFmtId="15" fontId="6" fillId="0" borderId="34" xfId="0" applyNumberFormat="1" applyFont="1" applyFill="1" applyBorder="1" applyAlignment="1" applyProtection="1">
      <alignment horizontal="center" vertical="center"/>
    </xf>
    <xf numFmtId="0" fontId="0" fillId="6" borderId="0" xfId="0" applyFill="1"/>
    <xf numFmtId="0" fontId="0" fillId="6" borderId="36" xfId="0" applyFill="1" applyBorder="1"/>
    <xf numFmtId="0" fontId="0" fillId="6" borderId="0" xfId="0" applyFill="1" applyAlignment="1">
      <alignment vertical="center"/>
    </xf>
    <xf numFmtId="0" fontId="0" fillId="6" borderId="0" xfId="0" applyFill="1" applyAlignment="1">
      <alignment horizontal="center"/>
    </xf>
    <xf numFmtId="0" fontId="1" fillId="3" borderId="15" xfId="0" applyFont="1" applyFill="1" applyBorder="1" applyAlignment="1">
      <alignment horizontal="center" vertical="center" wrapText="1"/>
    </xf>
    <xf numFmtId="0" fontId="0" fillId="0" borderId="4" xfId="0" applyBorder="1" applyAlignment="1">
      <alignment horizontal="center"/>
    </xf>
    <xf numFmtId="0" fontId="0" fillId="0" borderId="6" xfId="0" applyBorder="1" applyAlignment="1">
      <alignment horizontal="center"/>
    </xf>
    <xf numFmtId="0" fontId="0" fillId="0" borderId="46" xfId="0" applyBorder="1" applyAlignment="1">
      <alignment horizontal="center"/>
    </xf>
    <xf numFmtId="0" fontId="0" fillId="0" borderId="45" xfId="0" applyBorder="1" applyAlignment="1">
      <alignment horizontal="center"/>
    </xf>
    <xf numFmtId="0" fontId="4" fillId="3" borderId="37" xfId="0" applyFont="1" applyFill="1" applyBorder="1" applyAlignment="1">
      <alignment horizontal="center" vertical="center"/>
    </xf>
    <xf numFmtId="10" fontId="4" fillId="3" borderId="37" xfId="0" applyNumberFormat="1" applyFont="1" applyFill="1" applyBorder="1" applyAlignment="1">
      <alignment horizontal="center" vertical="center"/>
    </xf>
    <xf numFmtId="0" fontId="0" fillId="5" borderId="30" xfId="0" applyFill="1" applyBorder="1" applyProtection="1">
      <protection locked="0"/>
    </xf>
    <xf numFmtId="0" fontId="0" fillId="5" borderId="47" xfId="0" applyFill="1" applyBorder="1" applyAlignment="1" applyProtection="1">
      <alignment horizontal="center"/>
      <protection locked="0"/>
    </xf>
    <xf numFmtId="0" fontId="0" fillId="0" borderId="49" xfId="0" applyBorder="1" applyAlignment="1">
      <alignment horizontal="center"/>
    </xf>
    <xf numFmtId="0" fontId="0" fillId="7" borderId="0" xfId="0" applyFill="1"/>
    <xf numFmtId="0" fontId="0" fillId="7" borderId="0" xfId="0" applyFill="1" applyAlignment="1">
      <alignment horizontal="center"/>
    </xf>
    <xf numFmtId="0" fontId="0" fillId="6" borderId="0" xfId="0" applyFill="1" applyAlignment="1">
      <alignment horizontal="center" vertical="center"/>
    </xf>
    <xf numFmtId="0" fontId="0" fillId="6" borderId="0" xfId="0" applyFill="1" applyBorder="1"/>
    <xf numFmtId="0" fontId="0" fillId="6" borderId="0" xfId="0" applyFill="1" applyBorder="1" applyAlignment="1">
      <alignment horizontal="center"/>
    </xf>
    <xf numFmtId="0" fontId="0" fillId="0" borderId="38" xfId="0" applyBorder="1" applyAlignment="1">
      <alignment horizontal="center"/>
    </xf>
    <xf numFmtId="0" fontId="0" fillId="0" borderId="44" xfId="0" applyBorder="1" applyAlignment="1">
      <alignment horizontal="center"/>
    </xf>
    <xf numFmtId="0" fontId="0" fillId="0" borderId="39" xfId="0" applyFont="1" applyBorder="1" applyAlignment="1">
      <alignment horizontal="center"/>
    </xf>
    <xf numFmtId="0" fontId="0" fillId="0" borderId="51" xfId="0" applyFont="1" applyBorder="1" applyAlignment="1">
      <alignment horizontal="center"/>
    </xf>
    <xf numFmtId="0" fontId="0" fillId="0" borderId="25" xfId="0" applyBorder="1" applyAlignment="1">
      <alignment horizontal="center"/>
    </xf>
    <xf numFmtId="0" fontId="0" fillId="6" borderId="19" xfId="0" applyFill="1" applyBorder="1" applyAlignment="1">
      <alignment horizontal="center"/>
    </xf>
    <xf numFmtId="0" fontId="9" fillId="5" borderId="12" xfId="0" applyFont="1" applyFill="1" applyBorder="1" applyAlignment="1" applyProtection="1">
      <alignment horizontal="center"/>
      <protection locked="0"/>
    </xf>
    <xf numFmtId="0" fontId="0" fillId="6" borderId="51" xfId="0" applyFill="1" applyBorder="1" applyAlignment="1">
      <alignment horizontal="center"/>
    </xf>
    <xf numFmtId="0" fontId="0" fillId="6" borderId="51" xfId="0" applyFill="1" applyBorder="1"/>
    <xf numFmtId="0" fontId="0" fillId="6" borderId="36" xfId="0" applyFill="1" applyBorder="1" applyAlignment="1">
      <alignment vertical="center"/>
    </xf>
    <xf numFmtId="0" fontId="2" fillId="0" borderId="7" xfId="0" applyFont="1" applyBorder="1" applyAlignment="1">
      <alignment horizontal="center" vertical="center" wrapText="1"/>
    </xf>
    <xf numFmtId="0" fontId="4" fillId="3" borderId="39" xfId="0" applyFont="1" applyFill="1" applyBorder="1" applyAlignment="1">
      <alignment horizontal="center" vertical="center"/>
    </xf>
    <xf numFmtId="0" fontId="2" fillId="0" borderId="12" xfId="0" applyFont="1" applyBorder="1" applyAlignment="1">
      <alignment horizontal="center" vertical="center" wrapText="1"/>
    </xf>
    <xf numFmtId="0" fontId="10" fillId="0" borderId="39" xfId="0" applyFont="1" applyBorder="1" applyAlignment="1">
      <alignment horizontal="right"/>
    </xf>
    <xf numFmtId="164" fontId="0" fillId="2" borderId="27" xfId="0" applyNumberFormat="1" applyFill="1" applyBorder="1" applyAlignment="1">
      <alignment horizontal="center"/>
    </xf>
    <xf numFmtId="164" fontId="9" fillId="0" borderId="27" xfId="0" applyNumberFormat="1" applyFont="1" applyFill="1" applyBorder="1" applyAlignment="1">
      <alignment horizontal="center"/>
    </xf>
    <xf numFmtId="164" fontId="0" fillId="0" borderId="27" xfId="0" applyNumberFormat="1" applyFont="1" applyFill="1" applyBorder="1" applyAlignment="1">
      <alignment horizontal="center"/>
    </xf>
    <xf numFmtId="164" fontId="0" fillId="0" borderId="48" xfId="0" applyNumberFormat="1" applyFont="1" applyFill="1" applyBorder="1" applyAlignment="1">
      <alignment horizontal="center"/>
    </xf>
    <xf numFmtId="164" fontId="0" fillId="2" borderId="12" xfId="0" applyNumberFormat="1" applyFill="1" applyBorder="1" applyAlignment="1">
      <alignment horizontal="center"/>
    </xf>
    <xf numFmtId="164" fontId="9" fillId="2" borderId="12" xfId="0" applyNumberFormat="1" applyFont="1" applyFill="1" applyBorder="1" applyAlignment="1">
      <alignment horizontal="center"/>
    </xf>
    <xf numFmtId="164" fontId="0" fillId="2" borderId="47" xfId="0" applyNumberFormat="1" applyFill="1" applyBorder="1" applyAlignment="1">
      <alignment horizontal="center"/>
    </xf>
    <xf numFmtId="15" fontId="6" fillId="0" borderId="37" xfId="0" applyNumberFormat="1" applyFont="1" applyFill="1" applyBorder="1" applyAlignment="1" applyProtection="1">
      <alignment horizontal="center" vertical="center"/>
    </xf>
    <xf numFmtId="0" fontId="1" fillId="0" borderId="35" xfId="0" applyFont="1" applyFill="1" applyBorder="1" applyAlignment="1">
      <alignment horizontal="center" vertical="center" wrapText="1"/>
    </xf>
    <xf numFmtId="10" fontId="4" fillId="8" borderId="37" xfId="0" applyNumberFormat="1" applyFont="1" applyFill="1" applyBorder="1" applyAlignment="1">
      <alignment horizontal="center" vertical="center"/>
    </xf>
    <xf numFmtId="164" fontId="0" fillId="5" borderId="23" xfId="0" applyNumberFormat="1" applyFill="1" applyBorder="1" applyAlignment="1" applyProtection="1">
      <alignment horizontal="center"/>
      <protection locked="0"/>
    </xf>
    <xf numFmtId="1" fontId="9" fillId="5" borderId="12" xfId="0" applyNumberFormat="1" applyFont="1" applyFill="1" applyBorder="1" applyAlignment="1" applyProtection="1">
      <alignment horizontal="center"/>
      <protection locked="0"/>
    </xf>
    <xf numFmtId="1" fontId="0" fillId="0" borderId="12" xfId="0" applyNumberFormat="1" applyFill="1" applyBorder="1" applyAlignment="1">
      <alignment horizontal="center"/>
    </xf>
    <xf numFmtId="1" fontId="0" fillId="0" borderId="27" xfId="0" applyNumberFormat="1" applyFill="1" applyBorder="1" applyAlignment="1">
      <alignment horizontal="center"/>
    </xf>
    <xf numFmtId="0" fontId="15" fillId="4" borderId="22" xfId="0" applyFont="1" applyFill="1" applyBorder="1" applyAlignment="1">
      <alignment horizontal="center" vertical="center" wrapText="1"/>
    </xf>
    <xf numFmtId="0" fontId="15" fillId="4" borderId="14" xfId="0" applyFont="1" applyFill="1" applyBorder="1" applyAlignment="1">
      <alignment horizontal="center" vertical="center" wrapText="1"/>
    </xf>
    <xf numFmtId="0" fontId="15" fillId="4" borderId="15" xfId="0" applyFont="1" applyFill="1" applyBorder="1" applyAlignment="1">
      <alignment horizontal="center" vertical="center" wrapText="1"/>
    </xf>
    <xf numFmtId="0" fontId="15" fillId="4" borderId="26" xfId="0" applyFont="1" applyFill="1" applyBorder="1" applyAlignment="1">
      <alignment horizontal="center" vertical="center"/>
    </xf>
    <xf numFmtId="0" fontId="15" fillId="4" borderId="31"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1" fillId="3" borderId="29" xfId="0" applyFont="1" applyFill="1" applyBorder="1" applyAlignment="1">
      <alignment horizontal="center" vertical="center" wrapText="1"/>
    </xf>
    <xf numFmtId="0" fontId="11" fillId="3" borderId="50" xfId="0" applyFont="1" applyFill="1" applyBorder="1" applyAlignment="1">
      <alignment horizontal="center" vertical="center" wrapText="1"/>
    </xf>
    <xf numFmtId="0" fontId="11" fillId="3" borderId="15" xfId="0" applyFont="1" applyFill="1" applyBorder="1" applyAlignment="1">
      <alignment horizontal="center" vertical="center" wrapText="1"/>
    </xf>
    <xf numFmtId="0" fontId="11" fillId="3" borderId="28" xfId="0" applyFont="1" applyFill="1" applyBorder="1" applyAlignment="1">
      <alignment horizontal="center" vertical="center" wrapText="1"/>
    </xf>
    <xf numFmtId="0" fontId="11" fillId="3" borderId="26" xfId="0" applyFont="1" applyFill="1" applyBorder="1" applyAlignment="1">
      <alignment horizontal="center" vertical="center" wrapText="1"/>
    </xf>
    <xf numFmtId="0" fontId="11" fillId="3" borderId="41" xfId="0" applyFont="1" applyFill="1" applyBorder="1" applyAlignment="1">
      <alignment horizontal="center" vertical="center" wrapText="1"/>
    </xf>
    <xf numFmtId="0" fontId="17" fillId="5" borderId="52" xfId="0" applyFont="1" applyFill="1" applyBorder="1" applyAlignment="1" applyProtection="1">
      <alignment horizontal="center" vertical="center" wrapText="1"/>
      <protection locked="0"/>
    </xf>
    <xf numFmtId="0" fontId="17" fillId="0" borderId="20" xfId="0" applyFont="1" applyFill="1" applyBorder="1" applyAlignment="1" applyProtection="1">
      <alignment horizontal="center" vertical="center"/>
    </xf>
    <xf numFmtId="0" fontId="0" fillId="0" borderId="39" xfId="0" applyFont="1" applyBorder="1" applyAlignment="1">
      <alignment horizontal="right"/>
    </xf>
    <xf numFmtId="15" fontId="6" fillId="0" borderId="52" xfId="0" applyNumberFormat="1" applyFont="1" applyFill="1" applyBorder="1" applyAlignment="1" applyProtection="1">
      <alignment horizontal="center" vertical="center"/>
    </xf>
    <xf numFmtId="0" fontId="1" fillId="5" borderId="38" xfId="0" applyFont="1" applyFill="1" applyBorder="1" applyAlignment="1" applyProtection="1">
      <alignment horizontal="left"/>
      <protection locked="0"/>
    </xf>
    <xf numFmtId="0" fontId="1" fillId="5" borderId="40" xfId="0" applyFont="1" applyFill="1" applyBorder="1" applyAlignment="1" applyProtection="1">
      <alignment horizontal="left"/>
      <protection locked="0"/>
    </xf>
    <xf numFmtId="0" fontId="0" fillId="0" borderId="39" xfId="0" applyFont="1" applyBorder="1" applyAlignment="1">
      <alignment horizontal="right"/>
    </xf>
    <xf numFmtId="0" fontId="2" fillId="0" borderId="2" xfId="0" applyFont="1" applyBorder="1" applyAlignment="1">
      <alignment horizontal="left" vertical="center" wrapText="1"/>
    </xf>
    <xf numFmtId="0" fontId="2" fillId="0" borderId="21" xfId="0" applyFont="1" applyBorder="1" applyAlignment="1">
      <alignment horizontal="left" vertical="center" wrapText="1"/>
    </xf>
    <xf numFmtId="0" fontId="2" fillId="0" borderId="3" xfId="0" applyFont="1" applyBorder="1" applyAlignment="1">
      <alignment horizontal="left" vertical="center" wrapText="1"/>
    </xf>
    <xf numFmtId="0" fontId="6" fillId="0" borderId="25" xfId="0" applyFont="1" applyFill="1" applyBorder="1" applyAlignment="1">
      <alignment horizontal="left" vertical="center"/>
    </xf>
    <xf numFmtId="0" fontId="5" fillId="0" borderId="19" xfId="0" applyFont="1" applyFill="1" applyBorder="1" applyAlignment="1">
      <alignment horizontal="left" vertical="center"/>
    </xf>
    <xf numFmtId="0" fontId="1" fillId="0" borderId="35" xfId="0" applyFont="1" applyFill="1" applyBorder="1" applyAlignment="1">
      <alignment horizontal="center" vertical="center" wrapText="1"/>
    </xf>
    <xf numFmtId="0" fontId="0" fillId="0" borderId="19" xfId="0" applyFill="1" applyBorder="1" applyAlignment="1">
      <alignment horizontal="center" vertical="center"/>
    </xf>
    <xf numFmtId="0" fontId="0" fillId="0" borderId="20" xfId="0" applyFill="1" applyBorder="1" applyAlignment="1">
      <alignment horizontal="center" vertical="center"/>
    </xf>
    <xf numFmtId="0" fontId="8" fillId="0" borderId="38" xfId="0" applyFont="1" applyBorder="1" applyAlignment="1">
      <alignment horizontal="center"/>
    </xf>
    <xf numFmtId="0" fontId="0" fillId="0" borderId="39" xfId="0" applyBorder="1" applyAlignment="1"/>
    <xf numFmtId="0" fontId="0" fillId="0" borderId="40" xfId="0" applyBorder="1" applyAlignment="1"/>
    <xf numFmtId="0" fontId="1" fillId="5" borderId="39" xfId="0" applyFont="1" applyFill="1" applyBorder="1" applyAlignment="1" applyProtection="1">
      <alignment horizontal="left"/>
      <protection locked="0"/>
    </xf>
    <xf numFmtId="0" fontId="0" fillId="0" borderId="53" xfId="0" applyBorder="1" applyAlignment="1">
      <alignment horizontal="left" vertical="center" wrapText="1"/>
    </xf>
    <xf numFmtId="0" fontId="0" fillId="0" borderId="21" xfId="0" applyBorder="1" applyAlignment="1">
      <alignment horizontal="left" vertical="center" wrapText="1"/>
    </xf>
    <xf numFmtId="0" fontId="0" fillId="0" borderId="3" xfId="0" applyBorder="1" applyAlignment="1">
      <alignment horizontal="left" vertical="center" wrapText="1"/>
    </xf>
    <xf numFmtId="0" fontId="0" fillId="6" borderId="36" xfId="0" applyFill="1" applyBorder="1" applyAlignment="1"/>
    <xf numFmtId="0" fontId="0" fillId="6" borderId="0" xfId="0" applyFill="1" applyAlignment="1"/>
    <xf numFmtId="0" fontId="3" fillId="0" borderId="2" xfId="0" applyFont="1" applyBorder="1" applyAlignment="1">
      <alignment horizontal="left" vertical="center" wrapText="1"/>
    </xf>
    <xf numFmtId="0" fontId="3" fillId="0" borderId="21" xfId="0" applyFont="1" applyBorder="1" applyAlignment="1">
      <alignment horizontal="left" vertical="center" wrapText="1"/>
    </xf>
    <xf numFmtId="0" fontId="3" fillId="0" borderId="3" xfId="0" applyFont="1" applyBorder="1" applyAlignment="1">
      <alignment horizontal="left" vertical="center" wrapText="1"/>
    </xf>
    <xf numFmtId="0" fontId="1" fillId="0" borderId="39" xfId="0" applyFont="1" applyFill="1" applyBorder="1" applyAlignment="1">
      <alignment horizontal="left"/>
    </xf>
    <xf numFmtId="0" fontId="5" fillId="0" borderId="19" xfId="0" applyFont="1" applyBorder="1" applyAlignment="1">
      <alignment horizontal="left" vertical="center"/>
    </xf>
    <xf numFmtId="0" fontId="1" fillId="0" borderId="39" xfId="0" applyFont="1" applyFill="1" applyBorder="1" applyAlignment="1"/>
    <xf numFmtId="0" fontId="1" fillId="0" borderId="40" xfId="0" applyFont="1" applyFill="1" applyBorder="1" applyAlignment="1">
      <alignment horizontal="left"/>
    </xf>
    <xf numFmtId="0" fontId="1" fillId="3" borderId="42" xfId="0" applyFont="1" applyFill="1" applyBorder="1" applyAlignment="1">
      <alignment horizontal="center" vertical="center" wrapText="1"/>
    </xf>
    <xf numFmtId="0" fontId="0" fillId="0" borderId="43" xfId="0" applyBorder="1" applyAlignment="1">
      <alignment horizontal="center"/>
    </xf>
    <xf numFmtId="0" fontId="6" fillId="6" borderId="0" xfId="0" applyFont="1" applyFill="1" applyBorder="1" applyAlignment="1">
      <alignment horizontal="right"/>
    </xf>
    <xf numFmtId="0" fontId="5" fillId="6" borderId="0" xfId="0" applyFont="1" applyFill="1" applyBorder="1" applyAlignment="1">
      <alignment horizontal="right"/>
    </xf>
    <xf numFmtId="0" fontId="1" fillId="0" borderId="51" xfId="0" applyFont="1" applyFill="1" applyBorder="1" applyAlignment="1">
      <alignment horizontal="left"/>
    </xf>
    <xf numFmtId="0" fontId="0" fillId="0" borderId="51" xfId="0" applyBorder="1" applyAlignment="1"/>
    <xf numFmtId="0" fontId="11" fillId="0" borderId="25" xfId="0" applyFont="1" applyFill="1" applyBorder="1" applyAlignment="1">
      <alignment horizontal="left" vertical="center" wrapText="1"/>
    </xf>
    <xf numFmtId="0" fontId="12" fillId="0" borderId="19" xfId="0" applyFont="1" applyBorder="1" applyAlignment="1">
      <alignment horizontal="left" vertical="center" wrapText="1"/>
    </xf>
    <xf numFmtId="0" fontId="13" fillId="0" borderId="38" xfId="0" applyFont="1" applyFill="1" applyBorder="1" applyAlignment="1">
      <alignment horizontal="center" vertical="center" wrapText="1"/>
    </xf>
    <xf numFmtId="0" fontId="0" fillId="0" borderId="39" xfId="0" applyBorder="1" applyAlignment="1">
      <alignment horizontal="center" vertical="center"/>
    </xf>
    <xf numFmtId="0" fontId="3" fillId="0" borderId="44" xfId="0" applyFont="1" applyBorder="1" applyAlignment="1">
      <alignment horizontal="left" vertical="center" wrapText="1"/>
    </xf>
    <xf numFmtId="0" fontId="3" fillId="0" borderId="51" xfId="0" applyFont="1" applyBorder="1" applyAlignment="1">
      <alignment horizontal="left" vertical="center" wrapText="1"/>
    </xf>
    <xf numFmtId="0" fontId="14" fillId="0" borderId="24" xfId="0" applyFont="1" applyBorder="1" applyAlignment="1">
      <alignment horizontal="left" vertical="center" wrapText="1"/>
    </xf>
    <xf numFmtId="0" fontId="14" fillId="0" borderId="7" xfId="0" applyFont="1" applyBorder="1" applyAlignment="1">
      <alignment horizontal="left"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4" fillId="3" borderId="38" xfId="0" applyFont="1" applyFill="1" applyBorder="1" applyAlignment="1">
      <alignment horizontal="center" vertical="center"/>
    </xf>
    <xf numFmtId="0" fontId="4" fillId="3" borderId="39" xfId="0" applyFont="1" applyFill="1" applyBorder="1" applyAlignment="1">
      <alignment horizontal="center" vertical="center"/>
    </xf>
    <xf numFmtId="0" fontId="4" fillId="3" borderId="40" xfId="0" applyFont="1" applyFill="1" applyBorder="1" applyAlignment="1">
      <alignment horizontal="center" vertical="center"/>
    </xf>
    <xf numFmtId="0" fontId="2" fillId="0" borderId="23"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1" fillId="0" borderId="40" xfId="0" applyFont="1" applyFill="1" applyBorder="1" applyAlignment="1"/>
    <xf numFmtId="0" fontId="8" fillId="0" borderId="39" xfId="0" applyFont="1" applyBorder="1" applyAlignment="1">
      <alignment horizontal="center"/>
    </xf>
    <xf numFmtId="0" fontId="8" fillId="0" borderId="40" xfId="0" applyFont="1" applyBorder="1" applyAlignment="1">
      <alignment horizontal="center"/>
    </xf>
    <xf numFmtId="0" fontId="2" fillId="0" borderId="24" xfId="0" applyFont="1" applyBorder="1" applyAlignment="1">
      <alignment horizontal="center" vertical="center" wrapText="1"/>
    </xf>
    <xf numFmtId="0" fontId="11" fillId="0" borderId="38" xfId="0" applyFont="1" applyFill="1" applyBorder="1" applyAlignment="1">
      <alignment horizontal="left" vertical="center" wrapText="1"/>
    </xf>
    <xf numFmtId="0" fontId="12" fillId="0" borderId="39" xfId="0" applyFont="1" applyBorder="1" applyAlignment="1">
      <alignment horizontal="left" vertical="center" wrapText="1"/>
    </xf>
    <xf numFmtId="0" fontId="7" fillId="9" borderId="39" xfId="0" applyFont="1" applyFill="1" applyBorder="1" applyAlignment="1">
      <alignment horizontal="left" vertical="top" wrapText="1"/>
    </xf>
    <xf numFmtId="0" fontId="1" fillId="9" borderId="39" xfId="0" applyFont="1" applyFill="1" applyBorder="1" applyAlignment="1">
      <alignment horizontal="left" vertical="top" wrapText="1"/>
    </xf>
    <xf numFmtId="0" fontId="1" fillId="9" borderId="40" xfId="0" applyFont="1" applyFill="1" applyBorder="1" applyAlignment="1">
      <alignment wrapText="1"/>
    </xf>
  </cellXfs>
  <cellStyles count="1">
    <cellStyle name="Normal" xfId="0" builtinId="0"/>
  </cellStyles>
  <dxfs count="91">
    <dxf>
      <font>
        <b/>
        <i val="0"/>
        <color auto="1"/>
      </font>
      <fill>
        <patternFill>
          <bgColor rgb="FFFF0000"/>
        </patternFill>
      </fill>
    </dxf>
    <dxf>
      <font>
        <color theme="0"/>
      </font>
    </dxf>
    <dxf>
      <font>
        <color theme="0"/>
      </font>
    </dxf>
    <dxf>
      <font>
        <color theme="0"/>
      </font>
    </dxf>
    <dxf>
      <font>
        <color theme="0"/>
      </font>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color auto="1"/>
      </font>
      <fill>
        <patternFill>
          <bgColor rgb="FFFF0000"/>
        </patternFill>
      </fill>
    </dxf>
    <dxf>
      <font>
        <b/>
        <i val="0"/>
        <color auto="1"/>
      </font>
      <fill>
        <patternFill>
          <bgColor rgb="FFFF0000"/>
        </patternFill>
      </fill>
    </dxf>
    <dxf>
      <font>
        <b/>
        <i val="0"/>
        <color auto="1"/>
      </font>
      <fill>
        <patternFill>
          <bgColor rgb="FFFF0000"/>
        </patternFill>
      </fill>
    </dxf>
    <dxf>
      <font>
        <b/>
        <i val="0"/>
        <color auto="1"/>
      </font>
      <fill>
        <patternFill>
          <bgColor rgb="FFFF0000"/>
        </patternFill>
      </fill>
    </dxf>
    <dxf>
      <font>
        <b/>
        <i val="0"/>
        <color auto="1"/>
      </font>
      <fill>
        <patternFill>
          <bgColor rgb="FFFF0000"/>
        </patternFill>
      </fill>
    </dxf>
    <dxf>
      <font>
        <b/>
        <i val="0"/>
        <color auto="1"/>
      </font>
      <fill>
        <patternFill>
          <bgColor rgb="FFFF0000"/>
        </patternFill>
      </fill>
    </dxf>
    <dxf>
      <font>
        <b/>
        <i val="0"/>
        <color auto="1"/>
      </font>
      <fill>
        <patternFill>
          <bgColor rgb="FFFF0000"/>
        </patternFill>
      </fill>
    </dxf>
    <dxf>
      <font>
        <color theme="0"/>
      </font>
    </dxf>
    <dxf>
      <font>
        <color theme="0"/>
      </font>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color auto="1"/>
      </font>
      <fill>
        <patternFill>
          <bgColor rgb="FFFF0000"/>
        </patternFill>
      </fill>
    </dxf>
    <dxf>
      <font>
        <b/>
        <i val="0"/>
        <color auto="1"/>
      </font>
      <fill>
        <patternFill>
          <bgColor rgb="FFFF0000"/>
        </patternFill>
      </fill>
    </dxf>
    <dxf>
      <font>
        <b/>
        <i val="0"/>
        <color auto="1"/>
      </font>
      <fill>
        <patternFill>
          <bgColor rgb="FFFF0000"/>
        </patternFill>
      </fill>
    </dxf>
    <dxf>
      <font>
        <b/>
        <i val="0"/>
        <color auto="1"/>
      </font>
      <fill>
        <patternFill>
          <bgColor rgb="FFFF0000"/>
        </patternFill>
      </fill>
    </dxf>
    <dxf>
      <font>
        <b/>
        <i val="0"/>
        <color auto="1"/>
      </font>
      <fill>
        <patternFill>
          <bgColor rgb="FFFF0000"/>
        </patternFill>
      </fill>
    </dxf>
    <dxf>
      <font>
        <b/>
        <i val="0"/>
        <color auto="1"/>
      </font>
      <fill>
        <patternFill>
          <bgColor rgb="FFFF0000"/>
        </patternFill>
      </fill>
    </dxf>
    <dxf>
      <font>
        <b/>
        <i val="0"/>
        <color auto="1"/>
      </font>
      <fill>
        <patternFill>
          <bgColor rgb="FFFF0000"/>
        </patternFill>
      </fill>
    </dxf>
    <dxf>
      <font>
        <b/>
        <i val="0"/>
      </font>
      <fill>
        <patternFill>
          <bgColor rgb="FF92D050"/>
        </patternFill>
      </fill>
    </dxf>
    <dxf>
      <font>
        <b/>
        <i val="0"/>
      </font>
      <fill>
        <patternFill>
          <bgColor rgb="FFFF3300"/>
        </patternFill>
      </fill>
    </dxf>
    <dxf>
      <fill>
        <patternFill>
          <bgColor rgb="FF00B050"/>
        </patternFill>
      </fill>
    </dxf>
    <dxf>
      <fill>
        <patternFill>
          <bgColor rgb="FF00B050"/>
        </patternFill>
      </fill>
    </dxf>
    <dxf>
      <font>
        <b/>
        <i val="0"/>
      </font>
      <fill>
        <patternFill>
          <bgColor rgb="FF00B050"/>
        </patternFill>
      </fill>
    </dxf>
    <dxf>
      <font>
        <b/>
        <i val="0"/>
      </font>
      <fill>
        <patternFill>
          <bgColor rgb="FFFF3300"/>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color auto="1"/>
      </font>
      <fill>
        <patternFill>
          <bgColor rgb="FFFF0000"/>
        </patternFill>
      </fill>
    </dxf>
    <dxf>
      <font>
        <b/>
        <i val="0"/>
        <color auto="1"/>
      </font>
      <fill>
        <patternFill>
          <bgColor rgb="FFFF0000"/>
        </patternFill>
      </fill>
    </dxf>
    <dxf>
      <font>
        <b/>
        <i val="0"/>
        <color auto="1"/>
      </font>
      <fill>
        <patternFill>
          <bgColor rgb="FFFF0000"/>
        </patternFill>
      </fill>
    </dxf>
    <dxf>
      <font>
        <b/>
        <i val="0"/>
        <color auto="1"/>
      </font>
      <fill>
        <patternFill>
          <bgColor rgb="FFFF0000"/>
        </patternFill>
      </fill>
    </dxf>
    <dxf>
      <font>
        <b/>
        <i val="0"/>
        <color auto="1"/>
      </font>
      <fill>
        <patternFill>
          <bgColor rgb="FFFF0000"/>
        </patternFill>
      </fill>
    </dxf>
    <dxf>
      <font>
        <b/>
        <i val="0"/>
        <color auto="1"/>
      </font>
      <fill>
        <patternFill>
          <bgColor rgb="FFFF0000"/>
        </patternFill>
      </fill>
    </dxf>
    <dxf>
      <font>
        <b/>
        <i val="0"/>
        <color auto="1"/>
      </font>
      <fill>
        <patternFill>
          <bgColor rgb="FFFF0000"/>
        </patternFill>
      </fill>
    </dxf>
    <dxf>
      <font>
        <b/>
        <i val="0"/>
      </font>
      <fill>
        <patternFill>
          <bgColor rgb="FF92D050"/>
        </patternFill>
      </fill>
    </dxf>
    <dxf>
      <font>
        <b/>
        <i val="0"/>
      </font>
      <fill>
        <patternFill>
          <bgColor rgb="FFFF3300"/>
        </patternFill>
      </fill>
    </dxf>
    <dxf>
      <fill>
        <patternFill>
          <bgColor rgb="FF00B050"/>
        </patternFill>
      </fill>
    </dxf>
    <dxf>
      <fill>
        <patternFill>
          <bgColor rgb="FF00B050"/>
        </patternFill>
      </fill>
    </dxf>
    <dxf>
      <font>
        <b/>
        <i val="0"/>
      </font>
      <fill>
        <patternFill>
          <bgColor rgb="FF00B050"/>
        </patternFill>
      </fill>
    </dxf>
    <dxf>
      <font>
        <b/>
        <i val="0"/>
      </font>
      <fill>
        <patternFill>
          <bgColor rgb="FFFF3300"/>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3</xdr:col>
      <xdr:colOff>485775</xdr:colOff>
      <xdr:row>36</xdr:row>
      <xdr:rowOff>133350</xdr:rowOff>
    </xdr:from>
    <xdr:ext cx="184731" cy="264560"/>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704975" y="6800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xdr:col>
      <xdr:colOff>9525</xdr:colOff>
      <xdr:row>1</xdr:row>
      <xdr:rowOff>19047</xdr:rowOff>
    </xdr:from>
    <xdr:to>
      <xdr:col>9</xdr:col>
      <xdr:colOff>180975</xdr:colOff>
      <xdr:row>122</xdr:row>
      <xdr:rowOff>9524</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9525" y="19047"/>
          <a:ext cx="5048250" cy="230409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dk1"/>
              </a:solidFill>
              <a:effectLst/>
              <a:latin typeface="+mn-lt"/>
              <a:ea typeface="+mn-ea"/>
              <a:cs typeface="+mn-cs"/>
            </a:rPr>
            <a:t>Instructions for Preparation of</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                                                      </a:t>
          </a:r>
          <a:r>
            <a:rPr lang="en-US" sz="1200" b="1">
              <a:solidFill>
                <a:schemeClr val="dk1"/>
              </a:solidFill>
              <a:effectLst/>
              <a:latin typeface="+mn-lt"/>
              <a:ea typeface="+mn-ea"/>
              <a:cs typeface="+mn-cs"/>
            </a:rPr>
            <a:t>APPENDIX 3A &amp; 3A-1</a:t>
          </a:r>
        </a:p>
        <a:p>
          <a:r>
            <a:rPr lang="en-US" sz="1100">
              <a:solidFill>
                <a:schemeClr val="dk1"/>
              </a:solidFill>
              <a:effectLst/>
              <a:latin typeface="+mn-lt"/>
              <a:ea typeface="+mn-ea"/>
              <a:cs typeface="+mn-cs"/>
            </a:rPr>
            <a:t> </a:t>
          </a:r>
        </a:p>
        <a:p>
          <a:r>
            <a:rPr lang="en-US" sz="1100" b="1" u="sng">
              <a:solidFill>
                <a:schemeClr val="dk1"/>
              </a:solidFill>
              <a:effectLst/>
              <a:latin typeface="+mn-lt"/>
              <a:ea typeface="+mn-ea"/>
              <a:cs typeface="+mn-cs"/>
            </a:rPr>
            <a:t>1.</a:t>
          </a:r>
          <a:r>
            <a:rPr lang="en-US" sz="1100" b="1" u="sng" baseline="0">
              <a:solidFill>
                <a:schemeClr val="dk1"/>
              </a:solidFill>
              <a:effectLst/>
              <a:latin typeface="+mn-lt"/>
              <a:ea typeface="+mn-ea"/>
              <a:cs typeface="+mn-cs"/>
            </a:rPr>
            <a:t>  </a:t>
          </a:r>
          <a:r>
            <a:rPr lang="en-US" sz="1100">
              <a:solidFill>
                <a:schemeClr val="dk1"/>
              </a:solidFill>
              <a:effectLst/>
              <a:latin typeface="+mn-lt"/>
              <a:ea typeface="+mn-ea"/>
              <a:cs typeface="+mn-cs"/>
            </a:rPr>
            <a:t>The revised version of the appendix 3A will supersede the previous requirement of providing a stage assignment letter.   Each offeror shall indicate on the appendix 3A, number of aircraft, by type and FAA registration number which it is making available for acceptance by the Government. Additional blocks identifying cargo/passenger, and ownership must also be completed. Stage assignment should indicate the carrier’s preference regarding assignment to a particular stage. </a:t>
          </a:r>
          <a:r>
            <a:rPr lang="en-US" sz="1100" u="sng">
              <a:solidFill>
                <a:schemeClr val="dk1"/>
              </a:solidFill>
              <a:effectLst/>
              <a:latin typeface="+mn-lt"/>
              <a:ea typeface="+mn-ea"/>
              <a:cs typeface="+mn-cs"/>
            </a:rPr>
            <a:t>If “No Preference” is selected, placement of the aircraft within the fleet will be at the discretion of the CRAF office.</a:t>
          </a:r>
          <a:r>
            <a:rPr lang="en-US" sz="1100">
              <a:solidFill>
                <a:schemeClr val="dk1"/>
              </a:solidFill>
              <a:effectLst/>
              <a:latin typeface="+mn-lt"/>
              <a:ea typeface="+mn-ea"/>
              <a:cs typeface="+mn-cs"/>
            </a:rPr>
            <a:t>  To prevent stage assignement of a particular aircraft, do not place any marks in the “Carrier Recommendation for Stage Assignment” columns. All aircraft entered on the appendix 3A should be listed on the carrier’s current FAA Operation Specifications (Ops Spec) D085, </a:t>
          </a:r>
          <a:r>
            <a:rPr lang="en-US" sz="1100" i="1">
              <a:solidFill>
                <a:schemeClr val="dk1"/>
              </a:solidFill>
              <a:effectLst/>
              <a:latin typeface="+mn-lt"/>
              <a:ea typeface="+mn-ea"/>
              <a:cs typeface="+mn-cs"/>
            </a:rPr>
            <a:t>“Aircraft Listing”</a:t>
          </a:r>
          <a:r>
            <a:rPr lang="en-US" sz="1100">
              <a:solidFill>
                <a:schemeClr val="dk1"/>
              </a:solidFill>
              <a:effectLst/>
              <a:latin typeface="+mn-lt"/>
              <a:ea typeface="+mn-ea"/>
              <a:cs typeface="+mn-cs"/>
            </a:rPr>
            <a:t> to validate aircraft control. Complete the heading of the 3A by entering the carrier name, solicitation contract number, and the effective date of the D085 used to validate company aircraft. All highlighted cells on the forms 3A and 3A-1 require input from the offeror. All other cells have been locked to prevent accidental manipulation of the form.</a:t>
          </a:r>
        </a:p>
        <a:p>
          <a:r>
            <a:rPr lang="en-US" sz="1100">
              <a:solidFill>
                <a:schemeClr val="dk1"/>
              </a:solidFill>
              <a:effectLst/>
              <a:latin typeface="+mn-lt"/>
              <a:ea typeface="+mn-ea"/>
              <a:cs typeface="+mn-cs"/>
            </a:rPr>
            <a:t> </a:t>
          </a:r>
        </a:p>
        <a:p>
          <a:pPr lvl="0"/>
          <a:r>
            <a:rPr lang="en-US" sz="1100">
              <a:solidFill>
                <a:schemeClr val="dk1"/>
              </a:solidFill>
              <a:effectLst/>
              <a:latin typeface="+mn-lt"/>
              <a:ea typeface="+mn-ea"/>
              <a:cs typeface="+mn-cs"/>
            </a:rPr>
            <a:t>a.  All forms must be prepared utilizing the most current MS Excel-based file,      </a:t>
          </a:r>
        </a:p>
        <a:p>
          <a:pPr lvl="0"/>
          <a:r>
            <a:rPr lang="en-US" sz="1100">
              <a:solidFill>
                <a:schemeClr val="dk1"/>
              </a:solidFill>
              <a:effectLst/>
              <a:latin typeface="+mn-lt"/>
              <a:ea typeface="+mn-ea"/>
              <a:cs typeface="+mn-cs"/>
            </a:rPr>
            <a:t>    available at </a:t>
          </a:r>
          <a:r>
            <a:rPr lang="en-US" sz="1100" u="sng">
              <a:solidFill>
                <a:schemeClr val="dk1"/>
              </a:solidFill>
              <a:effectLst/>
              <a:latin typeface="+mn-lt"/>
              <a:ea typeface="+mn-ea"/>
              <a:cs typeface="+mn-cs"/>
              <a:hlinkClick xmlns:r="http://schemas.openxmlformats.org/officeDocument/2006/relationships" r:id=""/>
            </a:rPr>
            <a:t>http://www.amc.af.mil/library/businesscustomers.asp</a:t>
          </a:r>
          <a:r>
            <a:rPr lang="en-US" sz="1100">
              <a:solidFill>
                <a:schemeClr val="dk1"/>
              </a:solidFill>
              <a:effectLst/>
              <a:latin typeface="+mn-lt"/>
              <a:ea typeface="+mn-ea"/>
              <a:cs typeface="+mn-cs"/>
            </a:rPr>
            <a:t>, located under  </a:t>
          </a:r>
        </a:p>
        <a:p>
          <a:pPr lvl="0"/>
          <a:r>
            <a:rPr lang="en-US" sz="1100">
              <a:solidFill>
                <a:schemeClr val="dk1"/>
              </a:solidFill>
              <a:effectLst/>
              <a:latin typeface="+mn-lt"/>
              <a:ea typeface="+mn-ea"/>
              <a:cs typeface="+mn-cs"/>
            </a:rPr>
            <a:t>   “Information for Commercial Carriers.”</a:t>
          </a:r>
        </a:p>
        <a:p>
          <a:pPr lvl="0"/>
          <a:r>
            <a:rPr lang="en-US" sz="1100">
              <a:solidFill>
                <a:schemeClr val="dk1"/>
              </a:solidFill>
              <a:effectLst/>
              <a:latin typeface="+mn-lt"/>
              <a:ea typeface="+mn-ea"/>
              <a:cs typeface="+mn-cs"/>
            </a:rPr>
            <a:t>b.  Cargo aircraft data is computed using the 463L pallet (88” x 108” in size).</a:t>
          </a:r>
        </a:p>
        <a:p>
          <a:pPr lvl="0"/>
          <a:r>
            <a:rPr lang="en-US" sz="1100">
              <a:solidFill>
                <a:schemeClr val="dk1"/>
              </a:solidFill>
              <a:effectLst/>
              <a:latin typeface="+mn-lt"/>
              <a:ea typeface="+mn-ea"/>
              <a:cs typeface="+mn-cs"/>
            </a:rPr>
            <a:t>c.  Passenger data is computed using 400 pounds per passenger (includes baggage).</a:t>
          </a:r>
        </a:p>
        <a:p>
          <a:pPr lvl="0"/>
          <a:r>
            <a:rPr lang="en-US" sz="1100">
              <a:solidFill>
                <a:schemeClr val="dk1"/>
              </a:solidFill>
              <a:effectLst/>
              <a:latin typeface="+mn-lt"/>
              <a:ea typeface="+mn-ea"/>
              <a:cs typeface="+mn-cs"/>
            </a:rPr>
            <a:t>d.  When clearing any cell data, only use the “Delete” function on your computer </a:t>
          </a:r>
        </a:p>
        <a:p>
          <a:pPr lvl="0"/>
          <a:r>
            <a:rPr lang="en-US" sz="1100">
              <a:solidFill>
                <a:schemeClr val="dk1"/>
              </a:solidFill>
              <a:effectLst/>
              <a:latin typeface="+mn-lt"/>
              <a:ea typeface="+mn-ea"/>
              <a:cs typeface="+mn-cs"/>
            </a:rPr>
            <a:t>    keyboard. </a:t>
          </a:r>
          <a:r>
            <a:rPr lang="en-US" sz="1100" b="1" u="sng">
              <a:solidFill>
                <a:schemeClr val="dk1"/>
              </a:solidFill>
              <a:effectLst/>
              <a:latin typeface="+mn-lt"/>
              <a:ea typeface="+mn-ea"/>
              <a:cs typeface="+mn-cs"/>
            </a:rPr>
            <a:t>Do not</a:t>
          </a:r>
          <a:r>
            <a:rPr lang="en-US" sz="1100">
              <a:solidFill>
                <a:schemeClr val="dk1"/>
              </a:solidFill>
              <a:effectLst/>
              <a:latin typeface="+mn-lt"/>
              <a:ea typeface="+mn-ea"/>
              <a:cs typeface="+mn-cs"/>
            </a:rPr>
            <a:t> use the “Space Bar” to clear cell data, it may cause errors in the </a:t>
          </a:r>
        </a:p>
        <a:p>
          <a:pPr lvl="0"/>
          <a:r>
            <a:rPr lang="en-US" sz="1100">
              <a:solidFill>
                <a:schemeClr val="dk1"/>
              </a:solidFill>
              <a:effectLst/>
              <a:latin typeface="+mn-lt"/>
              <a:ea typeface="+mn-ea"/>
              <a:cs typeface="+mn-cs"/>
            </a:rPr>
            <a:t>    pre-calculation or conditional formatting formulas. If you inadvertently select the </a:t>
          </a:r>
        </a:p>
        <a:p>
          <a:pPr lvl="0"/>
          <a:r>
            <a:rPr lang="en-US" sz="1100">
              <a:solidFill>
                <a:schemeClr val="dk1"/>
              </a:solidFill>
              <a:effectLst/>
              <a:latin typeface="+mn-lt"/>
              <a:ea typeface="+mn-ea"/>
              <a:cs typeface="+mn-cs"/>
            </a:rPr>
            <a:t>    space bar to erase cell data and an error exist, select the “undo” button to correct </a:t>
          </a:r>
        </a:p>
        <a:p>
          <a:pPr lvl="0"/>
          <a:r>
            <a:rPr lang="en-US" sz="1100">
              <a:solidFill>
                <a:schemeClr val="dk1"/>
              </a:solidFill>
              <a:effectLst/>
              <a:latin typeface="+mn-lt"/>
              <a:ea typeface="+mn-ea"/>
              <a:cs typeface="+mn-cs"/>
            </a:rPr>
            <a:t>    the error. </a:t>
          </a:r>
        </a:p>
        <a:p>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u="sng">
              <a:solidFill>
                <a:schemeClr val="dk1"/>
              </a:solidFill>
              <a:effectLst/>
              <a:latin typeface="+mn-lt"/>
              <a:ea typeface="+mn-ea"/>
              <a:cs typeface="+mn-cs"/>
            </a:rPr>
            <a:t>2.</a:t>
          </a:r>
          <a:r>
            <a:rPr lang="en-US" sz="1100" baseline="0">
              <a:solidFill>
                <a:schemeClr val="dk1"/>
              </a:solidFill>
              <a:effectLst/>
              <a:latin typeface="+mn-lt"/>
              <a:ea typeface="+mn-ea"/>
              <a:cs typeface="+mn-cs"/>
            </a:rPr>
            <a:t>  </a:t>
          </a:r>
          <a:r>
            <a:rPr lang="en-US" sz="1100" i="1">
              <a:solidFill>
                <a:schemeClr val="dk1"/>
              </a:solidFill>
              <a:effectLst/>
              <a:latin typeface="+mn-lt"/>
              <a:ea typeface="+mn-ea"/>
              <a:cs typeface="+mn-cs"/>
            </a:rPr>
            <a:t>Appendix 3A-1,</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CRAF Capable Fleet Validation (Int’l Segment)</a:t>
          </a:r>
          <a:r>
            <a:rPr lang="en-US" sz="1100">
              <a:solidFill>
                <a:schemeClr val="dk1"/>
              </a:solidFill>
              <a:effectLst/>
              <a:latin typeface="+mn-lt"/>
              <a:ea typeface="+mn-ea"/>
              <a:cs typeface="+mn-cs"/>
            </a:rPr>
            <a:t> Long Range – Tab 5 of the spreadsheet is specifically data collection for aircraft assigned to the Long Range International (LRI) section. Offers made to the Short Range International (SRI) section in conjunction with the LRI offer, will add those aircraft to the appendix 3A-1 Fleet Validation (SRI) spreadsheet on Tab 6. If a carrier offers both categories of aircraft, passenger and cargo a separate appendix 3A-1 will be required for each category to validate the minimum WBE commitment. Each data cell will be explained below.</a:t>
          </a:r>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u="sng">
              <a:solidFill>
                <a:schemeClr val="dk1"/>
              </a:solidFill>
              <a:effectLst/>
              <a:latin typeface="+mn-lt"/>
              <a:ea typeface="+mn-ea"/>
              <a:cs typeface="+mn-cs"/>
            </a:rPr>
            <a:t>Long Range Section.</a:t>
          </a:r>
          <a:r>
            <a:rPr lang="en-US" sz="1100">
              <a:solidFill>
                <a:schemeClr val="dk1"/>
              </a:solidFill>
              <a:effectLst/>
              <a:latin typeface="+mn-lt"/>
              <a:ea typeface="+mn-ea"/>
              <a:cs typeface="+mn-cs"/>
            </a:rPr>
            <a:t>  Identify aircraft category by deleting the non-applicable type i.e., if the appendix 3A-1 is validating passenger aircraft, delete the word “Cargo” from the heading.</a:t>
          </a:r>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u="sng">
              <a:solidFill>
                <a:schemeClr val="dk1"/>
              </a:solidFill>
              <a:effectLst/>
              <a:latin typeface="+mn-lt"/>
              <a:ea typeface="+mn-ea"/>
              <a:cs typeface="+mn-cs"/>
            </a:rPr>
            <a:t>Aircraft Model/Series.</a:t>
          </a:r>
          <a:r>
            <a:rPr lang="en-US" sz="1100">
              <a:solidFill>
                <a:schemeClr val="dk1"/>
              </a:solidFill>
              <a:effectLst/>
              <a:latin typeface="+mn-lt"/>
              <a:ea typeface="+mn-ea"/>
              <a:cs typeface="+mn-cs"/>
            </a:rPr>
            <a:t>  Provide aircraft model and series (e.g. B747-400) of each CRAF capable aircraft entered on the carrier’s Ops Spec D085. If the model does not meet LRI minimums, only list the model identifier (e.g. A319). Listing each series of a  carrier’s fleet may exceed sufficient space to accommodate all aircraft entries. The carrier’s fleet as listed on the D085 will be listed on the Appendix 3A-1 intended to determine minimum WBE offered. </a:t>
          </a:r>
          <a:r>
            <a:rPr lang="en-US" sz="1100" b="1">
              <a:solidFill>
                <a:schemeClr val="dk1"/>
              </a:solidFill>
              <a:effectLst/>
              <a:latin typeface="+mn-lt"/>
              <a:ea typeface="+mn-ea"/>
              <a:cs typeface="+mn-cs"/>
            </a:rPr>
            <a:t>Note:</a:t>
          </a:r>
          <a:r>
            <a:rPr lang="en-US" sz="1100">
              <a:solidFill>
                <a:schemeClr val="dk1"/>
              </a:solidFill>
              <a:effectLst/>
              <a:latin typeface="+mn-lt"/>
              <a:ea typeface="+mn-ea"/>
              <a:cs typeface="+mn-cs"/>
            </a:rPr>
            <a:t> Use only the category (cargo or passenger) of fleet being validated. Aircraft of same model/series with different WBE values must be entered on a new line to account for the dissimilar WBE value.</a:t>
          </a:r>
        </a:p>
        <a:p>
          <a:endParaRPr lang="en-US" sz="1100"/>
        </a:p>
        <a:p>
          <a:pPr lvl="0"/>
          <a:r>
            <a:rPr lang="en-US" sz="1100" u="sng">
              <a:solidFill>
                <a:schemeClr val="dk1"/>
              </a:solidFill>
              <a:effectLst/>
              <a:latin typeface="+mn-lt"/>
              <a:ea typeface="+mn-ea"/>
              <a:cs typeface="+mn-cs"/>
            </a:rPr>
            <a:t>Total CRAF Capable Aircraft.</a:t>
          </a:r>
          <a:r>
            <a:rPr lang="en-US" sz="1100">
              <a:solidFill>
                <a:schemeClr val="dk1"/>
              </a:solidFill>
              <a:effectLst/>
              <a:latin typeface="+mn-lt"/>
              <a:ea typeface="+mn-ea"/>
              <a:cs typeface="+mn-cs"/>
            </a:rPr>
            <a:t>  Enter total number of aircraft meeting the minimum requirements as described in “Section M-3” of the solicitation contract. </a:t>
          </a:r>
        </a:p>
        <a:p>
          <a:pPr lvl="1"/>
          <a:r>
            <a:rPr lang="en-US" sz="1100">
              <a:solidFill>
                <a:schemeClr val="dk1"/>
              </a:solidFill>
              <a:effectLst/>
              <a:latin typeface="+mn-lt"/>
              <a:ea typeface="+mn-ea"/>
              <a:cs typeface="+mn-cs"/>
            </a:rPr>
            <a:t>(1)  All cargo aircraft, regardless of assigned Segment or Section, must be  </a:t>
          </a:r>
        </a:p>
        <a:p>
          <a:pPr lvl="1"/>
          <a:r>
            <a:rPr lang="en-US" sz="1100">
              <a:solidFill>
                <a:schemeClr val="dk1"/>
              </a:solidFill>
              <a:effectLst/>
              <a:latin typeface="+mn-lt"/>
              <a:ea typeface="+mn-ea"/>
              <a:cs typeface="+mn-cs"/>
            </a:rPr>
            <a:t>      capable of accommodating 108” x 88” (standard military) 463L  </a:t>
          </a:r>
        </a:p>
        <a:p>
          <a:pPr lvl="1"/>
          <a:r>
            <a:rPr lang="en-US" sz="1100">
              <a:solidFill>
                <a:schemeClr val="dk1"/>
              </a:solidFill>
              <a:effectLst/>
              <a:latin typeface="+mn-lt"/>
              <a:ea typeface="+mn-ea"/>
              <a:cs typeface="+mn-cs"/>
            </a:rPr>
            <a:t>      compatible pallets. Aircraft requiring modification to the Cargo Loading </a:t>
          </a:r>
        </a:p>
        <a:p>
          <a:pPr lvl="1"/>
          <a:r>
            <a:rPr lang="en-US" sz="1100">
              <a:solidFill>
                <a:schemeClr val="dk1"/>
              </a:solidFill>
              <a:effectLst/>
              <a:latin typeface="+mn-lt"/>
              <a:ea typeface="+mn-ea"/>
              <a:cs typeface="+mn-cs"/>
            </a:rPr>
            <a:t>      System (CLS) to accommodate the 463L pallet may qualify if the company </a:t>
          </a:r>
        </a:p>
        <a:p>
          <a:pPr lvl="1"/>
          <a:r>
            <a:rPr lang="en-US" sz="1100">
              <a:solidFill>
                <a:schemeClr val="dk1"/>
              </a:solidFill>
              <a:effectLst/>
              <a:latin typeface="+mn-lt"/>
              <a:ea typeface="+mn-ea"/>
              <a:cs typeface="+mn-cs"/>
            </a:rPr>
            <a:t>      owns or has access to sufficient quantities of equipment (or kits) </a:t>
          </a:r>
        </a:p>
        <a:p>
          <a:pPr lvl="1"/>
          <a:r>
            <a:rPr lang="en-US" sz="1100">
              <a:solidFill>
                <a:schemeClr val="dk1"/>
              </a:solidFill>
              <a:effectLst/>
              <a:latin typeface="+mn-lt"/>
              <a:ea typeface="+mn-ea"/>
              <a:cs typeface="+mn-cs"/>
            </a:rPr>
            <a:t>      necessary for conversion. </a:t>
          </a:r>
        </a:p>
        <a:p>
          <a:pPr lvl="1"/>
          <a:r>
            <a:rPr lang="en-US" sz="1100">
              <a:solidFill>
                <a:schemeClr val="dk1"/>
              </a:solidFill>
              <a:effectLst/>
              <a:latin typeface="+mn-lt"/>
              <a:ea typeface="+mn-ea"/>
              <a:cs typeface="+mn-cs"/>
            </a:rPr>
            <a:t>(2)  Passenger aircraft requiring seat and/or service facilities i.e. lavatories, </a:t>
          </a:r>
        </a:p>
        <a:p>
          <a:pPr lvl="1"/>
          <a:r>
            <a:rPr lang="en-US" sz="1100">
              <a:solidFill>
                <a:schemeClr val="dk1"/>
              </a:solidFill>
              <a:effectLst/>
              <a:latin typeface="+mn-lt"/>
              <a:ea typeface="+mn-ea"/>
              <a:cs typeface="+mn-cs"/>
            </a:rPr>
            <a:t>      galleys, reconfiguration must have the available equipment and be able to </a:t>
          </a:r>
        </a:p>
        <a:p>
          <a:pPr lvl="1"/>
          <a:r>
            <a:rPr lang="en-US" sz="1100">
              <a:solidFill>
                <a:schemeClr val="dk1"/>
              </a:solidFill>
              <a:effectLst/>
              <a:latin typeface="+mn-lt"/>
              <a:ea typeface="+mn-ea"/>
              <a:cs typeface="+mn-cs"/>
            </a:rPr>
            <a:t>      complete the configuration change to perform airlift services within the </a:t>
          </a:r>
        </a:p>
        <a:p>
          <a:pPr lvl="1"/>
          <a:r>
            <a:rPr lang="en-US" sz="1100">
              <a:solidFill>
                <a:schemeClr val="dk1"/>
              </a:solidFill>
              <a:effectLst/>
              <a:latin typeface="+mn-lt"/>
              <a:ea typeface="+mn-ea"/>
              <a:cs typeface="+mn-cs"/>
            </a:rPr>
            <a:t>      respective Stage response time.</a:t>
          </a:r>
        </a:p>
        <a:p>
          <a:endParaRPr lang="en-US" sz="1100"/>
        </a:p>
        <a:p>
          <a:pPr lvl="0"/>
          <a:r>
            <a:rPr lang="en-US" sz="1100" u="sng">
              <a:solidFill>
                <a:schemeClr val="dk1"/>
              </a:solidFill>
              <a:effectLst/>
              <a:latin typeface="+mn-lt"/>
              <a:ea typeface="+mn-ea"/>
              <a:cs typeface="+mn-cs"/>
            </a:rPr>
            <a:t>Total Aircraft in Fleet.</a:t>
          </a:r>
          <a:r>
            <a:rPr lang="en-US" sz="1100">
              <a:solidFill>
                <a:schemeClr val="dk1"/>
              </a:solidFill>
              <a:effectLst/>
              <a:latin typeface="+mn-lt"/>
              <a:ea typeface="+mn-ea"/>
              <a:cs typeface="+mn-cs"/>
            </a:rPr>
            <a:t>  Enter the total number of aircraft for each aircraft model.</a:t>
          </a:r>
        </a:p>
        <a:p>
          <a:pPr lvl="0"/>
          <a:endParaRPr lang="en-US" sz="1100">
            <a:solidFill>
              <a:schemeClr val="dk1"/>
            </a:solidFill>
            <a:effectLst/>
            <a:latin typeface="+mn-lt"/>
            <a:ea typeface="+mn-ea"/>
            <a:cs typeface="+mn-cs"/>
          </a:endParaRPr>
        </a:p>
        <a:p>
          <a:pPr lvl="0"/>
          <a:r>
            <a:rPr lang="en-US" sz="1100" u="sng">
              <a:solidFill>
                <a:schemeClr val="dk1"/>
              </a:solidFill>
              <a:effectLst/>
              <a:latin typeface="+mn-lt"/>
              <a:ea typeface="+mn-ea"/>
              <a:cs typeface="+mn-cs"/>
            </a:rPr>
            <a:t>Total Aircraft Offered.</a:t>
          </a:r>
          <a:r>
            <a:rPr lang="en-US" sz="1100">
              <a:solidFill>
                <a:schemeClr val="dk1"/>
              </a:solidFill>
              <a:effectLst/>
              <a:latin typeface="+mn-lt"/>
              <a:ea typeface="+mn-ea"/>
              <a:cs typeface="+mn-cs"/>
            </a:rPr>
            <a:t>  Enter total number of CRAF capable aircraft offered for that model. Should be the same number of aircraft as listed on the appendix 3A.</a:t>
          </a:r>
        </a:p>
        <a:p>
          <a:pPr lvl="0"/>
          <a:endParaRPr lang="en-US" sz="1100">
            <a:solidFill>
              <a:schemeClr val="dk1"/>
            </a:solidFill>
            <a:effectLst/>
            <a:latin typeface="+mn-lt"/>
            <a:ea typeface="+mn-ea"/>
            <a:cs typeface="+mn-cs"/>
          </a:endParaRPr>
        </a:p>
        <a:p>
          <a:pPr lvl="0"/>
          <a:r>
            <a:rPr lang="en-US" sz="1100" u="sng">
              <a:solidFill>
                <a:schemeClr val="dk1"/>
              </a:solidFill>
              <a:effectLst/>
              <a:latin typeface="+mn-lt"/>
              <a:ea typeface="+mn-ea"/>
              <a:cs typeface="+mn-cs"/>
            </a:rPr>
            <a:t>Aircraft WBE Value.</a:t>
          </a:r>
          <a:r>
            <a:rPr lang="en-US" sz="1100">
              <a:solidFill>
                <a:schemeClr val="dk1"/>
              </a:solidFill>
              <a:effectLst/>
              <a:latin typeface="+mn-lt"/>
              <a:ea typeface="+mn-ea"/>
              <a:cs typeface="+mn-cs"/>
            </a:rPr>
            <a:t>  Enter the wide body equivalent (WBE) value for a single aircraft of each CRAF capable aircraft model. This value may be found on the Form 83 in the “Approximate Base MV Points” block. However, to convert from MV to WBE move the decimal point to the left one digit (example: from 4.22 to .422). Range bonus shall not be considered when computing WBE for this form.</a:t>
          </a:r>
        </a:p>
        <a:p>
          <a:pPr lvl="0"/>
          <a:endParaRPr lang="en-US" sz="1100">
            <a:solidFill>
              <a:schemeClr val="dk1"/>
            </a:solidFill>
            <a:effectLst/>
            <a:latin typeface="+mn-lt"/>
            <a:ea typeface="+mn-ea"/>
            <a:cs typeface="+mn-cs"/>
          </a:endParaRPr>
        </a:p>
        <a:p>
          <a:pPr lvl="0"/>
          <a:r>
            <a:rPr lang="en-US" sz="1100" u="sng">
              <a:solidFill>
                <a:schemeClr val="dk1"/>
              </a:solidFill>
              <a:effectLst/>
              <a:latin typeface="+mn-lt"/>
              <a:ea typeface="+mn-ea"/>
              <a:cs typeface="+mn-cs"/>
            </a:rPr>
            <a:t>Total WBE Available.</a:t>
          </a:r>
          <a:r>
            <a:rPr lang="en-US" sz="1100">
              <a:solidFill>
                <a:schemeClr val="dk1"/>
              </a:solidFill>
              <a:effectLst/>
              <a:latin typeface="+mn-lt"/>
              <a:ea typeface="+mn-ea"/>
              <a:cs typeface="+mn-cs"/>
            </a:rPr>
            <a:t>  This column is self-computed by multiplying “Aircraft WBE Value” with “CRAF Capable Aircraft”.  </a:t>
          </a:r>
        </a:p>
        <a:p>
          <a:pPr lvl="0"/>
          <a:endParaRPr lang="en-US" sz="1100">
            <a:solidFill>
              <a:schemeClr val="dk1"/>
            </a:solidFill>
            <a:effectLst/>
            <a:latin typeface="+mn-lt"/>
            <a:ea typeface="+mn-ea"/>
            <a:cs typeface="+mn-cs"/>
          </a:endParaRPr>
        </a:p>
        <a:p>
          <a:pPr lvl="0"/>
          <a:r>
            <a:rPr lang="en-US" sz="1100" u="sng">
              <a:solidFill>
                <a:schemeClr val="dk1"/>
              </a:solidFill>
              <a:effectLst/>
              <a:latin typeface="+mn-lt"/>
              <a:ea typeface="+mn-ea"/>
              <a:cs typeface="+mn-cs"/>
            </a:rPr>
            <a:t>Total WBE Offered.</a:t>
          </a:r>
          <a:r>
            <a:rPr lang="en-US" sz="1100">
              <a:solidFill>
                <a:schemeClr val="dk1"/>
              </a:solidFill>
              <a:effectLst/>
              <a:latin typeface="+mn-lt"/>
              <a:ea typeface="+mn-ea"/>
              <a:cs typeface="+mn-cs"/>
            </a:rPr>
            <a:t>  This column is self-computed by multiplying “Aircraft WBE Value” with “Total Aircraft Offered”.  </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 </a:t>
          </a:r>
          <a:r>
            <a:rPr lang="en-US" sz="1100" u="sng">
              <a:solidFill>
                <a:schemeClr val="dk1"/>
              </a:solidFill>
              <a:effectLst/>
              <a:latin typeface="+mn-lt"/>
              <a:ea typeface="+mn-ea"/>
              <a:cs typeface="+mn-cs"/>
            </a:rPr>
            <a:t>Percentage of WBE CRAF Capable Fleet Offered.</a:t>
          </a:r>
          <a:r>
            <a:rPr lang="en-US" sz="1100">
              <a:solidFill>
                <a:schemeClr val="dk1"/>
              </a:solidFill>
              <a:effectLst/>
              <a:latin typeface="+mn-lt"/>
              <a:ea typeface="+mn-ea"/>
              <a:cs typeface="+mn-cs"/>
            </a:rPr>
            <a:t> This column is self-computed by dividing “Total WBE Offered” by “Total WBE Available”. </a:t>
          </a:r>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b="1" u="sng">
              <a:solidFill>
                <a:schemeClr val="dk1"/>
              </a:solidFill>
              <a:effectLst/>
              <a:latin typeface="+mn-lt"/>
              <a:ea typeface="+mn-ea"/>
              <a:cs typeface="+mn-cs"/>
            </a:rPr>
            <a:t>3.</a:t>
          </a:r>
          <a:r>
            <a:rPr lang="en-US" sz="1100" baseline="0">
              <a:solidFill>
                <a:schemeClr val="dk1"/>
              </a:solidFill>
              <a:effectLst/>
              <a:latin typeface="+mn-lt"/>
              <a:ea typeface="+mn-ea"/>
              <a:cs typeface="+mn-cs"/>
            </a:rPr>
            <a:t>  </a:t>
          </a:r>
          <a:r>
            <a:rPr lang="en-US" sz="1100" i="1">
              <a:solidFill>
                <a:schemeClr val="dk1"/>
              </a:solidFill>
              <a:effectLst/>
              <a:latin typeface="+mn-lt"/>
              <a:ea typeface="+mn-ea"/>
              <a:cs typeface="+mn-cs"/>
            </a:rPr>
            <a:t>Appendix 3A-1,</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CRAF Capable Fleet Validation (Int’l Segment)</a:t>
          </a:r>
          <a:r>
            <a:rPr lang="en-US" sz="1100">
              <a:solidFill>
                <a:schemeClr val="dk1"/>
              </a:solidFill>
              <a:effectLst/>
              <a:latin typeface="+mn-lt"/>
              <a:ea typeface="+mn-ea"/>
              <a:cs typeface="+mn-cs"/>
            </a:rPr>
            <a:t> Short Range – Tab 6 of the spreadsheet is specifically data collection for aircraft assigned to the Short Range International (SRI) section. If a carrier possesses passenger and cargo aircraft to be offered, a separate appendix 3A-1 will be completed for each aircraft type to validate the minimum WBE commitment. The steps to complete this appendix 3A-1 are similar to the LRI procedures and may be used as depicted above.</a:t>
          </a:r>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b="1" u="sng">
              <a:solidFill>
                <a:schemeClr val="dk1"/>
              </a:solidFill>
              <a:effectLst/>
              <a:latin typeface="+mn-lt"/>
              <a:ea typeface="+mn-ea"/>
              <a:cs typeface="+mn-cs"/>
            </a:rPr>
            <a:t>4.</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Appendix 3A-1 (Nat’l Segment) – Tab 7 of the spreadsheet is specifically data collection for domestic carriers. Each data cell will be explained below.</a:t>
          </a:r>
        </a:p>
        <a:p>
          <a:endParaRPr lang="en-US" sz="1100"/>
        </a:p>
        <a:p>
          <a:pPr lvl="0"/>
          <a:r>
            <a:rPr lang="en-US" sz="1100" u="sng">
              <a:solidFill>
                <a:schemeClr val="dk1"/>
              </a:solidFill>
              <a:effectLst/>
              <a:latin typeface="+mn-lt"/>
              <a:ea typeface="+mn-ea"/>
              <a:cs typeface="+mn-cs"/>
            </a:rPr>
            <a:t>Aircraft Model/Series.</a:t>
          </a:r>
          <a:r>
            <a:rPr lang="en-US" sz="1100">
              <a:solidFill>
                <a:schemeClr val="dk1"/>
              </a:solidFill>
              <a:effectLst/>
              <a:latin typeface="+mn-lt"/>
              <a:ea typeface="+mn-ea"/>
              <a:cs typeface="+mn-cs"/>
            </a:rPr>
            <a:t>  Provide aircraft model and series (e.g. B737-800) of each CRAF capable aircraft entered on the carrier’s Ops Spec D085. If the model does not meet Nat’l Segment minimums, only list the model identifier (e.g. MD80). Listing each series of a large carrier’s fleet may not provide sufficient space on the form to accommodate all aircraft entries. </a:t>
          </a:r>
        </a:p>
        <a:p>
          <a:pPr lvl="0"/>
          <a:endParaRPr lang="en-US" sz="1100">
            <a:solidFill>
              <a:schemeClr val="dk1"/>
            </a:solidFill>
            <a:effectLst/>
            <a:latin typeface="+mn-lt"/>
            <a:ea typeface="+mn-ea"/>
            <a:cs typeface="+mn-cs"/>
          </a:endParaRPr>
        </a:p>
        <a:p>
          <a:r>
            <a:rPr lang="en-US" sz="1100" u="sng">
              <a:solidFill>
                <a:schemeClr val="dk1"/>
              </a:solidFill>
              <a:effectLst/>
              <a:latin typeface="+mn-lt"/>
              <a:ea typeface="+mn-ea"/>
              <a:cs typeface="+mn-cs"/>
            </a:rPr>
            <a:t>Total CRAF Capable Aircraft.</a:t>
          </a:r>
          <a:r>
            <a:rPr lang="en-US" sz="1100">
              <a:solidFill>
                <a:schemeClr val="dk1"/>
              </a:solidFill>
              <a:effectLst/>
              <a:latin typeface="+mn-lt"/>
              <a:ea typeface="+mn-ea"/>
              <a:cs typeface="+mn-cs"/>
            </a:rPr>
            <a:t>  Enter total number of aircraft meeting the minimum requirements as described in “Section M-3” of the solicitation contract. </a:t>
          </a:r>
          <a:endParaRPr lang="en-US">
            <a:effectLst/>
          </a:endParaRPr>
        </a:p>
        <a:p>
          <a:r>
            <a:rPr lang="en-US" sz="1100">
              <a:solidFill>
                <a:schemeClr val="dk1"/>
              </a:solidFill>
              <a:effectLst/>
              <a:latin typeface="+mn-lt"/>
              <a:ea typeface="+mn-ea"/>
              <a:cs typeface="+mn-cs"/>
            </a:rPr>
            <a:t>              (1)  All cargo aircraft, regardless of assigned Segment or Section, must be  </a:t>
          </a:r>
          <a:endParaRPr lang="en-US">
            <a:effectLst/>
          </a:endParaRPr>
        </a:p>
        <a:p>
          <a:r>
            <a:rPr lang="en-US" sz="1100">
              <a:solidFill>
                <a:schemeClr val="dk1"/>
              </a:solidFill>
              <a:effectLst/>
              <a:latin typeface="+mn-lt"/>
              <a:ea typeface="+mn-ea"/>
              <a:cs typeface="+mn-cs"/>
            </a:rPr>
            <a:t>                    capable of accommodating 108” x 88” (standard military) 463L  </a:t>
          </a:r>
          <a:endParaRPr lang="en-US">
            <a:effectLst/>
          </a:endParaRPr>
        </a:p>
        <a:p>
          <a:r>
            <a:rPr lang="en-US" sz="1100">
              <a:solidFill>
                <a:schemeClr val="dk1"/>
              </a:solidFill>
              <a:effectLst/>
              <a:latin typeface="+mn-lt"/>
              <a:ea typeface="+mn-ea"/>
              <a:cs typeface="+mn-cs"/>
            </a:rPr>
            <a:t>                    compatible pallets. Aircraft requiring modification to the Cargo Loading </a:t>
          </a:r>
          <a:endParaRPr lang="en-US">
            <a:effectLst/>
          </a:endParaRPr>
        </a:p>
        <a:p>
          <a:r>
            <a:rPr lang="en-US" sz="1100">
              <a:solidFill>
                <a:schemeClr val="dk1"/>
              </a:solidFill>
              <a:effectLst/>
              <a:latin typeface="+mn-lt"/>
              <a:ea typeface="+mn-ea"/>
              <a:cs typeface="+mn-cs"/>
            </a:rPr>
            <a:t>                    System (CLS) to accommodate the 463L pallet may qualify if the company </a:t>
          </a:r>
          <a:endParaRPr lang="en-US">
            <a:effectLst/>
          </a:endParaRPr>
        </a:p>
        <a:p>
          <a:r>
            <a:rPr lang="en-US" sz="1100">
              <a:solidFill>
                <a:schemeClr val="dk1"/>
              </a:solidFill>
              <a:effectLst/>
              <a:latin typeface="+mn-lt"/>
              <a:ea typeface="+mn-ea"/>
              <a:cs typeface="+mn-cs"/>
            </a:rPr>
            <a:t>                    owns or has access to sufficient quantities of equipment (or kits) </a:t>
          </a:r>
          <a:endParaRPr lang="en-US">
            <a:effectLst/>
          </a:endParaRPr>
        </a:p>
        <a:p>
          <a:r>
            <a:rPr lang="en-US" sz="1100">
              <a:solidFill>
                <a:schemeClr val="dk1"/>
              </a:solidFill>
              <a:effectLst/>
              <a:latin typeface="+mn-lt"/>
              <a:ea typeface="+mn-ea"/>
              <a:cs typeface="+mn-cs"/>
            </a:rPr>
            <a:t>                    necessary for conversion. </a:t>
          </a:r>
          <a:endParaRPr lang="en-US">
            <a:effectLst/>
          </a:endParaRPr>
        </a:p>
        <a:p>
          <a:r>
            <a:rPr lang="en-US" sz="1100">
              <a:solidFill>
                <a:schemeClr val="dk1"/>
              </a:solidFill>
              <a:effectLst/>
              <a:latin typeface="+mn-lt"/>
              <a:ea typeface="+mn-ea"/>
              <a:cs typeface="+mn-cs"/>
            </a:rPr>
            <a:t>              (2)  Passenger aircraft requiring seat and/or service facilities i.e. lavatories, </a:t>
          </a:r>
          <a:endParaRPr lang="en-US">
            <a:effectLst/>
          </a:endParaRPr>
        </a:p>
        <a:p>
          <a:r>
            <a:rPr lang="en-US" sz="1100">
              <a:solidFill>
                <a:schemeClr val="dk1"/>
              </a:solidFill>
              <a:effectLst/>
              <a:latin typeface="+mn-lt"/>
              <a:ea typeface="+mn-ea"/>
              <a:cs typeface="+mn-cs"/>
            </a:rPr>
            <a:t>                     galleys, reconfiguration must have the available equipment and be able   </a:t>
          </a:r>
        </a:p>
        <a:p>
          <a:r>
            <a:rPr lang="en-US" sz="1100">
              <a:solidFill>
                <a:schemeClr val="dk1"/>
              </a:solidFill>
              <a:effectLst/>
              <a:latin typeface="+mn-lt"/>
              <a:ea typeface="+mn-ea"/>
              <a:cs typeface="+mn-cs"/>
            </a:rPr>
            <a:t>                     to complete the configuration change to perform airlift services within   </a:t>
          </a:r>
        </a:p>
        <a:p>
          <a:r>
            <a:rPr lang="en-US" sz="1100">
              <a:solidFill>
                <a:schemeClr val="dk1"/>
              </a:solidFill>
              <a:effectLst/>
              <a:latin typeface="+mn-lt"/>
              <a:ea typeface="+mn-ea"/>
              <a:cs typeface="+mn-cs"/>
            </a:rPr>
            <a:t>                     the respective Stage response time.</a:t>
          </a:r>
          <a:endParaRPr lang="en-US">
            <a:effectLst/>
          </a:endParaRPr>
        </a:p>
        <a:p>
          <a:endParaRPr lang="en-US" sz="1100"/>
        </a:p>
        <a:p>
          <a:pPr lvl="0"/>
          <a:r>
            <a:rPr lang="en-US" sz="1100" u="sng">
              <a:solidFill>
                <a:schemeClr val="dk1"/>
              </a:solidFill>
              <a:effectLst/>
              <a:latin typeface="+mn-lt"/>
              <a:ea typeface="+mn-ea"/>
              <a:cs typeface="+mn-cs"/>
            </a:rPr>
            <a:t>Total Aircraft in Fleet.</a:t>
          </a:r>
          <a:r>
            <a:rPr lang="en-US" sz="1100">
              <a:solidFill>
                <a:schemeClr val="dk1"/>
              </a:solidFill>
              <a:effectLst/>
              <a:latin typeface="+mn-lt"/>
              <a:ea typeface="+mn-ea"/>
              <a:cs typeface="+mn-cs"/>
            </a:rPr>
            <a:t>  Enter the total number of aircraft for each aircraft model.</a:t>
          </a:r>
        </a:p>
        <a:p>
          <a:pPr lvl="0"/>
          <a:endParaRPr lang="en-US" sz="1100">
            <a:solidFill>
              <a:schemeClr val="dk1"/>
            </a:solidFill>
            <a:effectLst/>
            <a:latin typeface="+mn-lt"/>
            <a:ea typeface="+mn-ea"/>
            <a:cs typeface="+mn-cs"/>
          </a:endParaRPr>
        </a:p>
        <a:p>
          <a:pPr lvl="0"/>
          <a:r>
            <a:rPr lang="en-US" sz="1100" u="sng">
              <a:solidFill>
                <a:schemeClr val="dk1"/>
              </a:solidFill>
              <a:effectLst/>
              <a:latin typeface="+mn-lt"/>
              <a:ea typeface="+mn-ea"/>
              <a:cs typeface="+mn-cs"/>
            </a:rPr>
            <a:t>Total Aircraft Offered.</a:t>
          </a:r>
          <a:r>
            <a:rPr lang="en-US" sz="1100">
              <a:solidFill>
                <a:schemeClr val="dk1"/>
              </a:solidFill>
              <a:effectLst/>
              <a:latin typeface="+mn-lt"/>
              <a:ea typeface="+mn-ea"/>
              <a:cs typeface="+mn-cs"/>
            </a:rPr>
            <a:t>  Enter total number of aircraft offered for that aircraft model. </a:t>
          </a:r>
        </a:p>
        <a:p>
          <a:pPr lvl="0"/>
          <a:r>
            <a:rPr lang="en-US" sz="1100">
              <a:solidFill>
                <a:schemeClr val="dk1"/>
              </a:solidFill>
              <a:effectLst/>
              <a:latin typeface="+mn-lt"/>
              <a:ea typeface="+mn-ea"/>
              <a:cs typeface="+mn-cs"/>
            </a:rPr>
            <a:t>Should be the same number of aircraft as listed on the appendix 3A.</a:t>
          </a:r>
        </a:p>
        <a:p>
          <a:pPr lvl="0"/>
          <a:endParaRPr lang="en-US" sz="1100">
            <a:solidFill>
              <a:schemeClr val="dk1"/>
            </a:solidFill>
            <a:effectLst/>
            <a:latin typeface="+mn-lt"/>
            <a:ea typeface="+mn-ea"/>
            <a:cs typeface="+mn-cs"/>
          </a:endParaRPr>
        </a:p>
        <a:p>
          <a:pPr lvl="0"/>
          <a:r>
            <a:rPr lang="en-US" sz="1100" u="sng">
              <a:solidFill>
                <a:schemeClr val="dk1"/>
              </a:solidFill>
              <a:effectLst/>
              <a:latin typeface="+mn-lt"/>
              <a:ea typeface="+mn-ea"/>
              <a:cs typeface="+mn-cs"/>
            </a:rPr>
            <a:t>Total Aircraft Available.</a:t>
          </a:r>
          <a:r>
            <a:rPr lang="en-US" sz="1100">
              <a:solidFill>
                <a:schemeClr val="dk1"/>
              </a:solidFill>
              <a:effectLst/>
              <a:latin typeface="+mn-lt"/>
              <a:ea typeface="+mn-ea"/>
              <a:cs typeface="+mn-cs"/>
            </a:rPr>
            <a:t>  This column is self-populating using the input from the “CRAF Capable Aircraft” column.</a:t>
          </a:r>
        </a:p>
        <a:p>
          <a:pPr lvl="0"/>
          <a:endParaRPr lang="en-US" sz="1100">
            <a:solidFill>
              <a:schemeClr val="dk1"/>
            </a:solidFill>
            <a:effectLst/>
            <a:latin typeface="+mn-lt"/>
            <a:ea typeface="+mn-ea"/>
            <a:cs typeface="+mn-cs"/>
          </a:endParaRPr>
        </a:p>
        <a:p>
          <a:pPr lvl="0"/>
          <a:r>
            <a:rPr lang="en-US" sz="1100" u="sng">
              <a:solidFill>
                <a:schemeClr val="dk1"/>
              </a:solidFill>
              <a:effectLst/>
              <a:latin typeface="+mn-lt"/>
              <a:ea typeface="+mn-ea"/>
              <a:cs typeface="+mn-cs"/>
            </a:rPr>
            <a:t>Total Aircraft Offered.</a:t>
          </a:r>
          <a:r>
            <a:rPr lang="en-US" sz="1100">
              <a:solidFill>
                <a:schemeClr val="dk1"/>
              </a:solidFill>
              <a:effectLst/>
              <a:latin typeface="+mn-lt"/>
              <a:ea typeface="+mn-ea"/>
              <a:cs typeface="+mn-cs"/>
            </a:rPr>
            <a:t>  This column is self-populating using the input from the “Total Aircraft Offered” column.</a:t>
          </a:r>
        </a:p>
        <a:p>
          <a:pPr lvl="0"/>
          <a:endParaRPr lang="en-US" sz="1100">
            <a:solidFill>
              <a:schemeClr val="dk1"/>
            </a:solidFill>
            <a:effectLst/>
            <a:latin typeface="+mn-lt"/>
            <a:ea typeface="+mn-ea"/>
            <a:cs typeface="+mn-cs"/>
          </a:endParaRPr>
        </a:p>
        <a:p>
          <a:pPr lvl="0"/>
          <a:r>
            <a:rPr lang="en-US" sz="1100" u="sng">
              <a:solidFill>
                <a:schemeClr val="dk1"/>
              </a:solidFill>
              <a:effectLst/>
              <a:latin typeface="+mn-lt"/>
              <a:ea typeface="+mn-ea"/>
              <a:cs typeface="+mn-cs"/>
            </a:rPr>
            <a:t>Percentage of CRAF Capable Fleet Offered.</a:t>
          </a:r>
          <a:r>
            <a:rPr lang="en-US" sz="1100">
              <a:solidFill>
                <a:schemeClr val="dk1"/>
              </a:solidFill>
              <a:effectLst/>
              <a:latin typeface="+mn-lt"/>
              <a:ea typeface="+mn-ea"/>
              <a:cs typeface="+mn-cs"/>
            </a:rPr>
            <a:t> This column is self-computed by dividing “Total Aircraft Offered” by “Total Aircraft Available”.  </a:t>
          </a:r>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b="1" u="sng">
              <a:solidFill>
                <a:schemeClr val="dk1"/>
              </a:solidFill>
              <a:effectLst/>
              <a:latin typeface="+mn-lt"/>
              <a:ea typeface="+mn-ea"/>
              <a:cs typeface="+mn-cs"/>
            </a:rPr>
            <a:t>5.</a:t>
          </a:r>
          <a:r>
            <a:rPr lang="en-US" sz="1100">
              <a:solidFill>
                <a:schemeClr val="dk1"/>
              </a:solidFill>
              <a:effectLst/>
              <a:latin typeface="+mn-lt"/>
              <a:ea typeface="+mn-ea"/>
              <a:cs typeface="+mn-cs"/>
            </a:rPr>
            <a:t>  For questions concerning preparation of these forms, please contact the CRAF office (AMC/A3BC) via phone at (618) 229-1751 or e-mail at </a:t>
          </a:r>
          <a:r>
            <a:rPr lang="en-US" sz="1100" u="sng">
              <a:solidFill>
                <a:schemeClr val="dk1"/>
              </a:solidFill>
              <a:effectLst/>
              <a:latin typeface="+mn-lt"/>
              <a:ea typeface="+mn-ea"/>
              <a:cs typeface="+mn-cs"/>
              <a:hlinkClick xmlns:r="http://schemas.openxmlformats.org/officeDocument/2006/relationships" r:id=""/>
            </a:rPr>
            <a:t>AMC-A3BC@scott.af.mil</a:t>
          </a:r>
          <a:r>
            <a:rPr lang="en-US" sz="1100">
              <a:solidFill>
                <a:schemeClr val="dk1"/>
              </a:solidFill>
              <a:effectLst/>
              <a:latin typeface="+mn-lt"/>
              <a:ea typeface="+mn-ea"/>
              <a:cs typeface="+mn-cs"/>
            </a:rPr>
            <a:t>. </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91"/>
  <sheetViews>
    <sheetView showGridLines="0" topLeftCell="A2" zoomScale="145" zoomScaleNormal="145" workbookViewId="0">
      <selection activeCell="N4" sqref="N4"/>
    </sheetView>
  </sheetViews>
  <sheetFormatPr defaultRowHeight="15" x14ac:dyDescent="0.25"/>
  <sheetData>
    <row r="1" s="34" customFormat="1" ht="41.25" customHeight="1" x14ac:dyDescent="0.25"/>
    <row r="2" s="34" customFormat="1" x14ac:dyDescent="0.25"/>
    <row r="3" s="34" customFormat="1" x14ac:dyDescent="0.25"/>
    <row r="4" s="34" customFormat="1" x14ac:dyDescent="0.25"/>
    <row r="5" s="34" customFormat="1" x14ac:dyDescent="0.25"/>
    <row r="6" s="34" customFormat="1" x14ac:dyDescent="0.25"/>
    <row r="7" s="34" customFormat="1" x14ac:dyDescent="0.25"/>
    <row r="8" s="34" customFormat="1" x14ac:dyDescent="0.25"/>
    <row r="9" s="34" customFormat="1" x14ac:dyDescent="0.25"/>
    <row r="10" s="34" customFormat="1" x14ac:dyDescent="0.25"/>
    <row r="11" s="34" customFormat="1" x14ac:dyDescent="0.25"/>
    <row r="12" s="34" customFormat="1" x14ac:dyDescent="0.25"/>
    <row r="13" s="34" customFormat="1" x14ac:dyDescent="0.25"/>
    <row r="14" s="34" customFormat="1" x14ac:dyDescent="0.25"/>
    <row r="15" s="34" customFormat="1" x14ac:dyDescent="0.25"/>
    <row r="16" s="34" customFormat="1" x14ac:dyDescent="0.25"/>
    <row r="17" s="34" customFormat="1" x14ac:dyDescent="0.25"/>
    <row r="18" s="34" customFormat="1" x14ac:dyDescent="0.25"/>
    <row r="19" s="34" customFormat="1" x14ac:dyDescent="0.25"/>
    <row r="20" s="34" customFormat="1" x14ac:dyDescent="0.25"/>
    <row r="21" s="34" customFormat="1" x14ac:dyDescent="0.25"/>
    <row r="22" s="34" customFormat="1" x14ac:dyDescent="0.25"/>
    <row r="23" s="34" customFormat="1" x14ac:dyDescent="0.25"/>
    <row r="24" s="34" customFormat="1" x14ac:dyDescent="0.25"/>
    <row r="25" s="34" customFormat="1" x14ac:dyDescent="0.25"/>
    <row r="26" s="34" customFormat="1" x14ac:dyDescent="0.25"/>
    <row r="27" s="34" customFormat="1" x14ac:dyDescent="0.25"/>
    <row r="28" s="34" customFormat="1" x14ac:dyDescent="0.25"/>
    <row r="29" s="34" customFormat="1" x14ac:dyDescent="0.25"/>
    <row r="30" s="34" customFormat="1" x14ac:dyDescent="0.25"/>
    <row r="31" s="34" customFormat="1" x14ac:dyDescent="0.25"/>
    <row r="32" s="34" customFormat="1" x14ac:dyDescent="0.25"/>
    <row r="33" s="34" customFormat="1" x14ac:dyDescent="0.25"/>
    <row r="34" s="34" customFormat="1" x14ac:dyDescent="0.25"/>
    <row r="35" s="34" customFormat="1" x14ac:dyDescent="0.25"/>
    <row r="36" s="34" customFormat="1" x14ac:dyDescent="0.25"/>
    <row r="37" s="34" customFormat="1" x14ac:dyDescent="0.25"/>
    <row r="38" s="34" customFormat="1" x14ac:dyDescent="0.25"/>
    <row r="39" s="34" customFormat="1" x14ac:dyDescent="0.25"/>
    <row r="40" s="34" customFormat="1" x14ac:dyDescent="0.25"/>
    <row r="41" s="34" customFormat="1" x14ac:dyDescent="0.25"/>
    <row r="42" s="34" customFormat="1" x14ac:dyDescent="0.25"/>
    <row r="43" s="34" customFormat="1" x14ac:dyDescent="0.25"/>
    <row r="44" s="34" customFormat="1" x14ac:dyDescent="0.25"/>
    <row r="45" s="34" customFormat="1" x14ac:dyDescent="0.25"/>
    <row r="46" s="34" customFormat="1" x14ac:dyDescent="0.25"/>
    <row r="47" s="34" customFormat="1" x14ac:dyDescent="0.25"/>
    <row r="48" s="34" customFormat="1" x14ac:dyDescent="0.25"/>
    <row r="49" s="34" customFormat="1" x14ac:dyDescent="0.25"/>
    <row r="50" s="34" customFormat="1" x14ac:dyDescent="0.25"/>
    <row r="51" s="34" customFormat="1" x14ac:dyDescent="0.25"/>
    <row r="52" s="34" customFormat="1" x14ac:dyDescent="0.25"/>
    <row r="53" s="34" customFormat="1" x14ac:dyDescent="0.25"/>
    <row r="54" s="34" customFormat="1" x14ac:dyDescent="0.25"/>
    <row r="55" s="34" customFormat="1" x14ac:dyDescent="0.25"/>
    <row r="56" s="34" customFormat="1" x14ac:dyDescent="0.25"/>
    <row r="57" s="34" customFormat="1" x14ac:dyDescent="0.25"/>
    <row r="58" s="34" customFormat="1" x14ac:dyDescent="0.25"/>
    <row r="59" s="34" customFormat="1" x14ac:dyDescent="0.25"/>
    <row r="60" s="34" customFormat="1" x14ac:dyDescent="0.25"/>
    <row r="61" s="34" customFormat="1" x14ac:dyDescent="0.25"/>
    <row r="62" s="34" customFormat="1" x14ac:dyDescent="0.25"/>
    <row r="63" s="34" customFormat="1" x14ac:dyDescent="0.25"/>
    <row r="64" s="34" customFormat="1" x14ac:dyDescent="0.25"/>
    <row r="65" s="34" customFormat="1" x14ac:dyDescent="0.25"/>
    <row r="66" s="34" customFormat="1" x14ac:dyDescent="0.25"/>
    <row r="67" s="34" customFormat="1" x14ac:dyDescent="0.25"/>
    <row r="68" s="34" customFormat="1" x14ac:dyDescent="0.25"/>
    <row r="69" s="34" customFormat="1" x14ac:dyDescent="0.25"/>
    <row r="70" s="34" customFormat="1" x14ac:dyDescent="0.25"/>
    <row r="71" s="34" customFormat="1" x14ac:dyDescent="0.25"/>
    <row r="72" s="34" customFormat="1" x14ac:dyDescent="0.25"/>
    <row r="73" s="34" customFormat="1" x14ac:dyDescent="0.25"/>
    <row r="74" s="34" customFormat="1" x14ac:dyDescent="0.25"/>
    <row r="75" s="34" customFormat="1" x14ac:dyDescent="0.25"/>
    <row r="76" s="34" customFormat="1" x14ac:dyDescent="0.25"/>
    <row r="77" s="34" customFormat="1" x14ac:dyDescent="0.25"/>
    <row r="78" s="34" customFormat="1" x14ac:dyDescent="0.25"/>
    <row r="79" s="34" customFormat="1" x14ac:dyDescent="0.25"/>
    <row r="80" s="34" customFormat="1" x14ac:dyDescent="0.25"/>
    <row r="81" s="34" customFormat="1" x14ac:dyDescent="0.25"/>
    <row r="82" s="34" customFormat="1" x14ac:dyDescent="0.25"/>
    <row r="83" s="34" customFormat="1" x14ac:dyDescent="0.25"/>
    <row r="84" s="34" customFormat="1" x14ac:dyDescent="0.25"/>
    <row r="85" s="34" customFormat="1" x14ac:dyDescent="0.25"/>
    <row r="86" s="34" customFormat="1" x14ac:dyDescent="0.25"/>
    <row r="87" s="34" customFormat="1" x14ac:dyDescent="0.25"/>
    <row r="88" s="34" customFormat="1" x14ac:dyDescent="0.25"/>
    <row r="89" s="34" customFormat="1" x14ac:dyDescent="0.25"/>
    <row r="90" s="34" customFormat="1" x14ac:dyDescent="0.25"/>
    <row r="91" s="34" customFormat="1" x14ac:dyDescent="0.25"/>
    <row r="92" s="34" customFormat="1" x14ac:dyDescent="0.25"/>
    <row r="93" s="34" customFormat="1" x14ac:dyDescent="0.25"/>
    <row r="94" s="34" customFormat="1" x14ac:dyDescent="0.25"/>
    <row r="95" s="34" customFormat="1" x14ac:dyDescent="0.25"/>
    <row r="96" s="34" customFormat="1" x14ac:dyDescent="0.25"/>
    <row r="97" s="34" customFormat="1" x14ac:dyDescent="0.25"/>
    <row r="98" s="34" customFormat="1" x14ac:dyDescent="0.25"/>
    <row r="99" s="34" customFormat="1" x14ac:dyDescent="0.25"/>
    <row r="100" s="34" customFormat="1" x14ac:dyDescent="0.25"/>
    <row r="101" s="34" customFormat="1" x14ac:dyDescent="0.25"/>
    <row r="102" s="34" customFormat="1" x14ac:dyDescent="0.25"/>
    <row r="103" s="34" customFormat="1" x14ac:dyDescent="0.25"/>
    <row r="104" s="34" customFormat="1" x14ac:dyDescent="0.25"/>
    <row r="105" s="34" customFormat="1" x14ac:dyDescent="0.25"/>
    <row r="106" s="34" customFormat="1" x14ac:dyDescent="0.25"/>
    <row r="107" s="34" customFormat="1" x14ac:dyDescent="0.25"/>
    <row r="108" s="34" customFormat="1" x14ac:dyDescent="0.25"/>
    <row r="109" s="34" customFormat="1" x14ac:dyDescent="0.25"/>
    <row r="110" s="34" customFormat="1" x14ac:dyDescent="0.25"/>
    <row r="111" s="34" customFormat="1" x14ac:dyDescent="0.25"/>
    <row r="112" s="34" customFormat="1" x14ac:dyDescent="0.25"/>
    <row r="113" s="34" customFormat="1" x14ac:dyDescent="0.25"/>
    <row r="114" s="34" customFormat="1" x14ac:dyDescent="0.25"/>
    <row r="115" s="34" customFormat="1" x14ac:dyDescent="0.25"/>
    <row r="116" s="34" customFormat="1" x14ac:dyDescent="0.25"/>
    <row r="117" s="34" customFormat="1" x14ac:dyDescent="0.25"/>
    <row r="118" s="34" customFormat="1" x14ac:dyDescent="0.25"/>
    <row r="119" s="34" customFormat="1" x14ac:dyDescent="0.25"/>
    <row r="120" s="34" customFormat="1" x14ac:dyDescent="0.25"/>
    <row r="121" s="34" customFormat="1" x14ac:dyDescent="0.25"/>
    <row r="122" s="34" customFormat="1" x14ac:dyDescent="0.25"/>
    <row r="123" s="34" customFormat="1" x14ac:dyDescent="0.25"/>
    <row r="124" s="34" customFormat="1" x14ac:dyDescent="0.25"/>
    <row r="125" s="34" customFormat="1" x14ac:dyDescent="0.25"/>
    <row r="126" s="34" customFormat="1" x14ac:dyDescent="0.25"/>
    <row r="127" s="34" customFormat="1" x14ac:dyDescent="0.25"/>
    <row r="128" s="34" customFormat="1" x14ac:dyDescent="0.25"/>
    <row r="129" s="34" customFormat="1" x14ac:dyDescent="0.25"/>
    <row r="130" s="34" customFormat="1" x14ac:dyDescent="0.25"/>
    <row r="131" s="34" customFormat="1" x14ac:dyDescent="0.25"/>
    <row r="132" s="34" customFormat="1" x14ac:dyDescent="0.25"/>
    <row r="133" s="34" customFormat="1" x14ac:dyDescent="0.25"/>
    <row r="134" s="34" customFormat="1" x14ac:dyDescent="0.25"/>
    <row r="135" s="34" customFormat="1" x14ac:dyDescent="0.25"/>
    <row r="136" s="34" customFormat="1" x14ac:dyDescent="0.25"/>
    <row r="137" s="34" customFormat="1" x14ac:dyDescent="0.25"/>
    <row r="138" s="34" customFormat="1" x14ac:dyDescent="0.25"/>
    <row r="139" s="34" customFormat="1" x14ac:dyDescent="0.25"/>
    <row r="140" s="34" customFormat="1" x14ac:dyDescent="0.25"/>
    <row r="141" s="34" customFormat="1" x14ac:dyDescent="0.25"/>
    <row r="142" s="34" customFormat="1" x14ac:dyDescent="0.25"/>
    <row r="143" s="34" customFormat="1" x14ac:dyDescent="0.25"/>
    <row r="144" s="34" customFormat="1" x14ac:dyDescent="0.25"/>
    <row r="145" s="34" customFormat="1" x14ac:dyDescent="0.25"/>
    <row r="146" s="34" customFormat="1" x14ac:dyDescent="0.25"/>
    <row r="147" s="34" customFormat="1" x14ac:dyDescent="0.25"/>
    <row r="148" s="34" customFormat="1" x14ac:dyDescent="0.25"/>
    <row r="149" s="34" customFormat="1" x14ac:dyDescent="0.25"/>
    <row r="150" s="34" customFormat="1" x14ac:dyDescent="0.25"/>
    <row r="151" s="34" customFormat="1" x14ac:dyDescent="0.25"/>
    <row r="152" s="34" customFormat="1" x14ac:dyDescent="0.25"/>
    <row r="153" s="34" customFormat="1" x14ac:dyDescent="0.25"/>
    <row r="154" s="34" customFormat="1" x14ac:dyDescent="0.25"/>
    <row r="155" s="34" customFormat="1" x14ac:dyDescent="0.25"/>
    <row r="156" s="34" customFormat="1" x14ac:dyDescent="0.25"/>
    <row r="157" s="34" customFormat="1" x14ac:dyDescent="0.25"/>
    <row r="158" s="34" customFormat="1" x14ac:dyDescent="0.25"/>
    <row r="159" s="34" customFormat="1" x14ac:dyDescent="0.25"/>
    <row r="160" s="34" customFormat="1" x14ac:dyDescent="0.25"/>
    <row r="161" s="34" customFormat="1" x14ac:dyDescent="0.25"/>
    <row r="162" s="34" customFormat="1" x14ac:dyDescent="0.25"/>
    <row r="163" s="34" customFormat="1" x14ac:dyDescent="0.25"/>
    <row r="164" s="34" customFormat="1" x14ac:dyDescent="0.25"/>
    <row r="165" s="34" customFormat="1" x14ac:dyDescent="0.25"/>
    <row r="166" s="34" customFormat="1" x14ac:dyDescent="0.25"/>
    <row r="167" s="34" customFormat="1" x14ac:dyDescent="0.25"/>
    <row r="168" s="34" customFormat="1" x14ac:dyDescent="0.25"/>
    <row r="169" s="34" customFormat="1" x14ac:dyDescent="0.25"/>
    <row r="170" s="34" customFormat="1" x14ac:dyDescent="0.25"/>
    <row r="171" s="34" customFormat="1" x14ac:dyDescent="0.25"/>
    <row r="172" s="34" customFormat="1" x14ac:dyDescent="0.25"/>
    <row r="173" s="34" customFormat="1" x14ac:dyDescent="0.25"/>
    <row r="174" s="34" customFormat="1" x14ac:dyDescent="0.25"/>
    <row r="175" s="34" customFormat="1" x14ac:dyDescent="0.25"/>
    <row r="176" s="34" customFormat="1" x14ac:dyDescent="0.25"/>
    <row r="177" s="34" customFormat="1" x14ac:dyDescent="0.25"/>
    <row r="178" s="34" customFormat="1" x14ac:dyDescent="0.25"/>
    <row r="179" s="34" customFormat="1" x14ac:dyDescent="0.25"/>
    <row r="180" s="34" customFormat="1" x14ac:dyDescent="0.25"/>
    <row r="181" s="34" customFormat="1" x14ac:dyDescent="0.25"/>
    <row r="182" s="34" customFormat="1" x14ac:dyDescent="0.25"/>
    <row r="183" s="34" customFormat="1" x14ac:dyDescent="0.25"/>
    <row r="184" s="34" customFormat="1" x14ac:dyDescent="0.25"/>
    <row r="185" s="34" customFormat="1" x14ac:dyDescent="0.25"/>
    <row r="186" s="34" customFormat="1" x14ac:dyDescent="0.25"/>
    <row r="187" s="34" customFormat="1" x14ac:dyDescent="0.25"/>
    <row r="188" s="34" customFormat="1" x14ac:dyDescent="0.25"/>
    <row r="189" s="34" customFormat="1" x14ac:dyDescent="0.25"/>
    <row r="190" s="34" customFormat="1" x14ac:dyDescent="0.25"/>
    <row r="191" s="34" customFormat="1" x14ac:dyDescent="0.25"/>
    <row r="192" s="34" customFormat="1" x14ac:dyDescent="0.25"/>
    <row r="193" s="34" customFormat="1" x14ac:dyDescent="0.25"/>
    <row r="194" s="34" customFormat="1" x14ac:dyDescent="0.25"/>
    <row r="195" s="34" customFormat="1" x14ac:dyDescent="0.25"/>
    <row r="196" s="34" customFormat="1" x14ac:dyDescent="0.25"/>
    <row r="197" s="34" customFormat="1" x14ac:dyDescent="0.25"/>
    <row r="198" s="34" customFormat="1" x14ac:dyDescent="0.25"/>
    <row r="199" s="34" customFormat="1" x14ac:dyDescent="0.25"/>
    <row r="200" s="34" customFormat="1" x14ac:dyDescent="0.25"/>
    <row r="201" s="34" customFormat="1" x14ac:dyDescent="0.25"/>
    <row r="202" s="34" customFormat="1" x14ac:dyDescent="0.25"/>
    <row r="203" s="34" customFormat="1" x14ac:dyDescent="0.25"/>
    <row r="204" s="34" customFormat="1" x14ac:dyDescent="0.25"/>
    <row r="205" s="34" customFormat="1" x14ac:dyDescent="0.25"/>
    <row r="206" s="34" customFormat="1" x14ac:dyDescent="0.25"/>
    <row r="207" s="34" customFormat="1" x14ac:dyDescent="0.25"/>
    <row r="208" s="34" customFormat="1" x14ac:dyDescent="0.25"/>
    <row r="209" s="34" customFormat="1" x14ac:dyDescent="0.25"/>
    <row r="210" s="34" customFormat="1" x14ac:dyDescent="0.25"/>
    <row r="211" s="34" customFormat="1" x14ac:dyDescent="0.25"/>
    <row r="212" s="34" customFormat="1" x14ac:dyDescent="0.25"/>
    <row r="213" s="34" customFormat="1" x14ac:dyDescent="0.25"/>
    <row r="214" s="34" customFormat="1" x14ac:dyDescent="0.25"/>
    <row r="215" s="34" customFormat="1" x14ac:dyDescent="0.25"/>
    <row r="216" s="34" customFormat="1" x14ac:dyDescent="0.25"/>
    <row r="217" s="34" customFormat="1" x14ac:dyDescent="0.25"/>
    <row r="218" s="34" customFormat="1" x14ac:dyDescent="0.25"/>
    <row r="219" s="34" customFormat="1" x14ac:dyDescent="0.25"/>
    <row r="220" s="34" customFormat="1" x14ac:dyDescent="0.25"/>
    <row r="221" s="34" customFormat="1" x14ac:dyDescent="0.25"/>
    <row r="222" s="34" customFormat="1" x14ac:dyDescent="0.25"/>
    <row r="223" s="34" customFormat="1" x14ac:dyDescent="0.25"/>
    <row r="224" s="34" customFormat="1" x14ac:dyDescent="0.25"/>
    <row r="225" s="34" customFormat="1" x14ac:dyDescent="0.25"/>
    <row r="226" s="34" customFormat="1" x14ac:dyDescent="0.25"/>
    <row r="227" s="34" customFormat="1" x14ac:dyDescent="0.25"/>
    <row r="228" s="34" customFormat="1" x14ac:dyDescent="0.25"/>
    <row r="229" s="34" customFormat="1" x14ac:dyDescent="0.25"/>
    <row r="230" s="34" customFormat="1" x14ac:dyDescent="0.25"/>
    <row r="231" s="34" customFormat="1" x14ac:dyDescent="0.25"/>
    <row r="232" s="34" customFormat="1" x14ac:dyDescent="0.25"/>
    <row r="233" s="34" customFormat="1" x14ac:dyDescent="0.25"/>
    <row r="234" s="34" customFormat="1" x14ac:dyDescent="0.25"/>
    <row r="235" s="34" customFormat="1" x14ac:dyDescent="0.25"/>
    <row r="236" s="34" customFormat="1" x14ac:dyDescent="0.25"/>
    <row r="237" s="34" customFormat="1" x14ac:dyDescent="0.25"/>
    <row r="238" s="34" customFormat="1" x14ac:dyDescent="0.25"/>
    <row r="239" s="34" customFormat="1" x14ac:dyDescent="0.25"/>
    <row r="240" s="34" customFormat="1" x14ac:dyDescent="0.25"/>
    <row r="241" s="34" customFormat="1" x14ac:dyDescent="0.25"/>
    <row r="242" s="34" customFormat="1" x14ac:dyDescent="0.25"/>
    <row r="243" s="34" customFormat="1" x14ac:dyDescent="0.25"/>
    <row r="244" s="34" customFormat="1" x14ac:dyDescent="0.25"/>
    <row r="245" s="34" customFormat="1" x14ac:dyDescent="0.25"/>
    <row r="246" s="34" customFormat="1" x14ac:dyDescent="0.25"/>
    <row r="247" s="34" customFormat="1" x14ac:dyDescent="0.25"/>
    <row r="248" s="34" customFormat="1" x14ac:dyDescent="0.25"/>
    <row r="249" s="34" customFormat="1" x14ac:dyDescent="0.25"/>
    <row r="250" s="34" customFormat="1" x14ac:dyDescent="0.25"/>
    <row r="251" s="34" customFormat="1" x14ac:dyDescent="0.25"/>
    <row r="252" s="34" customFormat="1" x14ac:dyDescent="0.25"/>
    <row r="253" s="34" customFormat="1" x14ac:dyDescent="0.25"/>
    <row r="254" s="34" customFormat="1" x14ac:dyDescent="0.25"/>
    <row r="255" s="34" customFormat="1" x14ac:dyDescent="0.25"/>
    <row r="256" s="34" customFormat="1" x14ac:dyDescent="0.25"/>
    <row r="257" s="34" customFormat="1" x14ac:dyDescent="0.25"/>
    <row r="258" s="34" customFormat="1" x14ac:dyDescent="0.25"/>
    <row r="259" s="34" customFormat="1" x14ac:dyDescent="0.25"/>
    <row r="260" s="34" customFormat="1" x14ac:dyDescent="0.25"/>
    <row r="261" s="34" customFormat="1" x14ac:dyDescent="0.25"/>
    <row r="262" s="34" customFormat="1" x14ac:dyDescent="0.25"/>
    <row r="263" s="34" customFormat="1" x14ac:dyDescent="0.25"/>
    <row r="264" s="34" customFormat="1" x14ac:dyDescent="0.25"/>
    <row r="265" s="34" customFormat="1" x14ac:dyDescent="0.25"/>
    <row r="266" s="34" customFormat="1" x14ac:dyDescent="0.25"/>
    <row r="267" s="34" customFormat="1" x14ac:dyDescent="0.25"/>
    <row r="268" s="34" customFormat="1" x14ac:dyDescent="0.25"/>
    <row r="269" s="34" customFormat="1" x14ac:dyDescent="0.25"/>
    <row r="270" s="34" customFormat="1" x14ac:dyDescent="0.25"/>
    <row r="271" s="34" customFormat="1" x14ac:dyDescent="0.25"/>
    <row r="272" s="34" customFormat="1" x14ac:dyDescent="0.25"/>
    <row r="273" s="34" customFormat="1" x14ac:dyDescent="0.25"/>
    <row r="274" s="34" customFormat="1" x14ac:dyDescent="0.25"/>
    <row r="275" s="34" customFormat="1" x14ac:dyDescent="0.25"/>
    <row r="276" s="34" customFormat="1" x14ac:dyDescent="0.25"/>
    <row r="277" s="34" customFormat="1" x14ac:dyDescent="0.25"/>
    <row r="278" s="34" customFormat="1" x14ac:dyDescent="0.25"/>
    <row r="279" s="34" customFormat="1" x14ac:dyDescent="0.25"/>
    <row r="280" s="34" customFormat="1" x14ac:dyDescent="0.25"/>
    <row r="281" s="34" customFormat="1" x14ac:dyDescent="0.25"/>
    <row r="282" s="34" customFormat="1" x14ac:dyDescent="0.25"/>
    <row r="283" s="34" customFormat="1" x14ac:dyDescent="0.25"/>
    <row r="284" s="34" customFormat="1" x14ac:dyDescent="0.25"/>
    <row r="285" s="34" customFormat="1" x14ac:dyDescent="0.25"/>
    <row r="286" s="34" customFormat="1" x14ac:dyDescent="0.25"/>
    <row r="287" s="34" customFormat="1" x14ac:dyDescent="0.25"/>
    <row r="288" s="34" customFormat="1" x14ac:dyDescent="0.25"/>
    <row r="289" s="34" customFormat="1" x14ac:dyDescent="0.25"/>
    <row r="290" s="34" customFormat="1" x14ac:dyDescent="0.25"/>
    <row r="291" s="34" customFormat="1" x14ac:dyDescent="0.25"/>
    <row r="292" s="34" customFormat="1" x14ac:dyDescent="0.25"/>
    <row r="293" s="34" customFormat="1" x14ac:dyDescent="0.25"/>
    <row r="294" s="34" customFormat="1" x14ac:dyDescent="0.25"/>
    <row r="295" s="34" customFormat="1" x14ac:dyDescent="0.25"/>
    <row r="296" s="34" customFormat="1" x14ac:dyDescent="0.25"/>
    <row r="297" s="34" customFormat="1" x14ac:dyDescent="0.25"/>
    <row r="298" s="34" customFormat="1" x14ac:dyDescent="0.25"/>
    <row r="299" s="34" customFormat="1" x14ac:dyDescent="0.25"/>
    <row r="300" s="34" customFormat="1" x14ac:dyDescent="0.25"/>
    <row r="301" s="34" customFormat="1" x14ac:dyDescent="0.25"/>
    <row r="302" s="34" customFormat="1" x14ac:dyDescent="0.25"/>
    <row r="303" s="34" customFormat="1" x14ac:dyDescent="0.25"/>
    <row r="304" s="34" customFormat="1" x14ac:dyDescent="0.25"/>
    <row r="305" s="34" customFormat="1" x14ac:dyDescent="0.25"/>
    <row r="306" s="34" customFormat="1" x14ac:dyDescent="0.25"/>
    <row r="307" s="34" customFormat="1" x14ac:dyDescent="0.25"/>
    <row r="308" s="34" customFormat="1" x14ac:dyDescent="0.25"/>
    <row r="309" s="34" customFormat="1" x14ac:dyDescent="0.25"/>
    <row r="310" s="34" customFormat="1" x14ac:dyDescent="0.25"/>
    <row r="311" s="34" customFormat="1" x14ac:dyDescent="0.25"/>
    <row r="312" s="34" customFormat="1" x14ac:dyDescent="0.25"/>
    <row r="313" s="34" customFormat="1" x14ac:dyDescent="0.25"/>
    <row r="314" s="34" customFormat="1" x14ac:dyDescent="0.25"/>
    <row r="315" s="34" customFormat="1" x14ac:dyDescent="0.25"/>
    <row r="316" s="34" customFormat="1" x14ac:dyDescent="0.25"/>
    <row r="317" s="34" customFormat="1" x14ac:dyDescent="0.25"/>
    <row r="318" s="34" customFormat="1" x14ac:dyDescent="0.25"/>
    <row r="319" s="34" customFormat="1" x14ac:dyDescent="0.25"/>
    <row r="320" s="34" customFormat="1" x14ac:dyDescent="0.25"/>
    <row r="321" s="34" customFormat="1" x14ac:dyDescent="0.25"/>
    <row r="322" s="34" customFormat="1" x14ac:dyDescent="0.25"/>
    <row r="323" s="34" customFormat="1" x14ac:dyDescent="0.25"/>
    <row r="324" s="34" customFormat="1" x14ac:dyDescent="0.25"/>
    <row r="325" s="34" customFormat="1" x14ac:dyDescent="0.25"/>
    <row r="326" s="34" customFormat="1" x14ac:dyDescent="0.25"/>
    <row r="327" s="34" customFormat="1" x14ac:dyDescent="0.25"/>
    <row r="328" s="34" customFormat="1" x14ac:dyDescent="0.25"/>
    <row r="329" s="34" customFormat="1" x14ac:dyDescent="0.25"/>
    <row r="330" s="34" customFormat="1" x14ac:dyDescent="0.25"/>
    <row r="331" s="34" customFormat="1" x14ac:dyDescent="0.25"/>
    <row r="332" s="34" customFormat="1" x14ac:dyDescent="0.25"/>
    <row r="333" s="34" customFormat="1" x14ac:dyDescent="0.25"/>
    <row r="334" s="34" customFormat="1" x14ac:dyDescent="0.25"/>
    <row r="335" s="34" customFormat="1" x14ac:dyDescent="0.25"/>
    <row r="336" s="34" customFormat="1" x14ac:dyDescent="0.25"/>
    <row r="337" s="34" customFormat="1" x14ac:dyDescent="0.25"/>
    <row r="338" s="34" customFormat="1" x14ac:dyDescent="0.25"/>
    <row r="339" s="34" customFormat="1" x14ac:dyDescent="0.25"/>
    <row r="340" s="34" customFormat="1" x14ac:dyDescent="0.25"/>
    <row r="341" s="34" customFormat="1" x14ac:dyDescent="0.25"/>
    <row r="342" s="34" customFormat="1" x14ac:dyDescent="0.25"/>
    <row r="343" s="34" customFormat="1" x14ac:dyDescent="0.25"/>
    <row r="344" s="34" customFormat="1" x14ac:dyDescent="0.25"/>
    <row r="345" s="34" customFormat="1" x14ac:dyDescent="0.25"/>
    <row r="346" s="34" customFormat="1" x14ac:dyDescent="0.25"/>
    <row r="347" s="34" customFormat="1" x14ac:dyDescent="0.25"/>
    <row r="348" s="34" customFormat="1" x14ac:dyDescent="0.25"/>
    <row r="349" s="34" customFormat="1" x14ac:dyDescent="0.25"/>
    <row r="350" s="34" customFormat="1" x14ac:dyDescent="0.25"/>
    <row r="351" s="34" customFormat="1" x14ac:dyDescent="0.25"/>
    <row r="352" s="34" customFormat="1" x14ac:dyDescent="0.25"/>
    <row r="353" s="34" customFormat="1" x14ac:dyDescent="0.25"/>
    <row r="354" s="34" customFormat="1" x14ac:dyDescent="0.25"/>
    <row r="355" s="34" customFormat="1" x14ac:dyDescent="0.25"/>
    <row r="356" s="34" customFormat="1" x14ac:dyDescent="0.25"/>
    <row r="357" s="34" customFormat="1" x14ac:dyDescent="0.25"/>
    <row r="358" s="34" customFormat="1" x14ac:dyDescent="0.25"/>
    <row r="359" s="34" customFormat="1" x14ac:dyDescent="0.25"/>
    <row r="360" s="34" customFormat="1" x14ac:dyDescent="0.25"/>
    <row r="361" s="34" customFormat="1" x14ac:dyDescent="0.25"/>
    <row r="362" s="34" customFormat="1" x14ac:dyDescent="0.25"/>
    <row r="363" s="34" customFormat="1" x14ac:dyDescent="0.25"/>
    <row r="364" s="34" customFormat="1" x14ac:dyDescent="0.25"/>
    <row r="365" s="34" customFormat="1" x14ac:dyDescent="0.25"/>
    <row r="366" s="34" customFormat="1" x14ac:dyDescent="0.25"/>
    <row r="367" s="34" customFormat="1" x14ac:dyDescent="0.25"/>
    <row r="368" s="34" customFormat="1" x14ac:dyDescent="0.25"/>
    <row r="369" s="34" customFormat="1" x14ac:dyDescent="0.25"/>
    <row r="370" s="34" customFormat="1" x14ac:dyDescent="0.25"/>
    <row r="371" s="34" customFormat="1" x14ac:dyDescent="0.25"/>
    <row r="372" s="34" customFormat="1" x14ac:dyDescent="0.25"/>
    <row r="373" s="34" customFormat="1" x14ac:dyDescent="0.25"/>
    <row r="374" s="34" customFormat="1" x14ac:dyDescent="0.25"/>
    <row r="375" s="34" customFormat="1" x14ac:dyDescent="0.25"/>
    <row r="376" s="34" customFormat="1" x14ac:dyDescent="0.25"/>
    <row r="377" s="34" customFormat="1" x14ac:dyDescent="0.25"/>
    <row r="378" s="34" customFormat="1" x14ac:dyDescent="0.25"/>
    <row r="379" s="34" customFormat="1" x14ac:dyDescent="0.25"/>
    <row r="380" s="34" customFormat="1" x14ac:dyDescent="0.25"/>
    <row r="381" s="34" customFormat="1" x14ac:dyDescent="0.25"/>
    <row r="382" s="34" customFormat="1" x14ac:dyDescent="0.25"/>
    <row r="383" s="34" customFormat="1" x14ac:dyDescent="0.25"/>
    <row r="384" s="34" customFormat="1" x14ac:dyDescent="0.25"/>
    <row r="385" s="34" customFormat="1" x14ac:dyDescent="0.25"/>
    <row r="386" s="34" customFormat="1" x14ac:dyDescent="0.25"/>
    <row r="387" s="34" customFormat="1" x14ac:dyDescent="0.25"/>
    <row r="388" s="34" customFormat="1" x14ac:dyDescent="0.25"/>
    <row r="389" s="34" customFormat="1" x14ac:dyDescent="0.25"/>
    <row r="390" s="34" customFormat="1" x14ac:dyDescent="0.25"/>
    <row r="391" s="34" customFormat="1" x14ac:dyDescent="0.25"/>
  </sheetData>
  <sheetProtection algorithmName="SHA-512" hashValue="MNMGrurw2vGugURVYNIezx/ti69dLRAmlcejfEq9jkOronKi3NQtAUsD04AgGV2mGTXyXd7sVxN3rt8Fd1o0Iw==" saltValue="jR9yEnyc4UsA8IxoU4FTNQ==" spinCount="100000" sheet="1" objects="1" scenarios="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W580"/>
  <sheetViews>
    <sheetView showGridLines="0" tabSelected="1" zoomScaleNormal="100" workbookViewId="0">
      <selection activeCell="F11" sqref="F11"/>
    </sheetView>
  </sheetViews>
  <sheetFormatPr defaultRowHeight="15" x14ac:dyDescent="0.25"/>
  <cols>
    <col min="1" max="1" width="9.140625" style="34"/>
    <col min="2" max="2" width="11.85546875" style="1" customWidth="1"/>
    <col min="3" max="3" width="10.5703125" customWidth="1"/>
    <col min="4" max="4" width="16.28515625" style="1" customWidth="1"/>
    <col min="5" max="5" width="12.7109375" style="1" customWidth="1"/>
    <col min="6" max="6" width="15.140625" style="1" customWidth="1"/>
    <col min="7" max="7" width="11.28515625" style="9" customWidth="1"/>
    <col min="8" max="8" width="7.7109375" customWidth="1"/>
    <col min="9" max="9" width="7.85546875" customWidth="1"/>
    <col min="10" max="10" width="8.5703125" customWidth="1"/>
    <col min="11" max="49" width="9.140625" style="34"/>
  </cols>
  <sheetData>
    <row r="1" spans="1:49" s="34" customFormat="1" ht="15.75" thickBot="1" x14ac:dyDescent="0.3">
      <c r="B1" s="58"/>
      <c r="C1" s="51"/>
      <c r="D1" s="37"/>
      <c r="E1" s="37"/>
      <c r="F1" s="37"/>
      <c r="G1" s="37"/>
      <c r="H1" s="51"/>
      <c r="I1" s="51"/>
    </row>
    <row r="2" spans="1:49" ht="15.75" thickBot="1" x14ac:dyDescent="0.3">
      <c r="B2" s="57" t="s">
        <v>19</v>
      </c>
      <c r="C2" s="97"/>
      <c r="D2" s="98"/>
      <c r="E2" s="99" t="s">
        <v>34</v>
      </c>
      <c r="F2" s="99"/>
      <c r="G2" s="55" t="s">
        <v>18</v>
      </c>
      <c r="H2" s="97" t="s">
        <v>50</v>
      </c>
      <c r="I2" s="111"/>
      <c r="J2" s="98"/>
      <c r="K2" s="35"/>
    </row>
    <row r="3" spans="1:49" ht="32.25" customHeight="1" thickBot="1" x14ac:dyDescent="0.4">
      <c r="B3" s="108" t="s">
        <v>17</v>
      </c>
      <c r="C3" s="109"/>
      <c r="D3" s="109"/>
      <c r="E3" s="109"/>
      <c r="F3" s="109"/>
      <c r="G3" s="109"/>
      <c r="H3" s="109"/>
      <c r="I3" s="109"/>
      <c r="J3" s="110"/>
      <c r="K3" s="35"/>
    </row>
    <row r="4" spans="1:49" s="4" customFormat="1" ht="37.5" customHeight="1" thickBot="1" x14ac:dyDescent="0.3">
      <c r="A4" s="34"/>
      <c r="B4" s="103" t="s">
        <v>14</v>
      </c>
      <c r="C4" s="104"/>
      <c r="D4" s="104"/>
      <c r="E4" s="104"/>
      <c r="F4" s="30"/>
      <c r="G4" s="105" t="s">
        <v>32</v>
      </c>
      <c r="H4" s="106"/>
      <c r="I4" s="106"/>
      <c r="J4" s="107"/>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row>
    <row r="5" spans="1:49" ht="33" customHeight="1" thickBot="1" x14ac:dyDescent="0.3">
      <c r="B5" s="82" t="s">
        <v>4</v>
      </c>
      <c r="C5" s="81" t="s">
        <v>37</v>
      </c>
      <c r="D5" s="83" t="s">
        <v>0</v>
      </c>
      <c r="E5" s="83" t="s">
        <v>16</v>
      </c>
      <c r="F5" s="84" t="s">
        <v>1</v>
      </c>
      <c r="G5" s="85" t="s">
        <v>15</v>
      </c>
      <c r="H5" s="81" t="s">
        <v>38</v>
      </c>
      <c r="I5" s="83" t="s">
        <v>29</v>
      </c>
      <c r="J5" s="86" t="s">
        <v>30</v>
      </c>
    </row>
    <row r="6" spans="1:49" ht="15.75" thickTop="1" x14ac:dyDescent="0.25">
      <c r="B6" s="7">
        <v>1</v>
      </c>
      <c r="C6" s="10"/>
      <c r="D6" s="11"/>
      <c r="E6" s="15"/>
      <c r="F6" s="13"/>
      <c r="G6" s="29"/>
      <c r="H6" s="21"/>
      <c r="I6" s="11"/>
      <c r="J6" s="12"/>
      <c r="K6" s="115"/>
      <c r="L6" s="116"/>
      <c r="M6" s="116"/>
      <c r="N6" s="116"/>
      <c r="O6" s="116"/>
      <c r="P6" s="116"/>
    </row>
    <row r="7" spans="1:49" x14ac:dyDescent="0.25">
      <c r="B7" s="5">
        <v>2</v>
      </c>
      <c r="C7" s="10"/>
      <c r="D7" s="11"/>
      <c r="E7" s="15"/>
      <c r="F7" s="13"/>
      <c r="G7" s="25"/>
      <c r="H7" s="25"/>
      <c r="I7" s="13"/>
      <c r="J7" s="14"/>
    </row>
    <row r="8" spans="1:49" x14ac:dyDescent="0.25">
      <c r="B8" s="5">
        <v>3</v>
      </c>
      <c r="C8" s="10"/>
      <c r="D8" s="11"/>
      <c r="E8" s="15"/>
      <c r="F8" s="13"/>
      <c r="G8" s="25"/>
      <c r="H8" s="25"/>
      <c r="I8" s="13"/>
      <c r="J8" s="14"/>
    </row>
    <row r="9" spans="1:49" x14ac:dyDescent="0.25">
      <c r="B9" s="5">
        <v>4</v>
      </c>
      <c r="C9" s="10"/>
      <c r="D9" s="11"/>
      <c r="E9" s="15"/>
      <c r="F9" s="13"/>
      <c r="G9" s="25"/>
      <c r="H9" s="25"/>
      <c r="I9" s="13"/>
      <c r="J9" s="14"/>
    </row>
    <row r="10" spans="1:49" x14ac:dyDescent="0.25">
      <c r="B10" s="5">
        <v>5</v>
      </c>
      <c r="C10" s="10"/>
      <c r="D10" s="11"/>
      <c r="E10" s="15"/>
      <c r="F10" s="13"/>
      <c r="G10" s="25"/>
      <c r="H10" s="25"/>
      <c r="I10" s="13"/>
      <c r="J10" s="14"/>
    </row>
    <row r="11" spans="1:49" x14ac:dyDescent="0.25">
      <c r="B11" s="5">
        <v>6</v>
      </c>
      <c r="C11" s="10"/>
      <c r="D11" s="11"/>
      <c r="E11" s="15"/>
      <c r="F11" s="13"/>
      <c r="G11" s="25"/>
      <c r="H11" s="25"/>
      <c r="I11" s="13"/>
      <c r="J11" s="14"/>
    </row>
    <row r="12" spans="1:49" x14ac:dyDescent="0.25">
      <c r="B12" s="5">
        <v>7</v>
      </c>
      <c r="C12" s="10"/>
      <c r="D12" s="11"/>
      <c r="E12" s="15"/>
      <c r="F12" s="13"/>
      <c r="G12" s="25"/>
      <c r="H12" s="25"/>
      <c r="I12" s="13"/>
      <c r="J12" s="14"/>
    </row>
    <row r="13" spans="1:49" x14ac:dyDescent="0.25">
      <c r="B13" s="5">
        <v>8</v>
      </c>
      <c r="C13" s="10"/>
      <c r="D13" s="11"/>
      <c r="E13" s="15"/>
      <c r="F13" s="13"/>
      <c r="G13" s="25"/>
      <c r="H13" s="25"/>
      <c r="I13" s="13"/>
      <c r="J13" s="14"/>
    </row>
    <row r="14" spans="1:49" x14ac:dyDescent="0.25">
      <c r="B14" s="5">
        <v>9</v>
      </c>
      <c r="C14" s="10"/>
      <c r="D14" s="11"/>
      <c r="E14" s="15"/>
      <c r="F14" s="13"/>
      <c r="G14" s="25"/>
      <c r="H14" s="25"/>
      <c r="I14" s="13"/>
      <c r="J14" s="14"/>
    </row>
    <row r="15" spans="1:49" x14ac:dyDescent="0.25">
      <c r="B15" s="5">
        <v>10</v>
      </c>
      <c r="C15" s="10"/>
      <c r="D15" s="11"/>
      <c r="E15" s="15"/>
      <c r="F15" s="13"/>
      <c r="G15" s="25"/>
      <c r="H15" s="25"/>
      <c r="I15" s="13"/>
      <c r="J15" s="14"/>
    </row>
    <row r="16" spans="1:49" x14ac:dyDescent="0.25">
      <c r="B16" s="5">
        <v>11</v>
      </c>
      <c r="C16" s="10"/>
      <c r="D16" s="11"/>
      <c r="E16" s="15"/>
      <c r="F16" s="13"/>
      <c r="G16" s="25"/>
      <c r="H16" s="25"/>
      <c r="I16" s="13"/>
      <c r="J16" s="14"/>
      <c r="K16" s="115"/>
      <c r="L16" s="116"/>
      <c r="M16" s="116"/>
      <c r="N16" s="116"/>
      <c r="O16" s="116"/>
      <c r="P16" s="116"/>
    </row>
    <row r="17" spans="2:16" x14ac:dyDescent="0.25">
      <c r="B17" s="5">
        <v>12</v>
      </c>
      <c r="C17" s="10"/>
      <c r="D17" s="11"/>
      <c r="E17" s="15"/>
      <c r="F17" s="13"/>
      <c r="G17" s="25"/>
      <c r="H17" s="25"/>
      <c r="I17" s="13"/>
      <c r="J17" s="14"/>
    </row>
    <row r="18" spans="2:16" x14ac:dyDescent="0.25">
      <c r="B18" s="5">
        <v>13</v>
      </c>
      <c r="C18" s="10"/>
      <c r="D18" s="11"/>
      <c r="E18" s="15"/>
      <c r="F18" s="13"/>
      <c r="G18" s="25"/>
      <c r="H18" s="25"/>
      <c r="I18" s="13"/>
      <c r="J18" s="14"/>
    </row>
    <row r="19" spans="2:16" x14ac:dyDescent="0.25">
      <c r="B19" s="5">
        <v>14</v>
      </c>
      <c r="C19" s="10"/>
      <c r="D19" s="11"/>
      <c r="E19" s="15"/>
      <c r="F19" s="13"/>
      <c r="G19" s="25"/>
      <c r="H19" s="26"/>
      <c r="I19" s="15"/>
      <c r="J19" s="16"/>
      <c r="K19" s="115"/>
      <c r="L19" s="116"/>
      <c r="M19" s="116"/>
      <c r="N19" s="116"/>
      <c r="O19" s="116"/>
      <c r="P19" s="116"/>
    </row>
    <row r="20" spans="2:16" x14ac:dyDescent="0.25">
      <c r="B20" s="5">
        <v>15</v>
      </c>
      <c r="C20" s="10"/>
      <c r="D20" s="11"/>
      <c r="E20" s="15"/>
      <c r="F20" s="13"/>
      <c r="G20" s="25"/>
      <c r="H20" s="26"/>
      <c r="I20" s="15"/>
      <c r="J20" s="16"/>
      <c r="K20" s="115"/>
      <c r="L20" s="116"/>
      <c r="M20" s="116"/>
      <c r="N20" s="116"/>
      <c r="O20" s="116"/>
      <c r="P20" s="116"/>
    </row>
    <row r="21" spans="2:16" x14ac:dyDescent="0.25">
      <c r="B21" s="5">
        <v>16</v>
      </c>
      <c r="C21" s="10"/>
      <c r="D21" s="11"/>
      <c r="E21" s="15"/>
      <c r="F21" s="13"/>
      <c r="G21" s="25"/>
      <c r="H21" s="26"/>
      <c r="I21" s="15"/>
      <c r="J21" s="16"/>
    </row>
    <row r="22" spans="2:16" x14ac:dyDescent="0.25">
      <c r="B22" s="5">
        <v>17</v>
      </c>
      <c r="C22" s="10"/>
      <c r="D22" s="11"/>
      <c r="E22" s="15"/>
      <c r="F22" s="13"/>
      <c r="G22" s="25"/>
      <c r="H22" s="26"/>
      <c r="I22" s="15"/>
      <c r="J22" s="16"/>
    </row>
    <row r="23" spans="2:16" x14ac:dyDescent="0.25">
      <c r="B23" s="5">
        <v>18</v>
      </c>
      <c r="C23" s="10"/>
      <c r="D23" s="11"/>
      <c r="E23" s="15"/>
      <c r="F23" s="13"/>
      <c r="G23" s="25"/>
      <c r="H23" s="26"/>
      <c r="I23" s="15"/>
      <c r="J23" s="16"/>
    </row>
    <row r="24" spans="2:16" x14ac:dyDescent="0.25">
      <c r="B24" s="5">
        <v>19</v>
      </c>
      <c r="C24" s="10"/>
      <c r="D24" s="11"/>
      <c r="E24" s="15"/>
      <c r="F24" s="13"/>
      <c r="G24" s="25"/>
      <c r="H24" s="26"/>
      <c r="I24" s="15"/>
      <c r="J24" s="16"/>
    </row>
    <row r="25" spans="2:16" x14ac:dyDescent="0.25">
      <c r="B25" s="5">
        <v>20</v>
      </c>
      <c r="C25" s="10"/>
      <c r="D25" s="11"/>
      <c r="E25" s="15"/>
      <c r="F25" s="13"/>
      <c r="G25" s="25"/>
      <c r="H25" s="26"/>
      <c r="I25" s="15"/>
      <c r="J25" s="16"/>
    </row>
    <row r="26" spans="2:16" x14ac:dyDescent="0.25">
      <c r="B26" s="5">
        <v>21</v>
      </c>
      <c r="C26" s="10"/>
      <c r="D26" s="11"/>
      <c r="E26" s="15"/>
      <c r="F26" s="13"/>
      <c r="G26" s="25"/>
      <c r="H26" s="26"/>
      <c r="I26" s="15"/>
      <c r="J26" s="16"/>
    </row>
    <row r="27" spans="2:16" x14ac:dyDescent="0.25">
      <c r="B27" s="5">
        <v>22</v>
      </c>
      <c r="C27" s="10"/>
      <c r="D27" s="11"/>
      <c r="E27" s="15"/>
      <c r="F27" s="13"/>
      <c r="G27" s="25"/>
      <c r="H27" s="26"/>
      <c r="I27" s="15"/>
      <c r="J27" s="16"/>
    </row>
    <row r="28" spans="2:16" x14ac:dyDescent="0.25">
      <c r="B28" s="5">
        <v>23</v>
      </c>
      <c r="C28" s="10"/>
      <c r="D28" s="11"/>
      <c r="E28" s="15"/>
      <c r="F28" s="13"/>
      <c r="G28" s="25"/>
      <c r="H28" s="26"/>
      <c r="I28" s="15"/>
      <c r="J28" s="16"/>
    </row>
    <row r="29" spans="2:16" x14ac:dyDescent="0.25">
      <c r="B29" s="5">
        <v>24</v>
      </c>
      <c r="C29" s="10"/>
      <c r="D29" s="11"/>
      <c r="E29" s="15"/>
      <c r="F29" s="13"/>
      <c r="G29" s="25"/>
      <c r="H29" s="26"/>
      <c r="I29" s="15"/>
      <c r="J29" s="16"/>
    </row>
    <row r="30" spans="2:16" x14ac:dyDescent="0.25">
      <c r="B30" s="5">
        <v>25</v>
      </c>
      <c r="C30" s="10"/>
      <c r="D30" s="11"/>
      <c r="E30" s="15"/>
      <c r="F30" s="13"/>
      <c r="G30" s="25"/>
      <c r="H30" s="26"/>
      <c r="I30" s="15"/>
      <c r="J30" s="16"/>
    </row>
    <row r="31" spans="2:16" x14ac:dyDescent="0.25">
      <c r="B31" s="5">
        <v>26</v>
      </c>
      <c r="C31" s="10"/>
      <c r="D31" s="11"/>
      <c r="E31" s="15"/>
      <c r="F31" s="13"/>
      <c r="G31" s="25"/>
      <c r="H31" s="26"/>
      <c r="I31" s="15"/>
      <c r="J31" s="16"/>
    </row>
    <row r="32" spans="2:16" x14ac:dyDescent="0.25">
      <c r="B32" s="5">
        <v>27</v>
      </c>
      <c r="C32" s="10"/>
      <c r="D32" s="11"/>
      <c r="E32" s="15"/>
      <c r="F32" s="13"/>
      <c r="G32" s="25"/>
      <c r="H32" s="26"/>
      <c r="I32" s="15"/>
      <c r="J32" s="16"/>
    </row>
    <row r="33" spans="1:49" x14ac:dyDescent="0.25">
      <c r="B33" s="5">
        <v>28</v>
      </c>
      <c r="C33" s="10"/>
      <c r="D33" s="11"/>
      <c r="E33" s="15"/>
      <c r="F33" s="13"/>
      <c r="G33" s="25"/>
      <c r="H33" s="26"/>
      <c r="I33" s="15"/>
      <c r="J33" s="16"/>
    </row>
    <row r="34" spans="1:49" x14ac:dyDescent="0.25">
      <c r="B34" s="5">
        <v>29</v>
      </c>
      <c r="C34" s="10"/>
      <c r="D34" s="11"/>
      <c r="E34" s="15"/>
      <c r="F34" s="13"/>
      <c r="G34" s="25"/>
      <c r="H34" s="26"/>
      <c r="I34" s="15"/>
      <c r="J34" s="16"/>
    </row>
    <row r="35" spans="1:49" x14ac:dyDescent="0.25">
      <c r="B35" s="5">
        <v>30</v>
      </c>
      <c r="C35" s="10"/>
      <c r="D35" s="11"/>
      <c r="E35" s="15"/>
      <c r="F35" s="13"/>
      <c r="G35" s="25"/>
      <c r="H35" s="26"/>
      <c r="I35" s="15"/>
      <c r="J35" s="16"/>
    </row>
    <row r="36" spans="1:49" x14ac:dyDescent="0.25">
      <c r="B36" s="5">
        <v>31</v>
      </c>
      <c r="C36" s="10"/>
      <c r="D36" s="11"/>
      <c r="E36" s="15"/>
      <c r="F36" s="13"/>
      <c r="G36" s="25"/>
      <c r="H36" s="26"/>
      <c r="I36" s="15"/>
      <c r="J36" s="16"/>
    </row>
    <row r="37" spans="1:49" x14ac:dyDescent="0.25">
      <c r="B37" s="5">
        <v>32</v>
      </c>
      <c r="C37" s="10"/>
      <c r="D37" s="11"/>
      <c r="E37" s="15"/>
      <c r="F37" s="13"/>
      <c r="G37" s="25"/>
      <c r="H37" s="26"/>
      <c r="I37" s="15"/>
      <c r="J37" s="16"/>
    </row>
    <row r="38" spans="1:49" x14ac:dyDescent="0.25">
      <c r="B38" s="5">
        <v>33</v>
      </c>
      <c r="C38" s="10"/>
      <c r="D38" s="11"/>
      <c r="E38" s="15"/>
      <c r="F38" s="13"/>
      <c r="G38" s="25"/>
      <c r="H38" s="26"/>
      <c r="I38" s="15"/>
      <c r="J38" s="16"/>
    </row>
    <row r="39" spans="1:49" x14ac:dyDescent="0.25">
      <c r="B39" s="5">
        <v>34</v>
      </c>
      <c r="C39" s="10"/>
      <c r="D39" s="11"/>
      <c r="E39" s="15"/>
      <c r="F39" s="13"/>
      <c r="G39" s="25"/>
      <c r="H39" s="26"/>
      <c r="I39" s="15"/>
      <c r="J39" s="16"/>
    </row>
    <row r="40" spans="1:49" ht="15.75" thickBot="1" x14ac:dyDescent="0.3">
      <c r="B40" s="6">
        <v>35</v>
      </c>
      <c r="C40" s="23"/>
      <c r="D40" s="17"/>
      <c r="E40" s="17"/>
      <c r="F40" s="17"/>
      <c r="G40" s="17"/>
      <c r="H40" s="28"/>
      <c r="I40" s="17"/>
      <c r="J40" s="18"/>
    </row>
    <row r="41" spans="1:49" s="3" customFormat="1" ht="14.25" customHeight="1" x14ac:dyDescent="0.25">
      <c r="A41" s="36"/>
      <c r="B41" s="100" t="s">
        <v>31</v>
      </c>
      <c r="C41" s="112"/>
      <c r="D41" s="112"/>
      <c r="E41" s="112"/>
      <c r="F41" s="113"/>
      <c r="G41" s="113"/>
      <c r="H41" s="113"/>
      <c r="I41" s="113"/>
      <c r="J41" s="114"/>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row>
    <row r="42" spans="1:49" s="3" customFormat="1" ht="14.25" customHeight="1" x14ac:dyDescent="0.25">
      <c r="A42" s="36"/>
      <c r="B42" s="100" t="s">
        <v>5</v>
      </c>
      <c r="C42" s="101"/>
      <c r="D42" s="101"/>
      <c r="E42" s="101"/>
      <c r="F42" s="101"/>
      <c r="G42" s="101"/>
      <c r="H42" s="101"/>
      <c r="I42" s="101"/>
      <c r="J42" s="102"/>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row>
    <row r="43" spans="1:49" s="3" customFormat="1" ht="14.25" customHeight="1" x14ac:dyDescent="0.25">
      <c r="A43" s="36"/>
      <c r="B43" s="117" t="s">
        <v>22</v>
      </c>
      <c r="C43" s="118"/>
      <c r="D43" s="118"/>
      <c r="E43" s="118"/>
      <c r="F43" s="118"/>
      <c r="G43" s="118"/>
      <c r="H43" s="118"/>
      <c r="I43" s="118"/>
      <c r="J43" s="119"/>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row>
    <row r="44" spans="1:49" s="34" customFormat="1" x14ac:dyDescent="0.25">
      <c r="B44" s="37"/>
      <c r="D44" s="37"/>
      <c r="E44" s="37"/>
      <c r="F44" s="37"/>
      <c r="G44" s="37"/>
    </row>
    <row r="45" spans="1:49" s="34" customFormat="1" x14ac:dyDescent="0.25">
      <c r="B45" s="37"/>
      <c r="D45" s="37"/>
      <c r="E45" s="37"/>
      <c r="F45" s="37"/>
      <c r="G45" s="37"/>
    </row>
    <row r="46" spans="1:49" s="34" customFormat="1" x14ac:dyDescent="0.25">
      <c r="B46" s="37"/>
      <c r="D46" s="37"/>
      <c r="E46" s="37"/>
      <c r="F46" s="37"/>
      <c r="G46" s="37"/>
    </row>
    <row r="47" spans="1:49" s="34" customFormat="1" x14ac:dyDescent="0.25">
      <c r="B47" s="37"/>
      <c r="D47" s="37"/>
      <c r="E47" s="37"/>
      <c r="F47" s="37"/>
      <c r="G47" s="37"/>
    </row>
    <row r="48" spans="1:49" s="34" customFormat="1" x14ac:dyDescent="0.25">
      <c r="B48" s="37"/>
      <c r="D48" s="37"/>
      <c r="E48" s="37"/>
      <c r="F48" s="37"/>
      <c r="G48" s="37"/>
    </row>
    <row r="49" spans="2:7" s="34" customFormat="1" x14ac:dyDescent="0.25">
      <c r="B49" s="37"/>
      <c r="D49" s="37"/>
      <c r="E49" s="37"/>
      <c r="F49" s="37"/>
      <c r="G49" s="37"/>
    </row>
    <row r="50" spans="2:7" s="34" customFormat="1" x14ac:dyDescent="0.25">
      <c r="B50" s="37"/>
      <c r="D50" s="37"/>
      <c r="E50" s="37"/>
      <c r="F50" s="37"/>
      <c r="G50" s="37"/>
    </row>
    <row r="51" spans="2:7" s="34" customFormat="1" x14ac:dyDescent="0.25">
      <c r="B51" s="37"/>
      <c r="D51" s="37"/>
      <c r="E51" s="37"/>
      <c r="F51" s="37"/>
      <c r="G51" s="37"/>
    </row>
    <row r="52" spans="2:7" s="34" customFormat="1" x14ac:dyDescent="0.25">
      <c r="B52" s="37"/>
      <c r="D52" s="37"/>
      <c r="E52" s="37"/>
      <c r="F52" s="37"/>
      <c r="G52" s="37"/>
    </row>
    <row r="53" spans="2:7" s="34" customFormat="1" x14ac:dyDescent="0.25">
      <c r="B53" s="37"/>
      <c r="D53" s="37"/>
      <c r="E53" s="37"/>
      <c r="F53" s="37"/>
      <c r="G53" s="37"/>
    </row>
    <row r="54" spans="2:7" s="34" customFormat="1" x14ac:dyDescent="0.25">
      <c r="B54" s="37"/>
      <c r="D54" s="37"/>
      <c r="E54" s="37"/>
      <c r="F54" s="37"/>
      <c r="G54" s="37"/>
    </row>
    <row r="55" spans="2:7" s="34" customFormat="1" x14ac:dyDescent="0.25">
      <c r="B55" s="37"/>
      <c r="D55" s="37"/>
      <c r="E55" s="37"/>
      <c r="F55" s="37"/>
      <c r="G55" s="37"/>
    </row>
    <row r="56" spans="2:7" s="34" customFormat="1" x14ac:dyDescent="0.25">
      <c r="B56" s="37"/>
      <c r="D56" s="37"/>
      <c r="E56" s="37"/>
      <c r="F56" s="37"/>
      <c r="G56" s="37"/>
    </row>
    <row r="57" spans="2:7" s="34" customFormat="1" x14ac:dyDescent="0.25">
      <c r="B57" s="37"/>
      <c r="D57" s="37"/>
      <c r="E57" s="37"/>
      <c r="F57" s="37"/>
      <c r="G57" s="37"/>
    </row>
    <row r="58" spans="2:7" s="34" customFormat="1" x14ac:dyDescent="0.25">
      <c r="B58" s="37"/>
      <c r="D58" s="37"/>
      <c r="E58" s="37"/>
      <c r="F58" s="37"/>
      <c r="G58" s="37"/>
    </row>
    <row r="59" spans="2:7" s="34" customFormat="1" x14ac:dyDescent="0.25">
      <c r="B59" s="37"/>
      <c r="D59" s="37"/>
      <c r="E59" s="37"/>
      <c r="F59" s="37"/>
      <c r="G59" s="37"/>
    </row>
    <row r="60" spans="2:7" s="34" customFormat="1" x14ac:dyDescent="0.25">
      <c r="B60" s="37"/>
      <c r="D60" s="37"/>
      <c r="E60" s="37"/>
      <c r="F60" s="37"/>
      <c r="G60" s="37"/>
    </row>
    <row r="61" spans="2:7" s="34" customFormat="1" x14ac:dyDescent="0.25">
      <c r="B61" s="37"/>
      <c r="D61" s="37"/>
      <c r="E61" s="37"/>
      <c r="F61" s="37"/>
      <c r="G61" s="37"/>
    </row>
    <row r="62" spans="2:7" s="34" customFormat="1" x14ac:dyDescent="0.25">
      <c r="B62" s="37"/>
      <c r="D62" s="37"/>
      <c r="E62" s="37"/>
      <c r="F62" s="37"/>
      <c r="G62" s="37"/>
    </row>
    <row r="63" spans="2:7" s="34" customFormat="1" x14ac:dyDescent="0.25">
      <c r="B63" s="37"/>
      <c r="D63" s="37"/>
      <c r="E63" s="37"/>
      <c r="F63" s="37"/>
      <c r="G63" s="37"/>
    </row>
    <row r="64" spans="2:7" s="34" customFormat="1" x14ac:dyDescent="0.25">
      <c r="B64" s="37"/>
      <c r="D64" s="37"/>
      <c r="E64" s="37"/>
      <c r="F64" s="37"/>
      <c r="G64" s="37"/>
    </row>
    <row r="65" spans="2:7" s="34" customFormat="1" x14ac:dyDescent="0.25">
      <c r="B65" s="37"/>
      <c r="D65" s="37"/>
      <c r="E65" s="37"/>
      <c r="F65" s="37"/>
      <c r="G65" s="37"/>
    </row>
    <row r="66" spans="2:7" s="34" customFormat="1" x14ac:dyDescent="0.25">
      <c r="B66" s="37"/>
      <c r="D66" s="37"/>
      <c r="E66" s="37"/>
      <c r="F66" s="37"/>
      <c r="G66" s="37"/>
    </row>
    <row r="67" spans="2:7" s="34" customFormat="1" x14ac:dyDescent="0.25">
      <c r="B67" s="37"/>
      <c r="D67" s="37"/>
      <c r="E67" s="37"/>
      <c r="F67" s="37"/>
      <c r="G67" s="37"/>
    </row>
    <row r="68" spans="2:7" s="34" customFormat="1" x14ac:dyDescent="0.25">
      <c r="B68" s="37"/>
      <c r="D68" s="37"/>
      <c r="E68" s="37"/>
      <c r="F68" s="37"/>
      <c r="G68" s="37"/>
    </row>
    <row r="69" spans="2:7" s="34" customFormat="1" x14ac:dyDescent="0.25">
      <c r="B69" s="37"/>
      <c r="D69" s="37"/>
      <c r="E69" s="37"/>
      <c r="F69" s="37"/>
      <c r="G69" s="37"/>
    </row>
    <row r="70" spans="2:7" s="34" customFormat="1" x14ac:dyDescent="0.25">
      <c r="B70" s="37"/>
      <c r="D70" s="37"/>
      <c r="E70" s="37"/>
      <c r="F70" s="37"/>
      <c r="G70" s="37"/>
    </row>
    <row r="71" spans="2:7" s="34" customFormat="1" x14ac:dyDescent="0.25">
      <c r="B71" s="37"/>
      <c r="D71" s="37"/>
      <c r="E71" s="37"/>
      <c r="F71" s="37"/>
      <c r="G71" s="37"/>
    </row>
    <row r="72" spans="2:7" s="34" customFormat="1" x14ac:dyDescent="0.25">
      <c r="B72" s="37"/>
      <c r="D72" s="37"/>
      <c r="E72" s="37"/>
      <c r="F72" s="37"/>
      <c r="G72" s="37"/>
    </row>
    <row r="73" spans="2:7" s="34" customFormat="1" x14ac:dyDescent="0.25">
      <c r="B73" s="37"/>
      <c r="D73" s="37"/>
      <c r="E73" s="37"/>
      <c r="F73" s="37"/>
      <c r="G73" s="37"/>
    </row>
    <row r="74" spans="2:7" s="34" customFormat="1" x14ac:dyDescent="0.25">
      <c r="B74" s="37"/>
      <c r="D74" s="37"/>
      <c r="E74" s="37"/>
      <c r="F74" s="37"/>
      <c r="G74" s="37"/>
    </row>
    <row r="75" spans="2:7" s="34" customFormat="1" x14ac:dyDescent="0.25">
      <c r="B75" s="37"/>
      <c r="D75" s="37"/>
      <c r="E75" s="37"/>
      <c r="F75" s="37"/>
      <c r="G75" s="37"/>
    </row>
    <row r="76" spans="2:7" s="34" customFormat="1" x14ac:dyDescent="0.25">
      <c r="B76" s="37"/>
      <c r="D76" s="37"/>
      <c r="E76" s="37"/>
      <c r="F76" s="37"/>
      <c r="G76" s="37"/>
    </row>
    <row r="77" spans="2:7" s="34" customFormat="1" x14ac:dyDescent="0.25">
      <c r="B77" s="37"/>
      <c r="D77" s="37"/>
      <c r="E77" s="37"/>
      <c r="F77" s="37"/>
      <c r="G77" s="37"/>
    </row>
    <row r="78" spans="2:7" s="34" customFormat="1" x14ac:dyDescent="0.25">
      <c r="B78" s="37"/>
      <c r="D78" s="37"/>
      <c r="E78" s="37"/>
      <c r="F78" s="37"/>
      <c r="G78" s="37"/>
    </row>
    <row r="79" spans="2:7" s="34" customFormat="1" x14ac:dyDescent="0.25">
      <c r="B79" s="37"/>
      <c r="D79" s="37"/>
      <c r="E79" s="37"/>
      <c r="F79" s="37"/>
      <c r="G79" s="37"/>
    </row>
    <row r="80" spans="2:7" s="34" customFormat="1" x14ac:dyDescent="0.25">
      <c r="B80" s="37"/>
      <c r="D80" s="37"/>
      <c r="E80" s="37"/>
      <c r="F80" s="37"/>
      <c r="G80" s="37"/>
    </row>
    <row r="81" spans="2:7" s="34" customFormat="1" x14ac:dyDescent="0.25">
      <c r="B81" s="37"/>
      <c r="D81" s="37"/>
      <c r="E81" s="37"/>
      <c r="F81" s="37"/>
      <c r="G81" s="37"/>
    </row>
    <row r="82" spans="2:7" s="34" customFormat="1" x14ac:dyDescent="0.25">
      <c r="B82" s="37"/>
      <c r="D82" s="37"/>
      <c r="E82" s="37"/>
      <c r="F82" s="37"/>
      <c r="G82" s="37"/>
    </row>
    <row r="83" spans="2:7" s="34" customFormat="1" x14ac:dyDescent="0.25">
      <c r="B83" s="37"/>
      <c r="D83" s="37"/>
      <c r="E83" s="37"/>
      <c r="F83" s="37"/>
      <c r="G83" s="37"/>
    </row>
    <row r="84" spans="2:7" s="34" customFormat="1" x14ac:dyDescent="0.25">
      <c r="B84" s="37"/>
      <c r="D84" s="37"/>
      <c r="E84" s="37"/>
      <c r="F84" s="37"/>
      <c r="G84" s="37"/>
    </row>
    <row r="85" spans="2:7" s="34" customFormat="1" x14ac:dyDescent="0.25">
      <c r="B85" s="37"/>
      <c r="D85" s="37"/>
      <c r="E85" s="37"/>
      <c r="F85" s="37"/>
      <c r="G85" s="37"/>
    </row>
    <row r="86" spans="2:7" s="34" customFormat="1" x14ac:dyDescent="0.25">
      <c r="B86" s="37"/>
      <c r="D86" s="37"/>
      <c r="E86" s="37"/>
      <c r="F86" s="37"/>
      <c r="G86" s="37"/>
    </row>
    <row r="87" spans="2:7" s="34" customFormat="1" x14ac:dyDescent="0.25">
      <c r="B87" s="37"/>
      <c r="D87" s="37"/>
      <c r="E87" s="37"/>
      <c r="F87" s="37"/>
      <c r="G87" s="37"/>
    </row>
    <row r="88" spans="2:7" s="34" customFormat="1" x14ac:dyDescent="0.25">
      <c r="B88" s="37"/>
      <c r="D88" s="37"/>
      <c r="E88" s="37"/>
      <c r="F88" s="37"/>
      <c r="G88" s="37"/>
    </row>
    <row r="89" spans="2:7" s="34" customFormat="1" x14ac:dyDescent="0.25">
      <c r="B89" s="37"/>
      <c r="D89" s="37"/>
      <c r="E89" s="37"/>
      <c r="F89" s="37"/>
      <c r="G89" s="37"/>
    </row>
    <row r="90" spans="2:7" s="34" customFormat="1" x14ac:dyDescent="0.25">
      <c r="B90" s="37"/>
      <c r="D90" s="37"/>
      <c r="E90" s="37"/>
      <c r="F90" s="37"/>
      <c r="G90" s="37"/>
    </row>
    <row r="91" spans="2:7" s="34" customFormat="1" x14ac:dyDescent="0.25">
      <c r="B91" s="37"/>
      <c r="D91" s="37"/>
      <c r="E91" s="37"/>
      <c r="F91" s="37"/>
      <c r="G91" s="37"/>
    </row>
    <row r="92" spans="2:7" s="34" customFormat="1" x14ac:dyDescent="0.25">
      <c r="B92" s="37"/>
      <c r="D92" s="37"/>
      <c r="E92" s="37"/>
      <c r="F92" s="37"/>
      <c r="G92" s="37"/>
    </row>
    <row r="93" spans="2:7" s="34" customFormat="1" x14ac:dyDescent="0.25">
      <c r="B93" s="37"/>
      <c r="D93" s="37"/>
      <c r="E93" s="37"/>
      <c r="F93" s="37"/>
      <c r="G93" s="37"/>
    </row>
    <row r="94" spans="2:7" s="34" customFormat="1" x14ac:dyDescent="0.25">
      <c r="B94" s="37"/>
      <c r="D94" s="37"/>
      <c r="E94" s="37"/>
      <c r="F94" s="37"/>
      <c r="G94" s="37"/>
    </row>
    <row r="95" spans="2:7" s="34" customFormat="1" x14ac:dyDescent="0.25">
      <c r="B95" s="37"/>
      <c r="D95" s="37"/>
      <c r="E95" s="37"/>
      <c r="F95" s="37"/>
      <c r="G95" s="37"/>
    </row>
    <row r="96" spans="2:7" s="34" customFormat="1" x14ac:dyDescent="0.25">
      <c r="B96" s="37"/>
      <c r="D96" s="37"/>
      <c r="E96" s="37"/>
      <c r="F96" s="37"/>
      <c r="G96" s="37"/>
    </row>
    <row r="97" spans="2:7" s="34" customFormat="1" x14ac:dyDescent="0.25">
      <c r="B97" s="37"/>
      <c r="D97" s="37"/>
      <c r="E97" s="37"/>
      <c r="F97" s="37"/>
      <c r="G97" s="37"/>
    </row>
    <row r="98" spans="2:7" s="34" customFormat="1" x14ac:dyDescent="0.25">
      <c r="B98" s="37"/>
      <c r="D98" s="37"/>
      <c r="E98" s="37"/>
      <c r="F98" s="37"/>
      <c r="G98" s="37"/>
    </row>
    <row r="99" spans="2:7" s="34" customFormat="1" x14ac:dyDescent="0.25">
      <c r="B99" s="37"/>
      <c r="D99" s="37"/>
      <c r="E99" s="37"/>
      <c r="F99" s="37"/>
      <c r="G99" s="37"/>
    </row>
    <row r="100" spans="2:7" s="34" customFormat="1" x14ac:dyDescent="0.25">
      <c r="B100" s="37"/>
      <c r="D100" s="37"/>
      <c r="E100" s="37"/>
      <c r="F100" s="37"/>
      <c r="G100" s="37"/>
    </row>
    <row r="101" spans="2:7" s="34" customFormat="1" x14ac:dyDescent="0.25">
      <c r="B101" s="37"/>
      <c r="D101" s="37"/>
      <c r="E101" s="37"/>
      <c r="F101" s="37"/>
      <c r="G101" s="37"/>
    </row>
    <row r="102" spans="2:7" s="34" customFormat="1" x14ac:dyDescent="0.25">
      <c r="B102" s="37"/>
      <c r="D102" s="37"/>
      <c r="E102" s="37"/>
      <c r="F102" s="37"/>
      <c r="G102" s="37"/>
    </row>
    <row r="103" spans="2:7" s="34" customFormat="1" x14ac:dyDescent="0.25">
      <c r="B103" s="37"/>
      <c r="D103" s="37"/>
      <c r="E103" s="37"/>
      <c r="F103" s="37"/>
      <c r="G103" s="37"/>
    </row>
    <row r="104" spans="2:7" s="34" customFormat="1" x14ac:dyDescent="0.25">
      <c r="B104" s="37"/>
      <c r="D104" s="37"/>
      <c r="E104" s="37"/>
      <c r="F104" s="37"/>
      <c r="G104" s="37"/>
    </row>
    <row r="105" spans="2:7" s="34" customFormat="1" x14ac:dyDescent="0.25">
      <c r="B105" s="37"/>
      <c r="D105" s="37"/>
      <c r="E105" s="37"/>
      <c r="F105" s="37"/>
      <c r="G105" s="37"/>
    </row>
    <row r="106" spans="2:7" s="34" customFormat="1" x14ac:dyDescent="0.25">
      <c r="B106" s="37"/>
      <c r="D106" s="37"/>
      <c r="E106" s="37"/>
      <c r="F106" s="37"/>
      <c r="G106" s="37"/>
    </row>
    <row r="107" spans="2:7" s="34" customFormat="1" x14ac:dyDescent="0.25">
      <c r="B107" s="37"/>
      <c r="D107" s="37"/>
      <c r="E107" s="37"/>
      <c r="F107" s="37"/>
      <c r="G107" s="37"/>
    </row>
    <row r="108" spans="2:7" s="34" customFormat="1" x14ac:dyDescent="0.25">
      <c r="B108" s="37"/>
      <c r="D108" s="37"/>
      <c r="E108" s="37"/>
      <c r="F108" s="37"/>
      <c r="G108" s="37"/>
    </row>
    <row r="109" spans="2:7" s="34" customFormat="1" x14ac:dyDescent="0.25">
      <c r="B109" s="37"/>
      <c r="D109" s="37"/>
      <c r="E109" s="37"/>
      <c r="F109" s="37"/>
      <c r="G109" s="37"/>
    </row>
    <row r="110" spans="2:7" s="34" customFormat="1" x14ac:dyDescent="0.25">
      <c r="B110" s="37"/>
      <c r="D110" s="37"/>
      <c r="E110" s="37"/>
      <c r="F110" s="37"/>
      <c r="G110" s="37"/>
    </row>
    <row r="111" spans="2:7" s="34" customFormat="1" x14ac:dyDescent="0.25">
      <c r="B111" s="37"/>
      <c r="D111" s="37"/>
      <c r="E111" s="37"/>
      <c r="F111" s="37"/>
      <c r="G111" s="37"/>
    </row>
    <row r="112" spans="2:7" s="34" customFormat="1" x14ac:dyDescent="0.25">
      <c r="B112" s="37"/>
      <c r="D112" s="37"/>
      <c r="E112" s="37"/>
      <c r="F112" s="37"/>
      <c r="G112" s="37"/>
    </row>
    <row r="113" spans="2:7" s="34" customFormat="1" x14ac:dyDescent="0.25">
      <c r="B113" s="37"/>
      <c r="D113" s="37"/>
      <c r="E113" s="37"/>
      <c r="F113" s="37"/>
      <c r="G113" s="37"/>
    </row>
    <row r="114" spans="2:7" s="34" customFormat="1" x14ac:dyDescent="0.25">
      <c r="B114" s="37"/>
      <c r="D114" s="37"/>
      <c r="E114" s="37"/>
      <c r="F114" s="37"/>
      <c r="G114" s="37"/>
    </row>
    <row r="115" spans="2:7" s="34" customFormat="1" x14ac:dyDescent="0.25">
      <c r="B115" s="37"/>
      <c r="D115" s="37"/>
      <c r="E115" s="37"/>
      <c r="F115" s="37"/>
      <c r="G115" s="37"/>
    </row>
    <row r="116" spans="2:7" s="34" customFormat="1" x14ac:dyDescent="0.25">
      <c r="B116" s="37"/>
      <c r="D116" s="37"/>
      <c r="E116" s="37"/>
      <c r="F116" s="37"/>
      <c r="G116" s="37"/>
    </row>
    <row r="117" spans="2:7" s="34" customFormat="1" x14ac:dyDescent="0.25">
      <c r="B117" s="37"/>
      <c r="D117" s="37"/>
      <c r="E117" s="37"/>
      <c r="F117" s="37"/>
      <c r="G117" s="37"/>
    </row>
    <row r="118" spans="2:7" s="34" customFormat="1" x14ac:dyDescent="0.25">
      <c r="B118" s="37"/>
      <c r="D118" s="37"/>
      <c r="E118" s="37"/>
      <c r="F118" s="37"/>
      <c r="G118" s="37"/>
    </row>
    <row r="119" spans="2:7" s="34" customFormat="1" x14ac:dyDescent="0.25">
      <c r="B119" s="37"/>
      <c r="D119" s="37"/>
      <c r="E119" s="37"/>
      <c r="F119" s="37"/>
      <c r="G119" s="37"/>
    </row>
    <row r="120" spans="2:7" s="34" customFormat="1" x14ac:dyDescent="0.25">
      <c r="B120" s="37"/>
      <c r="D120" s="37"/>
      <c r="E120" s="37"/>
      <c r="F120" s="37"/>
      <c r="G120" s="37"/>
    </row>
    <row r="121" spans="2:7" s="34" customFormat="1" x14ac:dyDescent="0.25">
      <c r="B121" s="37"/>
      <c r="D121" s="37"/>
      <c r="E121" s="37"/>
      <c r="F121" s="37"/>
      <c r="G121" s="37"/>
    </row>
    <row r="122" spans="2:7" s="34" customFormat="1" x14ac:dyDescent="0.25">
      <c r="B122" s="37"/>
      <c r="D122" s="37"/>
      <c r="E122" s="37"/>
      <c r="F122" s="37"/>
      <c r="G122" s="37"/>
    </row>
    <row r="123" spans="2:7" s="34" customFormat="1" x14ac:dyDescent="0.25">
      <c r="B123" s="37"/>
      <c r="D123" s="37"/>
      <c r="E123" s="37"/>
      <c r="F123" s="37"/>
      <c r="G123" s="37"/>
    </row>
    <row r="124" spans="2:7" s="34" customFormat="1" x14ac:dyDescent="0.25">
      <c r="B124" s="37"/>
      <c r="D124" s="37"/>
      <c r="E124" s="37"/>
      <c r="F124" s="37"/>
      <c r="G124" s="37"/>
    </row>
    <row r="125" spans="2:7" s="34" customFormat="1" x14ac:dyDescent="0.25">
      <c r="B125" s="37"/>
      <c r="D125" s="37"/>
      <c r="E125" s="37"/>
      <c r="F125" s="37"/>
      <c r="G125" s="37"/>
    </row>
    <row r="126" spans="2:7" s="34" customFormat="1" x14ac:dyDescent="0.25">
      <c r="B126" s="37"/>
      <c r="D126" s="37"/>
      <c r="E126" s="37"/>
      <c r="F126" s="37"/>
      <c r="G126" s="37"/>
    </row>
    <row r="127" spans="2:7" s="34" customFormat="1" x14ac:dyDescent="0.25">
      <c r="B127" s="37"/>
      <c r="D127" s="37"/>
      <c r="E127" s="37"/>
      <c r="F127" s="37"/>
      <c r="G127" s="37"/>
    </row>
    <row r="128" spans="2:7" s="34" customFormat="1" x14ac:dyDescent="0.25">
      <c r="B128" s="37"/>
      <c r="D128" s="37"/>
      <c r="E128" s="37"/>
      <c r="F128" s="37"/>
      <c r="G128" s="37"/>
    </row>
    <row r="129" spans="2:7" s="34" customFormat="1" x14ac:dyDescent="0.25">
      <c r="B129" s="37"/>
      <c r="D129" s="37"/>
      <c r="E129" s="37"/>
      <c r="F129" s="37"/>
      <c r="G129" s="37"/>
    </row>
    <row r="130" spans="2:7" s="34" customFormat="1" x14ac:dyDescent="0.25">
      <c r="B130" s="37"/>
      <c r="D130" s="37"/>
      <c r="E130" s="37"/>
      <c r="F130" s="37"/>
      <c r="G130" s="37"/>
    </row>
    <row r="131" spans="2:7" s="34" customFormat="1" x14ac:dyDescent="0.25">
      <c r="B131" s="37"/>
      <c r="D131" s="37"/>
      <c r="E131" s="37"/>
      <c r="F131" s="37"/>
      <c r="G131" s="37"/>
    </row>
    <row r="132" spans="2:7" s="34" customFormat="1" x14ac:dyDescent="0.25">
      <c r="B132" s="37"/>
      <c r="D132" s="37"/>
      <c r="E132" s="37"/>
      <c r="F132" s="37"/>
      <c r="G132" s="37"/>
    </row>
    <row r="133" spans="2:7" s="34" customFormat="1" x14ac:dyDescent="0.25">
      <c r="B133" s="37"/>
      <c r="D133" s="37"/>
      <c r="E133" s="37"/>
      <c r="F133" s="37"/>
      <c r="G133" s="37"/>
    </row>
    <row r="134" spans="2:7" s="34" customFormat="1" x14ac:dyDescent="0.25">
      <c r="B134" s="37"/>
      <c r="D134" s="37"/>
      <c r="E134" s="37"/>
      <c r="F134" s="37"/>
      <c r="G134" s="37"/>
    </row>
    <row r="135" spans="2:7" s="34" customFormat="1" x14ac:dyDescent="0.25">
      <c r="B135" s="37"/>
      <c r="D135" s="37"/>
      <c r="E135" s="37"/>
      <c r="F135" s="37"/>
      <c r="G135" s="37"/>
    </row>
    <row r="136" spans="2:7" s="34" customFormat="1" x14ac:dyDescent="0.25">
      <c r="B136" s="37"/>
      <c r="D136" s="37"/>
      <c r="E136" s="37"/>
      <c r="F136" s="37"/>
      <c r="G136" s="37"/>
    </row>
    <row r="137" spans="2:7" s="34" customFormat="1" x14ac:dyDescent="0.25">
      <c r="B137" s="37"/>
      <c r="D137" s="37"/>
      <c r="E137" s="37"/>
      <c r="F137" s="37"/>
      <c r="G137" s="37"/>
    </row>
    <row r="138" spans="2:7" s="34" customFormat="1" x14ac:dyDescent="0.25">
      <c r="B138" s="37"/>
      <c r="D138" s="37"/>
      <c r="E138" s="37"/>
      <c r="F138" s="37"/>
      <c r="G138" s="37"/>
    </row>
    <row r="139" spans="2:7" s="34" customFormat="1" x14ac:dyDescent="0.25">
      <c r="B139" s="37"/>
      <c r="D139" s="37"/>
      <c r="E139" s="37"/>
      <c r="F139" s="37"/>
      <c r="G139" s="37"/>
    </row>
    <row r="140" spans="2:7" s="34" customFormat="1" x14ac:dyDescent="0.25">
      <c r="B140" s="37"/>
      <c r="D140" s="37"/>
      <c r="E140" s="37"/>
      <c r="F140" s="37"/>
      <c r="G140" s="37"/>
    </row>
    <row r="141" spans="2:7" s="34" customFormat="1" x14ac:dyDescent="0.25">
      <c r="B141" s="37"/>
      <c r="D141" s="37"/>
      <c r="E141" s="37"/>
      <c r="F141" s="37"/>
      <c r="G141" s="37"/>
    </row>
    <row r="142" spans="2:7" s="34" customFormat="1" x14ac:dyDescent="0.25">
      <c r="B142" s="37"/>
      <c r="D142" s="37"/>
      <c r="E142" s="37"/>
      <c r="F142" s="37"/>
      <c r="G142" s="37"/>
    </row>
    <row r="143" spans="2:7" s="34" customFormat="1" x14ac:dyDescent="0.25">
      <c r="B143" s="37"/>
      <c r="D143" s="37"/>
      <c r="E143" s="37"/>
      <c r="F143" s="37"/>
      <c r="G143" s="37"/>
    </row>
    <row r="144" spans="2:7" s="34" customFormat="1" x14ac:dyDescent="0.25">
      <c r="B144" s="37"/>
      <c r="D144" s="37"/>
      <c r="E144" s="37"/>
      <c r="F144" s="37"/>
      <c r="G144" s="37"/>
    </row>
    <row r="145" spans="2:7" s="34" customFormat="1" x14ac:dyDescent="0.25">
      <c r="B145" s="37"/>
      <c r="D145" s="37"/>
      <c r="E145" s="37"/>
      <c r="F145" s="37"/>
      <c r="G145" s="37"/>
    </row>
    <row r="146" spans="2:7" s="34" customFormat="1" x14ac:dyDescent="0.25">
      <c r="B146" s="37"/>
      <c r="D146" s="37"/>
      <c r="E146" s="37"/>
      <c r="F146" s="37"/>
      <c r="G146" s="37"/>
    </row>
    <row r="147" spans="2:7" s="34" customFormat="1" x14ac:dyDescent="0.25">
      <c r="B147" s="37"/>
      <c r="D147" s="37"/>
      <c r="E147" s="37"/>
      <c r="F147" s="37"/>
      <c r="G147" s="37"/>
    </row>
    <row r="148" spans="2:7" s="34" customFormat="1" x14ac:dyDescent="0.25">
      <c r="B148" s="37"/>
      <c r="D148" s="37"/>
      <c r="E148" s="37"/>
      <c r="F148" s="37"/>
      <c r="G148" s="37"/>
    </row>
    <row r="149" spans="2:7" s="34" customFormat="1" x14ac:dyDescent="0.25">
      <c r="B149" s="37"/>
      <c r="D149" s="37"/>
      <c r="E149" s="37"/>
      <c r="F149" s="37"/>
      <c r="G149" s="37"/>
    </row>
    <row r="150" spans="2:7" s="34" customFormat="1" x14ac:dyDescent="0.25">
      <c r="B150" s="37"/>
      <c r="D150" s="37"/>
      <c r="E150" s="37"/>
      <c r="F150" s="37"/>
      <c r="G150" s="37"/>
    </row>
    <row r="151" spans="2:7" s="34" customFormat="1" x14ac:dyDescent="0.25">
      <c r="B151" s="37"/>
      <c r="D151" s="37"/>
      <c r="E151" s="37"/>
      <c r="F151" s="37"/>
      <c r="G151" s="37"/>
    </row>
    <row r="152" spans="2:7" s="34" customFormat="1" x14ac:dyDescent="0.25">
      <c r="B152" s="37"/>
      <c r="D152" s="37"/>
      <c r="E152" s="37"/>
      <c r="F152" s="37"/>
      <c r="G152" s="37"/>
    </row>
    <row r="153" spans="2:7" s="34" customFormat="1" x14ac:dyDescent="0.25">
      <c r="B153" s="37"/>
      <c r="D153" s="37"/>
      <c r="E153" s="37"/>
      <c r="F153" s="37"/>
      <c r="G153" s="37"/>
    </row>
    <row r="154" spans="2:7" s="34" customFormat="1" x14ac:dyDescent="0.25">
      <c r="B154" s="37"/>
      <c r="D154" s="37"/>
      <c r="E154" s="37"/>
      <c r="F154" s="37"/>
      <c r="G154" s="37"/>
    </row>
    <row r="155" spans="2:7" s="34" customFormat="1" x14ac:dyDescent="0.25">
      <c r="B155" s="37"/>
      <c r="D155" s="37"/>
      <c r="E155" s="37"/>
      <c r="F155" s="37"/>
      <c r="G155" s="37"/>
    </row>
    <row r="156" spans="2:7" s="34" customFormat="1" x14ac:dyDescent="0.25">
      <c r="B156" s="37"/>
      <c r="D156" s="37"/>
      <c r="E156" s="37"/>
      <c r="F156" s="37"/>
      <c r="G156" s="37"/>
    </row>
    <row r="157" spans="2:7" s="34" customFormat="1" x14ac:dyDescent="0.25">
      <c r="B157" s="37"/>
      <c r="D157" s="37"/>
      <c r="E157" s="37"/>
      <c r="F157" s="37"/>
      <c r="G157" s="37"/>
    </row>
    <row r="158" spans="2:7" s="34" customFormat="1" x14ac:dyDescent="0.25">
      <c r="B158" s="37"/>
      <c r="D158" s="37"/>
      <c r="E158" s="37"/>
      <c r="F158" s="37"/>
      <c r="G158" s="37"/>
    </row>
    <row r="159" spans="2:7" s="34" customFormat="1" x14ac:dyDescent="0.25">
      <c r="B159" s="37"/>
      <c r="D159" s="37"/>
      <c r="E159" s="37"/>
      <c r="F159" s="37"/>
      <c r="G159" s="37"/>
    </row>
    <row r="160" spans="2:7" s="34" customFormat="1" x14ac:dyDescent="0.25">
      <c r="B160" s="37"/>
      <c r="D160" s="37"/>
      <c r="E160" s="37"/>
      <c r="F160" s="37"/>
      <c r="G160" s="37"/>
    </row>
    <row r="161" spans="2:7" s="34" customFormat="1" x14ac:dyDescent="0.25">
      <c r="B161" s="37"/>
      <c r="D161" s="37"/>
      <c r="E161" s="37"/>
      <c r="F161" s="37"/>
      <c r="G161" s="37"/>
    </row>
    <row r="162" spans="2:7" s="34" customFormat="1" x14ac:dyDescent="0.25">
      <c r="B162" s="37"/>
      <c r="D162" s="37"/>
      <c r="E162" s="37"/>
      <c r="F162" s="37"/>
      <c r="G162" s="37"/>
    </row>
    <row r="163" spans="2:7" s="34" customFormat="1" x14ac:dyDescent="0.25">
      <c r="B163" s="37"/>
      <c r="D163" s="37"/>
      <c r="E163" s="37"/>
      <c r="F163" s="37"/>
      <c r="G163" s="37"/>
    </row>
    <row r="164" spans="2:7" s="34" customFormat="1" x14ac:dyDescent="0.25">
      <c r="B164" s="37"/>
      <c r="D164" s="37"/>
      <c r="E164" s="37"/>
      <c r="F164" s="37"/>
      <c r="G164" s="37"/>
    </row>
    <row r="165" spans="2:7" s="34" customFormat="1" x14ac:dyDescent="0.25">
      <c r="B165" s="37"/>
      <c r="D165" s="37"/>
      <c r="E165" s="37"/>
      <c r="F165" s="37"/>
      <c r="G165" s="37"/>
    </row>
    <row r="166" spans="2:7" s="34" customFormat="1" x14ac:dyDescent="0.25">
      <c r="B166" s="37"/>
      <c r="D166" s="37"/>
      <c r="E166" s="37"/>
      <c r="F166" s="37"/>
      <c r="G166" s="37"/>
    </row>
    <row r="167" spans="2:7" s="34" customFormat="1" x14ac:dyDescent="0.25">
      <c r="B167" s="37"/>
      <c r="D167" s="37"/>
      <c r="E167" s="37"/>
      <c r="F167" s="37"/>
      <c r="G167" s="37"/>
    </row>
    <row r="168" spans="2:7" s="34" customFormat="1" x14ac:dyDescent="0.25">
      <c r="B168" s="37"/>
      <c r="D168" s="37"/>
      <c r="E168" s="37"/>
      <c r="F168" s="37"/>
      <c r="G168" s="37"/>
    </row>
    <row r="169" spans="2:7" s="34" customFormat="1" x14ac:dyDescent="0.25">
      <c r="B169" s="37"/>
      <c r="D169" s="37"/>
      <c r="E169" s="37"/>
      <c r="F169" s="37"/>
      <c r="G169" s="37"/>
    </row>
    <row r="170" spans="2:7" s="34" customFormat="1" x14ac:dyDescent="0.25">
      <c r="B170" s="37"/>
      <c r="D170" s="37"/>
      <c r="E170" s="37"/>
      <c r="F170" s="37"/>
      <c r="G170" s="37"/>
    </row>
    <row r="171" spans="2:7" s="34" customFormat="1" x14ac:dyDescent="0.25">
      <c r="B171" s="37"/>
      <c r="D171" s="37"/>
      <c r="E171" s="37"/>
      <c r="F171" s="37"/>
      <c r="G171" s="37"/>
    </row>
    <row r="172" spans="2:7" s="34" customFormat="1" x14ac:dyDescent="0.25">
      <c r="B172" s="37"/>
      <c r="D172" s="37"/>
      <c r="E172" s="37"/>
      <c r="F172" s="37"/>
      <c r="G172" s="37"/>
    </row>
    <row r="173" spans="2:7" s="34" customFormat="1" x14ac:dyDescent="0.25">
      <c r="B173" s="37"/>
      <c r="D173" s="37"/>
      <c r="E173" s="37"/>
      <c r="F173" s="37"/>
      <c r="G173" s="37"/>
    </row>
    <row r="174" spans="2:7" s="34" customFormat="1" x14ac:dyDescent="0.25">
      <c r="B174" s="37"/>
      <c r="D174" s="37"/>
      <c r="E174" s="37"/>
      <c r="F174" s="37"/>
      <c r="G174" s="37"/>
    </row>
    <row r="175" spans="2:7" s="34" customFormat="1" x14ac:dyDescent="0.25">
      <c r="B175" s="37"/>
      <c r="D175" s="37"/>
      <c r="E175" s="37"/>
      <c r="F175" s="37"/>
      <c r="G175" s="37"/>
    </row>
    <row r="176" spans="2:7" s="34" customFormat="1" x14ac:dyDescent="0.25">
      <c r="B176" s="37"/>
      <c r="D176" s="37"/>
      <c r="E176" s="37"/>
      <c r="F176" s="37"/>
      <c r="G176" s="37"/>
    </row>
    <row r="177" spans="2:7" s="34" customFormat="1" x14ac:dyDescent="0.25">
      <c r="B177" s="37"/>
      <c r="D177" s="37"/>
      <c r="E177" s="37"/>
      <c r="F177" s="37"/>
      <c r="G177" s="37"/>
    </row>
    <row r="178" spans="2:7" s="34" customFormat="1" x14ac:dyDescent="0.25">
      <c r="B178" s="37"/>
      <c r="D178" s="37"/>
      <c r="E178" s="37"/>
      <c r="F178" s="37"/>
      <c r="G178" s="37"/>
    </row>
    <row r="179" spans="2:7" s="34" customFormat="1" x14ac:dyDescent="0.25">
      <c r="B179" s="37"/>
      <c r="D179" s="37"/>
      <c r="E179" s="37"/>
      <c r="F179" s="37"/>
      <c r="G179" s="37"/>
    </row>
    <row r="180" spans="2:7" s="34" customFormat="1" x14ac:dyDescent="0.25">
      <c r="B180" s="37"/>
      <c r="D180" s="37"/>
      <c r="E180" s="37"/>
      <c r="F180" s="37"/>
      <c r="G180" s="37"/>
    </row>
    <row r="181" spans="2:7" s="34" customFormat="1" x14ac:dyDescent="0.25">
      <c r="B181" s="37"/>
      <c r="D181" s="37"/>
      <c r="E181" s="37"/>
      <c r="F181" s="37"/>
      <c r="G181" s="37"/>
    </row>
    <row r="182" spans="2:7" s="34" customFormat="1" x14ac:dyDescent="0.25">
      <c r="B182" s="37"/>
      <c r="D182" s="37"/>
      <c r="E182" s="37"/>
      <c r="F182" s="37"/>
      <c r="G182" s="37"/>
    </row>
    <row r="183" spans="2:7" s="34" customFormat="1" x14ac:dyDescent="0.25">
      <c r="B183" s="37"/>
      <c r="D183" s="37"/>
      <c r="E183" s="37"/>
      <c r="F183" s="37"/>
      <c r="G183" s="37"/>
    </row>
    <row r="184" spans="2:7" s="34" customFormat="1" x14ac:dyDescent="0.25">
      <c r="B184" s="37"/>
      <c r="D184" s="37"/>
      <c r="E184" s="37"/>
      <c r="F184" s="37"/>
      <c r="G184" s="37"/>
    </row>
    <row r="185" spans="2:7" s="34" customFormat="1" x14ac:dyDescent="0.25">
      <c r="B185" s="37"/>
      <c r="D185" s="37"/>
      <c r="E185" s="37"/>
      <c r="F185" s="37"/>
      <c r="G185" s="37"/>
    </row>
    <row r="186" spans="2:7" s="34" customFormat="1" x14ac:dyDescent="0.25">
      <c r="B186" s="37"/>
      <c r="D186" s="37"/>
      <c r="E186" s="37"/>
      <c r="F186" s="37"/>
      <c r="G186" s="37"/>
    </row>
    <row r="187" spans="2:7" s="34" customFormat="1" x14ac:dyDescent="0.25">
      <c r="B187" s="37"/>
      <c r="D187" s="37"/>
      <c r="E187" s="37"/>
      <c r="F187" s="37"/>
      <c r="G187" s="37"/>
    </row>
    <row r="188" spans="2:7" s="34" customFormat="1" x14ac:dyDescent="0.25">
      <c r="B188" s="37"/>
      <c r="D188" s="37"/>
      <c r="E188" s="37"/>
      <c r="F188" s="37"/>
      <c r="G188" s="37"/>
    </row>
    <row r="189" spans="2:7" s="34" customFormat="1" x14ac:dyDescent="0.25">
      <c r="B189" s="37"/>
      <c r="D189" s="37"/>
      <c r="E189" s="37"/>
      <c r="F189" s="37"/>
      <c r="G189" s="37"/>
    </row>
    <row r="190" spans="2:7" s="34" customFormat="1" x14ac:dyDescent="0.25">
      <c r="B190" s="37"/>
      <c r="D190" s="37"/>
      <c r="E190" s="37"/>
      <c r="F190" s="37"/>
      <c r="G190" s="37"/>
    </row>
    <row r="191" spans="2:7" s="34" customFormat="1" x14ac:dyDescent="0.25">
      <c r="B191" s="37"/>
      <c r="D191" s="37"/>
      <c r="E191" s="37"/>
      <c r="F191" s="37"/>
      <c r="G191" s="37"/>
    </row>
    <row r="192" spans="2:7" s="34" customFormat="1" x14ac:dyDescent="0.25">
      <c r="B192" s="37"/>
      <c r="D192" s="37"/>
      <c r="E192" s="37"/>
      <c r="F192" s="37"/>
      <c r="G192" s="37"/>
    </row>
    <row r="193" spans="2:7" s="34" customFormat="1" x14ac:dyDescent="0.25">
      <c r="B193" s="37"/>
      <c r="D193" s="37"/>
      <c r="E193" s="37"/>
      <c r="F193" s="37"/>
      <c r="G193" s="37"/>
    </row>
    <row r="194" spans="2:7" s="34" customFormat="1" x14ac:dyDescent="0.25">
      <c r="B194" s="37"/>
      <c r="D194" s="37"/>
      <c r="E194" s="37"/>
      <c r="F194" s="37"/>
      <c r="G194" s="37"/>
    </row>
    <row r="195" spans="2:7" s="34" customFormat="1" x14ac:dyDescent="0.25">
      <c r="B195" s="37"/>
      <c r="D195" s="37"/>
      <c r="E195" s="37"/>
      <c r="F195" s="37"/>
      <c r="G195" s="37"/>
    </row>
    <row r="196" spans="2:7" s="34" customFormat="1" x14ac:dyDescent="0.25">
      <c r="B196" s="37"/>
      <c r="D196" s="37"/>
      <c r="E196" s="37"/>
      <c r="F196" s="37"/>
      <c r="G196" s="37"/>
    </row>
    <row r="197" spans="2:7" s="34" customFormat="1" x14ac:dyDescent="0.25">
      <c r="B197" s="37"/>
      <c r="D197" s="37"/>
      <c r="E197" s="37"/>
      <c r="F197" s="37"/>
      <c r="G197" s="37"/>
    </row>
    <row r="198" spans="2:7" s="34" customFormat="1" x14ac:dyDescent="0.25">
      <c r="B198" s="37"/>
      <c r="D198" s="37"/>
      <c r="E198" s="37"/>
      <c r="F198" s="37"/>
      <c r="G198" s="37"/>
    </row>
    <row r="199" spans="2:7" s="34" customFormat="1" x14ac:dyDescent="0.25">
      <c r="B199" s="37"/>
      <c r="D199" s="37"/>
      <c r="E199" s="37"/>
      <c r="F199" s="37"/>
      <c r="G199" s="37"/>
    </row>
    <row r="200" spans="2:7" s="34" customFormat="1" x14ac:dyDescent="0.25">
      <c r="B200" s="37"/>
      <c r="D200" s="37"/>
      <c r="E200" s="37"/>
      <c r="F200" s="37"/>
      <c r="G200" s="37"/>
    </row>
    <row r="201" spans="2:7" s="34" customFormat="1" x14ac:dyDescent="0.25">
      <c r="B201" s="37"/>
      <c r="D201" s="37"/>
      <c r="E201" s="37"/>
      <c r="F201" s="37"/>
      <c r="G201" s="37"/>
    </row>
    <row r="202" spans="2:7" s="34" customFormat="1" x14ac:dyDescent="0.25">
      <c r="B202" s="37"/>
      <c r="D202" s="37"/>
      <c r="E202" s="37"/>
      <c r="F202" s="37"/>
      <c r="G202" s="37"/>
    </row>
    <row r="203" spans="2:7" s="34" customFormat="1" x14ac:dyDescent="0.25">
      <c r="B203" s="37"/>
      <c r="D203" s="37"/>
      <c r="E203" s="37"/>
      <c r="F203" s="37"/>
      <c r="G203" s="37"/>
    </row>
    <row r="204" spans="2:7" s="34" customFormat="1" x14ac:dyDescent="0.25">
      <c r="B204" s="37"/>
      <c r="D204" s="37"/>
      <c r="E204" s="37"/>
      <c r="F204" s="37"/>
      <c r="G204" s="37"/>
    </row>
    <row r="205" spans="2:7" s="34" customFormat="1" x14ac:dyDescent="0.25">
      <c r="B205" s="37"/>
      <c r="D205" s="37"/>
      <c r="E205" s="37"/>
      <c r="F205" s="37"/>
      <c r="G205" s="37"/>
    </row>
    <row r="206" spans="2:7" s="34" customFormat="1" x14ac:dyDescent="0.25">
      <c r="B206" s="37"/>
      <c r="D206" s="37"/>
      <c r="E206" s="37"/>
      <c r="F206" s="37"/>
      <c r="G206" s="37"/>
    </row>
    <row r="207" spans="2:7" s="34" customFormat="1" x14ac:dyDescent="0.25">
      <c r="B207" s="37"/>
      <c r="D207" s="37"/>
      <c r="E207" s="37"/>
      <c r="F207" s="37"/>
      <c r="G207" s="37"/>
    </row>
    <row r="208" spans="2:7" s="34" customFormat="1" x14ac:dyDescent="0.25">
      <c r="B208" s="37"/>
      <c r="D208" s="37"/>
      <c r="E208" s="37"/>
      <c r="F208" s="37"/>
      <c r="G208" s="37"/>
    </row>
    <row r="209" spans="2:7" s="34" customFormat="1" x14ac:dyDescent="0.25">
      <c r="B209" s="37"/>
      <c r="D209" s="37"/>
      <c r="E209" s="37"/>
      <c r="F209" s="37"/>
      <c r="G209" s="37"/>
    </row>
    <row r="210" spans="2:7" s="34" customFormat="1" x14ac:dyDescent="0.25">
      <c r="B210" s="37"/>
      <c r="D210" s="37"/>
      <c r="E210" s="37"/>
      <c r="F210" s="37"/>
      <c r="G210" s="37"/>
    </row>
    <row r="211" spans="2:7" s="34" customFormat="1" x14ac:dyDescent="0.25">
      <c r="B211" s="37"/>
      <c r="D211" s="37"/>
      <c r="E211" s="37"/>
      <c r="F211" s="37"/>
      <c r="G211" s="37"/>
    </row>
    <row r="212" spans="2:7" s="34" customFormat="1" x14ac:dyDescent="0.25">
      <c r="B212" s="37"/>
      <c r="D212" s="37"/>
      <c r="E212" s="37"/>
      <c r="F212" s="37"/>
      <c r="G212" s="37"/>
    </row>
    <row r="213" spans="2:7" s="34" customFormat="1" x14ac:dyDescent="0.25">
      <c r="B213" s="37"/>
      <c r="D213" s="37"/>
      <c r="E213" s="37"/>
      <c r="F213" s="37"/>
      <c r="G213" s="37"/>
    </row>
    <row r="214" spans="2:7" s="34" customFormat="1" x14ac:dyDescent="0.25">
      <c r="B214" s="37"/>
      <c r="D214" s="37"/>
      <c r="E214" s="37"/>
      <c r="F214" s="37"/>
      <c r="G214" s="37"/>
    </row>
    <row r="215" spans="2:7" s="34" customFormat="1" x14ac:dyDescent="0.25">
      <c r="B215" s="37"/>
      <c r="D215" s="37"/>
      <c r="E215" s="37"/>
      <c r="F215" s="37"/>
      <c r="G215" s="37"/>
    </row>
    <row r="216" spans="2:7" s="34" customFormat="1" x14ac:dyDescent="0.25">
      <c r="B216" s="37"/>
      <c r="D216" s="37"/>
      <c r="E216" s="37"/>
      <c r="F216" s="37"/>
      <c r="G216" s="37"/>
    </row>
    <row r="217" spans="2:7" s="34" customFormat="1" x14ac:dyDescent="0.25">
      <c r="B217" s="37"/>
      <c r="D217" s="37"/>
      <c r="E217" s="37"/>
      <c r="F217" s="37"/>
      <c r="G217" s="37"/>
    </row>
    <row r="218" spans="2:7" s="34" customFormat="1" x14ac:dyDescent="0.25">
      <c r="B218" s="37"/>
      <c r="D218" s="37"/>
      <c r="E218" s="37"/>
      <c r="F218" s="37"/>
      <c r="G218" s="37"/>
    </row>
    <row r="219" spans="2:7" s="34" customFormat="1" x14ac:dyDescent="0.25">
      <c r="B219" s="37"/>
      <c r="D219" s="37"/>
      <c r="E219" s="37"/>
      <c r="F219" s="37"/>
      <c r="G219" s="37"/>
    </row>
    <row r="220" spans="2:7" s="34" customFormat="1" x14ac:dyDescent="0.25">
      <c r="B220" s="37"/>
      <c r="D220" s="37"/>
      <c r="E220" s="37"/>
      <c r="F220" s="37"/>
      <c r="G220" s="37"/>
    </row>
    <row r="221" spans="2:7" s="34" customFormat="1" x14ac:dyDescent="0.25">
      <c r="B221" s="37"/>
      <c r="D221" s="37"/>
      <c r="E221" s="37"/>
      <c r="F221" s="37"/>
      <c r="G221" s="37"/>
    </row>
    <row r="222" spans="2:7" s="34" customFormat="1" x14ac:dyDescent="0.25">
      <c r="B222" s="37"/>
      <c r="D222" s="37"/>
      <c r="E222" s="37"/>
      <c r="F222" s="37"/>
      <c r="G222" s="37"/>
    </row>
    <row r="223" spans="2:7" s="34" customFormat="1" x14ac:dyDescent="0.25">
      <c r="B223" s="37"/>
      <c r="D223" s="37"/>
      <c r="E223" s="37"/>
      <c r="F223" s="37"/>
      <c r="G223" s="37"/>
    </row>
    <row r="224" spans="2:7" s="34" customFormat="1" x14ac:dyDescent="0.25">
      <c r="B224" s="37"/>
      <c r="D224" s="37"/>
      <c r="E224" s="37"/>
      <c r="F224" s="37"/>
      <c r="G224" s="37"/>
    </row>
    <row r="225" spans="2:7" s="34" customFormat="1" x14ac:dyDescent="0.25">
      <c r="B225" s="37"/>
      <c r="D225" s="37"/>
      <c r="E225" s="37"/>
      <c r="F225" s="37"/>
      <c r="G225" s="37"/>
    </row>
    <row r="226" spans="2:7" s="34" customFormat="1" x14ac:dyDescent="0.25">
      <c r="B226" s="37"/>
      <c r="D226" s="37"/>
      <c r="E226" s="37"/>
      <c r="F226" s="37"/>
      <c r="G226" s="37"/>
    </row>
    <row r="227" spans="2:7" s="34" customFormat="1" x14ac:dyDescent="0.25">
      <c r="B227" s="37"/>
      <c r="D227" s="37"/>
      <c r="E227" s="37"/>
      <c r="F227" s="37"/>
      <c r="G227" s="37"/>
    </row>
    <row r="228" spans="2:7" s="34" customFormat="1" x14ac:dyDescent="0.25">
      <c r="B228" s="37"/>
      <c r="D228" s="37"/>
      <c r="E228" s="37"/>
      <c r="F228" s="37"/>
      <c r="G228" s="37"/>
    </row>
    <row r="229" spans="2:7" s="34" customFormat="1" x14ac:dyDescent="0.25">
      <c r="B229" s="37"/>
      <c r="D229" s="37"/>
      <c r="E229" s="37"/>
      <c r="F229" s="37"/>
      <c r="G229" s="37"/>
    </row>
    <row r="230" spans="2:7" s="34" customFormat="1" x14ac:dyDescent="0.25">
      <c r="B230" s="37"/>
      <c r="D230" s="37"/>
      <c r="E230" s="37"/>
      <c r="F230" s="37"/>
      <c r="G230" s="37"/>
    </row>
    <row r="231" spans="2:7" s="34" customFormat="1" x14ac:dyDescent="0.25">
      <c r="B231" s="37"/>
      <c r="D231" s="37"/>
      <c r="E231" s="37"/>
      <c r="F231" s="37"/>
      <c r="G231" s="37"/>
    </row>
    <row r="232" spans="2:7" s="34" customFormat="1" x14ac:dyDescent="0.25">
      <c r="B232" s="37"/>
      <c r="D232" s="37"/>
      <c r="E232" s="37"/>
      <c r="F232" s="37"/>
      <c r="G232" s="37"/>
    </row>
    <row r="233" spans="2:7" s="34" customFormat="1" x14ac:dyDescent="0.25">
      <c r="B233" s="37"/>
      <c r="D233" s="37"/>
      <c r="E233" s="37"/>
      <c r="F233" s="37"/>
      <c r="G233" s="37"/>
    </row>
    <row r="234" spans="2:7" s="34" customFormat="1" x14ac:dyDescent="0.25">
      <c r="B234" s="37"/>
      <c r="D234" s="37"/>
      <c r="E234" s="37"/>
      <c r="F234" s="37"/>
      <c r="G234" s="37"/>
    </row>
    <row r="235" spans="2:7" s="34" customFormat="1" x14ac:dyDescent="0.25">
      <c r="B235" s="37"/>
      <c r="D235" s="37"/>
      <c r="E235" s="37"/>
      <c r="F235" s="37"/>
      <c r="G235" s="37"/>
    </row>
    <row r="236" spans="2:7" s="34" customFormat="1" x14ac:dyDescent="0.25">
      <c r="B236" s="37"/>
      <c r="D236" s="37"/>
      <c r="E236" s="37"/>
      <c r="F236" s="37"/>
      <c r="G236" s="37"/>
    </row>
    <row r="237" spans="2:7" s="34" customFormat="1" x14ac:dyDescent="0.25">
      <c r="B237" s="37"/>
      <c r="D237" s="37"/>
      <c r="E237" s="37"/>
      <c r="F237" s="37"/>
      <c r="G237" s="37"/>
    </row>
    <row r="238" spans="2:7" s="34" customFormat="1" x14ac:dyDescent="0.25">
      <c r="B238" s="37"/>
      <c r="D238" s="37"/>
      <c r="E238" s="37"/>
      <c r="F238" s="37"/>
      <c r="G238" s="37"/>
    </row>
    <row r="239" spans="2:7" s="34" customFormat="1" x14ac:dyDescent="0.25">
      <c r="B239" s="37"/>
      <c r="D239" s="37"/>
      <c r="E239" s="37"/>
      <c r="F239" s="37"/>
      <c r="G239" s="37"/>
    </row>
    <row r="240" spans="2:7" s="34" customFormat="1" x14ac:dyDescent="0.25">
      <c r="B240" s="37"/>
      <c r="D240" s="37"/>
      <c r="E240" s="37"/>
      <c r="F240" s="37"/>
      <c r="G240" s="37"/>
    </row>
    <row r="241" spans="2:7" s="34" customFormat="1" x14ac:dyDescent="0.25">
      <c r="B241" s="37"/>
      <c r="D241" s="37"/>
      <c r="E241" s="37"/>
      <c r="F241" s="37"/>
      <c r="G241" s="37"/>
    </row>
    <row r="242" spans="2:7" s="34" customFormat="1" x14ac:dyDescent="0.25">
      <c r="B242" s="37"/>
      <c r="D242" s="37"/>
      <c r="E242" s="37"/>
      <c r="F242" s="37"/>
      <c r="G242" s="37"/>
    </row>
    <row r="243" spans="2:7" s="34" customFormat="1" x14ac:dyDescent="0.25">
      <c r="B243" s="37"/>
      <c r="D243" s="37"/>
      <c r="E243" s="37"/>
      <c r="F243" s="37"/>
      <c r="G243" s="37"/>
    </row>
    <row r="244" spans="2:7" s="34" customFormat="1" x14ac:dyDescent="0.25">
      <c r="B244" s="37"/>
      <c r="D244" s="37"/>
      <c r="E244" s="37"/>
      <c r="F244" s="37"/>
      <c r="G244" s="37"/>
    </row>
    <row r="245" spans="2:7" s="34" customFormat="1" x14ac:dyDescent="0.25">
      <c r="B245" s="37"/>
      <c r="D245" s="37"/>
      <c r="E245" s="37"/>
      <c r="F245" s="37"/>
      <c r="G245" s="37"/>
    </row>
    <row r="246" spans="2:7" s="34" customFormat="1" x14ac:dyDescent="0.25">
      <c r="B246" s="37"/>
      <c r="D246" s="37"/>
      <c r="E246" s="37"/>
      <c r="F246" s="37"/>
      <c r="G246" s="37"/>
    </row>
    <row r="247" spans="2:7" s="34" customFormat="1" x14ac:dyDescent="0.25">
      <c r="B247" s="37"/>
      <c r="D247" s="37"/>
      <c r="E247" s="37"/>
      <c r="F247" s="37"/>
      <c r="G247" s="37"/>
    </row>
    <row r="248" spans="2:7" s="34" customFormat="1" x14ac:dyDescent="0.25">
      <c r="B248" s="37"/>
      <c r="D248" s="37"/>
      <c r="E248" s="37"/>
      <c r="F248" s="37"/>
      <c r="G248" s="37"/>
    </row>
    <row r="249" spans="2:7" s="34" customFormat="1" x14ac:dyDescent="0.25">
      <c r="B249" s="37"/>
      <c r="D249" s="37"/>
      <c r="E249" s="37"/>
      <c r="F249" s="37"/>
      <c r="G249" s="37"/>
    </row>
    <row r="250" spans="2:7" s="34" customFormat="1" x14ac:dyDescent="0.25">
      <c r="B250" s="37"/>
      <c r="D250" s="37"/>
      <c r="E250" s="37"/>
      <c r="F250" s="37"/>
      <c r="G250" s="37"/>
    </row>
    <row r="251" spans="2:7" s="34" customFormat="1" x14ac:dyDescent="0.25">
      <c r="B251" s="37"/>
      <c r="D251" s="37"/>
      <c r="E251" s="37"/>
      <c r="F251" s="37"/>
      <c r="G251" s="37"/>
    </row>
    <row r="252" spans="2:7" s="34" customFormat="1" x14ac:dyDescent="0.25">
      <c r="B252" s="37"/>
      <c r="D252" s="37"/>
      <c r="E252" s="37"/>
      <c r="F252" s="37"/>
      <c r="G252" s="37"/>
    </row>
    <row r="253" spans="2:7" s="34" customFormat="1" x14ac:dyDescent="0.25">
      <c r="B253" s="37"/>
      <c r="D253" s="37"/>
      <c r="E253" s="37"/>
      <c r="F253" s="37"/>
      <c r="G253" s="37"/>
    </row>
    <row r="254" spans="2:7" s="34" customFormat="1" x14ac:dyDescent="0.25">
      <c r="B254" s="37"/>
      <c r="D254" s="37"/>
      <c r="E254" s="37"/>
      <c r="F254" s="37"/>
      <c r="G254" s="37"/>
    </row>
    <row r="255" spans="2:7" s="34" customFormat="1" x14ac:dyDescent="0.25">
      <c r="B255" s="37"/>
      <c r="D255" s="37"/>
      <c r="E255" s="37"/>
      <c r="F255" s="37"/>
      <c r="G255" s="37"/>
    </row>
    <row r="256" spans="2:7" s="34" customFormat="1" x14ac:dyDescent="0.25">
      <c r="B256" s="37"/>
      <c r="D256" s="37"/>
      <c r="E256" s="37"/>
      <c r="F256" s="37"/>
      <c r="G256" s="37"/>
    </row>
    <row r="257" spans="2:7" s="34" customFormat="1" x14ac:dyDescent="0.25">
      <c r="B257" s="37"/>
      <c r="D257" s="37"/>
      <c r="E257" s="37"/>
      <c r="F257" s="37"/>
      <c r="G257" s="37"/>
    </row>
    <row r="258" spans="2:7" s="34" customFormat="1" x14ac:dyDescent="0.25">
      <c r="B258" s="37"/>
      <c r="D258" s="37"/>
      <c r="E258" s="37"/>
      <c r="F258" s="37"/>
      <c r="G258" s="37"/>
    </row>
    <row r="259" spans="2:7" s="34" customFormat="1" x14ac:dyDescent="0.25">
      <c r="B259" s="37"/>
      <c r="D259" s="37"/>
      <c r="E259" s="37"/>
      <c r="F259" s="37"/>
      <c r="G259" s="37"/>
    </row>
    <row r="260" spans="2:7" s="34" customFormat="1" x14ac:dyDescent="0.25">
      <c r="B260" s="37"/>
      <c r="D260" s="37"/>
      <c r="E260" s="37"/>
      <c r="F260" s="37"/>
      <c r="G260" s="37"/>
    </row>
    <row r="261" spans="2:7" s="34" customFormat="1" x14ac:dyDescent="0.25">
      <c r="B261" s="37"/>
      <c r="D261" s="37"/>
      <c r="E261" s="37"/>
      <c r="F261" s="37"/>
      <c r="G261" s="37"/>
    </row>
    <row r="262" spans="2:7" s="34" customFormat="1" x14ac:dyDescent="0.25">
      <c r="B262" s="37"/>
      <c r="D262" s="37"/>
      <c r="E262" s="37"/>
      <c r="F262" s="37"/>
      <c r="G262" s="37"/>
    </row>
    <row r="263" spans="2:7" s="34" customFormat="1" x14ac:dyDescent="0.25">
      <c r="B263" s="37"/>
      <c r="D263" s="37"/>
      <c r="E263" s="37"/>
      <c r="F263" s="37"/>
      <c r="G263" s="37"/>
    </row>
    <row r="264" spans="2:7" s="34" customFormat="1" x14ac:dyDescent="0.25">
      <c r="B264" s="37"/>
      <c r="D264" s="37"/>
      <c r="E264" s="37"/>
      <c r="F264" s="37"/>
      <c r="G264" s="37"/>
    </row>
    <row r="265" spans="2:7" s="34" customFormat="1" x14ac:dyDescent="0.25">
      <c r="B265" s="37"/>
      <c r="D265" s="37"/>
      <c r="E265" s="37"/>
      <c r="F265" s="37"/>
      <c r="G265" s="37"/>
    </row>
    <row r="266" spans="2:7" s="34" customFormat="1" x14ac:dyDescent="0.25">
      <c r="B266" s="37"/>
      <c r="D266" s="37"/>
      <c r="E266" s="37"/>
      <c r="F266" s="37"/>
      <c r="G266" s="37"/>
    </row>
    <row r="267" spans="2:7" s="34" customFormat="1" x14ac:dyDescent="0.25">
      <c r="B267" s="37"/>
      <c r="D267" s="37"/>
      <c r="E267" s="37"/>
      <c r="F267" s="37"/>
      <c r="G267" s="37"/>
    </row>
    <row r="268" spans="2:7" s="34" customFormat="1" x14ac:dyDescent="0.25">
      <c r="B268" s="37"/>
      <c r="D268" s="37"/>
      <c r="E268" s="37"/>
      <c r="F268" s="37"/>
      <c r="G268" s="37"/>
    </row>
    <row r="269" spans="2:7" s="34" customFormat="1" x14ac:dyDescent="0.25">
      <c r="B269" s="37"/>
      <c r="D269" s="37"/>
      <c r="E269" s="37"/>
      <c r="F269" s="37"/>
      <c r="G269" s="37"/>
    </row>
    <row r="270" spans="2:7" s="34" customFormat="1" x14ac:dyDescent="0.25">
      <c r="B270" s="37"/>
      <c r="D270" s="37"/>
      <c r="E270" s="37"/>
      <c r="F270" s="37"/>
      <c r="G270" s="37"/>
    </row>
    <row r="271" spans="2:7" s="34" customFormat="1" x14ac:dyDescent="0.25">
      <c r="B271" s="37"/>
      <c r="D271" s="37"/>
      <c r="E271" s="37"/>
      <c r="F271" s="37"/>
      <c r="G271" s="37"/>
    </row>
    <row r="272" spans="2:7" s="34" customFormat="1" x14ac:dyDescent="0.25">
      <c r="B272" s="37"/>
      <c r="D272" s="37"/>
      <c r="E272" s="37"/>
      <c r="F272" s="37"/>
      <c r="G272" s="37"/>
    </row>
    <row r="273" spans="2:7" s="34" customFormat="1" x14ac:dyDescent="0.25">
      <c r="B273" s="37"/>
      <c r="D273" s="37"/>
      <c r="E273" s="37"/>
      <c r="F273" s="37"/>
      <c r="G273" s="37"/>
    </row>
    <row r="274" spans="2:7" s="34" customFormat="1" x14ac:dyDescent="0.25">
      <c r="B274" s="37"/>
      <c r="D274" s="37"/>
      <c r="E274" s="37"/>
      <c r="F274" s="37"/>
      <c r="G274" s="37"/>
    </row>
    <row r="275" spans="2:7" s="34" customFormat="1" x14ac:dyDescent="0.25">
      <c r="B275" s="37"/>
      <c r="D275" s="37"/>
      <c r="E275" s="37"/>
      <c r="F275" s="37"/>
      <c r="G275" s="37"/>
    </row>
    <row r="276" spans="2:7" s="34" customFormat="1" x14ac:dyDescent="0.25">
      <c r="B276" s="37"/>
      <c r="D276" s="37"/>
      <c r="E276" s="37"/>
      <c r="F276" s="37"/>
      <c r="G276" s="37"/>
    </row>
    <row r="277" spans="2:7" s="34" customFormat="1" x14ac:dyDescent="0.25">
      <c r="B277" s="37"/>
      <c r="D277" s="37"/>
      <c r="E277" s="37"/>
      <c r="F277" s="37"/>
      <c r="G277" s="37"/>
    </row>
    <row r="278" spans="2:7" s="34" customFormat="1" x14ac:dyDescent="0.25">
      <c r="B278" s="37"/>
      <c r="D278" s="37"/>
      <c r="E278" s="37"/>
      <c r="F278" s="37"/>
      <c r="G278" s="37"/>
    </row>
    <row r="279" spans="2:7" s="34" customFormat="1" x14ac:dyDescent="0.25">
      <c r="B279" s="37"/>
      <c r="D279" s="37"/>
      <c r="E279" s="37"/>
      <c r="F279" s="37"/>
      <c r="G279" s="37"/>
    </row>
    <row r="280" spans="2:7" s="34" customFormat="1" x14ac:dyDescent="0.25">
      <c r="B280" s="37"/>
      <c r="D280" s="37"/>
      <c r="E280" s="37"/>
      <c r="F280" s="37"/>
      <c r="G280" s="37"/>
    </row>
    <row r="281" spans="2:7" s="34" customFormat="1" x14ac:dyDescent="0.25">
      <c r="B281" s="37"/>
      <c r="D281" s="37"/>
      <c r="E281" s="37"/>
      <c r="F281" s="37"/>
      <c r="G281" s="37"/>
    </row>
    <row r="282" spans="2:7" s="34" customFormat="1" x14ac:dyDescent="0.25">
      <c r="B282" s="37"/>
      <c r="D282" s="37"/>
      <c r="E282" s="37"/>
      <c r="F282" s="37"/>
      <c r="G282" s="37"/>
    </row>
    <row r="283" spans="2:7" s="34" customFormat="1" x14ac:dyDescent="0.25">
      <c r="B283" s="37"/>
      <c r="D283" s="37"/>
      <c r="E283" s="37"/>
      <c r="F283" s="37"/>
      <c r="G283" s="37"/>
    </row>
    <row r="284" spans="2:7" s="34" customFormat="1" x14ac:dyDescent="0.25">
      <c r="B284" s="37"/>
      <c r="D284" s="37"/>
      <c r="E284" s="37"/>
      <c r="F284" s="37"/>
      <c r="G284" s="37"/>
    </row>
    <row r="285" spans="2:7" s="34" customFormat="1" x14ac:dyDescent="0.25">
      <c r="B285" s="37"/>
      <c r="D285" s="37"/>
      <c r="E285" s="37"/>
      <c r="F285" s="37"/>
      <c r="G285" s="37"/>
    </row>
    <row r="286" spans="2:7" s="34" customFormat="1" x14ac:dyDescent="0.25">
      <c r="B286" s="37"/>
      <c r="D286" s="37"/>
      <c r="E286" s="37"/>
      <c r="F286" s="37"/>
      <c r="G286" s="37"/>
    </row>
    <row r="287" spans="2:7" s="34" customFormat="1" x14ac:dyDescent="0.25">
      <c r="B287" s="37"/>
      <c r="D287" s="37"/>
      <c r="E287" s="37"/>
      <c r="F287" s="37"/>
      <c r="G287" s="37"/>
    </row>
    <row r="288" spans="2:7" s="34" customFormat="1" x14ac:dyDescent="0.25">
      <c r="B288" s="37"/>
      <c r="D288" s="37"/>
      <c r="E288" s="37"/>
      <c r="F288" s="37"/>
      <c r="G288" s="37"/>
    </row>
    <row r="289" spans="2:7" s="34" customFormat="1" x14ac:dyDescent="0.25">
      <c r="B289" s="37"/>
      <c r="D289" s="37"/>
      <c r="E289" s="37"/>
      <c r="F289" s="37"/>
      <c r="G289" s="37"/>
    </row>
    <row r="290" spans="2:7" s="34" customFormat="1" x14ac:dyDescent="0.25">
      <c r="B290" s="37"/>
      <c r="D290" s="37"/>
      <c r="E290" s="37"/>
      <c r="F290" s="37"/>
      <c r="G290" s="37"/>
    </row>
    <row r="291" spans="2:7" s="34" customFormat="1" x14ac:dyDescent="0.25">
      <c r="B291" s="37"/>
      <c r="D291" s="37"/>
      <c r="E291" s="37"/>
      <c r="F291" s="37"/>
      <c r="G291" s="37"/>
    </row>
    <row r="292" spans="2:7" s="34" customFormat="1" x14ac:dyDescent="0.25">
      <c r="B292" s="37"/>
      <c r="D292" s="37"/>
      <c r="E292" s="37"/>
      <c r="F292" s="37"/>
      <c r="G292" s="37"/>
    </row>
    <row r="293" spans="2:7" s="34" customFormat="1" x14ac:dyDescent="0.25">
      <c r="B293" s="37"/>
      <c r="D293" s="37"/>
      <c r="E293" s="37"/>
      <c r="F293" s="37"/>
      <c r="G293" s="37"/>
    </row>
    <row r="294" spans="2:7" s="34" customFormat="1" x14ac:dyDescent="0.25">
      <c r="B294" s="37"/>
      <c r="D294" s="37"/>
      <c r="E294" s="37"/>
      <c r="F294" s="37"/>
      <c r="G294" s="37"/>
    </row>
    <row r="295" spans="2:7" s="34" customFormat="1" x14ac:dyDescent="0.25">
      <c r="B295" s="37"/>
      <c r="D295" s="37"/>
      <c r="E295" s="37"/>
      <c r="F295" s="37"/>
      <c r="G295" s="37"/>
    </row>
    <row r="296" spans="2:7" s="34" customFormat="1" x14ac:dyDescent="0.25">
      <c r="B296" s="37"/>
      <c r="D296" s="37"/>
      <c r="E296" s="37"/>
      <c r="F296" s="37"/>
      <c r="G296" s="37"/>
    </row>
    <row r="297" spans="2:7" s="34" customFormat="1" x14ac:dyDescent="0.25">
      <c r="B297" s="37"/>
      <c r="D297" s="37"/>
      <c r="E297" s="37"/>
      <c r="F297" s="37"/>
      <c r="G297" s="37"/>
    </row>
    <row r="298" spans="2:7" s="34" customFormat="1" x14ac:dyDescent="0.25">
      <c r="B298" s="37"/>
      <c r="D298" s="37"/>
      <c r="E298" s="37"/>
      <c r="F298" s="37"/>
      <c r="G298" s="37"/>
    </row>
    <row r="299" spans="2:7" s="34" customFormat="1" x14ac:dyDescent="0.25">
      <c r="B299" s="37"/>
      <c r="D299" s="37"/>
      <c r="E299" s="37"/>
      <c r="F299" s="37"/>
      <c r="G299" s="37"/>
    </row>
    <row r="300" spans="2:7" s="34" customFormat="1" x14ac:dyDescent="0.25">
      <c r="B300" s="37"/>
      <c r="D300" s="37"/>
      <c r="E300" s="37"/>
      <c r="F300" s="37"/>
      <c r="G300" s="37"/>
    </row>
    <row r="301" spans="2:7" s="34" customFormat="1" x14ac:dyDescent="0.25">
      <c r="B301" s="37"/>
      <c r="D301" s="37"/>
      <c r="E301" s="37"/>
      <c r="F301" s="37"/>
      <c r="G301" s="37"/>
    </row>
    <row r="302" spans="2:7" s="34" customFormat="1" x14ac:dyDescent="0.25">
      <c r="B302" s="37"/>
      <c r="D302" s="37"/>
      <c r="E302" s="37"/>
      <c r="F302" s="37"/>
      <c r="G302" s="37"/>
    </row>
    <row r="303" spans="2:7" s="34" customFormat="1" x14ac:dyDescent="0.25">
      <c r="B303" s="37"/>
      <c r="D303" s="37"/>
      <c r="E303" s="37"/>
      <c r="F303" s="37"/>
      <c r="G303" s="37"/>
    </row>
    <row r="304" spans="2:7" s="34" customFormat="1" x14ac:dyDescent="0.25">
      <c r="B304" s="37"/>
      <c r="D304" s="37"/>
      <c r="E304" s="37"/>
      <c r="F304" s="37"/>
      <c r="G304" s="37"/>
    </row>
    <row r="305" spans="2:7" s="34" customFormat="1" x14ac:dyDescent="0.25">
      <c r="B305" s="37"/>
      <c r="D305" s="37"/>
      <c r="E305" s="37"/>
      <c r="F305" s="37"/>
      <c r="G305" s="37"/>
    </row>
    <row r="306" spans="2:7" s="34" customFormat="1" x14ac:dyDescent="0.25">
      <c r="B306" s="37"/>
      <c r="D306" s="37"/>
      <c r="E306" s="37"/>
      <c r="F306" s="37"/>
      <c r="G306" s="37"/>
    </row>
    <row r="307" spans="2:7" s="34" customFormat="1" x14ac:dyDescent="0.25">
      <c r="B307" s="37"/>
      <c r="D307" s="37"/>
      <c r="E307" s="37"/>
      <c r="F307" s="37"/>
      <c r="G307" s="37"/>
    </row>
    <row r="308" spans="2:7" s="34" customFormat="1" x14ac:dyDescent="0.25">
      <c r="B308" s="37"/>
      <c r="D308" s="37"/>
      <c r="E308" s="37"/>
      <c r="F308" s="37"/>
      <c r="G308" s="37"/>
    </row>
    <row r="309" spans="2:7" s="34" customFormat="1" x14ac:dyDescent="0.25">
      <c r="B309" s="37"/>
      <c r="D309" s="37"/>
      <c r="E309" s="37"/>
      <c r="F309" s="37"/>
      <c r="G309" s="37"/>
    </row>
    <row r="310" spans="2:7" s="34" customFormat="1" x14ac:dyDescent="0.25">
      <c r="B310" s="37"/>
      <c r="D310" s="37"/>
      <c r="E310" s="37"/>
      <c r="F310" s="37"/>
      <c r="G310" s="37"/>
    </row>
    <row r="311" spans="2:7" s="34" customFormat="1" x14ac:dyDescent="0.25">
      <c r="B311" s="37"/>
      <c r="D311" s="37"/>
      <c r="E311" s="37"/>
      <c r="F311" s="37"/>
      <c r="G311" s="37"/>
    </row>
    <row r="312" spans="2:7" s="34" customFormat="1" x14ac:dyDescent="0.25">
      <c r="B312" s="37"/>
      <c r="D312" s="37"/>
      <c r="E312" s="37"/>
      <c r="F312" s="37"/>
      <c r="G312" s="37"/>
    </row>
    <row r="313" spans="2:7" s="34" customFormat="1" x14ac:dyDescent="0.25">
      <c r="B313" s="37"/>
      <c r="D313" s="37"/>
      <c r="E313" s="37"/>
      <c r="F313" s="37"/>
      <c r="G313" s="37"/>
    </row>
    <row r="314" spans="2:7" s="34" customFormat="1" x14ac:dyDescent="0.25">
      <c r="B314" s="37"/>
      <c r="D314" s="37"/>
      <c r="E314" s="37"/>
      <c r="F314" s="37"/>
      <c r="G314" s="37"/>
    </row>
    <row r="315" spans="2:7" s="34" customFormat="1" x14ac:dyDescent="0.25">
      <c r="B315" s="37"/>
      <c r="D315" s="37"/>
      <c r="E315" s="37"/>
      <c r="F315" s="37"/>
      <c r="G315" s="37"/>
    </row>
    <row r="316" spans="2:7" s="34" customFormat="1" x14ac:dyDescent="0.25">
      <c r="B316" s="37"/>
      <c r="D316" s="37"/>
      <c r="E316" s="37"/>
      <c r="F316" s="37"/>
      <c r="G316" s="37"/>
    </row>
    <row r="317" spans="2:7" s="34" customFormat="1" x14ac:dyDescent="0.25">
      <c r="B317" s="37"/>
      <c r="D317" s="37"/>
      <c r="E317" s="37"/>
      <c r="F317" s="37"/>
      <c r="G317" s="37"/>
    </row>
    <row r="318" spans="2:7" s="34" customFormat="1" x14ac:dyDescent="0.25">
      <c r="B318" s="37"/>
      <c r="D318" s="37"/>
      <c r="E318" s="37"/>
      <c r="F318" s="37"/>
      <c r="G318" s="37"/>
    </row>
    <row r="319" spans="2:7" s="34" customFormat="1" x14ac:dyDescent="0.25">
      <c r="B319" s="37"/>
      <c r="D319" s="37"/>
      <c r="E319" s="37"/>
      <c r="F319" s="37"/>
      <c r="G319" s="37"/>
    </row>
    <row r="320" spans="2:7" s="34" customFormat="1" x14ac:dyDescent="0.25">
      <c r="B320" s="37"/>
      <c r="D320" s="37"/>
      <c r="E320" s="37"/>
      <c r="F320" s="37"/>
      <c r="G320" s="37"/>
    </row>
    <row r="321" spans="2:7" s="34" customFormat="1" x14ac:dyDescent="0.25">
      <c r="B321" s="37"/>
      <c r="D321" s="37"/>
      <c r="E321" s="37"/>
      <c r="F321" s="37"/>
      <c r="G321" s="37"/>
    </row>
    <row r="322" spans="2:7" s="34" customFormat="1" x14ac:dyDescent="0.25">
      <c r="B322" s="37"/>
      <c r="D322" s="37"/>
      <c r="E322" s="37"/>
      <c r="F322" s="37"/>
      <c r="G322" s="37"/>
    </row>
    <row r="323" spans="2:7" s="34" customFormat="1" x14ac:dyDescent="0.25">
      <c r="B323" s="37"/>
      <c r="D323" s="37"/>
      <c r="E323" s="37"/>
      <c r="F323" s="37"/>
      <c r="G323" s="37"/>
    </row>
    <row r="324" spans="2:7" s="34" customFormat="1" x14ac:dyDescent="0.25">
      <c r="B324" s="37"/>
      <c r="D324" s="37"/>
      <c r="E324" s="37"/>
      <c r="F324" s="37"/>
      <c r="G324" s="37"/>
    </row>
    <row r="325" spans="2:7" s="34" customFormat="1" x14ac:dyDescent="0.25">
      <c r="B325" s="37"/>
      <c r="D325" s="37"/>
      <c r="E325" s="37"/>
      <c r="F325" s="37"/>
      <c r="G325" s="37"/>
    </row>
    <row r="326" spans="2:7" s="34" customFormat="1" x14ac:dyDescent="0.25">
      <c r="B326" s="37"/>
      <c r="D326" s="37"/>
      <c r="E326" s="37"/>
      <c r="F326" s="37"/>
      <c r="G326" s="37"/>
    </row>
    <row r="327" spans="2:7" s="34" customFormat="1" x14ac:dyDescent="0.25">
      <c r="B327" s="37"/>
      <c r="D327" s="37"/>
      <c r="E327" s="37"/>
      <c r="F327" s="37"/>
      <c r="G327" s="37"/>
    </row>
    <row r="328" spans="2:7" s="34" customFormat="1" x14ac:dyDescent="0.25">
      <c r="B328" s="37"/>
      <c r="D328" s="37"/>
      <c r="E328" s="37"/>
      <c r="F328" s="37"/>
      <c r="G328" s="37"/>
    </row>
    <row r="329" spans="2:7" s="34" customFormat="1" x14ac:dyDescent="0.25">
      <c r="B329" s="37"/>
      <c r="D329" s="37"/>
      <c r="E329" s="37"/>
      <c r="F329" s="37"/>
      <c r="G329" s="37"/>
    </row>
    <row r="330" spans="2:7" s="34" customFormat="1" x14ac:dyDescent="0.25">
      <c r="B330" s="37"/>
      <c r="D330" s="37"/>
      <c r="E330" s="37"/>
      <c r="F330" s="37"/>
      <c r="G330" s="37"/>
    </row>
    <row r="331" spans="2:7" s="34" customFormat="1" x14ac:dyDescent="0.25">
      <c r="B331" s="37"/>
      <c r="D331" s="37"/>
      <c r="E331" s="37"/>
      <c r="F331" s="37"/>
      <c r="G331" s="37"/>
    </row>
    <row r="332" spans="2:7" s="34" customFormat="1" x14ac:dyDescent="0.25">
      <c r="B332" s="37"/>
      <c r="D332" s="37"/>
      <c r="E332" s="37"/>
      <c r="F332" s="37"/>
      <c r="G332" s="37"/>
    </row>
    <row r="333" spans="2:7" s="34" customFormat="1" x14ac:dyDescent="0.25">
      <c r="B333" s="37"/>
      <c r="D333" s="37"/>
      <c r="E333" s="37"/>
      <c r="F333" s="37"/>
      <c r="G333" s="37"/>
    </row>
    <row r="334" spans="2:7" s="34" customFormat="1" x14ac:dyDescent="0.25">
      <c r="B334" s="37"/>
      <c r="D334" s="37"/>
      <c r="E334" s="37"/>
      <c r="F334" s="37"/>
      <c r="G334" s="37"/>
    </row>
    <row r="335" spans="2:7" s="34" customFormat="1" x14ac:dyDescent="0.25">
      <c r="B335" s="37"/>
      <c r="D335" s="37"/>
      <c r="E335" s="37"/>
      <c r="F335" s="37"/>
      <c r="G335" s="37"/>
    </row>
    <row r="336" spans="2:7" s="34" customFormat="1" x14ac:dyDescent="0.25">
      <c r="B336" s="37"/>
      <c r="D336" s="37"/>
      <c r="E336" s="37"/>
      <c r="F336" s="37"/>
      <c r="G336" s="37"/>
    </row>
    <row r="337" spans="2:7" s="34" customFormat="1" x14ac:dyDescent="0.25">
      <c r="B337" s="37"/>
      <c r="D337" s="37"/>
      <c r="E337" s="37"/>
      <c r="F337" s="37"/>
      <c r="G337" s="37"/>
    </row>
    <row r="338" spans="2:7" s="34" customFormat="1" x14ac:dyDescent="0.25">
      <c r="B338" s="37"/>
      <c r="D338" s="37"/>
      <c r="E338" s="37"/>
      <c r="F338" s="37"/>
      <c r="G338" s="37"/>
    </row>
    <row r="339" spans="2:7" s="34" customFormat="1" x14ac:dyDescent="0.25">
      <c r="B339" s="37"/>
      <c r="D339" s="37"/>
      <c r="E339" s="37"/>
      <c r="F339" s="37"/>
      <c r="G339" s="37"/>
    </row>
    <row r="340" spans="2:7" s="34" customFormat="1" x14ac:dyDescent="0.25">
      <c r="B340" s="37"/>
      <c r="D340" s="37"/>
      <c r="E340" s="37"/>
      <c r="F340" s="37"/>
      <c r="G340" s="37"/>
    </row>
    <row r="341" spans="2:7" s="34" customFormat="1" x14ac:dyDescent="0.25">
      <c r="B341" s="37"/>
      <c r="D341" s="37"/>
      <c r="E341" s="37"/>
      <c r="F341" s="37"/>
      <c r="G341" s="37"/>
    </row>
    <row r="342" spans="2:7" s="34" customFormat="1" x14ac:dyDescent="0.25">
      <c r="B342" s="37"/>
      <c r="D342" s="37"/>
      <c r="E342" s="37"/>
      <c r="F342" s="37"/>
      <c r="G342" s="37"/>
    </row>
    <row r="343" spans="2:7" s="34" customFormat="1" x14ac:dyDescent="0.25">
      <c r="B343" s="37"/>
      <c r="D343" s="37"/>
      <c r="E343" s="37"/>
      <c r="F343" s="37"/>
      <c r="G343" s="37"/>
    </row>
    <row r="344" spans="2:7" s="34" customFormat="1" x14ac:dyDescent="0.25">
      <c r="B344" s="37"/>
      <c r="D344" s="37"/>
      <c r="E344" s="37"/>
      <c r="F344" s="37"/>
      <c r="G344" s="37"/>
    </row>
    <row r="345" spans="2:7" s="34" customFormat="1" x14ac:dyDescent="0.25">
      <c r="B345" s="37"/>
      <c r="D345" s="37"/>
      <c r="E345" s="37"/>
      <c r="F345" s="37"/>
      <c r="G345" s="37"/>
    </row>
    <row r="346" spans="2:7" s="34" customFormat="1" x14ac:dyDescent="0.25">
      <c r="B346" s="37"/>
      <c r="D346" s="37"/>
      <c r="E346" s="37"/>
      <c r="F346" s="37"/>
      <c r="G346" s="37"/>
    </row>
    <row r="347" spans="2:7" s="34" customFormat="1" x14ac:dyDescent="0.25">
      <c r="B347" s="37"/>
      <c r="D347" s="37"/>
      <c r="E347" s="37"/>
      <c r="F347" s="37"/>
      <c r="G347" s="37"/>
    </row>
    <row r="348" spans="2:7" s="34" customFormat="1" x14ac:dyDescent="0.25">
      <c r="B348" s="37"/>
      <c r="D348" s="37"/>
      <c r="E348" s="37"/>
      <c r="F348" s="37"/>
      <c r="G348" s="37"/>
    </row>
    <row r="349" spans="2:7" s="34" customFormat="1" x14ac:dyDescent="0.25">
      <c r="B349" s="37"/>
      <c r="D349" s="37"/>
      <c r="E349" s="37"/>
      <c r="F349" s="37"/>
      <c r="G349" s="37"/>
    </row>
    <row r="350" spans="2:7" s="34" customFormat="1" x14ac:dyDescent="0.25">
      <c r="B350" s="37"/>
      <c r="D350" s="37"/>
      <c r="E350" s="37"/>
      <c r="F350" s="37"/>
      <c r="G350" s="37"/>
    </row>
    <row r="351" spans="2:7" s="34" customFormat="1" x14ac:dyDescent="0.25">
      <c r="B351" s="37"/>
      <c r="D351" s="37"/>
      <c r="E351" s="37"/>
      <c r="F351" s="37"/>
      <c r="G351" s="37"/>
    </row>
    <row r="352" spans="2:7" s="34" customFormat="1" x14ac:dyDescent="0.25">
      <c r="B352" s="37"/>
      <c r="D352" s="37"/>
      <c r="E352" s="37"/>
      <c r="F352" s="37"/>
      <c r="G352" s="37"/>
    </row>
    <row r="353" spans="2:7" s="34" customFormat="1" x14ac:dyDescent="0.25">
      <c r="B353" s="37"/>
      <c r="D353" s="37"/>
      <c r="E353" s="37"/>
      <c r="F353" s="37"/>
      <c r="G353" s="37"/>
    </row>
    <row r="354" spans="2:7" s="34" customFormat="1" x14ac:dyDescent="0.25">
      <c r="B354" s="37"/>
      <c r="D354" s="37"/>
      <c r="E354" s="37"/>
      <c r="F354" s="37"/>
      <c r="G354" s="37"/>
    </row>
    <row r="355" spans="2:7" s="34" customFormat="1" x14ac:dyDescent="0.25">
      <c r="B355" s="37"/>
      <c r="D355" s="37"/>
      <c r="E355" s="37"/>
      <c r="F355" s="37"/>
      <c r="G355" s="37"/>
    </row>
    <row r="356" spans="2:7" s="34" customFormat="1" x14ac:dyDescent="0.25">
      <c r="B356" s="37"/>
      <c r="D356" s="37"/>
      <c r="E356" s="37"/>
      <c r="F356" s="37"/>
      <c r="G356" s="37"/>
    </row>
    <row r="357" spans="2:7" s="34" customFormat="1" x14ac:dyDescent="0.25">
      <c r="B357" s="37"/>
      <c r="D357" s="37"/>
      <c r="E357" s="37"/>
      <c r="F357" s="37"/>
      <c r="G357" s="37"/>
    </row>
    <row r="358" spans="2:7" s="34" customFormat="1" x14ac:dyDescent="0.25">
      <c r="B358" s="37"/>
      <c r="D358" s="37"/>
      <c r="E358" s="37"/>
      <c r="F358" s="37"/>
      <c r="G358" s="37"/>
    </row>
    <row r="359" spans="2:7" s="34" customFormat="1" x14ac:dyDescent="0.25">
      <c r="B359" s="37"/>
      <c r="D359" s="37"/>
      <c r="E359" s="37"/>
      <c r="F359" s="37"/>
      <c r="G359" s="37"/>
    </row>
    <row r="360" spans="2:7" s="34" customFormat="1" x14ac:dyDescent="0.25">
      <c r="B360" s="37"/>
      <c r="D360" s="37"/>
      <c r="E360" s="37"/>
      <c r="F360" s="37"/>
      <c r="G360" s="37"/>
    </row>
    <row r="361" spans="2:7" s="34" customFormat="1" x14ac:dyDescent="0.25">
      <c r="B361" s="37"/>
      <c r="D361" s="37"/>
      <c r="E361" s="37"/>
      <c r="F361" s="37"/>
      <c r="G361" s="37"/>
    </row>
    <row r="362" spans="2:7" s="34" customFormat="1" x14ac:dyDescent="0.25">
      <c r="B362" s="37"/>
      <c r="D362" s="37"/>
      <c r="E362" s="37"/>
      <c r="F362" s="37"/>
      <c r="G362" s="37"/>
    </row>
    <row r="363" spans="2:7" s="34" customFormat="1" x14ac:dyDescent="0.25">
      <c r="B363" s="37"/>
      <c r="D363" s="37"/>
      <c r="E363" s="37"/>
      <c r="F363" s="37"/>
      <c r="G363" s="37"/>
    </row>
    <row r="364" spans="2:7" s="34" customFormat="1" x14ac:dyDescent="0.25">
      <c r="B364" s="37"/>
      <c r="D364" s="37"/>
      <c r="E364" s="37"/>
      <c r="F364" s="37"/>
      <c r="G364" s="37"/>
    </row>
    <row r="365" spans="2:7" s="34" customFormat="1" x14ac:dyDescent="0.25">
      <c r="B365" s="37"/>
      <c r="D365" s="37"/>
      <c r="E365" s="37"/>
      <c r="F365" s="37"/>
      <c r="G365" s="37"/>
    </row>
    <row r="366" spans="2:7" s="34" customFormat="1" x14ac:dyDescent="0.25">
      <c r="B366" s="37"/>
      <c r="D366" s="37"/>
      <c r="E366" s="37"/>
      <c r="F366" s="37"/>
      <c r="G366" s="37"/>
    </row>
    <row r="367" spans="2:7" s="34" customFormat="1" x14ac:dyDescent="0.25">
      <c r="B367" s="37"/>
      <c r="D367" s="37"/>
      <c r="E367" s="37"/>
      <c r="F367" s="37"/>
      <c r="G367" s="37"/>
    </row>
    <row r="368" spans="2:7" s="34" customFormat="1" x14ac:dyDescent="0.25">
      <c r="B368" s="37"/>
      <c r="D368" s="37"/>
      <c r="E368" s="37"/>
      <c r="F368" s="37"/>
      <c r="G368" s="37"/>
    </row>
    <row r="369" spans="2:7" s="34" customFormat="1" x14ac:dyDescent="0.25">
      <c r="B369" s="37"/>
      <c r="D369" s="37"/>
      <c r="E369" s="37"/>
      <c r="F369" s="37"/>
      <c r="G369" s="37"/>
    </row>
    <row r="370" spans="2:7" s="34" customFormat="1" x14ac:dyDescent="0.25">
      <c r="B370" s="37"/>
      <c r="D370" s="37"/>
      <c r="E370" s="37"/>
      <c r="F370" s="37"/>
      <c r="G370" s="37"/>
    </row>
    <row r="371" spans="2:7" s="34" customFormat="1" x14ac:dyDescent="0.25">
      <c r="B371" s="37"/>
      <c r="D371" s="37"/>
      <c r="E371" s="37"/>
      <c r="F371" s="37"/>
      <c r="G371" s="37"/>
    </row>
    <row r="372" spans="2:7" s="34" customFormat="1" x14ac:dyDescent="0.25">
      <c r="B372" s="37"/>
      <c r="D372" s="37"/>
      <c r="E372" s="37"/>
      <c r="F372" s="37"/>
      <c r="G372" s="37"/>
    </row>
    <row r="373" spans="2:7" s="34" customFormat="1" x14ac:dyDescent="0.25">
      <c r="B373" s="37"/>
      <c r="D373" s="37"/>
      <c r="E373" s="37"/>
      <c r="F373" s="37"/>
      <c r="G373" s="37"/>
    </row>
    <row r="374" spans="2:7" s="34" customFormat="1" x14ac:dyDescent="0.25">
      <c r="B374" s="37"/>
      <c r="D374" s="37"/>
      <c r="E374" s="37"/>
      <c r="F374" s="37"/>
      <c r="G374" s="37"/>
    </row>
    <row r="375" spans="2:7" s="34" customFormat="1" x14ac:dyDescent="0.25">
      <c r="B375" s="37"/>
      <c r="D375" s="37"/>
      <c r="E375" s="37"/>
      <c r="F375" s="37"/>
      <c r="G375" s="37"/>
    </row>
    <row r="376" spans="2:7" s="34" customFormat="1" x14ac:dyDescent="0.25">
      <c r="B376" s="37"/>
      <c r="D376" s="37"/>
      <c r="E376" s="37"/>
      <c r="F376" s="37"/>
      <c r="G376" s="37"/>
    </row>
    <row r="377" spans="2:7" s="34" customFormat="1" x14ac:dyDescent="0.25">
      <c r="B377" s="37"/>
      <c r="D377" s="37"/>
      <c r="E377" s="37"/>
      <c r="F377" s="37"/>
      <c r="G377" s="37"/>
    </row>
    <row r="378" spans="2:7" s="34" customFormat="1" x14ac:dyDescent="0.25">
      <c r="B378" s="37"/>
      <c r="D378" s="37"/>
      <c r="E378" s="37"/>
      <c r="F378" s="37"/>
      <c r="G378" s="37"/>
    </row>
    <row r="379" spans="2:7" s="34" customFormat="1" x14ac:dyDescent="0.25">
      <c r="B379" s="37"/>
      <c r="D379" s="37"/>
      <c r="E379" s="37"/>
      <c r="F379" s="37"/>
      <c r="G379" s="37"/>
    </row>
    <row r="380" spans="2:7" s="34" customFormat="1" x14ac:dyDescent="0.25">
      <c r="B380" s="37"/>
      <c r="D380" s="37"/>
      <c r="E380" s="37"/>
      <c r="F380" s="37"/>
      <c r="G380" s="37"/>
    </row>
    <row r="381" spans="2:7" s="34" customFormat="1" x14ac:dyDescent="0.25">
      <c r="B381" s="37"/>
      <c r="D381" s="37"/>
      <c r="E381" s="37"/>
      <c r="F381" s="37"/>
      <c r="G381" s="37"/>
    </row>
    <row r="382" spans="2:7" s="34" customFormat="1" x14ac:dyDescent="0.25">
      <c r="B382" s="37"/>
      <c r="D382" s="37"/>
      <c r="E382" s="37"/>
      <c r="F382" s="37"/>
      <c r="G382" s="37"/>
    </row>
    <row r="383" spans="2:7" s="34" customFormat="1" x14ac:dyDescent="0.25">
      <c r="B383" s="37"/>
      <c r="D383" s="37"/>
      <c r="E383" s="37"/>
      <c r="F383" s="37"/>
      <c r="G383" s="37"/>
    </row>
    <row r="384" spans="2:7" s="34" customFormat="1" x14ac:dyDescent="0.25">
      <c r="B384" s="37"/>
      <c r="D384" s="37"/>
      <c r="E384" s="37"/>
      <c r="F384" s="37"/>
      <c r="G384" s="37"/>
    </row>
    <row r="385" spans="2:7" s="34" customFormat="1" x14ac:dyDescent="0.25">
      <c r="B385" s="37"/>
      <c r="D385" s="37"/>
      <c r="E385" s="37"/>
      <c r="F385" s="37"/>
      <c r="G385" s="37"/>
    </row>
    <row r="386" spans="2:7" s="34" customFormat="1" x14ac:dyDescent="0.25">
      <c r="B386" s="37"/>
      <c r="D386" s="37"/>
      <c r="E386" s="37"/>
      <c r="F386" s="37"/>
      <c r="G386" s="37"/>
    </row>
    <row r="387" spans="2:7" s="34" customFormat="1" x14ac:dyDescent="0.25">
      <c r="B387" s="37"/>
      <c r="D387" s="37"/>
      <c r="E387" s="37"/>
      <c r="F387" s="37"/>
      <c r="G387" s="37"/>
    </row>
    <row r="388" spans="2:7" s="34" customFormat="1" x14ac:dyDescent="0.25">
      <c r="B388" s="37"/>
      <c r="D388" s="37"/>
      <c r="E388" s="37"/>
      <c r="F388" s="37"/>
      <c r="G388" s="37"/>
    </row>
    <row r="389" spans="2:7" s="34" customFormat="1" x14ac:dyDescent="0.25">
      <c r="B389" s="37"/>
      <c r="D389" s="37"/>
      <c r="E389" s="37"/>
      <c r="F389" s="37"/>
      <c r="G389" s="37"/>
    </row>
    <row r="390" spans="2:7" s="34" customFormat="1" x14ac:dyDescent="0.25">
      <c r="B390" s="37"/>
      <c r="D390" s="37"/>
      <c r="E390" s="37"/>
      <c r="F390" s="37"/>
      <c r="G390" s="37"/>
    </row>
    <row r="391" spans="2:7" s="34" customFormat="1" x14ac:dyDescent="0.25">
      <c r="B391" s="37"/>
      <c r="D391" s="37"/>
      <c r="E391" s="37"/>
      <c r="F391" s="37"/>
      <c r="G391" s="37"/>
    </row>
    <row r="392" spans="2:7" s="34" customFormat="1" x14ac:dyDescent="0.25">
      <c r="B392" s="37"/>
      <c r="D392" s="37"/>
      <c r="E392" s="37"/>
      <c r="F392" s="37"/>
      <c r="G392" s="37"/>
    </row>
    <row r="393" spans="2:7" s="34" customFormat="1" x14ac:dyDescent="0.25">
      <c r="B393" s="37"/>
      <c r="D393" s="37"/>
      <c r="E393" s="37"/>
      <c r="F393" s="37"/>
      <c r="G393" s="37"/>
    </row>
    <row r="394" spans="2:7" s="34" customFormat="1" x14ac:dyDescent="0.25">
      <c r="B394" s="37"/>
      <c r="D394" s="37"/>
      <c r="E394" s="37"/>
      <c r="F394" s="37"/>
      <c r="G394" s="37"/>
    </row>
    <row r="395" spans="2:7" s="34" customFormat="1" x14ac:dyDescent="0.25">
      <c r="B395" s="37"/>
      <c r="D395" s="37"/>
      <c r="E395" s="37"/>
      <c r="F395" s="37"/>
      <c r="G395" s="37"/>
    </row>
    <row r="396" spans="2:7" s="34" customFormat="1" x14ac:dyDescent="0.25">
      <c r="B396" s="37"/>
      <c r="D396" s="37"/>
      <c r="E396" s="37"/>
      <c r="F396" s="37"/>
      <c r="G396" s="37"/>
    </row>
    <row r="397" spans="2:7" s="34" customFormat="1" x14ac:dyDescent="0.25">
      <c r="B397" s="37"/>
      <c r="D397" s="37"/>
      <c r="E397" s="37"/>
      <c r="F397" s="37"/>
      <c r="G397" s="37"/>
    </row>
    <row r="398" spans="2:7" s="34" customFormat="1" x14ac:dyDescent="0.25">
      <c r="B398" s="37"/>
      <c r="D398" s="37"/>
      <c r="E398" s="37"/>
      <c r="F398" s="37"/>
      <c r="G398" s="37"/>
    </row>
    <row r="399" spans="2:7" s="34" customFormat="1" x14ac:dyDescent="0.25">
      <c r="B399" s="37"/>
      <c r="D399" s="37"/>
      <c r="E399" s="37"/>
      <c r="F399" s="37"/>
      <c r="G399" s="37"/>
    </row>
    <row r="400" spans="2:7" s="34" customFormat="1" x14ac:dyDescent="0.25">
      <c r="B400" s="37"/>
      <c r="D400" s="37"/>
      <c r="E400" s="37"/>
      <c r="F400" s="37"/>
      <c r="G400" s="37"/>
    </row>
    <row r="401" spans="2:7" s="34" customFormat="1" x14ac:dyDescent="0.25">
      <c r="B401" s="37"/>
      <c r="D401" s="37"/>
      <c r="E401" s="37"/>
      <c r="F401" s="37"/>
      <c r="G401" s="37"/>
    </row>
    <row r="402" spans="2:7" s="34" customFormat="1" x14ac:dyDescent="0.25">
      <c r="B402" s="37"/>
      <c r="D402" s="37"/>
      <c r="E402" s="37"/>
      <c r="F402" s="37"/>
      <c r="G402" s="37"/>
    </row>
    <row r="403" spans="2:7" s="34" customFormat="1" x14ac:dyDescent="0.25">
      <c r="B403" s="37"/>
      <c r="D403" s="37"/>
      <c r="E403" s="37"/>
      <c r="F403" s="37"/>
      <c r="G403" s="37"/>
    </row>
    <row r="404" spans="2:7" s="34" customFormat="1" x14ac:dyDescent="0.25">
      <c r="B404" s="37"/>
      <c r="D404" s="37"/>
      <c r="E404" s="37"/>
      <c r="F404" s="37"/>
      <c r="G404" s="37"/>
    </row>
    <row r="405" spans="2:7" s="34" customFormat="1" x14ac:dyDescent="0.25">
      <c r="B405" s="37"/>
      <c r="D405" s="37"/>
      <c r="E405" s="37"/>
      <c r="F405" s="37"/>
      <c r="G405" s="37"/>
    </row>
    <row r="406" spans="2:7" s="34" customFormat="1" x14ac:dyDescent="0.25">
      <c r="B406" s="37"/>
      <c r="D406" s="37"/>
      <c r="E406" s="37"/>
      <c r="F406" s="37"/>
      <c r="G406" s="37"/>
    </row>
    <row r="407" spans="2:7" s="34" customFormat="1" x14ac:dyDescent="0.25">
      <c r="B407" s="37"/>
      <c r="D407" s="37"/>
      <c r="E407" s="37"/>
      <c r="F407" s="37"/>
      <c r="G407" s="37"/>
    </row>
    <row r="408" spans="2:7" s="34" customFormat="1" x14ac:dyDescent="0.25">
      <c r="B408" s="37"/>
      <c r="D408" s="37"/>
      <c r="E408" s="37"/>
      <c r="F408" s="37"/>
      <c r="G408" s="37"/>
    </row>
    <row r="409" spans="2:7" s="34" customFormat="1" x14ac:dyDescent="0.25">
      <c r="B409" s="37"/>
      <c r="D409" s="37"/>
      <c r="E409" s="37"/>
      <c r="F409" s="37"/>
      <c r="G409" s="37"/>
    </row>
    <row r="410" spans="2:7" s="34" customFormat="1" x14ac:dyDescent="0.25">
      <c r="B410" s="37"/>
      <c r="D410" s="37"/>
      <c r="E410" s="37"/>
      <c r="F410" s="37"/>
      <c r="G410" s="37"/>
    </row>
    <row r="411" spans="2:7" s="34" customFormat="1" x14ac:dyDescent="0.25">
      <c r="B411" s="37"/>
      <c r="D411" s="37"/>
      <c r="E411" s="37"/>
      <c r="F411" s="37"/>
      <c r="G411" s="37"/>
    </row>
    <row r="412" spans="2:7" s="34" customFormat="1" x14ac:dyDescent="0.25">
      <c r="B412" s="37"/>
      <c r="D412" s="37"/>
      <c r="E412" s="37"/>
      <c r="F412" s="37"/>
      <c r="G412" s="37"/>
    </row>
    <row r="413" spans="2:7" s="34" customFormat="1" x14ac:dyDescent="0.25">
      <c r="B413" s="37"/>
      <c r="D413" s="37"/>
      <c r="E413" s="37"/>
      <c r="F413" s="37"/>
      <c r="G413" s="37"/>
    </row>
    <row r="414" spans="2:7" s="34" customFormat="1" x14ac:dyDescent="0.25">
      <c r="B414" s="37"/>
      <c r="D414" s="37"/>
      <c r="E414" s="37"/>
      <c r="F414" s="37"/>
      <c r="G414" s="37"/>
    </row>
    <row r="415" spans="2:7" s="34" customFormat="1" x14ac:dyDescent="0.25">
      <c r="B415" s="37"/>
      <c r="D415" s="37"/>
      <c r="E415" s="37"/>
      <c r="F415" s="37"/>
      <c r="G415" s="37"/>
    </row>
    <row r="416" spans="2:7" s="34" customFormat="1" x14ac:dyDescent="0.25">
      <c r="B416" s="37"/>
      <c r="D416" s="37"/>
      <c r="E416" s="37"/>
      <c r="F416" s="37"/>
      <c r="G416" s="37"/>
    </row>
    <row r="417" spans="2:7" s="34" customFormat="1" x14ac:dyDescent="0.25">
      <c r="B417" s="37"/>
      <c r="D417" s="37"/>
      <c r="E417" s="37"/>
      <c r="F417" s="37"/>
      <c r="G417" s="37"/>
    </row>
    <row r="418" spans="2:7" s="34" customFormat="1" x14ac:dyDescent="0.25">
      <c r="B418" s="37"/>
      <c r="D418" s="37"/>
      <c r="E418" s="37"/>
      <c r="F418" s="37"/>
      <c r="G418" s="37"/>
    </row>
    <row r="419" spans="2:7" s="34" customFormat="1" x14ac:dyDescent="0.25">
      <c r="B419" s="37"/>
      <c r="D419" s="37"/>
      <c r="E419" s="37"/>
      <c r="F419" s="37"/>
      <c r="G419" s="37"/>
    </row>
    <row r="420" spans="2:7" s="34" customFormat="1" x14ac:dyDescent="0.25">
      <c r="B420" s="37"/>
      <c r="D420" s="37"/>
      <c r="E420" s="37"/>
      <c r="F420" s="37"/>
      <c r="G420" s="37"/>
    </row>
    <row r="421" spans="2:7" s="34" customFormat="1" x14ac:dyDescent="0.25">
      <c r="B421" s="37"/>
      <c r="D421" s="37"/>
      <c r="E421" s="37"/>
      <c r="F421" s="37"/>
      <c r="G421" s="37"/>
    </row>
    <row r="422" spans="2:7" s="34" customFormat="1" x14ac:dyDescent="0.25">
      <c r="B422" s="37"/>
      <c r="D422" s="37"/>
      <c r="E422" s="37"/>
      <c r="F422" s="37"/>
      <c r="G422" s="37"/>
    </row>
    <row r="423" spans="2:7" s="34" customFormat="1" x14ac:dyDescent="0.25">
      <c r="B423" s="37"/>
      <c r="D423" s="37"/>
      <c r="E423" s="37"/>
      <c r="F423" s="37"/>
      <c r="G423" s="37"/>
    </row>
    <row r="424" spans="2:7" s="34" customFormat="1" x14ac:dyDescent="0.25">
      <c r="B424" s="37"/>
      <c r="D424" s="37"/>
      <c r="E424" s="37"/>
      <c r="F424" s="37"/>
      <c r="G424" s="37"/>
    </row>
    <row r="425" spans="2:7" s="34" customFormat="1" x14ac:dyDescent="0.25">
      <c r="B425" s="37"/>
      <c r="D425" s="37"/>
      <c r="E425" s="37"/>
      <c r="F425" s="37"/>
      <c r="G425" s="37"/>
    </row>
    <row r="426" spans="2:7" s="34" customFormat="1" x14ac:dyDescent="0.25">
      <c r="B426" s="37"/>
      <c r="D426" s="37"/>
      <c r="E426" s="37"/>
      <c r="F426" s="37"/>
      <c r="G426" s="37"/>
    </row>
    <row r="427" spans="2:7" s="34" customFormat="1" x14ac:dyDescent="0.25">
      <c r="B427" s="37"/>
      <c r="D427" s="37"/>
      <c r="E427" s="37"/>
      <c r="F427" s="37"/>
      <c r="G427" s="37"/>
    </row>
    <row r="428" spans="2:7" s="34" customFormat="1" x14ac:dyDescent="0.25">
      <c r="B428" s="37"/>
      <c r="D428" s="37"/>
      <c r="E428" s="37"/>
      <c r="F428" s="37"/>
      <c r="G428" s="37"/>
    </row>
    <row r="429" spans="2:7" s="34" customFormat="1" x14ac:dyDescent="0.25">
      <c r="B429" s="37"/>
      <c r="D429" s="37"/>
      <c r="E429" s="37"/>
      <c r="F429" s="37"/>
      <c r="G429" s="37"/>
    </row>
    <row r="430" spans="2:7" s="34" customFormat="1" x14ac:dyDescent="0.25">
      <c r="B430" s="37"/>
      <c r="D430" s="37"/>
      <c r="E430" s="37"/>
      <c r="F430" s="37"/>
      <c r="G430" s="37"/>
    </row>
    <row r="431" spans="2:7" s="34" customFormat="1" x14ac:dyDescent="0.25">
      <c r="B431" s="37"/>
      <c r="D431" s="37"/>
      <c r="E431" s="37"/>
      <c r="F431" s="37"/>
      <c r="G431" s="37"/>
    </row>
    <row r="432" spans="2:7" s="34" customFormat="1" x14ac:dyDescent="0.25">
      <c r="B432" s="37"/>
      <c r="D432" s="37"/>
      <c r="E432" s="37"/>
      <c r="F432" s="37"/>
      <c r="G432" s="37"/>
    </row>
    <row r="433" spans="2:7" s="34" customFormat="1" x14ac:dyDescent="0.25">
      <c r="B433" s="37"/>
      <c r="D433" s="37"/>
      <c r="E433" s="37"/>
      <c r="F433" s="37"/>
      <c r="G433" s="37"/>
    </row>
    <row r="434" spans="2:7" s="34" customFormat="1" x14ac:dyDescent="0.25">
      <c r="B434" s="37"/>
      <c r="D434" s="37"/>
      <c r="E434" s="37"/>
      <c r="F434" s="37"/>
      <c r="G434" s="37"/>
    </row>
    <row r="435" spans="2:7" s="34" customFormat="1" x14ac:dyDescent="0.25">
      <c r="B435" s="37"/>
      <c r="D435" s="37"/>
      <c r="E435" s="37"/>
      <c r="F435" s="37"/>
      <c r="G435" s="37"/>
    </row>
    <row r="436" spans="2:7" s="34" customFormat="1" x14ac:dyDescent="0.25">
      <c r="B436" s="37"/>
      <c r="D436" s="37"/>
      <c r="E436" s="37"/>
      <c r="F436" s="37"/>
      <c r="G436" s="37"/>
    </row>
    <row r="437" spans="2:7" s="34" customFormat="1" x14ac:dyDescent="0.25">
      <c r="B437" s="37"/>
      <c r="D437" s="37"/>
      <c r="E437" s="37"/>
      <c r="F437" s="37"/>
      <c r="G437" s="37"/>
    </row>
    <row r="438" spans="2:7" s="34" customFormat="1" x14ac:dyDescent="0.25">
      <c r="B438" s="37"/>
      <c r="D438" s="37"/>
      <c r="E438" s="37"/>
      <c r="F438" s="37"/>
      <c r="G438" s="37"/>
    </row>
    <row r="439" spans="2:7" s="34" customFormat="1" x14ac:dyDescent="0.25">
      <c r="B439" s="37"/>
      <c r="D439" s="37"/>
      <c r="E439" s="37"/>
      <c r="F439" s="37"/>
      <c r="G439" s="37"/>
    </row>
    <row r="440" spans="2:7" s="34" customFormat="1" x14ac:dyDescent="0.25">
      <c r="B440" s="37"/>
      <c r="D440" s="37"/>
      <c r="E440" s="37"/>
      <c r="F440" s="37"/>
      <c r="G440" s="37"/>
    </row>
    <row r="441" spans="2:7" s="34" customFormat="1" x14ac:dyDescent="0.25">
      <c r="B441" s="37"/>
      <c r="D441" s="37"/>
      <c r="E441" s="37"/>
      <c r="F441" s="37"/>
      <c r="G441" s="37"/>
    </row>
    <row r="442" spans="2:7" s="34" customFormat="1" x14ac:dyDescent="0.25">
      <c r="B442" s="37"/>
      <c r="D442" s="37"/>
      <c r="E442" s="37"/>
      <c r="F442" s="37"/>
      <c r="G442" s="37"/>
    </row>
    <row r="443" spans="2:7" s="34" customFormat="1" x14ac:dyDescent="0.25">
      <c r="B443" s="37"/>
      <c r="D443" s="37"/>
      <c r="E443" s="37"/>
      <c r="F443" s="37"/>
      <c r="G443" s="37"/>
    </row>
    <row r="444" spans="2:7" s="34" customFormat="1" x14ac:dyDescent="0.25">
      <c r="B444" s="37"/>
      <c r="D444" s="37"/>
      <c r="E444" s="37"/>
      <c r="F444" s="37"/>
      <c r="G444" s="37"/>
    </row>
    <row r="445" spans="2:7" s="34" customFormat="1" x14ac:dyDescent="0.25">
      <c r="B445" s="37"/>
      <c r="D445" s="37"/>
      <c r="E445" s="37"/>
      <c r="F445" s="37"/>
      <c r="G445" s="37"/>
    </row>
    <row r="446" spans="2:7" s="34" customFormat="1" x14ac:dyDescent="0.25">
      <c r="B446" s="37"/>
      <c r="D446" s="37"/>
      <c r="E446" s="37"/>
      <c r="F446" s="37"/>
      <c r="G446" s="37"/>
    </row>
    <row r="447" spans="2:7" s="34" customFormat="1" x14ac:dyDescent="0.25">
      <c r="B447" s="37"/>
      <c r="D447" s="37"/>
      <c r="E447" s="37"/>
      <c r="F447" s="37"/>
      <c r="G447" s="37"/>
    </row>
    <row r="448" spans="2:7" s="34" customFormat="1" x14ac:dyDescent="0.25">
      <c r="B448" s="37"/>
      <c r="D448" s="37"/>
      <c r="E448" s="37"/>
      <c r="F448" s="37"/>
      <c r="G448" s="37"/>
    </row>
    <row r="449" spans="2:7" s="34" customFormat="1" x14ac:dyDescent="0.25">
      <c r="B449" s="37"/>
      <c r="D449" s="37"/>
      <c r="E449" s="37"/>
      <c r="F449" s="37"/>
      <c r="G449" s="37"/>
    </row>
    <row r="450" spans="2:7" s="34" customFormat="1" x14ac:dyDescent="0.25">
      <c r="B450" s="37"/>
      <c r="D450" s="37"/>
      <c r="E450" s="37"/>
      <c r="F450" s="37"/>
      <c r="G450" s="37"/>
    </row>
    <row r="451" spans="2:7" s="34" customFormat="1" x14ac:dyDescent="0.25">
      <c r="B451" s="37"/>
      <c r="D451" s="37"/>
      <c r="E451" s="37"/>
      <c r="F451" s="37"/>
      <c r="G451" s="37"/>
    </row>
    <row r="452" spans="2:7" s="34" customFormat="1" x14ac:dyDescent="0.25">
      <c r="B452" s="37"/>
      <c r="D452" s="37"/>
      <c r="E452" s="37"/>
      <c r="F452" s="37"/>
      <c r="G452" s="37"/>
    </row>
    <row r="453" spans="2:7" s="34" customFormat="1" x14ac:dyDescent="0.25">
      <c r="B453" s="37"/>
      <c r="D453" s="37"/>
      <c r="E453" s="37"/>
      <c r="F453" s="37"/>
      <c r="G453" s="37"/>
    </row>
    <row r="454" spans="2:7" s="34" customFormat="1" x14ac:dyDescent="0.25">
      <c r="B454" s="37"/>
      <c r="D454" s="37"/>
      <c r="E454" s="37"/>
      <c r="F454" s="37"/>
      <c r="G454" s="37"/>
    </row>
    <row r="455" spans="2:7" s="34" customFormat="1" x14ac:dyDescent="0.25">
      <c r="B455" s="37"/>
      <c r="D455" s="37"/>
      <c r="E455" s="37"/>
      <c r="F455" s="37"/>
      <c r="G455" s="37"/>
    </row>
    <row r="456" spans="2:7" s="34" customFormat="1" x14ac:dyDescent="0.25">
      <c r="B456" s="37"/>
      <c r="D456" s="37"/>
      <c r="E456" s="37"/>
      <c r="F456" s="37"/>
      <c r="G456" s="37"/>
    </row>
    <row r="457" spans="2:7" s="34" customFormat="1" x14ac:dyDescent="0.25">
      <c r="B457" s="37"/>
      <c r="D457" s="37"/>
      <c r="E457" s="37"/>
      <c r="F457" s="37"/>
      <c r="G457" s="37"/>
    </row>
    <row r="458" spans="2:7" s="34" customFormat="1" x14ac:dyDescent="0.25">
      <c r="B458" s="37"/>
      <c r="D458" s="37"/>
      <c r="E458" s="37"/>
      <c r="F458" s="37"/>
      <c r="G458" s="37"/>
    </row>
    <row r="459" spans="2:7" s="34" customFormat="1" x14ac:dyDescent="0.25">
      <c r="B459" s="37"/>
      <c r="D459" s="37"/>
      <c r="E459" s="37"/>
      <c r="F459" s="37"/>
      <c r="G459" s="37"/>
    </row>
    <row r="460" spans="2:7" s="34" customFormat="1" x14ac:dyDescent="0.25">
      <c r="B460" s="37"/>
      <c r="D460" s="37"/>
      <c r="E460" s="37"/>
      <c r="F460" s="37"/>
      <c r="G460" s="37"/>
    </row>
    <row r="461" spans="2:7" s="34" customFormat="1" x14ac:dyDescent="0.25">
      <c r="B461" s="37"/>
      <c r="D461" s="37"/>
      <c r="E461" s="37"/>
      <c r="F461" s="37"/>
      <c r="G461" s="37"/>
    </row>
    <row r="462" spans="2:7" s="34" customFormat="1" x14ac:dyDescent="0.25">
      <c r="B462" s="37"/>
      <c r="D462" s="37"/>
      <c r="E462" s="37"/>
      <c r="F462" s="37"/>
      <c r="G462" s="37"/>
    </row>
    <row r="463" spans="2:7" s="34" customFormat="1" x14ac:dyDescent="0.25">
      <c r="B463" s="37"/>
      <c r="D463" s="37"/>
      <c r="E463" s="37"/>
      <c r="F463" s="37"/>
      <c r="G463" s="37"/>
    </row>
    <row r="464" spans="2:7" s="34" customFormat="1" x14ac:dyDescent="0.25">
      <c r="B464" s="37"/>
      <c r="D464" s="37"/>
      <c r="E464" s="37"/>
      <c r="F464" s="37"/>
      <c r="G464" s="37"/>
    </row>
    <row r="465" spans="2:7" s="34" customFormat="1" x14ac:dyDescent="0.25">
      <c r="B465" s="37"/>
      <c r="D465" s="37"/>
      <c r="E465" s="37"/>
      <c r="F465" s="37"/>
      <c r="G465" s="37"/>
    </row>
    <row r="466" spans="2:7" s="34" customFormat="1" x14ac:dyDescent="0.25">
      <c r="B466" s="37"/>
      <c r="D466" s="37"/>
      <c r="E466" s="37"/>
      <c r="F466" s="37"/>
      <c r="G466" s="37"/>
    </row>
    <row r="467" spans="2:7" s="34" customFormat="1" x14ac:dyDescent="0.25">
      <c r="B467" s="37"/>
      <c r="D467" s="37"/>
      <c r="E467" s="37"/>
      <c r="F467" s="37"/>
      <c r="G467" s="37"/>
    </row>
    <row r="468" spans="2:7" s="34" customFormat="1" x14ac:dyDescent="0.25">
      <c r="B468" s="37"/>
      <c r="D468" s="37"/>
      <c r="E468" s="37"/>
      <c r="F468" s="37"/>
      <c r="G468" s="37"/>
    </row>
    <row r="469" spans="2:7" s="34" customFormat="1" x14ac:dyDescent="0.25">
      <c r="B469" s="37"/>
      <c r="D469" s="37"/>
      <c r="E469" s="37"/>
      <c r="F469" s="37"/>
      <c r="G469" s="37"/>
    </row>
    <row r="470" spans="2:7" s="34" customFormat="1" x14ac:dyDescent="0.25">
      <c r="B470" s="37"/>
      <c r="D470" s="37"/>
      <c r="E470" s="37"/>
      <c r="F470" s="37"/>
      <c r="G470" s="37"/>
    </row>
    <row r="471" spans="2:7" s="34" customFormat="1" x14ac:dyDescent="0.25">
      <c r="B471" s="37"/>
      <c r="D471" s="37"/>
      <c r="E471" s="37"/>
      <c r="F471" s="37"/>
      <c r="G471" s="37"/>
    </row>
    <row r="472" spans="2:7" s="34" customFormat="1" x14ac:dyDescent="0.25">
      <c r="B472" s="37"/>
      <c r="D472" s="37"/>
      <c r="E472" s="37"/>
      <c r="F472" s="37"/>
      <c r="G472" s="37"/>
    </row>
    <row r="473" spans="2:7" s="34" customFormat="1" x14ac:dyDescent="0.25">
      <c r="B473" s="37"/>
      <c r="D473" s="37"/>
      <c r="E473" s="37"/>
      <c r="F473" s="37"/>
      <c r="G473" s="37"/>
    </row>
    <row r="474" spans="2:7" s="34" customFormat="1" x14ac:dyDescent="0.25">
      <c r="B474" s="37"/>
      <c r="D474" s="37"/>
      <c r="E474" s="37"/>
      <c r="F474" s="37"/>
      <c r="G474" s="37"/>
    </row>
    <row r="475" spans="2:7" s="34" customFormat="1" x14ac:dyDescent="0.25">
      <c r="B475" s="37"/>
      <c r="D475" s="37"/>
      <c r="E475" s="37"/>
      <c r="F475" s="37"/>
      <c r="G475" s="37"/>
    </row>
    <row r="476" spans="2:7" s="34" customFormat="1" x14ac:dyDescent="0.25">
      <c r="B476" s="37"/>
      <c r="D476" s="37"/>
      <c r="E476" s="37"/>
      <c r="F476" s="37"/>
      <c r="G476" s="37"/>
    </row>
    <row r="477" spans="2:7" s="34" customFormat="1" x14ac:dyDescent="0.25">
      <c r="B477" s="37"/>
      <c r="D477" s="37"/>
      <c r="E477" s="37"/>
      <c r="F477" s="37"/>
      <c r="G477" s="37"/>
    </row>
    <row r="478" spans="2:7" s="34" customFormat="1" x14ac:dyDescent="0.25">
      <c r="B478" s="37"/>
      <c r="D478" s="37"/>
      <c r="E478" s="37"/>
      <c r="F478" s="37"/>
      <c r="G478" s="37"/>
    </row>
    <row r="479" spans="2:7" s="34" customFormat="1" x14ac:dyDescent="0.25">
      <c r="B479" s="37"/>
      <c r="D479" s="37"/>
      <c r="E479" s="37"/>
      <c r="F479" s="37"/>
      <c r="G479" s="37"/>
    </row>
    <row r="480" spans="2:7" s="34" customFormat="1" x14ac:dyDescent="0.25">
      <c r="B480" s="37"/>
      <c r="D480" s="37"/>
      <c r="E480" s="37"/>
      <c r="F480" s="37"/>
      <c r="G480" s="37"/>
    </row>
    <row r="481" spans="2:7" s="34" customFormat="1" x14ac:dyDescent="0.25">
      <c r="B481" s="37"/>
      <c r="D481" s="37"/>
      <c r="E481" s="37"/>
      <c r="F481" s="37"/>
      <c r="G481" s="37"/>
    </row>
    <row r="482" spans="2:7" s="34" customFormat="1" x14ac:dyDescent="0.25">
      <c r="B482" s="37"/>
      <c r="D482" s="37"/>
      <c r="E482" s="37"/>
      <c r="F482" s="37"/>
      <c r="G482" s="37"/>
    </row>
    <row r="483" spans="2:7" s="34" customFormat="1" x14ac:dyDescent="0.25">
      <c r="B483" s="37"/>
      <c r="D483" s="37"/>
      <c r="E483" s="37"/>
      <c r="F483" s="37"/>
      <c r="G483" s="37"/>
    </row>
    <row r="484" spans="2:7" s="34" customFormat="1" x14ac:dyDescent="0.25">
      <c r="B484" s="37"/>
      <c r="D484" s="37"/>
      <c r="E484" s="37"/>
      <c r="F484" s="37"/>
      <c r="G484" s="37"/>
    </row>
    <row r="485" spans="2:7" s="34" customFormat="1" x14ac:dyDescent="0.25">
      <c r="B485" s="37"/>
      <c r="D485" s="37"/>
      <c r="E485" s="37"/>
      <c r="F485" s="37"/>
      <c r="G485" s="37"/>
    </row>
    <row r="486" spans="2:7" s="34" customFormat="1" x14ac:dyDescent="0.25">
      <c r="B486" s="37"/>
      <c r="D486" s="37"/>
      <c r="E486" s="37"/>
      <c r="F486" s="37"/>
      <c r="G486" s="37"/>
    </row>
    <row r="487" spans="2:7" s="34" customFormat="1" x14ac:dyDescent="0.25">
      <c r="B487" s="37"/>
      <c r="D487" s="37"/>
      <c r="E487" s="37"/>
      <c r="F487" s="37"/>
      <c r="G487" s="37"/>
    </row>
    <row r="488" spans="2:7" s="34" customFormat="1" x14ac:dyDescent="0.25">
      <c r="B488" s="37"/>
      <c r="D488" s="37"/>
      <c r="E488" s="37"/>
      <c r="F488" s="37"/>
      <c r="G488" s="37"/>
    </row>
    <row r="489" spans="2:7" s="34" customFormat="1" x14ac:dyDescent="0.25">
      <c r="B489" s="37"/>
      <c r="D489" s="37"/>
      <c r="E489" s="37"/>
      <c r="F489" s="37"/>
      <c r="G489" s="37"/>
    </row>
    <row r="490" spans="2:7" s="34" customFormat="1" x14ac:dyDescent="0.25">
      <c r="B490" s="37"/>
      <c r="D490" s="37"/>
      <c r="E490" s="37"/>
      <c r="F490" s="37"/>
      <c r="G490" s="37"/>
    </row>
    <row r="491" spans="2:7" s="34" customFormat="1" x14ac:dyDescent="0.25">
      <c r="B491" s="37"/>
      <c r="D491" s="37"/>
      <c r="E491" s="37"/>
      <c r="F491" s="37"/>
      <c r="G491" s="37"/>
    </row>
    <row r="492" spans="2:7" s="34" customFormat="1" x14ac:dyDescent="0.25">
      <c r="B492" s="37"/>
      <c r="D492" s="37"/>
      <c r="E492" s="37"/>
      <c r="F492" s="37"/>
      <c r="G492" s="37"/>
    </row>
    <row r="493" spans="2:7" s="34" customFormat="1" x14ac:dyDescent="0.25">
      <c r="B493" s="37"/>
      <c r="D493" s="37"/>
      <c r="E493" s="37"/>
      <c r="F493" s="37"/>
      <c r="G493" s="37"/>
    </row>
    <row r="494" spans="2:7" s="34" customFormat="1" x14ac:dyDescent="0.25">
      <c r="B494" s="37"/>
      <c r="D494" s="37"/>
      <c r="E494" s="37"/>
      <c r="F494" s="37"/>
      <c r="G494" s="37"/>
    </row>
    <row r="495" spans="2:7" s="34" customFormat="1" x14ac:dyDescent="0.25">
      <c r="B495" s="37"/>
      <c r="D495" s="37"/>
      <c r="E495" s="37"/>
      <c r="F495" s="37"/>
      <c r="G495" s="37"/>
    </row>
    <row r="496" spans="2:7" s="34" customFormat="1" x14ac:dyDescent="0.25">
      <c r="B496" s="37"/>
      <c r="D496" s="37"/>
      <c r="E496" s="37"/>
      <c r="F496" s="37"/>
      <c r="G496" s="37"/>
    </row>
    <row r="497" spans="2:7" s="34" customFormat="1" x14ac:dyDescent="0.25">
      <c r="B497" s="37"/>
      <c r="D497" s="37"/>
      <c r="E497" s="37"/>
      <c r="F497" s="37"/>
      <c r="G497" s="37"/>
    </row>
    <row r="498" spans="2:7" s="34" customFormat="1" x14ac:dyDescent="0.25">
      <c r="B498" s="37"/>
      <c r="D498" s="37"/>
      <c r="E498" s="37"/>
      <c r="F498" s="37"/>
      <c r="G498" s="37"/>
    </row>
    <row r="499" spans="2:7" s="34" customFormat="1" x14ac:dyDescent="0.25">
      <c r="B499" s="37"/>
      <c r="D499" s="37"/>
      <c r="E499" s="37"/>
      <c r="F499" s="37"/>
      <c r="G499" s="37"/>
    </row>
    <row r="500" spans="2:7" s="34" customFormat="1" x14ac:dyDescent="0.25">
      <c r="B500" s="37"/>
      <c r="D500" s="37"/>
      <c r="E500" s="37"/>
      <c r="F500" s="37"/>
      <c r="G500" s="37"/>
    </row>
    <row r="501" spans="2:7" s="34" customFormat="1" x14ac:dyDescent="0.25">
      <c r="B501" s="37"/>
      <c r="D501" s="37"/>
      <c r="E501" s="37"/>
      <c r="F501" s="37"/>
      <c r="G501" s="37"/>
    </row>
    <row r="502" spans="2:7" s="34" customFormat="1" x14ac:dyDescent="0.25">
      <c r="B502" s="37"/>
      <c r="D502" s="37"/>
      <c r="E502" s="37"/>
      <c r="F502" s="37"/>
      <c r="G502" s="37"/>
    </row>
    <row r="503" spans="2:7" s="34" customFormat="1" x14ac:dyDescent="0.25">
      <c r="B503" s="37"/>
      <c r="D503" s="37"/>
      <c r="E503" s="37"/>
      <c r="F503" s="37"/>
      <c r="G503" s="37"/>
    </row>
    <row r="504" spans="2:7" s="34" customFormat="1" x14ac:dyDescent="0.25">
      <c r="B504" s="37"/>
      <c r="D504" s="37"/>
      <c r="E504" s="37"/>
      <c r="F504" s="37"/>
      <c r="G504" s="37"/>
    </row>
    <row r="505" spans="2:7" s="34" customFormat="1" x14ac:dyDescent="0.25">
      <c r="B505" s="37"/>
      <c r="D505" s="37"/>
      <c r="E505" s="37"/>
      <c r="F505" s="37"/>
      <c r="G505" s="37"/>
    </row>
    <row r="506" spans="2:7" s="34" customFormat="1" x14ac:dyDescent="0.25">
      <c r="B506" s="37"/>
      <c r="D506" s="37"/>
      <c r="E506" s="37"/>
      <c r="F506" s="37"/>
      <c r="G506" s="37"/>
    </row>
    <row r="507" spans="2:7" s="34" customFormat="1" x14ac:dyDescent="0.25">
      <c r="B507" s="37"/>
      <c r="D507" s="37"/>
      <c r="E507" s="37"/>
      <c r="F507" s="37"/>
      <c r="G507" s="37"/>
    </row>
    <row r="508" spans="2:7" s="34" customFormat="1" x14ac:dyDescent="0.25">
      <c r="B508" s="37"/>
      <c r="D508" s="37"/>
      <c r="E508" s="37"/>
      <c r="F508" s="37"/>
      <c r="G508" s="37"/>
    </row>
    <row r="509" spans="2:7" s="34" customFormat="1" x14ac:dyDescent="0.25">
      <c r="B509" s="37"/>
      <c r="D509" s="37"/>
      <c r="E509" s="37"/>
      <c r="F509" s="37"/>
      <c r="G509" s="37"/>
    </row>
    <row r="510" spans="2:7" s="34" customFormat="1" x14ac:dyDescent="0.25">
      <c r="B510" s="37"/>
      <c r="D510" s="37"/>
      <c r="E510" s="37"/>
      <c r="F510" s="37"/>
      <c r="G510" s="37"/>
    </row>
    <row r="511" spans="2:7" s="34" customFormat="1" x14ac:dyDescent="0.25">
      <c r="B511" s="37"/>
      <c r="D511" s="37"/>
      <c r="E511" s="37"/>
      <c r="F511" s="37"/>
      <c r="G511" s="37"/>
    </row>
    <row r="512" spans="2:7" s="34" customFormat="1" x14ac:dyDescent="0.25">
      <c r="B512" s="37"/>
      <c r="D512" s="37"/>
      <c r="E512" s="37"/>
      <c r="F512" s="37"/>
      <c r="G512" s="37"/>
    </row>
    <row r="513" spans="2:7" s="34" customFormat="1" x14ac:dyDescent="0.25">
      <c r="B513" s="37"/>
      <c r="D513" s="37"/>
      <c r="E513" s="37"/>
      <c r="F513" s="37"/>
      <c r="G513" s="37"/>
    </row>
    <row r="514" spans="2:7" s="34" customFormat="1" x14ac:dyDescent="0.25">
      <c r="B514" s="37"/>
      <c r="D514" s="37"/>
      <c r="E514" s="37"/>
      <c r="F514" s="37"/>
      <c r="G514" s="37"/>
    </row>
    <row r="515" spans="2:7" s="34" customFormat="1" x14ac:dyDescent="0.25">
      <c r="B515" s="37"/>
      <c r="D515" s="37"/>
      <c r="E515" s="37"/>
      <c r="F515" s="37"/>
      <c r="G515" s="37"/>
    </row>
    <row r="516" spans="2:7" s="34" customFormat="1" x14ac:dyDescent="0.25">
      <c r="B516" s="37"/>
      <c r="D516" s="37"/>
      <c r="E516" s="37"/>
      <c r="F516" s="37"/>
      <c r="G516" s="37"/>
    </row>
    <row r="517" spans="2:7" s="34" customFormat="1" x14ac:dyDescent="0.25">
      <c r="B517" s="37"/>
      <c r="D517" s="37"/>
      <c r="E517" s="37"/>
      <c r="F517" s="37"/>
      <c r="G517" s="37"/>
    </row>
    <row r="518" spans="2:7" s="34" customFormat="1" x14ac:dyDescent="0.25">
      <c r="B518" s="37"/>
      <c r="D518" s="37"/>
      <c r="E518" s="37"/>
      <c r="F518" s="37"/>
      <c r="G518" s="37"/>
    </row>
    <row r="519" spans="2:7" s="34" customFormat="1" x14ac:dyDescent="0.25">
      <c r="B519" s="37"/>
      <c r="D519" s="37"/>
      <c r="E519" s="37"/>
      <c r="F519" s="37"/>
      <c r="G519" s="37"/>
    </row>
    <row r="520" spans="2:7" s="34" customFormat="1" x14ac:dyDescent="0.25">
      <c r="B520" s="37"/>
      <c r="D520" s="37"/>
      <c r="E520" s="37"/>
      <c r="F520" s="37"/>
      <c r="G520" s="37"/>
    </row>
    <row r="521" spans="2:7" s="34" customFormat="1" x14ac:dyDescent="0.25">
      <c r="B521" s="37"/>
      <c r="D521" s="37"/>
      <c r="E521" s="37"/>
      <c r="F521" s="37"/>
      <c r="G521" s="37"/>
    </row>
    <row r="522" spans="2:7" s="34" customFormat="1" x14ac:dyDescent="0.25">
      <c r="B522" s="37"/>
      <c r="D522" s="37"/>
      <c r="E522" s="37"/>
      <c r="F522" s="37"/>
      <c r="G522" s="37"/>
    </row>
    <row r="523" spans="2:7" s="34" customFormat="1" x14ac:dyDescent="0.25">
      <c r="B523" s="37"/>
      <c r="D523" s="37"/>
      <c r="E523" s="37"/>
      <c r="F523" s="37"/>
      <c r="G523" s="37"/>
    </row>
    <row r="524" spans="2:7" s="34" customFormat="1" x14ac:dyDescent="0.25">
      <c r="B524" s="37"/>
      <c r="D524" s="37"/>
      <c r="E524" s="37"/>
      <c r="F524" s="37"/>
      <c r="G524" s="37"/>
    </row>
    <row r="525" spans="2:7" s="34" customFormat="1" x14ac:dyDescent="0.25">
      <c r="B525" s="37"/>
      <c r="D525" s="37"/>
      <c r="E525" s="37"/>
      <c r="F525" s="37"/>
      <c r="G525" s="37"/>
    </row>
    <row r="526" spans="2:7" s="34" customFormat="1" x14ac:dyDescent="0.25">
      <c r="B526" s="37"/>
      <c r="D526" s="37"/>
      <c r="E526" s="37"/>
      <c r="F526" s="37"/>
      <c r="G526" s="37"/>
    </row>
    <row r="527" spans="2:7" s="34" customFormat="1" x14ac:dyDescent="0.25">
      <c r="B527" s="37"/>
      <c r="D527" s="37"/>
      <c r="E527" s="37"/>
      <c r="F527" s="37"/>
      <c r="G527" s="37"/>
    </row>
    <row r="528" spans="2:7" s="34" customFormat="1" x14ac:dyDescent="0.25">
      <c r="B528" s="37"/>
      <c r="D528" s="37"/>
      <c r="E528" s="37"/>
      <c r="F528" s="37"/>
      <c r="G528" s="37"/>
    </row>
    <row r="529" spans="2:7" s="34" customFormat="1" x14ac:dyDescent="0.25">
      <c r="B529" s="37"/>
      <c r="D529" s="37"/>
      <c r="E529" s="37"/>
      <c r="F529" s="37"/>
      <c r="G529" s="37"/>
    </row>
    <row r="530" spans="2:7" s="34" customFormat="1" x14ac:dyDescent="0.25">
      <c r="B530" s="37"/>
      <c r="D530" s="37"/>
      <c r="E530" s="37"/>
      <c r="F530" s="37"/>
      <c r="G530" s="37"/>
    </row>
    <row r="531" spans="2:7" s="34" customFormat="1" x14ac:dyDescent="0.25">
      <c r="B531" s="37"/>
      <c r="D531" s="37"/>
      <c r="E531" s="37"/>
      <c r="F531" s="37"/>
      <c r="G531" s="37"/>
    </row>
    <row r="532" spans="2:7" s="34" customFormat="1" x14ac:dyDescent="0.25">
      <c r="B532" s="37"/>
      <c r="D532" s="37"/>
      <c r="E532" s="37"/>
      <c r="F532" s="37"/>
      <c r="G532" s="37"/>
    </row>
    <row r="533" spans="2:7" s="34" customFormat="1" x14ac:dyDescent="0.25">
      <c r="B533" s="37"/>
      <c r="D533" s="37"/>
      <c r="E533" s="37"/>
      <c r="F533" s="37"/>
      <c r="G533" s="37"/>
    </row>
    <row r="534" spans="2:7" s="34" customFormat="1" x14ac:dyDescent="0.25">
      <c r="B534" s="37"/>
      <c r="D534" s="37"/>
      <c r="E534" s="37"/>
      <c r="F534" s="37"/>
      <c r="G534" s="37"/>
    </row>
    <row r="535" spans="2:7" s="34" customFormat="1" x14ac:dyDescent="0.25">
      <c r="B535" s="37"/>
      <c r="D535" s="37"/>
      <c r="E535" s="37"/>
      <c r="F535" s="37"/>
      <c r="G535" s="37"/>
    </row>
    <row r="536" spans="2:7" s="34" customFormat="1" x14ac:dyDescent="0.25">
      <c r="B536" s="37"/>
      <c r="D536" s="37"/>
      <c r="E536" s="37"/>
      <c r="F536" s="37"/>
      <c r="G536" s="37"/>
    </row>
    <row r="537" spans="2:7" s="34" customFormat="1" x14ac:dyDescent="0.25">
      <c r="B537" s="37"/>
      <c r="D537" s="37"/>
      <c r="E537" s="37"/>
      <c r="F537" s="37"/>
      <c r="G537" s="37"/>
    </row>
    <row r="538" spans="2:7" s="34" customFormat="1" x14ac:dyDescent="0.25">
      <c r="B538" s="37"/>
      <c r="D538" s="37"/>
      <c r="E538" s="37"/>
      <c r="F538" s="37"/>
      <c r="G538" s="37"/>
    </row>
    <row r="539" spans="2:7" s="34" customFormat="1" x14ac:dyDescent="0.25">
      <c r="B539" s="37"/>
      <c r="D539" s="37"/>
      <c r="E539" s="37"/>
      <c r="F539" s="37"/>
      <c r="G539" s="37"/>
    </row>
    <row r="540" spans="2:7" s="34" customFormat="1" x14ac:dyDescent="0.25">
      <c r="B540" s="37"/>
      <c r="D540" s="37"/>
      <c r="E540" s="37"/>
      <c r="F540" s="37"/>
      <c r="G540" s="37"/>
    </row>
    <row r="541" spans="2:7" s="34" customFormat="1" x14ac:dyDescent="0.25">
      <c r="B541" s="37"/>
      <c r="D541" s="37"/>
      <c r="E541" s="37"/>
      <c r="F541" s="37"/>
      <c r="G541" s="37"/>
    </row>
    <row r="542" spans="2:7" s="34" customFormat="1" x14ac:dyDescent="0.25">
      <c r="B542" s="37"/>
      <c r="D542" s="37"/>
      <c r="E542" s="37"/>
      <c r="F542" s="37"/>
      <c r="G542" s="37"/>
    </row>
    <row r="543" spans="2:7" s="34" customFormat="1" x14ac:dyDescent="0.25">
      <c r="B543" s="37"/>
      <c r="D543" s="37"/>
      <c r="E543" s="37"/>
      <c r="F543" s="37"/>
      <c r="G543" s="37"/>
    </row>
    <row r="544" spans="2:7" s="34" customFormat="1" x14ac:dyDescent="0.25">
      <c r="B544" s="37"/>
      <c r="D544" s="37"/>
      <c r="E544" s="37"/>
      <c r="F544" s="37"/>
      <c r="G544" s="37"/>
    </row>
    <row r="545" spans="2:7" s="34" customFormat="1" x14ac:dyDescent="0.25">
      <c r="B545" s="37"/>
      <c r="D545" s="37"/>
      <c r="E545" s="37"/>
      <c r="F545" s="37"/>
      <c r="G545" s="37"/>
    </row>
    <row r="546" spans="2:7" s="34" customFormat="1" x14ac:dyDescent="0.25">
      <c r="B546" s="37"/>
      <c r="D546" s="37"/>
      <c r="E546" s="37"/>
      <c r="F546" s="37"/>
      <c r="G546" s="37"/>
    </row>
    <row r="547" spans="2:7" s="34" customFormat="1" x14ac:dyDescent="0.25">
      <c r="B547" s="37"/>
      <c r="D547" s="37"/>
      <c r="E547" s="37"/>
      <c r="F547" s="37"/>
      <c r="G547" s="37"/>
    </row>
    <row r="548" spans="2:7" s="34" customFormat="1" x14ac:dyDescent="0.25">
      <c r="B548" s="37"/>
      <c r="D548" s="37"/>
      <c r="E548" s="37"/>
      <c r="F548" s="37"/>
      <c r="G548" s="37"/>
    </row>
    <row r="549" spans="2:7" s="34" customFormat="1" x14ac:dyDescent="0.25">
      <c r="B549" s="37"/>
      <c r="D549" s="37"/>
      <c r="E549" s="37"/>
      <c r="F549" s="37"/>
      <c r="G549" s="37"/>
    </row>
    <row r="550" spans="2:7" s="34" customFormat="1" x14ac:dyDescent="0.25">
      <c r="B550" s="37"/>
      <c r="D550" s="37"/>
      <c r="E550" s="37"/>
      <c r="F550" s="37"/>
      <c r="G550" s="37"/>
    </row>
    <row r="551" spans="2:7" s="34" customFormat="1" x14ac:dyDescent="0.25">
      <c r="B551" s="37"/>
      <c r="D551" s="37"/>
      <c r="E551" s="37"/>
      <c r="F551" s="37"/>
      <c r="G551" s="37"/>
    </row>
    <row r="552" spans="2:7" s="34" customFormat="1" x14ac:dyDescent="0.25">
      <c r="B552" s="37"/>
      <c r="D552" s="37"/>
      <c r="E552" s="37"/>
      <c r="F552" s="37"/>
      <c r="G552" s="37"/>
    </row>
    <row r="553" spans="2:7" s="34" customFormat="1" x14ac:dyDescent="0.25">
      <c r="B553" s="37"/>
      <c r="D553" s="37"/>
      <c r="E553" s="37"/>
      <c r="F553" s="37"/>
      <c r="G553" s="37"/>
    </row>
    <row r="554" spans="2:7" s="34" customFormat="1" x14ac:dyDescent="0.25">
      <c r="B554" s="37"/>
      <c r="D554" s="37"/>
      <c r="E554" s="37"/>
      <c r="F554" s="37"/>
      <c r="G554" s="37"/>
    </row>
    <row r="555" spans="2:7" s="34" customFormat="1" x14ac:dyDescent="0.25">
      <c r="B555" s="37"/>
      <c r="D555" s="37"/>
      <c r="E555" s="37"/>
      <c r="F555" s="37"/>
      <c r="G555" s="37"/>
    </row>
    <row r="556" spans="2:7" s="34" customFormat="1" x14ac:dyDescent="0.25">
      <c r="B556" s="37"/>
      <c r="D556" s="37"/>
      <c r="E556" s="37"/>
      <c r="F556" s="37"/>
      <c r="G556" s="37"/>
    </row>
    <row r="557" spans="2:7" s="34" customFormat="1" x14ac:dyDescent="0.25">
      <c r="B557" s="37"/>
      <c r="D557" s="37"/>
      <c r="E557" s="37"/>
      <c r="F557" s="37"/>
      <c r="G557" s="37"/>
    </row>
    <row r="558" spans="2:7" s="34" customFormat="1" x14ac:dyDescent="0.25">
      <c r="B558" s="37"/>
      <c r="D558" s="37"/>
      <c r="E558" s="37"/>
      <c r="F558" s="37"/>
      <c r="G558" s="37"/>
    </row>
    <row r="559" spans="2:7" s="34" customFormat="1" x14ac:dyDescent="0.25">
      <c r="B559" s="37"/>
      <c r="D559" s="37"/>
      <c r="E559" s="37"/>
      <c r="F559" s="37"/>
      <c r="G559" s="37"/>
    </row>
    <row r="560" spans="2:7" s="34" customFormat="1" x14ac:dyDescent="0.25">
      <c r="B560" s="37"/>
      <c r="D560" s="37"/>
      <c r="E560" s="37"/>
      <c r="F560" s="37"/>
      <c r="G560" s="37"/>
    </row>
    <row r="561" spans="2:7" s="34" customFormat="1" x14ac:dyDescent="0.25">
      <c r="B561" s="37"/>
      <c r="D561" s="37"/>
      <c r="E561" s="37"/>
      <c r="F561" s="37"/>
      <c r="G561" s="37"/>
    </row>
    <row r="562" spans="2:7" s="34" customFormat="1" x14ac:dyDescent="0.25">
      <c r="B562" s="37"/>
      <c r="D562" s="37"/>
      <c r="E562" s="37"/>
      <c r="F562" s="37"/>
      <c r="G562" s="37"/>
    </row>
    <row r="563" spans="2:7" s="34" customFormat="1" x14ac:dyDescent="0.25">
      <c r="B563" s="37"/>
      <c r="D563" s="37"/>
      <c r="E563" s="37"/>
      <c r="F563" s="37"/>
      <c r="G563" s="37"/>
    </row>
    <row r="564" spans="2:7" s="34" customFormat="1" x14ac:dyDescent="0.25">
      <c r="B564" s="37"/>
      <c r="D564" s="37"/>
      <c r="E564" s="37"/>
      <c r="F564" s="37"/>
      <c r="G564" s="37"/>
    </row>
    <row r="565" spans="2:7" s="34" customFormat="1" x14ac:dyDescent="0.25">
      <c r="B565" s="37"/>
      <c r="D565" s="37"/>
      <c r="E565" s="37"/>
      <c r="F565" s="37"/>
      <c r="G565" s="37"/>
    </row>
    <row r="566" spans="2:7" s="34" customFormat="1" x14ac:dyDescent="0.25">
      <c r="B566" s="37"/>
      <c r="D566" s="37"/>
      <c r="E566" s="37"/>
      <c r="F566" s="37"/>
      <c r="G566" s="37"/>
    </row>
    <row r="567" spans="2:7" s="34" customFormat="1" x14ac:dyDescent="0.25">
      <c r="B567" s="37"/>
      <c r="D567" s="37"/>
      <c r="E567" s="37"/>
      <c r="F567" s="37"/>
      <c r="G567" s="37"/>
    </row>
    <row r="568" spans="2:7" s="34" customFormat="1" x14ac:dyDescent="0.25">
      <c r="B568" s="37"/>
      <c r="D568" s="37"/>
      <c r="E568" s="37"/>
      <c r="F568" s="37"/>
      <c r="G568" s="37"/>
    </row>
    <row r="569" spans="2:7" s="34" customFormat="1" x14ac:dyDescent="0.25">
      <c r="B569" s="37"/>
      <c r="D569" s="37"/>
      <c r="E569" s="37"/>
      <c r="F569" s="37"/>
      <c r="G569" s="37"/>
    </row>
    <row r="570" spans="2:7" s="34" customFormat="1" x14ac:dyDescent="0.25">
      <c r="B570" s="37"/>
      <c r="D570" s="37"/>
      <c r="E570" s="37"/>
      <c r="F570" s="37"/>
      <c r="G570" s="37"/>
    </row>
    <row r="571" spans="2:7" s="34" customFormat="1" x14ac:dyDescent="0.25">
      <c r="B571" s="37"/>
      <c r="D571" s="37"/>
      <c r="E571" s="37"/>
      <c r="F571" s="37"/>
      <c r="G571" s="37"/>
    </row>
    <row r="572" spans="2:7" s="34" customFormat="1" x14ac:dyDescent="0.25">
      <c r="B572" s="37"/>
      <c r="D572" s="37"/>
      <c r="E572" s="37"/>
      <c r="F572" s="37"/>
      <c r="G572" s="37"/>
    </row>
    <row r="573" spans="2:7" s="34" customFormat="1" x14ac:dyDescent="0.25">
      <c r="B573" s="37"/>
      <c r="D573" s="37"/>
      <c r="E573" s="37"/>
      <c r="F573" s="37"/>
      <c r="G573" s="37"/>
    </row>
    <row r="574" spans="2:7" s="34" customFormat="1" x14ac:dyDescent="0.25">
      <c r="B574" s="37"/>
      <c r="D574" s="37"/>
      <c r="E574" s="37"/>
      <c r="F574" s="37"/>
      <c r="G574" s="37"/>
    </row>
    <row r="575" spans="2:7" s="34" customFormat="1" x14ac:dyDescent="0.25">
      <c r="B575" s="37"/>
      <c r="D575" s="37"/>
      <c r="E575" s="37"/>
      <c r="F575" s="37"/>
      <c r="G575" s="37"/>
    </row>
    <row r="576" spans="2:7" s="34" customFormat="1" x14ac:dyDescent="0.25">
      <c r="B576" s="37"/>
      <c r="D576" s="37"/>
      <c r="E576" s="37"/>
      <c r="F576" s="37"/>
      <c r="G576" s="37"/>
    </row>
    <row r="577" spans="2:7" s="34" customFormat="1" x14ac:dyDescent="0.25">
      <c r="B577" s="37"/>
      <c r="D577" s="37"/>
      <c r="E577" s="37"/>
      <c r="F577" s="37"/>
      <c r="G577" s="37"/>
    </row>
    <row r="578" spans="2:7" s="34" customFormat="1" x14ac:dyDescent="0.25">
      <c r="B578" s="37"/>
      <c r="D578" s="37"/>
      <c r="E578" s="37"/>
      <c r="F578" s="37"/>
      <c r="G578" s="37"/>
    </row>
    <row r="579" spans="2:7" s="34" customFormat="1" x14ac:dyDescent="0.25">
      <c r="B579" s="37"/>
      <c r="D579" s="37"/>
      <c r="E579" s="37"/>
      <c r="F579" s="37"/>
      <c r="G579" s="37"/>
    </row>
    <row r="580" spans="2:7" s="34" customFormat="1" x14ac:dyDescent="0.25">
      <c r="B580" s="37"/>
      <c r="D580" s="37"/>
      <c r="E580" s="37"/>
      <c r="F580" s="37"/>
      <c r="G580" s="37"/>
    </row>
  </sheetData>
  <sheetProtection algorithmName="SHA-512" hashValue="XhaMNyFGoe4CYclRPvBgdZbnr6BtvJ5WSl9AqmQSJBUwZVaBYPuhizmFLpRlAFNDqCrbqcmFn41bet1l/CPCsA==" saltValue="Tk0QNskuGzwdMziDk4oPFA==" spinCount="100000" sheet="1" objects="1" scenarios="1"/>
  <mergeCells count="13">
    <mergeCell ref="K6:P6"/>
    <mergeCell ref="K16:P16"/>
    <mergeCell ref="K19:P19"/>
    <mergeCell ref="K20:P20"/>
    <mergeCell ref="B43:J43"/>
    <mergeCell ref="C2:D2"/>
    <mergeCell ref="E2:F2"/>
    <mergeCell ref="B42:J42"/>
    <mergeCell ref="B4:E4"/>
    <mergeCell ref="G4:J4"/>
    <mergeCell ref="B3:J3"/>
    <mergeCell ref="H2:J2"/>
    <mergeCell ref="B41:J41"/>
  </mergeCells>
  <pageMargins left="0.5" right="0.5" top="0.75" bottom="0.75" header="0.3" footer="0.3"/>
  <pageSetup scale="20" fitToHeight="0" orientation="portrait" r:id="rId1"/>
  <headerFooter>
    <oddHeader xml:space="preserve">&amp;C&amp;"-,Bold"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Q381"/>
  <sheetViews>
    <sheetView showGridLines="0" workbookViewId="0">
      <selection activeCell="C6" sqref="C6:G35"/>
    </sheetView>
  </sheetViews>
  <sheetFormatPr defaultRowHeight="15" x14ac:dyDescent="0.25"/>
  <cols>
    <col min="1" max="1" width="9.140625" style="34"/>
    <col min="2" max="2" width="11.85546875" style="9" customWidth="1"/>
    <col min="3" max="3" width="10.5703125" customWidth="1"/>
    <col min="4" max="4" width="16.28515625" style="9" customWidth="1"/>
    <col min="5" max="5" width="12.7109375" style="9" customWidth="1"/>
    <col min="6" max="6" width="15.140625" style="9" customWidth="1"/>
    <col min="7" max="7" width="11.28515625" style="9" customWidth="1"/>
    <col min="8" max="8" width="7.7109375" customWidth="1"/>
    <col min="9" max="9" width="7.85546875" customWidth="1"/>
    <col min="10" max="10" width="8.5703125" customWidth="1"/>
    <col min="11" max="69" width="9.140625" style="34"/>
  </cols>
  <sheetData>
    <row r="1" spans="1:69" s="34" customFormat="1" ht="28.5" customHeight="1" thickBot="1" x14ac:dyDescent="0.3">
      <c r="B1" s="37" t="s">
        <v>13</v>
      </c>
      <c r="C1" s="51"/>
      <c r="D1" s="37"/>
      <c r="E1" s="37"/>
      <c r="F1" s="37"/>
      <c r="G1" s="37"/>
    </row>
    <row r="2" spans="1:69" ht="15.75" thickBot="1" x14ac:dyDescent="0.3">
      <c r="B2" s="53" t="s">
        <v>19</v>
      </c>
      <c r="C2" s="120">
        <f>'Tab 1--3A, (AC 1-35)'!C2:D2</f>
        <v>0</v>
      </c>
      <c r="D2" s="120"/>
      <c r="E2" s="99" t="s">
        <v>34</v>
      </c>
      <c r="F2" s="99"/>
      <c r="G2" s="55" t="s">
        <v>18</v>
      </c>
      <c r="H2" s="120" t="str">
        <f>'Tab 1--3A, (AC 1-35)'!H2:J2</f>
        <v xml:space="preserve">HTC71124RCC01 Atch 1a </v>
      </c>
      <c r="I2" s="120"/>
      <c r="J2" s="120"/>
      <c r="K2" s="35"/>
    </row>
    <row r="3" spans="1:69" ht="32.25" customHeight="1" thickBot="1" x14ac:dyDescent="0.4">
      <c r="B3" s="108" t="s">
        <v>17</v>
      </c>
      <c r="C3" s="109"/>
      <c r="D3" s="109"/>
      <c r="E3" s="109"/>
      <c r="F3" s="109"/>
      <c r="G3" s="109"/>
      <c r="H3" s="109"/>
      <c r="I3" s="109"/>
      <c r="J3" s="110"/>
      <c r="K3" s="35"/>
    </row>
    <row r="4" spans="1:69" s="4" customFormat="1" ht="37.5" customHeight="1" thickBot="1" x14ac:dyDescent="0.3">
      <c r="A4" s="34"/>
      <c r="B4" s="103" t="s">
        <v>14</v>
      </c>
      <c r="C4" s="121"/>
      <c r="D4" s="121"/>
      <c r="E4" s="121"/>
      <c r="F4" s="33">
        <f>'Tab 1--3A, (AC 1-35)'!F4</f>
        <v>0</v>
      </c>
      <c r="G4" s="105" t="s">
        <v>32</v>
      </c>
      <c r="H4" s="106"/>
      <c r="I4" s="106"/>
      <c r="J4" s="107"/>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row>
    <row r="5" spans="1:69" ht="33" customHeight="1" thickBot="1" x14ac:dyDescent="0.3">
      <c r="B5" s="82" t="s">
        <v>4</v>
      </c>
      <c r="C5" s="81" t="s">
        <v>37</v>
      </c>
      <c r="D5" s="83" t="s">
        <v>0</v>
      </c>
      <c r="E5" s="83" t="s">
        <v>16</v>
      </c>
      <c r="F5" s="84" t="s">
        <v>1</v>
      </c>
      <c r="G5" s="85" t="s">
        <v>15</v>
      </c>
      <c r="H5" s="81" t="s">
        <v>38</v>
      </c>
      <c r="I5" s="83" t="s">
        <v>29</v>
      </c>
      <c r="J5" s="86" t="s">
        <v>30</v>
      </c>
    </row>
    <row r="6" spans="1:69" ht="15.75" thickTop="1" x14ac:dyDescent="0.25">
      <c r="B6" s="24">
        <v>36</v>
      </c>
      <c r="C6" s="10"/>
      <c r="D6" s="11"/>
      <c r="E6" s="15"/>
      <c r="F6" s="13"/>
      <c r="G6" s="29"/>
      <c r="H6" s="21"/>
      <c r="I6" s="11"/>
      <c r="J6" s="12"/>
    </row>
    <row r="7" spans="1:69" x14ac:dyDescent="0.25">
      <c r="B7" s="5">
        <f t="shared" ref="B7:B19" si="0">B6+1</f>
        <v>37</v>
      </c>
      <c r="C7" s="10"/>
      <c r="D7" s="13"/>
      <c r="E7" s="15"/>
      <c r="F7" s="13"/>
      <c r="G7" s="25"/>
      <c r="H7" s="25"/>
      <c r="I7" s="13"/>
      <c r="J7" s="14"/>
    </row>
    <row r="8" spans="1:69" x14ac:dyDescent="0.25">
      <c r="B8" s="5">
        <f t="shared" si="0"/>
        <v>38</v>
      </c>
      <c r="C8" s="10"/>
      <c r="D8" s="13"/>
      <c r="E8" s="15"/>
      <c r="F8" s="13"/>
      <c r="G8" s="25"/>
      <c r="H8" s="25"/>
      <c r="I8" s="13"/>
      <c r="J8" s="14"/>
    </row>
    <row r="9" spans="1:69" x14ac:dyDescent="0.25">
      <c r="B9" s="5">
        <f t="shared" si="0"/>
        <v>39</v>
      </c>
      <c r="C9" s="10"/>
      <c r="D9" s="13"/>
      <c r="E9" s="15"/>
      <c r="F9" s="13"/>
      <c r="G9" s="25"/>
      <c r="H9" s="25"/>
      <c r="I9" s="13"/>
      <c r="J9" s="14"/>
    </row>
    <row r="10" spans="1:69" x14ac:dyDescent="0.25">
      <c r="B10" s="5">
        <f t="shared" si="0"/>
        <v>40</v>
      </c>
      <c r="C10" s="10"/>
      <c r="D10" s="13"/>
      <c r="E10" s="15"/>
      <c r="F10" s="13"/>
      <c r="G10" s="25"/>
      <c r="H10" s="25"/>
      <c r="I10" s="13"/>
      <c r="J10" s="14"/>
    </row>
    <row r="11" spans="1:69" x14ac:dyDescent="0.25">
      <c r="B11" s="5">
        <f t="shared" si="0"/>
        <v>41</v>
      </c>
      <c r="C11" s="10"/>
      <c r="D11" s="13"/>
      <c r="E11" s="15"/>
      <c r="F11" s="13"/>
      <c r="G11" s="25"/>
      <c r="H11" s="25"/>
      <c r="I11" s="13"/>
      <c r="J11" s="14"/>
    </row>
    <row r="12" spans="1:69" x14ac:dyDescent="0.25">
      <c r="B12" s="5">
        <f t="shared" si="0"/>
        <v>42</v>
      </c>
      <c r="C12" s="10"/>
      <c r="D12" s="13"/>
      <c r="E12" s="15"/>
      <c r="F12" s="13"/>
      <c r="G12" s="25"/>
      <c r="H12" s="25"/>
      <c r="I12" s="13"/>
      <c r="J12" s="14"/>
    </row>
    <row r="13" spans="1:69" x14ac:dyDescent="0.25">
      <c r="B13" s="5">
        <f t="shared" si="0"/>
        <v>43</v>
      </c>
      <c r="C13" s="10"/>
      <c r="D13" s="13"/>
      <c r="E13" s="15"/>
      <c r="F13" s="13"/>
      <c r="G13" s="25"/>
      <c r="H13" s="25"/>
      <c r="I13" s="13"/>
      <c r="J13" s="14"/>
    </row>
    <row r="14" spans="1:69" x14ac:dyDescent="0.25">
      <c r="B14" s="5">
        <f t="shared" si="0"/>
        <v>44</v>
      </c>
      <c r="C14" s="10"/>
      <c r="D14" s="13"/>
      <c r="E14" s="15"/>
      <c r="F14" s="13"/>
      <c r="G14" s="25"/>
      <c r="H14" s="25"/>
      <c r="I14" s="13"/>
      <c r="J14" s="14"/>
    </row>
    <row r="15" spans="1:69" x14ac:dyDescent="0.25">
      <c r="B15" s="5">
        <f t="shared" si="0"/>
        <v>45</v>
      </c>
      <c r="C15" s="10"/>
      <c r="D15" s="13"/>
      <c r="E15" s="15"/>
      <c r="F15" s="13"/>
      <c r="G15" s="25"/>
      <c r="H15" s="25"/>
      <c r="I15" s="13"/>
      <c r="J15" s="14"/>
    </row>
    <row r="16" spans="1:69" x14ac:dyDescent="0.25">
      <c r="B16" s="5">
        <f t="shared" si="0"/>
        <v>46</v>
      </c>
      <c r="C16" s="10"/>
      <c r="D16" s="13"/>
      <c r="E16" s="15"/>
      <c r="F16" s="13"/>
      <c r="G16" s="25"/>
      <c r="H16" s="25"/>
      <c r="I16" s="13"/>
      <c r="J16" s="14"/>
    </row>
    <row r="17" spans="2:10" x14ac:dyDescent="0.25">
      <c r="B17" s="5">
        <f t="shared" si="0"/>
        <v>47</v>
      </c>
      <c r="C17" s="10"/>
      <c r="D17" s="13"/>
      <c r="E17" s="15"/>
      <c r="F17" s="13"/>
      <c r="G17" s="25"/>
      <c r="H17" s="25"/>
      <c r="I17" s="13"/>
      <c r="J17" s="14"/>
    </row>
    <row r="18" spans="2:10" x14ac:dyDescent="0.25">
      <c r="B18" s="5">
        <f t="shared" si="0"/>
        <v>48</v>
      </c>
      <c r="C18" s="10"/>
      <c r="D18" s="13"/>
      <c r="E18" s="15"/>
      <c r="F18" s="13"/>
      <c r="G18" s="25"/>
      <c r="H18" s="25"/>
      <c r="I18" s="13"/>
      <c r="J18" s="14" t="s">
        <v>13</v>
      </c>
    </row>
    <row r="19" spans="2:10" x14ac:dyDescent="0.25">
      <c r="B19" s="5">
        <f t="shared" si="0"/>
        <v>49</v>
      </c>
      <c r="C19" s="10"/>
      <c r="D19" s="13"/>
      <c r="E19" s="15"/>
      <c r="F19" s="13"/>
      <c r="G19" s="25"/>
      <c r="H19" s="26" t="s">
        <v>13</v>
      </c>
      <c r="I19" s="15" t="s">
        <v>13</v>
      </c>
      <c r="J19" s="16"/>
    </row>
    <row r="20" spans="2:10" x14ac:dyDescent="0.25">
      <c r="B20" s="5">
        <v>50</v>
      </c>
      <c r="C20" s="10"/>
      <c r="D20" s="13"/>
      <c r="E20" s="15"/>
      <c r="F20" s="13"/>
      <c r="G20" s="25"/>
      <c r="H20" s="26"/>
      <c r="I20" s="15"/>
      <c r="J20" s="16"/>
    </row>
    <row r="21" spans="2:10" x14ac:dyDescent="0.25">
      <c r="B21" s="5">
        <v>51</v>
      </c>
      <c r="C21" s="10"/>
      <c r="D21" s="13"/>
      <c r="E21" s="15"/>
      <c r="F21" s="13"/>
      <c r="G21" s="25"/>
      <c r="H21" s="26"/>
      <c r="I21" s="15"/>
      <c r="J21" s="16"/>
    </row>
    <row r="22" spans="2:10" x14ac:dyDescent="0.25">
      <c r="B22" s="5">
        <v>52</v>
      </c>
      <c r="C22" s="10"/>
      <c r="D22" s="13"/>
      <c r="E22" s="15"/>
      <c r="F22" s="13"/>
      <c r="G22" s="25"/>
      <c r="H22" s="26" t="s">
        <v>13</v>
      </c>
      <c r="I22" s="15" t="s">
        <v>13</v>
      </c>
      <c r="J22" s="16" t="s">
        <v>13</v>
      </c>
    </row>
    <row r="23" spans="2:10" x14ac:dyDescent="0.25">
      <c r="B23" s="5">
        <v>53</v>
      </c>
      <c r="C23" s="10"/>
      <c r="D23" s="13"/>
      <c r="E23" s="15"/>
      <c r="F23" s="13"/>
      <c r="G23" s="25"/>
      <c r="H23" s="26"/>
      <c r="I23" s="15"/>
      <c r="J23" s="16"/>
    </row>
    <row r="24" spans="2:10" x14ac:dyDescent="0.25">
      <c r="B24" s="5">
        <v>54</v>
      </c>
      <c r="C24" s="10"/>
      <c r="D24" s="13"/>
      <c r="E24" s="15"/>
      <c r="F24" s="13"/>
      <c r="G24" s="25"/>
      <c r="H24" s="26"/>
      <c r="I24" s="15"/>
      <c r="J24" s="16"/>
    </row>
    <row r="25" spans="2:10" x14ac:dyDescent="0.25">
      <c r="B25" s="5">
        <v>55</v>
      </c>
      <c r="C25" s="10"/>
      <c r="D25" s="13"/>
      <c r="E25" s="15"/>
      <c r="F25" s="13"/>
      <c r="G25" s="25"/>
      <c r="H25" s="26"/>
      <c r="I25" s="15"/>
      <c r="J25" s="16"/>
    </row>
    <row r="26" spans="2:10" x14ac:dyDescent="0.25">
      <c r="B26" s="5">
        <v>56</v>
      </c>
      <c r="C26" s="10"/>
      <c r="D26" s="13"/>
      <c r="E26" s="15"/>
      <c r="F26" s="13"/>
      <c r="G26" s="25"/>
      <c r="H26" s="26"/>
      <c r="I26" s="15"/>
      <c r="J26" s="16"/>
    </row>
    <row r="27" spans="2:10" x14ac:dyDescent="0.25">
      <c r="B27" s="5">
        <v>57</v>
      </c>
      <c r="C27" s="10"/>
      <c r="D27" s="13"/>
      <c r="E27" s="15"/>
      <c r="F27" s="13"/>
      <c r="G27" s="25"/>
      <c r="H27" s="26"/>
      <c r="I27" s="15"/>
      <c r="J27" s="16"/>
    </row>
    <row r="28" spans="2:10" x14ac:dyDescent="0.25">
      <c r="B28" s="5">
        <v>58</v>
      </c>
      <c r="C28" s="10"/>
      <c r="D28" s="13"/>
      <c r="E28" s="15"/>
      <c r="F28" s="13"/>
      <c r="G28" s="25"/>
      <c r="H28" s="26"/>
      <c r="I28" s="15"/>
      <c r="J28" s="16"/>
    </row>
    <row r="29" spans="2:10" x14ac:dyDescent="0.25">
      <c r="B29" s="5">
        <v>59</v>
      </c>
      <c r="C29" s="10"/>
      <c r="D29" s="13"/>
      <c r="E29" s="15"/>
      <c r="F29" s="13"/>
      <c r="G29" s="25"/>
      <c r="H29" s="26"/>
      <c r="I29" s="15"/>
      <c r="J29" s="16"/>
    </row>
    <row r="30" spans="2:10" x14ac:dyDescent="0.25">
      <c r="B30" s="5">
        <v>60</v>
      </c>
      <c r="C30" s="10"/>
      <c r="D30" s="13"/>
      <c r="E30" s="15"/>
      <c r="F30" s="13"/>
      <c r="G30" s="25"/>
      <c r="H30" s="26"/>
      <c r="I30" s="15"/>
      <c r="J30" s="16"/>
    </row>
    <row r="31" spans="2:10" x14ac:dyDescent="0.25">
      <c r="B31" s="5">
        <v>61</v>
      </c>
      <c r="C31" s="10"/>
      <c r="D31" s="13"/>
      <c r="E31" s="15"/>
      <c r="F31" s="13"/>
      <c r="G31" s="25"/>
      <c r="H31" s="26"/>
      <c r="I31" s="15"/>
      <c r="J31" s="16"/>
    </row>
    <row r="32" spans="2:10" x14ac:dyDescent="0.25">
      <c r="B32" s="5">
        <v>62</v>
      </c>
      <c r="C32" s="10"/>
      <c r="D32" s="13"/>
      <c r="E32" s="15"/>
      <c r="F32" s="13"/>
      <c r="G32" s="25"/>
      <c r="H32" s="26"/>
      <c r="I32" s="15"/>
      <c r="J32" s="16"/>
    </row>
    <row r="33" spans="1:69" x14ac:dyDescent="0.25">
      <c r="B33" s="5">
        <v>63</v>
      </c>
      <c r="C33" s="10"/>
      <c r="D33" s="13"/>
      <c r="E33" s="15"/>
      <c r="F33" s="13"/>
      <c r="G33" s="25"/>
      <c r="H33" s="26"/>
      <c r="I33" s="15"/>
      <c r="J33" s="16"/>
    </row>
    <row r="34" spans="1:69" x14ac:dyDescent="0.25">
      <c r="B34" s="5">
        <v>64</v>
      </c>
      <c r="C34" s="10"/>
      <c r="D34" s="13"/>
      <c r="E34" s="15"/>
      <c r="F34" s="13"/>
      <c r="G34" s="25"/>
      <c r="H34" s="26"/>
      <c r="I34" s="15"/>
      <c r="J34" s="16"/>
    </row>
    <row r="35" spans="1:69" x14ac:dyDescent="0.25">
      <c r="B35" s="5">
        <v>65</v>
      </c>
      <c r="C35" s="10"/>
      <c r="D35" s="13"/>
      <c r="E35" s="15"/>
      <c r="F35" s="13"/>
      <c r="G35" s="25"/>
      <c r="H35" s="26"/>
      <c r="I35" s="15"/>
      <c r="J35" s="16"/>
    </row>
    <row r="36" spans="1:69" x14ac:dyDescent="0.25">
      <c r="B36" s="5">
        <v>66</v>
      </c>
      <c r="C36" s="10"/>
      <c r="D36" s="13"/>
      <c r="E36" s="15"/>
      <c r="F36" s="13"/>
      <c r="G36" s="26"/>
      <c r="H36" s="26"/>
      <c r="I36" s="15"/>
      <c r="J36" s="16"/>
    </row>
    <row r="37" spans="1:69" x14ac:dyDescent="0.25">
      <c r="B37" s="5">
        <v>67</v>
      </c>
      <c r="C37" s="10"/>
      <c r="D37" s="13"/>
      <c r="E37" s="15"/>
      <c r="F37" s="13"/>
      <c r="G37" s="26"/>
      <c r="H37" s="26"/>
      <c r="I37" s="15"/>
      <c r="J37" s="16"/>
    </row>
    <row r="38" spans="1:69" x14ac:dyDescent="0.25">
      <c r="B38" s="5">
        <v>68</v>
      </c>
      <c r="C38" s="10"/>
      <c r="D38" s="13"/>
      <c r="E38" s="15"/>
      <c r="F38" s="13"/>
      <c r="G38" s="26"/>
      <c r="H38" s="26"/>
      <c r="I38" s="15"/>
      <c r="J38" s="16"/>
    </row>
    <row r="39" spans="1:69" x14ac:dyDescent="0.25">
      <c r="B39" s="5">
        <v>69</v>
      </c>
      <c r="C39" s="10"/>
      <c r="D39" s="13"/>
      <c r="E39" s="15"/>
      <c r="F39" s="13"/>
      <c r="G39" s="26"/>
      <c r="H39" s="26"/>
      <c r="I39" s="15"/>
      <c r="J39" s="16"/>
    </row>
    <row r="40" spans="1:69" ht="15.75" thickBot="1" x14ac:dyDescent="0.3">
      <c r="B40" s="5">
        <v>70</v>
      </c>
      <c r="C40" s="23"/>
      <c r="D40" s="17"/>
      <c r="E40" s="17"/>
      <c r="F40" s="32"/>
      <c r="G40" s="17"/>
      <c r="H40" s="28"/>
      <c r="I40" s="17"/>
      <c r="J40" s="18"/>
    </row>
    <row r="41" spans="1:69" s="3" customFormat="1" ht="14.25" customHeight="1" x14ac:dyDescent="0.25">
      <c r="A41" s="36"/>
      <c r="B41" s="100" t="s">
        <v>20</v>
      </c>
      <c r="C41" s="101"/>
      <c r="D41" s="101"/>
      <c r="E41" s="101"/>
      <c r="F41" s="101"/>
      <c r="G41" s="101"/>
      <c r="H41" s="101"/>
      <c r="I41" s="101"/>
      <c r="J41" s="102"/>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c r="BK41" s="36"/>
      <c r="BL41" s="36"/>
      <c r="BM41" s="36"/>
      <c r="BN41" s="36"/>
      <c r="BO41" s="36"/>
      <c r="BP41" s="36"/>
      <c r="BQ41" s="36"/>
    </row>
    <row r="42" spans="1:69" s="3" customFormat="1" ht="14.25" customHeight="1" x14ac:dyDescent="0.25">
      <c r="A42" s="36"/>
      <c r="B42" s="100" t="s">
        <v>5</v>
      </c>
      <c r="C42" s="101"/>
      <c r="D42" s="101"/>
      <c r="E42" s="101"/>
      <c r="F42" s="101"/>
      <c r="G42" s="101"/>
      <c r="H42" s="101"/>
      <c r="I42" s="101"/>
      <c r="J42" s="102"/>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row>
    <row r="43" spans="1:69" s="3" customFormat="1" ht="14.25" customHeight="1" x14ac:dyDescent="0.25">
      <c r="A43" s="36"/>
      <c r="B43" s="117" t="s">
        <v>23</v>
      </c>
      <c r="C43" s="118"/>
      <c r="D43" s="118"/>
      <c r="E43" s="118"/>
      <c r="F43" s="118"/>
      <c r="G43" s="118"/>
      <c r="H43" s="118"/>
      <c r="I43" s="118"/>
      <c r="J43" s="119"/>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row>
    <row r="44" spans="1:69" s="34" customFormat="1" x14ac:dyDescent="0.25">
      <c r="B44" s="37"/>
      <c r="D44" s="37"/>
      <c r="E44" s="37"/>
      <c r="F44" s="37"/>
      <c r="G44" s="37"/>
    </row>
    <row r="45" spans="1:69" s="34" customFormat="1" x14ac:dyDescent="0.25">
      <c r="B45" s="37"/>
      <c r="D45" s="37"/>
      <c r="E45" s="37"/>
      <c r="F45" s="37"/>
      <c r="G45" s="37"/>
    </row>
    <row r="46" spans="1:69" s="34" customFormat="1" x14ac:dyDescent="0.25">
      <c r="B46" s="37"/>
      <c r="D46" s="37"/>
      <c r="E46" s="37"/>
      <c r="F46" s="37"/>
      <c r="G46" s="37"/>
    </row>
    <row r="47" spans="1:69" s="34" customFormat="1" x14ac:dyDescent="0.25">
      <c r="B47" s="37"/>
      <c r="D47" s="37"/>
      <c r="E47" s="37"/>
      <c r="F47" s="37"/>
      <c r="G47" s="37"/>
    </row>
    <row r="48" spans="1:69" s="34" customFormat="1" x14ac:dyDescent="0.25">
      <c r="B48" s="37"/>
      <c r="D48" s="37"/>
      <c r="E48" s="37"/>
      <c r="F48" s="37"/>
      <c r="G48" s="37"/>
    </row>
    <row r="49" spans="2:7" s="34" customFormat="1" x14ac:dyDescent="0.25">
      <c r="B49" s="37"/>
      <c r="D49" s="37"/>
      <c r="E49" s="37"/>
      <c r="F49" s="37"/>
      <c r="G49" s="37"/>
    </row>
    <row r="50" spans="2:7" s="34" customFormat="1" x14ac:dyDescent="0.25">
      <c r="B50" s="37"/>
      <c r="D50" s="37"/>
      <c r="E50" s="37"/>
      <c r="F50" s="37"/>
      <c r="G50" s="37"/>
    </row>
    <row r="51" spans="2:7" s="34" customFormat="1" x14ac:dyDescent="0.25">
      <c r="B51" s="37"/>
      <c r="D51" s="37"/>
      <c r="E51" s="37"/>
      <c r="F51" s="37"/>
      <c r="G51" s="37"/>
    </row>
    <row r="52" spans="2:7" s="34" customFormat="1" x14ac:dyDescent="0.25">
      <c r="B52" s="37"/>
      <c r="D52" s="37"/>
      <c r="E52" s="37"/>
      <c r="F52" s="37"/>
      <c r="G52" s="37"/>
    </row>
    <row r="53" spans="2:7" s="34" customFormat="1" x14ac:dyDescent="0.25">
      <c r="B53" s="37"/>
      <c r="D53" s="37"/>
      <c r="E53" s="37"/>
      <c r="F53" s="37"/>
      <c r="G53" s="37"/>
    </row>
    <row r="54" spans="2:7" s="34" customFormat="1" x14ac:dyDescent="0.25">
      <c r="B54" s="37"/>
      <c r="D54" s="37"/>
      <c r="E54" s="37"/>
      <c r="F54" s="37"/>
      <c r="G54" s="37"/>
    </row>
    <row r="55" spans="2:7" s="34" customFormat="1" x14ac:dyDescent="0.25">
      <c r="B55" s="37"/>
      <c r="D55" s="37"/>
      <c r="E55" s="37"/>
      <c r="F55" s="37"/>
      <c r="G55" s="37"/>
    </row>
    <row r="56" spans="2:7" s="34" customFormat="1" x14ac:dyDescent="0.25">
      <c r="B56" s="37"/>
      <c r="D56" s="37"/>
      <c r="E56" s="37"/>
      <c r="F56" s="37"/>
      <c r="G56" s="37"/>
    </row>
    <row r="57" spans="2:7" s="34" customFormat="1" x14ac:dyDescent="0.25">
      <c r="B57" s="37"/>
      <c r="D57" s="37"/>
      <c r="E57" s="37"/>
      <c r="F57" s="37"/>
      <c r="G57" s="37"/>
    </row>
    <row r="58" spans="2:7" s="34" customFormat="1" x14ac:dyDescent="0.25">
      <c r="B58" s="37"/>
      <c r="D58" s="37"/>
      <c r="E58" s="37"/>
      <c r="F58" s="37"/>
      <c r="G58" s="37"/>
    </row>
    <row r="59" spans="2:7" s="34" customFormat="1" x14ac:dyDescent="0.25">
      <c r="B59" s="37"/>
      <c r="D59" s="37"/>
      <c r="E59" s="37"/>
      <c r="F59" s="37"/>
      <c r="G59" s="37"/>
    </row>
    <row r="60" spans="2:7" s="34" customFormat="1" x14ac:dyDescent="0.25">
      <c r="B60" s="37"/>
      <c r="D60" s="37"/>
      <c r="E60" s="37"/>
      <c r="F60" s="37"/>
      <c r="G60" s="37"/>
    </row>
    <row r="61" spans="2:7" s="34" customFormat="1" x14ac:dyDescent="0.25">
      <c r="B61" s="37"/>
      <c r="D61" s="37"/>
      <c r="E61" s="37"/>
      <c r="F61" s="37"/>
      <c r="G61" s="37"/>
    </row>
    <row r="62" spans="2:7" s="34" customFormat="1" x14ac:dyDescent="0.25">
      <c r="B62" s="37"/>
      <c r="D62" s="37"/>
      <c r="E62" s="37"/>
      <c r="F62" s="37"/>
      <c r="G62" s="37"/>
    </row>
    <row r="63" spans="2:7" s="34" customFormat="1" x14ac:dyDescent="0.25">
      <c r="B63" s="37"/>
      <c r="D63" s="37"/>
      <c r="E63" s="37"/>
      <c r="F63" s="37"/>
      <c r="G63" s="37"/>
    </row>
    <row r="64" spans="2:7" s="34" customFormat="1" x14ac:dyDescent="0.25">
      <c r="B64" s="37"/>
      <c r="D64" s="37"/>
      <c r="E64" s="37"/>
      <c r="F64" s="37"/>
      <c r="G64" s="37"/>
    </row>
    <row r="65" spans="2:7" s="34" customFormat="1" x14ac:dyDescent="0.25">
      <c r="B65" s="37"/>
      <c r="D65" s="37"/>
      <c r="E65" s="37"/>
      <c r="F65" s="37"/>
      <c r="G65" s="37"/>
    </row>
    <row r="66" spans="2:7" s="34" customFormat="1" x14ac:dyDescent="0.25">
      <c r="B66" s="37"/>
      <c r="D66" s="37"/>
      <c r="E66" s="37"/>
      <c r="F66" s="37"/>
      <c r="G66" s="37"/>
    </row>
    <row r="67" spans="2:7" s="34" customFormat="1" x14ac:dyDescent="0.25">
      <c r="B67" s="37"/>
      <c r="D67" s="37"/>
      <c r="E67" s="37"/>
      <c r="F67" s="37"/>
      <c r="G67" s="37"/>
    </row>
    <row r="68" spans="2:7" s="34" customFormat="1" x14ac:dyDescent="0.25">
      <c r="B68" s="37"/>
      <c r="D68" s="37"/>
      <c r="E68" s="37"/>
      <c r="F68" s="37"/>
      <c r="G68" s="37"/>
    </row>
    <row r="69" spans="2:7" s="34" customFormat="1" x14ac:dyDescent="0.25">
      <c r="B69" s="37"/>
      <c r="D69" s="37"/>
      <c r="E69" s="37"/>
      <c r="F69" s="37"/>
      <c r="G69" s="37"/>
    </row>
    <row r="70" spans="2:7" s="34" customFormat="1" x14ac:dyDescent="0.25">
      <c r="B70" s="37"/>
      <c r="D70" s="37"/>
      <c r="E70" s="37"/>
      <c r="F70" s="37"/>
      <c r="G70" s="37"/>
    </row>
    <row r="71" spans="2:7" s="34" customFormat="1" x14ac:dyDescent="0.25">
      <c r="B71" s="37"/>
      <c r="D71" s="37"/>
      <c r="E71" s="37"/>
      <c r="F71" s="37"/>
      <c r="G71" s="37"/>
    </row>
    <row r="72" spans="2:7" s="34" customFormat="1" x14ac:dyDescent="0.25">
      <c r="B72" s="37"/>
      <c r="D72" s="37"/>
      <c r="E72" s="37"/>
      <c r="F72" s="37"/>
      <c r="G72" s="37"/>
    </row>
    <row r="73" spans="2:7" s="34" customFormat="1" x14ac:dyDescent="0.25">
      <c r="B73" s="37"/>
      <c r="D73" s="37"/>
      <c r="E73" s="37"/>
      <c r="F73" s="37"/>
      <c r="G73" s="37"/>
    </row>
    <row r="74" spans="2:7" s="34" customFormat="1" x14ac:dyDescent="0.25">
      <c r="B74" s="37"/>
      <c r="D74" s="37"/>
      <c r="E74" s="37"/>
      <c r="F74" s="37"/>
      <c r="G74" s="37"/>
    </row>
    <row r="75" spans="2:7" s="34" customFormat="1" x14ac:dyDescent="0.25">
      <c r="B75" s="37"/>
      <c r="D75" s="37"/>
      <c r="E75" s="37"/>
      <c r="F75" s="37"/>
      <c r="G75" s="37"/>
    </row>
    <row r="76" spans="2:7" s="34" customFormat="1" x14ac:dyDescent="0.25">
      <c r="B76" s="37"/>
      <c r="D76" s="37"/>
      <c r="E76" s="37"/>
      <c r="F76" s="37"/>
      <c r="G76" s="37"/>
    </row>
    <row r="77" spans="2:7" s="34" customFormat="1" x14ac:dyDescent="0.25">
      <c r="B77" s="37"/>
      <c r="D77" s="37"/>
      <c r="E77" s="37"/>
      <c r="F77" s="37"/>
      <c r="G77" s="37"/>
    </row>
    <row r="78" spans="2:7" s="34" customFormat="1" x14ac:dyDescent="0.25">
      <c r="B78" s="37"/>
      <c r="D78" s="37"/>
      <c r="E78" s="37"/>
      <c r="F78" s="37"/>
      <c r="G78" s="37"/>
    </row>
    <row r="79" spans="2:7" s="34" customFormat="1" x14ac:dyDescent="0.25">
      <c r="B79" s="37"/>
      <c r="D79" s="37"/>
      <c r="E79" s="37"/>
      <c r="F79" s="37"/>
      <c r="G79" s="37"/>
    </row>
    <row r="80" spans="2:7" s="34" customFormat="1" x14ac:dyDescent="0.25">
      <c r="B80" s="37"/>
      <c r="D80" s="37"/>
      <c r="E80" s="37"/>
      <c r="F80" s="37"/>
      <c r="G80" s="37"/>
    </row>
    <row r="81" spans="2:7" s="34" customFormat="1" x14ac:dyDescent="0.25">
      <c r="B81" s="37"/>
      <c r="D81" s="37"/>
      <c r="E81" s="37"/>
      <c r="F81" s="37"/>
      <c r="G81" s="37"/>
    </row>
    <row r="82" spans="2:7" s="34" customFormat="1" x14ac:dyDescent="0.25">
      <c r="B82" s="37"/>
      <c r="D82" s="37"/>
      <c r="E82" s="37"/>
      <c r="F82" s="37"/>
      <c r="G82" s="37"/>
    </row>
    <row r="83" spans="2:7" s="34" customFormat="1" x14ac:dyDescent="0.25">
      <c r="B83" s="37"/>
      <c r="D83" s="37"/>
      <c r="E83" s="37"/>
      <c r="F83" s="37"/>
      <c r="G83" s="37"/>
    </row>
    <row r="84" spans="2:7" s="34" customFormat="1" x14ac:dyDescent="0.25">
      <c r="B84" s="37"/>
      <c r="D84" s="37"/>
      <c r="E84" s="37"/>
      <c r="F84" s="37"/>
      <c r="G84" s="37"/>
    </row>
    <row r="85" spans="2:7" s="34" customFormat="1" x14ac:dyDescent="0.25">
      <c r="B85" s="37"/>
      <c r="D85" s="37"/>
      <c r="E85" s="37"/>
      <c r="F85" s="37"/>
      <c r="G85" s="37"/>
    </row>
    <row r="86" spans="2:7" s="34" customFormat="1" x14ac:dyDescent="0.25">
      <c r="B86" s="37"/>
      <c r="D86" s="37"/>
      <c r="E86" s="37"/>
      <c r="F86" s="37"/>
      <c r="G86" s="37"/>
    </row>
    <row r="87" spans="2:7" s="34" customFormat="1" x14ac:dyDescent="0.25">
      <c r="B87" s="37"/>
      <c r="D87" s="37"/>
      <c r="E87" s="37"/>
      <c r="F87" s="37"/>
      <c r="G87" s="37"/>
    </row>
    <row r="88" spans="2:7" s="34" customFormat="1" x14ac:dyDescent="0.25">
      <c r="B88" s="37"/>
      <c r="D88" s="37"/>
      <c r="E88" s="37"/>
      <c r="F88" s="37"/>
      <c r="G88" s="37"/>
    </row>
    <row r="89" spans="2:7" s="34" customFormat="1" x14ac:dyDescent="0.25">
      <c r="B89" s="37"/>
      <c r="D89" s="37"/>
      <c r="E89" s="37"/>
      <c r="F89" s="37"/>
      <c r="G89" s="37"/>
    </row>
    <row r="90" spans="2:7" s="34" customFormat="1" x14ac:dyDescent="0.25">
      <c r="B90" s="37"/>
      <c r="D90" s="37"/>
      <c r="E90" s="37"/>
      <c r="F90" s="37"/>
      <c r="G90" s="37"/>
    </row>
    <row r="91" spans="2:7" s="34" customFormat="1" x14ac:dyDescent="0.25">
      <c r="B91" s="37"/>
      <c r="D91" s="37"/>
      <c r="E91" s="37"/>
      <c r="F91" s="37"/>
      <c r="G91" s="37"/>
    </row>
    <row r="92" spans="2:7" s="34" customFormat="1" x14ac:dyDescent="0.25">
      <c r="B92" s="37"/>
      <c r="D92" s="37"/>
      <c r="E92" s="37"/>
      <c r="F92" s="37"/>
      <c r="G92" s="37"/>
    </row>
    <row r="93" spans="2:7" s="34" customFormat="1" x14ac:dyDescent="0.25">
      <c r="B93" s="37"/>
      <c r="D93" s="37"/>
      <c r="E93" s="37"/>
      <c r="F93" s="37"/>
      <c r="G93" s="37"/>
    </row>
    <row r="94" spans="2:7" s="34" customFormat="1" x14ac:dyDescent="0.25">
      <c r="B94" s="37"/>
      <c r="D94" s="37"/>
      <c r="E94" s="37"/>
      <c r="F94" s="37"/>
      <c r="G94" s="37"/>
    </row>
    <row r="95" spans="2:7" s="34" customFormat="1" x14ac:dyDescent="0.25">
      <c r="B95" s="37"/>
      <c r="D95" s="37"/>
      <c r="E95" s="37"/>
      <c r="F95" s="37"/>
      <c r="G95" s="37"/>
    </row>
    <row r="96" spans="2:7" s="34" customFormat="1" x14ac:dyDescent="0.25">
      <c r="B96" s="37"/>
      <c r="D96" s="37"/>
      <c r="E96" s="37"/>
      <c r="F96" s="37"/>
      <c r="G96" s="37"/>
    </row>
    <row r="97" spans="2:7" s="34" customFormat="1" x14ac:dyDescent="0.25">
      <c r="B97" s="37"/>
      <c r="D97" s="37"/>
      <c r="E97" s="37"/>
      <c r="F97" s="37"/>
      <c r="G97" s="37"/>
    </row>
    <row r="98" spans="2:7" s="34" customFormat="1" x14ac:dyDescent="0.25">
      <c r="B98" s="37"/>
      <c r="D98" s="37"/>
      <c r="E98" s="37"/>
      <c r="F98" s="37"/>
      <c r="G98" s="37"/>
    </row>
    <row r="99" spans="2:7" s="34" customFormat="1" x14ac:dyDescent="0.25">
      <c r="B99" s="37"/>
      <c r="D99" s="37"/>
      <c r="E99" s="37"/>
      <c r="F99" s="37"/>
      <c r="G99" s="37"/>
    </row>
    <row r="100" spans="2:7" s="34" customFormat="1" x14ac:dyDescent="0.25">
      <c r="B100" s="37"/>
      <c r="D100" s="37"/>
      <c r="E100" s="37"/>
      <c r="F100" s="37"/>
      <c r="G100" s="37"/>
    </row>
    <row r="101" spans="2:7" s="34" customFormat="1" x14ac:dyDescent="0.25">
      <c r="B101" s="37"/>
      <c r="D101" s="37"/>
      <c r="E101" s="37"/>
      <c r="F101" s="37"/>
      <c r="G101" s="37"/>
    </row>
    <row r="102" spans="2:7" s="34" customFormat="1" x14ac:dyDescent="0.25">
      <c r="B102" s="37"/>
      <c r="D102" s="37"/>
      <c r="E102" s="37"/>
      <c r="F102" s="37"/>
      <c r="G102" s="37"/>
    </row>
    <row r="103" spans="2:7" s="34" customFormat="1" x14ac:dyDescent="0.25">
      <c r="B103" s="37"/>
      <c r="D103" s="37"/>
      <c r="E103" s="37"/>
      <c r="F103" s="37"/>
      <c r="G103" s="37"/>
    </row>
    <row r="104" spans="2:7" s="34" customFormat="1" x14ac:dyDescent="0.25">
      <c r="B104" s="37"/>
      <c r="D104" s="37"/>
      <c r="E104" s="37"/>
      <c r="F104" s="37"/>
      <c r="G104" s="37"/>
    </row>
    <row r="105" spans="2:7" s="34" customFormat="1" x14ac:dyDescent="0.25">
      <c r="B105" s="37"/>
      <c r="D105" s="37"/>
      <c r="E105" s="37"/>
      <c r="F105" s="37"/>
      <c r="G105" s="37"/>
    </row>
    <row r="106" spans="2:7" s="34" customFormat="1" x14ac:dyDescent="0.25">
      <c r="B106" s="37"/>
      <c r="D106" s="37"/>
      <c r="E106" s="37"/>
      <c r="F106" s="37"/>
      <c r="G106" s="37"/>
    </row>
    <row r="107" spans="2:7" s="34" customFormat="1" x14ac:dyDescent="0.25">
      <c r="B107" s="37"/>
      <c r="D107" s="37"/>
      <c r="E107" s="37"/>
      <c r="F107" s="37"/>
      <c r="G107" s="37"/>
    </row>
    <row r="108" spans="2:7" s="34" customFormat="1" x14ac:dyDescent="0.25">
      <c r="B108" s="37"/>
      <c r="D108" s="37"/>
      <c r="E108" s="37"/>
      <c r="F108" s="37"/>
      <c r="G108" s="37"/>
    </row>
    <row r="109" spans="2:7" s="34" customFormat="1" x14ac:dyDescent="0.25">
      <c r="B109" s="37"/>
      <c r="D109" s="37"/>
      <c r="E109" s="37"/>
      <c r="F109" s="37"/>
      <c r="G109" s="37"/>
    </row>
    <row r="110" spans="2:7" s="34" customFormat="1" x14ac:dyDescent="0.25">
      <c r="B110" s="37"/>
      <c r="D110" s="37"/>
      <c r="E110" s="37"/>
      <c r="F110" s="37"/>
      <c r="G110" s="37"/>
    </row>
    <row r="111" spans="2:7" s="34" customFormat="1" x14ac:dyDescent="0.25">
      <c r="B111" s="37"/>
      <c r="D111" s="37"/>
      <c r="E111" s="37"/>
      <c r="F111" s="37"/>
      <c r="G111" s="37"/>
    </row>
    <row r="112" spans="2:7" s="34" customFormat="1" x14ac:dyDescent="0.25">
      <c r="B112" s="37"/>
      <c r="D112" s="37"/>
      <c r="E112" s="37"/>
      <c r="F112" s="37"/>
      <c r="G112" s="37"/>
    </row>
    <row r="113" spans="2:7" s="34" customFormat="1" x14ac:dyDescent="0.25">
      <c r="B113" s="37"/>
      <c r="D113" s="37"/>
      <c r="E113" s="37"/>
      <c r="F113" s="37"/>
      <c r="G113" s="37"/>
    </row>
    <row r="114" spans="2:7" s="34" customFormat="1" x14ac:dyDescent="0.25">
      <c r="B114" s="37"/>
      <c r="D114" s="37"/>
      <c r="E114" s="37"/>
      <c r="F114" s="37"/>
      <c r="G114" s="37"/>
    </row>
    <row r="115" spans="2:7" s="34" customFormat="1" x14ac:dyDescent="0.25">
      <c r="B115" s="37"/>
      <c r="D115" s="37"/>
      <c r="E115" s="37"/>
      <c r="F115" s="37"/>
      <c r="G115" s="37"/>
    </row>
    <row r="116" spans="2:7" s="34" customFormat="1" x14ac:dyDescent="0.25">
      <c r="B116" s="37"/>
      <c r="D116" s="37"/>
      <c r="E116" s="37"/>
      <c r="F116" s="37"/>
      <c r="G116" s="37"/>
    </row>
    <row r="117" spans="2:7" s="34" customFormat="1" x14ac:dyDescent="0.25">
      <c r="B117" s="37"/>
      <c r="D117" s="37"/>
      <c r="E117" s="37"/>
      <c r="F117" s="37"/>
      <c r="G117" s="37"/>
    </row>
    <row r="118" spans="2:7" s="34" customFormat="1" x14ac:dyDescent="0.25">
      <c r="B118" s="37"/>
      <c r="D118" s="37"/>
      <c r="E118" s="37"/>
      <c r="F118" s="37"/>
      <c r="G118" s="37"/>
    </row>
    <row r="119" spans="2:7" s="34" customFormat="1" x14ac:dyDescent="0.25">
      <c r="B119" s="37"/>
      <c r="D119" s="37"/>
      <c r="E119" s="37"/>
      <c r="F119" s="37"/>
      <c r="G119" s="37"/>
    </row>
    <row r="120" spans="2:7" s="34" customFormat="1" x14ac:dyDescent="0.25">
      <c r="B120" s="37"/>
      <c r="D120" s="37"/>
      <c r="E120" s="37"/>
      <c r="F120" s="37"/>
      <c r="G120" s="37"/>
    </row>
    <row r="121" spans="2:7" s="34" customFormat="1" x14ac:dyDescent="0.25">
      <c r="B121" s="37"/>
      <c r="D121" s="37"/>
      <c r="E121" s="37"/>
      <c r="F121" s="37"/>
      <c r="G121" s="37"/>
    </row>
    <row r="122" spans="2:7" s="34" customFormat="1" x14ac:dyDescent="0.25">
      <c r="B122" s="37"/>
      <c r="D122" s="37"/>
      <c r="E122" s="37"/>
      <c r="F122" s="37"/>
      <c r="G122" s="37"/>
    </row>
    <row r="123" spans="2:7" s="34" customFormat="1" x14ac:dyDescent="0.25">
      <c r="B123" s="37"/>
      <c r="D123" s="37"/>
      <c r="E123" s="37"/>
      <c r="F123" s="37"/>
      <c r="G123" s="37"/>
    </row>
    <row r="124" spans="2:7" s="34" customFormat="1" x14ac:dyDescent="0.25">
      <c r="B124" s="37"/>
      <c r="D124" s="37"/>
      <c r="E124" s="37"/>
      <c r="F124" s="37"/>
      <c r="G124" s="37"/>
    </row>
    <row r="125" spans="2:7" s="34" customFormat="1" x14ac:dyDescent="0.25">
      <c r="B125" s="37"/>
      <c r="D125" s="37"/>
      <c r="E125" s="37"/>
      <c r="F125" s="37"/>
      <c r="G125" s="37"/>
    </row>
    <row r="126" spans="2:7" s="34" customFormat="1" x14ac:dyDescent="0.25">
      <c r="B126" s="37"/>
      <c r="D126" s="37"/>
      <c r="E126" s="37"/>
      <c r="F126" s="37"/>
      <c r="G126" s="37"/>
    </row>
    <row r="127" spans="2:7" s="34" customFormat="1" x14ac:dyDescent="0.25">
      <c r="B127" s="37"/>
      <c r="D127" s="37"/>
      <c r="E127" s="37"/>
      <c r="F127" s="37"/>
      <c r="G127" s="37"/>
    </row>
    <row r="128" spans="2:7" s="34" customFormat="1" x14ac:dyDescent="0.25">
      <c r="B128" s="37"/>
      <c r="D128" s="37"/>
      <c r="E128" s="37"/>
      <c r="F128" s="37"/>
      <c r="G128" s="37"/>
    </row>
    <row r="129" spans="2:7" s="34" customFormat="1" x14ac:dyDescent="0.25">
      <c r="B129" s="37"/>
      <c r="D129" s="37"/>
      <c r="E129" s="37"/>
      <c r="F129" s="37"/>
      <c r="G129" s="37"/>
    </row>
    <row r="130" spans="2:7" s="34" customFormat="1" x14ac:dyDescent="0.25">
      <c r="B130" s="37"/>
      <c r="D130" s="37"/>
      <c r="E130" s="37"/>
      <c r="F130" s="37"/>
      <c r="G130" s="37"/>
    </row>
    <row r="131" spans="2:7" s="34" customFormat="1" x14ac:dyDescent="0.25">
      <c r="B131" s="37"/>
      <c r="D131" s="37"/>
      <c r="E131" s="37"/>
      <c r="F131" s="37"/>
      <c r="G131" s="37"/>
    </row>
    <row r="132" spans="2:7" s="34" customFormat="1" x14ac:dyDescent="0.25">
      <c r="B132" s="37"/>
      <c r="D132" s="37"/>
      <c r="E132" s="37"/>
      <c r="F132" s="37"/>
      <c r="G132" s="37"/>
    </row>
    <row r="133" spans="2:7" s="34" customFormat="1" x14ac:dyDescent="0.25">
      <c r="B133" s="37"/>
      <c r="D133" s="37"/>
      <c r="E133" s="37"/>
      <c r="F133" s="37"/>
      <c r="G133" s="37"/>
    </row>
    <row r="134" spans="2:7" s="34" customFormat="1" x14ac:dyDescent="0.25">
      <c r="B134" s="37"/>
      <c r="D134" s="37"/>
      <c r="E134" s="37"/>
      <c r="F134" s="37"/>
      <c r="G134" s="37"/>
    </row>
    <row r="135" spans="2:7" s="34" customFormat="1" x14ac:dyDescent="0.25">
      <c r="B135" s="37"/>
      <c r="D135" s="37"/>
      <c r="E135" s="37"/>
      <c r="F135" s="37"/>
      <c r="G135" s="37"/>
    </row>
    <row r="136" spans="2:7" s="34" customFormat="1" x14ac:dyDescent="0.25">
      <c r="B136" s="37"/>
      <c r="D136" s="37"/>
      <c r="E136" s="37"/>
      <c r="F136" s="37"/>
      <c r="G136" s="37"/>
    </row>
    <row r="137" spans="2:7" s="34" customFormat="1" x14ac:dyDescent="0.25">
      <c r="B137" s="37"/>
      <c r="D137" s="37"/>
      <c r="E137" s="37"/>
      <c r="F137" s="37"/>
      <c r="G137" s="37"/>
    </row>
    <row r="138" spans="2:7" s="34" customFormat="1" x14ac:dyDescent="0.25">
      <c r="B138" s="37"/>
      <c r="D138" s="37"/>
      <c r="E138" s="37"/>
      <c r="F138" s="37"/>
      <c r="G138" s="37"/>
    </row>
    <row r="139" spans="2:7" s="34" customFormat="1" x14ac:dyDescent="0.25">
      <c r="B139" s="37"/>
      <c r="D139" s="37"/>
      <c r="E139" s="37"/>
      <c r="F139" s="37"/>
      <c r="G139" s="37"/>
    </row>
    <row r="140" spans="2:7" s="34" customFormat="1" x14ac:dyDescent="0.25">
      <c r="B140" s="37"/>
      <c r="D140" s="37"/>
      <c r="E140" s="37"/>
      <c r="F140" s="37"/>
      <c r="G140" s="37"/>
    </row>
    <row r="141" spans="2:7" s="34" customFormat="1" x14ac:dyDescent="0.25">
      <c r="B141" s="37"/>
      <c r="D141" s="37"/>
      <c r="E141" s="37"/>
      <c r="F141" s="37"/>
      <c r="G141" s="37"/>
    </row>
    <row r="142" spans="2:7" s="34" customFormat="1" x14ac:dyDescent="0.25">
      <c r="B142" s="37"/>
      <c r="D142" s="37"/>
      <c r="E142" s="37"/>
      <c r="F142" s="37"/>
      <c r="G142" s="37"/>
    </row>
    <row r="143" spans="2:7" s="34" customFormat="1" x14ac:dyDescent="0.25">
      <c r="B143" s="37"/>
      <c r="D143" s="37"/>
      <c r="E143" s="37"/>
      <c r="F143" s="37"/>
      <c r="G143" s="37"/>
    </row>
    <row r="144" spans="2:7" s="34" customFormat="1" x14ac:dyDescent="0.25">
      <c r="B144" s="37"/>
      <c r="D144" s="37"/>
      <c r="E144" s="37"/>
      <c r="F144" s="37"/>
      <c r="G144" s="37"/>
    </row>
    <row r="145" spans="2:7" s="34" customFormat="1" x14ac:dyDescent="0.25">
      <c r="B145" s="37"/>
      <c r="D145" s="37"/>
      <c r="E145" s="37"/>
      <c r="F145" s="37"/>
      <c r="G145" s="37"/>
    </row>
    <row r="146" spans="2:7" s="34" customFormat="1" x14ac:dyDescent="0.25">
      <c r="B146" s="37"/>
      <c r="D146" s="37"/>
      <c r="E146" s="37"/>
      <c r="F146" s="37"/>
      <c r="G146" s="37"/>
    </row>
    <row r="147" spans="2:7" s="34" customFormat="1" x14ac:dyDescent="0.25">
      <c r="B147" s="37"/>
      <c r="D147" s="37"/>
      <c r="E147" s="37"/>
      <c r="F147" s="37"/>
      <c r="G147" s="37"/>
    </row>
    <row r="148" spans="2:7" s="34" customFormat="1" x14ac:dyDescent="0.25">
      <c r="B148" s="37"/>
      <c r="D148" s="37"/>
      <c r="E148" s="37"/>
      <c r="F148" s="37"/>
      <c r="G148" s="37"/>
    </row>
    <row r="149" spans="2:7" s="34" customFormat="1" x14ac:dyDescent="0.25">
      <c r="B149" s="37"/>
      <c r="D149" s="37"/>
      <c r="E149" s="37"/>
      <c r="F149" s="37"/>
      <c r="G149" s="37"/>
    </row>
    <row r="150" spans="2:7" s="34" customFormat="1" x14ac:dyDescent="0.25">
      <c r="B150" s="37"/>
      <c r="D150" s="37"/>
      <c r="E150" s="37"/>
      <c r="F150" s="37"/>
      <c r="G150" s="37"/>
    </row>
    <row r="151" spans="2:7" s="34" customFormat="1" x14ac:dyDescent="0.25">
      <c r="B151" s="37"/>
      <c r="D151" s="37"/>
      <c r="E151" s="37"/>
      <c r="F151" s="37"/>
      <c r="G151" s="37"/>
    </row>
    <row r="152" spans="2:7" s="34" customFormat="1" x14ac:dyDescent="0.25">
      <c r="B152" s="37"/>
      <c r="D152" s="37"/>
      <c r="E152" s="37"/>
      <c r="F152" s="37"/>
      <c r="G152" s="37"/>
    </row>
    <row r="153" spans="2:7" s="34" customFormat="1" x14ac:dyDescent="0.25">
      <c r="B153" s="37"/>
      <c r="D153" s="37"/>
      <c r="E153" s="37"/>
      <c r="F153" s="37"/>
      <c r="G153" s="37"/>
    </row>
    <row r="154" spans="2:7" s="34" customFormat="1" x14ac:dyDescent="0.25">
      <c r="B154" s="37"/>
      <c r="D154" s="37"/>
      <c r="E154" s="37"/>
      <c r="F154" s="37"/>
      <c r="G154" s="37"/>
    </row>
    <row r="155" spans="2:7" s="34" customFormat="1" x14ac:dyDescent="0.25">
      <c r="B155" s="37"/>
      <c r="D155" s="37"/>
      <c r="E155" s="37"/>
      <c r="F155" s="37"/>
      <c r="G155" s="37"/>
    </row>
    <row r="156" spans="2:7" s="34" customFormat="1" x14ac:dyDescent="0.25">
      <c r="B156" s="37"/>
      <c r="D156" s="37"/>
      <c r="E156" s="37"/>
      <c r="F156" s="37"/>
      <c r="G156" s="37"/>
    </row>
    <row r="157" spans="2:7" s="34" customFormat="1" x14ac:dyDescent="0.25">
      <c r="B157" s="37"/>
      <c r="D157" s="37"/>
      <c r="E157" s="37"/>
      <c r="F157" s="37"/>
      <c r="G157" s="37"/>
    </row>
    <row r="158" spans="2:7" s="34" customFormat="1" x14ac:dyDescent="0.25">
      <c r="B158" s="37"/>
      <c r="D158" s="37"/>
      <c r="E158" s="37"/>
      <c r="F158" s="37"/>
      <c r="G158" s="37"/>
    </row>
    <row r="159" spans="2:7" s="34" customFormat="1" x14ac:dyDescent="0.25">
      <c r="B159" s="37"/>
      <c r="D159" s="37"/>
      <c r="E159" s="37"/>
      <c r="F159" s="37"/>
      <c r="G159" s="37"/>
    </row>
    <row r="160" spans="2:7" s="34" customFormat="1" x14ac:dyDescent="0.25">
      <c r="B160" s="37"/>
      <c r="D160" s="37"/>
      <c r="E160" s="37"/>
      <c r="F160" s="37"/>
      <c r="G160" s="37"/>
    </row>
    <row r="161" spans="2:7" s="34" customFormat="1" x14ac:dyDescent="0.25">
      <c r="B161" s="37"/>
      <c r="D161" s="37"/>
      <c r="E161" s="37"/>
      <c r="F161" s="37"/>
      <c r="G161" s="37"/>
    </row>
    <row r="162" spans="2:7" s="34" customFormat="1" x14ac:dyDescent="0.25">
      <c r="B162" s="37"/>
      <c r="D162" s="37"/>
      <c r="E162" s="37"/>
      <c r="F162" s="37"/>
      <c r="G162" s="37"/>
    </row>
    <row r="163" spans="2:7" s="34" customFormat="1" x14ac:dyDescent="0.25">
      <c r="B163" s="37"/>
      <c r="D163" s="37"/>
      <c r="E163" s="37"/>
      <c r="F163" s="37"/>
      <c r="G163" s="37"/>
    </row>
    <row r="164" spans="2:7" s="34" customFormat="1" x14ac:dyDescent="0.25">
      <c r="B164" s="37"/>
      <c r="D164" s="37"/>
      <c r="E164" s="37"/>
      <c r="F164" s="37"/>
      <c r="G164" s="37"/>
    </row>
    <row r="165" spans="2:7" s="34" customFormat="1" x14ac:dyDescent="0.25">
      <c r="B165" s="37"/>
      <c r="D165" s="37"/>
      <c r="E165" s="37"/>
      <c r="F165" s="37"/>
      <c r="G165" s="37"/>
    </row>
    <row r="166" spans="2:7" s="34" customFormat="1" x14ac:dyDescent="0.25">
      <c r="B166" s="37"/>
      <c r="D166" s="37"/>
      <c r="E166" s="37"/>
      <c r="F166" s="37"/>
      <c r="G166" s="37"/>
    </row>
    <row r="167" spans="2:7" s="34" customFormat="1" x14ac:dyDescent="0.25">
      <c r="B167" s="37"/>
      <c r="D167" s="37"/>
      <c r="E167" s="37"/>
      <c r="F167" s="37"/>
      <c r="G167" s="37"/>
    </row>
    <row r="168" spans="2:7" s="34" customFormat="1" x14ac:dyDescent="0.25">
      <c r="B168" s="37"/>
      <c r="D168" s="37"/>
      <c r="E168" s="37"/>
      <c r="F168" s="37"/>
      <c r="G168" s="37"/>
    </row>
    <row r="169" spans="2:7" s="34" customFormat="1" x14ac:dyDescent="0.25">
      <c r="B169" s="37"/>
      <c r="D169" s="37"/>
      <c r="E169" s="37"/>
      <c r="F169" s="37"/>
      <c r="G169" s="37"/>
    </row>
    <row r="170" spans="2:7" s="34" customFormat="1" x14ac:dyDescent="0.25">
      <c r="B170" s="37"/>
      <c r="D170" s="37"/>
      <c r="E170" s="37"/>
      <c r="F170" s="37"/>
      <c r="G170" s="37"/>
    </row>
    <row r="171" spans="2:7" s="34" customFormat="1" x14ac:dyDescent="0.25">
      <c r="B171" s="37"/>
      <c r="D171" s="37"/>
      <c r="E171" s="37"/>
      <c r="F171" s="37"/>
      <c r="G171" s="37"/>
    </row>
    <row r="172" spans="2:7" s="34" customFormat="1" x14ac:dyDescent="0.25">
      <c r="B172" s="37"/>
      <c r="D172" s="37"/>
      <c r="E172" s="37"/>
      <c r="F172" s="37"/>
      <c r="G172" s="37"/>
    </row>
    <row r="173" spans="2:7" s="34" customFormat="1" x14ac:dyDescent="0.25">
      <c r="B173" s="37"/>
      <c r="D173" s="37"/>
      <c r="E173" s="37"/>
      <c r="F173" s="37"/>
      <c r="G173" s="37"/>
    </row>
    <row r="174" spans="2:7" s="34" customFormat="1" x14ac:dyDescent="0.25">
      <c r="B174" s="37"/>
      <c r="D174" s="37"/>
      <c r="E174" s="37"/>
      <c r="F174" s="37"/>
      <c r="G174" s="37"/>
    </row>
    <row r="175" spans="2:7" s="34" customFormat="1" x14ac:dyDescent="0.25">
      <c r="B175" s="37"/>
      <c r="D175" s="37"/>
      <c r="E175" s="37"/>
      <c r="F175" s="37"/>
      <c r="G175" s="37"/>
    </row>
    <row r="176" spans="2:7" s="34" customFormat="1" x14ac:dyDescent="0.25">
      <c r="B176" s="37"/>
      <c r="D176" s="37"/>
      <c r="E176" s="37"/>
      <c r="F176" s="37"/>
      <c r="G176" s="37"/>
    </row>
    <row r="177" spans="2:7" s="34" customFormat="1" x14ac:dyDescent="0.25">
      <c r="B177" s="37"/>
      <c r="D177" s="37"/>
      <c r="E177" s="37"/>
      <c r="F177" s="37"/>
      <c r="G177" s="37"/>
    </row>
    <row r="178" spans="2:7" s="34" customFormat="1" x14ac:dyDescent="0.25">
      <c r="B178" s="37"/>
      <c r="D178" s="37"/>
      <c r="E178" s="37"/>
      <c r="F178" s="37"/>
      <c r="G178" s="37"/>
    </row>
    <row r="179" spans="2:7" s="34" customFormat="1" x14ac:dyDescent="0.25">
      <c r="B179" s="37"/>
      <c r="D179" s="37"/>
      <c r="E179" s="37"/>
      <c r="F179" s="37"/>
      <c r="G179" s="37"/>
    </row>
    <row r="180" spans="2:7" s="34" customFormat="1" x14ac:dyDescent="0.25">
      <c r="B180" s="37"/>
      <c r="D180" s="37"/>
      <c r="E180" s="37"/>
      <c r="F180" s="37"/>
      <c r="G180" s="37"/>
    </row>
    <row r="181" spans="2:7" s="34" customFormat="1" x14ac:dyDescent="0.25">
      <c r="B181" s="37"/>
      <c r="D181" s="37"/>
      <c r="E181" s="37"/>
      <c r="F181" s="37"/>
      <c r="G181" s="37"/>
    </row>
    <row r="182" spans="2:7" s="34" customFormat="1" x14ac:dyDescent="0.25">
      <c r="B182" s="37"/>
      <c r="D182" s="37"/>
      <c r="E182" s="37"/>
      <c r="F182" s="37"/>
      <c r="G182" s="37"/>
    </row>
    <row r="183" spans="2:7" s="34" customFormat="1" x14ac:dyDescent="0.25">
      <c r="B183" s="37"/>
      <c r="D183" s="37"/>
      <c r="E183" s="37"/>
      <c r="F183" s="37"/>
      <c r="G183" s="37"/>
    </row>
    <row r="184" spans="2:7" s="34" customFormat="1" x14ac:dyDescent="0.25">
      <c r="B184" s="37"/>
      <c r="D184" s="37"/>
      <c r="E184" s="37"/>
      <c r="F184" s="37"/>
      <c r="G184" s="37"/>
    </row>
    <row r="185" spans="2:7" s="34" customFormat="1" x14ac:dyDescent="0.25">
      <c r="B185" s="37"/>
      <c r="D185" s="37"/>
      <c r="E185" s="37"/>
      <c r="F185" s="37"/>
      <c r="G185" s="37"/>
    </row>
    <row r="186" spans="2:7" s="34" customFormat="1" x14ac:dyDescent="0.25">
      <c r="B186" s="37"/>
      <c r="D186" s="37"/>
      <c r="E186" s="37"/>
      <c r="F186" s="37"/>
      <c r="G186" s="37"/>
    </row>
    <row r="187" spans="2:7" s="34" customFormat="1" x14ac:dyDescent="0.25">
      <c r="B187" s="37"/>
      <c r="D187" s="37"/>
      <c r="E187" s="37"/>
      <c r="F187" s="37"/>
      <c r="G187" s="37"/>
    </row>
    <row r="188" spans="2:7" s="34" customFormat="1" x14ac:dyDescent="0.25">
      <c r="B188" s="37"/>
      <c r="D188" s="37"/>
      <c r="E188" s="37"/>
      <c r="F188" s="37"/>
      <c r="G188" s="37"/>
    </row>
    <row r="189" spans="2:7" s="34" customFormat="1" x14ac:dyDescent="0.25">
      <c r="B189" s="37"/>
      <c r="D189" s="37"/>
      <c r="E189" s="37"/>
      <c r="F189" s="37"/>
      <c r="G189" s="37"/>
    </row>
    <row r="190" spans="2:7" s="34" customFormat="1" x14ac:dyDescent="0.25">
      <c r="B190" s="37"/>
      <c r="D190" s="37"/>
      <c r="E190" s="37"/>
      <c r="F190" s="37"/>
      <c r="G190" s="37"/>
    </row>
    <row r="191" spans="2:7" s="34" customFormat="1" x14ac:dyDescent="0.25">
      <c r="B191" s="37"/>
      <c r="D191" s="37"/>
      <c r="E191" s="37"/>
      <c r="F191" s="37"/>
      <c r="G191" s="37"/>
    </row>
    <row r="192" spans="2:7" s="34" customFormat="1" x14ac:dyDescent="0.25">
      <c r="B192" s="37"/>
      <c r="D192" s="37"/>
      <c r="E192" s="37"/>
      <c r="F192" s="37"/>
      <c r="G192" s="37"/>
    </row>
    <row r="193" spans="2:7" s="34" customFormat="1" x14ac:dyDescent="0.25">
      <c r="B193" s="37"/>
      <c r="D193" s="37"/>
      <c r="E193" s="37"/>
      <c r="F193" s="37"/>
      <c r="G193" s="37"/>
    </row>
    <row r="194" spans="2:7" s="34" customFormat="1" x14ac:dyDescent="0.25">
      <c r="B194" s="37"/>
      <c r="D194" s="37"/>
      <c r="E194" s="37"/>
      <c r="F194" s="37"/>
      <c r="G194" s="37"/>
    </row>
    <row r="195" spans="2:7" s="34" customFormat="1" x14ac:dyDescent="0.25">
      <c r="B195" s="37"/>
      <c r="D195" s="37"/>
      <c r="E195" s="37"/>
      <c r="F195" s="37"/>
      <c r="G195" s="37"/>
    </row>
    <row r="196" spans="2:7" s="34" customFormat="1" x14ac:dyDescent="0.25">
      <c r="B196" s="37"/>
      <c r="D196" s="37"/>
      <c r="E196" s="37"/>
      <c r="F196" s="37"/>
      <c r="G196" s="37"/>
    </row>
    <row r="197" spans="2:7" s="34" customFormat="1" x14ac:dyDescent="0.25">
      <c r="B197" s="37"/>
      <c r="D197" s="37"/>
      <c r="E197" s="37"/>
      <c r="F197" s="37"/>
      <c r="G197" s="37"/>
    </row>
    <row r="198" spans="2:7" s="34" customFormat="1" x14ac:dyDescent="0.25">
      <c r="B198" s="37"/>
      <c r="D198" s="37"/>
      <c r="E198" s="37"/>
      <c r="F198" s="37"/>
      <c r="G198" s="37"/>
    </row>
    <row r="199" spans="2:7" s="34" customFormat="1" x14ac:dyDescent="0.25">
      <c r="B199" s="37"/>
      <c r="D199" s="37"/>
      <c r="E199" s="37"/>
      <c r="F199" s="37"/>
      <c r="G199" s="37"/>
    </row>
    <row r="200" spans="2:7" s="34" customFormat="1" x14ac:dyDescent="0.25">
      <c r="B200" s="37"/>
      <c r="D200" s="37"/>
      <c r="E200" s="37"/>
      <c r="F200" s="37"/>
      <c r="G200" s="37"/>
    </row>
    <row r="201" spans="2:7" s="34" customFormat="1" x14ac:dyDescent="0.25">
      <c r="B201" s="37"/>
      <c r="D201" s="37"/>
      <c r="E201" s="37"/>
      <c r="F201" s="37"/>
      <c r="G201" s="37"/>
    </row>
    <row r="202" spans="2:7" s="34" customFormat="1" x14ac:dyDescent="0.25">
      <c r="B202" s="37"/>
      <c r="D202" s="37"/>
      <c r="E202" s="37"/>
      <c r="F202" s="37"/>
      <c r="G202" s="37"/>
    </row>
    <row r="203" spans="2:7" s="34" customFormat="1" x14ac:dyDescent="0.25">
      <c r="B203" s="37"/>
      <c r="D203" s="37"/>
      <c r="E203" s="37"/>
      <c r="F203" s="37"/>
      <c r="G203" s="37"/>
    </row>
    <row r="204" spans="2:7" s="34" customFormat="1" x14ac:dyDescent="0.25">
      <c r="B204" s="37"/>
      <c r="D204" s="37"/>
      <c r="E204" s="37"/>
      <c r="F204" s="37"/>
      <c r="G204" s="37"/>
    </row>
    <row r="205" spans="2:7" s="34" customFormat="1" x14ac:dyDescent="0.25">
      <c r="B205" s="37"/>
      <c r="D205" s="37"/>
      <c r="E205" s="37"/>
      <c r="F205" s="37"/>
      <c r="G205" s="37"/>
    </row>
    <row r="206" spans="2:7" s="34" customFormat="1" x14ac:dyDescent="0.25">
      <c r="B206" s="37"/>
      <c r="D206" s="37"/>
      <c r="E206" s="37"/>
      <c r="F206" s="37"/>
      <c r="G206" s="37"/>
    </row>
    <row r="207" spans="2:7" s="34" customFormat="1" x14ac:dyDescent="0.25">
      <c r="B207" s="37"/>
      <c r="D207" s="37"/>
      <c r="E207" s="37"/>
      <c r="F207" s="37"/>
      <c r="G207" s="37"/>
    </row>
    <row r="208" spans="2:7" s="34" customFormat="1" x14ac:dyDescent="0.25">
      <c r="B208" s="37"/>
      <c r="D208" s="37"/>
      <c r="E208" s="37"/>
      <c r="F208" s="37"/>
      <c r="G208" s="37"/>
    </row>
    <row r="209" spans="2:7" s="34" customFormat="1" x14ac:dyDescent="0.25">
      <c r="B209" s="37"/>
      <c r="D209" s="37"/>
      <c r="E209" s="37"/>
      <c r="F209" s="37"/>
      <c r="G209" s="37"/>
    </row>
    <row r="210" spans="2:7" s="34" customFormat="1" x14ac:dyDescent="0.25">
      <c r="B210" s="37"/>
      <c r="D210" s="37"/>
      <c r="E210" s="37"/>
      <c r="F210" s="37"/>
      <c r="G210" s="37"/>
    </row>
    <row r="211" spans="2:7" s="34" customFormat="1" x14ac:dyDescent="0.25">
      <c r="B211" s="37"/>
      <c r="D211" s="37"/>
      <c r="E211" s="37"/>
      <c r="F211" s="37"/>
      <c r="G211" s="37"/>
    </row>
    <row r="212" spans="2:7" s="34" customFormat="1" x14ac:dyDescent="0.25">
      <c r="B212" s="37"/>
      <c r="D212" s="37"/>
      <c r="E212" s="37"/>
      <c r="F212" s="37"/>
      <c r="G212" s="37"/>
    </row>
    <row r="213" spans="2:7" s="34" customFormat="1" x14ac:dyDescent="0.25">
      <c r="B213" s="37"/>
      <c r="D213" s="37"/>
      <c r="E213" s="37"/>
      <c r="F213" s="37"/>
      <c r="G213" s="37"/>
    </row>
    <row r="214" spans="2:7" s="34" customFormat="1" x14ac:dyDescent="0.25">
      <c r="B214" s="37"/>
      <c r="D214" s="37"/>
      <c r="E214" s="37"/>
      <c r="F214" s="37"/>
      <c r="G214" s="37"/>
    </row>
    <row r="215" spans="2:7" s="34" customFormat="1" x14ac:dyDescent="0.25">
      <c r="B215" s="37"/>
      <c r="D215" s="37"/>
      <c r="E215" s="37"/>
      <c r="F215" s="37"/>
      <c r="G215" s="37"/>
    </row>
    <row r="216" spans="2:7" s="34" customFormat="1" x14ac:dyDescent="0.25">
      <c r="B216" s="37"/>
      <c r="D216" s="37"/>
      <c r="E216" s="37"/>
      <c r="F216" s="37"/>
      <c r="G216" s="37"/>
    </row>
    <row r="217" spans="2:7" s="34" customFormat="1" x14ac:dyDescent="0.25">
      <c r="B217" s="37"/>
      <c r="D217" s="37"/>
      <c r="E217" s="37"/>
      <c r="F217" s="37"/>
      <c r="G217" s="37"/>
    </row>
    <row r="218" spans="2:7" s="34" customFormat="1" x14ac:dyDescent="0.25">
      <c r="B218" s="37"/>
      <c r="D218" s="37"/>
      <c r="E218" s="37"/>
      <c r="F218" s="37"/>
      <c r="G218" s="37"/>
    </row>
    <row r="219" spans="2:7" s="34" customFormat="1" x14ac:dyDescent="0.25">
      <c r="B219" s="37"/>
      <c r="D219" s="37"/>
      <c r="E219" s="37"/>
      <c r="F219" s="37"/>
      <c r="G219" s="37"/>
    </row>
    <row r="220" spans="2:7" s="34" customFormat="1" x14ac:dyDescent="0.25">
      <c r="B220" s="37"/>
      <c r="D220" s="37"/>
      <c r="E220" s="37"/>
      <c r="F220" s="37"/>
      <c r="G220" s="37"/>
    </row>
    <row r="221" spans="2:7" s="34" customFormat="1" x14ac:dyDescent="0.25">
      <c r="B221" s="37"/>
      <c r="D221" s="37"/>
      <c r="E221" s="37"/>
      <c r="F221" s="37"/>
      <c r="G221" s="37"/>
    </row>
    <row r="222" spans="2:7" s="34" customFormat="1" x14ac:dyDescent="0.25">
      <c r="B222" s="37"/>
      <c r="D222" s="37"/>
      <c r="E222" s="37"/>
      <c r="F222" s="37"/>
      <c r="G222" s="37"/>
    </row>
    <row r="223" spans="2:7" s="34" customFormat="1" x14ac:dyDescent="0.25">
      <c r="B223" s="37"/>
      <c r="D223" s="37"/>
      <c r="E223" s="37"/>
      <c r="F223" s="37"/>
      <c r="G223" s="37"/>
    </row>
    <row r="224" spans="2:7" s="34" customFormat="1" x14ac:dyDescent="0.25">
      <c r="B224" s="37"/>
      <c r="D224" s="37"/>
      <c r="E224" s="37"/>
      <c r="F224" s="37"/>
      <c r="G224" s="37"/>
    </row>
    <row r="225" spans="2:7" s="34" customFormat="1" x14ac:dyDescent="0.25">
      <c r="B225" s="37"/>
      <c r="D225" s="37"/>
      <c r="E225" s="37"/>
      <c r="F225" s="37"/>
      <c r="G225" s="37"/>
    </row>
    <row r="226" spans="2:7" s="34" customFormat="1" x14ac:dyDescent="0.25">
      <c r="B226" s="37"/>
      <c r="D226" s="37"/>
      <c r="E226" s="37"/>
      <c r="F226" s="37"/>
      <c r="G226" s="37"/>
    </row>
    <row r="227" spans="2:7" s="34" customFormat="1" x14ac:dyDescent="0.25">
      <c r="B227" s="37"/>
      <c r="D227" s="37"/>
      <c r="E227" s="37"/>
      <c r="F227" s="37"/>
      <c r="G227" s="37"/>
    </row>
    <row r="228" spans="2:7" s="34" customFormat="1" x14ac:dyDescent="0.25">
      <c r="B228" s="37"/>
      <c r="D228" s="37"/>
      <c r="E228" s="37"/>
      <c r="F228" s="37"/>
      <c r="G228" s="37"/>
    </row>
    <row r="229" spans="2:7" s="34" customFormat="1" x14ac:dyDescent="0.25">
      <c r="B229" s="37"/>
      <c r="D229" s="37"/>
      <c r="E229" s="37"/>
      <c r="F229" s="37"/>
      <c r="G229" s="37"/>
    </row>
    <row r="230" spans="2:7" s="34" customFormat="1" x14ac:dyDescent="0.25">
      <c r="B230" s="37"/>
      <c r="D230" s="37"/>
      <c r="E230" s="37"/>
      <c r="F230" s="37"/>
      <c r="G230" s="37"/>
    </row>
    <row r="231" spans="2:7" s="34" customFormat="1" x14ac:dyDescent="0.25">
      <c r="B231" s="37"/>
      <c r="D231" s="37"/>
      <c r="E231" s="37"/>
      <c r="F231" s="37"/>
      <c r="G231" s="37"/>
    </row>
    <row r="232" spans="2:7" s="34" customFormat="1" x14ac:dyDescent="0.25">
      <c r="B232" s="37"/>
      <c r="D232" s="37"/>
      <c r="E232" s="37"/>
      <c r="F232" s="37"/>
      <c r="G232" s="37"/>
    </row>
    <row r="233" spans="2:7" s="34" customFormat="1" x14ac:dyDescent="0.25">
      <c r="B233" s="37"/>
      <c r="D233" s="37"/>
      <c r="E233" s="37"/>
      <c r="F233" s="37"/>
      <c r="G233" s="37"/>
    </row>
    <row r="234" spans="2:7" s="34" customFormat="1" x14ac:dyDescent="0.25">
      <c r="B234" s="37"/>
      <c r="D234" s="37"/>
      <c r="E234" s="37"/>
      <c r="F234" s="37"/>
      <c r="G234" s="37"/>
    </row>
    <row r="235" spans="2:7" s="34" customFormat="1" x14ac:dyDescent="0.25">
      <c r="B235" s="37"/>
      <c r="D235" s="37"/>
      <c r="E235" s="37"/>
      <c r="F235" s="37"/>
      <c r="G235" s="37"/>
    </row>
    <row r="236" spans="2:7" s="34" customFormat="1" x14ac:dyDescent="0.25">
      <c r="B236" s="37"/>
      <c r="D236" s="37"/>
      <c r="E236" s="37"/>
      <c r="F236" s="37"/>
      <c r="G236" s="37"/>
    </row>
    <row r="237" spans="2:7" s="34" customFormat="1" x14ac:dyDescent="0.25">
      <c r="B237" s="37"/>
      <c r="D237" s="37"/>
      <c r="E237" s="37"/>
      <c r="F237" s="37"/>
      <c r="G237" s="37"/>
    </row>
    <row r="238" spans="2:7" s="34" customFormat="1" x14ac:dyDescent="0.25">
      <c r="B238" s="37"/>
      <c r="D238" s="37"/>
      <c r="E238" s="37"/>
      <c r="F238" s="37"/>
      <c r="G238" s="37"/>
    </row>
    <row r="239" spans="2:7" s="34" customFormat="1" x14ac:dyDescent="0.25">
      <c r="B239" s="37"/>
      <c r="D239" s="37"/>
      <c r="E239" s="37"/>
      <c r="F239" s="37"/>
      <c r="G239" s="37"/>
    </row>
    <row r="240" spans="2:7" s="34" customFormat="1" x14ac:dyDescent="0.25">
      <c r="B240" s="37"/>
      <c r="D240" s="37"/>
      <c r="E240" s="37"/>
      <c r="F240" s="37"/>
      <c r="G240" s="37"/>
    </row>
    <row r="241" spans="2:7" s="34" customFormat="1" x14ac:dyDescent="0.25">
      <c r="B241" s="37"/>
      <c r="D241" s="37"/>
      <c r="E241" s="37"/>
      <c r="F241" s="37"/>
      <c r="G241" s="37"/>
    </row>
    <row r="242" spans="2:7" s="34" customFormat="1" x14ac:dyDescent="0.25">
      <c r="B242" s="37"/>
      <c r="D242" s="37"/>
      <c r="E242" s="37"/>
      <c r="F242" s="37"/>
      <c r="G242" s="37"/>
    </row>
    <row r="243" spans="2:7" s="34" customFormat="1" x14ac:dyDescent="0.25">
      <c r="B243" s="37"/>
      <c r="D243" s="37"/>
      <c r="E243" s="37"/>
      <c r="F243" s="37"/>
      <c r="G243" s="37"/>
    </row>
    <row r="244" spans="2:7" s="34" customFormat="1" x14ac:dyDescent="0.25">
      <c r="B244" s="37"/>
      <c r="D244" s="37"/>
      <c r="E244" s="37"/>
      <c r="F244" s="37"/>
      <c r="G244" s="37"/>
    </row>
    <row r="245" spans="2:7" s="34" customFormat="1" x14ac:dyDescent="0.25">
      <c r="B245" s="37"/>
      <c r="D245" s="37"/>
      <c r="E245" s="37"/>
      <c r="F245" s="37"/>
      <c r="G245" s="37"/>
    </row>
    <row r="246" spans="2:7" s="34" customFormat="1" x14ac:dyDescent="0.25">
      <c r="B246" s="37"/>
      <c r="D246" s="37"/>
      <c r="E246" s="37"/>
      <c r="F246" s="37"/>
      <c r="G246" s="37"/>
    </row>
    <row r="247" spans="2:7" s="34" customFormat="1" x14ac:dyDescent="0.25">
      <c r="B247" s="37"/>
      <c r="D247" s="37"/>
      <c r="E247" s="37"/>
      <c r="F247" s="37"/>
      <c r="G247" s="37"/>
    </row>
    <row r="248" spans="2:7" s="34" customFormat="1" x14ac:dyDescent="0.25">
      <c r="B248" s="37"/>
      <c r="D248" s="37"/>
      <c r="E248" s="37"/>
      <c r="F248" s="37"/>
      <c r="G248" s="37"/>
    </row>
    <row r="249" spans="2:7" s="34" customFormat="1" x14ac:dyDescent="0.25">
      <c r="B249" s="37"/>
      <c r="D249" s="37"/>
      <c r="E249" s="37"/>
      <c r="F249" s="37"/>
      <c r="G249" s="37"/>
    </row>
    <row r="250" spans="2:7" s="34" customFormat="1" x14ac:dyDescent="0.25">
      <c r="B250" s="37"/>
      <c r="D250" s="37"/>
      <c r="E250" s="37"/>
      <c r="F250" s="37"/>
      <c r="G250" s="37"/>
    </row>
    <row r="251" spans="2:7" s="34" customFormat="1" x14ac:dyDescent="0.25">
      <c r="B251" s="37"/>
      <c r="D251" s="37"/>
      <c r="E251" s="37"/>
      <c r="F251" s="37"/>
      <c r="G251" s="37"/>
    </row>
    <row r="252" spans="2:7" s="34" customFormat="1" x14ac:dyDescent="0.25">
      <c r="B252" s="37"/>
      <c r="D252" s="37"/>
      <c r="E252" s="37"/>
      <c r="F252" s="37"/>
      <c r="G252" s="37"/>
    </row>
    <row r="253" spans="2:7" s="34" customFormat="1" x14ac:dyDescent="0.25">
      <c r="B253" s="37"/>
      <c r="D253" s="37"/>
      <c r="E253" s="37"/>
      <c r="F253" s="37"/>
      <c r="G253" s="37"/>
    </row>
    <row r="254" spans="2:7" s="34" customFormat="1" x14ac:dyDescent="0.25">
      <c r="B254" s="37"/>
      <c r="D254" s="37"/>
      <c r="E254" s="37"/>
      <c r="F254" s="37"/>
      <c r="G254" s="37"/>
    </row>
    <row r="255" spans="2:7" s="34" customFormat="1" x14ac:dyDescent="0.25">
      <c r="B255" s="37"/>
      <c r="D255" s="37"/>
      <c r="E255" s="37"/>
      <c r="F255" s="37"/>
      <c r="G255" s="37"/>
    </row>
    <row r="256" spans="2:7" s="34" customFormat="1" x14ac:dyDescent="0.25">
      <c r="B256" s="37"/>
      <c r="D256" s="37"/>
      <c r="E256" s="37"/>
      <c r="F256" s="37"/>
      <c r="G256" s="37"/>
    </row>
    <row r="257" spans="2:7" s="34" customFormat="1" x14ac:dyDescent="0.25">
      <c r="B257" s="37"/>
      <c r="D257" s="37"/>
      <c r="E257" s="37"/>
      <c r="F257" s="37"/>
      <c r="G257" s="37"/>
    </row>
    <row r="258" spans="2:7" s="34" customFormat="1" x14ac:dyDescent="0.25">
      <c r="B258" s="37"/>
      <c r="D258" s="37"/>
      <c r="E258" s="37"/>
      <c r="F258" s="37"/>
      <c r="G258" s="37"/>
    </row>
    <row r="259" spans="2:7" s="34" customFormat="1" x14ac:dyDescent="0.25">
      <c r="B259" s="37"/>
      <c r="D259" s="37"/>
      <c r="E259" s="37"/>
      <c r="F259" s="37"/>
      <c r="G259" s="37"/>
    </row>
    <row r="260" spans="2:7" s="34" customFormat="1" x14ac:dyDescent="0.25">
      <c r="B260" s="37"/>
      <c r="D260" s="37"/>
      <c r="E260" s="37"/>
      <c r="F260" s="37"/>
      <c r="G260" s="37"/>
    </row>
    <row r="261" spans="2:7" s="34" customFormat="1" x14ac:dyDescent="0.25">
      <c r="B261" s="37"/>
      <c r="D261" s="37"/>
      <c r="E261" s="37"/>
      <c r="F261" s="37"/>
      <c r="G261" s="37"/>
    </row>
    <row r="262" spans="2:7" s="34" customFormat="1" x14ac:dyDescent="0.25">
      <c r="B262" s="37"/>
      <c r="D262" s="37"/>
      <c r="E262" s="37"/>
      <c r="F262" s="37"/>
      <c r="G262" s="37"/>
    </row>
    <row r="263" spans="2:7" s="34" customFormat="1" x14ac:dyDescent="0.25">
      <c r="B263" s="37"/>
      <c r="D263" s="37"/>
      <c r="E263" s="37"/>
      <c r="F263" s="37"/>
      <c r="G263" s="37"/>
    </row>
    <row r="264" spans="2:7" s="34" customFormat="1" x14ac:dyDescent="0.25">
      <c r="B264" s="37"/>
      <c r="D264" s="37"/>
      <c r="E264" s="37"/>
      <c r="F264" s="37"/>
      <c r="G264" s="37"/>
    </row>
    <row r="265" spans="2:7" s="34" customFormat="1" x14ac:dyDescent="0.25">
      <c r="B265" s="37"/>
      <c r="D265" s="37"/>
      <c r="E265" s="37"/>
      <c r="F265" s="37"/>
      <c r="G265" s="37"/>
    </row>
    <row r="266" spans="2:7" s="34" customFormat="1" x14ac:dyDescent="0.25">
      <c r="B266" s="37"/>
      <c r="D266" s="37"/>
      <c r="E266" s="37"/>
      <c r="F266" s="37"/>
      <c r="G266" s="37"/>
    </row>
    <row r="267" spans="2:7" s="34" customFormat="1" x14ac:dyDescent="0.25">
      <c r="B267" s="37"/>
      <c r="D267" s="37"/>
      <c r="E267" s="37"/>
      <c r="F267" s="37"/>
      <c r="G267" s="37"/>
    </row>
    <row r="268" spans="2:7" s="34" customFormat="1" x14ac:dyDescent="0.25">
      <c r="B268" s="37"/>
      <c r="D268" s="37"/>
      <c r="E268" s="37"/>
      <c r="F268" s="37"/>
      <c r="G268" s="37"/>
    </row>
    <row r="269" spans="2:7" s="34" customFormat="1" x14ac:dyDescent="0.25">
      <c r="B269" s="37"/>
      <c r="D269" s="37"/>
      <c r="E269" s="37"/>
      <c r="F269" s="37"/>
      <c r="G269" s="37"/>
    </row>
    <row r="270" spans="2:7" s="34" customFormat="1" x14ac:dyDescent="0.25">
      <c r="B270" s="37"/>
      <c r="D270" s="37"/>
      <c r="E270" s="37"/>
      <c r="F270" s="37"/>
      <c r="G270" s="37"/>
    </row>
    <row r="271" spans="2:7" s="34" customFormat="1" x14ac:dyDescent="0.25">
      <c r="B271" s="37"/>
      <c r="D271" s="37"/>
      <c r="E271" s="37"/>
      <c r="F271" s="37"/>
      <c r="G271" s="37"/>
    </row>
    <row r="272" spans="2:7" s="34" customFormat="1" x14ac:dyDescent="0.25">
      <c r="B272" s="37"/>
      <c r="D272" s="37"/>
      <c r="E272" s="37"/>
      <c r="F272" s="37"/>
      <c r="G272" s="37"/>
    </row>
    <row r="273" spans="2:7" s="34" customFormat="1" x14ac:dyDescent="0.25">
      <c r="B273" s="37"/>
      <c r="D273" s="37"/>
      <c r="E273" s="37"/>
      <c r="F273" s="37"/>
      <c r="G273" s="37"/>
    </row>
    <row r="274" spans="2:7" s="34" customFormat="1" x14ac:dyDescent="0.25">
      <c r="B274" s="37"/>
      <c r="D274" s="37"/>
      <c r="E274" s="37"/>
      <c r="F274" s="37"/>
      <c r="G274" s="37"/>
    </row>
    <row r="275" spans="2:7" s="34" customFormat="1" x14ac:dyDescent="0.25">
      <c r="B275" s="37"/>
      <c r="D275" s="37"/>
      <c r="E275" s="37"/>
      <c r="F275" s="37"/>
      <c r="G275" s="37"/>
    </row>
    <row r="276" spans="2:7" s="34" customFormat="1" x14ac:dyDescent="0.25">
      <c r="B276" s="37"/>
      <c r="D276" s="37"/>
      <c r="E276" s="37"/>
      <c r="F276" s="37"/>
      <c r="G276" s="37"/>
    </row>
    <row r="277" spans="2:7" s="34" customFormat="1" x14ac:dyDescent="0.25">
      <c r="B277" s="37"/>
      <c r="D277" s="37"/>
      <c r="E277" s="37"/>
      <c r="F277" s="37"/>
      <c r="G277" s="37"/>
    </row>
    <row r="278" spans="2:7" s="34" customFormat="1" x14ac:dyDescent="0.25">
      <c r="B278" s="37"/>
      <c r="D278" s="37"/>
      <c r="E278" s="37"/>
      <c r="F278" s="37"/>
      <c r="G278" s="37"/>
    </row>
    <row r="279" spans="2:7" s="34" customFormat="1" x14ac:dyDescent="0.25">
      <c r="B279" s="37"/>
      <c r="D279" s="37"/>
      <c r="E279" s="37"/>
      <c r="F279" s="37"/>
      <c r="G279" s="37"/>
    </row>
    <row r="280" spans="2:7" s="34" customFormat="1" x14ac:dyDescent="0.25">
      <c r="B280" s="37"/>
      <c r="D280" s="37"/>
      <c r="E280" s="37"/>
      <c r="F280" s="37"/>
      <c r="G280" s="37"/>
    </row>
    <row r="281" spans="2:7" s="34" customFormat="1" x14ac:dyDescent="0.25">
      <c r="B281" s="37"/>
      <c r="D281" s="37"/>
      <c r="E281" s="37"/>
      <c r="F281" s="37"/>
      <c r="G281" s="37"/>
    </row>
    <row r="282" spans="2:7" s="34" customFormat="1" x14ac:dyDescent="0.25">
      <c r="B282" s="37"/>
      <c r="D282" s="37"/>
      <c r="E282" s="37"/>
      <c r="F282" s="37"/>
      <c r="G282" s="37"/>
    </row>
    <row r="283" spans="2:7" s="34" customFormat="1" x14ac:dyDescent="0.25">
      <c r="B283" s="37"/>
      <c r="D283" s="37"/>
      <c r="E283" s="37"/>
      <c r="F283" s="37"/>
      <c r="G283" s="37"/>
    </row>
    <row r="284" spans="2:7" s="34" customFormat="1" x14ac:dyDescent="0.25">
      <c r="B284" s="37"/>
      <c r="D284" s="37"/>
      <c r="E284" s="37"/>
      <c r="F284" s="37"/>
      <c r="G284" s="37"/>
    </row>
    <row r="285" spans="2:7" s="34" customFormat="1" x14ac:dyDescent="0.25">
      <c r="B285" s="37"/>
      <c r="D285" s="37"/>
      <c r="E285" s="37"/>
      <c r="F285" s="37"/>
      <c r="G285" s="37"/>
    </row>
    <row r="286" spans="2:7" s="34" customFormat="1" x14ac:dyDescent="0.25">
      <c r="B286" s="37"/>
      <c r="D286" s="37"/>
      <c r="E286" s="37"/>
      <c r="F286" s="37"/>
      <c r="G286" s="37"/>
    </row>
    <row r="287" spans="2:7" s="34" customFormat="1" x14ac:dyDescent="0.25">
      <c r="B287" s="37"/>
      <c r="D287" s="37"/>
      <c r="E287" s="37"/>
      <c r="F287" s="37"/>
      <c r="G287" s="37"/>
    </row>
    <row r="288" spans="2:7" s="34" customFormat="1" x14ac:dyDescent="0.25">
      <c r="B288" s="37"/>
      <c r="D288" s="37"/>
      <c r="E288" s="37"/>
      <c r="F288" s="37"/>
      <c r="G288" s="37"/>
    </row>
    <row r="289" spans="2:7" s="34" customFormat="1" x14ac:dyDescent="0.25">
      <c r="B289" s="37"/>
      <c r="D289" s="37"/>
      <c r="E289" s="37"/>
      <c r="F289" s="37"/>
      <c r="G289" s="37"/>
    </row>
    <row r="290" spans="2:7" s="34" customFormat="1" x14ac:dyDescent="0.25">
      <c r="B290" s="37"/>
      <c r="D290" s="37"/>
      <c r="E290" s="37"/>
      <c r="F290" s="37"/>
      <c r="G290" s="37"/>
    </row>
    <row r="291" spans="2:7" s="34" customFormat="1" x14ac:dyDescent="0.25">
      <c r="B291" s="37"/>
      <c r="D291" s="37"/>
      <c r="E291" s="37"/>
      <c r="F291" s="37"/>
      <c r="G291" s="37"/>
    </row>
    <row r="292" spans="2:7" s="34" customFormat="1" x14ac:dyDescent="0.25">
      <c r="B292" s="37"/>
      <c r="D292" s="37"/>
      <c r="E292" s="37"/>
      <c r="F292" s="37"/>
      <c r="G292" s="37"/>
    </row>
    <row r="293" spans="2:7" s="34" customFormat="1" x14ac:dyDescent="0.25">
      <c r="B293" s="37"/>
      <c r="D293" s="37"/>
      <c r="E293" s="37"/>
      <c r="F293" s="37"/>
      <c r="G293" s="37"/>
    </row>
    <row r="294" spans="2:7" s="34" customFormat="1" x14ac:dyDescent="0.25">
      <c r="B294" s="37"/>
      <c r="D294" s="37"/>
      <c r="E294" s="37"/>
      <c r="F294" s="37"/>
      <c r="G294" s="37"/>
    </row>
    <row r="295" spans="2:7" s="34" customFormat="1" x14ac:dyDescent="0.25">
      <c r="B295" s="37"/>
      <c r="D295" s="37"/>
      <c r="E295" s="37"/>
      <c r="F295" s="37"/>
      <c r="G295" s="37"/>
    </row>
    <row r="296" spans="2:7" s="34" customFormat="1" x14ac:dyDescent="0.25">
      <c r="B296" s="37"/>
      <c r="D296" s="37"/>
      <c r="E296" s="37"/>
      <c r="F296" s="37"/>
      <c r="G296" s="37"/>
    </row>
    <row r="297" spans="2:7" s="34" customFormat="1" x14ac:dyDescent="0.25">
      <c r="B297" s="37"/>
      <c r="D297" s="37"/>
      <c r="E297" s="37"/>
      <c r="F297" s="37"/>
      <c r="G297" s="37"/>
    </row>
    <row r="298" spans="2:7" s="34" customFormat="1" x14ac:dyDescent="0.25">
      <c r="B298" s="37"/>
      <c r="D298" s="37"/>
      <c r="E298" s="37"/>
      <c r="F298" s="37"/>
      <c r="G298" s="37"/>
    </row>
    <row r="299" spans="2:7" s="34" customFormat="1" x14ac:dyDescent="0.25">
      <c r="B299" s="37"/>
      <c r="D299" s="37"/>
      <c r="E299" s="37"/>
      <c r="F299" s="37"/>
      <c r="G299" s="37"/>
    </row>
    <row r="300" spans="2:7" s="34" customFormat="1" x14ac:dyDescent="0.25">
      <c r="B300" s="37"/>
      <c r="D300" s="37"/>
      <c r="E300" s="37"/>
      <c r="F300" s="37"/>
      <c r="G300" s="37"/>
    </row>
    <row r="301" spans="2:7" s="34" customFormat="1" x14ac:dyDescent="0.25">
      <c r="B301" s="37"/>
      <c r="D301" s="37"/>
      <c r="E301" s="37"/>
      <c r="F301" s="37"/>
      <c r="G301" s="37"/>
    </row>
    <row r="302" spans="2:7" s="34" customFormat="1" x14ac:dyDescent="0.25">
      <c r="B302" s="37"/>
      <c r="D302" s="37"/>
      <c r="E302" s="37"/>
      <c r="F302" s="37"/>
      <c r="G302" s="37"/>
    </row>
    <row r="303" spans="2:7" s="34" customFormat="1" x14ac:dyDescent="0.25">
      <c r="B303" s="37"/>
      <c r="D303" s="37"/>
      <c r="E303" s="37"/>
      <c r="F303" s="37"/>
      <c r="G303" s="37"/>
    </row>
    <row r="304" spans="2:7" s="34" customFormat="1" x14ac:dyDescent="0.25">
      <c r="B304" s="37"/>
      <c r="D304" s="37"/>
      <c r="E304" s="37"/>
      <c r="F304" s="37"/>
      <c r="G304" s="37"/>
    </row>
    <row r="305" spans="2:7" s="34" customFormat="1" x14ac:dyDescent="0.25">
      <c r="B305" s="37"/>
      <c r="D305" s="37"/>
      <c r="E305" s="37"/>
      <c r="F305" s="37"/>
      <c r="G305" s="37"/>
    </row>
    <row r="306" spans="2:7" s="34" customFormat="1" x14ac:dyDescent="0.25">
      <c r="B306" s="37"/>
      <c r="D306" s="37"/>
      <c r="E306" s="37"/>
      <c r="F306" s="37"/>
      <c r="G306" s="37"/>
    </row>
    <row r="307" spans="2:7" s="34" customFormat="1" x14ac:dyDescent="0.25">
      <c r="B307" s="37"/>
      <c r="D307" s="37"/>
      <c r="E307" s="37"/>
      <c r="F307" s="37"/>
      <c r="G307" s="37"/>
    </row>
    <row r="308" spans="2:7" s="34" customFormat="1" x14ac:dyDescent="0.25">
      <c r="B308" s="37"/>
      <c r="D308" s="37"/>
      <c r="E308" s="37"/>
      <c r="F308" s="37"/>
      <c r="G308" s="37"/>
    </row>
    <row r="309" spans="2:7" s="34" customFormat="1" x14ac:dyDescent="0.25">
      <c r="B309" s="37"/>
      <c r="D309" s="37"/>
      <c r="E309" s="37"/>
      <c r="F309" s="37"/>
      <c r="G309" s="37"/>
    </row>
    <row r="310" spans="2:7" s="34" customFormat="1" x14ac:dyDescent="0.25">
      <c r="B310" s="37"/>
      <c r="D310" s="37"/>
      <c r="E310" s="37"/>
      <c r="F310" s="37"/>
      <c r="G310" s="37"/>
    </row>
    <row r="311" spans="2:7" s="34" customFormat="1" x14ac:dyDescent="0.25">
      <c r="B311" s="37"/>
      <c r="D311" s="37"/>
      <c r="E311" s="37"/>
      <c r="F311" s="37"/>
      <c r="G311" s="37"/>
    </row>
    <row r="312" spans="2:7" s="34" customFormat="1" x14ac:dyDescent="0.25">
      <c r="B312" s="37"/>
      <c r="D312" s="37"/>
      <c r="E312" s="37"/>
      <c r="F312" s="37"/>
      <c r="G312" s="37"/>
    </row>
    <row r="313" spans="2:7" s="34" customFormat="1" x14ac:dyDescent="0.25">
      <c r="B313" s="37"/>
      <c r="D313" s="37"/>
      <c r="E313" s="37"/>
      <c r="F313" s="37"/>
      <c r="G313" s="37"/>
    </row>
    <row r="314" spans="2:7" s="34" customFormat="1" x14ac:dyDescent="0.25">
      <c r="B314" s="37"/>
      <c r="D314" s="37"/>
      <c r="E314" s="37"/>
      <c r="F314" s="37"/>
      <c r="G314" s="37"/>
    </row>
    <row r="315" spans="2:7" s="34" customFormat="1" x14ac:dyDescent="0.25">
      <c r="B315" s="37"/>
      <c r="D315" s="37"/>
      <c r="E315" s="37"/>
      <c r="F315" s="37"/>
      <c r="G315" s="37"/>
    </row>
    <row r="316" spans="2:7" s="34" customFormat="1" x14ac:dyDescent="0.25">
      <c r="B316" s="37"/>
      <c r="D316" s="37"/>
      <c r="E316" s="37"/>
      <c r="F316" s="37"/>
      <c r="G316" s="37"/>
    </row>
    <row r="317" spans="2:7" s="34" customFormat="1" x14ac:dyDescent="0.25">
      <c r="B317" s="37"/>
      <c r="D317" s="37"/>
      <c r="E317" s="37"/>
      <c r="F317" s="37"/>
      <c r="G317" s="37"/>
    </row>
    <row r="318" spans="2:7" s="34" customFormat="1" x14ac:dyDescent="0.25">
      <c r="B318" s="37"/>
      <c r="D318" s="37"/>
      <c r="E318" s="37"/>
      <c r="F318" s="37"/>
      <c r="G318" s="37"/>
    </row>
    <row r="319" spans="2:7" s="34" customFormat="1" x14ac:dyDescent="0.25">
      <c r="B319" s="37"/>
      <c r="D319" s="37"/>
      <c r="E319" s="37"/>
      <c r="F319" s="37"/>
      <c r="G319" s="37"/>
    </row>
    <row r="320" spans="2:7" s="34" customFormat="1" x14ac:dyDescent="0.25">
      <c r="B320" s="37"/>
      <c r="D320" s="37"/>
      <c r="E320" s="37"/>
      <c r="F320" s="37"/>
      <c r="G320" s="37"/>
    </row>
    <row r="321" spans="2:7" s="34" customFormat="1" x14ac:dyDescent="0.25">
      <c r="B321" s="37"/>
      <c r="D321" s="37"/>
      <c r="E321" s="37"/>
      <c r="F321" s="37"/>
      <c r="G321" s="37"/>
    </row>
    <row r="322" spans="2:7" s="34" customFormat="1" x14ac:dyDescent="0.25">
      <c r="B322" s="37"/>
      <c r="D322" s="37"/>
      <c r="E322" s="37"/>
      <c r="F322" s="37"/>
      <c r="G322" s="37"/>
    </row>
    <row r="323" spans="2:7" s="34" customFormat="1" x14ac:dyDescent="0.25">
      <c r="B323" s="37"/>
      <c r="D323" s="37"/>
      <c r="E323" s="37"/>
      <c r="F323" s="37"/>
      <c r="G323" s="37"/>
    </row>
    <row r="324" spans="2:7" s="34" customFormat="1" x14ac:dyDescent="0.25">
      <c r="B324" s="37"/>
      <c r="D324" s="37"/>
      <c r="E324" s="37"/>
      <c r="F324" s="37"/>
      <c r="G324" s="37"/>
    </row>
    <row r="325" spans="2:7" s="34" customFormat="1" x14ac:dyDescent="0.25">
      <c r="B325" s="37"/>
      <c r="D325" s="37"/>
      <c r="E325" s="37"/>
      <c r="F325" s="37"/>
      <c r="G325" s="37"/>
    </row>
    <row r="326" spans="2:7" s="34" customFormat="1" x14ac:dyDescent="0.25">
      <c r="B326" s="37"/>
      <c r="D326" s="37"/>
      <c r="E326" s="37"/>
      <c r="F326" s="37"/>
      <c r="G326" s="37"/>
    </row>
    <row r="327" spans="2:7" s="34" customFormat="1" x14ac:dyDescent="0.25">
      <c r="B327" s="37"/>
      <c r="D327" s="37"/>
      <c r="E327" s="37"/>
      <c r="F327" s="37"/>
      <c r="G327" s="37"/>
    </row>
    <row r="328" spans="2:7" s="34" customFormat="1" x14ac:dyDescent="0.25">
      <c r="B328" s="37"/>
      <c r="D328" s="37"/>
      <c r="E328" s="37"/>
      <c r="F328" s="37"/>
      <c r="G328" s="37"/>
    </row>
    <row r="329" spans="2:7" s="34" customFormat="1" x14ac:dyDescent="0.25">
      <c r="B329" s="37"/>
      <c r="D329" s="37"/>
      <c r="E329" s="37"/>
      <c r="F329" s="37"/>
      <c r="G329" s="37"/>
    </row>
    <row r="330" spans="2:7" s="34" customFormat="1" x14ac:dyDescent="0.25">
      <c r="B330" s="37"/>
      <c r="D330" s="37"/>
      <c r="E330" s="37"/>
      <c r="F330" s="37"/>
      <c r="G330" s="37"/>
    </row>
    <row r="331" spans="2:7" s="34" customFormat="1" x14ac:dyDescent="0.25">
      <c r="B331" s="37"/>
      <c r="D331" s="37"/>
      <c r="E331" s="37"/>
      <c r="F331" s="37"/>
      <c r="G331" s="37"/>
    </row>
    <row r="332" spans="2:7" s="34" customFormat="1" x14ac:dyDescent="0.25">
      <c r="B332" s="37"/>
      <c r="D332" s="37"/>
      <c r="E332" s="37"/>
      <c r="F332" s="37"/>
      <c r="G332" s="37"/>
    </row>
    <row r="333" spans="2:7" s="34" customFormat="1" x14ac:dyDescent="0.25">
      <c r="B333" s="37"/>
      <c r="D333" s="37"/>
      <c r="E333" s="37"/>
      <c r="F333" s="37"/>
      <c r="G333" s="37"/>
    </row>
    <row r="334" spans="2:7" s="34" customFormat="1" x14ac:dyDescent="0.25">
      <c r="B334" s="37"/>
      <c r="D334" s="37"/>
      <c r="E334" s="37"/>
      <c r="F334" s="37"/>
      <c r="G334" s="37"/>
    </row>
    <row r="335" spans="2:7" s="34" customFormat="1" x14ac:dyDescent="0.25">
      <c r="B335" s="37"/>
      <c r="D335" s="37"/>
      <c r="E335" s="37"/>
      <c r="F335" s="37"/>
      <c r="G335" s="37"/>
    </row>
    <row r="336" spans="2:7" s="34" customFormat="1" x14ac:dyDescent="0.25">
      <c r="B336" s="37"/>
      <c r="D336" s="37"/>
      <c r="E336" s="37"/>
      <c r="F336" s="37"/>
      <c r="G336" s="37"/>
    </row>
    <row r="337" spans="2:7" s="34" customFormat="1" x14ac:dyDescent="0.25">
      <c r="B337" s="37"/>
      <c r="D337" s="37"/>
      <c r="E337" s="37"/>
      <c r="F337" s="37"/>
      <c r="G337" s="37"/>
    </row>
    <row r="338" spans="2:7" s="34" customFormat="1" x14ac:dyDescent="0.25">
      <c r="B338" s="37"/>
      <c r="D338" s="37"/>
      <c r="E338" s="37"/>
      <c r="F338" s="37"/>
      <c r="G338" s="37"/>
    </row>
    <row r="339" spans="2:7" s="34" customFormat="1" x14ac:dyDescent="0.25">
      <c r="B339" s="37"/>
      <c r="D339" s="37"/>
      <c r="E339" s="37"/>
      <c r="F339" s="37"/>
      <c r="G339" s="37"/>
    </row>
    <row r="340" spans="2:7" s="34" customFormat="1" x14ac:dyDescent="0.25">
      <c r="B340" s="37"/>
      <c r="D340" s="37"/>
      <c r="E340" s="37"/>
      <c r="F340" s="37"/>
      <c r="G340" s="37"/>
    </row>
    <row r="341" spans="2:7" s="34" customFormat="1" x14ac:dyDescent="0.25">
      <c r="B341" s="37"/>
      <c r="D341" s="37"/>
      <c r="E341" s="37"/>
      <c r="F341" s="37"/>
      <c r="G341" s="37"/>
    </row>
    <row r="342" spans="2:7" s="34" customFormat="1" x14ac:dyDescent="0.25">
      <c r="B342" s="37"/>
      <c r="D342" s="37"/>
      <c r="E342" s="37"/>
      <c r="F342" s="37"/>
      <c r="G342" s="37"/>
    </row>
    <row r="343" spans="2:7" s="34" customFormat="1" x14ac:dyDescent="0.25">
      <c r="B343" s="37"/>
      <c r="D343" s="37"/>
      <c r="E343" s="37"/>
      <c r="F343" s="37"/>
      <c r="G343" s="37"/>
    </row>
    <row r="344" spans="2:7" s="34" customFormat="1" x14ac:dyDescent="0.25">
      <c r="B344" s="37"/>
      <c r="D344" s="37"/>
      <c r="E344" s="37"/>
      <c r="F344" s="37"/>
      <c r="G344" s="37"/>
    </row>
    <row r="345" spans="2:7" s="34" customFormat="1" x14ac:dyDescent="0.25">
      <c r="B345" s="37"/>
      <c r="D345" s="37"/>
      <c r="E345" s="37"/>
      <c r="F345" s="37"/>
      <c r="G345" s="37"/>
    </row>
    <row r="346" spans="2:7" s="34" customFormat="1" x14ac:dyDescent="0.25">
      <c r="B346" s="37"/>
      <c r="D346" s="37"/>
      <c r="E346" s="37"/>
      <c r="F346" s="37"/>
      <c r="G346" s="37"/>
    </row>
    <row r="347" spans="2:7" s="34" customFormat="1" x14ac:dyDescent="0.25">
      <c r="B347" s="37"/>
      <c r="D347" s="37"/>
      <c r="E347" s="37"/>
      <c r="F347" s="37"/>
      <c r="G347" s="37"/>
    </row>
    <row r="348" spans="2:7" s="34" customFormat="1" x14ac:dyDescent="0.25">
      <c r="B348" s="37"/>
      <c r="D348" s="37"/>
      <c r="E348" s="37"/>
      <c r="F348" s="37"/>
      <c r="G348" s="37"/>
    </row>
    <row r="349" spans="2:7" s="34" customFormat="1" x14ac:dyDescent="0.25">
      <c r="B349" s="37"/>
      <c r="D349" s="37"/>
      <c r="E349" s="37"/>
      <c r="F349" s="37"/>
      <c r="G349" s="37"/>
    </row>
    <row r="350" spans="2:7" s="34" customFormat="1" x14ac:dyDescent="0.25">
      <c r="B350" s="37"/>
      <c r="D350" s="37"/>
      <c r="E350" s="37"/>
      <c r="F350" s="37"/>
      <c r="G350" s="37"/>
    </row>
    <row r="351" spans="2:7" s="34" customFormat="1" x14ac:dyDescent="0.25">
      <c r="B351" s="37"/>
      <c r="D351" s="37"/>
      <c r="E351" s="37"/>
      <c r="F351" s="37"/>
      <c r="G351" s="37"/>
    </row>
    <row r="352" spans="2:7" s="34" customFormat="1" x14ac:dyDescent="0.25">
      <c r="B352" s="37"/>
      <c r="D352" s="37"/>
      <c r="E352" s="37"/>
      <c r="F352" s="37"/>
      <c r="G352" s="37"/>
    </row>
    <row r="353" spans="2:7" s="34" customFormat="1" x14ac:dyDescent="0.25">
      <c r="B353" s="37"/>
      <c r="D353" s="37"/>
      <c r="E353" s="37"/>
      <c r="F353" s="37"/>
      <c r="G353" s="37"/>
    </row>
    <row r="354" spans="2:7" s="34" customFormat="1" x14ac:dyDescent="0.25">
      <c r="B354" s="37"/>
      <c r="D354" s="37"/>
      <c r="E354" s="37"/>
      <c r="F354" s="37"/>
      <c r="G354" s="37"/>
    </row>
    <row r="355" spans="2:7" s="34" customFormat="1" x14ac:dyDescent="0.25">
      <c r="B355" s="37"/>
      <c r="D355" s="37"/>
      <c r="E355" s="37"/>
      <c r="F355" s="37"/>
      <c r="G355" s="37"/>
    </row>
    <row r="356" spans="2:7" s="34" customFormat="1" x14ac:dyDescent="0.25">
      <c r="B356" s="37"/>
      <c r="D356" s="37"/>
      <c r="E356" s="37"/>
      <c r="F356" s="37"/>
      <c r="G356" s="37"/>
    </row>
    <row r="357" spans="2:7" s="34" customFormat="1" x14ac:dyDescent="0.25">
      <c r="B357" s="37"/>
      <c r="D357" s="37"/>
      <c r="E357" s="37"/>
      <c r="F357" s="37"/>
      <c r="G357" s="37"/>
    </row>
    <row r="358" spans="2:7" s="34" customFormat="1" x14ac:dyDescent="0.25">
      <c r="B358" s="37"/>
      <c r="D358" s="37"/>
      <c r="E358" s="37"/>
      <c r="F358" s="37"/>
      <c r="G358" s="37"/>
    </row>
    <row r="359" spans="2:7" s="34" customFormat="1" x14ac:dyDescent="0.25">
      <c r="B359" s="37"/>
      <c r="D359" s="37"/>
      <c r="E359" s="37"/>
      <c r="F359" s="37"/>
      <c r="G359" s="37"/>
    </row>
    <row r="360" spans="2:7" s="34" customFormat="1" x14ac:dyDescent="0.25">
      <c r="B360" s="37"/>
      <c r="D360" s="37"/>
      <c r="E360" s="37"/>
      <c r="F360" s="37"/>
      <c r="G360" s="37"/>
    </row>
    <row r="361" spans="2:7" s="34" customFormat="1" x14ac:dyDescent="0.25">
      <c r="B361" s="37"/>
      <c r="D361" s="37"/>
      <c r="E361" s="37"/>
      <c r="F361" s="37"/>
      <c r="G361" s="37"/>
    </row>
    <row r="362" spans="2:7" s="34" customFormat="1" x14ac:dyDescent="0.25">
      <c r="B362" s="37"/>
      <c r="D362" s="37"/>
      <c r="E362" s="37"/>
      <c r="F362" s="37"/>
      <c r="G362" s="37"/>
    </row>
    <row r="363" spans="2:7" s="34" customFormat="1" x14ac:dyDescent="0.25">
      <c r="B363" s="37"/>
      <c r="D363" s="37"/>
      <c r="E363" s="37"/>
      <c r="F363" s="37"/>
      <c r="G363" s="37"/>
    </row>
    <row r="364" spans="2:7" s="34" customFormat="1" x14ac:dyDescent="0.25">
      <c r="B364" s="37"/>
      <c r="D364" s="37"/>
      <c r="E364" s="37"/>
      <c r="F364" s="37"/>
      <c r="G364" s="37"/>
    </row>
    <row r="365" spans="2:7" s="34" customFormat="1" x14ac:dyDescent="0.25">
      <c r="B365" s="37"/>
      <c r="D365" s="37"/>
      <c r="E365" s="37"/>
      <c r="F365" s="37"/>
      <c r="G365" s="37"/>
    </row>
    <row r="366" spans="2:7" s="34" customFormat="1" x14ac:dyDescent="0.25">
      <c r="B366" s="37"/>
      <c r="D366" s="37"/>
      <c r="E366" s="37"/>
      <c r="F366" s="37"/>
      <c r="G366" s="37"/>
    </row>
    <row r="367" spans="2:7" s="34" customFormat="1" x14ac:dyDescent="0.25">
      <c r="B367" s="37"/>
      <c r="D367" s="37"/>
      <c r="E367" s="37"/>
      <c r="F367" s="37"/>
      <c r="G367" s="37"/>
    </row>
    <row r="368" spans="2:7" s="34" customFormat="1" x14ac:dyDescent="0.25">
      <c r="B368" s="37"/>
      <c r="D368" s="37"/>
      <c r="E368" s="37"/>
      <c r="F368" s="37"/>
      <c r="G368" s="37"/>
    </row>
    <row r="369" spans="2:7" s="34" customFormat="1" x14ac:dyDescent="0.25">
      <c r="B369" s="37"/>
      <c r="D369" s="37"/>
      <c r="E369" s="37"/>
      <c r="F369" s="37"/>
      <c r="G369" s="37"/>
    </row>
    <row r="370" spans="2:7" s="34" customFormat="1" x14ac:dyDescent="0.25">
      <c r="B370" s="37"/>
      <c r="D370" s="37"/>
      <c r="E370" s="37"/>
      <c r="F370" s="37"/>
      <c r="G370" s="37"/>
    </row>
    <row r="371" spans="2:7" s="34" customFormat="1" x14ac:dyDescent="0.25">
      <c r="B371" s="37"/>
      <c r="D371" s="37"/>
      <c r="E371" s="37"/>
      <c r="F371" s="37"/>
      <c r="G371" s="37"/>
    </row>
    <row r="372" spans="2:7" s="34" customFormat="1" x14ac:dyDescent="0.25">
      <c r="B372" s="37"/>
      <c r="D372" s="37"/>
      <c r="E372" s="37"/>
      <c r="F372" s="37"/>
      <c r="G372" s="37"/>
    </row>
    <row r="373" spans="2:7" s="34" customFormat="1" x14ac:dyDescent="0.25">
      <c r="B373" s="37"/>
      <c r="D373" s="37"/>
      <c r="E373" s="37"/>
      <c r="F373" s="37"/>
      <c r="G373" s="37"/>
    </row>
    <row r="374" spans="2:7" s="34" customFormat="1" x14ac:dyDescent="0.25">
      <c r="B374" s="37"/>
      <c r="D374" s="37"/>
      <c r="E374" s="37"/>
      <c r="F374" s="37"/>
      <c r="G374" s="37"/>
    </row>
    <row r="375" spans="2:7" s="34" customFormat="1" x14ac:dyDescent="0.25">
      <c r="B375" s="37"/>
      <c r="D375" s="37"/>
      <c r="E375" s="37"/>
      <c r="F375" s="37"/>
      <c r="G375" s="37"/>
    </row>
    <row r="376" spans="2:7" s="34" customFormat="1" x14ac:dyDescent="0.25">
      <c r="B376" s="37"/>
      <c r="D376" s="37"/>
      <c r="E376" s="37"/>
      <c r="F376" s="37"/>
      <c r="G376" s="37"/>
    </row>
    <row r="377" spans="2:7" s="34" customFormat="1" x14ac:dyDescent="0.25">
      <c r="B377" s="37"/>
      <c r="D377" s="37"/>
      <c r="E377" s="37"/>
      <c r="F377" s="37"/>
      <c r="G377" s="37"/>
    </row>
    <row r="378" spans="2:7" s="34" customFormat="1" x14ac:dyDescent="0.25">
      <c r="B378" s="37"/>
      <c r="D378" s="37"/>
      <c r="E378" s="37"/>
      <c r="F378" s="37"/>
      <c r="G378" s="37"/>
    </row>
    <row r="379" spans="2:7" s="34" customFormat="1" x14ac:dyDescent="0.25">
      <c r="B379" s="37"/>
      <c r="D379" s="37"/>
      <c r="E379" s="37"/>
      <c r="F379" s="37"/>
      <c r="G379" s="37"/>
    </row>
    <row r="380" spans="2:7" s="34" customFormat="1" x14ac:dyDescent="0.25">
      <c r="B380" s="37"/>
      <c r="D380" s="37"/>
      <c r="E380" s="37"/>
      <c r="F380" s="37"/>
      <c r="G380" s="37"/>
    </row>
    <row r="381" spans="2:7" s="34" customFormat="1" x14ac:dyDescent="0.25">
      <c r="B381" s="37"/>
      <c r="D381" s="37"/>
      <c r="E381" s="37"/>
      <c r="F381" s="37"/>
      <c r="G381" s="37"/>
    </row>
  </sheetData>
  <sheetProtection algorithmName="SHA-512" hashValue="cGUZgwxp2C8Efbj4Buor4u1peiMlrmgC5WyNMkoXMbWLYeP++104Z0GDItcaVzOu/Zi1d/snLuju3v0xYVYr9A==" saltValue="ctnIAnNl39hu1R3i/92a/w==" spinCount="100000" sheet="1" objects="1" scenarios="1"/>
  <mergeCells count="9">
    <mergeCell ref="B43:J43"/>
    <mergeCell ref="B41:J41"/>
    <mergeCell ref="B42:J42"/>
    <mergeCell ref="C2:D2"/>
    <mergeCell ref="E2:F2"/>
    <mergeCell ref="H2:J2"/>
    <mergeCell ref="B3:J3"/>
    <mergeCell ref="G4:J4"/>
    <mergeCell ref="B4:E4"/>
  </mergeCells>
  <pageMargins left="0.5" right="0.5" top="0.75" bottom="0.75" header="0.3" footer="0.3"/>
  <pageSetup scale="14"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A82"/>
  <sheetViews>
    <sheetView showGridLines="0" workbookViewId="0">
      <selection activeCell="A41" sqref="A41:XFD41"/>
    </sheetView>
  </sheetViews>
  <sheetFormatPr defaultRowHeight="15" x14ac:dyDescent="0.25"/>
  <cols>
    <col min="1" max="1" width="9.140625" style="34"/>
    <col min="2" max="2" width="11.85546875" style="9" customWidth="1"/>
    <col min="3" max="3" width="10.5703125" customWidth="1"/>
    <col min="4" max="4" width="16.28515625" style="9" customWidth="1"/>
    <col min="5" max="5" width="12.7109375" style="9" customWidth="1"/>
    <col min="6" max="6" width="15.140625" style="9" customWidth="1"/>
    <col min="7" max="7" width="11.28515625" style="9" customWidth="1"/>
    <col min="8" max="8" width="7.7109375" customWidth="1"/>
    <col min="9" max="9" width="7.85546875" customWidth="1"/>
    <col min="10" max="10" width="8.5703125" customWidth="1"/>
    <col min="11" max="53" width="9.140625" style="34"/>
  </cols>
  <sheetData>
    <row r="1" spans="1:53" s="34" customFormat="1" ht="22.5" customHeight="1" thickBot="1" x14ac:dyDescent="0.3">
      <c r="B1" s="37"/>
      <c r="D1" s="37"/>
      <c r="E1" s="37"/>
      <c r="F1" s="37"/>
      <c r="G1" s="37"/>
    </row>
    <row r="2" spans="1:53" ht="15.75" thickBot="1" x14ac:dyDescent="0.3">
      <c r="B2" s="53" t="s">
        <v>19</v>
      </c>
      <c r="C2" s="122">
        <f>'Tab 1--3A, (AC 1-35)'!C2:D2</f>
        <v>0</v>
      </c>
      <c r="D2" s="122"/>
      <c r="E2" s="99" t="s">
        <v>34</v>
      </c>
      <c r="F2" s="99"/>
      <c r="G2" s="55" t="s">
        <v>18</v>
      </c>
      <c r="H2" s="120" t="str">
        <f>'Tab 1--3A, (AC 1-35)'!H2:J2</f>
        <v xml:space="preserve">HTC71124RCC01 Atch 1a </v>
      </c>
      <c r="I2" s="120"/>
      <c r="J2" s="123"/>
      <c r="K2" s="35"/>
    </row>
    <row r="3" spans="1:53" ht="32.25" customHeight="1" thickBot="1" x14ac:dyDescent="0.4">
      <c r="B3" s="108" t="s">
        <v>17</v>
      </c>
      <c r="C3" s="109"/>
      <c r="D3" s="109"/>
      <c r="E3" s="109"/>
      <c r="F3" s="109"/>
      <c r="G3" s="109"/>
      <c r="H3" s="109"/>
      <c r="I3" s="109"/>
      <c r="J3" s="110"/>
      <c r="K3" s="35"/>
    </row>
    <row r="4" spans="1:53" s="4" customFormat="1" ht="37.5" customHeight="1" thickBot="1" x14ac:dyDescent="0.3">
      <c r="A4" s="34"/>
      <c r="B4" s="103" t="s">
        <v>14</v>
      </c>
      <c r="C4" s="121"/>
      <c r="D4" s="121"/>
      <c r="E4" s="121"/>
      <c r="F4" s="33">
        <f>'Tab 1--3A, (AC 1-35)'!F4</f>
        <v>0</v>
      </c>
      <c r="G4" s="105" t="s">
        <v>32</v>
      </c>
      <c r="H4" s="106"/>
      <c r="I4" s="106"/>
      <c r="J4" s="107"/>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c r="BA4" s="34"/>
    </row>
    <row r="5" spans="1:53" ht="33" customHeight="1" thickBot="1" x14ac:dyDescent="0.3">
      <c r="B5" s="82" t="s">
        <v>4</v>
      </c>
      <c r="C5" s="81" t="s">
        <v>37</v>
      </c>
      <c r="D5" s="83" t="s">
        <v>0</v>
      </c>
      <c r="E5" s="83" t="s">
        <v>16</v>
      </c>
      <c r="F5" s="84" t="s">
        <v>1</v>
      </c>
      <c r="G5" s="85" t="s">
        <v>15</v>
      </c>
      <c r="H5" s="81" t="s">
        <v>38</v>
      </c>
      <c r="I5" s="83" t="s">
        <v>29</v>
      </c>
      <c r="J5" s="86" t="s">
        <v>30</v>
      </c>
    </row>
    <row r="6" spans="1:53" ht="15.75" thickTop="1" x14ac:dyDescent="0.25">
      <c r="B6" s="24">
        <v>71</v>
      </c>
      <c r="C6" s="10"/>
      <c r="D6" s="11"/>
      <c r="E6" s="15"/>
      <c r="F6" s="13"/>
      <c r="G6" s="29"/>
      <c r="H6" s="21"/>
      <c r="I6" s="11"/>
      <c r="J6" s="12"/>
    </row>
    <row r="7" spans="1:53" x14ac:dyDescent="0.25">
      <c r="B7" s="5">
        <v>72</v>
      </c>
      <c r="C7" s="10"/>
      <c r="D7" s="13"/>
      <c r="E7" s="15"/>
      <c r="F7" s="13"/>
      <c r="G7" s="25"/>
      <c r="H7" s="25"/>
      <c r="I7" s="13"/>
      <c r="J7" s="14"/>
    </row>
    <row r="8" spans="1:53" x14ac:dyDescent="0.25">
      <c r="B8" s="5">
        <v>73</v>
      </c>
      <c r="C8" s="10"/>
      <c r="D8" s="13"/>
      <c r="E8" s="15"/>
      <c r="F8" s="13"/>
      <c r="G8" s="25"/>
      <c r="H8" s="25"/>
      <c r="I8" s="13"/>
      <c r="J8" s="14"/>
    </row>
    <row r="9" spans="1:53" x14ac:dyDescent="0.25">
      <c r="B9" s="5">
        <v>74</v>
      </c>
      <c r="C9" s="10"/>
      <c r="D9" s="13"/>
      <c r="E9" s="15"/>
      <c r="F9" s="13"/>
      <c r="G9" s="25"/>
      <c r="H9" s="25"/>
      <c r="I9" s="13"/>
      <c r="J9" s="14"/>
    </row>
    <row r="10" spans="1:53" x14ac:dyDescent="0.25">
      <c r="B10" s="5">
        <v>75</v>
      </c>
      <c r="C10" s="10"/>
      <c r="D10" s="13"/>
      <c r="E10" s="15"/>
      <c r="F10" s="13"/>
      <c r="G10" s="25"/>
      <c r="H10" s="25"/>
      <c r="I10" s="13"/>
      <c r="J10" s="14"/>
    </row>
    <row r="11" spans="1:53" x14ac:dyDescent="0.25">
      <c r="B11" s="5">
        <v>76</v>
      </c>
      <c r="C11" s="10"/>
      <c r="D11" s="13"/>
      <c r="E11" s="15"/>
      <c r="F11" s="13"/>
      <c r="G11" s="25"/>
      <c r="H11" s="25"/>
      <c r="I11" s="13"/>
      <c r="J11" s="14"/>
    </row>
    <row r="12" spans="1:53" x14ac:dyDescent="0.25">
      <c r="B12" s="5">
        <v>77</v>
      </c>
      <c r="C12" s="10"/>
      <c r="D12" s="13"/>
      <c r="E12" s="15"/>
      <c r="F12" s="13"/>
      <c r="G12" s="25"/>
      <c r="H12" s="25"/>
      <c r="I12" s="13"/>
      <c r="J12" s="14"/>
    </row>
    <row r="13" spans="1:53" x14ac:dyDescent="0.25">
      <c r="B13" s="5">
        <v>78</v>
      </c>
      <c r="C13" s="10"/>
      <c r="D13" s="13"/>
      <c r="E13" s="15"/>
      <c r="F13" s="13"/>
      <c r="G13" s="25"/>
      <c r="H13" s="25"/>
      <c r="I13" s="13"/>
      <c r="J13" s="14"/>
    </row>
    <row r="14" spans="1:53" x14ac:dyDescent="0.25">
      <c r="B14" s="5">
        <v>79</v>
      </c>
      <c r="C14" s="10"/>
      <c r="D14" s="13"/>
      <c r="E14" s="15"/>
      <c r="F14" s="13"/>
      <c r="G14" s="25"/>
      <c r="H14" s="25"/>
      <c r="I14" s="13"/>
      <c r="J14" s="14"/>
    </row>
    <row r="15" spans="1:53" x14ac:dyDescent="0.25">
      <c r="B15" s="5">
        <v>80</v>
      </c>
      <c r="C15" s="10"/>
      <c r="D15" s="13"/>
      <c r="E15" s="15"/>
      <c r="F15" s="13"/>
      <c r="G15" s="25"/>
      <c r="H15" s="25"/>
      <c r="I15" s="13"/>
      <c r="J15" s="14"/>
    </row>
    <row r="16" spans="1:53" x14ac:dyDescent="0.25">
      <c r="B16" s="5">
        <v>81</v>
      </c>
      <c r="C16" s="10"/>
      <c r="D16" s="13"/>
      <c r="E16" s="15"/>
      <c r="F16" s="13"/>
      <c r="G16" s="25"/>
      <c r="H16" s="25"/>
      <c r="I16" s="13"/>
      <c r="J16" s="14"/>
    </row>
    <row r="17" spans="2:10" x14ac:dyDescent="0.25">
      <c r="B17" s="5">
        <v>82</v>
      </c>
      <c r="C17" s="10"/>
      <c r="D17" s="13"/>
      <c r="E17" s="15"/>
      <c r="F17" s="13"/>
      <c r="G17" s="25"/>
      <c r="H17" s="25"/>
      <c r="I17" s="13"/>
      <c r="J17" s="14"/>
    </row>
    <row r="18" spans="2:10" x14ac:dyDescent="0.25">
      <c r="B18" s="5">
        <v>83</v>
      </c>
      <c r="C18" s="10"/>
      <c r="D18" s="13"/>
      <c r="E18" s="15"/>
      <c r="F18" s="13"/>
      <c r="G18" s="25"/>
      <c r="H18" s="25"/>
      <c r="I18" s="13"/>
      <c r="J18" s="14" t="s">
        <v>13</v>
      </c>
    </row>
    <row r="19" spans="2:10" x14ac:dyDescent="0.25">
      <c r="B19" s="5">
        <v>84</v>
      </c>
      <c r="C19" s="10"/>
      <c r="D19" s="13"/>
      <c r="E19" s="15"/>
      <c r="F19" s="13"/>
      <c r="G19" s="26"/>
      <c r="H19" s="26" t="s">
        <v>13</v>
      </c>
      <c r="I19" s="15" t="s">
        <v>13</v>
      </c>
      <c r="J19" s="16"/>
    </row>
    <row r="20" spans="2:10" x14ac:dyDescent="0.25">
      <c r="B20" s="5">
        <v>85</v>
      </c>
      <c r="C20" s="10"/>
      <c r="D20" s="13"/>
      <c r="E20" s="15"/>
      <c r="F20" s="13"/>
      <c r="G20" s="26"/>
      <c r="H20" s="26"/>
      <c r="I20" s="15"/>
      <c r="J20" s="16"/>
    </row>
    <row r="21" spans="2:10" x14ac:dyDescent="0.25">
      <c r="B21" s="5">
        <v>86</v>
      </c>
      <c r="C21" s="10"/>
      <c r="D21" s="13"/>
      <c r="E21" s="15"/>
      <c r="F21" s="13"/>
      <c r="G21" s="26"/>
      <c r="H21" s="26"/>
      <c r="I21" s="15"/>
      <c r="J21" s="16"/>
    </row>
    <row r="22" spans="2:10" x14ac:dyDescent="0.25">
      <c r="B22" s="5">
        <v>87</v>
      </c>
      <c r="C22" s="10"/>
      <c r="D22" s="13"/>
      <c r="E22" s="15"/>
      <c r="F22" s="13"/>
      <c r="G22" s="26"/>
      <c r="H22" s="26" t="s">
        <v>13</v>
      </c>
      <c r="I22" s="15" t="s">
        <v>13</v>
      </c>
      <c r="J22" s="16" t="s">
        <v>13</v>
      </c>
    </row>
    <row r="23" spans="2:10" x14ac:dyDescent="0.25">
      <c r="B23" s="5">
        <v>88</v>
      </c>
      <c r="C23" s="10"/>
      <c r="D23" s="13"/>
      <c r="E23" s="15"/>
      <c r="F23" s="13"/>
      <c r="G23" s="26"/>
      <c r="H23" s="26"/>
      <c r="I23" s="15"/>
      <c r="J23" s="16"/>
    </row>
    <row r="24" spans="2:10" x14ac:dyDescent="0.25">
      <c r="B24" s="5">
        <v>89</v>
      </c>
      <c r="C24" s="10"/>
      <c r="D24" s="13"/>
      <c r="E24" s="15"/>
      <c r="F24" s="13"/>
      <c r="G24" s="26"/>
      <c r="H24" s="26"/>
      <c r="I24" s="15"/>
      <c r="J24" s="16"/>
    </row>
    <row r="25" spans="2:10" x14ac:dyDescent="0.25">
      <c r="B25" s="5">
        <v>90</v>
      </c>
      <c r="C25" s="10"/>
      <c r="D25" s="13"/>
      <c r="E25" s="15"/>
      <c r="F25" s="13"/>
      <c r="G25" s="26"/>
      <c r="H25" s="26"/>
      <c r="I25" s="15"/>
      <c r="J25" s="16"/>
    </row>
    <row r="26" spans="2:10" x14ac:dyDescent="0.25">
      <c r="B26" s="5">
        <v>91</v>
      </c>
      <c r="C26" s="10"/>
      <c r="D26" s="13"/>
      <c r="E26" s="15"/>
      <c r="F26" s="13"/>
      <c r="G26" s="26"/>
      <c r="H26" s="26"/>
      <c r="I26" s="15"/>
      <c r="J26" s="16"/>
    </row>
    <row r="27" spans="2:10" x14ac:dyDescent="0.25">
      <c r="B27" s="5">
        <v>92</v>
      </c>
      <c r="C27" s="10"/>
      <c r="D27" s="13"/>
      <c r="E27" s="15"/>
      <c r="F27" s="13"/>
      <c r="G27" s="26"/>
      <c r="H27" s="26"/>
      <c r="I27" s="15"/>
      <c r="J27" s="16"/>
    </row>
    <row r="28" spans="2:10" x14ac:dyDescent="0.25">
      <c r="B28" s="5">
        <v>93</v>
      </c>
      <c r="C28" s="10"/>
      <c r="D28" s="13"/>
      <c r="E28" s="15"/>
      <c r="F28" s="13"/>
      <c r="G28" s="26"/>
      <c r="H28" s="26"/>
      <c r="I28" s="15"/>
      <c r="J28" s="16"/>
    </row>
    <row r="29" spans="2:10" x14ac:dyDescent="0.25">
      <c r="B29" s="5">
        <v>94</v>
      </c>
      <c r="C29" s="10"/>
      <c r="D29" s="13"/>
      <c r="E29" s="15"/>
      <c r="F29" s="13"/>
      <c r="G29" s="26"/>
      <c r="H29" s="26"/>
      <c r="I29" s="15"/>
      <c r="J29" s="16"/>
    </row>
    <row r="30" spans="2:10" x14ac:dyDescent="0.25">
      <c r="B30" s="5">
        <v>95</v>
      </c>
      <c r="C30" s="10"/>
      <c r="D30" s="13"/>
      <c r="E30" s="15"/>
      <c r="F30" s="13"/>
      <c r="G30" s="26"/>
      <c r="H30" s="26"/>
      <c r="I30" s="15"/>
      <c r="J30" s="16"/>
    </row>
    <row r="31" spans="2:10" x14ac:dyDescent="0.25">
      <c r="B31" s="5">
        <v>96</v>
      </c>
      <c r="C31" s="10"/>
      <c r="D31" s="13"/>
      <c r="E31" s="15"/>
      <c r="F31" s="13"/>
      <c r="G31" s="26"/>
      <c r="H31" s="26"/>
      <c r="I31" s="15"/>
      <c r="J31" s="16"/>
    </row>
    <row r="32" spans="2:10" x14ac:dyDescent="0.25">
      <c r="B32" s="5">
        <v>97</v>
      </c>
      <c r="C32" s="10"/>
      <c r="D32" s="13"/>
      <c r="E32" s="15"/>
      <c r="F32" s="13"/>
      <c r="G32" s="26"/>
      <c r="H32" s="26"/>
      <c r="I32" s="15"/>
      <c r="J32" s="16"/>
    </row>
    <row r="33" spans="1:53" x14ac:dyDescent="0.25">
      <c r="B33" s="5">
        <v>98</v>
      </c>
      <c r="C33" s="10"/>
      <c r="D33" s="13"/>
      <c r="E33" s="15"/>
      <c r="F33" s="13"/>
      <c r="G33" s="26"/>
      <c r="H33" s="26"/>
      <c r="I33" s="15"/>
      <c r="J33" s="16"/>
    </row>
    <row r="34" spans="1:53" x14ac:dyDescent="0.25">
      <c r="B34" s="5">
        <v>99</v>
      </c>
      <c r="C34" s="10"/>
      <c r="D34" s="13"/>
      <c r="E34" s="15"/>
      <c r="F34" s="13"/>
      <c r="G34" s="26"/>
      <c r="H34" s="26"/>
      <c r="I34" s="15"/>
      <c r="J34" s="16"/>
    </row>
    <row r="35" spans="1:53" x14ac:dyDescent="0.25">
      <c r="B35" s="5">
        <v>100</v>
      </c>
      <c r="C35" s="10"/>
      <c r="D35" s="13"/>
      <c r="E35" s="15"/>
      <c r="F35" s="13"/>
      <c r="G35" s="26"/>
      <c r="H35" s="26"/>
      <c r="I35" s="15"/>
      <c r="J35" s="16"/>
    </row>
    <row r="36" spans="1:53" x14ac:dyDescent="0.25">
      <c r="B36" s="5">
        <v>101</v>
      </c>
      <c r="C36" s="10"/>
      <c r="D36" s="13"/>
      <c r="E36" s="15"/>
      <c r="F36" s="13"/>
      <c r="G36" s="26"/>
      <c r="H36" s="26"/>
      <c r="I36" s="15"/>
      <c r="J36" s="16"/>
    </row>
    <row r="37" spans="1:53" x14ac:dyDescent="0.25">
      <c r="B37" s="5">
        <v>102</v>
      </c>
      <c r="C37" s="10"/>
      <c r="D37" s="13"/>
      <c r="E37" s="15"/>
      <c r="F37" s="13"/>
      <c r="G37" s="26"/>
      <c r="H37" s="26"/>
      <c r="I37" s="15"/>
      <c r="J37" s="16"/>
    </row>
    <row r="38" spans="1:53" x14ac:dyDescent="0.25">
      <c r="B38" s="5">
        <v>103</v>
      </c>
      <c r="C38" s="10"/>
      <c r="D38" s="13"/>
      <c r="E38" s="15"/>
      <c r="F38" s="13"/>
      <c r="G38" s="26"/>
      <c r="H38" s="26"/>
      <c r="I38" s="15"/>
      <c r="J38" s="16"/>
    </row>
    <row r="39" spans="1:53" x14ac:dyDescent="0.25">
      <c r="B39" s="5">
        <v>104</v>
      </c>
      <c r="C39" s="10"/>
      <c r="D39" s="13"/>
      <c r="E39" s="15"/>
      <c r="F39" s="13"/>
      <c r="G39" s="26"/>
      <c r="H39" s="26"/>
      <c r="I39" s="15"/>
      <c r="J39" s="16"/>
    </row>
    <row r="40" spans="1:53" ht="15.75" thickBot="1" x14ac:dyDescent="0.3">
      <c r="B40" s="6">
        <v>105</v>
      </c>
      <c r="C40" s="23"/>
      <c r="D40" s="17"/>
      <c r="E40" s="17"/>
      <c r="F40" s="32"/>
      <c r="G40" s="17"/>
      <c r="H40" s="28"/>
      <c r="I40" s="17"/>
      <c r="J40" s="18"/>
    </row>
    <row r="41" spans="1:53" s="3" customFormat="1" ht="14.25" customHeight="1" x14ac:dyDescent="0.25">
      <c r="A41" s="36"/>
      <c r="B41" s="100" t="s">
        <v>20</v>
      </c>
      <c r="C41" s="101"/>
      <c r="D41" s="101"/>
      <c r="E41" s="101"/>
      <c r="F41" s="101"/>
      <c r="G41" s="101"/>
      <c r="H41" s="101"/>
      <c r="I41" s="101"/>
      <c r="J41" s="102"/>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row>
    <row r="42" spans="1:53" s="3" customFormat="1" ht="14.25" customHeight="1" x14ac:dyDescent="0.25">
      <c r="A42" s="36"/>
      <c r="B42" s="100" t="s">
        <v>5</v>
      </c>
      <c r="C42" s="101"/>
      <c r="D42" s="101"/>
      <c r="E42" s="101"/>
      <c r="F42" s="101"/>
      <c r="G42" s="101"/>
      <c r="H42" s="101"/>
      <c r="I42" s="101"/>
      <c r="J42" s="102"/>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row>
    <row r="43" spans="1:53" s="3" customFormat="1" ht="14.25" customHeight="1" x14ac:dyDescent="0.25">
      <c r="A43" s="36"/>
      <c r="B43" s="117" t="s">
        <v>24</v>
      </c>
      <c r="C43" s="118"/>
      <c r="D43" s="118"/>
      <c r="E43" s="118"/>
      <c r="F43" s="118"/>
      <c r="G43" s="118"/>
      <c r="H43" s="118"/>
      <c r="I43" s="118"/>
      <c r="J43" s="119"/>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row>
    <row r="44" spans="1:53" s="34" customFormat="1" x14ac:dyDescent="0.25">
      <c r="B44" s="37"/>
      <c r="D44" s="37"/>
      <c r="E44" s="37"/>
      <c r="F44" s="37"/>
      <c r="G44" s="37"/>
    </row>
    <row r="45" spans="1:53" s="34" customFormat="1" x14ac:dyDescent="0.25">
      <c r="B45" s="37"/>
      <c r="D45" s="37"/>
      <c r="E45" s="37"/>
      <c r="F45" s="37"/>
      <c r="G45" s="37"/>
    </row>
    <row r="46" spans="1:53" s="34" customFormat="1" x14ac:dyDescent="0.25">
      <c r="B46" s="37"/>
      <c r="D46" s="37"/>
      <c r="E46" s="37"/>
      <c r="F46" s="37"/>
      <c r="G46" s="37"/>
    </row>
    <row r="47" spans="1:53" s="34" customFormat="1" x14ac:dyDescent="0.25">
      <c r="B47" s="37"/>
      <c r="D47" s="37"/>
      <c r="E47" s="37"/>
      <c r="F47" s="37"/>
      <c r="G47" s="37"/>
    </row>
    <row r="48" spans="1:53" s="34" customFormat="1" x14ac:dyDescent="0.25">
      <c r="B48" s="37"/>
      <c r="D48" s="37"/>
      <c r="E48" s="37"/>
      <c r="F48" s="37"/>
      <c r="G48" s="37"/>
    </row>
    <row r="49" spans="2:7" s="34" customFormat="1" x14ac:dyDescent="0.25">
      <c r="B49" s="37"/>
      <c r="D49" s="37"/>
      <c r="E49" s="37"/>
      <c r="F49" s="37"/>
      <c r="G49" s="37"/>
    </row>
    <row r="50" spans="2:7" s="34" customFormat="1" x14ac:dyDescent="0.25">
      <c r="B50" s="37"/>
      <c r="D50" s="37"/>
      <c r="E50" s="37"/>
      <c r="F50" s="37"/>
      <c r="G50" s="37"/>
    </row>
    <row r="51" spans="2:7" s="34" customFormat="1" x14ac:dyDescent="0.25">
      <c r="B51" s="37"/>
      <c r="D51" s="37"/>
      <c r="E51" s="37"/>
      <c r="F51" s="37"/>
      <c r="G51" s="37"/>
    </row>
    <row r="52" spans="2:7" s="34" customFormat="1" x14ac:dyDescent="0.25">
      <c r="B52" s="37"/>
      <c r="D52" s="37"/>
      <c r="E52" s="37"/>
      <c r="F52" s="37"/>
      <c r="G52" s="37"/>
    </row>
    <row r="53" spans="2:7" s="34" customFormat="1" x14ac:dyDescent="0.25">
      <c r="B53" s="37"/>
      <c r="D53" s="37"/>
      <c r="E53" s="37"/>
      <c r="F53" s="37"/>
      <c r="G53" s="37"/>
    </row>
    <row r="54" spans="2:7" s="34" customFormat="1" x14ac:dyDescent="0.25">
      <c r="B54" s="37"/>
      <c r="D54" s="37"/>
      <c r="E54" s="37"/>
      <c r="F54" s="37"/>
      <c r="G54" s="37"/>
    </row>
    <row r="55" spans="2:7" s="34" customFormat="1" x14ac:dyDescent="0.25">
      <c r="B55" s="37"/>
      <c r="D55" s="37"/>
      <c r="E55" s="37"/>
      <c r="F55" s="37"/>
      <c r="G55" s="37"/>
    </row>
    <row r="56" spans="2:7" s="34" customFormat="1" x14ac:dyDescent="0.25">
      <c r="B56" s="37"/>
      <c r="D56" s="37"/>
      <c r="E56" s="37"/>
      <c r="F56" s="37"/>
      <c r="G56" s="37"/>
    </row>
    <row r="57" spans="2:7" s="34" customFormat="1" x14ac:dyDescent="0.25">
      <c r="B57" s="37"/>
      <c r="D57" s="37"/>
      <c r="E57" s="37"/>
      <c r="F57" s="37"/>
      <c r="G57" s="37"/>
    </row>
    <row r="58" spans="2:7" s="34" customFormat="1" x14ac:dyDescent="0.25">
      <c r="B58" s="37"/>
      <c r="D58" s="37"/>
      <c r="E58" s="37"/>
      <c r="F58" s="37"/>
      <c r="G58" s="37"/>
    </row>
    <row r="59" spans="2:7" s="34" customFormat="1" x14ac:dyDescent="0.25">
      <c r="B59" s="37"/>
      <c r="D59" s="37"/>
      <c r="E59" s="37"/>
      <c r="F59" s="37"/>
      <c r="G59" s="37"/>
    </row>
    <row r="60" spans="2:7" s="34" customFormat="1" x14ac:dyDescent="0.25">
      <c r="B60" s="37"/>
      <c r="D60" s="37"/>
      <c r="E60" s="37"/>
      <c r="F60" s="37"/>
      <c r="G60" s="37"/>
    </row>
    <row r="61" spans="2:7" s="34" customFormat="1" x14ac:dyDescent="0.25">
      <c r="B61" s="37"/>
      <c r="D61" s="37"/>
      <c r="E61" s="37"/>
      <c r="F61" s="37"/>
      <c r="G61" s="37"/>
    </row>
    <row r="62" spans="2:7" s="34" customFormat="1" x14ac:dyDescent="0.25">
      <c r="B62" s="37"/>
      <c r="D62" s="37"/>
      <c r="E62" s="37"/>
      <c r="F62" s="37"/>
      <c r="G62" s="37"/>
    </row>
    <row r="63" spans="2:7" s="34" customFormat="1" x14ac:dyDescent="0.25">
      <c r="B63" s="37"/>
      <c r="D63" s="37"/>
      <c r="E63" s="37"/>
      <c r="F63" s="37"/>
      <c r="G63" s="37"/>
    </row>
    <row r="64" spans="2:7" s="34" customFormat="1" x14ac:dyDescent="0.25">
      <c r="B64" s="37"/>
      <c r="D64" s="37"/>
      <c r="E64" s="37"/>
      <c r="F64" s="37"/>
      <c r="G64" s="37"/>
    </row>
    <row r="65" spans="2:7" s="34" customFormat="1" x14ac:dyDescent="0.25">
      <c r="B65" s="37"/>
      <c r="D65" s="37"/>
      <c r="E65" s="37"/>
      <c r="F65" s="37"/>
      <c r="G65" s="37"/>
    </row>
    <row r="66" spans="2:7" s="34" customFormat="1" x14ac:dyDescent="0.25">
      <c r="B66" s="37"/>
      <c r="D66" s="37"/>
      <c r="E66" s="37"/>
      <c r="F66" s="37"/>
      <c r="G66" s="37"/>
    </row>
    <row r="67" spans="2:7" s="34" customFormat="1" x14ac:dyDescent="0.25">
      <c r="B67" s="37"/>
      <c r="D67" s="37"/>
      <c r="E67" s="37"/>
      <c r="F67" s="37"/>
      <c r="G67" s="37"/>
    </row>
    <row r="68" spans="2:7" s="34" customFormat="1" x14ac:dyDescent="0.25">
      <c r="B68" s="37"/>
      <c r="D68" s="37"/>
      <c r="E68" s="37"/>
      <c r="F68" s="37"/>
      <c r="G68" s="37"/>
    </row>
    <row r="69" spans="2:7" s="34" customFormat="1" x14ac:dyDescent="0.25">
      <c r="B69" s="37"/>
      <c r="D69" s="37"/>
      <c r="E69" s="37"/>
      <c r="F69" s="37"/>
      <c r="G69" s="37"/>
    </row>
    <row r="70" spans="2:7" s="34" customFormat="1" x14ac:dyDescent="0.25">
      <c r="B70" s="37"/>
      <c r="D70" s="37"/>
      <c r="E70" s="37"/>
      <c r="F70" s="37"/>
      <c r="G70" s="37"/>
    </row>
    <row r="71" spans="2:7" s="34" customFormat="1" x14ac:dyDescent="0.25">
      <c r="B71" s="37"/>
      <c r="D71" s="37"/>
      <c r="E71" s="37"/>
      <c r="F71" s="37"/>
      <c r="G71" s="37"/>
    </row>
    <row r="72" spans="2:7" s="34" customFormat="1" x14ac:dyDescent="0.25">
      <c r="B72" s="37"/>
      <c r="D72" s="37"/>
      <c r="E72" s="37"/>
      <c r="F72" s="37"/>
      <c r="G72" s="37"/>
    </row>
    <row r="73" spans="2:7" s="34" customFormat="1" x14ac:dyDescent="0.25">
      <c r="B73" s="37"/>
      <c r="D73" s="37"/>
      <c r="E73" s="37"/>
      <c r="F73" s="37"/>
      <c r="G73" s="37"/>
    </row>
    <row r="74" spans="2:7" s="34" customFormat="1" x14ac:dyDescent="0.25">
      <c r="B74" s="37"/>
      <c r="D74" s="37"/>
      <c r="E74" s="37"/>
      <c r="F74" s="37"/>
      <c r="G74" s="37"/>
    </row>
    <row r="75" spans="2:7" s="34" customFormat="1" x14ac:dyDescent="0.25">
      <c r="B75" s="37"/>
      <c r="D75" s="37"/>
      <c r="E75" s="37"/>
      <c r="F75" s="37"/>
      <c r="G75" s="37"/>
    </row>
    <row r="76" spans="2:7" s="34" customFormat="1" x14ac:dyDescent="0.25">
      <c r="B76" s="37"/>
      <c r="D76" s="37"/>
      <c r="E76" s="37"/>
      <c r="F76" s="37"/>
      <c r="G76" s="37"/>
    </row>
    <row r="77" spans="2:7" s="34" customFormat="1" x14ac:dyDescent="0.25">
      <c r="B77" s="37"/>
      <c r="D77" s="37"/>
      <c r="E77" s="37"/>
      <c r="F77" s="37"/>
      <c r="G77" s="37"/>
    </row>
    <row r="78" spans="2:7" s="34" customFormat="1" x14ac:dyDescent="0.25">
      <c r="B78" s="37"/>
      <c r="D78" s="37"/>
      <c r="E78" s="37"/>
      <c r="F78" s="37"/>
      <c r="G78" s="37"/>
    </row>
    <row r="79" spans="2:7" s="34" customFormat="1" x14ac:dyDescent="0.25">
      <c r="B79" s="37"/>
      <c r="D79" s="37"/>
      <c r="E79" s="37"/>
      <c r="F79" s="37"/>
      <c r="G79" s="37"/>
    </row>
    <row r="80" spans="2:7" s="34" customFormat="1" x14ac:dyDescent="0.25">
      <c r="B80" s="37"/>
      <c r="D80" s="37"/>
      <c r="E80" s="37"/>
      <c r="F80" s="37"/>
      <c r="G80" s="37"/>
    </row>
    <row r="81" spans="2:7" s="34" customFormat="1" x14ac:dyDescent="0.25">
      <c r="B81" s="37"/>
      <c r="D81" s="37"/>
      <c r="E81" s="37"/>
      <c r="F81" s="37"/>
      <c r="G81" s="37"/>
    </row>
    <row r="82" spans="2:7" s="34" customFormat="1" x14ac:dyDescent="0.25">
      <c r="B82" s="37"/>
      <c r="D82" s="37"/>
      <c r="E82" s="37"/>
      <c r="F82" s="37"/>
      <c r="G82" s="37"/>
    </row>
  </sheetData>
  <sheetProtection algorithmName="SHA-512" hashValue="YA7Wau6ixCZ1bUk7QRcL+fNh0jbX9DZc7g1w0ozWyOFid62kmCQ0FZHpdQb3k/sIquD/Z4UcHvwlVkpq4j2HdA==" saltValue="f93S1Ia8IxQFXTdKsxm9UQ==" spinCount="100000" sheet="1" objects="1" scenarios="1"/>
  <mergeCells count="9">
    <mergeCell ref="B43:J43"/>
    <mergeCell ref="B42:J42"/>
    <mergeCell ref="C2:D2"/>
    <mergeCell ref="E2:F2"/>
    <mergeCell ref="H2:J2"/>
    <mergeCell ref="B3:J3"/>
    <mergeCell ref="B4:E4"/>
    <mergeCell ref="G4:J4"/>
    <mergeCell ref="B41:J41"/>
  </mergeCells>
  <pageMargins left="0.5" right="0.5" top="0.75" bottom="0.75" header="0.3" footer="0.3"/>
  <pageSetup scale="18"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K76"/>
  <sheetViews>
    <sheetView showGridLines="0" workbookViewId="0">
      <selection activeCell="G4" sqref="G4:J4"/>
    </sheetView>
  </sheetViews>
  <sheetFormatPr defaultRowHeight="15" x14ac:dyDescent="0.25"/>
  <cols>
    <col min="1" max="1" width="9.140625" style="34"/>
    <col min="2" max="2" width="11.85546875" style="9" customWidth="1"/>
    <col min="3" max="3" width="10.5703125" customWidth="1"/>
    <col min="4" max="4" width="16.28515625" style="9" customWidth="1"/>
    <col min="5" max="5" width="12.7109375" style="9" customWidth="1"/>
    <col min="6" max="6" width="15.140625" style="9" customWidth="1"/>
    <col min="7" max="7" width="11.28515625" style="9" customWidth="1"/>
    <col min="8" max="8" width="7.7109375" customWidth="1"/>
    <col min="9" max="9" width="7.85546875" customWidth="1"/>
    <col min="10" max="10" width="8.5703125" customWidth="1"/>
    <col min="11" max="63" width="9.140625" style="34"/>
  </cols>
  <sheetData>
    <row r="1" spans="1:63" s="34" customFormat="1" ht="23.25" customHeight="1" thickBot="1" x14ac:dyDescent="0.3">
      <c r="B1" s="37"/>
      <c r="D1" s="37"/>
      <c r="E1" s="37"/>
      <c r="F1" s="37"/>
      <c r="G1" s="37"/>
    </row>
    <row r="2" spans="1:63" ht="15.75" thickBot="1" x14ac:dyDescent="0.3">
      <c r="B2" s="53" t="s">
        <v>19</v>
      </c>
      <c r="C2" s="122">
        <f>'Tab 1--3A, (AC 1-35)'!C2:D2</f>
        <v>0</v>
      </c>
      <c r="D2" s="122"/>
      <c r="E2" s="99" t="s">
        <v>34</v>
      </c>
      <c r="F2" s="99"/>
      <c r="G2" s="55" t="s">
        <v>18</v>
      </c>
      <c r="H2" s="120" t="str">
        <f>'Tab 1--3A, (AC 1-35)'!H2:J2</f>
        <v xml:space="preserve">HTC71124RCC01 Atch 1a </v>
      </c>
      <c r="I2" s="120"/>
      <c r="J2" s="120"/>
      <c r="K2" s="35"/>
    </row>
    <row r="3" spans="1:63" ht="32.25" customHeight="1" thickBot="1" x14ac:dyDescent="0.4">
      <c r="B3" s="108" t="s">
        <v>17</v>
      </c>
      <c r="C3" s="109"/>
      <c r="D3" s="109"/>
      <c r="E3" s="109"/>
      <c r="F3" s="109"/>
      <c r="G3" s="109"/>
      <c r="H3" s="109"/>
      <c r="I3" s="109"/>
      <c r="J3" s="110"/>
      <c r="K3" s="35"/>
    </row>
    <row r="4" spans="1:63" s="4" customFormat="1" ht="37.5" customHeight="1" thickBot="1" x14ac:dyDescent="0.3">
      <c r="A4" s="34"/>
      <c r="B4" s="103" t="s">
        <v>14</v>
      </c>
      <c r="C4" s="121"/>
      <c r="D4" s="121"/>
      <c r="E4" s="121"/>
      <c r="F4" s="33">
        <f>'Tab 1--3A, (AC 1-35)'!F4</f>
        <v>0</v>
      </c>
      <c r="G4" s="105" t="s">
        <v>32</v>
      </c>
      <c r="H4" s="106"/>
      <c r="I4" s="106"/>
      <c r="J4" s="107"/>
      <c r="K4" s="34"/>
      <c r="L4" s="34"/>
      <c r="M4" s="34"/>
      <c r="N4" s="51"/>
      <c r="O4" s="51"/>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row>
    <row r="5" spans="1:63" ht="33" customHeight="1" thickBot="1" x14ac:dyDescent="0.3">
      <c r="B5" s="82" t="s">
        <v>4</v>
      </c>
      <c r="C5" s="81" t="s">
        <v>37</v>
      </c>
      <c r="D5" s="83" t="s">
        <v>0</v>
      </c>
      <c r="E5" s="83" t="s">
        <v>16</v>
      </c>
      <c r="F5" s="84" t="s">
        <v>1</v>
      </c>
      <c r="G5" s="85" t="s">
        <v>15</v>
      </c>
      <c r="H5" s="81" t="s">
        <v>38</v>
      </c>
      <c r="I5" s="83" t="s">
        <v>29</v>
      </c>
      <c r="J5" s="86" t="s">
        <v>30</v>
      </c>
    </row>
    <row r="6" spans="1:63" ht="15.75" thickTop="1" x14ac:dyDescent="0.25">
      <c r="B6" s="24">
        <v>106</v>
      </c>
      <c r="C6" s="10"/>
      <c r="D6" s="11"/>
      <c r="E6" s="15"/>
      <c r="F6" s="13"/>
      <c r="G6" s="29"/>
      <c r="H6" s="21"/>
      <c r="I6" s="11"/>
      <c r="J6" s="12"/>
    </row>
    <row r="7" spans="1:63" x14ac:dyDescent="0.25">
      <c r="B7" s="5">
        <v>107</v>
      </c>
      <c r="C7" s="10"/>
      <c r="D7" s="13"/>
      <c r="E7" s="15"/>
      <c r="F7" s="13"/>
      <c r="G7" s="25"/>
      <c r="H7" s="25"/>
      <c r="I7" s="13"/>
      <c r="J7" s="14"/>
    </row>
    <row r="8" spans="1:63" x14ac:dyDescent="0.25">
      <c r="B8" s="5">
        <v>108</v>
      </c>
      <c r="C8" s="10"/>
      <c r="D8" s="13"/>
      <c r="E8" s="15"/>
      <c r="F8" s="13"/>
      <c r="G8" s="25"/>
      <c r="H8" s="25"/>
      <c r="I8" s="13"/>
      <c r="J8" s="14"/>
    </row>
    <row r="9" spans="1:63" x14ac:dyDescent="0.25">
      <c r="B9" s="5">
        <v>109</v>
      </c>
      <c r="C9" s="10"/>
      <c r="D9" s="13"/>
      <c r="E9" s="15"/>
      <c r="F9" s="13"/>
      <c r="G9" s="25"/>
      <c r="H9" s="25"/>
      <c r="I9" s="13"/>
      <c r="J9" s="14"/>
    </row>
    <row r="10" spans="1:63" x14ac:dyDescent="0.25">
      <c r="B10" s="5">
        <v>110</v>
      </c>
      <c r="C10" s="10"/>
      <c r="D10" s="13"/>
      <c r="E10" s="15"/>
      <c r="F10" s="13"/>
      <c r="G10" s="25"/>
      <c r="H10" s="25"/>
      <c r="I10" s="13"/>
      <c r="J10" s="14"/>
    </row>
    <row r="11" spans="1:63" x14ac:dyDescent="0.25">
      <c r="B11" s="5">
        <v>111</v>
      </c>
      <c r="C11" s="10"/>
      <c r="D11" s="13"/>
      <c r="E11" s="15"/>
      <c r="F11" s="13"/>
      <c r="G11" s="25"/>
      <c r="H11" s="25"/>
      <c r="I11" s="13"/>
      <c r="J11" s="14"/>
    </row>
    <row r="12" spans="1:63" x14ac:dyDescent="0.25">
      <c r="B12" s="5">
        <v>112</v>
      </c>
      <c r="C12" s="10"/>
      <c r="D12" s="13"/>
      <c r="E12" s="15"/>
      <c r="F12" s="13"/>
      <c r="G12" s="25"/>
      <c r="H12" s="25"/>
      <c r="I12" s="13"/>
      <c r="J12" s="14"/>
    </row>
    <row r="13" spans="1:63" x14ac:dyDescent="0.25">
      <c r="B13" s="5">
        <v>113</v>
      </c>
      <c r="C13" s="10"/>
      <c r="D13" s="13"/>
      <c r="E13" s="15"/>
      <c r="F13" s="13"/>
      <c r="G13" s="25"/>
      <c r="H13" s="25"/>
      <c r="I13" s="13"/>
      <c r="J13" s="14"/>
    </row>
    <row r="14" spans="1:63" x14ac:dyDescent="0.25">
      <c r="B14" s="5">
        <v>114</v>
      </c>
      <c r="C14" s="10"/>
      <c r="D14" s="13"/>
      <c r="E14" s="15"/>
      <c r="F14" s="13"/>
      <c r="G14" s="25"/>
      <c r="H14" s="25"/>
      <c r="I14" s="13"/>
      <c r="J14" s="14"/>
    </row>
    <row r="15" spans="1:63" x14ac:dyDescent="0.25">
      <c r="B15" s="5">
        <v>115</v>
      </c>
      <c r="C15" s="10"/>
      <c r="D15" s="13"/>
      <c r="E15" s="15"/>
      <c r="F15" s="13"/>
      <c r="G15" s="25"/>
      <c r="H15" s="25"/>
      <c r="I15" s="13"/>
      <c r="J15" s="14"/>
    </row>
    <row r="16" spans="1:63" x14ac:dyDescent="0.25">
      <c r="B16" s="5">
        <v>116</v>
      </c>
      <c r="C16" s="10"/>
      <c r="D16" s="13"/>
      <c r="E16" s="15"/>
      <c r="F16" s="13"/>
      <c r="G16" s="25"/>
      <c r="H16" s="25"/>
      <c r="I16" s="13"/>
      <c r="J16" s="14"/>
    </row>
    <row r="17" spans="2:10" x14ac:dyDescent="0.25">
      <c r="B17" s="5">
        <v>117</v>
      </c>
      <c r="C17" s="10"/>
      <c r="D17" s="13"/>
      <c r="E17" s="15"/>
      <c r="F17" s="13"/>
      <c r="G17" s="25"/>
      <c r="H17" s="25"/>
      <c r="I17" s="13"/>
      <c r="J17" s="14"/>
    </row>
    <row r="18" spans="2:10" x14ac:dyDescent="0.25">
      <c r="B18" s="5">
        <v>118</v>
      </c>
      <c r="C18" s="10"/>
      <c r="D18" s="13"/>
      <c r="E18" s="15"/>
      <c r="F18" s="13"/>
      <c r="G18" s="25"/>
      <c r="H18" s="25"/>
      <c r="I18" s="13"/>
      <c r="J18" s="14" t="s">
        <v>13</v>
      </c>
    </row>
    <row r="19" spans="2:10" x14ac:dyDescent="0.25">
      <c r="B19" s="5">
        <v>119</v>
      </c>
      <c r="C19" s="10"/>
      <c r="D19" s="13"/>
      <c r="E19" s="15"/>
      <c r="F19" s="13"/>
      <c r="G19" s="26"/>
      <c r="H19" s="26" t="s">
        <v>13</v>
      </c>
      <c r="I19" s="15" t="s">
        <v>13</v>
      </c>
      <c r="J19" s="16"/>
    </row>
    <row r="20" spans="2:10" x14ac:dyDescent="0.25">
      <c r="B20" s="5">
        <v>110</v>
      </c>
      <c r="C20" s="10"/>
      <c r="D20" s="13"/>
      <c r="E20" s="15"/>
      <c r="F20" s="13"/>
      <c r="G20" s="26"/>
      <c r="H20" s="26"/>
      <c r="I20" s="15"/>
      <c r="J20" s="16"/>
    </row>
    <row r="21" spans="2:10" x14ac:dyDescent="0.25">
      <c r="B21" s="5">
        <v>111</v>
      </c>
      <c r="C21" s="10"/>
      <c r="D21" s="13"/>
      <c r="E21" s="15"/>
      <c r="F21" s="13"/>
      <c r="G21" s="26"/>
      <c r="H21" s="26"/>
      <c r="I21" s="15"/>
      <c r="J21" s="16"/>
    </row>
    <row r="22" spans="2:10" x14ac:dyDescent="0.25">
      <c r="B22" s="5">
        <v>112</v>
      </c>
      <c r="C22" s="10"/>
      <c r="D22" s="13"/>
      <c r="E22" s="15"/>
      <c r="F22" s="13"/>
      <c r="G22" s="26"/>
      <c r="H22" s="26" t="s">
        <v>13</v>
      </c>
      <c r="I22" s="15" t="s">
        <v>13</v>
      </c>
      <c r="J22" s="16" t="s">
        <v>13</v>
      </c>
    </row>
    <row r="23" spans="2:10" x14ac:dyDescent="0.25">
      <c r="B23" s="5">
        <v>113</v>
      </c>
      <c r="C23" s="10"/>
      <c r="D23" s="13"/>
      <c r="E23" s="15"/>
      <c r="F23" s="13"/>
      <c r="G23" s="26"/>
      <c r="H23" s="26"/>
      <c r="I23" s="15"/>
      <c r="J23" s="16"/>
    </row>
    <row r="24" spans="2:10" x14ac:dyDescent="0.25">
      <c r="B24" s="5">
        <v>114</v>
      </c>
      <c r="C24" s="10"/>
      <c r="D24" s="13"/>
      <c r="E24" s="15"/>
      <c r="F24" s="13"/>
      <c r="G24" s="26"/>
      <c r="H24" s="26"/>
      <c r="I24" s="15"/>
      <c r="J24" s="16"/>
    </row>
    <row r="25" spans="2:10" x14ac:dyDescent="0.25">
      <c r="B25" s="5">
        <v>115</v>
      </c>
      <c r="C25" s="10"/>
      <c r="D25" s="13"/>
      <c r="E25" s="15"/>
      <c r="F25" s="13"/>
      <c r="G25" s="26"/>
      <c r="H25" s="26"/>
      <c r="I25" s="15"/>
      <c r="J25" s="16"/>
    </row>
    <row r="26" spans="2:10" x14ac:dyDescent="0.25">
      <c r="B26" s="5">
        <v>116</v>
      </c>
      <c r="C26" s="10"/>
      <c r="D26" s="13"/>
      <c r="E26" s="15"/>
      <c r="F26" s="13"/>
      <c r="G26" s="26"/>
      <c r="H26" s="26"/>
      <c r="I26" s="15"/>
      <c r="J26" s="16"/>
    </row>
    <row r="27" spans="2:10" x14ac:dyDescent="0.25">
      <c r="B27" s="5">
        <v>117</v>
      </c>
      <c r="C27" s="10"/>
      <c r="D27" s="13"/>
      <c r="E27" s="15"/>
      <c r="F27" s="13"/>
      <c r="G27" s="26"/>
      <c r="H27" s="26"/>
      <c r="I27" s="15"/>
      <c r="J27" s="16"/>
    </row>
    <row r="28" spans="2:10" x14ac:dyDescent="0.25">
      <c r="B28" s="5">
        <v>118</v>
      </c>
      <c r="C28" s="10"/>
      <c r="D28" s="13"/>
      <c r="E28" s="15"/>
      <c r="F28" s="13"/>
      <c r="G28" s="26"/>
      <c r="H28" s="26"/>
      <c r="I28" s="15"/>
      <c r="J28" s="16"/>
    </row>
    <row r="29" spans="2:10" x14ac:dyDescent="0.25">
      <c r="B29" s="5">
        <v>119</v>
      </c>
      <c r="C29" s="10"/>
      <c r="D29" s="13"/>
      <c r="E29" s="15"/>
      <c r="F29" s="13"/>
      <c r="G29" s="26"/>
      <c r="H29" s="26"/>
      <c r="I29" s="15"/>
      <c r="J29" s="16"/>
    </row>
    <row r="30" spans="2:10" x14ac:dyDescent="0.25">
      <c r="B30" s="5">
        <v>120</v>
      </c>
      <c r="C30" s="10"/>
      <c r="D30" s="13"/>
      <c r="E30" s="15"/>
      <c r="F30" s="13"/>
      <c r="G30" s="26"/>
      <c r="H30" s="26"/>
      <c r="I30" s="15"/>
      <c r="J30" s="16"/>
    </row>
    <row r="31" spans="2:10" x14ac:dyDescent="0.25">
      <c r="B31" s="5">
        <v>121</v>
      </c>
      <c r="C31" s="10"/>
      <c r="D31" s="13"/>
      <c r="E31" s="15"/>
      <c r="F31" s="13"/>
      <c r="G31" s="26"/>
      <c r="H31" s="26"/>
      <c r="I31" s="15"/>
      <c r="J31" s="16"/>
    </row>
    <row r="32" spans="2:10" x14ac:dyDescent="0.25">
      <c r="B32" s="5">
        <v>122</v>
      </c>
      <c r="C32" s="10"/>
      <c r="D32" s="13"/>
      <c r="E32" s="15"/>
      <c r="F32" s="13"/>
      <c r="G32" s="26"/>
      <c r="H32" s="26"/>
      <c r="I32" s="15"/>
      <c r="J32" s="16"/>
    </row>
    <row r="33" spans="1:63" x14ac:dyDescent="0.25">
      <c r="B33" s="5">
        <v>123</v>
      </c>
      <c r="C33" s="10"/>
      <c r="D33" s="13"/>
      <c r="E33" s="15"/>
      <c r="F33" s="13"/>
      <c r="G33" s="26"/>
      <c r="H33" s="26"/>
      <c r="I33" s="15"/>
      <c r="J33" s="16"/>
    </row>
    <row r="34" spans="1:63" x14ac:dyDescent="0.25">
      <c r="B34" s="5">
        <v>124</v>
      </c>
      <c r="C34" s="10"/>
      <c r="D34" s="13"/>
      <c r="E34" s="15"/>
      <c r="F34" s="13"/>
      <c r="G34" s="26"/>
      <c r="H34" s="26"/>
      <c r="I34" s="15"/>
      <c r="J34" s="16"/>
    </row>
    <row r="35" spans="1:63" x14ac:dyDescent="0.25">
      <c r="B35" s="5">
        <v>125</v>
      </c>
      <c r="C35" s="10"/>
      <c r="D35" s="13"/>
      <c r="E35" s="15"/>
      <c r="F35" s="13"/>
      <c r="G35" s="26"/>
      <c r="H35" s="26"/>
      <c r="I35" s="15"/>
      <c r="J35" s="16"/>
    </row>
    <row r="36" spans="1:63" x14ac:dyDescent="0.25">
      <c r="B36" s="5">
        <v>126</v>
      </c>
      <c r="C36" s="10"/>
      <c r="D36" s="13"/>
      <c r="E36" s="15"/>
      <c r="F36" s="13"/>
      <c r="G36" s="26"/>
      <c r="H36" s="26"/>
      <c r="I36" s="15"/>
      <c r="J36" s="16"/>
    </row>
    <row r="37" spans="1:63" x14ac:dyDescent="0.25">
      <c r="B37" s="5">
        <v>127</v>
      </c>
      <c r="C37" s="10"/>
      <c r="D37" s="13"/>
      <c r="E37" s="15"/>
      <c r="F37" s="13"/>
      <c r="G37" s="26"/>
      <c r="H37" s="26"/>
      <c r="I37" s="15"/>
      <c r="J37" s="16"/>
    </row>
    <row r="38" spans="1:63" x14ac:dyDescent="0.25">
      <c r="B38" s="5">
        <v>128</v>
      </c>
      <c r="C38" s="10"/>
      <c r="D38" s="13"/>
      <c r="E38" s="15"/>
      <c r="F38" s="13"/>
      <c r="G38" s="26"/>
      <c r="H38" s="26"/>
      <c r="I38" s="15"/>
      <c r="J38" s="16"/>
    </row>
    <row r="39" spans="1:63" x14ac:dyDescent="0.25">
      <c r="B39" s="5">
        <v>129</v>
      </c>
      <c r="C39" s="10"/>
      <c r="D39" s="13"/>
      <c r="E39" s="15"/>
      <c r="F39" s="13"/>
      <c r="G39" s="26"/>
      <c r="H39" s="26"/>
      <c r="I39" s="15"/>
      <c r="J39" s="16"/>
    </row>
    <row r="40" spans="1:63" ht="15.75" thickBot="1" x14ac:dyDescent="0.3">
      <c r="B40" s="6">
        <v>130</v>
      </c>
      <c r="C40" s="23"/>
      <c r="D40" s="17"/>
      <c r="E40" s="17"/>
      <c r="F40" s="32"/>
      <c r="G40" s="17"/>
      <c r="H40" s="28"/>
      <c r="I40" s="17"/>
      <c r="J40" s="18"/>
    </row>
    <row r="41" spans="1:63" s="3" customFormat="1" ht="14.25" customHeight="1" x14ac:dyDescent="0.25">
      <c r="A41" s="36"/>
      <c r="B41" s="100" t="s">
        <v>20</v>
      </c>
      <c r="C41" s="101"/>
      <c r="D41" s="101"/>
      <c r="E41" s="101"/>
      <c r="F41" s="101"/>
      <c r="G41" s="101"/>
      <c r="H41" s="101"/>
      <c r="I41" s="101"/>
      <c r="J41" s="102"/>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c r="BK41" s="36"/>
    </row>
    <row r="42" spans="1:63" s="3" customFormat="1" ht="14.25" customHeight="1" x14ac:dyDescent="0.25">
      <c r="A42" s="36"/>
      <c r="B42" s="100" t="s">
        <v>5</v>
      </c>
      <c r="C42" s="101"/>
      <c r="D42" s="101"/>
      <c r="E42" s="101"/>
      <c r="F42" s="101"/>
      <c r="G42" s="101"/>
      <c r="H42" s="101"/>
      <c r="I42" s="101"/>
      <c r="J42" s="102"/>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row>
    <row r="43" spans="1:63" s="3" customFormat="1" ht="14.25" customHeight="1" x14ac:dyDescent="0.25">
      <c r="A43" s="36"/>
      <c r="B43" s="117" t="s">
        <v>25</v>
      </c>
      <c r="C43" s="118"/>
      <c r="D43" s="118"/>
      <c r="E43" s="118"/>
      <c r="F43" s="118"/>
      <c r="G43" s="118"/>
      <c r="H43" s="118"/>
      <c r="I43" s="118"/>
      <c r="J43" s="119"/>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row>
    <row r="44" spans="1:63" s="34" customFormat="1" x14ac:dyDescent="0.25">
      <c r="B44" s="37"/>
      <c r="D44" s="37"/>
      <c r="E44" s="37"/>
      <c r="F44" s="37"/>
      <c r="G44" s="37"/>
    </row>
    <row r="45" spans="1:63" s="34" customFormat="1" x14ac:dyDescent="0.25">
      <c r="B45" s="37"/>
      <c r="D45" s="37"/>
      <c r="E45" s="37"/>
      <c r="F45" s="37"/>
      <c r="G45" s="37"/>
    </row>
    <row r="46" spans="1:63" s="34" customFormat="1" x14ac:dyDescent="0.25">
      <c r="B46" s="37"/>
      <c r="D46" s="37"/>
      <c r="E46" s="37"/>
      <c r="F46" s="37"/>
      <c r="G46" s="37"/>
    </row>
    <row r="47" spans="1:63" s="34" customFormat="1" x14ac:dyDescent="0.25">
      <c r="B47" s="37"/>
      <c r="D47" s="37"/>
      <c r="E47" s="37"/>
      <c r="F47" s="37"/>
      <c r="G47" s="37"/>
    </row>
    <row r="48" spans="1:63" s="34" customFormat="1" x14ac:dyDescent="0.25">
      <c r="B48" s="37"/>
      <c r="D48" s="37"/>
      <c r="E48" s="37"/>
      <c r="F48" s="37"/>
      <c r="G48" s="37"/>
    </row>
    <row r="49" spans="2:7" s="34" customFormat="1" x14ac:dyDescent="0.25">
      <c r="B49" s="37"/>
      <c r="D49" s="37"/>
      <c r="E49" s="37"/>
      <c r="F49" s="37"/>
      <c r="G49" s="37"/>
    </row>
    <row r="50" spans="2:7" s="34" customFormat="1" x14ac:dyDescent="0.25">
      <c r="B50" s="37"/>
      <c r="D50" s="37"/>
      <c r="E50" s="37"/>
      <c r="F50" s="37"/>
      <c r="G50" s="37"/>
    </row>
    <row r="51" spans="2:7" s="34" customFormat="1" x14ac:dyDescent="0.25">
      <c r="B51" s="37"/>
      <c r="D51" s="37"/>
      <c r="E51" s="37"/>
      <c r="F51" s="37"/>
      <c r="G51" s="37"/>
    </row>
    <row r="52" spans="2:7" s="34" customFormat="1" x14ac:dyDescent="0.25">
      <c r="B52" s="37"/>
      <c r="D52" s="37"/>
      <c r="E52" s="37"/>
      <c r="F52" s="37"/>
      <c r="G52" s="37"/>
    </row>
    <row r="53" spans="2:7" s="34" customFormat="1" x14ac:dyDescent="0.25">
      <c r="B53" s="37"/>
      <c r="D53" s="37"/>
      <c r="E53" s="37"/>
      <c r="F53" s="37"/>
      <c r="G53" s="37"/>
    </row>
    <row r="54" spans="2:7" s="34" customFormat="1" x14ac:dyDescent="0.25">
      <c r="B54" s="37"/>
      <c r="D54" s="37"/>
      <c r="E54" s="37"/>
      <c r="F54" s="37"/>
      <c r="G54" s="37"/>
    </row>
    <row r="55" spans="2:7" s="34" customFormat="1" x14ac:dyDescent="0.25">
      <c r="B55" s="37"/>
      <c r="D55" s="37"/>
      <c r="E55" s="37"/>
      <c r="F55" s="37"/>
      <c r="G55" s="37"/>
    </row>
    <row r="56" spans="2:7" s="34" customFormat="1" x14ac:dyDescent="0.25">
      <c r="B56" s="37"/>
      <c r="D56" s="37"/>
      <c r="E56" s="37"/>
      <c r="F56" s="37"/>
      <c r="G56" s="37"/>
    </row>
    <row r="57" spans="2:7" s="34" customFormat="1" x14ac:dyDescent="0.25">
      <c r="B57" s="37"/>
      <c r="D57" s="37"/>
      <c r="E57" s="37"/>
      <c r="F57" s="37"/>
      <c r="G57" s="37"/>
    </row>
    <row r="58" spans="2:7" s="34" customFormat="1" x14ac:dyDescent="0.25">
      <c r="B58" s="37"/>
      <c r="D58" s="37"/>
      <c r="E58" s="37"/>
      <c r="F58" s="37"/>
      <c r="G58" s="37"/>
    </row>
    <row r="59" spans="2:7" s="34" customFormat="1" x14ac:dyDescent="0.25">
      <c r="B59" s="37"/>
      <c r="D59" s="37"/>
      <c r="E59" s="37"/>
      <c r="F59" s="37"/>
      <c r="G59" s="37"/>
    </row>
    <row r="60" spans="2:7" s="34" customFormat="1" x14ac:dyDescent="0.25">
      <c r="B60" s="37"/>
      <c r="D60" s="37"/>
      <c r="E60" s="37"/>
      <c r="F60" s="37"/>
      <c r="G60" s="37"/>
    </row>
    <row r="61" spans="2:7" s="34" customFormat="1" x14ac:dyDescent="0.25">
      <c r="B61" s="37"/>
      <c r="D61" s="37"/>
      <c r="E61" s="37"/>
      <c r="F61" s="37"/>
      <c r="G61" s="37"/>
    </row>
    <row r="62" spans="2:7" s="34" customFormat="1" x14ac:dyDescent="0.25">
      <c r="B62" s="37"/>
      <c r="D62" s="37"/>
      <c r="E62" s="37"/>
      <c r="F62" s="37"/>
      <c r="G62" s="37"/>
    </row>
    <row r="63" spans="2:7" s="34" customFormat="1" x14ac:dyDescent="0.25">
      <c r="B63" s="37"/>
      <c r="D63" s="37"/>
      <c r="E63" s="37"/>
      <c r="F63" s="37"/>
      <c r="G63" s="37"/>
    </row>
    <row r="64" spans="2:7" s="34" customFormat="1" x14ac:dyDescent="0.25">
      <c r="B64" s="37"/>
      <c r="D64" s="37"/>
      <c r="E64" s="37"/>
      <c r="F64" s="37"/>
      <c r="G64" s="37"/>
    </row>
    <row r="65" spans="2:7" s="34" customFormat="1" x14ac:dyDescent="0.25">
      <c r="B65" s="37"/>
      <c r="D65" s="37"/>
      <c r="E65" s="37"/>
      <c r="F65" s="37"/>
      <c r="G65" s="37"/>
    </row>
    <row r="66" spans="2:7" s="34" customFormat="1" x14ac:dyDescent="0.25">
      <c r="B66" s="37"/>
      <c r="D66" s="37"/>
      <c r="E66" s="37"/>
      <c r="F66" s="37"/>
      <c r="G66" s="37"/>
    </row>
    <row r="67" spans="2:7" s="34" customFormat="1" x14ac:dyDescent="0.25">
      <c r="B67" s="37"/>
      <c r="D67" s="37"/>
      <c r="E67" s="37"/>
      <c r="F67" s="37"/>
      <c r="G67" s="37"/>
    </row>
    <row r="68" spans="2:7" s="34" customFormat="1" x14ac:dyDescent="0.25">
      <c r="B68" s="37"/>
      <c r="D68" s="37"/>
      <c r="E68" s="37"/>
      <c r="F68" s="37"/>
      <c r="G68" s="37"/>
    </row>
    <row r="69" spans="2:7" s="34" customFormat="1" x14ac:dyDescent="0.25">
      <c r="B69" s="37"/>
      <c r="D69" s="37"/>
      <c r="E69" s="37"/>
      <c r="F69" s="37"/>
      <c r="G69" s="37"/>
    </row>
    <row r="70" spans="2:7" s="34" customFormat="1" x14ac:dyDescent="0.25">
      <c r="B70" s="37"/>
      <c r="D70" s="37"/>
      <c r="E70" s="37"/>
      <c r="F70" s="37"/>
      <c r="G70" s="37"/>
    </row>
    <row r="71" spans="2:7" s="34" customFormat="1" x14ac:dyDescent="0.25">
      <c r="B71" s="37"/>
      <c r="D71" s="37"/>
      <c r="E71" s="37"/>
      <c r="F71" s="37"/>
      <c r="G71" s="37"/>
    </row>
    <row r="72" spans="2:7" s="34" customFormat="1" x14ac:dyDescent="0.25">
      <c r="B72" s="37"/>
      <c r="D72" s="37"/>
      <c r="E72" s="37"/>
      <c r="F72" s="37"/>
      <c r="G72" s="37"/>
    </row>
    <row r="73" spans="2:7" s="34" customFormat="1" x14ac:dyDescent="0.25">
      <c r="B73" s="37"/>
      <c r="D73" s="37"/>
      <c r="E73" s="37"/>
      <c r="F73" s="37"/>
      <c r="G73" s="37"/>
    </row>
    <row r="74" spans="2:7" s="34" customFormat="1" x14ac:dyDescent="0.25">
      <c r="B74" s="37"/>
      <c r="D74" s="37"/>
      <c r="E74" s="37"/>
      <c r="F74" s="37"/>
      <c r="G74" s="37"/>
    </row>
    <row r="75" spans="2:7" s="34" customFormat="1" x14ac:dyDescent="0.25">
      <c r="B75" s="37"/>
      <c r="D75" s="37"/>
      <c r="E75" s="37"/>
      <c r="F75" s="37"/>
      <c r="G75" s="37"/>
    </row>
    <row r="76" spans="2:7" s="34" customFormat="1" x14ac:dyDescent="0.25">
      <c r="B76" s="37"/>
      <c r="D76" s="37"/>
      <c r="E76" s="37"/>
      <c r="F76" s="37"/>
      <c r="G76" s="37"/>
    </row>
  </sheetData>
  <sheetProtection algorithmName="SHA-512" hashValue="SH7Io4Z5YMtsW9BbpXJN0/t1rf6hyO2REQckH9cpqvIAdrKfi2ti8MY/iDFkPLoSixA+/4qouFbRBMJgmNgR1g==" saltValue="5Vzq8Bmb9qmh7cY+9MEwsg==" spinCount="100000" sheet="1" objects="1" scenarios="1"/>
  <mergeCells count="9">
    <mergeCell ref="B43:J43"/>
    <mergeCell ref="B42:J42"/>
    <mergeCell ref="C2:D2"/>
    <mergeCell ref="E2:F2"/>
    <mergeCell ref="H2:J2"/>
    <mergeCell ref="B3:J3"/>
    <mergeCell ref="B4:E4"/>
    <mergeCell ref="G4:J4"/>
    <mergeCell ref="B41:J41"/>
  </mergeCells>
  <pageMargins left="0.5" right="0.5" top="0.75" bottom="0.75" header="0.3" footer="0.3"/>
  <pageSetup scale="15"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W311"/>
  <sheetViews>
    <sheetView showGridLines="0" zoomScale="115" zoomScaleNormal="115" workbookViewId="0">
      <selection activeCell="F4" sqref="F4"/>
    </sheetView>
  </sheetViews>
  <sheetFormatPr defaultRowHeight="15" x14ac:dyDescent="0.25"/>
  <cols>
    <col min="1" max="1" width="9.140625" style="34" customWidth="1"/>
    <col min="2" max="2" width="7.28515625" style="8" customWidth="1"/>
    <col min="3" max="3" width="13.7109375" style="8" customWidth="1"/>
    <col min="4" max="4" width="13.5703125" style="9" customWidth="1"/>
    <col min="5" max="5" width="10.5703125" customWidth="1"/>
    <col min="6" max="6" width="11.85546875" style="8" customWidth="1"/>
    <col min="7" max="7" width="12.7109375" style="8" customWidth="1"/>
    <col min="8" max="8" width="13.140625" style="9" customWidth="1"/>
    <col min="9" max="9" width="11.7109375" customWidth="1"/>
    <col min="10" max="10" width="11.7109375" style="9" customWidth="1"/>
    <col min="11" max="41" width="9.140625" style="34"/>
  </cols>
  <sheetData>
    <row r="1" spans="1:49" s="34" customFormat="1" ht="32.25" customHeight="1" thickBot="1" x14ac:dyDescent="0.3">
      <c r="B1" s="37"/>
      <c r="C1" s="126" t="s">
        <v>13</v>
      </c>
      <c r="D1" s="126"/>
      <c r="E1" s="127"/>
      <c r="H1" s="37"/>
      <c r="J1" s="37"/>
    </row>
    <row r="2" spans="1:49" ht="15.75" thickBot="1" x14ac:dyDescent="0.3">
      <c r="B2" s="54" t="s">
        <v>19</v>
      </c>
      <c r="C2" s="128">
        <f>'Tab 1--3A, (AC 1-35)'!C2:D2</f>
        <v>0</v>
      </c>
      <c r="D2" s="128"/>
      <c r="E2" s="128"/>
      <c r="F2" s="95"/>
      <c r="G2" s="56" t="s">
        <v>18</v>
      </c>
      <c r="H2" s="128" t="str">
        <f>'Tab 1--3A, (AC 1-35)'!H2:J2</f>
        <v xml:space="preserve">HTC71124RCC01 Atch 1a </v>
      </c>
      <c r="I2" s="128"/>
      <c r="J2" s="128"/>
      <c r="K2" s="35"/>
      <c r="AP2" s="34"/>
      <c r="AQ2" s="34"/>
      <c r="AR2" s="34"/>
      <c r="AS2" s="34"/>
      <c r="AT2" s="34"/>
      <c r="AU2" s="34"/>
      <c r="AV2" s="34"/>
      <c r="AW2" s="34"/>
    </row>
    <row r="3" spans="1:49" ht="32.25" customHeight="1" thickBot="1" x14ac:dyDescent="0.4">
      <c r="B3" s="108" t="s">
        <v>46</v>
      </c>
      <c r="C3" s="109"/>
      <c r="D3" s="109"/>
      <c r="E3" s="109"/>
      <c r="F3" s="129"/>
      <c r="G3" s="109"/>
      <c r="H3" s="109"/>
      <c r="I3" s="129"/>
      <c r="J3" s="110"/>
      <c r="K3" s="35"/>
      <c r="AP3" s="34"/>
      <c r="AQ3" s="34"/>
      <c r="AR3" s="34"/>
      <c r="AS3" s="34"/>
      <c r="AT3" s="34"/>
      <c r="AU3" s="34"/>
      <c r="AV3" s="34"/>
      <c r="AW3" s="34"/>
    </row>
    <row r="4" spans="1:49" s="4" customFormat="1" ht="37.5" customHeight="1" thickBot="1" x14ac:dyDescent="0.3">
      <c r="A4" s="34"/>
      <c r="B4" s="130" t="s">
        <v>14</v>
      </c>
      <c r="C4" s="131"/>
      <c r="D4" s="131"/>
      <c r="E4" s="131"/>
      <c r="F4" s="74">
        <f>'Tab 1--3A, (AC 1-35)'!F4</f>
        <v>0</v>
      </c>
      <c r="G4" s="132" t="s">
        <v>35</v>
      </c>
      <c r="H4" s="133"/>
      <c r="I4" s="93" t="s">
        <v>40</v>
      </c>
      <c r="J4" s="94" t="s">
        <v>13</v>
      </c>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row>
    <row r="5" spans="1:49" s="2" customFormat="1" ht="76.5" customHeight="1" thickBot="1" x14ac:dyDescent="0.3">
      <c r="A5" s="50"/>
      <c r="B5" s="88" t="s">
        <v>21</v>
      </c>
      <c r="C5" s="38" t="s">
        <v>44</v>
      </c>
      <c r="D5" s="22" t="s">
        <v>43</v>
      </c>
      <c r="E5" s="87" t="s">
        <v>39</v>
      </c>
      <c r="F5" s="89" t="s">
        <v>12</v>
      </c>
      <c r="G5" s="90" t="s">
        <v>7</v>
      </c>
      <c r="H5" s="91" t="s">
        <v>9</v>
      </c>
      <c r="I5" s="89" t="s">
        <v>8</v>
      </c>
      <c r="J5" s="124" t="s">
        <v>10</v>
      </c>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50"/>
      <c r="AN5" s="50"/>
      <c r="AO5" s="50"/>
    </row>
    <row r="6" spans="1:49" ht="15.75" thickTop="1" x14ac:dyDescent="0.25">
      <c r="B6" s="47">
        <v>1</v>
      </c>
      <c r="C6" s="27"/>
      <c r="D6" s="11"/>
      <c r="E6" s="19"/>
      <c r="F6" s="59"/>
      <c r="G6" s="77"/>
      <c r="H6" s="71">
        <f t="shared" ref="H6:H27" si="0">G6*E6</f>
        <v>0</v>
      </c>
      <c r="I6" s="67">
        <f>G6*F6</f>
        <v>0</v>
      </c>
      <c r="J6" s="125"/>
    </row>
    <row r="7" spans="1:49" x14ac:dyDescent="0.25">
      <c r="B7" s="39">
        <v>2</v>
      </c>
      <c r="C7" s="27"/>
      <c r="D7" s="11"/>
      <c r="E7" s="19"/>
      <c r="F7" s="59"/>
      <c r="G7" s="77"/>
      <c r="H7" s="71">
        <f t="shared" si="0"/>
        <v>0</v>
      </c>
      <c r="I7" s="67">
        <f>G7*F7</f>
        <v>0</v>
      </c>
      <c r="J7" s="125"/>
    </row>
    <row r="8" spans="1:49" x14ac:dyDescent="0.25">
      <c r="B8" s="39">
        <v>3</v>
      </c>
      <c r="C8" s="27"/>
      <c r="D8" s="11"/>
      <c r="E8" s="19"/>
      <c r="F8" s="59"/>
      <c r="G8" s="77"/>
      <c r="H8" s="71">
        <f t="shared" si="0"/>
        <v>0</v>
      </c>
      <c r="I8" s="68">
        <f>G8*F8</f>
        <v>0</v>
      </c>
      <c r="J8" s="125"/>
    </row>
    <row r="9" spans="1:49" x14ac:dyDescent="0.25">
      <c r="B9" s="39">
        <v>4</v>
      </c>
      <c r="C9" s="27"/>
      <c r="D9" s="11"/>
      <c r="E9" s="19"/>
      <c r="F9" s="59"/>
      <c r="G9" s="77"/>
      <c r="H9" s="71">
        <f t="shared" si="0"/>
        <v>0</v>
      </c>
      <c r="I9" s="68">
        <f t="shared" ref="I9:I27" si="1">G9*F9</f>
        <v>0</v>
      </c>
      <c r="J9" s="125"/>
    </row>
    <row r="10" spans="1:49" x14ac:dyDescent="0.25">
      <c r="B10" s="39">
        <v>5</v>
      </c>
      <c r="C10" s="27"/>
      <c r="D10" s="11"/>
      <c r="E10" s="19"/>
      <c r="F10" s="59"/>
      <c r="G10" s="77"/>
      <c r="H10" s="71">
        <f t="shared" si="0"/>
        <v>0</v>
      </c>
      <c r="I10" s="69">
        <f t="shared" si="1"/>
        <v>0</v>
      </c>
      <c r="J10" s="125"/>
      <c r="L10" s="51"/>
    </row>
    <row r="11" spans="1:49" x14ac:dyDescent="0.25">
      <c r="B11" s="39">
        <v>6</v>
      </c>
      <c r="C11" s="27"/>
      <c r="D11" s="11"/>
      <c r="E11" s="19"/>
      <c r="F11" s="59"/>
      <c r="G11" s="77"/>
      <c r="H11" s="71">
        <f t="shared" si="0"/>
        <v>0</v>
      </c>
      <c r="I11" s="68">
        <f t="shared" si="1"/>
        <v>0</v>
      </c>
      <c r="J11" s="125"/>
    </row>
    <row r="12" spans="1:49" x14ac:dyDescent="0.25">
      <c r="B12" s="39">
        <v>7</v>
      </c>
      <c r="C12" s="27"/>
      <c r="D12" s="11"/>
      <c r="E12" s="19"/>
      <c r="F12" s="59"/>
      <c r="G12" s="77"/>
      <c r="H12" s="72">
        <f t="shared" si="0"/>
        <v>0</v>
      </c>
      <c r="I12" s="69">
        <f>G12*F12</f>
        <v>0</v>
      </c>
      <c r="J12" s="125"/>
    </row>
    <row r="13" spans="1:49" x14ac:dyDescent="0.25">
      <c r="B13" s="39">
        <v>8</v>
      </c>
      <c r="C13" s="27"/>
      <c r="D13" s="11"/>
      <c r="E13" s="19"/>
      <c r="F13" s="59"/>
      <c r="G13" s="77"/>
      <c r="H13" s="71">
        <f t="shared" si="0"/>
        <v>0</v>
      </c>
      <c r="I13" s="69">
        <f t="shared" si="1"/>
        <v>0</v>
      </c>
      <c r="J13" s="125"/>
    </row>
    <row r="14" spans="1:49" x14ac:dyDescent="0.25">
      <c r="B14" s="39">
        <v>9</v>
      </c>
      <c r="C14" s="27"/>
      <c r="D14" s="11"/>
      <c r="E14" s="19"/>
      <c r="F14" s="59"/>
      <c r="G14" s="77"/>
      <c r="H14" s="71">
        <f t="shared" si="0"/>
        <v>0</v>
      </c>
      <c r="I14" s="69">
        <f t="shared" si="1"/>
        <v>0</v>
      </c>
      <c r="J14" s="125"/>
      <c r="L14" s="34" t="s">
        <v>13</v>
      </c>
    </row>
    <row r="15" spans="1:49" x14ac:dyDescent="0.25">
      <c r="B15" s="39">
        <v>10</v>
      </c>
      <c r="C15" s="27"/>
      <c r="D15" s="11"/>
      <c r="E15" s="19"/>
      <c r="F15" s="59"/>
      <c r="G15" s="77"/>
      <c r="H15" s="71">
        <f t="shared" si="0"/>
        <v>0</v>
      </c>
      <c r="I15" s="69">
        <f t="shared" si="1"/>
        <v>0</v>
      </c>
      <c r="J15" s="125"/>
    </row>
    <row r="16" spans="1:49" x14ac:dyDescent="0.25">
      <c r="B16" s="39">
        <v>11</v>
      </c>
      <c r="C16" s="27"/>
      <c r="D16" s="11"/>
      <c r="E16" s="19"/>
      <c r="F16" s="59"/>
      <c r="G16" s="77"/>
      <c r="H16" s="71">
        <f t="shared" si="0"/>
        <v>0</v>
      </c>
      <c r="I16" s="69">
        <f t="shared" si="1"/>
        <v>0</v>
      </c>
      <c r="J16" s="125"/>
    </row>
    <row r="17" spans="1:49" x14ac:dyDescent="0.25">
      <c r="B17" s="39">
        <v>12</v>
      </c>
      <c r="C17" s="27"/>
      <c r="D17" s="11"/>
      <c r="E17" s="19"/>
      <c r="F17" s="59"/>
      <c r="G17" s="77"/>
      <c r="H17" s="71">
        <f t="shared" si="0"/>
        <v>0</v>
      </c>
      <c r="I17" s="69">
        <f t="shared" si="1"/>
        <v>0</v>
      </c>
      <c r="J17" s="125"/>
    </row>
    <row r="18" spans="1:49" x14ac:dyDescent="0.25">
      <c r="B18" s="39">
        <v>13</v>
      </c>
      <c r="C18" s="27"/>
      <c r="D18" s="11"/>
      <c r="E18" s="19"/>
      <c r="F18" s="59"/>
      <c r="G18" s="77"/>
      <c r="H18" s="71">
        <f t="shared" si="0"/>
        <v>0</v>
      </c>
      <c r="I18" s="69">
        <f t="shared" si="1"/>
        <v>0</v>
      </c>
      <c r="J18" s="125"/>
    </row>
    <row r="19" spans="1:49" x14ac:dyDescent="0.25">
      <c r="B19" s="39">
        <v>14</v>
      </c>
      <c r="C19" s="27"/>
      <c r="D19" s="11"/>
      <c r="E19" s="19"/>
      <c r="F19" s="59"/>
      <c r="G19" s="77"/>
      <c r="H19" s="71">
        <f t="shared" si="0"/>
        <v>0</v>
      </c>
      <c r="I19" s="69">
        <f t="shared" si="1"/>
        <v>0</v>
      </c>
      <c r="J19" s="125"/>
      <c r="N19" s="34" t="s">
        <v>13</v>
      </c>
    </row>
    <row r="20" spans="1:49" x14ac:dyDescent="0.25">
      <c r="B20" s="39">
        <v>15</v>
      </c>
      <c r="C20" s="27"/>
      <c r="D20" s="11"/>
      <c r="E20" s="19"/>
      <c r="F20" s="59"/>
      <c r="G20" s="77"/>
      <c r="H20" s="71">
        <f t="shared" si="0"/>
        <v>0</v>
      </c>
      <c r="I20" s="69">
        <f>G20*F20</f>
        <v>0</v>
      </c>
      <c r="J20" s="125"/>
    </row>
    <row r="21" spans="1:49" x14ac:dyDescent="0.25">
      <c r="B21" s="39">
        <v>16</v>
      </c>
      <c r="C21" s="27"/>
      <c r="D21" s="11"/>
      <c r="E21" s="19"/>
      <c r="F21" s="59"/>
      <c r="G21" s="77"/>
      <c r="H21" s="71">
        <f t="shared" si="0"/>
        <v>0</v>
      </c>
      <c r="I21" s="69">
        <f t="shared" si="1"/>
        <v>0</v>
      </c>
      <c r="J21" s="125"/>
    </row>
    <row r="22" spans="1:49" x14ac:dyDescent="0.25">
      <c r="B22" s="39">
        <v>17</v>
      </c>
      <c r="C22" s="27"/>
      <c r="D22" s="11"/>
      <c r="E22" s="19"/>
      <c r="F22" s="59"/>
      <c r="G22" s="77"/>
      <c r="H22" s="71">
        <f t="shared" si="0"/>
        <v>0</v>
      </c>
      <c r="I22" s="69">
        <f t="shared" si="1"/>
        <v>0</v>
      </c>
      <c r="J22" s="125"/>
    </row>
    <row r="23" spans="1:49" x14ac:dyDescent="0.25">
      <c r="B23" s="39">
        <v>18</v>
      </c>
      <c r="C23" s="27"/>
      <c r="D23" s="11"/>
      <c r="E23" s="19"/>
      <c r="F23" s="59"/>
      <c r="G23" s="77"/>
      <c r="H23" s="71">
        <f t="shared" si="0"/>
        <v>0</v>
      </c>
      <c r="I23" s="69">
        <f t="shared" si="1"/>
        <v>0</v>
      </c>
      <c r="J23" s="125"/>
    </row>
    <row r="24" spans="1:49" x14ac:dyDescent="0.25">
      <c r="B24" s="39">
        <v>19</v>
      </c>
      <c r="C24" s="27"/>
      <c r="D24" s="11"/>
      <c r="E24" s="19"/>
      <c r="F24" s="59"/>
      <c r="G24" s="77"/>
      <c r="H24" s="71">
        <f t="shared" si="0"/>
        <v>0</v>
      </c>
      <c r="I24" s="69">
        <f t="shared" si="1"/>
        <v>0</v>
      </c>
      <c r="J24" s="125"/>
    </row>
    <row r="25" spans="1:49" x14ac:dyDescent="0.25">
      <c r="B25" s="39">
        <v>20</v>
      </c>
      <c r="C25" s="27"/>
      <c r="D25" s="11"/>
      <c r="E25" s="19"/>
      <c r="F25" s="59"/>
      <c r="G25" s="77"/>
      <c r="H25" s="71">
        <f t="shared" si="0"/>
        <v>0</v>
      </c>
      <c r="I25" s="69">
        <f t="shared" si="1"/>
        <v>0</v>
      </c>
      <c r="J25" s="125"/>
    </row>
    <row r="26" spans="1:49" x14ac:dyDescent="0.25">
      <c r="B26" s="39">
        <v>21</v>
      </c>
      <c r="C26" s="27"/>
      <c r="D26" s="11"/>
      <c r="E26" s="19"/>
      <c r="F26" s="59"/>
      <c r="G26" s="77"/>
      <c r="H26" s="71">
        <f t="shared" si="0"/>
        <v>0</v>
      </c>
      <c r="I26" s="69">
        <f t="shared" si="1"/>
        <v>0</v>
      </c>
      <c r="J26" s="125"/>
    </row>
    <row r="27" spans="1:49" ht="15.75" thickBot="1" x14ac:dyDescent="0.3">
      <c r="B27" s="41">
        <v>22</v>
      </c>
      <c r="C27" s="45"/>
      <c r="D27" s="11"/>
      <c r="E27" s="19"/>
      <c r="F27" s="59"/>
      <c r="G27" s="77"/>
      <c r="H27" s="73">
        <f t="shared" si="0"/>
        <v>0</v>
      </c>
      <c r="I27" s="70">
        <f t="shared" si="1"/>
        <v>0</v>
      </c>
      <c r="J27" s="125"/>
    </row>
    <row r="28" spans="1:49" ht="27" customHeight="1" thickBot="1" x14ac:dyDescent="0.3">
      <c r="B28" s="31"/>
      <c r="C28" s="140" t="s">
        <v>11</v>
      </c>
      <c r="D28" s="141"/>
      <c r="E28" s="141"/>
      <c r="F28" s="141"/>
      <c r="G28" s="142"/>
      <c r="H28" s="43">
        <f>SUM(H6:H27)</f>
        <v>0</v>
      </c>
      <c r="I28" s="43">
        <f>SUM(I6:I27)</f>
        <v>0</v>
      </c>
      <c r="J28" s="44" t="e">
        <f>SUM(I28/H28)</f>
        <v>#DIV/0!</v>
      </c>
    </row>
    <row r="29" spans="1:49" s="3" customFormat="1" ht="24.75" customHeight="1" x14ac:dyDescent="0.25">
      <c r="A29" s="36"/>
      <c r="B29" s="42"/>
      <c r="C29" s="143" t="s">
        <v>6</v>
      </c>
      <c r="D29" s="143"/>
      <c r="E29" s="144"/>
      <c r="F29" s="144"/>
      <c r="G29" s="144" t="s">
        <v>2</v>
      </c>
      <c r="H29" s="144"/>
      <c r="I29" s="144"/>
      <c r="J29" s="145"/>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row>
    <row r="30" spans="1:49" s="3" customFormat="1" ht="66" customHeight="1" thickBot="1" x14ac:dyDescent="0.3">
      <c r="A30" s="36"/>
      <c r="B30" s="40"/>
      <c r="C30" s="136" t="s">
        <v>41</v>
      </c>
      <c r="D30" s="136"/>
      <c r="E30" s="137"/>
      <c r="F30" s="137"/>
      <c r="G30" s="138" t="s">
        <v>3</v>
      </c>
      <c r="H30" s="138"/>
      <c r="I30" s="138"/>
      <c r="J30" s="139"/>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row>
    <row r="31" spans="1:49" s="3" customFormat="1" ht="14.25" customHeight="1" thickBot="1" x14ac:dyDescent="0.3">
      <c r="A31" s="36"/>
      <c r="B31" s="134" t="s">
        <v>47</v>
      </c>
      <c r="C31" s="135"/>
      <c r="D31" s="135"/>
      <c r="E31" s="135"/>
      <c r="F31" s="135"/>
      <c r="G31" s="135"/>
      <c r="H31" s="135"/>
      <c r="I31" s="135"/>
      <c r="J31" s="135"/>
      <c r="K31" s="62"/>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row>
    <row r="32" spans="1:49" s="34" customFormat="1" x14ac:dyDescent="0.25">
      <c r="B32" s="60"/>
      <c r="C32" s="60"/>
      <c r="D32" s="60"/>
      <c r="E32" s="61"/>
      <c r="F32" s="60"/>
      <c r="G32" s="60"/>
      <c r="H32" s="60"/>
      <c r="I32" s="61"/>
      <c r="J32" s="60"/>
    </row>
    <row r="33" spans="2:10" s="34" customFormat="1" x14ac:dyDescent="0.25">
      <c r="B33" s="37"/>
      <c r="C33" s="52"/>
      <c r="D33" s="52"/>
      <c r="E33" s="51"/>
      <c r="F33" s="52"/>
      <c r="G33" s="52"/>
      <c r="H33" s="52"/>
      <c r="I33" s="51"/>
      <c r="J33" s="52"/>
    </row>
    <row r="34" spans="2:10" s="34" customFormat="1" x14ac:dyDescent="0.25">
      <c r="B34" s="37"/>
      <c r="C34" s="52"/>
      <c r="D34" s="52"/>
      <c r="E34" s="51"/>
      <c r="F34" s="52"/>
      <c r="G34" s="52"/>
      <c r="H34" s="52"/>
      <c r="I34" s="51"/>
      <c r="J34" s="52"/>
    </row>
    <row r="35" spans="2:10" s="34" customFormat="1" x14ac:dyDescent="0.25">
      <c r="B35" s="37"/>
      <c r="C35" s="52"/>
      <c r="D35" s="52"/>
      <c r="E35" s="51"/>
      <c r="F35" s="52"/>
      <c r="G35" s="52"/>
      <c r="H35" s="52"/>
      <c r="I35" s="51"/>
      <c r="J35" s="52"/>
    </row>
    <row r="36" spans="2:10" s="34" customFormat="1" x14ac:dyDescent="0.25">
      <c r="B36" s="37"/>
      <c r="C36" s="52"/>
      <c r="D36" s="52"/>
      <c r="E36" s="51"/>
      <c r="F36" s="52"/>
      <c r="G36" s="52"/>
      <c r="H36" s="52"/>
      <c r="I36" s="51"/>
      <c r="J36" s="52"/>
    </row>
    <row r="37" spans="2:10" s="34" customFormat="1" x14ac:dyDescent="0.25">
      <c r="B37" s="37"/>
      <c r="C37" s="37"/>
      <c r="D37" s="37"/>
      <c r="F37" s="37"/>
      <c r="G37" s="37"/>
      <c r="H37" s="37"/>
      <c r="J37" s="37"/>
    </row>
    <row r="38" spans="2:10" s="34" customFormat="1" x14ac:dyDescent="0.25">
      <c r="B38" s="37"/>
      <c r="C38" s="37"/>
      <c r="D38" s="37"/>
      <c r="F38" s="37"/>
      <c r="G38" s="37"/>
      <c r="H38" s="37"/>
      <c r="J38" s="37"/>
    </row>
    <row r="39" spans="2:10" s="34" customFormat="1" x14ac:dyDescent="0.25">
      <c r="B39" s="37"/>
      <c r="C39" s="37"/>
      <c r="D39" s="37"/>
      <c r="F39" s="37"/>
      <c r="G39" s="37"/>
      <c r="H39" s="37"/>
      <c r="J39" s="37"/>
    </row>
    <row r="40" spans="2:10" s="34" customFormat="1" x14ac:dyDescent="0.25">
      <c r="B40" s="37"/>
      <c r="C40" s="37"/>
      <c r="D40" s="37"/>
      <c r="F40" s="37"/>
      <c r="G40" s="37"/>
      <c r="H40" s="37"/>
      <c r="J40" s="37"/>
    </row>
    <row r="41" spans="2:10" s="34" customFormat="1" x14ac:dyDescent="0.25">
      <c r="B41" s="37"/>
      <c r="C41" s="37"/>
      <c r="D41" s="37"/>
      <c r="F41" s="37"/>
      <c r="G41" s="37"/>
      <c r="H41" s="37"/>
      <c r="J41" s="37"/>
    </row>
    <row r="42" spans="2:10" s="34" customFormat="1" x14ac:dyDescent="0.25">
      <c r="B42" s="37"/>
      <c r="C42" s="37"/>
      <c r="D42" s="37"/>
      <c r="F42" s="37"/>
      <c r="G42" s="37"/>
      <c r="H42" s="37"/>
      <c r="J42" s="37"/>
    </row>
    <row r="43" spans="2:10" s="34" customFormat="1" x14ac:dyDescent="0.25">
      <c r="B43" s="37"/>
      <c r="C43" s="37"/>
      <c r="D43" s="37"/>
      <c r="F43" s="37"/>
      <c r="G43" s="37"/>
      <c r="H43" s="37"/>
      <c r="J43" s="37"/>
    </row>
    <row r="44" spans="2:10" s="34" customFormat="1" x14ac:dyDescent="0.25">
      <c r="B44" s="37"/>
      <c r="C44" s="37"/>
      <c r="D44" s="37"/>
      <c r="F44" s="37"/>
      <c r="G44" s="37"/>
      <c r="H44" s="37"/>
      <c r="J44" s="37"/>
    </row>
    <row r="45" spans="2:10" s="34" customFormat="1" x14ac:dyDescent="0.25">
      <c r="B45" s="37"/>
      <c r="C45" s="37"/>
      <c r="D45" s="37"/>
      <c r="F45" s="37"/>
      <c r="G45" s="37"/>
      <c r="H45" s="37"/>
      <c r="J45" s="37"/>
    </row>
    <row r="46" spans="2:10" s="34" customFormat="1" x14ac:dyDescent="0.25">
      <c r="B46" s="37"/>
      <c r="C46" s="37"/>
      <c r="D46" s="37"/>
      <c r="F46" s="37"/>
      <c r="G46" s="37"/>
      <c r="H46" s="37"/>
      <c r="J46" s="37"/>
    </row>
    <row r="47" spans="2:10" s="34" customFormat="1" x14ac:dyDescent="0.25">
      <c r="B47" s="37"/>
      <c r="C47" s="37"/>
      <c r="D47" s="37"/>
      <c r="F47" s="37"/>
      <c r="G47" s="37"/>
      <c r="H47" s="37"/>
      <c r="J47" s="37"/>
    </row>
    <row r="48" spans="2:10" s="34" customFormat="1" x14ac:dyDescent="0.25">
      <c r="B48" s="37"/>
      <c r="C48" s="37"/>
      <c r="D48" s="37"/>
      <c r="F48" s="37"/>
      <c r="G48" s="37"/>
      <c r="H48" s="37"/>
      <c r="J48" s="37"/>
    </row>
    <row r="49" spans="2:10" s="34" customFormat="1" x14ac:dyDescent="0.25">
      <c r="B49" s="37"/>
      <c r="C49" s="37"/>
      <c r="D49" s="37"/>
      <c r="F49" s="37"/>
      <c r="G49" s="37"/>
      <c r="H49" s="37"/>
      <c r="J49" s="37"/>
    </row>
    <row r="50" spans="2:10" s="34" customFormat="1" x14ac:dyDescent="0.25">
      <c r="B50" s="37"/>
      <c r="C50" s="37"/>
      <c r="D50" s="37"/>
      <c r="F50" s="37"/>
      <c r="G50" s="37"/>
      <c r="H50" s="37"/>
      <c r="J50" s="37"/>
    </row>
    <row r="51" spans="2:10" s="34" customFormat="1" x14ac:dyDescent="0.25">
      <c r="B51" s="37"/>
      <c r="C51" s="37"/>
      <c r="D51" s="37"/>
      <c r="F51" s="37"/>
      <c r="G51" s="37"/>
      <c r="H51" s="37"/>
      <c r="J51" s="37"/>
    </row>
    <row r="52" spans="2:10" s="34" customFormat="1" x14ac:dyDescent="0.25">
      <c r="B52" s="37"/>
      <c r="C52" s="37"/>
      <c r="D52" s="37"/>
      <c r="F52" s="37"/>
      <c r="G52" s="37"/>
      <c r="H52" s="37"/>
      <c r="J52" s="37"/>
    </row>
    <row r="53" spans="2:10" s="34" customFormat="1" x14ac:dyDescent="0.25">
      <c r="B53" s="37"/>
      <c r="C53" s="37"/>
      <c r="D53" s="37"/>
      <c r="F53" s="37"/>
      <c r="G53" s="37"/>
      <c r="H53" s="37"/>
      <c r="J53" s="37"/>
    </row>
    <row r="54" spans="2:10" s="34" customFormat="1" x14ac:dyDescent="0.25">
      <c r="B54" s="37"/>
      <c r="C54" s="37"/>
      <c r="D54" s="37"/>
      <c r="F54" s="37"/>
      <c r="G54" s="37"/>
      <c r="H54" s="37"/>
      <c r="J54" s="37"/>
    </row>
    <row r="55" spans="2:10" s="34" customFormat="1" x14ac:dyDescent="0.25">
      <c r="B55" s="37"/>
      <c r="C55" s="37"/>
      <c r="D55" s="37"/>
      <c r="F55" s="37"/>
      <c r="G55" s="37"/>
      <c r="H55" s="37"/>
      <c r="J55" s="37"/>
    </row>
    <row r="56" spans="2:10" s="34" customFormat="1" x14ac:dyDescent="0.25">
      <c r="B56" s="37"/>
      <c r="C56" s="37"/>
      <c r="D56" s="37"/>
      <c r="F56" s="37"/>
      <c r="G56" s="37"/>
      <c r="H56" s="37"/>
      <c r="J56" s="37"/>
    </row>
    <row r="57" spans="2:10" s="34" customFormat="1" x14ac:dyDescent="0.25">
      <c r="B57" s="37"/>
      <c r="C57" s="37"/>
      <c r="D57" s="37"/>
      <c r="F57" s="37"/>
      <c r="G57" s="37"/>
      <c r="H57" s="37"/>
      <c r="J57" s="37"/>
    </row>
    <row r="58" spans="2:10" s="34" customFormat="1" x14ac:dyDescent="0.25">
      <c r="B58" s="37"/>
      <c r="C58" s="37"/>
      <c r="D58" s="37"/>
      <c r="F58" s="37"/>
      <c r="G58" s="37"/>
      <c r="H58" s="37"/>
      <c r="J58" s="37"/>
    </row>
    <row r="59" spans="2:10" s="34" customFormat="1" x14ac:dyDescent="0.25">
      <c r="B59" s="37"/>
      <c r="C59" s="37"/>
      <c r="D59" s="37"/>
      <c r="F59" s="37"/>
      <c r="G59" s="37"/>
      <c r="H59" s="37"/>
      <c r="J59" s="37"/>
    </row>
    <row r="60" spans="2:10" s="34" customFormat="1" x14ac:dyDescent="0.25">
      <c r="B60" s="37"/>
      <c r="C60" s="37"/>
      <c r="D60" s="37"/>
      <c r="F60" s="37"/>
      <c r="G60" s="37"/>
      <c r="H60" s="37"/>
      <c r="J60" s="37"/>
    </row>
    <row r="61" spans="2:10" s="34" customFormat="1" x14ac:dyDescent="0.25">
      <c r="B61" s="37"/>
      <c r="C61" s="37"/>
      <c r="D61" s="37"/>
      <c r="F61" s="37"/>
      <c r="G61" s="37"/>
      <c r="H61" s="37"/>
      <c r="J61" s="37"/>
    </row>
    <row r="62" spans="2:10" s="34" customFormat="1" x14ac:dyDescent="0.25">
      <c r="B62" s="37"/>
      <c r="C62" s="37"/>
      <c r="D62" s="37"/>
      <c r="F62" s="37"/>
      <c r="G62" s="37"/>
      <c r="H62" s="37"/>
      <c r="J62" s="37"/>
    </row>
    <row r="63" spans="2:10" s="34" customFormat="1" x14ac:dyDescent="0.25">
      <c r="B63" s="37"/>
      <c r="C63" s="37"/>
      <c r="D63" s="37"/>
      <c r="F63" s="37"/>
      <c r="G63" s="37"/>
      <c r="H63" s="37"/>
      <c r="J63" s="37"/>
    </row>
    <row r="64" spans="2:10" s="34" customFormat="1" x14ac:dyDescent="0.25">
      <c r="B64" s="37"/>
      <c r="C64" s="37"/>
      <c r="D64" s="37"/>
      <c r="F64" s="37"/>
      <c r="G64" s="37"/>
      <c r="H64" s="37"/>
      <c r="J64" s="37"/>
    </row>
    <row r="65" spans="2:10" s="34" customFormat="1" x14ac:dyDescent="0.25">
      <c r="B65" s="37"/>
      <c r="C65" s="37"/>
      <c r="D65" s="37"/>
      <c r="F65" s="37"/>
      <c r="G65" s="37"/>
      <c r="H65" s="37"/>
      <c r="J65" s="37"/>
    </row>
    <row r="66" spans="2:10" s="34" customFormat="1" x14ac:dyDescent="0.25">
      <c r="B66" s="37"/>
      <c r="C66" s="37"/>
      <c r="D66" s="37"/>
      <c r="F66" s="37"/>
      <c r="G66" s="37"/>
      <c r="H66" s="37"/>
      <c r="J66" s="37"/>
    </row>
    <row r="67" spans="2:10" s="34" customFormat="1" x14ac:dyDescent="0.25">
      <c r="B67" s="37"/>
      <c r="C67" s="37"/>
      <c r="D67" s="37"/>
      <c r="F67" s="37"/>
      <c r="G67" s="37"/>
      <c r="H67" s="37"/>
      <c r="J67" s="37"/>
    </row>
    <row r="68" spans="2:10" s="34" customFormat="1" x14ac:dyDescent="0.25">
      <c r="B68" s="37"/>
      <c r="C68" s="37"/>
      <c r="D68" s="37"/>
      <c r="F68" s="37"/>
      <c r="G68" s="37"/>
      <c r="H68" s="37"/>
      <c r="J68" s="37"/>
    </row>
    <row r="69" spans="2:10" s="34" customFormat="1" x14ac:dyDescent="0.25">
      <c r="B69" s="37"/>
      <c r="C69" s="37"/>
      <c r="D69" s="37"/>
      <c r="F69" s="37"/>
      <c r="G69" s="37"/>
      <c r="H69" s="37"/>
      <c r="J69" s="37"/>
    </row>
    <row r="70" spans="2:10" s="34" customFormat="1" x14ac:dyDescent="0.25">
      <c r="B70" s="37"/>
      <c r="C70" s="37"/>
      <c r="D70" s="37"/>
      <c r="F70" s="37"/>
      <c r="G70" s="37"/>
      <c r="H70" s="37"/>
      <c r="J70" s="37"/>
    </row>
    <row r="71" spans="2:10" s="34" customFormat="1" x14ac:dyDescent="0.25">
      <c r="B71" s="37"/>
      <c r="C71" s="37"/>
      <c r="D71" s="37"/>
      <c r="F71" s="37"/>
      <c r="G71" s="37"/>
      <c r="H71" s="37"/>
      <c r="J71" s="37"/>
    </row>
    <row r="72" spans="2:10" s="34" customFormat="1" x14ac:dyDescent="0.25">
      <c r="B72" s="37"/>
      <c r="C72" s="37"/>
      <c r="D72" s="37"/>
      <c r="F72" s="37"/>
      <c r="G72" s="37"/>
      <c r="H72" s="37"/>
      <c r="J72" s="37"/>
    </row>
    <row r="73" spans="2:10" s="34" customFormat="1" x14ac:dyDescent="0.25">
      <c r="B73" s="37"/>
      <c r="C73" s="37"/>
      <c r="D73" s="37"/>
      <c r="F73" s="37"/>
      <c r="G73" s="37"/>
      <c r="H73" s="37"/>
      <c r="J73" s="37"/>
    </row>
    <row r="74" spans="2:10" s="34" customFormat="1" x14ac:dyDescent="0.25">
      <c r="B74" s="37"/>
      <c r="C74" s="37"/>
      <c r="D74" s="37"/>
      <c r="F74" s="37"/>
      <c r="G74" s="37"/>
      <c r="H74" s="37"/>
      <c r="J74" s="37"/>
    </row>
    <row r="75" spans="2:10" s="34" customFormat="1" x14ac:dyDescent="0.25">
      <c r="B75" s="37"/>
      <c r="C75" s="37"/>
      <c r="D75" s="37"/>
      <c r="F75" s="37"/>
      <c r="G75" s="37"/>
      <c r="H75" s="37"/>
      <c r="J75" s="37"/>
    </row>
    <row r="76" spans="2:10" s="34" customFormat="1" x14ac:dyDescent="0.25">
      <c r="B76" s="37"/>
      <c r="C76" s="37"/>
      <c r="D76" s="37"/>
      <c r="F76" s="37"/>
      <c r="G76" s="37"/>
      <c r="H76" s="37"/>
      <c r="J76" s="37"/>
    </row>
    <row r="77" spans="2:10" s="34" customFormat="1" x14ac:dyDescent="0.25">
      <c r="B77" s="37"/>
      <c r="C77" s="37"/>
      <c r="D77" s="37"/>
      <c r="F77" s="37"/>
      <c r="G77" s="37"/>
      <c r="H77" s="37"/>
      <c r="J77" s="37"/>
    </row>
    <row r="78" spans="2:10" s="34" customFormat="1" x14ac:dyDescent="0.25">
      <c r="B78" s="37"/>
      <c r="C78" s="37"/>
      <c r="D78" s="37"/>
      <c r="F78" s="37"/>
      <c r="G78" s="37"/>
      <c r="H78" s="37"/>
      <c r="J78" s="37"/>
    </row>
    <row r="79" spans="2:10" s="34" customFormat="1" x14ac:dyDescent="0.25">
      <c r="B79" s="37"/>
      <c r="C79" s="37"/>
      <c r="D79" s="37"/>
      <c r="F79" s="37"/>
      <c r="G79" s="37"/>
      <c r="H79" s="37"/>
      <c r="J79" s="37"/>
    </row>
    <row r="80" spans="2:10" s="34" customFormat="1" x14ac:dyDescent="0.25">
      <c r="B80" s="37"/>
      <c r="C80" s="37"/>
      <c r="D80" s="37"/>
      <c r="F80" s="37"/>
      <c r="G80" s="37"/>
      <c r="H80" s="37"/>
      <c r="J80" s="37"/>
    </row>
    <row r="81" spans="2:10" s="34" customFormat="1" x14ac:dyDescent="0.25">
      <c r="B81" s="37"/>
      <c r="C81" s="37"/>
      <c r="D81" s="37"/>
      <c r="F81" s="37"/>
      <c r="G81" s="37"/>
      <c r="H81" s="37"/>
      <c r="J81" s="37"/>
    </row>
    <row r="82" spans="2:10" s="34" customFormat="1" x14ac:dyDescent="0.25">
      <c r="B82" s="37"/>
      <c r="C82" s="37"/>
      <c r="D82" s="37"/>
      <c r="F82" s="37"/>
      <c r="G82" s="37"/>
      <c r="H82" s="37"/>
      <c r="J82" s="37"/>
    </row>
    <row r="83" spans="2:10" s="34" customFormat="1" x14ac:dyDescent="0.25">
      <c r="B83" s="37"/>
      <c r="C83" s="37"/>
      <c r="D83" s="37"/>
      <c r="F83" s="37"/>
      <c r="G83" s="37"/>
      <c r="H83" s="37"/>
      <c r="J83" s="37"/>
    </row>
    <row r="84" spans="2:10" s="34" customFormat="1" x14ac:dyDescent="0.25">
      <c r="B84" s="37"/>
      <c r="C84" s="37"/>
      <c r="D84" s="37"/>
      <c r="F84" s="37"/>
      <c r="G84" s="37"/>
      <c r="H84" s="37"/>
      <c r="J84" s="37"/>
    </row>
    <row r="85" spans="2:10" s="34" customFormat="1" x14ac:dyDescent="0.25">
      <c r="B85" s="37"/>
      <c r="C85" s="37"/>
      <c r="D85" s="37"/>
      <c r="F85" s="37"/>
      <c r="G85" s="37"/>
      <c r="H85" s="37"/>
      <c r="J85" s="37"/>
    </row>
    <row r="86" spans="2:10" s="34" customFormat="1" x14ac:dyDescent="0.25">
      <c r="B86" s="37"/>
      <c r="C86" s="37"/>
      <c r="D86" s="37"/>
      <c r="F86" s="37"/>
      <c r="G86" s="37"/>
      <c r="H86" s="37"/>
      <c r="J86" s="37"/>
    </row>
    <row r="87" spans="2:10" s="34" customFormat="1" x14ac:dyDescent="0.25">
      <c r="B87" s="37"/>
      <c r="C87" s="37"/>
      <c r="D87" s="37"/>
      <c r="F87" s="37"/>
      <c r="G87" s="37"/>
      <c r="H87" s="37"/>
      <c r="J87" s="37"/>
    </row>
    <row r="88" spans="2:10" s="34" customFormat="1" x14ac:dyDescent="0.25">
      <c r="B88" s="37"/>
      <c r="C88" s="37"/>
      <c r="D88" s="37"/>
      <c r="F88" s="37"/>
      <c r="G88" s="37"/>
      <c r="H88" s="37"/>
      <c r="J88" s="37"/>
    </row>
    <row r="89" spans="2:10" s="34" customFormat="1" x14ac:dyDescent="0.25">
      <c r="B89" s="37"/>
      <c r="C89" s="37"/>
      <c r="D89" s="37"/>
      <c r="F89" s="37"/>
      <c r="G89" s="37"/>
      <c r="H89" s="37"/>
      <c r="J89" s="37"/>
    </row>
    <row r="90" spans="2:10" s="34" customFormat="1" x14ac:dyDescent="0.25">
      <c r="B90" s="37"/>
      <c r="C90" s="37"/>
      <c r="D90" s="37"/>
      <c r="F90" s="37"/>
      <c r="G90" s="37"/>
      <c r="H90" s="37"/>
      <c r="J90" s="37"/>
    </row>
    <row r="91" spans="2:10" s="34" customFormat="1" x14ac:dyDescent="0.25">
      <c r="B91" s="37"/>
      <c r="C91" s="37"/>
      <c r="D91" s="37"/>
      <c r="F91" s="37"/>
      <c r="G91" s="37"/>
      <c r="H91" s="37"/>
      <c r="J91" s="37"/>
    </row>
    <row r="92" spans="2:10" s="34" customFormat="1" x14ac:dyDescent="0.25">
      <c r="B92" s="37"/>
      <c r="C92" s="37"/>
      <c r="D92" s="37"/>
      <c r="F92" s="37"/>
      <c r="G92" s="37"/>
      <c r="H92" s="37"/>
      <c r="J92" s="37"/>
    </row>
    <row r="93" spans="2:10" s="34" customFormat="1" x14ac:dyDescent="0.25">
      <c r="B93" s="37"/>
      <c r="C93" s="37"/>
      <c r="D93" s="37"/>
      <c r="F93" s="37"/>
      <c r="G93" s="37"/>
      <c r="H93" s="37"/>
      <c r="J93" s="37"/>
    </row>
    <row r="94" spans="2:10" s="34" customFormat="1" x14ac:dyDescent="0.25">
      <c r="B94" s="37"/>
      <c r="C94" s="37"/>
      <c r="D94" s="37"/>
      <c r="F94" s="37"/>
      <c r="G94" s="37"/>
      <c r="H94" s="37"/>
      <c r="J94" s="37"/>
    </row>
    <row r="95" spans="2:10" s="34" customFormat="1" x14ac:dyDescent="0.25">
      <c r="B95" s="37"/>
      <c r="C95" s="37"/>
      <c r="D95" s="37"/>
      <c r="F95" s="37"/>
      <c r="G95" s="37"/>
      <c r="H95" s="37"/>
      <c r="J95" s="37"/>
    </row>
    <row r="96" spans="2:10" s="34" customFormat="1" x14ac:dyDescent="0.25">
      <c r="B96" s="37"/>
      <c r="C96" s="37"/>
      <c r="D96" s="37"/>
      <c r="F96" s="37"/>
      <c r="G96" s="37"/>
      <c r="H96" s="37"/>
      <c r="J96" s="37"/>
    </row>
    <row r="97" spans="2:10" s="34" customFormat="1" x14ac:dyDescent="0.25">
      <c r="B97" s="37"/>
      <c r="C97" s="37"/>
      <c r="D97" s="37"/>
      <c r="F97" s="37"/>
      <c r="G97" s="37"/>
      <c r="H97" s="37"/>
      <c r="J97" s="37"/>
    </row>
    <row r="98" spans="2:10" s="34" customFormat="1" x14ac:dyDescent="0.25">
      <c r="B98" s="37"/>
      <c r="C98" s="37"/>
      <c r="D98" s="37"/>
      <c r="F98" s="37"/>
      <c r="G98" s="37"/>
      <c r="H98" s="37"/>
      <c r="J98" s="37"/>
    </row>
    <row r="99" spans="2:10" s="34" customFormat="1" x14ac:dyDescent="0.25">
      <c r="B99" s="37"/>
      <c r="C99" s="37"/>
      <c r="D99" s="37"/>
      <c r="F99" s="37"/>
      <c r="G99" s="37"/>
      <c r="H99" s="37"/>
      <c r="J99" s="37"/>
    </row>
    <row r="100" spans="2:10" s="34" customFormat="1" x14ac:dyDescent="0.25">
      <c r="B100" s="37"/>
      <c r="C100" s="37"/>
      <c r="D100" s="37"/>
      <c r="F100" s="37"/>
      <c r="G100" s="37"/>
      <c r="H100" s="37"/>
      <c r="J100" s="37"/>
    </row>
    <row r="101" spans="2:10" s="34" customFormat="1" x14ac:dyDescent="0.25">
      <c r="B101" s="37"/>
      <c r="C101" s="37"/>
      <c r="D101" s="37"/>
      <c r="F101" s="37"/>
      <c r="G101" s="37"/>
      <c r="H101" s="37"/>
      <c r="J101" s="37"/>
    </row>
    <row r="102" spans="2:10" s="34" customFormat="1" x14ac:dyDescent="0.25">
      <c r="B102" s="37"/>
      <c r="C102" s="37"/>
      <c r="D102" s="37"/>
      <c r="F102" s="37"/>
      <c r="G102" s="37"/>
      <c r="H102" s="37"/>
      <c r="J102" s="37"/>
    </row>
    <row r="103" spans="2:10" s="34" customFormat="1" x14ac:dyDescent="0.25">
      <c r="B103" s="37"/>
      <c r="C103" s="37"/>
      <c r="D103" s="37"/>
      <c r="F103" s="37"/>
      <c r="G103" s="37"/>
      <c r="H103" s="37"/>
      <c r="J103" s="37"/>
    </row>
    <row r="104" spans="2:10" s="34" customFormat="1" x14ac:dyDescent="0.25">
      <c r="B104" s="37"/>
      <c r="C104" s="37"/>
      <c r="D104" s="37"/>
      <c r="F104" s="37"/>
      <c r="G104" s="37"/>
      <c r="H104" s="37"/>
      <c r="J104" s="37"/>
    </row>
    <row r="105" spans="2:10" s="34" customFormat="1" x14ac:dyDescent="0.25">
      <c r="B105" s="37"/>
      <c r="C105" s="37"/>
      <c r="D105" s="37"/>
      <c r="F105" s="37"/>
      <c r="G105" s="37"/>
      <c r="H105" s="37"/>
      <c r="J105" s="37"/>
    </row>
    <row r="106" spans="2:10" s="34" customFormat="1" x14ac:dyDescent="0.25">
      <c r="B106" s="37"/>
      <c r="C106" s="37"/>
      <c r="D106" s="37"/>
      <c r="F106" s="37"/>
      <c r="G106" s="37"/>
      <c r="H106" s="37"/>
      <c r="J106" s="37"/>
    </row>
    <row r="107" spans="2:10" s="34" customFormat="1" x14ac:dyDescent="0.25">
      <c r="B107" s="37"/>
      <c r="C107" s="37"/>
      <c r="D107" s="37"/>
      <c r="F107" s="37"/>
      <c r="G107" s="37"/>
      <c r="H107" s="37"/>
      <c r="J107" s="37"/>
    </row>
    <row r="108" spans="2:10" s="34" customFormat="1" x14ac:dyDescent="0.25">
      <c r="B108" s="37"/>
      <c r="C108" s="37"/>
      <c r="D108" s="37"/>
      <c r="F108" s="37"/>
      <c r="G108" s="37"/>
      <c r="H108" s="37"/>
      <c r="J108" s="37"/>
    </row>
    <row r="109" spans="2:10" s="34" customFormat="1" x14ac:dyDescent="0.25">
      <c r="B109" s="37"/>
      <c r="C109" s="37"/>
      <c r="D109" s="37"/>
      <c r="F109" s="37"/>
      <c r="G109" s="37"/>
      <c r="H109" s="37"/>
      <c r="J109" s="37"/>
    </row>
    <row r="110" spans="2:10" s="34" customFormat="1" x14ac:dyDescent="0.25">
      <c r="B110" s="37"/>
      <c r="C110" s="37"/>
      <c r="D110" s="37"/>
      <c r="F110" s="37"/>
      <c r="G110" s="37"/>
      <c r="H110" s="37"/>
      <c r="J110" s="37"/>
    </row>
    <row r="111" spans="2:10" s="34" customFormat="1" x14ac:dyDescent="0.25">
      <c r="B111" s="37"/>
      <c r="C111" s="37"/>
      <c r="D111" s="37"/>
      <c r="F111" s="37"/>
      <c r="G111" s="37"/>
      <c r="H111" s="37"/>
      <c r="J111" s="37"/>
    </row>
    <row r="112" spans="2:10" s="34" customFormat="1" x14ac:dyDescent="0.25">
      <c r="B112" s="37"/>
      <c r="C112" s="37"/>
      <c r="D112" s="37"/>
      <c r="F112" s="37"/>
      <c r="G112" s="37"/>
      <c r="H112" s="37"/>
      <c r="J112" s="37"/>
    </row>
    <row r="113" spans="2:10" s="34" customFormat="1" x14ac:dyDescent="0.25">
      <c r="B113" s="37"/>
      <c r="C113" s="37"/>
      <c r="D113" s="37"/>
      <c r="F113" s="37"/>
      <c r="G113" s="37"/>
      <c r="H113" s="37"/>
      <c r="J113" s="37"/>
    </row>
    <row r="114" spans="2:10" s="34" customFormat="1" x14ac:dyDescent="0.25">
      <c r="B114" s="37"/>
      <c r="C114" s="37"/>
      <c r="D114" s="37"/>
      <c r="F114" s="37"/>
      <c r="G114" s="37"/>
      <c r="H114" s="37"/>
      <c r="J114" s="37"/>
    </row>
    <row r="115" spans="2:10" s="34" customFormat="1" x14ac:dyDescent="0.25">
      <c r="B115" s="37"/>
      <c r="C115" s="37"/>
      <c r="D115" s="37"/>
      <c r="F115" s="37"/>
      <c r="G115" s="37"/>
      <c r="H115" s="37"/>
      <c r="J115" s="37"/>
    </row>
    <row r="116" spans="2:10" s="34" customFormat="1" x14ac:dyDescent="0.25">
      <c r="B116" s="37"/>
      <c r="C116" s="37"/>
      <c r="D116" s="37"/>
      <c r="F116" s="37"/>
      <c r="G116" s="37"/>
      <c r="H116" s="37"/>
      <c r="J116" s="37"/>
    </row>
    <row r="117" spans="2:10" s="34" customFormat="1" x14ac:dyDescent="0.25">
      <c r="B117" s="37"/>
      <c r="C117" s="37"/>
      <c r="D117" s="37"/>
      <c r="F117" s="37"/>
      <c r="G117" s="37"/>
      <c r="H117" s="37"/>
      <c r="J117" s="37"/>
    </row>
    <row r="118" spans="2:10" s="34" customFormat="1" x14ac:dyDescent="0.25">
      <c r="B118" s="37"/>
      <c r="C118" s="37"/>
      <c r="D118" s="37"/>
      <c r="F118" s="37"/>
      <c r="G118" s="37"/>
      <c r="H118" s="37"/>
      <c r="J118" s="37"/>
    </row>
    <row r="119" spans="2:10" s="34" customFormat="1" x14ac:dyDescent="0.25">
      <c r="B119" s="37"/>
      <c r="C119" s="37"/>
      <c r="D119" s="37"/>
      <c r="F119" s="37"/>
      <c r="G119" s="37"/>
      <c r="H119" s="37"/>
      <c r="J119" s="37"/>
    </row>
    <row r="120" spans="2:10" s="34" customFormat="1" x14ac:dyDescent="0.25">
      <c r="B120" s="37"/>
      <c r="C120" s="37"/>
      <c r="D120" s="37"/>
      <c r="F120" s="37"/>
      <c r="G120" s="37"/>
      <c r="H120" s="37"/>
      <c r="J120" s="37"/>
    </row>
    <row r="121" spans="2:10" s="34" customFormat="1" x14ac:dyDescent="0.25">
      <c r="B121" s="37"/>
      <c r="C121" s="37"/>
      <c r="D121" s="37"/>
      <c r="F121" s="37"/>
      <c r="G121" s="37"/>
      <c r="H121" s="37"/>
      <c r="J121" s="37"/>
    </row>
    <row r="122" spans="2:10" s="34" customFormat="1" x14ac:dyDescent="0.25">
      <c r="B122" s="37"/>
      <c r="C122" s="37"/>
      <c r="D122" s="37"/>
      <c r="F122" s="37"/>
      <c r="G122" s="37"/>
      <c r="H122" s="37"/>
      <c r="J122" s="37"/>
    </row>
    <row r="123" spans="2:10" s="34" customFormat="1" x14ac:dyDescent="0.25">
      <c r="B123" s="37"/>
      <c r="C123" s="37"/>
      <c r="D123" s="37"/>
      <c r="F123" s="37"/>
      <c r="G123" s="37"/>
      <c r="H123" s="37"/>
      <c r="J123" s="37"/>
    </row>
    <row r="124" spans="2:10" s="34" customFormat="1" x14ac:dyDescent="0.25">
      <c r="B124" s="37"/>
      <c r="C124" s="37"/>
      <c r="D124" s="37"/>
      <c r="F124" s="37"/>
      <c r="G124" s="37"/>
      <c r="H124" s="37"/>
      <c r="J124" s="37"/>
    </row>
    <row r="125" spans="2:10" s="34" customFormat="1" x14ac:dyDescent="0.25">
      <c r="B125" s="37"/>
      <c r="C125" s="37"/>
      <c r="D125" s="37"/>
      <c r="F125" s="37"/>
      <c r="G125" s="37"/>
      <c r="H125" s="37"/>
      <c r="J125" s="37"/>
    </row>
    <row r="126" spans="2:10" s="34" customFormat="1" x14ac:dyDescent="0.25">
      <c r="B126" s="37"/>
      <c r="C126" s="37"/>
      <c r="D126" s="37"/>
      <c r="F126" s="37"/>
      <c r="G126" s="37"/>
      <c r="H126" s="37"/>
      <c r="J126" s="37"/>
    </row>
    <row r="127" spans="2:10" s="34" customFormat="1" x14ac:dyDescent="0.25">
      <c r="B127" s="37"/>
      <c r="C127" s="37"/>
      <c r="D127" s="37"/>
      <c r="F127" s="37"/>
      <c r="G127" s="37"/>
      <c r="H127" s="37"/>
      <c r="J127" s="37"/>
    </row>
    <row r="128" spans="2:10" s="34" customFormat="1" x14ac:dyDescent="0.25">
      <c r="B128" s="37"/>
      <c r="C128" s="37"/>
      <c r="D128" s="37"/>
      <c r="F128" s="37"/>
      <c r="G128" s="37"/>
      <c r="H128" s="37"/>
      <c r="J128" s="37"/>
    </row>
    <row r="129" spans="2:10" s="34" customFormat="1" x14ac:dyDescent="0.25">
      <c r="B129" s="37"/>
      <c r="C129" s="37"/>
      <c r="D129" s="37"/>
      <c r="F129" s="37"/>
      <c r="G129" s="37"/>
      <c r="H129" s="37"/>
      <c r="J129" s="37"/>
    </row>
    <row r="130" spans="2:10" s="34" customFormat="1" x14ac:dyDescent="0.25">
      <c r="B130" s="37"/>
      <c r="C130" s="37"/>
      <c r="D130" s="37"/>
      <c r="F130" s="37"/>
      <c r="G130" s="37"/>
      <c r="H130" s="37"/>
      <c r="J130" s="37"/>
    </row>
    <row r="131" spans="2:10" s="34" customFormat="1" x14ac:dyDescent="0.25">
      <c r="B131" s="37"/>
      <c r="C131" s="37"/>
      <c r="D131" s="37"/>
      <c r="F131" s="37"/>
      <c r="G131" s="37"/>
      <c r="H131" s="37"/>
      <c r="J131" s="37"/>
    </row>
    <row r="132" spans="2:10" s="34" customFormat="1" x14ac:dyDescent="0.25">
      <c r="B132" s="37"/>
      <c r="C132" s="37"/>
      <c r="D132" s="37"/>
      <c r="F132" s="37"/>
      <c r="G132" s="37"/>
      <c r="H132" s="37"/>
      <c r="J132" s="37"/>
    </row>
    <row r="133" spans="2:10" s="34" customFormat="1" x14ac:dyDescent="0.25">
      <c r="B133" s="37"/>
      <c r="C133" s="37"/>
      <c r="D133" s="37"/>
      <c r="F133" s="37"/>
      <c r="G133" s="37"/>
      <c r="H133" s="37"/>
      <c r="J133" s="37"/>
    </row>
    <row r="134" spans="2:10" s="34" customFormat="1" x14ac:dyDescent="0.25">
      <c r="B134" s="37"/>
      <c r="C134" s="37"/>
      <c r="D134" s="37"/>
      <c r="F134" s="37"/>
      <c r="G134" s="37"/>
      <c r="H134" s="37"/>
      <c r="J134" s="37"/>
    </row>
    <row r="135" spans="2:10" s="34" customFormat="1" x14ac:dyDescent="0.25">
      <c r="B135" s="37"/>
      <c r="C135" s="37"/>
      <c r="D135" s="37"/>
      <c r="F135" s="37"/>
      <c r="G135" s="37"/>
      <c r="H135" s="37"/>
      <c r="J135" s="37"/>
    </row>
    <row r="136" spans="2:10" s="34" customFormat="1" x14ac:dyDescent="0.25">
      <c r="B136" s="37"/>
      <c r="C136" s="37"/>
      <c r="D136" s="37"/>
      <c r="F136" s="37"/>
      <c r="G136" s="37"/>
      <c r="H136" s="37"/>
      <c r="J136" s="37"/>
    </row>
    <row r="137" spans="2:10" s="34" customFormat="1" x14ac:dyDescent="0.25">
      <c r="B137" s="37"/>
      <c r="C137" s="37"/>
      <c r="D137" s="37"/>
      <c r="F137" s="37"/>
      <c r="G137" s="37"/>
      <c r="H137" s="37"/>
      <c r="J137" s="37"/>
    </row>
    <row r="138" spans="2:10" s="34" customFormat="1" x14ac:dyDescent="0.25">
      <c r="B138" s="37"/>
      <c r="C138" s="37"/>
      <c r="D138" s="37"/>
      <c r="F138" s="37"/>
      <c r="G138" s="37"/>
      <c r="H138" s="37"/>
      <c r="J138" s="37"/>
    </row>
    <row r="139" spans="2:10" s="34" customFormat="1" x14ac:dyDescent="0.25">
      <c r="B139" s="37"/>
      <c r="C139" s="37"/>
      <c r="D139" s="37"/>
      <c r="F139" s="37"/>
      <c r="G139" s="37"/>
      <c r="H139" s="37"/>
      <c r="J139" s="37"/>
    </row>
    <row r="140" spans="2:10" s="34" customFormat="1" x14ac:dyDescent="0.25">
      <c r="B140" s="37"/>
      <c r="C140" s="37"/>
      <c r="D140" s="37"/>
      <c r="F140" s="37"/>
      <c r="G140" s="37"/>
      <c r="H140" s="37"/>
      <c r="J140" s="37"/>
    </row>
    <row r="141" spans="2:10" s="34" customFormat="1" x14ac:dyDescent="0.25">
      <c r="B141" s="37"/>
      <c r="C141" s="37"/>
      <c r="D141" s="37"/>
      <c r="F141" s="37"/>
      <c r="G141" s="37"/>
      <c r="H141" s="37"/>
      <c r="J141" s="37"/>
    </row>
    <row r="142" spans="2:10" s="34" customFormat="1" x14ac:dyDescent="0.25">
      <c r="B142" s="37"/>
      <c r="C142" s="37"/>
      <c r="D142" s="37"/>
      <c r="F142" s="37"/>
      <c r="G142" s="37"/>
      <c r="H142" s="37"/>
      <c r="J142" s="37"/>
    </row>
    <row r="143" spans="2:10" s="34" customFormat="1" x14ac:dyDescent="0.25">
      <c r="B143" s="37"/>
      <c r="C143" s="37"/>
      <c r="D143" s="37"/>
      <c r="F143" s="37"/>
      <c r="G143" s="37"/>
      <c r="H143" s="37"/>
      <c r="J143" s="37"/>
    </row>
    <row r="144" spans="2:10" s="34" customFormat="1" x14ac:dyDescent="0.25">
      <c r="B144" s="37"/>
      <c r="C144" s="37"/>
      <c r="D144" s="37"/>
      <c r="F144" s="37"/>
      <c r="G144" s="37"/>
      <c r="H144" s="37"/>
      <c r="J144" s="37"/>
    </row>
    <row r="145" spans="2:10" s="34" customFormat="1" x14ac:dyDescent="0.25">
      <c r="B145" s="37"/>
      <c r="C145" s="37"/>
      <c r="D145" s="37"/>
      <c r="F145" s="37"/>
      <c r="G145" s="37"/>
      <c r="H145" s="37"/>
      <c r="J145" s="37"/>
    </row>
    <row r="146" spans="2:10" s="34" customFormat="1" x14ac:dyDescent="0.25">
      <c r="B146" s="37"/>
      <c r="C146" s="37"/>
      <c r="D146" s="37"/>
      <c r="F146" s="37"/>
      <c r="G146" s="37"/>
      <c r="H146" s="37"/>
      <c r="J146" s="37"/>
    </row>
    <row r="147" spans="2:10" s="34" customFormat="1" x14ac:dyDescent="0.25">
      <c r="B147" s="37"/>
      <c r="C147" s="37"/>
      <c r="D147" s="37"/>
      <c r="F147" s="37"/>
      <c r="G147" s="37"/>
      <c r="H147" s="37"/>
      <c r="J147" s="37"/>
    </row>
    <row r="148" spans="2:10" s="34" customFormat="1" x14ac:dyDescent="0.25">
      <c r="B148" s="37"/>
      <c r="C148" s="37"/>
      <c r="D148" s="37"/>
      <c r="F148" s="37"/>
      <c r="G148" s="37"/>
      <c r="H148" s="37"/>
      <c r="J148" s="37"/>
    </row>
    <row r="149" spans="2:10" s="34" customFormat="1" x14ac:dyDescent="0.25">
      <c r="B149" s="37"/>
      <c r="C149" s="37"/>
      <c r="D149" s="37"/>
      <c r="F149" s="37"/>
      <c r="G149" s="37"/>
      <c r="H149" s="37"/>
      <c r="J149" s="37"/>
    </row>
    <row r="150" spans="2:10" s="34" customFormat="1" x14ac:dyDescent="0.25">
      <c r="B150" s="37"/>
      <c r="C150" s="37"/>
      <c r="D150" s="37"/>
      <c r="F150" s="37"/>
      <c r="G150" s="37"/>
      <c r="H150" s="37"/>
      <c r="J150" s="37"/>
    </row>
    <row r="151" spans="2:10" s="34" customFormat="1" x14ac:dyDescent="0.25">
      <c r="B151" s="37"/>
      <c r="C151" s="37"/>
      <c r="D151" s="37"/>
      <c r="F151" s="37"/>
      <c r="G151" s="37"/>
      <c r="H151" s="37"/>
      <c r="J151" s="37"/>
    </row>
    <row r="152" spans="2:10" s="34" customFormat="1" x14ac:dyDescent="0.25">
      <c r="B152" s="37"/>
      <c r="C152" s="37"/>
      <c r="D152" s="37"/>
      <c r="F152" s="37"/>
      <c r="G152" s="37"/>
      <c r="H152" s="37"/>
      <c r="J152" s="37"/>
    </row>
    <row r="153" spans="2:10" s="34" customFormat="1" x14ac:dyDescent="0.25">
      <c r="B153" s="37"/>
      <c r="C153" s="37"/>
      <c r="D153" s="37"/>
      <c r="F153" s="37"/>
      <c r="G153" s="37"/>
      <c r="H153" s="37"/>
      <c r="J153" s="37"/>
    </row>
    <row r="154" spans="2:10" s="34" customFormat="1" x14ac:dyDescent="0.25">
      <c r="B154" s="37"/>
      <c r="C154" s="37"/>
      <c r="D154" s="37"/>
      <c r="F154" s="37"/>
      <c r="G154" s="37"/>
      <c r="H154" s="37"/>
      <c r="J154" s="37"/>
    </row>
    <row r="155" spans="2:10" s="34" customFormat="1" x14ac:dyDescent="0.25">
      <c r="B155" s="37"/>
      <c r="C155" s="37"/>
      <c r="D155" s="37"/>
      <c r="F155" s="37"/>
      <c r="G155" s="37"/>
      <c r="H155" s="37"/>
      <c r="J155" s="37"/>
    </row>
    <row r="156" spans="2:10" s="34" customFormat="1" x14ac:dyDescent="0.25">
      <c r="B156" s="37"/>
      <c r="C156" s="37"/>
      <c r="D156" s="37"/>
      <c r="F156" s="37"/>
      <c r="G156" s="37"/>
      <c r="H156" s="37"/>
      <c r="J156" s="37"/>
    </row>
    <row r="157" spans="2:10" s="34" customFormat="1" x14ac:dyDescent="0.25">
      <c r="B157" s="37"/>
      <c r="C157" s="37"/>
      <c r="D157" s="37"/>
      <c r="F157" s="37"/>
      <c r="G157" s="37"/>
      <c r="H157" s="37"/>
      <c r="J157" s="37"/>
    </row>
    <row r="158" spans="2:10" s="34" customFormat="1" x14ac:dyDescent="0.25">
      <c r="B158" s="37"/>
      <c r="C158" s="37"/>
      <c r="D158" s="37"/>
      <c r="F158" s="37"/>
      <c r="G158" s="37"/>
      <c r="H158" s="37"/>
      <c r="J158" s="37"/>
    </row>
    <row r="159" spans="2:10" s="34" customFormat="1" x14ac:dyDescent="0.25">
      <c r="B159" s="37"/>
      <c r="C159" s="37"/>
      <c r="D159" s="37"/>
      <c r="F159" s="37"/>
      <c r="G159" s="37"/>
      <c r="H159" s="37"/>
      <c r="J159" s="37"/>
    </row>
    <row r="160" spans="2:10" s="34" customFormat="1" x14ac:dyDescent="0.25">
      <c r="B160" s="37"/>
      <c r="C160" s="37"/>
      <c r="D160" s="37"/>
      <c r="F160" s="37"/>
      <c r="G160" s="37"/>
      <c r="H160" s="37"/>
      <c r="J160" s="37"/>
    </row>
    <row r="161" spans="2:10" s="34" customFormat="1" x14ac:dyDescent="0.25">
      <c r="B161" s="37"/>
      <c r="C161" s="37"/>
      <c r="D161" s="37"/>
      <c r="F161" s="37"/>
      <c r="G161" s="37"/>
      <c r="H161" s="37"/>
      <c r="J161" s="37"/>
    </row>
    <row r="162" spans="2:10" s="34" customFormat="1" x14ac:dyDescent="0.25">
      <c r="B162" s="37"/>
      <c r="C162" s="37"/>
      <c r="D162" s="37"/>
      <c r="F162" s="37"/>
      <c r="G162" s="37"/>
      <c r="H162" s="37"/>
      <c r="J162" s="37"/>
    </row>
    <row r="163" spans="2:10" s="34" customFormat="1" x14ac:dyDescent="0.25">
      <c r="B163" s="37"/>
      <c r="C163" s="37"/>
      <c r="D163" s="37"/>
      <c r="F163" s="37"/>
      <c r="G163" s="37"/>
      <c r="H163" s="37"/>
      <c r="J163" s="37"/>
    </row>
    <row r="164" spans="2:10" s="34" customFormat="1" x14ac:dyDescent="0.25">
      <c r="B164" s="37"/>
      <c r="C164" s="37"/>
      <c r="D164" s="37"/>
      <c r="F164" s="37"/>
      <c r="G164" s="37"/>
      <c r="H164" s="37"/>
      <c r="J164" s="37"/>
    </row>
    <row r="165" spans="2:10" s="34" customFormat="1" x14ac:dyDescent="0.25">
      <c r="B165" s="37"/>
      <c r="C165" s="37"/>
      <c r="D165" s="37"/>
      <c r="F165" s="37"/>
      <c r="G165" s="37"/>
      <c r="H165" s="37"/>
      <c r="J165" s="37"/>
    </row>
    <row r="166" spans="2:10" s="34" customFormat="1" x14ac:dyDescent="0.25">
      <c r="B166" s="37"/>
      <c r="C166" s="37"/>
      <c r="D166" s="37"/>
      <c r="F166" s="37"/>
      <c r="G166" s="37"/>
      <c r="H166" s="37"/>
      <c r="J166" s="37"/>
    </row>
    <row r="167" spans="2:10" s="34" customFormat="1" x14ac:dyDescent="0.25">
      <c r="B167" s="37"/>
      <c r="C167" s="37"/>
      <c r="D167" s="37"/>
      <c r="F167" s="37"/>
      <c r="G167" s="37"/>
      <c r="H167" s="37"/>
      <c r="J167" s="37"/>
    </row>
    <row r="168" spans="2:10" s="34" customFormat="1" x14ac:dyDescent="0.25">
      <c r="B168" s="37"/>
      <c r="C168" s="37"/>
      <c r="D168" s="37"/>
      <c r="F168" s="37"/>
      <c r="G168" s="37"/>
      <c r="H168" s="37"/>
      <c r="J168" s="37"/>
    </row>
    <row r="169" spans="2:10" s="34" customFormat="1" x14ac:dyDescent="0.25">
      <c r="B169" s="37"/>
      <c r="C169" s="37"/>
      <c r="D169" s="37"/>
      <c r="F169" s="37"/>
      <c r="G169" s="37"/>
      <c r="H169" s="37"/>
      <c r="J169" s="37"/>
    </row>
    <row r="170" spans="2:10" s="34" customFormat="1" x14ac:dyDescent="0.25">
      <c r="B170" s="37"/>
      <c r="C170" s="37"/>
      <c r="D170" s="37"/>
      <c r="F170" s="37"/>
      <c r="G170" s="37"/>
      <c r="H170" s="37"/>
      <c r="J170" s="37"/>
    </row>
    <row r="171" spans="2:10" s="34" customFormat="1" x14ac:dyDescent="0.25">
      <c r="B171" s="37"/>
      <c r="C171" s="37"/>
      <c r="D171" s="37"/>
      <c r="F171" s="37"/>
      <c r="G171" s="37"/>
      <c r="H171" s="37"/>
      <c r="J171" s="37"/>
    </row>
    <row r="172" spans="2:10" s="34" customFormat="1" x14ac:dyDescent="0.25">
      <c r="B172" s="37"/>
      <c r="C172" s="37"/>
      <c r="D172" s="37"/>
      <c r="F172" s="37"/>
      <c r="G172" s="37"/>
      <c r="H172" s="37"/>
      <c r="J172" s="37"/>
    </row>
    <row r="173" spans="2:10" s="34" customFormat="1" x14ac:dyDescent="0.25">
      <c r="B173" s="37"/>
      <c r="C173" s="37"/>
      <c r="D173" s="37"/>
      <c r="F173" s="37"/>
      <c r="G173" s="37"/>
      <c r="H173" s="37"/>
      <c r="J173" s="37"/>
    </row>
    <row r="174" spans="2:10" s="34" customFormat="1" x14ac:dyDescent="0.25">
      <c r="B174" s="37"/>
      <c r="C174" s="37"/>
      <c r="D174" s="37"/>
      <c r="F174" s="37"/>
      <c r="G174" s="37"/>
      <c r="H174" s="37"/>
      <c r="J174" s="37"/>
    </row>
    <row r="175" spans="2:10" s="34" customFormat="1" x14ac:dyDescent="0.25">
      <c r="B175" s="37"/>
      <c r="C175" s="37"/>
      <c r="D175" s="37"/>
      <c r="F175" s="37"/>
      <c r="G175" s="37"/>
      <c r="H175" s="37"/>
      <c r="J175" s="37"/>
    </row>
    <row r="176" spans="2:10" s="34" customFormat="1" x14ac:dyDescent="0.25">
      <c r="B176" s="37"/>
      <c r="C176" s="37"/>
      <c r="D176" s="37"/>
      <c r="F176" s="37"/>
      <c r="G176" s="37"/>
      <c r="H176" s="37"/>
      <c r="J176" s="37"/>
    </row>
    <row r="177" spans="2:10" s="34" customFormat="1" x14ac:dyDescent="0.25">
      <c r="B177" s="37"/>
      <c r="C177" s="37"/>
      <c r="D177" s="37"/>
      <c r="F177" s="37"/>
      <c r="G177" s="37"/>
      <c r="H177" s="37"/>
      <c r="J177" s="37"/>
    </row>
    <row r="178" spans="2:10" s="34" customFormat="1" x14ac:dyDescent="0.25">
      <c r="B178" s="37"/>
      <c r="C178" s="37"/>
      <c r="D178" s="37"/>
      <c r="F178" s="37"/>
      <c r="G178" s="37"/>
      <c r="H178" s="37"/>
      <c r="J178" s="37"/>
    </row>
    <row r="179" spans="2:10" s="34" customFormat="1" x14ac:dyDescent="0.25">
      <c r="B179" s="37"/>
      <c r="C179" s="37"/>
      <c r="D179" s="37"/>
      <c r="F179" s="37"/>
      <c r="G179" s="37"/>
      <c r="H179" s="37"/>
      <c r="J179" s="37"/>
    </row>
    <row r="180" spans="2:10" s="34" customFormat="1" x14ac:dyDescent="0.25">
      <c r="B180" s="37"/>
      <c r="C180" s="37"/>
      <c r="D180" s="37"/>
      <c r="F180" s="37"/>
      <c r="G180" s="37"/>
      <c r="H180" s="37"/>
      <c r="J180" s="37"/>
    </row>
    <row r="181" spans="2:10" s="34" customFormat="1" x14ac:dyDescent="0.25">
      <c r="B181" s="37"/>
      <c r="C181" s="37"/>
      <c r="D181" s="37"/>
      <c r="F181" s="37"/>
      <c r="G181" s="37"/>
      <c r="H181" s="37"/>
      <c r="J181" s="37"/>
    </row>
    <row r="182" spans="2:10" s="34" customFormat="1" x14ac:dyDescent="0.25">
      <c r="B182" s="37"/>
      <c r="C182" s="37"/>
      <c r="D182" s="37"/>
      <c r="F182" s="37"/>
      <c r="G182" s="37"/>
      <c r="H182" s="37"/>
      <c r="J182" s="37"/>
    </row>
    <row r="183" spans="2:10" s="34" customFormat="1" x14ac:dyDescent="0.25">
      <c r="B183" s="37"/>
      <c r="C183" s="37"/>
      <c r="D183" s="37"/>
      <c r="F183" s="37"/>
      <c r="G183" s="37"/>
      <c r="H183" s="37"/>
      <c r="J183" s="37"/>
    </row>
    <row r="184" spans="2:10" s="34" customFormat="1" x14ac:dyDescent="0.25">
      <c r="B184" s="37"/>
      <c r="C184" s="37"/>
      <c r="D184" s="37"/>
      <c r="F184" s="37"/>
      <c r="G184" s="37"/>
      <c r="H184" s="37"/>
      <c r="J184" s="37"/>
    </row>
    <row r="185" spans="2:10" s="34" customFormat="1" x14ac:dyDescent="0.25">
      <c r="B185" s="37"/>
      <c r="C185" s="37"/>
      <c r="D185" s="37"/>
      <c r="F185" s="37"/>
      <c r="G185" s="37"/>
      <c r="H185" s="37"/>
      <c r="J185" s="37"/>
    </row>
    <row r="186" spans="2:10" s="34" customFormat="1" x14ac:dyDescent="0.25">
      <c r="B186" s="37"/>
      <c r="C186" s="37"/>
      <c r="D186" s="37"/>
      <c r="F186" s="37"/>
      <c r="G186" s="37"/>
      <c r="H186" s="37"/>
      <c r="J186" s="37"/>
    </row>
    <row r="187" spans="2:10" s="34" customFormat="1" x14ac:dyDescent="0.25">
      <c r="B187" s="37"/>
      <c r="C187" s="37"/>
      <c r="D187" s="37"/>
      <c r="F187" s="37"/>
      <c r="G187" s="37"/>
      <c r="H187" s="37"/>
      <c r="J187" s="37"/>
    </row>
    <row r="188" spans="2:10" s="34" customFormat="1" x14ac:dyDescent="0.25">
      <c r="B188" s="37"/>
      <c r="C188" s="37"/>
      <c r="D188" s="37"/>
      <c r="F188" s="37"/>
      <c r="G188" s="37"/>
      <c r="H188" s="37"/>
      <c r="J188" s="37"/>
    </row>
    <row r="189" spans="2:10" s="34" customFormat="1" x14ac:dyDescent="0.25">
      <c r="B189" s="37"/>
      <c r="C189" s="37"/>
      <c r="D189" s="37"/>
      <c r="F189" s="37"/>
      <c r="G189" s="37"/>
      <c r="H189" s="37"/>
      <c r="J189" s="37"/>
    </row>
    <row r="190" spans="2:10" s="34" customFormat="1" x14ac:dyDescent="0.25">
      <c r="B190" s="37"/>
      <c r="C190" s="37"/>
      <c r="D190" s="37"/>
      <c r="F190" s="37"/>
      <c r="G190" s="37"/>
      <c r="H190" s="37"/>
      <c r="J190" s="37"/>
    </row>
    <row r="191" spans="2:10" s="34" customFormat="1" x14ac:dyDescent="0.25">
      <c r="B191" s="37"/>
      <c r="C191" s="37"/>
      <c r="D191" s="37"/>
      <c r="F191" s="37"/>
      <c r="G191" s="37"/>
      <c r="H191" s="37"/>
      <c r="J191" s="37"/>
    </row>
    <row r="192" spans="2:10" s="34" customFormat="1" x14ac:dyDescent="0.25">
      <c r="B192" s="37"/>
      <c r="C192" s="37"/>
      <c r="D192" s="37"/>
      <c r="F192" s="37"/>
      <c r="G192" s="37"/>
      <c r="H192" s="37"/>
      <c r="J192" s="37"/>
    </row>
    <row r="193" spans="2:10" s="34" customFormat="1" x14ac:dyDescent="0.25">
      <c r="B193" s="37"/>
      <c r="C193" s="37"/>
      <c r="D193" s="37"/>
      <c r="F193" s="37"/>
      <c r="G193" s="37"/>
      <c r="H193" s="37"/>
      <c r="J193" s="37"/>
    </row>
    <row r="194" spans="2:10" s="34" customFormat="1" x14ac:dyDescent="0.25">
      <c r="B194" s="37"/>
      <c r="C194" s="37"/>
      <c r="D194" s="37"/>
      <c r="F194" s="37"/>
      <c r="G194" s="37"/>
      <c r="H194" s="37"/>
      <c r="J194" s="37"/>
    </row>
    <row r="195" spans="2:10" s="34" customFormat="1" x14ac:dyDescent="0.25">
      <c r="B195" s="37"/>
      <c r="C195" s="37"/>
      <c r="D195" s="37"/>
      <c r="F195" s="37"/>
      <c r="G195" s="37"/>
      <c r="H195" s="37"/>
      <c r="J195" s="37"/>
    </row>
    <row r="196" spans="2:10" s="34" customFormat="1" x14ac:dyDescent="0.25">
      <c r="B196" s="37"/>
      <c r="C196" s="37"/>
      <c r="D196" s="37"/>
      <c r="F196" s="37"/>
      <c r="G196" s="37"/>
      <c r="H196" s="37"/>
      <c r="J196" s="37"/>
    </row>
    <row r="197" spans="2:10" s="34" customFormat="1" x14ac:dyDescent="0.25">
      <c r="B197" s="37"/>
      <c r="C197" s="37"/>
      <c r="D197" s="37"/>
      <c r="F197" s="37"/>
      <c r="G197" s="37"/>
      <c r="H197" s="37"/>
      <c r="J197" s="37"/>
    </row>
    <row r="198" spans="2:10" s="34" customFormat="1" x14ac:dyDescent="0.25">
      <c r="B198" s="37"/>
      <c r="C198" s="37"/>
      <c r="D198" s="37"/>
      <c r="F198" s="37"/>
      <c r="G198" s="37"/>
      <c r="H198" s="37"/>
      <c r="J198" s="37"/>
    </row>
    <row r="199" spans="2:10" s="34" customFormat="1" x14ac:dyDescent="0.25">
      <c r="B199" s="37"/>
      <c r="C199" s="37"/>
      <c r="D199" s="37"/>
      <c r="F199" s="37"/>
      <c r="G199" s="37"/>
      <c r="H199" s="37"/>
      <c r="J199" s="37"/>
    </row>
    <row r="200" spans="2:10" s="34" customFormat="1" x14ac:dyDescent="0.25">
      <c r="B200" s="37"/>
      <c r="C200" s="37"/>
      <c r="D200" s="37"/>
      <c r="F200" s="37"/>
      <c r="G200" s="37"/>
      <c r="H200" s="37"/>
      <c r="J200" s="37"/>
    </row>
    <row r="201" spans="2:10" s="34" customFormat="1" x14ac:dyDescent="0.25">
      <c r="B201" s="37"/>
      <c r="C201" s="37"/>
      <c r="D201" s="37"/>
      <c r="F201" s="37"/>
      <c r="G201" s="37"/>
      <c r="H201" s="37"/>
      <c r="J201" s="37"/>
    </row>
    <row r="202" spans="2:10" s="34" customFormat="1" x14ac:dyDescent="0.25">
      <c r="B202" s="37"/>
      <c r="C202" s="37"/>
      <c r="D202" s="37"/>
      <c r="F202" s="37"/>
      <c r="G202" s="37"/>
      <c r="H202" s="37"/>
      <c r="J202" s="37"/>
    </row>
    <row r="203" spans="2:10" s="34" customFormat="1" x14ac:dyDescent="0.25">
      <c r="B203" s="37"/>
      <c r="C203" s="37"/>
      <c r="D203" s="37"/>
      <c r="F203" s="37"/>
      <c r="G203" s="37"/>
      <c r="H203" s="37"/>
      <c r="J203" s="37"/>
    </row>
    <row r="204" spans="2:10" s="34" customFormat="1" x14ac:dyDescent="0.25">
      <c r="B204" s="37"/>
      <c r="C204" s="37"/>
      <c r="D204" s="37"/>
      <c r="F204" s="37"/>
      <c r="G204" s="37"/>
      <c r="H204" s="37"/>
      <c r="J204" s="37"/>
    </row>
    <row r="205" spans="2:10" s="34" customFormat="1" x14ac:dyDescent="0.25">
      <c r="B205" s="37"/>
      <c r="C205" s="37"/>
      <c r="D205" s="37"/>
      <c r="F205" s="37"/>
      <c r="G205" s="37"/>
      <c r="H205" s="37"/>
      <c r="J205" s="37"/>
    </row>
    <row r="206" spans="2:10" s="34" customFormat="1" x14ac:dyDescent="0.25">
      <c r="B206" s="37"/>
      <c r="C206" s="37"/>
      <c r="D206" s="37"/>
      <c r="F206" s="37"/>
      <c r="G206" s="37"/>
      <c r="H206" s="37"/>
      <c r="J206" s="37"/>
    </row>
    <row r="207" spans="2:10" s="34" customFormat="1" x14ac:dyDescent="0.25">
      <c r="B207" s="37"/>
      <c r="C207" s="37"/>
      <c r="D207" s="37"/>
      <c r="F207" s="37"/>
      <c r="G207" s="37"/>
      <c r="H207" s="37"/>
      <c r="J207" s="37"/>
    </row>
    <row r="208" spans="2:10" s="34" customFormat="1" x14ac:dyDescent="0.25">
      <c r="B208" s="37"/>
      <c r="C208" s="37"/>
      <c r="D208" s="37"/>
      <c r="F208" s="37"/>
      <c r="G208" s="37"/>
      <c r="H208" s="37"/>
      <c r="J208" s="37"/>
    </row>
    <row r="209" spans="1:41" s="34" customFormat="1" x14ac:dyDescent="0.25">
      <c r="B209" s="37"/>
      <c r="C209" s="37"/>
      <c r="D209" s="37"/>
      <c r="F209" s="37"/>
      <c r="G209" s="37"/>
      <c r="H209" s="37"/>
      <c r="J209" s="37"/>
    </row>
    <row r="210" spans="1:41" s="34" customFormat="1" x14ac:dyDescent="0.25">
      <c r="B210" s="37"/>
      <c r="C210" s="37"/>
      <c r="D210" s="37"/>
      <c r="F210" s="37"/>
      <c r="G210" s="37"/>
      <c r="H210" s="37"/>
      <c r="J210" s="37"/>
    </row>
    <row r="211" spans="1:41" s="34" customFormat="1" x14ac:dyDescent="0.25">
      <c r="B211" s="37"/>
      <c r="C211" s="37"/>
      <c r="D211" s="37"/>
      <c r="F211" s="37"/>
      <c r="G211" s="37"/>
      <c r="H211" s="37"/>
      <c r="J211" s="37"/>
    </row>
    <row r="212" spans="1:41" s="34" customFormat="1" x14ac:dyDescent="0.25">
      <c r="B212" s="37"/>
      <c r="C212" s="37"/>
      <c r="D212" s="37"/>
      <c r="F212" s="37"/>
      <c r="G212" s="37"/>
      <c r="H212" s="37"/>
      <c r="J212" s="37"/>
    </row>
    <row r="213" spans="1:41" s="34" customFormat="1" x14ac:dyDescent="0.25">
      <c r="B213" s="37"/>
      <c r="C213" s="37"/>
      <c r="D213" s="37"/>
      <c r="F213" s="37"/>
      <c r="G213" s="37"/>
      <c r="H213" s="37"/>
      <c r="J213" s="37"/>
    </row>
    <row r="214" spans="1:41" s="34" customFormat="1" x14ac:dyDescent="0.25">
      <c r="B214" s="37"/>
      <c r="C214" s="37"/>
      <c r="D214" s="37"/>
      <c r="F214" s="37"/>
      <c r="G214" s="37"/>
      <c r="H214" s="37"/>
      <c r="J214" s="37"/>
    </row>
    <row r="215" spans="1:41" s="34" customFormat="1" x14ac:dyDescent="0.25">
      <c r="B215" s="37"/>
      <c r="C215" s="37"/>
      <c r="D215" s="37"/>
      <c r="F215" s="37"/>
      <c r="G215" s="37"/>
      <c r="H215" s="37"/>
      <c r="J215" s="37"/>
    </row>
    <row r="216" spans="1:41" s="34" customFormat="1" x14ac:dyDescent="0.25">
      <c r="B216" s="37"/>
      <c r="C216" s="37"/>
      <c r="D216" s="37"/>
      <c r="F216" s="37"/>
      <c r="G216" s="37"/>
      <c r="H216" s="37"/>
      <c r="J216" s="37"/>
    </row>
    <row r="217" spans="1:41" s="34" customFormat="1" x14ac:dyDescent="0.25">
      <c r="B217" s="37"/>
      <c r="C217" s="37"/>
      <c r="D217" s="37"/>
      <c r="F217" s="37"/>
      <c r="G217" s="37"/>
      <c r="H217" s="37"/>
      <c r="J217" s="37"/>
    </row>
    <row r="218" spans="1:41" s="34" customFormat="1" x14ac:dyDescent="0.25">
      <c r="B218" s="37"/>
      <c r="C218" s="37"/>
      <c r="D218" s="37"/>
      <c r="F218" s="37"/>
      <c r="G218" s="37"/>
      <c r="H218" s="37"/>
      <c r="J218" s="37"/>
    </row>
    <row r="219" spans="1:41" s="34" customFormat="1" x14ac:dyDescent="0.25">
      <c r="B219" s="37"/>
      <c r="C219" s="37"/>
      <c r="D219" s="37"/>
      <c r="F219" s="37"/>
      <c r="G219" s="37"/>
      <c r="H219" s="37"/>
      <c r="J219" s="37"/>
    </row>
    <row r="220" spans="1:41" s="34" customFormat="1" x14ac:dyDescent="0.25">
      <c r="B220" s="37"/>
      <c r="C220" s="37"/>
      <c r="D220" s="37"/>
      <c r="F220" s="37"/>
      <c r="G220" s="37"/>
      <c r="H220" s="37"/>
      <c r="J220" s="37"/>
    </row>
    <row r="221" spans="1:41" s="34" customFormat="1" x14ac:dyDescent="0.25">
      <c r="B221" s="37"/>
      <c r="C221" s="37"/>
      <c r="D221" s="37"/>
      <c r="F221" s="37"/>
      <c r="G221" s="37"/>
      <c r="H221" s="37"/>
      <c r="J221" s="37"/>
    </row>
    <row r="222" spans="1:41" s="34" customFormat="1" x14ac:dyDescent="0.25">
      <c r="B222" s="37"/>
      <c r="C222" s="37"/>
      <c r="D222" s="37"/>
      <c r="F222" s="37"/>
      <c r="G222" s="37"/>
      <c r="H222" s="37"/>
      <c r="J222" s="37"/>
    </row>
    <row r="223" spans="1:41" s="48" customFormat="1" x14ac:dyDescent="0.25">
      <c r="A223" s="34"/>
      <c r="B223" s="49"/>
      <c r="C223" s="49"/>
      <c r="D223" s="49"/>
      <c r="F223" s="49"/>
      <c r="G223" s="49"/>
      <c r="H223" s="49"/>
      <c r="J223" s="49"/>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4"/>
      <c r="AO223" s="34"/>
    </row>
    <row r="224" spans="1:41" s="48" customFormat="1" x14ac:dyDescent="0.25">
      <c r="A224" s="34"/>
      <c r="B224" s="49"/>
      <c r="C224" s="49"/>
      <c r="D224" s="49"/>
      <c r="F224" s="49"/>
      <c r="G224" s="49"/>
      <c r="H224" s="49"/>
      <c r="J224" s="49"/>
      <c r="K224" s="34"/>
      <c r="L224" s="34"/>
      <c r="M224" s="34"/>
      <c r="N224" s="34"/>
      <c r="O224" s="34"/>
      <c r="P224" s="34"/>
      <c r="Q224" s="34"/>
      <c r="R224" s="34"/>
      <c r="S224" s="34"/>
      <c r="T224" s="34"/>
      <c r="U224" s="34"/>
      <c r="V224" s="34"/>
      <c r="W224" s="34"/>
      <c r="X224" s="34"/>
      <c r="Y224" s="34"/>
      <c r="Z224" s="34"/>
      <c r="AA224" s="34"/>
      <c r="AB224" s="34"/>
      <c r="AC224" s="34"/>
      <c r="AD224" s="34"/>
      <c r="AE224" s="34"/>
      <c r="AF224" s="34"/>
      <c r="AG224" s="34"/>
      <c r="AH224" s="34"/>
      <c r="AI224" s="34"/>
      <c r="AJ224" s="34"/>
      <c r="AK224" s="34"/>
      <c r="AL224" s="34"/>
      <c r="AM224" s="34"/>
      <c r="AN224" s="34"/>
      <c r="AO224" s="34"/>
    </row>
    <row r="225" spans="1:41" s="48" customFormat="1" x14ac:dyDescent="0.25">
      <c r="A225" s="34"/>
      <c r="B225" s="49"/>
      <c r="C225" s="49"/>
      <c r="D225" s="49"/>
      <c r="F225" s="49"/>
      <c r="G225" s="49"/>
      <c r="H225" s="49"/>
      <c r="J225" s="49"/>
      <c r="K225" s="34"/>
      <c r="L225" s="34"/>
      <c r="M225" s="34"/>
      <c r="N225" s="34"/>
      <c r="O225" s="34"/>
      <c r="P225" s="34"/>
      <c r="Q225" s="34"/>
      <c r="R225" s="34"/>
      <c r="S225" s="34"/>
      <c r="T225" s="34"/>
      <c r="U225" s="34"/>
      <c r="V225" s="34"/>
      <c r="W225" s="34"/>
      <c r="X225" s="34"/>
      <c r="Y225" s="34"/>
      <c r="Z225" s="34"/>
      <c r="AA225" s="34"/>
      <c r="AB225" s="34"/>
      <c r="AC225" s="34"/>
      <c r="AD225" s="34"/>
      <c r="AE225" s="34"/>
      <c r="AF225" s="34"/>
      <c r="AG225" s="34"/>
      <c r="AH225" s="34"/>
      <c r="AI225" s="34"/>
      <c r="AJ225" s="34"/>
      <c r="AK225" s="34"/>
      <c r="AL225" s="34"/>
      <c r="AM225" s="34"/>
      <c r="AN225" s="34"/>
      <c r="AO225" s="34"/>
    </row>
    <row r="226" spans="1:41" s="48" customFormat="1" x14ac:dyDescent="0.25">
      <c r="A226" s="34"/>
      <c r="B226" s="49"/>
      <c r="C226" s="49"/>
      <c r="D226" s="49"/>
      <c r="F226" s="49"/>
      <c r="G226" s="49"/>
      <c r="H226" s="49"/>
      <c r="J226" s="49"/>
      <c r="K226" s="34"/>
      <c r="L226" s="34"/>
      <c r="M226" s="34"/>
      <c r="N226" s="34"/>
      <c r="O226" s="34"/>
      <c r="P226" s="34"/>
      <c r="Q226" s="34"/>
      <c r="R226" s="34"/>
      <c r="S226" s="34"/>
      <c r="T226" s="34"/>
      <c r="U226" s="34"/>
      <c r="V226" s="34"/>
      <c r="W226" s="34"/>
      <c r="X226" s="34"/>
      <c r="Y226" s="34"/>
      <c r="Z226" s="34"/>
      <c r="AA226" s="34"/>
      <c r="AB226" s="34"/>
      <c r="AC226" s="34"/>
      <c r="AD226" s="34"/>
      <c r="AE226" s="34"/>
      <c r="AF226" s="34"/>
      <c r="AG226" s="34"/>
      <c r="AH226" s="34"/>
      <c r="AI226" s="34"/>
      <c r="AJ226" s="34"/>
      <c r="AK226" s="34"/>
      <c r="AL226" s="34"/>
      <c r="AM226" s="34"/>
      <c r="AN226" s="34"/>
      <c r="AO226" s="34"/>
    </row>
    <row r="227" spans="1:41" s="48" customFormat="1" x14ac:dyDescent="0.25">
      <c r="A227" s="34"/>
      <c r="B227" s="49"/>
      <c r="C227" s="49"/>
      <c r="D227" s="49"/>
      <c r="F227" s="49"/>
      <c r="G227" s="49"/>
      <c r="H227" s="49"/>
      <c r="J227" s="49"/>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row>
    <row r="228" spans="1:41" s="48" customFormat="1" x14ac:dyDescent="0.25">
      <c r="A228" s="34"/>
      <c r="B228" s="49"/>
      <c r="C228" s="49"/>
      <c r="D228" s="49"/>
      <c r="F228" s="49"/>
      <c r="G228" s="49"/>
      <c r="H228" s="49"/>
      <c r="J228" s="49"/>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row>
    <row r="229" spans="1:41" s="48" customFormat="1" x14ac:dyDescent="0.25">
      <c r="A229" s="34"/>
      <c r="B229" s="49"/>
      <c r="C229" s="49"/>
      <c r="D229" s="49"/>
      <c r="F229" s="49"/>
      <c r="G229" s="49"/>
      <c r="H229" s="49"/>
      <c r="J229" s="49"/>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row>
    <row r="230" spans="1:41" s="48" customFormat="1" x14ac:dyDescent="0.25">
      <c r="A230" s="34"/>
      <c r="B230" s="49"/>
      <c r="C230" s="49"/>
      <c r="D230" s="49"/>
      <c r="F230" s="49"/>
      <c r="G230" s="49"/>
      <c r="H230" s="49"/>
      <c r="J230" s="49"/>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row>
    <row r="231" spans="1:41" s="48" customFormat="1" x14ac:dyDescent="0.25">
      <c r="A231" s="34"/>
      <c r="B231" s="49"/>
      <c r="C231" s="49"/>
      <c r="D231" s="49"/>
      <c r="F231" s="49"/>
      <c r="G231" s="49"/>
      <c r="H231" s="49"/>
      <c r="J231" s="49"/>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row>
    <row r="232" spans="1:41" s="48" customFormat="1" x14ac:dyDescent="0.25">
      <c r="A232" s="34"/>
      <c r="B232" s="49"/>
      <c r="C232" s="49"/>
      <c r="D232" s="49"/>
      <c r="F232" s="49"/>
      <c r="G232" s="49"/>
      <c r="H232" s="49"/>
      <c r="J232" s="49"/>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4"/>
      <c r="AO232" s="34"/>
    </row>
    <row r="233" spans="1:41" s="48" customFormat="1" x14ac:dyDescent="0.25">
      <c r="A233" s="34"/>
      <c r="B233" s="49"/>
      <c r="C233" s="49"/>
      <c r="D233" s="49"/>
      <c r="F233" s="49"/>
      <c r="G233" s="49"/>
      <c r="H233" s="49"/>
      <c r="J233" s="49"/>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row>
    <row r="234" spans="1:41" s="48" customFormat="1" x14ac:dyDescent="0.25">
      <c r="A234" s="34"/>
      <c r="B234" s="49"/>
      <c r="C234" s="49"/>
      <c r="D234" s="49"/>
      <c r="F234" s="49"/>
      <c r="G234" s="49"/>
      <c r="H234" s="49"/>
      <c r="J234" s="49"/>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4"/>
      <c r="AO234" s="34"/>
    </row>
    <row r="235" spans="1:41" s="48" customFormat="1" x14ac:dyDescent="0.25">
      <c r="A235" s="34"/>
      <c r="B235" s="49"/>
      <c r="C235" s="49"/>
      <c r="D235" s="49"/>
      <c r="F235" s="49"/>
      <c r="G235" s="49"/>
      <c r="H235" s="49"/>
      <c r="J235" s="49"/>
      <c r="K235" s="34"/>
      <c r="L235" s="34"/>
      <c r="M235" s="34"/>
      <c r="N235" s="34"/>
      <c r="O235" s="34"/>
      <c r="P235" s="34"/>
      <c r="Q235" s="34"/>
      <c r="R235" s="34"/>
      <c r="S235" s="34"/>
      <c r="T235" s="34"/>
      <c r="U235" s="34"/>
      <c r="V235" s="34"/>
      <c r="W235" s="34"/>
      <c r="X235" s="34"/>
      <c r="Y235" s="34"/>
      <c r="Z235" s="34"/>
      <c r="AA235" s="34"/>
      <c r="AB235" s="34"/>
      <c r="AC235" s="34"/>
      <c r="AD235" s="34"/>
      <c r="AE235" s="34"/>
      <c r="AF235" s="34"/>
      <c r="AG235" s="34"/>
      <c r="AH235" s="34"/>
      <c r="AI235" s="34"/>
      <c r="AJ235" s="34"/>
      <c r="AK235" s="34"/>
      <c r="AL235" s="34"/>
      <c r="AM235" s="34"/>
      <c r="AN235" s="34"/>
      <c r="AO235" s="34"/>
    </row>
    <row r="236" spans="1:41" s="48" customFormat="1" x14ac:dyDescent="0.25">
      <c r="A236" s="34"/>
      <c r="B236" s="49"/>
      <c r="C236" s="49"/>
      <c r="D236" s="49"/>
      <c r="F236" s="49"/>
      <c r="G236" s="49"/>
      <c r="H236" s="49"/>
      <c r="J236" s="49"/>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4"/>
      <c r="AO236" s="34"/>
    </row>
    <row r="237" spans="1:41" s="48" customFormat="1" x14ac:dyDescent="0.25">
      <c r="A237" s="34"/>
      <c r="B237" s="49"/>
      <c r="C237" s="49"/>
      <c r="D237" s="49"/>
      <c r="F237" s="49"/>
      <c r="G237" s="49"/>
      <c r="H237" s="49"/>
      <c r="J237" s="49"/>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row>
    <row r="238" spans="1:41" s="48" customFormat="1" x14ac:dyDescent="0.25">
      <c r="A238" s="34"/>
      <c r="B238" s="49"/>
      <c r="C238" s="49"/>
      <c r="D238" s="49"/>
      <c r="F238" s="49"/>
      <c r="G238" s="49"/>
      <c r="H238" s="49"/>
      <c r="J238" s="49"/>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row>
    <row r="239" spans="1:41" s="48" customFormat="1" x14ac:dyDescent="0.25">
      <c r="A239" s="34"/>
      <c r="B239" s="49"/>
      <c r="C239" s="49"/>
      <c r="D239" s="49"/>
      <c r="F239" s="49"/>
      <c r="G239" s="49"/>
      <c r="H239" s="49"/>
      <c r="J239" s="49"/>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row>
    <row r="240" spans="1:41" s="48" customFormat="1" x14ac:dyDescent="0.25">
      <c r="A240" s="34"/>
      <c r="B240" s="49"/>
      <c r="C240" s="49"/>
      <c r="D240" s="49"/>
      <c r="F240" s="49"/>
      <c r="G240" s="49"/>
      <c r="H240" s="49"/>
      <c r="J240" s="49"/>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row>
    <row r="241" spans="1:41" s="48" customFormat="1" x14ac:dyDescent="0.25">
      <c r="A241" s="34"/>
      <c r="B241" s="49"/>
      <c r="C241" s="49"/>
      <c r="D241" s="49"/>
      <c r="F241" s="49"/>
      <c r="G241" s="49"/>
      <c r="H241" s="49"/>
      <c r="J241" s="49"/>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4"/>
      <c r="AO241" s="34"/>
    </row>
    <row r="242" spans="1:41" s="48" customFormat="1" x14ac:dyDescent="0.25">
      <c r="A242" s="34"/>
      <c r="B242" s="49"/>
      <c r="C242" s="49"/>
      <c r="D242" s="49"/>
      <c r="F242" s="49"/>
      <c r="G242" s="49"/>
      <c r="H242" s="49"/>
      <c r="J242" s="49"/>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4"/>
      <c r="AO242" s="34"/>
    </row>
    <row r="243" spans="1:41" s="48" customFormat="1" x14ac:dyDescent="0.25">
      <c r="A243" s="34"/>
      <c r="B243" s="49"/>
      <c r="C243" s="49"/>
      <c r="D243" s="49"/>
      <c r="F243" s="49"/>
      <c r="G243" s="49"/>
      <c r="H243" s="49"/>
      <c r="J243" s="49"/>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4"/>
      <c r="AO243" s="34"/>
    </row>
    <row r="244" spans="1:41" s="48" customFormat="1" x14ac:dyDescent="0.25">
      <c r="A244" s="34"/>
      <c r="B244" s="49"/>
      <c r="C244" s="49"/>
      <c r="D244" s="49"/>
      <c r="F244" s="49"/>
      <c r="G244" s="49"/>
      <c r="H244" s="49"/>
      <c r="J244" s="49"/>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4"/>
      <c r="AO244" s="34"/>
    </row>
    <row r="245" spans="1:41" s="48" customFormat="1" x14ac:dyDescent="0.25">
      <c r="A245" s="34"/>
      <c r="B245" s="49"/>
      <c r="C245" s="49"/>
      <c r="D245" s="49"/>
      <c r="F245" s="49"/>
      <c r="G245" s="49"/>
      <c r="H245" s="49"/>
      <c r="J245" s="49"/>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4"/>
      <c r="AO245" s="34"/>
    </row>
    <row r="246" spans="1:41" s="48" customFormat="1" x14ac:dyDescent="0.25">
      <c r="A246" s="34"/>
      <c r="B246" s="49"/>
      <c r="C246" s="49"/>
      <c r="D246" s="49"/>
      <c r="F246" s="49"/>
      <c r="G246" s="49"/>
      <c r="H246" s="49"/>
      <c r="J246" s="49"/>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4"/>
      <c r="AO246" s="34"/>
    </row>
    <row r="247" spans="1:41" s="48" customFormat="1" x14ac:dyDescent="0.25">
      <c r="A247" s="34"/>
      <c r="B247" s="49"/>
      <c r="C247" s="49"/>
      <c r="D247" s="49"/>
      <c r="F247" s="49"/>
      <c r="G247" s="49"/>
      <c r="H247" s="49"/>
      <c r="J247" s="49"/>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4"/>
      <c r="AO247" s="34"/>
    </row>
    <row r="248" spans="1:41" s="48" customFormat="1" x14ac:dyDescent="0.25">
      <c r="A248" s="34"/>
      <c r="B248" s="49"/>
      <c r="C248" s="49"/>
      <c r="D248" s="49"/>
      <c r="F248" s="49"/>
      <c r="G248" s="49"/>
      <c r="H248" s="49"/>
      <c r="J248" s="49"/>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4"/>
      <c r="AO248" s="34"/>
    </row>
    <row r="249" spans="1:41" s="48" customFormat="1" x14ac:dyDescent="0.25">
      <c r="A249" s="34"/>
      <c r="B249" s="49"/>
      <c r="C249" s="49"/>
      <c r="D249" s="49"/>
      <c r="F249" s="49"/>
      <c r="G249" s="49"/>
      <c r="H249" s="49"/>
      <c r="J249" s="49"/>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4"/>
      <c r="AO249" s="34"/>
    </row>
    <row r="250" spans="1:41" s="48" customFormat="1" x14ac:dyDescent="0.25">
      <c r="A250" s="34"/>
      <c r="B250" s="49"/>
      <c r="C250" s="49"/>
      <c r="D250" s="49"/>
      <c r="F250" s="49"/>
      <c r="G250" s="49"/>
      <c r="H250" s="49"/>
      <c r="J250" s="49"/>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c r="AH250" s="34"/>
      <c r="AI250" s="34"/>
      <c r="AJ250" s="34"/>
      <c r="AK250" s="34"/>
      <c r="AL250" s="34"/>
      <c r="AM250" s="34"/>
      <c r="AN250" s="34"/>
      <c r="AO250" s="34"/>
    </row>
    <row r="251" spans="1:41" s="48" customFormat="1" x14ac:dyDescent="0.25">
      <c r="A251" s="34"/>
      <c r="B251" s="49"/>
      <c r="C251" s="49"/>
      <c r="D251" s="49"/>
      <c r="F251" s="49"/>
      <c r="G251" s="49"/>
      <c r="H251" s="49"/>
      <c r="J251" s="49"/>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4"/>
      <c r="AO251" s="34"/>
    </row>
    <row r="252" spans="1:41" s="48" customFormat="1" x14ac:dyDescent="0.25">
      <c r="A252" s="34"/>
      <c r="B252" s="49"/>
      <c r="C252" s="49"/>
      <c r="D252" s="49"/>
      <c r="F252" s="49"/>
      <c r="G252" s="49"/>
      <c r="H252" s="49"/>
      <c r="J252" s="49"/>
      <c r="K252" s="34"/>
      <c r="L252" s="34"/>
      <c r="M252" s="34"/>
      <c r="N252" s="34"/>
      <c r="O252" s="34"/>
      <c r="P252" s="34"/>
      <c r="Q252" s="34"/>
      <c r="R252" s="34"/>
      <c r="S252" s="34"/>
      <c r="T252" s="34"/>
      <c r="U252" s="34"/>
      <c r="V252" s="34"/>
      <c r="W252" s="34"/>
      <c r="X252" s="34"/>
      <c r="Y252" s="34"/>
      <c r="Z252" s="34"/>
      <c r="AA252" s="34"/>
      <c r="AB252" s="34"/>
      <c r="AC252" s="34"/>
      <c r="AD252" s="34"/>
      <c r="AE252" s="34"/>
      <c r="AF252" s="34"/>
      <c r="AG252" s="34"/>
      <c r="AH252" s="34"/>
      <c r="AI252" s="34"/>
      <c r="AJ252" s="34"/>
      <c r="AK252" s="34"/>
      <c r="AL252" s="34"/>
      <c r="AM252" s="34"/>
      <c r="AN252" s="34"/>
      <c r="AO252" s="34"/>
    </row>
    <row r="253" spans="1:41" s="48" customFormat="1" x14ac:dyDescent="0.25">
      <c r="A253" s="34"/>
      <c r="B253" s="49"/>
      <c r="C253" s="49"/>
      <c r="D253" s="49"/>
      <c r="F253" s="49"/>
      <c r="G253" s="49"/>
      <c r="H253" s="49"/>
      <c r="J253" s="49"/>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c r="AH253" s="34"/>
      <c r="AI253" s="34"/>
      <c r="AJ253" s="34"/>
      <c r="AK253" s="34"/>
      <c r="AL253" s="34"/>
      <c r="AM253" s="34"/>
      <c r="AN253" s="34"/>
      <c r="AO253" s="34"/>
    </row>
    <row r="254" spans="1:41" s="48" customFormat="1" x14ac:dyDescent="0.25">
      <c r="A254" s="34"/>
      <c r="B254" s="49"/>
      <c r="C254" s="49"/>
      <c r="D254" s="49"/>
      <c r="F254" s="49"/>
      <c r="G254" s="49"/>
      <c r="H254" s="49"/>
      <c r="J254" s="49"/>
      <c r="K254" s="34"/>
      <c r="L254" s="34"/>
      <c r="M254" s="34"/>
      <c r="N254" s="34"/>
      <c r="O254" s="34"/>
      <c r="P254" s="34"/>
      <c r="Q254" s="34"/>
      <c r="R254" s="34"/>
      <c r="S254" s="34"/>
      <c r="T254" s="34"/>
      <c r="U254" s="34"/>
      <c r="V254" s="34"/>
      <c r="W254" s="34"/>
      <c r="X254" s="34"/>
      <c r="Y254" s="34"/>
      <c r="Z254" s="34"/>
      <c r="AA254" s="34"/>
      <c r="AB254" s="34"/>
      <c r="AC254" s="34"/>
      <c r="AD254" s="34"/>
      <c r="AE254" s="34"/>
      <c r="AF254" s="34"/>
      <c r="AG254" s="34"/>
      <c r="AH254" s="34"/>
      <c r="AI254" s="34"/>
      <c r="AJ254" s="34"/>
      <c r="AK254" s="34"/>
      <c r="AL254" s="34"/>
      <c r="AM254" s="34"/>
      <c r="AN254" s="34"/>
      <c r="AO254" s="34"/>
    </row>
    <row r="255" spans="1:41" s="48" customFormat="1" x14ac:dyDescent="0.25">
      <c r="A255" s="34"/>
      <c r="B255" s="49"/>
      <c r="C255" s="49"/>
      <c r="D255" s="49"/>
      <c r="F255" s="49"/>
      <c r="G255" s="49"/>
      <c r="H255" s="49"/>
      <c r="J255" s="49"/>
      <c r="K255" s="34"/>
      <c r="L255" s="34"/>
      <c r="M255" s="34"/>
      <c r="N255" s="34"/>
      <c r="O255" s="34"/>
      <c r="P255" s="34"/>
      <c r="Q255" s="34"/>
      <c r="R255" s="34"/>
      <c r="S255" s="34"/>
      <c r="T255" s="34"/>
      <c r="U255" s="34"/>
      <c r="V255" s="34"/>
      <c r="W255" s="34"/>
      <c r="X255" s="34"/>
      <c r="Y255" s="34"/>
      <c r="Z255" s="34"/>
      <c r="AA255" s="34"/>
      <c r="AB255" s="34"/>
      <c r="AC255" s="34"/>
      <c r="AD255" s="34"/>
      <c r="AE255" s="34"/>
      <c r="AF255" s="34"/>
      <c r="AG255" s="34"/>
      <c r="AH255" s="34"/>
      <c r="AI255" s="34"/>
      <c r="AJ255" s="34"/>
      <c r="AK255" s="34"/>
      <c r="AL255" s="34"/>
      <c r="AM255" s="34"/>
      <c r="AN255" s="34"/>
      <c r="AO255" s="34"/>
    </row>
    <row r="256" spans="1:41" s="48" customFormat="1" x14ac:dyDescent="0.25">
      <c r="A256" s="34"/>
      <c r="B256" s="49"/>
      <c r="C256" s="49"/>
      <c r="D256" s="49"/>
      <c r="F256" s="49"/>
      <c r="G256" s="49"/>
      <c r="H256" s="49"/>
      <c r="J256" s="49"/>
      <c r="K256" s="34"/>
      <c r="L256" s="34"/>
      <c r="M256" s="34"/>
      <c r="N256" s="34"/>
      <c r="O256" s="34"/>
      <c r="P256" s="34"/>
      <c r="Q256" s="34"/>
      <c r="R256" s="34"/>
      <c r="S256" s="34"/>
      <c r="T256" s="34"/>
      <c r="U256" s="34"/>
      <c r="V256" s="34"/>
      <c r="W256" s="34"/>
      <c r="X256" s="34"/>
      <c r="Y256" s="34"/>
      <c r="Z256" s="34"/>
      <c r="AA256" s="34"/>
      <c r="AB256" s="34"/>
      <c r="AC256" s="34"/>
      <c r="AD256" s="34"/>
      <c r="AE256" s="34"/>
      <c r="AF256" s="34"/>
      <c r="AG256" s="34"/>
      <c r="AH256" s="34"/>
      <c r="AI256" s="34"/>
      <c r="AJ256" s="34"/>
      <c r="AK256" s="34"/>
      <c r="AL256" s="34"/>
      <c r="AM256" s="34"/>
      <c r="AN256" s="34"/>
      <c r="AO256" s="34"/>
    </row>
    <row r="257" spans="1:41" s="48" customFormat="1" x14ac:dyDescent="0.25">
      <c r="A257" s="34"/>
      <c r="B257" s="49"/>
      <c r="C257" s="49"/>
      <c r="D257" s="49"/>
      <c r="F257" s="49"/>
      <c r="G257" s="49"/>
      <c r="H257" s="49"/>
      <c r="J257" s="49"/>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row>
    <row r="258" spans="1:41" s="48" customFormat="1" x14ac:dyDescent="0.25">
      <c r="A258" s="34"/>
      <c r="B258" s="49"/>
      <c r="C258" s="49"/>
      <c r="D258" s="49"/>
      <c r="F258" s="49"/>
      <c r="G258" s="49"/>
      <c r="H258" s="49"/>
      <c r="J258" s="49"/>
      <c r="K258" s="34"/>
      <c r="L258" s="34"/>
      <c r="M258" s="34"/>
      <c r="N258" s="34"/>
      <c r="O258" s="34"/>
      <c r="P258" s="34"/>
      <c r="Q258" s="34"/>
      <c r="R258" s="34"/>
      <c r="S258" s="34"/>
      <c r="T258" s="34"/>
      <c r="U258" s="34"/>
      <c r="V258" s="34"/>
      <c r="W258" s="34"/>
      <c r="X258" s="34"/>
      <c r="Y258" s="34"/>
      <c r="Z258" s="34"/>
      <c r="AA258" s="34"/>
      <c r="AB258" s="34"/>
      <c r="AC258" s="34"/>
      <c r="AD258" s="34"/>
      <c r="AE258" s="34"/>
      <c r="AF258" s="34"/>
      <c r="AG258" s="34"/>
      <c r="AH258" s="34"/>
      <c r="AI258" s="34"/>
      <c r="AJ258" s="34"/>
      <c r="AK258" s="34"/>
      <c r="AL258" s="34"/>
      <c r="AM258" s="34"/>
      <c r="AN258" s="34"/>
      <c r="AO258" s="34"/>
    </row>
    <row r="259" spans="1:41" s="48" customFormat="1" x14ac:dyDescent="0.25">
      <c r="A259" s="34"/>
      <c r="B259" s="49"/>
      <c r="C259" s="49"/>
      <c r="D259" s="49"/>
      <c r="F259" s="49"/>
      <c r="G259" s="49"/>
      <c r="H259" s="49"/>
      <c r="J259" s="49"/>
      <c r="K259" s="34"/>
      <c r="L259" s="34"/>
      <c r="M259" s="34"/>
      <c r="N259" s="34"/>
      <c r="O259" s="34"/>
      <c r="P259" s="34"/>
      <c r="Q259" s="34"/>
      <c r="R259" s="34"/>
      <c r="S259" s="34"/>
      <c r="T259" s="34"/>
      <c r="U259" s="34"/>
      <c r="V259" s="34"/>
      <c r="W259" s="34"/>
      <c r="X259" s="34"/>
      <c r="Y259" s="34"/>
      <c r="Z259" s="34"/>
      <c r="AA259" s="34"/>
      <c r="AB259" s="34"/>
      <c r="AC259" s="34"/>
      <c r="AD259" s="34"/>
      <c r="AE259" s="34"/>
      <c r="AF259" s="34"/>
      <c r="AG259" s="34"/>
      <c r="AH259" s="34"/>
      <c r="AI259" s="34"/>
      <c r="AJ259" s="34"/>
      <c r="AK259" s="34"/>
      <c r="AL259" s="34"/>
      <c r="AM259" s="34"/>
      <c r="AN259" s="34"/>
      <c r="AO259" s="34"/>
    </row>
    <row r="260" spans="1:41" s="48" customFormat="1" x14ac:dyDescent="0.25">
      <c r="A260" s="34"/>
      <c r="B260" s="49"/>
      <c r="C260" s="49"/>
      <c r="D260" s="49"/>
      <c r="F260" s="49"/>
      <c r="G260" s="49"/>
      <c r="H260" s="49"/>
      <c r="J260" s="49"/>
      <c r="K260" s="34"/>
      <c r="L260" s="34"/>
      <c r="M260" s="34"/>
      <c r="N260" s="34"/>
      <c r="O260" s="34"/>
      <c r="P260" s="34"/>
      <c r="Q260" s="34"/>
      <c r="R260" s="34"/>
      <c r="S260" s="34"/>
      <c r="T260" s="34"/>
      <c r="U260" s="34"/>
      <c r="V260" s="34"/>
      <c r="W260" s="34"/>
      <c r="X260" s="34"/>
      <c r="Y260" s="34"/>
      <c r="Z260" s="34"/>
      <c r="AA260" s="34"/>
      <c r="AB260" s="34"/>
      <c r="AC260" s="34"/>
      <c r="AD260" s="34"/>
      <c r="AE260" s="34"/>
      <c r="AF260" s="34"/>
      <c r="AG260" s="34"/>
      <c r="AH260" s="34"/>
      <c r="AI260" s="34"/>
      <c r="AJ260" s="34"/>
      <c r="AK260" s="34"/>
      <c r="AL260" s="34"/>
      <c r="AM260" s="34"/>
      <c r="AN260" s="34"/>
      <c r="AO260" s="34"/>
    </row>
    <row r="261" spans="1:41" s="48" customFormat="1" x14ac:dyDescent="0.25">
      <c r="A261" s="34"/>
      <c r="B261" s="49"/>
      <c r="C261" s="49"/>
      <c r="D261" s="49"/>
      <c r="F261" s="49"/>
      <c r="G261" s="49"/>
      <c r="H261" s="49"/>
      <c r="J261" s="49"/>
      <c r="K261" s="34"/>
      <c r="L261" s="34"/>
      <c r="M261" s="34"/>
      <c r="N261" s="34"/>
      <c r="O261" s="34"/>
      <c r="P261" s="34"/>
      <c r="Q261" s="34"/>
      <c r="R261" s="34"/>
      <c r="S261" s="34"/>
      <c r="T261" s="34"/>
      <c r="U261" s="34"/>
      <c r="V261" s="34"/>
      <c r="W261" s="34"/>
      <c r="X261" s="34"/>
      <c r="Y261" s="34"/>
      <c r="Z261" s="34"/>
      <c r="AA261" s="34"/>
      <c r="AB261" s="34"/>
      <c r="AC261" s="34"/>
      <c r="AD261" s="34"/>
      <c r="AE261" s="34"/>
      <c r="AF261" s="34"/>
      <c r="AG261" s="34"/>
      <c r="AH261" s="34"/>
      <c r="AI261" s="34"/>
      <c r="AJ261" s="34"/>
      <c r="AK261" s="34"/>
      <c r="AL261" s="34"/>
      <c r="AM261" s="34"/>
      <c r="AN261" s="34"/>
      <c r="AO261" s="34"/>
    </row>
    <row r="262" spans="1:41" s="48" customFormat="1" x14ac:dyDescent="0.25">
      <c r="A262" s="34"/>
      <c r="B262" s="49"/>
      <c r="C262" s="49"/>
      <c r="D262" s="49"/>
      <c r="F262" s="49"/>
      <c r="G262" s="49"/>
      <c r="H262" s="49"/>
      <c r="J262" s="49"/>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row>
    <row r="263" spans="1:41" s="48" customFormat="1" x14ac:dyDescent="0.25">
      <c r="A263" s="34"/>
      <c r="B263" s="49"/>
      <c r="C263" s="49"/>
      <c r="D263" s="49"/>
      <c r="F263" s="49"/>
      <c r="G263" s="49"/>
      <c r="H263" s="49"/>
      <c r="J263" s="49"/>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row>
    <row r="264" spans="1:41" s="48" customFormat="1" x14ac:dyDescent="0.25">
      <c r="A264" s="34"/>
      <c r="B264" s="49"/>
      <c r="C264" s="49"/>
      <c r="D264" s="49"/>
      <c r="F264" s="49"/>
      <c r="G264" s="49"/>
      <c r="H264" s="49"/>
      <c r="J264" s="49"/>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row>
    <row r="265" spans="1:41" s="48" customFormat="1" x14ac:dyDescent="0.25">
      <c r="A265" s="34"/>
      <c r="B265" s="49"/>
      <c r="C265" s="49"/>
      <c r="D265" s="49"/>
      <c r="F265" s="49"/>
      <c r="G265" s="49"/>
      <c r="H265" s="49"/>
      <c r="J265" s="49"/>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row>
    <row r="266" spans="1:41" s="48" customFormat="1" x14ac:dyDescent="0.25">
      <c r="A266" s="34"/>
      <c r="B266" s="49"/>
      <c r="C266" s="49"/>
      <c r="D266" s="49"/>
      <c r="F266" s="49"/>
      <c r="G266" s="49"/>
      <c r="H266" s="49"/>
      <c r="J266" s="49"/>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row>
    <row r="267" spans="1:41" s="48" customFormat="1" x14ac:dyDescent="0.25">
      <c r="A267" s="34"/>
      <c r="B267" s="49"/>
      <c r="C267" s="49"/>
      <c r="D267" s="49"/>
      <c r="F267" s="49"/>
      <c r="G267" s="49"/>
      <c r="H267" s="49"/>
      <c r="J267" s="49"/>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row>
    <row r="268" spans="1:41" s="48" customFormat="1" x14ac:dyDescent="0.25">
      <c r="A268" s="34"/>
      <c r="B268" s="49"/>
      <c r="C268" s="49"/>
      <c r="D268" s="49"/>
      <c r="F268" s="49"/>
      <c r="G268" s="49"/>
      <c r="H268" s="49"/>
      <c r="J268" s="49"/>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row>
    <row r="269" spans="1:41" s="48" customFormat="1" x14ac:dyDescent="0.25">
      <c r="A269" s="34"/>
      <c r="B269" s="49"/>
      <c r="C269" s="49"/>
      <c r="D269" s="49"/>
      <c r="F269" s="49"/>
      <c r="G269" s="49"/>
      <c r="H269" s="49"/>
      <c r="J269" s="49"/>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row>
    <row r="270" spans="1:41" s="48" customFormat="1" x14ac:dyDescent="0.25">
      <c r="A270" s="34"/>
      <c r="B270" s="49"/>
      <c r="C270" s="49"/>
      <c r="D270" s="49"/>
      <c r="F270" s="49"/>
      <c r="G270" s="49"/>
      <c r="H270" s="49"/>
      <c r="J270" s="49"/>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c r="AI270" s="34"/>
      <c r="AJ270" s="34"/>
      <c r="AK270" s="34"/>
      <c r="AL270" s="34"/>
      <c r="AM270" s="34"/>
      <c r="AN270" s="34"/>
      <c r="AO270" s="34"/>
    </row>
    <row r="271" spans="1:41" s="48" customFormat="1" x14ac:dyDescent="0.25">
      <c r="A271" s="34"/>
      <c r="B271" s="49"/>
      <c r="C271" s="49"/>
      <c r="D271" s="49"/>
      <c r="F271" s="49"/>
      <c r="G271" s="49"/>
      <c r="H271" s="49"/>
      <c r="J271" s="49"/>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row>
    <row r="272" spans="1:41" s="48" customFormat="1" x14ac:dyDescent="0.25">
      <c r="A272" s="34"/>
      <c r="B272" s="49"/>
      <c r="C272" s="49"/>
      <c r="D272" s="49"/>
      <c r="F272" s="49"/>
      <c r="G272" s="49"/>
      <c r="H272" s="49"/>
      <c r="J272" s="49"/>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c r="AH272" s="34"/>
      <c r="AI272" s="34"/>
      <c r="AJ272" s="34"/>
      <c r="AK272" s="34"/>
      <c r="AL272" s="34"/>
      <c r="AM272" s="34"/>
      <c r="AN272" s="34"/>
      <c r="AO272" s="34"/>
    </row>
    <row r="273" spans="1:41" s="48" customFormat="1" x14ac:dyDescent="0.25">
      <c r="A273" s="34"/>
      <c r="B273" s="49"/>
      <c r="C273" s="49"/>
      <c r="D273" s="49"/>
      <c r="F273" s="49"/>
      <c r="G273" s="49"/>
      <c r="H273" s="49"/>
      <c r="J273" s="49"/>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c r="AI273" s="34"/>
      <c r="AJ273" s="34"/>
      <c r="AK273" s="34"/>
      <c r="AL273" s="34"/>
      <c r="AM273" s="34"/>
      <c r="AN273" s="34"/>
      <c r="AO273" s="34"/>
    </row>
    <row r="274" spans="1:41" s="48" customFormat="1" x14ac:dyDescent="0.25">
      <c r="A274" s="34"/>
      <c r="B274" s="49"/>
      <c r="C274" s="49"/>
      <c r="D274" s="49"/>
      <c r="F274" s="49"/>
      <c r="G274" s="49"/>
      <c r="H274" s="49"/>
      <c r="J274" s="49"/>
      <c r="K274" s="34"/>
      <c r="L274" s="34"/>
      <c r="M274" s="34"/>
      <c r="N274" s="34"/>
      <c r="O274" s="34"/>
      <c r="P274" s="34"/>
      <c r="Q274" s="34"/>
      <c r="R274" s="34"/>
      <c r="S274" s="34"/>
      <c r="T274" s="34"/>
      <c r="U274" s="34"/>
      <c r="V274" s="34"/>
      <c r="W274" s="34"/>
      <c r="X274" s="34"/>
      <c r="Y274" s="34"/>
      <c r="Z274" s="34"/>
      <c r="AA274" s="34"/>
      <c r="AB274" s="34"/>
      <c r="AC274" s="34"/>
      <c r="AD274" s="34"/>
      <c r="AE274" s="34"/>
      <c r="AF274" s="34"/>
      <c r="AG274" s="34"/>
      <c r="AH274" s="34"/>
      <c r="AI274" s="34"/>
      <c r="AJ274" s="34"/>
      <c r="AK274" s="34"/>
      <c r="AL274" s="34"/>
      <c r="AM274" s="34"/>
      <c r="AN274" s="34"/>
      <c r="AO274" s="34"/>
    </row>
    <row r="275" spans="1:41" s="48" customFormat="1" x14ac:dyDescent="0.25">
      <c r="A275" s="34"/>
      <c r="B275" s="49"/>
      <c r="C275" s="49"/>
      <c r="D275" s="49"/>
      <c r="F275" s="49"/>
      <c r="G275" s="49"/>
      <c r="H275" s="49"/>
      <c r="J275" s="49"/>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row>
    <row r="276" spans="1:41" s="48" customFormat="1" x14ac:dyDescent="0.25">
      <c r="A276" s="34"/>
      <c r="B276" s="49"/>
      <c r="C276" s="49"/>
      <c r="D276" s="49"/>
      <c r="F276" s="49"/>
      <c r="G276" s="49"/>
      <c r="H276" s="49"/>
      <c r="J276" s="49"/>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row>
    <row r="277" spans="1:41" s="48" customFormat="1" x14ac:dyDescent="0.25">
      <c r="A277" s="34"/>
      <c r="B277" s="49"/>
      <c r="C277" s="49"/>
      <c r="D277" s="49"/>
      <c r="F277" s="49"/>
      <c r="G277" s="49"/>
      <c r="H277" s="49"/>
      <c r="J277" s="49"/>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c r="AH277" s="34"/>
      <c r="AI277" s="34"/>
      <c r="AJ277" s="34"/>
      <c r="AK277" s="34"/>
      <c r="AL277" s="34"/>
      <c r="AM277" s="34"/>
      <c r="AN277" s="34"/>
      <c r="AO277" s="34"/>
    </row>
    <row r="278" spans="1:41" s="48" customFormat="1" x14ac:dyDescent="0.25">
      <c r="A278" s="34"/>
      <c r="B278" s="49"/>
      <c r="C278" s="49"/>
      <c r="D278" s="49"/>
      <c r="F278" s="49"/>
      <c r="G278" s="49"/>
      <c r="H278" s="49"/>
      <c r="J278" s="49"/>
      <c r="K278" s="34"/>
      <c r="L278" s="34"/>
      <c r="M278" s="34"/>
      <c r="N278" s="34"/>
      <c r="O278" s="34"/>
      <c r="P278" s="34"/>
      <c r="Q278" s="34"/>
      <c r="R278" s="34"/>
      <c r="S278" s="34"/>
      <c r="T278" s="34"/>
      <c r="U278" s="34"/>
      <c r="V278" s="34"/>
      <c r="W278" s="34"/>
      <c r="X278" s="34"/>
      <c r="Y278" s="34"/>
      <c r="Z278" s="34"/>
      <c r="AA278" s="34"/>
      <c r="AB278" s="34"/>
      <c r="AC278" s="34"/>
      <c r="AD278" s="34"/>
      <c r="AE278" s="34"/>
      <c r="AF278" s="34"/>
      <c r="AG278" s="34"/>
      <c r="AH278" s="34"/>
      <c r="AI278" s="34"/>
      <c r="AJ278" s="34"/>
      <c r="AK278" s="34"/>
      <c r="AL278" s="34"/>
      <c r="AM278" s="34"/>
      <c r="AN278" s="34"/>
      <c r="AO278" s="34"/>
    </row>
    <row r="279" spans="1:41" s="48" customFormat="1" x14ac:dyDescent="0.25">
      <c r="A279" s="34"/>
      <c r="B279" s="49"/>
      <c r="C279" s="49"/>
      <c r="D279" s="49"/>
      <c r="F279" s="49"/>
      <c r="G279" s="49"/>
      <c r="H279" s="49"/>
      <c r="J279" s="49"/>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row>
    <row r="280" spans="1:41" s="48" customFormat="1" x14ac:dyDescent="0.25">
      <c r="A280" s="34"/>
      <c r="B280" s="49"/>
      <c r="C280" s="49"/>
      <c r="D280" s="49"/>
      <c r="F280" s="49"/>
      <c r="G280" s="49"/>
      <c r="H280" s="49"/>
      <c r="J280" s="49"/>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row>
    <row r="281" spans="1:41" s="48" customFormat="1" x14ac:dyDescent="0.25">
      <c r="A281" s="34"/>
      <c r="B281" s="49"/>
      <c r="C281" s="49"/>
      <c r="D281" s="49"/>
      <c r="F281" s="49"/>
      <c r="G281" s="49"/>
      <c r="H281" s="49"/>
      <c r="J281" s="49"/>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row>
    <row r="282" spans="1:41" s="48" customFormat="1" x14ac:dyDescent="0.25">
      <c r="A282" s="34"/>
      <c r="B282" s="49"/>
      <c r="C282" s="49"/>
      <c r="D282" s="49"/>
      <c r="F282" s="49"/>
      <c r="G282" s="49"/>
      <c r="H282" s="49"/>
      <c r="J282" s="49"/>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row>
    <row r="283" spans="1:41" s="48" customFormat="1" x14ac:dyDescent="0.25">
      <c r="A283" s="34"/>
      <c r="B283" s="49"/>
      <c r="C283" s="49"/>
      <c r="D283" s="49"/>
      <c r="F283" s="49"/>
      <c r="G283" s="49"/>
      <c r="H283" s="49"/>
      <c r="J283" s="49"/>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row>
    <row r="284" spans="1:41" s="48" customFormat="1" x14ac:dyDescent="0.25">
      <c r="A284" s="34"/>
      <c r="B284" s="49"/>
      <c r="C284" s="49"/>
      <c r="D284" s="49"/>
      <c r="F284" s="49"/>
      <c r="G284" s="49"/>
      <c r="H284" s="49"/>
      <c r="J284" s="49"/>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row>
    <row r="285" spans="1:41" s="48" customFormat="1" x14ac:dyDescent="0.25">
      <c r="A285" s="34"/>
      <c r="B285" s="49"/>
      <c r="C285" s="49"/>
      <c r="D285" s="49"/>
      <c r="F285" s="49"/>
      <c r="G285" s="49"/>
      <c r="H285" s="49"/>
      <c r="J285" s="49"/>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row>
    <row r="286" spans="1:41" s="48" customFormat="1" x14ac:dyDescent="0.25">
      <c r="A286" s="34"/>
      <c r="B286" s="49"/>
      <c r="C286" s="49"/>
      <c r="D286" s="49"/>
      <c r="F286" s="49"/>
      <c r="G286" s="49"/>
      <c r="H286" s="49"/>
      <c r="J286" s="49"/>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row>
    <row r="287" spans="1:41" s="48" customFormat="1" x14ac:dyDescent="0.25">
      <c r="A287" s="34"/>
      <c r="B287" s="49"/>
      <c r="C287" s="49"/>
      <c r="D287" s="49"/>
      <c r="F287" s="49"/>
      <c r="G287" s="49"/>
      <c r="H287" s="49"/>
      <c r="J287" s="49"/>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row>
    <row r="288" spans="1:41" s="48" customFormat="1" x14ac:dyDescent="0.25">
      <c r="A288" s="34"/>
      <c r="B288" s="49"/>
      <c r="C288" s="49"/>
      <c r="D288" s="49"/>
      <c r="F288" s="49"/>
      <c r="G288" s="49"/>
      <c r="H288" s="49"/>
      <c r="J288" s="49"/>
      <c r="K288" s="34"/>
      <c r="L288" s="34"/>
      <c r="M288" s="34"/>
      <c r="N288" s="34"/>
      <c r="O288" s="34"/>
      <c r="P288" s="34"/>
      <c r="Q288" s="34"/>
      <c r="R288" s="34"/>
      <c r="S288" s="34"/>
      <c r="T288" s="34"/>
      <c r="U288" s="34"/>
      <c r="V288" s="34"/>
      <c r="W288" s="34"/>
      <c r="X288" s="34"/>
      <c r="Y288" s="34"/>
      <c r="Z288" s="34"/>
      <c r="AA288" s="34"/>
      <c r="AB288" s="34"/>
      <c r="AC288" s="34"/>
      <c r="AD288" s="34"/>
      <c r="AE288" s="34"/>
      <c r="AF288" s="34"/>
      <c r="AG288" s="34"/>
      <c r="AH288" s="34"/>
      <c r="AI288" s="34"/>
      <c r="AJ288" s="34"/>
      <c r="AK288" s="34"/>
      <c r="AL288" s="34"/>
      <c r="AM288" s="34"/>
      <c r="AN288" s="34"/>
      <c r="AO288" s="34"/>
    </row>
    <row r="289" spans="1:41" s="48" customFormat="1" x14ac:dyDescent="0.25">
      <c r="A289" s="34"/>
      <c r="B289" s="49"/>
      <c r="C289" s="49"/>
      <c r="D289" s="49"/>
      <c r="F289" s="49"/>
      <c r="G289" s="49"/>
      <c r="H289" s="49"/>
      <c r="J289" s="49"/>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row>
    <row r="290" spans="1:41" s="48" customFormat="1" x14ac:dyDescent="0.25">
      <c r="A290" s="34"/>
      <c r="B290" s="49"/>
      <c r="C290" s="49"/>
      <c r="D290" s="49"/>
      <c r="F290" s="49"/>
      <c r="G290" s="49"/>
      <c r="H290" s="49"/>
      <c r="J290" s="49"/>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4"/>
      <c r="AO290" s="34"/>
    </row>
    <row r="291" spans="1:41" s="48" customFormat="1" x14ac:dyDescent="0.25">
      <c r="A291" s="34"/>
      <c r="B291" s="49"/>
      <c r="C291" s="49"/>
      <c r="D291" s="49"/>
      <c r="F291" s="49"/>
      <c r="G291" s="49"/>
      <c r="H291" s="49"/>
      <c r="J291" s="49"/>
      <c r="K291" s="34"/>
      <c r="L291" s="34"/>
      <c r="M291" s="34"/>
      <c r="N291" s="34"/>
      <c r="O291" s="34"/>
      <c r="P291" s="34"/>
      <c r="Q291" s="34"/>
      <c r="R291" s="34"/>
      <c r="S291" s="34"/>
      <c r="T291" s="34"/>
      <c r="U291" s="34"/>
      <c r="V291" s="34"/>
      <c r="W291" s="34"/>
      <c r="X291" s="34"/>
      <c r="Y291" s="34"/>
      <c r="Z291" s="34"/>
      <c r="AA291" s="34"/>
      <c r="AB291" s="34"/>
      <c r="AC291" s="34"/>
      <c r="AD291" s="34"/>
      <c r="AE291" s="34"/>
      <c r="AF291" s="34"/>
      <c r="AG291" s="34"/>
      <c r="AH291" s="34"/>
      <c r="AI291" s="34"/>
      <c r="AJ291" s="34"/>
      <c r="AK291" s="34"/>
      <c r="AL291" s="34"/>
      <c r="AM291" s="34"/>
      <c r="AN291" s="34"/>
      <c r="AO291" s="34"/>
    </row>
    <row r="292" spans="1:41" s="48" customFormat="1" x14ac:dyDescent="0.25">
      <c r="A292" s="34"/>
      <c r="B292" s="49"/>
      <c r="C292" s="49"/>
      <c r="D292" s="49"/>
      <c r="F292" s="49"/>
      <c r="G292" s="49"/>
      <c r="H292" s="49"/>
      <c r="J292" s="49"/>
      <c r="K292" s="34"/>
      <c r="L292" s="34"/>
      <c r="M292" s="34"/>
      <c r="N292" s="34"/>
      <c r="O292" s="34"/>
      <c r="P292" s="34"/>
      <c r="Q292" s="34"/>
      <c r="R292" s="34"/>
      <c r="S292" s="34"/>
      <c r="T292" s="34"/>
      <c r="U292" s="34"/>
      <c r="V292" s="34"/>
      <c r="W292" s="34"/>
      <c r="X292" s="34"/>
      <c r="Y292" s="34"/>
      <c r="Z292" s="34"/>
      <c r="AA292" s="34"/>
      <c r="AB292" s="34"/>
      <c r="AC292" s="34"/>
      <c r="AD292" s="34"/>
      <c r="AE292" s="34"/>
      <c r="AF292" s="34"/>
      <c r="AG292" s="34"/>
      <c r="AH292" s="34"/>
      <c r="AI292" s="34"/>
      <c r="AJ292" s="34"/>
      <c r="AK292" s="34"/>
      <c r="AL292" s="34"/>
      <c r="AM292" s="34"/>
      <c r="AN292" s="34"/>
      <c r="AO292" s="34"/>
    </row>
    <row r="293" spans="1:41" s="48" customFormat="1" x14ac:dyDescent="0.25">
      <c r="A293" s="34"/>
      <c r="B293" s="49"/>
      <c r="C293" s="49"/>
      <c r="D293" s="49"/>
      <c r="F293" s="49"/>
      <c r="G293" s="49"/>
      <c r="H293" s="49"/>
      <c r="J293" s="49"/>
      <c r="K293" s="34"/>
      <c r="L293" s="34"/>
      <c r="M293" s="34"/>
      <c r="N293" s="34"/>
      <c r="O293" s="34"/>
      <c r="P293" s="34"/>
      <c r="Q293" s="34"/>
      <c r="R293" s="34"/>
      <c r="S293" s="34"/>
      <c r="T293" s="34"/>
      <c r="U293" s="34"/>
      <c r="V293" s="34"/>
      <c r="W293" s="34"/>
      <c r="X293" s="34"/>
      <c r="Y293" s="34"/>
      <c r="Z293" s="34"/>
      <c r="AA293" s="34"/>
      <c r="AB293" s="34"/>
      <c r="AC293" s="34"/>
      <c r="AD293" s="34"/>
      <c r="AE293" s="34"/>
      <c r="AF293" s="34"/>
      <c r="AG293" s="34"/>
      <c r="AH293" s="34"/>
      <c r="AI293" s="34"/>
      <c r="AJ293" s="34"/>
      <c r="AK293" s="34"/>
      <c r="AL293" s="34"/>
      <c r="AM293" s="34"/>
      <c r="AN293" s="34"/>
      <c r="AO293" s="34"/>
    </row>
    <row r="294" spans="1:41" s="48" customFormat="1" x14ac:dyDescent="0.25">
      <c r="A294" s="34"/>
      <c r="B294" s="49"/>
      <c r="C294" s="49"/>
      <c r="D294" s="49"/>
      <c r="F294" s="49"/>
      <c r="G294" s="49"/>
      <c r="H294" s="49"/>
      <c r="J294" s="49"/>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row>
    <row r="295" spans="1:41" s="48" customFormat="1" x14ac:dyDescent="0.25">
      <c r="A295" s="34"/>
      <c r="B295" s="49"/>
      <c r="C295" s="49"/>
      <c r="D295" s="49"/>
      <c r="F295" s="49"/>
      <c r="G295" s="49"/>
      <c r="H295" s="49"/>
      <c r="J295" s="49"/>
      <c r="K295" s="34"/>
      <c r="L295" s="34"/>
      <c r="M295" s="34"/>
      <c r="N295" s="34"/>
      <c r="O295" s="34"/>
      <c r="P295" s="34"/>
      <c r="Q295" s="34"/>
      <c r="R295" s="34"/>
      <c r="S295" s="34"/>
      <c r="T295" s="34"/>
      <c r="U295" s="34"/>
      <c r="V295" s="34"/>
      <c r="W295" s="34"/>
      <c r="X295" s="34"/>
      <c r="Y295" s="34"/>
      <c r="Z295" s="34"/>
      <c r="AA295" s="34"/>
      <c r="AB295" s="34"/>
      <c r="AC295" s="34"/>
      <c r="AD295" s="34"/>
      <c r="AE295" s="34"/>
      <c r="AF295" s="34"/>
      <c r="AG295" s="34"/>
      <c r="AH295" s="34"/>
      <c r="AI295" s="34"/>
      <c r="AJ295" s="34"/>
      <c r="AK295" s="34"/>
      <c r="AL295" s="34"/>
      <c r="AM295" s="34"/>
      <c r="AN295" s="34"/>
      <c r="AO295" s="34"/>
    </row>
    <row r="296" spans="1:41" s="48" customFormat="1" x14ac:dyDescent="0.25">
      <c r="A296" s="34"/>
      <c r="B296" s="49"/>
      <c r="C296" s="49"/>
      <c r="D296" s="49"/>
      <c r="F296" s="49"/>
      <c r="G296" s="49"/>
      <c r="H296" s="49"/>
      <c r="J296" s="49"/>
      <c r="K296" s="34"/>
      <c r="L296" s="34"/>
      <c r="M296" s="34"/>
      <c r="N296" s="34"/>
      <c r="O296" s="34"/>
      <c r="P296" s="34"/>
      <c r="Q296" s="34"/>
      <c r="R296" s="34"/>
      <c r="S296" s="34"/>
      <c r="T296" s="34"/>
      <c r="U296" s="34"/>
      <c r="V296" s="34"/>
      <c r="W296" s="34"/>
      <c r="X296" s="34"/>
      <c r="Y296" s="34"/>
      <c r="Z296" s="34"/>
      <c r="AA296" s="34"/>
      <c r="AB296" s="34"/>
      <c r="AC296" s="34"/>
      <c r="AD296" s="34"/>
      <c r="AE296" s="34"/>
      <c r="AF296" s="34"/>
      <c r="AG296" s="34"/>
      <c r="AH296" s="34"/>
      <c r="AI296" s="34"/>
      <c r="AJ296" s="34"/>
      <c r="AK296" s="34"/>
      <c r="AL296" s="34"/>
      <c r="AM296" s="34"/>
      <c r="AN296" s="34"/>
      <c r="AO296" s="34"/>
    </row>
    <row r="297" spans="1:41" s="48" customFormat="1" x14ac:dyDescent="0.25">
      <c r="A297" s="34"/>
      <c r="B297" s="49"/>
      <c r="C297" s="49"/>
      <c r="D297" s="49"/>
      <c r="F297" s="49"/>
      <c r="G297" s="49"/>
      <c r="H297" s="49"/>
      <c r="J297" s="49"/>
      <c r="K297" s="34"/>
      <c r="L297" s="34"/>
      <c r="M297" s="34"/>
      <c r="N297" s="34"/>
      <c r="O297" s="34"/>
      <c r="P297" s="34"/>
      <c r="Q297" s="34"/>
      <c r="R297" s="34"/>
      <c r="S297" s="34"/>
      <c r="T297" s="34"/>
      <c r="U297" s="34"/>
      <c r="V297" s="34"/>
      <c r="W297" s="34"/>
      <c r="X297" s="34"/>
      <c r="Y297" s="34"/>
      <c r="Z297" s="34"/>
      <c r="AA297" s="34"/>
      <c r="AB297" s="34"/>
      <c r="AC297" s="34"/>
      <c r="AD297" s="34"/>
      <c r="AE297" s="34"/>
      <c r="AF297" s="34"/>
      <c r="AG297" s="34"/>
      <c r="AH297" s="34"/>
      <c r="AI297" s="34"/>
      <c r="AJ297" s="34"/>
      <c r="AK297" s="34"/>
      <c r="AL297" s="34"/>
      <c r="AM297" s="34"/>
      <c r="AN297" s="34"/>
      <c r="AO297" s="34"/>
    </row>
    <row r="298" spans="1:41" s="48" customFormat="1" x14ac:dyDescent="0.25">
      <c r="A298" s="34"/>
      <c r="B298" s="49"/>
      <c r="C298" s="49"/>
      <c r="D298" s="49"/>
      <c r="F298" s="49"/>
      <c r="G298" s="49"/>
      <c r="H298" s="49"/>
      <c r="J298" s="49"/>
      <c r="K298" s="34"/>
      <c r="L298" s="34"/>
      <c r="M298" s="34"/>
      <c r="N298" s="34"/>
      <c r="O298" s="34"/>
      <c r="P298" s="34"/>
      <c r="Q298" s="34"/>
      <c r="R298" s="34"/>
      <c r="S298" s="34"/>
      <c r="T298" s="34"/>
      <c r="U298" s="34"/>
      <c r="V298" s="34"/>
      <c r="W298" s="34"/>
      <c r="X298" s="34"/>
      <c r="Y298" s="34"/>
      <c r="Z298" s="34"/>
      <c r="AA298" s="34"/>
      <c r="AB298" s="34"/>
      <c r="AC298" s="34"/>
      <c r="AD298" s="34"/>
      <c r="AE298" s="34"/>
      <c r="AF298" s="34"/>
      <c r="AG298" s="34"/>
      <c r="AH298" s="34"/>
      <c r="AI298" s="34"/>
      <c r="AJ298" s="34"/>
      <c r="AK298" s="34"/>
      <c r="AL298" s="34"/>
      <c r="AM298" s="34"/>
      <c r="AN298" s="34"/>
      <c r="AO298" s="34"/>
    </row>
    <row r="299" spans="1:41" s="48" customFormat="1" x14ac:dyDescent="0.25">
      <c r="A299" s="34"/>
      <c r="B299" s="49"/>
      <c r="C299" s="49"/>
      <c r="D299" s="49"/>
      <c r="F299" s="49"/>
      <c r="G299" s="49"/>
      <c r="H299" s="49"/>
      <c r="J299" s="49"/>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c r="AH299" s="34"/>
      <c r="AI299" s="34"/>
      <c r="AJ299" s="34"/>
      <c r="AK299" s="34"/>
      <c r="AL299" s="34"/>
      <c r="AM299" s="34"/>
      <c r="AN299" s="34"/>
      <c r="AO299" s="34"/>
    </row>
    <row r="300" spans="1:41" s="48" customFormat="1" x14ac:dyDescent="0.25">
      <c r="A300" s="34"/>
      <c r="B300" s="49"/>
      <c r="C300" s="49"/>
      <c r="D300" s="49"/>
      <c r="F300" s="49"/>
      <c r="G300" s="49"/>
      <c r="H300" s="49"/>
      <c r="J300" s="49"/>
      <c r="K300" s="34"/>
      <c r="L300" s="34"/>
      <c r="M300" s="34"/>
      <c r="N300" s="34"/>
      <c r="O300" s="34"/>
      <c r="P300" s="34"/>
      <c r="Q300" s="34"/>
      <c r="R300" s="34"/>
      <c r="S300" s="34"/>
      <c r="T300" s="34"/>
      <c r="U300" s="34"/>
      <c r="V300" s="34"/>
      <c r="W300" s="34"/>
      <c r="X300" s="34"/>
      <c r="Y300" s="34"/>
      <c r="Z300" s="34"/>
      <c r="AA300" s="34"/>
      <c r="AB300" s="34"/>
      <c r="AC300" s="34"/>
      <c r="AD300" s="34"/>
      <c r="AE300" s="34"/>
      <c r="AF300" s="34"/>
      <c r="AG300" s="34"/>
      <c r="AH300" s="34"/>
      <c r="AI300" s="34"/>
      <c r="AJ300" s="34"/>
      <c r="AK300" s="34"/>
      <c r="AL300" s="34"/>
      <c r="AM300" s="34"/>
      <c r="AN300" s="34"/>
      <c r="AO300" s="34"/>
    </row>
    <row r="301" spans="1:41" s="48" customFormat="1" x14ac:dyDescent="0.25">
      <c r="A301" s="34"/>
      <c r="B301" s="49"/>
      <c r="C301" s="49"/>
      <c r="D301" s="49"/>
      <c r="F301" s="49"/>
      <c r="G301" s="49"/>
      <c r="H301" s="49"/>
      <c r="J301" s="49"/>
      <c r="K301" s="34"/>
      <c r="L301" s="34"/>
      <c r="M301" s="34"/>
      <c r="N301" s="34"/>
      <c r="O301" s="34"/>
      <c r="P301" s="34"/>
      <c r="Q301" s="34"/>
      <c r="R301" s="34"/>
      <c r="S301" s="34"/>
      <c r="T301" s="34"/>
      <c r="U301" s="34"/>
      <c r="V301" s="34"/>
      <c r="W301" s="34"/>
      <c r="X301" s="34"/>
      <c r="Y301" s="34"/>
      <c r="Z301" s="34"/>
      <c r="AA301" s="34"/>
      <c r="AB301" s="34"/>
      <c r="AC301" s="34"/>
      <c r="AD301" s="34"/>
      <c r="AE301" s="34"/>
      <c r="AF301" s="34"/>
      <c r="AG301" s="34"/>
      <c r="AH301" s="34"/>
      <c r="AI301" s="34"/>
      <c r="AJ301" s="34"/>
      <c r="AK301" s="34"/>
      <c r="AL301" s="34"/>
      <c r="AM301" s="34"/>
      <c r="AN301" s="34"/>
      <c r="AO301" s="34"/>
    </row>
    <row r="302" spans="1:41" s="48" customFormat="1" x14ac:dyDescent="0.25">
      <c r="A302" s="34"/>
      <c r="B302" s="49"/>
      <c r="C302" s="49"/>
      <c r="D302" s="49"/>
      <c r="F302" s="49"/>
      <c r="G302" s="49"/>
      <c r="H302" s="49"/>
      <c r="J302" s="49"/>
      <c r="K302" s="34"/>
      <c r="L302" s="34"/>
      <c r="M302" s="34"/>
      <c r="N302" s="34"/>
      <c r="O302" s="34"/>
      <c r="P302" s="34"/>
      <c r="Q302" s="34"/>
      <c r="R302" s="34"/>
      <c r="S302" s="34"/>
      <c r="T302" s="34"/>
      <c r="U302" s="34"/>
      <c r="V302" s="34"/>
      <c r="W302" s="34"/>
      <c r="X302" s="34"/>
      <c r="Y302" s="34"/>
      <c r="Z302" s="34"/>
      <c r="AA302" s="34"/>
      <c r="AB302" s="34"/>
      <c r="AC302" s="34"/>
      <c r="AD302" s="34"/>
      <c r="AE302" s="34"/>
      <c r="AF302" s="34"/>
      <c r="AG302" s="34"/>
      <c r="AH302" s="34"/>
      <c r="AI302" s="34"/>
      <c r="AJ302" s="34"/>
      <c r="AK302" s="34"/>
      <c r="AL302" s="34"/>
      <c r="AM302" s="34"/>
      <c r="AN302" s="34"/>
      <c r="AO302" s="34"/>
    </row>
    <row r="303" spans="1:41" s="48" customFormat="1" x14ac:dyDescent="0.25">
      <c r="A303" s="34"/>
      <c r="B303" s="49"/>
      <c r="C303" s="49"/>
      <c r="D303" s="49"/>
      <c r="F303" s="49"/>
      <c r="G303" s="49"/>
      <c r="H303" s="49"/>
      <c r="J303" s="49"/>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row>
    <row r="304" spans="1:41" s="48" customFormat="1" x14ac:dyDescent="0.25">
      <c r="A304" s="34"/>
      <c r="B304" s="49"/>
      <c r="C304" s="49"/>
      <c r="D304" s="49"/>
      <c r="F304" s="49"/>
      <c r="G304" s="49"/>
      <c r="H304" s="49"/>
      <c r="J304" s="49"/>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row>
    <row r="305" spans="1:41" s="48" customFormat="1" x14ac:dyDescent="0.25">
      <c r="A305" s="34"/>
      <c r="B305" s="49"/>
      <c r="C305" s="49"/>
      <c r="D305" s="49"/>
      <c r="F305" s="49"/>
      <c r="G305" s="49"/>
      <c r="H305" s="49"/>
      <c r="J305" s="49"/>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row>
    <row r="306" spans="1:41" s="48" customFormat="1" x14ac:dyDescent="0.25">
      <c r="A306" s="34"/>
      <c r="B306" s="49"/>
      <c r="C306" s="49"/>
      <c r="D306" s="49"/>
      <c r="F306" s="49"/>
      <c r="G306" s="49"/>
      <c r="H306" s="49"/>
      <c r="J306" s="49"/>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row>
    <row r="307" spans="1:41" s="48" customFormat="1" x14ac:dyDescent="0.25">
      <c r="A307" s="34"/>
      <c r="B307" s="49"/>
      <c r="C307" s="49"/>
      <c r="D307" s="49"/>
      <c r="F307" s="49"/>
      <c r="G307" s="49"/>
      <c r="H307" s="49"/>
      <c r="J307" s="49"/>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row>
    <row r="308" spans="1:41" s="48" customFormat="1" x14ac:dyDescent="0.25">
      <c r="A308" s="34"/>
      <c r="B308" s="49"/>
      <c r="C308" s="49"/>
      <c r="D308" s="49"/>
      <c r="F308" s="49"/>
      <c r="G308" s="49"/>
      <c r="H308" s="49"/>
      <c r="J308" s="49"/>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row>
    <row r="309" spans="1:41" s="48" customFormat="1" x14ac:dyDescent="0.25">
      <c r="A309" s="34"/>
      <c r="B309" s="49"/>
      <c r="C309" s="49"/>
      <c r="D309" s="49"/>
      <c r="F309" s="49"/>
      <c r="G309" s="49"/>
      <c r="H309" s="49"/>
      <c r="J309" s="49"/>
      <c r="K309" s="34"/>
      <c r="L309" s="34"/>
      <c r="M309" s="34"/>
      <c r="N309" s="34"/>
      <c r="O309" s="34"/>
      <c r="P309" s="34"/>
      <c r="Q309" s="34"/>
      <c r="R309" s="34"/>
      <c r="S309" s="34"/>
      <c r="T309" s="34"/>
      <c r="U309" s="34"/>
      <c r="V309" s="34"/>
      <c r="W309" s="34"/>
      <c r="X309" s="34"/>
      <c r="Y309" s="34"/>
      <c r="Z309" s="34"/>
      <c r="AA309" s="34"/>
      <c r="AB309" s="34"/>
      <c r="AC309" s="34"/>
      <c r="AD309" s="34"/>
      <c r="AE309" s="34"/>
      <c r="AF309" s="34"/>
      <c r="AG309" s="34"/>
      <c r="AH309" s="34"/>
      <c r="AI309" s="34"/>
      <c r="AJ309" s="34"/>
      <c r="AK309" s="34"/>
      <c r="AL309" s="34"/>
      <c r="AM309" s="34"/>
      <c r="AN309" s="34"/>
      <c r="AO309" s="34"/>
    </row>
    <row r="310" spans="1:41" s="48" customFormat="1" x14ac:dyDescent="0.25">
      <c r="A310" s="34"/>
      <c r="B310" s="49"/>
      <c r="C310" s="49"/>
      <c r="D310" s="49"/>
      <c r="F310" s="49"/>
      <c r="G310" s="49"/>
      <c r="H310" s="49"/>
      <c r="J310" s="49"/>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M310" s="34"/>
      <c r="AN310" s="34"/>
      <c r="AO310" s="34"/>
    </row>
    <row r="311" spans="1:41" s="48" customFormat="1" x14ac:dyDescent="0.25">
      <c r="A311" s="34"/>
      <c r="B311" s="49"/>
      <c r="C311" s="49"/>
      <c r="D311" s="49"/>
      <c r="F311" s="49"/>
      <c r="G311" s="49"/>
      <c r="H311" s="49"/>
      <c r="J311" s="49"/>
      <c r="K311" s="34"/>
      <c r="L311" s="34"/>
      <c r="M311" s="34"/>
      <c r="N311" s="34"/>
      <c r="O311" s="34"/>
      <c r="P311" s="34"/>
      <c r="Q311" s="34"/>
      <c r="R311" s="34"/>
      <c r="S311" s="34"/>
      <c r="T311" s="34"/>
      <c r="U311" s="34"/>
      <c r="V311" s="34"/>
      <c r="W311" s="34"/>
      <c r="X311" s="34"/>
      <c r="Y311" s="34"/>
      <c r="Z311" s="34"/>
      <c r="AA311" s="34"/>
      <c r="AB311" s="34"/>
      <c r="AC311" s="34"/>
      <c r="AD311" s="34"/>
      <c r="AE311" s="34"/>
      <c r="AF311" s="34"/>
      <c r="AG311" s="34"/>
      <c r="AH311" s="34"/>
      <c r="AI311" s="34"/>
      <c r="AJ311" s="34"/>
      <c r="AK311" s="34"/>
      <c r="AL311" s="34"/>
      <c r="AM311" s="34"/>
      <c r="AN311" s="34"/>
      <c r="AO311" s="34"/>
    </row>
  </sheetData>
  <sheetProtection algorithmName="SHA-512" hashValue="aNi6Iop93/w5LB+SNp0zSFLQY7tKzL1CyQdNnVqOfMaX9yTTHLOaO38pQ6rmq8ZGXz+BsvIharp2X06V0PM0/Q==" saltValue="X+k/TIkT0y6NDkmaX52cSg==" spinCount="100000" sheet="1" objects="1" scenarios="1"/>
  <mergeCells count="13">
    <mergeCell ref="B31:J31"/>
    <mergeCell ref="C30:F30"/>
    <mergeCell ref="G30:J30"/>
    <mergeCell ref="C28:G28"/>
    <mergeCell ref="C29:F29"/>
    <mergeCell ref="G29:J29"/>
    <mergeCell ref="J5:J27"/>
    <mergeCell ref="C1:E1"/>
    <mergeCell ref="C2:E2"/>
    <mergeCell ref="H2:J2"/>
    <mergeCell ref="B3:J3"/>
    <mergeCell ref="B4:E4"/>
    <mergeCell ref="G4:H4"/>
  </mergeCells>
  <conditionalFormatting sqref="J28">
    <cfRule type="cellIs" dxfId="90" priority="53" operator="lessThan">
      <formula>0.4</formula>
    </cfRule>
    <cfRule type="cellIs" dxfId="89" priority="54" operator="greaterThan">
      <formula>0.3999</formula>
    </cfRule>
    <cfRule type="cellIs" dxfId="88" priority="61" operator="greaterThan">
      <formula>0.4999</formula>
    </cfRule>
    <cfRule type="cellIs" dxfId="87" priority="62" operator="greaterThan">
      <formula>0.5</formula>
    </cfRule>
    <cfRule type="cellIs" dxfId="86" priority="63" operator="lessThan">
      <formula>0.5</formula>
    </cfRule>
    <cfRule type="cellIs" dxfId="85" priority="64" operator="greaterThan">
      <formula>0.4999</formula>
    </cfRule>
  </conditionalFormatting>
  <conditionalFormatting sqref="F6">
    <cfRule type="cellIs" dxfId="84" priority="26" operator="greaterThan">
      <formula>$E$6</formula>
    </cfRule>
  </conditionalFormatting>
  <conditionalFormatting sqref="F7">
    <cfRule type="cellIs" dxfId="83" priority="25" operator="greaterThan">
      <formula>$E$7</formula>
    </cfRule>
  </conditionalFormatting>
  <conditionalFormatting sqref="F8">
    <cfRule type="cellIs" dxfId="82" priority="24" operator="greaterThan">
      <formula>$E$8</formula>
    </cfRule>
  </conditionalFormatting>
  <conditionalFormatting sqref="F9">
    <cfRule type="cellIs" dxfId="81" priority="23" operator="greaterThan">
      <formula>$E$9</formula>
    </cfRule>
  </conditionalFormatting>
  <conditionalFormatting sqref="F10">
    <cfRule type="cellIs" dxfId="80" priority="22" operator="greaterThan">
      <formula>$E$10</formula>
    </cfRule>
  </conditionalFormatting>
  <conditionalFormatting sqref="F11">
    <cfRule type="cellIs" dxfId="79" priority="21" operator="greaterThan">
      <formula>$E$11</formula>
    </cfRule>
  </conditionalFormatting>
  <conditionalFormatting sqref="F12">
    <cfRule type="cellIs" dxfId="78" priority="20" operator="greaterThan">
      <formula>$E$12</formula>
    </cfRule>
  </conditionalFormatting>
  <conditionalFormatting sqref="F13">
    <cfRule type="cellIs" dxfId="77" priority="19" operator="greaterThan">
      <formula>$E$13</formula>
    </cfRule>
  </conditionalFormatting>
  <conditionalFormatting sqref="F14">
    <cfRule type="cellIs" dxfId="76" priority="18" operator="greaterThan">
      <formula>$E$14</formula>
    </cfRule>
  </conditionalFormatting>
  <conditionalFormatting sqref="F15">
    <cfRule type="cellIs" dxfId="75" priority="17" operator="greaterThan">
      <formula>$E$15</formula>
    </cfRule>
  </conditionalFormatting>
  <conditionalFormatting sqref="F16">
    <cfRule type="cellIs" dxfId="74" priority="16" operator="greaterThan">
      <formula>$E$16</formula>
    </cfRule>
  </conditionalFormatting>
  <conditionalFormatting sqref="F17">
    <cfRule type="cellIs" dxfId="73" priority="15" operator="greaterThan">
      <formula>$E$17</formula>
    </cfRule>
  </conditionalFormatting>
  <conditionalFormatting sqref="F18">
    <cfRule type="cellIs" dxfId="72" priority="14" operator="greaterThan">
      <formula>$E$18</formula>
    </cfRule>
  </conditionalFormatting>
  <conditionalFormatting sqref="F19">
    <cfRule type="cellIs" dxfId="71" priority="13" operator="greaterThan">
      <formula>$E$19</formula>
    </cfRule>
  </conditionalFormatting>
  <conditionalFormatting sqref="F20">
    <cfRule type="cellIs" dxfId="70" priority="12" operator="greaterThan">
      <formula>$E$20</formula>
    </cfRule>
  </conditionalFormatting>
  <conditionalFormatting sqref="F21">
    <cfRule type="cellIs" dxfId="69" priority="11" operator="greaterThan">
      <formula>$E$21</formula>
    </cfRule>
  </conditionalFormatting>
  <conditionalFormatting sqref="F22">
    <cfRule type="cellIs" dxfId="68" priority="10" operator="greaterThan">
      <formula>$E$22</formula>
    </cfRule>
  </conditionalFormatting>
  <conditionalFormatting sqref="F23">
    <cfRule type="cellIs" dxfId="67" priority="9" operator="greaterThan">
      <formula>$E$23</formula>
    </cfRule>
  </conditionalFormatting>
  <conditionalFormatting sqref="F24">
    <cfRule type="cellIs" dxfId="66" priority="8" operator="greaterThan">
      <formula>$E$24</formula>
    </cfRule>
  </conditionalFormatting>
  <conditionalFormatting sqref="F25">
    <cfRule type="cellIs" dxfId="65" priority="7" operator="greaterThan">
      <formula>$E$25</formula>
    </cfRule>
  </conditionalFormatting>
  <conditionalFormatting sqref="F26">
    <cfRule type="cellIs" dxfId="64" priority="6" operator="greaterThan">
      <formula>$E$26</formula>
    </cfRule>
  </conditionalFormatting>
  <conditionalFormatting sqref="F27">
    <cfRule type="cellIs" dxfId="63" priority="5" operator="greaterThan">
      <formula>$E$27</formula>
    </cfRule>
  </conditionalFormatting>
  <conditionalFormatting sqref="I10">
    <cfRule type="cellIs" dxfId="62" priority="3" operator="lessThan">
      <formula>0.001</formula>
    </cfRule>
  </conditionalFormatting>
  <conditionalFormatting sqref="H11:I27">
    <cfRule type="cellIs" dxfId="61" priority="2" operator="lessThan">
      <formula>0.001</formula>
    </cfRule>
  </conditionalFormatting>
  <conditionalFormatting sqref="H6:I9 H10">
    <cfRule type="cellIs" dxfId="60" priority="1" operator="lessThan">
      <formula>0.001</formula>
    </cfRule>
  </conditionalFormatting>
  <pageMargins left="0.5" right="0.5" top="0.75" bottom="0.75" header="0.3" footer="0.3"/>
  <pageSetup scale="91" orientation="portrait" r:id="rId1"/>
  <ignoredErrors>
    <ignoredError sqref="H6"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W311"/>
  <sheetViews>
    <sheetView zoomScale="115" zoomScaleNormal="115" workbookViewId="0">
      <selection activeCell="K33" sqref="K33"/>
    </sheetView>
  </sheetViews>
  <sheetFormatPr defaultRowHeight="15" x14ac:dyDescent="0.25"/>
  <cols>
    <col min="1" max="1" width="9.140625" style="34" customWidth="1"/>
    <col min="2" max="2" width="7.28515625" style="9" customWidth="1"/>
    <col min="3" max="3" width="12.85546875" style="9" customWidth="1"/>
    <col min="4" max="4" width="13.5703125" style="9" customWidth="1"/>
    <col min="5" max="5" width="10.5703125" customWidth="1"/>
    <col min="6" max="6" width="11.85546875" style="9" customWidth="1"/>
    <col min="7" max="7" width="12.7109375" style="9" customWidth="1"/>
    <col min="8" max="8" width="13.140625" style="9" customWidth="1"/>
    <col min="9" max="9" width="11.7109375" customWidth="1"/>
    <col min="10" max="10" width="11.7109375" style="9" customWidth="1"/>
    <col min="11" max="41" width="9.140625" style="34"/>
  </cols>
  <sheetData>
    <row r="1" spans="1:49" s="34" customFormat="1" ht="32.25" customHeight="1" thickBot="1" x14ac:dyDescent="0.3">
      <c r="B1" s="37"/>
      <c r="C1" s="126" t="s">
        <v>13</v>
      </c>
      <c r="D1" s="126"/>
      <c r="E1" s="127"/>
      <c r="H1" s="37"/>
      <c r="J1" s="37"/>
    </row>
    <row r="2" spans="1:49" ht="15.75" thickBot="1" x14ac:dyDescent="0.3">
      <c r="B2" s="54" t="s">
        <v>19</v>
      </c>
      <c r="C2" s="128">
        <f>'Tab 1--3A, (AC 1-35)'!C2:D2</f>
        <v>0</v>
      </c>
      <c r="D2" s="128"/>
      <c r="E2" s="128"/>
      <c r="F2" s="95"/>
      <c r="G2" s="56" t="s">
        <v>18</v>
      </c>
      <c r="H2" s="128" t="str">
        <f>'Tab 1--3A, (AC 1-35)'!H2:J2</f>
        <v xml:space="preserve">HTC71124RCC01 Atch 1a </v>
      </c>
      <c r="I2" s="128"/>
      <c r="J2" s="128"/>
      <c r="K2" s="35"/>
      <c r="AP2" s="34"/>
      <c r="AQ2" s="34"/>
      <c r="AR2" s="34"/>
      <c r="AS2" s="34"/>
      <c r="AT2" s="34"/>
      <c r="AU2" s="34"/>
      <c r="AV2" s="34"/>
      <c r="AW2" s="34"/>
    </row>
    <row r="3" spans="1:49" ht="32.25" customHeight="1" thickBot="1" x14ac:dyDescent="0.4">
      <c r="B3" s="108" t="s">
        <v>46</v>
      </c>
      <c r="C3" s="109"/>
      <c r="D3" s="109"/>
      <c r="E3" s="109"/>
      <c r="F3" s="129"/>
      <c r="G3" s="109"/>
      <c r="H3" s="109"/>
      <c r="I3" s="109"/>
      <c r="J3" s="110"/>
      <c r="K3" s="35"/>
      <c r="AP3" s="34"/>
      <c r="AQ3" s="34"/>
      <c r="AR3" s="34"/>
      <c r="AS3" s="34"/>
      <c r="AT3" s="34"/>
      <c r="AU3" s="34"/>
      <c r="AV3" s="34"/>
      <c r="AW3" s="34"/>
    </row>
    <row r="4" spans="1:49" s="4" customFormat="1" ht="37.5" customHeight="1" thickBot="1" x14ac:dyDescent="0.3">
      <c r="A4" s="34"/>
      <c r="B4" s="130" t="s">
        <v>14</v>
      </c>
      <c r="C4" s="131"/>
      <c r="D4" s="131"/>
      <c r="E4" s="131"/>
      <c r="F4" s="74">
        <f>'Tab 1--3A, (AC 1-35)'!F4</f>
        <v>0</v>
      </c>
      <c r="G4" s="132" t="s">
        <v>36</v>
      </c>
      <c r="H4" s="133"/>
      <c r="I4" s="93" t="s">
        <v>45</v>
      </c>
      <c r="J4" s="94" t="s">
        <v>13</v>
      </c>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row>
    <row r="5" spans="1:49" s="2" customFormat="1" ht="74.25" customHeight="1" thickBot="1" x14ac:dyDescent="0.3">
      <c r="A5" s="50"/>
      <c r="B5" s="88" t="s">
        <v>21</v>
      </c>
      <c r="C5" s="38" t="s">
        <v>44</v>
      </c>
      <c r="D5" s="22" t="s">
        <v>43</v>
      </c>
      <c r="E5" s="87" t="s">
        <v>39</v>
      </c>
      <c r="F5" s="89" t="s">
        <v>12</v>
      </c>
      <c r="G5" s="90" t="s">
        <v>7</v>
      </c>
      <c r="H5" s="91" t="s">
        <v>9</v>
      </c>
      <c r="I5" s="92" t="s">
        <v>8</v>
      </c>
      <c r="J5" s="124" t="s">
        <v>10</v>
      </c>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50"/>
      <c r="AN5" s="50"/>
      <c r="AO5" s="50"/>
    </row>
    <row r="6" spans="1:49" ht="15.75" thickTop="1" x14ac:dyDescent="0.25">
      <c r="B6" s="47">
        <v>1</v>
      </c>
      <c r="C6" s="27"/>
      <c r="D6" s="11"/>
      <c r="E6" s="19"/>
      <c r="F6" s="59"/>
      <c r="G6" s="77"/>
      <c r="H6" s="71">
        <f t="shared" ref="H6:H27" si="0">G6*E6</f>
        <v>0</v>
      </c>
      <c r="I6" s="67">
        <f>G6*F6</f>
        <v>0</v>
      </c>
      <c r="J6" s="125"/>
      <c r="M6" s="34" t="s">
        <v>13</v>
      </c>
    </row>
    <row r="7" spans="1:49" x14ac:dyDescent="0.25">
      <c r="B7" s="39">
        <v>2</v>
      </c>
      <c r="C7" s="27"/>
      <c r="D7" s="11"/>
      <c r="E7" s="19"/>
      <c r="F7" s="59"/>
      <c r="G7" s="77"/>
      <c r="H7" s="71">
        <f t="shared" si="0"/>
        <v>0</v>
      </c>
      <c r="I7" s="67">
        <f>G7*F7</f>
        <v>0</v>
      </c>
      <c r="J7" s="125"/>
    </row>
    <row r="8" spans="1:49" x14ac:dyDescent="0.25">
      <c r="B8" s="39">
        <v>3</v>
      </c>
      <c r="C8" s="27"/>
      <c r="D8" s="11"/>
      <c r="E8" s="19"/>
      <c r="F8" s="59"/>
      <c r="G8" s="77"/>
      <c r="H8" s="71">
        <f t="shared" si="0"/>
        <v>0</v>
      </c>
      <c r="I8" s="68">
        <f>G8*F8</f>
        <v>0</v>
      </c>
      <c r="J8" s="125"/>
    </row>
    <row r="9" spans="1:49" x14ac:dyDescent="0.25">
      <c r="B9" s="39">
        <v>4</v>
      </c>
      <c r="C9" s="27"/>
      <c r="D9" s="11"/>
      <c r="E9" s="19"/>
      <c r="F9" s="59"/>
      <c r="G9" s="77"/>
      <c r="H9" s="71">
        <f t="shared" si="0"/>
        <v>0</v>
      </c>
      <c r="I9" s="68">
        <f t="shared" ref="I9:I27" si="1">G9*F9</f>
        <v>0</v>
      </c>
      <c r="J9" s="125"/>
    </row>
    <row r="10" spans="1:49" x14ac:dyDescent="0.25">
      <c r="B10" s="39">
        <v>5</v>
      </c>
      <c r="C10" s="27"/>
      <c r="D10" s="11"/>
      <c r="E10" s="19"/>
      <c r="F10" s="59"/>
      <c r="G10" s="77"/>
      <c r="H10" s="71">
        <f t="shared" si="0"/>
        <v>0</v>
      </c>
      <c r="I10" s="69">
        <f t="shared" si="1"/>
        <v>0</v>
      </c>
      <c r="J10" s="125"/>
      <c r="L10" s="51"/>
    </row>
    <row r="11" spans="1:49" x14ac:dyDescent="0.25">
      <c r="B11" s="39">
        <v>6</v>
      </c>
      <c r="C11" s="27"/>
      <c r="D11" s="11"/>
      <c r="E11" s="19"/>
      <c r="F11" s="59"/>
      <c r="G11" s="77"/>
      <c r="H11" s="71">
        <f t="shared" si="0"/>
        <v>0</v>
      </c>
      <c r="I11" s="68">
        <f t="shared" si="1"/>
        <v>0</v>
      </c>
      <c r="J11" s="125"/>
    </row>
    <row r="12" spans="1:49" x14ac:dyDescent="0.25">
      <c r="B12" s="39">
        <v>7</v>
      </c>
      <c r="C12" s="27"/>
      <c r="D12" s="11"/>
      <c r="E12" s="19"/>
      <c r="F12" s="59"/>
      <c r="G12" s="77"/>
      <c r="H12" s="72">
        <f t="shared" si="0"/>
        <v>0</v>
      </c>
      <c r="I12" s="69">
        <f>G12*F12</f>
        <v>0</v>
      </c>
      <c r="J12" s="125"/>
    </row>
    <row r="13" spans="1:49" x14ac:dyDescent="0.25">
      <c r="B13" s="39">
        <v>8</v>
      </c>
      <c r="C13" s="27"/>
      <c r="D13" s="11"/>
      <c r="E13" s="19"/>
      <c r="F13" s="59"/>
      <c r="G13" s="77"/>
      <c r="H13" s="71">
        <f t="shared" si="0"/>
        <v>0</v>
      </c>
      <c r="I13" s="69">
        <f t="shared" si="1"/>
        <v>0</v>
      </c>
      <c r="J13" s="125"/>
    </row>
    <row r="14" spans="1:49" x14ac:dyDescent="0.25">
      <c r="B14" s="39">
        <v>9</v>
      </c>
      <c r="C14" s="27"/>
      <c r="D14" s="11"/>
      <c r="E14" s="19"/>
      <c r="F14" s="59"/>
      <c r="G14" s="77"/>
      <c r="H14" s="71">
        <f t="shared" si="0"/>
        <v>0</v>
      </c>
      <c r="I14" s="69">
        <f t="shared" si="1"/>
        <v>0</v>
      </c>
      <c r="J14" s="125"/>
    </row>
    <row r="15" spans="1:49" x14ac:dyDescent="0.25">
      <c r="B15" s="39">
        <v>10</v>
      </c>
      <c r="C15" s="27"/>
      <c r="D15" s="11"/>
      <c r="E15" s="19"/>
      <c r="F15" s="59"/>
      <c r="G15" s="77"/>
      <c r="H15" s="71">
        <f t="shared" si="0"/>
        <v>0</v>
      </c>
      <c r="I15" s="69">
        <f t="shared" si="1"/>
        <v>0</v>
      </c>
      <c r="J15" s="125"/>
    </row>
    <row r="16" spans="1:49" x14ac:dyDescent="0.25">
      <c r="B16" s="39">
        <v>11</v>
      </c>
      <c r="C16" s="27"/>
      <c r="D16" s="11"/>
      <c r="E16" s="19"/>
      <c r="F16" s="59"/>
      <c r="G16" s="77"/>
      <c r="H16" s="71">
        <f t="shared" si="0"/>
        <v>0</v>
      </c>
      <c r="I16" s="69">
        <f t="shared" si="1"/>
        <v>0</v>
      </c>
      <c r="J16" s="125"/>
    </row>
    <row r="17" spans="1:49" x14ac:dyDescent="0.25">
      <c r="B17" s="39">
        <v>12</v>
      </c>
      <c r="C17" s="27"/>
      <c r="D17" s="11"/>
      <c r="E17" s="19"/>
      <c r="F17" s="59"/>
      <c r="G17" s="77"/>
      <c r="H17" s="71">
        <f t="shared" si="0"/>
        <v>0</v>
      </c>
      <c r="I17" s="69">
        <f t="shared" si="1"/>
        <v>0</v>
      </c>
      <c r="J17" s="125"/>
    </row>
    <row r="18" spans="1:49" x14ac:dyDescent="0.25">
      <c r="B18" s="39">
        <v>13</v>
      </c>
      <c r="C18" s="27"/>
      <c r="D18" s="11"/>
      <c r="E18" s="19"/>
      <c r="F18" s="59"/>
      <c r="G18" s="77"/>
      <c r="H18" s="71">
        <f t="shared" si="0"/>
        <v>0</v>
      </c>
      <c r="I18" s="69">
        <f t="shared" si="1"/>
        <v>0</v>
      </c>
      <c r="J18" s="125"/>
    </row>
    <row r="19" spans="1:49" x14ac:dyDescent="0.25">
      <c r="B19" s="39">
        <v>14</v>
      </c>
      <c r="C19" s="27"/>
      <c r="D19" s="11"/>
      <c r="E19" s="19"/>
      <c r="F19" s="59"/>
      <c r="G19" s="77"/>
      <c r="H19" s="71">
        <f t="shared" si="0"/>
        <v>0</v>
      </c>
      <c r="I19" s="69">
        <f t="shared" si="1"/>
        <v>0</v>
      </c>
      <c r="J19" s="125"/>
      <c r="N19" s="34" t="s">
        <v>13</v>
      </c>
    </row>
    <row r="20" spans="1:49" x14ac:dyDescent="0.25">
      <c r="B20" s="39">
        <v>15</v>
      </c>
      <c r="C20" s="27"/>
      <c r="D20" s="11"/>
      <c r="E20" s="19"/>
      <c r="F20" s="59"/>
      <c r="G20" s="77"/>
      <c r="H20" s="71">
        <f t="shared" si="0"/>
        <v>0</v>
      </c>
      <c r="I20" s="69">
        <f>G20*F20</f>
        <v>0</v>
      </c>
      <c r="J20" s="125"/>
    </row>
    <row r="21" spans="1:49" x14ac:dyDescent="0.25">
      <c r="B21" s="39">
        <v>16</v>
      </c>
      <c r="C21" s="27"/>
      <c r="D21" s="11"/>
      <c r="E21" s="19"/>
      <c r="F21" s="59"/>
      <c r="G21" s="77"/>
      <c r="H21" s="71">
        <f t="shared" si="0"/>
        <v>0</v>
      </c>
      <c r="I21" s="69">
        <f t="shared" si="1"/>
        <v>0</v>
      </c>
      <c r="J21" s="125"/>
    </row>
    <row r="22" spans="1:49" x14ac:dyDescent="0.25">
      <c r="B22" s="39">
        <v>17</v>
      </c>
      <c r="C22" s="27"/>
      <c r="D22" s="11"/>
      <c r="E22" s="19"/>
      <c r="F22" s="59"/>
      <c r="G22" s="77"/>
      <c r="H22" s="71">
        <f t="shared" si="0"/>
        <v>0</v>
      </c>
      <c r="I22" s="69">
        <f t="shared" si="1"/>
        <v>0</v>
      </c>
      <c r="J22" s="125"/>
    </row>
    <row r="23" spans="1:49" x14ac:dyDescent="0.25">
      <c r="B23" s="39">
        <v>18</v>
      </c>
      <c r="C23" s="27"/>
      <c r="D23" s="11"/>
      <c r="E23" s="19"/>
      <c r="F23" s="59"/>
      <c r="G23" s="77"/>
      <c r="H23" s="71">
        <f t="shared" si="0"/>
        <v>0</v>
      </c>
      <c r="I23" s="69">
        <f t="shared" si="1"/>
        <v>0</v>
      </c>
      <c r="J23" s="125"/>
    </row>
    <row r="24" spans="1:49" x14ac:dyDescent="0.25">
      <c r="B24" s="39">
        <v>19</v>
      </c>
      <c r="C24" s="27"/>
      <c r="D24" s="11"/>
      <c r="E24" s="19"/>
      <c r="F24" s="59"/>
      <c r="G24" s="77"/>
      <c r="H24" s="71">
        <f t="shared" si="0"/>
        <v>0</v>
      </c>
      <c r="I24" s="69">
        <f t="shared" si="1"/>
        <v>0</v>
      </c>
      <c r="J24" s="125"/>
    </row>
    <row r="25" spans="1:49" x14ac:dyDescent="0.25">
      <c r="B25" s="39">
        <v>20</v>
      </c>
      <c r="C25" s="27"/>
      <c r="D25" s="11"/>
      <c r="E25" s="19"/>
      <c r="F25" s="59"/>
      <c r="G25" s="77"/>
      <c r="H25" s="71">
        <f t="shared" si="0"/>
        <v>0</v>
      </c>
      <c r="I25" s="69">
        <f t="shared" si="1"/>
        <v>0</v>
      </c>
      <c r="J25" s="125"/>
    </row>
    <row r="26" spans="1:49" x14ac:dyDescent="0.25">
      <c r="B26" s="39">
        <v>21</v>
      </c>
      <c r="C26" s="27"/>
      <c r="D26" s="11"/>
      <c r="E26" s="19"/>
      <c r="F26" s="59"/>
      <c r="G26" s="77"/>
      <c r="H26" s="71">
        <f t="shared" si="0"/>
        <v>0</v>
      </c>
      <c r="I26" s="69">
        <f t="shared" si="1"/>
        <v>0</v>
      </c>
      <c r="J26" s="125"/>
    </row>
    <row r="27" spans="1:49" ht="15.75" thickBot="1" x14ac:dyDescent="0.3">
      <c r="B27" s="41">
        <v>22</v>
      </c>
      <c r="C27" s="45"/>
      <c r="D27" s="11"/>
      <c r="E27" s="19"/>
      <c r="F27" s="59"/>
      <c r="G27" s="77"/>
      <c r="H27" s="73">
        <f t="shared" si="0"/>
        <v>0</v>
      </c>
      <c r="I27" s="70">
        <f t="shared" si="1"/>
        <v>0</v>
      </c>
      <c r="J27" s="125"/>
    </row>
    <row r="28" spans="1:49" ht="27" customHeight="1" thickBot="1" x14ac:dyDescent="0.3">
      <c r="B28" s="31"/>
      <c r="C28" s="140" t="s">
        <v>11</v>
      </c>
      <c r="D28" s="141"/>
      <c r="E28" s="141"/>
      <c r="F28" s="141"/>
      <c r="G28" s="142"/>
      <c r="H28" s="43">
        <f>SUM(H6:H27)</f>
        <v>0</v>
      </c>
      <c r="I28" s="43">
        <f>SUM(I6:I27)</f>
        <v>0</v>
      </c>
      <c r="J28" s="44" t="e">
        <f>SUM(I28/H28)</f>
        <v>#DIV/0!</v>
      </c>
    </row>
    <row r="29" spans="1:49" s="3" customFormat="1" ht="24.75" customHeight="1" x14ac:dyDescent="0.25">
      <c r="A29" s="36"/>
      <c r="B29" s="42"/>
      <c r="C29" s="143" t="s">
        <v>6</v>
      </c>
      <c r="D29" s="143"/>
      <c r="E29" s="144"/>
      <c r="F29" s="144"/>
      <c r="G29" s="144" t="s">
        <v>2</v>
      </c>
      <c r="H29" s="144"/>
      <c r="I29" s="144"/>
      <c r="J29" s="145"/>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row>
    <row r="30" spans="1:49" s="3" customFormat="1" ht="66" customHeight="1" thickBot="1" x14ac:dyDescent="0.3">
      <c r="A30" s="36"/>
      <c r="B30" s="40"/>
      <c r="C30" s="136" t="s">
        <v>42</v>
      </c>
      <c r="D30" s="136"/>
      <c r="E30" s="137"/>
      <c r="F30" s="137"/>
      <c r="G30" s="138" t="s">
        <v>3</v>
      </c>
      <c r="H30" s="138"/>
      <c r="I30" s="138"/>
      <c r="J30" s="139"/>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row>
    <row r="31" spans="1:49" s="3" customFormat="1" ht="14.25" customHeight="1" thickBot="1" x14ac:dyDescent="0.3">
      <c r="A31" s="36"/>
      <c r="B31" s="134" t="s">
        <v>47</v>
      </c>
      <c r="C31" s="135"/>
      <c r="D31" s="135"/>
      <c r="E31" s="135"/>
      <c r="F31" s="135"/>
      <c r="G31" s="135"/>
      <c r="H31" s="135"/>
      <c r="I31" s="135"/>
      <c r="J31" s="135"/>
      <c r="K31" s="62"/>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row>
    <row r="32" spans="1:49" s="34" customFormat="1" x14ac:dyDescent="0.25">
      <c r="B32" s="60"/>
      <c r="C32" s="60"/>
      <c r="D32" s="60"/>
      <c r="E32" s="61"/>
      <c r="F32" s="60"/>
      <c r="G32" s="60"/>
      <c r="H32" s="60"/>
      <c r="I32" s="61"/>
      <c r="J32" s="60"/>
    </row>
    <row r="33" spans="2:10" s="34" customFormat="1" x14ac:dyDescent="0.25">
      <c r="B33" s="37"/>
      <c r="C33" s="52"/>
      <c r="D33" s="52"/>
      <c r="E33" s="51"/>
      <c r="F33" s="52"/>
      <c r="G33" s="52"/>
      <c r="H33" s="52"/>
      <c r="I33" s="51"/>
      <c r="J33" s="52"/>
    </row>
    <row r="34" spans="2:10" s="34" customFormat="1" x14ac:dyDescent="0.25">
      <c r="B34" s="37"/>
      <c r="C34" s="52"/>
      <c r="D34" s="52"/>
      <c r="E34" s="51"/>
      <c r="F34" s="52"/>
      <c r="G34" s="52"/>
      <c r="H34" s="52"/>
      <c r="I34" s="51"/>
      <c r="J34" s="52"/>
    </row>
    <row r="35" spans="2:10" s="34" customFormat="1" x14ac:dyDescent="0.25">
      <c r="B35" s="37"/>
      <c r="C35" s="52"/>
      <c r="D35" s="52"/>
      <c r="E35" s="51"/>
      <c r="F35" s="52"/>
      <c r="G35" s="52"/>
      <c r="H35" s="52"/>
      <c r="I35" s="51"/>
      <c r="J35" s="52"/>
    </row>
    <row r="36" spans="2:10" s="34" customFormat="1" x14ac:dyDescent="0.25">
      <c r="B36" s="37"/>
      <c r="C36" s="52"/>
      <c r="D36" s="52"/>
      <c r="E36" s="51"/>
      <c r="F36" s="52"/>
      <c r="G36" s="52"/>
      <c r="H36" s="52"/>
      <c r="I36" s="51"/>
      <c r="J36" s="52"/>
    </row>
    <row r="37" spans="2:10" s="34" customFormat="1" x14ac:dyDescent="0.25">
      <c r="B37" s="37"/>
      <c r="C37" s="37"/>
      <c r="D37" s="37"/>
      <c r="F37" s="37"/>
      <c r="G37" s="37"/>
      <c r="H37" s="37"/>
      <c r="J37" s="37"/>
    </row>
    <row r="38" spans="2:10" s="34" customFormat="1" x14ac:dyDescent="0.25">
      <c r="B38" s="37"/>
      <c r="C38" s="37"/>
      <c r="D38" s="37"/>
      <c r="F38" s="37"/>
      <c r="G38" s="37"/>
      <c r="H38" s="37"/>
      <c r="J38" s="37"/>
    </row>
    <row r="39" spans="2:10" s="34" customFormat="1" x14ac:dyDescent="0.25">
      <c r="B39" s="37"/>
      <c r="C39" s="37"/>
      <c r="D39" s="37"/>
      <c r="F39" s="37"/>
      <c r="G39" s="37"/>
      <c r="H39" s="37"/>
      <c r="J39" s="37"/>
    </row>
    <row r="40" spans="2:10" s="34" customFormat="1" x14ac:dyDescent="0.25">
      <c r="B40" s="37"/>
      <c r="C40" s="37"/>
      <c r="D40" s="37"/>
      <c r="F40" s="37"/>
      <c r="G40" s="37"/>
      <c r="H40" s="37"/>
      <c r="J40" s="37"/>
    </row>
    <row r="41" spans="2:10" s="34" customFormat="1" x14ac:dyDescent="0.25">
      <c r="B41" s="37"/>
      <c r="C41" s="37"/>
      <c r="D41" s="37"/>
      <c r="F41" s="37"/>
      <c r="G41" s="37"/>
      <c r="H41" s="37"/>
      <c r="J41" s="37"/>
    </row>
    <row r="42" spans="2:10" s="34" customFormat="1" x14ac:dyDescent="0.25">
      <c r="B42" s="37"/>
      <c r="C42" s="37"/>
      <c r="D42" s="37"/>
      <c r="F42" s="37"/>
      <c r="G42" s="37"/>
      <c r="H42" s="37"/>
      <c r="J42" s="37"/>
    </row>
    <row r="43" spans="2:10" s="34" customFormat="1" x14ac:dyDescent="0.25">
      <c r="B43" s="37"/>
      <c r="C43" s="37"/>
      <c r="D43" s="37"/>
      <c r="F43" s="37"/>
      <c r="G43" s="37"/>
      <c r="H43" s="37"/>
      <c r="J43" s="37"/>
    </row>
    <row r="44" spans="2:10" s="34" customFormat="1" x14ac:dyDescent="0.25">
      <c r="B44" s="37"/>
      <c r="C44" s="37"/>
      <c r="D44" s="37"/>
      <c r="F44" s="37"/>
      <c r="G44" s="37"/>
      <c r="H44" s="37"/>
      <c r="J44" s="37"/>
    </row>
    <row r="45" spans="2:10" s="34" customFormat="1" x14ac:dyDescent="0.25">
      <c r="B45" s="37"/>
      <c r="C45" s="37"/>
      <c r="D45" s="37"/>
      <c r="F45" s="37"/>
      <c r="G45" s="37"/>
      <c r="H45" s="37"/>
      <c r="J45" s="37"/>
    </row>
    <row r="46" spans="2:10" s="34" customFormat="1" x14ac:dyDescent="0.25">
      <c r="B46" s="37"/>
      <c r="C46" s="37"/>
      <c r="D46" s="37"/>
      <c r="F46" s="37"/>
      <c r="G46" s="37"/>
      <c r="H46" s="37"/>
      <c r="J46" s="37"/>
    </row>
    <row r="47" spans="2:10" s="34" customFormat="1" x14ac:dyDescent="0.25">
      <c r="B47" s="37"/>
      <c r="C47" s="37"/>
      <c r="D47" s="37"/>
      <c r="F47" s="37"/>
      <c r="G47" s="37"/>
      <c r="H47" s="37"/>
      <c r="J47" s="37"/>
    </row>
    <row r="48" spans="2:10" s="34" customFormat="1" x14ac:dyDescent="0.25">
      <c r="B48" s="37"/>
      <c r="C48" s="37"/>
      <c r="D48" s="37"/>
      <c r="F48" s="37"/>
      <c r="G48" s="37"/>
      <c r="H48" s="37"/>
      <c r="J48" s="37"/>
    </row>
    <row r="49" spans="2:10" s="34" customFormat="1" x14ac:dyDescent="0.25">
      <c r="B49" s="37"/>
      <c r="C49" s="37"/>
      <c r="D49" s="37"/>
      <c r="F49" s="37"/>
      <c r="G49" s="37"/>
      <c r="H49" s="37"/>
      <c r="J49" s="37"/>
    </row>
    <row r="50" spans="2:10" s="34" customFormat="1" x14ac:dyDescent="0.25">
      <c r="B50" s="37"/>
      <c r="C50" s="37"/>
      <c r="D50" s="37"/>
      <c r="F50" s="37"/>
      <c r="G50" s="37"/>
      <c r="H50" s="37"/>
      <c r="J50" s="37"/>
    </row>
    <row r="51" spans="2:10" s="34" customFormat="1" x14ac:dyDescent="0.25">
      <c r="B51" s="37"/>
      <c r="C51" s="37"/>
      <c r="D51" s="37"/>
      <c r="F51" s="37"/>
      <c r="G51" s="37"/>
      <c r="H51" s="37"/>
      <c r="J51" s="37"/>
    </row>
    <row r="52" spans="2:10" s="34" customFormat="1" x14ac:dyDescent="0.25">
      <c r="B52" s="37"/>
      <c r="C52" s="37"/>
      <c r="D52" s="37"/>
      <c r="F52" s="37"/>
      <c r="G52" s="37"/>
      <c r="H52" s="37"/>
      <c r="J52" s="37"/>
    </row>
    <row r="53" spans="2:10" s="34" customFormat="1" x14ac:dyDescent="0.25">
      <c r="B53" s="37"/>
      <c r="C53" s="37"/>
      <c r="D53" s="37"/>
      <c r="F53" s="37"/>
      <c r="G53" s="37"/>
      <c r="H53" s="37"/>
      <c r="J53" s="37"/>
    </row>
    <row r="54" spans="2:10" s="34" customFormat="1" x14ac:dyDescent="0.25">
      <c r="B54" s="37"/>
      <c r="C54" s="37"/>
      <c r="D54" s="37"/>
      <c r="F54" s="37"/>
      <c r="G54" s="37"/>
      <c r="H54" s="37"/>
      <c r="J54" s="37"/>
    </row>
    <row r="55" spans="2:10" s="34" customFormat="1" x14ac:dyDescent="0.25">
      <c r="B55" s="37"/>
      <c r="C55" s="37"/>
      <c r="D55" s="37"/>
      <c r="F55" s="37"/>
      <c r="G55" s="37"/>
      <c r="H55" s="37"/>
      <c r="J55" s="37"/>
    </row>
    <row r="56" spans="2:10" s="34" customFormat="1" x14ac:dyDescent="0.25">
      <c r="B56" s="37"/>
      <c r="C56" s="37"/>
      <c r="D56" s="37"/>
      <c r="F56" s="37"/>
      <c r="G56" s="37"/>
      <c r="H56" s="37"/>
      <c r="J56" s="37"/>
    </row>
    <row r="57" spans="2:10" s="34" customFormat="1" x14ac:dyDescent="0.25">
      <c r="B57" s="37"/>
      <c r="C57" s="37"/>
      <c r="D57" s="37"/>
      <c r="F57" s="37"/>
      <c r="G57" s="37"/>
      <c r="H57" s="37"/>
      <c r="J57" s="37"/>
    </row>
    <row r="58" spans="2:10" s="34" customFormat="1" x14ac:dyDescent="0.25">
      <c r="B58" s="37"/>
      <c r="C58" s="37"/>
      <c r="D58" s="37"/>
      <c r="F58" s="37"/>
      <c r="G58" s="37"/>
      <c r="H58" s="37"/>
      <c r="J58" s="37"/>
    </row>
    <row r="59" spans="2:10" s="34" customFormat="1" x14ac:dyDescent="0.25">
      <c r="B59" s="37"/>
      <c r="C59" s="37"/>
      <c r="D59" s="37"/>
      <c r="F59" s="37"/>
      <c r="G59" s="37"/>
      <c r="H59" s="37"/>
      <c r="J59" s="37"/>
    </row>
    <row r="60" spans="2:10" s="34" customFormat="1" x14ac:dyDescent="0.25">
      <c r="B60" s="37"/>
      <c r="C60" s="37"/>
      <c r="D60" s="37"/>
      <c r="F60" s="37"/>
      <c r="G60" s="37"/>
      <c r="H60" s="37"/>
      <c r="J60" s="37"/>
    </row>
    <row r="61" spans="2:10" s="34" customFormat="1" x14ac:dyDescent="0.25">
      <c r="B61" s="37"/>
      <c r="C61" s="37"/>
      <c r="D61" s="37"/>
      <c r="F61" s="37"/>
      <c r="G61" s="37"/>
      <c r="H61" s="37"/>
      <c r="J61" s="37"/>
    </row>
    <row r="62" spans="2:10" s="34" customFormat="1" x14ac:dyDescent="0.25">
      <c r="B62" s="37"/>
      <c r="C62" s="37"/>
      <c r="D62" s="37"/>
      <c r="F62" s="37"/>
      <c r="G62" s="37"/>
      <c r="H62" s="37"/>
      <c r="J62" s="37"/>
    </row>
    <row r="63" spans="2:10" s="34" customFormat="1" x14ac:dyDescent="0.25">
      <c r="B63" s="37"/>
      <c r="C63" s="37"/>
      <c r="D63" s="37"/>
      <c r="F63" s="37"/>
      <c r="G63" s="37"/>
      <c r="H63" s="37"/>
      <c r="J63" s="37"/>
    </row>
    <row r="64" spans="2:10" s="34" customFormat="1" x14ac:dyDescent="0.25">
      <c r="B64" s="37"/>
      <c r="C64" s="37"/>
      <c r="D64" s="37"/>
      <c r="F64" s="37"/>
      <c r="G64" s="37"/>
      <c r="H64" s="37"/>
      <c r="J64" s="37"/>
    </row>
    <row r="65" spans="2:10" s="34" customFormat="1" x14ac:dyDescent="0.25">
      <c r="B65" s="37"/>
      <c r="C65" s="37"/>
      <c r="D65" s="37"/>
      <c r="F65" s="37"/>
      <c r="G65" s="37"/>
      <c r="H65" s="37"/>
      <c r="J65" s="37"/>
    </row>
    <row r="66" spans="2:10" s="34" customFormat="1" x14ac:dyDescent="0.25">
      <c r="B66" s="37"/>
      <c r="C66" s="37"/>
      <c r="D66" s="37"/>
      <c r="F66" s="37"/>
      <c r="G66" s="37"/>
      <c r="H66" s="37"/>
      <c r="J66" s="37"/>
    </row>
    <row r="67" spans="2:10" s="34" customFormat="1" x14ac:dyDescent="0.25">
      <c r="B67" s="37"/>
      <c r="C67" s="37"/>
      <c r="D67" s="37"/>
      <c r="F67" s="37"/>
      <c r="G67" s="37"/>
      <c r="H67" s="37"/>
      <c r="J67" s="37"/>
    </row>
    <row r="68" spans="2:10" s="34" customFormat="1" x14ac:dyDescent="0.25">
      <c r="B68" s="37"/>
      <c r="C68" s="37"/>
      <c r="D68" s="37"/>
      <c r="F68" s="37"/>
      <c r="G68" s="37"/>
      <c r="H68" s="37"/>
      <c r="J68" s="37"/>
    </row>
    <row r="69" spans="2:10" s="34" customFormat="1" x14ac:dyDescent="0.25">
      <c r="B69" s="37"/>
      <c r="C69" s="37"/>
      <c r="D69" s="37"/>
      <c r="F69" s="37"/>
      <c r="G69" s="37"/>
      <c r="H69" s="37"/>
      <c r="J69" s="37"/>
    </row>
    <row r="70" spans="2:10" s="34" customFormat="1" x14ac:dyDescent="0.25">
      <c r="B70" s="37"/>
      <c r="C70" s="37"/>
      <c r="D70" s="37"/>
      <c r="F70" s="37"/>
      <c r="G70" s="37"/>
      <c r="H70" s="37"/>
      <c r="J70" s="37"/>
    </row>
    <row r="71" spans="2:10" s="34" customFormat="1" x14ac:dyDescent="0.25">
      <c r="B71" s="37"/>
      <c r="C71" s="37"/>
      <c r="D71" s="37"/>
      <c r="F71" s="37"/>
      <c r="G71" s="37"/>
      <c r="H71" s="37"/>
      <c r="J71" s="37"/>
    </row>
    <row r="72" spans="2:10" s="34" customFormat="1" x14ac:dyDescent="0.25">
      <c r="B72" s="37"/>
      <c r="C72" s="37"/>
      <c r="D72" s="37"/>
      <c r="F72" s="37"/>
      <c r="G72" s="37"/>
      <c r="H72" s="37"/>
      <c r="J72" s="37"/>
    </row>
    <row r="73" spans="2:10" s="34" customFormat="1" x14ac:dyDescent="0.25">
      <c r="B73" s="37"/>
      <c r="C73" s="37"/>
      <c r="D73" s="37"/>
      <c r="F73" s="37"/>
      <c r="G73" s="37"/>
      <c r="H73" s="37"/>
      <c r="J73" s="37"/>
    </row>
    <row r="74" spans="2:10" s="34" customFormat="1" x14ac:dyDescent="0.25">
      <c r="B74" s="37"/>
      <c r="C74" s="37"/>
      <c r="D74" s="37"/>
      <c r="F74" s="37"/>
      <c r="G74" s="37"/>
      <c r="H74" s="37"/>
      <c r="J74" s="37"/>
    </row>
    <row r="75" spans="2:10" s="34" customFormat="1" x14ac:dyDescent="0.25">
      <c r="B75" s="37"/>
      <c r="C75" s="37"/>
      <c r="D75" s="37"/>
      <c r="F75" s="37"/>
      <c r="G75" s="37"/>
      <c r="H75" s="37"/>
      <c r="J75" s="37"/>
    </row>
    <row r="76" spans="2:10" s="34" customFormat="1" x14ac:dyDescent="0.25">
      <c r="B76" s="37"/>
      <c r="C76" s="37"/>
      <c r="D76" s="37"/>
      <c r="F76" s="37"/>
      <c r="G76" s="37"/>
      <c r="H76" s="37"/>
      <c r="J76" s="37"/>
    </row>
    <row r="77" spans="2:10" s="34" customFormat="1" x14ac:dyDescent="0.25">
      <c r="B77" s="37"/>
      <c r="C77" s="37"/>
      <c r="D77" s="37"/>
      <c r="F77" s="37"/>
      <c r="G77" s="37"/>
      <c r="H77" s="37"/>
      <c r="J77" s="37"/>
    </row>
    <row r="78" spans="2:10" s="34" customFormat="1" x14ac:dyDescent="0.25">
      <c r="B78" s="37"/>
      <c r="C78" s="37"/>
      <c r="D78" s="37"/>
      <c r="F78" s="37"/>
      <c r="G78" s="37"/>
      <c r="H78" s="37"/>
      <c r="J78" s="37"/>
    </row>
    <row r="79" spans="2:10" s="34" customFormat="1" x14ac:dyDescent="0.25">
      <c r="B79" s="37"/>
      <c r="C79" s="37"/>
      <c r="D79" s="37"/>
      <c r="F79" s="37"/>
      <c r="G79" s="37"/>
      <c r="H79" s="37"/>
      <c r="J79" s="37"/>
    </row>
    <row r="80" spans="2:10" s="34" customFormat="1" x14ac:dyDescent="0.25">
      <c r="B80" s="37"/>
      <c r="C80" s="37"/>
      <c r="D80" s="37"/>
      <c r="F80" s="37"/>
      <c r="G80" s="37"/>
      <c r="H80" s="37"/>
      <c r="J80" s="37"/>
    </row>
    <row r="81" spans="2:10" s="34" customFormat="1" x14ac:dyDescent="0.25">
      <c r="B81" s="37"/>
      <c r="C81" s="37"/>
      <c r="D81" s="37"/>
      <c r="F81" s="37"/>
      <c r="G81" s="37"/>
      <c r="H81" s="37"/>
      <c r="J81" s="37"/>
    </row>
    <row r="82" spans="2:10" s="34" customFormat="1" x14ac:dyDescent="0.25">
      <c r="B82" s="37"/>
      <c r="C82" s="37"/>
      <c r="D82" s="37"/>
      <c r="F82" s="37"/>
      <c r="G82" s="37"/>
      <c r="H82" s="37"/>
      <c r="J82" s="37"/>
    </row>
    <row r="83" spans="2:10" s="34" customFormat="1" x14ac:dyDescent="0.25">
      <c r="B83" s="37"/>
      <c r="C83" s="37"/>
      <c r="D83" s="37"/>
      <c r="F83" s="37"/>
      <c r="G83" s="37"/>
      <c r="H83" s="37"/>
      <c r="J83" s="37"/>
    </row>
    <row r="84" spans="2:10" s="34" customFormat="1" x14ac:dyDescent="0.25">
      <c r="B84" s="37"/>
      <c r="C84" s="37"/>
      <c r="D84" s="37"/>
      <c r="F84" s="37"/>
      <c r="G84" s="37"/>
      <c r="H84" s="37"/>
      <c r="J84" s="37"/>
    </row>
    <row r="85" spans="2:10" s="34" customFormat="1" x14ac:dyDescent="0.25">
      <c r="B85" s="37"/>
      <c r="C85" s="37"/>
      <c r="D85" s="37"/>
      <c r="F85" s="37"/>
      <c r="G85" s="37"/>
      <c r="H85" s="37"/>
      <c r="J85" s="37"/>
    </row>
    <row r="86" spans="2:10" s="34" customFormat="1" x14ac:dyDescent="0.25">
      <c r="B86" s="37"/>
      <c r="C86" s="37"/>
      <c r="D86" s="37"/>
      <c r="F86" s="37"/>
      <c r="G86" s="37"/>
      <c r="H86" s="37"/>
      <c r="J86" s="37"/>
    </row>
    <row r="87" spans="2:10" s="34" customFormat="1" x14ac:dyDescent="0.25">
      <c r="B87" s="37"/>
      <c r="C87" s="37"/>
      <c r="D87" s="37"/>
      <c r="F87" s="37"/>
      <c r="G87" s="37"/>
      <c r="H87" s="37"/>
      <c r="J87" s="37"/>
    </row>
    <row r="88" spans="2:10" s="34" customFormat="1" x14ac:dyDescent="0.25">
      <c r="B88" s="37"/>
      <c r="C88" s="37"/>
      <c r="D88" s="37"/>
      <c r="F88" s="37"/>
      <c r="G88" s="37"/>
      <c r="H88" s="37"/>
      <c r="J88" s="37"/>
    </row>
    <row r="89" spans="2:10" s="34" customFormat="1" x14ac:dyDescent="0.25">
      <c r="B89" s="37"/>
      <c r="C89" s="37"/>
      <c r="D89" s="37"/>
      <c r="F89" s="37"/>
      <c r="G89" s="37"/>
      <c r="H89" s="37"/>
      <c r="J89" s="37"/>
    </row>
    <row r="90" spans="2:10" s="34" customFormat="1" x14ac:dyDescent="0.25">
      <c r="B90" s="37"/>
      <c r="C90" s="37"/>
      <c r="D90" s="37"/>
      <c r="F90" s="37"/>
      <c r="G90" s="37"/>
      <c r="H90" s="37"/>
      <c r="J90" s="37"/>
    </row>
    <row r="91" spans="2:10" s="34" customFormat="1" x14ac:dyDescent="0.25">
      <c r="B91" s="37"/>
      <c r="C91" s="37"/>
      <c r="D91" s="37"/>
      <c r="F91" s="37"/>
      <c r="G91" s="37"/>
      <c r="H91" s="37"/>
      <c r="J91" s="37"/>
    </row>
    <row r="92" spans="2:10" s="34" customFormat="1" x14ac:dyDescent="0.25">
      <c r="B92" s="37"/>
      <c r="C92" s="37"/>
      <c r="D92" s="37"/>
      <c r="F92" s="37"/>
      <c r="G92" s="37"/>
      <c r="H92" s="37"/>
      <c r="J92" s="37"/>
    </row>
    <row r="93" spans="2:10" s="34" customFormat="1" x14ac:dyDescent="0.25">
      <c r="B93" s="37"/>
      <c r="C93" s="37"/>
      <c r="D93" s="37"/>
      <c r="F93" s="37"/>
      <c r="G93" s="37"/>
      <c r="H93" s="37"/>
      <c r="J93" s="37"/>
    </row>
    <row r="94" spans="2:10" s="34" customFormat="1" x14ac:dyDescent="0.25">
      <c r="B94" s="37"/>
      <c r="C94" s="37"/>
      <c r="D94" s="37"/>
      <c r="F94" s="37"/>
      <c r="G94" s="37"/>
      <c r="H94" s="37"/>
      <c r="J94" s="37"/>
    </row>
    <row r="95" spans="2:10" s="34" customFormat="1" x14ac:dyDescent="0.25">
      <c r="B95" s="37"/>
      <c r="C95" s="37"/>
      <c r="D95" s="37"/>
      <c r="F95" s="37"/>
      <c r="G95" s="37"/>
      <c r="H95" s="37"/>
      <c r="J95" s="37"/>
    </row>
    <row r="96" spans="2:10" s="34" customFormat="1" x14ac:dyDescent="0.25">
      <c r="B96" s="37"/>
      <c r="C96" s="37"/>
      <c r="D96" s="37"/>
      <c r="F96" s="37"/>
      <c r="G96" s="37"/>
      <c r="H96" s="37"/>
      <c r="J96" s="37"/>
    </row>
    <row r="97" spans="2:10" s="34" customFormat="1" x14ac:dyDescent="0.25">
      <c r="B97" s="37"/>
      <c r="C97" s="37"/>
      <c r="D97" s="37"/>
      <c r="F97" s="37"/>
      <c r="G97" s="37"/>
      <c r="H97" s="37"/>
      <c r="J97" s="37"/>
    </row>
    <row r="98" spans="2:10" s="34" customFormat="1" x14ac:dyDescent="0.25">
      <c r="B98" s="37"/>
      <c r="C98" s="37"/>
      <c r="D98" s="37"/>
      <c r="F98" s="37"/>
      <c r="G98" s="37"/>
      <c r="H98" s="37"/>
      <c r="J98" s="37"/>
    </row>
    <row r="99" spans="2:10" s="34" customFormat="1" x14ac:dyDescent="0.25">
      <c r="B99" s="37"/>
      <c r="C99" s="37"/>
      <c r="D99" s="37"/>
      <c r="F99" s="37"/>
      <c r="G99" s="37"/>
      <c r="H99" s="37"/>
      <c r="J99" s="37"/>
    </row>
    <row r="100" spans="2:10" s="34" customFormat="1" x14ac:dyDescent="0.25">
      <c r="B100" s="37"/>
      <c r="C100" s="37"/>
      <c r="D100" s="37"/>
      <c r="F100" s="37"/>
      <c r="G100" s="37"/>
      <c r="H100" s="37"/>
      <c r="J100" s="37"/>
    </row>
    <row r="101" spans="2:10" s="34" customFormat="1" x14ac:dyDescent="0.25">
      <c r="B101" s="37"/>
      <c r="C101" s="37"/>
      <c r="D101" s="37"/>
      <c r="F101" s="37"/>
      <c r="G101" s="37"/>
      <c r="H101" s="37"/>
      <c r="J101" s="37"/>
    </row>
    <row r="102" spans="2:10" s="34" customFormat="1" x14ac:dyDescent="0.25">
      <c r="B102" s="37"/>
      <c r="C102" s="37"/>
      <c r="D102" s="37"/>
      <c r="F102" s="37"/>
      <c r="G102" s="37"/>
      <c r="H102" s="37"/>
      <c r="J102" s="37"/>
    </row>
    <row r="103" spans="2:10" s="34" customFormat="1" x14ac:dyDescent="0.25">
      <c r="B103" s="37"/>
      <c r="C103" s="37"/>
      <c r="D103" s="37"/>
      <c r="F103" s="37"/>
      <c r="G103" s="37"/>
      <c r="H103" s="37"/>
      <c r="J103" s="37"/>
    </row>
    <row r="104" spans="2:10" s="34" customFormat="1" x14ac:dyDescent="0.25">
      <c r="B104" s="37"/>
      <c r="C104" s="37"/>
      <c r="D104" s="37"/>
      <c r="F104" s="37"/>
      <c r="G104" s="37"/>
      <c r="H104" s="37"/>
      <c r="J104" s="37"/>
    </row>
    <row r="105" spans="2:10" s="34" customFormat="1" x14ac:dyDescent="0.25">
      <c r="B105" s="37"/>
      <c r="C105" s="37"/>
      <c r="D105" s="37"/>
      <c r="F105" s="37"/>
      <c r="G105" s="37"/>
      <c r="H105" s="37"/>
      <c r="J105" s="37"/>
    </row>
    <row r="106" spans="2:10" s="34" customFormat="1" x14ac:dyDescent="0.25">
      <c r="B106" s="37"/>
      <c r="C106" s="37"/>
      <c r="D106" s="37"/>
      <c r="F106" s="37"/>
      <c r="G106" s="37"/>
      <c r="H106" s="37"/>
      <c r="J106" s="37"/>
    </row>
    <row r="107" spans="2:10" s="34" customFormat="1" x14ac:dyDescent="0.25">
      <c r="B107" s="37"/>
      <c r="C107" s="37"/>
      <c r="D107" s="37"/>
      <c r="F107" s="37"/>
      <c r="G107" s="37"/>
      <c r="H107" s="37"/>
      <c r="J107" s="37"/>
    </row>
    <row r="108" spans="2:10" s="34" customFormat="1" x14ac:dyDescent="0.25">
      <c r="B108" s="37"/>
      <c r="C108" s="37"/>
      <c r="D108" s="37"/>
      <c r="F108" s="37"/>
      <c r="G108" s="37"/>
      <c r="H108" s="37"/>
      <c r="J108" s="37"/>
    </row>
    <row r="109" spans="2:10" s="34" customFormat="1" x14ac:dyDescent="0.25">
      <c r="B109" s="37"/>
      <c r="C109" s="37"/>
      <c r="D109" s="37"/>
      <c r="F109" s="37"/>
      <c r="G109" s="37"/>
      <c r="H109" s="37"/>
      <c r="J109" s="37"/>
    </row>
    <row r="110" spans="2:10" s="34" customFormat="1" x14ac:dyDescent="0.25">
      <c r="B110" s="37"/>
      <c r="C110" s="37"/>
      <c r="D110" s="37"/>
      <c r="F110" s="37"/>
      <c r="G110" s="37"/>
      <c r="H110" s="37"/>
      <c r="J110" s="37"/>
    </row>
    <row r="111" spans="2:10" s="34" customFormat="1" x14ac:dyDescent="0.25">
      <c r="B111" s="37"/>
      <c r="C111" s="37"/>
      <c r="D111" s="37"/>
      <c r="F111" s="37"/>
      <c r="G111" s="37"/>
      <c r="H111" s="37"/>
      <c r="J111" s="37"/>
    </row>
    <row r="112" spans="2:10" s="34" customFormat="1" x14ac:dyDescent="0.25">
      <c r="B112" s="37"/>
      <c r="C112" s="37"/>
      <c r="D112" s="37"/>
      <c r="F112" s="37"/>
      <c r="G112" s="37"/>
      <c r="H112" s="37"/>
      <c r="J112" s="37"/>
    </row>
    <row r="113" spans="2:10" s="34" customFormat="1" x14ac:dyDescent="0.25">
      <c r="B113" s="37"/>
      <c r="C113" s="37"/>
      <c r="D113" s="37"/>
      <c r="F113" s="37"/>
      <c r="G113" s="37"/>
      <c r="H113" s="37"/>
      <c r="J113" s="37"/>
    </row>
    <row r="114" spans="2:10" s="34" customFormat="1" x14ac:dyDescent="0.25">
      <c r="B114" s="37"/>
      <c r="C114" s="37"/>
      <c r="D114" s="37"/>
      <c r="F114" s="37"/>
      <c r="G114" s="37"/>
      <c r="H114" s="37"/>
      <c r="J114" s="37"/>
    </row>
    <row r="115" spans="2:10" s="34" customFormat="1" x14ac:dyDescent="0.25">
      <c r="B115" s="37"/>
      <c r="C115" s="37"/>
      <c r="D115" s="37"/>
      <c r="F115" s="37"/>
      <c r="G115" s="37"/>
      <c r="H115" s="37"/>
      <c r="J115" s="37"/>
    </row>
    <row r="116" spans="2:10" s="34" customFormat="1" x14ac:dyDescent="0.25">
      <c r="B116" s="37"/>
      <c r="C116" s="37"/>
      <c r="D116" s="37"/>
      <c r="F116" s="37"/>
      <c r="G116" s="37"/>
      <c r="H116" s="37"/>
      <c r="J116" s="37"/>
    </row>
    <row r="117" spans="2:10" s="34" customFormat="1" x14ac:dyDescent="0.25">
      <c r="B117" s="37"/>
      <c r="C117" s="37"/>
      <c r="D117" s="37"/>
      <c r="F117" s="37"/>
      <c r="G117" s="37"/>
      <c r="H117" s="37"/>
      <c r="J117" s="37"/>
    </row>
    <row r="118" spans="2:10" s="34" customFormat="1" x14ac:dyDescent="0.25">
      <c r="B118" s="37"/>
      <c r="C118" s="37"/>
      <c r="D118" s="37"/>
      <c r="F118" s="37"/>
      <c r="G118" s="37"/>
      <c r="H118" s="37"/>
      <c r="J118" s="37"/>
    </row>
    <row r="119" spans="2:10" s="34" customFormat="1" x14ac:dyDescent="0.25">
      <c r="B119" s="37"/>
      <c r="C119" s="37"/>
      <c r="D119" s="37"/>
      <c r="F119" s="37"/>
      <c r="G119" s="37"/>
      <c r="H119" s="37"/>
      <c r="J119" s="37"/>
    </row>
    <row r="120" spans="2:10" s="34" customFormat="1" x14ac:dyDescent="0.25">
      <c r="B120" s="37"/>
      <c r="C120" s="37"/>
      <c r="D120" s="37"/>
      <c r="F120" s="37"/>
      <c r="G120" s="37"/>
      <c r="H120" s="37"/>
      <c r="J120" s="37"/>
    </row>
    <row r="121" spans="2:10" s="34" customFormat="1" x14ac:dyDescent="0.25">
      <c r="B121" s="37"/>
      <c r="C121" s="37"/>
      <c r="D121" s="37"/>
      <c r="F121" s="37"/>
      <c r="G121" s="37"/>
      <c r="H121" s="37"/>
      <c r="J121" s="37"/>
    </row>
    <row r="122" spans="2:10" s="34" customFormat="1" x14ac:dyDescent="0.25">
      <c r="B122" s="37"/>
      <c r="C122" s="37"/>
      <c r="D122" s="37"/>
      <c r="F122" s="37"/>
      <c r="G122" s="37"/>
      <c r="H122" s="37"/>
      <c r="J122" s="37"/>
    </row>
    <row r="123" spans="2:10" s="34" customFormat="1" x14ac:dyDescent="0.25">
      <c r="B123" s="37"/>
      <c r="C123" s="37"/>
      <c r="D123" s="37"/>
      <c r="F123" s="37"/>
      <c r="G123" s="37"/>
      <c r="H123" s="37"/>
      <c r="J123" s="37"/>
    </row>
    <row r="124" spans="2:10" s="34" customFormat="1" x14ac:dyDescent="0.25">
      <c r="B124" s="37"/>
      <c r="C124" s="37"/>
      <c r="D124" s="37"/>
      <c r="F124" s="37"/>
      <c r="G124" s="37"/>
      <c r="H124" s="37"/>
      <c r="J124" s="37"/>
    </row>
    <row r="125" spans="2:10" s="34" customFormat="1" x14ac:dyDescent="0.25">
      <c r="B125" s="37"/>
      <c r="C125" s="37"/>
      <c r="D125" s="37"/>
      <c r="F125" s="37"/>
      <c r="G125" s="37"/>
      <c r="H125" s="37"/>
      <c r="J125" s="37"/>
    </row>
    <row r="126" spans="2:10" s="34" customFormat="1" x14ac:dyDescent="0.25">
      <c r="B126" s="37"/>
      <c r="C126" s="37"/>
      <c r="D126" s="37"/>
      <c r="F126" s="37"/>
      <c r="G126" s="37"/>
      <c r="H126" s="37"/>
      <c r="J126" s="37"/>
    </row>
    <row r="127" spans="2:10" s="34" customFormat="1" x14ac:dyDescent="0.25">
      <c r="B127" s="37"/>
      <c r="C127" s="37"/>
      <c r="D127" s="37"/>
      <c r="F127" s="37"/>
      <c r="G127" s="37"/>
      <c r="H127" s="37"/>
      <c r="J127" s="37"/>
    </row>
    <row r="128" spans="2:10" s="34" customFormat="1" x14ac:dyDescent="0.25">
      <c r="B128" s="37"/>
      <c r="C128" s="37"/>
      <c r="D128" s="37"/>
      <c r="F128" s="37"/>
      <c r="G128" s="37"/>
      <c r="H128" s="37"/>
      <c r="J128" s="37"/>
    </row>
    <row r="129" spans="2:10" s="34" customFormat="1" x14ac:dyDescent="0.25">
      <c r="B129" s="37"/>
      <c r="C129" s="37"/>
      <c r="D129" s="37"/>
      <c r="F129" s="37"/>
      <c r="G129" s="37"/>
      <c r="H129" s="37"/>
      <c r="J129" s="37"/>
    </row>
    <row r="130" spans="2:10" s="34" customFormat="1" x14ac:dyDescent="0.25">
      <c r="B130" s="37"/>
      <c r="C130" s="37"/>
      <c r="D130" s="37"/>
      <c r="F130" s="37"/>
      <c r="G130" s="37"/>
      <c r="H130" s="37"/>
      <c r="J130" s="37"/>
    </row>
    <row r="131" spans="2:10" s="34" customFormat="1" x14ac:dyDescent="0.25">
      <c r="B131" s="37"/>
      <c r="C131" s="37"/>
      <c r="D131" s="37"/>
      <c r="F131" s="37"/>
      <c r="G131" s="37"/>
      <c r="H131" s="37"/>
      <c r="J131" s="37"/>
    </row>
    <row r="132" spans="2:10" s="34" customFormat="1" x14ac:dyDescent="0.25">
      <c r="B132" s="37"/>
      <c r="C132" s="37"/>
      <c r="D132" s="37"/>
      <c r="F132" s="37"/>
      <c r="G132" s="37"/>
      <c r="H132" s="37"/>
      <c r="J132" s="37"/>
    </row>
    <row r="133" spans="2:10" s="34" customFormat="1" x14ac:dyDescent="0.25">
      <c r="B133" s="37"/>
      <c r="C133" s="37"/>
      <c r="D133" s="37"/>
      <c r="F133" s="37"/>
      <c r="G133" s="37"/>
      <c r="H133" s="37"/>
      <c r="J133" s="37"/>
    </row>
    <row r="134" spans="2:10" s="34" customFormat="1" x14ac:dyDescent="0.25">
      <c r="B134" s="37"/>
      <c r="C134" s="37"/>
      <c r="D134" s="37"/>
      <c r="F134" s="37"/>
      <c r="G134" s="37"/>
      <c r="H134" s="37"/>
      <c r="J134" s="37"/>
    </row>
    <row r="135" spans="2:10" s="34" customFormat="1" x14ac:dyDescent="0.25">
      <c r="B135" s="37"/>
      <c r="C135" s="37"/>
      <c r="D135" s="37"/>
      <c r="F135" s="37"/>
      <c r="G135" s="37"/>
      <c r="H135" s="37"/>
      <c r="J135" s="37"/>
    </row>
    <row r="136" spans="2:10" s="34" customFormat="1" x14ac:dyDescent="0.25">
      <c r="B136" s="37"/>
      <c r="C136" s="37"/>
      <c r="D136" s="37"/>
      <c r="F136" s="37"/>
      <c r="G136" s="37"/>
      <c r="H136" s="37"/>
      <c r="J136" s="37"/>
    </row>
    <row r="137" spans="2:10" s="34" customFormat="1" x14ac:dyDescent="0.25">
      <c r="B137" s="37"/>
      <c r="C137" s="37"/>
      <c r="D137" s="37"/>
      <c r="F137" s="37"/>
      <c r="G137" s="37"/>
      <c r="H137" s="37"/>
      <c r="J137" s="37"/>
    </row>
    <row r="138" spans="2:10" s="34" customFormat="1" x14ac:dyDescent="0.25">
      <c r="B138" s="37"/>
      <c r="C138" s="37"/>
      <c r="D138" s="37"/>
      <c r="F138" s="37"/>
      <c r="G138" s="37"/>
      <c r="H138" s="37"/>
      <c r="J138" s="37"/>
    </row>
    <row r="139" spans="2:10" s="34" customFormat="1" x14ac:dyDescent="0.25">
      <c r="B139" s="37"/>
      <c r="C139" s="37"/>
      <c r="D139" s="37"/>
      <c r="F139" s="37"/>
      <c r="G139" s="37"/>
      <c r="H139" s="37"/>
      <c r="J139" s="37"/>
    </row>
    <row r="140" spans="2:10" s="34" customFormat="1" x14ac:dyDescent="0.25">
      <c r="B140" s="37"/>
      <c r="C140" s="37"/>
      <c r="D140" s="37"/>
      <c r="F140" s="37"/>
      <c r="G140" s="37"/>
      <c r="H140" s="37"/>
      <c r="J140" s="37"/>
    </row>
    <row r="141" spans="2:10" s="34" customFormat="1" x14ac:dyDescent="0.25">
      <c r="B141" s="37"/>
      <c r="C141" s="37"/>
      <c r="D141" s="37"/>
      <c r="F141" s="37"/>
      <c r="G141" s="37"/>
      <c r="H141" s="37"/>
      <c r="J141" s="37"/>
    </row>
    <row r="142" spans="2:10" s="34" customFormat="1" x14ac:dyDescent="0.25">
      <c r="B142" s="37"/>
      <c r="C142" s="37"/>
      <c r="D142" s="37"/>
      <c r="F142" s="37"/>
      <c r="G142" s="37"/>
      <c r="H142" s="37"/>
      <c r="J142" s="37"/>
    </row>
    <row r="143" spans="2:10" s="34" customFormat="1" x14ac:dyDescent="0.25">
      <c r="B143" s="37"/>
      <c r="C143" s="37"/>
      <c r="D143" s="37"/>
      <c r="F143" s="37"/>
      <c r="G143" s="37"/>
      <c r="H143" s="37"/>
      <c r="J143" s="37"/>
    </row>
    <row r="144" spans="2:10" s="34" customFormat="1" x14ac:dyDescent="0.25">
      <c r="B144" s="37"/>
      <c r="C144" s="37"/>
      <c r="D144" s="37"/>
      <c r="F144" s="37"/>
      <c r="G144" s="37"/>
      <c r="H144" s="37"/>
      <c r="J144" s="37"/>
    </row>
    <row r="145" spans="2:10" s="34" customFormat="1" x14ac:dyDescent="0.25">
      <c r="B145" s="37"/>
      <c r="C145" s="37"/>
      <c r="D145" s="37"/>
      <c r="F145" s="37"/>
      <c r="G145" s="37"/>
      <c r="H145" s="37"/>
      <c r="J145" s="37"/>
    </row>
    <row r="146" spans="2:10" s="34" customFormat="1" x14ac:dyDescent="0.25">
      <c r="B146" s="37"/>
      <c r="C146" s="37"/>
      <c r="D146" s="37"/>
      <c r="F146" s="37"/>
      <c r="G146" s="37"/>
      <c r="H146" s="37"/>
      <c r="J146" s="37"/>
    </row>
    <row r="147" spans="2:10" s="34" customFormat="1" x14ac:dyDescent="0.25">
      <c r="B147" s="37"/>
      <c r="C147" s="37"/>
      <c r="D147" s="37"/>
      <c r="F147" s="37"/>
      <c r="G147" s="37"/>
      <c r="H147" s="37"/>
      <c r="J147" s="37"/>
    </row>
    <row r="148" spans="2:10" s="34" customFormat="1" x14ac:dyDescent="0.25">
      <c r="B148" s="37"/>
      <c r="C148" s="37"/>
      <c r="D148" s="37"/>
      <c r="F148" s="37"/>
      <c r="G148" s="37"/>
      <c r="H148" s="37"/>
      <c r="J148" s="37"/>
    </row>
    <row r="149" spans="2:10" s="34" customFormat="1" x14ac:dyDescent="0.25">
      <c r="B149" s="37"/>
      <c r="C149" s="37"/>
      <c r="D149" s="37"/>
      <c r="F149" s="37"/>
      <c r="G149" s="37"/>
      <c r="H149" s="37"/>
      <c r="J149" s="37"/>
    </row>
    <row r="150" spans="2:10" s="34" customFormat="1" x14ac:dyDescent="0.25">
      <c r="B150" s="37"/>
      <c r="C150" s="37"/>
      <c r="D150" s="37"/>
      <c r="F150" s="37"/>
      <c r="G150" s="37"/>
      <c r="H150" s="37"/>
      <c r="J150" s="37"/>
    </row>
    <row r="151" spans="2:10" s="34" customFormat="1" x14ac:dyDescent="0.25">
      <c r="B151" s="37"/>
      <c r="C151" s="37"/>
      <c r="D151" s="37"/>
      <c r="F151" s="37"/>
      <c r="G151" s="37"/>
      <c r="H151" s="37"/>
      <c r="J151" s="37"/>
    </row>
    <row r="152" spans="2:10" s="34" customFormat="1" x14ac:dyDescent="0.25">
      <c r="B152" s="37"/>
      <c r="C152" s="37"/>
      <c r="D152" s="37"/>
      <c r="F152" s="37"/>
      <c r="G152" s="37"/>
      <c r="H152" s="37"/>
      <c r="J152" s="37"/>
    </row>
    <row r="153" spans="2:10" s="34" customFormat="1" x14ac:dyDescent="0.25">
      <c r="B153" s="37"/>
      <c r="C153" s="37"/>
      <c r="D153" s="37"/>
      <c r="F153" s="37"/>
      <c r="G153" s="37"/>
      <c r="H153" s="37"/>
      <c r="J153" s="37"/>
    </row>
    <row r="154" spans="2:10" s="34" customFormat="1" x14ac:dyDescent="0.25">
      <c r="B154" s="37"/>
      <c r="C154" s="37"/>
      <c r="D154" s="37"/>
      <c r="F154" s="37"/>
      <c r="G154" s="37"/>
      <c r="H154" s="37"/>
      <c r="J154" s="37"/>
    </row>
    <row r="155" spans="2:10" s="34" customFormat="1" x14ac:dyDescent="0.25">
      <c r="B155" s="37"/>
      <c r="C155" s="37"/>
      <c r="D155" s="37"/>
      <c r="F155" s="37"/>
      <c r="G155" s="37"/>
      <c r="H155" s="37"/>
      <c r="J155" s="37"/>
    </row>
    <row r="156" spans="2:10" s="34" customFormat="1" x14ac:dyDescent="0.25">
      <c r="B156" s="37"/>
      <c r="C156" s="37"/>
      <c r="D156" s="37"/>
      <c r="F156" s="37"/>
      <c r="G156" s="37"/>
      <c r="H156" s="37"/>
      <c r="J156" s="37"/>
    </row>
    <row r="157" spans="2:10" s="34" customFormat="1" x14ac:dyDescent="0.25">
      <c r="B157" s="37"/>
      <c r="C157" s="37"/>
      <c r="D157" s="37"/>
      <c r="F157" s="37"/>
      <c r="G157" s="37"/>
      <c r="H157" s="37"/>
      <c r="J157" s="37"/>
    </row>
    <row r="158" spans="2:10" s="34" customFormat="1" x14ac:dyDescent="0.25">
      <c r="B158" s="37"/>
      <c r="C158" s="37"/>
      <c r="D158" s="37"/>
      <c r="F158" s="37"/>
      <c r="G158" s="37"/>
      <c r="H158" s="37"/>
      <c r="J158" s="37"/>
    </row>
    <row r="159" spans="2:10" s="34" customFormat="1" x14ac:dyDescent="0.25">
      <c r="B159" s="37"/>
      <c r="C159" s="37"/>
      <c r="D159" s="37"/>
      <c r="F159" s="37"/>
      <c r="G159" s="37"/>
      <c r="H159" s="37"/>
      <c r="J159" s="37"/>
    </row>
    <row r="160" spans="2:10" s="34" customFormat="1" x14ac:dyDescent="0.25">
      <c r="B160" s="37"/>
      <c r="C160" s="37"/>
      <c r="D160" s="37"/>
      <c r="F160" s="37"/>
      <c r="G160" s="37"/>
      <c r="H160" s="37"/>
      <c r="J160" s="37"/>
    </row>
    <row r="161" spans="2:10" s="34" customFormat="1" x14ac:dyDescent="0.25">
      <c r="B161" s="37"/>
      <c r="C161" s="37"/>
      <c r="D161" s="37"/>
      <c r="F161" s="37"/>
      <c r="G161" s="37"/>
      <c r="H161" s="37"/>
      <c r="J161" s="37"/>
    </row>
    <row r="162" spans="2:10" s="34" customFormat="1" x14ac:dyDescent="0.25">
      <c r="B162" s="37"/>
      <c r="C162" s="37"/>
      <c r="D162" s="37"/>
      <c r="F162" s="37"/>
      <c r="G162" s="37"/>
      <c r="H162" s="37"/>
      <c r="J162" s="37"/>
    </row>
    <row r="163" spans="2:10" s="34" customFormat="1" x14ac:dyDescent="0.25">
      <c r="B163" s="37"/>
      <c r="C163" s="37"/>
      <c r="D163" s="37"/>
      <c r="F163" s="37"/>
      <c r="G163" s="37"/>
      <c r="H163" s="37"/>
      <c r="J163" s="37"/>
    </row>
    <row r="164" spans="2:10" s="34" customFormat="1" x14ac:dyDescent="0.25">
      <c r="B164" s="37"/>
      <c r="C164" s="37"/>
      <c r="D164" s="37"/>
      <c r="F164" s="37"/>
      <c r="G164" s="37"/>
      <c r="H164" s="37"/>
      <c r="J164" s="37"/>
    </row>
    <row r="165" spans="2:10" s="34" customFormat="1" x14ac:dyDescent="0.25">
      <c r="B165" s="37"/>
      <c r="C165" s="37"/>
      <c r="D165" s="37"/>
      <c r="F165" s="37"/>
      <c r="G165" s="37"/>
      <c r="H165" s="37"/>
      <c r="J165" s="37"/>
    </row>
    <row r="166" spans="2:10" s="34" customFormat="1" x14ac:dyDescent="0.25">
      <c r="B166" s="37"/>
      <c r="C166" s="37"/>
      <c r="D166" s="37"/>
      <c r="F166" s="37"/>
      <c r="G166" s="37"/>
      <c r="H166" s="37"/>
      <c r="J166" s="37"/>
    </row>
    <row r="167" spans="2:10" s="34" customFormat="1" x14ac:dyDescent="0.25">
      <c r="B167" s="37"/>
      <c r="C167" s="37"/>
      <c r="D167" s="37"/>
      <c r="F167" s="37"/>
      <c r="G167" s="37"/>
      <c r="H167" s="37"/>
      <c r="J167" s="37"/>
    </row>
    <row r="168" spans="2:10" s="34" customFormat="1" x14ac:dyDescent="0.25">
      <c r="B168" s="37"/>
      <c r="C168" s="37"/>
      <c r="D168" s="37"/>
      <c r="F168" s="37"/>
      <c r="G168" s="37"/>
      <c r="H168" s="37"/>
      <c r="J168" s="37"/>
    </row>
    <row r="169" spans="2:10" s="34" customFormat="1" x14ac:dyDescent="0.25">
      <c r="B169" s="37"/>
      <c r="C169" s="37"/>
      <c r="D169" s="37"/>
      <c r="F169" s="37"/>
      <c r="G169" s="37"/>
      <c r="H169" s="37"/>
      <c r="J169" s="37"/>
    </row>
    <row r="170" spans="2:10" s="34" customFormat="1" x14ac:dyDescent="0.25">
      <c r="B170" s="37"/>
      <c r="C170" s="37"/>
      <c r="D170" s="37"/>
      <c r="F170" s="37"/>
      <c r="G170" s="37"/>
      <c r="H170" s="37"/>
      <c r="J170" s="37"/>
    </row>
    <row r="171" spans="2:10" s="34" customFormat="1" x14ac:dyDescent="0.25">
      <c r="B171" s="37"/>
      <c r="C171" s="37"/>
      <c r="D171" s="37"/>
      <c r="F171" s="37"/>
      <c r="G171" s="37"/>
      <c r="H171" s="37"/>
      <c r="J171" s="37"/>
    </row>
    <row r="172" spans="2:10" s="34" customFormat="1" x14ac:dyDescent="0.25">
      <c r="B172" s="37"/>
      <c r="C172" s="37"/>
      <c r="D172" s="37"/>
      <c r="F172" s="37"/>
      <c r="G172" s="37"/>
      <c r="H172" s="37"/>
      <c r="J172" s="37"/>
    </row>
    <row r="173" spans="2:10" s="34" customFormat="1" x14ac:dyDescent="0.25">
      <c r="B173" s="37"/>
      <c r="C173" s="37"/>
      <c r="D173" s="37"/>
      <c r="F173" s="37"/>
      <c r="G173" s="37"/>
      <c r="H173" s="37"/>
      <c r="J173" s="37"/>
    </row>
    <row r="174" spans="2:10" s="34" customFormat="1" x14ac:dyDescent="0.25">
      <c r="B174" s="37"/>
      <c r="C174" s="37"/>
      <c r="D174" s="37"/>
      <c r="F174" s="37"/>
      <c r="G174" s="37"/>
      <c r="H174" s="37"/>
      <c r="J174" s="37"/>
    </row>
    <row r="175" spans="2:10" s="34" customFormat="1" x14ac:dyDescent="0.25">
      <c r="B175" s="37"/>
      <c r="C175" s="37"/>
      <c r="D175" s="37"/>
      <c r="F175" s="37"/>
      <c r="G175" s="37"/>
      <c r="H175" s="37"/>
      <c r="J175" s="37"/>
    </row>
    <row r="176" spans="2:10" s="34" customFormat="1" x14ac:dyDescent="0.25">
      <c r="B176" s="37"/>
      <c r="C176" s="37"/>
      <c r="D176" s="37"/>
      <c r="F176" s="37"/>
      <c r="G176" s="37"/>
      <c r="H176" s="37"/>
      <c r="J176" s="37"/>
    </row>
    <row r="177" spans="2:10" s="34" customFormat="1" x14ac:dyDescent="0.25">
      <c r="B177" s="37"/>
      <c r="C177" s="37"/>
      <c r="D177" s="37"/>
      <c r="F177" s="37"/>
      <c r="G177" s="37"/>
      <c r="H177" s="37"/>
      <c r="J177" s="37"/>
    </row>
    <row r="178" spans="2:10" s="34" customFormat="1" x14ac:dyDescent="0.25">
      <c r="B178" s="37"/>
      <c r="C178" s="37"/>
      <c r="D178" s="37"/>
      <c r="F178" s="37"/>
      <c r="G178" s="37"/>
      <c r="H178" s="37"/>
      <c r="J178" s="37"/>
    </row>
    <row r="179" spans="2:10" s="34" customFormat="1" x14ac:dyDescent="0.25">
      <c r="B179" s="37"/>
      <c r="C179" s="37"/>
      <c r="D179" s="37"/>
      <c r="F179" s="37"/>
      <c r="G179" s="37"/>
      <c r="H179" s="37"/>
      <c r="J179" s="37"/>
    </row>
    <row r="180" spans="2:10" s="34" customFormat="1" x14ac:dyDescent="0.25">
      <c r="B180" s="37"/>
      <c r="C180" s="37"/>
      <c r="D180" s="37"/>
      <c r="F180" s="37"/>
      <c r="G180" s="37"/>
      <c r="H180" s="37"/>
      <c r="J180" s="37"/>
    </row>
    <row r="181" spans="2:10" s="34" customFormat="1" x14ac:dyDescent="0.25">
      <c r="B181" s="37"/>
      <c r="C181" s="37"/>
      <c r="D181" s="37"/>
      <c r="F181" s="37"/>
      <c r="G181" s="37"/>
      <c r="H181" s="37"/>
      <c r="J181" s="37"/>
    </row>
    <row r="182" spans="2:10" s="34" customFormat="1" x14ac:dyDescent="0.25">
      <c r="B182" s="37"/>
      <c r="C182" s="37"/>
      <c r="D182" s="37"/>
      <c r="F182" s="37"/>
      <c r="G182" s="37"/>
      <c r="H182" s="37"/>
      <c r="J182" s="37"/>
    </row>
    <row r="183" spans="2:10" s="34" customFormat="1" x14ac:dyDescent="0.25">
      <c r="B183" s="37"/>
      <c r="C183" s="37"/>
      <c r="D183" s="37"/>
      <c r="F183" s="37"/>
      <c r="G183" s="37"/>
      <c r="H183" s="37"/>
      <c r="J183" s="37"/>
    </row>
    <row r="184" spans="2:10" s="34" customFormat="1" x14ac:dyDescent="0.25">
      <c r="B184" s="37"/>
      <c r="C184" s="37"/>
      <c r="D184" s="37"/>
      <c r="F184" s="37"/>
      <c r="G184" s="37"/>
      <c r="H184" s="37"/>
      <c r="J184" s="37"/>
    </row>
    <row r="185" spans="2:10" s="34" customFormat="1" x14ac:dyDescent="0.25">
      <c r="B185" s="37"/>
      <c r="C185" s="37"/>
      <c r="D185" s="37"/>
      <c r="F185" s="37"/>
      <c r="G185" s="37"/>
      <c r="H185" s="37"/>
      <c r="J185" s="37"/>
    </row>
    <row r="186" spans="2:10" s="34" customFormat="1" x14ac:dyDescent="0.25">
      <c r="B186" s="37"/>
      <c r="C186" s="37"/>
      <c r="D186" s="37"/>
      <c r="F186" s="37"/>
      <c r="G186" s="37"/>
      <c r="H186" s="37"/>
      <c r="J186" s="37"/>
    </row>
    <row r="187" spans="2:10" s="34" customFormat="1" x14ac:dyDescent="0.25">
      <c r="B187" s="37"/>
      <c r="C187" s="37"/>
      <c r="D187" s="37"/>
      <c r="F187" s="37"/>
      <c r="G187" s="37"/>
      <c r="H187" s="37"/>
      <c r="J187" s="37"/>
    </row>
    <row r="188" spans="2:10" s="34" customFormat="1" x14ac:dyDescent="0.25">
      <c r="B188" s="37"/>
      <c r="C188" s="37"/>
      <c r="D188" s="37"/>
      <c r="F188" s="37"/>
      <c r="G188" s="37"/>
      <c r="H188" s="37"/>
      <c r="J188" s="37"/>
    </row>
    <row r="189" spans="2:10" s="34" customFormat="1" x14ac:dyDescent="0.25">
      <c r="B189" s="37"/>
      <c r="C189" s="37"/>
      <c r="D189" s="37"/>
      <c r="F189" s="37"/>
      <c r="G189" s="37"/>
      <c r="H189" s="37"/>
      <c r="J189" s="37"/>
    </row>
    <row r="190" spans="2:10" s="34" customFormat="1" x14ac:dyDescent="0.25">
      <c r="B190" s="37"/>
      <c r="C190" s="37"/>
      <c r="D190" s="37"/>
      <c r="F190" s="37"/>
      <c r="G190" s="37"/>
      <c r="H190" s="37"/>
      <c r="J190" s="37"/>
    </row>
    <row r="191" spans="2:10" s="34" customFormat="1" x14ac:dyDescent="0.25">
      <c r="B191" s="37"/>
      <c r="C191" s="37"/>
      <c r="D191" s="37"/>
      <c r="F191" s="37"/>
      <c r="G191" s="37"/>
      <c r="H191" s="37"/>
      <c r="J191" s="37"/>
    </row>
    <row r="192" spans="2:10" s="34" customFormat="1" x14ac:dyDescent="0.25">
      <c r="B192" s="37"/>
      <c r="C192" s="37"/>
      <c r="D192" s="37"/>
      <c r="F192" s="37"/>
      <c r="G192" s="37"/>
      <c r="H192" s="37"/>
      <c r="J192" s="37"/>
    </row>
    <row r="193" spans="2:10" s="34" customFormat="1" x14ac:dyDescent="0.25">
      <c r="B193" s="37"/>
      <c r="C193" s="37"/>
      <c r="D193" s="37"/>
      <c r="F193" s="37"/>
      <c r="G193" s="37"/>
      <c r="H193" s="37"/>
      <c r="J193" s="37"/>
    </row>
    <row r="194" spans="2:10" s="34" customFormat="1" x14ac:dyDescent="0.25">
      <c r="B194" s="37"/>
      <c r="C194" s="37"/>
      <c r="D194" s="37"/>
      <c r="F194" s="37"/>
      <c r="G194" s="37"/>
      <c r="H194" s="37"/>
      <c r="J194" s="37"/>
    </row>
    <row r="195" spans="2:10" s="34" customFormat="1" x14ac:dyDescent="0.25">
      <c r="B195" s="37"/>
      <c r="C195" s="37"/>
      <c r="D195" s="37"/>
      <c r="F195" s="37"/>
      <c r="G195" s="37"/>
      <c r="H195" s="37"/>
      <c r="J195" s="37"/>
    </row>
    <row r="196" spans="2:10" s="34" customFormat="1" x14ac:dyDescent="0.25">
      <c r="B196" s="37"/>
      <c r="C196" s="37"/>
      <c r="D196" s="37"/>
      <c r="F196" s="37"/>
      <c r="G196" s="37"/>
      <c r="H196" s="37"/>
      <c r="J196" s="37"/>
    </row>
    <row r="197" spans="2:10" s="34" customFormat="1" x14ac:dyDescent="0.25">
      <c r="B197" s="37"/>
      <c r="C197" s="37"/>
      <c r="D197" s="37"/>
      <c r="F197" s="37"/>
      <c r="G197" s="37"/>
      <c r="H197" s="37"/>
      <c r="J197" s="37"/>
    </row>
    <row r="198" spans="2:10" s="34" customFormat="1" x14ac:dyDescent="0.25">
      <c r="B198" s="37"/>
      <c r="C198" s="37"/>
      <c r="D198" s="37"/>
      <c r="F198" s="37"/>
      <c r="G198" s="37"/>
      <c r="H198" s="37"/>
      <c r="J198" s="37"/>
    </row>
    <row r="199" spans="2:10" s="34" customFormat="1" x14ac:dyDescent="0.25">
      <c r="B199" s="37"/>
      <c r="C199" s="37"/>
      <c r="D199" s="37"/>
      <c r="F199" s="37"/>
      <c r="G199" s="37"/>
      <c r="H199" s="37"/>
      <c r="J199" s="37"/>
    </row>
    <row r="200" spans="2:10" s="34" customFormat="1" x14ac:dyDescent="0.25">
      <c r="B200" s="37"/>
      <c r="C200" s="37"/>
      <c r="D200" s="37"/>
      <c r="F200" s="37"/>
      <c r="G200" s="37"/>
      <c r="H200" s="37"/>
      <c r="J200" s="37"/>
    </row>
    <row r="201" spans="2:10" s="34" customFormat="1" x14ac:dyDescent="0.25">
      <c r="B201" s="37"/>
      <c r="C201" s="37"/>
      <c r="D201" s="37"/>
      <c r="F201" s="37"/>
      <c r="G201" s="37"/>
      <c r="H201" s="37"/>
      <c r="J201" s="37"/>
    </row>
    <row r="202" spans="2:10" s="34" customFormat="1" x14ac:dyDescent="0.25">
      <c r="B202" s="37"/>
      <c r="C202" s="37"/>
      <c r="D202" s="37"/>
      <c r="F202" s="37"/>
      <c r="G202" s="37"/>
      <c r="H202" s="37"/>
      <c r="J202" s="37"/>
    </row>
    <row r="203" spans="2:10" s="34" customFormat="1" x14ac:dyDescent="0.25">
      <c r="B203" s="37"/>
      <c r="C203" s="37"/>
      <c r="D203" s="37"/>
      <c r="F203" s="37"/>
      <c r="G203" s="37"/>
      <c r="H203" s="37"/>
      <c r="J203" s="37"/>
    </row>
    <row r="204" spans="2:10" s="34" customFormat="1" x14ac:dyDescent="0.25">
      <c r="B204" s="37"/>
      <c r="C204" s="37"/>
      <c r="D204" s="37"/>
      <c r="F204" s="37"/>
      <c r="G204" s="37"/>
      <c r="H204" s="37"/>
      <c r="J204" s="37"/>
    </row>
    <row r="205" spans="2:10" s="34" customFormat="1" x14ac:dyDescent="0.25">
      <c r="B205" s="37"/>
      <c r="C205" s="37"/>
      <c r="D205" s="37"/>
      <c r="F205" s="37"/>
      <c r="G205" s="37"/>
      <c r="H205" s="37"/>
      <c r="J205" s="37"/>
    </row>
    <row r="206" spans="2:10" s="34" customFormat="1" x14ac:dyDescent="0.25">
      <c r="B206" s="37"/>
      <c r="C206" s="37"/>
      <c r="D206" s="37"/>
      <c r="F206" s="37"/>
      <c r="G206" s="37"/>
      <c r="H206" s="37"/>
      <c r="J206" s="37"/>
    </row>
    <row r="207" spans="2:10" s="34" customFormat="1" x14ac:dyDescent="0.25">
      <c r="B207" s="37"/>
      <c r="C207" s="37"/>
      <c r="D207" s="37"/>
      <c r="F207" s="37"/>
      <c r="G207" s="37"/>
      <c r="H207" s="37"/>
      <c r="J207" s="37"/>
    </row>
    <row r="208" spans="2:10" s="34" customFormat="1" x14ac:dyDescent="0.25">
      <c r="B208" s="37"/>
      <c r="C208" s="37"/>
      <c r="D208" s="37"/>
      <c r="F208" s="37"/>
      <c r="G208" s="37"/>
      <c r="H208" s="37"/>
      <c r="J208" s="37"/>
    </row>
    <row r="209" spans="1:41" s="34" customFormat="1" x14ac:dyDescent="0.25">
      <c r="B209" s="37"/>
      <c r="C209" s="37"/>
      <c r="D209" s="37"/>
      <c r="F209" s="37"/>
      <c r="G209" s="37"/>
      <c r="H209" s="37"/>
      <c r="J209" s="37"/>
    </row>
    <row r="210" spans="1:41" s="34" customFormat="1" x14ac:dyDescent="0.25">
      <c r="B210" s="37"/>
      <c r="C210" s="37"/>
      <c r="D210" s="37"/>
      <c r="F210" s="37"/>
      <c r="G210" s="37"/>
      <c r="H210" s="37"/>
      <c r="J210" s="37"/>
    </row>
    <row r="211" spans="1:41" s="34" customFormat="1" x14ac:dyDescent="0.25">
      <c r="B211" s="37"/>
      <c r="C211" s="37"/>
      <c r="D211" s="37"/>
      <c r="F211" s="37"/>
      <c r="G211" s="37"/>
      <c r="H211" s="37"/>
      <c r="J211" s="37"/>
    </row>
    <row r="212" spans="1:41" s="34" customFormat="1" x14ac:dyDescent="0.25">
      <c r="B212" s="37"/>
      <c r="C212" s="37"/>
      <c r="D212" s="37"/>
      <c r="F212" s="37"/>
      <c r="G212" s="37"/>
      <c r="H212" s="37"/>
      <c r="J212" s="37"/>
    </row>
    <row r="213" spans="1:41" s="34" customFormat="1" x14ac:dyDescent="0.25">
      <c r="B213" s="37"/>
      <c r="C213" s="37"/>
      <c r="D213" s="37"/>
      <c r="F213" s="37"/>
      <c r="G213" s="37"/>
      <c r="H213" s="37"/>
      <c r="J213" s="37"/>
    </row>
    <row r="214" spans="1:41" s="34" customFormat="1" x14ac:dyDescent="0.25">
      <c r="B214" s="37"/>
      <c r="C214" s="37"/>
      <c r="D214" s="37"/>
      <c r="F214" s="37"/>
      <c r="G214" s="37"/>
      <c r="H214" s="37"/>
      <c r="J214" s="37"/>
    </row>
    <row r="215" spans="1:41" s="34" customFormat="1" x14ac:dyDescent="0.25">
      <c r="B215" s="37"/>
      <c r="C215" s="37"/>
      <c r="D215" s="37"/>
      <c r="F215" s="37"/>
      <c r="G215" s="37"/>
      <c r="H215" s="37"/>
      <c r="J215" s="37"/>
    </row>
    <row r="216" spans="1:41" s="34" customFormat="1" x14ac:dyDescent="0.25">
      <c r="B216" s="37"/>
      <c r="C216" s="37"/>
      <c r="D216" s="37"/>
      <c r="F216" s="37"/>
      <c r="G216" s="37"/>
      <c r="H216" s="37"/>
      <c r="J216" s="37"/>
    </row>
    <row r="217" spans="1:41" s="34" customFormat="1" x14ac:dyDescent="0.25">
      <c r="B217" s="37"/>
      <c r="C217" s="37"/>
      <c r="D217" s="37"/>
      <c r="F217" s="37"/>
      <c r="G217" s="37"/>
      <c r="H217" s="37"/>
      <c r="J217" s="37"/>
    </row>
    <row r="218" spans="1:41" s="34" customFormat="1" x14ac:dyDescent="0.25">
      <c r="B218" s="37"/>
      <c r="C218" s="37"/>
      <c r="D218" s="37"/>
      <c r="F218" s="37"/>
      <c r="G218" s="37"/>
      <c r="H218" s="37"/>
      <c r="J218" s="37"/>
    </row>
    <row r="219" spans="1:41" s="34" customFormat="1" x14ac:dyDescent="0.25">
      <c r="B219" s="37"/>
      <c r="C219" s="37"/>
      <c r="D219" s="37"/>
      <c r="F219" s="37"/>
      <c r="G219" s="37"/>
      <c r="H219" s="37"/>
      <c r="J219" s="37"/>
    </row>
    <row r="220" spans="1:41" s="34" customFormat="1" x14ac:dyDescent="0.25">
      <c r="B220" s="37"/>
      <c r="C220" s="37"/>
      <c r="D220" s="37"/>
      <c r="F220" s="37"/>
      <c r="G220" s="37"/>
      <c r="H220" s="37"/>
      <c r="J220" s="37"/>
    </row>
    <row r="221" spans="1:41" s="34" customFormat="1" x14ac:dyDescent="0.25">
      <c r="B221" s="37"/>
      <c r="C221" s="37"/>
      <c r="D221" s="37"/>
      <c r="F221" s="37"/>
      <c r="G221" s="37"/>
      <c r="H221" s="37"/>
      <c r="J221" s="37"/>
    </row>
    <row r="222" spans="1:41" s="34" customFormat="1" x14ac:dyDescent="0.25">
      <c r="B222" s="37"/>
      <c r="C222" s="37"/>
      <c r="D222" s="37"/>
      <c r="F222" s="37"/>
      <c r="G222" s="37"/>
      <c r="H222" s="37"/>
      <c r="J222" s="37"/>
    </row>
    <row r="223" spans="1:41" s="48" customFormat="1" x14ac:dyDescent="0.25">
      <c r="A223" s="34"/>
      <c r="B223" s="49"/>
      <c r="C223" s="49"/>
      <c r="D223" s="49"/>
      <c r="F223" s="49"/>
      <c r="G223" s="49"/>
      <c r="H223" s="49"/>
      <c r="J223" s="49"/>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4"/>
      <c r="AO223" s="34"/>
    </row>
    <row r="224" spans="1:41" s="48" customFormat="1" x14ac:dyDescent="0.25">
      <c r="A224" s="34"/>
      <c r="B224" s="49"/>
      <c r="C224" s="49"/>
      <c r="D224" s="49"/>
      <c r="F224" s="49"/>
      <c r="G224" s="49"/>
      <c r="H224" s="49"/>
      <c r="J224" s="49"/>
      <c r="K224" s="34"/>
      <c r="L224" s="34"/>
      <c r="M224" s="34"/>
      <c r="N224" s="34"/>
      <c r="O224" s="34"/>
      <c r="P224" s="34"/>
      <c r="Q224" s="34"/>
      <c r="R224" s="34"/>
      <c r="S224" s="34"/>
      <c r="T224" s="34"/>
      <c r="U224" s="34"/>
      <c r="V224" s="34"/>
      <c r="W224" s="34"/>
      <c r="X224" s="34"/>
      <c r="Y224" s="34"/>
      <c r="Z224" s="34"/>
      <c r="AA224" s="34"/>
      <c r="AB224" s="34"/>
      <c r="AC224" s="34"/>
      <c r="AD224" s="34"/>
      <c r="AE224" s="34"/>
      <c r="AF224" s="34"/>
      <c r="AG224" s="34"/>
      <c r="AH224" s="34"/>
      <c r="AI224" s="34"/>
      <c r="AJ224" s="34"/>
      <c r="AK224" s="34"/>
      <c r="AL224" s="34"/>
      <c r="AM224" s="34"/>
      <c r="AN224" s="34"/>
      <c r="AO224" s="34"/>
    </row>
    <row r="225" spans="1:41" s="48" customFormat="1" x14ac:dyDescent="0.25">
      <c r="A225" s="34"/>
      <c r="B225" s="49"/>
      <c r="C225" s="49"/>
      <c r="D225" s="49"/>
      <c r="F225" s="49"/>
      <c r="G225" s="49"/>
      <c r="H225" s="49"/>
      <c r="J225" s="49"/>
      <c r="K225" s="34"/>
      <c r="L225" s="34"/>
      <c r="M225" s="34"/>
      <c r="N225" s="34"/>
      <c r="O225" s="34"/>
      <c r="P225" s="34"/>
      <c r="Q225" s="34"/>
      <c r="R225" s="34"/>
      <c r="S225" s="34"/>
      <c r="T225" s="34"/>
      <c r="U225" s="34"/>
      <c r="V225" s="34"/>
      <c r="W225" s="34"/>
      <c r="X225" s="34"/>
      <c r="Y225" s="34"/>
      <c r="Z225" s="34"/>
      <c r="AA225" s="34"/>
      <c r="AB225" s="34"/>
      <c r="AC225" s="34"/>
      <c r="AD225" s="34"/>
      <c r="AE225" s="34"/>
      <c r="AF225" s="34"/>
      <c r="AG225" s="34"/>
      <c r="AH225" s="34"/>
      <c r="AI225" s="34"/>
      <c r="AJ225" s="34"/>
      <c r="AK225" s="34"/>
      <c r="AL225" s="34"/>
      <c r="AM225" s="34"/>
      <c r="AN225" s="34"/>
      <c r="AO225" s="34"/>
    </row>
    <row r="226" spans="1:41" s="48" customFormat="1" x14ac:dyDescent="0.25">
      <c r="A226" s="34"/>
      <c r="B226" s="49"/>
      <c r="C226" s="49"/>
      <c r="D226" s="49"/>
      <c r="F226" s="49"/>
      <c r="G226" s="49"/>
      <c r="H226" s="49"/>
      <c r="J226" s="49"/>
      <c r="K226" s="34"/>
      <c r="L226" s="34"/>
      <c r="M226" s="34"/>
      <c r="N226" s="34"/>
      <c r="O226" s="34"/>
      <c r="P226" s="34"/>
      <c r="Q226" s="34"/>
      <c r="R226" s="34"/>
      <c r="S226" s="34"/>
      <c r="T226" s="34"/>
      <c r="U226" s="34"/>
      <c r="V226" s="34"/>
      <c r="W226" s="34"/>
      <c r="X226" s="34"/>
      <c r="Y226" s="34"/>
      <c r="Z226" s="34"/>
      <c r="AA226" s="34"/>
      <c r="AB226" s="34"/>
      <c r="AC226" s="34"/>
      <c r="AD226" s="34"/>
      <c r="AE226" s="34"/>
      <c r="AF226" s="34"/>
      <c r="AG226" s="34"/>
      <c r="AH226" s="34"/>
      <c r="AI226" s="34"/>
      <c r="AJ226" s="34"/>
      <c r="AK226" s="34"/>
      <c r="AL226" s="34"/>
      <c r="AM226" s="34"/>
      <c r="AN226" s="34"/>
      <c r="AO226" s="34"/>
    </row>
    <row r="227" spans="1:41" s="48" customFormat="1" x14ac:dyDescent="0.25">
      <c r="A227" s="34"/>
      <c r="B227" s="49"/>
      <c r="C227" s="49"/>
      <c r="D227" s="49"/>
      <c r="F227" s="49"/>
      <c r="G227" s="49"/>
      <c r="H227" s="49"/>
      <c r="J227" s="49"/>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row>
    <row r="228" spans="1:41" s="48" customFormat="1" x14ac:dyDescent="0.25">
      <c r="A228" s="34"/>
      <c r="B228" s="49"/>
      <c r="C228" s="49"/>
      <c r="D228" s="49"/>
      <c r="F228" s="49"/>
      <c r="G228" s="49"/>
      <c r="H228" s="49"/>
      <c r="J228" s="49"/>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row>
    <row r="229" spans="1:41" s="48" customFormat="1" x14ac:dyDescent="0.25">
      <c r="A229" s="34"/>
      <c r="B229" s="49"/>
      <c r="C229" s="49"/>
      <c r="D229" s="49"/>
      <c r="F229" s="49"/>
      <c r="G229" s="49"/>
      <c r="H229" s="49"/>
      <c r="J229" s="49"/>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row>
    <row r="230" spans="1:41" s="48" customFormat="1" x14ac:dyDescent="0.25">
      <c r="A230" s="34"/>
      <c r="B230" s="49"/>
      <c r="C230" s="49"/>
      <c r="D230" s="49"/>
      <c r="F230" s="49"/>
      <c r="G230" s="49"/>
      <c r="H230" s="49"/>
      <c r="J230" s="49"/>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row>
    <row r="231" spans="1:41" s="48" customFormat="1" x14ac:dyDescent="0.25">
      <c r="A231" s="34"/>
      <c r="B231" s="49"/>
      <c r="C231" s="49"/>
      <c r="D231" s="49"/>
      <c r="F231" s="49"/>
      <c r="G231" s="49"/>
      <c r="H231" s="49"/>
      <c r="J231" s="49"/>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row>
    <row r="232" spans="1:41" s="48" customFormat="1" x14ac:dyDescent="0.25">
      <c r="A232" s="34"/>
      <c r="B232" s="49"/>
      <c r="C232" s="49"/>
      <c r="D232" s="49"/>
      <c r="F232" s="49"/>
      <c r="G232" s="49"/>
      <c r="H232" s="49"/>
      <c r="J232" s="49"/>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4"/>
      <c r="AO232" s="34"/>
    </row>
    <row r="233" spans="1:41" s="48" customFormat="1" x14ac:dyDescent="0.25">
      <c r="A233" s="34"/>
      <c r="B233" s="49"/>
      <c r="C233" s="49"/>
      <c r="D233" s="49"/>
      <c r="F233" s="49"/>
      <c r="G233" s="49"/>
      <c r="H233" s="49"/>
      <c r="J233" s="49"/>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row>
    <row r="234" spans="1:41" s="48" customFormat="1" x14ac:dyDescent="0.25">
      <c r="A234" s="34"/>
      <c r="B234" s="49"/>
      <c r="C234" s="49"/>
      <c r="D234" s="49"/>
      <c r="F234" s="49"/>
      <c r="G234" s="49"/>
      <c r="H234" s="49"/>
      <c r="J234" s="49"/>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4"/>
      <c r="AO234" s="34"/>
    </row>
    <row r="235" spans="1:41" s="48" customFormat="1" x14ac:dyDescent="0.25">
      <c r="A235" s="34"/>
      <c r="B235" s="49"/>
      <c r="C235" s="49"/>
      <c r="D235" s="49"/>
      <c r="F235" s="49"/>
      <c r="G235" s="49"/>
      <c r="H235" s="49"/>
      <c r="J235" s="49"/>
      <c r="K235" s="34"/>
      <c r="L235" s="34"/>
      <c r="M235" s="34"/>
      <c r="N235" s="34"/>
      <c r="O235" s="34"/>
      <c r="P235" s="34"/>
      <c r="Q235" s="34"/>
      <c r="R235" s="34"/>
      <c r="S235" s="34"/>
      <c r="T235" s="34"/>
      <c r="U235" s="34"/>
      <c r="V235" s="34"/>
      <c r="W235" s="34"/>
      <c r="X235" s="34"/>
      <c r="Y235" s="34"/>
      <c r="Z235" s="34"/>
      <c r="AA235" s="34"/>
      <c r="AB235" s="34"/>
      <c r="AC235" s="34"/>
      <c r="AD235" s="34"/>
      <c r="AE235" s="34"/>
      <c r="AF235" s="34"/>
      <c r="AG235" s="34"/>
      <c r="AH235" s="34"/>
      <c r="AI235" s="34"/>
      <c r="AJ235" s="34"/>
      <c r="AK235" s="34"/>
      <c r="AL235" s="34"/>
      <c r="AM235" s="34"/>
      <c r="AN235" s="34"/>
      <c r="AO235" s="34"/>
    </row>
    <row r="236" spans="1:41" s="48" customFormat="1" x14ac:dyDescent="0.25">
      <c r="A236" s="34"/>
      <c r="B236" s="49"/>
      <c r="C236" s="49"/>
      <c r="D236" s="49"/>
      <c r="F236" s="49"/>
      <c r="G236" s="49"/>
      <c r="H236" s="49"/>
      <c r="J236" s="49"/>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4"/>
      <c r="AO236" s="34"/>
    </row>
    <row r="237" spans="1:41" s="48" customFormat="1" x14ac:dyDescent="0.25">
      <c r="A237" s="34"/>
      <c r="B237" s="49"/>
      <c r="C237" s="49"/>
      <c r="D237" s="49"/>
      <c r="F237" s="49"/>
      <c r="G237" s="49"/>
      <c r="H237" s="49"/>
      <c r="J237" s="49"/>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row>
    <row r="238" spans="1:41" s="48" customFormat="1" x14ac:dyDescent="0.25">
      <c r="A238" s="34"/>
      <c r="B238" s="49"/>
      <c r="C238" s="49"/>
      <c r="D238" s="49"/>
      <c r="F238" s="49"/>
      <c r="G238" s="49"/>
      <c r="H238" s="49"/>
      <c r="J238" s="49"/>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row>
    <row r="239" spans="1:41" s="48" customFormat="1" x14ac:dyDescent="0.25">
      <c r="A239" s="34"/>
      <c r="B239" s="49"/>
      <c r="C239" s="49"/>
      <c r="D239" s="49"/>
      <c r="F239" s="49"/>
      <c r="G239" s="49"/>
      <c r="H239" s="49"/>
      <c r="J239" s="49"/>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row>
    <row r="240" spans="1:41" s="48" customFormat="1" x14ac:dyDescent="0.25">
      <c r="A240" s="34"/>
      <c r="B240" s="49"/>
      <c r="C240" s="49"/>
      <c r="D240" s="49"/>
      <c r="F240" s="49"/>
      <c r="G240" s="49"/>
      <c r="H240" s="49"/>
      <c r="J240" s="49"/>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row>
    <row r="241" spans="1:41" s="48" customFormat="1" x14ac:dyDescent="0.25">
      <c r="A241" s="34"/>
      <c r="B241" s="49"/>
      <c r="C241" s="49"/>
      <c r="D241" s="49"/>
      <c r="F241" s="49"/>
      <c r="G241" s="49"/>
      <c r="H241" s="49"/>
      <c r="J241" s="49"/>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4"/>
      <c r="AO241" s="34"/>
    </row>
    <row r="242" spans="1:41" s="48" customFormat="1" x14ac:dyDescent="0.25">
      <c r="A242" s="34"/>
      <c r="B242" s="49"/>
      <c r="C242" s="49"/>
      <c r="D242" s="49"/>
      <c r="F242" s="49"/>
      <c r="G242" s="49"/>
      <c r="H242" s="49"/>
      <c r="J242" s="49"/>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4"/>
      <c r="AO242" s="34"/>
    </row>
    <row r="243" spans="1:41" s="48" customFormat="1" x14ac:dyDescent="0.25">
      <c r="A243" s="34"/>
      <c r="B243" s="49"/>
      <c r="C243" s="49"/>
      <c r="D243" s="49"/>
      <c r="F243" s="49"/>
      <c r="G243" s="49"/>
      <c r="H243" s="49"/>
      <c r="J243" s="49"/>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4"/>
      <c r="AO243" s="34"/>
    </row>
    <row r="244" spans="1:41" s="48" customFormat="1" x14ac:dyDescent="0.25">
      <c r="A244" s="34"/>
      <c r="B244" s="49"/>
      <c r="C244" s="49"/>
      <c r="D244" s="49"/>
      <c r="F244" s="49"/>
      <c r="G244" s="49"/>
      <c r="H244" s="49"/>
      <c r="J244" s="49"/>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4"/>
      <c r="AO244" s="34"/>
    </row>
    <row r="245" spans="1:41" s="48" customFormat="1" x14ac:dyDescent="0.25">
      <c r="A245" s="34"/>
      <c r="B245" s="49"/>
      <c r="C245" s="49"/>
      <c r="D245" s="49"/>
      <c r="F245" s="49"/>
      <c r="G245" s="49"/>
      <c r="H245" s="49"/>
      <c r="J245" s="49"/>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4"/>
      <c r="AO245" s="34"/>
    </row>
    <row r="246" spans="1:41" s="48" customFormat="1" x14ac:dyDescent="0.25">
      <c r="A246" s="34"/>
      <c r="B246" s="49"/>
      <c r="C246" s="49"/>
      <c r="D246" s="49"/>
      <c r="F246" s="49"/>
      <c r="G246" s="49"/>
      <c r="H246" s="49"/>
      <c r="J246" s="49"/>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4"/>
      <c r="AO246" s="34"/>
    </row>
    <row r="247" spans="1:41" s="48" customFormat="1" x14ac:dyDescent="0.25">
      <c r="A247" s="34"/>
      <c r="B247" s="49"/>
      <c r="C247" s="49"/>
      <c r="D247" s="49"/>
      <c r="F247" s="49"/>
      <c r="G247" s="49"/>
      <c r="H247" s="49"/>
      <c r="J247" s="49"/>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4"/>
      <c r="AO247" s="34"/>
    </row>
    <row r="248" spans="1:41" s="48" customFormat="1" x14ac:dyDescent="0.25">
      <c r="A248" s="34"/>
      <c r="B248" s="49"/>
      <c r="C248" s="49"/>
      <c r="D248" s="49"/>
      <c r="F248" s="49"/>
      <c r="G248" s="49"/>
      <c r="H248" s="49"/>
      <c r="J248" s="49"/>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4"/>
      <c r="AO248" s="34"/>
    </row>
    <row r="249" spans="1:41" s="48" customFormat="1" x14ac:dyDescent="0.25">
      <c r="A249" s="34"/>
      <c r="B249" s="49"/>
      <c r="C249" s="49"/>
      <c r="D249" s="49"/>
      <c r="F249" s="49"/>
      <c r="G249" s="49"/>
      <c r="H249" s="49"/>
      <c r="J249" s="49"/>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4"/>
      <c r="AO249" s="34"/>
    </row>
    <row r="250" spans="1:41" s="48" customFormat="1" x14ac:dyDescent="0.25">
      <c r="A250" s="34"/>
      <c r="B250" s="49"/>
      <c r="C250" s="49"/>
      <c r="D250" s="49"/>
      <c r="F250" s="49"/>
      <c r="G250" s="49"/>
      <c r="H250" s="49"/>
      <c r="J250" s="49"/>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c r="AH250" s="34"/>
      <c r="AI250" s="34"/>
      <c r="AJ250" s="34"/>
      <c r="AK250" s="34"/>
      <c r="AL250" s="34"/>
      <c r="AM250" s="34"/>
      <c r="AN250" s="34"/>
      <c r="AO250" s="34"/>
    </row>
    <row r="251" spans="1:41" s="48" customFormat="1" x14ac:dyDescent="0.25">
      <c r="A251" s="34"/>
      <c r="B251" s="49"/>
      <c r="C251" s="49"/>
      <c r="D251" s="49"/>
      <c r="F251" s="49"/>
      <c r="G251" s="49"/>
      <c r="H251" s="49"/>
      <c r="J251" s="49"/>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4"/>
      <c r="AO251" s="34"/>
    </row>
    <row r="252" spans="1:41" s="48" customFormat="1" x14ac:dyDescent="0.25">
      <c r="A252" s="34"/>
      <c r="B252" s="49"/>
      <c r="C252" s="49"/>
      <c r="D252" s="49"/>
      <c r="F252" s="49"/>
      <c r="G252" s="49"/>
      <c r="H252" s="49"/>
      <c r="J252" s="49"/>
      <c r="K252" s="34"/>
      <c r="L252" s="34"/>
      <c r="M252" s="34"/>
      <c r="N252" s="34"/>
      <c r="O252" s="34"/>
      <c r="P252" s="34"/>
      <c r="Q252" s="34"/>
      <c r="R252" s="34"/>
      <c r="S252" s="34"/>
      <c r="T252" s="34"/>
      <c r="U252" s="34"/>
      <c r="V252" s="34"/>
      <c r="W252" s="34"/>
      <c r="X252" s="34"/>
      <c r="Y252" s="34"/>
      <c r="Z252" s="34"/>
      <c r="AA252" s="34"/>
      <c r="AB252" s="34"/>
      <c r="AC252" s="34"/>
      <c r="AD252" s="34"/>
      <c r="AE252" s="34"/>
      <c r="AF252" s="34"/>
      <c r="AG252" s="34"/>
      <c r="AH252" s="34"/>
      <c r="AI252" s="34"/>
      <c r="AJ252" s="34"/>
      <c r="AK252" s="34"/>
      <c r="AL252" s="34"/>
      <c r="AM252" s="34"/>
      <c r="AN252" s="34"/>
      <c r="AO252" s="34"/>
    </row>
    <row r="253" spans="1:41" s="48" customFormat="1" x14ac:dyDescent="0.25">
      <c r="A253" s="34"/>
      <c r="B253" s="49"/>
      <c r="C253" s="49"/>
      <c r="D253" s="49"/>
      <c r="F253" s="49"/>
      <c r="G253" s="49"/>
      <c r="H253" s="49"/>
      <c r="J253" s="49"/>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c r="AH253" s="34"/>
      <c r="AI253" s="34"/>
      <c r="AJ253" s="34"/>
      <c r="AK253" s="34"/>
      <c r="AL253" s="34"/>
      <c r="AM253" s="34"/>
      <c r="AN253" s="34"/>
      <c r="AO253" s="34"/>
    </row>
    <row r="254" spans="1:41" s="48" customFormat="1" x14ac:dyDescent="0.25">
      <c r="A254" s="34"/>
      <c r="B254" s="49"/>
      <c r="C254" s="49"/>
      <c r="D254" s="49"/>
      <c r="F254" s="49"/>
      <c r="G254" s="49"/>
      <c r="H254" s="49"/>
      <c r="J254" s="49"/>
      <c r="K254" s="34"/>
      <c r="L254" s="34"/>
      <c r="M254" s="34"/>
      <c r="N254" s="34"/>
      <c r="O254" s="34"/>
      <c r="P254" s="34"/>
      <c r="Q254" s="34"/>
      <c r="R254" s="34"/>
      <c r="S254" s="34"/>
      <c r="T254" s="34"/>
      <c r="U254" s="34"/>
      <c r="V254" s="34"/>
      <c r="W254" s="34"/>
      <c r="X254" s="34"/>
      <c r="Y254" s="34"/>
      <c r="Z254" s="34"/>
      <c r="AA254" s="34"/>
      <c r="AB254" s="34"/>
      <c r="AC254" s="34"/>
      <c r="AD254" s="34"/>
      <c r="AE254" s="34"/>
      <c r="AF254" s="34"/>
      <c r="AG254" s="34"/>
      <c r="AH254" s="34"/>
      <c r="AI254" s="34"/>
      <c r="AJ254" s="34"/>
      <c r="AK254" s="34"/>
      <c r="AL254" s="34"/>
      <c r="AM254" s="34"/>
      <c r="AN254" s="34"/>
      <c r="AO254" s="34"/>
    </row>
    <row r="255" spans="1:41" s="48" customFormat="1" x14ac:dyDescent="0.25">
      <c r="A255" s="34"/>
      <c r="B255" s="49"/>
      <c r="C255" s="49"/>
      <c r="D255" s="49"/>
      <c r="F255" s="49"/>
      <c r="G255" s="49"/>
      <c r="H255" s="49"/>
      <c r="J255" s="49"/>
      <c r="K255" s="34"/>
      <c r="L255" s="34"/>
      <c r="M255" s="34"/>
      <c r="N255" s="34"/>
      <c r="O255" s="34"/>
      <c r="P255" s="34"/>
      <c r="Q255" s="34"/>
      <c r="R255" s="34"/>
      <c r="S255" s="34"/>
      <c r="T255" s="34"/>
      <c r="U255" s="34"/>
      <c r="V255" s="34"/>
      <c r="W255" s="34"/>
      <c r="X255" s="34"/>
      <c r="Y255" s="34"/>
      <c r="Z255" s="34"/>
      <c r="AA255" s="34"/>
      <c r="AB255" s="34"/>
      <c r="AC255" s="34"/>
      <c r="AD255" s="34"/>
      <c r="AE255" s="34"/>
      <c r="AF255" s="34"/>
      <c r="AG255" s="34"/>
      <c r="AH255" s="34"/>
      <c r="AI255" s="34"/>
      <c r="AJ255" s="34"/>
      <c r="AK255" s="34"/>
      <c r="AL255" s="34"/>
      <c r="AM255" s="34"/>
      <c r="AN255" s="34"/>
      <c r="AO255" s="34"/>
    </row>
    <row r="256" spans="1:41" s="48" customFormat="1" x14ac:dyDescent="0.25">
      <c r="A256" s="34"/>
      <c r="B256" s="49"/>
      <c r="C256" s="49"/>
      <c r="D256" s="49"/>
      <c r="F256" s="49"/>
      <c r="G256" s="49"/>
      <c r="H256" s="49"/>
      <c r="J256" s="49"/>
      <c r="K256" s="34"/>
      <c r="L256" s="34"/>
      <c r="M256" s="34"/>
      <c r="N256" s="34"/>
      <c r="O256" s="34"/>
      <c r="P256" s="34"/>
      <c r="Q256" s="34"/>
      <c r="R256" s="34"/>
      <c r="S256" s="34"/>
      <c r="T256" s="34"/>
      <c r="U256" s="34"/>
      <c r="V256" s="34"/>
      <c r="W256" s="34"/>
      <c r="X256" s="34"/>
      <c r="Y256" s="34"/>
      <c r="Z256" s="34"/>
      <c r="AA256" s="34"/>
      <c r="AB256" s="34"/>
      <c r="AC256" s="34"/>
      <c r="AD256" s="34"/>
      <c r="AE256" s="34"/>
      <c r="AF256" s="34"/>
      <c r="AG256" s="34"/>
      <c r="AH256" s="34"/>
      <c r="AI256" s="34"/>
      <c r="AJ256" s="34"/>
      <c r="AK256" s="34"/>
      <c r="AL256" s="34"/>
      <c r="AM256" s="34"/>
      <c r="AN256" s="34"/>
      <c r="AO256" s="34"/>
    </row>
    <row r="257" spans="1:41" s="48" customFormat="1" x14ac:dyDescent="0.25">
      <c r="A257" s="34"/>
      <c r="B257" s="49"/>
      <c r="C257" s="49"/>
      <c r="D257" s="49"/>
      <c r="F257" s="49"/>
      <c r="G257" s="49"/>
      <c r="H257" s="49"/>
      <c r="J257" s="49"/>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row>
    <row r="258" spans="1:41" s="48" customFormat="1" x14ac:dyDescent="0.25">
      <c r="A258" s="34"/>
      <c r="B258" s="49"/>
      <c r="C258" s="49"/>
      <c r="D258" s="49"/>
      <c r="F258" s="49"/>
      <c r="G258" s="49"/>
      <c r="H258" s="49"/>
      <c r="J258" s="49"/>
      <c r="K258" s="34"/>
      <c r="L258" s="34"/>
      <c r="M258" s="34"/>
      <c r="N258" s="34"/>
      <c r="O258" s="34"/>
      <c r="P258" s="34"/>
      <c r="Q258" s="34"/>
      <c r="R258" s="34"/>
      <c r="S258" s="34"/>
      <c r="T258" s="34"/>
      <c r="U258" s="34"/>
      <c r="V258" s="34"/>
      <c r="W258" s="34"/>
      <c r="X258" s="34"/>
      <c r="Y258" s="34"/>
      <c r="Z258" s="34"/>
      <c r="AA258" s="34"/>
      <c r="AB258" s="34"/>
      <c r="AC258" s="34"/>
      <c r="AD258" s="34"/>
      <c r="AE258" s="34"/>
      <c r="AF258" s="34"/>
      <c r="AG258" s="34"/>
      <c r="AH258" s="34"/>
      <c r="AI258" s="34"/>
      <c r="AJ258" s="34"/>
      <c r="AK258" s="34"/>
      <c r="AL258" s="34"/>
      <c r="AM258" s="34"/>
      <c r="AN258" s="34"/>
      <c r="AO258" s="34"/>
    </row>
    <row r="259" spans="1:41" s="48" customFormat="1" x14ac:dyDescent="0.25">
      <c r="A259" s="34"/>
      <c r="B259" s="49"/>
      <c r="C259" s="49"/>
      <c r="D259" s="49"/>
      <c r="F259" s="49"/>
      <c r="G259" s="49"/>
      <c r="H259" s="49"/>
      <c r="J259" s="49"/>
      <c r="K259" s="34"/>
      <c r="L259" s="34"/>
      <c r="M259" s="34"/>
      <c r="N259" s="34"/>
      <c r="O259" s="34"/>
      <c r="P259" s="34"/>
      <c r="Q259" s="34"/>
      <c r="R259" s="34"/>
      <c r="S259" s="34"/>
      <c r="T259" s="34"/>
      <c r="U259" s="34"/>
      <c r="V259" s="34"/>
      <c r="W259" s="34"/>
      <c r="X259" s="34"/>
      <c r="Y259" s="34"/>
      <c r="Z259" s="34"/>
      <c r="AA259" s="34"/>
      <c r="AB259" s="34"/>
      <c r="AC259" s="34"/>
      <c r="AD259" s="34"/>
      <c r="AE259" s="34"/>
      <c r="AF259" s="34"/>
      <c r="AG259" s="34"/>
      <c r="AH259" s="34"/>
      <c r="AI259" s="34"/>
      <c r="AJ259" s="34"/>
      <c r="AK259" s="34"/>
      <c r="AL259" s="34"/>
      <c r="AM259" s="34"/>
      <c r="AN259" s="34"/>
      <c r="AO259" s="34"/>
    </row>
    <row r="260" spans="1:41" s="48" customFormat="1" x14ac:dyDescent="0.25">
      <c r="A260" s="34"/>
      <c r="B260" s="49"/>
      <c r="C260" s="49"/>
      <c r="D260" s="49"/>
      <c r="F260" s="49"/>
      <c r="G260" s="49"/>
      <c r="H260" s="49"/>
      <c r="J260" s="49"/>
      <c r="K260" s="34"/>
      <c r="L260" s="34"/>
      <c r="M260" s="34"/>
      <c r="N260" s="34"/>
      <c r="O260" s="34"/>
      <c r="P260" s="34"/>
      <c r="Q260" s="34"/>
      <c r="R260" s="34"/>
      <c r="S260" s="34"/>
      <c r="T260" s="34"/>
      <c r="U260" s="34"/>
      <c r="V260" s="34"/>
      <c r="W260" s="34"/>
      <c r="X260" s="34"/>
      <c r="Y260" s="34"/>
      <c r="Z260" s="34"/>
      <c r="AA260" s="34"/>
      <c r="AB260" s="34"/>
      <c r="AC260" s="34"/>
      <c r="AD260" s="34"/>
      <c r="AE260" s="34"/>
      <c r="AF260" s="34"/>
      <c r="AG260" s="34"/>
      <c r="AH260" s="34"/>
      <c r="AI260" s="34"/>
      <c r="AJ260" s="34"/>
      <c r="AK260" s="34"/>
      <c r="AL260" s="34"/>
      <c r="AM260" s="34"/>
      <c r="AN260" s="34"/>
      <c r="AO260" s="34"/>
    </row>
    <row r="261" spans="1:41" s="48" customFormat="1" x14ac:dyDescent="0.25">
      <c r="A261" s="34"/>
      <c r="B261" s="49"/>
      <c r="C261" s="49"/>
      <c r="D261" s="49"/>
      <c r="F261" s="49"/>
      <c r="G261" s="49"/>
      <c r="H261" s="49"/>
      <c r="J261" s="49"/>
      <c r="K261" s="34"/>
      <c r="L261" s="34"/>
      <c r="M261" s="34"/>
      <c r="N261" s="34"/>
      <c r="O261" s="34"/>
      <c r="P261" s="34"/>
      <c r="Q261" s="34"/>
      <c r="R261" s="34"/>
      <c r="S261" s="34"/>
      <c r="T261" s="34"/>
      <c r="U261" s="34"/>
      <c r="V261" s="34"/>
      <c r="W261" s="34"/>
      <c r="X261" s="34"/>
      <c r="Y261" s="34"/>
      <c r="Z261" s="34"/>
      <c r="AA261" s="34"/>
      <c r="AB261" s="34"/>
      <c r="AC261" s="34"/>
      <c r="AD261" s="34"/>
      <c r="AE261" s="34"/>
      <c r="AF261" s="34"/>
      <c r="AG261" s="34"/>
      <c r="AH261" s="34"/>
      <c r="AI261" s="34"/>
      <c r="AJ261" s="34"/>
      <c r="AK261" s="34"/>
      <c r="AL261" s="34"/>
      <c r="AM261" s="34"/>
      <c r="AN261" s="34"/>
      <c r="AO261" s="34"/>
    </row>
    <row r="262" spans="1:41" s="48" customFormat="1" x14ac:dyDescent="0.25">
      <c r="A262" s="34"/>
      <c r="B262" s="49"/>
      <c r="C262" s="49"/>
      <c r="D262" s="49"/>
      <c r="F262" s="49"/>
      <c r="G262" s="49"/>
      <c r="H262" s="49"/>
      <c r="J262" s="49"/>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row>
    <row r="263" spans="1:41" s="48" customFormat="1" x14ac:dyDescent="0.25">
      <c r="A263" s="34"/>
      <c r="B263" s="49"/>
      <c r="C263" s="49"/>
      <c r="D263" s="49"/>
      <c r="F263" s="49"/>
      <c r="G263" s="49"/>
      <c r="H263" s="49"/>
      <c r="J263" s="49"/>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row>
    <row r="264" spans="1:41" s="48" customFormat="1" x14ac:dyDescent="0.25">
      <c r="A264" s="34"/>
      <c r="B264" s="49"/>
      <c r="C264" s="49"/>
      <c r="D264" s="49"/>
      <c r="F264" s="49"/>
      <c r="G264" s="49"/>
      <c r="H264" s="49"/>
      <c r="J264" s="49"/>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row>
    <row r="265" spans="1:41" s="48" customFormat="1" x14ac:dyDescent="0.25">
      <c r="A265" s="34"/>
      <c r="B265" s="49"/>
      <c r="C265" s="49"/>
      <c r="D265" s="49"/>
      <c r="F265" s="49"/>
      <c r="G265" s="49"/>
      <c r="H265" s="49"/>
      <c r="J265" s="49"/>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row>
    <row r="266" spans="1:41" s="48" customFormat="1" x14ac:dyDescent="0.25">
      <c r="A266" s="34"/>
      <c r="B266" s="49"/>
      <c r="C266" s="49"/>
      <c r="D266" s="49"/>
      <c r="F266" s="49"/>
      <c r="G266" s="49"/>
      <c r="H266" s="49"/>
      <c r="J266" s="49"/>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row>
    <row r="267" spans="1:41" s="48" customFormat="1" x14ac:dyDescent="0.25">
      <c r="A267" s="34"/>
      <c r="B267" s="49"/>
      <c r="C267" s="49"/>
      <c r="D267" s="49"/>
      <c r="F267" s="49"/>
      <c r="G267" s="49"/>
      <c r="H267" s="49"/>
      <c r="J267" s="49"/>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row>
    <row r="268" spans="1:41" s="48" customFormat="1" x14ac:dyDescent="0.25">
      <c r="A268" s="34"/>
      <c r="B268" s="49"/>
      <c r="C268" s="49"/>
      <c r="D268" s="49"/>
      <c r="F268" s="49"/>
      <c r="G268" s="49"/>
      <c r="H268" s="49"/>
      <c r="J268" s="49"/>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row>
    <row r="269" spans="1:41" s="48" customFormat="1" x14ac:dyDescent="0.25">
      <c r="A269" s="34"/>
      <c r="B269" s="49"/>
      <c r="C269" s="49"/>
      <c r="D269" s="49"/>
      <c r="F269" s="49"/>
      <c r="G269" s="49"/>
      <c r="H269" s="49"/>
      <c r="J269" s="49"/>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row>
    <row r="270" spans="1:41" s="48" customFormat="1" x14ac:dyDescent="0.25">
      <c r="A270" s="34"/>
      <c r="B270" s="49"/>
      <c r="C270" s="49"/>
      <c r="D270" s="49"/>
      <c r="F270" s="49"/>
      <c r="G270" s="49"/>
      <c r="H270" s="49"/>
      <c r="J270" s="49"/>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c r="AI270" s="34"/>
      <c r="AJ270" s="34"/>
      <c r="AK270" s="34"/>
      <c r="AL270" s="34"/>
      <c r="AM270" s="34"/>
      <c r="AN270" s="34"/>
      <c r="AO270" s="34"/>
    </row>
    <row r="271" spans="1:41" s="48" customFormat="1" x14ac:dyDescent="0.25">
      <c r="A271" s="34"/>
      <c r="B271" s="49"/>
      <c r="C271" s="49"/>
      <c r="D271" s="49"/>
      <c r="F271" s="49"/>
      <c r="G271" s="49"/>
      <c r="H271" s="49"/>
      <c r="J271" s="49"/>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row>
    <row r="272" spans="1:41" s="48" customFormat="1" x14ac:dyDescent="0.25">
      <c r="A272" s="34"/>
      <c r="B272" s="49"/>
      <c r="C272" s="49"/>
      <c r="D272" s="49"/>
      <c r="F272" s="49"/>
      <c r="G272" s="49"/>
      <c r="H272" s="49"/>
      <c r="J272" s="49"/>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c r="AH272" s="34"/>
      <c r="AI272" s="34"/>
      <c r="AJ272" s="34"/>
      <c r="AK272" s="34"/>
      <c r="AL272" s="34"/>
      <c r="AM272" s="34"/>
      <c r="AN272" s="34"/>
      <c r="AO272" s="34"/>
    </row>
    <row r="273" spans="1:41" s="48" customFormat="1" x14ac:dyDescent="0.25">
      <c r="A273" s="34"/>
      <c r="B273" s="49"/>
      <c r="C273" s="49"/>
      <c r="D273" s="49"/>
      <c r="F273" s="49"/>
      <c r="G273" s="49"/>
      <c r="H273" s="49"/>
      <c r="J273" s="49"/>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c r="AI273" s="34"/>
      <c r="AJ273" s="34"/>
      <c r="AK273" s="34"/>
      <c r="AL273" s="34"/>
      <c r="AM273" s="34"/>
      <c r="AN273" s="34"/>
      <c r="AO273" s="34"/>
    </row>
    <row r="274" spans="1:41" s="48" customFormat="1" x14ac:dyDescent="0.25">
      <c r="A274" s="34"/>
      <c r="B274" s="49"/>
      <c r="C274" s="49"/>
      <c r="D274" s="49"/>
      <c r="F274" s="49"/>
      <c r="G274" s="49"/>
      <c r="H274" s="49"/>
      <c r="J274" s="49"/>
      <c r="K274" s="34"/>
      <c r="L274" s="34"/>
      <c r="M274" s="34"/>
      <c r="N274" s="34"/>
      <c r="O274" s="34"/>
      <c r="P274" s="34"/>
      <c r="Q274" s="34"/>
      <c r="R274" s="34"/>
      <c r="S274" s="34"/>
      <c r="T274" s="34"/>
      <c r="U274" s="34"/>
      <c r="V274" s="34"/>
      <c r="W274" s="34"/>
      <c r="X274" s="34"/>
      <c r="Y274" s="34"/>
      <c r="Z274" s="34"/>
      <c r="AA274" s="34"/>
      <c r="AB274" s="34"/>
      <c r="AC274" s="34"/>
      <c r="AD274" s="34"/>
      <c r="AE274" s="34"/>
      <c r="AF274" s="34"/>
      <c r="AG274" s="34"/>
      <c r="AH274" s="34"/>
      <c r="AI274" s="34"/>
      <c r="AJ274" s="34"/>
      <c r="AK274" s="34"/>
      <c r="AL274" s="34"/>
      <c r="AM274" s="34"/>
      <c r="AN274" s="34"/>
      <c r="AO274" s="34"/>
    </row>
    <row r="275" spans="1:41" s="48" customFormat="1" x14ac:dyDescent="0.25">
      <c r="A275" s="34"/>
      <c r="B275" s="49"/>
      <c r="C275" s="49"/>
      <c r="D275" s="49"/>
      <c r="F275" s="49"/>
      <c r="G275" s="49"/>
      <c r="H275" s="49"/>
      <c r="J275" s="49"/>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row>
    <row r="276" spans="1:41" s="48" customFormat="1" x14ac:dyDescent="0.25">
      <c r="A276" s="34"/>
      <c r="B276" s="49"/>
      <c r="C276" s="49"/>
      <c r="D276" s="49"/>
      <c r="F276" s="49"/>
      <c r="G276" s="49"/>
      <c r="H276" s="49"/>
      <c r="J276" s="49"/>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row>
    <row r="277" spans="1:41" s="48" customFormat="1" x14ac:dyDescent="0.25">
      <c r="A277" s="34"/>
      <c r="B277" s="49"/>
      <c r="C277" s="49"/>
      <c r="D277" s="49"/>
      <c r="F277" s="49"/>
      <c r="G277" s="49"/>
      <c r="H277" s="49"/>
      <c r="J277" s="49"/>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c r="AH277" s="34"/>
      <c r="AI277" s="34"/>
      <c r="AJ277" s="34"/>
      <c r="AK277" s="34"/>
      <c r="AL277" s="34"/>
      <c r="AM277" s="34"/>
      <c r="AN277" s="34"/>
      <c r="AO277" s="34"/>
    </row>
    <row r="278" spans="1:41" s="48" customFormat="1" x14ac:dyDescent="0.25">
      <c r="A278" s="34"/>
      <c r="B278" s="49"/>
      <c r="C278" s="49"/>
      <c r="D278" s="49"/>
      <c r="F278" s="49"/>
      <c r="G278" s="49"/>
      <c r="H278" s="49"/>
      <c r="J278" s="49"/>
      <c r="K278" s="34"/>
      <c r="L278" s="34"/>
      <c r="M278" s="34"/>
      <c r="N278" s="34"/>
      <c r="O278" s="34"/>
      <c r="P278" s="34"/>
      <c r="Q278" s="34"/>
      <c r="R278" s="34"/>
      <c r="S278" s="34"/>
      <c r="T278" s="34"/>
      <c r="U278" s="34"/>
      <c r="V278" s="34"/>
      <c r="W278" s="34"/>
      <c r="X278" s="34"/>
      <c r="Y278" s="34"/>
      <c r="Z278" s="34"/>
      <c r="AA278" s="34"/>
      <c r="AB278" s="34"/>
      <c r="AC278" s="34"/>
      <c r="AD278" s="34"/>
      <c r="AE278" s="34"/>
      <c r="AF278" s="34"/>
      <c r="AG278" s="34"/>
      <c r="AH278" s="34"/>
      <c r="AI278" s="34"/>
      <c r="AJ278" s="34"/>
      <c r="AK278" s="34"/>
      <c r="AL278" s="34"/>
      <c r="AM278" s="34"/>
      <c r="AN278" s="34"/>
      <c r="AO278" s="34"/>
    </row>
    <row r="279" spans="1:41" s="48" customFormat="1" x14ac:dyDescent="0.25">
      <c r="A279" s="34"/>
      <c r="B279" s="49"/>
      <c r="C279" s="49"/>
      <c r="D279" s="49"/>
      <c r="F279" s="49"/>
      <c r="G279" s="49"/>
      <c r="H279" s="49"/>
      <c r="J279" s="49"/>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row>
    <row r="280" spans="1:41" s="48" customFormat="1" x14ac:dyDescent="0.25">
      <c r="A280" s="34"/>
      <c r="B280" s="49"/>
      <c r="C280" s="49"/>
      <c r="D280" s="49"/>
      <c r="F280" s="49"/>
      <c r="G280" s="49"/>
      <c r="H280" s="49"/>
      <c r="J280" s="49"/>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row>
    <row r="281" spans="1:41" s="48" customFormat="1" x14ac:dyDescent="0.25">
      <c r="A281" s="34"/>
      <c r="B281" s="49"/>
      <c r="C281" s="49"/>
      <c r="D281" s="49"/>
      <c r="F281" s="49"/>
      <c r="G281" s="49"/>
      <c r="H281" s="49"/>
      <c r="J281" s="49"/>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row>
    <row r="282" spans="1:41" s="48" customFormat="1" x14ac:dyDescent="0.25">
      <c r="A282" s="34"/>
      <c r="B282" s="49"/>
      <c r="C282" s="49"/>
      <c r="D282" s="49"/>
      <c r="F282" s="49"/>
      <c r="G282" s="49"/>
      <c r="H282" s="49"/>
      <c r="J282" s="49"/>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row>
    <row r="283" spans="1:41" s="48" customFormat="1" x14ac:dyDescent="0.25">
      <c r="A283" s="34"/>
      <c r="B283" s="49"/>
      <c r="C283" s="49"/>
      <c r="D283" s="49"/>
      <c r="F283" s="49"/>
      <c r="G283" s="49"/>
      <c r="H283" s="49"/>
      <c r="J283" s="49"/>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row>
    <row r="284" spans="1:41" s="48" customFormat="1" x14ac:dyDescent="0.25">
      <c r="A284" s="34"/>
      <c r="B284" s="49"/>
      <c r="C284" s="49"/>
      <c r="D284" s="49"/>
      <c r="F284" s="49"/>
      <c r="G284" s="49"/>
      <c r="H284" s="49"/>
      <c r="J284" s="49"/>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row>
    <row r="285" spans="1:41" s="48" customFormat="1" x14ac:dyDescent="0.25">
      <c r="A285" s="34"/>
      <c r="B285" s="49"/>
      <c r="C285" s="49"/>
      <c r="D285" s="49"/>
      <c r="F285" s="49"/>
      <c r="G285" s="49"/>
      <c r="H285" s="49"/>
      <c r="J285" s="49"/>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row>
    <row r="286" spans="1:41" s="48" customFormat="1" x14ac:dyDescent="0.25">
      <c r="A286" s="34"/>
      <c r="B286" s="49"/>
      <c r="C286" s="49"/>
      <c r="D286" s="49"/>
      <c r="F286" s="49"/>
      <c r="G286" s="49"/>
      <c r="H286" s="49"/>
      <c r="J286" s="49"/>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row>
    <row r="287" spans="1:41" s="48" customFormat="1" x14ac:dyDescent="0.25">
      <c r="A287" s="34"/>
      <c r="B287" s="49"/>
      <c r="C287" s="49"/>
      <c r="D287" s="49"/>
      <c r="F287" s="49"/>
      <c r="G287" s="49"/>
      <c r="H287" s="49"/>
      <c r="J287" s="49"/>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row>
    <row r="288" spans="1:41" s="48" customFormat="1" x14ac:dyDescent="0.25">
      <c r="A288" s="34"/>
      <c r="B288" s="49"/>
      <c r="C288" s="49"/>
      <c r="D288" s="49"/>
      <c r="F288" s="49"/>
      <c r="G288" s="49"/>
      <c r="H288" s="49"/>
      <c r="J288" s="49"/>
      <c r="K288" s="34"/>
      <c r="L288" s="34"/>
      <c r="M288" s="34"/>
      <c r="N288" s="34"/>
      <c r="O288" s="34"/>
      <c r="P288" s="34"/>
      <c r="Q288" s="34"/>
      <c r="R288" s="34"/>
      <c r="S288" s="34"/>
      <c r="T288" s="34"/>
      <c r="U288" s="34"/>
      <c r="V288" s="34"/>
      <c r="W288" s="34"/>
      <c r="X288" s="34"/>
      <c r="Y288" s="34"/>
      <c r="Z288" s="34"/>
      <c r="AA288" s="34"/>
      <c r="AB288" s="34"/>
      <c r="AC288" s="34"/>
      <c r="AD288" s="34"/>
      <c r="AE288" s="34"/>
      <c r="AF288" s="34"/>
      <c r="AG288" s="34"/>
      <c r="AH288" s="34"/>
      <c r="AI288" s="34"/>
      <c r="AJ288" s="34"/>
      <c r="AK288" s="34"/>
      <c r="AL288" s="34"/>
      <c r="AM288" s="34"/>
      <c r="AN288" s="34"/>
      <c r="AO288" s="34"/>
    </row>
    <row r="289" spans="1:41" s="48" customFormat="1" x14ac:dyDescent="0.25">
      <c r="A289" s="34"/>
      <c r="B289" s="49"/>
      <c r="C289" s="49"/>
      <c r="D289" s="49"/>
      <c r="F289" s="49"/>
      <c r="G289" s="49"/>
      <c r="H289" s="49"/>
      <c r="J289" s="49"/>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row>
    <row r="290" spans="1:41" s="48" customFormat="1" x14ac:dyDescent="0.25">
      <c r="A290" s="34"/>
      <c r="B290" s="49"/>
      <c r="C290" s="49"/>
      <c r="D290" s="49"/>
      <c r="F290" s="49"/>
      <c r="G290" s="49"/>
      <c r="H290" s="49"/>
      <c r="J290" s="49"/>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4"/>
      <c r="AO290" s="34"/>
    </row>
    <row r="291" spans="1:41" s="48" customFormat="1" x14ac:dyDescent="0.25">
      <c r="A291" s="34"/>
      <c r="B291" s="49"/>
      <c r="C291" s="49"/>
      <c r="D291" s="49"/>
      <c r="F291" s="49"/>
      <c r="G291" s="49"/>
      <c r="H291" s="49"/>
      <c r="J291" s="49"/>
      <c r="K291" s="34"/>
      <c r="L291" s="34"/>
      <c r="M291" s="34"/>
      <c r="N291" s="34"/>
      <c r="O291" s="34"/>
      <c r="P291" s="34"/>
      <c r="Q291" s="34"/>
      <c r="R291" s="34"/>
      <c r="S291" s="34"/>
      <c r="T291" s="34"/>
      <c r="U291" s="34"/>
      <c r="V291" s="34"/>
      <c r="W291" s="34"/>
      <c r="X291" s="34"/>
      <c r="Y291" s="34"/>
      <c r="Z291" s="34"/>
      <c r="AA291" s="34"/>
      <c r="AB291" s="34"/>
      <c r="AC291" s="34"/>
      <c r="AD291" s="34"/>
      <c r="AE291" s="34"/>
      <c r="AF291" s="34"/>
      <c r="AG291" s="34"/>
      <c r="AH291" s="34"/>
      <c r="AI291" s="34"/>
      <c r="AJ291" s="34"/>
      <c r="AK291" s="34"/>
      <c r="AL291" s="34"/>
      <c r="AM291" s="34"/>
      <c r="AN291" s="34"/>
      <c r="AO291" s="34"/>
    </row>
    <row r="292" spans="1:41" s="48" customFormat="1" x14ac:dyDescent="0.25">
      <c r="A292" s="34"/>
      <c r="B292" s="49"/>
      <c r="C292" s="49"/>
      <c r="D292" s="49"/>
      <c r="F292" s="49"/>
      <c r="G292" s="49"/>
      <c r="H292" s="49"/>
      <c r="J292" s="49"/>
      <c r="K292" s="34"/>
      <c r="L292" s="34"/>
      <c r="M292" s="34"/>
      <c r="N292" s="34"/>
      <c r="O292" s="34"/>
      <c r="P292" s="34"/>
      <c r="Q292" s="34"/>
      <c r="R292" s="34"/>
      <c r="S292" s="34"/>
      <c r="T292" s="34"/>
      <c r="U292" s="34"/>
      <c r="V292" s="34"/>
      <c r="W292" s="34"/>
      <c r="X292" s="34"/>
      <c r="Y292" s="34"/>
      <c r="Z292" s="34"/>
      <c r="AA292" s="34"/>
      <c r="AB292" s="34"/>
      <c r="AC292" s="34"/>
      <c r="AD292" s="34"/>
      <c r="AE292" s="34"/>
      <c r="AF292" s="34"/>
      <c r="AG292" s="34"/>
      <c r="AH292" s="34"/>
      <c r="AI292" s="34"/>
      <c r="AJ292" s="34"/>
      <c r="AK292" s="34"/>
      <c r="AL292" s="34"/>
      <c r="AM292" s="34"/>
      <c r="AN292" s="34"/>
      <c r="AO292" s="34"/>
    </row>
    <row r="293" spans="1:41" s="48" customFormat="1" x14ac:dyDescent="0.25">
      <c r="A293" s="34"/>
      <c r="B293" s="49"/>
      <c r="C293" s="49"/>
      <c r="D293" s="49"/>
      <c r="F293" s="49"/>
      <c r="G293" s="49"/>
      <c r="H293" s="49"/>
      <c r="J293" s="49"/>
      <c r="K293" s="34"/>
      <c r="L293" s="34"/>
      <c r="M293" s="34"/>
      <c r="N293" s="34"/>
      <c r="O293" s="34"/>
      <c r="P293" s="34"/>
      <c r="Q293" s="34"/>
      <c r="R293" s="34"/>
      <c r="S293" s="34"/>
      <c r="T293" s="34"/>
      <c r="U293" s="34"/>
      <c r="V293" s="34"/>
      <c r="W293" s="34"/>
      <c r="X293" s="34"/>
      <c r="Y293" s="34"/>
      <c r="Z293" s="34"/>
      <c r="AA293" s="34"/>
      <c r="AB293" s="34"/>
      <c r="AC293" s="34"/>
      <c r="AD293" s="34"/>
      <c r="AE293" s="34"/>
      <c r="AF293" s="34"/>
      <c r="AG293" s="34"/>
      <c r="AH293" s="34"/>
      <c r="AI293" s="34"/>
      <c r="AJ293" s="34"/>
      <c r="AK293" s="34"/>
      <c r="AL293" s="34"/>
      <c r="AM293" s="34"/>
      <c r="AN293" s="34"/>
      <c r="AO293" s="34"/>
    </row>
    <row r="294" spans="1:41" s="48" customFormat="1" x14ac:dyDescent="0.25">
      <c r="A294" s="34"/>
      <c r="B294" s="49"/>
      <c r="C294" s="49"/>
      <c r="D294" s="49"/>
      <c r="F294" s="49"/>
      <c r="G294" s="49"/>
      <c r="H294" s="49"/>
      <c r="J294" s="49"/>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row>
    <row r="295" spans="1:41" s="48" customFormat="1" x14ac:dyDescent="0.25">
      <c r="A295" s="34"/>
      <c r="B295" s="49"/>
      <c r="C295" s="49"/>
      <c r="D295" s="49"/>
      <c r="F295" s="49"/>
      <c r="G295" s="49"/>
      <c r="H295" s="49"/>
      <c r="J295" s="49"/>
      <c r="K295" s="34"/>
      <c r="L295" s="34"/>
      <c r="M295" s="34"/>
      <c r="N295" s="34"/>
      <c r="O295" s="34"/>
      <c r="P295" s="34"/>
      <c r="Q295" s="34"/>
      <c r="R295" s="34"/>
      <c r="S295" s="34"/>
      <c r="T295" s="34"/>
      <c r="U295" s="34"/>
      <c r="V295" s="34"/>
      <c r="W295" s="34"/>
      <c r="X295" s="34"/>
      <c r="Y295" s="34"/>
      <c r="Z295" s="34"/>
      <c r="AA295" s="34"/>
      <c r="AB295" s="34"/>
      <c r="AC295" s="34"/>
      <c r="AD295" s="34"/>
      <c r="AE295" s="34"/>
      <c r="AF295" s="34"/>
      <c r="AG295" s="34"/>
      <c r="AH295" s="34"/>
      <c r="AI295" s="34"/>
      <c r="AJ295" s="34"/>
      <c r="AK295" s="34"/>
      <c r="AL295" s="34"/>
      <c r="AM295" s="34"/>
      <c r="AN295" s="34"/>
      <c r="AO295" s="34"/>
    </row>
    <row r="296" spans="1:41" s="48" customFormat="1" x14ac:dyDescent="0.25">
      <c r="A296" s="34"/>
      <c r="B296" s="49"/>
      <c r="C296" s="49"/>
      <c r="D296" s="49"/>
      <c r="F296" s="49"/>
      <c r="G296" s="49"/>
      <c r="H296" s="49"/>
      <c r="J296" s="49"/>
      <c r="K296" s="34"/>
      <c r="L296" s="34"/>
      <c r="M296" s="34"/>
      <c r="N296" s="34"/>
      <c r="O296" s="34"/>
      <c r="P296" s="34"/>
      <c r="Q296" s="34"/>
      <c r="R296" s="34"/>
      <c r="S296" s="34"/>
      <c r="T296" s="34"/>
      <c r="U296" s="34"/>
      <c r="V296" s="34"/>
      <c r="W296" s="34"/>
      <c r="X296" s="34"/>
      <c r="Y296" s="34"/>
      <c r="Z296" s="34"/>
      <c r="AA296" s="34"/>
      <c r="AB296" s="34"/>
      <c r="AC296" s="34"/>
      <c r="AD296" s="34"/>
      <c r="AE296" s="34"/>
      <c r="AF296" s="34"/>
      <c r="AG296" s="34"/>
      <c r="AH296" s="34"/>
      <c r="AI296" s="34"/>
      <c r="AJ296" s="34"/>
      <c r="AK296" s="34"/>
      <c r="AL296" s="34"/>
      <c r="AM296" s="34"/>
      <c r="AN296" s="34"/>
      <c r="AO296" s="34"/>
    </row>
    <row r="297" spans="1:41" s="48" customFormat="1" x14ac:dyDescent="0.25">
      <c r="A297" s="34"/>
      <c r="B297" s="49"/>
      <c r="C297" s="49"/>
      <c r="D297" s="49"/>
      <c r="F297" s="49"/>
      <c r="G297" s="49"/>
      <c r="H297" s="49"/>
      <c r="J297" s="49"/>
      <c r="K297" s="34"/>
      <c r="L297" s="34"/>
      <c r="M297" s="34"/>
      <c r="N297" s="34"/>
      <c r="O297" s="34"/>
      <c r="P297" s="34"/>
      <c r="Q297" s="34"/>
      <c r="R297" s="34"/>
      <c r="S297" s="34"/>
      <c r="T297" s="34"/>
      <c r="U297" s="34"/>
      <c r="V297" s="34"/>
      <c r="W297" s="34"/>
      <c r="X297" s="34"/>
      <c r="Y297" s="34"/>
      <c r="Z297" s="34"/>
      <c r="AA297" s="34"/>
      <c r="AB297" s="34"/>
      <c r="AC297" s="34"/>
      <c r="AD297" s="34"/>
      <c r="AE297" s="34"/>
      <c r="AF297" s="34"/>
      <c r="AG297" s="34"/>
      <c r="AH297" s="34"/>
      <c r="AI297" s="34"/>
      <c r="AJ297" s="34"/>
      <c r="AK297" s="34"/>
      <c r="AL297" s="34"/>
      <c r="AM297" s="34"/>
      <c r="AN297" s="34"/>
      <c r="AO297" s="34"/>
    </row>
    <row r="298" spans="1:41" s="48" customFormat="1" x14ac:dyDescent="0.25">
      <c r="A298" s="34"/>
      <c r="B298" s="49"/>
      <c r="C298" s="49"/>
      <c r="D298" s="49"/>
      <c r="F298" s="49"/>
      <c r="G298" s="49"/>
      <c r="H298" s="49"/>
      <c r="J298" s="49"/>
      <c r="K298" s="34"/>
      <c r="L298" s="34"/>
      <c r="M298" s="34"/>
      <c r="N298" s="34"/>
      <c r="O298" s="34"/>
      <c r="P298" s="34"/>
      <c r="Q298" s="34"/>
      <c r="R298" s="34"/>
      <c r="S298" s="34"/>
      <c r="T298" s="34"/>
      <c r="U298" s="34"/>
      <c r="V298" s="34"/>
      <c r="W298" s="34"/>
      <c r="X298" s="34"/>
      <c r="Y298" s="34"/>
      <c r="Z298" s="34"/>
      <c r="AA298" s="34"/>
      <c r="AB298" s="34"/>
      <c r="AC298" s="34"/>
      <c r="AD298" s="34"/>
      <c r="AE298" s="34"/>
      <c r="AF298" s="34"/>
      <c r="AG298" s="34"/>
      <c r="AH298" s="34"/>
      <c r="AI298" s="34"/>
      <c r="AJ298" s="34"/>
      <c r="AK298" s="34"/>
      <c r="AL298" s="34"/>
      <c r="AM298" s="34"/>
      <c r="AN298" s="34"/>
      <c r="AO298" s="34"/>
    </row>
    <row r="299" spans="1:41" s="48" customFormat="1" x14ac:dyDescent="0.25">
      <c r="A299" s="34"/>
      <c r="B299" s="49"/>
      <c r="C299" s="49"/>
      <c r="D299" s="49"/>
      <c r="F299" s="49"/>
      <c r="G299" s="49"/>
      <c r="H299" s="49"/>
      <c r="J299" s="49"/>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c r="AH299" s="34"/>
      <c r="AI299" s="34"/>
      <c r="AJ299" s="34"/>
      <c r="AK299" s="34"/>
      <c r="AL299" s="34"/>
      <c r="AM299" s="34"/>
      <c r="AN299" s="34"/>
      <c r="AO299" s="34"/>
    </row>
    <row r="300" spans="1:41" s="48" customFormat="1" x14ac:dyDescent="0.25">
      <c r="A300" s="34"/>
      <c r="B300" s="49"/>
      <c r="C300" s="49"/>
      <c r="D300" s="49"/>
      <c r="F300" s="49"/>
      <c r="G300" s="49"/>
      <c r="H300" s="49"/>
      <c r="J300" s="49"/>
      <c r="K300" s="34"/>
      <c r="L300" s="34"/>
      <c r="M300" s="34"/>
      <c r="N300" s="34"/>
      <c r="O300" s="34"/>
      <c r="P300" s="34"/>
      <c r="Q300" s="34"/>
      <c r="R300" s="34"/>
      <c r="S300" s="34"/>
      <c r="T300" s="34"/>
      <c r="U300" s="34"/>
      <c r="V300" s="34"/>
      <c r="W300" s="34"/>
      <c r="X300" s="34"/>
      <c r="Y300" s="34"/>
      <c r="Z300" s="34"/>
      <c r="AA300" s="34"/>
      <c r="AB300" s="34"/>
      <c r="AC300" s="34"/>
      <c r="AD300" s="34"/>
      <c r="AE300" s="34"/>
      <c r="AF300" s="34"/>
      <c r="AG300" s="34"/>
      <c r="AH300" s="34"/>
      <c r="AI300" s="34"/>
      <c r="AJ300" s="34"/>
      <c r="AK300" s="34"/>
      <c r="AL300" s="34"/>
      <c r="AM300" s="34"/>
      <c r="AN300" s="34"/>
      <c r="AO300" s="34"/>
    </row>
    <row r="301" spans="1:41" s="48" customFormat="1" x14ac:dyDescent="0.25">
      <c r="A301" s="34"/>
      <c r="B301" s="49"/>
      <c r="C301" s="49"/>
      <c r="D301" s="49"/>
      <c r="F301" s="49"/>
      <c r="G301" s="49"/>
      <c r="H301" s="49"/>
      <c r="J301" s="49"/>
      <c r="K301" s="34"/>
      <c r="L301" s="34"/>
      <c r="M301" s="34"/>
      <c r="N301" s="34"/>
      <c r="O301" s="34"/>
      <c r="P301" s="34"/>
      <c r="Q301" s="34"/>
      <c r="R301" s="34"/>
      <c r="S301" s="34"/>
      <c r="T301" s="34"/>
      <c r="U301" s="34"/>
      <c r="V301" s="34"/>
      <c r="W301" s="34"/>
      <c r="X301" s="34"/>
      <c r="Y301" s="34"/>
      <c r="Z301" s="34"/>
      <c r="AA301" s="34"/>
      <c r="AB301" s="34"/>
      <c r="AC301" s="34"/>
      <c r="AD301" s="34"/>
      <c r="AE301" s="34"/>
      <c r="AF301" s="34"/>
      <c r="AG301" s="34"/>
      <c r="AH301" s="34"/>
      <c r="AI301" s="34"/>
      <c r="AJ301" s="34"/>
      <c r="AK301" s="34"/>
      <c r="AL301" s="34"/>
      <c r="AM301" s="34"/>
      <c r="AN301" s="34"/>
      <c r="AO301" s="34"/>
    </row>
    <row r="302" spans="1:41" s="48" customFormat="1" x14ac:dyDescent="0.25">
      <c r="A302" s="34"/>
      <c r="B302" s="49"/>
      <c r="C302" s="49"/>
      <c r="D302" s="49"/>
      <c r="F302" s="49"/>
      <c r="G302" s="49"/>
      <c r="H302" s="49"/>
      <c r="J302" s="49"/>
      <c r="K302" s="34"/>
      <c r="L302" s="34"/>
      <c r="M302" s="34"/>
      <c r="N302" s="34"/>
      <c r="O302" s="34"/>
      <c r="P302" s="34"/>
      <c r="Q302" s="34"/>
      <c r="R302" s="34"/>
      <c r="S302" s="34"/>
      <c r="T302" s="34"/>
      <c r="U302" s="34"/>
      <c r="V302" s="34"/>
      <c r="W302" s="34"/>
      <c r="X302" s="34"/>
      <c r="Y302" s="34"/>
      <c r="Z302" s="34"/>
      <c r="AA302" s="34"/>
      <c r="AB302" s="34"/>
      <c r="AC302" s="34"/>
      <c r="AD302" s="34"/>
      <c r="AE302" s="34"/>
      <c r="AF302" s="34"/>
      <c r="AG302" s="34"/>
      <c r="AH302" s="34"/>
      <c r="AI302" s="34"/>
      <c r="AJ302" s="34"/>
      <c r="AK302" s="34"/>
      <c r="AL302" s="34"/>
      <c r="AM302" s="34"/>
      <c r="AN302" s="34"/>
      <c r="AO302" s="34"/>
    </row>
    <row r="303" spans="1:41" s="48" customFormat="1" x14ac:dyDescent="0.25">
      <c r="A303" s="34"/>
      <c r="B303" s="49"/>
      <c r="C303" s="49"/>
      <c r="D303" s="49"/>
      <c r="F303" s="49"/>
      <c r="G303" s="49"/>
      <c r="H303" s="49"/>
      <c r="J303" s="49"/>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row>
    <row r="304" spans="1:41" s="48" customFormat="1" x14ac:dyDescent="0.25">
      <c r="A304" s="34"/>
      <c r="B304" s="49"/>
      <c r="C304" s="49"/>
      <c r="D304" s="49"/>
      <c r="F304" s="49"/>
      <c r="G304" s="49"/>
      <c r="H304" s="49"/>
      <c r="J304" s="49"/>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row>
    <row r="305" spans="1:41" s="48" customFormat="1" x14ac:dyDescent="0.25">
      <c r="A305" s="34"/>
      <c r="B305" s="49"/>
      <c r="C305" s="49"/>
      <c r="D305" s="49"/>
      <c r="F305" s="49"/>
      <c r="G305" s="49"/>
      <c r="H305" s="49"/>
      <c r="J305" s="49"/>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row>
    <row r="306" spans="1:41" s="48" customFormat="1" x14ac:dyDescent="0.25">
      <c r="A306" s="34"/>
      <c r="B306" s="49"/>
      <c r="C306" s="49"/>
      <c r="D306" s="49"/>
      <c r="F306" s="49"/>
      <c r="G306" s="49"/>
      <c r="H306" s="49"/>
      <c r="J306" s="49"/>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row>
    <row r="307" spans="1:41" s="48" customFormat="1" x14ac:dyDescent="0.25">
      <c r="A307" s="34"/>
      <c r="B307" s="49"/>
      <c r="C307" s="49"/>
      <c r="D307" s="49"/>
      <c r="F307" s="49"/>
      <c r="G307" s="49"/>
      <c r="H307" s="49"/>
      <c r="J307" s="49"/>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row>
    <row r="308" spans="1:41" s="48" customFormat="1" x14ac:dyDescent="0.25">
      <c r="A308" s="34"/>
      <c r="B308" s="49"/>
      <c r="C308" s="49"/>
      <c r="D308" s="49"/>
      <c r="F308" s="49"/>
      <c r="G308" s="49"/>
      <c r="H308" s="49"/>
      <c r="J308" s="49"/>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row>
    <row r="309" spans="1:41" s="48" customFormat="1" x14ac:dyDescent="0.25">
      <c r="A309" s="34"/>
      <c r="B309" s="49"/>
      <c r="C309" s="49"/>
      <c r="D309" s="49"/>
      <c r="F309" s="49"/>
      <c r="G309" s="49"/>
      <c r="H309" s="49"/>
      <c r="J309" s="49"/>
      <c r="K309" s="34"/>
      <c r="L309" s="34"/>
      <c r="M309" s="34"/>
      <c r="N309" s="34"/>
      <c r="O309" s="34"/>
      <c r="P309" s="34"/>
      <c r="Q309" s="34"/>
      <c r="R309" s="34"/>
      <c r="S309" s="34"/>
      <c r="T309" s="34"/>
      <c r="U309" s="34"/>
      <c r="V309" s="34"/>
      <c r="W309" s="34"/>
      <c r="X309" s="34"/>
      <c r="Y309" s="34"/>
      <c r="Z309" s="34"/>
      <c r="AA309" s="34"/>
      <c r="AB309" s="34"/>
      <c r="AC309" s="34"/>
      <c r="AD309" s="34"/>
      <c r="AE309" s="34"/>
      <c r="AF309" s="34"/>
      <c r="AG309" s="34"/>
      <c r="AH309" s="34"/>
      <c r="AI309" s="34"/>
      <c r="AJ309" s="34"/>
      <c r="AK309" s="34"/>
      <c r="AL309" s="34"/>
      <c r="AM309" s="34"/>
      <c r="AN309" s="34"/>
      <c r="AO309" s="34"/>
    </row>
    <row r="310" spans="1:41" s="48" customFormat="1" x14ac:dyDescent="0.25">
      <c r="A310" s="34"/>
      <c r="B310" s="49"/>
      <c r="C310" s="49"/>
      <c r="D310" s="49"/>
      <c r="F310" s="49"/>
      <c r="G310" s="49"/>
      <c r="H310" s="49"/>
      <c r="J310" s="49"/>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M310" s="34"/>
      <c r="AN310" s="34"/>
      <c r="AO310" s="34"/>
    </row>
    <row r="311" spans="1:41" s="48" customFormat="1" x14ac:dyDescent="0.25">
      <c r="A311" s="34"/>
      <c r="B311" s="49"/>
      <c r="C311" s="49"/>
      <c r="D311" s="49"/>
      <c r="F311" s="49"/>
      <c r="G311" s="49"/>
      <c r="H311" s="49"/>
      <c r="J311" s="49"/>
      <c r="K311" s="34"/>
      <c r="L311" s="34"/>
      <c r="M311" s="34"/>
      <c r="N311" s="34"/>
      <c r="O311" s="34"/>
      <c r="P311" s="34"/>
      <c r="Q311" s="34"/>
      <c r="R311" s="34"/>
      <c r="S311" s="34"/>
      <c r="T311" s="34"/>
      <c r="U311" s="34"/>
      <c r="V311" s="34"/>
      <c r="W311" s="34"/>
      <c r="X311" s="34"/>
      <c r="Y311" s="34"/>
      <c r="Z311" s="34"/>
      <c r="AA311" s="34"/>
      <c r="AB311" s="34"/>
      <c r="AC311" s="34"/>
      <c r="AD311" s="34"/>
      <c r="AE311" s="34"/>
      <c r="AF311" s="34"/>
      <c r="AG311" s="34"/>
      <c r="AH311" s="34"/>
      <c r="AI311" s="34"/>
      <c r="AJ311" s="34"/>
      <c r="AK311" s="34"/>
      <c r="AL311" s="34"/>
      <c r="AM311" s="34"/>
      <c r="AN311" s="34"/>
      <c r="AO311" s="34"/>
    </row>
  </sheetData>
  <sheetProtection algorithmName="SHA-512" hashValue="p0QzmeDjM15Yu6VYhTIMrrKw2JeScHBbt0CMCjpIDv+iaYB2fRXUVqF6u30Lu8WDTB7wLkwkw3x/vUXtKYBSCQ==" saltValue="+eN3HZLJ6Z8/hDNYRRITuw==" spinCount="100000" sheet="1" objects="1" scenarios="1"/>
  <mergeCells count="13">
    <mergeCell ref="B4:E4"/>
    <mergeCell ref="G4:H4"/>
    <mergeCell ref="C1:E1"/>
    <mergeCell ref="C2:E2"/>
    <mergeCell ref="H2:J2"/>
    <mergeCell ref="B3:J3"/>
    <mergeCell ref="B31:J31"/>
    <mergeCell ref="J5:J27"/>
    <mergeCell ref="C28:G28"/>
    <mergeCell ref="C29:F29"/>
    <mergeCell ref="G29:J29"/>
    <mergeCell ref="C30:F30"/>
    <mergeCell ref="G30:J30"/>
  </mergeCells>
  <conditionalFormatting sqref="J28">
    <cfRule type="cellIs" dxfId="59" priority="26" operator="lessThan">
      <formula>0.4</formula>
    </cfRule>
    <cfRule type="cellIs" dxfId="58" priority="27" operator="greaterThan">
      <formula>0.3999</formula>
    </cfRule>
    <cfRule type="cellIs" dxfId="57" priority="28" operator="greaterThan">
      <formula>0.4999</formula>
    </cfRule>
    <cfRule type="cellIs" dxfId="56" priority="29" operator="greaterThan">
      <formula>0.5</formula>
    </cfRule>
    <cfRule type="cellIs" dxfId="55" priority="30" operator="lessThan">
      <formula>0.5</formula>
    </cfRule>
    <cfRule type="cellIs" dxfId="54" priority="31" operator="greaterThan">
      <formula>0.4999</formula>
    </cfRule>
  </conditionalFormatting>
  <conditionalFormatting sqref="F6">
    <cfRule type="cellIs" dxfId="53" priority="25" operator="greaterThan">
      <formula>$E$6</formula>
    </cfRule>
  </conditionalFormatting>
  <conditionalFormatting sqref="F7">
    <cfRule type="cellIs" dxfId="52" priority="24" operator="greaterThan">
      <formula>$E$7</formula>
    </cfRule>
  </conditionalFormatting>
  <conditionalFormatting sqref="F8">
    <cfRule type="cellIs" dxfId="51" priority="23" operator="greaterThan">
      <formula>$E$8</formula>
    </cfRule>
  </conditionalFormatting>
  <conditionalFormatting sqref="F9">
    <cfRule type="cellIs" dxfId="50" priority="22" operator="greaterThan">
      <formula>$E$9</formula>
    </cfRule>
  </conditionalFormatting>
  <conditionalFormatting sqref="F10">
    <cfRule type="cellIs" dxfId="49" priority="21" operator="greaterThan">
      <formula>$E$10</formula>
    </cfRule>
  </conditionalFormatting>
  <conditionalFormatting sqref="F11">
    <cfRule type="cellIs" dxfId="48" priority="20" operator="greaterThan">
      <formula>$E$11</formula>
    </cfRule>
  </conditionalFormatting>
  <conditionalFormatting sqref="F12">
    <cfRule type="cellIs" dxfId="47" priority="19" operator="greaterThan">
      <formula>$E$12</formula>
    </cfRule>
  </conditionalFormatting>
  <conditionalFormatting sqref="F13">
    <cfRule type="cellIs" dxfId="46" priority="18" operator="greaterThan">
      <formula>$E$13</formula>
    </cfRule>
  </conditionalFormatting>
  <conditionalFormatting sqref="F14">
    <cfRule type="cellIs" dxfId="45" priority="17" operator="greaterThan">
      <formula>$E$14</formula>
    </cfRule>
  </conditionalFormatting>
  <conditionalFormatting sqref="F15">
    <cfRule type="cellIs" dxfId="44" priority="16" operator="greaterThan">
      <formula>$E$15</formula>
    </cfRule>
  </conditionalFormatting>
  <conditionalFormatting sqref="F16">
    <cfRule type="cellIs" dxfId="43" priority="15" operator="greaterThan">
      <formula>$E$16</formula>
    </cfRule>
  </conditionalFormatting>
  <conditionalFormatting sqref="F17">
    <cfRule type="cellIs" dxfId="42" priority="14" operator="greaterThan">
      <formula>$E$17</formula>
    </cfRule>
  </conditionalFormatting>
  <conditionalFormatting sqref="F18">
    <cfRule type="cellIs" dxfId="41" priority="13" operator="greaterThan">
      <formula>$E$18</formula>
    </cfRule>
  </conditionalFormatting>
  <conditionalFormatting sqref="F19">
    <cfRule type="cellIs" dxfId="40" priority="12" operator="greaterThan">
      <formula>$E$19</formula>
    </cfRule>
  </conditionalFormatting>
  <conditionalFormatting sqref="F20">
    <cfRule type="cellIs" dxfId="39" priority="11" operator="greaterThan">
      <formula>$E$20</formula>
    </cfRule>
  </conditionalFormatting>
  <conditionalFormatting sqref="F21">
    <cfRule type="cellIs" dxfId="38" priority="10" operator="greaterThan">
      <formula>$E$21</formula>
    </cfRule>
  </conditionalFormatting>
  <conditionalFormatting sqref="F22">
    <cfRule type="cellIs" dxfId="37" priority="9" operator="greaterThan">
      <formula>$E$22</formula>
    </cfRule>
  </conditionalFormatting>
  <conditionalFormatting sqref="F23">
    <cfRule type="cellIs" dxfId="36" priority="8" operator="greaterThan">
      <formula>$E$23</formula>
    </cfRule>
  </conditionalFormatting>
  <conditionalFormatting sqref="F24">
    <cfRule type="cellIs" dxfId="35" priority="7" operator="greaterThan">
      <formula>$E$24</formula>
    </cfRule>
  </conditionalFormatting>
  <conditionalFormatting sqref="F25">
    <cfRule type="cellIs" dxfId="34" priority="6" operator="greaterThan">
      <formula>$E$25</formula>
    </cfRule>
  </conditionalFormatting>
  <conditionalFormatting sqref="F26">
    <cfRule type="cellIs" dxfId="33" priority="5" operator="greaterThan">
      <formula>$E$26</formula>
    </cfRule>
  </conditionalFormatting>
  <conditionalFormatting sqref="F27">
    <cfRule type="cellIs" dxfId="32" priority="4" operator="greaterThan">
      <formula>$E$27</formula>
    </cfRule>
  </conditionalFormatting>
  <conditionalFormatting sqref="I10">
    <cfRule type="cellIs" dxfId="31" priority="3" operator="lessThan">
      <formula>0.001</formula>
    </cfRule>
  </conditionalFormatting>
  <conditionalFormatting sqref="H11:I27">
    <cfRule type="cellIs" dxfId="30" priority="2" operator="lessThan">
      <formula>0.001</formula>
    </cfRule>
  </conditionalFormatting>
  <conditionalFormatting sqref="H6:I9 H10">
    <cfRule type="cellIs" dxfId="29" priority="1" operator="lessThan">
      <formula>0.001</formula>
    </cfRule>
  </conditionalFormatting>
  <pageMargins left="0.7" right="0.7" top="0.75" bottom="0.75" header="0.3" footer="0.3"/>
  <pageSetup scale="19"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W311"/>
  <sheetViews>
    <sheetView showGridLines="0" zoomScale="130" zoomScaleNormal="130" workbookViewId="0">
      <selection activeCell="L30" sqref="L30"/>
    </sheetView>
  </sheetViews>
  <sheetFormatPr defaultRowHeight="15" x14ac:dyDescent="0.25"/>
  <cols>
    <col min="1" max="1" width="9.140625" style="34" customWidth="1"/>
    <col min="2" max="2" width="7.28515625" style="9" customWidth="1"/>
    <col min="3" max="3" width="13" style="9" customWidth="1"/>
    <col min="4" max="4" width="13.5703125" style="9" customWidth="1"/>
    <col min="5" max="5" width="10.5703125" customWidth="1"/>
    <col min="6" max="6" width="11.85546875" style="9" customWidth="1"/>
    <col min="7" max="7" width="0.5703125" style="9" customWidth="1"/>
    <col min="8" max="8" width="13.140625" style="9" customWidth="1"/>
    <col min="9" max="9" width="11.7109375" customWidth="1"/>
    <col min="10" max="10" width="11.7109375" style="9" customWidth="1"/>
    <col min="11" max="41" width="9.140625" style="34"/>
  </cols>
  <sheetData>
    <row r="1" spans="1:49" s="34" customFormat="1" ht="32.25" customHeight="1" thickBot="1" x14ac:dyDescent="0.3">
      <c r="B1" s="37"/>
      <c r="C1" s="126" t="s">
        <v>13</v>
      </c>
      <c r="D1" s="126"/>
      <c r="E1" s="127"/>
      <c r="H1" s="37"/>
      <c r="J1" s="37"/>
    </row>
    <row r="2" spans="1:49" ht="15.75" thickBot="1" x14ac:dyDescent="0.3">
      <c r="B2" s="54" t="s">
        <v>19</v>
      </c>
      <c r="C2" s="128">
        <f>'Tab 1--3A, (AC 1-35)'!C2:D2</f>
        <v>0</v>
      </c>
      <c r="D2" s="128"/>
      <c r="E2" s="128"/>
      <c r="F2" s="56" t="s">
        <v>18</v>
      </c>
      <c r="G2" s="66"/>
      <c r="H2" s="122" t="str">
        <f>'Tab 1--3A, (AC 1-35)'!H2:J2</f>
        <v xml:space="preserve">HTC71124RCC01 Atch 1a </v>
      </c>
      <c r="I2" s="122"/>
      <c r="J2" s="146"/>
      <c r="K2" s="35"/>
      <c r="AP2" s="34"/>
      <c r="AQ2" s="34"/>
      <c r="AR2" s="34"/>
      <c r="AS2" s="34"/>
      <c r="AT2" s="34"/>
      <c r="AU2" s="34"/>
      <c r="AV2" s="34"/>
      <c r="AW2" s="34"/>
    </row>
    <row r="3" spans="1:49" s="4" customFormat="1" ht="37.5" customHeight="1" thickBot="1" x14ac:dyDescent="0.3">
      <c r="A3" s="34"/>
      <c r="B3" s="150" t="s">
        <v>14</v>
      </c>
      <c r="C3" s="151"/>
      <c r="D3" s="151"/>
      <c r="E3" s="151"/>
      <c r="F3" s="96">
        <f>'Tab 1--3A, (AC 1-35)'!F4</f>
        <v>0</v>
      </c>
      <c r="G3" s="75" t="s">
        <v>13</v>
      </c>
      <c r="H3" s="152" t="s">
        <v>33</v>
      </c>
      <c r="I3" s="153"/>
      <c r="J3" s="15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row>
    <row r="4" spans="1:49" ht="32.25" customHeight="1" thickBot="1" x14ac:dyDescent="0.4">
      <c r="B4" s="108" t="s">
        <v>48</v>
      </c>
      <c r="C4" s="147"/>
      <c r="D4" s="147"/>
      <c r="E4" s="147"/>
      <c r="F4" s="147"/>
      <c r="G4" s="147"/>
      <c r="H4" s="147"/>
      <c r="I4" s="147"/>
      <c r="J4" s="148"/>
      <c r="K4" s="35"/>
      <c r="AP4" s="34"/>
      <c r="AQ4" s="34"/>
      <c r="AR4" s="34"/>
      <c r="AS4" s="34"/>
      <c r="AT4" s="34"/>
      <c r="AU4" s="34"/>
      <c r="AV4" s="34"/>
      <c r="AW4" s="34"/>
    </row>
    <row r="5" spans="1:49" s="2" customFormat="1" ht="70.5" customHeight="1" thickBot="1" x14ac:dyDescent="0.3">
      <c r="A5" s="50"/>
      <c r="B5" s="88" t="s">
        <v>21</v>
      </c>
      <c r="C5" s="38" t="s">
        <v>44</v>
      </c>
      <c r="D5" s="22" t="s">
        <v>43</v>
      </c>
      <c r="E5" s="87" t="s">
        <v>39</v>
      </c>
      <c r="F5" s="89" t="s">
        <v>12</v>
      </c>
      <c r="G5" s="20"/>
      <c r="H5" s="91" t="s">
        <v>27</v>
      </c>
      <c r="I5" s="92" t="s">
        <v>28</v>
      </c>
      <c r="J5" s="124" t="s">
        <v>26</v>
      </c>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50"/>
      <c r="AN5" s="50"/>
      <c r="AO5" s="50"/>
    </row>
    <row r="6" spans="1:49" ht="15.75" thickTop="1" x14ac:dyDescent="0.25">
      <c r="B6" s="47">
        <v>1</v>
      </c>
      <c r="C6" s="27"/>
      <c r="D6" s="11"/>
      <c r="E6" s="19"/>
      <c r="F6" s="78"/>
      <c r="G6" s="78"/>
      <c r="H6" s="79">
        <f>E6</f>
        <v>0</v>
      </c>
      <c r="I6" s="80">
        <f>F6</f>
        <v>0</v>
      </c>
      <c r="J6" s="125"/>
    </row>
    <row r="7" spans="1:49" x14ac:dyDescent="0.25">
      <c r="B7" s="39">
        <v>2</v>
      </c>
      <c r="C7" s="27"/>
      <c r="D7" s="11"/>
      <c r="E7" s="19"/>
      <c r="F7" s="78"/>
      <c r="G7" s="78"/>
      <c r="H7" s="79">
        <f t="shared" ref="H7:H27" si="0">E7</f>
        <v>0</v>
      </c>
      <c r="I7" s="80">
        <f t="shared" ref="I7:I8" si="1">F7</f>
        <v>0</v>
      </c>
      <c r="J7" s="125"/>
    </row>
    <row r="8" spans="1:49" x14ac:dyDescent="0.25">
      <c r="B8" s="39">
        <v>3</v>
      </c>
      <c r="C8" s="27"/>
      <c r="D8" s="11"/>
      <c r="E8" s="19"/>
      <c r="F8" s="78"/>
      <c r="G8" s="78"/>
      <c r="H8" s="79">
        <f t="shared" si="0"/>
        <v>0</v>
      </c>
      <c r="I8" s="80">
        <f t="shared" si="1"/>
        <v>0</v>
      </c>
      <c r="J8" s="125"/>
    </row>
    <row r="9" spans="1:49" x14ac:dyDescent="0.25">
      <c r="B9" s="39">
        <v>4</v>
      </c>
      <c r="C9" s="27"/>
      <c r="D9" s="11"/>
      <c r="E9" s="19"/>
      <c r="F9" s="78"/>
      <c r="G9" s="78"/>
      <c r="H9" s="79">
        <f t="shared" si="0"/>
        <v>0</v>
      </c>
      <c r="I9" s="80">
        <f t="shared" ref="I9:I27" si="2">F9</f>
        <v>0</v>
      </c>
      <c r="J9" s="125"/>
    </row>
    <row r="10" spans="1:49" x14ac:dyDescent="0.25">
      <c r="B10" s="39">
        <v>5</v>
      </c>
      <c r="C10" s="27"/>
      <c r="D10" s="11"/>
      <c r="E10" s="19"/>
      <c r="F10" s="78"/>
      <c r="G10" s="78"/>
      <c r="H10" s="79">
        <f t="shared" si="0"/>
        <v>0</v>
      </c>
      <c r="I10" s="80">
        <f t="shared" si="2"/>
        <v>0</v>
      </c>
      <c r="J10" s="125"/>
      <c r="L10" s="51"/>
    </row>
    <row r="11" spans="1:49" x14ac:dyDescent="0.25">
      <c r="B11" s="39">
        <v>6</v>
      </c>
      <c r="C11" s="27"/>
      <c r="D11" s="11"/>
      <c r="E11" s="19"/>
      <c r="F11" s="78"/>
      <c r="G11" s="78"/>
      <c r="H11" s="79">
        <f t="shared" si="0"/>
        <v>0</v>
      </c>
      <c r="I11" s="80">
        <f t="shared" si="2"/>
        <v>0</v>
      </c>
      <c r="J11" s="125"/>
    </row>
    <row r="12" spans="1:49" x14ac:dyDescent="0.25">
      <c r="B12" s="39">
        <v>7</v>
      </c>
      <c r="C12" s="27"/>
      <c r="D12" s="11"/>
      <c r="E12" s="19"/>
      <c r="F12" s="78"/>
      <c r="G12" s="78"/>
      <c r="H12" s="79">
        <f t="shared" si="0"/>
        <v>0</v>
      </c>
      <c r="I12" s="80">
        <f t="shared" si="2"/>
        <v>0</v>
      </c>
      <c r="J12" s="125"/>
    </row>
    <row r="13" spans="1:49" x14ac:dyDescent="0.25">
      <c r="B13" s="39">
        <v>8</v>
      </c>
      <c r="C13" s="27"/>
      <c r="D13" s="11"/>
      <c r="E13" s="19"/>
      <c r="F13" s="78"/>
      <c r="G13" s="78"/>
      <c r="H13" s="79">
        <f t="shared" si="0"/>
        <v>0</v>
      </c>
      <c r="I13" s="80">
        <f t="shared" si="2"/>
        <v>0</v>
      </c>
      <c r="J13" s="125"/>
    </row>
    <row r="14" spans="1:49" x14ac:dyDescent="0.25">
      <c r="B14" s="39">
        <v>9</v>
      </c>
      <c r="C14" s="27"/>
      <c r="D14" s="11"/>
      <c r="E14" s="19"/>
      <c r="F14" s="78"/>
      <c r="G14" s="78"/>
      <c r="H14" s="79">
        <f t="shared" si="0"/>
        <v>0</v>
      </c>
      <c r="I14" s="80">
        <f t="shared" si="2"/>
        <v>0</v>
      </c>
      <c r="J14" s="125"/>
    </row>
    <row r="15" spans="1:49" x14ac:dyDescent="0.25">
      <c r="B15" s="39">
        <v>10</v>
      </c>
      <c r="C15" s="27"/>
      <c r="D15" s="11"/>
      <c r="E15" s="19"/>
      <c r="F15" s="78"/>
      <c r="G15" s="78"/>
      <c r="H15" s="79">
        <f t="shared" si="0"/>
        <v>0</v>
      </c>
      <c r="I15" s="80">
        <f t="shared" si="2"/>
        <v>0</v>
      </c>
      <c r="J15" s="125"/>
    </row>
    <row r="16" spans="1:49" x14ac:dyDescent="0.25">
      <c r="B16" s="39">
        <v>11</v>
      </c>
      <c r="C16" s="27"/>
      <c r="D16" s="11"/>
      <c r="E16" s="19"/>
      <c r="F16" s="78"/>
      <c r="G16" s="78"/>
      <c r="H16" s="79">
        <f t="shared" si="0"/>
        <v>0</v>
      </c>
      <c r="I16" s="80">
        <f t="shared" si="2"/>
        <v>0</v>
      </c>
      <c r="J16" s="125"/>
    </row>
    <row r="17" spans="1:49" x14ac:dyDescent="0.25">
      <c r="B17" s="39">
        <v>12</v>
      </c>
      <c r="C17" s="27"/>
      <c r="D17" s="11"/>
      <c r="E17" s="19"/>
      <c r="F17" s="78"/>
      <c r="G17" s="78"/>
      <c r="H17" s="79">
        <f t="shared" si="0"/>
        <v>0</v>
      </c>
      <c r="I17" s="80">
        <f t="shared" si="2"/>
        <v>0</v>
      </c>
      <c r="J17" s="125"/>
    </row>
    <row r="18" spans="1:49" x14ac:dyDescent="0.25">
      <c r="B18" s="39">
        <v>13</v>
      </c>
      <c r="C18" s="27"/>
      <c r="D18" s="11"/>
      <c r="E18" s="19"/>
      <c r="F18" s="78"/>
      <c r="G18" s="78"/>
      <c r="H18" s="79">
        <f t="shared" si="0"/>
        <v>0</v>
      </c>
      <c r="I18" s="80">
        <f t="shared" si="2"/>
        <v>0</v>
      </c>
      <c r="J18" s="125"/>
    </row>
    <row r="19" spans="1:49" x14ac:dyDescent="0.25">
      <c r="B19" s="39">
        <v>14</v>
      </c>
      <c r="C19" s="27"/>
      <c r="D19" s="11"/>
      <c r="E19" s="19"/>
      <c r="F19" s="78"/>
      <c r="G19" s="78"/>
      <c r="H19" s="79">
        <f t="shared" si="0"/>
        <v>0</v>
      </c>
      <c r="I19" s="80">
        <f t="shared" si="2"/>
        <v>0</v>
      </c>
      <c r="J19" s="125"/>
      <c r="N19" s="34" t="s">
        <v>13</v>
      </c>
    </row>
    <row r="20" spans="1:49" x14ac:dyDescent="0.25">
      <c r="B20" s="39">
        <v>15</v>
      </c>
      <c r="C20" s="27"/>
      <c r="D20" s="11"/>
      <c r="E20" s="19"/>
      <c r="F20" s="78"/>
      <c r="G20" s="78"/>
      <c r="H20" s="79">
        <f t="shared" si="0"/>
        <v>0</v>
      </c>
      <c r="I20" s="80">
        <f t="shared" si="2"/>
        <v>0</v>
      </c>
      <c r="J20" s="125"/>
    </row>
    <row r="21" spans="1:49" x14ac:dyDescent="0.25">
      <c r="B21" s="39">
        <v>16</v>
      </c>
      <c r="C21" s="27"/>
      <c r="D21" s="11"/>
      <c r="E21" s="19"/>
      <c r="F21" s="78"/>
      <c r="G21" s="78"/>
      <c r="H21" s="79">
        <f t="shared" si="0"/>
        <v>0</v>
      </c>
      <c r="I21" s="80">
        <f t="shared" si="2"/>
        <v>0</v>
      </c>
      <c r="J21" s="125"/>
    </row>
    <row r="22" spans="1:49" x14ac:dyDescent="0.25">
      <c r="B22" s="39">
        <v>17</v>
      </c>
      <c r="C22" s="27"/>
      <c r="D22" s="11"/>
      <c r="E22" s="19"/>
      <c r="F22" s="78"/>
      <c r="G22" s="78"/>
      <c r="H22" s="79">
        <f t="shared" si="0"/>
        <v>0</v>
      </c>
      <c r="I22" s="80">
        <f t="shared" si="2"/>
        <v>0</v>
      </c>
      <c r="J22" s="125"/>
    </row>
    <row r="23" spans="1:49" x14ac:dyDescent="0.25">
      <c r="B23" s="39">
        <v>18</v>
      </c>
      <c r="C23" s="27"/>
      <c r="D23" s="11"/>
      <c r="E23" s="19"/>
      <c r="F23" s="78"/>
      <c r="G23" s="78"/>
      <c r="H23" s="79">
        <f t="shared" si="0"/>
        <v>0</v>
      </c>
      <c r="I23" s="80">
        <f t="shared" si="2"/>
        <v>0</v>
      </c>
      <c r="J23" s="125"/>
    </row>
    <row r="24" spans="1:49" x14ac:dyDescent="0.25">
      <c r="B24" s="39">
        <v>19</v>
      </c>
      <c r="C24" s="27"/>
      <c r="D24" s="11"/>
      <c r="E24" s="19"/>
      <c r="F24" s="78"/>
      <c r="G24" s="78"/>
      <c r="H24" s="79">
        <f t="shared" si="0"/>
        <v>0</v>
      </c>
      <c r="I24" s="80">
        <f t="shared" si="2"/>
        <v>0</v>
      </c>
      <c r="J24" s="125"/>
    </row>
    <row r="25" spans="1:49" x14ac:dyDescent="0.25">
      <c r="B25" s="39">
        <v>20</v>
      </c>
      <c r="C25" s="27"/>
      <c r="D25" s="11"/>
      <c r="E25" s="19"/>
      <c r="F25" s="78"/>
      <c r="G25" s="78"/>
      <c r="H25" s="79">
        <f t="shared" si="0"/>
        <v>0</v>
      </c>
      <c r="I25" s="80">
        <f t="shared" si="2"/>
        <v>0</v>
      </c>
      <c r="J25" s="125"/>
    </row>
    <row r="26" spans="1:49" x14ac:dyDescent="0.25">
      <c r="B26" s="39">
        <v>21</v>
      </c>
      <c r="C26" s="27"/>
      <c r="D26" s="11"/>
      <c r="E26" s="19"/>
      <c r="F26" s="78"/>
      <c r="G26" s="78"/>
      <c r="H26" s="79">
        <f t="shared" si="0"/>
        <v>0</v>
      </c>
      <c r="I26" s="80">
        <f t="shared" si="2"/>
        <v>0</v>
      </c>
      <c r="J26" s="125"/>
    </row>
    <row r="27" spans="1:49" ht="15.75" thickBot="1" x14ac:dyDescent="0.3">
      <c r="B27" s="41">
        <v>22</v>
      </c>
      <c r="C27" s="45"/>
      <c r="D27" s="46"/>
      <c r="E27" s="19"/>
      <c r="F27" s="78"/>
      <c r="G27" s="78"/>
      <c r="H27" s="79">
        <f t="shared" si="0"/>
        <v>0</v>
      </c>
      <c r="I27" s="80">
        <f t="shared" si="2"/>
        <v>0</v>
      </c>
      <c r="J27" s="125"/>
    </row>
    <row r="28" spans="1:49" ht="27" customHeight="1" thickBot="1" x14ac:dyDescent="0.3">
      <c r="B28" s="31"/>
      <c r="C28" s="140" t="s">
        <v>11</v>
      </c>
      <c r="D28" s="141"/>
      <c r="E28" s="141"/>
      <c r="F28" s="141"/>
      <c r="G28" s="64"/>
      <c r="H28" s="43">
        <f>SUM(H6:H27)</f>
        <v>0</v>
      </c>
      <c r="I28" s="43">
        <f>SUM(I6:I27)</f>
        <v>0</v>
      </c>
      <c r="J28" s="76" t="e">
        <f>SUM(I28/H28)</f>
        <v>#DIV/0!</v>
      </c>
    </row>
    <row r="29" spans="1:49" s="3" customFormat="1" ht="24.75" customHeight="1" x14ac:dyDescent="0.25">
      <c r="A29" s="36"/>
      <c r="B29" s="42"/>
      <c r="C29" s="143"/>
      <c r="D29" s="143"/>
      <c r="E29" s="144"/>
      <c r="F29" s="144"/>
      <c r="G29" s="65"/>
      <c r="H29" s="144"/>
      <c r="I29" s="144"/>
      <c r="J29" s="145"/>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row>
    <row r="30" spans="1:49" s="3" customFormat="1" ht="66" customHeight="1" thickBot="1" x14ac:dyDescent="0.3">
      <c r="A30" s="36"/>
      <c r="B30" s="40"/>
      <c r="C30" s="149" t="s">
        <v>5</v>
      </c>
      <c r="D30" s="149"/>
      <c r="E30" s="138"/>
      <c r="F30" s="138"/>
      <c r="G30" s="63"/>
      <c r="H30" s="138"/>
      <c r="I30" s="138"/>
      <c r="J30" s="139"/>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row>
    <row r="31" spans="1:49" s="3" customFormat="1" ht="14.25" customHeight="1" thickBot="1" x14ac:dyDescent="0.3">
      <c r="A31" s="36"/>
      <c r="B31" s="134" t="s">
        <v>49</v>
      </c>
      <c r="C31" s="135"/>
      <c r="D31" s="135"/>
      <c r="E31" s="135"/>
      <c r="F31" s="135"/>
      <c r="G31" s="135"/>
      <c r="H31" s="135"/>
      <c r="I31" s="135"/>
      <c r="J31" s="135"/>
      <c r="K31" s="62"/>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row>
    <row r="32" spans="1:49" s="34" customFormat="1" x14ac:dyDescent="0.25">
      <c r="B32" s="60"/>
      <c r="C32" s="60"/>
      <c r="D32" s="60"/>
      <c r="E32" s="61"/>
      <c r="F32" s="60"/>
      <c r="G32" s="60"/>
      <c r="H32" s="60"/>
      <c r="I32" s="61"/>
      <c r="J32" s="60"/>
    </row>
    <row r="33" spans="2:10" s="34" customFormat="1" x14ac:dyDescent="0.25">
      <c r="B33" s="37"/>
      <c r="C33" s="52"/>
      <c r="D33" s="52"/>
      <c r="E33" s="51"/>
      <c r="F33" s="52"/>
      <c r="G33" s="52"/>
      <c r="H33" s="52"/>
      <c r="I33" s="51"/>
      <c r="J33" s="52"/>
    </row>
    <row r="34" spans="2:10" s="34" customFormat="1" x14ac:dyDescent="0.25">
      <c r="B34" s="37"/>
      <c r="C34" s="52"/>
      <c r="D34" s="52"/>
      <c r="E34" s="51"/>
      <c r="F34" s="52"/>
      <c r="G34" s="52"/>
      <c r="H34" s="52"/>
      <c r="I34" s="51"/>
      <c r="J34" s="52"/>
    </row>
    <row r="35" spans="2:10" s="34" customFormat="1" x14ac:dyDescent="0.25">
      <c r="B35" s="37"/>
      <c r="C35" s="52"/>
      <c r="D35" s="52"/>
      <c r="E35" s="51"/>
      <c r="F35" s="52"/>
      <c r="G35" s="52"/>
      <c r="H35" s="52"/>
      <c r="I35" s="51"/>
      <c r="J35" s="52"/>
    </row>
    <row r="36" spans="2:10" s="34" customFormat="1" x14ac:dyDescent="0.25">
      <c r="B36" s="37"/>
      <c r="C36" s="52"/>
      <c r="D36" s="52"/>
      <c r="E36" s="51"/>
      <c r="F36" s="52"/>
      <c r="G36" s="52"/>
      <c r="H36" s="52"/>
      <c r="I36" s="51"/>
      <c r="J36" s="52"/>
    </row>
    <row r="37" spans="2:10" s="34" customFormat="1" x14ac:dyDescent="0.25">
      <c r="B37" s="37"/>
      <c r="C37" s="37"/>
      <c r="D37" s="37"/>
      <c r="F37" s="37"/>
      <c r="G37" s="37"/>
      <c r="H37" s="37"/>
      <c r="J37" s="37"/>
    </row>
    <row r="38" spans="2:10" s="34" customFormat="1" x14ac:dyDescent="0.25">
      <c r="B38" s="37"/>
      <c r="C38" s="37"/>
      <c r="D38" s="37"/>
      <c r="F38" s="37"/>
      <c r="G38" s="37"/>
      <c r="H38" s="37"/>
      <c r="J38" s="37"/>
    </row>
    <row r="39" spans="2:10" s="34" customFormat="1" x14ac:dyDescent="0.25">
      <c r="B39" s="37"/>
      <c r="C39" s="37"/>
      <c r="D39" s="37"/>
      <c r="F39" s="37"/>
      <c r="G39" s="37"/>
      <c r="H39" s="37"/>
      <c r="J39" s="37"/>
    </row>
    <row r="40" spans="2:10" s="34" customFormat="1" x14ac:dyDescent="0.25">
      <c r="B40" s="37"/>
      <c r="C40" s="37"/>
      <c r="D40" s="37"/>
      <c r="F40" s="37"/>
      <c r="G40" s="37"/>
      <c r="H40" s="37"/>
      <c r="J40" s="37"/>
    </row>
    <row r="41" spans="2:10" s="34" customFormat="1" x14ac:dyDescent="0.25">
      <c r="B41" s="37"/>
      <c r="C41" s="37"/>
      <c r="D41" s="37"/>
      <c r="F41" s="37"/>
      <c r="G41" s="37"/>
      <c r="H41" s="37"/>
      <c r="J41" s="37"/>
    </row>
    <row r="42" spans="2:10" s="34" customFormat="1" x14ac:dyDescent="0.25">
      <c r="B42" s="37"/>
      <c r="C42" s="37"/>
      <c r="D42" s="37"/>
      <c r="F42" s="37"/>
      <c r="G42" s="37"/>
      <c r="H42" s="37"/>
      <c r="J42" s="37"/>
    </row>
    <row r="43" spans="2:10" s="34" customFormat="1" x14ac:dyDescent="0.25">
      <c r="B43" s="37"/>
      <c r="C43" s="37"/>
      <c r="D43" s="37"/>
      <c r="F43" s="37"/>
      <c r="G43" s="37"/>
      <c r="H43" s="37"/>
      <c r="J43" s="37"/>
    </row>
    <row r="44" spans="2:10" s="34" customFormat="1" x14ac:dyDescent="0.25">
      <c r="B44" s="37"/>
      <c r="C44" s="37"/>
      <c r="D44" s="37"/>
      <c r="F44" s="37"/>
      <c r="G44" s="37"/>
      <c r="H44" s="37"/>
      <c r="J44" s="37"/>
    </row>
    <row r="45" spans="2:10" s="34" customFormat="1" x14ac:dyDescent="0.25">
      <c r="B45" s="37"/>
      <c r="C45" s="37"/>
      <c r="D45" s="37"/>
      <c r="F45" s="37"/>
      <c r="G45" s="37"/>
      <c r="H45" s="37"/>
      <c r="J45" s="37"/>
    </row>
    <row r="46" spans="2:10" s="34" customFormat="1" x14ac:dyDescent="0.25">
      <c r="B46" s="37"/>
      <c r="C46" s="37"/>
      <c r="D46" s="37"/>
      <c r="F46" s="37"/>
      <c r="G46" s="37"/>
      <c r="H46" s="37"/>
      <c r="J46" s="37"/>
    </row>
    <row r="47" spans="2:10" s="34" customFormat="1" x14ac:dyDescent="0.25">
      <c r="B47" s="37"/>
      <c r="C47" s="37"/>
      <c r="D47" s="37"/>
      <c r="F47" s="37"/>
      <c r="G47" s="37"/>
      <c r="H47" s="37"/>
      <c r="J47" s="37"/>
    </row>
    <row r="48" spans="2:10" s="34" customFormat="1" x14ac:dyDescent="0.25">
      <c r="B48" s="37"/>
      <c r="C48" s="37"/>
      <c r="D48" s="37"/>
      <c r="F48" s="37"/>
      <c r="G48" s="37"/>
      <c r="H48" s="37"/>
      <c r="J48" s="37"/>
    </row>
    <row r="49" spans="2:10" s="34" customFormat="1" x14ac:dyDescent="0.25">
      <c r="B49" s="37"/>
      <c r="C49" s="37"/>
      <c r="D49" s="37"/>
      <c r="F49" s="37"/>
      <c r="G49" s="37"/>
      <c r="H49" s="37"/>
      <c r="J49" s="37"/>
    </row>
    <row r="50" spans="2:10" s="34" customFormat="1" x14ac:dyDescent="0.25">
      <c r="B50" s="37"/>
      <c r="C50" s="37"/>
      <c r="D50" s="37"/>
      <c r="F50" s="37"/>
      <c r="G50" s="37"/>
      <c r="H50" s="37"/>
      <c r="J50" s="37"/>
    </row>
    <row r="51" spans="2:10" s="34" customFormat="1" x14ac:dyDescent="0.25">
      <c r="B51" s="37"/>
      <c r="C51" s="37"/>
      <c r="D51" s="37"/>
      <c r="F51" s="37"/>
      <c r="G51" s="37"/>
      <c r="H51" s="37"/>
      <c r="J51" s="37"/>
    </row>
    <row r="52" spans="2:10" s="34" customFormat="1" x14ac:dyDescent="0.25">
      <c r="B52" s="37"/>
      <c r="C52" s="37"/>
      <c r="D52" s="37"/>
      <c r="F52" s="37"/>
      <c r="G52" s="37"/>
      <c r="H52" s="37"/>
      <c r="J52" s="37"/>
    </row>
    <row r="53" spans="2:10" s="34" customFormat="1" x14ac:dyDescent="0.25">
      <c r="B53" s="37"/>
      <c r="C53" s="37"/>
      <c r="D53" s="37"/>
      <c r="F53" s="37"/>
      <c r="G53" s="37"/>
      <c r="H53" s="37"/>
      <c r="J53" s="37"/>
    </row>
    <row r="54" spans="2:10" s="34" customFormat="1" x14ac:dyDescent="0.25">
      <c r="B54" s="37"/>
      <c r="C54" s="37"/>
      <c r="D54" s="37"/>
      <c r="F54" s="37"/>
      <c r="G54" s="37"/>
      <c r="H54" s="37"/>
      <c r="J54" s="37"/>
    </row>
    <row r="55" spans="2:10" s="34" customFormat="1" x14ac:dyDescent="0.25">
      <c r="B55" s="37"/>
      <c r="C55" s="37"/>
      <c r="D55" s="37"/>
      <c r="F55" s="37"/>
      <c r="G55" s="37"/>
      <c r="H55" s="37"/>
      <c r="J55" s="37"/>
    </row>
    <row r="56" spans="2:10" s="34" customFormat="1" x14ac:dyDescent="0.25">
      <c r="B56" s="37"/>
      <c r="C56" s="37"/>
      <c r="D56" s="37"/>
      <c r="F56" s="37"/>
      <c r="G56" s="37"/>
      <c r="H56" s="37"/>
      <c r="J56" s="37"/>
    </row>
    <row r="57" spans="2:10" s="34" customFormat="1" x14ac:dyDescent="0.25">
      <c r="B57" s="37"/>
      <c r="C57" s="37"/>
      <c r="D57" s="37"/>
      <c r="F57" s="37"/>
      <c r="G57" s="37"/>
      <c r="H57" s="37"/>
      <c r="J57" s="37"/>
    </row>
    <row r="58" spans="2:10" s="34" customFormat="1" x14ac:dyDescent="0.25">
      <c r="B58" s="37"/>
      <c r="C58" s="37"/>
      <c r="D58" s="37"/>
      <c r="F58" s="37"/>
      <c r="G58" s="37"/>
      <c r="H58" s="37"/>
      <c r="J58" s="37"/>
    </row>
    <row r="59" spans="2:10" s="34" customFormat="1" x14ac:dyDescent="0.25">
      <c r="B59" s="37"/>
      <c r="C59" s="37"/>
      <c r="D59" s="37"/>
      <c r="F59" s="37"/>
      <c r="G59" s="37"/>
      <c r="H59" s="37"/>
      <c r="J59" s="37"/>
    </row>
    <row r="60" spans="2:10" s="34" customFormat="1" x14ac:dyDescent="0.25">
      <c r="B60" s="37"/>
      <c r="C60" s="37"/>
      <c r="D60" s="37"/>
      <c r="F60" s="37"/>
      <c r="G60" s="37"/>
      <c r="H60" s="37"/>
      <c r="J60" s="37"/>
    </row>
    <row r="61" spans="2:10" s="34" customFormat="1" x14ac:dyDescent="0.25">
      <c r="B61" s="37"/>
      <c r="C61" s="37"/>
      <c r="D61" s="37"/>
      <c r="F61" s="37"/>
      <c r="G61" s="37"/>
      <c r="H61" s="37"/>
      <c r="J61" s="37"/>
    </row>
    <row r="62" spans="2:10" s="34" customFormat="1" x14ac:dyDescent="0.25">
      <c r="B62" s="37"/>
      <c r="C62" s="37"/>
      <c r="D62" s="37"/>
      <c r="F62" s="37"/>
      <c r="G62" s="37"/>
      <c r="H62" s="37"/>
      <c r="J62" s="37"/>
    </row>
    <row r="63" spans="2:10" s="34" customFormat="1" x14ac:dyDescent="0.25">
      <c r="B63" s="37"/>
      <c r="C63" s="37"/>
      <c r="D63" s="37"/>
      <c r="F63" s="37"/>
      <c r="G63" s="37"/>
      <c r="H63" s="37"/>
      <c r="J63" s="37"/>
    </row>
    <row r="64" spans="2:10" s="34" customFormat="1" x14ac:dyDescent="0.25">
      <c r="B64" s="37"/>
      <c r="C64" s="37"/>
      <c r="D64" s="37"/>
      <c r="F64" s="37"/>
      <c r="G64" s="37"/>
      <c r="H64" s="37"/>
      <c r="J64" s="37"/>
    </row>
    <row r="65" spans="2:10" s="34" customFormat="1" x14ac:dyDescent="0.25">
      <c r="B65" s="37"/>
      <c r="C65" s="37"/>
      <c r="D65" s="37"/>
      <c r="F65" s="37"/>
      <c r="G65" s="37"/>
      <c r="H65" s="37"/>
      <c r="J65" s="37"/>
    </row>
    <row r="66" spans="2:10" s="34" customFormat="1" x14ac:dyDescent="0.25">
      <c r="B66" s="37"/>
      <c r="C66" s="37"/>
      <c r="D66" s="37"/>
      <c r="F66" s="37"/>
      <c r="G66" s="37"/>
      <c r="H66" s="37"/>
      <c r="J66" s="37"/>
    </row>
    <row r="67" spans="2:10" s="34" customFormat="1" x14ac:dyDescent="0.25">
      <c r="B67" s="37"/>
      <c r="C67" s="37"/>
      <c r="D67" s="37"/>
      <c r="F67" s="37"/>
      <c r="G67" s="37"/>
      <c r="H67" s="37"/>
      <c r="J67" s="37"/>
    </row>
    <row r="68" spans="2:10" s="34" customFormat="1" x14ac:dyDescent="0.25">
      <c r="B68" s="37"/>
      <c r="C68" s="37"/>
      <c r="D68" s="37"/>
      <c r="F68" s="37"/>
      <c r="G68" s="37"/>
      <c r="H68" s="37"/>
      <c r="J68" s="37"/>
    </row>
    <row r="69" spans="2:10" s="34" customFormat="1" x14ac:dyDescent="0.25">
      <c r="B69" s="37"/>
      <c r="C69" s="37"/>
      <c r="D69" s="37"/>
      <c r="F69" s="37"/>
      <c r="G69" s="37"/>
      <c r="H69" s="37"/>
      <c r="J69" s="37"/>
    </row>
    <row r="70" spans="2:10" s="34" customFormat="1" x14ac:dyDescent="0.25">
      <c r="B70" s="37"/>
      <c r="C70" s="37"/>
      <c r="D70" s="37"/>
      <c r="F70" s="37"/>
      <c r="G70" s="37"/>
      <c r="H70" s="37"/>
      <c r="J70" s="37"/>
    </row>
    <row r="71" spans="2:10" s="34" customFormat="1" x14ac:dyDescent="0.25">
      <c r="B71" s="37"/>
      <c r="C71" s="37"/>
      <c r="D71" s="37"/>
      <c r="F71" s="37"/>
      <c r="G71" s="37"/>
      <c r="H71" s="37"/>
      <c r="J71" s="37"/>
    </row>
    <row r="72" spans="2:10" s="34" customFormat="1" x14ac:dyDescent="0.25">
      <c r="B72" s="37"/>
      <c r="C72" s="37"/>
      <c r="D72" s="37"/>
      <c r="F72" s="37"/>
      <c r="G72" s="37"/>
      <c r="H72" s="37"/>
      <c r="J72" s="37"/>
    </row>
    <row r="73" spans="2:10" s="34" customFormat="1" x14ac:dyDescent="0.25">
      <c r="B73" s="37"/>
      <c r="C73" s="37"/>
      <c r="D73" s="37"/>
      <c r="F73" s="37"/>
      <c r="G73" s="37"/>
      <c r="H73" s="37"/>
      <c r="J73" s="37"/>
    </row>
    <row r="74" spans="2:10" s="34" customFormat="1" x14ac:dyDescent="0.25">
      <c r="B74" s="37"/>
      <c r="C74" s="37"/>
      <c r="D74" s="37"/>
      <c r="F74" s="37"/>
      <c r="G74" s="37"/>
      <c r="H74" s="37"/>
      <c r="J74" s="37"/>
    </row>
    <row r="75" spans="2:10" s="34" customFormat="1" x14ac:dyDescent="0.25">
      <c r="B75" s="37"/>
      <c r="C75" s="37"/>
      <c r="D75" s="37"/>
      <c r="F75" s="37"/>
      <c r="G75" s="37"/>
      <c r="H75" s="37"/>
      <c r="J75" s="37"/>
    </row>
    <row r="76" spans="2:10" s="34" customFormat="1" x14ac:dyDescent="0.25">
      <c r="B76" s="37"/>
      <c r="C76" s="37"/>
      <c r="D76" s="37"/>
      <c r="F76" s="37"/>
      <c r="G76" s="37"/>
      <c r="H76" s="37"/>
      <c r="J76" s="37"/>
    </row>
    <row r="77" spans="2:10" s="34" customFormat="1" x14ac:dyDescent="0.25">
      <c r="B77" s="37"/>
      <c r="C77" s="37"/>
      <c r="D77" s="37"/>
      <c r="F77" s="37"/>
      <c r="G77" s="37"/>
      <c r="H77" s="37"/>
      <c r="J77" s="37"/>
    </row>
    <row r="78" spans="2:10" s="34" customFormat="1" x14ac:dyDescent="0.25">
      <c r="B78" s="37"/>
      <c r="C78" s="37"/>
      <c r="D78" s="37"/>
      <c r="F78" s="37"/>
      <c r="G78" s="37"/>
      <c r="H78" s="37"/>
      <c r="J78" s="37"/>
    </row>
    <row r="79" spans="2:10" s="34" customFormat="1" x14ac:dyDescent="0.25">
      <c r="B79" s="37"/>
      <c r="C79" s="37"/>
      <c r="D79" s="37"/>
      <c r="F79" s="37"/>
      <c r="G79" s="37"/>
      <c r="H79" s="37"/>
      <c r="J79" s="37"/>
    </row>
    <row r="80" spans="2:10" s="34" customFormat="1" x14ac:dyDescent="0.25">
      <c r="B80" s="37"/>
      <c r="C80" s="37"/>
      <c r="D80" s="37"/>
      <c r="F80" s="37"/>
      <c r="G80" s="37"/>
      <c r="H80" s="37"/>
      <c r="J80" s="37"/>
    </row>
    <row r="81" spans="2:10" s="34" customFormat="1" x14ac:dyDescent="0.25">
      <c r="B81" s="37"/>
      <c r="C81" s="37"/>
      <c r="D81" s="37"/>
      <c r="F81" s="37"/>
      <c r="G81" s="37"/>
      <c r="H81" s="37"/>
      <c r="J81" s="37"/>
    </row>
    <row r="82" spans="2:10" s="34" customFormat="1" x14ac:dyDescent="0.25">
      <c r="B82" s="37"/>
      <c r="C82" s="37"/>
      <c r="D82" s="37"/>
      <c r="F82" s="37"/>
      <c r="G82" s="37"/>
      <c r="H82" s="37"/>
      <c r="J82" s="37"/>
    </row>
    <row r="83" spans="2:10" s="34" customFormat="1" x14ac:dyDescent="0.25">
      <c r="B83" s="37"/>
      <c r="C83" s="37"/>
      <c r="D83" s="37"/>
      <c r="F83" s="37"/>
      <c r="G83" s="37"/>
      <c r="H83" s="37"/>
      <c r="J83" s="37"/>
    </row>
    <row r="84" spans="2:10" s="34" customFormat="1" x14ac:dyDescent="0.25">
      <c r="B84" s="37"/>
      <c r="C84" s="37"/>
      <c r="D84" s="37"/>
      <c r="F84" s="37"/>
      <c r="G84" s="37"/>
      <c r="H84" s="37"/>
      <c r="J84" s="37"/>
    </row>
    <row r="85" spans="2:10" s="34" customFormat="1" x14ac:dyDescent="0.25">
      <c r="B85" s="37"/>
      <c r="C85" s="37"/>
      <c r="D85" s="37"/>
      <c r="F85" s="37"/>
      <c r="G85" s="37"/>
      <c r="H85" s="37"/>
      <c r="J85" s="37"/>
    </row>
    <row r="86" spans="2:10" s="34" customFormat="1" x14ac:dyDescent="0.25">
      <c r="B86" s="37"/>
      <c r="C86" s="37"/>
      <c r="D86" s="37"/>
      <c r="F86" s="37"/>
      <c r="G86" s="37"/>
      <c r="H86" s="37"/>
      <c r="J86" s="37"/>
    </row>
    <row r="87" spans="2:10" s="34" customFormat="1" x14ac:dyDescent="0.25">
      <c r="B87" s="37"/>
      <c r="C87" s="37"/>
      <c r="D87" s="37"/>
      <c r="F87" s="37"/>
      <c r="G87" s="37"/>
      <c r="H87" s="37"/>
      <c r="J87" s="37"/>
    </row>
    <row r="88" spans="2:10" s="34" customFormat="1" x14ac:dyDescent="0.25">
      <c r="B88" s="37"/>
      <c r="C88" s="37"/>
      <c r="D88" s="37"/>
      <c r="F88" s="37"/>
      <c r="G88" s="37"/>
      <c r="H88" s="37"/>
      <c r="J88" s="37"/>
    </row>
    <row r="89" spans="2:10" s="34" customFormat="1" x14ac:dyDescent="0.25">
      <c r="B89" s="37"/>
      <c r="C89" s="37"/>
      <c r="D89" s="37"/>
      <c r="F89" s="37"/>
      <c r="G89" s="37"/>
      <c r="H89" s="37"/>
      <c r="J89" s="37"/>
    </row>
    <row r="90" spans="2:10" s="34" customFormat="1" x14ac:dyDescent="0.25">
      <c r="B90" s="37"/>
      <c r="C90" s="37"/>
      <c r="D90" s="37"/>
      <c r="F90" s="37"/>
      <c r="G90" s="37"/>
      <c r="H90" s="37"/>
      <c r="J90" s="37"/>
    </row>
    <row r="91" spans="2:10" s="34" customFormat="1" x14ac:dyDescent="0.25">
      <c r="B91" s="37"/>
      <c r="C91" s="37"/>
      <c r="D91" s="37"/>
      <c r="F91" s="37"/>
      <c r="G91" s="37"/>
      <c r="H91" s="37"/>
      <c r="J91" s="37"/>
    </row>
    <row r="92" spans="2:10" s="34" customFormat="1" x14ac:dyDescent="0.25">
      <c r="B92" s="37"/>
      <c r="C92" s="37"/>
      <c r="D92" s="37"/>
      <c r="F92" s="37"/>
      <c r="G92" s="37"/>
      <c r="H92" s="37"/>
      <c r="J92" s="37"/>
    </row>
    <row r="93" spans="2:10" s="34" customFormat="1" x14ac:dyDescent="0.25">
      <c r="B93" s="37"/>
      <c r="C93" s="37"/>
      <c r="D93" s="37"/>
      <c r="F93" s="37"/>
      <c r="G93" s="37"/>
      <c r="H93" s="37"/>
      <c r="J93" s="37"/>
    </row>
    <row r="94" spans="2:10" s="34" customFormat="1" x14ac:dyDescent="0.25">
      <c r="B94" s="37"/>
      <c r="C94" s="37"/>
      <c r="D94" s="37"/>
      <c r="F94" s="37"/>
      <c r="G94" s="37"/>
      <c r="H94" s="37"/>
      <c r="J94" s="37"/>
    </row>
    <row r="95" spans="2:10" s="34" customFormat="1" x14ac:dyDescent="0.25">
      <c r="B95" s="37"/>
      <c r="C95" s="37"/>
      <c r="D95" s="37"/>
      <c r="F95" s="37"/>
      <c r="G95" s="37"/>
      <c r="H95" s="37"/>
      <c r="J95" s="37"/>
    </row>
    <row r="96" spans="2:10" s="34" customFormat="1" x14ac:dyDescent="0.25">
      <c r="B96" s="37"/>
      <c r="C96" s="37"/>
      <c r="D96" s="37"/>
      <c r="F96" s="37"/>
      <c r="G96" s="37"/>
      <c r="H96" s="37"/>
      <c r="J96" s="37"/>
    </row>
    <row r="97" spans="2:10" s="34" customFormat="1" x14ac:dyDescent="0.25">
      <c r="B97" s="37"/>
      <c r="C97" s="37"/>
      <c r="D97" s="37"/>
      <c r="F97" s="37"/>
      <c r="G97" s="37"/>
      <c r="H97" s="37"/>
      <c r="J97" s="37"/>
    </row>
    <row r="98" spans="2:10" s="34" customFormat="1" x14ac:dyDescent="0.25">
      <c r="B98" s="37"/>
      <c r="C98" s="37"/>
      <c r="D98" s="37"/>
      <c r="F98" s="37"/>
      <c r="G98" s="37"/>
      <c r="H98" s="37"/>
      <c r="J98" s="37"/>
    </row>
    <row r="99" spans="2:10" s="34" customFormat="1" x14ac:dyDescent="0.25">
      <c r="B99" s="37"/>
      <c r="C99" s="37"/>
      <c r="D99" s="37"/>
      <c r="F99" s="37"/>
      <c r="G99" s="37"/>
      <c r="H99" s="37"/>
      <c r="J99" s="37"/>
    </row>
    <row r="100" spans="2:10" s="34" customFormat="1" x14ac:dyDescent="0.25">
      <c r="B100" s="37"/>
      <c r="C100" s="37"/>
      <c r="D100" s="37"/>
      <c r="F100" s="37"/>
      <c r="G100" s="37"/>
      <c r="H100" s="37"/>
      <c r="J100" s="37"/>
    </row>
    <row r="101" spans="2:10" s="34" customFormat="1" x14ac:dyDescent="0.25">
      <c r="B101" s="37"/>
      <c r="C101" s="37"/>
      <c r="D101" s="37"/>
      <c r="F101" s="37"/>
      <c r="G101" s="37"/>
      <c r="H101" s="37"/>
      <c r="J101" s="37"/>
    </row>
    <row r="102" spans="2:10" s="34" customFormat="1" x14ac:dyDescent="0.25">
      <c r="B102" s="37"/>
      <c r="C102" s="37"/>
      <c r="D102" s="37"/>
      <c r="F102" s="37"/>
      <c r="G102" s="37"/>
      <c r="H102" s="37"/>
      <c r="J102" s="37"/>
    </row>
    <row r="103" spans="2:10" s="34" customFormat="1" x14ac:dyDescent="0.25">
      <c r="B103" s="37"/>
      <c r="C103" s="37"/>
      <c r="D103" s="37"/>
      <c r="F103" s="37"/>
      <c r="G103" s="37"/>
      <c r="H103" s="37"/>
      <c r="J103" s="37"/>
    </row>
    <row r="104" spans="2:10" s="34" customFormat="1" x14ac:dyDescent="0.25">
      <c r="B104" s="37"/>
      <c r="C104" s="37"/>
      <c r="D104" s="37"/>
      <c r="F104" s="37"/>
      <c r="G104" s="37"/>
      <c r="H104" s="37"/>
      <c r="J104" s="37"/>
    </row>
    <row r="105" spans="2:10" s="34" customFormat="1" x14ac:dyDescent="0.25">
      <c r="B105" s="37"/>
      <c r="C105" s="37"/>
      <c r="D105" s="37"/>
      <c r="F105" s="37"/>
      <c r="G105" s="37"/>
      <c r="H105" s="37"/>
      <c r="J105" s="37"/>
    </row>
    <row r="106" spans="2:10" s="34" customFormat="1" x14ac:dyDescent="0.25">
      <c r="B106" s="37"/>
      <c r="C106" s="37"/>
      <c r="D106" s="37"/>
      <c r="F106" s="37"/>
      <c r="G106" s="37"/>
      <c r="H106" s="37"/>
      <c r="J106" s="37"/>
    </row>
    <row r="107" spans="2:10" s="34" customFormat="1" x14ac:dyDescent="0.25">
      <c r="B107" s="37"/>
      <c r="C107" s="37"/>
      <c r="D107" s="37"/>
      <c r="F107" s="37"/>
      <c r="G107" s="37"/>
      <c r="H107" s="37"/>
      <c r="J107" s="37"/>
    </row>
    <row r="108" spans="2:10" s="34" customFormat="1" x14ac:dyDescent="0.25">
      <c r="B108" s="37"/>
      <c r="C108" s="37"/>
      <c r="D108" s="37"/>
      <c r="F108" s="37"/>
      <c r="G108" s="37"/>
      <c r="H108" s="37"/>
      <c r="J108" s="37"/>
    </row>
    <row r="109" spans="2:10" s="34" customFormat="1" x14ac:dyDescent="0.25">
      <c r="B109" s="37"/>
      <c r="C109" s="37"/>
      <c r="D109" s="37"/>
      <c r="F109" s="37"/>
      <c r="G109" s="37"/>
      <c r="H109" s="37"/>
      <c r="J109" s="37"/>
    </row>
    <row r="110" spans="2:10" s="34" customFormat="1" x14ac:dyDescent="0.25">
      <c r="B110" s="37"/>
      <c r="C110" s="37"/>
      <c r="D110" s="37"/>
      <c r="F110" s="37"/>
      <c r="G110" s="37"/>
      <c r="H110" s="37"/>
      <c r="J110" s="37"/>
    </row>
    <row r="111" spans="2:10" s="34" customFormat="1" x14ac:dyDescent="0.25">
      <c r="B111" s="37"/>
      <c r="C111" s="37"/>
      <c r="D111" s="37"/>
      <c r="F111" s="37"/>
      <c r="G111" s="37"/>
      <c r="H111" s="37"/>
      <c r="J111" s="37"/>
    </row>
    <row r="112" spans="2:10" s="34" customFormat="1" x14ac:dyDescent="0.25">
      <c r="B112" s="37"/>
      <c r="C112" s="37"/>
      <c r="D112" s="37"/>
      <c r="F112" s="37"/>
      <c r="G112" s="37"/>
      <c r="H112" s="37"/>
      <c r="J112" s="37"/>
    </row>
    <row r="113" spans="2:10" s="34" customFormat="1" x14ac:dyDescent="0.25">
      <c r="B113" s="37"/>
      <c r="C113" s="37"/>
      <c r="D113" s="37"/>
      <c r="F113" s="37"/>
      <c r="G113" s="37"/>
      <c r="H113" s="37"/>
      <c r="J113" s="37"/>
    </row>
    <row r="114" spans="2:10" s="34" customFormat="1" x14ac:dyDescent="0.25">
      <c r="B114" s="37"/>
      <c r="C114" s="37"/>
      <c r="D114" s="37"/>
      <c r="F114" s="37"/>
      <c r="G114" s="37"/>
      <c r="H114" s="37"/>
      <c r="J114" s="37"/>
    </row>
    <row r="115" spans="2:10" s="34" customFormat="1" x14ac:dyDescent="0.25">
      <c r="B115" s="37"/>
      <c r="C115" s="37"/>
      <c r="D115" s="37"/>
      <c r="F115" s="37"/>
      <c r="G115" s="37"/>
      <c r="H115" s="37"/>
      <c r="J115" s="37"/>
    </row>
    <row r="116" spans="2:10" s="34" customFormat="1" x14ac:dyDescent="0.25">
      <c r="B116" s="37"/>
      <c r="C116" s="37"/>
      <c r="D116" s="37"/>
      <c r="F116" s="37"/>
      <c r="G116" s="37"/>
      <c r="H116" s="37"/>
      <c r="J116" s="37"/>
    </row>
    <row r="117" spans="2:10" s="34" customFormat="1" x14ac:dyDescent="0.25">
      <c r="B117" s="37"/>
      <c r="C117" s="37"/>
      <c r="D117" s="37"/>
      <c r="F117" s="37"/>
      <c r="G117" s="37"/>
      <c r="H117" s="37"/>
      <c r="J117" s="37"/>
    </row>
    <row r="118" spans="2:10" s="34" customFormat="1" x14ac:dyDescent="0.25">
      <c r="B118" s="37"/>
      <c r="C118" s="37"/>
      <c r="D118" s="37"/>
      <c r="F118" s="37"/>
      <c r="G118" s="37"/>
      <c r="H118" s="37"/>
      <c r="J118" s="37"/>
    </row>
    <row r="119" spans="2:10" s="34" customFormat="1" x14ac:dyDescent="0.25">
      <c r="B119" s="37"/>
      <c r="C119" s="37"/>
      <c r="D119" s="37"/>
      <c r="F119" s="37"/>
      <c r="G119" s="37"/>
      <c r="H119" s="37"/>
      <c r="J119" s="37"/>
    </row>
    <row r="120" spans="2:10" s="34" customFormat="1" x14ac:dyDescent="0.25">
      <c r="B120" s="37"/>
      <c r="C120" s="37"/>
      <c r="D120" s="37"/>
      <c r="F120" s="37"/>
      <c r="G120" s="37"/>
      <c r="H120" s="37"/>
      <c r="J120" s="37"/>
    </row>
    <row r="121" spans="2:10" s="34" customFormat="1" x14ac:dyDescent="0.25">
      <c r="B121" s="37"/>
      <c r="C121" s="37"/>
      <c r="D121" s="37"/>
      <c r="F121" s="37"/>
      <c r="G121" s="37"/>
      <c r="H121" s="37"/>
      <c r="J121" s="37"/>
    </row>
    <row r="122" spans="2:10" s="34" customFormat="1" x14ac:dyDescent="0.25">
      <c r="B122" s="37"/>
      <c r="C122" s="37"/>
      <c r="D122" s="37"/>
      <c r="F122" s="37"/>
      <c r="G122" s="37"/>
      <c r="H122" s="37"/>
      <c r="J122" s="37"/>
    </row>
    <row r="123" spans="2:10" s="34" customFormat="1" x14ac:dyDescent="0.25">
      <c r="B123" s="37"/>
      <c r="C123" s="37"/>
      <c r="D123" s="37"/>
      <c r="F123" s="37"/>
      <c r="G123" s="37"/>
      <c r="H123" s="37"/>
      <c r="J123" s="37"/>
    </row>
    <row r="124" spans="2:10" s="34" customFormat="1" x14ac:dyDescent="0.25">
      <c r="B124" s="37"/>
      <c r="C124" s="37"/>
      <c r="D124" s="37"/>
      <c r="F124" s="37"/>
      <c r="G124" s="37"/>
      <c r="H124" s="37"/>
      <c r="J124" s="37"/>
    </row>
    <row r="125" spans="2:10" s="34" customFormat="1" x14ac:dyDescent="0.25">
      <c r="B125" s="37"/>
      <c r="C125" s="37"/>
      <c r="D125" s="37"/>
      <c r="F125" s="37"/>
      <c r="G125" s="37"/>
      <c r="H125" s="37"/>
      <c r="J125" s="37"/>
    </row>
    <row r="126" spans="2:10" s="34" customFormat="1" x14ac:dyDescent="0.25">
      <c r="B126" s="37"/>
      <c r="C126" s="37"/>
      <c r="D126" s="37"/>
      <c r="F126" s="37"/>
      <c r="G126" s="37"/>
      <c r="H126" s="37"/>
      <c r="J126" s="37"/>
    </row>
    <row r="127" spans="2:10" s="34" customFormat="1" x14ac:dyDescent="0.25">
      <c r="B127" s="37"/>
      <c r="C127" s="37"/>
      <c r="D127" s="37"/>
      <c r="F127" s="37"/>
      <c r="G127" s="37"/>
      <c r="H127" s="37"/>
      <c r="J127" s="37"/>
    </row>
    <row r="128" spans="2:10" s="34" customFormat="1" x14ac:dyDescent="0.25">
      <c r="B128" s="37"/>
      <c r="C128" s="37"/>
      <c r="D128" s="37"/>
      <c r="F128" s="37"/>
      <c r="G128" s="37"/>
      <c r="H128" s="37"/>
      <c r="J128" s="37"/>
    </row>
    <row r="129" spans="2:10" s="34" customFormat="1" x14ac:dyDescent="0.25">
      <c r="B129" s="37"/>
      <c r="C129" s="37"/>
      <c r="D129" s="37"/>
      <c r="F129" s="37"/>
      <c r="G129" s="37"/>
      <c r="H129" s="37"/>
      <c r="J129" s="37"/>
    </row>
    <row r="130" spans="2:10" s="34" customFormat="1" x14ac:dyDescent="0.25">
      <c r="B130" s="37"/>
      <c r="C130" s="37"/>
      <c r="D130" s="37"/>
      <c r="F130" s="37"/>
      <c r="G130" s="37"/>
      <c r="H130" s="37"/>
      <c r="J130" s="37"/>
    </row>
    <row r="131" spans="2:10" s="34" customFormat="1" x14ac:dyDescent="0.25">
      <c r="B131" s="37"/>
      <c r="C131" s="37"/>
      <c r="D131" s="37"/>
      <c r="F131" s="37"/>
      <c r="G131" s="37"/>
      <c r="H131" s="37"/>
      <c r="J131" s="37"/>
    </row>
    <row r="132" spans="2:10" s="34" customFormat="1" x14ac:dyDescent="0.25">
      <c r="B132" s="37"/>
      <c r="C132" s="37"/>
      <c r="D132" s="37"/>
      <c r="F132" s="37"/>
      <c r="G132" s="37"/>
      <c r="H132" s="37"/>
      <c r="J132" s="37"/>
    </row>
    <row r="133" spans="2:10" s="34" customFormat="1" x14ac:dyDescent="0.25">
      <c r="B133" s="37"/>
      <c r="C133" s="37"/>
      <c r="D133" s="37"/>
      <c r="F133" s="37"/>
      <c r="G133" s="37"/>
      <c r="H133" s="37"/>
      <c r="J133" s="37"/>
    </row>
    <row r="134" spans="2:10" s="34" customFormat="1" x14ac:dyDescent="0.25">
      <c r="B134" s="37"/>
      <c r="C134" s="37"/>
      <c r="D134" s="37"/>
      <c r="F134" s="37"/>
      <c r="G134" s="37"/>
      <c r="H134" s="37"/>
      <c r="J134" s="37"/>
    </row>
    <row r="135" spans="2:10" s="34" customFormat="1" x14ac:dyDescent="0.25">
      <c r="B135" s="37"/>
      <c r="C135" s="37"/>
      <c r="D135" s="37"/>
      <c r="F135" s="37"/>
      <c r="G135" s="37"/>
      <c r="H135" s="37"/>
      <c r="J135" s="37"/>
    </row>
    <row r="136" spans="2:10" s="34" customFormat="1" x14ac:dyDescent="0.25">
      <c r="B136" s="37"/>
      <c r="C136" s="37"/>
      <c r="D136" s="37"/>
      <c r="F136" s="37"/>
      <c r="G136" s="37"/>
      <c r="H136" s="37"/>
      <c r="J136" s="37"/>
    </row>
    <row r="137" spans="2:10" s="34" customFormat="1" x14ac:dyDescent="0.25">
      <c r="B137" s="37"/>
      <c r="C137" s="37"/>
      <c r="D137" s="37"/>
      <c r="F137" s="37"/>
      <c r="G137" s="37"/>
      <c r="H137" s="37"/>
      <c r="J137" s="37"/>
    </row>
    <row r="138" spans="2:10" s="34" customFormat="1" x14ac:dyDescent="0.25">
      <c r="B138" s="37"/>
      <c r="C138" s="37"/>
      <c r="D138" s="37"/>
      <c r="F138" s="37"/>
      <c r="G138" s="37"/>
      <c r="H138" s="37"/>
      <c r="J138" s="37"/>
    </row>
    <row r="139" spans="2:10" s="34" customFormat="1" x14ac:dyDescent="0.25">
      <c r="B139" s="37"/>
      <c r="C139" s="37"/>
      <c r="D139" s="37"/>
      <c r="F139" s="37"/>
      <c r="G139" s="37"/>
      <c r="H139" s="37"/>
      <c r="J139" s="37"/>
    </row>
    <row r="140" spans="2:10" s="34" customFormat="1" x14ac:dyDescent="0.25">
      <c r="B140" s="37"/>
      <c r="C140" s="37"/>
      <c r="D140" s="37"/>
      <c r="F140" s="37"/>
      <c r="G140" s="37"/>
      <c r="H140" s="37"/>
      <c r="J140" s="37"/>
    </row>
    <row r="141" spans="2:10" s="34" customFormat="1" x14ac:dyDescent="0.25">
      <c r="B141" s="37"/>
      <c r="C141" s="37"/>
      <c r="D141" s="37"/>
      <c r="F141" s="37"/>
      <c r="G141" s="37"/>
      <c r="H141" s="37"/>
      <c r="J141" s="37"/>
    </row>
    <row r="142" spans="2:10" s="34" customFormat="1" x14ac:dyDescent="0.25">
      <c r="B142" s="37"/>
      <c r="C142" s="37"/>
      <c r="D142" s="37"/>
      <c r="F142" s="37"/>
      <c r="G142" s="37"/>
      <c r="H142" s="37"/>
      <c r="J142" s="37"/>
    </row>
    <row r="143" spans="2:10" s="34" customFormat="1" x14ac:dyDescent="0.25">
      <c r="B143" s="37"/>
      <c r="C143" s="37"/>
      <c r="D143" s="37"/>
      <c r="F143" s="37"/>
      <c r="G143" s="37"/>
      <c r="H143" s="37"/>
      <c r="J143" s="37"/>
    </row>
    <row r="144" spans="2:10" s="34" customFormat="1" x14ac:dyDescent="0.25">
      <c r="B144" s="37"/>
      <c r="C144" s="37"/>
      <c r="D144" s="37"/>
      <c r="F144" s="37"/>
      <c r="G144" s="37"/>
      <c r="H144" s="37"/>
      <c r="J144" s="37"/>
    </row>
    <row r="145" spans="2:10" s="34" customFormat="1" x14ac:dyDescent="0.25">
      <c r="B145" s="37"/>
      <c r="C145" s="37"/>
      <c r="D145" s="37"/>
      <c r="F145" s="37"/>
      <c r="G145" s="37"/>
      <c r="H145" s="37"/>
      <c r="J145" s="37"/>
    </row>
    <row r="146" spans="2:10" s="34" customFormat="1" x14ac:dyDescent="0.25">
      <c r="B146" s="37"/>
      <c r="C146" s="37"/>
      <c r="D146" s="37"/>
      <c r="F146" s="37"/>
      <c r="G146" s="37"/>
      <c r="H146" s="37"/>
      <c r="J146" s="37"/>
    </row>
    <row r="147" spans="2:10" s="34" customFormat="1" x14ac:dyDescent="0.25">
      <c r="B147" s="37"/>
      <c r="C147" s="37"/>
      <c r="D147" s="37"/>
      <c r="F147" s="37"/>
      <c r="G147" s="37"/>
      <c r="H147" s="37"/>
      <c r="J147" s="37"/>
    </row>
    <row r="148" spans="2:10" s="34" customFormat="1" x14ac:dyDescent="0.25">
      <c r="B148" s="37"/>
      <c r="C148" s="37"/>
      <c r="D148" s="37"/>
      <c r="F148" s="37"/>
      <c r="G148" s="37"/>
      <c r="H148" s="37"/>
      <c r="J148" s="37"/>
    </row>
    <row r="149" spans="2:10" s="34" customFormat="1" x14ac:dyDescent="0.25">
      <c r="B149" s="37"/>
      <c r="C149" s="37"/>
      <c r="D149" s="37"/>
      <c r="F149" s="37"/>
      <c r="G149" s="37"/>
      <c r="H149" s="37"/>
      <c r="J149" s="37"/>
    </row>
    <row r="150" spans="2:10" s="34" customFormat="1" x14ac:dyDescent="0.25">
      <c r="B150" s="37"/>
      <c r="C150" s="37"/>
      <c r="D150" s="37"/>
      <c r="F150" s="37"/>
      <c r="G150" s="37"/>
      <c r="H150" s="37"/>
      <c r="J150" s="37"/>
    </row>
    <row r="151" spans="2:10" s="34" customFormat="1" x14ac:dyDescent="0.25">
      <c r="B151" s="37"/>
      <c r="C151" s="37"/>
      <c r="D151" s="37"/>
      <c r="F151" s="37"/>
      <c r="G151" s="37"/>
      <c r="H151" s="37"/>
      <c r="J151" s="37"/>
    </row>
    <row r="152" spans="2:10" s="34" customFormat="1" x14ac:dyDescent="0.25">
      <c r="B152" s="37"/>
      <c r="C152" s="37"/>
      <c r="D152" s="37"/>
      <c r="F152" s="37"/>
      <c r="G152" s="37"/>
      <c r="H152" s="37"/>
      <c r="J152" s="37"/>
    </row>
    <row r="153" spans="2:10" s="34" customFormat="1" x14ac:dyDescent="0.25">
      <c r="B153" s="37"/>
      <c r="C153" s="37"/>
      <c r="D153" s="37"/>
      <c r="F153" s="37"/>
      <c r="G153" s="37"/>
      <c r="H153" s="37"/>
      <c r="J153" s="37"/>
    </row>
    <row r="154" spans="2:10" s="34" customFormat="1" x14ac:dyDescent="0.25">
      <c r="B154" s="37"/>
      <c r="C154" s="37"/>
      <c r="D154" s="37"/>
      <c r="F154" s="37"/>
      <c r="G154" s="37"/>
      <c r="H154" s="37"/>
      <c r="J154" s="37"/>
    </row>
    <row r="155" spans="2:10" s="34" customFormat="1" x14ac:dyDescent="0.25">
      <c r="B155" s="37"/>
      <c r="C155" s="37"/>
      <c r="D155" s="37"/>
      <c r="F155" s="37"/>
      <c r="G155" s="37"/>
      <c r="H155" s="37"/>
      <c r="J155" s="37"/>
    </row>
    <row r="156" spans="2:10" s="34" customFormat="1" x14ac:dyDescent="0.25">
      <c r="B156" s="37"/>
      <c r="C156" s="37"/>
      <c r="D156" s="37"/>
      <c r="F156" s="37"/>
      <c r="G156" s="37"/>
      <c r="H156" s="37"/>
      <c r="J156" s="37"/>
    </row>
    <row r="157" spans="2:10" s="34" customFormat="1" x14ac:dyDescent="0.25">
      <c r="B157" s="37"/>
      <c r="C157" s="37"/>
      <c r="D157" s="37"/>
      <c r="F157" s="37"/>
      <c r="G157" s="37"/>
      <c r="H157" s="37"/>
      <c r="J157" s="37"/>
    </row>
    <row r="158" spans="2:10" s="34" customFormat="1" x14ac:dyDescent="0.25">
      <c r="B158" s="37"/>
      <c r="C158" s="37"/>
      <c r="D158" s="37"/>
      <c r="F158" s="37"/>
      <c r="G158" s="37"/>
      <c r="H158" s="37"/>
      <c r="J158" s="37"/>
    </row>
    <row r="159" spans="2:10" s="34" customFormat="1" x14ac:dyDescent="0.25">
      <c r="B159" s="37"/>
      <c r="C159" s="37"/>
      <c r="D159" s="37"/>
      <c r="F159" s="37"/>
      <c r="G159" s="37"/>
      <c r="H159" s="37"/>
      <c r="J159" s="37"/>
    </row>
    <row r="160" spans="2:10" s="34" customFormat="1" x14ac:dyDescent="0.25">
      <c r="B160" s="37"/>
      <c r="C160" s="37"/>
      <c r="D160" s="37"/>
      <c r="F160" s="37"/>
      <c r="G160" s="37"/>
      <c r="H160" s="37"/>
      <c r="J160" s="37"/>
    </row>
    <row r="161" spans="2:10" s="34" customFormat="1" x14ac:dyDescent="0.25">
      <c r="B161" s="37"/>
      <c r="C161" s="37"/>
      <c r="D161" s="37"/>
      <c r="F161" s="37"/>
      <c r="G161" s="37"/>
      <c r="H161" s="37"/>
      <c r="J161" s="37"/>
    </row>
    <row r="162" spans="2:10" s="34" customFormat="1" x14ac:dyDescent="0.25">
      <c r="B162" s="37"/>
      <c r="C162" s="37"/>
      <c r="D162" s="37"/>
      <c r="F162" s="37"/>
      <c r="G162" s="37"/>
      <c r="H162" s="37"/>
      <c r="J162" s="37"/>
    </row>
    <row r="163" spans="2:10" s="34" customFormat="1" x14ac:dyDescent="0.25">
      <c r="B163" s="37"/>
      <c r="C163" s="37"/>
      <c r="D163" s="37"/>
      <c r="F163" s="37"/>
      <c r="G163" s="37"/>
      <c r="H163" s="37"/>
      <c r="J163" s="37"/>
    </row>
    <row r="164" spans="2:10" s="34" customFormat="1" x14ac:dyDescent="0.25">
      <c r="B164" s="37"/>
      <c r="C164" s="37"/>
      <c r="D164" s="37"/>
      <c r="F164" s="37"/>
      <c r="G164" s="37"/>
      <c r="H164" s="37"/>
      <c r="J164" s="37"/>
    </row>
    <row r="165" spans="2:10" s="34" customFormat="1" x14ac:dyDescent="0.25">
      <c r="B165" s="37"/>
      <c r="C165" s="37"/>
      <c r="D165" s="37"/>
      <c r="F165" s="37"/>
      <c r="G165" s="37"/>
      <c r="H165" s="37"/>
      <c r="J165" s="37"/>
    </row>
    <row r="166" spans="2:10" s="34" customFormat="1" x14ac:dyDescent="0.25">
      <c r="B166" s="37"/>
      <c r="C166" s="37"/>
      <c r="D166" s="37"/>
      <c r="F166" s="37"/>
      <c r="G166" s="37"/>
      <c r="H166" s="37"/>
      <c r="J166" s="37"/>
    </row>
    <row r="167" spans="2:10" s="34" customFormat="1" x14ac:dyDescent="0.25">
      <c r="B167" s="37"/>
      <c r="C167" s="37"/>
      <c r="D167" s="37"/>
      <c r="F167" s="37"/>
      <c r="G167" s="37"/>
      <c r="H167" s="37"/>
      <c r="J167" s="37"/>
    </row>
    <row r="168" spans="2:10" s="34" customFormat="1" x14ac:dyDescent="0.25">
      <c r="B168" s="37"/>
      <c r="C168" s="37"/>
      <c r="D168" s="37"/>
      <c r="F168" s="37"/>
      <c r="G168" s="37"/>
      <c r="H168" s="37"/>
      <c r="J168" s="37"/>
    </row>
    <row r="169" spans="2:10" s="34" customFormat="1" x14ac:dyDescent="0.25">
      <c r="B169" s="37"/>
      <c r="C169" s="37"/>
      <c r="D169" s="37"/>
      <c r="F169" s="37"/>
      <c r="G169" s="37"/>
      <c r="H169" s="37"/>
      <c r="J169" s="37"/>
    </row>
    <row r="170" spans="2:10" s="34" customFormat="1" x14ac:dyDescent="0.25">
      <c r="B170" s="37"/>
      <c r="C170" s="37"/>
      <c r="D170" s="37"/>
      <c r="F170" s="37"/>
      <c r="G170" s="37"/>
      <c r="H170" s="37"/>
      <c r="J170" s="37"/>
    </row>
    <row r="171" spans="2:10" s="34" customFormat="1" x14ac:dyDescent="0.25">
      <c r="B171" s="37"/>
      <c r="C171" s="37"/>
      <c r="D171" s="37"/>
      <c r="F171" s="37"/>
      <c r="G171" s="37"/>
      <c r="H171" s="37"/>
      <c r="J171" s="37"/>
    </row>
    <row r="172" spans="2:10" s="34" customFormat="1" x14ac:dyDescent="0.25">
      <c r="B172" s="37"/>
      <c r="C172" s="37"/>
      <c r="D172" s="37"/>
      <c r="F172" s="37"/>
      <c r="G172" s="37"/>
      <c r="H172" s="37"/>
      <c r="J172" s="37"/>
    </row>
    <row r="173" spans="2:10" s="34" customFormat="1" x14ac:dyDescent="0.25">
      <c r="B173" s="37"/>
      <c r="C173" s="37"/>
      <c r="D173" s="37"/>
      <c r="F173" s="37"/>
      <c r="G173" s="37"/>
      <c r="H173" s="37"/>
      <c r="J173" s="37"/>
    </row>
    <row r="174" spans="2:10" s="34" customFormat="1" x14ac:dyDescent="0.25">
      <c r="B174" s="37"/>
      <c r="C174" s="37"/>
      <c r="D174" s="37"/>
      <c r="F174" s="37"/>
      <c r="G174" s="37"/>
      <c r="H174" s="37"/>
      <c r="J174" s="37"/>
    </row>
    <row r="175" spans="2:10" s="34" customFormat="1" x14ac:dyDescent="0.25">
      <c r="B175" s="37"/>
      <c r="C175" s="37"/>
      <c r="D175" s="37"/>
      <c r="F175" s="37"/>
      <c r="G175" s="37"/>
      <c r="H175" s="37"/>
      <c r="J175" s="37"/>
    </row>
    <row r="176" spans="2:10" s="34" customFormat="1" x14ac:dyDescent="0.25">
      <c r="B176" s="37"/>
      <c r="C176" s="37"/>
      <c r="D176" s="37"/>
      <c r="F176" s="37"/>
      <c r="G176" s="37"/>
      <c r="H176" s="37"/>
      <c r="J176" s="37"/>
    </row>
    <row r="177" spans="2:10" s="34" customFormat="1" x14ac:dyDescent="0.25">
      <c r="B177" s="37"/>
      <c r="C177" s="37"/>
      <c r="D177" s="37"/>
      <c r="F177" s="37"/>
      <c r="G177" s="37"/>
      <c r="H177" s="37"/>
      <c r="J177" s="37"/>
    </row>
    <row r="178" spans="2:10" s="34" customFormat="1" x14ac:dyDescent="0.25">
      <c r="B178" s="37"/>
      <c r="C178" s="37"/>
      <c r="D178" s="37"/>
      <c r="F178" s="37"/>
      <c r="G178" s="37"/>
      <c r="H178" s="37"/>
      <c r="J178" s="37"/>
    </row>
    <row r="179" spans="2:10" s="34" customFormat="1" x14ac:dyDescent="0.25">
      <c r="B179" s="37"/>
      <c r="C179" s="37"/>
      <c r="D179" s="37"/>
      <c r="F179" s="37"/>
      <c r="G179" s="37"/>
      <c r="H179" s="37"/>
      <c r="J179" s="37"/>
    </row>
    <row r="180" spans="2:10" s="34" customFormat="1" x14ac:dyDescent="0.25">
      <c r="B180" s="37"/>
      <c r="C180" s="37"/>
      <c r="D180" s="37"/>
      <c r="F180" s="37"/>
      <c r="G180" s="37"/>
      <c r="H180" s="37"/>
      <c r="J180" s="37"/>
    </row>
    <row r="181" spans="2:10" s="34" customFormat="1" x14ac:dyDescent="0.25">
      <c r="B181" s="37"/>
      <c r="C181" s="37"/>
      <c r="D181" s="37"/>
      <c r="F181" s="37"/>
      <c r="G181" s="37"/>
      <c r="H181" s="37"/>
      <c r="J181" s="37"/>
    </row>
    <row r="182" spans="2:10" s="34" customFormat="1" x14ac:dyDescent="0.25">
      <c r="B182" s="37"/>
      <c r="C182" s="37"/>
      <c r="D182" s="37"/>
      <c r="F182" s="37"/>
      <c r="G182" s="37"/>
      <c r="H182" s="37"/>
      <c r="J182" s="37"/>
    </row>
    <row r="183" spans="2:10" s="34" customFormat="1" x14ac:dyDescent="0.25">
      <c r="B183" s="37"/>
      <c r="C183" s="37"/>
      <c r="D183" s="37"/>
      <c r="F183" s="37"/>
      <c r="G183" s="37"/>
      <c r="H183" s="37"/>
      <c r="J183" s="37"/>
    </row>
    <row r="184" spans="2:10" s="34" customFormat="1" x14ac:dyDescent="0.25">
      <c r="B184" s="37"/>
      <c r="C184" s="37"/>
      <c r="D184" s="37"/>
      <c r="F184" s="37"/>
      <c r="G184" s="37"/>
      <c r="H184" s="37"/>
      <c r="J184" s="37"/>
    </row>
    <row r="185" spans="2:10" s="34" customFormat="1" x14ac:dyDescent="0.25">
      <c r="B185" s="37"/>
      <c r="C185" s="37"/>
      <c r="D185" s="37"/>
      <c r="F185" s="37"/>
      <c r="G185" s="37"/>
      <c r="H185" s="37"/>
      <c r="J185" s="37"/>
    </row>
    <row r="186" spans="2:10" s="34" customFormat="1" x14ac:dyDescent="0.25">
      <c r="B186" s="37"/>
      <c r="C186" s="37"/>
      <c r="D186" s="37"/>
      <c r="F186" s="37"/>
      <c r="G186" s="37"/>
      <c r="H186" s="37"/>
      <c r="J186" s="37"/>
    </row>
    <row r="187" spans="2:10" s="34" customFormat="1" x14ac:dyDescent="0.25">
      <c r="B187" s="37"/>
      <c r="C187" s="37"/>
      <c r="D187" s="37"/>
      <c r="F187" s="37"/>
      <c r="G187" s="37"/>
      <c r="H187" s="37"/>
      <c r="J187" s="37"/>
    </row>
    <row r="188" spans="2:10" s="34" customFormat="1" x14ac:dyDescent="0.25">
      <c r="B188" s="37"/>
      <c r="C188" s="37"/>
      <c r="D188" s="37"/>
      <c r="F188" s="37"/>
      <c r="G188" s="37"/>
      <c r="H188" s="37"/>
      <c r="J188" s="37"/>
    </row>
    <row r="189" spans="2:10" s="34" customFormat="1" x14ac:dyDescent="0.25">
      <c r="B189" s="37"/>
      <c r="C189" s="37"/>
      <c r="D189" s="37"/>
      <c r="F189" s="37"/>
      <c r="G189" s="37"/>
      <c r="H189" s="37"/>
      <c r="J189" s="37"/>
    </row>
    <row r="190" spans="2:10" s="34" customFormat="1" x14ac:dyDescent="0.25">
      <c r="B190" s="37"/>
      <c r="C190" s="37"/>
      <c r="D190" s="37"/>
      <c r="F190" s="37"/>
      <c r="G190" s="37"/>
      <c r="H190" s="37"/>
      <c r="J190" s="37"/>
    </row>
    <row r="191" spans="2:10" s="34" customFormat="1" x14ac:dyDescent="0.25">
      <c r="B191" s="37"/>
      <c r="C191" s="37"/>
      <c r="D191" s="37"/>
      <c r="F191" s="37"/>
      <c r="G191" s="37"/>
      <c r="H191" s="37"/>
      <c r="J191" s="37"/>
    </row>
    <row r="192" spans="2:10" s="34" customFormat="1" x14ac:dyDescent="0.25">
      <c r="B192" s="37"/>
      <c r="C192" s="37"/>
      <c r="D192" s="37"/>
      <c r="F192" s="37"/>
      <c r="G192" s="37"/>
      <c r="H192" s="37"/>
      <c r="J192" s="37"/>
    </row>
    <row r="193" spans="2:10" s="34" customFormat="1" x14ac:dyDescent="0.25">
      <c r="B193" s="37"/>
      <c r="C193" s="37"/>
      <c r="D193" s="37"/>
      <c r="F193" s="37"/>
      <c r="G193" s="37"/>
      <c r="H193" s="37"/>
      <c r="J193" s="37"/>
    </row>
    <row r="194" spans="2:10" s="34" customFormat="1" x14ac:dyDescent="0.25">
      <c r="B194" s="37"/>
      <c r="C194" s="37"/>
      <c r="D194" s="37"/>
      <c r="F194" s="37"/>
      <c r="G194" s="37"/>
      <c r="H194" s="37"/>
      <c r="J194" s="37"/>
    </row>
    <row r="195" spans="2:10" s="34" customFormat="1" x14ac:dyDescent="0.25">
      <c r="B195" s="37"/>
      <c r="C195" s="37"/>
      <c r="D195" s="37"/>
      <c r="F195" s="37"/>
      <c r="G195" s="37"/>
      <c r="H195" s="37"/>
      <c r="J195" s="37"/>
    </row>
    <row r="196" spans="2:10" s="34" customFormat="1" x14ac:dyDescent="0.25">
      <c r="B196" s="37"/>
      <c r="C196" s="37"/>
      <c r="D196" s="37"/>
      <c r="F196" s="37"/>
      <c r="G196" s="37"/>
      <c r="H196" s="37"/>
      <c r="J196" s="37"/>
    </row>
    <row r="197" spans="2:10" s="34" customFormat="1" x14ac:dyDescent="0.25">
      <c r="B197" s="37"/>
      <c r="C197" s="37"/>
      <c r="D197" s="37"/>
      <c r="F197" s="37"/>
      <c r="G197" s="37"/>
      <c r="H197" s="37"/>
      <c r="J197" s="37"/>
    </row>
    <row r="198" spans="2:10" s="34" customFormat="1" x14ac:dyDescent="0.25">
      <c r="B198" s="37"/>
      <c r="C198" s="37"/>
      <c r="D198" s="37"/>
      <c r="F198" s="37"/>
      <c r="G198" s="37"/>
      <c r="H198" s="37"/>
      <c r="J198" s="37"/>
    </row>
    <row r="199" spans="2:10" s="34" customFormat="1" x14ac:dyDescent="0.25">
      <c r="B199" s="37"/>
      <c r="C199" s="37"/>
      <c r="D199" s="37"/>
      <c r="F199" s="37"/>
      <c r="G199" s="37"/>
      <c r="H199" s="37"/>
      <c r="J199" s="37"/>
    </row>
    <row r="200" spans="2:10" s="34" customFormat="1" x14ac:dyDescent="0.25">
      <c r="B200" s="37"/>
      <c r="C200" s="37"/>
      <c r="D200" s="37"/>
      <c r="F200" s="37"/>
      <c r="G200" s="37"/>
      <c r="H200" s="37"/>
      <c r="J200" s="37"/>
    </row>
    <row r="201" spans="2:10" s="34" customFormat="1" x14ac:dyDescent="0.25">
      <c r="B201" s="37"/>
      <c r="C201" s="37"/>
      <c r="D201" s="37"/>
      <c r="F201" s="37"/>
      <c r="G201" s="37"/>
      <c r="H201" s="37"/>
      <c r="J201" s="37"/>
    </row>
    <row r="202" spans="2:10" s="34" customFormat="1" x14ac:dyDescent="0.25">
      <c r="B202" s="37"/>
      <c r="C202" s="37"/>
      <c r="D202" s="37"/>
      <c r="F202" s="37"/>
      <c r="G202" s="37"/>
      <c r="H202" s="37"/>
      <c r="J202" s="37"/>
    </row>
    <row r="203" spans="2:10" s="34" customFormat="1" x14ac:dyDescent="0.25">
      <c r="B203" s="37"/>
      <c r="C203" s="37"/>
      <c r="D203" s="37"/>
      <c r="F203" s="37"/>
      <c r="G203" s="37"/>
      <c r="H203" s="37"/>
      <c r="J203" s="37"/>
    </row>
    <row r="204" spans="2:10" s="34" customFormat="1" x14ac:dyDescent="0.25">
      <c r="B204" s="37"/>
      <c r="C204" s="37"/>
      <c r="D204" s="37"/>
      <c r="F204" s="37"/>
      <c r="G204" s="37"/>
      <c r="H204" s="37"/>
      <c r="J204" s="37"/>
    </row>
    <row r="205" spans="2:10" s="34" customFormat="1" x14ac:dyDescent="0.25">
      <c r="B205" s="37"/>
      <c r="C205" s="37"/>
      <c r="D205" s="37"/>
      <c r="F205" s="37"/>
      <c r="G205" s="37"/>
      <c r="H205" s="37"/>
      <c r="J205" s="37"/>
    </row>
    <row r="206" spans="2:10" s="34" customFormat="1" x14ac:dyDescent="0.25">
      <c r="B206" s="37"/>
      <c r="C206" s="37"/>
      <c r="D206" s="37"/>
      <c r="F206" s="37"/>
      <c r="G206" s="37"/>
      <c r="H206" s="37"/>
      <c r="J206" s="37"/>
    </row>
    <row r="207" spans="2:10" s="34" customFormat="1" x14ac:dyDescent="0.25">
      <c r="B207" s="37"/>
      <c r="C207" s="37"/>
      <c r="D207" s="37"/>
      <c r="F207" s="37"/>
      <c r="G207" s="37"/>
      <c r="H207" s="37"/>
      <c r="J207" s="37"/>
    </row>
    <row r="208" spans="2:10" s="34" customFormat="1" x14ac:dyDescent="0.25">
      <c r="B208" s="37"/>
      <c r="C208" s="37"/>
      <c r="D208" s="37"/>
      <c r="F208" s="37"/>
      <c r="G208" s="37"/>
      <c r="H208" s="37"/>
      <c r="J208" s="37"/>
    </row>
    <row r="209" spans="1:41" s="34" customFormat="1" x14ac:dyDescent="0.25">
      <c r="B209" s="37"/>
      <c r="C209" s="37"/>
      <c r="D209" s="37"/>
      <c r="F209" s="37"/>
      <c r="G209" s="37"/>
      <c r="H209" s="37"/>
      <c r="J209" s="37"/>
    </row>
    <row r="210" spans="1:41" s="34" customFormat="1" x14ac:dyDescent="0.25">
      <c r="B210" s="37"/>
      <c r="C210" s="37"/>
      <c r="D210" s="37"/>
      <c r="F210" s="37"/>
      <c r="G210" s="37"/>
      <c r="H210" s="37"/>
      <c r="J210" s="37"/>
    </row>
    <row r="211" spans="1:41" s="34" customFormat="1" x14ac:dyDescent="0.25">
      <c r="B211" s="37"/>
      <c r="C211" s="37"/>
      <c r="D211" s="37"/>
      <c r="F211" s="37"/>
      <c r="G211" s="37"/>
      <c r="H211" s="37"/>
      <c r="J211" s="37"/>
    </row>
    <row r="212" spans="1:41" s="34" customFormat="1" x14ac:dyDescent="0.25">
      <c r="B212" s="37"/>
      <c r="C212" s="37"/>
      <c r="D212" s="37"/>
      <c r="F212" s="37"/>
      <c r="G212" s="37"/>
      <c r="H212" s="37"/>
      <c r="J212" s="37"/>
    </row>
    <row r="213" spans="1:41" s="34" customFormat="1" x14ac:dyDescent="0.25">
      <c r="B213" s="37"/>
      <c r="C213" s="37"/>
      <c r="D213" s="37"/>
      <c r="F213" s="37"/>
      <c r="G213" s="37"/>
      <c r="H213" s="37"/>
      <c r="J213" s="37"/>
    </row>
    <row r="214" spans="1:41" s="34" customFormat="1" x14ac:dyDescent="0.25">
      <c r="B214" s="37"/>
      <c r="C214" s="37"/>
      <c r="D214" s="37"/>
      <c r="F214" s="37"/>
      <c r="G214" s="37"/>
      <c r="H214" s="37"/>
      <c r="J214" s="37"/>
    </row>
    <row r="215" spans="1:41" s="34" customFormat="1" x14ac:dyDescent="0.25">
      <c r="B215" s="37"/>
      <c r="C215" s="37"/>
      <c r="D215" s="37"/>
      <c r="F215" s="37"/>
      <c r="G215" s="37"/>
      <c r="H215" s="37"/>
      <c r="J215" s="37"/>
    </row>
    <row r="216" spans="1:41" s="34" customFormat="1" x14ac:dyDescent="0.25">
      <c r="B216" s="37"/>
      <c r="C216" s="37"/>
      <c r="D216" s="37"/>
      <c r="F216" s="37"/>
      <c r="G216" s="37"/>
      <c r="H216" s="37"/>
      <c r="J216" s="37"/>
    </row>
    <row r="217" spans="1:41" s="34" customFormat="1" x14ac:dyDescent="0.25">
      <c r="B217" s="37"/>
      <c r="C217" s="37"/>
      <c r="D217" s="37"/>
      <c r="F217" s="37"/>
      <c r="G217" s="37"/>
      <c r="H217" s="37"/>
      <c r="J217" s="37"/>
    </row>
    <row r="218" spans="1:41" s="34" customFormat="1" x14ac:dyDescent="0.25">
      <c r="B218" s="37"/>
      <c r="C218" s="37"/>
      <c r="D218" s="37"/>
      <c r="F218" s="37"/>
      <c r="G218" s="37"/>
      <c r="H218" s="37"/>
      <c r="J218" s="37"/>
    </row>
    <row r="219" spans="1:41" s="34" customFormat="1" x14ac:dyDescent="0.25">
      <c r="B219" s="37"/>
      <c r="C219" s="37"/>
      <c r="D219" s="37"/>
      <c r="F219" s="37"/>
      <c r="G219" s="37"/>
      <c r="H219" s="37"/>
      <c r="J219" s="37"/>
    </row>
    <row r="220" spans="1:41" s="34" customFormat="1" x14ac:dyDescent="0.25">
      <c r="B220" s="37"/>
      <c r="C220" s="37"/>
      <c r="D220" s="37"/>
      <c r="F220" s="37"/>
      <c r="G220" s="37"/>
      <c r="H220" s="37"/>
      <c r="J220" s="37"/>
    </row>
    <row r="221" spans="1:41" s="34" customFormat="1" x14ac:dyDescent="0.25">
      <c r="B221" s="37"/>
      <c r="C221" s="37"/>
      <c r="D221" s="37"/>
      <c r="F221" s="37"/>
      <c r="G221" s="37"/>
      <c r="H221" s="37"/>
      <c r="J221" s="37"/>
    </row>
    <row r="222" spans="1:41" s="34" customFormat="1" x14ac:dyDescent="0.25">
      <c r="B222" s="37"/>
      <c r="C222" s="37"/>
      <c r="D222" s="37"/>
      <c r="F222" s="37"/>
      <c r="G222" s="37"/>
      <c r="H222" s="37"/>
      <c r="J222" s="37"/>
    </row>
    <row r="223" spans="1:41" s="48" customFormat="1" x14ac:dyDescent="0.25">
      <c r="A223" s="34"/>
      <c r="B223" s="49"/>
      <c r="C223" s="49"/>
      <c r="D223" s="49"/>
      <c r="F223" s="49"/>
      <c r="G223" s="49"/>
      <c r="H223" s="49"/>
      <c r="J223" s="49"/>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4"/>
      <c r="AO223" s="34"/>
    </row>
    <row r="224" spans="1:41" s="48" customFormat="1" x14ac:dyDescent="0.25">
      <c r="A224" s="34"/>
      <c r="B224" s="49"/>
      <c r="C224" s="49"/>
      <c r="D224" s="49"/>
      <c r="F224" s="49"/>
      <c r="G224" s="49"/>
      <c r="H224" s="49"/>
      <c r="J224" s="49"/>
      <c r="K224" s="34"/>
      <c r="L224" s="34"/>
      <c r="M224" s="34"/>
      <c r="N224" s="34"/>
      <c r="O224" s="34"/>
      <c r="P224" s="34"/>
      <c r="Q224" s="34"/>
      <c r="R224" s="34"/>
      <c r="S224" s="34"/>
      <c r="T224" s="34"/>
      <c r="U224" s="34"/>
      <c r="V224" s="34"/>
      <c r="W224" s="34"/>
      <c r="X224" s="34"/>
      <c r="Y224" s="34"/>
      <c r="Z224" s="34"/>
      <c r="AA224" s="34"/>
      <c r="AB224" s="34"/>
      <c r="AC224" s="34"/>
      <c r="AD224" s="34"/>
      <c r="AE224" s="34"/>
      <c r="AF224" s="34"/>
      <c r="AG224" s="34"/>
      <c r="AH224" s="34"/>
      <c r="AI224" s="34"/>
      <c r="AJ224" s="34"/>
      <c r="AK224" s="34"/>
      <c r="AL224" s="34"/>
      <c r="AM224" s="34"/>
      <c r="AN224" s="34"/>
      <c r="AO224" s="34"/>
    </row>
    <row r="225" spans="1:41" s="48" customFormat="1" x14ac:dyDescent="0.25">
      <c r="A225" s="34"/>
      <c r="B225" s="49"/>
      <c r="C225" s="49"/>
      <c r="D225" s="49"/>
      <c r="F225" s="49"/>
      <c r="G225" s="49"/>
      <c r="H225" s="49"/>
      <c r="J225" s="49"/>
      <c r="K225" s="34"/>
      <c r="L225" s="34"/>
      <c r="M225" s="34"/>
      <c r="N225" s="34"/>
      <c r="O225" s="34"/>
      <c r="P225" s="34"/>
      <c r="Q225" s="34"/>
      <c r="R225" s="34"/>
      <c r="S225" s="34"/>
      <c r="T225" s="34"/>
      <c r="U225" s="34"/>
      <c r="V225" s="34"/>
      <c r="W225" s="34"/>
      <c r="X225" s="34"/>
      <c r="Y225" s="34"/>
      <c r="Z225" s="34"/>
      <c r="AA225" s="34"/>
      <c r="AB225" s="34"/>
      <c r="AC225" s="34"/>
      <c r="AD225" s="34"/>
      <c r="AE225" s="34"/>
      <c r="AF225" s="34"/>
      <c r="AG225" s="34"/>
      <c r="AH225" s="34"/>
      <c r="AI225" s="34"/>
      <c r="AJ225" s="34"/>
      <c r="AK225" s="34"/>
      <c r="AL225" s="34"/>
      <c r="AM225" s="34"/>
      <c r="AN225" s="34"/>
      <c r="AO225" s="34"/>
    </row>
    <row r="226" spans="1:41" s="48" customFormat="1" x14ac:dyDescent="0.25">
      <c r="A226" s="34"/>
      <c r="B226" s="49"/>
      <c r="C226" s="49"/>
      <c r="D226" s="49"/>
      <c r="F226" s="49"/>
      <c r="G226" s="49"/>
      <c r="H226" s="49"/>
      <c r="J226" s="49"/>
      <c r="K226" s="34"/>
      <c r="L226" s="34"/>
      <c r="M226" s="34"/>
      <c r="N226" s="34"/>
      <c r="O226" s="34"/>
      <c r="P226" s="34"/>
      <c r="Q226" s="34"/>
      <c r="R226" s="34"/>
      <c r="S226" s="34"/>
      <c r="T226" s="34"/>
      <c r="U226" s="34"/>
      <c r="V226" s="34"/>
      <c r="W226" s="34"/>
      <c r="X226" s="34"/>
      <c r="Y226" s="34"/>
      <c r="Z226" s="34"/>
      <c r="AA226" s="34"/>
      <c r="AB226" s="34"/>
      <c r="AC226" s="34"/>
      <c r="AD226" s="34"/>
      <c r="AE226" s="34"/>
      <c r="AF226" s="34"/>
      <c r="AG226" s="34"/>
      <c r="AH226" s="34"/>
      <c r="AI226" s="34"/>
      <c r="AJ226" s="34"/>
      <c r="AK226" s="34"/>
      <c r="AL226" s="34"/>
      <c r="AM226" s="34"/>
      <c r="AN226" s="34"/>
      <c r="AO226" s="34"/>
    </row>
    <row r="227" spans="1:41" s="48" customFormat="1" x14ac:dyDescent="0.25">
      <c r="A227" s="34"/>
      <c r="B227" s="49"/>
      <c r="C227" s="49"/>
      <c r="D227" s="49"/>
      <c r="F227" s="49"/>
      <c r="G227" s="49"/>
      <c r="H227" s="49"/>
      <c r="J227" s="49"/>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row>
    <row r="228" spans="1:41" s="48" customFormat="1" x14ac:dyDescent="0.25">
      <c r="A228" s="34"/>
      <c r="B228" s="49"/>
      <c r="C228" s="49"/>
      <c r="D228" s="49"/>
      <c r="F228" s="49"/>
      <c r="G228" s="49"/>
      <c r="H228" s="49"/>
      <c r="J228" s="49"/>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row>
    <row r="229" spans="1:41" s="48" customFormat="1" x14ac:dyDescent="0.25">
      <c r="A229" s="34"/>
      <c r="B229" s="49"/>
      <c r="C229" s="49"/>
      <c r="D229" s="49"/>
      <c r="F229" s="49"/>
      <c r="G229" s="49"/>
      <c r="H229" s="49"/>
      <c r="J229" s="49"/>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row>
    <row r="230" spans="1:41" s="48" customFormat="1" x14ac:dyDescent="0.25">
      <c r="A230" s="34"/>
      <c r="B230" s="49"/>
      <c r="C230" s="49"/>
      <c r="D230" s="49"/>
      <c r="F230" s="49"/>
      <c r="G230" s="49"/>
      <c r="H230" s="49"/>
      <c r="J230" s="49"/>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row>
    <row r="231" spans="1:41" s="48" customFormat="1" x14ac:dyDescent="0.25">
      <c r="A231" s="34"/>
      <c r="B231" s="49"/>
      <c r="C231" s="49"/>
      <c r="D231" s="49"/>
      <c r="F231" s="49"/>
      <c r="G231" s="49"/>
      <c r="H231" s="49"/>
      <c r="J231" s="49"/>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row>
    <row r="232" spans="1:41" s="48" customFormat="1" x14ac:dyDescent="0.25">
      <c r="A232" s="34"/>
      <c r="B232" s="49"/>
      <c r="C232" s="49"/>
      <c r="D232" s="49"/>
      <c r="F232" s="49"/>
      <c r="G232" s="49"/>
      <c r="H232" s="49"/>
      <c r="J232" s="49"/>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4"/>
      <c r="AO232" s="34"/>
    </row>
    <row r="233" spans="1:41" s="48" customFormat="1" x14ac:dyDescent="0.25">
      <c r="A233" s="34"/>
      <c r="B233" s="49"/>
      <c r="C233" s="49"/>
      <c r="D233" s="49"/>
      <c r="F233" s="49"/>
      <c r="G233" s="49"/>
      <c r="H233" s="49"/>
      <c r="J233" s="49"/>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row>
    <row r="234" spans="1:41" s="48" customFormat="1" x14ac:dyDescent="0.25">
      <c r="A234" s="34"/>
      <c r="B234" s="49"/>
      <c r="C234" s="49"/>
      <c r="D234" s="49"/>
      <c r="F234" s="49"/>
      <c r="G234" s="49"/>
      <c r="H234" s="49"/>
      <c r="J234" s="49"/>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4"/>
      <c r="AO234" s="34"/>
    </row>
    <row r="235" spans="1:41" s="48" customFormat="1" x14ac:dyDescent="0.25">
      <c r="A235" s="34"/>
      <c r="B235" s="49"/>
      <c r="C235" s="49"/>
      <c r="D235" s="49"/>
      <c r="F235" s="49"/>
      <c r="G235" s="49"/>
      <c r="H235" s="49"/>
      <c r="J235" s="49"/>
      <c r="K235" s="34"/>
      <c r="L235" s="34"/>
      <c r="M235" s="34"/>
      <c r="N235" s="34"/>
      <c r="O235" s="34"/>
      <c r="P235" s="34"/>
      <c r="Q235" s="34"/>
      <c r="R235" s="34"/>
      <c r="S235" s="34"/>
      <c r="T235" s="34"/>
      <c r="U235" s="34"/>
      <c r="V235" s="34"/>
      <c r="W235" s="34"/>
      <c r="X235" s="34"/>
      <c r="Y235" s="34"/>
      <c r="Z235" s="34"/>
      <c r="AA235" s="34"/>
      <c r="AB235" s="34"/>
      <c r="AC235" s="34"/>
      <c r="AD235" s="34"/>
      <c r="AE235" s="34"/>
      <c r="AF235" s="34"/>
      <c r="AG235" s="34"/>
      <c r="AH235" s="34"/>
      <c r="AI235" s="34"/>
      <c r="AJ235" s="34"/>
      <c r="AK235" s="34"/>
      <c r="AL235" s="34"/>
      <c r="AM235" s="34"/>
      <c r="AN235" s="34"/>
      <c r="AO235" s="34"/>
    </row>
    <row r="236" spans="1:41" s="48" customFormat="1" x14ac:dyDescent="0.25">
      <c r="A236" s="34"/>
      <c r="B236" s="49"/>
      <c r="C236" s="49"/>
      <c r="D236" s="49"/>
      <c r="F236" s="49"/>
      <c r="G236" s="49"/>
      <c r="H236" s="49"/>
      <c r="J236" s="49"/>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4"/>
      <c r="AO236" s="34"/>
    </row>
    <row r="237" spans="1:41" s="48" customFormat="1" x14ac:dyDescent="0.25">
      <c r="A237" s="34"/>
      <c r="B237" s="49"/>
      <c r="C237" s="49"/>
      <c r="D237" s="49"/>
      <c r="F237" s="49"/>
      <c r="G237" s="49"/>
      <c r="H237" s="49"/>
      <c r="J237" s="49"/>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row>
    <row r="238" spans="1:41" s="48" customFormat="1" x14ac:dyDescent="0.25">
      <c r="A238" s="34"/>
      <c r="B238" s="49"/>
      <c r="C238" s="49"/>
      <c r="D238" s="49"/>
      <c r="F238" s="49"/>
      <c r="G238" s="49"/>
      <c r="H238" s="49"/>
      <c r="J238" s="49"/>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row>
    <row r="239" spans="1:41" s="48" customFormat="1" x14ac:dyDescent="0.25">
      <c r="A239" s="34"/>
      <c r="B239" s="49"/>
      <c r="C239" s="49"/>
      <c r="D239" s="49"/>
      <c r="F239" s="49"/>
      <c r="G239" s="49"/>
      <c r="H239" s="49"/>
      <c r="J239" s="49"/>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row>
    <row r="240" spans="1:41" s="48" customFormat="1" x14ac:dyDescent="0.25">
      <c r="A240" s="34"/>
      <c r="B240" s="49"/>
      <c r="C240" s="49"/>
      <c r="D240" s="49"/>
      <c r="F240" s="49"/>
      <c r="G240" s="49"/>
      <c r="H240" s="49"/>
      <c r="J240" s="49"/>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row>
    <row r="241" spans="1:41" s="48" customFormat="1" x14ac:dyDescent="0.25">
      <c r="A241" s="34"/>
      <c r="B241" s="49"/>
      <c r="C241" s="49"/>
      <c r="D241" s="49"/>
      <c r="F241" s="49"/>
      <c r="G241" s="49"/>
      <c r="H241" s="49"/>
      <c r="J241" s="49"/>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4"/>
      <c r="AO241" s="34"/>
    </row>
    <row r="242" spans="1:41" s="48" customFormat="1" x14ac:dyDescent="0.25">
      <c r="A242" s="34"/>
      <c r="B242" s="49"/>
      <c r="C242" s="49"/>
      <c r="D242" s="49"/>
      <c r="F242" s="49"/>
      <c r="G242" s="49"/>
      <c r="H242" s="49"/>
      <c r="J242" s="49"/>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4"/>
      <c r="AO242" s="34"/>
    </row>
    <row r="243" spans="1:41" s="48" customFormat="1" x14ac:dyDescent="0.25">
      <c r="A243" s="34"/>
      <c r="B243" s="49"/>
      <c r="C243" s="49"/>
      <c r="D243" s="49"/>
      <c r="F243" s="49"/>
      <c r="G243" s="49"/>
      <c r="H243" s="49"/>
      <c r="J243" s="49"/>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4"/>
      <c r="AO243" s="34"/>
    </row>
    <row r="244" spans="1:41" s="48" customFormat="1" x14ac:dyDescent="0.25">
      <c r="A244" s="34"/>
      <c r="B244" s="49"/>
      <c r="C244" s="49"/>
      <c r="D244" s="49"/>
      <c r="F244" s="49"/>
      <c r="G244" s="49"/>
      <c r="H244" s="49"/>
      <c r="J244" s="49"/>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4"/>
      <c r="AO244" s="34"/>
    </row>
    <row r="245" spans="1:41" s="48" customFormat="1" x14ac:dyDescent="0.25">
      <c r="A245" s="34"/>
      <c r="B245" s="49"/>
      <c r="C245" s="49"/>
      <c r="D245" s="49"/>
      <c r="F245" s="49"/>
      <c r="G245" s="49"/>
      <c r="H245" s="49"/>
      <c r="J245" s="49"/>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4"/>
      <c r="AO245" s="34"/>
    </row>
    <row r="246" spans="1:41" s="48" customFormat="1" x14ac:dyDescent="0.25">
      <c r="A246" s="34"/>
      <c r="B246" s="49"/>
      <c r="C246" s="49"/>
      <c r="D246" s="49"/>
      <c r="F246" s="49"/>
      <c r="G246" s="49"/>
      <c r="H246" s="49"/>
      <c r="J246" s="49"/>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4"/>
      <c r="AO246" s="34"/>
    </row>
    <row r="247" spans="1:41" s="48" customFormat="1" x14ac:dyDescent="0.25">
      <c r="A247" s="34"/>
      <c r="B247" s="49"/>
      <c r="C247" s="49"/>
      <c r="D247" s="49"/>
      <c r="F247" s="49"/>
      <c r="G247" s="49"/>
      <c r="H247" s="49"/>
      <c r="J247" s="49"/>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4"/>
      <c r="AO247" s="34"/>
    </row>
    <row r="248" spans="1:41" s="48" customFormat="1" x14ac:dyDescent="0.25">
      <c r="A248" s="34"/>
      <c r="B248" s="49"/>
      <c r="C248" s="49"/>
      <c r="D248" s="49"/>
      <c r="F248" s="49"/>
      <c r="G248" s="49"/>
      <c r="H248" s="49"/>
      <c r="J248" s="49"/>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4"/>
      <c r="AO248" s="34"/>
    </row>
    <row r="249" spans="1:41" s="48" customFormat="1" x14ac:dyDescent="0.25">
      <c r="A249" s="34"/>
      <c r="B249" s="49"/>
      <c r="C249" s="49"/>
      <c r="D249" s="49"/>
      <c r="F249" s="49"/>
      <c r="G249" s="49"/>
      <c r="H249" s="49"/>
      <c r="J249" s="49"/>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4"/>
      <c r="AO249" s="34"/>
    </row>
    <row r="250" spans="1:41" s="48" customFormat="1" x14ac:dyDescent="0.25">
      <c r="A250" s="34"/>
      <c r="B250" s="49"/>
      <c r="C250" s="49"/>
      <c r="D250" s="49"/>
      <c r="F250" s="49"/>
      <c r="G250" s="49"/>
      <c r="H250" s="49"/>
      <c r="J250" s="49"/>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c r="AH250" s="34"/>
      <c r="AI250" s="34"/>
      <c r="AJ250" s="34"/>
      <c r="AK250" s="34"/>
      <c r="AL250" s="34"/>
      <c r="AM250" s="34"/>
      <c r="AN250" s="34"/>
      <c r="AO250" s="34"/>
    </row>
    <row r="251" spans="1:41" s="48" customFormat="1" x14ac:dyDescent="0.25">
      <c r="A251" s="34"/>
      <c r="B251" s="49"/>
      <c r="C251" s="49"/>
      <c r="D251" s="49"/>
      <c r="F251" s="49"/>
      <c r="G251" s="49"/>
      <c r="H251" s="49"/>
      <c r="J251" s="49"/>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4"/>
      <c r="AO251" s="34"/>
    </row>
    <row r="252" spans="1:41" s="48" customFormat="1" x14ac:dyDescent="0.25">
      <c r="A252" s="34"/>
      <c r="B252" s="49"/>
      <c r="C252" s="49"/>
      <c r="D252" s="49"/>
      <c r="F252" s="49"/>
      <c r="G252" s="49"/>
      <c r="H252" s="49"/>
      <c r="J252" s="49"/>
      <c r="K252" s="34"/>
      <c r="L252" s="34"/>
      <c r="M252" s="34"/>
      <c r="N252" s="34"/>
      <c r="O252" s="34"/>
      <c r="P252" s="34"/>
      <c r="Q252" s="34"/>
      <c r="R252" s="34"/>
      <c r="S252" s="34"/>
      <c r="T252" s="34"/>
      <c r="U252" s="34"/>
      <c r="V252" s="34"/>
      <c r="W252" s="34"/>
      <c r="X252" s="34"/>
      <c r="Y252" s="34"/>
      <c r="Z252" s="34"/>
      <c r="AA252" s="34"/>
      <c r="AB252" s="34"/>
      <c r="AC252" s="34"/>
      <c r="AD252" s="34"/>
      <c r="AE252" s="34"/>
      <c r="AF252" s="34"/>
      <c r="AG252" s="34"/>
      <c r="AH252" s="34"/>
      <c r="AI252" s="34"/>
      <c r="AJ252" s="34"/>
      <c r="AK252" s="34"/>
      <c r="AL252" s="34"/>
      <c r="AM252" s="34"/>
      <c r="AN252" s="34"/>
      <c r="AO252" s="34"/>
    </row>
    <row r="253" spans="1:41" s="48" customFormat="1" x14ac:dyDescent="0.25">
      <c r="A253" s="34"/>
      <c r="B253" s="49"/>
      <c r="C253" s="49"/>
      <c r="D253" s="49"/>
      <c r="F253" s="49"/>
      <c r="G253" s="49"/>
      <c r="H253" s="49"/>
      <c r="J253" s="49"/>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c r="AH253" s="34"/>
      <c r="AI253" s="34"/>
      <c r="AJ253" s="34"/>
      <c r="AK253" s="34"/>
      <c r="AL253" s="34"/>
      <c r="AM253" s="34"/>
      <c r="AN253" s="34"/>
      <c r="AO253" s="34"/>
    </row>
    <row r="254" spans="1:41" s="48" customFormat="1" x14ac:dyDescent="0.25">
      <c r="A254" s="34"/>
      <c r="B254" s="49"/>
      <c r="C254" s="49"/>
      <c r="D254" s="49"/>
      <c r="F254" s="49"/>
      <c r="G254" s="49"/>
      <c r="H254" s="49"/>
      <c r="J254" s="49"/>
      <c r="K254" s="34"/>
      <c r="L254" s="34"/>
      <c r="M254" s="34"/>
      <c r="N254" s="34"/>
      <c r="O254" s="34"/>
      <c r="P254" s="34"/>
      <c r="Q254" s="34"/>
      <c r="R254" s="34"/>
      <c r="S254" s="34"/>
      <c r="T254" s="34"/>
      <c r="U254" s="34"/>
      <c r="V254" s="34"/>
      <c r="W254" s="34"/>
      <c r="X254" s="34"/>
      <c r="Y254" s="34"/>
      <c r="Z254" s="34"/>
      <c r="AA254" s="34"/>
      <c r="AB254" s="34"/>
      <c r="AC254" s="34"/>
      <c r="AD254" s="34"/>
      <c r="AE254" s="34"/>
      <c r="AF254" s="34"/>
      <c r="AG254" s="34"/>
      <c r="AH254" s="34"/>
      <c r="AI254" s="34"/>
      <c r="AJ254" s="34"/>
      <c r="AK254" s="34"/>
      <c r="AL254" s="34"/>
      <c r="AM254" s="34"/>
      <c r="AN254" s="34"/>
      <c r="AO254" s="34"/>
    </row>
    <row r="255" spans="1:41" s="48" customFormat="1" x14ac:dyDescent="0.25">
      <c r="A255" s="34"/>
      <c r="B255" s="49"/>
      <c r="C255" s="49"/>
      <c r="D255" s="49"/>
      <c r="F255" s="49"/>
      <c r="G255" s="49"/>
      <c r="H255" s="49"/>
      <c r="J255" s="49"/>
      <c r="K255" s="34"/>
      <c r="L255" s="34"/>
      <c r="M255" s="34"/>
      <c r="N255" s="34"/>
      <c r="O255" s="34"/>
      <c r="P255" s="34"/>
      <c r="Q255" s="34"/>
      <c r="R255" s="34"/>
      <c r="S255" s="34"/>
      <c r="T255" s="34"/>
      <c r="U255" s="34"/>
      <c r="V255" s="34"/>
      <c r="W255" s="34"/>
      <c r="X255" s="34"/>
      <c r="Y255" s="34"/>
      <c r="Z255" s="34"/>
      <c r="AA255" s="34"/>
      <c r="AB255" s="34"/>
      <c r="AC255" s="34"/>
      <c r="AD255" s="34"/>
      <c r="AE255" s="34"/>
      <c r="AF255" s="34"/>
      <c r="AG255" s="34"/>
      <c r="AH255" s="34"/>
      <c r="AI255" s="34"/>
      <c r="AJ255" s="34"/>
      <c r="AK255" s="34"/>
      <c r="AL255" s="34"/>
      <c r="AM255" s="34"/>
      <c r="AN255" s="34"/>
      <c r="AO255" s="34"/>
    </row>
    <row r="256" spans="1:41" s="48" customFormat="1" x14ac:dyDescent="0.25">
      <c r="A256" s="34"/>
      <c r="B256" s="49"/>
      <c r="C256" s="49"/>
      <c r="D256" s="49"/>
      <c r="F256" s="49"/>
      <c r="G256" s="49"/>
      <c r="H256" s="49"/>
      <c r="J256" s="49"/>
      <c r="K256" s="34"/>
      <c r="L256" s="34"/>
      <c r="M256" s="34"/>
      <c r="N256" s="34"/>
      <c r="O256" s="34"/>
      <c r="P256" s="34"/>
      <c r="Q256" s="34"/>
      <c r="R256" s="34"/>
      <c r="S256" s="34"/>
      <c r="T256" s="34"/>
      <c r="U256" s="34"/>
      <c r="V256" s="34"/>
      <c r="W256" s="34"/>
      <c r="X256" s="34"/>
      <c r="Y256" s="34"/>
      <c r="Z256" s="34"/>
      <c r="AA256" s="34"/>
      <c r="AB256" s="34"/>
      <c r="AC256" s="34"/>
      <c r="AD256" s="34"/>
      <c r="AE256" s="34"/>
      <c r="AF256" s="34"/>
      <c r="AG256" s="34"/>
      <c r="AH256" s="34"/>
      <c r="AI256" s="34"/>
      <c r="AJ256" s="34"/>
      <c r="AK256" s="34"/>
      <c r="AL256" s="34"/>
      <c r="AM256" s="34"/>
      <c r="AN256" s="34"/>
      <c r="AO256" s="34"/>
    </row>
    <row r="257" spans="1:41" s="48" customFormat="1" x14ac:dyDescent="0.25">
      <c r="A257" s="34"/>
      <c r="B257" s="49"/>
      <c r="C257" s="49"/>
      <c r="D257" s="49"/>
      <c r="F257" s="49"/>
      <c r="G257" s="49"/>
      <c r="H257" s="49"/>
      <c r="J257" s="49"/>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row>
    <row r="258" spans="1:41" s="48" customFormat="1" x14ac:dyDescent="0.25">
      <c r="A258" s="34"/>
      <c r="B258" s="49"/>
      <c r="C258" s="49"/>
      <c r="D258" s="49"/>
      <c r="F258" s="49"/>
      <c r="G258" s="49"/>
      <c r="H258" s="49"/>
      <c r="J258" s="49"/>
      <c r="K258" s="34"/>
      <c r="L258" s="34"/>
      <c r="M258" s="34"/>
      <c r="N258" s="34"/>
      <c r="O258" s="34"/>
      <c r="P258" s="34"/>
      <c r="Q258" s="34"/>
      <c r="R258" s="34"/>
      <c r="S258" s="34"/>
      <c r="T258" s="34"/>
      <c r="U258" s="34"/>
      <c r="V258" s="34"/>
      <c r="W258" s="34"/>
      <c r="X258" s="34"/>
      <c r="Y258" s="34"/>
      <c r="Z258" s="34"/>
      <c r="AA258" s="34"/>
      <c r="AB258" s="34"/>
      <c r="AC258" s="34"/>
      <c r="AD258" s="34"/>
      <c r="AE258" s="34"/>
      <c r="AF258" s="34"/>
      <c r="AG258" s="34"/>
      <c r="AH258" s="34"/>
      <c r="AI258" s="34"/>
      <c r="AJ258" s="34"/>
      <c r="AK258" s="34"/>
      <c r="AL258" s="34"/>
      <c r="AM258" s="34"/>
      <c r="AN258" s="34"/>
      <c r="AO258" s="34"/>
    </row>
    <row r="259" spans="1:41" s="48" customFormat="1" x14ac:dyDescent="0.25">
      <c r="A259" s="34"/>
      <c r="B259" s="49"/>
      <c r="C259" s="49"/>
      <c r="D259" s="49"/>
      <c r="F259" s="49"/>
      <c r="G259" s="49"/>
      <c r="H259" s="49"/>
      <c r="J259" s="49"/>
      <c r="K259" s="34"/>
      <c r="L259" s="34"/>
      <c r="M259" s="34"/>
      <c r="N259" s="34"/>
      <c r="O259" s="34"/>
      <c r="P259" s="34"/>
      <c r="Q259" s="34"/>
      <c r="R259" s="34"/>
      <c r="S259" s="34"/>
      <c r="T259" s="34"/>
      <c r="U259" s="34"/>
      <c r="V259" s="34"/>
      <c r="W259" s="34"/>
      <c r="X259" s="34"/>
      <c r="Y259" s="34"/>
      <c r="Z259" s="34"/>
      <c r="AA259" s="34"/>
      <c r="AB259" s="34"/>
      <c r="AC259" s="34"/>
      <c r="AD259" s="34"/>
      <c r="AE259" s="34"/>
      <c r="AF259" s="34"/>
      <c r="AG259" s="34"/>
      <c r="AH259" s="34"/>
      <c r="AI259" s="34"/>
      <c r="AJ259" s="34"/>
      <c r="AK259" s="34"/>
      <c r="AL259" s="34"/>
      <c r="AM259" s="34"/>
      <c r="AN259" s="34"/>
      <c r="AO259" s="34"/>
    </row>
    <row r="260" spans="1:41" s="48" customFormat="1" x14ac:dyDescent="0.25">
      <c r="A260" s="34"/>
      <c r="B260" s="49"/>
      <c r="C260" s="49"/>
      <c r="D260" s="49"/>
      <c r="F260" s="49"/>
      <c r="G260" s="49"/>
      <c r="H260" s="49"/>
      <c r="J260" s="49"/>
      <c r="K260" s="34"/>
      <c r="L260" s="34"/>
      <c r="M260" s="34"/>
      <c r="N260" s="34"/>
      <c r="O260" s="34"/>
      <c r="P260" s="34"/>
      <c r="Q260" s="34"/>
      <c r="R260" s="34"/>
      <c r="S260" s="34"/>
      <c r="T260" s="34"/>
      <c r="U260" s="34"/>
      <c r="V260" s="34"/>
      <c r="W260" s="34"/>
      <c r="X260" s="34"/>
      <c r="Y260" s="34"/>
      <c r="Z260" s="34"/>
      <c r="AA260" s="34"/>
      <c r="AB260" s="34"/>
      <c r="AC260" s="34"/>
      <c r="AD260" s="34"/>
      <c r="AE260" s="34"/>
      <c r="AF260" s="34"/>
      <c r="AG260" s="34"/>
      <c r="AH260" s="34"/>
      <c r="AI260" s="34"/>
      <c r="AJ260" s="34"/>
      <c r="AK260" s="34"/>
      <c r="AL260" s="34"/>
      <c r="AM260" s="34"/>
      <c r="AN260" s="34"/>
      <c r="AO260" s="34"/>
    </row>
    <row r="261" spans="1:41" s="48" customFormat="1" x14ac:dyDescent="0.25">
      <c r="A261" s="34"/>
      <c r="B261" s="49"/>
      <c r="C261" s="49"/>
      <c r="D261" s="49"/>
      <c r="F261" s="49"/>
      <c r="G261" s="49"/>
      <c r="H261" s="49"/>
      <c r="J261" s="49"/>
      <c r="K261" s="34"/>
      <c r="L261" s="34"/>
      <c r="M261" s="34"/>
      <c r="N261" s="34"/>
      <c r="O261" s="34"/>
      <c r="P261" s="34"/>
      <c r="Q261" s="34"/>
      <c r="R261" s="34"/>
      <c r="S261" s="34"/>
      <c r="T261" s="34"/>
      <c r="U261" s="34"/>
      <c r="V261" s="34"/>
      <c r="W261" s="34"/>
      <c r="X261" s="34"/>
      <c r="Y261" s="34"/>
      <c r="Z261" s="34"/>
      <c r="AA261" s="34"/>
      <c r="AB261" s="34"/>
      <c r="AC261" s="34"/>
      <c r="AD261" s="34"/>
      <c r="AE261" s="34"/>
      <c r="AF261" s="34"/>
      <c r="AG261" s="34"/>
      <c r="AH261" s="34"/>
      <c r="AI261" s="34"/>
      <c r="AJ261" s="34"/>
      <c r="AK261" s="34"/>
      <c r="AL261" s="34"/>
      <c r="AM261" s="34"/>
      <c r="AN261" s="34"/>
      <c r="AO261" s="34"/>
    </row>
    <row r="262" spans="1:41" s="48" customFormat="1" x14ac:dyDescent="0.25">
      <c r="A262" s="34"/>
      <c r="B262" s="49"/>
      <c r="C262" s="49"/>
      <c r="D262" s="49"/>
      <c r="F262" s="49"/>
      <c r="G262" s="49"/>
      <c r="H262" s="49"/>
      <c r="J262" s="49"/>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row>
    <row r="263" spans="1:41" s="48" customFormat="1" x14ac:dyDescent="0.25">
      <c r="A263" s="34"/>
      <c r="B263" s="49"/>
      <c r="C263" s="49"/>
      <c r="D263" s="49"/>
      <c r="F263" s="49"/>
      <c r="G263" s="49"/>
      <c r="H263" s="49"/>
      <c r="J263" s="49"/>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row>
    <row r="264" spans="1:41" s="48" customFormat="1" x14ac:dyDescent="0.25">
      <c r="A264" s="34"/>
      <c r="B264" s="49"/>
      <c r="C264" s="49"/>
      <c r="D264" s="49"/>
      <c r="F264" s="49"/>
      <c r="G264" s="49"/>
      <c r="H264" s="49"/>
      <c r="J264" s="49"/>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row>
    <row r="265" spans="1:41" s="48" customFormat="1" x14ac:dyDescent="0.25">
      <c r="A265" s="34"/>
      <c r="B265" s="49"/>
      <c r="C265" s="49"/>
      <c r="D265" s="49"/>
      <c r="F265" s="49"/>
      <c r="G265" s="49"/>
      <c r="H265" s="49"/>
      <c r="J265" s="49"/>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row>
    <row r="266" spans="1:41" s="48" customFormat="1" x14ac:dyDescent="0.25">
      <c r="A266" s="34"/>
      <c r="B266" s="49"/>
      <c r="C266" s="49"/>
      <c r="D266" s="49"/>
      <c r="F266" s="49"/>
      <c r="G266" s="49"/>
      <c r="H266" s="49"/>
      <c r="J266" s="49"/>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row>
    <row r="267" spans="1:41" s="48" customFormat="1" x14ac:dyDescent="0.25">
      <c r="A267" s="34"/>
      <c r="B267" s="49"/>
      <c r="C267" s="49"/>
      <c r="D267" s="49"/>
      <c r="F267" s="49"/>
      <c r="G267" s="49"/>
      <c r="H267" s="49"/>
      <c r="J267" s="49"/>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row>
    <row r="268" spans="1:41" s="48" customFormat="1" x14ac:dyDescent="0.25">
      <c r="A268" s="34"/>
      <c r="B268" s="49"/>
      <c r="C268" s="49"/>
      <c r="D268" s="49"/>
      <c r="F268" s="49"/>
      <c r="G268" s="49"/>
      <c r="H268" s="49"/>
      <c r="J268" s="49"/>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row>
    <row r="269" spans="1:41" s="48" customFormat="1" x14ac:dyDescent="0.25">
      <c r="A269" s="34"/>
      <c r="B269" s="49"/>
      <c r="C269" s="49"/>
      <c r="D269" s="49"/>
      <c r="F269" s="49"/>
      <c r="G269" s="49"/>
      <c r="H269" s="49"/>
      <c r="J269" s="49"/>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row>
    <row r="270" spans="1:41" s="48" customFormat="1" x14ac:dyDescent="0.25">
      <c r="A270" s="34"/>
      <c r="B270" s="49"/>
      <c r="C270" s="49"/>
      <c r="D270" s="49"/>
      <c r="F270" s="49"/>
      <c r="G270" s="49"/>
      <c r="H270" s="49"/>
      <c r="J270" s="49"/>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c r="AI270" s="34"/>
      <c r="AJ270" s="34"/>
      <c r="AK270" s="34"/>
      <c r="AL270" s="34"/>
      <c r="AM270" s="34"/>
      <c r="AN270" s="34"/>
      <c r="AO270" s="34"/>
    </row>
    <row r="271" spans="1:41" s="48" customFormat="1" x14ac:dyDescent="0.25">
      <c r="A271" s="34"/>
      <c r="B271" s="49"/>
      <c r="C271" s="49"/>
      <c r="D271" s="49"/>
      <c r="F271" s="49"/>
      <c r="G271" s="49"/>
      <c r="H271" s="49"/>
      <c r="J271" s="49"/>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row>
    <row r="272" spans="1:41" s="48" customFormat="1" x14ac:dyDescent="0.25">
      <c r="A272" s="34"/>
      <c r="B272" s="49"/>
      <c r="C272" s="49"/>
      <c r="D272" s="49"/>
      <c r="F272" s="49"/>
      <c r="G272" s="49"/>
      <c r="H272" s="49"/>
      <c r="J272" s="49"/>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c r="AH272" s="34"/>
      <c r="AI272" s="34"/>
      <c r="AJ272" s="34"/>
      <c r="AK272" s="34"/>
      <c r="AL272" s="34"/>
      <c r="AM272" s="34"/>
      <c r="AN272" s="34"/>
      <c r="AO272" s="34"/>
    </row>
    <row r="273" spans="1:41" s="48" customFormat="1" x14ac:dyDescent="0.25">
      <c r="A273" s="34"/>
      <c r="B273" s="49"/>
      <c r="C273" s="49"/>
      <c r="D273" s="49"/>
      <c r="F273" s="49"/>
      <c r="G273" s="49"/>
      <c r="H273" s="49"/>
      <c r="J273" s="49"/>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c r="AI273" s="34"/>
      <c r="AJ273" s="34"/>
      <c r="AK273" s="34"/>
      <c r="AL273" s="34"/>
      <c r="AM273" s="34"/>
      <c r="AN273" s="34"/>
      <c r="AO273" s="34"/>
    </row>
    <row r="274" spans="1:41" s="48" customFormat="1" x14ac:dyDescent="0.25">
      <c r="A274" s="34"/>
      <c r="B274" s="49"/>
      <c r="C274" s="49"/>
      <c r="D274" s="49"/>
      <c r="F274" s="49"/>
      <c r="G274" s="49"/>
      <c r="H274" s="49"/>
      <c r="J274" s="49"/>
      <c r="K274" s="34"/>
      <c r="L274" s="34"/>
      <c r="M274" s="34"/>
      <c r="N274" s="34"/>
      <c r="O274" s="34"/>
      <c r="P274" s="34"/>
      <c r="Q274" s="34"/>
      <c r="R274" s="34"/>
      <c r="S274" s="34"/>
      <c r="T274" s="34"/>
      <c r="U274" s="34"/>
      <c r="V274" s="34"/>
      <c r="W274" s="34"/>
      <c r="X274" s="34"/>
      <c r="Y274" s="34"/>
      <c r="Z274" s="34"/>
      <c r="AA274" s="34"/>
      <c r="AB274" s="34"/>
      <c r="AC274" s="34"/>
      <c r="AD274" s="34"/>
      <c r="AE274" s="34"/>
      <c r="AF274" s="34"/>
      <c r="AG274" s="34"/>
      <c r="AH274" s="34"/>
      <c r="AI274" s="34"/>
      <c r="AJ274" s="34"/>
      <c r="AK274" s="34"/>
      <c r="AL274" s="34"/>
      <c r="AM274" s="34"/>
      <c r="AN274" s="34"/>
      <c r="AO274" s="34"/>
    </row>
    <row r="275" spans="1:41" s="48" customFormat="1" x14ac:dyDescent="0.25">
      <c r="A275" s="34"/>
      <c r="B275" s="49"/>
      <c r="C275" s="49"/>
      <c r="D275" s="49"/>
      <c r="F275" s="49"/>
      <c r="G275" s="49"/>
      <c r="H275" s="49"/>
      <c r="J275" s="49"/>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row>
    <row r="276" spans="1:41" s="48" customFormat="1" x14ac:dyDescent="0.25">
      <c r="A276" s="34"/>
      <c r="B276" s="49"/>
      <c r="C276" s="49"/>
      <c r="D276" s="49"/>
      <c r="F276" s="49"/>
      <c r="G276" s="49"/>
      <c r="H276" s="49"/>
      <c r="J276" s="49"/>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row>
    <row r="277" spans="1:41" s="48" customFormat="1" x14ac:dyDescent="0.25">
      <c r="A277" s="34"/>
      <c r="B277" s="49"/>
      <c r="C277" s="49"/>
      <c r="D277" s="49"/>
      <c r="F277" s="49"/>
      <c r="G277" s="49"/>
      <c r="H277" s="49"/>
      <c r="J277" s="49"/>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c r="AH277" s="34"/>
      <c r="AI277" s="34"/>
      <c r="AJ277" s="34"/>
      <c r="AK277" s="34"/>
      <c r="AL277" s="34"/>
      <c r="AM277" s="34"/>
      <c r="AN277" s="34"/>
      <c r="AO277" s="34"/>
    </row>
    <row r="278" spans="1:41" s="48" customFormat="1" x14ac:dyDescent="0.25">
      <c r="A278" s="34"/>
      <c r="B278" s="49"/>
      <c r="C278" s="49"/>
      <c r="D278" s="49"/>
      <c r="F278" s="49"/>
      <c r="G278" s="49"/>
      <c r="H278" s="49"/>
      <c r="J278" s="49"/>
      <c r="K278" s="34"/>
      <c r="L278" s="34"/>
      <c r="M278" s="34"/>
      <c r="N278" s="34"/>
      <c r="O278" s="34"/>
      <c r="P278" s="34"/>
      <c r="Q278" s="34"/>
      <c r="R278" s="34"/>
      <c r="S278" s="34"/>
      <c r="T278" s="34"/>
      <c r="U278" s="34"/>
      <c r="V278" s="34"/>
      <c r="W278" s="34"/>
      <c r="X278" s="34"/>
      <c r="Y278" s="34"/>
      <c r="Z278" s="34"/>
      <c r="AA278" s="34"/>
      <c r="AB278" s="34"/>
      <c r="AC278" s="34"/>
      <c r="AD278" s="34"/>
      <c r="AE278" s="34"/>
      <c r="AF278" s="34"/>
      <c r="AG278" s="34"/>
      <c r="AH278" s="34"/>
      <c r="AI278" s="34"/>
      <c r="AJ278" s="34"/>
      <c r="AK278" s="34"/>
      <c r="AL278" s="34"/>
      <c r="AM278" s="34"/>
      <c r="AN278" s="34"/>
      <c r="AO278" s="34"/>
    </row>
    <row r="279" spans="1:41" s="48" customFormat="1" x14ac:dyDescent="0.25">
      <c r="A279" s="34"/>
      <c r="B279" s="49"/>
      <c r="C279" s="49"/>
      <c r="D279" s="49"/>
      <c r="F279" s="49"/>
      <c r="G279" s="49"/>
      <c r="H279" s="49"/>
      <c r="J279" s="49"/>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row>
    <row r="280" spans="1:41" s="48" customFormat="1" x14ac:dyDescent="0.25">
      <c r="A280" s="34"/>
      <c r="B280" s="49"/>
      <c r="C280" s="49"/>
      <c r="D280" s="49"/>
      <c r="F280" s="49"/>
      <c r="G280" s="49"/>
      <c r="H280" s="49"/>
      <c r="J280" s="49"/>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row>
    <row r="281" spans="1:41" s="48" customFormat="1" x14ac:dyDescent="0.25">
      <c r="A281" s="34"/>
      <c r="B281" s="49"/>
      <c r="C281" s="49"/>
      <c r="D281" s="49"/>
      <c r="F281" s="49"/>
      <c r="G281" s="49"/>
      <c r="H281" s="49"/>
      <c r="J281" s="49"/>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row>
    <row r="282" spans="1:41" s="48" customFormat="1" x14ac:dyDescent="0.25">
      <c r="A282" s="34"/>
      <c r="B282" s="49"/>
      <c r="C282" s="49"/>
      <c r="D282" s="49"/>
      <c r="F282" s="49"/>
      <c r="G282" s="49"/>
      <c r="H282" s="49"/>
      <c r="J282" s="49"/>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row>
    <row r="283" spans="1:41" s="48" customFormat="1" x14ac:dyDescent="0.25">
      <c r="A283" s="34"/>
      <c r="B283" s="49"/>
      <c r="C283" s="49"/>
      <c r="D283" s="49"/>
      <c r="F283" s="49"/>
      <c r="G283" s="49"/>
      <c r="H283" s="49"/>
      <c r="J283" s="49"/>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row>
    <row r="284" spans="1:41" s="48" customFormat="1" x14ac:dyDescent="0.25">
      <c r="A284" s="34"/>
      <c r="B284" s="49"/>
      <c r="C284" s="49"/>
      <c r="D284" s="49"/>
      <c r="F284" s="49"/>
      <c r="G284" s="49"/>
      <c r="H284" s="49"/>
      <c r="J284" s="49"/>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row>
    <row r="285" spans="1:41" s="48" customFormat="1" x14ac:dyDescent="0.25">
      <c r="A285" s="34"/>
      <c r="B285" s="49"/>
      <c r="C285" s="49"/>
      <c r="D285" s="49"/>
      <c r="F285" s="49"/>
      <c r="G285" s="49"/>
      <c r="H285" s="49"/>
      <c r="J285" s="49"/>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row>
    <row r="286" spans="1:41" s="48" customFormat="1" x14ac:dyDescent="0.25">
      <c r="A286" s="34"/>
      <c r="B286" s="49"/>
      <c r="C286" s="49"/>
      <c r="D286" s="49"/>
      <c r="F286" s="49"/>
      <c r="G286" s="49"/>
      <c r="H286" s="49"/>
      <c r="J286" s="49"/>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row>
    <row r="287" spans="1:41" s="48" customFormat="1" x14ac:dyDescent="0.25">
      <c r="A287" s="34"/>
      <c r="B287" s="49"/>
      <c r="C287" s="49"/>
      <c r="D287" s="49"/>
      <c r="F287" s="49"/>
      <c r="G287" s="49"/>
      <c r="H287" s="49"/>
      <c r="J287" s="49"/>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row>
    <row r="288" spans="1:41" s="48" customFormat="1" x14ac:dyDescent="0.25">
      <c r="A288" s="34"/>
      <c r="B288" s="49"/>
      <c r="C288" s="49"/>
      <c r="D288" s="49"/>
      <c r="F288" s="49"/>
      <c r="G288" s="49"/>
      <c r="H288" s="49"/>
      <c r="J288" s="49"/>
      <c r="K288" s="34"/>
      <c r="L288" s="34"/>
      <c r="M288" s="34"/>
      <c r="N288" s="34"/>
      <c r="O288" s="34"/>
      <c r="P288" s="34"/>
      <c r="Q288" s="34"/>
      <c r="R288" s="34"/>
      <c r="S288" s="34"/>
      <c r="T288" s="34"/>
      <c r="U288" s="34"/>
      <c r="V288" s="34"/>
      <c r="W288" s="34"/>
      <c r="X288" s="34"/>
      <c r="Y288" s="34"/>
      <c r="Z288" s="34"/>
      <c r="AA288" s="34"/>
      <c r="AB288" s="34"/>
      <c r="AC288" s="34"/>
      <c r="AD288" s="34"/>
      <c r="AE288" s="34"/>
      <c r="AF288" s="34"/>
      <c r="AG288" s="34"/>
      <c r="AH288" s="34"/>
      <c r="AI288" s="34"/>
      <c r="AJ288" s="34"/>
      <c r="AK288" s="34"/>
      <c r="AL288" s="34"/>
      <c r="AM288" s="34"/>
      <c r="AN288" s="34"/>
      <c r="AO288" s="34"/>
    </row>
    <row r="289" spans="1:41" s="48" customFormat="1" x14ac:dyDescent="0.25">
      <c r="A289" s="34"/>
      <c r="B289" s="49"/>
      <c r="C289" s="49"/>
      <c r="D289" s="49"/>
      <c r="F289" s="49"/>
      <c r="G289" s="49"/>
      <c r="H289" s="49"/>
      <c r="J289" s="49"/>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row>
    <row r="290" spans="1:41" s="48" customFormat="1" x14ac:dyDescent="0.25">
      <c r="A290" s="34"/>
      <c r="B290" s="49"/>
      <c r="C290" s="49"/>
      <c r="D290" s="49"/>
      <c r="F290" s="49"/>
      <c r="G290" s="49"/>
      <c r="H290" s="49"/>
      <c r="J290" s="49"/>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4"/>
      <c r="AO290" s="34"/>
    </row>
    <row r="291" spans="1:41" s="48" customFormat="1" x14ac:dyDescent="0.25">
      <c r="A291" s="34"/>
      <c r="B291" s="49"/>
      <c r="C291" s="49"/>
      <c r="D291" s="49"/>
      <c r="F291" s="49"/>
      <c r="G291" s="49"/>
      <c r="H291" s="49"/>
      <c r="J291" s="49"/>
      <c r="K291" s="34"/>
      <c r="L291" s="34"/>
      <c r="M291" s="34"/>
      <c r="N291" s="34"/>
      <c r="O291" s="34"/>
      <c r="P291" s="34"/>
      <c r="Q291" s="34"/>
      <c r="R291" s="34"/>
      <c r="S291" s="34"/>
      <c r="T291" s="34"/>
      <c r="U291" s="34"/>
      <c r="V291" s="34"/>
      <c r="W291" s="34"/>
      <c r="X291" s="34"/>
      <c r="Y291" s="34"/>
      <c r="Z291" s="34"/>
      <c r="AA291" s="34"/>
      <c r="AB291" s="34"/>
      <c r="AC291" s="34"/>
      <c r="AD291" s="34"/>
      <c r="AE291" s="34"/>
      <c r="AF291" s="34"/>
      <c r="AG291" s="34"/>
      <c r="AH291" s="34"/>
      <c r="AI291" s="34"/>
      <c r="AJ291" s="34"/>
      <c r="AK291" s="34"/>
      <c r="AL291" s="34"/>
      <c r="AM291" s="34"/>
      <c r="AN291" s="34"/>
      <c r="AO291" s="34"/>
    </row>
    <row r="292" spans="1:41" s="48" customFormat="1" x14ac:dyDescent="0.25">
      <c r="A292" s="34"/>
      <c r="B292" s="49"/>
      <c r="C292" s="49"/>
      <c r="D292" s="49"/>
      <c r="F292" s="49"/>
      <c r="G292" s="49"/>
      <c r="H292" s="49"/>
      <c r="J292" s="49"/>
      <c r="K292" s="34"/>
      <c r="L292" s="34"/>
      <c r="M292" s="34"/>
      <c r="N292" s="34"/>
      <c r="O292" s="34"/>
      <c r="P292" s="34"/>
      <c r="Q292" s="34"/>
      <c r="R292" s="34"/>
      <c r="S292" s="34"/>
      <c r="T292" s="34"/>
      <c r="U292" s="34"/>
      <c r="V292" s="34"/>
      <c r="W292" s="34"/>
      <c r="X292" s="34"/>
      <c r="Y292" s="34"/>
      <c r="Z292" s="34"/>
      <c r="AA292" s="34"/>
      <c r="AB292" s="34"/>
      <c r="AC292" s="34"/>
      <c r="AD292" s="34"/>
      <c r="AE292" s="34"/>
      <c r="AF292" s="34"/>
      <c r="AG292" s="34"/>
      <c r="AH292" s="34"/>
      <c r="AI292" s="34"/>
      <c r="AJ292" s="34"/>
      <c r="AK292" s="34"/>
      <c r="AL292" s="34"/>
      <c r="AM292" s="34"/>
      <c r="AN292" s="34"/>
      <c r="AO292" s="34"/>
    </row>
    <row r="293" spans="1:41" s="48" customFormat="1" x14ac:dyDescent="0.25">
      <c r="A293" s="34"/>
      <c r="B293" s="49"/>
      <c r="C293" s="49"/>
      <c r="D293" s="49"/>
      <c r="F293" s="49"/>
      <c r="G293" s="49"/>
      <c r="H293" s="49"/>
      <c r="J293" s="49"/>
      <c r="K293" s="34"/>
      <c r="L293" s="34"/>
      <c r="M293" s="34"/>
      <c r="N293" s="34"/>
      <c r="O293" s="34"/>
      <c r="P293" s="34"/>
      <c r="Q293" s="34"/>
      <c r="R293" s="34"/>
      <c r="S293" s="34"/>
      <c r="T293" s="34"/>
      <c r="U293" s="34"/>
      <c r="V293" s="34"/>
      <c r="W293" s="34"/>
      <c r="X293" s="34"/>
      <c r="Y293" s="34"/>
      <c r="Z293" s="34"/>
      <c r="AA293" s="34"/>
      <c r="AB293" s="34"/>
      <c r="AC293" s="34"/>
      <c r="AD293" s="34"/>
      <c r="AE293" s="34"/>
      <c r="AF293" s="34"/>
      <c r="AG293" s="34"/>
      <c r="AH293" s="34"/>
      <c r="AI293" s="34"/>
      <c r="AJ293" s="34"/>
      <c r="AK293" s="34"/>
      <c r="AL293" s="34"/>
      <c r="AM293" s="34"/>
      <c r="AN293" s="34"/>
      <c r="AO293" s="34"/>
    </row>
    <row r="294" spans="1:41" s="48" customFormat="1" x14ac:dyDescent="0.25">
      <c r="A294" s="34"/>
      <c r="B294" s="49"/>
      <c r="C294" s="49"/>
      <c r="D294" s="49"/>
      <c r="F294" s="49"/>
      <c r="G294" s="49"/>
      <c r="H294" s="49"/>
      <c r="J294" s="49"/>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row>
    <row r="295" spans="1:41" s="48" customFormat="1" x14ac:dyDescent="0.25">
      <c r="A295" s="34"/>
      <c r="B295" s="49"/>
      <c r="C295" s="49"/>
      <c r="D295" s="49"/>
      <c r="F295" s="49"/>
      <c r="G295" s="49"/>
      <c r="H295" s="49"/>
      <c r="J295" s="49"/>
      <c r="K295" s="34"/>
      <c r="L295" s="34"/>
      <c r="M295" s="34"/>
      <c r="N295" s="34"/>
      <c r="O295" s="34"/>
      <c r="P295" s="34"/>
      <c r="Q295" s="34"/>
      <c r="R295" s="34"/>
      <c r="S295" s="34"/>
      <c r="T295" s="34"/>
      <c r="U295" s="34"/>
      <c r="V295" s="34"/>
      <c r="W295" s="34"/>
      <c r="X295" s="34"/>
      <c r="Y295" s="34"/>
      <c r="Z295" s="34"/>
      <c r="AA295" s="34"/>
      <c r="AB295" s="34"/>
      <c r="AC295" s="34"/>
      <c r="AD295" s="34"/>
      <c r="AE295" s="34"/>
      <c r="AF295" s="34"/>
      <c r="AG295" s="34"/>
      <c r="AH295" s="34"/>
      <c r="AI295" s="34"/>
      <c r="AJ295" s="34"/>
      <c r="AK295" s="34"/>
      <c r="AL295" s="34"/>
      <c r="AM295" s="34"/>
      <c r="AN295" s="34"/>
      <c r="AO295" s="34"/>
    </row>
    <row r="296" spans="1:41" s="48" customFormat="1" x14ac:dyDescent="0.25">
      <c r="A296" s="34"/>
      <c r="B296" s="49"/>
      <c r="C296" s="49"/>
      <c r="D296" s="49"/>
      <c r="F296" s="49"/>
      <c r="G296" s="49"/>
      <c r="H296" s="49"/>
      <c r="J296" s="49"/>
      <c r="K296" s="34"/>
      <c r="L296" s="34"/>
      <c r="M296" s="34"/>
      <c r="N296" s="34"/>
      <c r="O296" s="34"/>
      <c r="P296" s="34"/>
      <c r="Q296" s="34"/>
      <c r="R296" s="34"/>
      <c r="S296" s="34"/>
      <c r="T296" s="34"/>
      <c r="U296" s="34"/>
      <c r="V296" s="34"/>
      <c r="W296" s="34"/>
      <c r="X296" s="34"/>
      <c r="Y296" s="34"/>
      <c r="Z296" s="34"/>
      <c r="AA296" s="34"/>
      <c r="AB296" s="34"/>
      <c r="AC296" s="34"/>
      <c r="AD296" s="34"/>
      <c r="AE296" s="34"/>
      <c r="AF296" s="34"/>
      <c r="AG296" s="34"/>
      <c r="AH296" s="34"/>
      <c r="AI296" s="34"/>
      <c r="AJ296" s="34"/>
      <c r="AK296" s="34"/>
      <c r="AL296" s="34"/>
      <c r="AM296" s="34"/>
      <c r="AN296" s="34"/>
      <c r="AO296" s="34"/>
    </row>
    <row r="297" spans="1:41" s="48" customFormat="1" x14ac:dyDescent="0.25">
      <c r="A297" s="34"/>
      <c r="B297" s="49"/>
      <c r="C297" s="49"/>
      <c r="D297" s="49"/>
      <c r="F297" s="49"/>
      <c r="G297" s="49"/>
      <c r="H297" s="49"/>
      <c r="J297" s="49"/>
      <c r="K297" s="34"/>
      <c r="L297" s="34"/>
      <c r="M297" s="34"/>
      <c r="N297" s="34"/>
      <c r="O297" s="34"/>
      <c r="P297" s="34"/>
      <c r="Q297" s="34"/>
      <c r="R297" s="34"/>
      <c r="S297" s="34"/>
      <c r="T297" s="34"/>
      <c r="U297" s="34"/>
      <c r="V297" s="34"/>
      <c r="W297" s="34"/>
      <c r="X297" s="34"/>
      <c r="Y297" s="34"/>
      <c r="Z297" s="34"/>
      <c r="AA297" s="34"/>
      <c r="AB297" s="34"/>
      <c r="AC297" s="34"/>
      <c r="AD297" s="34"/>
      <c r="AE297" s="34"/>
      <c r="AF297" s="34"/>
      <c r="AG297" s="34"/>
      <c r="AH297" s="34"/>
      <c r="AI297" s="34"/>
      <c r="AJ297" s="34"/>
      <c r="AK297" s="34"/>
      <c r="AL297" s="34"/>
      <c r="AM297" s="34"/>
      <c r="AN297" s="34"/>
      <c r="AO297" s="34"/>
    </row>
    <row r="298" spans="1:41" s="48" customFormat="1" x14ac:dyDescent="0.25">
      <c r="A298" s="34"/>
      <c r="B298" s="49"/>
      <c r="C298" s="49"/>
      <c r="D298" s="49"/>
      <c r="F298" s="49"/>
      <c r="G298" s="49"/>
      <c r="H298" s="49"/>
      <c r="J298" s="49"/>
      <c r="K298" s="34"/>
      <c r="L298" s="34"/>
      <c r="M298" s="34"/>
      <c r="N298" s="34"/>
      <c r="O298" s="34"/>
      <c r="P298" s="34"/>
      <c r="Q298" s="34"/>
      <c r="R298" s="34"/>
      <c r="S298" s="34"/>
      <c r="T298" s="34"/>
      <c r="U298" s="34"/>
      <c r="V298" s="34"/>
      <c r="W298" s="34"/>
      <c r="X298" s="34"/>
      <c r="Y298" s="34"/>
      <c r="Z298" s="34"/>
      <c r="AA298" s="34"/>
      <c r="AB298" s="34"/>
      <c r="AC298" s="34"/>
      <c r="AD298" s="34"/>
      <c r="AE298" s="34"/>
      <c r="AF298" s="34"/>
      <c r="AG298" s="34"/>
      <c r="AH298" s="34"/>
      <c r="AI298" s="34"/>
      <c r="AJ298" s="34"/>
      <c r="AK298" s="34"/>
      <c r="AL298" s="34"/>
      <c r="AM298" s="34"/>
      <c r="AN298" s="34"/>
      <c r="AO298" s="34"/>
    </row>
    <row r="299" spans="1:41" s="48" customFormat="1" x14ac:dyDescent="0.25">
      <c r="A299" s="34"/>
      <c r="B299" s="49"/>
      <c r="C299" s="49"/>
      <c r="D299" s="49"/>
      <c r="F299" s="49"/>
      <c r="G299" s="49"/>
      <c r="H299" s="49"/>
      <c r="J299" s="49"/>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c r="AH299" s="34"/>
      <c r="AI299" s="34"/>
      <c r="AJ299" s="34"/>
      <c r="AK299" s="34"/>
      <c r="AL299" s="34"/>
      <c r="AM299" s="34"/>
      <c r="AN299" s="34"/>
      <c r="AO299" s="34"/>
    </row>
    <row r="300" spans="1:41" s="48" customFormat="1" x14ac:dyDescent="0.25">
      <c r="A300" s="34"/>
      <c r="B300" s="49"/>
      <c r="C300" s="49"/>
      <c r="D300" s="49"/>
      <c r="F300" s="49"/>
      <c r="G300" s="49"/>
      <c r="H300" s="49"/>
      <c r="J300" s="49"/>
      <c r="K300" s="34"/>
      <c r="L300" s="34"/>
      <c r="M300" s="34"/>
      <c r="N300" s="34"/>
      <c r="O300" s="34"/>
      <c r="P300" s="34"/>
      <c r="Q300" s="34"/>
      <c r="R300" s="34"/>
      <c r="S300" s="34"/>
      <c r="T300" s="34"/>
      <c r="U300" s="34"/>
      <c r="V300" s="34"/>
      <c r="W300" s="34"/>
      <c r="X300" s="34"/>
      <c r="Y300" s="34"/>
      <c r="Z300" s="34"/>
      <c r="AA300" s="34"/>
      <c r="AB300" s="34"/>
      <c r="AC300" s="34"/>
      <c r="AD300" s="34"/>
      <c r="AE300" s="34"/>
      <c r="AF300" s="34"/>
      <c r="AG300" s="34"/>
      <c r="AH300" s="34"/>
      <c r="AI300" s="34"/>
      <c r="AJ300" s="34"/>
      <c r="AK300" s="34"/>
      <c r="AL300" s="34"/>
      <c r="AM300" s="34"/>
      <c r="AN300" s="34"/>
      <c r="AO300" s="34"/>
    </row>
    <row r="301" spans="1:41" s="48" customFormat="1" x14ac:dyDescent="0.25">
      <c r="A301" s="34"/>
      <c r="B301" s="49"/>
      <c r="C301" s="49"/>
      <c r="D301" s="49"/>
      <c r="F301" s="49"/>
      <c r="G301" s="49"/>
      <c r="H301" s="49"/>
      <c r="J301" s="49"/>
      <c r="K301" s="34"/>
      <c r="L301" s="34"/>
      <c r="M301" s="34"/>
      <c r="N301" s="34"/>
      <c r="O301" s="34"/>
      <c r="P301" s="34"/>
      <c r="Q301" s="34"/>
      <c r="R301" s="34"/>
      <c r="S301" s="34"/>
      <c r="T301" s="34"/>
      <c r="U301" s="34"/>
      <c r="V301" s="34"/>
      <c r="W301" s="34"/>
      <c r="X301" s="34"/>
      <c r="Y301" s="34"/>
      <c r="Z301" s="34"/>
      <c r="AA301" s="34"/>
      <c r="AB301" s="34"/>
      <c r="AC301" s="34"/>
      <c r="AD301" s="34"/>
      <c r="AE301" s="34"/>
      <c r="AF301" s="34"/>
      <c r="AG301" s="34"/>
      <c r="AH301" s="34"/>
      <c r="AI301" s="34"/>
      <c r="AJ301" s="34"/>
      <c r="AK301" s="34"/>
      <c r="AL301" s="34"/>
      <c r="AM301" s="34"/>
      <c r="AN301" s="34"/>
      <c r="AO301" s="34"/>
    </row>
    <row r="302" spans="1:41" s="48" customFormat="1" x14ac:dyDescent="0.25">
      <c r="A302" s="34"/>
      <c r="B302" s="49"/>
      <c r="C302" s="49"/>
      <c r="D302" s="49"/>
      <c r="F302" s="49"/>
      <c r="G302" s="49"/>
      <c r="H302" s="49"/>
      <c r="J302" s="49"/>
      <c r="K302" s="34"/>
      <c r="L302" s="34"/>
      <c r="M302" s="34"/>
      <c r="N302" s="34"/>
      <c r="O302" s="34"/>
      <c r="P302" s="34"/>
      <c r="Q302" s="34"/>
      <c r="R302" s="34"/>
      <c r="S302" s="34"/>
      <c r="T302" s="34"/>
      <c r="U302" s="34"/>
      <c r="V302" s="34"/>
      <c r="W302" s="34"/>
      <c r="X302" s="34"/>
      <c r="Y302" s="34"/>
      <c r="Z302" s="34"/>
      <c r="AA302" s="34"/>
      <c r="AB302" s="34"/>
      <c r="AC302" s="34"/>
      <c r="AD302" s="34"/>
      <c r="AE302" s="34"/>
      <c r="AF302" s="34"/>
      <c r="AG302" s="34"/>
      <c r="AH302" s="34"/>
      <c r="AI302" s="34"/>
      <c r="AJ302" s="34"/>
      <c r="AK302" s="34"/>
      <c r="AL302" s="34"/>
      <c r="AM302" s="34"/>
      <c r="AN302" s="34"/>
      <c r="AO302" s="34"/>
    </row>
    <row r="303" spans="1:41" s="48" customFormat="1" x14ac:dyDescent="0.25">
      <c r="A303" s="34"/>
      <c r="B303" s="49"/>
      <c r="C303" s="49"/>
      <c r="D303" s="49"/>
      <c r="F303" s="49"/>
      <c r="G303" s="49"/>
      <c r="H303" s="49"/>
      <c r="J303" s="49"/>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row>
    <row r="304" spans="1:41" s="48" customFormat="1" x14ac:dyDescent="0.25">
      <c r="A304" s="34"/>
      <c r="B304" s="49"/>
      <c r="C304" s="49"/>
      <c r="D304" s="49"/>
      <c r="F304" s="49"/>
      <c r="G304" s="49"/>
      <c r="H304" s="49"/>
      <c r="J304" s="49"/>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row>
    <row r="305" spans="1:41" s="48" customFormat="1" x14ac:dyDescent="0.25">
      <c r="A305" s="34"/>
      <c r="B305" s="49"/>
      <c r="C305" s="49"/>
      <c r="D305" s="49"/>
      <c r="F305" s="49"/>
      <c r="G305" s="49"/>
      <c r="H305" s="49"/>
      <c r="J305" s="49"/>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row>
    <row r="306" spans="1:41" s="48" customFormat="1" x14ac:dyDescent="0.25">
      <c r="A306" s="34"/>
      <c r="B306" s="49"/>
      <c r="C306" s="49"/>
      <c r="D306" s="49"/>
      <c r="F306" s="49"/>
      <c r="G306" s="49"/>
      <c r="H306" s="49"/>
      <c r="J306" s="49"/>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row>
    <row r="307" spans="1:41" s="48" customFormat="1" x14ac:dyDescent="0.25">
      <c r="A307" s="34"/>
      <c r="B307" s="49"/>
      <c r="C307" s="49"/>
      <c r="D307" s="49"/>
      <c r="F307" s="49"/>
      <c r="G307" s="49"/>
      <c r="H307" s="49"/>
      <c r="J307" s="49"/>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row>
    <row r="308" spans="1:41" s="48" customFormat="1" x14ac:dyDescent="0.25">
      <c r="A308" s="34"/>
      <c r="B308" s="49"/>
      <c r="C308" s="49"/>
      <c r="D308" s="49"/>
      <c r="F308" s="49"/>
      <c r="G308" s="49"/>
      <c r="H308" s="49"/>
      <c r="J308" s="49"/>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row>
    <row r="309" spans="1:41" s="48" customFormat="1" x14ac:dyDescent="0.25">
      <c r="A309" s="34"/>
      <c r="B309" s="49"/>
      <c r="C309" s="49"/>
      <c r="D309" s="49"/>
      <c r="F309" s="49"/>
      <c r="G309" s="49"/>
      <c r="H309" s="49"/>
      <c r="J309" s="49"/>
      <c r="K309" s="34"/>
      <c r="L309" s="34"/>
      <c r="M309" s="34"/>
      <c r="N309" s="34"/>
      <c r="O309" s="34"/>
      <c r="P309" s="34"/>
      <c r="Q309" s="34"/>
      <c r="R309" s="34"/>
      <c r="S309" s="34"/>
      <c r="T309" s="34"/>
      <c r="U309" s="34"/>
      <c r="V309" s="34"/>
      <c r="W309" s="34"/>
      <c r="X309" s="34"/>
      <c r="Y309" s="34"/>
      <c r="Z309" s="34"/>
      <c r="AA309" s="34"/>
      <c r="AB309" s="34"/>
      <c r="AC309" s="34"/>
      <c r="AD309" s="34"/>
      <c r="AE309" s="34"/>
      <c r="AF309" s="34"/>
      <c r="AG309" s="34"/>
      <c r="AH309" s="34"/>
      <c r="AI309" s="34"/>
      <c r="AJ309" s="34"/>
      <c r="AK309" s="34"/>
      <c r="AL309" s="34"/>
      <c r="AM309" s="34"/>
      <c r="AN309" s="34"/>
      <c r="AO309" s="34"/>
    </row>
    <row r="310" spans="1:41" s="48" customFormat="1" x14ac:dyDescent="0.25">
      <c r="A310" s="34"/>
      <c r="B310" s="49"/>
      <c r="C310" s="49"/>
      <c r="D310" s="49"/>
      <c r="F310" s="49"/>
      <c r="G310" s="49"/>
      <c r="H310" s="49"/>
      <c r="J310" s="49"/>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M310" s="34"/>
      <c r="AN310" s="34"/>
      <c r="AO310" s="34"/>
    </row>
    <row r="311" spans="1:41" s="48" customFormat="1" x14ac:dyDescent="0.25">
      <c r="A311" s="34"/>
      <c r="B311" s="49"/>
      <c r="C311" s="49"/>
      <c r="D311" s="49"/>
      <c r="F311" s="49"/>
      <c r="G311" s="49"/>
      <c r="H311" s="49"/>
      <c r="J311" s="49"/>
      <c r="K311" s="34"/>
      <c r="L311" s="34"/>
      <c r="M311" s="34"/>
      <c r="N311" s="34"/>
      <c r="O311" s="34"/>
      <c r="P311" s="34"/>
      <c r="Q311" s="34"/>
      <c r="R311" s="34"/>
      <c r="S311" s="34"/>
      <c r="T311" s="34"/>
      <c r="U311" s="34"/>
      <c r="V311" s="34"/>
      <c r="W311" s="34"/>
      <c r="X311" s="34"/>
      <c r="Y311" s="34"/>
      <c r="Z311" s="34"/>
      <c r="AA311" s="34"/>
      <c r="AB311" s="34"/>
      <c r="AC311" s="34"/>
      <c r="AD311" s="34"/>
      <c r="AE311" s="34"/>
      <c r="AF311" s="34"/>
      <c r="AG311" s="34"/>
      <c r="AH311" s="34"/>
      <c r="AI311" s="34"/>
      <c r="AJ311" s="34"/>
      <c r="AK311" s="34"/>
      <c r="AL311" s="34"/>
      <c r="AM311" s="34"/>
      <c r="AN311" s="34"/>
      <c r="AO311" s="34"/>
    </row>
  </sheetData>
  <sheetProtection algorithmName="SHA-512" hashValue="4/LOSjlwkaSIdXe+S4Nty2nHkK8b8c9KSm0WcYRClvQ4aFcEbu3uwK+0+6geMcfoGc1v6vZ64ZwScy6ZqhzPzg==" saltValue="gQIQxNbvAaah16BWNj2xQQ==" spinCount="100000" sheet="1" objects="1" scenarios="1"/>
  <mergeCells count="13">
    <mergeCell ref="B31:J31"/>
    <mergeCell ref="C1:E1"/>
    <mergeCell ref="C2:E2"/>
    <mergeCell ref="H2:J2"/>
    <mergeCell ref="B4:J4"/>
    <mergeCell ref="J5:J27"/>
    <mergeCell ref="C28:F28"/>
    <mergeCell ref="C29:F29"/>
    <mergeCell ref="H29:J29"/>
    <mergeCell ref="C30:F30"/>
    <mergeCell ref="H30:J30"/>
    <mergeCell ref="B3:E3"/>
    <mergeCell ref="H3:J3"/>
  </mergeCells>
  <conditionalFormatting sqref="H6">
    <cfRule type="cellIs" dxfId="28" priority="31" operator="lessThan">
      <formula>1</formula>
    </cfRule>
  </conditionalFormatting>
  <conditionalFormatting sqref="I6">
    <cfRule type="cellIs" dxfId="27" priority="30" operator="lessThan">
      <formula>1</formula>
    </cfRule>
  </conditionalFormatting>
  <conditionalFormatting sqref="F6:G6">
    <cfRule type="cellIs" dxfId="26" priority="27" operator="greaterThan">
      <formula>$E$6</formula>
    </cfRule>
  </conditionalFormatting>
  <conditionalFormatting sqref="F7:G7">
    <cfRule type="cellIs" dxfId="25" priority="26" operator="greaterThan">
      <formula>$E$7</formula>
    </cfRule>
  </conditionalFormatting>
  <conditionalFormatting sqref="F8:G8">
    <cfRule type="cellIs" dxfId="24" priority="25" operator="greaterThan">
      <formula>$E$8</formula>
    </cfRule>
  </conditionalFormatting>
  <conditionalFormatting sqref="F9:G9">
    <cfRule type="cellIs" dxfId="23" priority="24" operator="greaterThan">
      <formula>$E$9</formula>
    </cfRule>
  </conditionalFormatting>
  <conditionalFormatting sqref="F10:G10">
    <cfRule type="cellIs" dxfId="22" priority="23" operator="greaterThan">
      <formula>$E$10</formula>
    </cfRule>
  </conditionalFormatting>
  <conditionalFormatting sqref="F11:G11">
    <cfRule type="cellIs" dxfId="21" priority="22" operator="greaterThan">
      <formula>$E$11</formula>
    </cfRule>
  </conditionalFormatting>
  <conditionalFormatting sqref="F12:G12">
    <cfRule type="cellIs" dxfId="20" priority="21" operator="greaterThan">
      <formula>$E$12</formula>
    </cfRule>
  </conditionalFormatting>
  <conditionalFormatting sqref="F13:G13">
    <cfRule type="cellIs" dxfId="19" priority="20" operator="greaterThan">
      <formula>$E$13</formula>
    </cfRule>
  </conditionalFormatting>
  <conditionalFormatting sqref="F14:G14">
    <cfRule type="cellIs" dxfId="18" priority="19" operator="greaterThan">
      <formula>$E$14</formula>
    </cfRule>
  </conditionalFormatting>
  <conditionalFormatting sqref="F15:G15">
    <cfRule type="cellIs" dxfId="17" priority="18" operator="greaterThan">
      <formula>$E$15</formula>
    </cfRule>
  </conditionalFormatting>
  <conditionalFormatting sqref="F16:G16">
    <cfRule type="cellIs" dxfId="16" priority="17" operator="greaterThan">
      <formula>$E$16</formula>
    </cfRule>
  </conditionalFormatting>
  <conditionalFormatting sqref="F17:G17">
    <cfRule type="cellIs" dxfId="15" priority="16" operator="greaterThan">
      <formula>$E$17</formula>
    </cfRule>
  </conditionalFormatting>
  <conditionalFormatting sqref="F18:G18">
    <cfRule type="cellIs" dxfId="14" priority="15" operator="greaterThan">
      <formula>$E$18</formula>
    </cfRule>
  </conditionalFormatting>
  <conditionalFormatting sqref="F19:G19">
    <cfRule type="cellIs" dxfId="13" priority="14" operator="greaterThan">
      <formula>$E$19</formula>
    </cfRule>
  </conditionalFormatting>
  <conditionalFormatting sqref="F20:G20">
    <cfRule type="cellIs" dxfId="12" priority="13" operator="greaterThan">
      <formula>$E$20</formula>
    </cfRule>
  </conditionalFormatting>
  <conditionalFormatting sqref="F21:G21">
    <cfRule type="cellIs" dxfId="11" priority="12" operator="greaterThan">
      <formula>$E$21</formula>
    </cfRule>
  </conditionalFormatting>
  <conditionalFormatting sqref="F22:G22">
    <cfRule type="cellIs" dxfId="10" priority="11" operator="greaterThan">
      <formula>$E$22</formula>
    </cfRule>
  </conditionalFormatting>
  <conditionalFormatting sqref="F23:G23">
    <cfRule type="cellIs" dxfId="9" priority="10" operator="greaterThan">
      <formula>$E$23</formula>
    </cfRule>
  </conditionalFormatting>
  <conditionalFormatting sqref="F24:G24">
    <cfRule type="cellIs" dxfId="8" priority="9" operator="greaterThan">
      <formula>$E$24</formula>
    </cfRule>
  </conditionalFormatting>
  <conditionalFormatting sqref="F25:G25">
    <cfRule type="cellIs" dxfId="7" priority="8" operator="greaterThan">
      <formula>$E$25</formula>
    </cfRule>
  </conditionalFormatting>
  <conditionalFormatting sqref="F26:G26">
    <cfRule type="cellIs" dxfId="6" priority="7" operator="greaterThan">
      <formula>$E$26</formula>
    </cfRule>
  </conditionalFormatting>
  <conditionalFormatting sqref="F27:G27">
    <cfRule type="cellIs" dxfId="5" priority="6" operator="greaterThan">
      <formula>$E$27</formula>
    </cfRule>
  </conditionalFormatting>
  <conditionalFormatting sqref="H7:H8">
    <cfRule type="cellIs" dxfId="4" priority="5" operator="lessThan">
      <formula>1</formula>
    </cfRule>
  </conditionalFormatting>
  <conditionalFormatting sqref="I7:I8">
    <cfRule type="cellIs" dxfId="3" priority="4" operator="lessThan">
      <formula>1</formula>
    </cfRule>
  </conditionalFormatting>
  <conditionalFormatting sqref="H9:H27">
    <cfRule type="cellIs" dxfId="2" priority="3" operator="lessThan">
      <formula>1</formula>
    </cfRule>
  </conditionalFormatting>
  <conditionalFormatting sqref="I9:I27">
    <cfRule type="cellIs" dxfId="1" priority="2" operator="lessThan">
      <formula>1</formula>
    </cfRule>
  </conditionalFormatting>
  <conditionalFormatting sqref="J28">
    <cfRule type="cellIs" dxfId="0" priority="1" operator="lessThan">
      <formula>0.149</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C61C2CCEEFE0742BC199C89DEFD386D" ma:contentTypeVersion="2" ma:contentTypeDescription="Create a new document." ma:contentTypeScope="" ma:versionID="bf0d5ef3472f796289e0c07ee46f089d">
  <xsd:schema xmlns:xsd="http://www.w3.org/2001/XMLSchema" xmlns:xs="http://www.w3.org/2001/XMLSchema" xmlns:p="http://schemas.microsoft.com/office/2006/metadata/properties" xmlns:ns2="0b6299b2-f324-4826-a6d1-52ff18032e52" targetNamespace="http://schemas.microsoft.com/office/2006/metadata/properties" ma:root="true" ma:fieldsID="b99b905d6c449d232585c2da20b75113" ns2:_="">
    <xsd:import namespace="0b6299b2-f324-4826-a6d1-52ff18032e52"/>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6299b2-f324-4826-a6d1-52ff18032e52"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F79AC50C-904B-4061-898D-A7491629EED8}">
  <ds:schemaRefs>
    <ds:schemaRef ds:uri="http://schemas.microsoft.com/sharepoint/v3/contenttype/forms"/>
  </ds:schemaRefs>
</ds:datastoreItem>
</file>

<file path=customXml/itemProps2.xml><?xml version="1.0" encoding="utf-8"?>
<ds:datastoreItem xmlns:ds="http://schemas.openxmlformats.org/officeDocument/2006/customXml" ds:itemID="{D36DF15F-62D7-495D-86E7-12C87761FF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6299b2-f324-4826-a6d1-52ff18032e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935FEFE-C031-4DE6-88CA-3011EC54CE31}">
  <ds:schemaRefs>
    <ds:schemaRef ds:uri="http://purl.org/dc/dcmitype/"/>
    <ds:schemaRef ds:uri="http://schemas.microsoft.com/office/2006/documentManagement/types"/>
    <ds:schemaRef ds:uri="http://purl.org/dc/elements/1.1/"/>
    <ds:schemaRef ds:uri="http://schemas.microsoft.com/office/2006/metadata/properties"/>
    <ds:schemaRef ds:uri="0b6299b2-f324-4826-a6d1-52ff18032e52"/>
    <ds:schemaRef ds:uri="http://purl.org/dc/terms/"/>
    <ds:schemaRef ds:uri="http://schemas.openxmlformats.org/package/2006/metadata/core-properties"/>
    <ds:schemaRef ds:uri="http://schemas.microsoft.com/office/infopath/2007/PartnerControls"/>
    <ds:schemaRef ds:uri="http://www.w3.org/XML/1998/namespace"/>
  </ds:schemaRefs>
</ds:datastoreItem>
</file>

<file path=customXml/itemProps4.xml><?xml version="1.0" encoding="utf-8"?>
<ds:datastoreItem xmlns:ds="http://schemas.openxmlformats.org/officeDocument/2006/customXml" ds:itemID="{2B1B1F15-582E-43DE-B84F-5B4F71CE75F0}">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Instructions</vt:lpstr>
      <vt:lpstr>Tab 1--3A, (AC 1-35)</vt:lpstr>
      <vt:lpstr>Tab 2--3A, (AC 36-70)</vt:lpstr>
      <vt:lpstr>Tab 3--3A, (AC 71-105)</vt:lpstr>
      <vt:lpstr>Tab 4--3A, (106-130)</vt:lpstr>
      <vt:lpstr>Tab 5--3A-1, Validation (LRI)</vt:lpstr>
      <vt:lpstr>Tab 6--3A-1, Validation (SRI)</vt:lpstr>
      <vt:lpstr> Tab 7--3A-1, Validation (Nat)</vt:lpstr>
      <vt:lpstr>'Tab 5--3A-1, Validation (LRI)'!Print_Area</vt:lpstr>
    </vt:vector>
  </TitlesOfParts>
  <Company>U.S Air Force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SIGNORE, ANTHONY J Maj USAF AMC A3/A3BC</dc:creator>
  <cp:lastModifiedBy>Haas, Abbie M CIV TRANSCOM TCAQ (USA)</cp:lastModifiedBy>
  <cp:lastPrinted>2017-03-13T20:40:07Z</cp:lastPrinted>
  <dcterms:created xsi:type="dcterms:W3CDTF">2016-06-15T13:31:26Z</dcterms:created>
  <dcterms:modified xsi:type="dcterms:W3CDTF">2024-05-06T18:49:58Z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0x0101006C61C2CCEEFE0742BC199C89DEFD386D</vt:lpwstr>
  </property>
</Properties>
</file>