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-my.sharepoint.com/personal/gmincey_ios_doi_gov/Documents/Desktop/Workload/Onsite Tool &amp; Equipment Calibration BPA/1 Preaward/"/>
    </mc:Choice>
  </mc:AlternateContent>
  <xr:revisionPtr revIDLastSave="0" documentId="8_{0EC67A2C-C115-4A2D-9BEF-FE92CD5A3C00}" xr6:coauthVersionLast="47" xr6:coauthVersionMax="47" xr10:uidLastSave="{00000000-0000-0000-0000-000000000000}"/>
  <bookViews>
    <workbookView xWindow="330" yWindow="810" windowWidth="28365" windowHeight="13935" firstSheet="1" activeTab="8" xr2:uid="{00000000-000D-0000-FFFF-FFFF00000000}"/>
  </bookViews>
  <sheets>
    <sheet name="Total Count" sheetId="10" r:id="rId1"/>
    <sheet name="Comm Shop" sheetId="9" r:id="rId2"/>
    <sheet name="Davis Electric" sheetId="6" r:id="rId3"/>
    <sheet name="Electrical Tools" sheetId="3" r:id="rId4"/>
    <sheet name="Elect-Test" sheetId="7" r:id="rId5"/>
    <sheet name="Elevator Tools" sheetId="2" r:id="rId6"/>
    <sheet name="HEM Tools" sheetId="8" r:id="rId7"/>
    <sheet name="Mech Engineering" sheetId="4" r:id="rId8"/>
    <sheet name="Tool Room" sheetId="5" r:id="rId9"/>
    <sheet name="Parker Dam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61" i="6" l="1"/>
  <c r="B3" i="10" s="1"/>
  <c r="A120" i="5" l="1"/>
  <c r="B10" i="10" s="1"/>
  <c r="A60" i="7"/>
  <c r="B5" i="10" s="1"/>
  <c r="A60" i="2"/>
  <c r="B6" i="10" s="1"/>
  <c r="A60" i="12"/>
  <c r="B9" i="10" s="1"/>
  <c r="A59" i="4"/>
  <c r="B8" i="10" s="1"/>
  <c r="A60" i="8"/>
  <c r="B7" i="10" s="1"/>
  <c r="A61" i="9"/>
  <c r="B2" i="10" s="1"/>
  <c r="A60" i="3"/>
  <c r="B4" i="10" s="1"/>
  <c r="B13" i="10" l="1"/>
</calcChain>
</file>

<file path=xl/sharedStrings.xml><?xml version="1.0" encoding="utf-8"?>
<sst xmlns="http://schemas.openxmlformats.org/spreadsheetml/2006/main" count="1562" uniqueCount="799">
  <si>
    <t>OEM</t>
  </si>
  <si>
    <t>Model</t>
  </si>
  <si>
    <t>Description(Short)</t>
  </si>
  <si>
    <t>S/N</t>
  </si>
  <si>
    <t>Comm Shop</t>
  </si>
  <si>
    <t>Davis Electric</t>
  </si>
  <si>
    <t>Electrical Tools</t>
  </si>
  <si>
    <t>Elect-Test</t>
  </si>
  <si>
    <t>Elevator Tools</t>
  </si>
  <si>
    <t>HEM Tools</t>
  </si>
  <si>
    <t>Mech Engineering</t>
  </si>
  <si>
    <t>Tool Room</t>
  </si>
  <si>
    <t>Count</t>
  </si>
  <si>
    <t>Parker Dam</t>
  </si>
  <si>
    <t>Fluke</t>
  </si>
  <si>
    <t>1550B</t>
  </si>
  <si>
    <t>High Voltage Insulation Tester</t>
  </si>
  <si>
    <t>8846061</t>
  </si>
  <si>
    <t>1587</t>
  </si>
  <si>
    <t>Insulation Multimeter</t>
  </si>
  <si>
    <t>45630069</t>
  </si>
  <si>
    <t>1630-2 FC</t>
  </si>
  <si>
    <t>Earth Ground Clamp</t>
  </si>
  <si>
    <t>41200045WS</t>
  </si>
  <si>
    <t>Ametek</t>
  </si>
  <si>
    <t>Dry Block Temp Calibrator (50°C to 250°C)</t>
  </si>
  <si>
    <t>014798-001148</t>
  </si>
  <si>
    <t>AEMC Instruments</t>
  </si>
  <si>
    <t>275HVD</t>
  </si>
  <si>
    <t>Non-Contact High Voltage Detector</t>
  </si>
  <si>
    <t>A182768</t>
  </si>
  <si>
    <t>Digital Multimeter</t>
  </si>
  <si>
    <t>34140088</t>
  </si>
  <si>
    <t>20010290</t>
  </si>
  <si>
    <t>AC Clamp Meter</t>
  </si>
  <si>
    <t>46800101</t>
  </si>
  <si>
    <t>46800107</t>
  </si>
  <si>
    <t>46800111</t>
  </si>
  <si>
    <t>45820031</t>
  </si>
  <si>
    <t>43B</t>
  </si>
  <si>
    <t>Power Quality Analyzer</t>
  </si>
  <si>
    <t>DM9360122</t>
  </si>
  <si>
    <t>Phenix Technologies</t>
  </si>
  <si>
    <t>440-20</t>
  </si>
  <si>
    <t>40kV DC Dielectric Tester</t>
  </si>
  <si>
    <t>08-4889</t>
  </si>
  <si>
    <t>Megohmmeter</t>
  </si>
  <si>
    <t>131039TFDV</t>
  </si>
  <si>
    <t>Loop Calibrator</t>
  </si>
  <si>
    <t>8738136</t>
  </si>
  <si>
    <t>712B</t>
  </si>
  <si>
    <t>RTD Calibrator</t>
  </si>
  <si>
    <t>33920012</t>
  </si>
  <si>
    <t>85 Series III</t>
  </si>
  <si>
    <t>True RMS Multimeter</t>
  </si>
  <si>
    <t>75940422</t>
  </si>
  <si>
    <t>87 Series V</t>
  </si>
  <si>
    <t>93090439</t>
  </si>
  <si>
    <t>93090365</t>
  </si>
  <si>
    <t>MIDTRONICS</t>
  </si>
  <si>
    <t>Celltron Advanced</t>
  </si>
  <si>
    <t>Battery Tester</t>
  </si>
  <si>
    <t>0606440056</t>
  </si>
  <si>
    <t>Greenlee Test Instruments</t>
  </si>
  <si>
    <t>CLM-1000</t>
  </si>
  <si>
    <t>Cable Length Meter</t>
  </si>
  <si>
    <t>101137262</t>
  </si>
  <si>
    <t>Megger</t>
  </si>
  <si>
    <t>DLRO 10X</t>
  </si>
  <si>
    <t>Digital Low Resistance Ohmmeter</t>
  </si>
  <si>
    <t>101019305</t>
  </si>
  <si>
    <t>DLRO 200-115</t>
  </si>
  <si>
    <t>1418</t>
  </si>
  <si>
    <t>TDR500</t>
  </si>
  <si>
    <t>Time Domain Reflectometer</t>
  </si>
  <si>
    <t>Mitutoyo</t>
  </si>
  <si>
    <t>103-217</t>
  </si>
  <si>
    <t>2-3 inch Mic</t>
  </si>
  <si>
    <t>A125856</t>
  </si>
  <si>
    <t>Heiland Research Corp</t>
  </si>
  <si>
    <t>12" - SPTL</t>
  </si>
  <si>
    <t>12" Special Precision Triangle Level</t>
  </si>
  <si>
    <t>A190184</t>
  </si>
  <si>
    <t>A190183</t>
  </si>
  <si>
    <t>Starrett</t>
  </si>
  <si>
    <t>Dial Caliper</t>
  </si>
  <si>
    <t>17328956</t>
  </si>
  <si>
    <t>1202-8</t>
  </si>
  <si>
    <t>8" Slide Dial Caliper</t>
  </si>
  <si>
    <t>GG803026</t>
  </si>
  <si>
    <t>123</t>
  </si>
  <si>
    <t>Vernier Calipers</t>
  </si>
  <si>
    <t>A184380</t>
  </si>
  <si>
    <t>124 BZ</t>
  </si>
  <si>
    <t>2-12" Solid-Rod Inside Micrometer Set</t>
  </si>
  <si>
    <t>A190193</t>
  </si>
  <si>
    <t>0-1" Micrometer Head</t>
  </si>
  <si>
    <t>A138156</t>
  </si>
  <si>
    <t>A190191</t>
  </si>
  <si>
    <t>196</t>
  </si>
  <si>
    <t>Dial Indicator</t>
  </si>
  <si>
    <t>A168213</t>
  </si>
  <si>
    <t>199-15</t>
  </si>
  <si>
    <t>15" Master Precision Level</t>
  </si>
  <si>
    <t>A190186</t>
  </si>
  <si>
    <t>A190185</t>
  </si>
  <si>
    <t>2-3" Outside Micrometer</t>
  </si>
  <si>
    <t>0240682</t>
  </si>
  <si>
    <t>A125859</t>
  </si>
  <si>
    <t>25-111</t>
  </si>
  <si>
    <t>.025" range Dial Indicator</t>
  </si>
  <si>
    <t>A168202</t>
  </si>
  <si>
    <t>25-131</t>
  </si>
  <si>
    <t>.125" Range Dial Indicator</t>
  </si>
  <si>
    <t>A168203</t>
  </si>
  <si>
    <t>A190196</t>
  </si>
  <si>
    <t>Vernier Height Gage</t>
  </si>
  <si>
    <t>A125901</t>
  </si>
  <si>
    <t>25-441</t>
  </si>
  <si>
    <t>1.0" Range Dial Indicator</t>
  </si>
  <si>
    <t>A173010</t>
  </si>
  <si>
    <t>A190199</t>
  </si>
  <si>
    <t>A173009</t>
  </si>
  <si>
    <t>A190198</t>
  </si>
  <si>
    <t>A173003</t>
  </si>
  <si>
    <t>3089Z-131-26J</t>
  </si>
  <si>
    <t>2-6" Bore Gage</t>
  </si>
  <si>
    <t>HT1365-75894</t>
  </si>
  <si>
    <t>368-918</t>
  </si>
  <si>
    <t>0.8-2.0" Tri Micrometer Set</t>
  </si>
  <si>
    <t>A157026</t>
  </si>
  <si>
    <t>SPI</t>
  </si>
  <si>
    <t>4.0-5.0" Bore Gage</t>
  </si>
  <si>
    <t>4" to 5" Tri Mic</t>
  </si>
  <si>
    <t>0179961</t>
  </si>
  <si>
    <t>436</t>
  </si>
  <si>
    <t>1-12" Micrometer set</t>
  </si>
  <si>
    <t>1567</t>
  </si>
  <si>
    <t>0-1 inch Mic</t>
  </si>
  <si>
    <t>A190197</t>
  </si>
  <si>
    <t>Depth Micrometer Set</t>
  </si>
  <si>
    <t>0002259</t>
  </si>
  <si>
    <t>Nine pc Depth Micrometer Set</t>
  </si>
  <si>
    <t>USBR-2294</t>
  </si>
  <si>
    <t>A125879</t>
  </si>
  <si>
    <t>Brown &amp; Sharpe</t>
  </si>
  <si>
    <t>A166957</t>
  </si>
  <si>
    <t>599-281-4</t>
  </si>
  <si>
    <t>179102</t>
  </si>
  <si>
    <t>Tesa</t>
  </si>
  <si>
    <t>599-281-50</t>
  </si>
  <si>
    <t>5-6" Inside Tri-Micrometer</t>
  </si>
  <si>
    <t>A184378</t>
  </si>
  <si>
    <t>599-281-6</t>
  </si>
  <si>
    <t>A190189</t>
  </si>
  <si>
    <t>599-281-7</t>
  </si>
  <si>
    <t>6-7" Inside Tri-Micrometer</t>
  </si>
  <si>
    <t>A190188</t>
  </si>
  <si>
    <t>599-281-8</t>
  </si>
  <si>
    <t>7-8" Inside Tri-Micrometer</t>
  </si>
  <si>
    <t>A190187</t>
  </si>
  <si>
    <t>7" to 8" Tri Mic</t>
  </si>
  <si>
    <t>179759</t>
  </si>
  <si>
    <t>Interchangable Anvil Micrometer</t>
  </si>
  <si>
    <t>48628</t>
  </si>
  <si>
    <t>48630</t>
  </si>
  <si>
    <t>1974</t>
  </si>
  <si>
    <t>48626</t>
  </si>
  <si>
    <t>48627</t>
  </si>
  <si>
    <t>798B-12/300</t>
  </si>
  <si>
    <t>12" Electronic Caliper</t>
  </si>
  <si>
    <t>17121653</t>
  </si>
  <si>
    <t>8.0-9.0" Bore Gage</t>
  </si>
  <si>
    <t>8" to 9" Tri Micrometer/Bore Gage</t>
  </si>
  <si>
    <t>177995</t>
  </si>
  <si>
    <t>823E</t>
  </si>
  <si>
    <t>4-40" Inside Tubular Micrometer</t>
  </si>
  <si>
    <t>HT1691-69426</t>
  </si>
  <si>
    <t>84-134-6</t>
  </si>
  <si>
    <t>5.000" - 8.125" Dial Bore Gage</t>
  </si>
  <si>
    <t>A141840</t>
  </si>
  <si>
    <t>98-12</t>
  </si>
  <si>
    <t>12" Machine Level</t>
  </si>
  <si>
    <t>A190180</t>
  </si>
  <si>
    <t>A190181</t>
  </si>
  <si>
    <t>A190182</t>
  </si>
  <si>
    <t>98-18</t>
  </si>
  <si>
    <t>18" Machine Level</t>
  </si>
  <si>
    <t>A190190</t>
  </si>
  <si>
    <t>S78XTCZ</t>
  </si>
  <si>
    <t>.250" - .375" Internal Micrometer Set</t>
  </si>
  <si>
    <t>A190176</t>
  </si>
  <si>
    <t>S78XTDZ</t>
  </si>
  <si>
    <t>.375" - .750" Internal Micrometer Set</t>
  </si>
  <si>
    <t>A190178</t>
  </si>
  <si>
    <t>S78XTEZ</t>
  </si>
  <si>
    <t>.750" - 2" Inside Micrometer Set</t>
  </si>
  <si>
    <t>A190177</t>
  </si>
  <si>
    <t>S78XTFZ</t>
  </si>
  <si>
    <t>2" - 4" Inside Micrometer Set</t>
  </si>
  <si>
    <t>A190179</t>
  </si>
  <si>
    <t>1.6"-4.0" Inside Tri-Micrometer Set</t>
  </si>
  <si>
    <t>Earth/Ground Tester</t>
  </si>
  <si>
    <t>101603351B4</t>
  </si>
  <si>
    <t>13300137</t>
  </si>
  <si>
    <t>BK Precision</t>
  </si>
  <si>
    <t>1856D</t>
  </si>
  <si>
    <t>3.5 GHz Counter</t>
  </si>
  <si>
    <t>332H20210</t>
  </si>
  <si>
    <t>200 Probe</t>
  </si>
  <si>
    <t>IntelliTone Pro</t>
  </si>
  <si>
    <t>1117127</t>
  </si>
  <si>
    <t>1117084</t>
  </si>
  <si>
    <t>Simpson</t>
  </si>
  <si>
    <t>260 Series 8</t>
  </si>
  <si>
    <t>Multimeter</t>
  </si>
  <si>
    <t>0178827</t>
  </si>
  <si>
    <t>337</t>
  </si>
  <si>
    <t>Clamp meter</t>
  </si>
  <si>
    <t>90265312</t>
  </si>
  <si>
    <t>AeroFlex</t>
  </si>
  <si>
    <t>3500A</t>
  </si>
  <si>
    <t>Portable Radio Test Set</t>
  </si>
  <si>
    <t>1000406151</t>
  </si>
  <si>
    <t>Digital Radio Test Set</t>
  </si>
  <si>
    <t>1000662593</t>
  </si>
  <si>
    <t>Telewave</t>
  </si>
  <si>
    <t>44D</t>
  </si>
  <si>
    <t>Digital Watt Meter</t>
  </si>
  <si>
    <t>1936AF0618</t>
  </si>
  <si>
    <t>44DL</t>
  </si>
  <si>
    <t>1925TG0269</t>
  </si>
  <si>
    <t>Hewlett-Packard</t>
  </si>
  <si>
    <t>53131A</t>
  </si>
  <si>
    <t>225 MHz Universal Counter</t>
  </si>
  <si>
    <t>3404A02377</t>
  </si>
  <si>
    <t>Handheld Digital Multimeter</t>
  </si>
  <si>
    <t>70910002</t>
  </si>
  <si>
    <t>635A</t>
  </si>
  <si>
    <t>QuickBERT-T1</t>
  </si>
  <si>
    <t>1336001</t>
  </si>
  <si>
    <t>87 Series III</t>
  </si>
  <si>
    <t>True RMS Mulitmeter</t>
  </si>
  <si>
    <t>81140078</t>
  </si>
  <si>
    <t>90690371</t>
  </si>
  <si>
    <t>Scopemeter</t>
  </si>
  <si>
    <t>DM589029</t>
  </si>
  <si>
    <t>990DSL</t>
  </si>
  <si>
    <t>Copper Pro Loop Tester - TDR</t>
  </si>
  <si>
    <t>2052001</t>
  </si>
  <si>
    <t>Ameritec</t>
  </si>
  <si>
    <t>AM-48</t>
  </si>
  <si>
    <t>Transmission Test Set</t>
  </si>
  <si>
    <t>3290293</t>
  </si>
  <si>
    <t>AFL</t>
  </si>
  <si>
    <t>C840</t>
  </si>
  <si>
    <t>Fiber Optic Certification Tester</t>
  </si>
  <si>
    <t>2C226SX003</t>
  </si>
  <si>
    <t>2C226SX004</t>
  </si>
  <si>
    <t>CFL535F</t>
  </si>
  <si>
    <t>Cable Fault Locator</t>
  </si>
  <si>
    <t>6411-012/061106/1645</t>
  </si>
  <si>
    <t>DSP-4300</t>
  </si>
  <si>
    <t>Cable Analyzer</t>
  </si>
  <si>
    <t>8465041</t>
  </si>
  <si>
    <t>DSP-4300SR</t>
  </si>
  <si>
    <t>Network Smart Remote</t>
  </si>
  <si>
    <t>EI-162AC</t>
  </si>
  <si>
    <t>Inducing Current Transformer 0.1-1200A</t>
  </si>
  <si>
    <t>A157023</t>
  </si>
  <si>
    <t>EI-162X</t>
  </si>
  <si>
    <t>Current Clamp</t>
  </si>
  <si>
    <t>A157022</t>
  </si>
  <si>
    <t>MicroScanner2</t>
  </si>
  <si>
    <t>Cable Verifier</t>
  </si>
  <si>
    <t>1147156</t>
  </si>
  <si>
    <t>1147328</t>
  </si>
  <si>
    <t>OptiFiber</t>
  </si>
  <si>
    <t>Optical power Meter Test Set</t>
  </si>
  <si>
    <t>9084004</t>
  </si>
  <si>
    <t>Bird</t>
  </si>
  <si>
    <t>SH-60S-TC</t>
  </si>
  <si>
    <t>Signal Hawk 9kHz-6GHz</t>
  </si>
  <si>
    <t>1201010300299</t>
  </si>
  <si>
    <t>SimpliFiber Pro</t>
  </si>
  <si>
    <t>Fiber Optical Power Meter</t>
  </si>
  <si>
    <t>1644226</t>
  </si>
  <si>
    <t>1645402</t>
  </si>
  <si>
    <t>1644233</t>
  </si>
  <si>
    <t>SK-4000</t>
  </si>
  <si>
    <t>SiteHawk 85-4000 MHz</t>
  </si>
  <si>
    <t>14125010400446</t>
  </si>
  <si>
    <t>Electrodata</t>
  </si>
  <si>
    <t>T1-LITE</t>
  </si>
  <si>
    <t>T1 Tester / Analyzer</t>
  </si>
  <si>
    <t>1962</t>
  </si>
  <si>
    <t>TTC</t>
  </si>
  <si>
    <t>T-Berd 310</t>
  </si>
  <si>
    <t>Communications Analyzer</t>
  </si>
  <si>
    <t>6647</t>
  </si>
  <si>
    <t>6646</t>
  </si>
  <si>
    <t>Tektronix</t>
  </si>
  <si>
    <t>TBS1052C</t>
  </si>
  <si>
    <t>Digital Oscilloscope</t>
  </si>
  <si>
    <t>C021869</t>
  </si>
  <si>
    <t>103-135</t>
  </si>
  <si>
    <t>0 - 1" inch</t>
  </si>
  <si>
    <t>HT1700-69150</t>
  </si>
  <si>
    <t>35200007</t>
  </si>
  <si>
    <t>Sturtevant Richmont</t>
  </si>
  <si>
    <t>3 SDR 75 F</t>
  </si>
  <si>
    <t>75 Ft-LBs Forward 3/8</t>
  </si>
  <si>
    <t>A157762</t>
  </si>
  <si>
    <t>594700595</t>
  </si>
  <si>
    <t>345</t>
  </si>
  <si>
    <t>PQ Clamp Meter</t>
  </si>
  <si>
    <t>94010001</t>
  </si>
  <si>
    <t>376 FC</t>
  </si>
  <si>
    <t>TRMS Clamp Meter</t>
  </si>
  <si>
    <t>41340637WS</t>
  </si>
  <si>
    <t>S &amp; K</t>
  </si>
  <si>
    <t>150 FT LBs Torque Wrench</t>
  </si>
  <si>
    <t>955991</t>
  </si>
  <si>
    <t>787</t>
  </si>
  <si>
    <t>Process Meter</t>
  </si>
  <si>
    <t>98930012</t>
  </si>
  <si>
    <t>90690369</t>
  </si>
  <si>
    <t>90830286</t>
  </si>
  <si>
    <t>902FC</t>
  </si>
  <si>
    <t>HVAC Clamp Meter True RMS</t>
  </si>
  <si>
    <t>43660935WS</t>
  </si>
  <si>
    <t>43660933WS</t>
  </si>
  <si>
    <t>Phase Rotation Indicator</t>
  </si>
  <si>
    <t>34700033WS</t>
  </si>
  <si>
    <t>BlackMAX</t>
  </si>
  <si>
    <t>BTLDTW</t>
  </si>
  <si>
    <t>Digital Torque Wrench</t>
  </si>
  <si>
    <t>T201700436</t>
  </si>
  <si>
    <t>UTICA</t>
  </si>
  <si>
    <t>DA3250 F</t>
  </si>
  <si>
    <t>250 FT - LBS Torque Tool</t>
  </si>
  <si>
    <t>0202182</t>
  </si>
  <si>
    <t>i400</t>
  </si>
  <si>
    <t>AC Current Clamp</t>
  </si>
  <si>
    <t>32060915</t>
  </si>
  <si>
    <t>i410</t>
  </si>
  <si>
    <t>AC/DC Current Clamp 600V</t>
  </si>
  <si>
    <t>88300916</t>
  </si>
  <si>
    <t>Fieldpiece</t>
  </si>
  <si>
    <t>SSX34</t>
  </si>
  <si>
    <t>Superheat and Subcooling for AC</t>
  </si>
  <si>
    <t>A190209</t>
  </si>
  <si>
    <t>Seekonk</t>
  </si>
  <si>
    <t>TSF-150</t>
  </si>
  <si>
    <t>150 FT - LBS TorQ Gage</t>
  </si>
  <si>
    <t>A190205</t>
  </si>
  <si>
    <t>Dillon</t>
  </si>
  <si>
    <t>Dynamometer</t>
  </si>
  <si>
    <t>E 05700</t>
  </si>
  <si>
    <t>E 05517</t>
  </si>
  <si>
    <t>1520</t>
  </si>
  <si>
    <t>81970014</t>
  </si>
  <si>
    <t>81970030</t>
  </si>
  <si>
    <t>22520048</t>
  </si>
  <si>
    <t>22520049</t>
  </si>
  <si>
    <t>90265311</t>
  </si>
  <si>
    <t>594100704</t>
  </si>
  <si>
    <t>594700593</t>
  </si>
  <si>
    <t>376</t>
  </si>
  <si>
    <t>Clamp Meter</t>
  </si>
  <si>
    <t>28821379WS</t>
  </si>
  <si>
    <t>28821371WS</t>
  </si>
  <si>
    <t>28821377WS</t>
  </si>
  <si>
    <t>28821373WS</t>
  </si>
  <si>
    <t>41340632WS</t>
  </si>
  <si>
    <t>41340638WS</t>
  </si>
  <si>
    <t>41340631WS</t>
  </si>
  <si>
    <t>6240</t>
  </si>
  <si>
    <t>Micro-Ohmmeter</t>
  </si>
  <si>
    <t>191607QHDV</t>
  </si>
  <si>
    <t>216054 GDDV</t>
  </si>
  <si>
    <t>40500017</t>
  </si>
  <si>
    <t>CDI</t>
  </si>
  <si>
    <t>752MFRMH</t>
  </si>
  <si>
    <t>75 Ft/Lbs</t>
  </si>
  <si>
    <t>1015600820</t>
  </si>
  <si>
    <t>1015600819</t>
  </si>
  <si>
    <t>1015600802</t>
  </si>
  <si>
    <t>1015600801</t>
  </si>
  <si>
    <t>1015600805</t>
  </si>
  <si>
    <t>0119120053</t>
  </si>
  <si>
    <t>1015600787</t>
  </si>
  <si>
    <t>87 series V</t>
  </si>
  <si>
    <t>90830287</t>
  </si>
  <si>
    <t>31570029</t>
  </si>
  <si>
    <t>89860320</t>
  </si>
  <si>
    <t>41520168</t>
  </si>
  <si>
    <t>31420421</t>
  </si>
  <si>
    <t>39180198</t>
  </si>
  <si>
    <t>31570061</t>
  </si>
  <si>
    <t>41520164</t>
  </si>
  <si>
    <t>30040616</t>
  </si>
  <si>
    <t>90690370</t>
  </si>
  <si>
    <t>31570035</t>
  </si>
  <si>
    <t>Vanguard Instruments Inc</t>
  </si>
  <si>
    <t>ACCU-OHM 200 Series 2</t>
  </si>
  <si>
    <t>10 -200A DC Digital Micro-Ohm Meter</t>
  </si>
  <si>
    <t>40207</t>
  </si>
  <si>
    <t>Multi-Amp</t>
  </si>
  <si>
    <t>MG-25A</t>
  </si>
  <si>
    <t>2.5K DC  MegOhmMeter</t>
  </si>
  <si>
    <t>MV-1581</t>
  </si>
  <si>
    <t>VLF HIPOT Instruments</t>
  </si>
  <si>
    <t>PFT-301CM</t>
  </si>
  <si>
    <t>HI-POT High Voltage Tester 30KV</t>
  </si>
  <si>
    <t>065</t>
  </si>
  <si>
    <t>Snap-On</t>
  </si>
  <si>
    <t>QD2FR75</t>
  </si>
  <si>
    <t>Torque Wrench</t>
  </si>
  <si>
    <t>1006320456</t>
  </si>
  <si>
    <t>QJR2100E</t>
  </si>
  <si>
    <t>06910049969</t>
  </si>
  <si>
    <t>T5-1000</t>
  </si>
  <si>
    <t>40432101WS</t>
  </si>
  <si>
    <t>TCI-150RA</t>
  </si>
  <si>
    <t>A190212</t>
  </si>
  <si>
    <t>TCI-250R</t>
  </si>
  <si>
    <t>250 IN. LB. Torque Wrench</t>
  </si>
  <si>
    <t>A190213</t>
  </si>
  <si>
    <t>IET</t>
  </si>
  <si>
    <t>1433-10</t>
  </si>
  <si>
    <t>1 K ohm Decade Resistor</t>
  </si>
  <si>
    <t>D3-07492514</t>
  </si>
  <si>
    <t>1433-12</t>
  </si>
  <si>
    <t>Decade Resistor</t>
  </si>
  <si>
    <t>D3-07482487</t>
  </si>
  <si>
    <t>General Radio</t>
  </si>
  <si>
    <t>1433-T</t>
  </si>
  <si>
    <t>.01-1K Ohms Decade Box</t>
  </si>
  <si>
    <t>0179096</t>
  </si>
  <si>
    <t>189</t>
  </si>
  <si>
    <t>90600609</t>
  </si>
  <si>
    <t>90630109</t>
  </si>
  <si>
    <t>90630111</t>
  </si>
  <si>
    <t>190-502</t>
  </si>
  <si>
    <t>2CH 500MHz 5GS/s Scopemeter</t>
  </si>
  <si>
    <t>27415601</t>
  </si>
  <si>
    <t>Scope Meter</t>
  </si>
  <si>
    <t>DM7500202</t>
  </si>
  <si>
    <t>260</t>
  </si>
  <si>
    <t>Volt-Ohm-Meter</t>
  </si>
  <si>
    <t>A128672</t>
  </si>
  <si>
    <t>A182773</t>
  </si>
  <si>
    <t>14950001</t>
  </si>
  <si>
    <t>38500156</t>
  </si>
  <si>
    <t>29790033</t>
  </si>
  <si>
    <t>33570135</t>
  </si>
  <si>
    <t>38540015</t>
  </si>
  <si>
    <t>594700590</t>
  </si>
  <si>
    <t>594700589</t>
  </si>
  <si>
    <t>EXTECH Instruments</t>
  </si>
  <si>
    <t>380942</t>
  </si>
  <si>
    <t>07010219</t>
  </si>
  <si>
    <t>06450692</t>
  </si>
  <si>
    <t>Salisbury</t>
  </si>
  <si>
    <t>AC Voltage Detector</t>
  </si>
  <si>
    <t>A157774</t>
  </si>
  <si>
    <t>A168218</t>
  </si>
  <si>
    <t>A138122</t>
  </si>
  <si>
    <t>MilliAmp Process Clamp Meter</t>
  </si>
  <si>
    <t>19230064</t>
  </si>
  <si>
    <t>19230069</t>
  </si>
  <si>
    <t>789</t>
  </si>
  <si>
    <t>95380057</t>
  </si>
  <si>
    <t>17300080</t>
  </si>
  <si>
    <t>34520068</t>
  </si>
  <si>
    <t>80400132</t>
  </si>
  <si>
    <t>88850404</t>
  </si>
  <si>
    <t>AMPROBE</t>
  </si>
  <si>
    <t>ACDC-1000A</t>
  </si>
  <si>
    <t>0061466</t>
  </si>
  <si>
    <t>125573</t>
  </si>
  <si>
    <t>044886</t>
  </si>
  <si>
    <t>Yokogawa</t>
  </si>
  <si>
    <t>CL220</t>
  </si>
  <si>
    <t>Digital Clamp Meter</t>
  </si>
  <si>
    <t>JKRA234</t>
  </si>
  <si>
    <t>JKGC244</t>
  </si>
  <si>
    <t>JKGC063</t>
  </si>
  <si>
    <t>JKGC062</t>
  </si>
  <si>
    <t>JKGC061</t>
  </si>
  <si>
    <t>Omicron</t>
  </si>
  <si>
    <t>C-Probe 1</t>
  </si>
  <si>
    <t>Current Probe</t>
  </si>
  <si>
    <t>239091 DLV</t>
  </si>
  <si>
    <t>239083 DLV</t>
  </si>
  <si>
    <t>239072 DLV</t>
  </si>
  <si>
    <t>MIT420</t>
  </si>
  <si>
    <t>Megohmeter</t>
  </si>
  <si>
    <t>101043688</t>
  </si>
  <si>
    <t>090809/4317</t>
  </si>
  <si>
    <t>General Resistance Instruments</t>
  </si>
  <si>
    <t>RTD-100</t>
  </si>
  <si>
    <t>Resistance Temperature Detector Simulator</t>
  </si>
  <si>
    <t>3015</t>
  </si>
  <si>
    <t>Vis</t>
  </si>
  <si>
    <t>0 - 12"</t>
  </si>
  <si>
    <t>Micrometer Set 0-12 Inch</t>
  </si>
  <si>
    <t>A138491</t>
  </si>
  <si>
    <t>NSK</t>
  </si>
  <si>
    <t>100mm Mic.</t>
  </si>
  <si>
    <t>75-100mm Micrometer</t>
  </si>
  <si>
    <t>IH4567</t>
  </si>
  <si>
    <t>HC2025</t>
  </si>
  <si>
    <t>120A</t>
  </si>
  <si>
    <t>0-6 inch Caliper</t>
  </si>
  <si>
    <t>A190229</t>
  </si>
  <si>
    <t>A125869</t>
  </si>
  <si>
    <t>HT1116-69746</t>
  </si>
  <si>
    <t>HT1116-35950</t>
  </si>
  <si>
    <t>12-349-7</t>
  </si>
  <si>
    <t>0-1" Outside Micrometer</t>
  </si>
  <si>
    <t>040479144</t>
  </si>
  <si>
    <t>124 Series</t>
  </si>
  <si>
    <t>Inside Micrometers</t>
  </si>
  <si>
    <t>37496</t>
  </si>
  <si>
    <t>1503</t>
  </si>
  <si>
    <t>Insulation Tester</t>
  </si>
  <si>
    <t>96720053</t>
  </si>
  <si>
    <t>96720055</t>
  </si>
  <si>
    <t>24160121</t>
  </si>
  <si>
    <t>22520054</t>
  </si>
  <si>
    <t>Scherr-Tumico Inc.</t>
  </si>
  <si>
    <t>16-0167</t>
  </si>
  <si>
    <t>0 - 6" Inch Caliper</t>
  </si>
  <si>
    <t>USBR-1114</t>
  </si>
  <si>
    <t>90630112</t>
  </si>
  <si>
    <t>0211120</t>
  </si>
  <si>
    <t>234 Series</t>
  </si>
  <si>
    <t>Inch Setting Standard</t>
  </si>
  <si>
    <t>A138159</t>
  </si>
  <si>
    <t>211042-001</t>
  </si>
  <si>
    <t>A190239</t>
  </si>
  <si>
    <t>211041-001</t>
  </si>
  <si>
    <t>211042-002</t>
  </si>
  <si>
    <t>A190237</t>
  </si>
  <si>
    <t>211040-002</t>
  </si>
  <si>
    <t>211041-002</t>
  </si>
  <si>
    <t>A190231</t>
  </si>
  <si>
    <t>A190238</t>
  </si>
  <si>
    <t>211042-003</t>
  </si>
  <si>
    <t>211040-003</t>
  </si>
  <si>
    <t>A125886</t>
  </si>
  <si>
    <t>A173007</t>
  </si>
  <si>
    <t>25-441/5</t>
  </si>
  <si>
    <t>44402</t>
  </si>
  <si>
    <t>A125892</t>
  </si>
  <si>
    <t>A138180</t>
  </si>
  <si>
    <t>A125885</t>
  </si>
  <si>
    <t>37026</t>
  </si>
  <si>
    <t>25mm Mic.</t>
  </si>
  <si>
    <t>0-25mm Micrometer</t>
  </si>
  <si>
    <t>K42352</t>
  </si>
  <si>
    <t>K42381</t>
  </si>
  <si>
    <t>TT0018653207</t>
  </si>
  <si>
    <t>TT0018643207</t>
  </si>
  <si>
    <t>594700597</t>
  </si>
  <si>
    <t>594700588</t>
  </si>
  <si>
    <t>USBR-2190</t>
  </si>
  <si>
    <t>28821376WS</t>
  </si>
  <si>
    <t>28821372WS</t>
  </si>
  <si>
    <t>06320853</t>
  </si>
  <si>
    <t>07010215</t>
  </si>
  <si>
    <t>07010211</t>
  </si>
  <si>
    <t>07010212</t>
  </si>
  <si>
    <t>68613</t>
  </si>
  <si>
    <t>436XRL-10</t>
  </si>
  <si>
    <t>9-10" Micrometer</t>
  </si>
  <si>
    <t>68614</t>
  </si>
  <si>
    <t>436XRL-12</t>
  </si>
  <si>
    <t>11-12" Micrometer</t>
  </si>
  <si>
    <t>68615</t>
  </si>
  <si>
    <t>436XRL-5</t>
  </si>
  <si>
    <t>4-5" Micrometer</t>
  </si>
  <si>
    <t>68611</t>
  </si>
  <si>
    <t>436XRL-6</t>
  </si>
  <si>
    <t>5-6" Micrometer</t>
  </si>
  <si>
    <t>68612</t>
  </si>
  <si>
    <t>436XRL-7</t>
  </si>
  <si>
    <t>6-7" Micrometer</t>
  </si>
  <si>
    <t>37524</t>
  </si>
  <si>
    <t>37523</t>
  </si>
  <si>
    <t>445</t>
  </si>
  <si>
    <t>Depth Micrometer</t>
  </si>
  <si>
    <t>717</t>
  </si>
  <si>
    <t>505-645-50</t>
  </si>
  <si>
    <t>12 inch Caliper</t>
  </si>
  <si>
    <t>A125866</t>
  </si>
  <si>
    <t>50mm Mic.</t>
  </si>
  <si>
    <t>25-50mm Micrometer</t>
  </si>
  <si>
    <t>KL0766</t>
  </si>
  <si>
    <t>KL0742</t>
  </si>
  <si>
    <t>52 K/J</t>
  </si>
  <si>
    <t>Digital Thermometer</t>
  </si>
  <si>
    <t>5445046</t>
  </si>
  <si>
    <t>536-741</t>
  </si>
  <si>
    <t>8" Knife Egde Dial Caliper</t>
  </si>
  <si>
    <t>404992</t>
  </si>
  <si>
    <t>Klein Tools</t>
  </si>
  <si>
    <t>57000</t>
  </si>
  <si>
    <t>Torque wrench - 75 ft-lbs</t>
  </si>
  <si>
    <t>A138129</t>
  </si>
  <si>
    <t>603</t>
  </si>
  <si>
    <t>981</t>
  </si>
  <si>
    <t>Proto</t>
  </si>
  <si>
    <t>6071-1</t>
  </si>
  <si>
    <t>1200-6000 IN LB Torque Wrench</t>
  </si>
  <si>
    <t>A126564</t>
  </si>
  <si>
    <t>Armstrong</t>
  </si>
  <si>
    <t>65-154</t>
  </si>
  <si>
    <t>100-600 FT LBS Torque Wrench</t>
  </si>
  <si>
    <t>0202178</t>
  </si>
  <si>
    <t>711</t>
  </si>
  <si>
    <t>Last Word Dial indicator</t>
  </si>
  <si>
    <t>A130995</t>
  </si>
  <si>
    <t>711-T1</t>
  </si>
  <si>
    <t>Test Indicator</t>
  </si>
  <si>
    <t>0211129</t>
  </si>
  <si>
    <t>1015600806</t>
  </si>
  <si>
    <t>0516700418</t>
  </si>
  <si>
    <t>0516700943</t>
  </si>
  <si>
    <t>0516700955</t>
  </si>
  <si>
    <t>0119120098</t>
  </si>
  <si>
    <t>0516700956</t>
  </si>
  <si>
    <t>0516700957</t>
  </si>
  <si>
    <t>75mm Mic.</t>
  </si>
  <si>
    <t>50-75mm Micrometer</t>
  </si>
  <si>
    <t>KL0811</t>
  </si>
  <si>
    <t>KL0696</t>
  </si>
  <si>
    <t>98930013</t>
  </si>
  <si>
    <t>17300076</t>
  </si>
  <si>
    <t>93970060</t>
  </si>
  <si>
    <t>37489</t>
  </si>
  <si>
    <t>69431</t>
  </si>
  <si>
    <t>81300105</t>
  </si>
  <si>
    <t>81630055</t>
  </si>
  <si>
    <t>90830288</t>
  </si>
  <si>
    <t>90830285</t>
  </si>
  <si>
    <t>90690372</t>
  </si>
  <si>
    <t>41450177</t>
  </si>
  <si>
    <t>41520167</t>
  </si>
  <si>
    <t>51200223</t>
  </si>
  <si>
    <t>Inside Micrometer</t>
  </si>
  <si>
    <t>1½-10" Inside Micrometer</t>
  </si>
  <si>
    <t>0048522</t>
  </si>
  <si>
    <t>QC1R200</t>
  </si>
  <si>
    <t>0797101175</t>
  </si>
  <si>
    <t>QD275</t>
  </si>
  <si>
    <t>1813</t>
  </si>
  <si>
    <t>QJR3200C</t>
  </si>
  <si>
    <t>12920026080</t>
  </si>
  <si>
    <t>Raytek</t>
  </si>
  <si>
    <t>Raynger PM</t>
  </si>
  <si>
    <t>IR Noncontact Thermometer</t>
  </si>
  <si>
    <t>1A498J</t>
  </si>
  <si>
    <t>Raynger ST</t>
  </si>
  <si>
    <t>Noncontact Thermometer</t>
  </si>
  <si>
    <t>2088440101-0005</t>
  </si>
  <si>
    <t>RS-1</t>
  </si>
  <si>
    <t>Analog Clamp Meter</t>
  </si>
  <si>
    <t>1172-67464</t>
  </si>
  <si>
    <t>RS-1007</t>
  </si>
  <si>
    <t>00302783</t>
  </si>
  <si>
    <t>00301333</t>
  </si>
  <si>
    <t>ST81</t>
  </si>
  <si>
    <t>Infrared Thermometer</t>
  </si>
  <si>
    <t>38190257WS</t>
  </si>
  <si>
    <t>YT-525100</t>
  </si>
  <si>
    <t>AC Volt-Ammeter</t>
  </si>
  <si>
    <t>998</t>
  </si>
  <si>
    <t>2700G</t>
  </si>
  <si>
    <t>300 psi, 2MPa Reference Pressure Gauge</t>
  </si>
  <si>
    <t>2940072</t>
  </si>
  <si>
    <t>A189698</t>
  </si>
  <si>
    <t>7981275</t>
  </si>
  <si>
    <t>26260039</t>
  </si>
  <si>
    <t>41780122</t>
  </si>
  <si>
    <t>798B-6/150</t>
  </si>
  <si>
    <t>6'/150mm Digital Caliper</t>
  </si>
  <si>
    <t>18/520146</t>
  </si>
  <si>
    <t>81630058</t>
  </si>
  <si>
    <t>78050363</t>
  </si>
  <si>
    <t>41500202</t>
  </si>
  <si>
    <t>27170286</t>
  </si>
  <si>
    <t>10130023</t>
  </si>
  <si>
    <t>GE Druck</t>
  </si>
  <si>
    <t>DPI 104</t>
  </si>
  <si>
    <t>300 psi g Pressure Gauge</t>
  </si>
  <si>
    <t>4181903</t>
  </si>
  <si>
    <t>Pioneer Electric &amp; Research Corp</t>
  </si>
  <si>
    <t>DS-12V</t>
  </si>
  <si>
    <t>Porta-Strobe</t>
  </si>
  <si>
    <t>80009</t>
  </si>
  <si>
    <t>Agilent</t>
  </si>
  <si>
    <t>E3641A</t>
  </si>
  <si>
    <t>DC Power Supply</t>
  </si>
  <si>
    <t>MY40002952</t>
  </si>
  <si>
    <t>Leica</t>
  </si>
  <si>
    <t>E7500i</t>
  </si>
  <si>
    <t>Laser Distance Meter 660ft</t>
  </si>
  <si>
    <t>1081620135</t>
  </si>
  <si>
    <t>FLIR</t>
  </si>
  <si>
    <t>FLIR C2</t>
  </si>
  <si>
    <t>Thermal Camera</t>
  </si>
  <si>
    <t>720038782</t>
  </si>
  <si>
    <t>720037756</t>
  </si>
  <si>
    <t>Pacific Laser Systems</t>
  </si>
  <si>
    <t>PLS5</t>
  </si>
  <si>
    <t>Plumb Level Square</t>
  </si>
  <si>
    <t>035282</t>
  </si>
  <si>
    <t>ProtMex</t>
  </si>
  <si>
    <t>PT6708</t>
  </si>
  <si>
    <t>Digital Sound Level Meter</t>
  </si>
  <si>
    <t>H12A-H43949</t>
  </si>
  <si>
    <t>PV350</t>
  </si>
  <si>
    <t>Pressure/Vacuum Transducer</t>
  </si>
  <si>
    <t>107510052</t>
  </si>
  <si>
    <t>1000 LB. Cap.</t>
  </si>
  <si>
    <t>AP31256</t>
  </si>
  <si>
    <t>Intercomp</t>
  </si>
  <si>
    <t>TL6000</t>
  </si>
  <si>
    <t>0208CG10776</t>
  </si>
  <si>
    <t>Norbar</t>
  </si>
  <si>
    <t>3/8" Sq. Dr. Insulated Torque Wrench</t>
  </si>
  <si>
    <t>79108315899</t>
  </si>
  <si>
    <t>1503MFRPH</t>
  </si>
  <si>
    <t>0322904242</t>
  </si>
  <si>
    <t>Jofra</t>
  </si>
  <si>
    <t>912425</t>
  </si>
  <si>
    <t>40090069</t>
  </si>
  <si>
    <t>64954950</t>
  </si>
  <si>
    <t>Remote Display TRMS Clamp Meter</t>
  </si>
  <si>
    <t>54810383MV</t>
  </si>
  <si>
    <t>5884612</t>
  </si>
  <si>
    <t>34340025</t>
  </si>
  <si>
    <t>Gear Wrench</t>
  </si>
  <si>
    <t>600 FT-LB Torque wrench</t>
  </si>
  <si>
    <t>110941039</t>
  </si>
  <si>
    <t>15860096</t>
  </si>
  <si>
    <t>33380234</t>
  </si>
  <si>
    <t>20700061</t>
  </si>
  <si>
    <t>33380192</t>
  </si>
  <si>
    <t>35480306</t>
  </si>
  <si>
    <t>47990096WS</t>
  </si>
  <si>
    <t>Omega</t>
  </si>
  <si>
    <t>CL355A</t>
  </si>
  <si>
    <t>Ambient to 400'C Dry Block Calibrator</t>
  </si>
  <si>
    <t>796440-04</t>
  </si>
  <si>
    <t>CS-8000</t>
  </si>
  <si>
    <t>Circuit Seeker (Tx and RX)</t>
  </si>
  <si>
    <t>2107</t>
  </si>
  <si>
    <t>Druck</t>
  </si>
  <si>
    <t>5684043</t>
  </si>
  <si>
    <t>Keller</t>
  </si>
  <si>
    <t>LEO 1 (600PSI)</t>
  </si>
  <si>
    <t>600 PSI Digital Gauge</t>
  </si>
  <si>
    <t>40173</t>
  </si>
  <si>
    <t>Multi-Volt</t>
  </si>
  <si>
    <t>MG251-A</t>
  </si>
  <si>
    <t>Digital MegOhmMeter</t>
  </si>
  <si>
    <t>9401061085</t>
  </si>
  <si>
    <t>MIT1025</t>
  </si>
  <si>
    <t>10KV Insulation Tester</t>
  </si>
  <si>
    <t>101745464</t>
  </si>
  <si>
    <t>A190243</t>
  </si>
  <si>
    <t>92090578</t>
  </si>
  <si>
    <t>28550045WS</t>
  </si>
  <si>
    <t>28980667WS</t>
  </si>
  <si>
    <t>87300279</t>
  </si>
  <si>
    <t>28550291WS</t>
  </si>
  <si>
    <t>TCI-750R-1/2</t>
  </si>
  <si>
    <t>150-750 IN. LB. Torque Wrench</t>
  </si>
  <si>
    <t>A182787</t>
  </si>
  <si>
    <t>0322904238</t>
  </si>
  <si>
    <t>0322904239</t>
  </si>
  <si>
    <t>0322904240</t>
  </si>
  <si>
    <t>0322904241</t>
  </si>
  <si>
    <t>Shop Area</t>
  </si>
  <si>
    <t>Total Jobs</t>
  </si>
  <si>
    <t>D5880</t>
  </si>
  <si>
    <t>30007-0059</t>
  </si>
  <si>
    <t>Total Price</t>
  </si>
  <si>
    <t xml:space="preserve">Total Price </t>
  </si>
  <si>
    <t>Over All Total</t>
  </si>
  <si>
    <t>Price for Calibration FY 2026-2027</t>
  </si>
  <si>
    <t>Price for Calibration FY 2027-2028</t>
  </si>
  <si>
    <t>Price for Calibration FY 2028-2029</t>
  </si>
  <si>
    <t>Price for Calibration FY 2029-2030</t>
  </si>
  <si>
    <t>Price for Calibration FY 2030-2031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</si>
</sst>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name val="Arial"/>
    </font>
    <font>
      <sz val="10"/>
      <color indexed="8"/>
      <name val="Arial"/>
    </font>
    <font>
      <sz val="8"/>
      <name val="Arial"/>
    </font>
    <font>
      <sz val="10"/>
      <color indexed="8"/>
      <name val="Arial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b/>
      <u/>
      <sz val="11"/>
      <color indexed="8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2" tint="-9.9978637043366805E-2"/>
        <bgColor indexed="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17">
    <xf numFmtId="0" fontId="0" fillId="0" borderId="0" applyFill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</cellStyleXfs>
  <cellXfs count="176">
    <xf numFmtId="0" fontId="0" fillId="0" borderId="0" xfId="0"/>
    <xf numFmtId="0" fontId="5" fillId="0" borderId="0" xfId="0" applyFont="1"/>
    <xf numFmtId="0" fontId="4" fillId="0" borderId="0" xfId="0" applyFont="1"/>
    <xf numFmtId="0" fontId="7" fillId="0" borderId="2" xfId="4" applyFont="1" applyBorder="1" applyAlignment="1">
      <alignment wrapText="1"/>
    </xf>
    <xf numFmtId="0" fontId="7" fillId="0" borderId="2" xfId="4" applyFont="1" applyBorder="1" applyAlignment="1">
      <alignment horizontal="right" wrapText="1"/>
    </xf>
    <xf numFmtId="0" fontId="5" fillId="5" borderId="0" xfId="0" applyFont="1" applyFill="1"/>
    <xf numFmtId="0" fontId="5" fillId="0" borderId="0" xfId="0" applyFont="1" applyProtection="1">
      <protection locked="0"/>
    </xf>
    <xf numFmtId="0" fontId="7" fillId="2" borderId="0" xfId="1" applyFont="1" applyFill="1" applyAlignment="1">
      <alignment horizontal="center"/>
    </xf>
    <xf numFmtId="0" fontId="6" fillId="3" borderId="0" xfId="9" applyFont="1" applyFill="1" applyAlignment="1">
      <alignment horizontal="left" vertical="center"/>
    </xf>
    <xf numFmtId="0" fontId="7" fillId="0" borderId="4" xfId="3" applyFont="1" applyBorder="1" applyAlignment="1">
      <alignment wrapText="1"/>
    </xf>
    <xf numFmtId="0" fontId="6" fillId="2" borderId="3" xfId="9" applyFont="1" applyFill="1" applyBorder="1" applyAlignment="1">
      <alignment horizontal="center"/>
    </xf>
    <xf numFmtId="0" fontId="7" fillId="2" borderId="3" xfId="5" applyFont="1" applyFill="1" applyBorder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left"/>
    </xf>
    <xf numFmtId="0" fontId="7" fillId="0" borderId="4" xfId="3" applyFont="1" applyBorder="1" applyAlignment="1">
      <alignment horizontal="left" wrapText="1"/>
    </xf>
    <xf numFmtId="0" fontId="7" fillId="0" borderId="2" xfId="4" applyFont="1" applyBorder="1" applyAlignment="1">
      <alignment horizontal="left" wrapText="1"/>
    </xf>
    <xf numFmtId="0" fontId="11" fillId="2" borderId="5" xfId="10" applyFont="1" applyFill="1" applyBorder="1" applyAlignment="1">
      <alignment horizontal="center"/>
    </xf>
    <xf numFmtId="0" fontId="10" fillId="5" borderId="0" xfId="0" applyFont="1" applyFill="1"/>
    <xf numFmtId="0" fontId="5" fillId="0" borderId="0" xfId="0" applyFont="1" applyAlignment="1">
      <alignment horizontal="center"/>
    </xf>
    <xf numFmtId="0" fontId="7" fillId="0" borderId="7" xfId="0" applyFont="1" applyBorder="1" applyAlignment="1">
      <alignment horizontal="left" vertical="center"/>
    </xf>
    <xf numFmtId="0" fontId="7" fillId="5" borderId="7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9" borderId="0" xfId="0" applyFont="1" applyFill="1"/>
    <xf numFmtId="0" fontId="9" fillId="0" borderId="0" xfId="0" applyFont="1"/>
    <xf numFmtId="0" fontId="6" fillId="2" borderId="8" xfId="9" applyFont="1" applyFill="1" applyBorder="1" applyAlignment="1">
      <alignment horizontal="center"/>
    </xf>
    <xf numFmtId="0" fontId="6" fillId="2" borderId="8" xfId="9" applyFont="1" applyFill="1" applyBorder="1" applyAlignment="1">
      <alignment horizontal="left"/>
    </xf>
    <xf numFmtId="0" fontId="5" fillId="8" borderId="7" xfId="0" applyFont="1" applyFill="1" applyBorder="1"/>
    <xf numFmtId="0" fontId="7" fillId="8" borderId="7" xfId="9" applyFont="1" applyFill="1" applyBorder="1" applyAlignment="1">
      <alignment wrapText="1"/>
    </xf>
    <xf numFmtId="0" fontId="7" fillId="8" borderId="7" xfId="9" applyFont="1" applyFill="1" applyBorder="1" applyAlignment="1">
      <alignment horizontal="left" wrapText="1"/>
    </xf>
    <xf numFmtId="0" fontId="5" fillId="0" borderId="7" xfId="0" applyFont="1" applyBorder="1"/>
    <xf numFmtId="0" fontId="5" fillId="0" borderId="7" xfId="9" applyFont="1" applyBorder="1" applyAlignment="1">
      <alignment wrapText="1"/>
    </xf>
    <xf numFmtId="0" fontId="5" fillId="0" borderId="7" xfId="9" applyFont="1" applyBorder="1" applyAlignment="1">
      <alignment horizontal="left" wrapText="1"/>
    </xf>
    <xf numFmtId="0" fontId="7" fillId="0" borderId="7" xfId="9" applyFont="1" applyBorder="1" applyAlignment="1">
      <alignment wrapText="1"/>
    </xf>
    <xf numFmtId="0" fontId="7" fillId="0" borderId="7" xfId="9" applyFont="1" applyBorder="1" applyAlignment="1">
      <alignment horizontal="left" wrapText="1"/>
    </xf>
    <xf numFmtId="0" fontId="5" fillId="8" borderId="7" xfId="9" applyFont="1" applyFill="1" applyBorder="1" applyAlignment="1">
      <alignment wrapText="1"/>
    </xf>
    <xf numFmtId="0" fontId="5" fillId="8" borderId="7" xfId="9" applyFont="1" applyFill="1" applyBorder="1" applyAlignment="1">
      <alignment horizontal="left" wrapText="1"/>
    </xf>
    <xf numFmtId="0" fontId="5" fillId="9" borderId="7" xfId="0" applyFont="1" applyFill="1" applyBorder="1"/>
    <xf numFmtId="0" fontId="7" fillId="9" borderId="7" xfId="9" applyFont="1" applyFill="1" applyBorder="1" applyAlignment="1">
      <alignment wrapText="1"/>
    </xf>
    <xf numFmtId="0" fontId="7" fillId="9" borderId="7" xfId="9" applyFont="1" applyFill="1" applyBorder="1" applyAlignment="1">
      <alignment horizontal="left" wrapText="1"/>
    </xf>
    <xf numFmtId="0" fontId="7" fillId="0" borderId="7" xfId="0" applyFont="1" applyFill="1" applyBorder="1" applyAlignment="1">
      <alignment wrapText="1"/>
    </xf>
    <xf numFmtId="0" fontId="6" fillId="2" borderId="8" xfId="6" applyFont="1" applyFill="1" applyBorder="1" applyAlignment="1">
      <alignment horizontal="center"/>
    </xf>
    <xf numFmtId="0" fontId="6" fillId="2" borderId="8" xfId="6" applyFont="1" applyFill="1" applyBorder="1" applyAlignment="1">
      <alignment horizontal="left"/>
    </xf>
    <xf numFmtId="0" fontId="7" fillId="8" borderId="7" xfId="1" applyFont="1" applyFill="1" applyBorder="1" applyAlignment="1">
      <alignment horizontal="center" wrapText="1"/>
    </xf>
    <xf numFmtId="0" fontId="7" fillId="0" borderId="7" xfId="1" applyFont="1" applyBorder="1" applyAlignment="1">
      <alignment horizontal="left" wrapText="1"/>
    </xf>
    <xf numFmtId="0" fontId="7" fillId="0" borderId="7" xfId="1" applyFont="1" applyBorder="1" applyAlignment="1">
      <alignment wrapText="1"/>
    </xf>
    <xf numFmtId="0" fontId="7" fillId="8" borderId="7" xfId="1" applyFont="1" applyFill="1" applyBorder="1" applyAlignment="1">
      <alignment wrapText="1"/>
    </xf>
    <xf numFmtId="0" fontId="7" fillId="0" borderId="7" xfId="1" applyFont="1" applyBorder="1" applyAlignment="1">
      <alignment horizontal="center" wrapText="1"/>
    </xf>
    <xf numFmtId="0" fontId="7" fillId="9" borderId="7" xfId="0" applyFont="1" applyFill="1" applyBorder="1" applyAlignment="1">
      <alignment horizontal="left" wrapText="1"/>
    </xf>
    <xf numFmtId="0" fontId="7" fillId="9" borderId="7" xfId="0" applyFont="1" applyFill="1" applyBorder="1" applyAlignment="1">
      <alignment wrapText="1"/>
    </xf>
    <xf numFmtId="0" fontId="0" fillId="0" borderId="7" xfId="0" applyBorder="1"/>
    <xf numFmtId="0" fontId="6" fillId="0" borderId="7" xfId="3" applyFont="1" applyBorder="1" applyAlignment="1">
      <alignment wrapText="1"/>
    </xf>
    <xf numFmtId="0" fontId="7" fillId="8" borderId="7" xfId="13" applyFont="1" applyFill="1" applyBorder="1" applyAlignment="1">
      <alignment wrapText="1"/>
    </xf>
    <xf numFmtId="0" fontId="7" fillId="8" borderId="7" xfId="0" applyFont="1" applyFill="1" applyBorder="1" applyAlignment="1">
      <alignment wrapText="1"/>
    </xf>
    <xf numFmtId="0" fontId="7" fillId="0" borderId="7" xfId="13" applyFont="1" applyBorder="1" applyAlignment="1">
      <alignment wrapText="1"/>
    </xf>
    <xf numFmtId="0" fontId="5" fillId="8" borderId="7" xfId="13" applyFont="1" applyFill="1" applyBorder="1" applyAlignment="1">
      <alignment wrapText="1"/>
    </xf>
    <xf numFmtId="0" fontId="9" fillId="0" borderId="7" xfId="0" applyFont="1" applyBorder="1"/>
    <xf numFmtId="0" fontId="6" fillId="3" borderId="8" xfId="9" applyFont="1" applyFill="1" applyBorder="1" applyAlignment="1">
      <alignment horizontal="left" vertical="center"/>
    </xf>
    <xf numFmtId="0" fontId="6" fillId="4" borderId="8" xfId="7" applyFont="1" applyFill="1" applyBorder="1" applyAlignment="1">
      <alignment horizontal="left" vertical="center"/>
    </xf>
    <xf numFmtId="0" fontId="7" fillId="0" borderId="7" xfId="14" applyFont="1" applyBorder="1" applyAlignment="1">
      <alignment wrapText="1"/>
    </xf>
    <xf numFmtId="0" fontId="7" fillId="0" borderId="7" xfId="14" applyFont="1" applyBorder="1" applyAlignment="1">
      <alignment horizontal="left" wrapText="1"/>
    </xf>
    <xf numFmtId="0" fontId="5" fillId="0" borderId="7" xfId="14" applyFont="1" applyBorder="1" applyAlignment="1">
      <alignment wrapText="1"/>
    </xf>
    <xf numFmtId="0" fontId="5" fillId="0" borderId="7" xfId="14" applyFont="1" applyBorder="1" applyAlignment="1">
      <alignment horizontal="left" wrapText="1"/>
    </xf>
    <xf numFmtId="0" fontId="7" fillId="9" borderId="10" xfId="0" applyFont="1" applyFill="1" applyBorder="1" applyAlignment="1">
      <alignment wrapText="1"/>
    </xf>
    <xf numFmtId="0" fontId="7" fillId="9" borderId="10" xfId="0" applyFont="1" applyFill="1" applyBorder="1" applyAlignment="1">
      <alignment horizontal="left" wrapText="1"/>
    </xf>
    <xf numFmtId="0" fontId="7" fillId="0" borderId="4" xfId="4" applyFont="1" applyBorder="1" applyAlignment="1">
      <alignment wrapText="1"/>
    </xf>
    <xf numFmtId="0" fontId="7" fillId="0" borderId="4" xfId="4" applyFont="1" applyBorder="1" applyAlignment="1">
      <alignment horizontal="left" wrapText="1"/>
    </xf>
    <xf numFmtId="0" fontId="7" fillId="0" borderId="4" xfId="4" applyFont="1" applyBorder="1" applyAlignment="1">
      <alignment horizontal="right" wrapText="1"/>
    </xf>
    <xf numFmtId="0" fontId="12" fillId="0" borderId="7" xfId="4" applyFont="1" applyBorder="1" applyAlignment="1">
      <alignment horizontal="left" wrapText="1"/>
    </xf>
    <xf numFmtId="0" fontId="5" fillId="0" borderId="7" xfId="0" applyFont="1" applyBorder="1" applyAlignment="1">
      <alignment horizontal="left"/>
    </xf>
    <xf numFmtId="0" fontId="7" fillId="9" borderId="0" xfId="0" applyFont="1" applyFill="1" applyAlignment="1">
      <alignment horizontal="left" vertical="center"/>
    </xf>
    <xf numFmtId="0" fontId="6" fillId="3" borderId="11" xfId="9" applyFont="1" applyFill="1" applyBorder="1" applyAlignment="1">
      <alignment horizontal="left" vertical="center"/>
    </xf>
    <xf numFmtId="0" fontId="6" fillId="4" borderId="11" xfId="7" applyFont="1" applyFill="1" applyBorder="1" applyAlignment="1">
      <alignment horizontal="left" vertical="center"/>
    </xf>
    <xf numFmtId="0" fontId="7" fillId="0" borderId="7" xfId="12" applyFont="1" applyBorder="1" applyAlignment="1">
      <alignment wrapText="1"/>
    </xf>
    <xf numFmtId="0" fontId="7" fillId="0" borderId="7" xfId="12" applyFont="1" applyBorder="1" applyAlignment="1">
      <alignment horizontal="left" wrapText="1"/>
    </xf>
    <xf numFmtId="0" fontId="7" fillId="0" borderId="7" xfId="12" applyFont="1" applyBorder="1" applyAlignment="1">
      <alignment horizontal="left" vertical="center"/>
    </xf>
    <xf numFmtId="0" fontId="5" fillId="0" borderId="7" xfId="12" applyFont="1" applyBorder="1" applyAlignment="1">
      <alignment horizontal="left" vertical="center"/>
    </xf>
    <xf numFmtId="0" fontId="5" fillId="5" borderId="7" xfId="0" applyFont="1" applyFill="1" applyBorder="1"/>
    <xf numFmtId="0" fontId="7" fillId="10" borderId="7" xfId="0" applyFont="1" applyFill="1" applyBorder="1" applyAlignment="1">
      <alignment horizontal="left" vertical="center"/>
    </xf>
    <xf numFmtId="0" fontId="9" fillId="3" borderId="11" xfId="9" applyFont="1" applyFill="1" applyBorder="1" applyAlignment="1">
      <alignment horizontal="left" vertical="center"/>
    </xf>
    <xf numFmtId="0" fontId="7" fillId="0" borderId="7" xfId="11" applyFont="1" applyBorder="1" applyAlignment="1">
      <alignment wrapText="1"/>
    </xf>
    <xf numFmtId="0" fontId="7" fillId="0" borderId="7" xfId="11" applyFont="1" applyBorder="1" applyAlignment="1">
      <alignment horizontal="left" wrapText="1"/>
    </xf>
    <xf numFmtId="0" fontId="4" fillId="0" borderId="7" xfId="0" applyFont="1" applyBorder="1"/>
    <xf numFmtId="0" fontId="5" fillId="0" borderId="7" xfId="11" applyFont="1" applyBorder="1" applyAlignment="1">
      <alignment wrapText="1"/>
    </xf>
    <xf numFmtId="0" fontId="5" fillId="0" borderId="7" xfId="11" applyFont="1" applyBorder="1" applyAlignment="1">
      <alignment horizontal="left" wrapText="1"/>
    </xf>
    <xf numFmtId="0" fontId="7" fillId="8" borderId="7" xfId="11" applyFont="1" applyFill="1" applyBorder="1" applyAlignment="1">
      <alignment wrapText="1"/>
    </xf>
    <xf numFmtId="0" fontId="7" fillId="8" borderId="7" xfId="11" applyFont="1" applyFill="1" applyBorder="1" applyAlignment="1">
      <alignment horizontal="left" wrapText="1"/>
    </xf>
    <xf numFmtId="0" fontId="7" fillId="5" borderId="7" xfId="11" applyFont="1" applyFill="1" applyBorder="1" applyAlignment="1">
      <alignment wrapText="1"/>
    </xf>
    <xf numFmtId="0" fontId="7" fillId="5" borderId="7" xfId="11" applyFont="1" applyFill="1" applyBorder="1" applyAlignment="1">
      <alignment horizontal="left" wrapText="1"/>
    </xf>
    <xf numFmtId="0" fontId="5" fillId="8" borderId="7" xfId="11" applyFont="1" applyFill="1" applyBorder="1" applyAlignment="1">
      <alignment wrapText="1"/>
    </xf>
    <xf numFmtId="0" fontId="5" fillId="8" borderId="7" xfId="11" applyFont="1" applyFill="1" applyBorder="1" applyAlignment="1">
      <alignment horizontal="left" wrapText="1"/>
    </xf>
    <xf numFmtId="0" fontId="5" fillId="9" borderId="7" xfId="0" applyFont="1" applyFill="1" applyBorder="1" applyAlignment="1">
      <alignment horizontal="left"/>
    </xf>
    <xf numFmtId="0" fontId="7" fillId="0" borderId="7" xfId="2" applyFont="1" applyBorder="1" applyAlignment="1">
      <alignment wrapText="1"/>
    </xf>
    <xf numFmtId="0" fontId="7" fillId="0" borderId="7" xfId="15" applyFont="1" applyBorder="1" applyAlignment="1">
      <alignment wrapText="1"/>
    </xf>
    <xf numFmtId="0" fontId="7" fillId="0" borderId="7" xfId="15" applyFont="1" applyBorder="1" applyAlignment="1">
      <alignment horizontal="left" wrapText="1"/>
    </xf>
    <xf numFmtId="0" fontId="6" fillId="3" borderId="8" xfId="9" applyFont="1" applyFill="1" applyBorder="1" applyAlignment="1" applyProtection="1">
      <alignment horizontal="left" vertical="center"/>
      <protection locked="0"/>
    </xf>
    <xf numFmtId="0" fontId="5" fillId="0" borderId="7" xfId="0" applyFont="1" applyBorder="1" applyProtection="1">
      <protection locked="0"/>
    </xf>
    <xf numFmtId="0" fontId="7" fillId="0" borderId="7" xfId="8" applyFont="1" applyBorder="1" applyAlignment="1">
      <alignment wrapText="1"/>
    </xf>
    <xf numFmtId="0" fontId="5" fillId="0" borderId="7" xfId="8" applyFont="1" applyBorder="1" applyAlignment="1">
      <alignment wrapText="1"/>
    </xf>
    <xf numFmtId="0" fontId="5" fillId="9" borderId="7" xfId="0" applyFont="1" applyFill="1" applyBorder="1" applyProtection="1">
      <protection locked="0"/>
    </xf>
    <xf numFmtId="0" fontId="7" fillId="0" borderId="7" xfId="16" applyFont="1" applyBorder="1" applyAlignment="1">
      <alignment wrapText="1"/>
    </xf>
    <xf numFmtId="0" fontId="7" fillId="0" borderId="7" xfId="16" applyFont="1" applyBorder="1" applyAlignment="1">
      <alignment horizontal="left" wrapText="1"/>
    </xf>
    <xf numFmtId="0" fontId="5" fillId="0" borderId="7" xfId="16" applyFont="1" applyBorder="1" applyAlignment="1">
      <alignment wrapText="1"/>
    </xf>
    <xf numFmtId="0" fontId="5" fillId="0" borderId="7" xfId="16" applyFont="1" applyBorder="1" applyAlignment="1">
      <alignment horizontal="left" wrapText="1"/>
    </xf>
    <xf numFmtId="0" fontId="5" fillId="7" borderId="7" xfId="0" applyFont="1" applyFill="1" applyBorder="1"/>
    <xf numFmtId="0" fontId="7" fillId="8" borderId="7" xfId="1" applyFont="1" applyFill="1" applyBorder="1" applyAlignment="1">
      <alignment horizontal="left" wrapText="1"/>
    </xf>
    <xf numFmtId="0" fontId="7" fillId="8" borderId="7" xfId="0" applyFont="1" applyFill="1" applyBorder="1" applyAlignment="1">
      <alignment horizontal="left"/>
    </xf>
    <xf numFmtId="0" fontId="7" fillId="5" borderId="7" xfId="1" applyFont="1" applyFill="1" applyBorder="1" applyAlignment="1">
      <alignment wrapText="1"/>
    </xf>
    <xf numFmtId="0" fontId="7" fillId="5" borderId="7" xfId="1" applyFont="1" applyFill="1" applyBorder="1" applyAlignment="1">
      <alignment horizontal="left" wrapText="1"/>
    </xf>
    <xf numFmtId="0" fontId="7" fillId="8" borderId="7" xfId="16" applyFont="1" applyFill="1" applyBorder="1" applyAlignment="1">
      <alignment wrapText="1"/>
    </xf>
    <xf numFmtId="0" fontId="7" fillId="8" borderId="7" xfId="16" applyFont="1" applyFill="1" applyBorder="1" applyAlignment="1">
      <alignment horizontal="left" wrapText="1"/>
    </xf>
    <xf numFmtId="0" fontId="7" fillId="8" borderId="7" xfId="0" applyFont="1" applyFill="1" applyBorder="1" applyAlignment="1">
      <alignment horizontal="left" vertical="center"/>
    </xf>
    <xf numFmtId="0" fontId="6" fillId="0" borderId="6" xfId="10" applyFont="1" applyBorder="1" applyAlignment="1">
      <alignment horizontal="left" wrapText="1"/>
    </xf>
    <xf numFmtId="0" fontId="13" fillId="5" borderId="6" xfId="0" applyFont="1" applyFill="1" applyBorder="1" applyAlignment="1">
      <alignment horizontal="center"/>
    </xf>
    <xf numFmtId="0" fontId="5" fillId="0" borderId="1" xfId="10" applyFont="1" applyBorder="1" applyAlignment="1">
      <alignment wrapText="1"/>
    </xf>
    <xf numFmtId="0" fontId="5" fillId="6" borderId="1" xfId="10" applyFont="1" applyFill="1" applyBorder="1" applyAlignment="1">
      <alignment horizontal="center" wrapText="1"/>
    </xf>
    <xf numFmtId="0" fontId="5" fillId="5" borderId="1" xfId="10" applyFont="1" applyFill="1" applyBorder="1" applyAlignment="1">
      <alignment horizontal="center" wrapText="1"/>
    </xf>
    <xf numFmtId="0" fontId="5" fillId="9" borderId="7" xfId="0" applyFont="1" applyFill="1" applyBorder="1" applyAlignment="1">
      <alignment horizontal="center"/>
    </xf>
    <xf numFmtId="0" fontId="0" fillId="9" borderId="7" xfId="0" applyFill="1" applyBorder="1"/>
    <xf numFmtId="0" fontId="7" fillId="9" borderId="7" xfId="3" applyFont="1" applyFill="1" applyBorder="1" applyAlignment="1">
      <alignment horizontal="left" wrapText="1"/>
    </xf>
    <xf numFmtId="0" fontId="7" fillId="9" borderId="7" xfId="3" applyFont="1" applyFill="1" applyBorder="1" applyAlignment="1">
      <alignment wrapText="1"/>
    </xf>
    <xf numFmtId="0" fontId="7" fillId="9" borderId="7" xfId="4" applyFont="1" applyFill="1" applyBorder="1" applyAlignment="1">
      <alignment wrapText="1"/>
    </xf>
    <xf numFmtId="0" fontId="7" fillId="9" borderId="7" xfId="4" applyFont="1" applyFill="1" applyBorder="1" applyAlignment="1">
      <alignment horizontal="left" wrapText="1"/>
    </xf>
    <xf numFmtId="0" fontId="7" fillId="9" borderId="7" xfId="4" applyFont="1" applyFill="1" applyBorder="1" applyAlignment="1">
      <alignment horizontal="right" wrapText="1"/>
    </xf>
    <xf numFmtId="0" fontId="5" fillId="9" borderId="12" xfId="0" applyFont="1" applyFill="1" applyBorder="1"/>
    <xf numFmtId="0" fontId="7" fillId="2" borderId="13" xfId="1" applyFont="1" applyFill="1" applyBorder="1" applyAlignment="1">
      <alignment horizontal="center" wrapText="1"/>
    </xf>
    <xf numFmtId="0" fontId="7" fillId="9" borderId="14" xfId="0" applyFont="1" applyFill="1" applyBorder="1" applyAlignment="1">
      <alignment wrapText="1"/>
    </xf>
    <xf numFmtId="0" fontId="7" fillId="0" borderId="14" xfId="16" applyFont="1" applyFill="1" applyBorder="1" applyAlignment="1">
      <alignment wrapText="1"/>
    </xf>
    <xf numFmtId="0" fontId="7" fillId="0" borderId="14" xfId="0" applyFont="1" applyFill="1" applyBorder="1" applyAlignment="1">
      <alignment wrapText="1"/>
    </xf>
    <xf numFmtId="0" fontId="7" fillId="0" borderId="15" xfId="16" applyFont="1" applyFill="1" applyBorder="1" applyAlignment="1">
      <alignment wrapText="1"/>
    </xf>
    <xf numFmtId="0" fontId="7" fillId="0" borderId="16" xfId="0" applyFont="1" applyFill="1" applyBorder="1" applyAlignment="1">
      <alignment wrapText="1"/>
    </xf>
    <xf numFmtId="0" fontId="7" fillId="9" borderId="18" xfId="0" applyFont="1" applyFill="1" applyBorder="1" applyAlignment="1">
      <alignment wrapText="1"/>
    </xf>
    <xf numFmtId="0" fontId="7" fillId="2" borderId="17" xfId="1" applyFont="1" applyFill="1" applyBorder="1" applyAlignment="1">
      <alignment horizontal="center" wrapText="1"/>
    </xf>
    <xf numFmtId="0" fontId="7" fillId="0" borderId="15" xfId="0" applyFont="1" applyFill="1" applyBorder="1" applyAlignment="1">
      <alignment wrapText="1"/>
    </xf>
    <xf numFmtId="0" fontId="5" fillId="0" borderId="14" xfId="0" applyFont="1" applyBorder="1"/>
    <xf numFmtId="0" fontId="9" fillId="0" borderId="7" xfId="0" applyFont="1" applyBorder="1" applyAlignment="1">
      <alignment wrapText="1"/>
    </xf>
    <xf numFmtId="0" fontId="5" fillId="9" borderId="14" xfId="0" applyFont="1" applyFill="1" applyBorder="1" applyProtection="1">
      <protection locked="0"/>
    </xf>
    <xf numFmtId="0" fontId="7" fillId="9" borderId="14" xfId="0" applyNumberFormat="1" applyFont="1" applyFill="1" applyBorder="1" applyAlignment="1" applyProtection="1">
      <alignment wrapText="1"/>
    </xf>
    <xf numFmtId="0" fontId="7" fillId="0" borderId="14" xfId="8" applyFont="1" applyFill="1" applyBorder="1" applyAlignment="1">
      <alignment wrapText="1"/>
    </xf>
    <xf numFmtId="0" fontId="7" fillId="0" borderId="15" xfId="8" applyFont="1" applyFill="1" applyBorder="1" applyAlignment="1">
      <alignment wrapText="1"/>
    </xf>
    <xf numFmtId="0" fontId="7" fillId="0" borderId="16" xfId="8" applyFont="1" applyFill="1" applyBorder="1" applyAlignment="1">
      <alignment wrapText="1"/>
    </xf>
    <xf numFmtId="0" fontId="7" fillId="9" borderId="14" xfId="8" applyFont="1" applyFill="1" applyBorder="1" applyAlignment="1">
      <alignment wrapText="1"/>
    </xf>
    <xf numFmtId="0" fontId="7" fillId="0" borderId="14" xfId="8" applyFont="1" applyFill="1" applyBorder="1" applyAlignment="1"/>
    <xf numFmtId="0" fontId="6" fillId="4" borderId="5" xfId="7" applyFont="1" applyFill="1" applyBorder="1" applyAlignment="1">
      <alignment horizontal="center" vertical="center" wrapText="1"/>
    </xf>
    <xf numFmtId="0" fontId="5" fillId="9" borderId="14" xfId="0" applyFont="1" applyFill="1" applyBorder="1"/>
    <xf numFmtId="0" fontId="5" fillId="9" borderId="14" xfId="0" applyFont="1" applyFill="1" applyBorder="1" applyAlignment="1">
      <alignment horizontal="left"/>
    </xf>
    <xf numFmtId="0" fontId="5" fillId="9" borderId="13" xfId="0" applyFont="1" applyFill="1" applyBorder="1"/>
    <xf numFmtId="0" fontId="5" fillId="0" borderId="15" xfId="0" applyFont="1" applyBorder="1"/>
    <xf numFmtId="0" fontId="5" fillId="0" borderId="16" xfId="0" applyFont="1" applyBorder="1"/>
    <xf numFmtId="0" fontId="5" fillId="9" borderId="16" xfId="0" applyFont="1" applyFill="1" applyBorder="1"/>
    <xf numFmtId="0" fontId="4" fillId="0" borderId="14" xfId="0" applyFont="1" applyBorder="1"/>
    <xf numFmtId="0" fontId="5" fillId="5" borderId="14" xfId="0" applyFont="1" applyFill="1" applyBorder="1"/>
    <xf numFmtId="0" fontId="5" fillId="8" borderId="14" xfId="0" applyFont="1" applyFill="1" applyBorder="1"/>
    <xf numFmtId="0" fontId="5" fillId="9" borderId="19" xfId="0" applyFont="1" applyFill="1" applyBorder="1"/>
    <xf numFmtId="0" fontId="5" fillId="5" borderId="16" xfId="0" applyFont="1" applyFill="1" applyBorder="1"/>
    <xf numFmtId="0" fontId="7" fillId="11" borderId="14" xfId="0" applyFont="1" applyFill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5" borderId="14" xfId="0" applyFont="1" applyFill="1" applyBorder="1" applyAlignment="1">
      <alignment horizontal="left" vertical="center"/>
    </xf>
    <xf numFmtId="0" fontId="7" fillId="2" borderId="13" xfId="1" applyFont="1" applyFill="1" applyBorder="1" applyAlignment="1">
      <alignment horizontal="center" vertical="center" wrapText="1"/>
    </xf>
    <xf numFmtId="0" fontId="7" fillId="11" borderId="15" xfId="0" applyFont="1" applyFill="1" applyBorder="1" applyAlignment="1">
      <alignment horizontal="left" vertical="center"/>
    </xf>
    <xf numFmtId="0" fontId="7" fillId="11" borderId="16" xfId="0" applyFont="1" applyFill="1" applyBorder="1" applyAlignment="1">
      <alignment horizontal="left" vertical="center"/>
    </xf>
    <xf numFmtId="0" fontId="7" fillId="9" borderId="20" xfId="0" applyNumberFormat="1" applyFont="1" applyFill="1" applyBorder="1" applyAlignment="1" applyProtection="1">
      <alignment wrapText="1"/>
    </xf>
    <xf numFmtId="0" fontId="7" fillId="0" borderId="14" xfId="14" applyFont="1" applyFill="1" applyBorder="1" applyAlignment="1">
      <alignment wrapText="1"/>
    </xf>
    <xf numFmtId="0" fontId="7" fillId="0" borderId="15" xfId="14" applyFont="1" applyFill="1" applyBorder="1" applyAlignment="1">
      <alignment wrapText="1"/>
    </xf>
    <xf numFmtId="0" fontId="7" fillId="0" borderId="16" xfId="14" applyFont="1" applyFill="1" applyBorder="1" applyAlignment="1">
      <alignment wrapText="1"/>
    </xf>
    <xf numFmtId="0" fontId="7" fillId="9" borderId="10" xfId="0" applyNumberFormat="1" applyFont="1" applyFill="1" applyBorder="1" applyAlignment="1" applyProtection="1">
      <alignment wrapText="1"/>
    </xf>
    <xf numFmtId="0" fontId="7" fillId="9" borderId="21" xfId="0" applyFont="1" applyFill="1" applyBorder="1" applyAlignment="1">
      <alignment wrapText="1"/>
    </xf>
    <xf numFmtId="0" fontId="7" fillId="2" borderId="9" xfId="7" applyFont="1" applyFill="1" applyBorder="1" applyAlignment="1">
      <alignment horizontal="center" wrapText="1"/>
    </xf>
    <xf numFmtId="0" fontId="7" fillId="9" borderId="14" xfId="0" applyFont="1" applyFill="1" applyBorder="1" applyAlignment="1">
      <alignment horizontal="center" wrapText="1"/>
    </xf>
    <xf numFmtId="0" fontId="7" fillId="9" borderId="14" xfId="0" applyFont="1" applyFill="1" applyBorder="1" applyAlignment="1">
      <alignment horizontal="left" wrapText="1"/>
    </xf>
    <xf numFmtId="0" fontId="7" fillId="0" borderId="14" xfId="1" applyFont="1" applyFill="1" applyBorder="1" applyAlignment="1">
      <alignment wrapText="1"/>
    </xf>
    <xf numFmtId="0" fontId="7" fillId="0" borderId="15" xfId="1" applyFont="1" applyFill="1" applyBorder="1" applyAlignment="1">
      <alignment wrapText="1"/>
    </xf>
    <xf numFmtId="0" fontId="7" fillId="0" borderId="16" xfId="1" applyFont="1" applyFill="1" applyBorder="1" applyAlignment="1">
      <alignment wrapText="1"/>
    </xf>
    <xf numFmtId="0" fontId="6" fillId="2" borderId="5" xfId="6" applyFont="1" applyFill="1" applyBorder="1" applyAlignment="1">
      <alignment horizontal="center" wrapText="1"/>
    </xf>
    <xf numFmtId="0" fontId="7" fillId="0" borderId="14" xfId="9" applyFont="1" applyFill="1" applyBorder="1" applyAlignment="1">
      <alignment wrapText="1"/>
    </xf>
    <xf numFmtId="0" fontId="7" fillId="0" borderId="15" xfId="9" applyFont="1" applyFill="1" applyBorder="1" applyAlignment="1">
      <alignment wrapText="1"/>
    </xf>
    <xf numFmtId="0" fontId="7" fillId="0" borderId="16" xfId="9" applyFont="1" applyFill="1" applyBorder="1" applyAlignment="1">
      <alignment wrapText="1"/>
    </xf>
  </cellXfs>
  <cellStyles count="17">
    <cellStyle name="Normal" xfId="0" builtinId="0" customBuiltin="1"/>
    <cellStyle name="Normal_Comm Shop" xfId="9" xr:uid="{62670143-7E79-464D-AD4E-1BEB23E75F42}"/>
    <cellStyle name="Normal_Davis Electric" xfId="6" xr:uid="{35E0869C-06FC-4C7F-8015-5BA5BB049BB0}"/>
    <cellStyle name="Normal_Electrical Tools" xfId="5" xr:uid="{28ACEAAB-7D92-4648-BC9A-7B4C203074A7}"/>
    <cellStyle name="Normal_Electrical Tools_1" xfId="13" xr:uid="{B27AE896-A96C-4B2A-B3BB-C729068F0555}"/>
    <cellStyle name="Normal_Elect-Test" xfId="14" xr:uid="{54338BF3-347D-468E-B9A1-026EDEFD2C62}"/>
    <cellStyle name="Normal_Elevator Tools" xfId="7" xr:uid="{B87CBF36-7BFF-4023-9B8E-1B0911AC3AD6}"/>
    <cellStyle name="Normal_Elevator Tools_1" xfId="12" xr:uid="{4A13712D-E0A3-4788-AE22-6B2E958AA7BF}"/>
    <cellStyle name="Normal_HEM Tools_1" xfId="11" xr:uid="{09BB3F93-0DE2-4FA1-A055-B723630128CA}"/>
    <cellStyle name="Normal_Mech Engineering" xfId="15" xr:uid="{1373AF78-9734-4DED-8306-F60EA5A8F4BC}"/>
    <cellStyle name="Normal_Parker Dam" xfId="16" xr:uid="{680158A6-1687-4FCF-AB5A-2E15104FAF93}"/>
    <cellStyle name="Normal_Sheet1" xfId="1" xr:uid="{00000000-0005-0000-0000-000001000000}"/>
    <cellStyle name="Normal_Sheet1_1" xfId="10" xr:uid="{93A7C04A-4592-4C6A-AF46-DAC66F390A98}"/>
    <cellStyle name="Normal_Sheet4" xfId="2" xr:uid="{00000000-0005-0000-0000-000004000000}"/>
    <cellStyle name="Normal_Sheet6" xfId="3" xr:uid="{00000000-0005-0000-0000-000006000000}"/>
    <cellStyle name="Normal_Sheet7" xfId="4" xr:uid="{00000000-0005-0000-0000-000007000000}"/>
    <cellStyle name="Normal_Tool Room" xfId="8" xr:uid="{3917182F-BF24-4E51-A967-B1970381D3B5}"/>
  </cellStyles>
  <dxfs count="2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8"/>
        </bottom>
      </border>
    </dxf>
    <dxf>
      <border outline="0">
        <top style="thin">
          <color indexed="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8"/>
        </top>
      </border>
    </dxf>
    <dxf>
      <border>
        <bottom style="thin">
          <color auto="1"/>
        </bottom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8"/>
        </bottom>
      </border>
    </dxf>
    <dxf>
      <border outline="0">
        <top style="thin">
          <color indexed="8"/>
        </top>
      </border>
    </dxf>
    <dxf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8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8"/>
        </top>
      </border>
    </dxf>
    <dxf>
      <border>
        <bottom style="thin">
          <color indexed="8"/>
        </bottom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1"/>
        </patternFill>
      </fill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1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1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1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8"/>
        </bottom>
      </border>
    </dxf>
    <dxf>
      <border outline="0">
        <top style="thin">
          <color indexed="8"/>
        </top>
      </border>
    </dxf>
    <dxf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bottom style="thin">
          <color indexed="8"/>
        </bottom>
      </border>
    </dxf>
    <dxf>
      <border outline="0">
        <top style="thin">
          <color indexed="8"/>
        </top>
      </border>
    </dxf>
    <dxf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22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22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22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22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22"/>
        </top>
      </border>
    </dxf>
    <dxf>
      <border outline="0">
        <bottom style="thin">
          <color indexed="8"/>
        </bottom>
      </border>
    </dxf>
    <dxf>
      <border outline="0">
        <top style="thin">
          <color indexed="8"/>
        </top>
        <bottom style="thin">
          <color indexed="22"/>
        </bottom>
      </border>
    </dxf>
    <dxf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border>
        <bottom style="thin">
          <color indexed="8"/>
        </bottom>
      </border>
    </dxf>
    <dxf>
      <font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bgColor theme="2" tint="-9.9978637043366805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1"/>
        </patternFill>
      </fill>
    </dxf>
    <dxf>
      <border outline="0">
        <top style="thin">
          <color indexed="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border outline="0">
        <top style="thin">
          <color indexed="8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</dxfs>
  <tableStyles count="1" defaultTableStyle="Table Style 1" defaultPivotStyle="PivotStyleLight16">
    <tableStyle name="Table Style 1" pivot="0" count="2" xr9:uid="{D8044ADB-85C2-4109-9805-705A2BBCAA3C}">
      <tableStyleElement type="firstRowStripe" dxfId="226"/>
      <tableStyleElement type="secondRowStripe" dxfId="2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519A7B0-57C2-49ED-8533-82B10B98CEF9}" name="Table11" displayName="Table11" ref="A1:B13" totalsRowShown="0" headerRowDxfId="224" dataDxfId="222" headerRowBorderDxfId="223" tableBorderDxfId="221" headerRowCellStyle="Normal_Sheet1_1">
  <autoFilter ref="A1:B13" xr:uid="{F519A7B0-57C2-49ED-8533-82B10B98CEF9}">
    <filterColumn colId="0" hiddenButton="1"/>
    <filterColumn colId="1" hiddenButton="1"/>
  </autoFilter>
  <tableColumns count="2">
    <tableColumn id="1" xr3:uid="{E4FDB511-80ED-4AC8-8B1A-1C20D398AA01}" name="Shop Area" dataDxfId="220"/>
    <tableColumn id="2" xr3:uid="{B0C1D182-DC60-468C-8918-CE1CCEF3E103}" name="Total Jobs" dataDxfId="219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5A26A2F-5710-45C7-B4C0-81EFBD934EF4}" name="Table10" displayName="Table10" ref="A1:J41" totalsRowCount="1" headerRowDxfId="9" dataDxfId="8" headerRowBorderDxfId="6" tableBorderDxfId="7" headerRowCellStyle="Normal_Comm Shop" dataCellStyle="Normal_Comm Shop">
  <autoFilter ref="A1:J40" xr:uid="{65A26A2F-5710-45C7-B4C0-81EFBD934EF4}"/>
  <sortState xmlns:xlrd2="http://schemas.microsoft.com/office/spreadsheetml/2017/richdata2" ref="A2:E39">
    <sortCondition ref="A39"/>
  </sortState>
  <tableColumns count="10">
    <tableColumn id="1" xr3:uid="{C0D94971-5757-422F-AB3D-130417D5E734}" name="Count" dataDxfId="17" totalsRowDxfId="5"/>
    <tableColumn id="2" xr3:uid="{79AF18F6-3C32-403E-8C61-2BDF50A1B77E}" name="OEM" dataDxfId="16" totalsRowDxfId="4" dataCellStyle="Normal_Comm Shop"/>
    <tableColumn id="3" xr3:uid="{F12528FF-37A8-43CA-889F-943B60BD1BFB}" name="Model" dataDxfId="15" totalsRowDxfId="3" dataCellStyle="Normal_Comm Shop"/>
    <tableColumn id="4" xr3:uid="{B63E68CD-CC4A-40D1-AE91-1B41E89EED2A}" name="Description(Short)" dataDxfId="14" totalsRowDxfId="2" dataCellStyle="Normal_Comm Shop"/>
    <tableColumn id="5" xr3:uid="{74E70FE9-62F2-402E-A5B4-51B92939506F}" name="S/N" totalsRowLabel="Total Price " dataDxfId="13" totalsRowDxfId="1" dataCellStyle="Normal_Comm Shop"/>
    <tableColumn id="6" xr3:uid="{74E8AFBA-4679-4F05-93BB-B108D8BDDC81}" name="Price for Calibration FY 2026-2027" dataDxfId="12" totalsRowDxfId="0" dataCellStyle="Normal_Comm Shop"/>
    <tableColumn id="7" xr3:uid="{3EBF67F0-CEF4-4BA9-8FC8-7A635A121CA9}" name="Price for Calibration FY 2027-2028" dataDxfId="11" dataCellStyle="Normal_Comm Shop"/>
    <tableColumn id="8" xr3:uid="{F1A9A430-8496-4BA3-A8D6-C74B7347B505}" name="Price for Calibration FY 2028-2029" dataDxfId="10" dataCellStyle="Normal_Comm Shop"/>
    <tableColumn id="9" xr3:uid="{250A62DB-DD2F-4098-9134-C3E1FEB0D007}" name="Price for Calibration FY 2029-2030" dataDxfId="19" dataCellStyle="Normal_Comm Shop"/>
    <tableColumn id="10" xr3:uid="{9774D185-1981-4B4E-BD92-6507D3E7DED6}" name="Price for Calibration FY 2030-2031" dataDxfId="18" dataCellStyle="Normal_Comm Shop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D2D4982-3AC5-4A79-9B7C-5371B81E4B15}" name="Table9" displayName="Table9" ref="A1:J27" totalsRowCount="1" headerRowDxfId="218" dataDxfId="216" totalsRowDxfId="214" headerRowBorderDxfId="217" tableBorderDxfId="215" headerRowCellStyle="Normal_Davis Electric" dataCellStyle="Normal_Sheet1">
  <autoFilter ref="A1:J26" xr:uid="{7D2D4982-3AC5-4A79-9B7C-5371B81E4B15}"/>
  <sortState xmlns:xlrd2="http://schemas.microsoft.com/office/spreadsheetml/2017/richdata2" ref="B2:E25">
    <sortCondition ref="B1:B25"/>
  </sortState>
  <tableColumns count="10">
    <tableColumn id="10" xr3:uid="{2232B2DD-EF41-4536-8390-25CC906E5EC0}" name="Count" dataDxfId="213" totalsRowDxfId="33" dataCellStyle="Normal_Sheet1"/>
    <tableColumn id="3" xr3:uid="{31EFDC95-8CAB-44A4-A0DE-B0B063DEB334}" name="Model" dataDxfId="212" totalsRowDxfId="32" dataCellStyle="Normal_Sheet1"/>
    <tableColumn id="2" xr3:uid="{C7E095F7-F70A-44E2-A1EC-DE3488D592BF}" name="OEM" dataDxfId="211" totalsRowDxfId="31" dataCellStyle="Normal_Sheet1"/>
    <tableColumn id="4" xr3:uid="{B84C6FFA-84AC-42EA-A9E5-62309035967E}" name="Description(Short)" dataDxfId="210" totalsRowDxfId="30" dataCellStyle="Normal_Sheet1"/>
    <tableColumn id="5" xr3:uid="{43581EA7-9281-445E-AEE1-316DA1938BCA}" name="S/N" dataDxfId="209" totalsRowDxfId="29" dataCellStyle="Normal_Sheet1"/>
    <tableColumn id="1" xr3:uid="{F1724861-BC95-4804-A1A3-7C27424D74DD}" name="Price for Calibration FY 2026-2027" dataDxfId="208" totalsRowDxfId="28" dataCellStyle="Normal_Sheet1"/>
    <tableColumn id="6" xr3:uid="{E6F93B37-A160-4D04-BD84-87ECA9131FF7}" name="Price for Calibration FY 2027-2028" dataDxfId="27" totalsRowDxfId="26" dataCellStyle="Normal_Sheet1"/>
    <tableColumn id="7" xr3:uid="{7A127B29-65FE-40F9-80CA-A4A1B0B9E68A}" name="Price for Calibration FY 2028-2029" dataDxfId="25" totalsRowDxfId="24" dataCellStyle="Normal_Sheet1"/>
    <tableColumn id="8" xr3:uid="{428A122C-5E5E-4174-848A-50C50C031F45}" name="Price for Calibration FY 2029-2030" dataDxfId="23" totalsRowDxfId="22" dataCellStyle="Normal_Sheet1"/>
    <tableColumn id="9" xr3:uid="{06353988-500F-4F22-BE61-1DE7C1B26401}" name="Price for Calibration FY 2030-2031" dataDxfId="21" totalsRowDxfId="20" dataCellStyle="Normal_Sheet1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8AC846-1334-42AA-8919-1A2D2399ABF1}" name="Table3" displayName="Table3" ref="B1:J45" totalsRowCount="1" headerRowDxfId="52" dataDxfId="51" totalsRowDxfId="50" headerRowBorderDxfId="48" tableBorderDxfId="49" totalsRowBorderDxfId="47">
  <autoFilter ref="B1:J44" xr:uid="{6E8AC846-1334-42AA-8919-1A2D2399ABF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sortState xmlns:xlrd2="http://schemas.microsoft.com/office/spreadsheetml/2017/richdata2" ref="B2:E44">
    <sortCondition ref="C2:C44"/>
  </sortState>
  <tableColumns count="9">
    <tableColumn id="1" xr3:uid="{0D1C3692-85CF-4609-99E0-B2E3D324A962}" name="OEM" dataDxfId="57" totalsRowDxfId="46"/>
    <tableColumn id="2" xr3:uid="{DD00BA91-5826-403E-AF3F-AAC32E91B5F6}" name="Model" dataDxfId="56" totalsRowDxfId="45"/>
    <tableColumn id="3" xr3:uid="{84202FD1-3806-47AE-8501-C7EC56AA5A9A}" name="Description(Short)" dataDxfId="55" totalsRowDxfId="44"/>
    <tableColumn id="4" xr3:uid="{92CF93FE-78F5-4D8A-82E7-9F5BF856618C}" name="S/N" dataDxfId="54" totalsRowDxfId="43"/>
    <tableColumn id="6" xr3:uid="{0BF7B911-2F83-47C1-A694-5E47111D55CB}" name="Price for Calibration FY 2026-2027" dataDxfId="53" totalsRowDxfId="42"/>
    <tableColumn id="5" xr3:uid="{BF951C19-6D2A-409F-B67F-217A5D485FF4}" name="Price for Calibration FY 2027-2028" dataDxfId="41" totalsRowDxfId="40"/>
    <tableColumn id="7" xr3:uid="{2003A3B0-9DE5-4AF8-827E-3B907E71623A}" name="Price for Calibration FY 2028-2029" dataDxfId="39" totalsRowDxfId="38"/>
    <tableColumn id="8" xr3:uid="{A366657B-34ED-4610-AAB5-8059FE861A17}" name="Price for Calibration FY 2029-2030" dataDxfId="37" totalsRowDxfId="36"/>
    <tableColumn id="9" xr3:uid="{65510CEF-C442-4D35-8985-8D5EE888870A}" name="Price for Calibration FY 2030-2031" dataDxfId="35" totalsRowDxfId="34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BCE6685-A4BB-4391-98B9-6BC3DE09AA2A}" name="Table8" displayName="Table8" ref="A1:J45" totalsRowCount="1" headerRowDxfId="82" dataDxfId="81" totalsRowDxfId="80" headerRowBorderDxfId="78" tableBorderDxfId="79" headerRowCellStyle="Normal_Elevator Tools" dataCellStyle="Normal_Elect-Test">
  <autoFilter ref="A1:J44" xr:uid="{6BCE6685-A4BB-4391-98B9-6BC3DE09AA2A}"/>
  <sortState xmlns:xlrd2="http://schemas.microsoft.com/office/spreadsheetml/2017/richdata2" ref="A2:E44">
    <sortCondition ref="A44"/>
  </sortState>
  <tableColumns count="10">
    <tableColumn id="1" xr3:uid="{CB151DD0-F809-49C9-95CE-2FA62CD9F376}" name="Count" dataDxfId="77" totalsRowDxfId="67"/>
    <tableColumn id="2" xr3:uid="{C5D061D0-B0E4-43C4-9803-C5536D5C552E}" name="OEM" dataDxfId="76" totalsRowDxfId="66" dataCellStyle="Normal_Elect-Test"/>
    <tableColumn id="3" xr3:uid="{21E60903-E2CF-466B-A7C5-CE8913785A80}" name="Model" dataDxfId="75" totalsRowDxfId="65" dataCellStyle="Normal_Elect-Test"/>
    <tableColumn id="4" xr3:uid="{870AC3CE-E5A3-47F4-89AC-3409D7A98550}" name="Description(Short)" dataDxfId="74" totalsRowDxfId="64" dataCellStyle="Normal_Elect-Test"/>
    <tableColumn id="5" xr3:uid="{39AE1068-762C-4D93-A9B4-E5F023F0895E}" name="S/N" dataDxfId="73" totalsRowDxfId="63" dataCellStyle="Normal_Elect-Test"/>
    <tableColumn id="7" xr3:uid="{9EA7F2F7-A599-4B94-93F3-0138334080C6}" name="Price for Calibration FY 2026-2027" dataDxfId="72" totalsRowDxfId="62" dataCellStyle="Normal_Elect-Test" totalsRowCellStyle="Normal_Elect-Test"/>
    <tableColumn id="6" xr3:uid="{F34DEC06-2C4D-40A9-8CE7-AFB31C1FDD00}" name="Price for Calibration FY 2027-2028" dataDxfId="71" totalsRowDxfId="61" dataCellStyle="Normal_Elect-Test" totalsRowCellStyle="Normal_Elect-Test"/>
    <tableColumn id="8" xr3:uid="{286D3769-3883-4D03-94AC-39141CF76C55}" name="Price for Calibration FY 2028-2029" dataDxfId="70" totalsRowDxfId="60" dataCellStyle="Normal_Elect-Test" totalsRowCellStyle="Normal_Elect-Test"/>
    <tableColumn id="9" xr3:uid="{FDB0A1B9-DED0-42C0-B2E4-9379B636DF07}" name="Price for Calibration FY 2029-2030" dataDxfId="69" totalsRowDxfId="59" dataCellStyle="Normal_Elect-Test" totalsRowCellStyle="Normal_Elect-Test"/>
    <tableColumn id="10" xr3:uid="{17750D8D-83D9-4675-A34B-9FF5664D444F}" name="Price for Calibration FY 2030-2031" dataDxfId="68" totalsRowDxfId="58" dataCellStyle="Normal_Elect-Test" totalsRowCellStyle="Normal_Elect-Test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19E039-B25F-44F2-B21C-1C5728D5C979}" name="Table2" displayName="Table2" ref="B1:J23" totalsRowCount="1" headerRowDxfId="207" dataDxfId="205" totalsRowDxfId="204" headerRowBorderDxfId="206">
  <autoFilter ref="B1:J22" xr:uid="{3419E039-B25F-44F2-B21C-1C5728D5C97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sortState xmlns:xlrd2="http://schemas.microsoft.com/office/spreadsheetml/2017/richdata2" ref="B2:E22">
    <sortCondition ref="C2:C22"/>
  </sortState>
  <tableColumns count="9">
    <tableColumn id="1" xr3:uid="{371781F5-1419-4399-94DE-868C2C798813}" name="OEM" dataDxfId="203" totalsRowDxfId="95"/>
    <tableColumn id="2" xr3:uid="{F9812082-F4A4-4816-BBCF-CC7B87CE2D56}" name="Model" dataDxfId="202" totalsRowDxfId="94"/>
    <tableColumn id="3" xr3:uid="{61DCB53A-281B-4F20-A5C0-2DB9AAF6B69C}" name="Description(Short)" dataDxfId="201" totalsRowDxfId="93"/>
    <tableColumn id="4" xr3:uid="{005D7528-77C8-4702-82CB-7AC1642C5B8D}" name="S/N" dataDxfId="200" totalsRowDxfId="92"/>
    <tableColumn id="6" xr3:uid="{61A559D2-0B87-4812-87C3-98C0F3B8CFDB}" name="Price for Calibration FY 2026-2027" dataDxfId="199" totalsRowDxfId="91"/>
    <tableColumn id="5" xr3:uid="{C74F9465-317A-4F57-9970-BE8E631647E7}" name="Price for Calibration FY 2027-2028" dataDxfId="90" totalsRowDxfId="89"/>
    <tableColumn id="7" xr3:uid="{2E77C238-B838-45E6-8A2A-6D69374909F2}" name="Price for Calibration FY 2028-2029" dataDxfId="88" totalsRowDxfId="87"/>
    <tableColumn id="8" xr3:uid="{7A321209-6106-4C6F-A5F3-4F37E164C9C3}" name="Price for Calibration FY 2029-2030" dataDxfId="86" totalsRowDxfId="85"/>
    <tableColumn id="9" xr3:uid="{EC0FCED6-B43C-42B0-B9E8-738E8A829C0E}" name="Price for Calibration FY 2030-2031" dataDxfId="84" totalsRowDxfId="83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DBFC05-66B5-4A97-B731-848E25EF2CEE}" name="EML" displayName="EML" ref="B1:J57" totalsRowCount="1" headerRowDxfId="111" dataDxfId="110" totalsRowDxfId="109" headerRowBorderDxfId="107" tableBorderDxfId="108" totalsRowBorderDxfId="106">
  <autoFilter ref="B1:J56" xr:uid="{E2DBFC05-66B5-4A97-B731-848E25EF2CE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sortState xmlns:xlrd2="http://schemas.microsoft.com/office/spreadsheetml/2017/richdata2" ref="B2:E56">
    <sortCondition ref="C2:C56"/>
  </sortState>
  <tableColumns count="9">
    <tableColumn id="1" xr3:uid="{792B0B6E-6E68-4617-A0E6-1BC00B7A4AF3}" name="OEM" dataDxfId="119" totalsRowDxfId="105"/>
    <tableColumn id="2" xr3:uid="{B814FC46-2227-4E1C-9EFC-25DE0069326D}" name="Model" dataDxfId="118" totalsRowDxfId="104"/>
    <tableColumn id="3" xr3:uid="{4E78CF90-4DD4-47D9-BD54-CD4DA3C0FA6A}" name="Description(Short)" dataDxfId="117" totalsRowDxfId="103"/>
    <tableColumn id="4" xr3:uid="{E6AF6D17-D561-46A2-B179-D60B8154F415}" name="S/N" dataDxfId="116" totalsRowDxfId="102"/>
    <tableColumn id="6" xr3:uid="{F136C031-B926-4B7B-9A5C-E2F0564500FD}" name="Price for Calibration FY 2026-2027" dataDxfId="115" totalsRowDxfId="101"/>
    <tableColumn id="5" xr3:uid="{9897747B-A62A-4591-8B75-6BC1C0E6728F}" name="Price for Calibration FY 2027-2028" dataDxfId="114" totalsRowDxfId="100"/>
    <tableColumn id="7" xr3:uid="{A387131E-D8BF-40D3-8FC7-2DD654BCAF4E}" name="Price for Calibration FY 2028-2029" dataDxfId="113" totalsRowDxfId="99"/>
    <tableColumn id="8" xr3:uid="{AD89D75D-24CD-44B5-BE03-C016D08725FB}" name="Price for Calibration FY 2029-2030" dataDxfId="112" totalsRowDxfId="98"/>
    <tableColumn id="9" xr3:uid="{18319259-4D74-4B7A-A505-31EEBDD6214D}" name="Price for Calibration FY 2030-2031" dataDxfId="97" totalsRowDxfId="96"/>
  </tableColumns>
  <tableStyleInfo name="TableStyleLight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39716A-DDDD-418A-9CDF-9579156E7F7F}" name="Table1" displayName="Table1" ref="B1:J22" totalsRowCount="1" headerRowDxfId="147" dataDxfId="146" totalsRowDxfId="145" headerRowBorderDxfId="143" tableBorderDxfId="144">
  <autoFilter ref="B1:J21" xr:uid="{6C39716A-DDDD-418A-9CDF-9579156E7F7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sortState xmlns:xlrd2="http://schemas.microsoft.com/office/spreadsheetml/2017/richdata2" ref="B2:E21">
    <sortCondition ref="C2:C21"/>
  </sortState>
  <tableColumns count="9">
    <tableColumn id="1" xr3:uid="{3317A5DB-37DA-4E60-8D06-4BF4B25C31BC}" name="OEM" dataDxfId="155" totalsRowDxfId="142"/>
    <tableColumn id="2" xr3:uid="{D4666813-6EE1-40AD-B9CF-A9B9E1E277F6}" name="Model" dataDxfId="154" totalsRowDxfId="141"/>
    <tableColumn id="3" xr3:uid="{C47C14A2-97B6-4B76-A3E8-2E4C3F726E57}" name="Description(Short)" dataDxfId="153" totalsRowDxfId="140"/>
    <tableColumn id="4" xr3:uid="{58962FA0-BD8E-4CC1-80A2-75EEA968D569}" name="S/N" dataDxfId="152" totalsRowDxfId="139"/>
    <tableColumn id="6" xr3:uid="{353C06A6-46AB-416A-A116-6F352CBDF9D3}" name="Price for Calibration FY 2026-2027" dataDxfId="151" totalsRowDxfId="138"/>
    <tableColumn id="5" xr3:uid="{AB3047D3-B154-4B33-92AF-72A77C664D99}" name="Price for Calibration FY 2027-2028" dataDxfId="150" totalsRowDxfId="137"/>
    <tableColumn id="7" xr3:uid="{66BF91F5-C94A-4531-A48A-247353DAF40A}" name="Price for Calibration FY 2028-2029" dataDxfId="149" totalsRowDxfId="136"/>
    <tableColumn id="8" xr3:uid="{E5B2C132-4ACE-4B44-A60F-94E8EA3CDF5C}" name="Price for Calibration FY 2029-2030" dataDxfId="148" totalsRowDxfId="135"/>
    <tableColumn id="9" xr3:uid="{89194D19-C917-4BF3-8DBF-FFB3A677A7B1}" name="Price for Calibration FY 2030-2031" dataDxfId="134" totalsRowDxfId="133"/>
  </tableColumns>
  <tableStyleInfo name="TableStyleLight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66E270F-1DB3-4E4B-898F-F2C5F48D0DA8}" name="Table7" displayName="Table7" ref="A1:J105" totalsRowCount="1" headerRowDxfId="174" dataDxfId="173" totalsRowDxfId="172" headerRowBorderDxfId="170" tableBorderDxfId="171" headerRowCellStyle="Normal_Elevator Tools" dataCellStyle="Normal_Tool Room">
  <autoFilter ref="A1:J104" xr:uid="{966E270F-1DB3-4E4B-898F-F2C5F48D0DA8}"/>
  <tableColumns count="10">
    <tableColumn id="1" xr3:uid="{CF512EC4-6E2C-47BA-8FC7-96307870247B}" name="Count" dataDxfId="180" totalsRowDxfId="169"/>
    <tableColumn id="2" xr3:uid="{06133C9C-0D2C-4464-AA99-B8B29E8AA286}" name="OEM" dataDxfId="179" totalsRowDxfId="168" dataCellStyle="Normal_Tool Room" totalsRowCellStyle="Normal_Tool Room"/>
    <tableColumn id="3" xr3:uid="{497B3E6B-7B63-4340-AB12-E81B5E2643C6}" name="Model" dataDxfId="178" totalsRowDxfId="167" dataCellStyle="Normal_Tool Room" totalsRowCellStyle="Normal_Tool Room"/>
    <tableColumn id="4" xr3:uid="{F050BD4F-682E-4B9F-B2A0-9C17ED7419BD}" name="Description(Short)" dataDxfId="177" totalsRowDxfId="166" dataCellStyle="Normal_Tool Room" totalsRowCellStyle="Normal_Tool Room"/>
    <tableColumn id="5" xr3:uid="{C3D990F6-FB7B-4AD8-8DD2-7041E149685B}" name="S/N" dataDxfId="176" totalsRowDxfId="165" dataCellStyle="Normal_Tool Room" totalsRowCellStyle="Normal_Tool Room"/>
    <tableColumn id="7" xr3:uid="{A3F6211A-B1BE-4770-97D6-7FBA7053761B}" name="Price for Calibration FY 2026-2027" dataDxfId="175" totalsRowDxfId="164" dataCellStyle="Normal_Tool Room" totalsRowCellStyle="Normal_Tool Room"/>
    <tableColumn id="6" xr3:uid="{A63A9F8B-BB9F-48F8-8C80-3F052BF1BC59}" name="Price for Calibration FY 2027-2028" dataDxfId="163" totalsRowDxfId="162" dataCellStyle="Normal_Tool Room" totalsRowCellStyle="Normal_Tool Room"/>
    <tableColumn id="8" xr3:uid="{8A329C13-B406-45B2-830E-2EE96E26DD72}" name="Price for Calibration FY 2028-2029" dataDxfId="161" totalsRowDxfId="160" dataCellStyle="Normal_Tool Room" totalsRowCellStyle="Normal_Tool Room"/>
    <tableColumn id="9" xr3:uid="{514467E0-32DC-4827-8E7C-309EBAAA3165}" name="Price for Calibration FY 2029-2030" dataDxfId="159" totalsRowDxfId="158" dataCellStyle="Normal_Tool Room" totalsRowCellStyle="Normal_Tool Room"/>
    <tableColumn id="10" xr3:uid="{26071C60-D804-4675-A592-2F164165B8C9}" name="Price for Calibration FY 2030-2031" dataDxfId="157" totalsRowDxfId="156" dataCellStyle="Normal_Tool Room" totalsRowCellStyle="Normal_Tool Room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725CB3-FF65-417D-B100-88E7E235C808}" name="Table5" displayName="Table5" ref="B1:J37" totalsRowCount="1" headerRowDxfId="198" dataDxfId="197" totalsRowDxfId="196" headerRowBorderDxfId="194" tableBorderDxfId="195" totalsRowBorderDxfId="193">
  <autoFilter ref="B1:J36" xr:uid="{B8725CB3-FF65-417D-B100-88E7E235C80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sortState xmlns:xlrd2="http://schemas.microsoft.com/office/spreadsheetml/2017/richdata2" ref="B2:E36">
    <sortCondition ref="C2:C36"/>
  </sortState>
  <tableColumns count="9">
    <tableColumn id="1" xr3:uid="{69F8B774-BA06-4E04-B690-A105AF6D3ECD}" name="OEM" dataDxfId="192" totalsRowDxfId="189"/>
    <tableColumn id="2" xr3:uid="{A2F1DCA5-7A3D-49A5-A0BE-F8C5F0B974F7}" name="Model" dataDxfId="191" totalsRowDxfId="188"/>
    <tableColumn id="3" xr3:uid="{69587A0A-0D75-47F0-8EB5-D5250AD64410}" name="Description(Short)" dataDxfId="190" totalsRowDxfId="187"/>
    <tableColumn id="4" xr3:uid="{1DF3B99F-5941-4CD4-B910-4E0E256D6B2D}" name="S/N" totalsRowDxfId="186"/>
    <tableColumn id="6" xr3:uid="{B399B274-0E0F-41E2-BFAD-DE5475CF1560}" name="Price for Calibration FY 2026-2027" totalsRowDxfId="185"/>
    <tableColumn id="5" xr3:uid="{7059414D-3C67-4B83-A7CC-E92A46F232C0}" name="Price for Calibration FY 2027-2028" totalsRowDxfId="184"/>
    <tableColumn id="7" xr3:uid="{9C1CDBB8-1B71-4227-B4E5-1D70FBB3D1D2}" name="Price for Calibration FY 2028-2029" totalsRowDxfId="183"/>
    <tableColumn id="8" xr3:uid="{7E1EE87F-CB29-47E1-8D81-859BA7255E6B}" name="Price for Calibration FY 2029-2030" totalsRowDxfId="182"/>
    <tableColumn id="9" xr3:uid="{E2B958A7-D92C-40D0-B7CD-58B4178BD689}" name="Price for Calibration FY 2030-2031" totalsRowDxfId="181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3F9F-29B1-46FC-AE4E-A1214C38C976}">
  <dimension ref="A1:B13"/>
  <sheetViews>
    <sheetView workbookViewId="0">
      <selection activeCell="B1" sqref="B1"/>
    </sheetView>
  </sheetViews>
  <sheetFormatPr defaultColWidth="36.42578125" defaultRowHeight="15" x14ac:dyDescent="0.25"/>
  <cols>
    <col min="1" max="1" width="20.42578125" style="1" customWidth="1"/>
    <col min="2" max="2" width="21.7109375" style="1" customWidth="1"/>
    <col min="3" max="16384" width="36.42578125" style="1"/>
  </cols>
  <sheetData>
    <row r="1" spans="1:2" x14ac:dyDescent="0.25">
      <c r="A1" s="16" t="s">
        <v>787</v>
      </c>
      <c r="B1" s="16" t="s">
        <v>788</v>
      </c>
    </row>
    <row r="2" spans="1:2" x14ac:dyDescent="0.25">
      <c r="A2" s="113" t="s">
        <v>4</v>
      </c>
      <c r="B2" s="114">
        <f>'Comm Shop'!A61</f>
        <v>38</v>
      </c>
    </row>
    <row r="3" spans="1:2" x14ac:dyDescent="0.25">
      <c r="A3" s="113" t="s">
        <v>5</v>
      </c>
      <c r="B3" s="115">
        <f>'Davis Electric'!A61</f>
        <v>24</v>
      </c>
    </row>
    <row r="4" spans="1:2" x14ac:dyDescent="0.25">
      <c r="A4" s="113" t="s">
        <v>6</v>
      </c>
      <c r="B4" s="115">
        <f>'Electrical Tools'!A60</f>
        <v>43</v>
      </c>
    </row>
    <row r="5" spans="1:2" x14ac:dyDescent="0.25">
      <c r="A5" s="113" t="s">
        <v>7</v>
      </c>
      <c r="B5" s="115">
        <f>'Elect-Test'!A60</f>
        <v>43</v>
      </c>
    </row>
    <row r="6" spans="1:2" x14ac:dyDescent="0.25">
      <c r="A6" s="113" t="s">
        <v>8</v>
      </c>
      <c r="B6" s="115">
        <f>'Elevator Tools'!A60</f>
        <v>21</v>
      </c>
    </row>
    <row r="7" spans="1:2" x14ac:dyDescent="0.25">
      <c r="A7" s="113" t="s">
        <v>9</v>
      </c>
      <c r="B7" s="115">
        <f>'HEM Tools'!A60</f>
        <v>55</v>
      </c>
    </row>
    <row r="8" spans="1:2" x14ac:dyDescent="0.25">
      <c r="A8" s="113" t="s">
        <v>10</v>
      </c>
      <c r="B8" s="115">
        <f>'Mech Engineering'!A59</f>
        <v>20</v>
      </c>
    </row>
    <row r="9" spans="1:2" x14ac:dyDescent="0.25">
      <c r="A9" s="113" t="s">
        <v>13</v>
      </c>
      <c r="B9" s="115">
        <f>'Parker Dam'!A60</f>
        <v>35</v>
      </c>
    </row>
    <row r="10" spans="1:2" x14ac:dyDescent="0.25">
      <c r="A10" s="113" t="s">
        <v>11</v>
      </c>
      <c r="B10" s="115">
        <f>'Tool Room'!A120</f>
        <v>103</v>
      </c>
    </row>
    <row r="11" spans="1:2" x14ac:dyDescent="0.25">
      <c r="A11" s="17"/>
      <c r="B11" s="17"/>
    </row>
    <row r="12" spans="1:2" x14ac:dyDescent="0.25">
      <c r="B12" s="5"/>
    </row>
    <row r="13" spans="1:2" x14ac:dyDescent="0.25">
      <c r="A13" s="111" t="s">
        <v>793</v>
      </c>
      <c r="B13" s="112">
        <f>SUM(B2:B10)</f>
        <v>382</v>
      </c>
    </row>
  </sheetData>
  <sortState xmlns:xlrd2="http://schemas.microsoft.com/office/spreadsheetml/2017/richdata2" ref="A2:B10">
    <sortCondition ref="A2:A10"/>
  </sortState>
  <phoneticPr fontId="8" type="noConversion"/>
  <conditionalFormatting sqref="A1:B13">
    <cfRule type="expression" dxfId="132" priority="1">
      <formula>MOD(ROW(),2)=0</formula>
    </cfRule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1"/>
  <sheetViews>
    <sheetView topLeftCell="A18" workbookViewId="0">
      <selection activeCell="G45" sqref="G45"/>
    </sheetView>
  </sheetViews>
  <sheetFormatPr defaultColWidth="59.85546875" defaultRowHeight="15" x14ac:dyDescent="0.25"/>
  <cols>
    <col min="1" max="1" width="8.42578125" style="1" customWidth="1"/>
    <col min="2" max="2" width="15.85546875" style="1" bestFit="1" customWidth="1"/>
    <col min="3" max="3" width="14.7109375" style="13" bestFit="1" customWidth="1"/>
    <col min="4" max="4" width="36.85546875" style="1" bestFit="1" customWidth="1"/>
    <col min="5" max="5" width="20.7109375" style="1" bestFit="1" customWidth="1"/>
    <col min="6" max="7" width="19.5703125" style="1" customWidth="1"/>
    <col min="8" max="8" width="19" style="1" customWidth="1"/>
    <col min="9" max="9" width="19.140625" style="1" customWidth="1"/>
    <col min="10" max="10" width="18.85546875" style="1" customWidth="1"/>
    <col min="11" max="16384" width="59.85546875" style="1"/>
  </cols>
  <sheetData>
    <row r="1" spans="1:10" ht="30" x14ac:dyDescent="0.25">
      <c r="A1" s="24" t="s">
        <v>12</v>
      </c>
      <c r="B1" s="24" t="s">
        <v>0</v>
      </c>
      <c r="C1" s="25" t="s">
        <v>1</v>
      </c>
      <c r="D1" s="24" t="s">
        <v>2</v>
      </c>
      <c r="E1" s="24" t="s">
        <v>3</v>
      </c>
      <c r="F1" s="157" t="s">
        <v>794</v>
      </c>
      <c r="G1" s="172" t="s">
        <v>795</v>
      </c>
      <c r="H1" s="172" t="s">
        <v>796</v>
      </c>
      <c r="I1" s="172" t="s">
        <v>797</v>
      </c>
      <c r="J1" s="172" t="s">
        <v>798</v>
      </c>
    </row>
    <row r="2" spans="1:10" x14ac:dyDescent="0.25">
      <c r="A2" s="26">
        <v>1</v>
      </c>
      <c r="B2" s="27" t="s">
        <v>220</v>
      </c>
      <c r="C2" s="28" t="s">
        <v>221</v>
      </c>
      <c r="D2" s="27" t="s">
        <v>222</v>
      </c>
      <c r="E2" s="27" t="s">
        <v>223</v>
      </c>
      <c r="F2" s="27"/>
      <c r="G2" s="174"/>
      <c r="H2" s="174"/>
      <c r="I2" s="174"/>
      <c r="J2" s="174"/>
    </row>
    <row r="3" spans="1:10" x14ac:dyDescent="0.25">
      <c r="A3" s="29">
        <v>2</v>
      </c>
      <c r="B3" s="30" t="s">
        <v>220</v>
      </c>
      <c r="C3" s="31">
        <v>3920</v>
      </c>
      <c r="D3" s="30" t="s">
        <v>224</v>
      </c>
      <c r="E3" s="30" t="s">
        <v>225</v>
      </c>
      <c r="F3" s="32"/>
      <c r="G3" s="173"/>
      <c r="H3" s="173"/>
      <c r="I3" s="173"/>
      <c r="J3" s="173"/>
    </row>
    <row r="4" spans="1:10" x14ac:dyDescent="0.25">
      <c r="A4" s="26">
        <v>3</v>
      </c>
      <c r="B4" s="27" t="s">
        <v>254</v>
      </c>
      <c r="C4" s="28" t="s">
        <v>255</v>
      </c>
      <c r="D4" s="27" t="s">
        <v>256</v>
      </c>
      <c r="E4" s="27" t="s">
        <v>257</v>
      </c>
      <c r="F4" s="27"/>
      <c r="G4" s="173"/>
      <c r="H4" s="173"/>
      <c r="I4" s="173"/>
      <c r="J4" s="173"/>
    </row>
    <row r="5" spans="1:10" x14ac:dyDescent="0.25">
      <c r="A5" s="29">
        <v>4</v>
      </c>
      <c r="B5" s="32" t="s">
        <v>254</v>
      </c>
      <c r="C5" s="33" t="s">
        <v>255</v>
      </c>
      <c r="D5" s="32" t="s">
        <v>256</v>
      </c>
      <c r="E5" s="32" t="s">
        <v>258</v>
      </c>
      <c r="F5" s="32"/>
      <c r="G5" s="173"/>
      <c r="H5" s="173"/>
      <c r="I5" s="173"/>
      <c r="J5" s="173"/>
    </row>
    <row r="6" spans="1:10" x14ac:dyDescent="0.25">
      <c r="A6" s="26">
        <v>5</v>
      </c>
      <c r="B6" s="27" t="s">
        <v>250</v>
      </c>
      <c r="C6" s="28" t="s">
        <v>251</v>
      </c>
      <c r="D6" s="27" t="s">
        <v>252</v>
      </c>
      <c r="E6" s="27" t="s">
        <v>253</v>
      </c>
      <c r="F6" s="27"/>
      <c r="G6" s="173"/>
      <c r="H6" s="173"/>
      <c r="I6" s="173"/>
      <c r="J6" s="173"/>
    </row>
    <row r="7" spans="1:10" x14ac:dyDescent="0.25">
      <c r="A7" s="29">
        <v>6</v>
      </c>
      <c r="B7" s="32" t="s">
        <v>280</v>
      </c>
      <c r="C7" s="33" t="s">
        <v>281</v>
      </c>
      <c r="D7" s="32" t="s">
        <v>282</v>
      </c>
      <c r="E7" s="32" t="s">
        <v>283</v>
      </c>
      <c r="F7" s="32"/>
      <c r="G7" s="173"/>
      <c r="H7" s="173"/>
      <c r="I7" s="173"/>
      <c r="J7" s="173"/>
    </row>
    <row r="8" spans="1:10" x14ac:dyDescent="0.25">
      <c r="A8" s="26">
        <v>7</v>
      </c>
      <c r="B8" s="27" t="s">
        <v>280</v>
      </c>
      <c r="C8" s="28" t="s">
        <v>289</v>
      </c>
      <c r="D8" s="27" t="s">
        <v>290</v>
      </c>
      <c r="E8" s="27" t="s">
        <v>291</v>
      </c>
      <c r="F8" s="27"/>
      <c r="G8" s="173"/>
      <c r="H8" s="173"/>
      <c r="I8" s="173"/>
      <c r="J8" s="173"/>
    </row>
    <row r="9" spans="1:10" x14ac:dyDescent="0.25">
      <c r="A9" s="29">
        <v>8</v>
      </c>
      <c r="B9" s="32" t="s">
        <v>205</v>
      </c>
      <c r="C9" s="33" t="s">
        <v>206</v>
      </c>
      <c r="D9" s="32" t="s">
        <v>207</v>
      </c>
      <c r="E9" s="32" t="s">
        <v>208</v>
      </c>
      <c r="F9" s="32"/>
      <c r="G9" s="173"/>
      <c r="H9" s="173"/>
      <c r="I9" s="173"/>
      <c r="J9" s="173"/>
    </row>
    <row r="10" spans="1:10" x14ac:dyDescent="0.25">
      <c r="A10" s="26">
        <v>9</v>
      </c>
      <c r="B10" s="27" t="s">
        <v>205</v>
      </c>
      <c r="C10" s="28">
        <v>5390</v>
      </c>
      <c r="D10" s="27" t="s">
        <v>236</v>
      </c>
      <c r="E10" s="27" t="s">
        <v>237</v>
      </c>
      <c r="F10" s="27"/>
      <c r="G10" s="173"/>
      <c r="H10" s="173"/>
      <c r="I10" s="173"/>
      <c r="J10" s="173"/>
    </row>
    <row r="11" spans="1:10" x14ac:dyDescent="0.25">
      <c r="A11" s="29">
        <v>10</v>
      </c>
      <c r="B11" s="32" t="s">
        <v>292</v>
      </c>
      <c r="C11" s="33" t="s">
        <v>293</v>
      </c>
      <c r="D11" s="32" t="s">
        <v>294</v>
      </c>
      <c r="E11" s="32" t="s">
        <v>295</v>
      </c>
      <c r="F11" s="32"/>
      <c r="G11" s="173"/>
      <c r="H11" s="173"/>
      <c r="I11" s="173"/>
      <c r="J11" s="173"/>
    </row>
    <row r="12" spans="1:10" x14ac:dyDescent="0.25">
      <c r="A12" s="26">
        <v>11</v>
      </c>
      <c r="B12" s="27" t="s">
        <v>14</v>
      </c>
      <c r="C12" s="28">
        <v>1625</v>
      </c>
      <c r="D12" s="27" t="s">
        <v>202</v>
      </c>
      <c r="E12" s="27" t="s">
        <v>203</v>
      </c>
      <c r="F12" s="27"/>
      <c r="G12" s="173"/>
      <c r="H12" s="173"/>
      <c r="I12" s="173"/>
      <c r="J12" s="173"/>
    </row>
    <row r="13" spans="1:10" x14ac:dyDescent="0.25">
      <c r="A13" s="29">
        <v>12</v>
      </c>
      <c r="B13" s="32" t="s">
        <v>14</v>
      </c>
      <c r="C13" s="33">
        <v>177</v>
      </c>
      <c r="D13" s="32" t="s">
        <v>54</v>
      </c>
      <c r="E13" s="32" t="s">
        <v>204</v>
      </c>
      <c r="F13" s="32"/>
      <c r="G13" s="173"/>
      <c r="H13" s="173"/>
      <c r="I13" s="173"/>
      <c r="J13" s="173"/>
    </row>
    <row r="14" spans="1:10" x14ac:dyDescent="0.25">
      <c r="A14" s="26">
        <v>13</v>
      </c>
      <c r="B14" s="27" t="s">
        <v>14</v>
      </c>
      <c r="C14" s="28" t="s">
        <v>209</v>
      </c>
      <c r="D14" s="27" t="s">
        <v>210</v>
      </c>
      <c r="E14" s="27" t="s">
        <v>211</v>
      </c>
      <c r="F14" s="27"/>
      <c r="G14" s="173"/>
      <c r="H14" s="173"/>
      <c r="I14" s="173"/>
      <c r="J14" s="173"/>
    </row>
    <row r="15" spans="1:10" x14ac:dyDescent="0.25">
      <c r="A15" s="29">
        <v>14</v>
      </c>
      <c r="B15" s="32" t="s">
        <v>14</v>
      </c>
      <c r="C15" s="33" t="s">
        <v>209</v>
      </c>
      <c r="D15" s="32" t="s">
        <v>210</v>
      </c>
      <c r="E15" s="32" t="s">
        <v>212</v>
      </c>
      <c r="F15" s="32"/>
      <c r="G15" s="173"/>
      <c r="H15" s="173"/>
      <c r="I15" s="173"/>
      <c r="J15" s="173"/>
    </row>
    <row r="16" spans="1:10" x14ac:dyDescent="0.25">
      <c r="A16" s="26">
        <v>15</v>
      </c>
      <c r="B16" s="27" t="s">
        <v>14</v>
      </c>
      <c r="C16" s="28">
        <v>337</v>
      </c>
      <c r="D16" s="27" t="s">
        <v>218</v>
      </c>
      <c r="E16" s="27" t="s">
        <v>219</v>
      </c>
      <c r="F16" s="27"/>
      <c r="G16" s="173"/>
      <c r="H16" s="173"/>
      <c r="I16" s="173"/>
      <c r="J16" s="173"/>
    </row>
    <row r="17" spans="1:10" x14ac:dyDescent="0.25">
      <c r="A17" s="29">
        <v>16</v>
      </c>
      <c r="B17" s="32" t="s">
        <v>14</v>
      </c>
      <c r="C17" s="33" t="s">
        <v>238</v>
      </c>
      <c r="D17" s="32" t="s">
        <v>239</v>
      </c>
      <c r="E17" s="32" t="s">
        <v>240</v>
      </c>
      <c r="F17" s="32"/>
      <c r="G17" s="173"/>
      <c r="H17" s="173"/>
      <c r="I17" s="173"/>
      <c r="J17" s="173"/>
    </row>
    <row r="18" spans="1:10" x14ac:dyDescent="0.25">
      <c r="A18" s="26">
        <v>17</v>
      </c>
      <c r="B18" s="27" t="s">
        <v>14</v>
      </c>
      <c r="C18" s="28" t="s">
        <v>241</v>
      </c>
      <c r="D18" s="27" t="s">
        <v>242</v>
      </c>
      <c r="E18" s="27" t="s">
        <v>243</v>
      </c>
      <c r="F18" s="27"/>
      <c r="G18" s="173"/>
      <c r="H18" s="173"/>
      <c r="I18" s="173"/>
      <c r="J18" s="173"/>
    </row>
    <row r="19" spans="1:10" x14ac:dyDescent="0.25">
      <c r="A19" s="29">
        <v>18</v>
      </c>
      <c r="B19" s="32" t="s">
        <v>14</v>
      </c>
      <c r="C19" s="33" t="s">
        <v>56</v>
      </c>
      <c r="D19" s="32" t="s">
        <v>31</v>
      </c>
      <c r="E19" s="32" t="s">
        <v>244</v>
      </c>
      <c r="F19" s="32"/>
      <c r="G19" s="173"/>
      <c r="H19" s="173"/>
      <c r="I19" s="173"/>
      <c r="J19" s="173"/>
    </row>
    <row r="20" spans="1:10" x14ac:dyDescent="0.25">
      <c r="A20" s="26">
        <v>19</v>
      </c>
      <c r="B20" s="27" t="s">
        <v>14</v>
      </c>
      <c r="C20" s="28">
        <v>97</v>
      </c>
      <c r="D20" s="27" t="s">
        <v>245</v>
      </c>
      <c r="E20" s="27" t="s">
        <v>246</v>
      </c>
      <c r="F20" s="27"/>
      <c r="G20" s="173"/>
      <c r="H20" s="173"/>
      <c r="I20" s="173"/>
      <c r="J20" s="173"/>
    </row>
    <row r="21" spans="1:10" x14ac:dyDescent="0.25">
      <c r="A21" s="29">
        <v>20</v>
      </c>
      <c r="B21" s="32" t="s">
        <v>14</v>
      </c>
      <c r="C21" s="33" t="s">
        <v>247</v>
      </c>
      <c r="D21" s="32" t="s">
        <v>248</v>
      </c>
      <c r="E21" s="32" t="s">
        <v>249</v>
      </c>
      <c r="F21" s="32"/>
      <c r="G21" s="173"/>
      <c r="H21" s="173"/>
      <c r="I21" s="173"/>
      <c r="J21" s="173"/>
    </row>
    <row r="22" spans="1:10" x14ac:dyDescent="0.25">
      <c r="A22" s="26">
        <v>21</v>
      </c>
      <c r="B22" s="27" t="s">
        <v>14</v>
      </c>
      <c r="C22" s="28" t="s">
        <v>262</v>
      </c>
      <c r="D22" s="27" t="s">
        <v>263</v>
      </c>
      <c r="E22" s="27" t="s">
        <v>264</v>
      </c>
      <c r="F22" s="27"/>
      <c r="G22" s="173"/>
      <c r="H22" s="173"/>
      <c r="I22" s="173"/>
      <c r="J22" s="173"/>
    </row>
    <row r="23" spans="1:10" x14ac:dyDescent="0.25">
      <c r="A23" s="29">
        <v>22</v>
      </c>
      <c r="B23" s="32" t="s">
        <v>14</v>
      </c>
      <c r="C23" s="33" t="s">
        <v>265</v>
      </c>
      <c r="D23" s="32" t="s">
        <v>266</v>
      </c>
      <c r="E23" s="32" t="s">
        <v>264</v>
      </c>
      <c r="F23" s="32"/>
      <c r="G23" s="173"/>
      <c r="H23" s="173"/>
      <c r="I23" s="173"/>
      <c r="J23" s="173"/>
    </row>
    <row r="24" spans="1:10" x14ac:dyDescent="0.25">
      <c r="A24" s="26">
        <v>23</v>
      </c>
      <c r="B24" s="27" t="s">
        <v>14</v>
      </c>
      <c r="C24" s="28" t="s">
        <v>267</v>
      </c>
      <c r="D24" s="27" t="s">
        <v>268</v>
      </c>
      <c r="E24" s="27" t="s">
        <v>269</v>
      </c>
      <c r="F24" s="27"/>
      <c r="G24" s="173"/>
      <c r="H24" s="173"/>
      <c r="I24" s="173"/>
      <c r="J24" s="173"/>
    </row>
    <row r="25" spans="1:10" x14ac:dyDescent="0.25">
      <c r="A25" s="29">
        <v>24</v>
      </c>
      <c r="B25" s="32" t="s">
        <v>14</v>
      </c>
      <c r="C25" s="33" t="s">
        <v>270</v>
      </c>
      <c r="D25" s="32" t="s">
        <v>271</v>
      </c>
      <c r="E25" s="32" t="s">
        <v>272</v>
      </c>
      <c r="F25" s="32"/>
      <c r="G25" s="173"/>
      <c r="H25" s="173"/>
      <c r="I25" s="173"/>
      <c r="J25" s="173"/>
    </row>
    <row r="26" spans="1:10" x14ac:dyDescent="0.25">
      <c r="A26" s="26">
        <v>25</v>
      </c>
      <c r="B26" s="27" t="s">
        <v>14</v>
      </c>
      <c r="C26" s="28" t="s">
        <v>273</v>
      </c>
      <c r="D26" s="27" t="s">
        <v>274</v>
      </c>
      <c r="E26" s="27" t="s">
        <v>275</v>
      </c>
      <c r="F26" s="27"/>
      <c r="G26" s="173"/>
      <c r="H26" s="173"/>
      <c r="I26" s="173"/>
      <c r="J26" s="173"/>
    </row>
    <row r="27" spans="1:10" x14ac:dyDescent="0.25">
      <c r="A27" s="29">
        <v>26</v>
      </c>
      <c r="B27" s="32" t="s">
        <v>14</v>
      </c>
      <c r="C27" s="33" t="s">
        <v>273</v>
      </c>
      <c r="D27" s="32" t="s">
        <v>274</v>
      </c>
      <c r="E27" s="32" t="s">
        <v>276</v>
      </c>
      <c r="F27" s="32"/>
      <c r="G27" s="173"/>
      <c r="H27" s="173"/>
      <c r="I27" s="173"/>
      <c r="J27" s="173"/>
    </row>
    <row r="28" spans="1:10" x14ac:dyDescent="0.25">
      <c r="A28" s="26">
        <v>27</v>
      </c>
      <c r="B28" s="27" t="s">
        <v>14</v>
      </c>
      <c r="C28" s="28" t="s">
        <v>277</v>
      </c>
      <c r="D28" s="27" t="s">
        <v>278</v>
      </c>
      <c r="E28" s="27" t="s">
        <v>279</v>
      </c>
      <c r="F28" s="27"/>
      <c r="G28" s="173"/>
      <c r="H28" s="173"/>
      <c r="I28" s="173"/>
      <c r="J28" s="173"/>
    </row>
    <row r="29" spans="1:10" x14ac:dyDescent="0.25">
      <c r="A29" s="29">
        <v>28</v>
      </c>
      <c r="B29" s="32" t="s">
        <v>14</v>
      </c>
      <c r="C29" s="33" t="s">
        <v>284</v>
      </c>
      <c r="D29" s="32" t="s">
        <v>285</v>
      </c>
      <c r="E29" s="32" t="s">
        <v>286</v>
      </c>
      <c r="F29" s="32"/>
      <c r="G29" s="173"/>
      <c r="H29" s="173"/>
      <c r="I29" s="173"/>
      <c r="J29" s="173"/>
    </row>
    <row r="30" spans="1:10" x14ac:dyDescent="0.25">
      <c r="A30" s="26">
        <v>29</v>
      </c>
      <c r="B30" s="27" t="s">
        <v>14</v>
      </c>
      <c r="C30" s="28" t="s">
        <v>284</v>
      </c>
      <c r="D30" s="27" t="s">
        <v>285</v>
      </c>
      <c r="E30" s="27" t="s">
        <v>287</v>
      </c>
      <c r="F30" s="27"/>
      <c r="G30" s="173"/>
      <c r="H30" s="173"/>
      <c r="I30" s="173"/>
      <c r="J30" s="173"/>
    </row>
    <row r="31" spans="1:10" x14ac:dyDescent="0.25">
      <c r="A31" s="29">
        <v>30</v>
      </c>
      <c r="B31" s="32" t="s">
        <v>14</v>
      </c>
      <c r="C31" s="33" t="s">
        <v>284</v>
      </c>
      <c r="D31" s="32" t="s">
        <v>285</v>
      </c>
      <c r="E31" s="32" t="s">
        <v>288</v>
      </c>
      <c r="F31" s="32"/>
      <c r="G31" s="173"/>
      <c r="H31" s="173"/>
      <c r="I31" s="173"/>
      <c r="J31" s="173"/>
    </row>
    <row r="32" spans="1:10" x14ac:dyDescent="0.25">
      <c r="A32" s="26">
        <v>31</v>
      </c>
      <c r="B32" s="27" t="s">
        <v>232</v>
      </c>
      <c r="C32" s="28" t="s">
        <v>233</v>
      </c>
      <c r="D32" s="27" t="s">
        <v>234</v>
      </c>
      <c r="E32" s="27" t="s">
        <v>235</v>
      </c>
      <c r="F32" s="27"/>
      <c r="G32" s="173"/>
      <c r="H32" s="173"/>
      <c r="I32" s="173"/>
      <c r="J32" s="173"/>
    </row>
    <row r="33" spans="1:10" x14ac:dyDescent="0.25">
      <c r="A33" s="29">
        <v>32</v>
      </c>
      <c r="B33" s="32" t="s">
        <v>67</v>
      </c>
      <c r="C33" s="33" t="s">
        <v>259</v>
      </c>
      <c r="D33" s="32" t="s">
        <v>260</v>
      </c>
      <c r="E33" s="32" t="s">
        <v>261</v>
      </c>
      <c r="F33" s="32"/>
      <c r="G33" s="173"/>
      <c r="H33" s="173"/>
      <c r="I33" s="173"/>
      <c r="J33" s="173"/>
    </row>
    <row r="34" spans="1:10" x14ac:dyDescent="0.25">
      <c r="A34" s="26">
        <v>33</v>
      </c>
      <c r="B34" s="27" t="s">
        <v>213</v>
      </c>
      <c r="C34" s="28" t="s">
        <v>214</v>
      </c>
      <c r="D34" s="27" t="s">
        <v>215</v>
      </c>
      <c r="E34" s="27" t="s">
        <v>216</v>
      </c>
      <c r="F34" s="27"/>
      <c r="G34" s="173"/>
      <c r="H34" s="173"/>
      <c r="I34" s="173"/>
      <c r="J34" s="173"/>
    </row>
    <row r="35" spans="1:10" x14ac:dyDescent="0.25">
      <c r="A35" s="29">
        <v>34</v>
      </c>
      <c r="B35" s="32" t="s">
        <v>301</v>
      </c>
      <c r="C35" s="33" t="s">
        <v>302</v>
      </c>
      <c r="D35" s="32" t="s">
        <v>303</v>
      </c>
      <c r="E35" s="32" t="s">
        <v>304</v>
      </c>
      <c r="F35" s="32"/>
      <c r="G35" s="173"/>
      <c r="H35" s="173"/>
      <c r="I35" s="173"/>
      <c r="J35" s="173"/>
    </row>
    <row r="36" spans="1:10" s="2" customFormat="1" x14ac:dyDescent="0.25">
      <c r="A36" s="26">
        <v>35</v>
      </c>
      <c r="B36" s="34" t="s">
        <v>226</v>
      </c>
      <c r="C36" s="35" t="s">
        <v>227</v>
      </c>
      <c r="D36" s="34" t="s">
        <v>228</v>
      </c>
      <c r="E36" s="34" t="s">
        <v>229</v>
      </c>
      <c r="F36" s="27"/>
      <c r="G36" s="173"/>
      <c r="H36" s="173"/>
      <c r="I36" s="173"/>
      <c r="J36" s="173"/>
    </row>
    <row r="37" spans="1:10" x14ac:dyDescent="0.25">
      <c r="A37" s="29">
        <v>36</v>
      </c>
      <c r="B37" s="32" t="s">
        <v>226</v>
      </c>
      <c r="C37" s="33" t="s">
        <v>230</v>
      </c>
      <c r="D37" s="32" t="s">
        <v>228</v>
      </c>
      <c r="E37" s="32" t="s">
        <v>231</v>
      </c>
      <c r="F37" s="32"/>
      <c r="G37" s="173"/>
      <c r="H37" s="173"/>
      <c r="I37" s="173"/>
      <c r="J37" s="173"/>
    </row>
    <row r="38" spans="1:10" x14ac:dyDescent="0.25">
      <c r="A38" s="26">
        <v>37</v>
      </c>
      <c r="B38" s="27" t="s">
        <v>296</v>
      </c>
      <c r="C38" s="28" t="s">
        <v>297</v>
      </c>
      <c r="D38" s="27" t="s">
        <v>298</v>
      </c>
      <c r="E38" s="27" t="s">
        <v>299</v>
      </c>
      <c r="F38" s="27"/>
      <c r="G38" s="173"/>
      <c r="H38" s="173"/>
      <c r="I38" s="173"/>
      <c r="J38" s="173"/>
    </row>
    <row r="39" spans="1:10" x14ac:dyDescent="0.25">
      <c r="A39" s="29">
        <v>38</v>
      </c>
      <c r="B39" s="32" t="s">
        <v>296</v>
      </c>
      <c r="C39" s="33" t="s">
        <v>297</v>
      </c>
      <c r="D39" s="32" t="s">
        <v>298</v>
      </c>
      <c r="E39" s="32" t="s">
        <v>300</v>
      </c>
      <c r="F39" s="32"/>
      <c r="G39" s="173"/>
      <c r="H39" s="173"/>
      <c r="I39" s="173"/>
      <c r="J39" s="173"/>
    </row>
    <row r="40" spans="1:10" x14ac:dyDescent="0.25">
      <c r="A40" s="36"/>
      <c r="B40" s="37"/>
      <c r="C40" s="38"/>
      <c r="D40" s="37"/>
      <c r="E40" s="37"/>
      <c r="F40" s="37"/>
      <c r="G40" s="175"/>
      <c r="H40" s="175"/>
      <c r="I40" s="175"/>
      <c r="J40" s="175"/>
    </row>
    <row r="41" spans="1:10" x14ac:dyDescent="0.25">
      <c r="A41" s="143"/>
      <c r="B41" s="125"/>
      <c r="C41" s="168"/>
      <c r="D41" s="125"/>
      <c r="E41" s="127" t="s">
        <v>792</v>
      </c>
      <c r="F41" s="127"/>
      <c r="G41"/>
      <c r="H41"/>
      <c r="I41"/>
      <c r="J41"/>
    </row>
    <row r="61" spans="1:1" x14ac:dyDescent="0.25">
      <c r="A61" s="1">
        <f>COUNT(A2:A60)</f>
        <v>38</v>
      </c>
    </row>
  </sheetData>
  <sortState xmlns:xlrd2="http://schemas.microsoft.com/office/spreadsheetml/2017/richdata2" ref="B2:E39">
    <sortCondition ref="B2:B39"/>
  </sortState>
  <phoneticPr fontId="2" type="noConversion"/>
  <conditionalFormatting sqref="A1:E1">
    <cfRule type="expression" dxfId="131" priority="1">
      <formula>MOD(ROW(),2)=0</formula>
    </cfRule>
  </conditionalFormatting>
  <pageMargins left="0.75" right="0.75" top="1" bottom="1" header="0.5" footer="0.5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1"/>
  <sheetViews>
    <sheetView topLeftCell="C1" workbookViewId="0">
      <selection activeCell="F1" sqref="F1:J1"/>
    </sheetView>
  </sheetViews>
  <sheetFormatPr defaultColWidth="48.5703125" defaultRowHeight="15" x14ac:dyDescent="0.25"/>
  <cols>
    <col min="1" max="1" width="10.85546875" style="18" bestFit="1" customWidth="1"/>
    <col min="2" max="2" width="25.28515625" customWidth="1"/>
    <col min="3" max="3" width="25" style="13" bestFit="1" customWidth="1"/>
    <col min="4" max="4" width="46.7109375" style="1" customWidth="1"/>
    <col min="5" max="5" width="18.7109375" style="1" customWidth="1"/>
    <col min="6" max="6" width="20" customWidth="1"/>
    <col min="7" max="7" width="19" style="1" customWidth="1"/>
    <col min="8" max="8" width="18.85546875" style="1" customWidth="1"/>
    <col min="9" max="9" width="19.140625" style="1" customWidth="1"/>
    <col min="10" max="10" width="19.7109375" style="1" customWidth="1"/>
    <col min="11" max="16384" width="48.5703125" style="1"/>
  </cols>
  <sheetData>
    <row r="1" spans="1:10" ht="30" x14ac:dyDescent="0.25">
      <c r="A1" s="40" t="s">
        <v>12</v>
      </c>
      <c r="B1" s="41" t="s">
        <v>1</v>
      </c>
      <c r="C1" s="40" t="s">
        <v>0</v>
      </c>
      <c r="D1" s="40" t="s">
        <v>2</v>
      </c>
      <c r="E1" s="40" t="s">
        <v>3</v>
      </c>
      <c r="F1" s="157" t="s">
        <v>794</v>
      </c>
      <c r="G1" s="172" t="s">
        <v>795</v>
      </c>
      <c r="H1" s="172" t="s">
        <v>796</v>
      </c>
      <c r="I1" s="172" t="s">
        <v>797</v>
      </c>
      <c r="J1" s="172" t="s">
        <v>798</v>
      </c>
    </row>
    <row r="2" spans="1:10" x14ac:dyDescent="0.25">
      <c r="A2" s="42">
        <v>1</v>
      </c>
      <c r="B2" s="43">
        <v>202</v>
      </c>
      <c r="C2" s="44" t="s">
        <v>24</v>
      </c>
      <c r="D2" s="44" t="s">
        <v>25</v>
      </c>
      <c r="E2" s="44" t="s">
        <v>26</v>
      </c>
      <c r="F2" s="45"/>
      <c r="G2" s="170"/>
      <c r="H2" s="170"/>
      <c r="I2" s="170"/>
      <c r="J2" s="170"/>
    </row>
    <row r="3" spans="1:10" x14ac:dyDescent="0.25">
      <c r="A3" s="46">
        <v>2</v>
      </c>
      <c r="B3" s="43">
        <v>287</v>
      </c>
      <c r="C3" s="44" t="s">
        <v>14</v>
      </c>
      <c r="D3" s="44" t="s">
        <v>31</v>
      </c>
      <c r="E3" s="44" t="s">
        <v>32</v>
      </c>
      <c r="F3" s="44"/>
      <c r="G3" s="169"/>
      <c r="H3" s="169"/>
      <c r="I3" s="169"/>
      <c r="J3" s="169"/>
    </row>
    <row r="4" spans="1:10" x14ac:dyDescent="0.25">
      <c r="A4" s="42">
        <v>3</v>
      </c>
      <c r="B4" s="43">
        <v>289</v>
      </c>
      <c r="C4" s="44" t="s">
        <v>14</v>
      </c>
      <c r="D4" s="44" t="s">
        <v>31</v>
      </c>
      <c r="E4" s="44" t="s">
        <v>33</v>
      </c>
      <c r="F4" s="45"/>
      <c r="G4" s="169"/>
      <c r="H4" s="169"/>
      <c r="I4" s="169"/>
      <c r="J4" s="169"/>
    </row>
    <row r="5" spans="1:10" x14ac:dyDescent="0.25">
      <c r="A5" s="46">
        <v>4</v>
      </c>
      <c r="B5" s="43">
        <v>373</v>
      </c>
      <c r="C5" s="44" t="s">
        <v>14</v>
      </c>
      <c r="D5" s="44" t="s">
        <v>34</v>
      </c>
      <c r="E5" s="44" t="s">
        <v>35</v>
      </c>
      <c r="F5" s="44"/>
      <c r="G5" s="169"/>
      <c r="H5" s="169"/>
      <c r="I5" s="169"/>
      <c r="J5" s="169"/>
    </row>
    <row r="6" spans="1:10" x14ac:dyDescent="0.25">
      <c r="A6" s="42">
        <v>5</v>
      </c>
      <c r="B6" s="43">
        <v>373</v>
      </c>
      <c r="C6" s="44" t="s">
        <v>14</v>
      </c>
      <c r="D6" s="44" t="s">
        <v>34</v>
      </c>
      <c r="E6" s="44" t="s">
        <v>36</v>
      </c>
      <c r="F6" s="45"/>
      <c r="G6" s="169"/>
      <c r="H6" s="169"/>
      <c r="I6" s="169"/>
      <c r="J6" s="169"/>
    </row>
    <row r="7" spans="1:10" x14ac:dyDescent="0.25">
      <c r="A7" s="46">
        <v>6</v>
      </c>
      <c r="B7" s="43">
        <v>373</v>
      </c>
      <c r="C7" s="44" t="s">
        <v>14</v>
      </c>
      <c r="D7" s="44" t="s">
        <v>34</v>
      </c>
      <c r="E7" s="44" t="s">
        <v>37</v>
      </c>
      <c r="F7" s="44"/>
      <c r="G7" s="169"/>
      <c r="H7" s="169"/>
      <c r="I7" s="169"/>
      <c r="J7" s="169"/>
    </row>
    <row r="8" spans="1:10" x14ac:dyDescent="0.25">
      <c r="A8" s="42">
        <v>7</v>
      </c>
      <c r="B8" s="43">
        <v>373</v>
      </c>
      <c r="C8" s="44" t="s">
        <v>14</v>
      </c>
      <c r="D8" s="44" t="s">
        <v>34</v>
      </c>
      <c r="E8" s="44" t="s">
        <v>38</v>
      </c>
      <c r="F8" s="45"/>
      <c r="G8" s="169"/>
      <c r="H8" s="169"/>
      <c r="I8" s="169"/>
      <c r="J8" s="169"/>
    </row>
    <row r="9" spans="1:10" x14ac:dyDescent="0.25">
      <c r="A9" s="46">
        <v>8</v>
      </c>
      <c r="B9" s="43">
        <v>707</v>
      </c>
      <c r="C9" s="44" t="s">
        <v>14</v>
      </c>
      <c r="D9" s="44" t="s">
        <v>48</v>
      </c>
      <c r="E9" s="44" t="s">
        <v>49</v>
      </c>
      <c r="F9" s="44"/>
      <c r="G9" s="169"/>
      <c r="H9" s="169"/>
      <c r="I9" s="169"/>
      <c r="J9" s="169"/>
    </row>
    <row r="10" spans="1:10" x14ac:dyDescent="0.25">
      <c r="A10" s="42">
        <v>9</v>
      </c>
      <c r="B10" s="43">
        <v>1587</v>
      </c>
      <c r="C10" s="44" t="s">
        <v>14</v>
      </c>
      <c r="D10" s="44" t="s">
        <v>19</v>
      </c>
      <c r="E10" s="44" t="s">
        <v>20</v>
      </c>
      <c r="F10" s="45"/>
      <c r="G10" s="169"/>
      <c r="H10" s="169"/>
      <c r="I10" s="169"/>
      <c r="J10" s="169"/>
    </row>
    <row r="11" spans="1:10" x14ac:dyDescent="0.25">
      <c r="A11" s="46">
        <v>10</v>
      </c>
      <c r="B11" s="43">
        <v>6505</v>
      </c>
      <c r="C11" s="44" t="s">
        <v>27</v>
      </c>
      <c r="D11" s="44" t="s">
        <v>46</v>
      </c>
      <c r="E11" s="44" t="s">
        <v>47</v>
      </c>
      <c r="F11" s="44"/>
      <c r="G11" s="169"/>
      <c r="H11" s="169"/>
      <c r="I11" s="169"/>
      <c r="J11" s="169"/>
    </row>
    <row r="12" spans="1:10" x14ac:dyDescent="0.25">
      <c r="A12" s="42">
        <v>11</v>
      </c>
      <c r="B12" s="43" t="s">
        <v>15</v>
      </c>
      <c r="C12" s="44" t="s">
        <v>14</v>
      </c>
      <c r="D12" s="44" t="s">
        <v>16</v>
      </c>
      <c r="E12" s="44" t="s">
        <v>17</v>
      </c>
      <c r="F12" s="45"/>
      <c r="G12" s="169"/>
      <c r="H12" s="169"/>
      <c r="I12" s="169"/>
      <c r="J12" s="169"/>
    </row>
    <row r="13" spans="1:10" s="2" customFormat="1" x14ac:dyDescent="0.25">
      <c r="A13" s="46">
        <v>12</v>
      </c>
      <c r="B13" s="43" t="s">
        <v>21</v>
      </c>
      <c r="C13" s="44" t="s">
        <v>14</v>
      </c>
      <c r="D13" s="44" t="s">
        <v>22</v>
      </c>
      <c r="E13" s="44" t="s">
        <v>23</v>
      </c>
      <c r="F13" s="44"/>
      <c r="G13" s="169"/>
      <c r="H13" s="169"/>
      <c r="I13" s="169"/>
      <c r="J13" s="169"/>
    </row>
    <row r="14" spans="1:10" x14ac:dyDescent="0.25">
      <c r="A14" s="42">
        <v>13</v>
      </c>
      <c r="B14" s="43" t="s">
        <v>28</v>
      </c>
      <c r="C14" s="44" t="s">
        <v>27</v>
      </c>
      <c r="D14" s="44" t="s">
        <v>29</v>
      </c>
      <c r="E14" s="44" t="s">
        <v>30</v>
      </c>
      <c r="F14" s="45"/>
      <c r="G14" s="169"/>
      <c r="H14" s="169"/>
      <c r="I14" s="169"/>
      <c r="J14" s="169"/>
    </row>
    <row r="15" spans="1:10" x14ac:dyDescent="0.25">
      <c r="A15" s="46">
        <v>14</v>
      </c>
      <c r="B15" s="43" t="s">
        <v>39</v>
      </c>
      <c r="C15" s="44" t="s">
        <v>14</v>
      </c>
      <c r="D15" s="44" t="s">
        <v>40</v>
      </c>
      <c r="E15" s="44" t="s">
        <v>41</v>
      </c>
      <c r="F15" s="44"/>
      <c r="G15" s="169"/>
      <c r="H15" s="169"/>
      <c r="I15" s="169"/>
      <c r="J15" s="169"/>
    </row>
    <row r="16" spans="1:10" x14ac:dyDescent="0.25">
      <c r="A16" s="42">
        <v>15</v>
      </c>
      <c r="B16" s="43" t="s">
        <v>43</v>
      </c>
      <c r="C16" s="44" t="s">
        <v>42</v>
      </c>
      <c r="D16" s="44" t="s">
        <v>44</v>
      </c>
      <c r="E16" s="44" t="s">
        <v>45</v>
      </c>
      <c r="F16" s="45"/>
      <c r="G16" s="169"/>
      <c r="H16" s="169"/>
      <c r="I16" s="169"/>
      <c r="J16" s="169"/>
    </row>
    <row r="17" spans="1:10" x14ac:dyDescent="0.25">
      <c r="A17" s="46">
        <v>16</v>
      </c>
      <c r="B17" s="43" t="s">
        <v>50</v>
      </c>
      <c r="C17" s="44" t="s">
        <v>14</v>
      </c>
      <c r="D17" s="44" t="s">
        <v>51</v>
      </c>
      <c r="E17" s="44" t="s">
        <v>52</v>
      </c>
      <c r="F17" s="44"/>
      <c r="G17" s="169"/>
      <c r="H17" s="169"/>
      <c r="I17" s="169"/>
      <c r="J17" s="169"/>
    </row>
    <row r="18" spans="1:10" x14ac:dyDescent="0.25">
      <c r="A18" s="42">
        <v>17</v>
      </c>
      <c r="B18" s="43" t="s">
        <v>53</v>
      </c>
      <c r="C18" s="44" t="s">
        <v>14</v>
      </c>
      <c r="D18" s="44" t="s">
        <v>54</v>
      </c>
      <c r="E18" s="44" t="s">
        <v>55</v>
      </c>
      <c r="F18" s="45"/>
      <c r="G18" s="169"/>
      <c r="H18" s="169"/>
      <c r="I18" s="169"/>
      <c r="J18" s="169"/>
    </row>
    <row r="19" spans="1:10" x14ac:dyDescent="0.25">
      <c r="A19" s="46">
        <v>18</v>
      </c>
      <c r="B19" s="43" t="s">
        <v>56</v>
      </c>
      <c r="C19" s="44" t="s">
        <v>14</v>
      </c>
      <c r="D19" s="44" t="s">
        <v>31</v>
      </c>
      <c r="E19" s="44" t="s">
        <v>57</v>
      </c>
      <c r="F19" s="44"/>
      <c r="G19" s="169"/>
      <c r="H19" s="169"/>
      <c r="I19" s="169"/>
      <c r="J19" s="169"/>
    </row>
    <row r="20" spans="1:10" x14ac:dyDescent="0.25">
      <c r="A20" s="42">
        <v>19</v>
      </c>
      <c r="B20" s="43" t="s">
        <v>56</v>
      </c>
      <c r="C20" s="44" t="s">
        <v>14</v>
      </c>
      <c r="D20" s="44" t="s">
        <v>31</v>
      </c>
      <c r="E20" s="44" t="s">
        <v>58</v>
      </c>
      <c r="F20" s="45"/>
      <c r="G20" s="169"/>
      <c r="H20" s="169"/>
      <c r="I20" s="169"/>
      <c r="J20" s="169"/>
    </row>
    <row r="21" spans="1:10" x14ac:dyDescent="0.25">
      <c r="A21" s="46">
        <v>20</v>
      </c>
      <c r="B21" s="43" t="s">
        <v>60</v>
      </c>
      <c r="C21" s="44" t="s">
        <v>59</v>
      </c>
      <c r="D21" s="44" t="s">
        <v>61</v>
      </c>
      <c r="E21" s="44" t="s">
        <v>62</v>
      </c>
      <c r="F21" s="44"/>
      <c r="G21" s="169"/>
      <c r="H21" s="169"/>
      <c r="I21" s="169"/>
      <c r="J21" s="169"/>
    </row>
    <row r="22" spans="1:10" x14ac:dyDescent="0.25">
      <c r="A22" s="42">
        <v>21</v>
      </c>
      <c r="B22" s="43" t="s">
        <v>64</v>
      </c>
      <c r="C22" s="44" t="s">
        <v>63</v>
      </c>
      <c r="D22" s="44" t="s">
        <v>65</v>
      </c>
      <c r="E22" s="44" t="s">
        <v>66</v>
      </c>
      <c r="F22" s="45"/>
      <c r="G22" s="169"/>
      <c r="H22" s="169"/>
      <c r="I22" s="169"/>
      <c r="J22" s="169"/>
    </row>
    <row r="23" spans="1:10" x14ac:dyDescent="0.25">
      <c r="A23" s="46">
        <v>22</v>
      </c>
      <c r="B23" s="43" t="s">
        <v>68</v>
      </c>
      <c r="C23" s="44" t="s">
        <v>67</v>
      </c>
      <c r="D23" s="44" t="s">
        <v>69</v>
      </c>
      <c r="E23" s="44" t="s">
        <v>70</v>
      </c>
      <c r="F23" s="44"/>
      <c r="G23" s="169"/>
      <c r="H23" s="169"/>
      <c r="I23" s="169"/>
      <c r="J23" s="169"/>
    </row>
    <row r="24" spans="1:10" x14ac:dyDescent="0.25">
      <c r="A24" s="42">
        <v>23</v>
      </c>
      <c r="B24" s="43" t="s">
        <v>71</v>
      </c>
      <c r="C24" s="44" t="s">
        <v>67</v>
      </c>
      <c r="D24" s="44" t="s">
        <v>69</v>
      </c>
      <c r="E24" s="44" t="s">
        <v>72</v>
      </c>
      <c r="F24" s="45"/>
      <c r="G24" s="169"/>
      <c r="H24" s="169"/>
      <c r="I24" s="169"/>
      <c r="J24" s="169"/>
    </row>
    <row r="25" spans="1:10" x14ac:dyDescent="0.25">
      <c r="A25" s="46">
        <v>24</v>
      </c>
      <c r="B25" s="43" t="s">
        <v>73</v>
      </c>
      <c r="C25" s="44" t="s">
        <v>67</v>
      </c>
      <c r="D25" s="44" t="s">
        <v>74</v>
      </c>
      <c r="E25" s="44" t="s">
        <v>66</v>
      </c>
      <c r="F25" s="44"/>
      <c r="G25" s="169"/>
      <c r="H25" s="169"/>
      <c r="I25" s="169"/>
      <c r="J25" s="169"/>
    </row>
    <row r="26" spans="1:10" x14ac:dyDescent="0.25">
      <c r="A26" s="42"/>
      <c r="B26" s="43"/>
      <c r="C26" s="44"/>
      <c r="D26" s="44"/>
      <c r="E26" s="44"/>
      <c r="F26" s="45"/>
      <c r="G26" s="171"/>
      <c r="H26" s="171"/>
      <c r="I26" s="171"/>
      <c r="J26" s="171"/>
    </row>
    <row r="27" spans="1:10" x14ac:dyDescent="0.25">
      <c r="A27" s="167"/>
      <c r="B27" s="168"/>
      <c r="C27" s="125"/>
      <c r="D27" s="125"/>
      <c r="E27" s="125"/>
      <c r="F27" s="125"/>
      <c r="G27" s="125"/>
      <c r="H27" s="125"/>
      <c r="I27" s="125"/>
      <c r="J27" s="125"/>
    </row>
    <row r="28" spans="1:10" x14ac:dyDescent="0.25">
      <c r="A28" s="116"/>
      <c r="B28" s="117"/>
      <c r="C28" s="118"/>
      <c r="D28" s="119"/>
      <c r="E28" s="50" t="s">
        <v>791</v>
      </c>
      <c r="F28" s="49"/>
      <c r="G28" s="49"/>
      <c r="H28" s="49"/>
      <c r="I28" s="49"/>
      <c r="J28" s="49"/>
    </row>
    <row r="29" spans="1:10" x14ac:dyDescent="0.25">
      <c r="C29" s="14"/>
      <c r="D29" s="9"/>
      <c r="E29" s="9"/>
    </row>
    <row r="61" spans="1:1" x14ac:dyDescent="0.25">
      <c r="A61" s="18">
        <f>COUNT(A2:A60)</f>
        <v>24</v>
      </c>
    </row>
  </sheetData>
  <phoneticPr fontId="2" type="noConversion"/>
  <conditionalFormatting sqref="B1:E26 C27:E27">
    <cfRule type="expression" dxfId="130" priority="1">
      <formula>MOD(ROW(),2)=0</formula>
    </cfRule>
  </conditionalFormatting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0"/>
  <sheetViews>
    <sheetView topLeftCell="D1" zoomScaleNormal="100" workbookViewId="0">
      <selection activeCell="F1" sqref="F1:J1"/>
    </sheetView>
  </sheetViews>
  <sheetFormatPr defaultColWidth="62.42578125" defaultRowHeight="15" x14ac:dyDescent="0.25"/>
  <cols>
    <col min="1" max="1" width="6.28515625" style="1" bestFit="1" customWidth="1"/>
    <col min="2" max="2" width="31.85546875" style="1" customWidth="1"/>
    <col min="3" max="3" width="22.42578125" style="1" bestFit="1" customWidth="1"/>
    <col min="4" max="4" width="34.5703125" style="1" bestFit="1" customWidth="1"/>
    <col min="5" max="5" width="12.5703125" style="1" bestFit="1" customWidth="1"/>
    <col min="6" max="6" width="20.42578125" style="1" customWidth="1"/>
    <col min="7" max="7" width="20.5703125" style="1" customWidth="1"/>
    <col min="8" max="8" width="19.7109375" style="1" customWidth="1"/>
    <col min="9" max="9" width="19.85546875" style="1" customWidth="1"/>
    <col min="10" max="10" width="20.85546875" style="1" customWidth="1"/>
    <col min="11" max="16384" width="62.42578125" style="1"/>
  </cols>
  <sheetData>
    <row r="1" spans="1:10" ht="30" x14ac:dyDescent="0.25">
      <c r="A1" s="10" t="s">
        <v>12</v>
      </c>
      <c r="B1" s="11" t="s">
        <v>0</v>
      </c>
      <c r="C1" s="11" t="s">
        <v>1</v>
      </c>
      <c r="D1" s="11" t="s">
        <v>2</v>
      </c>
      <c r="E1" s="11" t="s">
        <v>3</v>
      </c>
      <c r="F1" s="157" t="s">
        <v>794</v>
      </c>
      <c r="G1" s="166" t="s">
        <v>795</v>
      </c>
      <c r="H1" s="166" t="s">
        <v>796</v>
      </c>
      <c r="I1" s="166" t="s">
        <v>797</v>
      </c>
      <c r="J1" s="166" t="s">
        <v>798</v>
      </c>
    </row>
    <row r="2" spans="1:10" x14ac:dyDescent="0.25">
      <c r="A2" s="1">
        <v>1</v>
      </c>
      <c r="B2" s="51" t="s">
        <v>14</v>
      </c>
      <c r="C2" s="51" t="s">
        <v>217</v>
      </c>
      <c r="D2" s="51" t="s">
        <v>218</v>
      </c>
      <c r="E2" s="51" t="s">
        <v>365</v>
      </c>
      <c r="F2" s="52"/>
      <c r="G2" s="132"/>
      <c r="H2" s="132"/>
      <c r="I2" s="132"/>
      <c r="J2" s="132"/>
    </row>
    <row r="3" spans="1:10" x14ac:dyDescent="0.25">
      <c r="A3" s="1">
        <v>2</v>
      </c>
      <c r="B3" s="53" t="s">
        <v>14</v>
      </c>
      <c r="C3" s="53" t="s">
        <v>217</v>
      </c>
      <c r="D3" s="53" t="s">
        <v>218</v>
      </c>
      <c r="E3" s="53" t="s">
        <v>366</v>
      </c>
      <c r="F3" s="39"/>
      <c r="G3" s="127"/>
      <c r="H3" s="127"/>
      <c r="I3" s="127"/>
      <c r="J3" s="127"/>
    </row>
    <row r="4" spans="1:10" x14ac:dyDescent="0.25">
      <c r="A4" s="1">
        <v>3</v>
      </c>
      <c r="B4" s="51" t="s">
        <v>14</v>
      </c>
      <c r="C4" s="51" t="s">
        <v>217</v>
      </c>
      <c r="D4" s="51" t="s">
        <v>218</v>
      </c>
      <c r="E4" s="51" t="s">
        <v>367</v>
      </c>
      <c r="F4" s="52"/>
      <c r="G4" s="127"/>
      <c r="H4" s="127"/>
      <c r="I4" s="127"/>
      <c r="J4" s="127"/>
    </row>
    <row r="5" spans="1:10" x14ac:dyDescent="0.25">
      <c r="A5" s="1">
        <v>4</v>
      </c>
      <c r="B5" s="53" t="s">
        <v>14</v>
      </c>
      <c r="C5" s="53" t="s">
        <v>368</v>
      </c>
      <c r="D5" s="53" t="s">
        <v>369</v>
      </c>
      <c r="E5" s="53" t="s">
        <v>370</v>
      </c>
      <c r="F5" s="39"/>
      <c r="G5" s="127"/>
      <c r="H5" s="127"/>
      <c r="I5" s="127"/>
      <c r="J5" s="127"/>
    </row>
    <row r="6" spans="1:10" x14ac:dyDescent="0.25">
      <c r="A6" s="1">
        <v>5</v>
      </c>
      <c r="B6" s="51" t="s">
        <v>14</v>
      </c>
      <c r="C6" s="51" t="s">
        <v>368</v>
      </c>
      <c r="D6" s="51" t="s">
        <v>369</v>
      </c>
      <c r="E6" s="51" t="s">
        <v>371</v>
      </c>
      <c r="F6" s="52"/>
      <c r="G6" s="127"/>
      <c r="H6" s="127"/>
      <c r="I6" s="127"/>
      <c r="J6" s="127"/>
    </row>
    <row r="7" spans="1:10" x14ac:dyDescent="0.25">
      <c r="A7" s="1">
        <v>6</v>
      </c>
      <c r="B7" s="53" t="s">
        <v>14</v>
      </c>
      <c r="C7" s="53" t="s">
        <v>368</v>
      </c>
      <c r="D7" s="53" t="s">
        <v>369</v>
      </c>
      <c r="E7" s="53" t="s">
        <v>372</v>
      </c>
      <c r="F7" s="39"/>
      <c r="G7" s="127"/>
      <c r="H7" s="127"/>
      <c r="I7" s="127"/>
      <c r="J7" s="127"/>
    </row>
    <row r="8" spans="1:10" x14ac:dyDescent="0.25">
      <c r="A8" s="1">
        <v>7</v>
      </c>
      <c r="B8" s="51" t="s">
        <v>14</v>
      </c>
      <c r="C8" s="51" t="s">
        <v>368</v>
      </c>
      <c r="D8" s="51" t="s">
        <v>369</v>
      </c>
      <c r="E8" s="51" t="s">
        <v>373</v>
      </c>
      <c r="F8" s="52"/>
      <c r="G8" s="127"/>
      <c r="H8" s="127"/>
      <c r="I8" s="127"/>
      <c r="J8" s="127"/>
    </row>
    <row r="9" spans="1:10" x14ac:dyDescent="0.25">
      <c r="A9" s="1">
        <v>8</v>
      </c>
      <c r="B9" s="53" t="s">
        <v>14</v>
      </c>
      <c r="C9" s="53" t="s">
        <v>360</v>
      </c>
      <c r="D9" s="53" t="s">
        <v>46</v>
      </c>
      <c r="E9" s="53" t="s">
        <v>361</v>
      </c>
      <c r="F9" s="39"/>
      <c r="G9" s="127"/>
      <c r="H9" s="127"/>
      <c r="I9" s="127"/>
      <c r="J9" s="127"/>
    </row>
    <row r="10" spans="1:10" x14ac:dyDescent="0.25">
      <c r="A10" s="1">
        <v>9</v>
      </c>
      <c r="B10" s="51" t="s">
        <v>14</v>
      </c>
      <c r="C10" s="51" t="s">
        <v>360</v>
      </c>
      <c r="D10" s="51" t="s">
        <v>46</v>
      </c>
      <c r="E10" s="51" t="s">
        <v>362</v>
      </c>
      <c r="F10" s="52"/>
      <c r="G10" s="127"/>
      <c r="H10" s="127"/>
      <c r="I10" s="127"/>
      <c r="J10" s="127"/>
    </row>
    <row r="11" spans="1:10" x14ac:dyDescent="0.25">
      <c r="A11" s="1">
        <v>10</v>
      </c>
      <c r="B11" s="53" t="s">
        <v>14</v>
      </c>
      <c r="C11" s="53" t="s">
        <v>18</v>
      </c>
      <c r="D11" s="53" t="s">
        <v>19</v>
      </c>
      <c r="E11" s="53" t="s">
        <v>363</v>
      </c>
      <c r="F11" s="39"/>
      <c r="G11" s="127"/>
      <c r="H11" s="127"/>
      <c r="I11" s="127"/>
      <c r="J11" s="127"/>
    </row>
    <row r="12" spans="1:10" x14ac:dyDescent="0.25">
      <c r="A12" s="1">
        <v>11</v>
      </c>
      <c r="B12" s="51" t="s">
        <v>14</v>
      </c>
      <c r="C12" s="51" t="s">
        <v>18</v>
      </c>
      <c r="D12" s="51" t="s">
        <v>19</v>
      </c>
      <c r="E12" s="51" t="s">
        <v>364</v>
      </c>
      <c r="F12" s="52"/>
      <c r="G12" s="127"/>
      <c r="H12" s="127"/>
      <c r="I12" s="127"/>
      <c r="J12" s="127"/>
    </row>
    <row r="13" spans="1:10" x14ac:dyDescent="0.25">
      <c r="A13" s="1">
        <v>12</v>
      </c>
      <c r="B13" s="53" t="s">
        <v>27</v>
      </c>
      <c r="C13" s="53" t="s">
        <v>377</v>
      </c>
      <c r="D13" s="53" t="s">
        <v>378</v>
      </c>
      <c r="E13" s="53" t="s">
        <v>379</v>
      </c>
      <c r="F13" s="39"/>
      <c r="G13" s="127"/>
      <c r="H13" s="127"/>
      <c r="I13" s="127"/>
      <c r="J13" s="127"/>
    </row>
    <row r="14" spans="1:10" x14ac:dyDescent="0.25">
      <c r="A14" s="1">
        <v>13</v>
      </c>
      <c r="B14" s="51" t="s">
        <v>27</v>
      </c>
      <c r="C14" s="51" t="s">
        <v>377</v>
      </c>
      <c r="D14" s="51" t="s">
        <v>378</v>
      </c>
      <c r="E14" s="51" t="s">
        <v>380</v>
      </c>
      <c r="F14" s="52"/>
      <c r="G14" s="127"/>
      <c r="H14" s="127"/>
      <c r="I14" s="127"/>
      <c r="J14" s="127"/>
    </row>
    <row r="15" spans="1:10" x14ac:dyDescent="0.25">
      <c r="A15" s="1">
        <v>14</v>
      </c>
      <c r="B15" s="53" t="s">
        <v>14</v>
      </c>
      <c r="C15" s="53" t="s">
        <v>317</v>
      </c>
      <c r="D15" s="53" t="s">
        <v>318</v>
      </c>
      <c r="E15" s="53" t="s">
        <v>374</v>
      </c>
      <c r="F15" s="39"/>
      <c r="G15" s="127"/>
      <c r="H15" s="127"/>
      <c r="I15" s="127"/>
      <c r="J15" s="127"/>
    </row>
    <row r="16" spans="1:10" x14ac:dyDescent="0.25">
      <c r="A16" s="1">
        <v>15</v>
      </c>
      <c r="B16" s="51" t="s">
        <v>14</v>
      </c>
      <c r="C16" s="51" t="s">
        <v>317</v>
      </c>
      <c r="D16" s="51" t="s">
        <v>318</v>
      </c>
      <c r="E16" s="51" t="s">
        <v>375</v>
      </c>
      <c r="F16" s="52"/>
      <c r="G16" s="127"/>
      <c r="H16" s="127"/>
      <c r="I16" s="127"/>
      <c r="J16" s="127"/>
    </row>
    <row r="17" spans="1:10" x14ac:dyDescent="0.25">
      <c r="A17" s="1">
        <v>16</v>
      </c>
      <c r="B17" s="53" t="s">
        <v>14</v>
      </c>
      <c r="C17" s="53" t="s">
        <v>317</v>
      </c>
      <c r="D17" s="53" t="s">
        <v>318</v>
      </c>
      <c r="E17" s="53" t="s">
        <v>376</v>
      </c>
      <c r="F17" s="39"/>
      <c r="G17" s="127"/>
      <c r="H17" s="127"/>
      <c r="I17" s="127"/>
      <c r="J17" s="127"/>
    </row>
    <row r="18" spans="1:10" x14ac:dyDescent="0.25">
      <c r="A18" s="1">
        <v>17</v>
      </c>
      <c r="B18" s="51" t="s">
        <v>14</v>
      </c>
      <c r="C18" s="51" t="s">
        <v>50</v>
      </c>
      <c r="D18" s="51" t="s">
        <v>51</v>
      </c>
      <c r="E18" s="51" t="s">
        <v>381</v>
      </c>
      <c r="F18" s="52"/>
      <c r="G18" s="127"/>
      <c r="H18" s="127"/>
      <c r="I18" s="127"/>
      <c r="J18" s="127"/>
    </row>
    <row r="19" spans="1:10" x14ac:dyDescent="0.25">
      <c r="A19" s="1">
        <v>18</v>
      </c>
      <c r="B19" s="53" t="s">
        <v>382</v>
      </c>
      <c r="C19" s="53" t="s">
        <v>383</v>
      </c>
      <c r="D19" s="53" t="s">
        <v>384</v>
      </c>
      <c r="E19" s="53" t="s">
        <v>385</v>
      </c>
      <c r="F19" s="39"/>
      <c r="G19" s="127"/>
      <c r="H19" s="127"/>
      <c r="I19" s="127"/>
      <c r="J19" s="127"/>
    </row>
    <row r="20" spans="1:10" x14ac:dyDescent="0.25">
      <c r="A20" s="1">
        <v>19</v>
      </c>
      <c r="B20" s="51" t="s">
        <v>382</v>
      </c>
      <c r="C20" s="51" t="s">
        <v>383</v>
      </c>
      <c r="D20" s="51" t="s">
        <v>384</v>
      </c>
      <c r="E20" s="51" t="s">
        <v>386</v>
      </c>
      <c r="F20" s="52"/>
      <c r="G20" s="127"/>
      <c r="H20" s="127"/>
      <c r="I20" s="127"/>
      <c r="J20" s="127"/>
    </row>
    <row r="21" spans="1:10" x14ac:dyDescent="0.25">
      <c r="A21" s="1">
        <v>20</v>
      </c>
      <c r="B21" s="53" t="s">
        <v>382</v>
      </c>
      <c r="C21" s="53" t="s">
        <v>383</v>
      </c>
      <c r="D21" s="53" t="s">
        <v>384</v>
      </c>
      <c r="E21" s="53" t="s">
        <v>387</v>
      </c>
      <c r="F21" s="39"/>
      <c r="G21" s="127"/>
      <c r="H21" s="127"/>
      <c r="I21" s="127"/>
      <c r="J21" s="127"/>
    </row>
    <row r="22" spans="1:10" x14ac:dyDescent="0.25">
      <c r="A22" s="1">
        <v>21</v>
      </c>
      <c r="B22" s="51" t="s">
        <v>382</v>
      </c>
      <c r="C22" s="51" t="s">
        <v>383</v>
      </c>
      <c r="D22" s="51" t="s">
        <v>384</v>
      </c>
      <c r="E22" s="51" t="s">
        <v>388</v>
      </c>
      <c r="F22" s="52"/>
      <c r="G22" s="127"/>
      <c r="H22" s="127"/>
      <c r="I22" s="127"/>
      <c r="J22" s="127"/>
    </row>
    <row r="23" spans="1:10" x14ac:dyDescent="0.25">
      <c r="A23" s="1">
        <v>22</v>
      </c>
      <c r="B23" s="53" t="s">
        <v>382</v>
      </c>
      <c r="C23" s="53" t="s">
        <v>383</v>
      </c>
      <c r="D23" s="53" t="s">
        <v>384</v>
      </c>
      <c r="E23" s="53" t="s">
        <v>389</v>
      </c>
      <c r="F23" s="39"/>
      <c r="G23" s="127"/>
      <c r="H23" s="127"/>
      <c r="I23" s="127"/>
      <c r="J23" s="127"/>
    </row>
    <row r="24" spans="1:10" x14ac:dyDescent="0.25">
      <c r="A24" s="1">
        <v>23</v>
      </c>
      <c r="B24" s="51" t="s">
        <v>382</v>
      </c>
      <c r="C24" s="51" t="s">
        <v>383</v>
      </c>
      <c r="D24" s="51" t="s">
        <v>384</v>
      </c>
      <c r="E24" s="51" t="s">
        <v>390</v>
      </c>
      <c r="F24" s="52"/>
      <c r="G24" s="127"/>
      <c r="H24" s="127"/>
      <c r="I24" s="127"/>
      <c r="J24" s="127"/>
    </row>
    <row r="25" spans="1:10" x14ac:dyDescent="0.25">
      <c r="A25" s="1">
        <v>24</v>
      </c>
      <c r="B25" s="53" t="s">
        <v>382</v>
      </c>
      <c r="C25" s="53" t="s">
        <v>383</v>
      </c>
      <c r="D25" s="53" t="s">
        <v>384</v>
      </c>
      <c r="E25" s="53" t="s">
        <v>391</v>
      </c>
      <c r="F25" s="39"/>
      <c r="G25" s="127"/>
      <c r="H25" s="127"/>
      <c r="I25" s="127"/>
      <c r="J25" s="127"/>
    </row>
    <row r="26" spans="1:10" x14ac:dyDescent="0.25">
      <c r="A26" s="1">
        <v>25</v>
      </c>
      <c r="B26" s="51" t="s">
        <v>14</v>
      </c>
      <c r="C26" s="51" t="s">
        <v>392</v>
      </c>
      <c r="D26" s="51" t="s">
        <v>31</v>
      </c>
      <c r="E26" s="51" t="s">
        <v>393</v>
      </c>
      <c r="F26" s="52"/>
      <c r="G26" s="127"/>
      <c r="H26" s="127"/>
      <c r="I26" s="127"/>
      <c r="J26" s="127"/>
    </row>
    <row r="27" spans="1:10" x14ac:dyDescent="0.25">
      <c r="A27" s="1">
        <v>26</v>
      </c>
      <c r="B27" s="53" t="s">
        <v>14</v>
      </c>
      <c r="C27" s="53" t="s">
        <v>56</v>
      </c>
      <c r="D27" s="53" t="s">
        <v>31</v>
      </c>
      <c r="E27" s="53" t="s">
        <v>394</v>
      </c>
      <c r="F27" s="39"/>
      <c r="G27" s="127"/>
      <c r="H27" s="127"/>
      <c r="I27" s="127"/>
      <c r="J27" s="127"/>
    </row>
    <row r="28" spans="1:10" x14ac:dyDescent="0.25">
      <c r="A28" s="1">
        <v>27</v>
      </c>
      <c r="B28" s="51" t="s">
        <v>14</v>
      </c>
      <c r="C28" s="51" t="s">
        <v>56</v>
      </c>
      <c r="D28" s="51" t="s">
        <v>31</v>
      </c>
      <c r="E28" s="51" t="s">
        <v>395</v>
      </c>
      <c r="F28" s="52"/>
      <c r="G28" s="127"/>
      <c r="H28" s="127"/>
      <c r="I28" s="127"/>
      <c r="J28" s="127"/>
    </row>
    <row r="29" spans="1:10" x14ac:dyDescent="0.25">
      <c r="A29" s="1">
        <v>28</v>
      </c>
      <c r="B29" s="53" t="s">
        <v>14</v>
      </c>
      <c r="C29" s="53" t="s">
        <v>56</v>
      </c>
      <c r="D29" s="53" t="s">
        <v>31</v>
      </c>
      <c r="E29" s="53" t="s">
        <v>396</v>
      </c>
      <c r="F29" s="39"/>
      <c r="G29" s="127"/>
      <c r="H29" s="127"/>
      <c r="I29" s="127"/>
      <c r="J29" s="127"/>
    </row>
    <row r="30" spans="1:10" x14ac:dyDescent="0.25">
      <c r="A30" s="1">
        <v>29</v>
      </c>
      <c r="B30" s="51" t="s">
        <v>14</v>
      </c>
      <c r="C30" s="51" t="s">
        <v>56</v>
      </c>
      <c r="D30" s="51" t="s">
        <v>31</v>
      </c>
      <c r="E30" s="51" t="s">
        <v>397</v>
      </c>
      <c r="F30" s="52"/>
      <c r="G30" s="127"/>
      <c r="H30" s="127"/>
      <c r="I30" s="127"/>
      <c r="J30" s="127"/>
    </row>
    <row r="31" spans="1:10" x14ac:dyDescent="0.25">
      <c r="A31" s="1">
        <v>30</v>
      </c>
      <c r="B31" s="53" t="s">
        <v>14</v>
      </c>
      <c r="C31" s="53" t="s">
        <v>56</v>
      </c>
      <c r="D31" s="53" t="s">
        <v>31</v>
      </c>
      <c r="E31" s="53" t="s">
        <v>398</v>
      </c>
      <c r="F31" s="39"/>
      <c r="G31" s="127"/>
      <c r="H31" s="127"/>
      <c r="I31" s="127"/>
      <c r="J31" s="127"/>
    </row>
    <row r="32" spans="1:10" x14ac:dyDescent="0.25">
      <c r="A32" s="1">
        <v>31</v>
      </c>
      <c r="B32" s="51" t="s">
        <v>14</v>
      </c>
      <c r="C32" s="51" t="s">
        <v>56</v>
      </c>
      <c r="D32" s="51" t="s">
        <v>31</v>
      </c>
      <c r="E32" s="51" t="s">
        <v>399</v>
      </c>
      <c r="F32" s="52"/>
      <c r="G32" s="127"/>
      <c r="H32" s="127"/>
      <c r="I32" s="127"/>
      <c r="J32" s="127"/>
    </row>
    <row r="33" spans="1:10" x14ac:dyDescent="0.25">
      <c r="A33" s="1">
        <v>32</v>
      </c>
      <c r="B33" s="53" t="s">
        <v>14</v>
      </c>
      <c r="C33" s="53" t="s">
        <v>56</v>
      </c>
      <c r="D33" s="53" t="s">
        <v>31</v>
      </c>
      <c r="E33" s="53" t="s">
        <v>400</v>
      </c>
      <c r="F33" s="39"/>
      <c r="G33" s="127"/>
      <c r="H33" s="127"/>
      <c r="I33" s="127"/>
      <c r="J33" s="127"/>
    </row>
    <row r="34" spans="1:10" x14ac:dyDescent="0.25">
      <c r="A34" s="1">
        <v>33</v>
      </c>
      <c r="B34" s="51" t="s">
        <v>14</v>
      </c>
      <c r="C34" s="51" t="s">
        <v>56</v>
      </c>
      <c r="D34" s="51" t="s">
        <v>31</v>
      </c>
      <c r="E34" s="51" t="s">
        <v>401</v>
      </c>
      <c r="F34" s="52"/>
      <c r="G34" s="127"/>
      <c r="H34" s="127"/>
      <c r="I34" s="127"/>
      <c r="J34" s="127"/>
    </row>
    <row r="35" spans="1:10" s="2" customFormat="1" x14ac:dyDescent="0.25">
      <c r="A35" s="1">
        <v>34</v>
      </c>
      <c r="B35" s="53" t="s">
        <v>14</v>
      </c>
      <c r="C35" s="53" t="s">
        <v>56</v>
      </c>
      <c r="D35" s="53" t="s">
        <v>31</v>
      </c>
      <c r="E35" s="53" t="s">
        <v>402</v>
      </c>
      <c r="F35" s="39"/>
      <c r="G35" s="127"/>
      <c r="H35" s="127"/>
      <c r="I35" s="127"/>
      <c r="J35" s="127"/>
    </row>
    <row r="36" spans="1:10" x14ac:dyDescent="0.25">
      <c r="A36" s="1">
        <v>35</v>
      </c>
      <c r="B36" s="51" t="s">
        <v>14</v>
      </c>
      <c r="C36" s="51" t="s">
        <v>56</v>
      </c>
      <c r="D36" s="51" t="s">
        <v>31</v>
      </c>
      <c r="E36" s="51" t="s">
        <v>403</v>
      </c>
      <c r="F36" s="52"/>
      <c r="G36" s="127"/>
      <c r="H36" s="127"/>
      <c r="I36" s="127"/>
      <c r="J36" s="127"/>
    </row>
    <row r="37" spans="1:10" x14ac:dyDescent="0.25">
      <c r="A37" s="1">
        <v>36</v>
      </c>
      <c r="B37" s="53" t="s">
        <v>404</v>
      </c>
      <c r="C37" s="53" t="s">
        <v>405</v>
      </c>
      <c r="D37" s="53" t="s">
        <v>406</v>
      </c>
      <c r="E37" s="53" t="s">
        <v>407</v>
      </c>
      <c r="F37" s="39"/>
      <c r="G37" s="127"/>
      <c r="H37" s="127"/>
      <c r="I37" s="127"/>
      <c r="J37" s="127"/>
    </row>
    <row r="38" spans="1:10" x14ac:dyDescent="0.25">
      <c r="A38" s="1">
        <v>37</v>
      </c>
      <c r="B38" s="51" t="s">
        <v>408</v>
      </c>
      <c r="C38" s="51" t="s">
        <v>409</v>
      </c>
      <c r="D38" s="51" t="s">
        <v>410</v>
      </c>
      <c r="E38" s="51" t="s">
        <v>411</v>
      </c>
      <c r="F38" s="52"/>
      <c r="G38" s="127"/>
      <c r="H38" s="127"/>
      <c r="I38" s="127"/>
      <c r="J38" s="127"/>
    </row>
    <row r="39" spans="1:10" x14ac:dyDescent="0.25">
      <c r="A39" s="1">
        <v>38</v>
      </c>
      <c r="B39" s="53" t="s">
        <v>412</v>
      </c>
      <c r="C39" s="53" t="s">
        <v>413</v>
      </c>
      <c r="D39" s="53" t="s">
        <v>414</v>
      </c>
      <c r="E39" s="53" t="s">
        <v>415</v>
      </c>
      <c r="F39" s="39"/>
      <c r="G39" s="127"/>
      <c r="H39" s="127"/>
      <c r="I39" s="127"/>
      <c r="J39" s="127"/>
    </row>
    <row r="40" spans="1:10" x14ac:dyDescent="0.25">
      <c r="A40" s="1">
        <v>39</v>
      </c>
      <c r="B40" s="51" t="s">
        <v>416</v>
      </c>
      <c r="C40" s="51" t="s">
        <v>417</v>
      </c>
      <c r="D40" s="51" t="s">
        <v>418</v>
      </c>
      <c r="E40" s="51" t="s">
        <v>419</v>
      </c>
      <c r="F40" s="52"/>
      <c r="G40" s="127"/>
      <c r="H40" s="127"/>
      <c r="I40" s="127"/>
      <c r="J40" s="127"/>
    </row>
    <row r="41" spans="1:10" x14ac:dyDescent="0.25">
      <c r="A41" s="1">
        <v>40</v>
      </c>
      <c r="B41" s="53" t="s">
        <v>416</v>
      </c>
      <c r="C41" s="53" t="s">
        <v>420</v>
      </c>
      <c r="D41" s="53" t="s">
        <v>418</v>
      </c>
      <c r="E41" s="53" t="s">
        <v>421</v>
      </c>
      <c r="F41" s="39"/>
      <c r="G41" s="127"/>
      <c r="H41" s="127"/>
      <c r="I41" s="127"/>
      <c r="J41" s="127"/>
    </row>
    <row r="42" spans="1:10" s="2" customFormat="1" x14ac:dyDescent="0.25">
      <c r="A42" s="1">
        <v>41</v>
      </c>
      <c r="B42" s="51" t="s">
        <v>14</v>
      </c>
      <c r="C42" s="51" t="s">
        <v>422</v>
      </c>
      <c r="D42" s="51" t="s">
        <v>369</v>
      </c>
      <c r="E42" s="51" t="s">
        <v>423</v>
      </c>
      <c r="F42" s="52"/>
      <c r="G42" s="127"/>
      <c r="H42" s="127"/>
      <c r="I42" s="127"/>
      <c r="J42" s="127"/>
    </row>
    <row r="43" spans="1:10" x14ac:dyDescent="0.25">
      <c r="A43" s="1">
        <v>42</v>
      </c>
      <c r="B43" s="53" t="s">
        <v>338</v>
      </c>
      <c r="C43" s="53" t="s">
        <v>424</v>
      </c>
      <c r="D43" s="53" t="s">
        <v>418</v>
      </c>
      <c r="E43" s="53" t="s">
        <v>425</v>
      </c>
      <c r="F43" s="39"/>
      <c r="G43" s="127"/>
      <c r="H43" s="127"/>
      <c r="I43" s="127"/>
      <c r="J43" s="127"/>
    </row>
    <row r="44" spans="1:10" x14ac:dyDescent="0.25">
      <c r="A44" s="1">
        <v>43</v>
      </c>
      <c r="B44" s="54" t="s">
        <v>338</v>
      </c>
      <c r="C44" s="54" t="s">
        <v>426</v>
      </c>
      <c r="D44" s="54" t="s">
        <v>427</v>
      </c>
      <c r="E44" s="54" t="s">
        <v>428</v>
      </c>
      <c r="F44" s="52"/>
      <c r="G44" s="129"/>
      <c r="H44" s="129"/>
      <c r="I44" s="129"/>
      <c r="J44" s="129"/>
    </row>
    <row r="45" spans="1:10" x14ac:dyDescent="0.25">
      <c r="A45" s="22"/>
      <c r="B45" s="125"/>
      <c r="C45" s="125"/>
      <c r="D45" s="125"/>
      <c r="E45" s="125"/>
      <c r="F45" s="125"/>
      <c r="G45" s="165"/>
      <c r="H45" s="165"/>
      <c r="I45" s="165"/>
      <c r="J45" s="165"/>
    </row>
    <row r="46" spans="1:10" x14ac:dyDescent="0.25">
      <c r="A46" s="22"/>
      <c r="B46" s="36"/>
      <c r="C46" s="36"/>
      <c r="D46" s="36"/>
      <c r="E46" s="55" t="s">
        <v>791</v>
      </c>
      <c r="F46" s="29"/>
      <c r="G46" s="29"/>
      <c r="H46" s="29"/>
      <c r="I46" s="29"/>
      <c r="J46" s="29"/>
    </row>
    <row r="60" spans="1:1" x14ac:dyDescent="0.25">
      <c r="A60" s="1">
        <f>COUNT(A2:A59)</f>
        <v>43</v>
      </c>
    </row>
  </sheetData>
  <sortState xmlns:xlrd2="http://schemas.microsoft.com/office/spreadsheetml/2017/richdata2" ref="B2:E36">
    <sortCondition ref="B2:B36"/>
  </sortState>
  <phoneticPr fontId="2" type="noConversion"/>
  <conditionalFormatting sqref="A1">
    <cfRule type="expression" dxfId="129" priority="1">
      <formula>MOD(ROW(),2)=0</formula>
    </cfRule>
  </conditionalFormatting>
  <pageMargins left="0.75" right="0.75" top="1" bottom="1" header="0.5" footer="0.5"/>
  <pageSetup scale="62" orientation="portrait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0"/>
  <sheetViews>
    <sheetView workbookViewId="0">
      <selection activeCell="F1" sqref="F1:J1"/>
    </sheetView>
  </sheetViews>
  <sheetFormatPr defaultColWidth="48.28515625" defaultRowHeight="15" x14ac:dyDescent="0.25"/>
  <cols>
    <col min="1" max="1" width="8.42578125" style="1" customWidth="1"/>
    <col min="2" max="2" width="29.7109375" style="1" bestFit="1" customWidth="1"/>
    <col min="3" max="3" width="11.85546875" style="13" bestFit="1" customWidth="1"/>
    <col min="4" max="4" width="40.5703125" style="1" bestFit="1" customWidth="1"/>
    <col min="5" max="5" width="12" style="1" bestFit="1" customWidth="1"/>
    <col min="6" max="6" width="22.5703125" style="1" customWidth="1"/>
    <col min="7" max="7" width="24.28515625" style="1" customWidth="1"/>
    <col min="8" max="8" width="23.28515625" style="1" customWidth="1"/>
    <col min="9" max="9" width="22" style="1" customWidth="1"/>
    <col min="10" max="10" width="24.7109375" style="1" customWidth="1"/>
    <col min="11" max="16384" width="48.28515625" style="1"/>
  </cols>
  <sheetData>
    <row r="1" spans="1:10" ht="30" x14ac:dyDescent="0.25">
      <c r="A1" s="56" t="s">
        <v>12</v>
      </c>
      <c r="B1" s="57" t="s">
        <v>0</v>
      </c>
      <c r="C1" s="57" t="s">
        <v>1</v>
      </c>
      <c r="D1" s="57" t="s">
        <v>2</v>
      </c>
      <c r="E1" s="57" t="s">
        <v>3</v>
      </c>
      <c r="F1" s="157" t="s">
        <v>794</v>
      </c>
      <c r="G1" s="142" t="s">
        <v>795</v>
      </c>
      <c r="H1" s="142" t="s">
        <v>796</v>
      </c>
      <c r="I1" s="142" t="s">
        <v>797</v>
      </c>
      <c r="J1" s="142" t="s">
        <v>798</v>
      </c>
    </row>
    <row r="2" spans="1:10" x14ac:dyDescent="0.25">
      <c r="A2" s="29">
        <v>1</v>
      </c>
      <c r="B2" s="58" t="s">
        <v>478</v>
      </c>
      <c r="C2" s="59" t="s">
        <v>479</v>
      </c>
      <c r="D2" s="58" t="s">
        <v>369</v>
      </c>
      <c r="E2" s="58" t="s">
        <v>480</v>
      </c>
      <c r="F2" s="58"/>
      <c r="G2" s="162"/>
      <c r="H2" s="162"/>
      <c r="I2" s="162"/>
      <c r="J2" s="162"/>
    </row>
    <row r="3" spans="1:10" x14ac:dyDescent="0.25">
      <c r="A3" s="29">
        <v>2</v>
      </c>
      <c r="B3" s="58" t="s">
        <v>478</v>
      </c>
      <c r="C3" s="59" t="s">
        <v>479</v>
      </c>
      <c r="D3" s="58" t="s">
        <v>369</v>
      </c>
      <c r="E3" s="58" t="s">
        <v>481</v>
      </c>
      <c r="F3" s="58"/>
      <c r="G3" s="161"/>
      <c r="H3" s="161"/>
      <c r="I3" s="161"/>
      <c r="J3" s="161"/>
    </row>
    <row r="4" spans="1:10" x14ac:dyDescent="0.25">
      <c r="A4" s="29">
        <v>3</v>
      </c>
      <c r="B4" s="58" t="s">
        <v>478</v>
      </c>
      <c r="C4" s="59" t="s">
        <v>479</v>
      </c>
      <c r="D4" s="58" t="s">
        <v>369</v>
      </c>
      <c r="E4" s="58" t="s">
        <v>482</v>
      </c>
      <c r="F4" s="58"/>
      <c r="G4" s="161"/>
      <c r="H4" s="161"/>
      <c r="I4" s="161"/>
      <c r="J4" s="161"/>
    </row>
    <row r="5" spans="1:10" x14ac:dyDescent="0.25">
      <c r="A5" s="29">
        <v>4</v>
      </c>
      <c r="B5" s="58" t="s">
        <v>460</v>
      </c>
      <c r="C5" s="59">
        <v>380942</v>
      </c>
      <c r="D5" s="58" t="s">
        <v>369</v>
      </c>
      <c r="E5" s="58" t="s">
        <v>462</v>
      </c>
      <c r="F5" s="58"/>
      <c r="G5" s="161"/>
      <c r="H5" s="161"/>
      <c r="I5" s="161"/>
      <c r="J5" s="161"/>
    </row>
    <row r="6" spans="1:10" s="2" customFormat="1" x14ac:dyDescent="0.25">
      <c r="A6" s="29">
        <v>5</v>
      </c>
      <c r="B6" s="58" t="s">
        <v>460</v>
      </c>
      <c r="C6" s="59">
        <v>380942</v>
      </c>
      <c r="D6" s="58" t="s">
        <v>369</v>
      </c>
      <c r="E6" s="58" t="s">
        <v>463</v>
      </c>
      <c r="F6" s="58"/>
      <c r="G6" s="161"/>
      <c r="H6" s="161"/>
      <c r="I6" s="161"/>
      <c r="J6" s="161"/>
    </row>
    <row r="7" spans="1:10" x14ac:dyDescent="0.25">
      <c r="A7" s="29">
        <v>6</v>
      </c>
      <c r="B7" s="58" t="s">
        <v>14</v>
      </c>
      <c r="C7" s="59">
        <v>189</v>
      </c>
      <c r="D7" s="58" t="s">
        <v>31</v>
      </c>
      <c r="E7" s="58" t="s">
        <v>441</v>
      </c>
      <c r="F7" s="58"/>
      <c r="G7" s="161"/>
      <c r="H7" s="161"/>
      <c r="I7" s="161"/>
      <c r="J7" s="161"/>
    </row>
    <row r="8" spans="1:10" x14ac:dyDescent="0.25">
      <c r="A8" s="29">
        <v>7</v>
      </c>
      <c r="B8" s="58" t="s">
        <v>14</v>
      </c>
      <c r="C8" s="59">
        <v>189</v>
      </c>
      <c r="D8" s="58" t="s">
        <v>31</v>
      </c>
      <c r="E8" s="58" t="s">
        <v>442</v>
      </c>
      <c r="F8" s="58"/>
      <c r="G8" s="161"/>
      <c r="H8" s="161"/>
      <c r="I8" s="161"/>
      <c r="J8" s="161"/>
    </row>
    <row r="9" spans="1:10" x14ac:dyDescent="0.25">
      <c r="A9" s="29">
        <v>8</v>
      </c>
      <c r="B9" s="58" t="s">
        <v>14</v>
      </c>
      <c r="C9" s="59">
        <v>189</v>
      </c>
      <c r="D9" s="58" t="s">
        <v>31</v>
      </c>
      <c r="E9" s="58" t="s">
        <v>443</v>
      </c>
      <c r="F9" s="58"/>
      <c r="G9" s="161"/>
      <c r="H9" s="161"/>
      <c r="I9" s="161"/>
      <c r="J9" s="161"/>
    </row>
    <row r="10" spans="1:10" s="2" customFormat="1" x14ac:dyDescent="0.25">
      <c r="A10" s="29">
        <v>9</v>
      </c>
      <c r="B10" s="58" t="s">
        <v>14</v>
      </c>
      <c r="C10" s="59" t="s">
        <v>444</v>
      </c>
      <c r="D10" s="58" t="s">
        <v>445</v>
      </c>
      <c r="E10" s="58" t="s">
        <v>446</v>
      </c>
      <c r="F10" s="58"/>
      <c r="G10" s="161"/>
      <c r="H10" s="161"/>
      <c r="I10" s="161"/>
      <c r="J10" s="161"/>
    </row>
    <row r="11" spans="1:10" x14ac:dyDescent="0.25">
      <c r="A11" s="29">
        <v>10</v>
      </c>
      <c r="B11" s="58" t="s">
        <v>14</v>
      </c>
      <c r="C11" s="59">
        <v>199</v>
      </c>
      <c r="D11" s="58" t="s">
        <v>447</v>
      </c>
      <c r="E11" s="58" t="s">
        <v>448</v>
      </c>
      <c r="F11" s="58"/>
      <c r="G11" s="161"/>
      <c r="H11" s="161"/>
      <c r="I11" s="161"/>
      <c r="J11" s="161"/>
    </row>
    <row r="12" spans="1:10" x14ac:dyDescent="0.25">
      <c r="A12" s="29">
        <v>11</v>
      </c>
      <c r="B12" s="58" t="s">
        <v>14</v>
      </c>
      <c r="C12" s="59">
        <v>289</v>
      </c>
      <c r="D12" s="58" t="s">
        <v>31</v>
      </c>
      <c r="E12" s="58" t="s">
        <v>453</v>
      </c>
      <c r="F12" s="58"/>
      <c r="G12" s="161"/>
      <c r="H12" s="161"/>
      <c r="I12" s="161"/>
      <c r="J12" s="161"/>
    </row>
    <row r="13" spans="1:10" x14ac:dyDescent="0.25">
      <c r="A13" s="29">
        <v>12</v>
      </c>
      <c r="B13" s="58" t="s">
        <v>14</v>
      </c>
      <c r="C13" s="59">
        <v>289</v>
      </c>
      <c r="D13" s="58" t="s">
        <v>31</v>
      </c>
      <c r="E13" s="58" t="s">
        <v>454</v>
      </c>
      <c r="F13" s="58"/>
      <c r="G13" s="161"/>
      <c r="H13" s="161"/>
      <c r="I13" s="161"/>
      <c r="J13" s="161"/>
    </row>
    <row r="14" spans="1:10" x14ac:dyDescent="0.25">
      <c r="A14" s="29">
        <v>13</v>
      </c>
      <c r="B14" s="58" t="s">
        <v>14</v>
      </c>
      <c r="C14" s="59">
        <v>289</v>
      </c>
      <c r="D14" s="58" t="s">
        <v>31</v>
      </c>
      <c r="E14" s="58" t="s">
        <v>455</v>
      </c>
      <c r="F14" s="58"/>
      <c r="G14" s="161"/>
      <c r="H14" s="161"/>
      <c r="I14" s="161"/>
      <c r="J14" s="161"/>
    </row>
    <row r="15" spans="1:10" x14ac:dyDescent="0.25">
      <c r="A15" s="29">
        <v>14</v>
      </c>
      <c r="B15" s="58" t="s">
        <v>14</v>
      </c>
      <c r="C15" s="59">
        <v>289</v>
      </c>
      <c r="D15" s="58" t="s">
        <v>31</v>
      </c>
      <c r="E15" s="58" t="s">
        <v>456</v>
      </c>
      <c r="F15" s="58"/>
      <c r="G15" s="161"/>
      <c r="H15" s="161"/>
      <c r="I15" s="161"/>
      <c r="J15" s="161"/>
    </row>
    <row r="16" spans="1:10" x14ac:dyDescent="0.25">
      <c r="A16" s="29">
        <v>15</v>
      </c>
      <c r="B16" s="58" t="s">
        <v>14</v>
      </c>
      <c r="C16" s="59">
        <v>289</v>
      </c>
      <c r="D16" s="58" t="s">
        <v>31</v>
      </c>
      <c r="E16" s="58" t="s">
        <v>457</v>
      </c>
      <c r="F16" s="58"/>
      <c r="G16" s="161"/>
      <c r="H16" s="161"/>
      <c r="I16" s="161"/>
      <c r="J16" s="161"/>
    </row>
    <row r="17" spans="1:10" x14ac:dyDescent="0.25">
      <c r="A17" s="29">
        <v>16</v>
      </c>
      <c r="B17" s="58" t="s">
        <v>14</v>
      </c>
      <c r="C17" s="59">
        <v>337</v>
      </c>
      <c r="D17" s="58" t="s">
        <v>218</v>
      </c>
      <c r="E17" s="58" t="s">
        <v>458</v>
      </c>
      <c r="F17" s="58"/>
      <c r="G17" s="161"/>
      <c r="H17" s="161"/>
      <c r="I17" s="161"/>
      <c r="J17" s="161"/>
    </row>
    <row r="18" spans="1:10" x14ac:dyDescent="0.25">
      <c r="A18" s="29">
        <v>17</v>
      </c>
      <c r="B18" s="58" t="s">
        <v>14</v>
      </c>
      <c r="C18" s="59">
        <v>337</v>
      </c>
      <c r="D18" s="58" t="s">
        <v>218</v>
      </c>
      <c r="E18" s="58" t="s">
        <v>459</v>
      </c>
      <c r="F18" s="58"/>
      <c r="G18" s="161"/>
      <c r="H18" s="161"/>
      <c r="I18" s="161"/>
      <c r="J18" s="161"/>
    </row>
    <row r="19" spans="1:10" x14ac:dyDescent="0.25">
      <c r="A19" s="29">
        <v>18</v>
      </c>
      <c r="B19" s="58" t="s">
        <v>14</v>
      </c>
      <c r="C19" s="59">
        <v>772</v>
      </c>
      <c r="D19" s="58" t="s">
        <v>469</v>
      </c>
      <c r="E19" s="58" t="s">
        <v>470</v>
      </c>
      <c r="F19" s="58"/>
      <c r="G19" s="161"/>
      <c r="H19" s="161"/>
      <c r="I19" s="161"/>
      <c r="J19" s="161"/>
    </row>
    <row r="20" spans="1:10" x14ac:dyDescent="0.25">
      <c r="A20" s="29">
        <v>19</v>
      </c>
      <c r="B20" s="58" t="s">
        <v>14</v>
      </c>
      <c r="C20" s="59">
        <v>772</v>
      </c>
      <c r="D20" s="58" t="s">
        <v>469</v>
      </c>
      <c r="E20" s="58" t="s">
        <v>471</v>
      </c>
      <c r="F20" s="58"/>
      <c r="G20" s="161"/>
      <c r="H20" s="161"/>
      <c r="I20" s="161"/>
      <c r="J20" s="161"/>
    </row>
    <row r="21" spans="1:10" x14ac:dyDescent="0.25">
      <c r="A21" s="29">
        <v>20</v>
      </c>
      <c r="B21" s="58" t="s">
        <v>14</v>
      </c>
      <c r="C21" s="59">
        <v>789</v>
      </c>
      <c r="D21" s="58" t="s">
        <v>324</v>
      </c>
      <c r="E21" s="58" t="s">
        <v>473</v>
      </c>
      <c r="F21" s="58"/>
      <c r="G21" s="161"/>
      <c r="H21" s="161"/>
      <c r="I21" s="161"/>
      <c r="J21" s="161"/>
    </row>
    <row r="22" spans="1:10" x14ac:dyDescent="0.25">
      <c r="A22" s="29">
        <v>21</v>
      </c>
      <c r="B22" s="58" t="s">
        <v>14</v>
      </c>
      <c r="C22" s="59">
        <v>789</v>
      </c>
      <c r="D22" s="58" t="s">
        <v>324</v>
      </c>
      <c r="E22" s="58" t="s">
        <v>474</v>
      </c>
      <c r="F22" s="58"/>
      <c r="G22" s="161"/>
      <c r="H22" s="161"/>
      <c r="I22" s="161"/>
      <c r="J22" s="161"/>
    </row>
    <row r="23" spans="1:10" x14ac:dyDescent="0.25">
      <c r="A23" s="29">
        <v>22</v>
      </c>
      <c r="B23" s="58" t="s">
        <v>14</v>
      </c>
      <c r="C23" s="59">
        <v>789</v>
      </c>
      <c r="D23" s="58" t="s">
        <v>324</v>
      </c>
      <c r="E23" s="58" t="s">
        <v>475</v>
      </c>
      <c r="F23" s="58"/>
      <c r="G23" s="161"/>
      <c r="H23" s="161"/>
      <c r="I23" s="161"/>
      <c r="J23" s="161"/>
    </row>
    <row r="24" spans="1:10" x14ac:dyDescent="0.25">
      <c r="A24" s="29">
        <v>23</v>
      </c>
      <c r="B24" s="60" t="s">
        <v>14</v>
      </c>
      <c r="C24" s="61" t="s">
        <v>241</v>
      </c>
      <c r="D24" s="60" t="s">
        <v>242</v>
      </c>
      <c r="E24" s="60" t="s">
        <v>476</v>
      </c>
      <c r="F24" s="58"/>
      <c r="G24" s="161"/>
      <c r="H24" s="161"/>
      <c r="I24" s="161"/>
      <c r="J24" s="161"/>
    </row>
    <row r="25" spans="1:10" x14ac:dyDescent="0.25">
      <c r="A25" s="29">
        <v>24</v>
      </c>
      <c r="B25" s="58" t="s">
        <v>14</v>
      </c>
      <c r="C25" s="59" t="s">
        <v>56</v>
      </c>
      <c r="D25" s="58" t="s">
        <v>31</v>
      </c>
      <c r="E25" s="58" t="s">
        <v>477</v>
      </c>
      <c r="F25" s="58"/>
      <c r="G25" s="161"/>
      <c r="H25" s="161"/>
      <c r="I25" s="161"/>
      <c r="J25" s="161"/>
    </row>
    <row r="26" spans="1:10" x14ac:dyDescent="0.25">
      <c r="A26" s="29">
        <v>25</v>
      </c>
      <c r="B26" s="58" t="s">
        <v>436</v>
      </c>
      <c r="C26" s="59" t="s">
        <v>437</v>
      </c>
      <c r="D26" s="58" t="s">
        <v>438</v>
      </c>
      <c r="E26" s="58" t="s">
        <v>439</v>
      </c>
      <c r="F26" s="58"/>
      <c r="G26" s="161"/>
      <c r="H26" s="161"/>
      <c r="I26" s="161"/>
      <c r="J26" s="161"/>
    </row>
    <row r="27" spans="1:10" x14ac:dyDescent="0.25">
      <c r="A27" s="29">
        <v>26</v>
      </c>
      <c r="B27" s="58" t="s">
        <v>501</v>
      </c>
      <c r="C27" s="59" t="s">
        <v>502</v>
      </c>
      <c r="D27" s="58" t="s">
        <v>503</v>
      </c>
      <c r="E27" s="58" t="s">
        <v>504</v>
      </c>
      <c r="F27" s="58"/>
      <c r="G27" s="161"/>
      <c r="H27" s="161"/>
      <c r="I27" s="161"/>
      <c r="J27" s="161"/>
    </row>
    <row r="28" spans="1:10" x14ac:dyDescent="0.25">
      <c r="A28" s="29">
        <v>27</v>
      </c>
      <c r="B28" s="58" t="s">
        <v>429</v>
      </c>
      <c r="C28" s="59" t="s">
        <v>430</v>
      </c>
      <c r="D28" s="58" t="s">
        <v>431</v>
      </c>
      <c r="E28" s="58" t="s">
        <v>432</v>
      </c>
      <c r="F28" s="58"/>
      <c r="G28" s="161"/>
      <c r="H28" s="161"/>
      <c r="I28" s="161"/>
      <c r="J28" s="161"/>
    </row>
    <row r="29" spans="1:10" s="2" customFormat="1" x14ac:dyDescent="0.25">
      <c r="A29" s="29">
        <v>28</v>
      </c>
      <c r="B29" s="58" t="s">
        <v>429</v>
      </c>
      <c r="C29" s="59" t="s">
        <v>433</v>
      </c>
      <c r="D29" s="58" t="s">
        <v>434</v>
      </c>
      <c r="E29" s="58" t="s">
        <v>435</v>
      </c>
      <c r="F29" s="58"/>
      <c r="G29" s="161"/>
      <c r="H29" s="161"/>
      <c r="I29" s="161"/>
      <c r="J29" s="161"/>
    </row>
    <row r="30" spans="1:10" x14ac:dyDescent="0.25">
      <c r="A30" s="29">
        <v>29</v>
      </c>
      <c r="B30" s="58" t="s">
        <v>67</v>
      </c>
      <c r="C30" s="59" t="s">
        <v>497</v>
      </c>
      <c r="D30" s="58" t="s">
        <v>498</v>
      </c>
      <c r="E30" s="58" t="s">
        <v>499</v>
      </c>
      <c r="F30" s="58"/>
      <c r="G30" s="161"/>
      <c r="H30" s="161"/>
      <c r="I30" s="161"/>
      <c r="J30" s="161"/>
    </row>
    <row r="31" spans="1:10" x14ac:dyDescent="0.25">
      <c r="A31" s="29">
        <v>30</v>
      </c>
      <c r="B31" s="58" t="s">
        <v>67</v>
      </c>
      <c r="C31" s="59" t="s">
        <v>497</v>
      </c>
      <c r="D31" s="58" t="s">
        <v>498</v>
      </c>
      <c r="E31" s="58" t="s">
        <v>500</v>
      </c>
      <c r="F31" s="58"/>
      <c r="G31" s="161"/>
      <c r="H31" s="161"/>
      <c r="I31" s="161"/>
      <c r="J31" s="161"/>
    </row>
    <row r="32" spans="1:10" x14ac:dyDescent="0.25">
      <c r="A32" s="29">
        <v>31</v>
      </c>
      <c r="B32" s="58" t="s">
        <v>491</v>
      </c>
      <c r="C32" s="59" t="s">
        <v>492</v>
      </c>
      <c r="D32" s="58" t="s">
        <v>493</v>
      </c>
      <c r="E32" s="58" t="s">
        <v>494</v>
      </c>
      <c r="F32" s="58"/>
      <c r="G32" s="161"/>
      <c r="H32" s="161"/>
      <c r="I32" s="161"/>
      <c r="J32" s="161"/>
    </row>
    <row r="33" spans="1:10" x14ac:dyDescent="0.25">
      <c r="A33" s="29">
        <v>32</v>
      </c>
      <c r="B33" s="58" t="s">
        <v>491</v>
      </c>
      <c r="C33" s="59" t="s">
        <v>492</v>
      </c>
      <c r="D33" s="58" t="s">
        <v>493</v>
      </c>
      <c r="E33" s="58" t="s">
        <v>495</v>
      </c>
      <c r="F33" s="58"/>
      <c r="G33" s="161"/>
      <c r="H33" s="161"/>
      <c r="I33" s="161"/>
      <c r="J33" s="161"/>
    </row>
    <row r="34" spans="1:10" x14ac:dyDescent="0.25">
      <c r="A34" s="29">
        <v>33</v>
      </c>
      <c r="B34" s="58" t="s">
        <v>491</v>
      </c>
      <c r="C34" s="59" t="s">
        <v>492</v>
      </c>
      <c r="D34" s="58" t="s">
        <v>493</v>
      </c>
      <c r="E34" s="58" t="s">
        <v>496</v>
      </c>
      <c r="F34" s="58"/>
      <c r="G34" s="161"/>
      <c r="H34" s="161"/>
      <c r="I34" s="161"/>
      <c r="J34" s="161"/>
    </row>
    <row r="35" spans="1:10" s="2" customFormat="1" x14ac:dyDescent="0.25">
      <c r="A35" s="29">
        <v>34</v>
      </c>
      <c r="B35" s="58" t="s">
        <v>464</v>
      </c>
      <c r="C35" s="59">
        <v>4344</v>
      </c>
      <c r="D35" s="58" t="s">
        <v>465</v>
      </c>
      <c r="E35" s="58" t="s">
        <v>466</v>
      </c>
      <c r="F35" s="58"/>
      <c r="G35" s="161"/>
      <c r="H35" s="161"/>
      <c r="I35" s="161"/>
      <c r="J35" s="161"/>
    </row>
    <row r="36" spans="1:10" x14ac:dyDescent="0.25">
      <c r="A36" s="29">
        <v>35</v>
      </c>
      <c r="B36" s="58" t="s">
        <v>464</v>
      </c>
      <c r="C36" s="59">
        <v>4344</v>
      </c>
      <c r="D36" s="58" t="s">
        <v>465</v>
      </c>
      <c r="E36" s="58" t="s">
        <v>467</v>
      </c>
      <c r="F36" s="58"/>
      <c r="G36" s="161"/>
      <c r="H36" s="161"/>
      <c r="I36" s="161"/>
      <c r="J36" s="161"/>
    </row>
    <row r="37" spans="1:10" x14ac:dyDescent="0.25">
      <c r="A37" s="29">
        <v>36</v>
      </c>
      <c r="B37" s="58" t="s">
        <v>464</v>
      </c>
      <c r="C37" s="59">
        <v>4344</v>
      </c>
      <c r="D37" s="58" t="s">
        <v>465</v>
      </c>
      <c r="E37" s="58" t="s">
        <v>468</v>
      </c>
      <c r="F37" s="58"/>
      <c r="G37" s="161"/>
      <c r="H37" s="161"/>
      <c r="I37" s="161"/>
      <c r="J37" s="161"/>
    </row>
    <row r="38" spans="1:10" x14ac:dyDescent="0.25">
      <c r="A38" s="29">
        <v>37</v>
      </c>
      <c r="B38" s="60" t="s">
        <v>213</v>
      </c>
      <c r="C38" s="61">
        <v>260</v>
      </c>
      <c r="D38" s="60" t="s">
        <v>450</v>
      </c>
      <c r="E38" s="60" t="s">
        <v>451</v>
      </c>
      <c r="F38" s="58"/>
      <c r="G38" s="161"/>
      <c r="H38" s="161"/>
      <c r="I38" s="161"/>
      <c r="J38" s="161"/>
    </row>
    <row r="39" spans="1:10" x14ac:dyDescent="0.25">
      <c r="A39" s="29">
        <v>38</v>
      </c>
      <c r="B39" s="58" t="s">
        <v>213</v>
      </c>
      <c r="C39" s="59">
        <v>260</v>
      </c>
      <c r="D39" s="58" t="s">
        <v>450</v>
      </c>
      <c r="E39" s="58" t="s">
        <v>452</v>
      </c>
      <c r="F39" s="58"/>
      <c r="G39" s="161"/>
      <c r="H39" s="161"/>
      <c r="I39" s="161"/>
      <c r="J39" s="161"/>
    </row>
    <row r="40" spans="1:10" x14ac:dyDescent="0.25">
      <c r="A40" s="29">
        <v>39</v>
      </c>
      <c r="B40" s="58" t="s">
        <v>483</v>
      </c>
      <c r="C40" s="59" t="s">
        <v>484</v>
      </c>
      <c r="D40" s="58" t="s">
        <v>485</v>
      </c>
      <c r="E40" s="58" t="s">
        <v>486</v>
      </c>
      <c r="F40" s="58"/>
      <c r="G40" s="161"/>
      <c r="H40" s="161"/>
      <c r="I40" s="161"/>
      <c r="J40" s="161"/>
    </row>
    <row r="41" spans="1:10" x14ac:dyDescent="0.25">
      <c r="A41" s="29">
        <v>40</v>
      </c>
      <c r="B41" s="58" t="s">
        <v>483</v>
      </c>
      <c r="C41" s="59" t="s">
        <v>484</v>
      </c>
      <c r="D41" s="58" t="s">
        <v>485</v>
      </c>
      <c r="E41" s="58" t="s">
        <v>487</v>
      </c>
      <c r="F41" s="58"/>
      <c r="G41" s="161"/>
      <c r="H41" s="161"/>
      <c r="I41" s="161"/>
      <c r="J41" s="161"/>
    </row>
    <row r="42" spans="1:10" x14ac:dyDescent="0.25">
      <c r="A42" s="29">
        <v>41</v>
      </c>
      <c r="B42" s="58" t="s">
        <v>483</v>
      </c>
      <c r="C42" s="59" t="s">
        <v>484</v>
      </c>
      <c r="D42" s="58" t="s">
        <v>485</v>
      </c>
      <c r="E42" s="58" t="s">
        <v>488</v>
      </c>
      <c r="F42" s="58"/>
      <c r="G42" s="161"/>
      <c r="H42" s="161"/>
      <c r="I42" s="161"/>
      <c r="J42" s="161"/>
    </row>
    <row r="43" spans="1:10" x14ac:dyDescent="0.25">
      <c r="A43" s="29">
        <v>42</v>
      </c>
      <c r="B43" s="58" t="s">
        <v>483</v>
      </c>
      <c r="C43" s="59" t="s">
        <v>484</v>
      </c>
      <c r="D43" s="58" t="s">
        <v>485</v>
      </c>
      <c r="E43" s="58" t="s">
        <v>489</v>
      </c>
      <c r="F43" s="58"/>
      <c r="G43" s="161"/>
      <c r="H43" s="161"/>
      <c r="I43" s="161"/>
      <c r="J43" s="161"/>
    </row>
    <row r="44" spans="1:10" x14ac:dyDescent="0.25">
      <c r="A44" s="29">
        <v>43</v>
      </c>
      <c r="B44" s="58" t="s">
        <v>483</v>
      </c>
      <c r="C44" s="59" t="s">
        <v>484</v>
      </c>
      <c r="D44" s="58" t="s">
        <v>485</v>
      </c>
      <c r="E44" s="58" t="s">
        <v>490</v>
      </c>
      <c r="F44" s="58"/>
      <c r="G44" s="163"/>
      <c r="H44" s="163"/>
      <c r="I44" s="163"/>
      <c r="J44" s="163"/>
    </row>
    <row r="45" spans="1:10" x14ac:dyDescent="0.25">
      <c r="A45" s="22"/>
      <c r="B45" s="62"/>
      <c r="C45" s="63"/>
      <c r="D45" s="62"/>
      <c r="E45" s="62"/>
      <c r="F45" s="164"/>
      <c r="G45" s="160"/>
      <c r="H45" s="160"/>
      <c r="I45" s="160"/>
      <c r="J45" s="160"/>
    </row>
    <row r="46" spans="1:10" x14ac:dyDescent="0.25">
      <c r="A46" s="36"/>
      <c r="B46" s="120"/>
      <c r="C46" s="121"/>
      <c r="D46" s="122"/>
      <c r="E46" s="67" t="s">
        <v>792</v>
      </c>
      <c r="F46" s="68"/>
      <c r="G46" s="133"/>
      <c r="H46" s="133"/>
      <c r="I46" s="133"/>
      <c r="J46" s="133"/>
    </row>
    <row r="47" spans="1:10" x14ac:dyDescent="0.25">
      <c r="B47" s="64"/>
      <c r="C47" s="65"/>
      <c r="D47" s="66"/>
      <c r="E47" s="66"/>
    </row>
    <row r="48" spans="1:10" x14ac:dyDescent="0.25">
      <c r="B48" s="3"/>
      <c r="C48" s="15"/>
      <c r="D48" s="4"/>
      <c r="E48" s="4"/>
    </row>
    <row r="49" spans="1:5" x14ac:dyDescent="0.25">
      <c r="B49" s="3"/>
      <c r="C49" s="15"/>
      <c r="D49" s="4"/>
      <c r="E49" s="4"/>
    </row>
    <row r="50" spans="1:5" x14ac:dyDescent="0.25">
      <c r="B50" s="3"/>
      <c r="C50" s="15"/>
      <c r="D50" s="4"/>
      <c r="E50" s="4"/>
    </row>
    <row r="51" spans="1:5" x14ac:dyDescent="0.25">
      <c r="B51" s="3"/>
      <c r="C51" s="15"/>
      <c r="D51" s="4"/>
      <c r="E51" s="4"/>
    </row>
    <row r="52" spans="1:5" x14ac:dyDescent="0.25">
      <c r="B52" s="3"/>
      <c r="C52" s="15"/>
      <c r="D52" s="4"/>
      <c r="E52" s="4"/>
    </row>
    <row r="53" spans="1:5" x14ac:dyDescent="0.25">
      <c r="B53" s="3"/>
      <c r="C53" s="15"/>
      <c r="D53" s="4"/>
      <c r="E53" s="4"/>
    </row>
    <row r="60" spans="1:5" x14ac:dyDescent="0.25">
      <c r="A60" s="1">
        <f>COUNT(A2:A59)</f>
        <v>43</v>
      </c>
    </row>
  </sheetData>
  <sortState xmlns:xlrd2="http://schemas.microsoft.com/office/spreadsheetml/2017/richdata2" ref="B3:E44">
    <sortCondition ref="B2:B44"/>
  </sortState>
  <phoneticPr fontId="2" type="noConversion"/>
  <conditionalFormatting sqref="A1:E1">
    <cfRule type="expression" dxfId="128" priority="1">
      <formula>MOD(ROW(),2)=0</formula>
    </cfRule>
  </conditionalFormatting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0"/>
  <sheetViews>
    <sheetView workbookViewId="0">
      <selection activeCell="F1" sqref="F1:J1"/>
    </sheetView>
  </sheetViews>
  <sheetFormatPr defaultColWidth="52.28515625" defaultRowHeight="15" x14ac:dyDescent="0.25"/>
  <cols>
    <col min="1" max="1" width="6.28515625" style="1" bestFit="1" customWidth="1"/>
    <col min="2" max="2" width="19.42578125" style="1" bestFit="1" customWidth="1"/>
    <col min="3" max="3" width="13.85546875" style="13" bestFit="1" customWidth="1"/>
    <col min="4" max="4" width="30.5703125" style="1" bestFit="1" customWidth="1"/>
    <col min="5" max="5" width="13.140625" style="1" bestFit="1" customWidth="1"/>
    <col min="6" max="6" width="19.85546875" style="1" customWidth="1"/>
    <col min="7" max="7" width="19.5703125" style="1" customWidth="1"/>
    <col min="8" max="9" width="19.85546875" style="1" customWidth="1"/>
    <col min="10" max="10" width="19.7109375" style="1" customWidth="1"/>
    <col min="11" max="16384" width="52.28515625" style="1"/>
  </cols>
  <sheetData>
    <row r="1" spans="1:10" ht="30" x14ac:dyDescent="0.25">
      <c r="A1" s="70" t="s">
        <v>12</v>
      </c>
      <c r="B1" s="71" t="s">
        <v>0</v>
      </c>
      <c r="C1" s="71" t="s">
        <v>1</v>
      </c>
      <c r="D1" s="71" t="s">
        <v>2</v>
      </c>
      <c r="E1" s="71" t="s">
        <v>3</v>
      </c>
      <c r="F1" s="157" t="s">
        <v>794</v>
      </c>
      <c r="G1" s="142" t="s">
        <v>795</v>
      </c>
      <c r="H1" s="142" t="s">
        <v>796</v>
      </c>
      <c r="I1" s="142" t="s">
        <v>797</v>
      </c>
      <c r="J1" s="142" t="s">
        <v>798</v>
      </c>
    </row>
    <row r="2" spans="1:10" x14ac:dyDescent="0.25">
      <c r="A2" s="29">
        <v>1</v>
      </c>
      <c r="B2" s="72" t="s">
        <v>14</v>
      </c>
      <c r="C2" s="73">
        <v>337</v>
      </c>
      <c r="D2" s="72" t="s">
        <v>218</v>
      </c>
      <c r="E2" s="72" t="s">
        <v>313</v>
      </c>
      <c r="F2" s="19"/>
      <c r="G2" s="158"/>
      <c r="H2" s="158"/>
      <c r="I2" s="158"/>
      <c r="J2" s="158"/>
    </row>
    <row r="3" spans="1:10" x14ac:dyDescent="0.25">
      <c r="A3" s="29">
        <v>2</v>
      </c>
      <c r="B3" s="72" t="s">
        <v>14</v>
      </c>
      <c r="C3" s="73">
        <v>345</v>
      </c>
      <c r="D3" s="72" t="s">
        <v>315</v>
      </c>
      <c r="E3" s="72" t="s">
        <v>316</v>
      </c>
      <c r="F3" s="19"/>
      <c r="G3" s="155"/>
      <c r="H3" s="155"/>
      <c r="I3" s="155"/>
      <c r="J3" s="155"/>
    </row>
    <row r="4" spans="1:10" x14ac:dyDescent="0.25">
      <c r="A4" s="29">
        <v>3</v>
      </c>
      <c r="B4" s="72" t="s">
        <v>14</v>
      </c>
      <c r="C4" s="73">
        <v>787</v>
      </c>
      <c r="D4" s="72" t="s">
        <v>324</v>
      </c>
      <c r="E4" s="72" t="s">
        <v>325</v>
      </c>
      <c r="F4" s="19"/>
      <c r="G4" s="154"/>
      <c r="H4" s="154"/>
      <c r="I4" s="154"/>
      <c r="J4" s="154"/>
    </row>
    <row r="5" spans="1:10" x14ac:dyDescent="0.25">
      <c r="A5" s="29">
        <v>4</v>
      </c>
      <c r="B5" s="72" t="s">
        <v>14</v>
      </c>
      <c r="C5" s="73">
        <v>1587</v>
      </c>
      <c r="D5" s="72" t="s">
        <v>19</v>
      </c>
      <c r="E5" s="72" t="s">
        <v>308</v>
      </c>
      <c r="F5" s="19"/>
      <c r="G5" s="155"/>
      <c r="H5" s="155"/>
      <c r="I5" s="155"/>
      <c r="J5" s="155"/>
    </row>
    <row r="6" spans="1:10" x14ac:dyDescent="0.25">
      <c r="A6" s="29">
        <v>5</v>
      </c>
      <c r="B6" s="74" t="s">
        <v>14</v>
      </c>
      <c r="C6" s="74">
        <v>9040</v>
      </c>
      <c r="D6" s="74" t="s">
        <v>332</v>
      </c>
      <c r="E6" s="74" t="s">
        <v>333</v>
      </c>
      <c r="F6" s="19"/>
      <c r="G6" s="154"/>
      <c r="H6" s="154"/>
      <c r="I6" s="154"/>
      <c r="J6" s="154"/>
    </row>
    <row r="7" spans="1:10" x14ac:dyDescent="0.25">
      <c r="A7" s="29">
        <v>6</v>
      </c>
      <c r="B7" s="72" t="s">
        <v>320</v>
      </c>
      <c r="C7" s="73">
        <v>74015</v>
      </c>
      <c r="D7" s="72" t="s">
        <v>321</v>
      </c>
      <c r="E7" s="72" t="s">
        <v>322</v>
      </c>
      <c r="F7" s="19"/>
      <c r="G7" s="155"/>
      <c r="H7" s="155"/>
      <c r="I7" s="155"/>
      <c r="J7" s="155"/>
    </row>
    <row r="8" spans="1:10" x14ac:dyDescent="0.25">
      <c r="A8" s="29">
        <v>7</v>
      </c>
      <c r="B8" s="72" t="s">
        <v>75</v>
      </c>
      <c r="C8" s="73" t="s">
        <v>305</v>
      </c>
      <c r="D8" s="72" t="s">
        <v>306</v>
      </c>
      <c r="E8" s="72" t="s">
        <v>307</v>
      </c>
      <c r="F8" s="19"/>
      <c r="G8" s="154"/>
      <c r="H8" s="154"/>
      <c r="I8" s="154"/>
      <c r="J8" s="154"/>
    </row>
    <row r="9" spans="1:10" x14ac:dyDescent="0.25">
      <c r="A9" s="29">
        <v>8</v>
      </c>
      <c r="B9" s="72" t="s">
        <v>309</v>
      </c>
      <c r="C9" s="73" t="s">
        <v>310</v>
      </c>
      <c r="D9" s="72" t="s">
        <v>311</v>
      </c>
      <c r="E9" s="72" t="s">
        <v>312</v>
      </c>
      <c r="F9" s="19"/>
      <c r="G9" s="155"/>
      <c r="H9" s="155"/>
      <c r="I9" s="155"/>
      <c r="J9" s="155"/>
    </row>
    <row r="10" spans="1:10" x14ac:dyDescent="0.25">
      <c r="A10" s="29">
        <v>9</v>
      </c>
      <c r="B10" s="72" t="s">
        <v>14</v>
      </c>
      <c r="C10" s="73" t="s">
        <v>317</v>
      </c>
      <c r="D10" s="72" t="s">
        <v>318</v>
      </c>
      <c r="E10" s="72" t="s">
        <v>319</v>
      </c>
      <c r="F10" s="19"/>
      <c r="G10" s="154"/>
      <c r="H10" s="154"/>
      <c r="I10" s="154"/>
      <c r="J10" s="154"/>
    </row>
    <row r="11" spans="1:10" x14ac:dyDescent="0.25">
      <c r="A11" s="29">
        <v>10</v>
      </c>
      <c r="B11" s="72" t="s">
        <v>14</v>
      </c>
      <c r="C11" s="73" t="s">
        <v>56</v>
      </c>
      <c r="D11" s="72" t="s">
        <v>31</v>
      </c>
      <c r="E11" s="72" t="s">
        <v>326</v>
      </c>
      <c r="F11" s="19"/>
      <c r="G11" s="155"/>
      <c r="H11" s="155"/>
      <c r="I11" s="155"/>
      <c r="J11" s="155"/>
    </row>
    <row r="12" spans="1:10" x14ac:dyDescent="0.25">
      <c r="A12" s="29">
        <v>11</v>
      </c>
      <c r="B12" s="72" t="s">
        <v>14</v>
      </c>
      <c r="C12" s="73" t="s">
        <v>56</v>
      </c>
      <c r="D12" s="72" t="s">
        <v>31</v>
      </c>
      <c r="E12" s="72" t="s">
        <v>327</v>
      </c>
      <c r="F12" s="19"/>
      <c r="G12" s="154"/>
      <c r="H12" s="154"/>
      <c r="I12" s="154"/>
      <c r="J12" s="154"/>
    </row>
    <row r="13" spans="1:10" x14ac:dyDescent="0.25">
      <c r="A13" s="29">
        <v>12</v>
      </c>
      <c r="B13" s="72" t="s">
        <v>14</v>
      </c>
      <c r="C13" s="73" t="s">
        <v>328</v>
      </c>
      <c r="D13" s="72" t="s">
        <v>329</v>
      </c>
      <c r="E13" s="72" t="s">
        <v>330</v>
      </c>
      <c r="F13" s="19"/>
      <c r="G13" s="155"/>
      <c r="H13" s="155"/>
      <c r="I13" s="155"/>
      <c r="J13" s="155"/>
    </row>
    <row r="14" spans="1:10" x14ac:dyDescent="0.25">
      <c r="A14" s="29">
        <v>13</v>
      </c>
      <c r="B14" s="74" t="s">
        <v>14</v>
      </c>
      <c r="C14" s="74" t="s">
        <v>328</v>
      </c>
      <c r="D14" s="74" t="s">
        <v>329</v>
      </c>
      <c r="E14" s="74" t="s">
        <v>331</v>
      </c>
      <c r="F14" s="19"/>
      <c r="G14" s="154"/>
      <c r="H14" s="154"/>
      <c r="I14" s="154"/>
      <c r="J14" s="154"/>
    </row>
    <row r="15" spans="1:10" x14ac:dyDescent="0.25">
      <c r="A15" s="29">
        <v>14</v>
      </c>
      <c r="B15" s="74" t="s">
        <v>334</v>
      </c>
      <c r="C15" s="74" t="s">
        <v>335</v>
      </c>
      <c r="D15" s="74" t="s">
        <v>336</v>
      </c>
      <c r="E15" s="74" t="s">
        <v>337</v>
      </c>
      <c r="F15" s="19"/>
      <c r="G15" s="155"/>
      <c r="H15" s="155"/>
      <c r="I15" s="155"/>
      <c r="J15" s="155"/>
    </row>
    <row r="16" spans="1:10" s="2" customFormat="1" x14ac:dyDescent="0.25">
      <c r="A16" s="29">
        <v>15</v>
      </c>
      <c r="B16" s="75" t="s">
        <v>338</v>
      </c>
      <c r="C16" s="75" t="s">
        <v>339</v>
      </c>
      <c r="D16" s="75" t="s">
        <v>340</v>
      </c>
      <c r="E16" s="75" t="s">
        <v>341</v>
      </c>
      <c r="F16" s="21"/>
      <c r="G16" s="154"/>
      <c r="H16" s="154"/>
      <c r="I16" s="154"/>
      <c r="J16" s="154"/>
    </row>
    <row r="17" spans="1:10" s="5" customFormat="1" x14ac:dyDescent="0.25">
      <c r="A17" s="76">
        <v>16</v>
      </c>
      <c r="B17" s="20" t="s">
        <v>356</v>
      </c>
      <c r="C17" s="20" t="s">
        <v>357</v>
      </c>
      <c r="D17" s="20"/>
      <c r="E17" s="20" t="s">
        <v>358</v>
      </c>
      <c r="F17" s="20"/>
      <c r="G17" s="156"/>
      <c r="H17" s="156"/>
      <c r="I17" s="156"/>
      <c r="J17" s="156"/>
    </row>
    <row r="18" spans="1:10" s="5" customFormat="1" x14ac:dyDescent="0.25">
      <c r="A18" s="76">
        <v>17</v>
      </c>
      <c r="B18" s="77" t="s">
        <v>356</v>
      </c>
      <c r="C18" s="77" t="s">
        <v>357</v>
      </c>
      <c r="D18" s="77"/>
      <c r="E18" s="77" t="s">
        <v>359</v>
      </c>
      <c r="F18" s="19"/>
      <c r="G18" s="154"/>
      <c r="H18" s="154"/>
      <c r="I18" s="154"/>
      <c r="J18" s="154"/>
    </row>
    <row r="19" spans="1:10" x14ac:dyDescent="0.25">
      <c r="A19" s="29">
        <v>18</v>
      </c>
      <c r="B19" s="74" t="s">
        <v>14</v>
      </c>
      <c r="C19" s="74" t="s">
        <v>342</v>
      </c>
      <c r="D19" s="74" t="s">
        <v>343</v>
      </c>
      <c r="E19" s="74" t="s">
        <v>344</v>
      </c>
      <c r="F19" s="19"/>
      <c r="G19" s="155"/>
      <c r="H19" s="155"/>
      <c r="I19" s="155"/>
      <c r="J19" s="155"/>
    </row>
    <row r="20" spans="1:10" x14ac:dyDescent="0.25">
      <c r="A20" s="29">
        <v>19</v>
      </c>
      <c r="B20" s="74" t="s">
        <v>14</v>
      </c>
      <c r="C20" s="74" t="s">
        <v>345</v>
      </c>
      <c r="D20" s="74" t="s">
        <v>346</v>
      </c>
      <c r="E20" s="74" t="s">
        <v>347</v>
      </c>
      <c r="F20" s="19"/>
      <c r="G20" s="154"/>
      <c r="H20" s="154"/>
      <c r="I20" s="154"/>
      <c r="J20" s="154"/>
    </row>
    <row r="21" spans="1:10" s="5" customFormat="1" x14ac:dyDescent="0.25">
      <c r="A21" s="76">
        <v>20</v>
      </c>
      <c r="B21" s="74" t="s">
        <v>348</v>
      </c>
      <c r="C21" s="74" t="s">
        <v>349</v>
      </c>
      <c r="D21" s="74" t="s">
        <v>350</v>
      </c>
      <c r="E21" s="74" t="s">
        <v>351</v>
      </c>
      <c r="F21" s="20"/>
      <c r="G21" s="156"/>
      <c r="H21" s="156"/>
      <c r="I21" s="156"/>
      <c r="J21" s="156"/>
    </row>
    <row r="22" spans="1:10" s="5" customFormat="1" x14ac:dyDescent="0.25">
      <c r="A22" s="76">
        <v>21</v>
      </c>
      <c r="B22" s="74" t="s">
        <v>352</v>
      </c>
      <c r="C22" s="74" t="s">
        <v>353</v>
      </c>
      <c r="D22" s="74" t="s">
        <v>354</v>
      </c>
      <c r="E22" s="74" t="s">
        <v>355</v>
      </c>
      <c r="F22" s="19"/>
      <c r="G22" s="159"/>
      <c r="H22" s="159"/>
      <c r="I22" s="159"/>
      <c r="J22" s="159"/>
    </row>
    <row r="23" spans="1:10" x14ac:dyDescent="0.25">
      <c r="A23" s="36"/>
      <c r="B23" s="69"/>
      <c r="C23" s="69"/>
      <c r="D23" s="69"/>
      <c r="E23" s="69"/>
      <c r="F23" s="69"/>
      <c r="G23" s="69"/>
      <c r="H23" s="69"/>
      <c r="I23" s="69"/>
      <c r="J23" s="69"/>
    </row>
    <row r="24" spans="1:10" x14ac:dyDescent="0.25">
      <c r="A24" s="36"/>
      <c r="B24" s="123"/>
      <c r="C24" s="90"/>
      <c r="D24" s="36"/>
      <c r="E24" s="55" t="s">
        <v>791</v>
      </c>
      <c r="F24" s="29"/>
      <c r="G24" s="29"/>
      <c r="H24" s="29"/>
      <c r="I24" s="29"/>
    </row>
    <row r="25" spans="1:10" x14ac:dyDescent="0.25">
      <c r="E25" s="23"/>
    </row>
    <row r="26" spans="1:10" x14ac:dyDescent="0.25">
      <c r="E26" s="23"/>
    </row>
    <row r="27" spans="1:10" x14ac:dyDescent="0.25">
      <c r="E27" s="23"/>
    </row>
    <row r="28" spans="1:10" x14ac:dyDescent="0.25">
      <c r="E28" s="23"/>
    </row>
    <row r="29" spans="1:10" x14ac:dyDescent="0.25">
      <c r="E29" s="23"/>
    </row>
    <row r="60" spans="1:1" x14ac:dyDescent="0.25">
      <c r="A60" s="1">
        <f>COUNT(A2:A59)</f>
        <v>21</v>
      </c>
    </row>
  </sheetData>
  <sortState xmlns:xlrd2="http://schemas.microsoft.com/office/spreadsheetml/2017/richdata2" ref="B2:E12">
    <sortCondition ref="B2:B12"/>
  </sortState>
  <phoneticPr fontId="2" type="noConversion"/>
  <conditionalFormatting sqref="A1">
    <cfRule type="expression" dxfId="127" priority="1">
      <formula>MOD(ROW(),2)=0</formula>
    </cfRule>
  </conditionalFormatting>
  <conditionalFormatting sqref="B1:E1">
    <cfRule type="expression" dxfId="126" priority="2">
      <formula>MOD(ROW(),2)=0</formula>
    </cfRule>
  </conditionalFormatting>
  <pageMargins left="0.75" right="0.75" top="1" bottom="1" header="0.5" footer="0.5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0"/>
  <sheetViews>
    <sheetView workbookViewId="0">
      <selection activeCell="F1" sqref="F1:J1"/>
    </sheetView>
  </sheetViews>
  <sheetFormatPr defaultColWidth="50.28515625" defaultRowHeight="15" x14ac:dyDescent="0.25"/>
  <cols>
    <col min="1" max="1" width="6.28515625" style="1" bestFit="1" customWidth="1"/>
    <col min="2" max="2" width="21.140625" style="1" bestFit="1" customWidth="1"/>
    <col min="3" max="3" width="17.42578125" style="13" bestFit="1" customWidth="1"/>
    <col min="4" max="4" width="35.42578125" style="1" bestFit="1" customWidth="1"/>
    <col min="5" max="5" width="13.140625" style="1" bestFit="1" customWidth="1"/>
    <col min="6" max="6" width="18.7109375" style="1" customWidth="1"/>
    <col min="7" max="7" width="19.28515625" style="1" customWidth="1"/>
    <col min="8" max="8" width="18.42578125" style="1" customWidth="1"/>
    <col min="9" max="9" width="20" style="1" customWidth="1"/>
    <col min="10" max="10" width="19.140625" style="1" customWidth="1"/>
    <col min="11" max="16384" width="50.28515625" style="1"/>
  </cols>
  <sheetData>
    <row r="1" spans="1:10" ht="45" x14ac:dyDescent="0.25">
      <c r="A1" s="78" t="s">
        <v>12</v>
      </c>
      <c r="B1" s="71" t="s">
        <v>0</v>
      </c>
      <c r="C1" s="71" t="s">
        <v>1</v>
      </c>
      <c r="D1" s="71" t="s">
        <v>2</v>
      </c>
      <c r="E1" s="71" t="s">
        <v>3</v>
      </c>
      <c r="F1" s="157" t="s">
        <v>794</v>
      </c>
      <c r="G1" s="142" t="s">
        <v>795</v>
      </c>
      <c r="H1" s="142" t="s">
        <v>796</v>
      </c>
      <c r="I1" s="142" t="s">
        <v>797</v>
      </c>
      <c r="J1" s="142" t="s">
        <v>798</v>
      </c>
    </row>
    <row r="2" spans="1:10" x14ac:dyDescent="0.25">
      <c r="A2" s="29">
        <v>1</v>
      </c>
      <c r="B2" s="79" t="s">
        <v>84</v>
      </c>
      <c r="C2" s="80">
        <v>120</v>
      </c>
      <c r="D2" s="79" t="s">
        <v>85</v>
      </c>
      <c r="E2" s="79" t="s">
        <v>86</v>
      </c>
      <c r="F2" s="29"/>
      <c r="G2" s="146"/>
      <c r="H2" s="146"/>
      <c r="I2" s="146"/>
      <c r="J2" s="146"/>
    </row>
    <row r="3" spans="1:10" s="2" customFormat="1" x14ac:dyDescent="0.25">
      <c r="A3" s="29">
        <v>2</v>
      </c>
      <c r="B3" s="79" t="s">
        <v>84</v>
      </c>
      <c r="C3" s="80">
        <v>123</v>
      </c>
      <c r="D3" s="79" t="s">
        <v>91</v>
      </c>
      <c r="E3" s="79" t="s">
        <v>92</v>
      </c>
      <c r="F3" s="81"/>
      <c r="G3" s="149"/>
      <c r="H3" s="149"/>
      <c r="I3" s="149"/>
      <c r="J3" s="149"/>
    </row>
    <row r="4" spans="1:10" x14ac:dyDescent="0.25">
      <c r="A4" s="29">
        <v>3</v>
      </c>
      <c r="B4" s="82" t="s">
        <v>84</v>
      </c>
      <c r="C4" s="83">
        <v>128</v>
      </c>
      <c r="D4" s="82" t="s">
        <v>96</v>
      </c>
      <c r="E4" s="82" t="s">
        <v>97</v>
      </c>
      <c r="F4" s="29"/>
      <c r="G4" s="133"/>
      <c r="H4" s="133"/>
      <c r="I4" s="133"/>
      <c r="J4" s="133"/>
    </row>
    <row r="5" spans="1:10" x14ac:dyDescent="0.25">
      <c r="A5" s="29">
        <v>4</v>
      </c>
      <c r="B5" s="82" t="s">
        <v>84</v>
      </c>
      <c r="C5" s="83">
        <v>128</v>
      </c>
      <c r="D5" s="82" t="s">
        <v>96</v>
      </c>
      <c r="E5" s="82" t="s">
        <v>98</v>
      </c>
      <c r="F5" s="29"/>
      <c r="G5" s="133"/>
      <c r="H5" s="133"/>
      <c r="I5" s="133"/>
      <c r="J5" s="133"/>
    </row>
    <row r="6" spans="1:10" x14ac:dyDescent="0.25">
      <c r="A6" s="29">
        <v>5</v>
      </c>
      <c r="B6" s="79" t="s">
        <v>84</v>
      </c>
      <c r="C6" s="80">
        <v>196</v>
      </c>
      <c r="D6" s="79" t="s">
        <v>100</v>
      </c>
      <c r="E6" s="79" t="s">
        <v>101</v>
      </c>
      <c r="F6" s="29"/>
      <c r="G6" s="133"/>
      <c r="H6" s="133"/>
      <c r="I6" s="133"/>
      <c r="J6" s="133"/>
    </row>
    <row r="7" spans="1:10" x14ac:dyDescent="0.25">
      <c r="A7" s="29">
        <v>6</v>
      </c>
      <c r="B7" s="79" t="s">
        <v>84</v>
      </c>
      <c r="C7" s="80">
        <v>226</v>
      </c>
      <c r="D7" s="79" t="s">
        <v>106</v>
      </c>
      <c r="E7" s="79" t="s">
        <v>107</v>
      </c>
      <c r="F7" s="29"/>
      <c r="G7" s="133"/>
      <c r="H7" s="133"/>
      <c r="I7" s="133"/>
      <c r="J7" s="133"/>
    </row>
    <row r="8" spans="1:10" x14ac:dyDescent="0.25">
      <c r="A8" s="29">
        <v>7</v>
      </c>
      <c r="B8" s="79" t="s">
        <v>84</v>
      </c>
      <c r="C8" s="80">
        <v>239</v>
      </c>
      <c r="D8" s="79" t="s">
        <v>77</v>
      </c>
      <c r="E8" s="79" t="s">
        <v>108</v>
      </c>
      <c r="F8" s="29"/>
      <c r="G8" s="133"/>
      <c r="H8" s="133"/>
      <c r="I8" s="133"/>
      <c r="J8" s="133"/>
    </row>
    <row r="9" spans="1:10" s="2" customFormat="1" x14ac:dyDescent="0.25">
      <c r="A9" s="29">
        <v>8</v>
      </c>
      <c r="B9" s="79" t="s">
        <v>84</v>
      </c>
      <c r="C9" s="80">
        <v>254</v>
      </c>
      <c r="D9" s="79" t="s">
        <v>116</v>
      </c>
      <c r="E9" s="79" t="s">
        <v>117</v>
      </c>
      <c r="F9" s="81"/>
      <c r="G9" s="149"/>
      <c r="H9" s="149"/>
      <c r="I9" s="149"/>
      <c r="J9" s="149"/>
    </row>
    <row r="10" spans="1:10" x14ac:dyDescent="0.25">
      <c r="A10" s="29">
        <v>9</v>
      </c>
      <c r="B10" s="79" t="s">
        <v>84</v>
      </c>
      <c r="C10" s="80">
        <v>436</v>
      </c>
      <c r="D10" s="79" t="s">
        <v>136</v>
      </c>
      <c r="E10" s="79" t="s">
        <v>137</v>
      </c>
      <c r="F10" s="29"/>
      <c r="G10" s="133"/>
      <c r="H10" s="133"/>
      <c r="I10" s="133"/>
      <c r="J10" s="133"/>
    </row>
    <row r="11" spans="1:10" x14ac:dyDescent="0.25">
      <c r="A11" s="29">
        <v>10</v>
      </c>
      <c r="B11" s="79" t="s">
        <v>84</v>
      </c>
      <c r="C11" s="80">
        <v>436.1</v>
      </c>
      <c r="D11" s="79" t="s">
        <v>138</v>
      </c>
      <c r="E11" s="79" t="s">
        <v>139</v>
      </c>
      <c r="F11" s="29"/>
      <c r="G11" s="133"/>
      <c r="H11" s="133"/>
      <c r="I11" s="133"/>
      <c r="J11" s="133"/>
    </row>
    <row r="12" spans="1:10" x14ac:dyDescent="0.25">
      <c r="A12" s="29">
        <v>11</v>
      </c>
      <c r="B12" s="79" t="s">
        <v>84</v>
      </c>
      <c r="C12" s="80">
        <v>440</v>
      </c>
      <c r="D12" s="79" t="s">
        <v>140</v>
      </c>
      <c r="E12" s="79" t="s">
        <v>141</v>
      </c>
      <c r="F12" s="29"/>
      <c r="G12" s="133"/>
      <c r="H12" s="133"/>
      <c r="I12" s="133"/>
      <c r="J12" s="133"/>
    </row>
    <row r="13" spans="1:10" x14ac:dyDescent="0.25">
      <c r="A13" s="29">
        <v>12</v>
      </c>
      <c r="B13" s="79" t="s">
        <v>84</v>
      </c>
      <c r="C13" s="80">
        <v>443</v>
      </c>
      <c r="D13" s="79" t="s">
        <v>142</v>
      </c>
      <c r="E13" s="79" t="s">
        <v>143</v>
      </c>
      <c r="F13" s="29"/>
      <c r="G13" s="133"/>
      <c r="H13" s="133"/>
      <c r="I13" s="133"/>
      <c r="J13" s="133"/>
    </row>
    <row r="14" spans="1:10" x14ac:dyDescent="0.25">
      <c r="A14" s="29">
        <v>13</v>
      </c>
      <c r="B14" s="79" t="s">
        <v>84</v>
      </c>
      <c r="C14" s="80">
        <v>443</v>
      </c>
      <c r="D14" s="79" t="s">
        <v>142</v>
      </c>
      <c r="E14" s="79" t="s">
        <v>144</v>
      </c>
      <c r="F14" s="29"/>
      <c r="G14" s="133"/>
      <c r="H14" s="133"/>
      <c r="I14" s="133"/>
      <c r="J14" s="133"/>
    </row>
    <row r="15" spans="1:10" x14ac:dyDescent="0.25">
      <c r="A15" s="29">
        <v>14</v>
      </c>
      <c r="B15" s="79" t="s">
        <v>84</v>
      </c>
      <c r="C15" s="80">
        <v>724</v>
      </c>
      <c r="D15" s="79" t="s">
        <v>163</v>
      </c>
      <c r="E15" s="79" t="s">
        <v>164</v>
      </c>
      <c r="F15" s="29"/>
      <c r="G15" s="133"/>
      <c r="H15" s="133"/>
      <c r="I15" s="133"/>
      <c r="J15" s="133"/>
    </row>
    <row r="16" spans="1:10" x14ac:dyDescent="0.25">
      <c r="A16" s="29">
        <v>15</v>
      </c>
      <c r="B16" s="79" t="s">
        <v>84</v>
      </c>
      <c r="C16" s="80">
        <v>724</v>
      </c>
      <c r="D16" s="79" t="s">
        <v>163</v>
      </c>
      <c r="E16" s="79" t="s">
        <v>165</v>
      </c>
      <c r="F16" s="29"/>
      <c r="G16" s="133"/>
      <c r="H16" s="133"/>
      <c r="I16" s="133"/>
      <c r="J16" s="133"/>
    </row>
    <row r="17" spans="1:10" x14ac:dyDescent="0.25">
      <c r="A17" s="29">
        <v>16</v>
      </c>
      <c r="B17" s="79" t="s">
        <v>84</v>
      </c>
      <c r="C17" s="80">
        <v>724</v>
      </c>
      <c r="D17" s="79" t="s">
        <v>163</v>
      </c>
      <c r="E17" s="79" t="s">
        <v>166</v>
      </c>
      <c r="F17" s="29"/>
      <c r="G17" s="133"/>
      <c r="H17" s="133"/>
      <c r="I17" s="133"/>
      <c r="J17" s="133"/>
    </row>
    <row r="18" spans="1:10" s="2" customFormat="1" x14ac:dyDescent="0.25">
      <c r="A18" s="29">
        <v>17</v>
      </c>
      <c r="B18" s="79" t="s">
        <v>84</v>
      </c>
      <c r="C18" s="80">
        <v>724</v>
      </c>
      <c r="D18" s="79" t="s">
        <v>163</v>
      </c>
      <c r="E18" s="79" t="s">
        <v>167</v>
      </c>
      <c r="F18" s="81"/>
      <c r="G18" s="149"/>
      <c r="H18" s="149"/>
      <c r="I18" s="149"/>
      <c r="J18" s="149"/>
    </row>
    <row r="19" spans="1:10" x14ac:dyDescent="0.25">
      <c r="A19" s="29">
        <v>18</v>
      </c>
      <c r="B19" s="79" t="s">
        <v>84</v>
      </c>
      <c r="C19" s="80">
        <v>724</v>
      </c>
      <c r="D19" s="79" t="s">
        <v>163</v>
      </c>
      <c r="E19" s="79" t="s">
        <v>168</v>
      </c>
      <c r="F19" s="29"/>
      <c r="G19" s="133"/>
      <c r="H19" s="133"/>
      <c r="I19" s="133"/>
      <c r="J19" s="133"/>
    </row>
    <row r="20" spans="1:10" x14ac:dyDescent="0.25">
      <c r="A20" s="29">
        <v>19</v>
      </c>
      <c r="B20" s="79" t="s">
        <v>75</v>
      </c>
      <c r="C20" s="80" t="s">
        <v>76</v>
      </c>
      <c r="D20" s="79" t="s">
        <v>77</v>
      </c>
      <c r="E20" s="79" t="s">
        <v>78</v>
      </c>
      <c r="F20" s="29"/>
      <c r="G20" s="133"/>
      <c r="H20" s="133"/>
      <c r="I20" s="133"/>
      <c r="J20" s="133"/>
    </row>
    <row r="21" spans="1:10" x14ac:dyDescent="0.25">
      <c r="A21" s="29">
        <v>20</v>
      </c>
      <c r="B21" s="82" t="s">
        <v>79</v>
      </c>
      <c r="C21" s="83" t="s">
        <v>80</v>
      </c>
      <c r="D21" s="82" t="s">
        <v>81</v>
      </c>
      <c r="E21" s="82" t="s">
        <v>82</v>
      </c>
      <c r="F21" s="29"/>
      <c r="G21" s="133"/>
      <c r="H21" s="133"/>
      <c r="I21" s="133"/>
      <c r="J21" s="133"/>
    </row>
    <row r="22" spans="1:10" s="2" customFormat="1" x14ac:dyDescent="0.25">
      <c r="A22" s="29">
        <v>21</v>
      </c>
      <c r="B22" s="82" t="s">
        <v>79</v>
      </c>
      <c r="C22" s="83" t="s">
        <v>80</v>
      </c>
      <c r="D22" s="82" t="s">
        <v>81</v>
      </c>
      <c r="E22" s="82" t="s">
        <v>83</v>
      </c>
      <c r="F22" s="81"/>
      <c r="G22" s="149"/>
      <c r="H22" s="149"/>
      <c r="I22" s="149"/>
      <c r="J22" s="149"/>
    </row>
    <row r="23" spans="1:10" x14ac:dyDescent="0.25">
      <c r="A23" s="29">
        <v>22</v>
      </c>
      <c r="B23" s="82" t="s">
        <v>84</v>
      </c>
      <c r="C23" s="83" t="s">
        <v>87</v>
      </c>
      <c r="D23" s="82" t="s">
        <v>88</v>
      </c>
      <c r="E23" s="82" t="s">
        <v>89</v>
      </c>
      <c r="F23" s="29"/>
      <c r="G23" s="133"/>
      <c r="H23" s="133"/>
      <c r="I23" s="133"/>
      <c r="J23" s="133"/>
    </row>
    <row r="24" spans="1:10" x14ac:dyDescent="0.25">
      <c r="A24" s="29">
        <v>23</v>
      </c>
      <c r="B24" s="82" t="s">
        <v>84</v>
      </c>
      <c r="C24" s="83" t="s">
        <v>93</v>
      </c>
      <c r="D24" s="82" t="s">
        <v>94</v>
      </c>
      <c r="E24" s="82" t="s">
        <v>95</v>
      </c>
      <c r="F24" s="29"/>
      <c r="G24" s="133"/>
      <c r="H24" s="133"/>
      <c r="I24" s="133"/>
      <c r="J24" s="133"/>
    </row>
    <row r="25" spans="1:10" x14ac:dyDescent="0.25">
      <c r="A25" s="29">
        <v>24</v>
      </c>
      <c r="B25" s="82" t="s">
        <v>84</v>
      </c>
      <c r="C25" s="83" t="s">
        <v>102</v>
      </c>
      <c r="D25" s="82" t="s">
        <v>103</v>
      </c>
      <c r="E25" s="82" t="s">
        <v>104</v>
      </c>
      <c r="F25" s="29"/>
      <c r="G25" s="133"/>
      <c r="H25" s="133"/>
      <c r="I25" s="133"/>
      <c r="J25" s="133"/>
    </row>
    <row r="26" spans="1:10" x14ac:dyDescent="0.25">
      <c r="A26" s="29">
        <v>25</v>
      </c>
      <c r="B26" s="82" t="s">
        <v>84</v>
      </c>
      <c r="C26" s="83" t="s">
        <v>102</v>
      </c>
      <c r="D26" s="82" t="s">
        <v>103</v>
      </c>
      <c r="E26" s="82" t="s">
        <v>105</v>
      </c>
      <c r="F26" s="29"/>
      <c r="G26" s="133"/>
      <c r="H26" s="133"/>
      <c r="I26" s="133"/>
      <c r="J26" s="133"/>
    </row>
    <row r="27" spans="1:10" x14ac:dyDescent="0.25">
      <c r="A27" s="29">
        <v>26</v>
      </c>
      <c r="B27" s="82" t="s">
        <v>84</v>
      </c>
      <c r="C27" s="83" t="s">
        <v>109</v>
      </c>
      <c r="D27" s="82" t="s">
        <v>110</v>
      </c>
      <c r="E27" s="82" t="s">
        <v>111</v>
      </c>
      <c r="F27" s="29"/>
      <c r="G27" s="133"/>
      <c r="H27" s="133"/>
      <c r="I27" s="133"/>
      <c r="J27" s="133"/>
    </row>
    <row r="28" spans="1:10" x14ac:dyDescent="0.25">
      <c r="A28" s="29">
        <v>27</v>
      </c>
      <c r="B28" s="82" t="s">
        <v>84</v>
      </c>
      <c r="C28" s="83" t="s">
        <v>112</v>
      </c>
      <c r="D28" s="82" t="s">
        <v>113</v>
      </c>
      <c r="E28" s="82" t="s">
        <v>114</v>
      </c>
      <c r="F28" s="29"/>
      <c r="G28" s="133"/>
      <c r="H28" s="133"/>
      <c r="I28" s="133"/>
      <c r="J28" s="133"/>
    </row>
    <row r="29" spans="1:10" x14ac:dyDescent="0.25">
      <c r="A29" s="29">
        <v>28</v>
      </c>
      <c r="B29" s="82" t="s">
        <v>84</v>
      </c>
      <c r="C29" s="83" t="s">
        <v>112</v>
      </c>
      <c r="D29" s="82" t="s">
        <v>113</v>
      </c>
      <c r="E29" s="82" t="s">
        <v>115</v>
      </c>
      <c r="F29" s="29"/>
      <c r="G29" s="133"/>
      <c r="H29" s="133"/>
      <c r="I29" s="133"/>
      <c r="J29" s="133"/>
    </row>
    <row r="30" spans="1:10" x14ac:dyDescent="0.25">
      <c r="A30" s="29">
        <v>29</v>
      </c>
      <c r="B30" s="82" t="s">
        <v>84</v>
      </c>
      <c r="C30" s="83" t="s">
        <v>118</v>
      </c>
      <c r="D30" s="82" t="s">
        <v>119</v>
      </c>
      <c r="E30" s="82" t="s">
        <v>120</v>
      </c>
      <c r="F30" s="29"/>
      <c r="G30" s="133"/>
      <c r="H30" s="133"/>
      <c r="I30" s="133"/>
      <c r="J30" s="133"/>
    </row>
    <row r="31" spans="1:10" x14ac:dyDescent="0.25">
      <c r="A31" s="29">
        <v>30</v>
      </c>
      <c r="B31" s="82" t="s">
        <v>84</v>
      </c>
      <c r="C31" s="83" t="s">
        <v>118</v>
      </c>
      <c r="D31" s="82" t="s">
        <v>119</v>
      </c>
      <c r="E31" s="82" t="s">
        <v>121</v>
      </c>
      <c r="F31" s="29"/>
      <c r="G31" s="133"/>
      <c r="H31" s="133"/>
      <c r="I31" s="133"/>
      <c r="J31" s="133"/>
    </row>
    <row r="32" spans="1:10" x14ac:dyDescent="0.25">
      <c r="A32" s="29">
        <v>31</v>
      </c>
      <c r="B32" s="82" t="s">
        <v>84</v>
      </c>
      <c r="C32" s="83" t="s">
        <v>118</v>
      </c>
      <c r="D32" s="82" t="s">
        <v>119</v>
      </c>
      <c r="E32" s="82" t="s">
        <v>122</v>
      </c>
      <c r="F32" s="29"/>
      <c r="G32" s="133"/>
      <c r="H32" s="133"/>
      <c r="I32" s="133"/>
      <c r="J32" s="133"/>
    </row>
    <row r="33" spans="1:10" x14ac:dyDescent="0.25">
      <c r="A33" s="29">
        <v>32</v>
      </c>
      <c r="B33" s="79" t="s">
        <v>84</v>
      </c>
      <c r="C33" s="80" t="s">
        <v>118</v>
      </c>
      <c r="D33" s="79" t="s">
        <v>119</v>
      </c>
      <c r="E33" s="79" t="s">
        <v>123</v>
      </c>
      <c r="F33" s="29"/>
      <c r="G33" s="133"/>
      <c r="H33" s="133"/>
      <c r="I33" s="133"/>
      <c r="J33" s="133"/>
    </row>
    <row r="34" spans="1:10" x14ac:dyDescent="0.25">
      <c r="A34" s="29">
        <v>33</v>
      </c>
      <c r="B34" s="79" t="s">
        <v>84</v>
      </c>
      <c r="C34" s="80" t="s">
        <v>118</v>
      </c>
      <c r="D34" s="79" t="s">
        <v>119</v>
      </c>
      <c r="E34" s="79" t="s">
        <v>124</v>
      </c>
      <c r="F34" s="29"/>
      <c r="G34" s="133"/>
      <c r="H34" s="133"/>
      <c r="I34" s="133"/>
      <c r="J34" s="133"/>
    </row>
    <row r="35" spans="1:10" x14ac:dyDescent="0.25">
      <c r="A35" s="29">
        <v>34</v>
      </c>
      <c r="B35" s="79" t="s">
        <v>84</v>
      </c>
      <c r="C35" s="80" t="s">
        <v>125</v>
      </c>
      <c r="D35" s="79" t="s">
        <v>126</v>
      </c>
      <c r="E35" s="79" t="s">
        <v>127</v>
      </c>
      <c r="F35" s="29"/>
      <c r="G35" s="133"/>
      <c r="H35" s="133"/>
      <c r="I35" s="133"/>
      <c r="J35" s="133"/>
    </row>
    <row r="36" spans="1:10" s="5" customFormat="1" x14ac:dyDescent="0.25">
      <c r="A36" s="76">
        <v>35</v>
      </c>
      <c r="B36" s="84" t="s">
        <v>75</v>
      </c>
      <c r="C36" s="85" t="s">
        <v>128</v>
      </c>
      <c r="D36" s="84" t="s">
        <v>129</v>
      </c>
      <c r="E36" s="84" t="s">
        <v>130</v>
      </c>
      <c r="F36" s="29"/>
      <c r="G36" s="133"/>
      <c r="H36" s="133"/>
      <c r="I36" s="133"/>
      <c r="J36" s="150"/>
    </row>
    <row r="37" spans="1:10" s="2" customFormat="1" x14ac:dyDescent="0.25">
      <c r="A37" s="29">
        <v>36</v>
      </c>
      <c r="B37" s="79" t="s">
        <v>131</v>
      </c>
      <c r="C37" s="80" t="s">
        <v>132</v>
      </c>
      <c r="D37" s="79" t="s">
        <v>133</v>
      </c>
      <c r="E37" s="79" t="s">
        <v>134</v>
      </c>
      <c r="F37" s="81"/>
      <c r="G37" s="149"/>
      <c r="H37" s="149"/>
      <c r="I37" s="149"/>
      <c r="J37" s="149"/>
    </row>
    <row r="38" spans="1:10" x14ac:dyDescent="0.25">
      <c r="A38" s="29">
        <v>37</v>
      </c>
      <c r="B38" s="79" t="s">
        <v>145</v>
      </c>
      <c r="C38" s="80" t="s">
        <v>147</v>
      </c>
      <c r="D38" s="79" t="s">
        <v>201</v>
      </c>
      <c r="E38" s="79" t="s">
        <v>146</v>
      </c>
      <c r="F38" s="29"/>
      <c r="G38" s="133"/>
      <c r="H38" s="133"/>
      <c r="I38" s="133"/>
      <c r="J38" s="133"/>
    </row>
    <row r="39" spans="1:10" x14ac:dyDescent="0.25">
      <c r="A39" s="29">
        <v>38</v>
      </c>
      <c r="B39" s="79" t="s">
        <v>145</v>
      </c>
      <c r="C39" s="80" t="s">
        <v>147</v>
      </c>
      <c r="D39" s="79" t="s">
        <v>201</v>
      </c>
      <c r="E39" s="79" t="s">
        <v>148</v>
      </c>
      <c r="F39" s="29"/>
      <c r="G39" s="133"/>
      <c r="H39" s="133"/>
      <c r="I39" s="133"/>
      <c r="J39" s="133"/>
    </row>
    <row r="40" spans="1:10" s="5" customFormat="1" x14ac:dyDescent="0.25">
      <c r="A40" s="76">
        <v>39</v>
      </c>
      <c r="B40" s="84" t="s">
        <v>149</v>
      </c>
      <c r="C40" s="85" t="s">
        <v>150</v>
      </c>
      <c r="D40" s="84" t="s">
        <v>151</v>
      </c>
      <c r="E40" s="84" t="s">
        <v>152</v>
      </c>
      <c r="F40" s="29"/>
      <c r="G40" s="133"/>
      <c r="H40" s="133"/>
      <c r="I40" s="133"/>
      <c r="J40" s="150"/>
    </row>
    <row r="41" spans="1:10" s="5" customFormat="1" x14ac:dyDescent="0.25">
      <c r="A41" s="76">
        <v>40</v>
      </c>
      <c r="B41" s="86" t="s">
        <v>145</v>
      </c>
      <c r="C41" s="87" t="s">
        <v>153</v>
      </c>
      <c r="D41" s="86" t="s">
        <v>151</v>
      </c>
      <c r="E41" s="86" t="s">
        <v>154</v>
      </c>
      <c r="F41" s="76"/>
      <c r="G41" s="150"/>
      <c r="H41" s="150"/>
      <c r="I41" s="150"/>
      <c r="J41" s="150"/>
    </row>
    <row r="42" spans="1:10" s="5" customFormat="1" x14ac:dyDescent="0.25">
      <c r="A42" s="76">
        <v>41</v>
      </c>
      <c r="B42" s="88" t="s">
        <v>145</v>
      </c>
      <c r="C42" s="89" t="s">
        <v>155</v>
      </c>
      <c r="D42" s="88" t="s">
        <v>156</v>
      </c>
      <c r="E42" s="88" t="s">
        <v>157</v>
      </c>
      <c r="F42" s="29"/>
      <c r="G42" s="133"/>
      <c r="H42" s="133"/>
      <c r="I42" s="133"/>
      <c r="J42" s="150"/>
    </row>
    <row r="43" spans="1:10" x14ac:dyDescent="0.25">
      <c r="A43" s="29">
        <v>42</v>
      </c>
      <c r="B43" s="79" t="s">
        <v>145</v>
      </c>
      <c r="C43" s="80" t="s">
        <v>158</v>
      </c>
      <c r="D43" s="79" t="s">
        <v>159</v>
      </c>
      <c r="E43" s="79" t="s">
        <v>160</v>
      </c>
      <c r="F43" s="29"/>
      <c r="G43" s="133"/>
      <c r="H43" s="133"/>
      <c r="I43" s="133"/>
      <c r="J43" s="133"/>
    </row>
    <row r="44" spans="1:10" x14ac:dyDescent="0.25">
      <c r="A44" s="29">
        <v>43</v>
      </c>
      <c r="B44" s="79" t="s">
        <v>131</v>
      </c>
      <c r="C44" s="80" t="s">
        <v>161</v>
      </c>
      <c r="D44" s="79" t="s">
        <v>161</v>
      </c>
      <c r="E44" s="79" t="s">
        <v>162</v>
      </c>
      <c r="F44" s="29"/>
      <c r="G44" s="133"/>
      <c r="H44" s="133"/>
      <c r="I44" s="133"/>
      <c r="J44" s="133"/>
    </row>
    <row r="45" spans="1:10" x14ac:dyDescent="0.25">
      <c r="A45" s="29">
        <v>44</v>
      </c>
      <c r="B45" s="79" t="s">
        <v>84</v>
      </c>
      <c r="C45" s="80" t="s">
        <v>169</v>
      </c>
      <c r="D45" s="79" t="s">
        <v>170</v>
      </c>
      <c r="E45" s="79" t="s">
        <v>171</v>
      </c>
      <c r="F45" s="29"/>
      <c r="G45" s="133"/>
      <c r="H45" s="133"/>
      <c r="I45" s="133"/>
      <c r="J45" s="133"/>
    </row>
    <row r="46" spans="1:10" x14ac:dyDescent="0.25">
      <c r="A46" s="29">
        <v>45</v>
      </c>
      <c r="B46" s="79" t="s">
        <v>149</v>
      </c>
      <c r="C46" s="80" t="s">
        <v>172</v>
      </c>
      <c r="D46" s="79" t="s">
        <v>173</v>
      </c>
      <c r="E46" s="79" t="s">
        <v>174</v>
      </c>
      <c r="F46" s="29"/>
      <c r="G46" s="133"/>
      <c r="H46" s="133"/>
      <c r="I46" s="133"/>
      <c r="J46" s="133"/>
    </row>
    <row r="47" spans="1:10" x14ac:dyDescent="0.25">
      <c r="A47" s="29">
        <v>46</v>
      </c>
      <c r="B47" s="79" t="s">
        <v>84</v>
      </c>
      <c r="C47" s="80" t="s">
        <v>175</v>
      </c>
      <c r="D47" s="79" t="s">
        <v>176</v>
      </c>
      <c r="E47" s="79" t="s">
        <v>177</v>
      </c>
      <c r="F47" s="29"/>
      <c r="G47" s="133"/>
      <c r="H47" s="133"/>
      <c r="I47" s="133"/>
      <c r="J47" s="133"/>
    </row>
    <row r="48" spans="1:10" x14ac:dyDescent="0.25">
      <c r="A48" s="29">
        <v>47</v>
      </c>
      <c r="B48" s="79" t="s">
        <v>84</v>
      </c>
      <c r="C48" s="80" t="s">
        <v>178</v>
      </c>
      <c r="D48" s="79" t="s">
        <v>179</v>
      </c>
      <c r="E48" s="79" t="s">
        <v>180</v>
      </c>
      <c r="F48" s="29"/>
      <c r="G48" s="133"/>
      <c r="H48" s="133"/>
      <c r="I48" s="133"/>
      <c r="J48" s="133"/>
    </row>
    <row r="49" spans="1:10" x14ac:dyDescent="0.25">
      <c r="A49" s="29">
        <v>48</v>
      </c>
      <c r="B49" s="79" t="s">
        <v>84</v>
      </c>
      <c r="C49" s="80" t="s">
        <v>181</v>
      </c>
      <c r="D49" s="79" t="s">
        <v>182</v>
      </c>
      <c r="E49" s="79" t="s">
        <v>183</v>
      </c>
      <c r="F49" s="29"/>
      <c r="G49" s="133"/>
      <c r="H49" s="133"/>
      <c r="I49" s="133"/>
      <c r="J49" s="133"/>
    </row>
    <row r="50" spans="1:10" x14ac:dyDescent="0.25">
      <c r="A50" s="29">
        <v>49</v>
      </c>
      <c r="B50" s="79" t="s">
        <v>84</v>
      </c>
      <c r="C50" s="80" t="s">
        <v>181</v>
      </c>
      <c r="D50" s="79" t="s">
        <v>182</v>
      </c>
      <c r="E50" s="79" t="s">
        <v>184</v>
      </c>
      <c r="F50" s="29"/>
      <c r="G50" s="133"/>
      <c r="H50" s="133"/>
      <c r="I50" s="133"/>
      <c r="J50" s="133"/>
    </row>
    <row r="51" spans="1:10" x14ac:dyDescent="0.25">
      <c r="A51" s="29">
        <v>50</v>
      </c>
      <c r="B51" s="79" t="s">
        <v>84</v>
      </c>
      <c r="C51" s="80" t="s">
        <v>181</v>
      </c>
      <c r="D51" s="79" t="s">
        <v>182</v>
      </c>
      <c r="E51" s="79" t="s">
        <v>185</v>
      </c>
      <c r="F51" s="29"/>
      <c r="G51" s="133"/>
      <c r="H51" s="133"/>
      <c r="I51" s="133"/>
      <c r="J51" s="133"/>
    </row>
    <row r="52" spans="1:10" x14ac:dyDescent="0.25">
      <c r="A52" s="29">
        <v>51</v>
      </c>
      <c r="B52" s="79" t="s">
        <v>84</v>
      </c>
      <c r="C52" s="80" t="s">
        <v>186</v>
      </c>
      <c r="D52" s="79" t="s">
        <v>187</v>
      </c>
      <c r="E52" s="79" t="s">
        <v>188</v>
      </c>
      <c r="F52" s="29"/>
      <c r="G52" s="133"/>
      <c r="H52" s="133"/>
      <c r="I52" s="133"/>
      <c r="J52" s="133"/>
    </row>
    <row r="53" spans="1:10" s="5" customFormat="1" x14ac:dyDescent="0.25">
      <c r="A53" s="76">
        <v>52</v>
      </c>
      <c r="B53" s="86" t="s">
        <v>84</v>
      </c>
      <c r="C53" s="87" t="s">
        <v>189</v>
      </c>
      <c r="D53" s="86" t="s">
        <v>190</v>
      </c>
      <c r="E53" s="86" t="s">
        <v>191</v>
      </c>
      <c r="F53" s="76"/>
      <c r="G53" s="150"/>
      <c r="H53" s="150"/>
      <c r="I53" s="150"/>
      <c r="J53" s="150"/>
    </row>
    <row r="54" spans="1:10" s="5" customFormat="1" x14ac:dyDescent="0.25">
      <c r="A54" s="76">
        <v>53</v>
      </c>
      <c r="B54" s="84" t="s">
        <v>84</v>
      </c>
      <c r="C54" s="85" t="s">
        <v>192</v>
      </c>
      <c r="D54" s="84" t="s">
        <v>193</v>
      </c>
      <c r="E54" s="84" t="s">
        <v>194</v>
      </c>
      <c r="F54" s="26"/>
      <c r="G54" s="151"/>
      <c r="H54" s="151"/>
      <c r="I54" s="151"/>
      <c r="J54" s="150"/>
    </row>
    <row r="55" spans="1:10" s="5" customFormat="1" x14ac:dyDescent="0.25">
      <c r="A55" s="76">
        <v>54</v>
      </c>
      <c r="B55" s="86" t="s">
        <v>84</v>
      </c>
      <c r="C55" s="87" t="s">
        <v>195</v>
      </c>
      <c r="D55" s="86" t="s">
        <v>196</v>
      </c>
      <c r="E55" s="86" t="s">
        <v>197</v>
      </c>
      <c r="F55" s="29"/>
      <c r="G55" s="133"/>
      <c r="H55" s="133"/>
      <c r="I55" s="133"/>
      <c r="J55" s="150"/>
    </row>
    <row r="56" spans="1:10" s="5" customFormat="1" x14ac:dyDescent="0.25">
      <c r="A56" s="76">
        <v>55</v>
      </c>
      <c r="B56" s="84" t="s">
        <v>84</v>
      </c>
      <c r="C56" s="85" t="s">
        <v>198</v>
      </c>
      <c r="D56" s="84" t="s">
        <v>199</v>
      </c>
      <c r="E56" s="84" t="s">
        <v>200</v>
      </c>
      <c r="F56" s="29"/>
      <c r="G56" s="147"/>
      <c r="H56" s="147"/>
      <c r="I56" s="147"/>
      <c r="J56" s="153"/>
    </row>
    <row r="57" spans="1:10" x14ac:dyDescent="0.25">
      <c r="A57" s="36"/>
      <c r="B57" s="143"/>
      <c r="C57" s="144"/>
      <c r="D57" s="143"/>
      <c r="E57" s="143"/>
      <c r="F57" s="148"/>
      <c r="G57" s="152"/>
      <c r="H57" s="152"/>
      <c r="I57" s="152"/>
      <c r="J57" s="152"/>
    </row>
    <row r="58" spans="1:10" x14ac:dyDescent="0.25">
      <c r="A58" s="36"/>
      <c r="B58" s="36"/>
      <c r="C58" s="90"/>
      <c r="D58" s="36"/>
      <c r="E58" s="55" t="s">
        <v>791</v>
      </c>
      <c r="F58" s="133"/>
      <c r="G58" s="133"/>
      <c r="H58" s="133"/>
      <c r="I58" s="133"/>
      <c r="J58" s="133"/>
    </row>
    <row r="60" spans="1:10" x14ac:dyDescent="0.25">
      <c r="A60" s="1">
        <f>COUNT(A2:A59)</f>
        <v>55</v>
      </c>
    </row>
  </sheetData>
  <sortState xmlns:xlrd2="http://schemas.microsoft.com/office/spreadsheetml/2017/richdata2" ref="B2:E42">
    <sortCondition ref="B2:B42"/>
  </sortState>
  <phoneticPr fontId="2" type="noConversion"/>
  <conditionalFormatting sqref="A1">
    <cfRule type="expression" dxfId="125" priority="1">
      <formula>MOD(ROW(),2)=0</formula>
    </cfRule>
  </conditionalFormatting>
  <conditionalFormatting sqref="B1:E1">
    <cfRule type="expression" dxfId="124" priority="2">
      <formula>MOD(ROW(),2)=0</formula>
    </cfRule>
  </conditionalFormatting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9"/>
  <sheetViews>
    <sheetView workbookViewId="0">
      <selection activeCell="F1" sqref="F1:J1"/>
    </sheetView>
  </sheetViews>
  <sheetFormatPr defaultColWidth="25.42578125" defaultRowHeight="15" x14ac:dyDescent="0.25"/>
  <cols>
    <col min="1" max="1" width="6.28515625" style="1" bestFit="1" customWidth="1"/>
    <col min="2" max="2" width="30.42578125" style="1" bestFit="1" customWidth="1"/>
    <col min="3" max="3" width="11" style="13" bestFit="1" customWidth="1"/>
    <col min="4" max="4" width="37.42578125" style="1" bestFit="1" customWidth="1"/>
    <col min="5" max="5" width="12.5703125" style="1" bestFit="1" customWidth="1"/>
    <col min="6" max="6" width="20.140625" style="1" customWidth="1"/>
    <col min="7" max="7" width="18.42578125" style="1" customWidth="1"/>
    <col min="8" max="9" width="19.28515625" style="1" customWidth="1"/>
    <col min="10" max="10" width="18.7109375" style="1" customWidth="1"/>
    <col min="11" max="16384" width="25.42578125" style="1"/>
  </cols>
  <sheetData>
    <row r="1" spans="1:10" ht="30" x14ac:dyDescent="0.25">
      <c r="A1" s="70" t="s">
        <v>12</v>
      </c>
      <c r="B1" s="57" t="s">
        <v>0</v>
      </c>
      <c r="C1" s="57" t="s">
        <v>1</v>
      </c>
      <c r="D1" s="57" t="s">
        <v>2</v>
      </c>
      <c r="E1" s="57" t="s">
        <v>3</v>
      </c>
      <c r="F1" s="124" t="s">
        <v>794</v>
      </c>
      <c r="G1" s="142" t="s">
        <v>795</v>
      </c>
      <c r="H1" s="142" t="s">
        <v>796</v>
      </c>
      <c r="I1" s="142" t="s">
        <v>797</v>
      </c>
      <c r="J1" s="142" t="s">
        <v>798</v>
      </c>
    </row>
    <row r="2" spans="1:10" x14ac:dyDescent="0.25">
      <c r="A2" s="91">
        <v>1</v>
      </c>
      <c r="B2" s="92" t="s">
        <v>84</v>
      </c>
      <c r="C2" s="93">
        <v>445</v>
      </c>
      <c r="D2" s="92" t="s">
        <v>593</v>
      </c>
      <c r="E2" s="92" t="s">
        <v>683</v>
      </c>
      <c r="F2" s="29"/>
      <c r="G2" s="146"/>
      <c r="H2" s="146"/>
      <c r="I2" s="146"/>
      <c r="J2" s="146"/>
    </row>
    <row r="3" spans="1:10" x14ac:dyDescent="0.25">
      <c r="A3" s="91">
        <v>2</v>
      </c>
      <c r="B3" s="92" t="s">
        <v>14</v>
      </c>
      <c r="C3" s="93">
        <v>707</v>
      </c>
      <c r="D3" s="92" t="s">
        <v>48</v>
      </c>
      <c r="E3" s="92" t="s">
        <v>684</v>
      </c>
      <c r="F3" s="29"/>
      <c r="G3" s="133"/>
      <c r="H3" s="133"/>
      <c r="I3" s="133"/>
      <c r="J3" s="133"/>
    </row>
    <row r="4" spans="1:10" x14ac:dyDescent="0.25">
      <c r="A4" s="91">
        <v>3</v>
      </c>
      <c r="B4" s="92" t="s">
        <v>14</v>
      </c>
      <c r="C4" s="93">
        <v>789</v>
      </c>
      <c r="D4" s="92" t="s">
        <v>324</v>
      </c>
      <c r="E4" s="92" t="s">
        <v>685</v>
      </c>
      <c r="F4" s="29"/>
      <c r="G4" s="133"/>
      <c r="H4" s="133"/>
      <c r="I4" s="133"/>
      <c r="J4" s="133"/>
    </row>
    <row r="5" spans="1:10" x14ac:dyDescent="0.25">
      <c r="A5" s="91">
        <v>4</v>
      </c>
      <c r="B5" s="92" t="s">
        <v>14</v>
      </c>
      <c r="C5" s="93">
        <v>789</v>
      </c>
      <c r="D5" s="92" t="s">
        <v>324</v>
      </c>
      <c r="E5" s="92" t="s">
        <v>686</v>
      </c>
      <c r="F5" s="29"/>
      <c r="G5" s="133"/>
      <c r="H5" s="133"/>
      <c r="I5" s="133"/>
      <c r="J5" s="133"/>
    </row>
    <row r="6" spans="1:10" x14ac:dyDescent="0.25">
      <c r="A6" s="91">
        <v>5</v>
      </c>
      <c r="B6" s="92" t="s">
        <v>14</v>
      </c>
      <c r="C6" s="93" t="s">
        <v>680</v>
      </c>
      <c r="D6" s="92" t="s">
        <v>681</v>
      </c>
      <c r="E6" s="92" t="s">
        <v>682</v>
      </c>
      <c r="F6" s="29"/>
      <c r="G6" s="133"/>
      <c r="H6" s="133"/>
      <c r="I6" s="133"/>
      <c r="J6" s="133"/>
    </row>
    <row r="7" spans="1:10" x14ac:dyDescent="0.25">
      <c r="A7" s="91">
        <v>6</v>
      </c>
      <c r="B7" s="92" t="s">
        <v>84</v>
      </c>
      <c r="C7" s="93" t="s">
        <v>687</v>
      </c>
      <c r="D7" s="92" t="s">
        <v>688</v>
      </c>
      <c r="E7" s="92" t="s">
        <v>689</v>
      </c>
      <c r="F7" s="29"/>
      <c r="G7" s="133"/>
      <c r="H7" s="133"/>
      <c r="I7" s="133"/>
      <c r="J7" s="133"/>
    </row>
    <row r="8" spans="1:10" x14ac:dyDescent="0.25">
      <c r="A8" s="91">
        <v>7</v>
      </c>
      <c r="B8" s="92" t="s">
        <v>14</v>
      </c>
      <c r="C8" s="93" t="s">
        <v>241</v>
      </c>
      <c r="D8" s="92" t="s">
        <v>242</v>
      </c>
      <c r="E8" s="92" t="s">
        <v>690</v>
      </c>
      <c r="F8" s="29"/>
      <c r="G8" s="133"/>
      <c r="H8" s="133"/>
      <c r="I8" s="133"/>
      <c r="J8" s="133"/>
    </row>
    <row r="9" spans="1:10" x14ac:dyDescent="0.25">
      <c r="A9" s="91">
        <v>8</v>
      </c>
      <c r="B9" s="92" t="s">
        <v>14</v>
      </c>
      <c r="C9" s="93" t="s">
        <v>241</v>
      </c>
      <c r="D9" s="92" t="s">
        <v>242</v>
      </c>
      <c r="E9" s="92" t="s">
        <v>691</v>
      </c>
      <c r="F9" s="29"/>
      <c r="G9" s="133"/>
      <c r="H9" s="133"/>
      <c r="I9" s="133"/>
      <c r="J9" s="133"/>
    </row>
    <row r="10" spans="1:10" x14ac:dyDescent="0.25">
      <c r="A10" s="91">
        <v>9</v>
      </c>
      <c r="B10" s="92" t="s">
        <v>14</v>
      </c>
      <c r="C10" s="93" t="s">
        <v>56</v>
      </c>
      <c r="D10" s="92" t="s">
        <v>31</v>
      </c>
      <c r="E10" s="92" t="s">
        <v>692</v>
      </c>
      <c r="F10" s="29"/>
      <c r="G10" s="133"/>
      <c r="H10" s="133"/>
      <c r="I10" s="133"/>
      <c r="J10" s="133"/>
    </row>
    <row r="11" spans="1:10" x14ac:dyDescent="0.25">
      <c r="A11" s="91">
        <v>10</v>
      </c>
      <c r="B11" s="92" t="s">
        <v>14</v>
      </c>
      <c r="C11" s="93" t="s">
        <v>56</v>
      </c>
      <c r="D11" s="92" t="s">
        <v>31</v>
      </c>
      <c r="E11" s="92" t="s">
        <v>693</v>
      </c>
      <c r="F11" s="29"/>
      <c r="G11" s="133"/>
      <c r="H11" s="133"/>
      <c r="I11" s="133"/>
      <c r="J11" s="133"/>
    </row>
    <row r="12" spans="1:10" x14ac:dyDescent="0.25">
      <c r="A12" s="91">
        <v>11</v>
      </c>
      <c r="B12" s="92" t="s">
        <v>14</v>
      </c>
      <c r="C12" s="93" t="s">
        <v>56</v>
      </c>
      <c r="D12" s="92" t="s">
        <v>31</v>
      </c>
      <c r="E12" s="92" t="s">
        <v>694</v>
      </c>
      <c r="F12" s="29"/>
      <c r="G12" s="133"/>
      <c r="H12" s="133"/>
      <c r="I12" s="133"/>
      <c r="J12" s="133"/>
    </row>
    <row r="13" spans="1:10" x14ac:dyDescent="0.25">
      <c r="A13" s="91">
        <v>12</v>
      </c>
      <c r="B13" s="92" t="s">
        <v>695</v>
      </c>
      <c r="C13" s="93" t="s">
        <v>696</v>
      </c>
      <c r="D13" s="92" t="s">
        <v>697</v>
      </c>
      <c r="E13" s="92" t="s">
        <v>698</v>
      </c>
      <c r="F13" s="29"/>
      <c r="G13" s="133"/>
      <c r="H13" s="133"/>
      <c r="I13" s="133"/>
      <c r="J13" s="133"/>
    </row>
    <row r="14" spans="1:10" x14ac:dyDescent="0.25">
      <c r="A14" s="91">
        <v>13</v>
      </c>
      <c r="B14" s="92" t="s">
        <v>699</v>
      </c>
      <c r="C14" s="93" t="s">
        <v>700</v>
      </c>
      <c r="D14" s="92" t="s">
        <v>701</v>
      </c>
      <c r="E14" s="92" t="s">
        <v>702</v>
      </c>
      <c r="F14" s="29"/>
      <c r="G14" s="133"/>
      <c r="H14" s="133"/>
      <c r="I14" s="133"/>
      <c r="J14" s="133"/>
    </row>
    <row r="15" spans="1:10" x14ac:dyDescent="0.25">
      <c r="A15" s="91">
        <v>14</v>
      </c>
      <c r="B15" s="92" t="s">
        <v>703</v>
      </c>
      <c r="C15" s="93" t="s">
        <v>704</v>
      </c>
      <c r="D15" s="92" t="s">
        <v>705</v>
      </c>
      <c r="E15" s="92" t="s">
        <v>706</v>
      </c>
      <c r="F15" s="29"/>
      <c r="G15" s="133"/>
      <c r="H15" s="133"/>
      <c r="I15" s="133"/>
      <c r="J15" s="133"/>
    </row>
    <row r="16" spans="1:10" x14ac:dyDescent="0.25">
      <c r="A16" s="91">
        <v>15</v>
      </c>
      <c r="B16" s="92" t="s">
        <v>707</v>
      </c>
      <c r="C16" s="93" t="s">
        <v>708</v>
      </c>
      <c r="D16" s="92" t="s">
        <v>709</v>
      </c>
      <c r="E16" s="92" t="s">
        <v>710</v>
      </c>
      <c r="F16" s="29"/>
      <c r="G16" s="133"/>
      <c r="H16" s="133"/>
      <c r="I16" s="133"/>
      <c r="J16" s="133"/>
    </row>
    <row r="17" spans="1:10" x14ac:dyDescent="0.25">
      <c r="A17" s="91">
        <v>16</v>
      </c>
      <c r="B17" s="92" t="s">
        <v>711</v>
      </c>
      <c r="C17" s="93" t="s">
        <v>712</v>
      </c>
      <c r="D17" s="92" t="s">
        <v>713</v>
      </c>
      <c r="E17" s="92" t="s">
        <v>714</v>
      </c>
      <c r="F17" s="29"/>
      <c r="G17" s="133"/>
      <c r="H17" s="133"/>
      <c r="I17" s="133"/>
      <c r="J17" s="133"/>
    </row>
    <row r="18" spans="1:10" x14ac:dyDescent="0.25">
      <c r="A18" s="91">
        <v>17</v>
      </c>
      <c r="B18" s="92" t="s">
        <v>711</v>
      </c>
      <c r="C18" s="93" t="s">
        <v>712</v>
      </c>
      <c r="D18" s="92" t="s">
        <v>713</v>
      </c>
      <c r="E18" s="92" t="s">
        <v>715</v>
      </c>
      <c r="F18" s="29"/>
      <c r="G18" s="133"/>
      <c r="H18" s="133"/>
      <c r="I18" s="133"/>
      <c r="J18" s="133"/>
    </row>
    <row r="19" spans="1:10" x14ac:dyDescent="0.25">
      <c r="A19" s="91">
        <v>18</v>
      </c>
      <c r="B19" s="92" t="s">
        <v>716</v>
      </c>
      <c r="C19" s="93" t="s">
        <v>717</v>
      </c>
      <c r="D19" s="92" t="s">
        <v>718</v>
      </c>
      <c r="E19" s="92" t="s">
        <v>719</v>
      </c>
      <c r="F19" s="29"/>
      <c r="G19" s="133"/>
      <c r="H19" s="133"/>
      <c r="I19" s="133"/>
      <c r="J19" s="133"/>
    </row>
    <row r="20" spans="1:10" x14ac:dyDescent="0.25">
      <c r="A20" s="91">
        <v>19</v>
      </c>
      <c r="B20" s="92" t="s">
        <v>720</v>
      </c>
      <c r="C20" s="93" t="s">
        <v>721</v>
      </c>
      <c r="D20" s="92" t="s">
        <v>722</v>
      </c>
      <c r="E20" s="92" t="s">
        <v>723</v>
      </c>
      <c r="F20" s="29"/>
      <c r="G20" s="133"/>
      <c r="H20" s="133"/>
      <c r="I20" s="133"/>
      <c r="J20" s="133"/>
    </row>
    <row r="21" spans="1:10" x14ac:dyDescent="0.25">
      <c r="A21" s="91">
        <v>20</v>
      </c>
      <c r="B21" s="92" t="s">
        <v>14</v>
      </c>
      <c r="C21" s="93" t="s">
        <v>724</v>
      </c>
      <c r="D21" s="92" t="s">
        <v>725</v>
      </c>
      <c r="E21" s="92" t="s">
        <v>726</v>
      </c>
      <c r="F21" s="29"/>
      <c r="G21" s="147"/>
      <c r="H21" s="147"/>
      <c r="I21" s="147"/>
      <c r="J21" s="147"/>
    </row>
    <row r="22" spans="1:10" x14ac:dyDescent="0.25">
      <c r="A22" s="36"/>
      <c r="B22" s="143"/>
      <c r="C22" s="144"/>
      <c r="D22" s="143"/>
      <c r="E22" s="143"/>
      <c r="F22" s="148"/>
      <c r="G22" s="145"/>
      <c r="H22" s="145"/>
      <c r="I22" s="145"/>
      <c r="J22" s="145"/>
    </row>
    <row r="23" spans="1:10" x14ac:dyDescent="0.25">
      <c r="A23" s="36"/>
      <c r="B23" s="36"/>
      <c r="C23" s="90"/>
      <c r="D23" s="36"/>
      <c r="E23" s="55" t="s">
        <v>791</v>
      </c>
      <c r="F23" s="133"/>
      <c r="G23" s="133"/>
      <c r="H23" s="133"/>
      <c r="I23" s="133"/>
      <c r="J23" s="133"/>
    </row>
    <row r="59" spans="1:1" x14ac:dyDescent="0.25">
      <c r="A59" s="1">
        <f>COUNT(A2:A58)</f>
        <v>20</v>
      </c>
    </row>
  </sheetData>
  <sortState xmlns:xlrd2="http://schemas.microsoft.com/office/spreadsheetml/2017/richdata2" ref="B2:E20">
    <sortCondition ref="B2:B20"/>
  </sortState>
  <phoneticPr fontId="2" type="noConversion"/>
  <conditionalFormatting sqref="A1">
    <cfRule type="expression" dxfId="123" priority="1">
      <formula>MOD(ROW(),2)=0</formula>
    </cfRule>
  </conditionalFormatting>
  <conditionalFormatting sqref="B1:E1">
    <cfRule type="expression" dxfId="122" priority="2">
      <formula>MOD(ROW(),2)=0</formula>
    </cfRule>
  </conditionalFormatting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0"/>
  <sheetViews>
    <sheetView tabSelected="1" topLeftCell="A18" workbookViewId="0">
      <selection activeCell="F1" sqref="F1:J1"/>
    </sheetView>
  </sheetViews>
  <sheetFormatPr defaultColWidth="51.140625" defaultRowHeight="15" x14ac:dyDescent="0.25"/>
  <cols>
    <col min="1" max="1" width="8.5703125" style="6" bestFit="1" customWidth="1"/>
    <col min="2" max="2" width="19" style="1" bestFit="1" customWidth="1"/>
    <col min="3" max="3" width="17.5703125" style="1" bestFit="1" customWidth="1"/>
    <col min="4" max="4" width="30.140625" style="1" bestFit="1" customWidth="1"/>
    <col min="5" max="5" width="15.85546875" style="1" bestFit="1" customWidth="1"/>
    <col min="6" max="6" width="20" style="1" customWidth="1"/>
    <col min="7" max="7" width="19.85546875" style="1" customWidth="1"/>
    <col min="8" max="8" width="18.85546875" style="1" customWidth="1"/>
    <col min="9" max="9" width="19" style="1" customWidth="1"/>
    <col min="10" max="10" width="18.85546875" style="1" customWidth="1"/>
    <col min="11" max="16384" width="51.140625" style="1"/>
  </cols>
  <sheetData>
    <row r="1" spans="1:10" ht="30" x14ac:dyDescent="0.25">
      <c r="A1" s="94" t="s">
        <v>12</v>
      </c>
      <c r="B1" s="57" t="s">
        <v>0</v>
      </c>
      <c r="C1" s="57" t="s">
        <v>1</v>
      </c>
      <c r="D1" s="57" t="s">
        <v>2</v>
      </c>
      <c r="E1" s="57" t="s">
        <v>3</v>
      </c>
      <c r="F1" s="124" t="s">
        <v>794</v>
      </c>
      <c r="G1" s="142" t="s">
        <v>795</v>
      </c>
      <c r="H1" s="142" t="s">
        <v>796</v>
      </c>
      <c r="I1" s="142" t="s">
        <v>797</v>
      </c>
      <c r="J1" s="142" t="s">
        <v>798</v>
      </c>
    </row>
    <row r="2" spans="1:10" x14ac:dyDescent="0.25">
      <c r="A2" s="95">
        <v>1</v>
      </c>
      <c r="B2" s="96" t="s">
        <v>478</v>
      </c>
      <c r="C2" s="96" t="s">
        <v>668</v>
      </c>
      <c r="D2" s="96" t="s">
        <v>669</v>
      </c>
      <c r="E2" s="96" t="s">
        <v>670</v>
      </c>
      <c r="F2" s="99"/>
      <c r="G2" s="138"/>
      <c r="H2" s="138"/>
      <c r="I2" s="138"/>
      <c r="J2" s="138"/>
    </row>
    <row r="3" spans="1:10" x14ac:dyDescent="0.25">
      <c r="A3" s="95">
        <v>2</v>
      </c>
      <c r="B3" s="96" t="s">
        <v>478</v>
      </c>
      <c r="C3" s="96" t="s">
        <v>671</v>
      </c>
      <c r="D3" s="96" t="s">
        <v>34</v>
      </c>
      <c r="E3" s="96" t="s">
        <v>672</v>
      </c>
      <c r="F3" s="99"/>
      <c r="G3" s="137"/>
      <c r="H3" s="137"/>
      <c r="I3" s="137"/>
      <c r="J3" s="137"/>
    </row>
    <row r="4" spans="1:10" x14ac:dyDescent="0.25">
      <c r="A4" s="95">
        <v>3</v>
      </c>
      <c r="B4" s="96" t="s">
        <v>478</v>
      </c>
      <c r="C4" s="96" t="s">
        <v>671</v>
      </c>
      <c r="D4" s="96" t="s">
        <v>34</v>
      </c>
      <c r="E4" s="96" t="s">
        <v>673</v>
      </c>
      <c r="F4" s="99"/>
      <c r="G4" s="137"/>
      <c r="H4" s="137"/>
      <c r="I4" s="137"/>
      <c r="J4" s="137"/>
    </row>
    <row r="5" spans="1:10" x14ac:dyDescent="0.25">
      <c r="A5" s="95">
        <v>4</v>
      </c>
      <c r="B5" s="96" t="s">
        <v>478</v>
      </c>
      <c r="C5" s="96" t="s">
        <v>677</v>
      </c>
      <c r="D5" s="96" t="s">
        <v>678</v>
      </c>
      <c r="E5" s="96" t="s">
        <v>679</v>
      </c>
      <c r="F5" s="99"/>
      <c r="G5" s="141"/>
      <c r="H5" s="137"/>
      <c r="I5" s="137"/>
      <c r="J5" s="137"/>
    </row>
    <row r="6" spans="1:10" x14ac:dyDescent="0.25">
      <c r="A6" s="95">
        <v>5</v>
      </c>
      <c r="B6" s="97" t="s">
        <v>618</v>
      </c>
      <c r="C6" s="97" t="s">
        <v>619</v>
      </c>
      <c r="D6" s="97" t="s">
        <v>620</v>
      </c>
      <c r="E6" s="97" t="s">
        <v>621</v>
      </c>
      <c r="F6" s="99"/>
      <c r="G6" s="137"/>
      <c r="H6" s="137"/>
      <c r="I6" s="137"/>
      <c r="J6" s="137"/>
    </row>
    <row r="7" spans="1:10" x14ac:dyDescent="0.25">
      <c r="A7" s="95">
        <v>6</v>
      </c>
      <c r="B7" s="96" t="s">
        <v>145</v>
      </c>
      <c r="C7" s="96" t="s">
        <v>612</v>
      </c>
      <c r="D7" s="96" t="s">
        <v>593</v>
      </c>
      <c r="E7" s="96" t="s">
        <v>613</v>
      </c>
      <c r="F7" s="39"/>
      <c r="G7" s="137"/>
      <c r="H7" s="137"/>
      <c r="I7" s="137"/>
      <c r="J7" s="137"/>
    </row>
    <row r="8" spans="1:10" x14ac:dyDescent="0.25">
      <c r="A8" s="95">
        <v>7</v>
      </c>
      <c r="B8" s="96" t="s">
        <v>382</v>
      </c>
      <c r="C8" s="96" t="s">
        <v>383</v>
      </c>
      <c r="D8" s="96" t="s">
        <v>384</v>
      </c>
      <c r="E8" s="96" t="s">
        <v>628</v>
      </c>
      <c r="F8" s="99"/>
      <c r="G8" s="137"/>
      <c r="H8" s="137"/>
      <c r="I8" s="137"/>
      <c r="J8" s="137"/>
    </row>
    <row r="9" spans="1:10" x14ac:dyDescent="0.25">
      <c r="A9" s="95">
        <v>8</v>
      </c>
      <c r="B9" s="96" t="s">
        <v>382</v>
      </c>
      <c r="C9" s="96" t="s">
        <v>383</v>
      </c>
      <c r="D9" s="96" t="s">
        <v>384</v>
      </c>
      <c r="E9" s="96" t="s">
        <v>629</v>
      </c>
      <c r="F9" s="99"/>
      <c r="G9" s="137"/>
      <c r="H9" s="137"/>
      <c r="I9" s="137"/>
      <c r="J9" s="137"/>
    </row>
    <row r="10" spans="1:10" x14ac:dyDescent="0.25">
      <c r="A10" s="95">
        <v>9</v>
      </c>
      <c r="B10" s="96" t="s">
        <v>382</v>
      </c>
      <c r="C10" s="96" t="s">
        <v>383</v>
      </c>
      <c r="D10" s="96" t="s">
        <v>384</v>
      </c>
      <c r="E10" s="96" t="s">
        <v>630</v>
      </c>
      <c r="F10" s="99"/>
      <c r="G10" s="137"/>
      <c r="H10" s="137"/>
      <c r="I10" s="137"/>
      <c r="J10" s="137"/>
    </row>
    <row r="11" spans="1:10" x14ac:dyDescent="0.25">
      <c r="A11" s="95">
        <v>10</v>
      </c>
      <c r="B11" s="96" t="s">
        <v>382</v>
      </c>
      <c r="C11" s="96" t="s">
        <v>383</v>
      </c>
      <c r="D11" s="96" t="s">
        <v>384</v>
      </c>
      <c r="E11" s="96" t="s">
        <v>631</v>
      </c>
      <c r="F11" s="99"/>
      <c r="G11" s="137"/>
      <c r="H11" s="137"/>
      <c r="I11" s="137"/>
      <c r="J11" s="137"/>
    </row>
    <row r="12" spans="1:10" x14ac:dyDescent="0.25">
      <c r="A12" s="95">
        <v>11</v>
      </c>
      <c r="B12" s="96" t="s">
        <v>382</v>
      </c>
      <c r="C12" s="96" t="s">
        <v>383</v>
      </c>
      <c r="D12" s="96" t="s">
        <v>384</v>
      </c>
      <c r="E12" s="96" t="s">
        <v>632</v>
      </c>
      <c r="F12" s="99"/>
      <c r="G12" s="137"/>
      <c r="H12" s="137"/>
      <c r="I12" s="137"/>
      <c r="J12" s="137"/>
    </row>
    <row r="13" spans="1:10" s="2" customFormat="1" x14ac:dyDescent="0.25">
      <c r="A13" s="95">
        <v>12</v>
      </c>
      <c r="B13" s="96" t="s">
        <v>382</v>
      </c>
      <c r="C13" s="96" t="s">
        <v>383</v>
      </c>
      <c r="D13" s="96" t="s">
        <v>384</v>
      </c>
      <c r="E13" s="96" t="s">
        <v>633</v>
      </c>
      <c r="F13" s="99"/>
      <c r="G13" s="137"/>
      <c r="H13" s="137"/>
      <c r="I13" s="137"/>
      <c r="J13" s="137"/>
    </row>
    <row r="14" spans="1:10" x14ac:dyDescent="0.25">
      <c r="A14" s="95">
        <v>13</v>
      </c>
      <c r="B14" s="96" t="s">
        <v>382</v>
      </c>
      <c r="C14" s="96" t="s">
        <v>383</v>
      </c>
      <c r="D14" s="96" t="s">
        <v>384</v>
      </c>
      <c r="E14" s="96" t="s">
        <v>634</v>
      </c>
      <c r="F14" s="99"/>
      <c r="G14" s="137"/>
      <c r="H14" s="137"/>
      <c r="I14" s="137"/>
      <c r="J14" s="137"/>
    </row>
    <row r="15" spans="1:10" x14ac:dyDescent="0.25">
      <c r="A15" s="95">
        <v>14</v>
      </c>
      <c r="B15" s="96" t="s">
        <v>460</v>
      </c>
      <c r="C15" s="96" t="s">
        <v>461</v>
      </c>
      <c r="D15" s="96" t="s">
        <v>369</v>
      </c>
      <c r="E15" s="96" t="s">
        <v>571</v>
      </c>
      <c r="F15" s="99"/>
      <c r="G15" s="137"/>
      <c r="H15" s="137"/>
      <c r="I15" s="137"/>
      <c r="J15" s="137"/>
    </row>
    <row r="16" spans="1:10" x14ac:dyDescent="0.25">
      <c r="A16" s="95">
        <v>15</v>
      </c>
      <c r="B16" s="96" t="s">
        <v>460</v>
      </c>
      <c r="C16" s="96" t="s">
        <v>461</v>
      </c>
      <c r="D16" s="96" t="s">
        <v>369</v>
      </c>
      <c r="E16" s="96" t="s">
        <v>572</v>
      </c>
      <c r="F16" s="99"/>
      <c r="G16" s="137"/>
      <c r="H16" s="137"/>
      <c r="I16" s="137"/>
      <c r="J16" s="137"/>
    </row>
    <row r="17" spans="1:10" x14ac:dyDescent="0.25">
      <c r="A17" s="95">
        <v>16</v>
      </c>
      <c r="B17" s="96" t="s">
        <v>460</v>
      </c>
      <c r="C17" s="96" t="s">
        <v>461</v>
      </c>
      <c r="D17" s="96" t="s">
        <v>369</v>
      </c>
      <c r="E17" s="96" t="s">
        <v>573</v>
      </c>
      <c r="F17" s="99"/>
      <c r="G17" s="137"/>
      <c r="H17" s="137"/>
      <c r="I17" s="137"/>
      <c r="J17" s="137"/>
    </row>
    <row r="18" spans="1:10" x14ac:dyDescent="0.25">
      <c r="A18" s="95">
        <v>17</v>
      </c>
      <c r="B18" s="96" t="s">
        <v>460</v>
      </c>
      <c r="C18" s="96" t="s">
        <v>461</v>
      </c>
      <c r="D18" s="96" t="s">
        <v>369</v>
      </c>
      <c r="E18" s="96" t="s">
        <v>574</v>
      </c>
      <c r="F18" s="99"/>
      <c r="G18" s="137"/>
      <c r="H18" s="137"/>
      <c r="I18" s="137"/>
      <c r="J18" s="137"/>
    </row>
    <row r="19" spans="1:10" x14ac:dyDescent="0.25">
      <c r="A19" s="95">
        <v>18</v>
      </c>
      <c r="B19" s="96" t="s">
        <v>14</v>
      </c>
      <c r="C19" s="96" t="s">
        <v>526</v>
      </c>
      <c r="D19" s="96" t="s">
        <v>527</v>
      </c>
      <c r="E19" s="96" t="s">
        <v>528</v>
      </c>
      <c r="F19" s="99"/>
      <c r="G19" s="137"/>
      <c r="H19" s="137"/>
      <c r="I19" s="137"/>
      <c r="J19" s="137"/>
    </row>
    <row r="20" spans="1:10" x14ac:dyDescent="0.25">
      <c r="A20" s="95">
        <v>19</v>
      </c>
      <c r="B20" s="96" t="s">
        <v>14</v>
      </c>
      <c r="C20" s="96" t="s">
        <v>526</v>
      </c>
      <c r="D20" s="96" t="s">
        <v>527</v>
      </c>
      <c r="E20" s="96" t="s">
        <v>529</v>
      </c>
      <c r="F20" s="99"/>
      <c r="G20" s="137"/>
      <c r="H20" s="137"/>
      <c r="I20" s="137"/>
      <c r="J20" s="137"/>
    </row>
    <row r="21" spans="1:10" x14ac:dyDescent="0.25">
      <c r="A21" s="95">
        <v>20</v>
      </c>
      <c r="B21" s="96" t="s">
        <v>14</v>
      </c>
      <c r="C21" s="96" t="s">
        <v>18</v>
      </c>
      <c r="D21" s="96" t="s">
        <v>19</v>
      </c>
      <c r="E21" s="96" t="s">
        <v>530</v>
      </c>
      <c r="F21" s="99"/>
      <c r="G21" s="137"/>
      <c r="H21" s="137"/>
      <c r="I21" s="137"/>
      <c r="J21" s="137"/>
    </row>
    <row r="22" spans="1:10" x14ac:dyDescent="0.25">
      <c r="A22" s="95">
        <v>21</v>
      </c>
      <c r="B22" s="96" t="s">
        <v>14</v>
      </c>
      <c r="C22" s="96" t="s">
        <v>18</v>
      </c>
      <c r="D22" s="96" t="s">
        <v>19</v>
      </c>
      <c r="E22" s="96" t="s">
        <v>531</v>
      </c>
      <c r="F22" s="99"/>
      <c r="G22" s="137"/>
      <c r="H22" s="137"/>
      <c r="I22" s="137"/>
      <c r="J22" s="137"/>
    </row>
    <row r="23" spans="1:10" x14ac:dyDescent="0.25">
      <c r="A23" s="95">
        <v>22</v>
      </c>
      <c r="B23" s="96" t="s">
        <v>14</v>
      </c>
      <c r="C23" s="96" t="s">
        <v>440</v>
      </c>
      <c r="D23" s="96" t="s">
        <v>31</v>
      </c>
      <c r="E23" s="96" t="s">
        <v>536</v>
      </c>
      <c r="F23" s="99"/>
      <c r="G23" s="137"/>
      <c r="H23" s="137"/>
      <c r="I23" s="137"/>
      <c r="J23" s="137"/>
    </row>
    <row r="24" spans="1:10" x14ac:dyDescent="0.25">
      <c r="A24" s="95">
        <v>23</v>
      </c>
      <c r="B24" s="96" t="s">
        <v>14</v>
      </c>
      <c r="C24" s="96" t="s">
        <v>217</v>
      </c>
      <c r="D24" s="96" t="s">
        <v>218</v>
      </c>
      <c r="E24" s="96" t="s">
        <v>566</v>
      </c>
      <c r="F24" s="99"/>
      <c r="G24" s="137"/>
      <c r="H24" s="137"/>
      <c r="I24" s="137"/>
      <c r="J24" s="137"/>
    </row>
    <row r="25" spans="1:10" x14ac:dyDescent="0.25">
      <c r="A25" s="95">
        <v>24</v>
      </c>
      <c r="B25" s="96" t="s">
        <v>14</v>
      </c>
      <c r="C25" s="96" t="s">
        <v>217</v>
      </c>
      <c r="D25" s="96" t="s">
        <v>218</v>
      </c>
      <c r="E25" s="96" t="s">
        <v>567</v>
      </c>
      <c r="F25" s="99"/>
      <c r="G25" s="137"/>
      <c r="H25" s="137"/>
      <c r="I25" s="137"/>
      <c r="J25" s="137"/>
    </row>
    <row r="26" spans="1:10" x14ac:dyDescent="0.25">
      <c r="A26" s="95">
        <v>25</v>
      </c>
      <c r="B26" s="96" t="s">
        <v>14</v>
      </c>
      <c r="C26" s="96" t="s">
        <v>314</v>
      </c>
      <c r="D26" s="96" t="s">
        <v>315</v>
      </c>
      <c r="E26" s="96" t="s">
        <v>568</v>
      </c>
      <c r="F26" s="99"/>
      <c r="G26" s="137"/>
      <c r="H26" s="137"/>
      <c r="I26" s="137"/>
      <c r="J26" s="137"/>
    </row>
    <row r="27" spans="1:10" x14ac:dyDescent="0.25">
      <c r="A27" s="95">
        <v>26</v>
      </c>
      <c r="B27" s="96" t="s">
        <v>14</v>
      </c>
      <c r="C27" s="96" t="s">
        <v>368</v>
      </c>
      <c r="D27" s="96" t="s">
        <v>369</v>
      </c>
      <c r="E27" s="96" t="s">
        <v>569</v>
      </c>
      <c r="F27" s="39"/>
      <c r="G27" s="137"/>
      <c r="H27" s="137"/>
      <c r="I27" s="137"/>
      <c r="J27" s="137"/>
    </row>
    <row r="28" spans="1:10" x14ac:dyDescent="0.25">
      <c r="A28" s="95">
        <v>27</v>
      </c>
      <c r="B28" s="96" t="s">
        <v>14</v>
      </c>
      <c r="C28" s="96" t="s">
        <v>368</v>
      </c>
      <c r="D28" s="96" t="s">
        <v>369</v>
      </c>
      <c r="E28" s="96" t="s">
        <v>570</v>
      </c>
      <c r="F28" s="99"/>
      <c r="G28" s="137"/>
      <c r="H28" s="137"/>
      <c r="I28" s="137"/>
      <c r="J28" s="137"/>
    </row>
    <row r="29" spans="1:10" x14ac:dyDescent="0.25">
      <c r="A29" s="95">
        <v>28</v>
      </c>
      <c r="B29" s="96" t="s">
        <v>14</v>
      </c>
      <c r="C29" s="96" t="s">
        <v>602</v>
      </c>
      <c r="D29" s="96" t="s">
        <v>603</v>
      </c>
      <c r="E29" s="96" t="s">
        <v>604</v>
      </c>
      <c r="F29" s="99"/>
      <c r="G29" s="137"/>
      <c r="H29" s="137"/>
      <c r="I29" s="137"/>
      <c r="J29" s="137"/>
    </row>
    <row r="30" spans="1:10" x14ac:dyDescent="0.25">
      <c r="A30" s="95">
        <v>29</v>
      </c>
      <c r="B30" s="96" t="s">
        <v>14</v>
      </c>
      <c r="C30" s="96" t="s">
        <v>323</v>
      </c>
      <c r="D30" s="96" t="s">
        <v>324</v>
      </c>
      <c r="E30" s="96" t="s">
        <v>639</v>
      </c>
      <c r="F30" s="99"/>
      <c r="G30" s="137"/>
      <c r="H30" s="137"/>
      <c r="I30" s="137"/>
      <c r="J30" s="137"/>
    </row>
    <row r="31" spans="1:10" x14ac:dyDescent="0.25">
      <c r="A31" s="95">
        <v>30</v>
      </c>
      <c r="B31" s="96" t="s">
        <v>14</v>
      </c>
      <c r="C31" s="96" t="s">
        <v>472</v>
      </c>
      <c r="D31" s="96" t="s">
        <v>324</v>
      </c>
      <c r="E31" s="96" t="s">
        <v>640</v>
      </c>
      <c r="F31" s="99"/>
      <c r="G31" s="137"/>
      <c r="H31" s="137"/>
      <c r="I31" s="137"/>
      <c r="J31" s="137"/>
    </row>
    <row r="32" spans="1:10" x14ac:dyDescent="0.25">
      <c r="A32" s="95">
        <v>31</v>
      </c>
      <c r="B32" s="96" t="s">
        <v>14</v>
      </c>
      <c r="C32" s="96" t="s">
        <v>472</v>
      </c>
      <c r="D32" s="96" t="s">
        <v>324</v>
      </c>
      <c r="E32" s="96" t="s">
        <v>641</v>
      </c>
      <c r="F32" s="99"/>
      <c r="G32" s="137"/>
      <c r="H32" s="137"/>
      <c r="I32" s="137"/>
      <c r="J32" s="137"/>
    </row>
    <row r="33" spans="1:10" x14ac:dyDescent="0.25">
      <c r="A33" s="95">
        <v>32</v>
      </c>
      <c r="B33" s="96" t="s">
        <v>14</v>
      </c>
      <c r="C33" s="96" t="s">
        <v>241</v>
      </c>
      <c r="D33" s="96" t="s">
        <v>242</v>
      </c>
      <c r="E33" s="96" t="s">
        <v>644</v>
      </c>
      <c r="F33" s="99"/>
      <c r="G33" s="137"/>
      <c r="H33" s="137"/>
      <c r="I33" s="137"/>
      <c r="J33" s="137"/>
    </row>
    <row r="34" spans="1:10" x14ac:dyDescent="0.25">
      <c r="A34" s="95">
        <v>33</v>
      </c>
      <c r="B34" s="96" t="s">
        <v>14</v>
      </c>
      <c r="C34" s="96" t="s">
        <v>241</v>
      </c>
      <c r="D34" s="96" t="s">
        <v>242</v>
      </c>
      <c r="E34" s="96" t="s">
        <v>645</v>
      </c>
      <c r="F34" s="99"/>
      <c r="G34" s="137"/>
      <c r="H34" s="137"/>
      <c r="I34" s="137"/>
      <c r="J34" s="137"/>
    </row>
    <row r="35" spans="1:10" x14ac:dyDescent="0.25">
      <c r="A35" s="95">
        <v>34</v>
      </c>
      <c r="B35" s="96" t="s">
        <v>14</v>
      </c>
      <c r="C35" s="96" t="s">
        <v>56</v>
      </c>
      <c r="D35" s="96" t="s">
        <v>31</v>
      </c>
      <c r="E35" s="96" t="s">
        <v>646</v>
      </c>
      <c r="F35" s="99"/>
      <c r="G35" s="137"/>
      <c r="H35" s="137"/>
      <c r="I35" s="137"/>
      <c r="J35" s="137"/>
    </row>
    <row r="36" spans="1:10" x14ac:dyDescent="0.25">
      <c r="A36" s="95">
        <v>35</v>
      </c>
      <c r="B36" s="96" t="s">
        <v>14</v>
      </c>
      <c r="C36" s="96" t="s">
        <v>56</v>
      </c>
      <c r="D36" s="96" t="s">
        <v>31</v>
      </c>
      <c r="E36" s="96" t="s">
        <v>647</v>
      </c>
      <c r="F36" s="39"/>
      <c r="G36" s="137"/>
      <c r="H36" s="137"/>
      <c r="I36" s="137"/>
      <c r="J36" s="137"/>
    </row>
    <row r="37" spans="1:10" x14ac:dyDescent="0.25">
      <c r="A37" s="95">
        <v>36</v>
      </c>
      <c r="B37" s="96" t="s">
        <v>14</v>
      </c>
      <c r="C37" s="96" t="s">
        <v>56</v>
      </c>
      <c r="D37" s="96" t="s">
        <v>31</v>
      </c>
      <c r="E37" s="96" t="s">
        <v>648</v>
      </c>
      <c r="F37" s="48"/>
      <c r="G37" s="137"/>
      <c r="H37" s="137"/>
      <c r="I37" s="137"/>
      <c r="J37" s="137"/>
    </row>
    <row r="38" spans="1:10" x14ac:dyDescent="0.25">
      <c r="A38" s="95">
        <v>37</v>
      </c>
      <c r="B38" s="96" t="s">
        <v>14</v>
      </c>
      <c r="C38" s="96" t="s">
        <v>56</v>
      </c>
      <c r="D38" s="96" t="s">
        <v>31</v>
      </c>
      <c r="E38" s="96" t="s">
        <v>649</v>
      </c>
      <c r="F38" s="96"/>
      <c r="G38" s="137"/>
      <c r="H38" s="137"/>
      <c r="I38" s="137"/>
      <c r="J38" s="137"/>
    </row>
    <row r="39" spans="1:10" x14ac:dyDescent="0.25">
      <c r="A39" s="95">
        <v>38</v>
      </c>
      <c r="B39" s="96" t="s">
        <v>14</v>
      </c>
      <c r="C39" s="96" t="s">
        <v>56</v>
      </c>
      <c r="D39" s="96" t="s">
        <v>31</v>
      </c>
      <c r="E39" s="96" t="s">
        <v>650</v>
      </c>
      <c r="F39" s="96"/>
      <c r="G39" s="137"/>
      <c r="H39" s="137"/>
      <c r="I39" s="137"/>
      <c r="J39" s="137"/>
    </row>
    <row r="40" spans="1:10" x14ac:dyDescent="0.25">
      <c r="A40" s="95">
        <v>39</v>
      </c>
      <c r="B40" s="96" t="s">
        <v>14</v>
      </c>
      <c r="C40" s="96" t="s">
        <v>345</v>
      </c>
      <c r="D40" s="96" t="s">
        <v>346</v>
      </c>
      <c r="E40" s="96" t="s">
        <v>651</v>
      </c>
      <c r="F40" s="96"/>
      <c r="G40" s="137"/>
      <c r="H40" s="137"/>
      <c r="I40" s="137"/>
      <c r="J40" s="137"/>
    </row>
    <row r="41" spans="1:10" x14ac:dyDescent="0.25">
      <c r="A41" s="95">
        <v>40</v>
      </c>
      <c r="B41" s="96" t="s">
        <v>608</v>
      </c>
      <c r="C41" s="96" t="s">
        <v>609</v>
      </c>
      <c r="D41" s="96" t="s">
        <v>610</v>
      </c>
      <c r="E41" s="96" t="s">
        <v>611</v>
      </c>
      <c r="F41" s="96"/>
      <c r="G41" s="137"/>
      <c r="H41" s="137"/>
      <c r="I41" s="137"/>
      <c r="J41" s="137"/>
    </row>
    <row r="42" spans="1:10" x14ac:dyDescent="0.25">
      <c r="A42" s="95">
        <v>41</v>
      </c>
      <c r="B42" s="96" t="s">
        <v>75</v>
      </c>
      <c r="C42" s="96" t="s">
        <v>595</v>
      </c>
      <c r="D42" s="96" t="s">
        <v>596</v>
      </c>
      <c r="E42" s="96" t="s">
        <v>597</v>
      </c>
      <c r="F42" s="96"/>
      <c r="G42" s="137"/>
      <c r="H42" s="137"/>
      <c r="I42" s="137"/>
      <c r="J42" s="137"/>
    </row>
    <row r="43" spans="1:10" x14ac:dyDescent="0.25">
      <c r="A43" s="95">
        <v>42</v>
      </c>
      <c r="B43" s="96" t="s">
        <v>75</v>
      </c>
      <c r="C43" s="96" t="s">
        <v>605</v>
      </c>
      <c r="D43" s="96" t="s">
        <v>606</v>
      </c>
      <c r="E43" s="96" t="s">
        <v>607</v>
      </c>
      <c r="F43" s="96"/>
      <c r="G43" s="137"/>
      <c r="H43" s="137"/>
      <c r="I43" s="137"/>
      <c r="J43" s="137"/>
    </row>
    <row r="44" spans="1:10" x14ac:dyDescent="0.25">
      <c r="A44" s="95">
        <v>43</v>
      </c>
      <c r="B44" s="96" t="s">
        <v>509</v>
      </c>
      <c r="C44" s="96" t="s">
        <v>510</v>
      </c>
      <c r="D44" s="96" t="s">
        <v>511</v>
      </c>
      <c r="E44" s="96" t="s">
        <v>512</v>
      </c>
      <c r="F44" s="96"/>
      <c r="G44" s="137"/>
      <c r="H44" s="137"/>
      <c r="I44" s="137"/>
      <c r="J44" s="137"/>
    </row>
    <row r="45" spans="1:10" x14ac:dyDescent="0.25">
      <c r="A45" s="95">
        <v>44</v>
      </c>
      <c r="B45" s="96" t="s">
        <v>509</v>
      </c>
      <c r="C45" s="96" t="s">
        <v>510</v>
      </c>
      <c r="D45" s="96" t="s">
        <v>511</v>
      </c>
      <c r="E45" s="96" t="s">
        <v>513</v>
      </c>
      <c r="F45" s="96"/>
      <c r="G45" s="137"/>
      <c r="H45" s="137"/>
      <c r="I45" s="137"/>
      <c r="J45" s="137"/>
    </row>
    <row r="46" spans="1:10" x14ac:dyDescent="0.25">
      <c r="A46" s="95">
        <v>45</v>
      </c>
      <c r="B46" s="96" t="s">
        <v>509</v>
      </c>
      <c r="C46" s="96" t="s">
        <v>560</v>
      </c>
      <c r="D46" s="96" t="s">
        <v>561</v>
      </c>
      <c r="E46" s="96" t="s">
        <v>562</v>
      </c>
      <c r="F46" s="96"/>
      <c r="G46" s="137"/>
      <c r="H46" s="137"/>
      <c r="I46" s="137"/>
      <c r="J46" s="137"/>
    </row>
    <row r="47" spans="1:10" x14ac:dyDescent="0.25">
      <c r="A47" s="95">
        <v>46</v>
      </c>
      <c r="B47" s="96" t="s">
        <v>509</v>
      </c>
      <c r="C47" s="96" t="s">
        <v>560</v>
      </c>
      <c r="D47" s="96" t="s">
        <v>561</v>
      </c>
      <c r="E47" s="96" t="s">
        <v>563</v>
      </c>
      <c r="F47" s="96"/>
      <c r="G47" s="137"/>
      <c r="H47" s="137"/>
      <c r="I47" s="137"/>
      <c r="J47" s="137"/>
    </row>
    <row r="48" spans="1:10" x14ac:dyDescent="0.25">
      <c r="A48" s="95">
        <v>47</v>
      </c>
      <c r="B48" s="96" t="s">
        <v>509</v>
      </c>
      <c r="C48" s="96" t="s">
        <v>598</v>
      </c>
      <c r="D48" s="96" t="s">
        <v>599</v>
      </c>
      <c r="E48" s="96" t="s">
        <v>600</v>
      </c>
      <c r="F48" s="96"/>
      <c r="G48" s="137"/>
      <c r="H48" s="137"/>
      <c r="I48" s="137"/>
      <c r="J48" s="137"/>
    </row>
    <row r="49" spans="1:10" x14ac:dyDescent="0.25">
      <c r="A49" s="95">
        <v>48</v>
      </c>
      <c r="B49" s="96" t="s">
        <v>509</v>
      </c>
      <c r="C49" s="96" t="s">
        <v>598</v>
      </c>
      <c r="D49" s="96" t="s">
        <v>599</v>
      </c>
      <c r="E49" s="96" t="s">
        <v>601</v>
      </c>
      <c r="F49" s="96"/>
      <c r="G49" s="137"/>
      <c r="H49" s="137"/>
      <c r="I49" s="137"/>
      <c r="J49" s="137"/>
    </row>
    <row r="50" spans="1:10" x14ac:dyDescent="0.25">
      <c r="A50" s="95">
        <v>49</v>
      </c>
      <c r="B50" s="96" t="s">
        <v>509</v>
      </c>
      <c r="C50" s="96" t="s">
        <v>635</v>
      </c>
      <c r="D50" s="96" t="s">
        <v>636</v>
      </c>
      <c r="E50" s="96" t="s">
        <v>637</v>
      </c>
      <c r="F50" s="96"/>
      <c r="G50" s="137"/>
      <c r="H50" s="137"/>
      <c r="I50" s="137"/>
      <c r="J50" s="137"/>
    </row>
    <row r="51" spans="1:10" x14ac:dyDescent="0.25">
      <c r="A51" s="95">
        <v>50</v>
      </c>
      <c r="B51" s="96" t="s">
        <v>509</v>
      </c>
      <c r="C51" s="96" t="s">
        <v>635</v>
      </c>
      <c r="D51" s="96" t="s">
        <v>636</v>
      </c>
      <c r="E51" s="96" t="s">
        <v>638</v>
      </c>
      <c r="F51" s="96"/>
      <c r="G51" s="137"/>
      <c r="H51" s="137"/>
      <c r="I51" s="137"/>
      <c r="J51" s="137"/>
    </row>
    <row r="52" spans="1:10" x14ac:dyDescent="0.25">
      <c r="A52" s="95">
        <v>51</v>
      </c>
      <c r="B52" s="96" t="s">
        <v>614</v>
      </c>
      <c r="C52" s="96" t="s">
        <v>615</v>
      </c>
      <c r="D52" s="96" t="s">
        <v>616</v>
      </c>
      <c r="E52" s="96" t="s">
        <v>617</v>
      </c>
      <c r="F52" s="96"/>
      <c r="G52" s="137"/>
      <c r="H52" s="137"/>
      <c r="I52" s="137"/>
      <c r="J52" s="137"/>
    </row>
    <row r="53" spans="1:10" x14ac:dyDescent="0.25">
      <c r="A53" s="95">
        <v>52</v>
      </c>
      <c r="B53" s="96" t="s">
        <v>661</v>
      </c>
      <c r="C53" s="96" t="s">
        <v>662</v>
      </c>
      <c r="D53" s="96" t="s">
        <v>663</v>
      </c>
      <c r="E53" s="96" t="s">
        <v>664</v>
      </c>
      <c r="F53" s="96"/>
      <c r="G53" s="137"/>
      <c r="H53" s="137"/>
      <c r="I53" s="137"/>
      <c r="J53" s="137"/>
    </row>
    <row r="54" spans="1:10" x14ac:dyDescent="0.25">
      <c r="A54" s="95">
        <v>53</v>
      </c>
      <c r="B54" s="96" t="s">
        <v>661</v>
      </c>
      <c r="C54" s="96" t="s">
        <v>665</v>
      </c>
      <c r="D54" s="96" t="s">
        <v>666</v>
      </c>
      <c r="E54" s="96" t="s">
        <v>667</v>
      </c>
      <c r="F54" s="96"/>
      <c r="G54" s="137"/>
      <c r="H54" s="137"/>
      <c r="I54" s="137"/>
      <c r="J54" s="137"/>
    </row>
    <row r="55" spans="1:10" x14ac:dyDescent="0.25">
      <c r="A55" s="95">
        <v>54</v>
      </c>
      <c r="B55" s="96" t="s">
        <v>661</v>
      </c>
      <c r="C55" s="96" t="s">
        <v>674</v>
      </c>
      <c r="D55" s="96" t="s">
        <v>675</v>
      </c>
      <c r="E55" s="96" t="s">
        <v>676</v>
      </c>
      <c r="F55" s="96"/>
      <c r="G55" s="137"/>
      <c r="H55" s="137"/>
      <c r="I55" s="137"/>
      <c r="J55" s="137"/>
    </row>
    <row r="56" spans="1:10" x14ac:dyDescent="0.25">
      <c r="A56" s="95">
        <v>55</v>
      </c>
      <c r="B56" s="96" t="s">
        <v>532</v>
      </c>
      <c r="C56" s="96" t="s">
        <v>533</v>
      </c>
      <c r="D56" s="96" t="s">
        <v>534</v>
      </c>
      <c r="E56" s="96" t="s">
        <v>535</v>
      </c>
      <c r="F56" s="96"/>
      <c r="G56" s="137"/>
      <c r="H56" s="137"/>
      <c r="I56" s="137"/>
      <c r="J56" s="137"/>
    </row>
    <row r="57" spans="1:10" x14ac:dyDescent="0.25">
      <c r="A57" s="95">
        <v>56</v>
      </c>
      <c r="B57" s="96" t="s">
        <v>532</v>
      </c>
      <c r="C57" s="96" t="s">
        <v>652</v>
      </c>
      <c r="D57" s="96" t="s">
        <v>653</v>
      </c>
      <c r="E57" s="96" t="s">
        <v>654</v>
      </c>
      <c r="F57" s="96"/>
      <c r="G57" s="137"/>
      <c r="H57" s="137"/>
      <c r="I57" s="137"/>
      <c r="J57" s="137"/>
    </row>
    <row r="58" spans="1:10" x14ac:dyDescent="0.25">
      <c r="A58" s="95">
        <v>57</v>
      </c>
      <c r="B58" s="96" t="s">
        <v>213</v>
      </c>
      <c r="C58" s="96" t="s">
        <v>449</v>
      </c>
      <c r="D58" s="96" t="s">
        <v>450</v>
      </c>
      <c r="E58" s="96" t="s">
        <v>564</v>
      </c>
      <c r="F58" s="96"/>
      <c r="G58" s="137"/>
      <c r="H58" s="137"/>
      <c r="I58" s="137"/>
      <c r="J58" s="137"/>
    </row>
    <row r="59" spans="1:10" x14ac:dyDescent="0.25">
      <c r="A59" s="95">
        <v>58</v>
      </c>
      <c r="B59" s="96" t="s">
        <v>213</v>
      </c>
      <c r="C59" s="96" t="s">
        <v>449</v>
      </c>
      <c r="D59" s="96" t="s">
        <v>450</v>
      </c>
      <c r="E59" s="96" t="s">
        <v>565</v>
      </c>
      <c r="F59" s="96"/>
      <c r="G59" s="137"/>
      <c r="H59" s="137"/>
      <c r="I59" s="137"/>
      <c r="J59" s="137"/>
    </row>
    <row r="60" spans="1:10" x14ac:dyDescent="0.25">
      <c r="A60" s="95">
        <v>59</v>
      </c>
      <c r="B60" s="96" t="s">
        <v>416</v>
      </c>
      <c r="C60" s="96" t="s">
        <v>655</v>
      </c>
      <c r="D60" s="96" t="s">
        <v>418</v>
      </c>
      <c r="E60" s="96" t="s">
        <v>656</v>
      </c>
      <c r="F60" s="96"/>
      <c r="G60" s="137"/>
      <c r="H60" s="137"/>
      <c r="I60" s="137"/>
      <c r="J60" s="137"/>
    </row>
    <row r="61" spans="1:10" x14ac:dyDescent="0.25">
      <c r="A61" s="95">
        <v>60</v>
      </c>
      <c r="B61" s="96" t="s">
        <v>416</v>
      </c>
      <c r="C61" s="96" t="s">
        <v>657</v>
      </c>
      <c r="D61" s="96" t="s">
        <v>418</v>
      </c>
      <c r="E61" s="96" t="s">
        <v>658</v>
      </c>
      <c r="F61" s="96"/>
      <c r="G61" s="137"/>
      <c r="H61" s="137"/>
      <c r="I61" s="137"/>
      <c r="J61" s="137"/>
    </row>
    <row r="62" spans="1:10" x14ac:dyDescent="0.25">
      <c r="A62" s="95">
        <v>61</v>
      </c>
      <c r="B62" s="97" t="s">
        <v>416</v>
      </c>
      <c r="C62" s="97" t="s">
        <v>659</v>
      </c>
      <c r="D62" s="97" t="s">
        <v>418</v>
      </c>
      <c r="E62" s="97" t="s">
        <v>660</v>
      </c>
      <c r="F62" s="96"/>
      <c r="G62" s="137"/>
      <c r="H62" s="137"/>
      <c r="I62" s="137"/>
      <c r="J62" s="137"/>
    </row>
    <row r="63" spans="1:10" x14ac:dyDescent="0.25">
      <c r="A63" s="95">
        <v>62</v>
      </c>
      <c r="B63" s="96" t="s">
        <v>131</v>
      </c>
      <c r="C63" s="96" t="s">
        <v>520</v>
      </c>
      <c r="D63" s="96" t="s">
        <v>521</v>
      </c>
      <c r="E63" s="96" t="s">
        <v>522</v>
      </c>
      <c r="F63" s="96"/>
      <c r="G63" s="137"/>
      <c r="H63" s="137"/>
      <c r="I63" s="137"/>
      <c r="J63" s="137"/>
    </row>
    <row r="64" spans="1:10" x14ac:dyDescent="0.25">
      <c r="A64" s="95">
        <v>63</v>
      </c>
      <c r="B64" s="96" t="s">
        <v>84</v>
      </c>
      <c r="C64" s="96" t="s">
        <v>514</v>
      </c>
      <c r="D64" s="96" t="s">
        <v>515</v>
      </c>
      <c r="E64" s="96" t="s">
        <v>516</v>
      </c>
      <c r="F64" s="96"/>
      <c r="G64" s="137"/>
      <c r="H64" s="137"/>
      <c r="I64" s="137"/>
      <c r="J64" s="137"/>
    </row>
    <row r="65" spans="1:10" x14ac:dyDescent="0.25">
      <c r="A65" s="95">
        <v>64</v>
      </c>
      <c r="B65" s="96" t="s">
        <v>84</v>
      </c>
      <c r="C65" s="96" t="s">
        <v>514</v>
      </c>
      <c r="D65" s="96" t="s">
        <v>515</v>
      </c>
      <c r="E65" s="96" t="s">
        <v>517</v>
      </c>
      <c r="F65" s="96"/>
      <c r="G65" s="137"/>
      <c r="H65" s="137"/>
      <c r="I65" s="137"/>
      <c r="J65" s="137"/>
    </row>
    <row r="66" spans="1:10" x14ac:dyDescent="0.25">
      <c r="A66" s="95">
        <v>65</v>
      </c>
      <c r="B66" s="96" t="s">
        <v>84</v>
      </c>
      <c r="C66" s="96" t="s">
        <v>90</v>
      </c>
      <c r="D66" s="96" t="s">
        <v>91</v>
      </c>
      <c r="E66" s="96" t="s">
        <v>518</v>
      </c>
      <c r="F66" s="96"/>
      <c r="G66" s="137"/>
      <c r="H66" s="137"/>
      <c r="I66" s="137"/>
      <c r="J66" s="137"/>
    </row>
    <row r="67" spans="1:10" x14ac:dyDescent="0.25">
      <c r="A67" s="95">
        <v>66</v>
      </c>
      <c r="B67" s="96" t="s">
        <v>84</v>
      </c>
      <c r="C67" s="96" t="s">
        <v>90</v>
      </c>
      <c r="D67" s="96" t="s">
        <v>91</v>
      </c>
      <c r="E67" s="96" t="s">
        <v>519</v>
      </c>
      <c r="F67" s="96"/>
      <c r="G67" s="137"/>
      <c r="H67" s="137"/>
      <c r="I67" s="137"/>
      <c r="J67" s="137"/>
    </row>
    <row r="68" spans="1:10" x14ac:dyDescent="0.25">
      <c r="A68" s="95">
        <v>67</v>
      </c>
      <c r="B68" s="96" t="s">
        <v>84</v>
      </c>
      <c r="C68" s="96" t="s">
        <v>523</v>
      </c>
      <c r="D68" s="96" t="s">
        <v>524</v>
      </c>
      <c r="E68" s="96" t="s">
        <v>525</v>
      </c>
      <c r="F68" s="96"/>
      <c r="G68" s="137"/>
      <c r="H68" s="137"/>
      <c r="I68" s="137"/>
      <c r="J68" s="137"/>
    </row>
    <row r="69" spans="1:10" s="2" customFormat="1" x14ac:dyDescent="0.25">
      <c r="A69" s="95">
        <v>68</v>
      </c>
      <c r="B69" s="96" t="s">
        <v>84</v>
      </c>
      <c r="C69" s="96" t="s">
        <v>99</v>
      </c>
      <c r="D69" s="96" t="s">
        <v>100</v>
      </c>
      <c r="E69" s="96" t="s">
        <v>537</v>
      </c>
      <c r="F69" s="96"/>
      <c r="G69" s="137"/>
      <c r="H69" s="137"/>
      <c r="I69" s="137"/>
      <c r="J69" s="137"/>
    </row>
    <row r="70" spans="1:10" x14ac:dyDescent="0.25">
      <c r="A70" s="95">
        <v>69</v>
      </c>
      <c r="B70" s="96" t="s">
        <v>84</v>
      </c>
      <c r="C70" s="96" t="s">
        <v>538</v>
      </c>
      <c r="D70" s="96" t="s">
        <v>539</v>
      </c>
      <c r="E70" s="96" t="s">
        <v>540</v>
      </c>
      <c r="F70" s="96"/>
      <c r="G70" s="137"/>
      <c r="H70" s="137"/>
      <c r="I70" s="137"/>
      <c r="J70" s="137"/>
    </row>
    <row r="71" spans="1:10" x14ac:dyDescent="0.25">
      <c r="A71" s="95">
        <v>70</v>
      </c>
      <c r="B71" s="96" t="s">
        <v>84</v>
      </c>
      <c r="C71" s="96" t="s">
        <v>109</v>
      </c>
      <c r="D71" s="96" t="s">
        <v>110</v>
      </c>
      <c r="E71" s="96" t="s">
        <v>541</v>
      </c>
      <c r="F71" s="96"/>
      <c r="G71" s="137"/>
      <c r="H71" s="137"/>
      <c r="I71" s="137"/>
      <c r="J71" s="137"/>
    </row>
    <row r="72" spans="1:10" x14ac:dyDescent="0.25">
      <c r="A72" s="95">
        <v>71</v>
      </c>
      <c r="B72" s="96" t="s">
        <v>84</v>
      </c>
      <c r="C72" s="96" t="s">
        <v>109</v>
      </c>
      <c r="D72" s="96" t="s">
        <v>110</v>
      </c>
      <c r="E72" s="96" t="s">
        <v>542</v>
      </c>
      <c r="F72" s="96"/>
      <c r="G72" s="137"/>
      <c r="H72" s="137"/>
      <c r="I72" s="137"/>
      <c r="J72" s="137"/>
    </row>
    <row r="73" spans="1:10" x14ac:dyDescent="0.25">
      <c r="A73" s="95">
        <v>72</v>
      </c>
      <c r="B73" s="96" t="s">
        <v>84</v>
      </c>
      <c r="C73" s="96" t="s">
        <v>109</v>
      </c>
      <c r="D73" s="96" t="s">
        <v>110</v>
      </c>
      <c r="E73" s="96" t="s">
        <v>543</v>
      </c>
      <c r="F73" s="96"/>
      <c r="G73" s="137"/>
      <c r="H73" s="137"/>
      <c r="I73" s="137"/>
      <c r="J73" s="137"/>
    </row>
    <row r="74" spans="1:10" x14ac:dyDescent="0.25">
      <c r="A74" s="95">
        <v>73</v>
      </c>
      <c r="B74" s="96" t="s">
        <v>84</v>
      </c>
      <c r="C74" s="96" t="s">
        <v>112</v>
      </c>
      <c r="D74" s="96" t="s">
        <v>113</v>
      </c>
      <c r="E74" s="96" t="s">
        <v>544</v>
      </c>
      <c r="F74" s="96"/>
      <c r="G74" s="137"/>
      <c r="H74" s="137"/>
      <c r="I74" s="137"/>
      <c r="J74" s="137"/>
    </row>
    <row r="75" spans="1:10" x14ac:dyDescent="0.25">
      <c r="A75" s="95">
        <v>74</v>
      </c>
      <c r="B75" s="96" t="s">
        <v>84</v>
      </c>
      <c r="C75" s="96" t="s">
        <v>112</v>
      </c>
      <c r="D75" s="96" t="s">
        <v>113</v>
      </c>
      <c r="E75" s="96" t="s">
        <v>545</v>
      </c>
      <c r="F75" s="96"/>
      <c r="G75" s="137"/>
      <c r="H75" s="137"/>
      <c r="I75" s="137"/>
      <c r="J75" s="137"/>
    </row>
    <row r="76" spans="1:10" x14ac:dyDescent="0.25">
      <c r="A76" s="95">
        <v>75</v>
      </c>
      <c r="B76" s="96" t="s">
        <v>84</v>
      </c>
      <c r="C76" s="96" t="s">
        <v>112</v>
      </c>
      <c r="D76" s="96" t="s">
        <v>113</v>
      </c>
      <c r="E76" s="96" t="s">
        <v>546</v>
      </c>
      <c r="F76" s="96"/>
      <c r="G76" s="137"/>
      <c r="H76" s="137"/>
      <c r="I76" s="137"/>
      <c r="J76" s="137"/>
    </row>
    <row r="77" spans="1:10" x14ac:dyDescent="0.25">
      <c r="A77" s="95">
        <v>76</v>
      </c>
      <c r="B77" s="96" t="s">
        <v>84</v>
      </c>
      <c r="C77" s="96" t="s">
        <v>112</v>
      </c>
      <c r="D77" s="96" t="s">
        <v>113</v>
      </c>
      <c r="E77" s="96" t="s">
        <v>547</v>
      </c>
      <c r="F77" s="96"/>
      <c r="G77" s="137"/>
      <c r="H77" s="137"/>
      <c r="I77" s="137"/>
      <c r="J77" s="137"/>
    </row>
    <row r="78" spans="1:10" x14ac:dyDescent="0.25">
      <c r="A78" s="95">
        <v>77</v>
      </c>
      <c r="B78" s="96" t="s">
        <v>84</v>
      </c>
      <c r="C78" s="96" t="s">
        <v>118</v>
      </c>
      <c r="D78" s="96" t="s">
        <v>119</v>
      </c>
      <c r="E78" s="96" t="s">
        <v>548</v>
      </c>
      <c r="F78" s="96"/>
      <c r="G78" s="137"/>
      <c r="H78" s="137"/>
      <c r="I78" s="137"/>
      <c r="J78" s="137"/>
    </row>
    <row r="79" spans="1:10" x14ac:dyDescent="0.25">
      <c r="A79" s="95">
        <v>78</v>
      </c>
      <c r="B79" s="96" t="s">
        <v>84</v>
      </c>
      <c r="C79" s="96" t="s">
        <v>118</v>
      </c>
      <c r="D79" s="96" t="s">
        <v>119</v>
      </c>
      <c r="E79" s="96" t="s">
        <v>549</v>
      </c>
      <c r="F79" s="96"/>
      <c r="G79" s="137"/>
      <c r="H79" s="137"/>
      <c r="I79" s="137"/>
      <c r="J79" s="137"/>
    </row>
    <row r="80" spans="1:10" x14ac:dyDescent="0.25">
      <c r="A80" s="95">
        <v>79</v>
      </c>
      <c r="B80" s="96" t="s">
        <v>84</v>
      </c>
      <c r="C80" s="96" t="s">
        <v>118</v>
      </c>
      <c r="D80" s="96" t="s">
        <v>119</v>
      </c>
      <c r="E80" s="96" t="s">
        <v>550</v>
      </c>
      <c r="F80" s="96"/>
      <c r="G80" s="137"/>
      <c r="H80" s="137"/>
      <c r="I80" s="137"/>
      <c r="J80" s="137"/>
    </row>
    <row r="81" spans="1:10" x14ac:dyDescent="0.25">
      <c r="A81" s="95">
        <v>80</v>
      </c>
      <c r="B81" s="96" t="s">
        <v>84</v>
      </c>
      <c r="C81" s="96" t="s">
        <v>118</v>
      </c>
      <c r="D81" s="96" t="s">
        <v>119</v>
      </c>
      <c r="E81" s="96" t="s">
        <v>551</v>
      </c>
      <c r="F81" s="96"/>
      <c r="G81" s="137"/>
      <c r="H81" s="137"/>
      <c r="I81" s="137"/>
      <c r="J81" s="137"/>
    </row>
    <row r="82" spans="1:10" x14ac:dyDescent="0.25">
      <c r="A82" s="95">
        <v>81</v>
      </c>
      <c r="B82" s="96" t="s">
        <v>84</v>
      </c>
      <c r="C82" s="96" t="s">
        <v>118</v>
      </c>
      <c r="D82" s="96" t="s">
        <v>119</v>
      </c>
      <c r="E82" s="96" t="s">
        <v>552</v>
      </c>
      <c r="F82" s="96"/>
      <c r="G82" s="137"/>
      <c r="H82" s="137"/>
      <c r="I82" s="137"/>
      <c r="J82" s="137"/>
    </row>
    <row r="83" spans="1:10" x14ac:dyDescent="0.25">
      <c r="A83" s="95">
        <v>82</v>
      </c>
      <c r="B83" s="96" t="s">
        <v>84</v>
      </c>
      <c r="C83" s="96" t="s">
        <v>118</v>
      </c>
      <c r="D83" s="96" t="s">
        <v>119</v>
      </c>
      <c r="E83" s="96" t="s">
        <v>553</v>
      </c>
      <c r="F83" s="96"/>
      <c r="G83" s="137"/>
      <c r="H83" s="137"/>
      <c r="I83" s="137"/>
      <c r="J83" s="137"/>
    </row>
    <row r="84" spans="1:10" x14ac:dyDescent="0.25">
      <c r="A84" s="95">
        <v>83</v>
      </c>
      <c r="B84" s="96" t="s">
        <v>84</v>
      </c>
      <c r="C84" s="96" t="s">
        <v>554</v>
      </c>
      <c r="D84" s="96" t="s">
        <v>100</v>
      </c>
      <c r="E84" s="96" t="s">
        <v>555</v>
      </c>
      <c r="F84" s="96"/>
      <c r="G84" s="137"/>
      <c r="H84" s="137"/>
      <c r="I84" s="137"/>
      <c r="J84" s="137"/>
    </row>
    <row r="85" spans="1:10" x14ac:dyDescent="0.25">
      <c r="A85" s="95">
        <v>84</v>
      </c>
      <c r="B85" s="96" t="s">
        <v>84</v>
      </c>
      <c r="C85" s="96" t="s">
        <v>554</v>
      </c>
      <c r="D85" s="96" t="s">
        <v>100</v>
      </c>
      <c r="E85" s="96" t="s">
        <v>556</v>
      </c>
      <c r="F85" s="96"/>
      <c r="G85" s="137"/>
      <c r="H85" s="137"/>
      <c r="I85" s="137"/>
      <c r="J85" s="137"/>
    </row>
    <row r="86" spans="1:10" x14ac:dyDescent="0.25">
      <c r="A86" s="95">
        <v>85</v>
      </c>
      <c r="B86" s="96" t="s">
        <v>84</v>
      </c>
      <c r="C86" s="96" t="s">
        <v>554</v>
      </c>
      <c r="D86" s="96" t="s">
        <v>100</v>
      </c>
      <c r="E86" s="96" t="s">
        <v>557</v>
      </c>
      <c r="F86" s="96"/>
      <c r="G86" s="137"/>
      <c r="H86" s="137"/>
      <c r="I86" s="137"/>
      <c r="J86" s="137"/>
    </row>
    <row r="87" spans="1:10" x14ac:dyDescent="0.25">
      <c r="A87" s="95">
        <v>86</v>
      </c>
      <c r="B87" s="96" t="s">
        <v>84</v>
      </c>
      <c r="C87" s="96" t="s">
        <v>554</v>
      </c>
      <c r="D87" s="96" t="s">
        <v>100</v>
      </c>
      <c r="E87" s="96" t="s">
        <v>558</v>
      </c>
      <c r="F87" s="96"/>
      <c r="G87" s="137"/>
      <c r="H87" s="137"/>
      <c r="I87" s="137"/>
      <c r="J87" s="137"/>
    </row>
    <row r="88" spans="1:10" x14ac:dyDescent="0.25">
      <c r="A88" s="95">
        <v>87</v>
      </c>
      <c r="B88" s="96" t="s">
        <v>84</v>
      </c>
      <c r="C88" s="96" t="s">
        <v>554</v>
      </c>
      <c r="D88" s="96" t="s">
        <v>100</v>
      </c>
      <c r="E88" s="96" t="s">
        <v>555</v>
      </c>
      <c r="F88" s="96"/>
      <c r="G88" s="137"/>
      <c r="H88" s="137"/>
      <c r="I88" s="137"/>
      <c r="J88" s="137"/>
    </row>
    <row r="89" spans="1:10" x14ac:dyDescent="0.25">
      <c r="A89" s="95">
        <v>88</v>
      </c>
      <c r="B89" s="96" t="s">
        <v>84</v>
      </c>
      <c r="C89" s="96" t="s">
        <v>554</v>
      </c>
      <c r="D89" s="96" t="s">
        <v>100</v>
      </c>
      <c r="E89" s="96" t="s">
        <v>559</v>
      </c>
      <c r="F89" s="96"/>
      <c r="G89" s="137"/>
      <c r="H89" s="137"/>
      <c r="I89" s="137"/>
      <c r="J89" s="137"/>
    </row>
    <row r="90" spans="1:10" x14ac:dyDescent="0.25">
      <c r="A90" s="95">
        <v>89</v>
      </c>
      <c r="B90" s="96" t="s">
        <v>84</v>
      </c>
      <c r="C90" s="96" t="s">
        <v>554</v>
      </c>
      <c r="D90" s="96" t="s">
        <v>100</v>
      </c>
      <c r="E90" s="96" t="s">
        <v>559</v>
      </c>
      <c r="F90" s="96"/>
      <c r="G90" s="137"/>
      <c r="H90" s="137"/>
      <c r="I90" s="137"/>
      <c r="J90" s="137"/>
    </row>
    <row r="91" spans="1:10" x14ac:dyDescent="0.25">
      <c r="A91" s="95">
        <v>90</v>
      </c>
      <c r="B91" s="96" t="s">
        <v>84</v>
      </c>
      <c r="C91" s="96" t="s">
        <v>554</v>
      </c>
      <c r="D91" s="96" t="s">
        <v>100</v>
      </c>
      <c r="E91" s="96" t="s">
        <v>559</v>
      </c>
      <c r="F91" s="96"/>
      <c r="G91" s="137"/>
      <c r="H91" s="137"/>
      <c r="I91" s="137"/>
      <c r="J91" s="137"/>
    </row>
    <row r="92" spans="1:10" x14ac:dyDescent="0.25">
      <c r="A92" s="95">
        <v>91</v>
      </c>
      <c r="B92" s="96" t="s">
        <v>84</v>
      </c>
      <c r="C92" s="96" t="s">
        <v>135</v>
      </c>
      <c r="D92" s="96" t="s">
        <v>136</v>
      </c>
      <c r="E92" s="96" t="s">
        <v>575</v>
      </c>
      <c r="F92" s="96"/>
      <c r="G92" s="137"/>
      <c r="H92" s="137"/>
      <c r="I92" s="137"/>
      <c r="J92" s="137"/>
    </row>
    <row r="93" spans="1:10" x14ac:dyDescent="0.25">
      <c r="A93" s="95">
        <v>92</v>
      </c>
      <c r="B93" s="96" t="s">
        <v>84</v>
      </c>
      <c r="C93" s="96" t="s">
        <v>576</v>
      </c>
      <c r="D93" s="96" t="s">
        <v>577</v>
      </c>
      <c r="E93" s="96" t="s">
        <v>578</v>
      </c>
      <c r="F93" s="96"/>
      <c r="G93" s="137"/>
      <c r="H93" s="137"/>
      <c r="I93" s="137"/>
      <c r="J93" s="137"/>
    </row>
    <row r="94" spans="1:10" x14ac:dyDescent="0.25">
      <c r="A94" s="95">
        <v>93</v>
      </c>
      <c r="B94" s="96" t="s">
        <v>84</v>
      </c>
      <c r="C94" s="96" t="s">
        <v>579</v>
      </c>
      <c r="D94" s="96" t="s">
        <v>580</v>
      </c>
      <c r="E94" s="96" t="s">
        <v>581</v>
      </c>
      <c r="F94" s="96"/>
      <c r="G94" s="137"/>
      <c r="H94" s="137"/>
      <c r="I94" s="137"/>
      <c r="J94" s="137"/>
    </row>
    <row r="95" spans="1:10" x14ac:dyDescent="0.25">
      <c r="A95" s="95">
        <v>94</v>
      </c>
      <c r="B95" s="96" t="s">
        <v>84</v>
      </c>
      <c r="C95" s="96" t="s">
        <v>582</v>
      </c>
      <c r="D95" s="96" t="s">
        <v>583</v>
      </c>
      <c r="E95" s="96" t="s">
        <v>584</v>
      </c>
      <c r="F95" s="96"/>
      <c r="G95" s="137"/>
      <c r="H95" s="137"/>
      <c r="I95" s="137"/>
      <c r="J95" s="137"/>
    </row>
    <row r="96" spans="1:10" x14ac:dyDescent="0.25">
      <c r="A96" s="95">
        <v>95</v>
      </c>
      <c r="B96" s="96" t="s">
        <v>84</v>
      </c>
      <c r="C96" s="96" t="s">
        <v>585</v>
      </c>
      <c r="D96" s="96" t="s">
        <v>586</v>
      </c>
      <c r="E96" s="96" t="s">
        <v>587</v>
      </c>
      <c r="F96" s="96"/>
      <c r="G96" s="137"/>
      <c r="H96" s="137"/>
      <c r="I96" s="137"/>
      <c r="J96" s="137"/>
    </row>
    <row r="97" spans="1:10" s="2" customFormat="1" x14ac:dyDescent="0.25">
      <c r="A97" s="95">
        <v>96</v>
      </c>
      <c r="B97" s="96" t="s">
        <v>84</v>
      </c>
      <c r="C97" s="96" t="s">
        <v>588</v>
      </c>
      <c r="D97" s="96" t="s">
        <v>589</v>
      </c>
      <c r="E97" s="96" t="s">
        <v>590</v>
      </c>
      <c r="F97" s="96"/>
      <c r="G97" s="137"/>
      <c r="H97" s="137"/>
      <c r="I97" s="137"/>
      <c r="J97" s="137"/>
    </row>
    <row r="98" spans="1:10" x14ac:dyDescent="0.25">
      <c r="A98" s="95">
        <v>97</v>
      </c>
      <c r="B98" s="96" t="s">
        <v>84</v>
      </c>
      <c r="C98" s="96" t="s">
        <v>588</v>
      </c>
      <c r="D98" s="96" t="s">
        <v>589</v>
      </c>
      <c r="E98" s="96" t="s">
        <v>591</v>
      </c>
      <c r="F98" s="96"/>
      <c r="G98" s="137"/>
      <c r="H98" s="137"/>
      <c r="I98" s="137"/>
      <c r="J98" s="137"/>
    </row>
    <row r="99" spans="1:10" x14ac:dyDescent="0.25">
      <c r="A99" s="95">
        <v>98</v>
      </c>
      <c r="B99" s="96" t="s">
        <v>84</v>
      </c>
      <c r="C99" s="96" t="s">
        <v>592</v>
      </c>
      <c r="D99" s="96" t="s">
        <v>593</v>
      </c>
      <c r="E99" s="96" t="s">
        <v>594</v>
      </c>
      <c r="F99" s="96"/>
      <c r="G99" s="137"/>
      <c r="H99" s="137"/>
      <c r="I99" s="137"/>
      <c r="J99" s="137"/>
    </row>
    <row r="100" spans="1:10" x14ac:dyDescent="0.25">
      <c r="A100" s="95">
        <v>99</v>
      </c>
      <c r="B100" s="96" t="s">
        <v>84</v>
      </c>
      <c r="C100" s="96" t="s">
        <v>622</v>
      </c>
      <c r="D100" s="96" t="s">
        <v>623</v>
      </c>
      <c r="E100" s="96" t="s">
        <v>624</v>
      </c>
      <c r="F100" s="96"/>
      <c r="G100" s="137"/>
      <c r="H100" s="137"/>
      <c r="I100" s="137"/>
      <c r="J100" s="137"/>
    </row>
    <row r="101" spans="1:10" x14ac:dyDescent="0.25">
      <c r="A101" s="95">
        <v>100</v>
      </c>
      <c r="B101" s="96" t="s">
        <v>84</v>
      </c>
      <c r="C101" s="96" t="s">
        <v>625</v>
      </c>
      <c r="D101" s="96" t="s">
        <v>626</v>
      </c>
      <c r="E101" s="96" t="s">
        <v>627</v>
      </c>
      <c r="F101" s="96"/>
      <c r="G101" s="137"/>
      <c r="H101" s="137"/>
      <c r="I101" s="137"/>
      <c r="J101" s="137"/>
    </row>
    <row r="102" spans="1:10" x14ac:dyDescent="0.25">
      <c r="A102" s="95">
        <v>101</v>
      </c>
      <c r="B102" s="96" t="s">
        <v>84</v>
      </c>
      <c r="C102" s="96" t="s">
        <v>175</v>
      </c>
      <c r="D102" s="96" t="s">
        <v>176</v>
      </c>
      <c r="E102" s="96" t="s">
        <v>642</v>
      </c>
      <c r="F102" s="96"/>
      <c r="G102" s="137"/>
      <c r="H102" s="137"/>
      <c r="I102" s="137"/>
      <c r="J102" s="137"/>
    </row>
    <row r="103" spans="1:10" x14ac:dyDescent="0.25">
      <c r="A103" s="95">
        <v>102</v>
      </c>
      <c r="B103" s="96" t="s">
        <v>84</v>
      </c>
      <c r="C103" s="96" t="s">
        <v>175</v>
      </c>
      <c r="D103" s="96" t="s">
        <v>176</v>
      </c>
      <c r="E103" s="96" t="s">
        <v>643</v>
      </c>
      <c r="F103" s="96"/>
      <c r="G103" s="137"/>
      <c r="H103" s="137"/>
      <c r="I103" s="137"/>
      <c r="J103" s="137"/>
    </row>
    <row r="104" spans="1:10" x14ac:dyDescent="0.25">
      <c r="A104" s="95">
        <v>103</v>
      </c>
      <c r="B104" s="96" t="s">
        <v>505</v>
      </c>
      <c r="C104" s="96" t="s">
        <v>506</v>
      </c>
      <c r="D104" s="96" t="s">
        <v>507</v>
      </c>
      <c r="E104" s="96" t="s">
        <v>508</v>
      </c>
      <c r="F104" s="96"/>
      <c r="G104" s="139"/>
      <c r="H104" s="139"/>
      <c r="I104" s="139"/>
      <c r="J104" s="139"/>
    </row>
    <row r="105" spans="1:10" x14ac:dyDescent="0.25">
      <c r="A105" s="135"/>
      <c r="B105" s="136"/>
      <c r="C105" s="136"/>
      <c r="D105" s="136"/>
      <c r="E105" s="136"/>
      <c r="F105" s="136"/>
      <c r="G105" s="140"/>
      <c r="H105" s="140"/>
      <c r="I105" s="140"/>
      <c r="J105" s="140"/>
    </row>
    <row r="106" spans="1:10" x14ac:dyDescent="0.25">
      <c r="A106" s="98"/>
      <c r="B106" s="36"/>
      <c r="C106" s="36"/>
      <c r="D106" s="36"/>
      <c r="E106" s="55" t="s">
        <v>791</v>
      </c>
      <c r="F106" s="29"/>
    </row>
    <row r="120" spans="1:1" x14ac:dyDescent="0.25">
      <c r="A120" s="6">
        <f>COUNT(A2:A104)</f>
        <v>103</v>
      </c>
    </row>
  </sheetData>
  <sortState xmlns:xlrd2="http://schemas.microsoft.com/office/spreadsheetml/2017/richdata2" ref="B2:E104">
    <sortCondition ref="B2:B104"/>
  </sortState>
  <phoneticPr fontId="2" type="noConversion"/>
  <conditionalFormatting sqref="A1:E1">
    <cfRule type="expression" dxfId="121" priority="1">
      <formula>MOD(ROW(),2)=0</formula>
    </cfRule>
  </conditionalFormatting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C3EB5-D901-4DDD-B13B-2860A678D197}">
  <dimension ref="A1:EY60"/>
  <sheetViews>
    <sheetView workbookViewId="0">
      <selection activeCell="G29" sqref="G29"/>
    </sheetView>
  </sheetViews>
  <sheetFormatPr defaultColWidth="41.7109375" defaultRowHeight="15" x14ac:dyDescent="0.25"/>
  <cols>
    <col min="1" max="1" width="6.28515625" style="1" bestFit="1" customWidth="1"/>
    <col min="2" max="2" width="25" style="1" bestFit="1" customWidth="1"/>
    <col min="3" max="3" width="13.42578125" style="1" bestFit="1" customWidth="1"/>
    <col min="4" max="4" width="38" style="1" bestFit="1" customWidth="1"/>
    <col min="5" max="5" width="12.42578125" style="1" bestFit="1" customWidth="1"/>
    <col min="6" max="7" width="20.28515625" style="1" customWidth="1"/>
    <col min="8" max="9" width="19.42578125" style="1" customWidth="1"/>
    <col min="10" max="10" width="18.28515625" style="1" customWidth="1"/>
    <col min="11" max="16384" width="41.7109375" style="1"/>
  </cols>
  <sheetData>
    <row r="1" spans="1:155" ht="30" x14ac:dyDescent="0.25">
      <c r="A1" s="8" t="s">
        <v>12</v>
      </c>
      <c r="B1" s="7" t="s">
        <v>0</v>
      </c>
      <c r="C1" s="7" t="s">
        <v>1</v>
      </c>
      <c r="D1" s="7" t="s">
        <v>2</v>
      </c>
      <c r="E1" s="7" t="s">
        <v>3</v>
      </c>
      <c r="F1" s="124" t="s">
        <v>794</v>
      </c>
      <c r="G1" s="131" t="s">
        <v>795</v>
      </c>
      <c r="H1" s="131" t="s">
        <v>796</v>
      </c>
      <c r="I1" s="131" t="s">
        <v>797</v>
      </c>
      <c r="J1" s="131" t="s">
        <v>798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</row>
    <row r="2" spans="1:155" s="5" customFormat="1" ht="18" customHeight="1" x14ac:dyDescent="0.25">
      <c r="A2" s="76">
        <v>1</v>
      </c>
      <c r="B2" s="99" t="s">
        <v>14</v>
      </c>
      <c r="C2" s="100">
        <v>32</v>
      </c>
      <c r="D2" s="99" t="s">
        <v>369</v>
      </c>
      <c r="E2" s="99" t="s">
        <v>740</v>
      </c>
      <c r="F2" s="99"/>
      <c r="G2" s="128"/>
      <c r="H2" s="128"/>
      <c r="I2" s="132"/>
      <c r="J2" s="132"/>
    </row>
    <row r="3" spans="1:155" s="5" customFormat="1" x14ac:dyDescent="0.25">
      <c r="A3" s="76">
        <v>2</v>
      </c>
      <c r="B3" s="99" t="s">
        <v>737</v>
      </c>
      <c r="C3" s="100">
        <v>202</v>
      </c>
      <c r="D3" s="99" t="s">
        <v>25</v>
      </c>
      <c r="E3" s="99" t="s">
        <v>738</v>
      </c>
      <c r="F3" s="99"/>
      <c r="G3" s="126"/>
      <c r="H3" s="126"/>
      <c r="I3" s="127"/>
      <c r="J3" s="127"/>
    </row>
    <row r="4" spans="1:155" s="5" customFormat="1" x14ac:dyDescent="0.25">
      <c r="A4" s="76">
        <v>3</v>
      </c>
      <c r="B4" s="99" t="s">
        <v>14</v>
      </c>
      <c r="C4" s="100">
        <v>289</v>
      </c>
      <c r="D4" s="99" t="s">
        <v>31</v>
      </c>
      <c r="E4" s="99" t="s">
        <v>739</v>
      </c>
      <c r="F4" s="99"/>
      <c r="G4" s="126"/>
      <c r="H4" s="126"/>
      <c r="I4" s="127"/>
      <c r="J4" s="127"/>
    </row>
    <row r="5" spans="1:155" x14ac:dyDescent="0.25">
      <c r="A5" s="76">
        <v>4</v>
      </c>
      <c r="B5" s="99" t="s">
        <v>14</v>
      </c>
      <c r="C5" s="100">
        <v>381</v>
      </c>
      <c r="D5" s="99" t="s">
        <v>741</v>
      </c>
      <c r="E5" s="99" t="s">
        <v>742</v>
      </c>
      <c r="F5" s="99"/>
      <c r="G5" s="126"/>
      <c r="H5" s="126"/>
      <c r="I5" s="127"/>
      <c r="J5" s="127"/>
    </row>
    <row r="6" spans="1:155" x14ac:dyDescent="0.25">
      <c r="A6" s="76">
        <v>5</v>
      </c>
      <c r="B6" s="99" t="s">
        <v>14</v>
      </c>
      <c r="C6" s="100">
        <v>707</v>
      </c>
      <c r="D6" s="99" t="s">
        <v>48</v>
      </c>
      <c r="E6" s="99" t="s">
        <v>743</v>
      </c>
      <c r="F6" s="99"/>
      <c r="G6" s="126"/>
      <c r="H6" s="126"/>
      <c r="I6" s="127"/>
      <c r="J6" s="127"/>
    </row>
    <row r="7" spans="1:155" x14ac:dyDescent="0.25">
      <c r="A7" s="76">
        <v>6</v>
      </c>
      <c r="B7" s="99" t="s">
        <v>732</v>
      </c>
      <c r="C7" s="100">
        <v>1785</v>
      </c>
      <c r="D7" s="99" t="s">
        <v>733</v>
      </c>
      <c r="E7" s="99" t="s">
        <v>734</v>
      </c>
      <c r="F7" s="39"/>
      <c r="G7" s="127"/>
      <c r="H7" s="127"/>
      <c r="I7" s="127"/>
      <c r="J7" s="127"/>
    </row>
    <row r="8" spans="1:155" x14ac:dyDescent="0.25">
      <c r="A8" s="76">
        <v>7</v>
      </c>
      <c r="B8" s="99" t="s">
        <v>14</v>
      </c>
      <c r="C8" s="100">
        <v>9040</v>
      </c>
      <c r="D8" s="99" t="s">
        <v>332</v>
      </c>
      <c r="E8" s="99" t="s">
        <v>753</v>
      </c>
      <c r="F8" s="99"/>
      <c r="G8" s="126"/>
      <c r="H8" s="126"/>
      <c r="I8" s="127"/>
      <c r="J8" s="127"/>
    </row>
    <row r="9" spans="1:155" x14ac:dyDescent="0.25">
      <c r="A9" s="76">
        <v>8</v>
      </c>
      <c r="B9" s="101" t="s">
        <v>745</v>
      </c>
      <c r="C9" s="102">
        <v>85055</v>
      </c>
      <c r="D9" s="101" t="s">
        <v>746</v>
      </c>
      <c r="E9" s="101" t="s">
        <v>747</v>
      </c>
      <c r="F9" s="99"/>
      <c r="G9" s="126"/>
      <c r="H9" s="126"/>
      <c r="I9" s="127"/>
      <c r="J9" s="127"/>
    </row>
    <row r="10" spans="1:155" s="12" customFormat="1" x14ac:dyDescent="0.25">
      <c r="A10" s="103">
        <v>9</v>
      </c>
      <c r="B10" s="45" t="s">
        <v>356</v>
      </c>
      <c r="C10" s="104" t="s">
        <v>727</v>
      </c>
      <c r="D10" s="105" t="s">
        <v>357</v>
      </c>
      <c r="E10" s="45" t="s">
        <v>728</v>
      </c>
      <c r="F10" s="99"/>
      <c r="G10" s="126"/>
      <c r="H10" s="126"/>
      <c r="I10" s="127"/>
      <c r="J10" s="127"/>
    </row>
    <row r="11" spans="1:155" x14ac:dyDescent="0.25">
      <c r="A11" s="76">
        <v>10</v>
      </c>
      <c r="B11" s="99" t="s">
        <v>382</v>
      </c>
      <c r="C11" s="100" t="s">
        <v>735</v>
      </c>
      <c r="D11" s="99" t="s">
        <v>418</v>
      </c>
      <c r="E11" s="99" t="s">
        <v>783</v>
      </c>
      <c r="F11" s="99"/>
      <c r="G11" s="126"/>
      <c r="H11" s="126"/>
      <c r="I11" s="127"/>
      <c r="J11" s="127"/>
    </row>
    <row r="12" spans="1:155" x14ac:dyDescent="0.25">
      <c r="A12" s="76">
        <v>11</v>
      </c>
      <c r="B12" s="99" t="s">
        <v>382</v>
      </c>
      <c r="C12" s="100" t="s">
        <v>735</v>
      </c>
      <c r="D12" s="99" t="s">
        <v>418</v>
      </c>
      <c r="E12" s="99" t="s">
        <v>784</v>
      </c>
      <c r="F12" s="99"/>
      <c r="G12" s="126"/>
      <c r="H12" s="126"/>
      <c r="I12" s="127"/>
      <c r="J12" s="127"/>
    </row>
    <row r="13" spans="1:155" x14ac:dyDescent="0.25">
      <c r="A13" s="76">
        <v>12</v>
      </c>
      <c r="B13" s="99" t="s">
        <v>382</v>
      </c>
      <c r="C13" s="100" t="s">
        <v>735</v>
      </c>
      <c r="D13" s="99" t="s">
        <v>418</v>
      </c>
      <c r="E13" s="99" t="s">
        <v>785</v>
      </c>
      <c r="F13" s="99"/>
      <c r="G13" s="126"/>
      <c r="H13" s="126"/>
      <c r="I13" s="127"/>
      <c r="J13" s="127"/>
    </row>
    <row r="14" spans="1:155" x14ac:dyDescent="0.25">
      <c r="A14" s="76">
        <v>13</v>
      </c>
      <c r="B14" s="99" t="s">
        <v>382</v>
      </c>
      <c r="C14" s="100" t="s">
        <v>735</v>
      </c>
      <c r="D14" s="99" t="s">
        <v>418</v>
      </c>
      <c r="E14" s="99" t="s">
        <v>786</v>
      </c>
      <c r="F14" s="99"/>
      <c r="G14" s="126"/>
      <c r="H14" s="126"/>
      <c r="I14" s="127"/>
      <c r="J14" s="127"/>
    </row>
    <row r="15" spans="1:155" x14ac:dyDescent="0.25">
      <c r="A15" s="76">
        <v>14</v>
      </c>
      <c r="B15" s="99" t="s">
        <v>382</v>
      </c>
      <c r="C15" s="100" t="s">
        <v>735</v>
      </c>
      <c r="D15" s="99" t="s">
        <v>418</v>
      </c>
      <c r="E15" s="99" t="s">
        <v>736</v>
      </c>
      <c r="F15" s="99"/>
      <c r="G15" s="126"/>
      <c r="H15" s="126"/>
      <c r="I15" s="127"/>
      <c r="J15" s="127"/>
    </row>
    <row r="16" spans="1:155" x14ac:dyDescent="0.25">
      <c r="A16" s="76">
        <v>15</v>
      </c>
      <c r="B16" s="99" t="s">
        <v>14</v>
      </c>
      <c r="C16" s="100" t="s">
        <v>50</v>
      </c>
      <c r="D16" s="99" t="s">
        <v>51</v>
      </c>
      <c r="E16" s="99" t="s">
        <v>744</v>
      </c>
      <c r="F16" s="99"/>
      <c r="G16" s="126"/>
      <c r="H16" s="126"/>
      <c r="I16" s="127"/>
      <c r="J16" s="127"/>
    </row>
    <row r="17" spans="1:10" x14ac:dyDescent="0.25">
      <c r="A17" s="76">
        <v>16</v>
      </c>
      <c r="B17" s="99" t="s">
        <v>14</v>
      </c>
      <c r="C17" s="100" t="s">
        <v>56</v>
      </c>
      <c r="D17" s="99" t="s">
        <v>31</v>
      </c>
      <c r="E17" s="99" t="s">
        <v>748</v>
      </c>
      <c r="F17" s="99"/>
      <c r="G17" s="126"/>
      <c r="H17" s="126"/>
      <c r="I17" s="127"/>
      <c r="J17" s="127"/>
    </row>
    <row r="18" spans="1:10" x14ac:dyDescent="0.25">
      <c r="A18" s="76">
        <v>17</v>
      </c>
      <c r="B18" s="99" t="s">
        <v>14</v>
      </c>
      <c r="C18" s="100" t="s">
        <v>56</v>
      </c>
      <c r="D18" s="99" t="s">
        <v>31</v>
      </c>
      <c r="E18" s="99" t="s">
        <v>749</v>
      </c>
      <c r="F18" s="99"/>
      <c r="G18" s="126"/>
      <c r="H18" s="126"/>
      <c r="I18" s="127"/>
      <c r="J18" s="127"/>
    </row>
    <row r="19" spans="1:10" x14ac:dyDescent="0.25">
      <c r="A19" s="76">
        <v>18</v>
      </c>
      <c r="B19" s="99" t="s">
        <v>14</v>
      </c>
      <c r="C19" s="100" t="s">
        <v>56</v>
      </c>
      <c r="D19" s="99" t="s">
        <v>31</v>
      </c>
      <c r="E19" s="99" t="s">
        <v>750</v>
      </c>
      <c r="F19" s="99"/>
      <c r="G19" s="126"/>
      <c r="H19" s="126"/>
      <c r="I19" s="127"/>
      <c r="J19" s="127"/>
    </row>
    <row r="20" spans="1:10" x14ac:dyDescent="0.25">
      <c r="A20" s="76">
        <v>19</v>
      </c>
      <c r="B20" s="99" t="s">
        <v>14</v>
      </c>
      <c r="C20" s="100" t="s">
        <v>56</v>
      </c>
      <c r="D20" s="99" t="s">
        <v>31</v>
      </c>
      <c r="E20" s="99" t="s">
        <v>751</v>
      </c>
      <c r="F20" s="99"/>
      <c r="G20" s="126"/>
      <c r="H20" s="126"/>
      <c r="I20" s="127"/>
      <c r="J20" s="127"/>
    </row>
    <row r="21" spans="1:10" x14ac:dyDescent="0.25">
      <c r="A21" s="76">
        <v>20</v>
      </c>
      <c r="B21" s="99" t="s">
        <v>14</v>
      </c>
      <c r="C21" s="100" t="s">
        <v>56</v>
      </c>
      <c r="D21" s="99" t="s">
        <v>31</v>
      </c>
      <c r="E21" s="99" t="s">
        <v>752</v>
      </c>
      <c r="F21" s="99"/>
      <c r="G21" s="126"/>
      <c r="H21" s="126"/>
      <c r="I21" s="127"/>
      <c r="J21" s="127"/>
    </row>
    <row r="22" spans="1:10" x14ac:dyDescent="0.25">
      <c r="A22" s="76">
        <v>21</v>
      </c>
      <c r="B22" s="99" t="s">
        <v>754</v>
      </c>
      <c r="C22" s="100" t="s">
        <v>755</v>
      </c>
      <c r="D22" s="99" t="s">
        <v>756</v>
      </c>
      <c r="E22" s="99" t="s">
        <v>757</v>
      </c>
      <c r="F22" s="99"/>
      <c r="G22" s="126"/>
      <c r="H22" s="126"/>
      <c r="I22" s="127"/>
      <c r="J22" s="127"/>
    </row>
    <row r="23" spans="1:10" x14ac:dyDescent="0.25">
      <c r="A23" s="76">
        <v>22</v>
      </c>
      <c r="B23" s="99" t="s">
        <v>63</v>
      </c>
      <c r="C23" s="100" t="s">
        <v>758</v>
      </c>
      <c r="D23" s="99" t="s">
        <v>759</v>
      </c>
      <c r="E23" s="99" t="s">
        <v>760</v>
      </c>
      <c r="F23" s="99"/>
      <c r="G23" s="126"/>
      <c r="H23" s="126"/>
      <c r="I23" s="127"/>
      <c r="J23" s="127"/>
    </row>
    <row r="24" spans="1:10" x14ac:dyDescent="0.25">
      <c r="A24" s="76">
        <v>23</v>
      </c>
      <c r="B24" s="99" t="s">
        <v>761</v>
      </c>
      <c r="C24" s="100" t="s">
        <v>696</v>
      </c>
      <c r="D24" s="99" t="s">
        <v>697</v>
      </c>
      <c r="E24" s="99" t="s">
        <v>762</v>
      </c>
      <c r="F24" s="99"/>
      <c r="G24" s="126"/>
      <c r="H24" s="126"/>
      <c r="I24" s="127"/>
      <c r="J24" s="127"/>
    </row>
    <row r="25" spans="1:10" s="2" customFormat="1" x14ac:dyDescent="0.25">
      <c r="A25" s="76">
        <v>24</v>
      </c>
      <c r="B25" s="99" t="s">
        <v>763</v>
      </c>
      <c r="C25" s="100" t="s">
        <v>764</v>
      </c>
      <c r="D25" s="99" t="s">
        <v>765</v>
      </c>
      <c r="E25" s="99" t="s">
        <v>766</v>
      </c>
      <c r="F25" s="99"/>
      <c r="G25" s="126"/>
      <c r="H25" s="126"/>
      <c r="I25" s="127"/>
      <c r="J25" s="127"/>
    </row>
    <row r="26" spans="1:10" x14ac:dyDescent="0.25">
      <c r="A26" s="76">
        <v>25</v>
      </c>
      <c r="B26" s="99" t="s">
        <v>767</v>
      </c>
      <c r="C26" s="100" t="s">
        <v>768</v>
      </c>
      <c r="D26" s="99" t="s">
        <v>769</v>
      </c>
      <c r="E26" s="99" t="s">
        <v>770</v>
      </c>
      <c r="F26" s="99"/>
      <c r="G26" s="126"/>
      <c r="H26" s="126"/>
      <c r="I26" s="127"/>
      <c r="J26" s="127"/>
    </row>
    <row r="27" spans="1:10" s="2" customFormat="1" x14ac:dyDescent="0.25">
      <c r="A27" s="76">
        <v>26</v>
      </c>
      <c r="B27" s="99" t="s">
        <v>67</v>
      </c>
      <c r="C27" s="100" t="s">
        <v>771</v>
      </c>
      <c r="D27" s="99" t="s">
        <v>772</v>
      </c>
      <c r="E27" s="99" t="s">
        <v>773</v>
      </c>
      <c r="F27" s="39"/>
      <c r="G27" s="127"/>
      <c r="H27" s="127"/>
      <c r="I27" s="127"/>
      <c r="J27" s="127"/>
    </row>
    <row r="28" spans="1:10" s="5" customFormat="1" x14ac:dyDescent="0.25">
      <c r="A28" s="26">
        <v>27</v>
      </c>
      <c r="B28" s="108" t="s">
        <v>661</v>
      </c>
      <c r="C28" s="109" t="s">
        <v>665</v>
      </c>
      <c r="D28" s="108" t="s">
        <v>666</v>
      </c>
      <c r="E28" s="108" t="s">
        <v>774</v>
      </c>
      <c r="F28" s="99"/>
      <c r="G28" s="126"/>
      <c r="H28" s="126"/>
      <c r="I28" s="127"/>
      <c r="J28" s="127"/>
    </row>
    <row r="29" spans="1:10" x14ac:dyDescent="0.25">
      <c r="A29" s="76">
        <v>28</v>
      </c>
      <c r="B29" s="99" t="s">
        <v>14</v>
      </c>
      <c r="C29" s="100" t="s">
        <v>422</v>
      </c>
      <c r="D29" s="99" t="s">
        <v>369</v>
      </c>
      <c r="E29" s="99" t="s">
        <v>775</v>
      </c>
      <c r="F29" s="99"/>
      <c r="G29" s="126"/>
      <c r="H29" s="126"/>
      <c r="I29" s="127"/>
      <c r="J29" s="127"/>
    </row>
    <row r="30" spans="1:10" x14ac:dyDescent="0.25">
      <c r="A30" s="76">
        <v>29</v>
      </c>
      <c r="B30" s="99" t="s">
        <v>14</v>
      </c>
      <c r="C30" s="100" t="s">
        <v>422</v>
      </c>
      <c r="D30" s="99" t="s">
        <v>369</v>
      </c>
      <c r="E30" s="99" t="s">
        <v>776</v>
      </c>
      <c r="F30" s="99"/>
      <c r="G30" s="126"/>
      <c r="H30" s="126"/>
      <c r="I30" s="127"/>
      <c r="J30" s="127"/>
    </row>
    <row r="31" spans="1:10" x14ac:dyDescent="0.25">
      <c r="A31" s="76">
        <v>30</v>
      </c>
      <c r="B31" s="99" t="s">
        <v>14</v>
      </c>
      <c r="C31" s="100" t="s">
        <v>422</v>
      </c>
      <c r="D31" s="99" t="s">
        <v>369</v>
      </c>
      <c r="E31" s="99" t="s">
        <v>777</v>
      </c>
      <c r="F31" s="99"/>
      <c r="G31" s="126"/>
      <c r="H31" s="126"/>
      <c r="I31" s="127"/>
      <c r="J31" s="127"/>
    </row>
    <row r="32" spans="1:10" x14ac:dyDescent="0.25">
      <c r="A32" s="76">
        <v>31</v>
      </c>
      <c r="B32" s="99" t="s">
        <v>14</v>
      </c>
      <c r="C32" s="100" t="s">
        <v>422</v>
      </c>
      <c r="D32" s="99" t="s">
        <v>369</v>
      </c>
      <c r="E32" s="99" t="s">
        <v>778</v>
      </c>
      <c r="F32" s="99"/>
      <c r="G32" s="126"/>
      <c r="H32" s="126"/>
      <c r="I32" s="127"/>
      <c r="J32" s="127"/>
    </row>
    <row r="33" spans="1:10" x14ac:dyDescent="0.25">
      <c r="A33" s="76">
        <v>32</v>
      </c>
      <c r="B33" s="99" t="s">
        <v>14</v>
      </c>
      <c r="C33" s="100" t="s">
        <v>422</v>
      </c>
      <c r="D33" s="99" t="s">
        <v>369</v>
      </c>
      <c r="E33" s="99" t="s">
        <v>779</v>
      </c>
      <c r="F33" s="99"/>
      <c r="G33" s="126"/>
      <c r="H33" s="126"/>
      <c r="I33" s="127"/>
      <c r="J33" s="127"/>
    </row>
    <row r="34" spans="1:10" x14ac:dyDescent="0.25">
      <c r="A34" s="76">
        <v>33</v>
      </c>
      <c r="B34" s="99" t="s">
        <v>338</v>
      </c>
      <c r="C34" s="100" t="s">
        <v>780</v>
      </c>
      <c r="D34" s="99" t="s">
        <v>781</v>
      </c>
      <c r="E34" s="99" t="s">
        <v>782</v>
      </c>
      <c r="F34" s="99"/>
      <c r="G34" s="126"/>
      <c r="H34" s="126"/>
      <c r="I34" s="127"/>
      <c r="J34" s="127"/>
    </row>
    <row r="35" spans="1:10" s="5" customFormat="1" x14ac:dyDescent="0.25">
      <c r="A35" s="103">
        <v>34</v>
      </c>
      <c r="B35" s="106" t="s">
        <v>729</v>
      </c>
      <c r="C35" s="107" t="s">
        <v>730</v>
      </c>
      <c r="D35" s="20" t="s">
        <v>357</v>
      </c>
      <c r="E35" s="106" t="s">
        <v>731</v>
      </c>
      <c r="F35" s="99"/>
      <c r="G35" s="126"/>
      <c r="H35" s="126"/>
      <c r="I35" s="127"/>
      <c r="J35" s="127"/>
    </row>
    <row r="36" spans="1:10" s="5" customFormat="1" x14ac:dyDescent="0.25">
      <c r="A36" s="103">
        <v>35</v>
      </c>
      <c r="B36" s="45" t="s">
        <v>356</v>
      </c>
      <c r="C36" s="104" t="s">
        <v>790</v>
      </c>
      <c r="D36" s="110" t="s">
        <v>357</v>
      </c>
      <c r="E36" s="45" t="s">
        <v>789</v>
      </c>
      <c r="F36" s="39"/>
      <c r="G36" s="129"/>
      <c r="H36" s="129"/>
      <c r="I36" s="129"/>
      <c r="J36" s="129"/>
    </row>
    <row r="37" spans="1:10" x14ac:dyDescent="0.25">
      <c r="A37" s="36"/>
      <c r="B37" s="48"/>
      <c r="C37" s="47"/>
      <c r="D37" s="48"/>
      <c r="E37" s="48"/>
      <c r="F37" s="48"/>
      <c r="G37" s="130"/>
      <c r="H37" s="130"/>
      <c r="I37" s="130"/>
      <c r="J37" s="130"/>
    </row>
    <row r="38" spans="1:10" x14ac:dyDescent="0.25">
      <c r="A38" s="36"/>
      <c r="B38" s="36"/>
      <c r="C38" s="36"/>
      <c r="D38" s="36"/>
      <c r="E38" s="134" t="s">
        <v>792</v>
      </c>
      <c r="F38" s="29"/>
      <c r="G38" s="133"/>
      <c r="H38" s="133"/>
      <c r="I38" s="133"/>
      <c r="J38" s="133"/>
    </row>
    <row r="60" spans="1:1" x14ac:dyDescent="0.25">
      <c r="A60" s="1">
        <f>COUNT(A2:A59)</f>
        <v>35</v>
      </c>
    </row>
  </sheetData>
  <sortState xmlns:xlrd2="http://schemas.microsoft.com/office/spreadsheetml/2017/richdata2" ref="B2:E27">
    <sortCondition ref="B2:B27"/>
  </sortState>
  <phoneticPr fontId="8" type="noConversion"/>
  <conditionalFormatting sqref="A1">
    <cfRule type="expression" dxfId="120" priority="1">
      <formula>MOD(ROW(),2)=0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 Count</vt:lpstr>
      <vt:lpstr>Comm Shop</vt:lpstr>
      <vt:lpstr>Davis Electric</vt:lpstr>
      <vt:lpstr>Electrical Tools</vt:lpstr>
      <vt:lpstr>Elect-Test</vt:lpstr>
      <vt:lpstr>Elevator Tools</vt:lpstr>
      <vt:lpstr>HEM Tools</vt:lpstr>
      <vt:lpstr>Mech Engineering</vt:lpstr>
      <vt:lpstr>Tool Room</vt:lpstr>
      <vt:lpstr>Parker Dam</vt:lpstr>
    </vt:vector>
  </TitlesOfParts>
  <Company>EML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Mobile2B</dc:creator>
  <cp:lastModifiedBy>Mincey, Gilbert S</cp:lastModifiedBy>
  <cp:lastPrinted>2022-07-18T18:48:17Z</cp:lastPrinted>
  <dcterms:created xsi:type="dcterms:W3CDTF">2021-07-23T17:07:32Z</dcterms:created>
  <dcterms:modified xsi:type="dcterms:W3CDTF">2026-04-07T13:29:38Z</dcterms:modified>
</cp:coreProperties>
</file>