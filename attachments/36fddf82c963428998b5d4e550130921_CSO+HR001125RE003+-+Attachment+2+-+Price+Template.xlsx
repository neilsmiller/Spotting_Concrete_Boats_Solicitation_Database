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filer1\CMO\@Services Division-Restricted\A.Commercial Strategy CSO Source Selection Sensitive\HR001125RE003\"/>
    </mc:Choice>
  </mc:AlternateContent>
  <xr:revisionPtr revIDLastSave="0" documentId="13_ncr:1_{9118CF85-45AA-4856-8F65-5E15F3B14A8C}" xr6:coauthVersionLast="47" xr6:coauthVersionMax="47" xr10:uidLastSave="{00000000-0000-0000-0000-000000000000}"/>
  <bookViews>
    <workbookView xWindow="26025" yWindow="360" windowWidth="24000" windowHeight="14205" xr2:uid="{00000000-000D-0000-FFFF-FFFF00000000}"/>
  </bookViews>
  <sheets>
    <sheet name="Price Breakdown" sheetId="1" r:id="rId1"/>
    <sheet name="Travel" sheetId="6" r:id="rId2"/>
    <sheet name="ODC Details" sheetId="7" r:id="rId3"/>
    <sheet name="Materials" sheetId="8" r:id="rId4"/>
    <sheet name="Equipment" sheetId="9" r:id="rId5"/>
  </sheets>
  <externalReferences>
    <externalReference r:id="rId6"/>
    <externalReference r:id="rId7"/>
    <externalReference r:id="rId8"/>
  </externalReferences>
  <definedNames>
    <definedName name="AcademiaLaborGroups">[1]Constants!$A$21:$A$24</definedName>
    <definedName name="GeneralLaborGroups">[1]Constants!$A$27:$A$32</definedName>
    <definedName name="IndirectRateCategories">[1]Constants!$A$113:$A$129</definedName>
    <definedName name="LaborCollection">[1]Constants!$A$15</definedName>
    <definedName name="NoBusinessTypeSelected">[1]Constants!$A$18</definedName>
    <definedName name="Offeror.Bus.Type">'[1]Proposer Constants'!$A$4</definedName>
    <definedName name="OfferorBusinessTypes">[1]Constants!$A$8:$A$12</definedName>
    <definedName name="P1_AWI">'[2]Indirects + AWI'!$L$10</definedName>
    <definedName name="Period1_Label">'[1]Proposer Constants'!$B$9</definedName>
    <definedName name="Period2_Label">'[1]Proposer Constants'!$C$9</definedName>
    <definedName name="Period3_Label">'[1]Proposer Constants'!$D$9</definedName>
    <definedName name="Period4_Label">'[1]Proposer Constants'!$E$9</definedName>
    <definedName name="Period5_Label">'[1]Proposer Constants'!$F$9</definedName>
    <definedName name="Period6_Label">'[1]Proposer Constants'!$G$9</definedName>
    <definedName name="SBIRSTTRPhaseChoices" localSheetId="1">[3]Constants!$A$134:$A$137</definedName>
    <definedName name="SBIRSTTRPhaseChoices">[1]Constants!$A$135:$A$138</definedName>
    <definedName name="SmallBusinessSizeChoices">[1]Constants!$A$143:$A$146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0" i="1" l="1"/>
  <c r="H16" i="1"/>
  <c r="D16" i="1"/>
  <c r="I10" i="9"/>
  <c r="I9" i="9"/>
  <c r="I6" i="9"/>
  <c r="E14" i="8"/>
  <c r="E13" i="8"/>
  <c r="E8" i="8"/>
  <c r="I5" i="9"/>
  <c r="I4" i="9"/>
  <c r="C1" i="9"/>
  <c r="E12" i="8"/>
  <c r="E11" i="8"/>
  <c r="E10" i="8"/>
  <c r="E9" i="8"/>
  <c r="E7" i="8"/>
  <c r="E6" i="8"/>
  <c r="E5" i="8"/>
  <c r="E4" i="8"/>
  <c r="D1" i="8"/>
  <c r="H14" i="1"/>
  <c r="D14" i="1"/>
  <c r="E12" i="7"/>
  <c r="E11" i="7"/>
  <c r="E7" i="7"/>
  <c r="E10" i="7"/>
  <c r="E9" i="7"/>
  <c r="E8" i="7"/>
  <c r="E6" i="7"/>
  <c r="E5" i="7"/>
  <c r="E4" i="7"/>
  <c r="D1" i="7"/>
  <c r="H12" i="1"/>
  <c r="D12" i="1"/>
  <c r="Y13" i="6"/>
  <c r="AB13" i="6" s="1"/>
  <c r="AC13" i="6" s="1"/>
  <c r="U13" i="6"/>
  <c r="N13" i="6"/>
  <c r="L13" i="6"/>
  <c r="J13" i="6"/>
  <c r="Q13" i="6" s="1"/>
  <c r="I13" i="6"/>
  <c r="P13" i="6" s="1"/>
  <c r="R13" i="6" s="1"/>
  <c r="H13" i="6"/>
  <c r="Y12" i="6"/>
  <c r="U12" i="6"/>
  <c r="N12" i="6"/>
  <c r="L12" i="6"/>
  <c r="J12" i="6"/>
  <c r="Q12" i="6" s="1"/>
  <c r="I12" i="6"/>
  <c r="P12" i="6" s="1"/>
  <c r="R12" i="6" s="1"/>
  <c r="H12" i="6"/>
  <c r="Y11" i="6"/>
  <c r="AB11" i="6" s="1"/>
  <c r="AC11" i="6" s="1"/>
  <c r="U11" i="6"/>
  <c r="N11" i="6"/>
  <c r="L11" i="6"/>
  <c r="J11" i="6"/>
  <c r="Q11" i="6" s="1"/>
  <c r="I11" i="6"/>
  <c r="P11" i="6" s="1"/>
  <c r="R11" i="6" s="1"/>
  <c r="H11" i="6"/>
  <c r="Y10" i="6"/>
  <c r="U10" i="6"/>
  <c r="N10" i="6"/>
  <c r="L10" i="6"/>
  <c r="J10" i="6"/>
  <c r="Q10" i="6" s="1"/>
  <c r="I10" i="6"/>
  <c r="P10" i="6" s="1"/>
  <c r="R10" i="6" s="1"/>
  <c r="H10" i="6"/>
  <c r="Y8" i="6"/>
  <c r="U8" i="6"/>
  <c r="P8" i="6"/>
  <c r="N8" i="6"/>
  <c r="L8" i="6"/>
  <c r="J8" i="6"/>
  <c r="Q8" i="6" s="1"/>
  <c r="I8" i="6"/>
  <c r="H8" i="6"/>
  <c r="Y7" i="6"/>
  <c r="U7" i="6"/>
  <c r="P7" i="6"/>
  <c r="R7" i="6" s="1"/>
  <c r="N7" i="6"/>
  <c r="L7" i="6"/>
  <c r="J7" i="6"/>
  <c r="Q7" i="6" s="1"/>
  <c r="I7" i="6"/>
  <c r="H7" i="6"/>
  <c r="Y6" i="6"/>
  <c r="U6" i="6"/>
  <c r="P6" i="6"/>
  <c r="N6" i="6"/>
  <c r="L6" i="6"/>
  <c r="J6" i="6"/>
  <c r="Q6" i="6" s="1"/>
  <c r="I6" i="6"/>
  <c r="H6" i="6"/>
  <c r="Y5" i="6"/>
  <c r="U5" i="6"/>
  <c r="P5" i="6"/>
  <c r="N5" i="6"/>
  <c r="L5" i="6"/>
  <c r="J5" i="6"/>
  <c r="Q5" i="6" s="1"/>
  <c r="I5" i="6"/>
  <c r="H5" i="6"/>
  <c r="C1" i="6"/>
  <c r="AB7" i="6" l="1"/>
  <c r="AC7" i="6" s="1"/>
  <c r="R6" i="6"/>
  <c r="AB10" i="6"/>
  <c r="AC10" i="6" s="1"/>
  <c r="AC14" i="6" s="1"/>
  <c r="AB6" i="6"/>
  <c r="AC6" i="6" s="1"/>
  <c r="AB12" i="6"/>
  <c r="AC12" i="6" s="1"/>
  <c r="R5" i="6"/>
  <c r="R8" i="6"/>
  <c r="AB5" i="6"/>
  <c r="AC5" i="6" s="1"/>
  <c r="AB8" i="6"/>
  <c r="AC8" i="6" s="1"/>
  <c r="AC9" i="6" l="1"/>
  <c r="AC15" i="6" s="1"/>
  <c r="H18" i="1" l="1"/>
  <c r="H20" i="1" s="1"/>
  <c r="D18" i="1"/>
  <c r="I16" i="1"/>
  <c r="I14" i="1"/>
  <c r="I12" i="1"/>
  <c r="H9" i="1"/>
  <c r="H8" i="1"/>
  <c r="H7" i="1"/>
  <c r="D9" i="1"/>
  <c r="D8" i="1"/>
  <c r="D7" i="1"/>
  <c r="F10" i="1"/>
  <c r="I18" i="1" l="1"/>
  <c r="D10" i="1"/>
  <c r="I9" i="1"/>
  <c r="I7" i="1"/>
  <c r="I8" i="1"/>
  <c r="H10" i="1"/>
  <c r="I10" i="1" l="1"/>
  <c r="B10" i="1" l="1"/>
  <c r="I20" i="1" l="1"/>
</calcChain>
</file>

<file path=xl/sharedStrings.xml><?xml version="1.0" encoding="utf-8"?>
<sst xmlns="http://schemas.openxmlformats.org/spreadsheetml/2006/main" count="149" uniqueCount="113">
  <si>
    <t>Base</t>
  </si>
  <si>
    <t>Total</t>
  </si>
  <si>
    <t>Labor</t>
  </si>
  <si>
    <t>Hours</t>
  </si>
  <si>
    <t xml:space="preserve"> </t>
  </si>
  <si>
    <t>Minimum Viable Product (Option)</t>
  </si>
  <si>
    <t>Total Proposed</t>
  </si>
  <si>
    <t>Total Price</t>
  </si>
  <si>
    <t>Rate*</t>
  </si>
  <si>
    <t>Profit</t>
  </si>
  <si>
    <t>Travel</t>
  </si>
  <si>
    <t>Other Direct Costs (ODCs)</t>
  </si>
  <si>
    <t>Material/Equipment</t>
  </si>
  <si>
    <t>Labor Category*</t>
  </si>
  <si>
    <t>*Offeror may add rows as required</t>
  </si>
  <si>
    <t xml:space="preserve"> TRAVEL</t>
  </si>
  <si>
    <t>(Notes 1, 2  and 3)</t>
  </si>
  <si>
    <t>TRAVEL DETAIL</t>
  </si>
  <si>
    <t>Base / Option / Task</t>
  </si>
  <si>
    <t>Purpose of Trip</t>
  </si>
  <si>
    <t>Origin Destination</t>
  </si>
  <si>
    <t>Final Destination</t>
  </si>
  <si>
    <t># People</t>
  </si>
  <si>
    <t># Days</t>
  </si>
  <si>
    <t># of Trips</t>
  </si>
  <si>
    <t># days at 100% Hotel per diem</t>
  </si>
  <si>
    <t># days at 100% M&amp;IE per diem</t>
  </si>
  <si>
    <t># days at 75% M&amp;IE per diem</t>
  </si>
  <si>
    <t>Round Trip Airfare/ Trainfare per person</t>
  </si>
  <si>
    <t>Total Airfare/ Trainfare $ per Trip</t>
  </si>
  <si>
    <t>Hotel  Per Diem Rate per person</t>
  </si>
  <si>
    <t>Total Hotel Per Diem $ per trip</t>
  </si>
  <si>
    <t>M&amp;IE  Per Diem Rate per person</t>
  </si>
  <si>
    <t>100% M&amp;IE Per Diem $</t>
  </si>
  <si>
    <t>75% M&amp;IE Per Diem $</t>
  </si>
  <si>
    <t>Total M&amp;IE Per Diem $ per trip</t>
  </si>
  <si>
    <t>Car Rental dollars per day including Taxes &amp; Fees</t>
  </si>
  <si>
    <t># of Cars (1-3 people per car)</t>
  </si>
  <si>
    <t>Total Car rental $ per trip</t>
  </si>
  <si>
    <t>Standard Personal Car Mileage Rate</t>
  </si>
  <si>
    <t>Estimated Number of Round trip Miles per Car</t>
  </si>
  <si>
    <t># of Personal Cars</t>
  </si>
  <si>
    <t>Total Mileage Rate Dollars</t>
  </si>
  <si>
    <t>Conference Fees</t>
  </si>
  <si>
    <t>Other Expenses (tolls, parking, rental gas, wi-fi)</t>
  </si>
  <si>
    <t>TOTAL DIRECT DOLLARS PER TRIP</t>
  </si>
  <si>
    <t>GRAND TOTAL DIRECT DOLLARS FOR ALL TRIPS</t>
  </si>
  <si>
    <t>Base Total Travel</t>
  </si>
  <si>
    <t>Option Total Travel</t>
  </si>
  <si>
    <t>GRAND TOTAL TRAVEL</t>
  </si>
  <si>
    <t>Instructions:</t>
  </si>
  <si>
    <t>•  When completing the “Origin” and “Final” Destination information, enter the city and state where travel will originate and end. For example, from Seattle WA to Washington DC. Do not list airport codes.
•  Include the trip purpose. It must be referred to in the Technical Proposal. Publications, conference attendance, and presentations are encouraged but must be justified to and approved by the Program Officer.
•  Remember that you cannot stay overnight the same number of days that you travel. There must always be one more day than night. 
•  The first day and the last day of travel are charged at 75% of the M&amp;IE per diem rate. If you travel for just one day (lasting 12 hours or more), the M&amp;IE per diem rate is also charged at 75%. For answers to FAQs about per diem and travel rates, please review: https://www.gsa.gov/travel/plan-book/per-diem-rates/frequently-asked-questions-per-diem.
•  Do not combine any categories.
•  For lodging and M&amp;IE, use federal Per Diem Rates found at https://www.gsa.gov.
•  Submit backup for airfare and rental cars. Price airfare at economy rates; indicate if the airfare is refundable.</t>
  </si>
  <si>
    <t xml:space="preserve">Note 1: </t>
  </si>
  <si>
    <t>Estimates and the resultant costs claimed must conform to the applicable Federal cost principles.</t>
  </si>
  <si>
    <r>
      <t>•</t>
    </r>
    <r>
      <rPr>
        <sz val="7"/>
        <rFont val="Times New Roman"/>
        <family val="1"/>
      </rPr>
      <t xml:space="preserve">        </t>
    </r>
    <r>
      <rPr>
        <sz val="12"/>
        <rFont val="Times New Roman"/>
        <family val="1"/>
      </rPr>
      <t>Do not combine any categories.</t>
    </r>
  </si>
  <si>
    <t>Note 2:</t>
  </si>
  <si>
    <t>Include a separate section in the above table for the base and each option</t>
  </si>
  <si>
    <t>Note 3:</t>
  </si>
  <si>
    <t>If there are miscellaneous expenses associated with the trip, provide description and rationale.</t>
  </si>
  <si>
    <r>
      <t>OTHER DIRECT COSTS</t>
    </r>
    <r>
      <rPr>
        <b/>
        <i/>
        <sz val="12"/>
        <color rgb="FFFF0000"/>
        <rFont val="Calibri"/>
        <family val="2"/>
      </rPr>
      <t xml:space="preserve"> (Note 1)</t>
    </r>
  </si>
  <si>
    <r>
      <t xml:space="preserve">Description
</t>
    </r>
    <r>
      <rPr>
        <b/>
        <sz val="12"/>
        <color rgb="FFFF0000"/>
        <rFont val="Calibri"/>
        <family val="2"/>
      </rPr>
      <t>(Note 2)</t>
    </r>
  </si>
  <si>
    <t>Qty</t>
  </si>
  <si>
    <t>Unit of Issue</t>
  </si>
  <si>
    <t>Unit Price</t>
  </si>
  <si>
    <t>Basis of Estimate (Note 3)</t>
  </si>
  <si>
    <r>
      <t>Supporting documentation has been provided (Y/N)</t>
    </r>
    <r>
      <rPr>
        <b/>
        <sz val="12"/>
        <color rgb="FFFF0000"/>
        <rFont val="Calibri"/>
        <family val="2"/>
      </rPr>
      <t xml:space="preserve"> (Note 3)</t>
    </r>
  </si>
  <si>
    <t>Reference Document Number</t>
  </si>
  <si>
    <t>Y</t>
  </si>
  <si>
    <t>N</t>
  </si>
  <si>
    <t xml:space="preserve">TOTAL </t>
  </si>
  <si>
    <t>•  Indicate “Not Applicable” in cell B4 if there is no information to include for the Base and in cell B7 if there is no information to include for the Option.
•  If you have any ODC entries, be sure to fill out all columns.                                                                                                                                                                 • Include supporting documentation for each entry with unit cost over $5,000. Backup may consist of a vendor quote, past purchase order/invoice, information from a website, or a detailed explanation of labor and material costs for custom made items.
•  Label ODC backup clearly with a Reference Document Number in the format of ODC000 starting with ODC001. Place the Reference Document Number in the upper right hand side of the backup page. If there are several quotes on a page, make sure each desired item has a separate reference number placed to the left of the item on the backup page. The Reference Document Number must be listed next to the appropriate item on the ODC worksheet under the Reference Document Number column.
•  Ensure that descriptions and vendors listed on the ODC Details worksheet match information provided in the backup.
•  Number Reference Document Numbers sequentially so they match the Item number in the Base. For example, Item number 1 should match ODC001. If the same items are used again in the options, there is no need to renumber or add additional copies of the backup, but list the items sequentially by Reference Document Number. As an example, ODC002 could be used for Base item number 2, Option I item number 1 and Option II Item number 1.</t>
  </si>
  <si>
    <t>Note 1:</t>
  </si>
  <si>
    <t>Examples include rental fees, shipping costs, license fees</t>
  </si>
  <si>
    <t xml:space="preserve">Note 2: </t>
  </si>
  <si>
    <t>Include a separate section in the above table for the Base and each Option.  Add additional lines labeled with Options if needed.</t>
  </si>
  <si>
    <t>In an attachment, provide all supporting documentation to support your price basis, e.g. copy of quote, page from catalog, or method used for deriving engineering estimates.</t>
  </si>
  <si>
    <t xml:space="preserve">Include a separate section in the above table for the Base and Option. </t>
  </si>
  <si>
    <t>Option</t>
  </si>
  <si>
    <t>Price Breakdown</t>
  </si>
  <si>
    <t xml:space="preserve">Base Total </t>
  </si>
  <si>
    <t xml:space="preserve">Option Total </t>
  </si>
  <si>
    <r>
      <t xml:space="preserve">Item
</t>
    </r>
    <r>
      <rPr>
        <b/>
        <sz val="12"/>
        <color rgb="FFFF0000"/>
        <rFont val="Calibri"/>
        <family val="2"/>
      </rPr>
      <t>(Note 2)</t>
    </r>
  </si>
  <si>
    <t>Description of Material</t>
  </si>
  <si>
    <t xml:space="preserve"> Total Price </t>
  </si>
  <si>
    <t xml:space="preserve">Competitive /Sole Source </t>
  </si>
  <si>
    <t>Vendor/Source (If known)</t>
  </si>
  <si>
    <r>
      <t xml:space="preserve">Supporting documentation has been provided (Y/N) </t>
    </r>
    <r>
      <rPr>
        <b/>
        <sz val="12"/>
        <color rgb="FFFF0000"/>
        <rFont val="Calibri"/>
        <family val="2"/>
      </rPr>
      <t>(Note 3)</t>
    </r>
  </si>
  <si>
    <t xml:space="preserve">TOTAL  </t>
  </si>
  <si>
    <t xml:space="preserve">Material is property that may be incorporated into or attached to a deliverable end item or that may be consumed or expended in performing a contract.  It includes assemblies, components, parts, raw and processed materials, and small tools and supplies that may be consumed in normal use in performing a contract. Material should be proposed separately from Equipment (see following spreadsheet and definitions). </t>
  </si>
  <si>
    <t>In an attachment, provide all supporting documentation to support your price basis, e.g. copy of vendor quote, past invoice/PO, page from catalog, or method used for deriving engineering estimates.</t>
  </si>
  <si>
    <r>
      <t>EQUIPMENT</t>
    </r>
    <r>
      <rPr>
        <b/>
        <i/>
        <sz val="12"/>
        <color rgb="FFFF0000"/>
        <rFont val="Calibri"/>
        <family val="2"/>
      </rPr>
      <t xml:space="preserve"> (Note 1)</t>
    </r>
  </si>
  <si>
    <t>Description of Equipment (Note 1)</t>
  </si>
  <si>
    <t>Justification for why the equipment is needed</t>
  </si>
  <si>
    <t>Will the equipment be included as part of a deliverable item under the award? (Y/N)</t>
  </si>
  <si>
    <r>
      <t xml:space="preserve">Type of Equipment (special test equipment, special tooling, general purpose equipment, or plant equipment)
</t>
    </r>
    <r>
      <rPr>
        <b/>
        <sz val="12"/>
        <color rgb="FFFF0000"/>
        <rFont val="Calibri"/>
        <family val="2"/>
      </rPr>
      <t>(Note 3)</t>
    </r>
  </si>
  <si>
    <t>Vendor/Source</t>
  </si>
  <si>
    <t>Basis of Estimate (Note 4)</t>
  </si>
  <si>
    <r>
      <t xml:space="preserve">Supporting documentation has been provided (Y/N)
</t>
    </r>
    <r>
      <rPr>
        <b/>
        <sz val="12"/>
        <color rgb="FFFF0000"/>
        <rFont val="Calibri"/>
        <family val="2"/>
      </rPr>
      <t>(Note 4)</t>
    </r>
  </si>
  <si>
    <t>•  Indicate “Not Applicable” in cell B4 if there is no information to include for the Base and in cell B7 if there is no information to include for the Option.
•  Fill out all columns on the Equipment Tab for each item.
•  Add additional lines if needed.
•  Provide justification for equipment. Be sure to indicate the benefit(s) to the Government. Expand on any statements along the lines of “It is needed to support the project deliverables”. Costs must be approved by the Program Officer. Link the justification to the type of equipment purchase, i.e. special test equipment, special tooling, or plant equipment.
•  Include supporting documentation for each entry with unit cost over $5,000. Backup may consist of a vendor quote, past purchase order or invoice, information from a website, or a detailed explanation of labor and material costs for custom made items.
•  Label equipment backup clearly with a Reference Document Number in the format of EQ000 starting with EQ001. Place the Reference Document Number in the upper right hand side of the backup page. If there are several quotes on a page, items not desired must be lined out and each desired item must have a separate reference number placed to the left of the item on the backup page. The Reference Document Number must be listed next to the appropriate item on the Equipment worksheet under the Reference Document Number column.
•  Ensure that descriptions and vendors listed on the Equipment worksheet match information provided in the backup.
•  Number Reference Document Numbers sequentially so they match the Item number in the Base. For example, Item number 1 should match EQ001. If the same items are used again in the options, there is no need to renumber or add additional copies of the backup, but list the items sequentially for each option by Reference Document Number. As an example, EQ010 could be used for Base item number 10, Option I item number 1 and Option II Item number 6.</t>
  </si>
  <si>
    <t>Contractors are normally required to furnish all equipment and/or facilities necessary to perform Government contracts (see FAR 45.102(a)). The Government may allow equipment and/or facilities only under special circumstances. If equipment and/or facilities are proposed, the specific description should identify the component, nomenclature, and configuration of the equipment/hardware that it proposes to purchase for this effort.  The purchase on a direct reimbursement basis of equipment that is not included in a deliverable item will be evaluated for allowability on a case-by-case basis.  Maximum use of Government integration, test, and experiment facilities is encouraged.</t>
  </si>
  <si>
    <t>Definitions:</t>
  </si>
  <si>
    <t xml:space="preserve">Special Test Equipment is defined as either single or multipurpose integrated test units engineered, designed, fabricated, or modified to accomplish special purpose testing in performing a contract.  It consists of items or assemblies of equipment including standard or general purpose items or components that are interconnected and interdependent so as to become a new functional entity for special testing purposes.   </t>
  </si>
  <si>
    <t>Special tooling is defined as jigs, dies, fixtures, molds, patterns, taps, gauges, and all components of these items, including foundations and similar improvements necessary for installing special test equipment, and which are of such a specialized nature that without substantial modification or alteration their use is limited to the development or production of particular supplies or parts thereof or to the performance of particular services.</t>
  </si>
  <si>
    <t>Plant equipment means personal property of a capital nature (including equipment, machine tools, test equipment, furniture, vehicles, and accessory and auxiliary items) for use in manufacturing supplies, in performing services, or for any administrative or general plant purpose. It does not include special tooling or special test equipment.</t>
  </si>
  <si>
    <t>Note 4:</t>
  </si>
  <si>
    <r>
      <t xml:space="preserve"> MATERIALS </t>
    </r>
    <r>
      <rPr>
        <b/>
        <i/>
        <sz val="12"/>
        <color rgb="FFFF0000"/>
        <rFont val="Calibri"/>
        <family val="2"/>
      </rPr>
      <t>(Note 1)</t>
    </r>
  </si>
  <si>
    <t>Base Total</t>
  </si>
  <si>
    <t>Option Total</t>
  </si>
  <si>
    <t>• Indicate “Not Applicable” in cell B4 if there is no information to include for the Base and in cell B8 if there is no information to include for the Option.
• Fill out all columns on the Materials/Supplies Tab for each item.
• Add additional lines if needed.
• Include supporting documentation for each entry with unit cost over $5,000. Backup may consist of a vendor quote, past purchase order/invoice, information from a website, or a detailed explanation of labor and material costs for custom made items.
• Clearly label Materials/Supplies backup with a Reference Document Number in the format of MAT000 starting with MAT001. Place the Reference Document Number in the upper right hand side of the backup page. If there are several quotes on a page, items not desired must be lined out and each desired item must have a separate reference number placed to the left of the item on the backup page. The Reference Document Number must be listed next to the appropriate item on the Materials/Supplies worksheet under the Reference Document Number column.
• Ensure that descriptions and vendors listed on the Materials/Supplies worksheet match information provided in the backup.
• Number Reference Document Numbers sequentially so they match the Item number in the Base. For example, Item number 1 should match MAT001. If the same items are used again in the options, there is no need to renumber or add additional copies of the backup, but list the items sequentially for each option by Reference Document Number. As an example, MAT010 could be used for Base item number 10 and Option I item number1.</t>
  </si>
  <si>
    <t xml:space="preserve">Option </t>
  </si>
  <si>
    <t>Rate**</t>
  </si>
  <si>
    <t xml:space="preserve">**Fully Burdened Rate - Inclusive of all direct and indirect labor costs. </t>
  </si>
  <si>
    <t>Embedded Entrepreneur Effort (Base)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</si>
</sst>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_);[Red]\(&quot;$&quot;#,##0\)"/>
    <numFmt numFmtId="7" formatCode="&quot;$&quot;#,##0.00_);\(&quot;$&quot;#,##0.00\)"/>
    <numFmt numFmtId="8" formatCode="&quot;$&quot;#,##0.00_);[Red]\(&quot;$&quot;#,##0.00\)"/>
    <numFmt numFmtId="42" formatCode="_(&quot;$&quot;* #,##0_);_(&quot;$&quot;* \(#,##0\);_(&quot;$&quot;* &quot;-&quot;_);_(@_)"/>
    <numFmt numFmtId="44" formatCode="_(&quot;$&quot;* #,##0.00_);_(&quot;$&quot;* \(#,##0.00\);_(&quot;$&quot;* &quot;-&quot;??_);_(@_)"/>
    <numFmt numFmtId="43" formatCode="_(* #,##0.00_);_(* \(#,##0.00\);_(* &quot;-&quot;??_);_(@_)"/>
    <numFmt numFmtId="164" formatCode="&quot;$&quot;#,##0.00"/>
    <numFmt numFmtId="165" formatCode="&quot;$&quot;#,##0"/>
    <numFmt numFmtId="166" formatCode="&quot;$&quot;#,##0.000"/>
    <numFmt numFmtId="167" formatCode="#,##0.0"/>
    <numFmt numFmtId="168" formatCode="0.000"/>
  </numFmts>
  <fonts count="30" x14ac:knownFonts="1">
    <font>
      <sz val="11"/>
      <color theme="1"/>
      <name val="Calibri"/>
      <family val="2"/>
      <scheme val="minor"/>
    </font>
    <font>
      <sz val="11"/>
      <color theme="1"/>
      <name val="Calibri"/>
      <family val="2"/>
      <scheme val="minor"/>
    </font>
    <font>
      <b/>
      <sz val="11"/>
      <color theme="1"/>
      <name val="Times New Roman"/>
      <family val="1"/>
    </font>
    <font>
      <sz val="11"/>
      <color theme="1"/>
      <name val="Times New Roman"/>
      <family val="1"/>
    </font>
    <font>
      <b/>
      <sz val="10"/>
      <name val="Times New Roman"/>
      <family val="1"/>
    </font>
    <font>
      <sz val="10"/>
      <name val="Times New Roman"/>
      <family val="1"/>
    </font>
    <font>
      <b/>
      <sz val="11"/>
      <name val="Calibri"/>
      <family val="2"/>
    </font>
    <font>
      <sz val="10"/>
      <name val="Arial"/>
    </font>
    <font>
      <b/>
      <i/>
      <sz val="12"/>
      <name val="Calibri"/>
      <family val="2"/>
    </font>
    <font>
      <b/>
      <i/>
      <sz val="9"/>
      <color rgb="FFFF0000"/>
      <name val="Arial"/>
      <family val="2"/>
    </font>
    <font>
      <sz val="9"/>
      <name val="Arial"/>
      <family val="2"/>
    </font>
    <font>
      <sz val="12"/>
      <name val="Calibri"/>
      <family val="2"/>
    </font>
    <font>
      <sz val="10"/>
      <name val="Verdana"/>
      <family val="2"/>
    </font>
    <font>
      <sz val="12"/>
      <name val="Calibri"/>
      <family val="2"/>
      <scheme val="minor"/>
    </font>
    <font>
      <b/>
      <sz val="11"/>
      <name val="Calibri"/>
      <family val="2"/>
      <scheme val="minor"/>
    </font>
    <font>
      <sz val="11"/>
      <name val="Calibri"/>
      <family val="2"/>
      <scheme val="minor"/>
    </font>
    <font>
      <sz val="10"/>
      <name val="Arial"/>
      <family val="2"/>
    </font>
    <font>
      <sz val="11"/>
      <color rgb="FF0070C0"/>
      <name val="Calibri"/>
      <family val="2"/>
      <scheme val="minor"/>
    </font>
    <font>
      <b/>
      <sz val="10"/>
      <name val="Arial"/>
      <family val="2"/>
    </font>
    <font>
      <sz val="12"/>
      <name val="Times New Roman"/>
      <family val="1"/>
    </font>
    <font>
      <sz val="7"/>
      <name val="Times New Roman"/>
      <family val="1"/>
    </font>
    <font>
      <b/>
      <i/>
      <sz val="12"/>
      <color indexed="8"/>
      <name val="Calibri"/>
      <family val="2"/>
    </font>
    <font>
      <b/>
      <i/>
      <sz val="12"/>
      <color rgb="FFFF0000"/>
      <name val="Calibri"/>
      <family val="2"/>
    </font>
    <font>
      <sz val="12"/>
      <color indexed="8"/>
      <name val="Calibri"/>
      <family val="2"/>
    </font>
    <font>
      <b/>
      <sz val="12"/>
      <color indexed="8"/>
      <name val="Calibri"/>
      <family val="2"/>
    </font>
    <font>
      <b/>
      <sz val="12"/>
      <color rgb="FFFF0000"/>
      <name val="Calibri"/>
      <family val="2"/>
    </font>
    <font>
      <b/>
      <sz val="12"/>
      <name val="Calibri"/>
      <family val="2"/>
    </font>
    <font>
      <sz val="10"/>
      <name val="Calibri"/>
      <family val="2"/>
    </font>
    <font>
      <sz val="14"/>
      <color indexed="8"/>
      <name val="Calibri"/>
      <family val="2"/>
    </font>
    <font>
      <b/>
      <sz val="12"/>
      <name val="Times New Roman"/>
      <family val="1"/>
    </font>
  </fonts>
  <fills count="13">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5F5F5"/>
        <bgColor indexed="64"/>
      </patternFill>
    </fill>
    <fill>
      <patternFill patternType="solid">
        <fgColor rgb="FFCCFFCC"/>
        <bgColor indexed="64"/>
      </patternFill>
    </fill>
    <fill>
      <patternFill patternType="solid">
        <fgColor indexed="9"/>
        <bgColor indexed="64"/>
      </patternFill>
    </fill>
    <fill>
      <patternFill patternType="solid">
        <fgColor rgb="FFFFC000"/>
        <bgColor indexed="64"/>
      </patternFill>
    </fill>
    <fill>
      <patternFill patternType="solid">
        <fgColor rgb="FFFFFF00"/>
        <bgColor indexed="64"/>
      </patternFill>
    </fill>
    <fill>
      <patternFill patternType="solid">
        <fgColor rgb="FFECECEC"/>
        <bgColor indexed="64"/>
      </patternFill>
    </fill>
    <fill>
      <patternFill patternType="solid">
        <fgColor indexed="42"/>
        <bgColor indexed="64"/>
      </patternFill>
    </fill>
  </fills>
  <borders count="29">
    <border>
      <left/>
      <right/>
      <top/>
      <bottom/>
      <diagonal/>
    </border>
    <border>
      <left/>
      <right/>
      <top/>
      <bottom style="thin">
        <color indexed="64"/>
      </bottom>
      <diagonal/>
    </border>
    <border>
      <left/>
      <right/>
      <top style="thin">
        <color indexed="64"/>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diagonal/>
    </border>
  </borders>
  <cellStyleXfs count="11">
    <xf numFmtId="0" fontId="0" fillId="0" borderId="0"/>
    <xf numFmtId="44" fontId="1" fillId="0" borderId="0" applyFont="0" applyFill="0" applyBorder="0" applyAlignment="0" applyProtection="0"/>
    <xf numFmtId="9" fontId="1" fillId="0" borderId="0" applyFont="0" applyFill="0" applyBorder="0" applyAlignment="0" applyProtection="0"/>
    <xf numFmtId="0" fontId="6" fillId="6" borderId="3">
      <alignment vertical="center" wrapText="1"/>
    </xf>
    <xf numFmtId="0" fontId="7" fillId="0" borderId="0"/>
    <xf numFmtId="0" fontId="12" fillId="0" borderId="0"/>
    <xf numFmtId="44" fontId="16" fillId="0" borderId="0" applyFont="0" applyFill="0" applyBorder="0" applyAlignment="0" applyProtection="0"/>
    <xf numFmtId="0" fontId="16" fillId="0" borderId="0"/>
    <xf numFmtId="0" fontId="5" fillId="0" borderId="0"/>
    <xf numFmtId="0" fontId="5" fillId="0" borderId="0"/>
    <xf numFmtId="168" fontId="16" fillId="0" borderId="0"/>
  </cellStyleXfs>
  <cellXfs count="214">
    <xf numFmtId="0" fontId="0" fillId="0" borderId="0" xfId="0"/>
    <xf numFmtId="0" fontId="3" fillId="0" borderId="0" xfId="0" applyFont="1"/>
    <xf numFmtId="0" fontId="2" fillId="0" borderId="0" xfId="0" applyFont="1"/>
    <xf numFmtId="44" fontId="2" fillId="0" borderId="0" xfId="1" applyFont="1" applyFill="1"/>
    <xf numFmtId="0" fontId="8" fillId="7" borderId="0" xfId="4" applyFont="1" applyFill="1"/>
    <xf numFmtId="0" fontId="9" fillId="7" borderId="0" xfId="4" applyFont="1" applyFill="1"/>
    <xf numFmtId="0" fontId="10" fillId="7" borderId="0" xfId="4" applyFont="1" applyFill="1"/>
    <xf numFmtId="0" fontId="11" fillId="7" borderId="0" xfId="4" applyFont="1" applyFill="1"/>
    <xf numFmtId="0" fontId="7" fillId="7" borderId="0" xfId="4" applyFill="1"/>
    <xf numFmtId="0" fontId="12" fillId="0" borderId="0" xfId="5"/>
    <xf numFmtId="0" fontId="13" fillId="0" borderId="0" xfId="5" applyFont="1"/>
    <xf numFmtId="0" fontId="11" fillId="0" borderId="0" xfId="5" applyFont="1"/>
    <xf numFmtId="0" fontId="14" fillId="0" borderId="0" xfId="5" applyFont="1"/>
    <xf numFmtId="164" fontId="14" fillId="8" borderId="5" xfId="5" quotePrefix="1" applyNumberFormat="1" applyFont="1" applyFill="1" applyBorder="1" applyAlignment="1">
      <alignment horizontal="center" wrapText="1"/>
    </xf>
    <xf numFmtId="164" fontId="14" fillId="0" borderId="6" xfId="5" quotePrefix="1" applyNumberFormat="1" applyFont="1" applyBorder="1" applyAlignment="1">
      <alignment horizontal="center" wrapText="1"/>
    </xf>
    <xf numFmtId="164" fontId="14" fillId="8" borderId="7" xfId="5" quotePrefix="1" applyNumberFormat="1" applyFont="1" applyFill="1" applyBorder="1" applyAlignment="1">
      <alignment horizontal="center" wrapText="1"/>
    </xf>
    <xf numFmtId="164" fontId="14" fillId="8" borderId="8" xfId="5" quotePrefix="1" applyNumberFormat="1" applyFont="1" applyFill="1" applyBorder="1" applyAlignment="1">
      <alignment horizontal="center" wrapText="1"/>
    </xf>
    <xf numFmtId="164" fontId="14" fillId="8" borderId="9" xfId="5" quotePrefix="1" applyNumberFormat="1" applyFont="1" applyFill="1" applyBorder="1" applyAlignment="1">
      <alignment horizontal="center" wrapText="1"/>
    </xf>
    <xf numFmtId="164" fontId="14" fillId="8" borderId="5" xfId="5" applyNumberFormat="1" applyFont="1" applyFill="1" applyBorder="1" applyAlignment="1" applyProtection="1">
      <alignment horizontal="center" wrapText="1"/>
      <protection locked="0"/>
    </xf>
    <xf numFmtId="164" fontId="14" fillId="8" borderId="9" xfId="5" applyNumberFormat="1" applyFont="1" applyFill="1" applyBorder="1" applyAlignment="1">
      <alignment horizontal="center" wrapText="1"/>
    </xf>
    <xf numFmtId="164" fontId="14" fillId="8" borderId="10" xfId="5" applyNumberFormat="1" applyFont="1" applyFill="1" applyBorder="1" applyAlignment="1">
      <alignment horizontal="center" wrapText="1"/>
    </xf>
    <xf numFmtId="164" fontId="14" fillId="9" borderId="11" xfId="5" quotePrefix="1" applyNumberFormat="1" applyFont="1" applyFill="1" applyBorder="1" applyAlignment="1">
      <alignment horizontal="center" wrapText="1"/>
    </xf>
    <xf numFmtId="164" fontId="14" fillId="9" borderId="6" xfId="5" quotePrefix="1" applyNumberFormat="1" applyFont="1" applyFill="1" applyBorder="1" applyAlignment="1">
      <alignment horizontal="center" wrapText="1"/>
    </xf>
    <xf numFmtId="0" fontId="15" fillId="0" borderId="0" xfId="5" applyFont="1"/>
    <xf numFmtId="49" fontId="15" fillId="10" borderId="12" xfId="5" applyNumberFormat="1" applyFont="1" applyFill="1" applyBorder="1" applyAlignment="1" applyProtection="1">
      <alignment horizontal="left" vertical="center" wrapText="1"/>
      <protection locked="0"/>
    </xf>
    <xf numFmtId="38" fontId="15" fillId="10" borderId="12" xfId="5" applyNumberFormat="1" applyFont="1" applyFill="1" applyBorder="1" applyAlignment="1" applyProtection="1">
      <alignment horizontal="center"/>
      <protection locked="0"/>
    </xf>
    <xf numFmtId="38" fontId="14" fillId="10" borderId="13" xfId="5" applyNumberFormat="1" applyFont="1" applyFill="1" applyBorder="1" applyAlignment="1" applyProtection="1">
      <alignment horizontal="center"/>
      <protection locked="0"/>
    </xf>
    <xf numFmtId="38" fontId="15" fillId="11" borderId="12" xfId="5" applyNumberFormat="1" applyFont="1" applyFill="1" applyBorder="1" applyAlignment="1">
      <alignment horizontal="center"/>
    </xf>
    <xf numFmtId="164" fontId="15" fillId="10" borderId="14" xfId="5" applyNumberFormat="1" applyFont="1" applyFill="1" applyBorder="1" applyAlignment="1" applyProtection="1">
      <alignment horizontal="center"/>
      <protection locked="0"/>
    </xf>
    <xf numFmtId="44" fontId="14" fillId="11" borderId="12" xfId="6" applyFont="1" applyFill="1" applyBorder="1" applyAlignment="1" applyProtection="1">
      <alignment horizontal="center"/>
    </xf>
    <xf numFmtId="164" fontId="17" fillId="11" borderId="12" xfId="5" applyNumberFormat="1" applyFont="1" applyFill="1" applyBorder="1" applyAlignment="1">
      <alignment horizontal="center"/>
    </xf>
    <xf numFmtId="44" fontId="14" fillId="11" borderId="15" xfId="5" applyNumberFormat="1" applyFont="1" applyFill="1" applyBorder="1" applyAlignment="1">
      <alignment horizontal="center"/>
    </xf>
    <xf numFmtId="165" fontId="15" fillId="10" borderId="14" xfId="5" applyNumberFormat="1" applyFont="1" applyFill="1" applyBorder="1" applyAlignment="1" applyProtection="1">
      <alignment horizontal="center"/>
      <protection locked="0"/>
    </xf>
    <xf numFmtId="3" fontId="15" fillId="10" borderId="12" xfId="5" applyNumberFormat="1" applyFont="1" applyFill="1" applyBorder="1" applyAlignment="1" applyProtection="1">
      <alignment horizontal="center"/>
      <protection locked="0"/>
    </xf>
    <xf numFmtId="44" fontId="14" fillId="11" borderId="15" xfId="6" applyFont="1" applyFill="1" applyBorder="1" applyAlignment="1" applyProtection="1">
      <alignment horizontal="center"/>
    </xf>
    <xf numFmtId="166" fontId="15" fillId="10" borderId="14" xfId="5" applyNumberFormat="1" applyFont="1" applyFill="1" applyBorder="1" applyAlignment="1">
      <alignment horizontal="center"/>
    </xf>
    <xf numFmtId="167" fontId="15" fillId="10" borderId="12" xfId="5" applyNumberFormat="1" applyFont="1" applyFill="1" applyBorder="1" applyAlignment="1" applyProtection="1">
      <alignment horizontal="center"/>
      <protection locked="0"/>
    </xf>
    <xf numFmtId="164" fontId="15" fillId="10" borderId="14" xfId="5" applyNumberFormat="1" applyFont="1" applyFill="1" applyBorder="1" applyAlignment="1">
      <alignment horizontal="center"/>
    </xf>
    <xf numFmtId="164" fontId="15" fillId="10" borderId="1" xfId="6" applyNumberFormat="1" applyFont="1" applyFill="1" applyBorder="1" applyAlignment="1" applyProtection="1">
      <alignment horizontal="center"/>
    </xf>
    <xf numFmtId="42" fontId="14" fillId="9" borderId="16" xfId="6" applyNumberFormat="1" applyFont="1" applyFill="1" applyBorder="1" applyAlignment="1" applyProtection="1">
      <alignment horizontal="center"/>
    </xf>
    <xf numFmtId="42" fontId="14" fillId="9" borderId="17" xfId="6" applyNumberFormat="1" applyFont="1" applyFill="1" applyBorder="1" applyAlignment="1" applyProtection="1">
      <alignment horizontal="center"/>
    </xf>
    <xf numFmtId="49" fontId="15" fillId="5" borderId="12" xfId="5" applyNumberFormat="1" applyFont="1" applyFill="1" applyBorder="1" applyAlignment="1" applyProtection="1">
      <alignment horizontal="left" vertical="center" wrapText="1"/>
      <protection locked="0"/>
    </xf>
    <xf numFmtId="38" fontId="15" fillId="5" borderId="12" xfId="5" applyNumberFormat="1" applyFont="1" applyFill="1" applyBorder="1" applyAlignment="1" applyProtection="1">
      <alignment horizontal="center"/>
      <protection locked="0"/>
    </xf>
    <xf numFmtId="38" fontId="14" fillId="5" borderId="13" xfId="5" applyNumberFormat="1" applyFont="1" applyFill="1" applyBorder="1" applyAlignment="1" applyProtection="1">
      <alignment horizontal="center"/>
      <protection locked="0"/>
    </xf>
    <xf numFmtId="38" fontId="15" fillId="5" borderId="12" xfId="5" applyNumberFormat="1" applyFont="1" applyFill="1" applyBorder="1" applyAlignment="1">
      <alignment horizontal="center"/>
    </xf>
    <xf numFmtId="164" fontId="15" fillId="5" borderId="14" xfId="5" applyNumberFormat="1" applyFont="1" applyFill="1" applyBorder="1" applyAlignment="1" applyProtection="1">
      <alignment horizontal="center"/>
      <protection locked="0"/>
    </xf>
    <xf numFmtId="44" fontId="14" fillId="5" borderId="12" xfId="6" applyFont="1" applyFill="1" applyBorder="1" applyAlignment="1" applyProtection="1">
      <alignment horizontal="center"/>
    </xf>
    <xf numFmtId="44" fontId="14" fillId="5" borderId="15" xfId="5" applyNumberFormat="1" applyFont="1" applyFill="1" applyBorder="1" applyAlignment="1">
      <alignment horizontal="center"/>
    </xf>
    <xf numFmtId="165" fontId="15" fillId="5" borderId="14" xfId="5" applyNumberFormat="1" applyFont="1" applyFill="1" applyBorder="1" applyAlignment="1" applyProtection="1">
      <alignment horizontal="center"/>
      <protection locked="0"/>
    </xf>
    <xf numFmtId="3" fontId="15" fillId="5" borderId="12" xfId="5" applyNumberFormat="1" applyFont="1" applyFill="1" applyBorder="1" applyAlignment="1" applyProtection="1">
      <alignment horizontal="center"/>
      <protection locked="0"/>
    </xf>
    <xf numFmtId="44" fontId="14" fillId="5" borderId="15" xfId="6" applyFont="1" applyFill="1" applyBorder="1" applyAlignment="1" applyProtection="1">
      <alignment horizontal="center"/>
    </xf>
    <xf numFmtId="166" fontId="15" fillId="5" borderId="14" xfId="5" applyNumberFormat="1" applyFont="1" applyFill="1" applyBorder="1" applyAlignment="1">
      <alignment horizontal="center"/>
    </xf>
    <xf numFmtId="167" fontId="15" fillId="5" borderId="12" xfId="5" applyNumberFormat="1" applyFont="1" applyFill="1" applyBorder="1" applyAlignment="1" applyProtection="1">
      <alignment horizontal="center"/>
      <protection locked="0"/>
    </xf>
    <xf numFmtId="164" fontId="15" fillId="5" borderId="14" xfId="5" applyNumberFormat="1" applyFont="1" applyFill="1" applyBorder="1" applyAlignment="1">
      <alignment horizontal="center"/>
    </xf>
    <xf numFmtId="164" fontId="15" fillId="5" borderId="1" xfId="6" applyNumberFormat="1" applyFont="1" applyFill="1" applyBorder="1" applyAlignment="1" applyProtection="1">
      <alignment horizontal="center"/>
    </xf>
    <xf numFmtId="42" fontId="14" fillId="5" borderId="16" xfId="6" applyNumberFormat="1" applyFont="1" applyFill="1" applyBorder="1" applyAlignment="1" applyProtection="1">
      <alignment horizontal="center"/>
    </xf>
    <xf numFmtId="42" fontId="14" fillId="5" borderId="17" xfId="6" applyNumberFormat="1" applyFont="1" applyFill="1" applyBorder="1" applyAlignment="1" applyProtection="1">
      <alignment horizontal="center"/>
    </xf>
    <xf numFmtId="164" fontId="17" fillId="5" borderId="12" xfId="5" applyNumberFormat="1" applyFont="1" applyFill="1" applyBorder="1" applyAlignment="1">
      <alignment horizontal="center"/>
    </xf>
    <xf numFmtId="164" fontId="14" fillId="2" borderId="20" xfId="5" quotePrefix="1" applyNumberFormat="1" applyFont="1" applyFill="1" applyBorder="1" applyAlignment="1">
      <alignment horizontal="left"/>
    </xf>
    <xf numFmtId="164" fontId="15" fillId="2" borderId="21" xfId="5" quotePrefix="1" applyNumberFormat="1" applyFont="1" applyFill="1" applyBorder="1" applyAlignment="1">
      <alignment horizontal="center" wrapText="1"/>
    </xf>
    <xf numFmtId="164" fontId="14" fillId="2" borderId="20" xfId="5" quotePrefix="1" applyNumberFormat="1" applyFont="1" applyFill="1" applyBorder="1" applyAlignment="1">
      <alignment horizontal="center"/>
    </xf>
    <xf numFmtId="164" fontId="15" fillId="2" borderId="20" xfId="5" applyNumberFormat="1" applyFont="1" applyFill="1" applyBorder="1" applyAlignment="1">
      <alignment horizontal="center"/>
    </xf>
    <xf numFmtId="38" fontId="15" fillId="2" borderId="20" xfId="5" applyNumberFormat="1" applyFont="1" applyFill="1" applyBorder="1" applyAlignment="1">
      <alignment horizontal="center"/>
    </xf>
    <xf numFmtId="38" fontId="15" fillId="2" borderId="22" xfId="5" applyNumberFormat="1" applyFont="1" applyFill="1" applyBorder="1" applyAlignment="1">
      <alignment horizontal="center"/>
    </xf>
    <xf numFmtId="38" fontId="15" fillId="2" borderId="23" xfId="5" applyNumberFormat="1" applyFont="1" applyFill="1" applyBorder="1" applyAlignment="1">
      <alignment horizontal="center"/>
    </xf>
    <xf numFmtId="164" fontId="15" fillId="2" borderId="24" xfId="5" applyNumberFormat="1" applyFont="1" applyFill="1" applyBorder="1" applyAlignment="1">
      <alignment horizontal="center"/>
    </xf>
    <xf numFmtId="164" fontId="14" fillId="2" borderId="25" xfId="5" applyNumberFormat="1" applyFont="1" applyFill="1" applyBorder="1" applyAlignment="1">
      <alignment horizontal="center"/>
    </xf>
    <xf numFmtId="164" fontId="14" fillId="2" borderId="23" xfId="5" applyNumberFormat="1" applyFont="1" applyFill="1" applyBorder="1" applyAlignment="1">
      <alignment horizontal="center"/>
    </xf>
    <xf numFmtId="3" fontId="15" fillId="2" borderId="20" xfId="5" applyNumberFormat="1" applyFont="1" applyFill="1" applyBorder="1" applyAlignment="1">
      <alignment horizontal="center"/>
    </xf>
    <xf numFmtId="164" fontId="14" fillId="2" borderId="24" xfId="5" applyNumberFormat="1" applyFont="1" applyFill="1" applyBorder="1" applyAlignment="1">
      <alignment horizontal="center"/>
    </xf>
    <xf numFmtId="164" fontId="14" fillId="2" borderId="20" xfId="5" applyNumberFormat="1" applyFont="1" applyFill="1" applyBorder="1" applyAlignment="1" applyProtection="1">
      <alignment horizontal="center"/>
      <protection locked="0"/>
    </xf>
    <xf numFmtId="42" fontId="14" fillId="2" borderId="21" xfId="6" applyNumberFormat="1" applyFont="1" applyFill="1" applyBorder="1" applyAlignment="1" applyProtection="1">
      <alignment horizontal="center"/>
    </xf>
    <xf numFmtId="42" fontId="14" fillId="2" borderId="26" xfId="6" applyNumberFormat="1" applyFont="1" applyFill="1" applyBorder="1" applyAlignment="1" applyProtection="1">
      <alignment horizontal="center"/>
    </xf>
    <xf numFmtId="0" fontId="7" fillId="0" borderId="0" xfId="4"/>
    <xf numFmtId="0" fontId="11" fillId="0" borderId="0" xfId="4" applyFont="1"/>
    <xf numFmtId="0" fontId="18" fillId="0" borderId="0" xfId="4" applyFont="1" applyAlignment="1">
      <alignment vertical="top"/>
    </xf>
    <xf numFmtId="0" fontId="19" fillId="0" borderId="0" xfId="4" applyFont="1" applyAlignment="1">
      <alignment horizontal="justify" vertical="center"/>
    </xf>
    <xf numFmtId="0" fontId="18" fillId="0" borderId="0" xfId="4" applyFont="1"/>
    <xf numFmtId="0" fontId="7" fillId="0" borderId="0" xfId="4" applyAlignment="1">
      <alignment wrapText="1"/>
    </xf>
    <xf numFmtId="0" fontId="18" fillId="0" borderId="0" xfId="4" applyFont="1" applyAlignment="1">
      <alignment wrapText="1"/>
    </xf>
    <xf numFmtId="0" fontId="16" fillId="0" borderId="0" xfId="4" applyFont="1"/>
    <xf numFmtId="0" fontId="21" fillId="12" borderId="0" xfId="4" applyFont="1" applyFill="1"/>
    <xf numFmtId="0" fontId="11" fillId="12" borderId="0" xfId="4" applyFont="1" applyFill="1"/>
    <xf numFmtId="0" fontId="10" fillId="7" borderId="0" xfId="4" applyFont="1" applyFill="1" applyAlignment="1">
      <alignment horizontal="center"/>
    </xf>
    <xf numFmtId="0" fontId="23" fillId="0" borderId="0" xfId="4" applyFont="1"/>
    <xf numFmtId="0" fontId="24" fillId="0" borderId="27" xfId="4" applyFont="1" applyBorder="1" applyAlignment="1">
      <alignment horizontal="center" vertical="center" wrapText="1"/>
    </xf>
    <xf numFmtId="0" fontId="24" fillId="0" borderId="27" xfId="4" applyFont="1" applyBorder="1" applyAlignment="1">
      <alignment horizontal="left" vertical="top" wrapText="1"/>
    </xf>
    <xf numFmtId="0" fontId="23" fillId="0" borderId="27" xfId="4" applyFont="1" applyBorder="1" applyAlignment="1">
      <alignment horizontal="center" vertical="top" wrapText="1"/>
    </xf>
    <xf numFmtId="165" fontId="23" fillId="0" borderId="27" xfId="4" applyNumberFormat="1" applyFont="1" applyBorder="1" applyAlignment="1">
      <alignment vertical="top" wrapText="1"/>
    </xf>
    <xf numFmtId="0" fontId="23" fillId="0" borderId="27" xfId="4" applyFont="1" applyBorder="1" applyAlignment="1">
      <alignment horizontal="left" vertical="top" wrapText="1"/>
    </xf>
    <xf numFmtId="0" fontId="24" fillId="0" borderId="0" xfId="4" applyFont="1" applyAlignment="1">
      <alignment horizontal="left" vertical="top" wrapText="1" indent="4"/>
    </xf>
    <xf numFmtId="0" fontId="26" fillId="0" borderId="0" xfId="4" applyFont="1" applyAlignment="1">
      <alignment horizontal="right"/>
    </xf>
    <xf numFmtId="6" fontId="24" fillId="0" borderId="27" xfId="4" applyNumberFormat="1" applyFont="1" applyBorder="1" applyAlignment="1">
      <alignment vertical="top" wrapText="1"/>
    </xf>
    <xf numFmtId="0" fontId="23" fillId="0" borderId="0" xfId="4" applyFont="1" applyAlignment="1">
      <alignment vertical="top" wrapText="1"/>
    </xf>
    <xf numFmtId="0" fontId="18" fillId="0" borderId="0" xfId="4" applyFont="1" applyAlignment="1">
      <alignment horizontal="left" vertical="top"/>
    </xf>
    <xf numFmtId="0" fontId="7" fillId="0" borderId="0" xfId="4" applyAlignment="1">
      <alignment horizontal="left" vertical="top"/>
    </xf>
    <xf numFmtId="14" fontId="2" fillId="0" borderId="4" xfId="0" applyNumberFormat="1" applyFont="1" applyBorder="1" applyAlignment="1">
      <alignment horizontal="left"/>
    </xf>
    <xf numFmtId="0" fontId="3" fillId="0" borderId="4" xfId="0" applyFont="1" applyBorder="1"/>
    <xf numFmtId="0" fontId="2" fillId="0" borderId="4" xfId="0" applyFont="1" applyBorder="1"/>
    <xf numFmtId="0" fontId="3" fillId="0" borderId="4" xfId="0" applyFont="1" applyBorder="1" applyAlignment="1">
      <alignment wrapText="1"/>
    </xf>
    <xf numFmtId="0" fontId="4" fillId="0" borderId="4" xfId="0" applyFont="1" applyBorder="1" applyAlignment="1">
      <alignment vertical="center"/>
    </xf>
    <xf numFmtId="0" fontId="4" fillId="0" borderId="4" xfId="0" applyFont="1" applyBorder="1" applyAlignment="1">
      <alignment horizontal="center" vertical="center" wrapText="1"/>
    </xf>
    <xf numFmtId="43" fontId="4" fillId="0" borderId="4" xfId="0" applyNumberFormat="1" applyFont="1" applyBorder="1" applyAlignment="1">
      <alignment horizontal="center" vertical="center"/>
    </xf>
    <xf numFmtId="43" fontId="4" fillId="2" borderId="4" xfId="0" applyNumberFormat="1" applyFont="1" applyFill="1" applyBorder="1" applyAlignment="1">
      <alignment horizontal="right" vertical="center"/>
    </xf>
    <xf numFmtId="0" fontId="4" fillId="0" borderId="4" xfId="0" applyFont="1" applyBorder="1" applyAlignment="1">
      <alignment horizontal="center" vertical="center"/>
    </xf>
    <xf numFmtId="3" fontId="5" fillId="10" borderId="4" xfId="0" applyNumberFormat="1" applyFont="1" applyFill="1" applyBorder="1" applyAlignment="1">
      <alignment vertical="top" wrapText="1"/>
    </xf>
    <xf numFmtId="44" fontId="3" fillId="10" borderId="4" xfId="1" applyFont="1" applyFill="1" applyBorder="1" applyAlignment="1">
      <alignment horizontal="center"/>
    </xf>
    <xf numFmtId="44" fontId="5" fillId="0" borderId="4" xfId="1" applyFont="1" applyBorder="1" applyAlignment="1">
      <alignment horizontal="right"/>
    </xf>
    <xf numFmtId="43" fontId="5" fillId="2" borderId="4" xfId="0" applyNumberFormat="1" applyFont="1" applyFill="1" applyBorder="1" applyAlignment="1">
      <alignment horizontal="right"/>
    </xf>
    <xf numFmtId="43" fontId="5" fillId="0" borderId="4" xfId="0" applyNumberFormat="1" applyFont="1" applyBorder="1" applyAlignment="1">
      <alignment vertical="top" wrapText="1"/>
    </xf>
    <xf numFmtId="0" fontId="5" fillId="0" borderId="4" xfId="0" applyFont="1" applyBorder="1"/>
    <xf numFmtId="44" fontId="5" fillId="10" borderId="4" xfId="1" applyFont="1" applyFill="1" applyBorder="1" applyAlignment="1">
      <alignment horizontal="right"/>
    </xf>
    <xf numFmtId="3" fontId="2" fillId="0" borderId="4" xfId="0" applyNumberFormat="1" applyFont="1" applyBorder="1"/>
    <xf numFmtId="44" fontId="2" fillId="0" borderId="4" xfId="1" applyFont="1" applyBorder="1"/>
    <xf numFmtId="0" fontId="2" fillId="2" borderId="4" xfId="0" applyFont="1" applyFill="1" applyBorder="1"/>
    <xf numFmtId="43" fontId="4" fillId="0" borderId="4" xfId="0" applyNumberFormat="1" applyFont="1" applyBorder="1" applyAlignment="1">
      <alignment vertical="top" wrapText="1"/>
    </xf>
    <xf numFmtId="3" fontId="2" fillId="2" borderId="4" xfId="0" applyNumberFormat="1" applyFont="1" applyFill="1" applyBorder="1"/>
    <xf numFmtId="0" fontId="3" fillId="2" borderId="4" xfId="0" applyFont="1" applyFill="1" applyBorder="1"/>
    <xf numFmtId="44" fontId="2" fillId="0" borderId="4" xfId="0" applyNumberFormat="1" applyFont="1" applyBorder="1"/>
    <xf numFmtId="0" fontId="8" fillId="12" borderId="0" xfId="7" applyFont="1" applyFill="1" applyAlignment="1">
      <alignment horizontal="left"/>
    </xf>
    <xf numFmtId="0" fontId="11" fillId="12" borderId="0" xfId="8" applyFont="1" applyFill="1"/>
    <xf numFmtId="0" fontId="10" fillId="7" borderId="0" xfId="8" applyFont="1" applyFill="1"/>
    <xf numFmtId="0" fontId="11" fillId="0" borderId="0" xfId="7" applyFont="1"/>
    <xf numFmtId="0" fontId="16" fillId="0" borderId="0" xfId="7"/>
    <xf numFmtId="0" fontId="26" fillId="0" borderId="0" xfId="7" applyFont="1" applyAlignment="1">
      <alignment horizontal="center"/>
    </xf>
    <xf numFmtId="0" fontId="26" fillId="0" borderId="4" xfId="9" applyFont="1" applyBorder="1" applyAlignment="1">
      <alignment horizontal="center" vertical="center" wrapText="1"/>
    </xf>
    <xf numFmtId="0" fontId="26" fillId="0" borderId="4" xfId="9" applyFont="1" applyBorder="1" applyAlignment="1">
      <alignment horizontal="center" vertical="center"/>
    </xf>
    <xf numFmtId="0" fontId="26" fillId="0" borderId="18" xfId="9" applyFont="1" applyBorder="1" applyAlignment="1">
      <alignment horizontal="center" vertical="center" wrapText="1"/>
    </xf>
    <xf numFmtId="0" fontId="24" fillId="0" borderId="4" xfId="7" applyFont="1" applyBorder="1" applyAlignment="1">
      <alignment horizontal="center" vertical="center" wrapText="1"/>
    </xf>
    <xf numFmtId="0" fontId="26" fillId="0" borderId="4" xfId="9" applyFont="1" applyBorder="1" applyAlignment="1">
      <alignment horizontal="center"/>
    </xf>
    <xf numFmtId="8" fontId="11" fillId="0" borderId="4" xfId="9" applyNumberFormat="1" applyFont="1" applyBorder="1" applyAlignment="1">
      <alignment horizontal="right"/>
    </xf>
    <xf numFmtId="0" fontId="11" fillId="0" borderId="4" xfId="9" applyFont="1" applyBorder="1" applyAlignment="1">
      <alignment horizontal="center"/>
    </xf>
    <xf numFmtId="0" fontId="23" fillId="0" borderId="4" xfId="7" applyFont="1" applyBorder="1" applyAlignment="1">
      <alignment horizontal="center" vertical="top" wrapText="1"/>
    </xf>
    <xf numFmtId="44" fontId="11" fillId="0" borderId="4" xfId="6" applyFont="1" applyFill="1" applyBorder="1" applyAlignment="1">
      <alignment horizontal="right"/>
    </xf>
    <xf numFmtId="0" fontId="11" fillId="0" borderId="4" xfId="9" applyFont="1" applyBorder="1"/>
    <xf numFmtId="0" fontId="11" fillId="0" borderId="4" xfId="9" applyFont="1" applyBorder="1" applyAlignment="1">
      <alignment horizontal="left"/>
    </xf>
    <xf numFmtId="16" fontId="11" fillId="0" borderId="4" xfId="7" applyNumberFormat="1" applyFont="1" applyBorder="1" applyAlignment="1">
      <alignment horizontal="center"/>
    </xf>
    <xf numFmtId="0" fontId="11" fillId="0" borderId="0" xfId="9" applyFont="1" applyAlignment="1">
      <alignment horizontal="center"/>
    </xf>
    <xf numFmtId="0" fontId="11" fillId="0" borderId="0" xfId="9" applyFont="1"/>
    <xf numFmtId="0" fontId="11" fillId="0" borderId="0" xfId="9" applyFont="1" applyAlignment="1">
      <alignment horizontal="right"/>
    </xf>
    <xf numFmtId="0" fontId="26" fillId="0" borderId="0" xfId="9" applyFont="1" applyAlignment="1">
      <alignment horizontal="right"/>
    </xf>
    <xf numFmtId="8" fontId="26" fillId="0" borderId="4" xfId="9" applyNumberFormat="1" applyFont="1" applyBorder="1" applyAlignment="1">
      <alignment horizontal="right"/>
    </xf>
    <xf numFmtId="8" fontId="26" fillId="8" borderId="28" xfId="9" applyNumberFormat="1" applyFont="1" applyFill="1" applyBorder="1" applyAlignment="1">
      <alignment horizontal="right"/>
    </xf>
    <xf numFmtId="0" fontId="16" fillId="0" borderId="2" xfId="7" applyBorder="1"/>
    <xf numFmtId="0" fontId="11" fillId="0" borderId="2" xfId="7" applyFont="1" applyBorder="1"/>
    <xf numFmtId="0" fontId="18" fillId="0" borderId="0" xfId="7" applyFont="1" applyAlignment="1">
      <alignment vertical="top"/>
    </xf>
    <xf numFmtId="0" fontId="11" fillId="0" borderId="0" xfId="7" applyFont="1" applyAlignment="1">
      <alignment wrapText="1"/>
    </xf>
    <xf numFmtId="0" fontId="19" fillId="0" borderId="0" xfId="7" applyFont="1"/>
    <xf numFmtId="0" fontId="19" fillId="0" borderId="0" xfId="7" applyFont="1" applyAlignment="1">
      <alignment horizontal="justify" vertical="center"/>
    </xf>
    <xf numFmtId="0" fontId="18" fillId="0" borderId="0" xfId="7" applyFont="1"/>
    <xf numFmtId="0" fontId="21" fillId="12" borderId="0" xfId="7" applyFont="1" applyFill="1"/>
    <xf numFmtId="0" fontId="11" fillId="12" borderId="0" xfId="7" applyFont="1" applyFill="1"/>
    <xf numFmtId="0" fontId="10" fillId="7" borderId="0" xfId="7" applyFont="1" applyFill="1"/>
    <xf numFmtId="0" fontId="27" fillId="12" borderId="0" xfId="7" applyFont="1" applyFill="1"/>
    <xf numFmtId="0" fontId="28" fillId="0" borderId="0" xfId="7" applyFont="1"/>
    <xf numFmtId="0" fontId="27" fillId="0" borderId="0" xfId="7" applyFont="1"/>
    <xf numFmtId="0" fontId="24" fillId="0" borderId="4" xfId="7" applyFont="1" applyBorder="1" applyAlignment="1">
      <alignment horizontal="center" vertical="top" wrapText="1"/>
    </xf>
    <xf numFmtId="0" fontId="23" fillId="0" borderId="4" xfId="7" applyFont="1" applyBorder="1" applyAlignment="1">
      <alignment vertical="top" wrapText="1"/>
    </xf>
    <xf numFmtId="165" fontId="23" fillId="0" borderId="4" xfId="7" applyNumberFormat="1" applyFont="1" applyBorder="1" applyAlignment="1">
      <alignment vertical="top" wrapText="1"/>
    </xf>
    <xf numFmtId="0" fontId="23" fillId="0" borderId="0" xfId="7" applyFont="1" applyAlignment="1">
      <alignment vertical="top" wrapText="1"/>
    </xf>
    <xf numFmtId="0" fontId="24" fillId="0" borderId="0" xfId="7" applyFont="1" applyAlignment="1">
      <alignment horizontal="right" vertical="top" wrapText="1"/>
    </xf>
    <xf numFmtId="6" fontId="24" fillId="0" borderId="4" xfId="7" applyNumberFormat="1" applyFont="1" applyBorder="1" applyAlignment="1">
      <alignment vertical="top" wrapText="1"/>
    </xf>
    <xf numFmtId="0" fontId="18" fillId="0" borderId="0" xfId="7" applyFont="1" applyAlignment="1">
      <alignment horizontal="left" vertical="top"/>
    </xf>
    <xf numFmtId="0" fontId="16" fillId="0" borderId="0" xfId="7" applyAlignment="1">
      <alignment wrapText="1"/>
    </xf>
    <xf numFmtId="0" fontId="19" fillId="0" borderId="0" xfId="7" applyFont="1" applyAlignment="1">
      <alignment vertical="center"/>
    </xf>
    <xf numFmtId="0" fontId="29" fillId="0" borderId="0" xfId="7" applyFont="1" applyAlignment="1">
      <alignment horizontal="justify" vertical="center"/>
    </xf>
    <xf numFmtId="0" fontId="18" fillId="0" borderId="0" xfId="7" applyFont="1" applyAlignment="1">
      <alignment wrapText="1"/>
    </xf>
    <xf numFmtId="0" fontId="5" fillId="0" borderId="0" xfId="7" applyFont="1"/>
    <xf numFmtId="0" fontId="5" fillId="0" borderId="0" xfId="7" applyFont="1" applyAlignment="1">
      <alignment horizontal="left" indent="6"/>
    </xf>
    <xf numFmtId="0" fontId="23" fillId="10" borderId="27" xfId="4" applyFont="1" applyFill="1" applyBorder="1" applyAlignment="1">
      <alignment horizontal="center" vertical="top" wrapText="1"/>
    </xf>
    <xf numFmtId="165" fontId="23" fillId="10" borderId="27" xfId="4" applyNumberFormat="1" applyFont="1" applyFill="1" applyBorder="1" applyAlignment="1">
      <alignment horizontal="right" vertical="top" wrapText="1"/>
    </xf>
    <xf numFmtId="165" fontId="23" fillId="10" borderId="27" xfId="4" applyNumberFormat="1" applyFont="1" applyFill="1" applyBorder="1" applyAlignment="1">
      <alignment vertical="top" wrapText="1"/>
    </xf>
    <xf numFmtId="168" fontId="11" fillId="10" borderId="4" xfId="10" applyFont="1" applyFill="1" applyBorder="1" applyAlignment="1">
      <alignment horizontal="left" vertical="center"/>
    </xf>
    <xf numFmtId="3" fontId="11" fillId="10" borderId="4" xfId="10" applyNumberFormat="1" applyFont="1" applyFill="1" applyBorder="1" applyAlignment="1">
      <alignment horizontal="center" vertical="center"/>
    </xf>
    <xf numFmtId="7" fontId="11" fillId="10" borderId="4" xfId="10" applyNumberFormat="1" applyFont="1" applyFill="1" applyBorder="1" applyAlignment="1">
      <alignment horizontal="right" vertical="center"/>
    </xf>
    <xf numFmtId="8" fontId="11" fillId="10" borderId="4" xfId="9" applyNumberFormat="1" applyFont="1" applyFill="1" applyBorder="1" applyAlignment="1">
      <alignment horizontal="right"/>
    </xf>
    <xf numFmtId="0" fontId="11" fillId="10" borderId="4" xfId="9" applyFont="1" applyFill="1" applyBorder="1" applyAlignment="1">
      <alignment horizontal="center"/>
    </xf>
    <xf numFmtId="0" fontId="11" fillId="10" borderId="18" xfId="9" applyFont="1" applyFill="1" applyBorder="1" applyAlignment="1">
      <alignment horizontal="center"/>
    </xf>
    <xf numFmtId="0" fontId="11" fillId="10" borderId="18" xfId="9" applyFont="1" applyFill="1" applyBorder="1" applyAlignment="1">
      <alignment horizontal="center" wrapText="1"/>
    </xf>
    <xf numFmtId="0" fontId="23" fillId="10" borderId="4" xfId="7" applyFont="1" applyFill="1" applyBorder="1" applyAlignment="1">
      <alignment horizontal="center" vertical="top" wrapText="1"/>
    </xf>
    <xf numFmtId="168" fontId="11" fillId="0" borderId="4" xfId="10" applyFont="1" applyFill="1" applyBorder="1" applyAlignment="1">
      <alignment horizontal="left" vertical="center"/>
    </xf>
    <xf numFmtId="3" fontId="11" fillId="0" borderId="4" xfId="10" applyNumberFormat="1" applyFont="1" applyFill="1" applyBorder="1" applyAlignment="1">
      <alignment horizontal="center" vertical="center"/>
    </xf>
    <xf numFmtId="7" fontId="11" fillId="0" borderId="4" xfId="10" applyNumberFormat="1" applyFont="1" applyFill="1" applyBorder="1" applyAlignment="1">
      <alignment horizontal="right" vertical="center"/>
    </xf>
    <xf numFmtId="8" fontId="11" fillId="0" borderId="4" xfId="9" applyNumberFormat="1" applyFont="1" applyFill="1" applyBorder="1" applyAlignment="1">
      <alignment horizontal="right"/>
    </xf>
    <xf numFmtId="0" fontId="11" fillId="0" borderId="4" xfId="9" applyFont="1" applyFill="1" applyBorder="1" applyAlignment="1">
      <alignment horizontal="center"/>
    </xf>
    <xf numFmtId="0" fontId="11" fillId="0" borderId="18" xfId="9" applyFont="1" applyFill="1" applyBorder="1" applyAlignment="1">
      <alignment horizontal="center"/>
    </xf>
    <xf numFmtId="0" fontId="23" fillId="0" borderId="4" xfId="7" applyFont="1" applyFill="1" applyBorder="1" applyAlignment="1">
      <alignment horizontal="center" vertical="top" wrapText="1"/>
    </xf>
    <xf numFmtId="1" fontId="11" fillId="0" borderId="4" xfId="10" applyNumberFormat="1" applyFont="1" applyFill="1" applyBorder="1" applyAlignment="1">
      <alignment horizontal="center" vertical="center"/>
    </xf>
    <xf numFmtId="0" fontId="23" fillId="10" borderId="4" xfId="7" applyFont="1" applyFill="1" applyBorder="1" applyAlignment="1">
      <alignment vertical="top" wrapText="1"/>
    </xf>
    <xf numFmtId="165" fontId="23" fillId="10" borderId="4" xfId="7" applyNumberFormat="1" applyFont="1" applyFill="1" applyBorder="1" applyAlignment="1">
      <alignment horizontal="right" vertical="top" wrapText="1"/>
    </xf>
    <xf numFmtId="165" fontId="23" fillId="10" borderId="4" xfId="7" applyNumberFormat="1" applyFont="1" applyFill="1" applyBorder="1" applyAlignment="1">
      <alignment vertical="top" wrapText="1"/>
    </xf>
    <xf numFmtId="8" fontId="2" fillId="0" borderId="4" xfId="1" applyNumberFormat="1" applyFont="1" applyBorder="1"/>
    <xf numFmtId="9" fontId="2" fillId="10" borderId="4" xfId="2" applyFont="1" applyFill="1" applyBorder="1"/>
    <xf numFmtId="43" fontId="4" fillId="4" borderId="4" xfId="0" applyNumberFormat="1" applyFont="1" applyFill="1" applyBorder="1" applyAlignment="1">
      <alignment horizontal="center" vertical="center" wrapText="1"/>
    </xf>
    <xf numFmtId="43" fontId="4" fillId="3" borderId="4" xfId="0" applyNumberFormat="1" applyFont="1" applyFill="1" applyBorder="1" applyAlignment="1">
      <alignment horizontal="center" vertical="center"/>
    </xf>
    <xf numFmtId="0" fontId="2" fillId="0" borderId="4" xfId="0" applyFont="1" applyBorder="1" applyAlignment="1">
      <alignment horizontal="center"/>
    </xf>
    <xf numFmtId="0" fontId="18" fillId="0" borderId="0" xfId="4" applyFont="1"/>
    <xf numFmtId="49" fontId="14" fillId="5" borderId="18" xfId="5" applyNumberFormat="1" applyFont="1" applyFill="1" applyBorder="1" applyAlignment="1" applyProtection="1">
      <alignment horizontal="left" vertical="center" wrapText="1"/>
      <protection locked="0"/>
    </xf>
    <xf numFmtId="49" fontId="14" fillId="5" borderId="19" xfId="5" applyNumberFormat="1" applyFont="1" applyFill="1" applyBorder="1" applyAlignment="1" applyProtection="1">
      <alignment horizontal="left" vertical="center" wrapText="1"/>
      <protection locked="0"/>
    </xf>
    <xf numFmtId="0" fontId="16" fillId="0" borderId="0" xfId="4" applyFont="1" applyAlignment="1">
      <alignment vertical="top" wrapText="1"/>
    </xf>
    <xf numFmtId="0" fontId="16" fillId="0" borderId="0" xfId="4" applyFont="1" applyAlignment="1">
      <alignment vertical="top"/>
    </xf>
    <xf numFmtId="0" fontId="18" fillId="0" borderId="0" xfId="4" applyFont="1" applyAlignment="1">
      <alignment wrapText="1"/>
    </xf>
    <xf numFmtId="0" fontId="16" fillId="0" borderId="0" xfId="4" applyFont="1" applyAlignment="1">
      <alignment horizontal="left" vertical="top" wrapText="1"/>
    </xf>
    <xf numFmtId="0" fontId="16" fillId="0" borderId="0" xfId="4" applyFont="1" applyAlignment="1">
      <alignment horizontal="left" vertical="top"/>
    </xf>
    <xf numFmtId="0" fontId="18" fillId="0" borderId="0" xfId="4" applyFont="1" applyAlignment="1">
      <alignment horizontal="left" wrapText="1"/>
    </xf>
    <xf numFmtId="0" fontId="26" fillId="0" borderId="0" xfId="7" applyFont="1" applyAlignment="1">
      <alignment horizontal="center"/>
    </xf>
    <xf numFmtId="0" fontId="16" fillId="0" borderId="0" xfId="7" applyAlignment="1">
      <alignment horizontal="left" vertical="top" wrapText="1"/>
    </xf>
    <xf numFmtId="0" fontId="11" fillId="0" borderId="0" xfId="7" applyFont="1" applyAlignment="1">
      <alignment horizontal="left" vertical="top" wrapText="1"/>
    </xf>
    <xf numFmtId="0" fontId="18" fillId="0" borderId="0" xfId="7" applyFont="1" applyAlignment="1">
      <alignment horizontal="left" vertical="top" wrapText="1"/>
    </xf>
    <xf numFmtId="0" fontId="18" fillId="0" borderId="0" xfId="7" applyFont="1"/>
    <xf numFmtId="0" fontId="18" fillId="0" borderId="0" xfId="7" applyFont="1" applyAlignment="1">
      <alignment horizontal="left" wrapText="1"/>
    </xf>
    <xf numFmtId="0" fontId="18" fillId="0" borderId="0" xfId="7" applyFont="1" applyAlignment="1">
      <alignment vertical="top" wrapText="1"/>
    </xf>
    <xf numFmtId="0" fontId="16" fillId="0" borderId="0" xfId="7" applyAlignment="1">
      <alignment horizontal="left" vertical="top"/>
    </xf>
    <xf numFmtId="0" fontId="18" fillId="0" borderId="0" xfId="7" applyFont="1" applyAlignment="1">
      <alignment wrapText="1"/>
    </xf>
  </cellXfs>
  <cellStyles count="11">
    <cellStyle name="Currency" xfId="1" builtinId="4"/>
    <cellStyle name="Currency 2" xfId="6" xr:uid="{503338F3-F209-4367-A2EB-CDD13640A3C6}"/>
    <cellStyle name="Normal" xfId="0" builtinId="0"/>
    <cellStyle name="Normal 2" xfId="4" xr:uid="{DBEF6F9B-BE9F-4DA7-8AEA-0A841DC6A769}"/>
    <cellStyle name="Normal 2 2" xfId="5" xr:uid="{FDF3F99B-F2F2-4DB6-B3BC-4F72C2B0EF41}"/>
    <cellStyle name="Normal 3" xfId="7" xr:uid="{BBD8067C-68F6-4164-8DB9-D5F68179D68F}"/>
    <cellStyle name="Normal_020719 NIHprop SLD Costing1-lowOH" xfId="8" xr:uid="{8D9CC1CC-8603-4593-85F6-2AF97982016B}"/>
    <cellStyle name="Normal_020812 Navy LowCostCS Costing" xfId="9" xr:uid="{D1B573A1-20CD-4860-8F60-09BD0186AECA}"/>
    <cellStyle name="Normal_COGS YR 1" xfId="10" xr:uid="{47EA562B-C5EB-466A-A4CA-290AB7D17DDF}"/>
    <cellStyle name="Percent" xfId="2" builtinId="5"/>
    <cellStyle name="Table Header" xfId="3" xr:uid="{719B797B-288D-4802-B911-FBDC73E1DD9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S:\@Services%20Division-Restricted\A.Commercial%20Strategy%20CSO%20Source%20Selection%20Sensitive\Follow-on%20(HR001124SC001)\Templates\HR001124SC001_Proposer's%20Name_Price-Cost_Spreadsheet_(MMDDYYYY).xlsx" TargetMode="External"/><Relationship Id="rId1" Type="http://schemas.openxmlformats.org/officeDocument/2006/relationships/externalLinkPath" Target="/@Services%20Division-Restricted/A.Commercial%20Strategy%20CSO%20Source%20Selection%20Sensitive/Follow-on%20(HR001124SC001)/Templates/HR001124SC001_Proposer's%20Name_Price-Cost_Spreadsheet_(MMDDYYYY).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Z:\@Services%20Division-Restricted\TASS%20TOs\DSO%20TOs\Requirement%20Follow-on\DSO02%20-%20HR001124F0445\Proposals\BAH\PRICE\BAH%20DAVE-0002-00%20Rev%201_Attachment%206.2%20&#8211;%20Cost%20Spreadsheet_DSO02%20(Program).xlsx" TargetMode="External"/><Relationship Id="rId1" Type="http://schemas.openxmlformats.org/officeDocument/2006/relationships/externalLinkPath" Target="file:///Z:\@Services%20Division-Restricted\TASS%20TOs\DSO%20TOs\Requirement%20Follow-on\DSO02%20-%20HR001124F0445\Proposals\BAH\PRICE\BAH%20DAVE-0002-00%20Rev%201_Attachment%206.2%20&#8211;%20Cost%20Spreadsheet_DSO02%20(Program).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punchcyber.sharepoint.com/filer1/cmo_homes/CMO_Guest/dbreen/Documents/Cost%20Proposal%20Standards/Source%20of%20new%20Travel%20ta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eneral"/>
      <sheetName val="Instructions"/>
      <sheetName val="Change Notes"/>
      <sheetName val="Constants"/>
      <sheetName val="Proposer Constants"/>
      <sheetName val="Labor Rates"/>
      <sheetName val="Summary Cost Table"/>
      <sheetName val="Indirect Rates and Profit_Fee"/>
      <sheetName val="Total Amount"/>
      <sheetName val="Base"/>
      <sheetName val="Option-I"/>
      <sheetName val="Option-II"/>
      <sheetName val="Option-III"/>
      <sheetName val="Option-IV"/>
      <sheetName val="Option-V"/>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Fixed Price or OT)"/>
      <sheetName val="Task 1"/>
      <sheetName val="Task 2"/>
    </sheetNames>
    <sheetDataSet>
      <sheetData sheetId="0"/>
      <sheetData sheetId="1"/>
      <sheetData sheetId="2"/>
      <sheetData sheetId="3">
        <row r="8">
          <cell r="A8" t="str">
            <v>Large Business</v>
          </cell>
        </row>
        <row r="9">
          <cell r="A9" t="str">
            <v>Small Business</v>
          </cell>
        </row>
        <row r="10">
          <cell r="A10" t="str">
            <v>Non-Profit</v>
          </cell>
        </row>
        <row r="11">
          <cell r="A11" t="str">
            <v>Academia</v>
          </cell>
        </row>
        <row r="12">
          <cell r="A12" t="str">
            <v>Lab/FFRDC</v>
          </cell>
        </row>
        <row r="15">
          <cell r="A15" t="str">
            <v>General</v>
          </cell>
        </row>
        <row r="18">
          <cell r="A18" t="str">
            <v>First select a Business Type</v>
          </cell>
        </row>
        <row r="21">
          <cell r="A21" t="str">
            <v>Project Management</v>
          </cell>
        </row>
        <row r="22">
          <cell r="A22" t="str">
            <v>Research</v>
          </cell>
        </row>
        <row r="23">
          <cell r="A23" t="str">
            <v>Consultant</v>
          </cell>
        </row>
        <row r="24">
          <cell r="A24" t="str">
            <v>Administrative Support</v>
          </cell>
        </row>
        <row r="27">
          <cell r="A27" t="str">
            <v>Project Management</v>
          </cell>
        </row>
        <row r="28">
          <cell r="A28" t="str">
            <v>Science and Engineering</v>
          </cell>
        </row>
        <row r="29">
          <cell r="A29" t="str">
            <v>Software Development</v>
          </cell>
        </row>
        <row r="30">
          <cell r="A30" t="str">
            <v>Manufacturing</v>
          </cell>
        </row>
        <row r="31">
          <cell r="A31" t="str">
            <v>Consultant</v>
          </cell>
        </row>
        <row r="32">
          <cell r="A32" t="str">
            <v>Support</v>
          </cell>
        </row>
        <row r="113">
          <cell r="A113" t="str">
            <v>Fringe</v>
          </cell>
        </row>
        <row r="114">
          <cell r="A114" t="str">
            <v>Fringe (Students)</v>
          </cell>
        </row>
        <row r="115">
          <cell r="A115" t="str">
            <v>Overhead (Labor)</v>
          </cell>
        </row>
        <row r="116">
          <cell r="A116" t="str">
            <v>General and Administrative</v>
          </cell>
        </row>
        <row r="117">
          <cell r="A117" t="str">
            <v>Facilities and Administrative Cost Rate</v>
          </cell>
        </row>
        <row r="118">
          <cell r="A118" t="str">
            <v>Material Handling</v>
          </cell>
        </row>
        <row r="119">
          <cell r="A119" t="str">
            <v>Procurement Overhead</v>
          </cell>
        </row>
        <row r="120">
          <cell r="A120" t="str">
            <v>Subcontract Overhead</v>
          </cell>
        </row>
        <row r="121">
          <cell r="A121" t="str">
            <v>Business Operating Support Overhead</v>
          </cell>
        </row>
        <row r="122">
          <cell r="A122" t="str">
            <v>Information Technology Support Overhead</v>
          </cell>
        </row>
        <row r="123">
          <cell r="A123" t="str">
            <v>Other Direct Cost (ODC) Overhead</v>
          </cell>
        </row>
        <row r="124">
          <cell r="A124" t="str">
            <v>Facilities Cost of Money: Procurement COM</v>
          </cell>
        </row>
        <row r="125">
          <cell r="A125" t="str">
            <v>Facilities Cost of Money: G&amp;A COM</v>
          </cell>
        </row>
        <row r="126">
          <cell r="A126" t="str">
            <v>Facilities Cost of Money: Labor/Engineering COM</v>
          </cell>
        </row>
        <row r="127">
          <cell r="A127" t="str">
            <v>Other Overhead/Cost Factors</v>
          </cell>
        </row>
        <row r="128">
          <cell r="A128" t="str">
            <v>Profit (Fixed Price Awards)</v>
          </cell>
        </row>
        <row r="129">
          <cell r="A129" t="str">
            <v>Fee (Cost Type Awards)</v>
          </cell>
        </row>
        <row r="135">
          <cell r="A135" t="str">
            <v>Not Applicable</v>
          </cell>
        </row>
        <row r="136">
          <cell r="A136" t="str">
            <v>Phase I</v>
          </cell>
        </row>
        <row r="137">
          <cell r="A137" t="str">
            <v>Phase II</v>
          </cell>
        </row>
        <row r="138">
          <cell r="A138" t="str">
            <v>Phase III</v>
          </cell>
        </row>
        <row r="143">
          <cell r="A143" t="str">
            <v>Not Applicable</v>
          </cell>
        </row>
        <row r="144">
          <cell r="A144" t="str">
            <v>1-100</v>
          </cell>
        </row>
        <row r="145">
          <cell r="A145" t="str">
            <v>101-500</v>
          </cell>
        </row>
        <row r="146">
          <cell r="A146" t="str">
            <v>501-1000</v>
          </cell>
        </row>
      </sheetData>
      <sheetData sheetId="4">
        <row r="4">
          <cell r="A4" t="str">
            <v>Small Business</v>
          </cell>
        </row>
        <row r="9">
          <cell r="B9" t="str">
            <v>Proposer FY 1</v>
          </cell>
          <cell r="C9" t="str">
            <v>Proposer FY 2</v>
          </cell>
          <cell r="D9" t="str">
            <v>Proposer FY 3</v>
          </cell>
          <cell r="E9" t="str">
            <v>Proposer FY 4</v>
          </cell>
          <cell r="F9" t="str">
            <v>Proposer FY 5</v>
          </cell>
          <cell r="G9" t="str">
            <v>Proposer FY 6</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Cost Breakdown"/>
      <sheetName val="Cost Elements"/>
      <sheetName val="All Periods"/>
      <sheetName val="Base"/>
      <sheetName val="Option Period 1"/>
      <sheetName val="Option Period 2"/>
      <sheetName val="Option Period 3"/>
      <sheetName val="Option Period 4"/>
      <sheetName val="Proposal Input"/>
      <sheetName val="Booz Allen Labor"/>
      <sheetName val="Forward Pricing Rates"/>
      <sheetName val="Indirects + AWI"/>
      <sheetName val="ODCs"/>
      <sheetName val="Travel"/>
      <sheetName val="WBS Set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0">
          <cell r="L10">
            <v>1.5100000000000001E-2</v>
          </cell>
        </row>
      </sheetData>
      <sheetData sheetId="13" refreshError="1"/>
      <sheetData sheetId="14" refreshError="1"/>
      <sheetData sheetId="1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Change Notes"/>
      <sheetName val="Constants"/>
      <sheetName val="Proposer Constants"/>
      <sheetName val="Labor Rates"/>
      <sheetName val="Summary Cost Table"/>
      <sheetName val="Indirect Rates and Profit_Fee"/>
      <sheetName val="Total Amount"/>
      <sheetName val="TA Summary"/>
      <sheetName val="Base (Phase 1)"/>
      <sheetName val="Phase 1 TA 1"/>
      <sheetName val="Phase 1 TA 2"/>
      <sheetName val="Phase 1 TA 3"/>
      <sheetName val="O-I (Phase 2)"/>
      <sheetName val="Phase 2 TA 1"/>
      <sheetName val="Phase 2 TA 2"/>
      <sheetName val="Phase 2 TA 3"/>
      <sheetName val="O-II (Phase 3)"/>
      <sheetName val="O-III"/>
      <sheetName val="O-IV"/>
      <sheetName val="O-V"/>
      <sheetName val="Phase 3 TA 1"/>
      <sheetName val="Phase 3 TA 2"/>
      <sheetName val="Phase 3 TA 3"/>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1:I24"/>
  <sheetViews>
    <sheetView tabSelected="1" zoomScale="80" zoomScaleNormal="80" workbookViewId="0">
      <selection activeCell="P17" sqref="P17"/>
    </sheetView>
  </sheetViews>
  <sheetFormatPr defaultColWidth="9.140625" defaultRowHeight="15" x14ac:dyDescent="0.25"/>
  <cols>
    <col min="1" max="1" width="29.140625" style="1" customWidth="1"/>
    <col min="2" max="2" width="10.140625" style="1" customWidth="1"/>
    <col min="3" max="3" width="10.5703125" style="1" bestFit="1" customWidth="1"/>
    <col min="4" max="4" width="14.7109375" style="1" customWidth="1"/>
    <col min="5" max="5" width="3" style="1" customWidth="1"/>
    <col min="6" max="6" width="9.140625" style="1"/>
    <col min="7" max="7" width="10.5703125" style="1" bestFit="1" customWidth="1"/>
    <col min="8" max="8" width="16.28515625" style="1" customWidth="1"/>
    <col min="9" max="9" width="21" style="1" customWidth="1"/>
    <col min="10" max="16384" width="9.140625" style="1"/>
  </cols>
  <sheetData>
    <row r="1" spans="1:9" x14ac:dyDescent="0.25">
      <c r="A1" s="195" t="s">
        <v>78</v>
      </c>
      <c r="B1" s="195"/>
      <c r="C1" s="195"/>
      <c r="D1" s="195"/>
      <c r="E1" s="195"/>
      <c r="F1" s="195"/>
      <c r="G1" s="195"/>
      <c r="H1" s="195"/>
      <c r="I1" s="195"/>
    </row>
    <row r="2" spans="1:9" x14ac:dyDescent="0.25">
      <c r="A2" s="96"/>
      <c r="B2" s="97"/>
      <c r="C2" s="97"/>
      <c r="D2" s="97"/>
      <c r="E2" s="97"/>
      <c r="F2" s="97"/>
      <c r="G2" s="97"/>
      <c r="H2" s="97"/>
      <c r="I2" s="97"/>
    </row>
    <row r="3" spans="1:9" ht="16.5" customHeight="1" x14ac:dyDescent="0.25">
      <c r="A3" s="98"/>
      <c r="B3" s="194" t="s">
        <v>112</v>
      </c>
      <c r="C3" s="194"/>
      <c r="D3" s="194"/>
      <c r="E3" s="97"/>
      <c r="F3" s="194" t="s">
        <v>5</v>
      </c>
      <c r="G3" s="194"/>
      <c r="H3" s="194"/>
      <c r="I3" s="193" t="s">
        <v>6</v>
      </c>
    </row>
    <row r="4" spans="1:9" ht="14.25" customHeight="1" x14ac:dyDescent="0.25">
      <c r="A4" s="97"/>
      <c r="B4" s="194"/>
      <c r="C4" s="194"/>
      <c r="D4" s="194"/>
      <c r="E4" s="97"/>
      <c r="F4" s="194"/>
      <c r="G4" s="194"/>
      <c r="H4" s="194"/>
      <c r="I4" s="193"/>
    </row>
    <row r="5" spans="1:9" x14ac:dyDescent="0.25">
      <c r="A5" s="97"/>
      <c r="B5" s="97"/>
      <c r="C5" s="97"/>
      <c r="D5" s="97"/>
      <c r="E5" s="97"/>
      <c r="F5" s="97"/>
      <c r="G5" s="97"/>
      <c r="H5" s="97"/>
      <c r="I5" s="99"/>
    </row>
    <row r="6" spans="1:9" x14ac:dyDescent="0.25">
      <c r="A6" s="100" t="s">
        <v>13</v>
      </c>
      <c r="B6" s="101" t="s">
        <v>3</v>
      </c>
      <c r="C6" s="102" t="s">
        <v>110</v>
      </c>
      <c r="D6" s="102" t="s">
        <v>1</v>
      </c>
      <c r="E6" s="103"/>
      <c r="F6" s="104" t="s">
        <v>3</v>
      </c>
      <c r="G6" s="102" t="s">
        <v>8</v>
      </c>
      <c r="H6" s="102" t="s">
        <v>1</v>
      </c>
      <c r="I6" s="104" t="s">
        <v>7</v>
      </c>
    </row>
    <row r="7" spans="1:9" x14ac:dyDescent="0.25">
      <c r="A7" s="97"/>
      <c r="B7" s="105"/>
      <c r="C7" s="106">
        <v>0</v>
      </c>
      <c r="D7" s="107">
        <f>B7*C7</f>
        <v>0</v>
      </c>
      <c r="E7" s="108"/>
      <c r="F7" s="105"/>
      <c r="G7" s="106">
        <v>0</v>
      </c>
      <c r="H7" s="107">
        <f>F7*G7</f>
        <v>0</v>
      </c>
      <c r="I7" s="109">
        <f>D7+H7</f>
        <v>0</v>
      </c>
    </row>
    <row r="8" spans="1:9" x14ac:dyDescent="0.25">
      <c r="A8" s="97"/>
      <c r="B8" s="105"/>
      <c r="C8" s="106">
        <v>0</v>
      </c>
      <c r="D8" s="107">
        <f>B8*C8</f>
        <v>0</v>
      </c>
      <c r="E8" s="108"/>
      <c r="F8" s="105"/>
      <c r="G8" s="106">
        <v>0</v>
      </c>
      <c r="H8" s="107">
        <f>F8*G8</f>
        <v>0</v>
      </c>
      <c r="I8" s="109">
        <f t="shared" ref="I8:I9" si="0">D8+H8</f>
        <v>0</v>
      </c>
    </row>
    <row r="9" spans="1:9" x14ac:dyDescent="0.25">
      <c r="A9" s="110"/>
      <c r="B9" s="105"/>
      <c r="C9" s="106">
        <v>0</v>
      </c>
      <c r="D9" s="107">
        <f>B9*C9</f>
        <v>0</v>
      </c>
      <c r="E9" s="108"/>
      <c r="F9" s="105"/>
      <c r="G9" s="111">
        <v>0</v>
      </c>
      <c r="H9" s="107">
        <f>G9*F9</f>
        <v>0</v>
      </c>
      <c r="I9" s="109">
        <f t="shared" si="0"/>
        <v>0</v>
      </c>
    </row>
    <row r="10" spans="1:9" x14ac:dyDescent="0.25">
      <c r="A10" s="98" t="s">
        <v>2</v>
      </c>
      <c r="B10" s="112">
        <f>SUM(B7:B9)</f>
        <v>0</v>
      </c>
      <c r="C10" s="98"/>
      <c r="D10" s="113">
        <f>SUM(D7:D9)</f>
        <v>0</v>
      </c>
      <c r="E10" s="114"/>
      <c r="F10" s="112">
        <f>SUM(F7:F9)</f>
        <v>0</v>
      </c>
      <c r="G10" s="98"/>
      <c r="H10" s="113">
        <f>SUM(H7:H9)</f>
        <v>0</v>
      </c>
      <c r="I10" s="115">
        <f>D10+H10</f>
        <v>0</v>
      </c>
    </row>
    <row r="11" spans="1:9" x14ac:dyDescent="0.25">
      <c r="A11" s="98"/>
      <c r="B11" s="112"/>
      <c r="C11" s="98"/>
      <c r="D11" s="113"/>
      <c r="E11" s="114"/>
      <c r="F11" s="112"/>
      <c r="G11" s="98"/>
      <c r="H11" s="113"/>
      <c r="I11" s="115"/>
    </row>
    <row r="12" spans="1:9" x14ac:dyDescent="0.25">
      <c r="A12" s="98" t="s">
        <v>10</v>
      </c>
      <c r="B12" s="116"/>
      <c r="C12" s="114"/>
      <c r="D12" s="113">
        <f>Travel!AC9</f>
        <v>0</v>
      </c>
      <c r="E12" s="114"/>
      <c r="F12" s="116"/>
      <c r="G12" s="114"/>
      <c r="H12" s="113">
        <f>Travel!AC14</f>
        <v>0</v>
      </c>
      <c r="I12" s="115">
        <f>D12+H12</f>
        <v>0</v>
      </c>
    </row>
    <row r="13" spans="1:9" x14ac:dyDescent="0.25">
      <c r="A13" s="97"/>
      <c r="B13" s="97"/>
      <c r="C13" s="97"/>
      <c r="D13" s="97"/>
      <c r="E13" s="117"/>
      <c r="F13" s="97"/>
      <c r="G13" s="97"/>
      <c r="H13" s="97"/>
      <c r="I13" s="97"/>
    </row>
    <row r="14" spans="1:9" x14ac:dyDescent="0.25">
      <c r="A14" s="98" t="s">
        <v>11</v>
      </c>
      <c r="B14" s="117"/>
      <c r="C14" s="117"/>
      <c r="D14" s="113">
        <f>'ODC Details'!E7</f>
        <v>0</v>
      </c>
      <c r="E14" s="117"/>
      <c r="F14" s="117"/>
      <c r="G14" s="117"/>
      <c r="H14" s="113">
        <f>'ODC Details'!E11</f>
        <v>0</v>
      </c>
      <c r="I14" s="115">
        <f>D14+H14</f>
        <v>0</v>
      </c>
    </row>
    <row r="15" spans="1:9" x14ac:dyDescent="0.25">
      <c r="A15" s="98"/>
      <c r="B15" s="97"/>
      <c r="C15" s="97"/>
      <c r="D15" s="97"/>
      <c r="E15" s="117"/>
      <c r="F15" s="97"/>
      <c r="G15" s="97"/>
      <c r="H15" s="97"/>
      <c r="I15" s="97"/>
    </row>
    <row r="16" spans="1:9" x14ac:dyDescent="0.25">
      <c r="A16" s="98" t="s">
        <v>12</v>
      </c>
      <c r="B16" s="117"/>
      <c r="C16" s="117"/>
      <c r="D16" s="191">
        <f>Materials!E8+Equipment!I6</f>
        <v>0</v>
      </c>
      <c r="E16" s="117"/>
      <c r="F16" s="117"/>
      <c r="G16" s="117"/>
      <c r="H16" s="191">
        <f>Materials!E13+Equipment!I9</f>
        <v>0</v>
      </c>
      <c r="I16" s="115">
        <f>D16+H16</f>
        <v>0</v>
      </c>
    </row>
    <row r="17" spans="1:9" x14ac:dyDescent="0.25">
      <c r="A17" s="98"/>
      <c r="B17" s="97"/>
      <c r="C17" s="97"/>
      <c r="D17" s="97"/>
      <c r="E17" s="117"/>
      <c r="F17" s="97"/>
      <c r="G17" s="97"/>
      <c r="H17" s="97"/>
      <c r="I17" s="97"/>
    </row>
    <row r="18" spans="1:9" x14ac:dyDescent="0.25">
      <c r="A18" s="98" t="s">
        <v>9</v>
      </c>
      <c r="B18" s="98"/>
      <c r="C18" s="192">
        <v>0</v>
      </c>
      <c r="D18" s="118">
        <f>C18*SUM(D10:D16)</f>
        <v>0</v>
      </c>
      <c r="E18" s="117"/>
      <c r="F18" s="98"/>
      <c r="G18" s="192">
        <v>0</v>
      </c>
      <c r="H18" s="118">
        <f>G18*SUM(H10:H16)</f>
        <v>0</v>
      </c>
      <c r="I18" s="118">
        <f>H18+D18</f>
        <v>0</v>
      </c>
    </row>
    <row r="19" spans="1:9" x14ac:dyDescent="0.25">
      <c r="A19" s="97"/>
      <c r="B19" s="97"/>
      <c r="C19" s="97"/>
      <c r="D19" s="97"/>
      <c r="E19" s="117"/>
      <c r="F19" s="97"/>
      <c r="G19" s="97"/>
      <c r="H19" s="97"/>
      <c r="I19" s="97"/>
    </row>
    <row r="20" spans="1:9" x14ac:dyDescent="0.25">
      <c r="A20" s="98" t="s">
        <v>7</v>
      </c>
      <c r="B20" s="98"/>
      <c r="C20" s="98"/>
      <c r="D20" s="113">
        <f>SUM(D10:D18)</f>
        <v>0</v>
      </c>
      <c r="E20" s="114"/>
      <c r="F20" s="98"/>
      <c r="G20" s="98"/>
      <c r="H20" s="113">
        <f>SUM(H10:H18)</f>
        <v>0</v>
      </c>
      <c r="I20" s="113">
        <f>SUM(D20:H20)</f>
        <v>0</v>
      </c>
    </row>
    <row r="21" spans="1:9" x14ac:dyDescent="0.25">
      <c r="A21" s="2"/>
      <c r="B21" s="2"/>
      <c r="C21" s="2"/>
      <c r="D21" s="3"/>
      <c r="E21" s="2"/>
      <c r="F21" s="2"/>
      <c r="G21" s="2"/>
      <c r="H21" s="3"/>
      <c r="I21" s="3"/>
    </row>
    <row r="23" spans="1:9" x14ac:dyDescent="0.25">
      <c r="A23" s="1" t="s">
        <v>14</v>
      </c>
    </row>
    <row r="24" spans="1:9" x14ac:dyDescent="0.25">
      <c r="A24" s="1" t="s">
        <v>111</v>
      </c>
    </row>
  </sheetData>
  <mergeCells count="4">
    <mergeCell ref="I3:I4"/>
    <mergeCell ref="B3:D4"/>
    <mergeCell ref="F3:H4"/>
    <mergeCell ref="A1:I1"/>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7012C-F239-4BDB-A756-9EC8A6C81059}">
  <sheetPr>
    <tabColor theme="9" tint="0.39997558519241921"/>
    <pageSetUpPr fitToPage="1"/>
  </sheetPr>
  <dimension ref="A1:AC35"/>
  <sheetViews>
    <sheetView zoomScaleNormal="100" workbookViewId="0">
      <selection activeCell="B28" sqref="B28"/>
    </sheetView>
  </sheetViews>
  <sheetFormatPr defaultColWidth="8.85546875" defaultRowHeight="12.75" x14ac:dyDescent="0.2"/>
  <cols>
    <col min="1" max="1" width="14.7109375" style="73" bestFit="1" customWidth="1"/>
    <col min="2" max="2" width="19.7109375" style="73" customWidth="1"/>
    <col min="3" max="3" width="11.7109375" style="73" customWidth="1"/>
    <col min="4" max="4" width="12" style="73" customWidth="1"/>
    <col min="5" max="9" width="8.85546875" style="73"/>
    <col min="10" max="10" width="9.7109375" style="73" customWidth="1"/>
    <col min="11" max="11" width="8.42578125" style="73" customWidth="1"/>
    <col min="12" max="12" width="11.140625" style="73" bestFit="1" customWidth="1"/>
    <col min="13" max="13" width="9.140625" style="73" bestFit="1" customWidth="1"/>
    <col min="14" max="14" width="12.140625" style="73" customWidth="1"/>
    <col min="15" max="15" width="8.85546875" style="73"/>
    <col min="16" max="16" width="9.85546875" style="73" bestFit="1" customWidth="1"/>
    <col min="17" max="17" width="9.140625" style="73" bestFit="1" customWidth="1"/>
    <col min="18" max="18" width="14.42578125" style="73" customWidth="1"/>
    <col min="19" max="19" width="9.85546875" style="73" bestFit="1" customWidth="1"/>
    <col min="20" max="20" width="8.85546875" style="73"/>
    <col min="21" max="21" width="9.42578125" style="73" bestFit="1" customWidth="1"/>
    <col min="22" max="22" width="8.85546875" style="73"/>
    <col min="23" max="23" width="10.140625" style="73" customWidth="1"/>
    <col min="24" max="24" width="8.7109375" style="73" customWidth="1"/>
    <col min="25" max="25" width="9.140625" style="73" customWidth="1"/>
    <col min="26" max="26" width="11.140625" style="73" customWidth="1"/>
    <col min="27" max="27" width="9.42578125" style="73" bestFit="1" customWidth="1"/>
    <col min="28" max="16384" width="8.85546875" style="73"/>
  </cols>
  <sheetData>
    <row r="1" spans="1:29" s="8" customFormat="1" ht="15.75" x14ac:dyDescent="0.25">
      <c r="A1" s="4" t="s">
        <v>15</v>
      </c>
      <c r="B1" s="5" t="s">
        <v>16</v>
      </c>
      <c r="C1" s="6">
        <f>[1]General!C2</f>
        <v>0</v>
      </c>
      <c r="D1" s="7"/>
      <c r="E1" s="7"/>
      <c r="F1" s="7"/>
      <c r="G1" s="7"/>
      <c r="H1" s="7"/>
      <c r="I1" s="7"/>
      <c r="J1" s="7"/>
      <c r="K1" s="7"/>
      <c r="L1" s="7"/>
      <c r="M1" s="7"/>
      <c r="N1" s="7"/>
      <c r="O1" s="7"/>
      <c r="P1" s="7"/>
      <c r="Q1" s="7"/>
      <c r="R1" s="7"/>
      <c r="S1" s="7"/>
    </row>
    <row r="2" spans="1:29" s="9" customFormat="1" ht="15.75" x14ac:dyDescent="0.25">
      <c r="C2" s="10"/>
      <c r="D2" s="10"/>
      <c r="E2" s="10"/>
      <c r="F2" s="10"/>
      <c r="G2" s="10"/>
      <c r="H2" s="10"/>
      <c r="I2" s="10"/>
      <c r="J2" s="10"/>
      <c r="K2" s="10"/>
      <c r="L2" s="11"/>
      <c r="M2" s="11"/>
    </row>
    <row r="3" spans="1:29" s="12" customFormat="1" ht="15.75" thickBot="1" x14ac:dyDescent="0.3">
      <c r="C3" s="12" t="s">
        <v>17</v>
      </c>
    </row>
    <row r="4" spans="1:29" s="23" customFormat="1" ht="105.75" thickBot="1" x14ac:dyDescent="0.3">
      <c r="A4" s="13" t="s">
        <v>18</v>
      </c>
      <c r="B4" s="14" t="s">
        <v>19</v>
      </c>
      <c r="C4" s="13" t="s">
        <v>20</v>
      </c>
      <c r="D4" s="13" t="s">
        <v>21</v>
      </c>
      <c r="E4" s="13" t="s">
        <v>22</v>
      </c>
      <c r="F4" s="13" t="s">
        <v>23</v>
      </c>
      <c r="G4" s="15" t="s">
        <v>24</v>
      </c>
      <c r="H4" s="13" t="s">
        <v>25</v>
      </c>
      <c r="I4" s="13" t="s">
        <v>26</v>
      </c>
      <c r="J4" s="13" t="s">
        <v>27</v>
      </c>
      <c r="K4" s="16" t="s">
        <v>28</v>
      </c>
      <c r="L4" s="17" t="s">
        <v>29</v>
      </c>
      <c r="M4" s="16" t="s">
        <v>30</v>
      </c>
      <c r="N4" s="17" t="s">
        <v>31</v>
      </c>
      <c r="O4" s="16" t="s">
        <v>32</v>
      </c>
      <c r="P4" s="13" t="s">
        <v>33</v>
      </c>
      <c r="Q4" s="13" t="s">
        <v>34</v>
      </c>
      <c r="R4" s="17" t="s">
        <v>35</v>
      </c>
      <c r="S4" s="16" t="s">
        <v>36</v>
      </c>
      <c r="T4" s="13" t="s">
        <v>37</v>
      </c>
      <c r="U4" s="17" t="s">
        <v>38</v>
      </c>
      <c r="V4" s="16" t="s">
        <v>39</v>
      </c>
      <c r="W4" s="18" t="s">
        <v>40</v>
      </c>
      <c r="X4" s="18" t="s">
        <v>41</v>
      </c>
      <c r="Y4" s="19" t="s">
        <v>42</v>
      </c>
      <c r="Z4" s="16" t="s">
        <v>43</v>
      </c>
      <c r="AA4" s="20" t="s">
        <v>44</v>
      </c>
      <c r="AB4" s="21" t="s">
        <v>45</v>
      </c>
      <c r="AC4" s="22" t="s">
        <v>46</v>
      </c>
    </row>
    <row r="5" spans="1:29" s="23" customFormat="1" ht="15" x14ac:dyDescent="0.25">
      <c r="A5" s="24"/>
      <c r="B5" s="24"/>
      <c r="C5" s="24"/>
      <c r="D5" s="24"/>
      <c r="E5" s="25"/>
      <c r="F5" s="25"/>
      <c r="G5" s="26"/>
      <c r="H5" s="27">
        <f t="shared" ref="H5:H8" si="0">IF((F5&gt;0),F5-1,0)</f>
        <v>0</v>
      </c>
      <c r="I5" s="27">
        <f t="shared" ref="I5:I13" si="1">IF(F5&gt;2,F5-2,0)</f>
        <v>0</v>
      </c>
      <c r="J5" s="27">
        <f t="shared" ref="J5:J13" si="2">IF(F5&lt;=2,F5,F5-I5)</f>
        <v>0</v>
      </c>
      <c r="K5" s="28"/>
      <c r="L5" s="29">
        <f t="shared" ref="L5:L13" si="3">+K5*E5</f>
        <v>0</v>
      </c>
      <c r="M5" s="28"/>
      <c r="N5" s="29">
        <f t="shared" ref="N5:N13" si="4">M5*E5*H5</f>
        <v>0</v>
      </c>
      <c r="O5" s="28"/>
      <c r="P5" s="30">
        <f t="shared" ref="P5:P8" si="5">+O5*E5*I5</f>
        <v>0</v>
      </c>
      <c r="Q5" s="30">
        <f t="shared" ref="Q5:Q8" si="6">(+O5*E5*J5)*0.75</f>
        <v>0</v>
      </c>
      <c r="R5" s="31">
        <f t="shared" ref="R5:R13" si="7">SUM(P5:Q5)</f>
        <v>0</v>
      </c>
      <c r="S5" s="32"/>
      <c r="T5" s="33"/>
      <c r="U5" s="34">
        <f>T5*S5*H5</f>
        <v>0</v>
      </c>
      <c r="V5" s="35"/>
      <c r="W5" s="36"/>
      <c r="X5" s="33"/>
      <c r="Y5" s="34">
        <f>W5*V5*X5</f>
        <v>0</v>
      </c>
      <c r="Z5" s="37"/>
      <c r="AA5" s="38"/>
      <c r="AB5" s="39">
        <f>+Y5+U5+R5+N5+L5+Z5+AA5</f>
        <v>0</v>
      </c>
      <c r="AC5" s="40">
        <f>+AB5*G5</f>
        <v>0</v>
      </c>
    </row>
    <row r="6" spans="1:29" s="23" customFormat="1" ht="15" x14ac:dyDescent="0.25">
      <c r="A6" s="24"/>
      <c r="B6" s="24"/>
      <c r="C6" s="24"/>
      <c r="D6" s="24"/>
      <c r="E6" s="25"/>
      <c r="F6" s="25"/>
      <c r="G6" s="26"/>
      <c r="H6" s="27">
        <f t="shared" si="0"/>
        <v>0</v>
      </c>
      <c r="I6" s="27">
        <f t="shared" si="1"/>
        <v>0</v>
      </c>
      <c r="J6" s="27">
        <f t="shared" si="2"/>
        <v>0</v>
      </c>
      <c r="K6" s="28"/>
      <c r="L6" s="29">
        <f t="shared" si="3"/>
        <v>0</v>
      </c>
      <c r="M6" s="28"/>
      <c r="N6" s="29">
        <f t="shared" si="4"/>
        <v>0</v>
      </c>
      <c r="O6" s="28"/>
      <c r="P6" s="30">
        <f t="shared" si="5"/>
        <v>0</v>
      </c>
      <c r="Q6" s="30">
        <f t="shared" si="6"/>
        <v>0</v>
      </c>
      <c r="R6" s="31">
        <f t="shared" si="7"/>
        <v>0</v>
      </c>
      <c r="S6" s="32"/>
      <c r="T6" s="33"/>
      <c r="U6" s="34">
        <f t="shared" ref="U6:U13" si="8">T6*S6*H6</f>
        <v>0</v>
      </c>
      <c r="V6" s="35"/>
      <c r="W6" s="36"/>
      <c r="X6" s="33"/>
      <c r="Y6" s="34">
        <f t="shared" ref="Y6:Y13" si="9">W6*V6*X6</f>
        <v>0</v>
      </c>
      <c r="Z6" s="37"/>
      <c r="AA6" s="38"/>
      <c r="AB6" s="39">
        <f>+Y6+U6+R6+N6+L6+Z6+AA6</f>
        <v>0</v>
      </c>
      <c r="AC6" s="40">
        <f>+AB6*G6</f>
        <v>0</v>
      </c>
    </row>
    <row r="7" spans="1:29" s="23" customFormat="1" ht="15" x14ac:dyDescent="0.25">
      <c r="A7" s="24"/>
      <c r="B7" s="24"/>
      <c r="C7" s="24"/>
      <c r="D7" s="24"/>
      <c r="E7" s="25"/>
      <c r="F7" s="25"/>
      <c r="G7" s="26"/>
      <c r="H7" s="27">
        <f t="shared" si="0"/>
        <v>0</v>
      </c>
      <c r="I7" s="27">
        <f t="shared" si="1"/>
        <v>0</v>
      </c>
      <c r="J7" s="27">
        <f t="shared" si="2"/>
        <v>0</v>
      </c>
      <c r="K7" s="28"/>
      <c r="L7" s="29">
        <f t="shared" si="3"/>
        <v>0</v>
      </c>
      <c r="M7" s="28"/>
      <c r="N7" s="29">
        <f t="shared" si="4"/>
        <v>0</v>
      </c>
      <c r="O7" s="28"/>
      <c r="P7" s="30">
        <f t="shared" si="5"/>
        <v>0</v>
      </c>
      <c r="Q7" s="30">
        <f t="shared" si="6"/>
        <v>0</v>
      </c>
      <c r="R7" s="31">
        <f t="shared" si="7"/>
        <v>0</v>
      </c>
      <c r="S7" s="32"/>
      <c r="T7" s="33"/>
      <c r="U7" s="34">
        <f t="shared" si="8"/>
        <v>0</v>
      </c>
      <c r="V7" s="35"/>
      <c r="W7" s="36"/>
      <c r="X7" s="33"/>
      <c r="Y7" s="34">
        <f t="shared" si="9"/>
        <v>0</v>
      </c>
      <c r="Z7" s="37"/>
      <c r="AA7" s="38"/>
      <c r="AB7" s="39">
        <f>+Y7+U7+R7+N7+L7+Z7+AA7</f>
        <v>0</v>
      </c>
      <c r="AC7" s="40">
        <f>+AB7*G7</f>
        <v>0</v>
      </c>
    </row>
    <row r="8" spans="1:29" s="23" customFormat="1" ht="15" x14ac:dyDescent="0.25">
      <c r="A8" s="24"/>
      <c r="B8" s="24"/>
      <c r="C8" s="24"/>
      <c r="D8" s="24"/>
      <c r="E8" s="25"/>
      <c r="F8" s="25"/>
      <c r="G8" s="26"/>
      <c r="H8" s="27">
        <f t="shared" si="0"/>
        <v>0</v>
      </c>
      <c r="I8" s="27">
        <f t="shared" si="1"/>
        <v>0</v>
      </c>
      <c r="J8" s="27">
        <f t="shared" si="2"/>
        <v>0</v>
      </c>
      <c r="K8" s="28"/>
      <c r="L8" s="29">
        <f t="shared" si="3"/>
        <v>0</v>
      </c>
      <c r="M8" s="28"/>
      <c r="N8" s="29">
        <f t="shared" si="4"/>
        <v>0</v>
      </c>
      <c r="O8" s="28"/>
      <c r="P8" s="30">
        <f t="shared" si="5"/>
        <v>0</v>
      </c>
      <c r="Q8" s="30">
        <f t="shared" si="6"/>
        <v>0</v>
      </c>
      <c r="R8" s="31">
        <f t="shared" si="7"/>
        <v>0</v>
      </c>
      <c r="S8" s="32"/>
      <c r="T8" s="33"/>
      <c r="U8" s="34">
        <f t="shared" si="8"/>
        <v>0</v>
      </c>
      <c r="V8" s="35"/>
      <c r="W8" s="36"/>
      <c r="X8" s="33"/>
      <c r="Y8" s="34">
        <f t="shared" si="9"/>
        <v>0</v>
      </c>
      <c r="Z8" s="37"/>
      <c r="AA8" s="38"/>
      <c r="AB8" s="39">
        <f>+Y8+U8+R8+N8+L8+Z8+AA8</f>
        <v>0</v>
      </c>
      <c r="AC8" s="40">
        <f>+AB8*G8</f>
        <v>0</v>
      </c>
    </row>
    <row r="9" spans="1:29" s="23" customFormat="1" ht="15" x14ac:dyDescent="0.25">
      <c r="A9" s="197" t="s">
        <v>47</v>
      </c>
      <c r="B9" s="198"/>
      <c r="C9" s="41"/>
      <c r="D9" s="41"/>
      <c r="E9" s="42"/>
      <c r="F9" s="42"/>
      <c r="G9" s="43"/>
      <c r="H9" s="44"/>
      <c r="I9" s="44"/>
      <c r="J9" s="44"/>
      <c r="K9" s="45"/>
      <c r="L9" s="46"/>
      <c r="M9" s="45"/>
      <c r="N9" s="46"/>
      <c r="O9" s="45"/>
      <c r="P9" s="30"/>
      <c r="Q9" s="30"/>
      <c r="R9" s="47"/>
      <c r="S9" s="48"/>
      <c r="T9" s="49"/>
      <c r="U9" s="50"/>
      <c r="V9" s="51"/>
      <c r="W9" s="52"/>
      <c r="X9" s="49"/>
      <c r="Y9" s="50"/>
      <c r="Z9" s="53"/>
      <c r="AA9" s="54"/>
      <c r="AB9" s="55"/>
      <c r="AC9" s="56">
        <f>SUM(AC5:AC8)</f>
        <v>0</v>
      </c>
    </row>
    <row r="10" spans="1:29" s="23" customFormat="1" ht="15" x14ac:dyDescent="0.25">
      <c r="A10" s="24"/>
      <c r="B10" s="24"/>
      <c r="C10" s="24"/>
      <c r="D10" s="24"/>
      <c r="E10" s="25"/>
      <c r="F10" s="25"/>
      <c r="G10" s="26"/>
      <c r="H10" s="27">
        <f>IF((F10&gt;0),F10-1,0)</f>
        <v>0</v>
      </c>
      <c r="I10" s="27">
        <f t="shared" si="1"/>
        <v>0</v>
      </c>
      <c r="J10" s="27">
        <f t="shared" si="2"/>
        <v>0</v>
      </c>
      <c r="K10" s="28"/>
      <c r="L10" s="29">
        <f t="shared" si="3"/>
        <v>0</v>
      </c>
      <c r="M10" s="28"/>
      <c r="N10" s="29">
        <f t="shared" si="4"/>
        <v>0</v>
      </c>
      <c r="O10" s="28"/>
      <c r="P10" s="30">
        <f t="shared" ref="P10:P13" si="10">+O10*E10*I10</f>
        <v>0</v>
      </c>
      <c r="Q10" s="30">
        <f t="shared" ref="Q10:Q13" si="11">(+O10*E10*J10)*0.75</f>
        <v>0</v>
      </c>
      <c r="R10" s="31">
        <f t="shared" si="7"/>
        <v>0</v>
      </c>
      <c r="S10" s="32"/>
      <c r="T10" s="33"/>
      <c r="U10" s="34">
        <f t="shared" si="8"/>
        <v>0</v>
      </c>
      <c r="V10" s="35"/>
      <c r="W10" s="36"/>
      <c r="X10" s="33"/>
      <c r="Y10" s="34">
        <f t="shared" si="9"/>
        <v>0</v>
      </c>
      <c r="Z10" s="37"/>
      <c r="AA10" s="38"/>
      <c r="AB10" s="39">
        <f>+Y10+U10+R10+N10+L10+Z10+AA10</f>
        <v>0</v>
      </c>
      <c r="AC10" s="40">
        <f>+AB10*G10</f>
        <v>0</v>
      </c>
    </row>
    <row r="11" spans="1:29" s="23" customFormat="1" ht="15" x14ac:dyDescent="0.25">
      <c r="A11" s="24"/>
      <c r="B11" s="24"/>
      <c r="C11" s="24"/>
      <c r="D11" s="24"/>
      <c r="E11" s="25"/>
      <c r="F11" s="25"/>
      <c r="G11" s="26"/>
      <c r="H11" s="27">
        <f t="shared" ref="H11:H13" si="12">IF((F11&gt;0),F11-1,0)</f>
        <v>0</v>
      </c>
      <c r="I11" s="27">
        <f t="shared" si="1"/>
        <v>0</v>
      </c>
      <c r="J11" s="27">
        <f t="shared" si="2"/>
        <v>0</v>
      </c>
      <c r="K11" s="28"/>
      <c r="L11" s="29">
        <f t="shared" si="3"/>
        <v>0</v>
      </c>
      <c r="M11" s="28"/>
      <c r="N11" s="29">
        <f t="shared" si="4"/>
        <v>0</v>
      </c>
      <c r="O11" s="28"/>
      <c r="P11" s="30">
        <f t="shared" si="10"/>
        <v>0</v>
      </c>
      <c r="Q11" s="30">
        <f t="shared" si="11"/>
        <v>0</v>
      </c>
      <c r="R11" s="31">
        <f t="shared" si="7"/>
        <v>0</v>
      </c>
      <c r="S11" s="32"/>
      <c r="T11" s="33"/>
      <c r="U11" s="34">
        <f t="shared" si="8"/>
        <v>0</v>
      </c>
      <c r="V11" s="35"/>
      <c r="W11" s="36"/>
      <c r="X11" s="33"/>
      <c r="Y11" s="34">
        <f t="shared" si="9"/>
        <v>0</v>
      </c>
      <c r="Z11" s="37"/>
      <c r="AA11" s="38"/>
      <c r="AB11" s="39">
        <f>+Y11+U11+R11+N11+L11+Z11+AA11</f>
        <v>0</v>
      </c>
      <c r="AC11" s="40">
        <f>+AB11*G11</f>
        <v>0</v>
      </c>
    </row>
    <row r="12" spans="1:29" s="23" customFormat="1" ht="15" x14ac:dyDescent="0.25">
      <c r="A12" s="24"/>
      <c r="B12" s="24"/>
      <c r="C12" s="24"/>
      <c r="D12" s="24"/>
      <c r="E12" s="25"/>
      <c r="F12" s="25"/>
      <c r="G12" s="26"/>
      <c r="H12" s="27">
        <f t="shared" si="12"/>
        <v>0</v>
      </c>
      <c r="I12" s="27">
        <f t="shared" si="1"/>
        <v>0</v>
      </c>
      <c r="J12" s="27">
        <f t="shared" si="2"/>
        <v>0</v>
      </c>
      <c r="K12" s="28"/>
      <c r="L12" s="29">
        <f t="shared" si="3"/>
        <v>0</v>
      </c>
      <c r="M12" s="28"/>
      <c r="N12" s="29">
        <f t="shared" si="4"/>
        <v>0</v>
      </c>
      <c r="O12" s="28"/>
      <c r="P12" s="30">
        <f t="shared" si="10"/>
        <v>0</v>
      </c>
      <c r="Q12" s="30">
        <f t="shared" si="11"/>
        <v>0</v>
      </c>
      <c r="R12" s="31">
        <f t="shared" si="7"/>
        <v>0</v>
      </c>
      <c r="S12" s="32"/>
      <c r="T12" s="33"/>
      <c r="U12" s="34">
        <f t="shared" si="8"/>
        <v>0</v>
      </c>
      <c r="V12" s="35"/>
      <c r="W12" s="36"/>
      <c r="X12" s="33"/>
      <c r="Y12" s="34">
        <f t="shared" si="9"/>
        <v>0</v>
      </c>
      <c r="Z12" s="37"/>
      <c r="AA12" s="38"/>
      <c r="AB12" s="39">
        <f>+Y12+U12+R12+N12+L12+Z12+AA12</f>
        <v>0</v>
      </c>
      <c r="AC12" s="40">
        <f>+AB12*G12</f>
        <v>0</v>
      </c>
    </row>
    <row r="13" spans="1:29" s="23" customFormat="1" ht="15" x14ac:dyDescent="0.25">
      <c r="A13" s="24"/>
      <c r="B13" s="24"/>
      <c r="C13" s="24"/>
      <c r="D13" s="24"/>
      <c r="E13" s="25"/>
      <c r="F13" s="25"/>
      <c r="G13" s="26"/>
      <c r="H13" s="27">
        <f t="shared" si="12"/>
        <v>0</v>
      </c>
      <c r="I13" s="27">
        <f t="shared" si="1"/>
        <v>0</v>
      </c>
      <c r="J13" s="27">
        <f t="shared" si="2"/>
        <v>0</v>
      </c>
      <c r="K13" s="28"/>
      <c r="L13" s="29">
        <f t="shared" si="3"/>
        <v>0</v>
      </c>
      <c r="M13" s="28"/>
      <c r="N13" s="29">
        <f t="shared" si="4"/>
        <v>0</v>
      </c>
      <c r="O13" s="28"/>
      <c r="P13" s="30">
        <f t="shared" si="10"/>
        <v>0</v>
      </c>
      <c r="Q13" s="30">
        <f t="shared" si="11"/>
        <v>0</v>
      </c>
      <c r="R13" s="31">
        <f t="shared" si="7"/>
        <v>0</v>
      </c>
      <c r="S13" s="32"/>
      <c r="T13" s="33"/>
      <c r="U13" s="34">
        <f t="shared" si="8"/>
        <v>0</v>
      </c>
      <c r="V13" s="35"/>
      <c r="W13" s="36"/>
      <c r="X13" s="33"/>
      <c r="Y13" s="34">
        <f t="shared" si="9"/>
        <v>0</v>
      </c>
      <c r="Z13" s="37"/>
      <c r="AA13" s="38"/>
      <c r="AB13" s="39">
        <f>+Y13+U13+R13+N13+L13+Z13+AA13</f>
        <v>0</v>
      </c>
      <c r="AC13" s="40">
        <f>+AB13*G13</f>
        <v>0</v>
      </c>
    </row>
    <row r="14" spans="1:29" s="23" customFormat="1" ht="15" x14ac:dyDescent="0.25">
      <c r="A14" s="197" t="s">
        <v>48</v>
      </c>
      <c r="B14" s="198"/>
      <c r="C14" s="41"/>
      <c r="D14" s="41"/>
      <c r="E14" s="42"/>
      <c r="F14" s="42"/>
      <c r="G14" s="43"/>
      <c r="H14" s="44"/>
      <c r="I14" s="44"/>
      <c r="J14" s="44"/>
      <c r="K14" s="45"/>
      <c r="L14" s="46"/>
      <c r="M14" s="45"/>
      <c r="N14" s="46"/>
      <c r="O14" s="45"/>
      <c r="P14" s="57"/>
      <c r="Q14" s="57"/>
      <c r="R14" s="47"/>
      <c r="S14" s="48"/>
      <c r="T14" s="49"/>
      <c r="U14" s="50"/>
      <c r="V14" s="51"/>
      <c r="W14" s="52"/>
      <c r="X14" s="49"/>
      <c r="Y14" s="50"/>
      <c r="Z14" s="53"/>
      <c r="AA14" s="54"/>
      <c r="AB14" s="55"/>
      <c r="AC14" s="56">
        <f>SUM(AC10:AC13)</f>
        <v>0</v>
      </c>
    </row>
    <row r="15" spans="1:29" s="23" customFormat="1" ht="15.75" thickBot="1" x14ac:dyDescent="0.3">
      <c r="A15" s="58" t="s">
        <v>49</v>
      </c>
      <c r="B15" s="59"/>
      <c r="C15" s="60"/>
      <c r="D15" s="61"/>
      <c r="E15" s="62"/>
      <c r="F15" s="62"/>
      <c r="G15" s="63"/>
      <c r="H15" s="64"/>
      <c r="I15" s="64"/>
      <c r="J15" s="64"/>
      <c r="K15" s="65"/>
      <c r="L15" s="66"/>
      <c r="M15" s="65"/>
      <c r="N15" s="66"/>
      <c r="O15" s="65"/>
      <c r="P15" s="67"/>
      <c r="Q15" s="67"/>
      <c r="R15" s="67"/>
      <c r="S15" s="65"/>
      <c r="T15" s="68"/>
      <c r="U15" s="66"/>
      <c r="V15" s="69"/>
      <c r="W15" s="70"/>
      <c r="X15" s="70"/>
      <c r="Y15" s="66"/>
      <c r="Z15" s="69"/>
      <c r="AA15" s="67"/>
      <c r="AB15" s="71"/>
      <c r="AC15" s="72">
        <f>AC9+AC14</f>
        <v>0</v>
      </c>
    </row>
    <row r="16" spans="1:29" ht="15.75" x14ac:dyDescent="0.25">
      <c r="B16" s="74"/>
      <c r="C16" s="74"/>
      <c r="D16" s="74"/>
      <c r="E16" s="74"/>
      <c r="F16" s="74"/>
      <c r="G16" s="74"/>
      <c r="H16" s="74"/>
      <c r="I16" s="74"/>
      <c r="J16" s="74"/>
      <c r="K16" s="74"/>
      <c r="L16" s="74"/>
      <c r="M16" s="74"/>
      <c r="N16" s="74"/>
      <c r="O16" s="74"/>
      <c r="P16" s="74"/>
      <c r="Q16" s="74"/>
      <c r="R16" s="74"/>
      <c r="S16" s="74"/>
    </row>
    <row r="17" spans="1:21" ht="15.75" x14ac:dyDescent="0.25">
      <c r="B17" s="74"/>
      <c r="C17" s="74"/>
      <c r="D17" s="74"/>
      <c r="E17" s="74"/>
      <c r="F17" s="74"/>
      <c r="G17" s="74"/>
      <c r="H17" s="74"/>
      <c r="I17" s="74"/>
      <c r="J17" s="74"/>
      <c r="K17" s="74"/>
      <c r="L17" s="74"/>
      <c r="M17" s="74"/>
      <c r="N17" s="74"/>
      <c r="O17" s="74"/>
      <c r="P17" s="74"/>
      <c r="Q17" s="74"/>
      <c r="R17" s="74"/>
      <c r="S17" s="74"/>
    </row>
    <row r="18" spans="1:21" ht="135" customHeight="1" x14ac:dyDescent="0.25">
      <c r="A18" s="75" t="s">
        <v>50</v>
      </c>
      <c r="B18" s="199" t="s">
        <v>51</v>
      </c>
      <c r="C18" s="200"/>
      <c r="D18" s="200"/>
      <c r="E18" s="200"/>
      <c r="F18" s="200"/>
      <c r="G18" s="200"/>
      <c r="H18" s="200"/>
      <c r="I18" s="200"/>
      <c r="J18" s="200"/>
      <c r="K18" s="200"/>
      <c r="L18" s="200"/>
      <c r="M18" s="200"/>
      <c r="N18" s="200"/>
      <c r="O18" s="200"/>
      <c r="P18" s="200"/>
      <c r="Q18" s="200"/>
      <c r="R18" s="76"/>
      <c r="S18" s="74"/>
    </row>
    <row r="19" spans="1:21" ht="15.75" x14ac:dyDescent="0.25">
      <c r="B19" s="74"/>
      <c r="C19" s="74"/>
      <c r="D19" s="74"/>
      <c r="E19" s="74"/>
      <c r="F19" s="74"/>
      <c r="G19" s="74"/>
      <c r="H19" s="74"/>
      <c r="I19" s="74"/>
      <c r="J19" s="74"/>
      <c r="K19" s="74"/>
      <c r="L19" s="74"/>
      <c r="M19" s="74"/>
      <c r="N19" s="74"/>
      <c r="O19" s="74"/>
      <c r="P19" s="74"/>
      <c r="Q19" s="74"/>
      <c r="R19" s="76"/>
      <c r="S19" s="74"/>
    </row>
    <row r="20" spans="1:21" ht="12.75" customHeight="1" x14ac:dyDescent="0.2">
      <c r="A20" s="77" t="s">
        <v>52</v>
      </c>
      <c r="B20" s="201" t="s">
        <v>53</v>
      </c>
      <c r="C20" s="201"/>
      <c r="D20" s="201"/>
      <c r="E20" s="201"/>
      <c r="F20" s="201"/>
      <c r="G20" s="201"/>
      <c r="H20" s="201"/>
      <c r="I20" s="201"/>
      <c r="J20" s="201"/>
      <c r="K20" s="201"/>
      <c r="L20" s="201"/>
      <c r="M20" s="201"/>
      <c r="N20" s="201"/>
      <c r="O20" s="201"/>
      <c r="P20" s="201"/>
      <c r="Q20" s="201"/>
      <c r="R20" s="76"/>
      <c r="S20" s="78"/>
      <c r="T20" s="78"/>
      <c r="U20" s="78"/>
    </row>
    <row r="21" spans="1:21" ht="0.75" customHeight="1" x14ac:dyDescent="0.2">
      <c r="A21" s="77"/>
      <c r="B21" s="201"/>
      <c r="C21" s="201"/>
      <c r="D21" s="201"/>
      <c r="E21" s="201"/>
      <c r="F21" s="201"/>
      <c r="G21" s="201"/>
      <c r="H21" s="201"/>
      <c r="I21" s="201"/>
      <c r="J21" s="201"/>
      <c r="K21" s="201"/>
      <c r="L21" s="201"/>
      <c r="M21" s="201"/>
      <c r="N21" s="201"/>
      <c r="O21" s="201"/>
      <c r="P21" s="201"/>
      <c r="Q21" s="201"/>
      <c r="R21" s="76"/>
      <c r="S21" s="78"/>
      <c r="T21" s="78"/>
      <c r="U21" s="78"/>
    </row>
    <row r="22" spans="1:21" ht="6" hidden="1" customHeight="1" x14ac:dyDescent="0.2">
      <c r="A22" s="77"/>
      <c r="B22" s="201"/>
      <c r="C22" s="201"/>
      <c r="D22" s="201"/>
      <c r="E22" s="201"/>
      <c r="F22" s="201"/>
      <c r="G22" s="201"/>
      <c r="H22" s="201"/>
      <c r="I22" s="201"/>
      <c r="J22" s="201"/>
      <c r="K22" s="201"/>
      <c r="L22" s="201"/>
      <c r="M22" s="201"/>
      <c r="N22" s="201"/>
      <c r="O22" s="201"/>
      <c r="P22" s="201"/>
      <c r="Q22" s="201"/>
      <c r="R22" s="76" t="s">
        <v>54</v>
      </c>
      <c r="S22" s="78"/>
      <c r="T22" s="78"/>
      <c r="U22" s="78"/>
    </row>
    <row r="23" spans="1:21" ht="14.25" customHeight="1" x14ac:dyDescent="0.2">
      <c r="A23" s="77"/>
      <c r="B23" s="77"/>
      <c r="C23" s="79"/>
      <c r="D23" s="79"/>
      <c r="E23" s="79"/>
      <c r="F23" s="79"/>
      <c r="G23" s="79"/>
      <c r="H23" s="79"/>
      <c r="I23" s="79"/>
      <c r="J23" s="79"/>
      <c r="K23" s="79"/>
      <c r="L23" s="79"/>
      <c r="M23" s="79"/>
      <c r="N23" s="79"/>
      <c r="O23" s="79"/>
      <c r="P23" s="79"/>
      <c r="Q23" s="79"/>
      <c r="R23" s="76"/>
      <c r="S23" s="78"/>
      <c r="T23" s="78"/>
      <c r="U23" s="78"/>
    </row>
    <row r="24" spans="1:21" ht="15" customHeight="1" x14ac:dyDescent="0.25">
      <c r="A24" s="77" t="s">
        <v>55</v>
      </c>
      <c r="B24" s="196" t="s">
        <v>56</v>
      </c>
      <c r="C24" s="196"/>
      <c r="D24" s="196"/>
      <c r="E24" s="196"/>
      <c r="F24" s="196"/>
      <c r="G24" s="196"/>
      <c r="H24" s="196"/>
      <c r="I24" s="196"/>
      <c r="J24" s="196"/>
      <c r="K24" s="196"/>
      <c r="L24" s="196"/>
      <c r="M24" s="196"/>
      <c r="N24" s="196"/>
      <c r="O24" s="196"/>
      <c r="P24" s="196"/>
      <c r="Q24" s="196"/>
      <c r="R24" s="76"/>
      <c r="S24" s="74"/>
    </row>
    <row r="25" spans="1:21" ht="15" customHeight="1" x14ac:dyDescent="0.25">
      <c r="A25" s="77"/>
      <c r="B25" s="77"/>
      <c r="C25" s="77"/>
      <c r="D25" s="77"/>
      <c r="E25" s="77"/>
      <c r="F25" s="77"/>
      <c r="G25" s="77"/>
      <c r="H25" s="77"/>
      <c r="I25" s="77"/>
      <c r="J25" s="77"/>
      <c r="K25" s="77"/>
      <c r="L25" s="77"/>
      <c r="M25" s="77"/>
      <c r="N25" s="77"/>
      <c r="O25" s="77"/>
      <c r="P25" s="77"/>
      <c r="Q25" s="77"/>
      <c r="R25" s="74"/>
      <c r="S25" s="74"/>
    </row>
    <row r="26" spans="1:21" x14ac:dyDescent="0.2">
      <c r="A26" s="77" t="s">
        <v>57</v>
      </c>
      <c r="B26" s="196" t="s">
        <v>58</v>
      </c>
      <c r="C26" s="196"/>
      <c r="D26" s="196"/>
      <c r="E26" s="196"/>
      <c r="F26" s="196"/>
      <c r="G26" s="196"/>
      <c r="H26" s="196"/>
      <c r="I26" s="196"/>
      <c r="J26" s="196"/>
      <c r="K26" s="196"/>
      <c r="L26" s="196"/>
      <c r="M26" s="196"/>
      <c r="N26" s="196"/>
      <c r="O26" s="196"/>
      <c r="P26" s="196"/>
      <c r="Q26" s="196"/>
    </row>
    <row r="27" spans="1:21" x14ac:dyDescent="0.2">
      <c r="A27" s="77"/>
      <c r="B27" s="77"/>
      <c r="C27" s="77"/>
      <c r="D27" s="77"/>
      <c r="E27" s="77"/>
      <c r="F27" s="77"/>
      <c r="G27" s="77"/>
      <c r="H27" s="77"/>
      <c r="I27" s="77"/>
      <c r="J27" s="77"/>
      <c r="K27" s="77"/>
      <c r="L27" s="77"/>
      <c r="M27" s="77"/>
      <c r="N27" s="77"/>
      <c r="O27" s="77"/>
      <c r="P27" s="77"/>
      <c r="Q27" s="77" t="s">
        <v>4</v>
      </c>
    </row>
    <row r="28" spans="1:21" ht="15.75" x14ac:dyDescent="0.25">
      <c r="B28" s="80"/>
      <c r="C28" s="74"/>
      <c r="D28" s="80"/>
      <c r="E28" s="80"/>
      <c r="F28" s="80"/>
      <c r="G28" s="80"/>
      <c r="H28" s="80"/>
      <c r="I28" s="80"/>
      <c r="J28" s="80"/>
      <c r="K28" s="80"/>
      <c r="L28" s="80"/>
      <c r="M28" s="80"/>
      <c r="N28" s="80"/>
      <c r="O28" s="80"/>
    </row>
    <row r="30" spans="1:21" ht="15.75" x14ac:dyDescent="0.2">
      <c r="B30" s="76"/>
    </row>
    <row r="31" spans="1:21" ht="15.75" x14ac:dyDescent="0.2">
      <c r="B31" s="76"/>
    </row>
    <row r="32" spans="1:21" ht="15.75" x14ac:dyDescent="0.2">
      <c r="B32" s="76"/>
    </row>
    <row r="33" spans="2:2" ht="15.75" x14ac:dyDescent="0.2">
      <c r="B33" s="76"/>
    </row>
    <row r="34" spans="2:2" ht="15.75" x14ac:dyDescent="0.2">
      <c r="B34" s="76"/>
    </row>
    <row r="35" spans="2:2" ht="15.75" x14ac:dyDescent="0.2">
      <c r="B35" s="76"/>
    </row>
  </sheetData>
  <mergeCells count="6">
    <mergeCell ref="B26:Q26"/>
    <mergeCell ref="A9:B9"/>
    <mergeCell ref="A14:B14"/>
    <mergeCell ref="B18:Q18"/>
    <mergeCell ref="B20:Q22"/>
    <mergeCell ref="B24:Q24"/>
  </mergeCells>
  <pageMargins left="0.75" right="0.75" top="1" bottom="1" header="0.5" footer="0.5"/>
  <pageSetup scale="41" orientation="landscape" horizontalDpi="1200" verticalDpi="1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8DE69-2380-4906-BD95-4A5C51E5C230}">
  <sheetPr>
    <tabColor theme="9" tint="0.39997558519241921"/>
    <pageSetUpPr fitToPage="1"/>
  </sheetPr>
  <dimension ref="A1:O30"/>
  <sheetViews>
    <sheetView zoomScaleNormal="100" workbookViewId="0">
      <selection activeCell="H8" activeCellId="1" sqref="H4:H6 H8:H10"/>
    </sheetView>
  </sheetViews>
  <sheetFormatPr defaultColWidth="8.85546875" defaultRowHeight="12.75" x14ac:dyDescent="0.2"/>
  <cols>
    <col min="1" max="1" width="26.140625" style="73" customWidth="1"/>
    <col min="2" max="2" width="11.140625" style="73" customWidth="1"/>
    <col min="3" max="3" width="11.85546875" style="73" customWidth="1"/>
    <col min="4" max="4" width="15.42578125" style="73" customWidth="1"/>
    <col min="5" max="5" width="12.42578125" style="73" customWidth="1"/>
    <col min="6" max="6" width="14.140625" style="73" customWidth="1"/>
    <col min="7" max="7" width="16" style="73" customWidth="1"/>
    <col min="8" max="8" width="17.140625" style="73" customWidth="1"/>
    <col min="9" max="9" width="0" style="73" hidden="1" customWidth="1"/>
    <col min="10" max="16384" width="8.85546875" style="73"/>
  </cols>
  <sheetData>
    <row r="1" spans="1:14" ht="15.75" x14ac:dyDescent="0.25">
      <c r="A1" s="81" t="s">
        <v>59</v>
      </c>
      <c r="B1" s="82"/>
      <c r="C1" s="82"/>
      <c r="D1" s="83">
        <f>[1]General!C2</f>
        <v>0</v>
      </c>
      <c r="E1" s="82"/>
      <c r="F1" s="82"/>
      <c r="G1" s="82"/>
      <c r="H1" s="82"/>
      <c r="I1" s="74"/>
      <c r="J1" s="74"/>
      <c r="K1" s="74"/>
    </row>
    <row r="2" spans="1:14" ht="15.75" x14ac:dyDescent="0.25">
      <c r="A2" s="84"/>
      <c r="B2" s="74"/>
      <c r="C2" s="74"/>
      <c r="D2" s="74"/>
      <c r="E2" s="74"/>
      <c r="F2" s="74"/>
      <c r="G2" s="74"/>
      <c r="H2" s="74"/>
      <c r="I2" s="74"/>
      <c r="J2" s="74"/>
      <c r="K2" s="74"/>
    </row>
    <row r="3" spans="1:14" ht="78.75" x14ac:dyDescent="0.25">
      <c r="A3" s="85" t="s">
        <v>60</v>
      </c>
      <c r="B3" s="85" t="s">
        <v>61</v>
      </c>
      <c r="C3" s="85" t="s">
        <v>62</v>
      </c>
      <c r="D3" s="85" t="s">
        <v>63</v>
      </c>
      <c r="E3" s="85" t="s">
        <v>7</v>
      </c>
      <c r="F3" s="85" t="s">
        <v>64</v>
      </c>
      <c r="G3" s="85" t="s">
        <v>65</v>
      </c>
      <c r="H3" s="85" t="s">
        <v>66</v>
      </c>
      <c r="I3" s="74"/>
      <c r="J3" s="74"/>
      <c r="K3" s="74"/>
    </row>
    <row r="4" spans="1:14" ht="15.75" x14ac:dyDescent="0.25">
      <c r="A4" s="86" t="s">
        <v>0</v>
      </c>
      <c r="B4" s="169"/>
      <c r="C4" s="169"/>
      <c r="D4" s="170"/>
      <c r="E4" s="88">
        <f>B4*D4</f>
        <v>0</v>
      </c>
      <c r="F4" s="87"/>
      <c r="G4" s="87"/>
      <c r="H4" s="169"/>
      <c r="I4" s="74" t="s">
        <v>67</v>
      </c>
      <c r="J4" s="74"/>
      <c r="K4" s="74"/>
    </row>
    <row r="5" spans="1:14" ht="15.75" x14ac:dyDescent="0.25">
      <c r="A5" s="89"/>
      <c r="B5" s="169"/>
      <c r="C5" s="169"/>
      <c r="D5" s="170"/>
      <c r="E5" s="88">
        <f t="shared" ref="E5:E10" si="0">B5*D5</f>
        <v>0</v>
      </c>
      <c r="F5" s="87"/>
      <c r="G5" s="87"/>
      <c r="H5" s="169"/>
      <c r="I5" s="74" t="s">
        <v>68</v>
      </c>
      <c r="J5" s="74"/>
      <c r="K5" s="74"/>
    </row>
    <row r="6" spans="1:14" ht="15.75" x14ac:dyDescent="0.25">
      <c r="A6" s="89"/>
      <c r="B6" s="169"/>
      <c r="C6" s="169"/>
      <c r="D6" s="171"/>
      <c r="E6" s="88">
        <f t="shared" si="0"/>
        <v>0</v>
      </c>
      <c r="F6" s="87"/>
      <c r="G6" s="87"/>
      <c r="H6" s="169"/>
      <c r="I6" s="74"/>
      <c r="J6" s="74"/>
      <c r="K6" s="74"/>
    </row>
    <row r="7" spans="1:14" ht="15.75" x14ac:dyDescent="0.25">
      <c r="A7" s="86" t="s">
        <v>79</v>
      </c>
      <c r="B7" s="87"/>
      <c r="C7" s="87"/>
      <c r="D7" s="88"/>
      <c r="E7" s="88">
        <f>SUM(E4:E6)</f>
        <v>0</v>
      </c>
      <c r="F7" s="87"/>
      <c r="G7" s="87"/>
      <c r="H7" s="87"/>
      <c r="I7" s="74"/>
      <c r="J7" s="74"/>
      <c r="K7" s="74"/>
    </row>
    <row r="8" spans="1:14" ht="15.75" x14ac:dyDescent="0.25">
      <c r="A8" s="86" t="s">
        <v>77</v>
      </c>
      <c r="B8" s="169"/>
      <c r="C8" s="169"/>
      <c r="D8" s="171"/>
      <c r="E8" s="88">
        <f t="shared" si="0"/>
        <v>0</v>
      </c>
      <c r="F8" s="87"/>
      <c r="G8" s="87"/>
      <c r="H8" s="169"/>
      <c r="I8" s="74"/>
      <c r="J8" s="74"/>
      <c r="K8" s="74"/>
    </row>
    <row r="9" spans="1:14" ht="15.75" x14ac:dyDescent="0.25">
      <c r="A9" s="89"/>
      <c r="B9" s="169"/>
      <c r="C9" s="169"/>
      <c r="D9" s="171"/>
      <c r="E9" s="88">
        <f t="shared" si="0"/>
        <v>0</v>
      </c>
      <c r="F9" s="87"/>
      <c r="G9" s="87"/>
      <c r="H9" s="169"/>
      <c r="I9" s="74"/>
      <c r="J9" s="74"/>
      <c r="K9" s="74"/>
    </row>
    <row r="10" spans="1:14" ht="15.75" x14ac:dyDescent="0.25">
      <c r="A10" s="89"/>
      <c r="B10" s="169"/>
      <c r="C10" s="169"/>
      <c r="D10" s="171"/>
      <c r="E10" s="88">
        <f t="shared" si="0"/>
        <v>0</v>
      </c>
      <c r="F10" s="87"/>
      <c r="G10" s="87"/>
      <c r="H10" s="169"/>
      <c r="I10" s="74"/>
      <c r="J10" s="74"/>
      <c r="K10" s="74"/>
    </row>
    <row r="11" spans="1:14" ht="15.75" x14ac:dyDescent="0.25">
      <c r="A11" s="86" t="s">
        <v>80</v>
      </c>
      <c r="B11" s="87"/>
      <c r="C11" s="87"/>
      <c r="D11" s="88"/>
      <c r="E11" s="88">
        <f>SUM(E8:E10)</f>
        <v>0</v>
      </c>
      <c r="F11" s="87"/>
      <c r="G11" s="87"/>
      <c r="H11" s="87"/>
      <c r="I11" s="74"/>
      <c r="J11" s="74"/>
      <c r="K11" s="74"/>
    </row>
    <row r="12" spans="1:14" ht="16.5" customHeight="1" x14ac:dyDescent="0.25">
      <c r="A12" s="90"/>
      <c r="B12" s="74"/>
      <c r="D12" s="91" t="s">
        <v>69</v>
      </c>
      <c r="E12" s="92">
        <f>E7+E11</f>
        <v>0</v>
      </c>
      <c r="F12" s="93"/>
      <c r="G12" s="93"/>
      <c r="H12" s="74"/>
      <c r="I12" s="74"/>
      <c r="J12" s="74"/>
    </row>
    <row r="13" spans="1:14" ht="15.75" x14ac:dyDescent="0.25">
      <c r="A13" s="74"/>
      <c r="B13" s="74"/>
      <c r="C13" s="74"/>
      <c r="D13" s="74"/>
      <c r="E13" s="74"/>
      <c r="F13" s="74"/>
      <c r="G13" s="74"/>
      <c r="H13" s="74"/>
      <c r="I13" s="74"/>
      <c r="J13" s="74"/>
    </row>
    <row r="14" spans="1:14" ht="15.75" x14ac:dyDescent="0.25">
      <c r="A14" s="74"/>
      <c r="B14" s="74"/>
      <c r="C14" s="74"/>
      <c r="D14" s="74"/>
      <c r="E14" s="74"/>
      <c r="F14" s="74"/>
      <c r="G14" s="74"/>
      <c r="H14" s="74"/>
      <c r="I14" s="74"/>
      <c r="J14" s="74"/>
    </row>
    <row r="15" spans="1:14" s="95" customFormat="1" ht="153" customHeight="1" x14ac:dyDescent="0.25">
      <c r="A15" s="94" t="s">
        <v>50</v>
      </c>
      <c r="B15" s="202" t="s">
        <v>70</v>
      </c>
      <c r="C15" s="203"/>
      <c r="D15" s="203"/>
      <c r="E15" s="203"/>
      <c r="F15" s="203"/>
      <c r="G15" s="203"/>
      <c r="H15" s="203"/>
      <c r="I15" s="203"/>
      <c r="J15" s="203"/>
      <c r="K15" s="203"/>
      <c r="L15" s="203"/>
      <c r="M15" s="203"/>
      <c r="N15" s="203"/>
    </row>
    <row r="16" spans="1:14" ht="15.75" x14ac:dyDescent="0.25">
      <c r="A16" s="74"/>
      <c r="B16" s="74"/>
      <c r="C16" s="74"/>
      <c r="D16" s="74"/>
      <c r="E16" s="74"/>
      <c r="F16" s="74"/>
      <c r="G16" s="74"/>
      <c r="H16" s="74"/>
      <c r="I16" s="74"/>
      <c r="J16" s="74"/>
    </row>
    <row r="17" spans="1:15" x14ac:dyDescent="0.2">
      <c r="A17" s="77" t="s">
        <v>71</v>
      </c>
      <c r="B17" s="201" t="s">
        <v>72</v>
      </c>
      <c r="C17" s="201"/>
      <c r="D17" s="201"/>
      <c r="E17" s="201"/>
      <c r="F17" s="201"/>
      <c r="G17" s="201"/>
      <c r="H17" s="201"/>
      <c r="I17" s="201"/>
      <c r="J17" s="201"/>
    </row>
    <row r="18" spans="1:15" x14ac:dyDescent="0.2">
      <c r="A18" s="77"/>
      <c r="B18" s="79"/>
      <c r="C18" s="79"/>
      <c r="D18" s="79"/>
      <c r="E18" s="79"/>
      <c r="F18" s="79"/>
      <c r="G18" s="79"/>
      <c r="H18" s="79"/>
      <c r="I18" s="79"/>
      <c r="J18" s="79"/>
    </row>
    <row r="19" spans="1:15" ht="15.75" x14ac:dyDescent="0.25">
      <c r="A19" s="77" t="s">
        <v>73</v>
      </c>
      <c r="B19" s="196" t="s">
        <v>76</v>
      </c>
      <c r="C19" s="196"/>
      <c r="D19" s="196"/>
      <c r="E19" s="196"/>
      <c r="F19" s="196"/>
      <c r="G19" s="196"/>
      <c r="H19" s="196"/>
      <c r="I19" s="196"/>
      <c r="J19" s="196"/>
      <c r="K19" s="74"/>
      <c r="L19" s="74"/>
      <c r="M19" s="74"/>
      <c r="N19" s="74"/>
      <c r="O19" s="74"/>
    </row>
    <row r="20" spans="1:15" x14ac:dyDescent="0.2">
      <c r="A20" s="77"/>
      <c r="B20" s="77"/>
      <c r="C20" s="77"/>
      <c r="D20" s="77"/>
      <c r="E20" s="77"/>
      <c r="F20" s="77"/>
      <c r="G20" s="77"/>
      <c r="H20" s="77"/>
      <c r="I20" s="77"/>
      <c r="J20" s="77"/>
    </row>
    <row r="21" spans="1:15" ht="25.5" customHeight="1" x14ac:dyDescent="0.2">
      <c r="A21" s="75" t="s">
        <v>57</v>
      </c>
      <c r="B21" s="204" t="s">
        <v>75</v>
      </c>
      <c r="C21" s="204"/>
      <c r="D21" s="204"/>
      <c r="E21" s="204"/>
      <c r="F21" s="204"/>
      <c r="G21" s="204"/>
      <c r="H21" s="204"/>
      <c r="I21" s="204"/>
      <c r="J21" s="204"/>
    </row>
    <row r="26" spans="1:15" ht="15.75" x14ac:dyDescent="0.2">
      <c r="A26" s="76"/>
    </row>
    <row r="27" spans="1:15" ht="15.75" x14ac:dyDescent="0.2">
      <c r="A27" s="76"/>
    </row>
    <row r="28" spans="1:15" ht="15.75" x14ac:dyDescent="0.2">
      <c r="A28" s="76"/>
    </row>
    <row r="29" spans="1:15" ht="15.75" x14ac:dyDescent="0.2">
      <c r="A29" s="76"/>
    </row>
    <row r="30" spans="1:15" ht="15.75" x14ac:dyDescent="0.2">
      <c r="A30" s="76"/>
    </row>
  </sheetData>
  <mergeCells count="4">
    <mergeCell ref="B15:N15"/>
    <mergeCell ref="B17:J17"/>
    <mergeCell ref="B19:J19"/>
    <mergeCell ref="B21:J21"/>
  </mergeCells>
  <dataValidations count="1">
    <dataValidation type="list" showInputMessage="1" showErrorMessage="1" sqref="G4:G11" xr:uid="{091CA8C8-2144-4636-81A1-7AE025E7D97E}">
      <formula1>$I$4:$I$5</formula1>
    </dataValidation>
  </dataValidations>
  <pageMargins left="0.75" right="0.75" top="1" bottom="1" header="0.5" footer="0.5"/>
  <pageSetup scale="73" orientation="landscape" horizontalDpi="1200" verticalDpi="1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9563E-8884-44AA-A8E4-CB0FDDF915C3}">
  <sheetPr>
    <tabColor theme="9" tint="0.39997558519241921"/>
    <pageSetUpPr fitToPage="1"/>
  </sheetPr>
  <dimension ref="A1:O23"/>
  <sheetViews>
    <sheetView workbookViewId="0">
      <selection activeCell="F31" sqref="F31"/>
    </sheetView>
  </sheetViews>
  <sheetFormatPr defaultColWidth="8.85546875" defaultRowHeight="12.75" x14ac:dyDescent="0.2"/>
  <cols>
    <col min="1" max="1" width="12" style="123" customWidth="1"/>
    <col min="2" max="2" width="23.140625" style="123" customWidth="1"/>
    <col min="3" max="3" width="13" style="123" customWidth="1"/>
    <col min="4" max="4" width="15" style="123" customWidth="1"/>
    <col min="5" max="6" width="15.140625" style="123" customWidth="1"/>
    <col min="7" max="7" width="16.85546875" style="123" customWidth="1"/>
    <col min="8" max="8" width="14.140625" style="123" customWidth="1"/>
    <col min="9" max="9" width="15.85546875" style="123" customWidth="1"/>
    <col min="10" max="10" width="14.140625" style="123" customWidth="1"/>
    <col min="11" max="11" width="16.140625" style="123" hidden="1" customWidth="1"/>
    <col min="12" max="16384" width="8.85546875" style="123"/>
  </cols>
  <sheetData>
    <row r="1" spans="1:15" ht="15.75" x14ac:dyDescent="0.25">
      <c r="A1" s="119" t="s">
        <v>105</v>
      </c>
      <c r="B1" s="120"/>
      <c r="C1" s="120"/>
      <c r="D1" s="121">
        <f>[1]General!C2</f>
        <v>0</v>
      </c>
      <c r="E1" s="120"/>
      <c r="F1" s="120"/>
      <c r="G1" s="120"/>
      <c r="H1" s="120"/>
      <c r="I1" s="120"/>
      <c r="J1" s="120"/>
      <c r="K1" s="122"/>
      <c r="L1" s="122"/>
      <c r="M1" s="122"/>
      <c r="N1" s="122"/>
      <c r="O1" s="122"/>
    </row>
    <row r="2" spans="1:15" ht="15.75" x14ac:dyDescent="0.25">
      <c r="A2" s="205"/>
      <c r="B2" s="205"/>
      <c r="C2" s="205"/>
      <c r="D2" s="205"/>
      <c r="E2" s="205"/>
      <c r="F2" s="205"/>
      <c r="G2" s="205"/>
      <c r="H2" s="205"/>
      <c r="I2" s="124"/>
      <c r="J2" s="124"/>
      <c r="K2" s="122"/>
      <c r="L2" s="122"/>
      <c r="M2" s="122"/>
      <c r="N2" s="122"/>
      <c r="O2" s="122"/>
    </row>
    <row r="3" spans="1:15" ht="78.75" x14ac:dyDescent="0.25">
      <c r="A3" s="125" t="s">
        <v>81</v>
      </c>
      <c r="B3" s="126" t="s">
        <v>82</v>
      </c>
      <c r="C3" s="126" t="s">
        <v>61</v>
      </c>
      <c r="D3" s="126" t="s">
        <v>63</v>
      </c>
      <c r="E3" s="126" t="s">
        <v>83</v>
      </c>
      <c r="F3" s="125" t="s">
        <v>84</v>
      </c>
      <c r="G3" s="125" t="s">
        <v>85</v>
      </c>
      <c r="H3" s="127" t="s">
        <v>64</v>
      </c>
      <c r="I3" s="128" t="s">
        <v>86</v>
      </c>
      <c r="J3" s="128" t="s">
        <v>66</v>
      </c>
      <c r="L3" s="122"/>
      <c r="M3" s="122"/>
      <c r="N3" s="122"/>
      <c r="O3" s="122"/>
    </row>
    <row r="4" spans="1:15" ht="15.75" x14ac:dyDescent="0.25">
      <c r="A4" s="129" t="s">
        <v>0</v>
      </c>
      <c r="B4" s="172"/>
      <c r="C4" s="173"/>
      <c r="D4" s="174"/>
      <c r="E4" s="130">
        <f>C4*D4</f>
        <v>0</v>
      </c>
      <c r="F4" s="175"/>
      <c r="G4" s="176"/>
      <c r="H4" s="177"/>
      <c r="I4" s="132"/>
      <c r="J4" s="179"/>
      <c r="K4" s="123" t="s">
        <v>67</v>
      </c>
      <c r="L4" s="122"/>
      <c r="M4" s="122"/>
      <c r="N4" s="122"/>
      <c r="O4" s="122"/>
    </row>
    <row r="5" spans="1:15" ht="15.75" x14ac:dyDescent="0.25">
      <c r="A5" s="131">
        <v>1</v>
      </c>
      <c r="B5" s="172"/>
      <c r="C5" s="173"/>
      <c r="D5" s="174"/>
      <c r="E5" s="130">
        <f t="shared" ref="E5:E12" si="0">C5*D5</f>
        <v>0</v>
      </c>
      <c r="F5" s="175"/>
      <c r="G5" s="176"/>
      <c r="H5" s="178"/>
      <c r="I5" s="132"/>
      <c r="J5" s="179"/>
      <c r="K5" s="123" t="s">
        <v>68</v>
      </c>
      <c r="L5" s="122"/>
      <c r="M5" s="122"/>
      <c r="N5" s="122"/>
      <c r="O5" s="122"/>
    </row>
    <row r="6" spans="1:15" ht="15.75" x14ac:dyDescent="0.25">
      <c r="A6" s="131">
        <v>2</v>
      </c>
      <c r="B6" s="172"/>
      <c r="C6" s="173"/>
      <c r="D6" s="174"/>
      <c r="E6" s="130">
        <f t="shared" si="0"/>
        <v>0</v>
      </c>
      <c r="F6" s="175"/>
      <c r="G6" s="176"/>
      <c r="H6" s="177"/>
      <c r="I6" s="132"/>
      <c r="J6" s="179"/>
      <c r="L6" s="122"/>
      <c r="M6" s="122"/>
      <c r="N6" s="122"/>
      <c r="O6" s="122"/>
    </row>
    <row r="7" spans="1:15" ht="15.75" x14ac:dyDescent="0.25">
      <c r="A7" s="131">
        <v>3</v>
      </c>
      <c r="B7" s="172"/>
      <c r="C7" s="173"/>
      <c r="D7" s="174"/>
      <c r="E7" s="130">
        <f t="shared" si="0"/>
        <v>0</v>
      </c>
      <c r="F7" s="175"/>
      <c r="G7" s="176"/>
      <c r="H7" s="177"/>
      <c r="I7" s="132"/>
      <c r="J7" s="179"/>
      <c r="L7" s="122"/>
      <c r="M7" s="122"/>
      <c r="N7" s="122"/>
      <c r="O7" s="122"/>
    </row>
    <row r="8" spans="1:15" ht="15.75" x14ac:dyDescent="0.25">
      <c r="A8" s="129" t="s">
        <v>106</v>
      </c>
      <c r="B8" s="180"/>
      <c r="C8" s="181"/>
      <c r="D8" s="182"/>
      <c r="E8" s="130">
        <f>SUM(E4:E7)</f>
        <v>0</v>
      </c>
      <c r="F8" s="183"/>
      <c r="G8" s="184"/>
      <c r="H8" s="185"/>
      <c r="I8" s="186"/>
      <c r="J8" s="186"/>
      <c r="L8" s="122"/>
      <c r="M8" s="122"/>
      <c r="N8" s="122"/>
      <c r="O8" s="122"/>
    </row>
    <row r="9" spans="1:15" ht="15.75" x14ac:dyDescent="0.25">
      <c r="A9" s="129" t="s">
        <v>77</v>
      </c>
      <c r="B9" s="172"/>
      <c r="C9" s="173"/>
      <c r="D9" s="174"/>
      <c r="E9" s="130">
        <f t="shared" si="0"/>
        <v>0</v>
      </c>
      <c r="F9" s="175"/>
      <c r="G9" s="176"/>
      <c r="H9" s="177"/>
      <c r="I9" s="132"/>
      <c r="J9" s="179"/>
      <c r="L9" s="122"/>
      <c r="M9" s="122"/>
      <c r="N9" s="122"/>
      <c r="O9" s="122"/>
    </row>
    <row r="10" spans="1:15" ht="15.75" x14ac:dyDescent="0.25">
      <c r="A10" s="131">
        <v>4</v>
      </c>
      <c r="B10" s="172"/>
      <c r="C10" s="173"/>
      <c r="D10" s="174"/>
      <c r="E10" s="130">
        <f t="shared" si="0"/>
        <v>0</v>
      </c>
      <c r="F10" s="175"/>
      <c r="G10" s="176"/>
      <c r="H10" s="177"/>
      <c r="I10" s="132"/>
      <c r="J10" s="179"/>
      <c r="L10" s="122"/>
      <c r="M10" s="122"/>
      <c r="N10" s="122"/>
      <c r="O10" s="122"/>
    </row>
    <row r="11" spans="1:15" ht="15.75" x14ac:dyDescent="0.25">
      <c r="A11" s="131">
        <v>5</v>
      </c>
      <c r="B11" s="172"/>
      <c r="C11" s="173"/>
      <c r="D11" s="174"/>
      <c r="E11" s="130">
        <f t="shared" si="0"/>
        <v>0</v>
      </c>
      <c r="F11" s="175"/>
      <c r="G11" s="176"/>
      <c r="H11" s="177"/>
      <c r="I11" s="132"/>
      <c r="J11" s="179"/>
      <c r="L11" s="122"/>
      <c r="M11" s="122"/>
      <c r="N11" s="122"/>
      <c r="O11" s="122"/>
    </row>
    <row r="12" spans="1:15" ht="15.75" x14ac:dyDescent="0.25">
      <c r="A12" s="131">
        <v>6</v>
      </c>
      <c r="B12" s="172"/>
      <c r="C12" s="173"/>
      <c r="D12" s="174"/>
      <c r="E12" s="130">
        <f t="shared" si="0"/>
        <v>0</v>
      </c>
      <c r="F12" s="175"/>
      <c r="G12" s="176"/>
      <c r="H12" s="177"/>
      <c r="I12" s="132"/>
      <c r="J12" s="179"/>
      <c r="L12" s="122"/>
      <c r="M12" s="122"/>
      <c r="N12" s="122"/>
      <c r="O12" s="122"/>
    </row>
    <row r="13" spans="1:15" ht="15.75" x14ac:dyDescent="0.25">
      <c r="A13" s="129" t="s">
        <v>107</v>
      </c>
      <c r="B13" s="180"/>
      <c r="C13" s="187"/>
      <c r="D13" s="182"/>
      <c r="E13" s="130">
        <f>SUM(E9:E12)</f>
        <v>0</v>
      </c>
      <c r="F13" s="133"/>
      <c r="G13" s="134"/>
      <c r="H13" s="135"/>
      <c r="I13" s="132"/>
      <c r="J13" s="136"/>
      <c r="L13" s="122"/>
      <c r="M13" s="122"/>
      <c r="N13" s="122"/>
      <c r="O13" s="122"/>
    </row>
    <row r="14" spans="1:15" ht="15.75" x14ac:dyDescent="0.25">
      <c r="A14" s="137"/>
      <c r="B14" s="138"/>
      <c r="C14" s="139"/>
      <c r="D14" s="140" t="s">
        <v>87</v>
      </c>
      <c r="E14" s="141">
        <f>E8+E13</f>
        <v>0</v>
      </c>
      <c r="F14" s="142"/>
      <c r="G14" s="143"/>
      <c r="H14" s="122"/>
      <c r="I14" s="122"/>
      <c r="J14" s="122"/>
      <c r="K14" s="122"/>
      <c r="L14" s="122"/>
      <c r="M14" s="122"/>
      <c r="N14" s="122"/>
      <c r="O14" s="122"/>
    </row>
    <row r="15" spans="1:15" ht="15.75" x14ac:dyDescent="0.25">
      <c r="A15" s="122"/>
      <c r="B15" s="122"/>
      <c r="C15" s="122"/>
      <c r="D15" s="122"/>
      <c r="E15" s="144"/>
      <c r="H15" s="122"/>
      <c r="I15" s="122"/>
      <c r="J15" s="122"/>
      <c r="K15" s="122"/>
      <c r="L15" s="122"/>
      <c r="M15" s="122"/>
      <c r="N15" s="122"/>
      <c r="O15" s="122"/>
    </row>
    <row r="16" spans="1:15" ht="15.75" customHeight="1" x14ac:dyDescent="0.25">
      <c r="A16" s="145"/>
      <c r="B16" s="146"/>
      <c r="C16" s="146"/>
      <c r="D16" s="146"/>
      <c r="E16" s="146"/>
      <c r="F16" s="146"/>
      <c r="G16" s="146"/>
      <c r="H16" s="146"/>
      <c r="I16" s="146"/>
      <c r="J16" s="146"/>
      <c r="K16" s="122"/>
      <c r="L16" s="147"/>
      <c r="M16" s="122"/>
      <c r="N16" s="122"/>
      <c r="O16" s="122"/>
    </row>
    <row r="17" spans="1:15" ht="180" customHeight="1" x14ac:dyDescent="0.25">
      <c r="A17" s="145" t="s">
        <v>50</v>
      </c>
      <c r="B17" s="206" t="s">
        <v>108</v>
      </c>
      <c r="C17" s="207"/>
      <c r="D17" s="207"/>
      <c r="E17" s="207"/>
      <c r="F17" s="207"/>
      <c r="G17" s="207"/>
      <c r="H17" s="207"/>
      <c r="I17" s="207"/>
      <c r="J17" s="207"/>
      <c r="K17" s="122"/>
      <c r="L17" s="148"/>
      <c r="M17" s="122"/>
      <c r="N17" s="122"/>
      <c r="O17" s="122"/>
    </row>
    <row r="18" spans="1:15" ht="15.75" x14ac:dyDescent="0.25">
      <c r="A18" s="122"/>
      <c r="B18" s="122"/>
      <c r="C18" s="122"/>
      <c r="D18" s="122"/>
      <c r="E18" s="122"/>
      <c r="F18" s="122"/>
      <c r="G18" s="122"/>
      <c r="H18" s="122"/>
      <c r="I18" s="122"/>
      <c r="J18" s="122"/>
      <c r="K18" s="122"/>
      <c r="L18" s="122"/>
      <c r="M18" s="122"/>
      <c r="N18" s="122"/>
      <c r="O18" s="122"/>
    </row>
    <row r="19" spans="1:15" ht="40.5" customHeight="1" x14ac:dyDescent="0.25">
      <c r="A19" s="145" t="s">
        <v>71</v>
      </c>
      <c r="B19" s="208" t="s">
        <v>88</v>
      </c>
      <c r="C19" s="208"/>
      <c r="D19" s="208"/>
      <c r="E19" s="208"/>
      <c r="F19" s="208"/>
      <c r="G19" s="208"/>
      <c r="H19" s="208"/>
      <c r="I19" s="208"/>
      <c r="J19" s="208"/>
      <c r="K19" s="122"/>
      <c r="L19" s="122"/>
      <c r="M19" s="122"/>
      <c r="N19" s="122"/>
      <c r="O19" s="122"/>
    </row>
    <row r="20" spans="1:15" ht="15.75" x14ac:dyDescent="0.25">
      <c r="A20" s="149"/>
      <c r="B20" s="149"/>
      <c r="C20" s="149"/>
      <c r="D20" s="149"/>
      <c r="E20" s="149"/>
      <c r="F20" s="149"/>
      <c r="G20" s="149"/>
      <c r="H20" s="149"/>
      <c r="I20" s="149"/>
      <c r="J20" s="149"/>
      <c r="K20" s="122"/>
      <c r="L20" s="122"/>
      <c r="M20" s="122"/>
      <c r="N20" s="122"/>
      <c r="O20" s="122"/>
    </row>
    <row r="21" spans="1:15" ht="15.75" x14ac:dyDescent="0.25">
      <c r="A21" s="149" t="s">
        <v>73</v>
      </c>
      <c r="B21" s="209" t="s">
        <v>74</v>
      </c>
      <c r="C21" s="209"/>
      <c r="D21" s="209"/>
      <c r="E21" s="209"/>
      <c r="F21" s="209"/>
      <c r="G21" s="209"/>
      <c r="H21" s="209"/>
      <c r="I21" s="209"/>
      <c r="J21" s="209"/>
      <c r="K21" s="122"/>
      <c r="L21" s="122"/>
      <c r="M21" s="122"/>
      <c r="N21" s="122"/>
      <c r="O21" s="122"/>
    </row>
    <row r="22" spans="1:15" ht="15.75" x14ac:dyDescent="0.25">
      <c r="A22" s="149"/>
      <c r="B22" s="149"/>
      <c r="C22" s="149"/>
      <c r="D22" s="149"/>
      <c r="E22" s="149"/>
      <c r="F22" s="149"/>
      <c r="G22" s="149"/>
      <c r="H22" s="149"/>
      <c r="I22" s="149"/>
      <c r="J22" s="149"/>
      <c r="K22" s="122"/>
      <c r="L22" s="122"/>
      <c r="M22" s="122"/>
      <c r="N22" s="122"/>
      <c r="O22" s="122"/>
    </row>
    <row r="23" spans="1:15" ht="28.5" customHeight="1" x14ac:dyDescent="0.2">
      <c r="A23" s="145" t="s">
        <v>57</v>
      </c>
      <c r="B23" s="210" t="s">
        <v>89</v>
      </c>
      <c r="C23" s="210"/>
      <c r="D23" s="210"/>
      <c r="E23" s="210"/>
      <c r="F23" s="210"/>
      <c r="G23" s="210"/>
      <c r="H23" s="210"/>
      <c r="I23" s="210"/>
      <c r="J23" s="210"/>
    </row>
  </sheetData>
  <mergeCells count="5">
    <mergeCell ref="A2:H2"/>
    <mergeCell ref="B17:J17"/>
    <mergeCell ref="B19:J19"/>
    <mergeCell ref="B21:J21"/>
    <mergeCell ref="B23:J23"/>
  </mergeCells>
  <dataValidations count="1">
    <dataValidation type="list" showInputMessage="1" showErrorMessage="1" sqref="I4:I13" xr:uid="{1A7DB6E0-BBCE-4756-A728-EE3172341D74}">
      <formula1>$K$4:$K$5</formula1>
    </dataValidation>
  </dataValidations>
  <pageMargins left="0.75" right="0.75" top="1" bottom="1" header="0.5" footer="0.5"/>
  <pageSetup scale="80" orientation="landscape" horizontalDpi="1200" verticalDpi="1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6AF14-BBF8-4E34-BAC9-5CED4D24B49D}">
  <sheetPr>
    <tabColor theme="9" tint="0.39997558519241921"/>
    <pageSetUpPr fitToPage="1"/>
  </sheetPr>
  <dimension ref="A1:P51"/>
  <sheetViews>
    <sheetView workbookViewId="0">
      <selection activeCell="T26" sqref="S26:T26"/>
    </sheetView>
  </sheetViews>
  <sheetFormatPr defaultColWidth="8.85546875" defaultRowHeight="12.75" x14ac:dyDescent="0.2"/>
  <cols>
    <col min="1" max="1" width="13.140625" style="123" customWidth="1"/>
    <col min="2" max="2" width="20.42578125" style="123" customWidth="1"/>
    <col min="3" max="3" width="19.140625" style="123" customWidth="1"/>
    <col min="4" max="4" width="20.140625" style="123" customWidth="1"/>
    <col min="5" max="5" width="19.85546875" style="123" customWidth="1"/>
    <col min="6" max="6" width="7.140625" style="123" customWidth="1"/>
    <col min="7" max="7" width="8.85546875" style="123"/>
    <col min="8" max="8" width="11.85546875" style="123" customWidth="1"/>
    <col min="9" max="9" width="11.42578125" style="123" customWidth="1"/>
    <col min="10" max="10" width="8.85546875" style="123"/>
    <col min="11" max="11" width="10" style="123" customWidth="1"/>
    <col min="12" max="13" width="16" style="123" customWidth="1"/>
    <col min="14" max="14" width="0" style="123" hidden="1" customWidth="1"/>
    <col min="15" max="16384" width="8.85546875" style="123"/>
  </cols>
  <sheetData>
    <row r="1" spans="1:15" ht="15.75" x14ac:dyDescent="0.25">
      <c r="A1" s="150" t="s">
        <v>90</v>
      </c>
      <c r="B1" s="151"/>
      <c r="C1" s="152">
        <f>[1]General!C2</f>
        <v>0</v>
      </c>
      <c r="D1" s="153"/>
      <c r="E1" s="153"/>
      <c r="F1" s="153"/>
      <c r="G1" s="153"/>
      <c r="H1" s="153"/>
      <c r="I1" s="153"/>
      <c r="J1" s="153"/>
      <c r="K1" s="153"/>
      <c r="L1" s="153"/>
      <c r="M1" s="153"/>
    </row>
    <row r="2" spans="1:15" ht="18.75" x14ac:dyDescent="0.3">
      <c r="A2" s="154"/>
      <c r="B2" s="155"/>
      <c r="C2" s="155"/>
      <c r="D2" s="155"/>
      <c r="E2" s="155"/>
      <c r="F2" s="155"/>
      <c r="G2" s="155"/>
      <c r="H2" s="155"/>
      <c r="I2" s="155"/>
      <c r="J2" s="155"/>
      <c r="K2" s="155"/>
      <c r="L2" s="155"/>
      <c r="M2" s="155"/>
    </row>
    <row r="3" spans="1:15" ht="126" x14ac:dyDescent="0.2">
      <c r="A3" s="125" t="s">
        <v>81</v>
      </c>
      <c r="B3" s="128" t="s">
        <v>91</v>
      </c>
      <c r="C3" s="128" t="s">
        <v>92</v>
      </c>
      <c r="D3" s="128" t="s">
        <v>93</v>
      </c>
      <c r="E3" s="128" t="s">
        <v>94</v>
      </c>
      <c r="F3" s="128" t="s">
        <v>61</v>
      </c>
      <c r="G3" s="128" t="s">
        <v>62</v>
      </c>
      <c r="H3" s="128" t="s">
        <v>63</v>
      </c>
      <c r="I3" s="128" t="s">
        <v>7</v>
      </c>
      <c r="J3" s="128" t="s">
        <v>95</v>
      </c>
      <c r="K3" s="128" t="s">
        <v>96</v>
      </c>
      <c r="L3" s="128" t="s">
        <v>97</v>
      </c>
      <c r="M3" s="128" t="s">
        <v>66</v>
      </c>
    </row>
    <row r="4" spans="1:15" ht="15.75" x14ac:dyDescent="0.2">
      <c r="A4" s="156" t="s">
        <v>0</v>
      </c>
      <c r="B4" s="188"/>
      <c r="C4" s="188"/>
      <c r="D4" s="179"/>
      <c r="E4" s="188"/>
      <c r="F4" s="179"/>
      <c r="G4" s="179"/>
      <c r="H4" s="189"/>
      <c r="I4" s="158">
        <f>F4*H4</f>
        <v>0</v>
      </c>
      <c r="J4" s="179"/>
      <c r="K4" s="188"/>
      <c r="L4" s="179"/>
      <c r="M4" s="179"/>
      <c r="N4" s="123" t="s">
        <v>67</v>
      </c>
    </row>
    <row r="5" spans="1:15" ht="15.75" x14ac:dyDescent="0.2">
      <c r="A5" s="132"/>
      <c r="B5" s="188"/>
      <c r="C5" s="188"/>
      <c r="D5" s="179"/>
      <c r="E5" s="188"/>
      <c r="F5" s="179"/>
      <c r="G5" s="179"/>
      <c r="H5" s="189"/>
      <c r="I5" s="158">
        <f t="shared" ref="I5" si="0">F5*H5</f>
        <v>0</v>
      </c>
      <c r="J5" s="179"/>
      <c r="K5" s="188"/>
      <c r="L5" s="179"/>
      <c r="M5" s="179"/>
      <c r="N5" s="123" t="s">
        <v>68</v>
      </c>
    </row>
    <row r="6" spans="1:15" ht="15.75" x14ac:dyDescent="0.2">
      <c r="A6" s="156" t="s">
        <v>106</v>
      </c>
      <c r="B6" s="157"/>
      <c r="C6" s="157"/>
      <c r="D6" s="132"/>
      <c r="E6" s="157"/>
      <c r="F6" s="132"/>
      <c r="G6" s="132"/>
      <c r="H6" s="158"/>
      <c r="I6" s="158">
        <f>SUM(I4:I5)</f>
        <v>0</v>
      </c>
      <c r="J6" s="132"/>
      <c r="K6" s="157"/>
      <c r="L6" s="132"/>
      <c r="M6" s="132"/>
    </row>
    <row r="7" spans="1:15" ht="15.75" x14ac:dyDescent="0.2">
      <c r="A7" s="156" t="s">
        <v>109</v>
      </c>
      <c r="B7" s="188"/>
      <c r="C7" s="188"/>
      <c r="D7" s="179"/>
      <c r="E7" s="188"/>
      <c r="F7" s="179"/>
      <c r="G7" s="179"/>
      <c r="H7" s="190"/>
      <c r="I7" s="158"/>
      <c r="J7" s="179"/>
      <c r="K7" s="188"/>
      <c r="L7" s="179"/>
      <c r="M7" s="179"/>
    </row>
    <row r="8" spans="1:15" ht="15.75" x14ac:dyDescent="0.2">
      <c r="A8" s="156"/>
      <c r="B8" s="188"/>
      <c r="C8" s="188"/>
      <c r="D8" s="179"/>
      <c r="E8" s="188"/>
      <c r="F8" s="179"/>
      <c r="G8" s="179"/>
      <c r="H8" s="190"/>
      <c r="I8" s="158"/>
      <c r="J8" s="179"/>
      <c r="K8" s="188"/>
      <c r="L8" s="179"/>
      <c r="M8" s="179"/>
    </row>
    <row r="9" spans="1:15" ht="31.5" x14ac:dyDescent="0.2">
      <c r="A9" s="156" t="s">
        <v>107</v>
      </c>
      <c r="B9" s="157"/>
      <c r="C9" s="157"/>
      <c r="D9" s="132"/>
      <c r="E9" s="157"/>
      <c r="F9" s="132"/>
      <c r="G9" s="132"/>
      <c r="H9" s="158"/>
      <c r="I9" s="158">
        <f>SUM(I7:I8)</f>
        <v>0</v>
      </c>
      <c r="J9" s="132"/>
      <c r="K9" s="157"/>
      <c r="L9" s="132"/>
      <c r="M9" s="132"/>
    </row>
    <row r="10" spans="1:15" ht="15.75" x14ac:dyDescent="0.2">
      <c r="A10" s="159"/>
      <c r="B10" s="159"/>
      <c r="C10" s="159"/>
      <c r="D10" s="159"/>
      <c r="E10" s="159"/>
      <c r="F10" s="159"/>
      <c r="H10" s="160" t="s">
        <v>69</v>
      </c>
      <c r="I10" s="161">
        <f>I6+I9</f>
        <v>0</v>
      </c>
      <c r="J10" s="159"/>
      <c r="K10" s="159"/>
      <c r="L10" s="159"/>
      <c r="M10" s="159"/>
    </row>
    <row r="12" spans="1:15" ht="183" customHeight="1" x14ac:dyDescent="0.2">
      <c r="A12" s="162" t="s">
        <v>50</v>
      </c>
      <c r="B12" s="206" t="s">
        <v>98</v>
      </c>
      <c r="C12" s="212"/>
      <c r="D12" s="212"/>
      <c r="E12" s="212"/>
      <c r="F12" s="212"/>
      <c r="G12" s="212"/>
      <c r="H12" s="212"/>
      <c r="I12" s="212"/>
      <c r="J12" s="212"/>
      <c r="K12" s="212"/>
      <c r="L12" s="212"/>
      <c r="M12" s="212"/>
    </row>
    <row r="13" spans="1:15" ht="15.75" x14ac:dyDescent="0.2">
      <c r="O13" s="148"/>
    </row>
    <row r="14" spans="1:15" ht="15.75" customHeight="1" x14ac:dyDescent="0.2">
      <c r="A14" s="149" t="s">
        <v>71</v>
      </c>
      <c r="B14" s="211" t="s">
        <v>99</v>
      </c>
      <c r="C14" s="211"/>
      <c r="D14" s="211"/>
      <c r="E14" s="211"/>
      <c r="F14" s="211"/>
      <c r="G14" s="211"/>
      <c r="H14" s="211"/>
      <c r="I14" s="211"/>
      <c r="J14" s="211"/>
      <c r="K14" s="211"/>
      <c r="L14" s="211"/>
      <c r="M14" s="211"/>
      <c r="N14" s="163"/>
      <c r="O14" s="164"/>
    </row>
    <row r="15" spans="1:15" ht="37.5" customHeight="1" x14ac:dyDescent="0.2">
      <c r="B15" s="211"/>
      <c r="C15" s="211"/>
      <c r="D15" s="211"/>
      <c r="E15" s="211"/>
      <c r="F15" s="211"/>
      <c r="G15" s="211"/>
      <c r="H15" s="211"/>
      <c r="I15" s="211"/>
      <c r="J15" s="211"/>
      <c r="K15" s="211"/>
      <c r="L15" s="211"/>
      <c r="M15" s="211"/>
      <c r="N15" s="163"/>
      <c r="O15" s="165"/>
    </row>
    <row r="16" spans="1:15" ht="14.25" customHeight="1" x14ac:dyDescent="0.25">
      <c r="B16" s="146"/>
      <c r="C16" s="146"/>
      <c r="D16" s="146"/>
      <c r="E16" s="146"/>
      <c r="F16" s="146"/>
      <c r="G16" s="146"/>
      <c r="H16" s="146"/>
      <c r="I16" s="146"/>
      <c r="J16" s="146"/>
      <c r="K16" s="146"/>
      <c r="L16" s="146"/>
      <c r="M16" s="163"/>
      <c r="N16" s="163"/>
      <c r="O16" s="164"/>
    </row>
    <row r="17" spans="1:16" ht="15.75" x14ac:dyDescent="0.25">
      <c r="A17" s="149" t="s">
        <v>73</v>
      </c>
      <c r="B17" s="209" t="s">
        <v>74</v>
      </c>
      <c r="C17" s="209"/>
      <c r="D17" s="209"/>
      <c r="E17" s="209"/>
      <c r="F17" s="209"/>
      <c r="G17" s="209"/>
      <c r="H17" s="209"/>
      <c r="I17" s="209"/>
      <c r="J17" s="209"/>
      <c r="K17" s="122"/>
      <c r="L17" s="122"/>
      <c r="M17" s="122"/>
      <c r="N17" s="122"/>
      <c r="O17" s="122"/>
    </row>
    <row r="18" spans="1:16" ht="15.75" x14ac:dyDescent="0.25">
      <c r="A18" s="122"/>
      <c r="B18" s="122"/>
      <c r="C18" s="122"/>
      <c r="D18" s="122"/>
      <c r="E18" s="122"/>
      <c r="F18" s="122"/>
      <c r="G18" s="122"/>
      <c r="H18" s="122"/>
      <c r="I18" s="122"/>
      <c r="J18" s="122"/>
      <c r="K18" s="122"/>
      <c r="L18" s="122"/>
      <c r="M18" s="122"/>
      <c r="N18" s="122"/>
      <c r="O18" s="164"/>
    </row>
    <row r="19" spans="1:16" ht="15.75" x14ac:dyDescent="0.25">
      <c r="A19" s="149" t="s">
        <v>57</v>
      </c>
      <c r="B19" s="209" t="s">
        <v>100</v>
      </c>
      <c r="C19" s="209"/>
      <c r="D19" s="209"/>
      <c r="E19" s="209"/>
      <c r="F19" s="209"/>
      <c r="G19" s="209"/>
      <c r="H19" s="209"/>
      <c r="I19" s="209"/>
      <c r="J19" s="209"/>
      <c r="K19" s="209"/>
      <c r="L19" s="122"/>
      <c r="M19" s="122"/>
      <c r="N19" s="122"/>
      <c r="O19" s="165"/>
    </row>
    <row r="20" spans="1:16" ht="15.75" customHeight="1" x14ac:dyDescent="0.25">
      <c r="A20" s="149"/>
      <c r="B20" s="213" t="s">
        <v>101</v>
      </c>
      <c r="C20" s="213"/>
      <c r="D20" s="213"/>
      <c r="E20" s="213"/>
      <c r="F20" s="213"/>
      <c r="G20" s="213"/>
      <c r="H20" s="213"/>
      <c r="I20" s="213"/>
      <c r="J20" s="213"/>
      <c r="K20" s="213"/>
      <c r="L20" s="213"/>
      <c r="M20" s="213"/>
      <c r="N20" s="122"/>
    </row>
    <row r="21" spans="1:16" ht="24.75" customHeight="1" x14ac:dyDescent="0.25">
      <c r="A21" s="149"/>
      <c r="B21" s="213"/>
      <c r="C21" s="213"/>
      <c r="D21" s="213"/>
      <c r="E21" s="213"/>
      <c r="F21" s="213"/>
      <c r="G21" s="213"/>
      <c r="H21" s="213"/>
      <c r="I21" s="213"/>
      <c r="J21" s="213"/>
      <c r="K21" s="213"/>
      <c r="L21" s="213"/>
      <c r="M21" s="213"/>
      <c r="N21" s="122"/>
    </row>
    <row r="22" spans="1:16" ht="15.75" customHeight="1" x14ac:dyDescent="0.25">
      <c r="A22" s="149"/>
      <c r="B22" s="166"/>
      <c r="C22" s="166"/>
      <c r="D22" s="166"/>
      <c r="E22" s="166"/>
      <c r="F22" s="166"/>
      <c r="G22" s="166"/>
      <c r="H22" s="166"/>
      <c r="I22" s="166"/>
      <c r="J22" s="166"/>
      <c r="K22" s="166"/>
      <c r="L22" s="146"/>
      <c r="M22" s="122"/>
      <c r="N22" s="122"/>
    </row>
    <row r="23" spans="1:16" ht="15.75" x14ac:dyDescent="0.25">
      <c r="A23" s="149"/>
      <c r="B23" s="213" t="s">
        <v>102</v>
      </c>
      <c r="C23" s="213"/>
      <c r="D23" s="213"/>
      <c r="E23" s="213"/>
      <c r="F23" s="213"/>
      <c r="G23" s="213"/>
      <c r="H23" s="213"/>
      <c r="I23" s="213"/>
      <c r="J23" s="213"/>
      <c r="K23" s="213"/>
      <c r="L23" s="213"/>
      <c r="M23" s="213"/>
      <c r="N23" s="122"/>
    </row>
    <row r="24" spans="1:16" ht="15.75" x14ac:dyDescent="0.25">
      <c r="A24" s="149"/>
      <c r="B24" s="213"/>
      <c r="C24" s="213"/>
      <c r="D24" s="213"/>
      <c r="E24" s="213"/>
      <c r="F24" s="213"/>
      <c r="G24" s="213"/>
      <c r="H24" s="213"/>
      <c r="I24" s="213"/>
      <c r="J24" s="213"/>
      <c r="K24" s="213"/>
      <c r="L24" s="213"/>
      <c r="M24" s="213"/>
      <c r="N24" s="122"/>
    </row>
    <row r="25" spans="1:16" ht="8.25" customHeight="1" x14ac:dyDescent="0.25">
      <c r="A25" s="149"/>
      <c r="B25" s="213"/>
      <c r="C25" s="213"/>
      <c r="D25" s="213"/>
      <c r="E25" s="213"/>
      <c r="F25" s="213"/>
      <c r="G25" s="213"/>
      <c r="H25" s="213"/>
      <c r="I25" s="213"/>
      <c r="J25" s="213"/>
      <c r="K25" s="213"/>
      <c r="L25" s="213"/>
      <c r="M25" s="213"/>
      <c r="N25" s="122"/>
    </row>
    <row r="26" spans="1:16" ht="15.75" x14ac:dyDescent="0.25">
      <c r="A26" s="122"/>
      <c r="B26" s="146"/>
      <c r="C26" s="146"/>
      <c r="D26" s="146"/>
      <c r="E26" s="146"/>
      <c r="F26" s="146"/>
      <c r="G26" s="146"/>
      <c r="H26" s="146"/>
      <c r="I26" s="146"/>
      <c r="J26" s="146"/>
      <c r="K26" s="146"/>
      <c r="L26" s="146"/>
      <c r="M26" s="122"/>
      <c r="N26" s="122"/>
    </row>
    <row r="27" spans="1:16" ht="15.75" x14ac:dyDescent="0.25">
      <c r="A27" s="122"/>
      <c r="B27" s="211" t="s">
        <v>103</v>
      </c>
      <c r="C27" s="211"/>
      <c r="D27" s="211"/>
      <c r="E27" s="211"/>
      <c r="F27" s="211"/>
      <c r="G27" s="211"/>
      <c r="H27" s="211"/>
      <c r="I27" s="211"/>
      <c r="J27" s="211"/>
      <c r="K27" s="211"/>
      <c r="L27" s="211"/>
      <c r="M27" s="211"/>
      <c r="N27" s="122"/>
    </row>
    <row r="28" spans="1:16" ht="12.75" customHeight="1" x14ac:dyDescent="0.25">
      <c r="A28" s="122"/>
      <c r="B28" s="211"/>
      <c r="C28" s="211"/>
      <c r="D28" s="211"/>
      <c r="E28" s="211"/>
      <c r="F28" s="211"/>
      <c r="G28" s="211"/>
      <c r="H28" s="211"/>
      <c r="I28" s="211"/>
      <c r="J28" s="211"/>
      <c r="K28" s="211"/>
      <c r="L28" s="211"/>
      <c r="M28" s="211"/>
      <c r="N28" s="122"/>
    </row>
    <row r="29" spans="1:16" ht="15.75" x14ac:dyDescent="0.25">
      <c r="A29" s="122"/>
      <c r="B29" s="146"/>
      <c r="C29" s="146"/>
      <c r="D29" s="146"/>
      <c r="E29" s="146"/>
      <c r="F29" s="146"/>
      <c r="G29" s="146"/>
      <c r="H29" s="146"/>
      <c r="I29" s="146"/>
      <c r="J29" s="146"/>
      <c r="K29" s="122"/>
      <c r="L29" s="122"/>
      <c r="M29" s="122"/>
      <c r="N29" s="122"/>
    </row>
    <row r="30" spans="1:16" ht="32.25" customHeight="1" x14ac:dyDescent="0.25">
      <c r="A30" s="145" t="s">
        <v>104</v>
      </c>
      <c r="B30" s="208" t="s">
        <v>89</v>
      </c>
      <c r="C30" s="208"/>
      <c r="D30" s="208"/>
      <c r="E30" s="208"/>
      <c r="F30" s="208"/>
      <c r="G30" s="208"/>
      <c r="H30" s="208"/>
      <c r="I30" s="208"/>
      <c r="J30" s="208"/>
      <c r="K30" s="208"/>
      <c r="L30" s="208"/>
      <c r="M30" s="208"/>
      <c r="N30" s="122"/>
      <c r="O30" s="122"/>
      <c r="P30" s="122"/>
    </row>
    <row r="31" spans="1:16" ht="15.75" x14ac:dyDescent="0.2">
      <c r="B31" s="148"/>
    </row>
    <row r="32" spans="1:16" ht="15.75" x14ac:dyDescent="0.2">
      <c r="A32" s="167"/>
      <c r="B32" s="148"/>
    </row>
    <row r="33" spans="1:2" ht="15.75" x14ac:dyDescent="0.2">
      <c r="B33" s="148"/>
    </row>
    <row r="34" spans="1:2" ht="15.75" x14ac:dyDescent="0.2">
      <c r="A34" s="167"/>
      <c r="B34" s="148"/>
    </row>
    <row r="35" spans="1:2" ht="15.75" x14ac:dyDescent="0.2">
      <c r="B35" s="148"/>
    </row>
    <row r="36" spans="1:2" ht="15.75" x14ac:dyDescent="0.2">
      <c r="A36" s="167"/>
      <c r="B36" s="148"/>
    </row>
    <row r="37" spans="1:2" ht="15.75" x14ac:dyDescent="0.2">
      <c r="B37" s="148"/>
    </row>
    <row r="38" spans="1:2" ht="15.75" x14ac:dyDescent="0.2">
      <c r="A38" s="168"/>
      <c r="B38" s="148"/>
    </row>
    <row r="39" spans="1:2" ht="15.75" x14ac:dyDescent="0.2">
      <c r="B39" s="148"/>
    </row>
    <row r="40" spans="1:2" x14ac:dyDescent="0.2">
      <c r="A40" s="168"/>
    </row>
    <row r="42" spans="1:2" x14ac:dyDescent="0.2">
      <c r="A42" s="168"/>
    </row>
    <row r="44" spans="1:2" x14ac:dyDescent="0.2">
      <c r="A44" s="168"/>
    </row>
    <row r="46" spans="1:2" x14ac:dyDescent="0.2">
      <c r="A46" s="167"/>
    </row>
    <row r="48" spans="1:2" x14ac:dyDescent="0.2">
      <c r="A48" s="167"/>
    </row>
    <row r="51" spans="1:1" x14ac:dyDescent="0.2">
      <c r="A51" s="167"/>
    </row>
  </sheetData>
  <mergeCells count="8">
    <mergeCell ref="B27:M28"/>
    <mergeCell ref="B30:M30"/>
    <mergeCell ref="B12:M12"/>
    <mergeCell ref="B14:M15"/>
    <mergeCell ref="B17:J17"/>
    <mergeCell ref="B19:K19"/>
    <mergeCell ref="B20:M21"/>
    <mergeCell ref="B23:M25"/>
  </mergeCells>
  <dataValidations count="1">
    <dataValidation type="list" showInputMessage="1" showErrorMessage="1" sqref="L4:L9" xr:uid="{F36323F8-6726-4E70-9A6A-DFB5ED681C76}">
      <formula1>$N$4:$N$5</formula1>
    </dataValidation>
  </dataValidations>
  <pageMargins left="0.75" right="0.75" top="1" bottom="1" header="0.5" footer="0.5"/>
  <pageSetup scale="67"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Price Breakdown</vt:lpstr>
      <vt:lpstr>Travel</vt:lpstr>
      <vt:lpstr>ODC Details</vt:lpstr>
      <vt:lpstr>Materials</vt:lpstr>
      <vt:lpstr>Equipment</vt:lpstr>
    </vt:vector>
  </TitlesOfParts>
  <Company>DARPA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Mack, Jennifer</dc:creator>
  <cp:lastModifiedBy>Colavito, Mary Beth</cp:lastModifiedBy>
  <cp:lastPrinted>2023-11-15T21:50:11Z</cp:lastPrinted>
  <dcterms:created xsi:type="dcterms:W3CDTF">2019-05-10T14:23:49Z</dcterms:created>
  <dcterms:modified xsi:type="dcterms:W3CDTF">2025-05-01T19:14:07Z</dcterms:modified>
</cp:coreProperties>
</file>