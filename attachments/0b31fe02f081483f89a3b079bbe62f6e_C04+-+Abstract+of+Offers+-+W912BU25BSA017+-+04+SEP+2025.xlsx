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sigs" ContentType="application/vnd.openxmlformats-package.digital-signature-origin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_xmlsignatures/sig1.xml" ContentType="application/vnd.openxmlformats-package.digital-signature-xmlsignatur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digital-signature/origin" Target="_xmlsignatures/origin.sigs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ce-my.dps.mil/personal/brandon_r_mormello_usace_army_mil/Documents/Desktop/Brandon's Folder/USACE Contracts/"/>
    </mc:Choice>
  </mc:AlternateContent>
  <xr:revisionPtr revIDLastSave="0" documentId="14_{7A891950-6CFD-4CF0-94A8-ABF42DF38D08}" xr6:coauthVersionLast="47" xr6:coauthVersionMax="47" xr10:uidLastSave="{00000000-0000-0000-0000-000000000000}"/>
  <bookViews>
    <workbookView xWindow="-120" yWindow="-90" windowWidth="29040" windowHeight="15690" xr2:uid="{9F674A72-989A-4972-9F65-159D9E85EBBB}"/>
  </bookViews>
  <sheets>
    <sheet name="Abstract of Offers" sheetId="1" r:id="rId1"/>
    <sheet name="Attendee 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0" i="1" l="1"/>
  <c r="K20" i="1"/>
  <c r="H20" i="1"/>
  <c r="N22" i="1" l="1"/>
  <c r="K22" i="1"/>
</calcChain>
</file>

<file path=xl/sharedStrings.xml><?xml version="1.0" encoding="utf-8"?>
<sst xmlns="http://schemas.openxmlformats.org/spreadsheetml/2006/main" count="57" uniqueCount="45">
  <si>
    <t>ITEM NO.</t>
  </si>
  <si>
    <t>DESCIPTION OF OFFERED ITEM</t>
  </si>
  <si>
    <t>ESTIMATED QUANTITY</t>
  </si>
  <si>
    <t>UNIT</t>
  </si>
  <si>
    <t>UNIT PRICE</t>
  </si>
  <si>
    <t>ESTIMATED AMOUNT</t>
  </si>
  <si>
    <t>ABSTRACT OF OFFERS - CONSTRUCTION</t>
  </si>
  <si>
    <r>
      <rPr>
        <b/>
        <sz val="11"/>
        <color theme="1"/>
        <rFont val="Aptos Narrow"/>
        <family val="2"/>
        <scheme val="minor"/>
      </rPr>
      <t xml:space="preserve">ISSUING OFFICE: </t>
    </r>
    <r>
      <rPr>
        <sz val="11"/>
        <color theme="1"/>
        <rFont val="Aptos Narrow"/>
        <family val="2"/>
        <scheme val="minor"/>
      </rPr>
      <t xml:space="preserve">
US Army Corps of Engineers, Philadelphia, PA
1650 Arch Street
Philadelphia, PA 19107-3390</t>
    </r>
  </si>
  <si>
    <t>IGE</t>
  </si>
  <si>
    <t>OFFEROR NO. 1</t>
  </si>
  <si>
    <t>0001</t>
  </si>
  <si>
    <t>TOTAL ESTIMATED BID AMOUNT</t>
  </si>
  <si>
    <t>PERCENT DIFFERENCE FROM IGE</t>
  </si>
  <si>
    <t>JOB</t>
  </si>
  <si>
    <t>LS</t>
  </si>
  <si>
    <t>OFFEROR NO. 2</t>
  </si>
  <si>
    <t>I CERTIFY that I have opened, read, and recorded on this abstract all offers received in response to this solicitation.</t>
  </si>
  <si>
    <t>SIGNATURE:</t>
  </si>
  <si>
    <t>NAME</t>
  </si>
  <si>
    <t>ORGANIZATION</t>
  </si>
  <si>
    <t>Eric Leach</t>
  </si>
  <si>
    <t>Brandon Mormello</t>
  </si>
  <si>
    <t>USACE</t>
  </si>
  <si>
    <t xml:space="preserve"> Blue Marsh Lake Storage Building Construction</t>
  </si>
  <si>
    <r>
      <t xml:space="preserve">DATE OPENED: </t>
    </r>
    <r>
      <rPr>
        <sz val="11"/>
        <color theme="1"/>
        <rFont val="Aptos Narrow"/>
        <family val="2"/>
        <scheme val="minor"/>
      </rPr>
      <t>04 SEP 2025</t>
    </r>
  </si>
  <si>
    <r>
      <t xml:space="preserve">DATE ISSUED: </t>
    </r>
    <r>
      <rPr>
        <sz val="11"/>
        <color theme="1"/>
        <rFont val="Aptos Narrow"/>
        <family val="2"/>
        <scheme val="minor"/>
      </rPr>
      <t>07 AUG 2025</t>
    </r>
  </si>
  <si>
    <r>
      <t xml:space="preserve">NO. OF AMENDMENTS: </t>
    </r>
    <r>
      <rPr>
        <sz val="11"/>
        <color theme="1"/>
        <rFont val="Aptos Narrow"/>
        <family val="2"/>
        <scheme val="minor"/>
      </rPr>
      <t>0</t>
    </r>
  </si>
  <si>
    <r>
      <t xml:space="preserve">SOLICITATION NO.: </t>
    </r>
    <r>
      <rPr>
        <sz val="11"/>
        <color theme="1"/>
        <rFont val="Aptos Narrow"/>
        <family val="2"/>
        <scheme val="minor"/>
      </rPr>
      <t>W912BU25BA017</t>
    </r>
  </si>
  <si>
    <r>
      <t xml:space="preserve">PROJECT TITLE: </t>
    </r>
    <r>
      <rPr>
        <sz val="11"/>
        <color theme="1"/>
        <rFont val="Aptos Narrow"/>
        <family val="2"/>
        <scheme val="minor"/>
      </rPr>
      <t>Blue Marsh Storage Building Construction</t>
    </r>
  </si>
  <si>
    <t>Josh Dinko</t>
  </si>
  <si>
    <t>Scott Seufert</t>
  </si>
  <si>
    <r>
      <rPr>
        <b/>
        <sz val="11"/>
        <color theme="1"/>
        <rFont val="Aptos Narrow"/>
        <family val="2"/>
        <scheme val="minor"/>
      </rPr>
      <t>AMENDMENT(S) ACKNOWLEDGED:</t>
    </r>
    <r>
      <rPr>
        <sz val="11"/>
        <color theme="1"/>
        <rFont val="Aptos Narrow"/>
        <family val="2"/>
        <scheme val="minor"/>
      </rPr>
      <t xml:space="preserve"> N/A</t>
    </r>
  </si>
  <si>
    <r>
      <t xml:space="preserve">NAME &amp; TITLE OF CERTIFYING OFFICIAL:
</t>
    </r>
    <r>
      <rPr>
        <sz val="11"/>
        <color theme="1"/>
        <rFont val="Aptos Narrow"/>
        <family val="2"/>
        <scheme val="minor"/>
      </rPr>
      <t>Brandon R. Mormello
Contracting Officer</t>
    </r>
  </si>
  <si>
    <t>DDL GROUP LLC</t>
  </si>
  <si>
    <t>Independent Government Estimate</t>
  </si>
  <si>
    <t>TOTAL</t>
  </si>
  <si>
    <t>Ennio Bruno</t>
  </si>
  <si>
    <t xml:space="preserve">1629 K ST NW STE 300 </t>
  </si>
  <si>
    <t>WASHINGTON, DC 20006-1631</t>
  </si>
  <si>
    <t xml:space="preserve">UEI/CAGE: FL1BQM44DLV9 / 7MG22 </t>
  </si>
  <si>
    <t>G Force (Fiber Business Solutions)</t>
  </si>
  <si>
    <t>3019 W GERMANTOWN PIKE</t>
  </si>
  <si>
    <t>NORRISTOWN, PA 19403-1002</t>
  </si>
  <si>
    <t>UEI/CAGE: X699HTJAFFQ9 / 523Z5</t>
  </si>
  <si>
    <t>G Force / Fiber Business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</si>
</sst>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"/>
      <family val="2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0" applyFont="1" applyAlignment="1">
      <alignment horizontal="center" vertical="top" wrapText="1"/>
    </xf>
    <xf numFmtId="0" fontId="0" fillId="0" borderId="0" xfId="0"/>
    <xf numFmtId="0" fontId="2" fillId="0" borderId="0" xfId="0" applyFont="1"/>
    <xf numFmtId="0" fontId="0" fillId="2" borderId="0" xfId="0" applyFill="1"/>
    <xf numFmtId="0" fontId="2" fillId="2" borderId="0" xfId="0" applyFont="1" applyFill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49" fontId="0" fillId="0" borderId="1" xfId="0" applyNumberFormat="1" applyBorder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0" fillId="2" borderId="1" xfId="0" applyFill="1" applyBorder="1"/>
    <xf numFmtId="49" fontId="0" fillId="0" borderId="1" xfId="0" applyNumberForma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1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3" xfId="0" applyBorder="1"/>
    <xf numFmtId="0" fontId="2" fillId="3" borderId="1" xfId="0" applyFont="1" applyFill="1" applyBorder="1" applyAlignment="1">
      <alignment horizontal="center" vertical="top" wrapText="1"/>
    </xf>
    <xf numFmtId="10" fontId="2" fillId="0" borderId="1" xfId="0" applyNumberFormat="1" applyFont="1" applyBorder="1" applyAlignment="1">
      <alignment horizontal="center"/>
    </xf>
    <xf numFmtId="49" fontId="0" fillId="0" borderId="5" xfId="0" applyNumberFormat="1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0" fillId="2" borderId="5" xfId="0" applyFill="1" applyBorder="1"/>
    <xf numFmtId="164" fontId="0" fillId="0" borderId="5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9" fontId="2" fillId="0" borderId="1" xfId="0" applyNumberFormat="1" applyFont="1" applyBorder="1"/>
    <xf numFmtId="0" fontId="2" fillId="0" borderId="1" xfId="0" applyFont="1" applyBorder="1"/>
    <xf numFmtId="0" fontId="2" fillId="2" borderId="1" xfId="0" applyFont="1" applyFill="1" applyBorder="1"/>
    <xf numFmtId="164" fontId="2" fillId="0" borderId="1" xfId="0" applyNumberFormat="1" applyFont="1" applyBorder="1" applyAlignment="1">
      <alignment horizontal="center"/>
    </xf>
    <xf numFmtId="0" fontId="0" fillId="0" borderId="0" xfId="0" applyFill="1"/>
    <xf numFmtId="0" fontId="0" fillId="0" borderId="0" xfId="0" applyAlignment="1">
      <alignment horizontal="center"/>
    </xf>
    <xf numFmtId="164" fontId="0" fillId="0" borderId="1" xfId="0" applyNumberFormat="1" applyFill="1" applyBorder="1" applyAlignment="1">
      <alignment horizontal="center"/>
    </xf>
    <xf numFmtId="164" fontId="0" fillId="0" borderId="5" xfId="0" applyNumberForma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center"/>
    </xf>
    <xf numFmtId="10" fontId="5" fillId="0" borderId="1" xfId="0" applyNumberFormat="1" applyFont="1" applyBorder="1" applyAlignment="1">
      <alignment horizontal="center"/>
    </xf>
    <xf numFmtId="0" fontId="2" fillId="0" borderId="0" xfId="0" applyFont="1" applyFill="1"/>
    <xf numFmtId="0" fontId="2" fillId="0" borderId="1" xfId="0" applyFont="1" applyFill="1" applyBorder="1"/>
    <xf numFmtId="0" fontId="2" fillId="3" borderId="0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4" fillId="0" borderId="2" xfId="0" applyFont="1" applyBorder="1"/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2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2EDAD-E537-49AB-A376-90146E6D7B92}">
  <dimension ref="B1:O22"/>
  <sheetViews>
    <sheetView showGridLines="0" tabSelected="1" workbookViewId="0">
      <selection activeCell="T16" sqref="T16"/>
    </sheetView>
  </sheetViews>
  <sheetFormatPr defaultRowHeight="15" x14ac:dyDescent="0.25"/>
  <cols>
    <col min="1" max="1" width="3.28515625" customWidth="1"/>
    <col min="2" max="2" width="10.85546875" customWidth="1"/>
    <col min="3" max="3" width="44.7109375" customWidth="1"/>
    <col min="4" max="5" width="12.5703125" customWidth="1"/>
    <col min="6" max="6" width="2.7109375" customWidth="1"/>
    <col min="7" max="8" width="17.85546875" customWidth="1"/>
    <col min="9" max="9" width="2.7109375" customWidth="1"/>
    <col min="10" max="11" width="17.85546875" customWidth="1"/>
    <col min="12" max="12" width="2.7109375" customWidth="1"/>
    <col min="13" max="14" width="17.85546875" customWidth="1"/>
    <col min="15" max="15" width="2.7109375" customWidth="1"/>
  </cols>
  <sheetData>
    <row r="1" spans="2:15" s="2" customFormat="1" x14ac:dyDescent="0.25"/>
    <row r="2" spans="2:15" x14ac:dyDescent="0.25">
      <c r="B2" s="41" t="s">
        <v>6</v>
      </c>
      <c r="C2" s="41"/>
    </row>
    <row r="3" spans="2:15" ht="58.15" customHeight="1" x14ac:dyDescent="0.25">
      <c r="B3" s="42" t="s">
        <v>7</v>
      </c>
      <c r="C3" s="43"/>
      <c r="G3" s="47" t="s">
        <v>32</v>
      </c>
      <c r="H3" s="47"/>
      <c r="I3" s="4"/>
      <c r="J3" s="48" t="s">
        <v>16</v>
      </c>
      <c r="K3" s="48"/>
      <c r="L3" s="4"/>
      <c r="M3" s="49" t="s">
        <v>17</v>
      </c>
      <c r="N3" s="49"/>
    </row>
    <row r="4" spans="2:15" ht="40.9" customHeight="1" x14ac:dyDescent="0.25">
      <c r="B4" s="44" t="s">
        <v>28</v>
      </c>
      <c r="C4" s="45"/>
    </row>
    <row r="5" spans="2:15" x14ac:dyDescent="0.25">
      <c r="B5" s="37" t="s">
        <v>27</v>
      </c>
      <c r="C5" s="37"/>
    </row>
    <row r="6" spans="2:15" x14ac:dyDescent="0.25">
      <c r="B6" s="46" t="s">
        <v>25</v>
      </c>
      <c r="C6" s="46"/>
    </row>
    <row r="7" spans="2:15" x14ac:dyDescent="0.25">
      <c r="B7" s="37" t="s">
        <v>24</v>
      </c>
      <c r="C7" s="37"/>
    </row>
    <row r="8" spans="2:15" x14ac:dyDescent="0.25">
      <c r="B8" s="37" t="s">
        <v>26</v>
      </c>
      <c r="C8" s="37"/>
    </row>
    <row r="9" spans="2:15" x14ac:dyDescent="0.25">
      <c r="G9" s="17"/>
      <c r="H9" s="17"/>
    </row>
    <row r="10" spans="2:15" x14ac:dyDescent="0.25">
      <c r="F10" s="4"/>
      <c r="G10" s="38" t="s">
        <v>8</v>
      </c>
      <c r="H10" s="38"/>
      <c r="I10" s="4"/>
      <c r="J10" s="39" t="s">
        <v>9</v>
      </c>
      <c r="K10" s="39"/>
      <c r="L10" s="4"/>
      <c r="M10" s="39" t="s">
        <v>15</v>
      </c>
      <c r="N10" s="39"/>
      <c r="O10" s="4"/>
    </row>
    <row r="11" spans="2:15" x14ac:dyDescent="0.25">
      <c r="F11" s="4"/>
      <c r="G11" s="40" t="s">
        <v>34</v>
      </c>
      <c r="H11" s="40"/>
      <c r="I11" s="4"/>
      <c r="J11" s="36" t="s">
        <v>33</v>
      </c>
      <c r="K11" s="36"/>
      <c r="L11" s="4"/>
      <c r="M11" s="36" t="s">
        <v>40</v>
      </c>
      <c r="N11" s="36"/>
      <c r="O11" s="4"/>
    </row>
    <row r="12" spans="2:15" x14ac:dyDescent="0.25">
      <c r="F12" s="4"/>
      <c r="I12" s="4"/>
      <c r="J12" s="36" t="s">
        <v>37</v>
      </c>
      <c r="K12" s="36"/>
      <c r="L12" s="4"/>
      <c r="M12" s="36" t="s">
        <v>41</v>
      </c>
      <c r="N12" s="36"/>
      <c r="O12" s="4"/>
    </row>
    <row r="13" spans="2:15" x14ac:dyDescent="0.25">
      <c r="F13" s="4"/>
      <c r="I13" s="4"/>
      <c r="J13" s="36" t="s">
        <v>38</v>
      </c>
      <c r="K13" s="36"/>
      <c r="L13" s="4"/>
      <c r="M13" s="36" t="s">
        <v>42</v>
      </c>
      <c r="N13" s="36"/>
      <c r="O13" s="4"/>
    </row>
    <row r="14" spans="2:15" x14ac:dyDescent="0.25">
      <c r="F14" s="4"/>
      <c r="I14" s="4"/>
      <c r="J14" s="36" t="s">
        <v>39</v>
      </c>
      <c r="K14" s="36"/>
      <c r="L14" s="4"/>
      <c r="M14" s="36" t="s">
        <v>43</v>
      </c>
      <c r="N14" s="36"/>
      <c r="O14" s="4"/>
    </row>
    <row r="15" spans="2:15" x14ac:dyDescent="0.25">
      <c r="F15" s="4"/>
      <c r="I15" s="4"/>
      <c r="J15" s="30" t="s">
        <v>31</v>
      </c>
      <c r="K15" s="30"/>
      <c r="L15" s="4"/>
      <c r="M15" s="30" t="s">
        <v>31</v>
      </c>
      <c r="N15" s="30"/>
      <c r="O15" s="4"/>
    </row>
    <row r="16" spans="2:15" x14ac:dyDescent="0.25">
      <c r="F16" s="4"/>
      <c r="I16" s="4"/>
      <c r="J16" s="30"/>
      <c r="K16" s="30"/>
      <c r="L16" s="4"/>
      <c r="O16" s="4"/>
    </row>
    <row r="17" spans="2:15" s="1" customFormat="1" ht="28.9" customHeight="1" x14ac:dyDescent="0.25">
      <c r="B17" s="18" t="s">
        <v>0</v>
      </c>
      <c r="C17" s="18" t="s">
        <v>1</v>
      </c>
      <c r="D17" s="18" t="s">
        <v>2</v>
      </c>
      <c r="E17" s="18" t="s">
        <v>3</v>
      </c>
      <c r="F17" s="6"/>
      <c r="G17" s="18" t="s">
        <v>4</v>
      </c>
      <c r="H17" s="18" t="s">
        <v>5</v>
      </c>
      <c r="I17" s="6"/>
      <c r="J17" s="18" t="s">
        <v>4</v>
      </c>
      <c r="K17" s="18" t="s">
        <v>5</v>
      </c>
      <c r="L17" s="6"/>
      <c r="M17" s="18" t="s">
        <v>4</v>
      </c>
      <c r="N17" s="18" t="s">
        <v>5</v>
      </c>
      <c r="O17" s="5"/>
    </row>
    <row r="18" spans="2:15" x14ac:dyDescent="0.25">
      <c r="B18" s="7" t="s">
        <v>10</v>
      </c>
      <c r="C18" s="8" t="s">
        <v>23</v>
      </c>
      <c r="D18" s="14">
        <v>1</v>
      </c>
      <c r="E18" s="13" t="s">
        <v>13</v>
      </c>
      <c r="F18" s="16"/>
      <c r="G18" s="13" t="s">
        <v>14</v>
      </c>
      <c r="H18" s="15">
        <v>248914.8</v>
      </c>
      <c r="I18" s="10"/>
      <c r="J18" s="13" t="s">
        <v>14</v>
      </c>
      <c r="K18" s="32">
        <v>215074</v>
      </c>
      <c r="L18" s="10"/>
      <c r="M18" s="13" t="s">
        <v>14</v>
      </c>
      <c r="N18" s="32">
        <v>497000</v>
      </c>
      <c r="O18" s="4"/>
    </row>
    <row r="19" spans="2:15" x14ac:dyDescent="0.25">
      <c r="B19" s="20"/>
      <c r="C19" s="21"/>
      <c r="D19" s="22"/>
      <c r="E19" s="21"/>
      <c r="F19" s="23"/>
      <c r="G19" s="21"/>
      <c r="H19" s="24"/>
      <c r="I19" s="23"/>
      <c r="J19" s="22"/>
      <c r="K19" s="33"/>
      <c r="L19" s="23"/>
      <c r="M19" s="22"/>
      <c r="N19" s="33"/>
      <c r="O19" s="4"/>
    </row>
    <row r="20" spans="2:15" s="3" customFormat="1" x14ac:dyDescent="0.25">
      <c r="B20" s="26"/>
      <c r="C20" s="12" t="s">
        <v>11</v>
      </c>
      <c r="D20" s="12"/>
      <c r="E20" s="27"/>
      <c r="F20" s="28"/>
      <c r="G20" s="27" t="s">
        <v>35</v>
      </c>
      <c r="H20" s="29">
        <f>SUM(H18:H18)</f>
        <v>248914.8</v>
      </c>
      <c r="I20" s="28"/>
      <c r="J20" s="27" t="s">
        <v>35</v>
      </c>
      <c r="K20" s="34">
        <f>SUM(K18:K19)</f>
        <v>215074</v>
      </c>
      <c r="L20" s="28"/>
      <c r="M20" s="27" t="s">
        <v>35</v>
      </c>
      <c r="N20" s="34">
        <f>SUM(N18:N19)</f>
        <v>497000</v>
      </c>
      <c r="O20" s="28"/>
    </row>
    <row r="21" spans="2:15" x14ac:dyDescent="0.25">
      <c r="B21" s="11"/>
      <c r="C21" s="9"/>
      <c r="D21" s="9"/>
      <c r="E21" s="9"/>
      <c r="F21" s="10"/>
      <c r="G21" s="9"/>
      <c r="H21" s="9"/>
      <c r="I21" s="10"/>
      <c r="J21" s="9"/>
      <c r="K21" s="9"/>
      <c r="L21" s="10"/>
      <c r="M21" s="9"/>
      <c r="N21" s="9"/>
      <c r="O21" s="10"/>
    </row>
    <row r="22" spans="2:15" x14ac:dyDescent="0.25">
      <c r="B22" s="9"/>
      <c r="C22" s="12" t="s">
        <v>12</v>
      </c>
      <c r="D22" s="9"/>
      <c r="E22" s="9"/>
      <c r="F22" s="10"/>
      <c r="G22" s="9"/>
      <c r="H22" s="9"/>
      <c r="I22" s="10"/>
      <c r="J22" s="9"/>
      <c r="K22" s="35">
        <f>(K20-H20)/H20</f>
        <v>-0.1359533462855563</v>
      </c>
      <c r="L22" s="10"/>
      <c r="M22" s="9"/>
      <c r="N22" s="19">
        <f>(N20-H20)/H20</f>
        <v>0.99666713268957907</v>
      </c>
      <c r="O22" s="10"/>
    </row>
  </sheetData>
  <mergeCells count="22">
    <mergeCell ref="G3:H3"/>
    <mergeCell ref="J3:K3"/>
    <mergeCell ref="M3:N3"/>
    <mergeCell ref="J13:K13"/>
    <mergeCell ref="J12:K12"/>
    <mergeCell ref="M11:N11"/>
    <mergeCell ref="M12:N12"/>
    <mergeCell ref="M13:N13"/>
    <mergeCell ref="B2:C2"/>
    <mergeCell ref="B3:C3"/>
    <mergeCell ref="B4:C4"/>
    <mergeCell ref="B5:C5"/>
    <mergeCell ref="B6:C6"/>
    <mergeCell ref="J14:K14"/>
    <mergeCell ref="M14:N14"/>
    <mergeCell ref="B7:C7"/>
    <mergeCell ref="B8:C8"/>
    <mergeCell ref="G10:H10"/>
    <mergeCell ref="J10:K10"/>
    <mergeCell ref="J11:K11"/>
    <mergeCell ref="G11:H11"/>
    <mergeCell ref="M10:N10"/>
  </mergeCells>
  <pageMargins left="0.7" right="0.7" top="0.75" bottom="0.75" header="0.3" footer="0.3"/>
  <ignoredErrors>
    <ignoredError sqref="B18" numberStoredAsText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8ACD8-486A-464D-B364-F4CAE9C8CB06}">
  <dimension ref="B2:D9"/>
  <sheetViews>
    <sheetView showGridLines="0" workbookViewId="0">
      <selection activeCell="C19" sqref="C19"/>
    </sheetView>
  </sheetViews>
  <sheetFormatPr defaultRowHeight="15" x14ac:dyDescent="0.25"/>
  <cols>
    <col min="1" max="1" width="4.28515625" customWidth="1"/>
    <col min="2" max="2" width="35.5703125" customWidth="1"/>
    <col min="3" max="3" width="43.28515625" customWidth="1"/>
    <col min="4" max="4" width="16.5703125" style="31" customWidth="1"/>
    <col min="5" max="5" width="11.7109375" bestFit="1" customWidth="1"/>
    <col min="7" max="7" width="19.28515625" customWidth="1"/>
  </cols>
  <sheetData>
    <row r="2" spans="2:3" x14ac:dyDescent="0.25">
      <c r="B2" s="25" t="s">
        <v>18</v>
      </c>
      <c r="C2" s="25" t="s">
        <v>19</v>
      </c>
    </row>
    <row r="3" spans="2:3" x14ac:dyDescent="0.25">
      <c r="B3" s="9" t="s">
        <v>20</v>
      </c>
      <c r="C3" s="9" t="s">
        <v>22</v>
      </c>
    </row>
    <row r="4" spans="2:3" x14ac:dyDescent="0.25">
      <c r="B4" s="9" t="s">
        <v>21</v>
      </c>
      <c r="C4" s="9" t="s">
        <v>22</v>
      </c>
    </row>
    <row r="5" spans="2:3" x14ac:dyDescent="0.25">
      <c r="B5" s="9" t="s">
        <v>29</v>
      </c>
      <c r="C5" s="9" t="s">
        <v>22</v>
      </c>
    </row>
    <row r="6" spans="2:3" x14ac:dyDescent="0.25">
      <c r="B6" s="9" t="s">
        <v>30</v>
      </c>
      <c r="C6" s="9" t="s">
        <v>22</v>
      </c>
    </row>
    <row r="7" spans="2:3" x14ac:dyDescent="0.25">
      <c r="B7" s="9" t="s">
        <v>36</v>
      </c>
      <c r="C7" s="9" t="s">
        <v>44</v>
      </c>
    </row>
    <row r="8" spans="2:3" x14ac:dyDescent="0.25">
      <c r="B8" s="9"/>
      <c r="C8" s="9"/>
    </row>
    <row r="9" spans="2:3" x14ac:dyDescent="0.25">
      <c r="B9" s="9"/>
      <c r="C9" s="9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zjBROl+r/458iU4R0p8mpS8ezCyV8911lwHQhzFGl+U=</DigestValue>
    </Reference>
    <Reference Type="http://www.w3.org/2000/09/xmldsig#Object" URI="#idOfficeObject">
      <DigestMethod Algorithm="http://www.w3.org/2001/04/xmlenc#sha256"/>
      <DigestValue>4TB6uEhHXm7tG0+zgE9G3ZY3Hc/+gNBRE5pbcGa0P7E=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fDlIk7hYlLjfi1JrGAsj/fpi59231i9B0NLBXf80b0A=</DigestValue>
    </Reference>
    <Reference Type="http://www.w3.org/2000/09/xmldsig#Object" URI="#idValidSigLnImg">
      <DigestMethod Algorithm="http://www.w3.org/2001/04/xmlenc#sha256"/>
      <DigestValue>Jd6LLSTRzQZVRq+L6vWZbFD9S4KXXbri+shy/QtcRmY=</DigestValue>
    </Reference>
    <Reference Type="http://www.w3.org/2000/09/xmldsig#Object" URI="#idInvalidSigLnImg">
      <DigestMethod Algorithm="http://www.w3.org/2001/04/xmlenc#sha256"/>
      <DigestValue>nv/r/yhgJFlyVGKuau/qBsxWbVoGlZstTzlayFp0LN0=</DigestValue>
    </Reference>
  </SignedInfo>
  <SignatureValue>kQUhOMBmwO/ik3yMsQUPDSxZNCVFRlYyzdBI5OD8QHizMVcvrz2wgvy3Zc47NWAPqNmiI/+nSch5
VU1eJiRK8m7Ww4Og0f5N3Lwaosf5zb83yprrP+qVHjJjUMH86pk9U+Uyks5ma5UFH86MJScFA2pd
UkvhKBlAfUJ91HzbWqS+GgqDj5xpiSIzGIpBwXAq8iiTRC9kewbC5QMOp939ymGpJwmvBzmXMkKf
XwS70IXUZp6ihlWfYicq/6709kn14nmXtaFVZGTI4r3n4z9EdE/QD0CFWAwfFwcI2RdeE7S+1P6E
K05kF2OAu14TQy/AKf1A8L7fUviNAL+/xM5xFQ==</SignatureValue>
  <KeyInfo>
    <X509Data>
      <X509Certificate>MIIE0zCCA7ugAwIBAgIDEAiqMA0GCSqGSIb3DQEBCwUAMF0xCzAJBgNVBAYTAlVTMRgwFgYDVQQKEw9VLlMuIEdvdmVybm1lbnQxDDAKBgNVBAsTA0RvRDEMMAoGA1UECxMDUEtJMRgwFgYDVQQDEw9ET0QgRU1BSUwgQ0EtNzEwHhcNMjQxMjMwMDAwMDAwWhcNMjcxMjE1MjM1OTU5WjB5MQswCQYDVQQGEwJVUzEYMBYGA1UEChMPVS5TLiBHb3Zlcm5tZW50MQwwCgYDVQQLEwNEb0QxDDAKBgNVBAsTA1BLSTEMMAoGA1UECxMDVVNBMSYwJAYDVQQDEx1NT1JNRUxMTy5CUkFORE9OLlIuMTUyMzcxODU2NDCCASIwDQYJKoZIhvcNAQEBBQADggEPADCCAQoCggEBAMF2mbKSDolDTPmN71Odi0kyBNQb/E9AE+VSPpeLuP/nkOYfpk/Tj5uGVgvASpvcHqUpnkm88IJjm96vuQiVsj9yd+NZKzqjUr1Obq9mj2vnPZ7+fLEYUxViQBee6PahTZIvSVnuC2hPjUpu1P7HLb+56X1kiXktJ8Fv/5zD7zCEZezQ0yGiHbfDaQZ1iVoH8+SOnEkfkpvHfYgu9NhLvjYpJtL+rrvetBIJvAkeTCkFXtem7Gx5omxIGBdECAIBdG8ky9/CBBifx+bxVzWwIoHfFJ/eI+DrNS5qBAFY7Kn8N0GOis3Qg1rs+q+0+3yuExhIxcvSQ6Dt6iehL7UFO1MCAwEAAaOCAX4wggF6MB8GA1UdIwQYMBaAFO0YbBzyMIYvgy1RXi6PRGvrjmxgMDoGA1UdHwQzMDEwL6AtoCuGKWh0dHA6Ly9jcmwuZGlzYS5taWwvY3JsL0RPREVNQUlMQ0FfNzEuY3JsMA4GA1UdDwEB/wQEAwIGwDAWBgNVHSAEDzANMAsGCWCGSAFlAgELKjAdBgNVHQ4EFgQUY3RyEIeuREkayXV6rdZGouBBVmcwaAYIKwYBBQUHAQEEXDBaMDYGCCsGAQUFBzAChipodHRwOi8vY3JsLmRpc2EubWlsL3NpZ24vRE9ERU1BSUxDQV83MS5jZXIwIAYIKwYBBQUHMAGGFGh0dHA6Ly9vY3NwLmRpc2EubWlsMCwGA1UdEQQlMCOBIWJyYW5kb24uci5tb3JtZWxsb0B1c2FjZS5hcm15Lm1pbDAbBgNVHQkEFDASMBAGCCsGAQUFBwkEMQQTAlVTMB8GA1UdJQQYMBYGCCsGAQUFBwMEBgorBgEEAYI3CgMMMA0GCSqGSIb3DQEBCwUAA4IBAQDi+zbp5GR1X5HrUmP8RrKbHAPZsGYfiqSdFPMqUNmKixpARgfvgX1ZhrUarMQ+ACvFj44GzPjxwNa7dNDKMYdMu60MMNg+KrUdOIdH3GDMiv9BoIEAUtECaBQXoYejsDRiKwtfNouJBqe603bZGpA0Ytj8IgzXW/CuLa1kDlwr/kOpLbJIM7h/oIWa9VxPg5J0VwEIYJ0IxeJMCoGMU2BWR8Nnf7dixGtPoNbYuiGZbyAbzvfjZnlO4mVvMMmow4yo7Vf64k3P1v1G7q4qOGBXAVorZPCv9G91QGc3tNb95+qwTgOC8X/maoSKoDI2Gyyvi/ULSVnn9u2+cgce6VMn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vvsM58qzs+Qvvj9KGvAvpuE6byaWYl4UthLplyBKcQQ=</DigestValue>
      </Reference>
      <Reference URI="/xl/calcChain.xml?ContentType=application/vnd.openxmlformats-officedocument.spreadsheetml.calcChain+xml">
        <DigestMethod Algorithm="http://www.w3.org/2001/04/xmlenc#sha256"/>
        <DigestValue>Kqu4qdMA9yRVvOpAflROLmmLG+qVVInfGNhHfkzzDLY=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vmlDrawing1.vml?ContentType=application/vnd.openxmlformats-officedocument.vmlDrawing">
        <DigestMethod Algorithm="http://www.w3.org/2001/04/xmlenc#sha256"/>
        <DigestValue>IthiVbamwPsoPGc5fip/rbgvh/3oRIWkFuNtG9PaDVE=</DigestValue>
      </Reference>
      <Reference URI="/xl/media/image1.emf?ContentType=image/x-emf">
        <DigestMethod Algorithm="http://www.w3.org/2001/04/xmlenc#sha256"/>
        <DigestValue>iJS8bvBiZf/rpoMm+F3XYFVnYeZfFJTrLP2pf+vsfMo=</DigestValue>
      </Reference>
      <Reference URI="/xl/sharedStrings.xml?ContentType=application/vnd.openxmlformats-officedocument.spreadsheetml.sharedStrings+xml">
        <DigestMethod Algorithm="http://www.w3.org/2001/04/xmlenc#sha256"/>
        <DigestValue>YUnXgWVOzpo2uAjYqp75VI9ygRxlf0EmCUJgOWVJIwQ=</DigestValue>
      </Reference>
      <Reference URI="/xl/styles.xml?ContentType=application/vnd.openxmlformats-officedocument.spreadsheetml.styles+xml">
        <DigestMethod Algorithm="http://www.w3.org/2001/04/xmlenc#sha256"/>
        <DigestValue>bizA0NL0fDLPpNTn9Oz3rv+vStvFNEs66Fr9bgffexg=</DigestValue>
      </Reference>
      <Reference URI="/xl/theme/theme1.xml?ContentType=application/vnd.openxmlformats-officedocument.theme+xml">
        <DigestMethod Algorithm="http://www.w3.org/2001/04/xmlenc#sha256"/>
        <DigestValue>DI9I77qp+UcP0SrqVri3+ZLUM0PISAi0ag0XOMpGx6s=</DigestValue>
      </Reference>
      <Reference URI="/xl/workbook.xml?ContentType=application/vnd.openxmlformats-officedocument.spreadsheetml.sheet.main+xml">
        <DigestMethod Algorithm="http://www.w3.org/2001/04/xmlenc#sha256"/>
        <DigestValue>k/qbzRuTyVUaOm8fPEA8BKYhe+X53xW4BFxHhgjfBlE=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bka0CIrXp6Wltt1ACQhaqKRF7rKSNvIVUVyWJY8Ac5I=</DigestValue>
      </Reference>
      <Reference URI="/xl/worksheets/sheet1.xml?ContentType=application/vnd.openxmlformats-officedocument.spreadsheetml.worksheet+xml">
        <DigestMethod Algorithm="http://www.w3.org/2001/04/xmlenc#sha256"/>
        <DigestValue>suFQj/nTGWCyxfrMGeC0mntPsMc+B8KBYDV0BbO5/Po=</DigestValue>
      </Reference>
      <Reference URI="/xl/worksheets/sheet2.xml?ContentType=application/vnd.openxmlformats-officedocument.spreadsheetml.worksheet+xml">
        <DigestMethod Algorithm="http://www.w3.org/2001/04/xmlenc#sha256"/>
        <DigestValue>QCMLEECqEID6EnIIPotw5Tuvv/+Mp5RlKWOQnf1CogI=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2025-09-08T15:30:11Z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{4C78C5F2-F62C-441B-801B-24A76288AC43}</SetupID>
          <SignatureText>Brandon Mormello</SignatureText>
          <SignatureImage/>
          <SignatureComments/>
          <WindowsVersion>10.0</WindowsVersion>
          <OfficeVersion>16.0.18526/26</OfficeVersion>
          <ApplicationVersion>16.0.18526</ApplicationVersion>
          <Monitors>3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2025-09-08T15:30:11Z</xd:SigningTime>
          <xd:SigningCertificate>
            <xd:Cert>
              <xd:CertDigest>
                <DigestMethod Algorithm="http://www.w3.org/2001/04/xmlenc#sha256"/>
                <DigestValue>XMN5R5WZ7BFqPYICvDtv8ciiwY6sSQZ8KD+gtOIOsR4=</DigestValue>
              </xd:CertDigest>
              <xd:IssuerSerial>
                <X509IssuerName>CN=DOD EMAIL CA-71, OU=PKI, OU=DoD, O=U.S. Government, C=US</X509IssuerName>
                <X509SerialNumber>1050794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EvDCCA6SgAwIBAgICBwswDQYJKoZIhvcNAQELBQAwWzELMAkGA1UEBhMCVVMxGDAWBgNVBAoTD1UuUy4gR292ZXJubWVudDEMMAoGA1UECxMDRG9EMQwwCgYDVQQLEwNQS0kxFjAUBgNVBAMTDURvRCBSb290IENBIDMwHhcNMjIxMjA2MTcxMDI0WhcNMjgxMjA2MTcxMDI0WjBdMQswCQYDVQQGEwJVUzEYMBYGA1UEChMPVS5TLiBHb3Zlcm5tZW50MQwwCgYDVQQLEwNEb0QxDDAKBgNVBAsTA1BLSTEYMBYGA1UEAxMPRE9EIEVNQUlMIENBLTcxMIIBIjANBgkqhkiG9w0BAQEFAAOCAQ8AMIIBCgKCAQEA5AgAt4r/7tmU05ddW38CewltE9MXnytDMeyaVrIz4kV7i36oxAPKw2v7JkljBx8XlXcMFwgLh/8S/chNteIT6OMPFzahGMdhhr+ykafEHkiuGYJAccSOKV+LbvjFp6bozmRLibxdyZ/LpPM6VF/TJQ/isB1QhjKap7op0Dpmd49pZnrXLLxmCNL/NiWJcC/V9ArqXWXx0y3bEmrzN9twLa4UNa5ZlUZYdHBOI2n0M4SmRml1VAOTB6mcnwZ51PzOY4u4/c2hOxrheQK3G5Wc6RD3aECvgL8pDi8wQJMOHu78IkkZRtGj8jQX2gFQKdDVIFiTld9YCx3UVeSfEJDNRQIDAQABo4IBhjCCAYIwHwYDVR0jBBgwFoAUbIqUonexgHIdgXoWqvLczmbuRcAwHQYDVR0OBBYEFO0YbBzyMIYvgy1RXi6PRGvrjmxgMA4GA1UdDwEB/wQEAwIBhjBnBgNVHSAEYDBeMAsGCWCGSAFlAgELJDALBglghkgBZQIBCycwCwYJYIZIAWUCAQsqMAsGCWCGSAFlAgELOzAMBgpghkgBZQMCAQMNMAwGCmCGSAFlAwIBAxEwDAYKYIZIAWUDAgEDJzASBgNVHRMBAf8ECDAGAQH/AgEAMAwGA1UdJAQFMAOAAQAwNwYDVR0fBDAwLjAsoCqgKIYmaHR0cDovL2NybC5kaXNhLm1pbC9jcmwvRE9EUk9PVENBMy5jcmwwbAYIKwYBBQUHAQEEYDBeMDoGCCsGAQUFBzAChi5odHRwOi8vY3JsLmRpc2EubWlsL2lzc3VlZHRvL0RPRFJPT1RDQTNfSVQucDdjMCAGCCsGAQUFBzABhhRodHRwOi8vb2NzcC5kaXNhLm1pbDANBgkqhkiG9w0BAQsFAAOCAQEALgWV8BY2chSp8ySycAnxdh/tK4X+IH//kmMKR7eyxhHH8xG+2l8d4ki3X3WTU3m8duLOJN5ahfNf25lYuoKepwXZ/I5R9uzk6WwgCwIFhsjv75QfeeSuvI344OnwsdpVUCrB/Be0H3MxA8r2pKlZDltEvroqGU6RpYLmk23HJwKc5l9vW5qD+mXiqmHQGQZGX/rROCcCCc+bk/RmWiPqw3LeBX8Hh5bCqNlyMCykaGOWPldfbzVF7OAlDKdYhMMm/Nkz/QCJGtkR098DWHjqdENBTPebQ6eCLfbeKpepTwDL8Ixgdlo04AIVfE5G5xzvXNygUd15QW+qoB+oikZoKA==</xd:EncapsulatedX509Certificate>
            <xd:EncapsulatedX509Certificate>MIIDczCCAlugAwIBAgIBATANBgkqhkiG9w0BAQsFADBbMQswCQYDVQQGEwJVUzEYMBYGA1UEChMPVS5TLiBHb3Zlcm5tZW50MQwwCgYDVQQLEwNEb0QxDDAKBgNVBAsTA1BLSTEWMBQGA1UEAxMNRG9EIFJvb3QgQ0EgMzAeFw0xMjAzMjAxODQ2NDFaFw0yOTEyMzAxODQ2NDFaMFsxCzAJBgNVBAYTAlVTMRgwFgYDVQQKEw9VLlMuIEdvdmVybm1lbnQxDDAKBgNVBAsTA0RvRDEMMAoGA1UECxMDUEtJMRYwFAYDVQQDEw1Eb0QgUm9vdCBDQSAzMIIBIjANBgkqhkiG9w0BAQEFAAOCAQ8AMIIBCgKCAQEAqewUcoroS3Cj2hADhKb7pzYNKjpSFr8wFVKGBUcgz6qmzXXEZG7v8WAjywpmQK60yGgqAFFoSTfpWTJNlbxDJ+lAjToQzhS8Qxih+d7M54V2c14YGiNbvT8f8u2NGcwD0UCkj6cgAkwnWnk29qM3IY4AWgYWytNVlm8xKbtyDsviSFHy1DekNdZv7hezsQarCxmG6CNtMRsoeGXF3mJSvMF96+6gXVQE+7LLK7IjVJGCTPC/unRAOwwERYBnXMXrolfDGn8KLb1/udzBmbDIB+QMhjaUOiUv8n3mlzwblLSXWQbJOuQL2erp/DtzNG/955jk86HCkF8c9T8u1xnTfwIDAQABo0IwQDAdBgNVHQ4EFgQUbIqUonexgHIdgXoWqvLczmbuRcAwDgYDVR0PAQH/BAQDAgGGMA8GA1UdEwEB/wQFMAMBAf8wDQYJKoZIhvcNAQELBQADggEBAJ9xpMC2ltKAQ6BI6R92BPnFPK1mGFhjm8O26GiKhVpCZhK00uaLiH+H9Jj1qMYJyR/wLB/sgrj0pUc4wTMr30x+mr4LC7HLD3xQKBDPio2i6bqshtfUsZNfIo+WBbRODHWRfdPy55TClBR2T48MqxCHWDKFB3WGEgte6lO0CshMhJIf6+hBhjy69E5BStFsWEdBw4Za8u7p8pgnguouNtb4Bl6C8aBSk0QJutKpGVpYo6hdIG1PZPgwhxuQE0iBzcqQxw3B1Jg/jvIOV2gzEo6ZCbHw5PYQ9DbySb3qozjIVkEjg5rfoRs1fOs/QbP1b0s6Xq5vk3aY0vGZnUXEjnI=</xd:EncapsulatedX509Certificate>
          </xd:CertificateValues>
        </xd:UnsignedSignatureProperties>
      </xd:UnsignedProperties>
    </xd:QualifyingProperties>
  </Object>
  <Object Id="idValidSigLnImg">AQAAAGwAAAAAAAAAAAAAAAoBAAB/AAAAAAAAAAAAAAB8IAAAjw8AACBFTUYAAAEA8BsAAKoAAAAGAAAAAAAAAAAAAAAAAAAAgAcAADgEAABWAgAAUAEAAAAAAAAAAAAAAAAAAPAfCQCAIAUACgAAABAAAAAAAAAAAAAAAEsAAAAQAAAAAAAAAAUAAAAeAAAAGAAAAAAAAAAAAAAACwEAAIAAAAAnAAAAGAAAAAEAAAAAAAAAAAAAAAAAAAAlAAAADAAAAAEAAABMAAAAZAAAAAAAAAAAAAAACgEAAH8AAAAAAAAAAAAAAAs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AKAQAAfwAAAAAAAAAAAAAACwEAAIAAAAAhAPAAAAAAAAAAAAAAAIA/AAAAAAAAAAAAAIA/AAAAAAAAAAAAAAAAAAAAAAAAAAAAAAAAAAAAAAAAAAAlAAAADAAAAAAAAIAoAAAADAAAAAEAAAAnAAAAGAAAAAEAAAAAAAAA8PDwAAAAAAAlAAAADAAAAAEAAABMAAAAZAAAAAAAAAAAAAAACgEAAH8AAAAAAAAAAAAAAAsBAACAAAAAIQDwAAAAAAAAAAAAAACAPwAAAAAAAAAAAACAPwAAAAAAAAAAAAAAAAAAAAAAAAAAAAAAAAAAAAAAAAAAJQAAAAwAAAAAAACAKAAAAAwAAAABAAAAJwAAABgAAAABAAAAAAAAAPDw8AAAAAAAJQAAAAwAAAABAAAATAAAAGQAAAAAAAAAAAAAAAoBAAB/AAAAAAAAAAAAAAALAQAAgAAAACEA8AAAAAAAAAAAAAAAgD8AAAAAAAAAAAAAgD8AAAAAAAAAAAAAAAAAAAAAAAAAAAAAAAAAAAAAAAAAACUAAAAMAAAAAAAAgCgAAAAMAAAAAQAAACcAAAAYAAAAAQAAAAAAAADw8PAAAAAAACUAAAAMAAAAAQAAAEwAAABkAAAAAAAAAAAAAAAKAQAAfwAAAAAAAAAAAAAACwEAAIAAAAAhAPAAAAAAAAAAAAAAAIA/AAAAAAAAAAAAAIA/AAAAAAAAAAAAAAAAAAAAAAAAAAAAAAAAAAAAAAAAAAAlAAAADAAAAAAAAIAoAAAADAAAAAEAAAAnAAAAGAAAAAEAAAAAAAAA////AAAAAAAlAAAADAAAAAEAAABMAAAAZAAAAAAAAAAAAAAACgEAAH8AAAAAAAAAAAAAAAsBAACAAAAAIQDwAAAAAAAAAAAAAACAPwAAAAAAAAAAAACAPwAAAAAAAAAAAAAAAAAAAAAAAAAAAAAAAAAAAAAAAAAAJQAAAAwAAAAAAACAKAAAAAwAAAABAAAAJwAAABgAAAABAAAAAAAAAP///wAAAAAAJQAAAAwAAAABAAAATAAAAGQAAAAAAAAAAAAAAAoBAAB/AAAAAAAAAAAAAAAL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MkAAAAEAAAA9gAAABAAAADJAAAABAAAAC4AAAANAAAAIQDwAAAAAAAAAAAAAACAPwAAAAAAAAAAAACAPwAAAAAAAAAAAAAAAAAAAAAAAAAAAAAAAAAAAAAAAAAAJQAAAAwAAAAAAACAKAAAAAwAAAABAAAAUgAAAHABAAABAAAA9f///wAAAAAAAAAAAAAAAJABAAAAAAABAAAAAHMAZQBnAG8AZQAgAHU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ZHYACAAAAAAlAAAADAAAAAEAAAAYAAAADAAAAAAAAAASAAAADAAAAAEAAAAeAAAAGAAAAMkAAAAEAAAA9wAAABEAAAAlAAAADAAAAAEAAABUAAAAfAAAAMoAAAAEAAAA9QAAABAAAAABAAAAqyr5QY7j+EHKAAAABAAAAAgAAABMAAAAAAAAAAAAAAAAAAAA//////////9cAAAAOQAvADgALwAyADAAMgA1AAYAAAAEAAAABgAAAAQAAAAGAAAABgAAAAYAAAAGAAAASwAAAEAAAAAwAAAABQAAACAAAAABAAAAAQAAABAAAAAAAAAAAAAAAAsBAACAAAAAAAAAAAAAAAALAQAAgAAAAFIAAABwAQAAAgAAABAAAAAHAAAAAAAAAAAAAAC8AgAAAAAAAAECAiJTAHkAcwB0AGUAb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ZHYACAAAAAAlAAAADAAAAAMAAAAYAAAADAAAAAAAAAASAAAADAAAAAEAAAAWAAAADAAAAAgAAABUAAAAVAAAAAoAAAAnAAAAHgAAAEoAAAABAAAAqyr5QY7j+EEKAAAASwAAAAEAAABMAAAABAAAAAkAAAAnAAAAIAAAAEsAAABQAAAAWAAwMB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MAAACtAAAARwAAACkAAAAzAAAAhQAAABUAAAAhAPAAAAAAAAAAAAAAAIA/AAAAAAAAAAAAAIA/AAAAAAAAAAAAAAAAAAAAAAAAAAAAAAAAAAAAAAAAAAAlAAAADAAAAAAAAIAoAAAADAAAAAQAAABSAAAAcAEAAAQAAADw////AAAAAAAAAAAAAAAAkAEAAAAAAAEAAAAAcwBlAGcAbwBlACAAdQBp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kdgAIAAAAACUAAAAMAAAABAAAABgAAAAMAAAAAAAAABIAAAAMAAAAAQAAAB4AAAAYAAAAKQAAADMAAACuAAAASAAAACUAAAAMAAAABAAAAFQAAACsAAAAKgAAADMAAACsAAAARwAAAAEAAACrKvlBjuP4QSoAAAAzAAAAEAAAAEwAAAAAAAAAAAAAAAAAAAD//////////2wAAABCAHIAYQBuAGQAbwBuACAATQBvAHIAbQBlAGwAbABvAAkAAAAGAAAACAAAAAkAAAAJAAAACQAAAAkAAAAEAAAADgAAAAkAAAAGAAAADgAAAAgAAAAEAAAABAAAAAkAAABLAAAAQAAAADAAAAAFAAAAIAAAAAEAAAABAAAAEAAAAAAAAAAAAAAACwEAAIAAAAAAAAAAAAAAAAsBAACAAAAAJQAAAAwAAAACAAAAJwAAABgAAAAFAAAAAAAAAP///wAAAAAAJQAAAAwAAAAFAAAATAAAAGQAAAAAAAAAUAAAAAoBAAB8AAAAAAAAAFAAAAALAQAALQAAACEA8AAAAAAAAAAAAAAAgD8AAAAAAAAAAAAAgD8AAAAAAAAAAAAAAAAAAAAAAAAAAAAAAAAAAAAAAAAAACUAAAAMAAAAAAAAgCgAAAAMAAAABQAAACcAAAAYAAAABQAAAAAAAAD///8AAAAAACUAAAAMAAAABQAAAEwAAABkAAAACQAAAFAAAAD/AAAAXAAAAAkAAABQAAAA9wAAAA0AAAAhAPAAAAAAAAAAAAAAAIA/AAAAAAAAAAAAAIA/AAAAAAAAAAAAAAAAAAAAAAAAAAAAAAAAAAAAAAAAAAAlAAAADAAAAAAAAIAoAAAADAAAAAUAAAAlAAAADAAAAAEAAAAYAAAADAAAAAAAAAASAAAADAAAAAEAAAAeAAAAGAAAAAkAAABQAAAAAAEAAF0AAAAlAAAADAAAAAEAAABUAAAAwAAAAAoAAABQAAAAdgAAAFwAAAABAAAAqyr5QY7j+EEKAAAAUAAAABMAAABMAAAAAAAAAAAAAAAAAAAA//////////90AAAAQgByAGEAbgBkAG8AbgAgAFIALgAgAE0AbwByAG0AZQBsAGwAbwBudAYAAAAEAAAABgAAAAcAAAAHAAAABwAAAAcAAAADAAAABwAAAAMAAAADAAAACgAAAAcAAAAEAAAACQAAAAYAAAADAAAAAwAAAAcAAABLAAAAQAAAADAAAAAFAAAAIAAAAAEAAAABAAAAEAAAAAAAAAAAAAAACwEAAIAAAAAAAAAAAAAAAAsBAACAAAAAJQAAAAwAAAACAAAAJwAAABgAAAAFAAAAAAAAAP///wAAAAAAJQAAAAwAAAAFAAAATAAAAGQAAAAJAAAAYAAAAP8AAABsAAAACQAAAGAAAAD3AAAADQAAACEA8AAAAAAAAAAAAAAAgD8AAAAAAAAAAAAAgD8AAAAAAAAAAAAAAAAAAAAAAAAAAAAAAAAAAAAAAAAAACUAAAAMAAAAAAAAgCgAAAAMAAAABQAAACUAAAAMAAAAAQAAABgAAAAMAAAAAAAAABIAAAAMAAAAAQAAAB4AAAAYAAAACQAAAGAAAAAAAQAAbQAAACUAAAAMAAAAAQAAAFQAAADAAAAACgAAAGAAAABsAAAAbAAAAAEAAACrKvlBjuP4QQoAAABgAAAAEwAAAEwAAAAAAAAAAAAAAAAAAAD//////////3QAAABDAG8AbgB0AHIAYQBjAHQAaQBuAGcAIABPAGYAZgBpAGMAZQByAHRyBwAAAAcAAAAHAAAABAAAAAQAAAAGAAAABQAAAAQAAAADAAAABwAAAAcAAAADAAAACQAAAAQAAAAEAAAAAwAAAAUAAAAGAAAABAAAAEsAAABAAAAAMAAAAAUAAAAgAAAAAQAAAAEAAAAQAAAAAAAAAAAAAAALAQAAgAAAAAAAAAAAAAAACwEAAIAAAAAlAAAADAAAAAIAAAAnAAAAGAAAAAUAAAAAAAAA////AAAAAAAlAAAADAAAAAUAAABMAAAAZAAAAAkAAABwAAAAAQEAAHwAAAAJAAAAcAAAAPkAAAANAAAAIQDwAAAAAAAAAAAAAACAPwAAAAAAAAAAAACAPwAAAAAAAAAAAAAAAAAAAAAAAAAAAAAAAAAAAAAAAAAAJQAAAAwAAAAAAACAKAAAAAwAAAAFAAAAJQAAAAwAAAABAAAAGAAAAAwAAAAAAAAAEgAAAAwAAAABAAAAFgAAAAwAAAAAAAAAVAAAADwBAAAKAAAAcAAAAAABAAB8AAAAAQAAAKsq+UGO4/hBCgAAAHAAAAAoAAAATAAAAAQAAAAJAAAAcAAAAAIBAAB9AAAAnAAAAFMAaQBnAG4AZQBkACAAYgB5ADoAIABNAE8AUgBNAEUATABMAE8ALgBCAFIAQQBOAEQATwBOAC4AUgAuADEANQAyADMANwAxADgANQA2ADQABgAAAAMAAAAHAAAABwAAAAYAAAAHAAAAAwAAAAcAAAAFAAAAAwAAAAMAAAAKAAAACQAAAAcAAAAKAAAABgAAAAUAAAAFAAAACQAAAAMAAAAGAAAABwAAAAcAAAAIAAAACAAAAAkAAAAIAAAAAwAAAAcAAAADAAAABgAAAAYAAAAGAAAABgAAAAYAAAAGAAAABgAAAAYAAAAGAAAABgAAABYAAAAMAAAAAAAAACUAAAAMAAAAAgAAAA4AAAAUAAAAAAAAABAAAAAUAAAA</Object>
  <Object Id="idInvalidSigLnImg">AQAAAGwAAAAAAAAAAAAAAAoBAAB/AAAAAAAAAAAAAAB8IAAAjw8AACBFTUYAAAEAhCAAALEAAAAGAAAAAAAAAAAAAAAAAAAAgAcAADgEAABWAgAAUAEAAAAAAAAAAAAAAAAAAPAfCQCAIAUACgAAABAAAAAAAAAAAAAAAEsAAAAQAAAAAAAAAAUAAAAeAAAAGAAAAAAAAAAAAAAACwEAAIAAAAAnAAAAGAAAAAEAAAAAAAAAAAAAAAAAAAAlAAAADAAAAAEAAABMAAAAZAAAAAAAAAAAAAAACgEAAH8AAAAAAAAAAAAAAAs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AKAQAAfwAAAAAAAAAAAAAACwEAAIAAAAAhAPAAAAAAAAAAAAAAAIA/AAAAAAAAAAAAAIA/AAAAAAAAAAAAAAAAAAAAAAAAAAAAAAAAAAAAAAAAAAAlAAAADAAAAAAAAIAoAAAADAAAAAEAAAAnAAAAGAAAAAEAAAAAAAAA8PDwAAAAAAAlAAAADAAAAAEAAABMAAAAZAAAAAAAAAAAAAAACgEAAH8AAAAAAAAAAAAAAAsBAACAAAAAIQDwAAAAAAAAAAAAAACAPwAAAAAAAAAAAACAPwAAAAAAAAAAAAAAAAAAAAAAAAAAAAAAAAAAAAAAAAAAJQAAAAwAAAAAAACAKAAAAAwAAAABAAAAJwAAABgAAAABAAAAAAAAAPDw8AAAAAAAJQAAAAwAAAABAAAATAAAAGQAAAAAAAAAAAAAAAoBAAB/AAAAAAAAAAAAAAALAQAAgAAAACEA8AAAAAAAAAAAAAAAgD8AAAAAAAAAAAAAgD8AAAAAAAAAAAAAAAAAAAAAAAAAAAAAAAAAAAAAAAAAACUAAAAMAAAAAAAAgCgAAAAMAAAAAQAAACcAAAAYAAAAAQAAAAAAAADw8PAAAAAAACUAAAAMAAAAAQAAAEwAAABkAAAAAAAAAAAAAAAKAQAAfwAAAAAAAAAAAAAACwEAAIAAAAAhAPAAAAAAAAAAAAAAAIA/AAAAAAAAAAAAAIA/AAAAAAAAAAAAAAAAAAAAAAAAAAAAAAAAAAAAAAAAAAAlAAAADAAAAAAAAIAoAAAADAAAAAEAAAAnAAAAGAAAAAEAAAAAAAAA////AAAAAAAlAAAADAAAAAEAAABMAAAAZAAAAAAAAAAAAAAACgEAAH8AAAAAAAAAAAAAAAsBAACAAAAAIQDwAAAAAAAAAAAAAACAPwAAAAAAAAAAAACAPwAAAAAAAAAAAAAAAAAAAAAAAAAAAAAAAAAAAAAAAAAAJQAAAAwAAAAAAACAKAAAAAwAAAABAAAAJwAAABgAAAABAAAAAAAAAP///wAAAAAAJQAAAAwAAAABAAAATAAAAGQAAAAAAAAAAAAAAAoBAAB/AAAAAAAAAAAAAAAL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FQAAAAwAAAADAAAAcgAAALADAAAKAAAAAwAAABcAAAAQAAAACgAAAAMAAAAOAAAADgAAAAAA/wEAAAAAAAAAAAAAgD8AAAAAAAAAAAAAgD8AAAAAAAAAAP///wAAAAAAbAAAADQAAACgAAAAEAMAAA4AAAAOAAAAKAAAAA4AAAAOAAAAAQAgAAMAAAAQAwAAAAAAAAAAAAAAAAAAAAAAAAAA/wAA/wAA/wAAAAAAAAAAAAAAAAAAAB4fH4oYGRluAAAAAAAAAAAODzk9NTfW5gAAAAAAAAAAAAAAAAAAAAA7Pe3/AAAAAAAAAAAAAAAAOjs7pjg6Ov84Ojr/CwsLMQAAAAAODzk9NTfW5gAAAAAAAAAAOz3t/wAAAAAAAAAAAAAAAAAAAAA6Ozumpqen//r6+v9OUFD/kZKS/wAAAAAODzk9NTfW5js97f8AAAAAAAAAAAAAAAAAAAAAAAAAADo7O6amp6f/+vr6//r6+v/6+vr/rKysrwAAAAA7Pe3/NTfW5gAAAAAAAAAAAAAAAAAAAAAAAAAAOjs7pqanp//6+vr/+vr6/zw8PD0AAAAAOz3t/wAAAAAODzk9NTfW5gAAAAAAAAAAAAAAAAAAAAA6Ozumpqen//r6+v88PDw9AAAAADs97f8AAAAAAAAAAAAAAAAODzk9NTfW5gAAAAAAAAAAAAAAADo7O6aRkpL/ODo6/zg6Ov8SEhJRAAAAAAAAAAAAAAAAAAAAAAAAAAAAAAAAAAAAAAAAAAAAAAAAOjs7pk5QUP/6+vr/+vr6/6+vr/E7Ozt7SUtLzAAAAAAAAAAAAAAAAAAAAAAAAAAAAAAAAAAAAABFR0f2+vr6//r6+v/6+vr/+vr6//r6+v9ISkr4CwsLMQAAAAAAAAAAAAAAAAAAAAAAAAAAGBkZboiJifb6+vr/+vr6//r6+v/6+vr/+vr6/6anp/8eHx+KAAAAAAAAAAAAAAAAAAAAAAAAAAAYGRluiImJ9vr6+v/6+vr/+vr6//r6+v/6+vr/pqen/x4fH4oAAAAAAAAAAAAAAAAAAAAAAAAAAAsLCzFISkr4+vr6//r6+v/6+vr/+vr6//r6+v9dXl72EhISUQAAAAAAAAAAAAAAAAAAAAAAAAAAAAAAAB4fH4pmZ2f/+vr6//r6+v/6+vr/e319/zk7O7sAAAAAAAAAAAAAAAAAAAAAAAAAAAAAAAAAAAAAAAAAABgZGW44Ojr/ODo6/zg6Ov8eHx+KAAAAAAAAAAAAAAAAAAAAAAAAAAAnAAAAGAAAAAEAAAAAAAAA////AAAAAAAlAAAADAAAAAEAAABMAAAAZAAAACIAAAAEAAAAeQAAABAAAAAiAAAABAAAAFgAAAANAAAAIQDwAAAAAAAAAAAAAACAPwAAAAAAAAAAAACAPwAAAAAAAAAAAAAAAAAAAAAAAAAAAAAAAAAAAAAAAAAAJQAAAAwAAAAAAACAKAAAAAwAAAABAAAAUgAAAHABAAABAAAA9f///wAAAAAAAAAAAAAAAJABAAAAAAABAAAAAHMAZQBnAG8AZQAgAHU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ZHYACAAAAAAlAAAADAAAAAEAAAAYAAAADAAAAP8AAAASAAAADAAAAAEAAAAeAAAAGAAAACIAAAAEAAAAegAAABEAAAAlAAAADAAAAAEAAABUAAAAtAAAACMAAAAEAAAAeAAAABAAAAABAAAAqyr5QY7j+EEjAAAABAAAABEAAABMAAAAAAAAAAAAAAAAAAAA//////////9wAAAASQBuAHYAYQBsAGkAZAAgAHMAaQBnAG4AYQB0AHUAcgBlAP8AAwAAAAcAAAAFAAAABgAAAAMAAAADAAAABwAAAAMAAAAFAAAAAwAAAAcAAAAHAAAABgAAAAQAAAAHAAAABAAAAAYAAABLAAAAQAAAADAAAAAFAAAAIAAAAAEAAAABAAAAEAAAAAAAAAAAAAAACwEAAIAAAAAAAAAAAAAAAAsBAACAAAAAUgAAAHABAAACAAAAEAAAAAcAAAAAAAAAAAAAALwCAAAAAAAAAQICIlMAeQBzAHQAZQB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ZHYACAAAAAAlAAAADAAAAAIAAAAnAAAAGAAAAAMAAAAAAAAAAAAAAAAAAAAlAAAADAAAAAMAAABMAAAAZAAAAAAAAAAAAAAA//////////8AAAAAFgAAAAAAAAA1AAAAIQDwAAAAAAAAAAAAAACAPwAAAAAAAAAAAACAPwAAAAAAAAAAAAAAAAAAAAAAAAAAAAAAAAAAAAAAAAAAJQAAAAwAAAAAAACAKAAAAAwAAAADAAAAJwAAABgAAAADAAAAAAAAAAAAAAAAAAAAJQAAAAwAAAADAAAATAAAAGQAAAAAAAAAAAAAAP//////////AAAAABYAAAAAAQAAAAAAACEA8AAAAAAAAAAAAAAAgD8AAAAAAAAAAAAAgD8AAAAAAAAAAAAAAAAAAAAAAAAAAAAAAAAAAAAAAAAAACUAAAAMAAAAAAAAgCgAAAAMAAAAAwAAACcAAAAYAAAAAwAAAAAAAAAAAAAAAAAAACUAAAAMAAAAAwAAAEwAAABkAAAAAAAAAAAAAAD//////////wABAAAWAAAAAAAAADUAAAAhAPAAAAAAAAAAAAAAAIA/AAAAAAAAAAAAAIA/AAAAAAAAAAAAAAAAAAAAAAAAAAAAAAAAAAAAAAAAAAAlAAAADAAAAAAAAIAoAAAADAAAAAMAAAAnAAAAGAAAAAMAAAAAAAAAAAAAAAAAAAAlAAAADAAAAAMAAABMAAAAZAAAAAAAAABLAAAA/wAAAEwAAAAAAAAASwAAAAABAAACAAAAIQDwAAAAAAAAAAAAAACAPwAAAAAAAAAAAACAPwAAAAAAAAAAAAAAAAAAAAAAAAAAAAAAAAAAAAAAAAAAJQAAAAwAAAAAAACAKAAAAAwAAAADAAAAJwAAABgAAAADAAAAAAAAAP///wAAAAAAJQAAAAwAAAADAAAATAAAAGQAAAAAAAAAFgAAAP8AAABKAAAAAAAAABYAAAAAAQAANQAAACEA8AAAAAAAAAAAAAAAgD8AAAAAAAAAAAAAgD8AAAAAAAAAAAAAAAAAAAAAAAAAAAAAAAAAAAAAAAAAACUAAAAMAAAAAAAAgCgAAAAMAAAAAwAAACcAAAAYAAAAAwAAAAAAAAD///8AAAAAACUAAAAMAAAAAwAAAEwAAABkAAAACQAAACcAAAAfAAAASgAAAAkAAAAnAAAAFwAAACQAAAAhAPAAAAAAAAAAAAAAAIA/AAAAAAAAAAAAAIA/AAAAAAAAAAAAAAAAAAAAAAAAAAAAAAAAAAAAAAAAAAAlAAAADAAAAAAAAIAoAAAADAAAAAMAAABSAAAAcAEAAAMAAADg////AAAAAAAAAAAAAAAAkAEAAAAAAAEAAAAAYQByAGkAYQBs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kdgAIAAAAACUAAAAMAAAAAwAAABgAAAAMAAAAAAAAABIAAAAMAAAAAQAAABYAAAAMAAAACAAAAFQAAABUAAAACgAAACcAAAAeAAAASgAAAAEAAACrKvlBjuP4QQoAAABLAAAAAQAAAEwAAAAEAAAACQAAACcAAAAgAAAASwAAAFAAAABYAAAAFQAAABYAAAAMAAAAAAAAACUAAAAMAAAAAgAAACcAAAAYAAAABAAAAAAAAAD///8AAAAAACUAAAAMAAAABAAAAEwAAABkAAAAKQAAABkAAAD2AAAASgAAACkAAAAZAAAAzgAAADIAAAAhAPAAAAAAAAAAAAAAAIA/AAAAAAAAAAAAAIA/AAAAAAAAAAAAAAAAAAAAAAAAAAAAAAAAAAAAAAAAAAAlAAAADAAAAAAAAIAoAAAADAAAAAQAAAAnAAAAGAAAAAQAAAAAAAAA////AAAAAAAlAAAADAAAAAQAAABMAAAAZAAAACkAAAAZAAAA9gAAAEcAAAApAAAAGQAAAM4AAAAvAAAAIQDwAAAAAAAAAAAAAACAPwAAAAAAAAAAAACAPwAAAAAAAAAAAAAAAAAAAAAAAAAAAAAAAAAAAAAAAAAAJQAAAAwAAAAAAACAKAAAAAwAAAAEAAAAJwAAABgAAAAEAAAAAAAAAP///wAAAAAAJQAAAAwAAAAEAAAATAAAAGQAAAApAAAAMwAAAK0AAABHAAAAKQAAADMAAACFAAAAFQAAACEA8AAAAAAAAAAAAAAAgD8AAAAAAAAAAAAAgD8AAAAAAAAAAAAAAAAAAAAAAAAAAAAAAAAAAAAAAAAAACUAAAAMAAAAAAAAgCgAAAAMAAAABAAAAFIAAABwAQAABAAAAPD///8AAAAAAAAAAAAAAACQAQAAAAAAAQAAAABzAGUAZwBvAGUAIAB1AG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R2AAgAAAAAJQAAAAwAAAAEAAAAGAAAAAwAAAAAAAAAEgAAAAwAAAABAAAAHgAAABgAAAApAAAAMwAAAK4AAABIAAAAJQAAAAwAAAAEAAAAVAAAAKwAAAAqAAAAMwAAAKwAAABHAAAAAQAAAKsq+UGO4/hBKgAAADMAAAAQAAAATAAAAAAAAAAAAAAAAAAAAP//////////bAAAAEIAcgBhAG4AZABvAG4AIABNAG8AcgBtAGUAbABsAG8ACQAAAAYAAAAIAAAACQAAAAkAAAAJAAAACQAAAAQAAAAOAAAACQAAAAYAAAAOAAAACAAAAAQAAAAEAAAACQAAAEsAAABAAAAAMAAAAAUAAAAgAAAAAQAAAAEAAAAQAAAAAAAAAAAAAAALAQAAgAAAAAAAAAAAAAAACwEAAIAAAAAlAAAADAAAAAIAAAAnAAAAGAAAAAUAAAAAAAAA////AAAAAAAlAAAADAAAAAUAAABMAAAAZAAAAAAAAABQAAAACgEAAHwAAAAAAAAAUAAAAAsBAAAtAAAAIQDwAAAAAAAAAAAAAACAPwAAAAAAAAAAAACAPwAAAAAAAAAAAAAAAAAAAAAAAAAAAAAAAAAAAAAAAAAAJQAAAAwAAAAAAACAKAAAAAwAAAAFAAAAJwAAABgAAAAFAAAAAAAAAP///wAAAAAAJQAAAAwAAAAFAAAATAAAAGQAAAAJAAAAUAAAAP8AAABcAAAACQAAAFAAAAD3AAAADQAAACEA8AAAAAAAAAAAAAAAgD8AAAAAAAAAAAAAgD8AAAAAAAAAAAAAAAAAAAAAAAAAAAAAAAAAAAAAAAAAACUAAAAMAAAAAAAAgCgAAAAMAAAABQAAACUAAAAMAAAAAQAAABgAAAAMAAAAAAAAABIAAAAMAAAAAQAAAB4AAAAYAAAACQAAAFAAAAAAAQAAXQAAACUAAAAMAAAAAQAAAFQAAADAAAAACgAAAFAAAAB2AAAAXAAAAAEAAACrKvlBjuP4QQoAAABQAAAAEwAAAEwAAAAAAAAAAAAAAAAAAAD//////////3QAAABCAHIAYQBuAGQAbwBuACAAUgAuACAATQBvAHIAbQBlAGwAbABvAAAABgAAAAQAAAAGAAAABwAAAAcAAAAHAAAABwAAAAMAAAAHAAAAAwAAAAMAAAAKAAAABwAAAAQAAAAJAAAABgAAAAMAAAADAAAABwAAAEsAAABAAAAAMAAAAAUAAAAgAAAAAQAAAAEAAAAQAAAAAAAAAAAAAAALAQAAgAAAAAAAAAAAAAAACwEAAIAAAAAlAAAADAAAAAIAAAAnAAAAGAAAAAUAAAAAAAAA////AAAAAAAlAAAADAAAAAUAAABMAAAAZAAAAAkAAABgAAAA/wAAAGwAAAAJAAAAYAAAAPcAAAANAAAAIQDwAAAAAAAAAAAAAACAPwAAAAAAAAAAAACAPwAAAAAAAAAAAAAAAAAAAAAAAAAAAAAAAAAAAAAAAAAAJQAAAAwAAAAAAACAKAAAAAwAAAAFAAAAJQAAAAwAAAABAAAAGAAAAAwAAAAAAAAAEgAAAAwAAAABAAAAHgAAABgAAAAJAAAAYAAAAAABAABtAAAAJQAAAAwAAAABAAAAVAAAAMAAAAAKAAAAYAAAAGwAAABsAAAAAQAAAKsq+UGO4/hBCgAAAGAAAAATAAAATAAAAAAAAAAAAAAAAAAAAP//////////dAAAAEMAbwBuAHQAcgBhAGMAdABpAG4AZwAgAE8AZgBmAGkAYwBlAHIAd3cHAAAABwAAAAcAAAAEAAAABAAAAAYAAAAFAAAABAAAAAMAAAAHAAAABwAAAAMAAAAJAAAABAAAAAQAAAADAAAABQAAAAYAAAAEAAAASwAAAEAAAAAwAAAABQAAACAAAAABAAAAAQAAABAAAAAAAAAAAAAAAAsBAACAAAAAAAAAAAAAAAALAQAAgAAAACUAAAAMAAAAAgAAACcAAAAYAAAABQAAAAAAAAD///8AAAAAACUAAAAMAAAABQAAAEwAAABkAAAACQAAAHAAAAABAQAAfAAAAAkAAABwAAAA+QAAAA0AAAAhAPAAAAAAAAAAAAAAAIA/AAAAAAAAAAAAAIA/AAAAAAAAAAAAAAAAAAAAAAAAAAAAAAAAAAAAAAAAAAAlAAAADAAAAAAAAIAoAAAADAAAAAUAAAAlAAAADAAAAAEAAAAYAAAADAAAAAAAAAASAAAADAAAAAEAAAAWAAAADAAAAAAAAABUAAAAPAEAAAoAAABwAAAAAAEAAHwAAAABAAAAqyr5QY7j+EEKAAAAcAAAACgAAABMAAAABAAAAAkAAABwAAAAAgEAAH0AAACcAAAAUwBpAGcAbgBlAGQAIABiAHkAOgAgAE0ATwBSAE0ARQBMAEwATwAuAEIAUgBBAE4ARABPAE4ALgBSAC4AMQA1ADIAMwA3ADEAOAA1ADYANAAGAAAAAwAAAAcAAAAHAAAABgAAAAcAAAADAAAABwAAAAUAAAADAAAAAwAAAAoAAAAJAAAABwAAAAoAAAAGAAAABQAAAAUAAAAJAAAAAwAAAAYAAAAHAAAABwAAAAgAAAAIAAAACQAAAAgAAAADAAAABwAAAAMAAAAGAAAABgAAAAYAAAAGAAAABgAAAAYAAAAGAAAABgAAAAYAAAAGAAAAFgAAAAwAAAAAAAAAJQAAAAwAAAACAAAADgAAABQAAAAAAAAAEAAAABQAAAA=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Abstract of Offers</vt:lpstr>
      <vt:lpstr>Attendee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Leach, Eric A CIV USARMY CENAP (USA)</dc:creator>
  <cp:lastModifiedBy>Mormello, Brandon R CIV USARMY CENAP (USA)</cp:lastModifiedBy>
  <dcterms:created xsi:type="dcterms:W3CDTF">2025-07-15T19:55:34Z</dcterms:created>
  <dcterms:modified xsi:type="dcterms:W3CDTF">2025-09-08T15:30:49Z</dcterms:modified>
</cp:coreProperties>
</file>