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dea.sharepoint.com/sites/ProcurementDivision/Shared Documents/General/Contract Files/Transportation Branch/FY 26/FY26 D/26QE047 Okinawa OBVSS/A__PREAWARD/A4__SYN_SOL_SSP/26QE047_SOL/"/>
    </mc:Choice>
  </mc:AlternateContent>
  <xr:revisionPtr revIDLastSave="361" documentId="8_{03EA0C56-36AC-4777-91BB-924B0CC97AA5}" xr6:coauthVersionLast="47" xr6:coauthVersionMax="47" xr10:uidLastSave="{A5E14B8A-9A52-4A7F-BF79-97328A07D8A3}"/>
  <bookViews>
    <workbookView xWindow="-120" yWindow="-120" windowWidth="29040" windowHeight="15720" xr2:uid="{DF0165BB-CCD8-490A-A905-E43E8AC1F50A}"/>
  </bookViews>
  <sheets>
    <sheet name="Instructions" sheetId="6" r:id="rId1"/>
    <sheet name="Pricing input" sheetId="2" r:id="rId2"/>
    <sheet name="Summary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" l="1"/>
  <c r="E40" i="2" s="1"/>
  <c r="E54" i="2" s="1"/>
  <c r="E68" i="2" s="1"/>
  <c r="G82" i="2"/>
  <c r="G69" i="2"/>
  <c r="G55" i="2"/>
  <c r="G41" i="2"/>
  <c r="G27" i="2"/>
  <c r="G13" i="2" l="1"/>
  <c r="G64" i="2" l="1"/>
  <c r="G8" i="2"/>
  <c r="G22" i="2"/>
  <c r="G50" i="2"/>
  <c r="G78" i="2"/>
  <c r="G84" i="2"/>
  <c r="G81" i="2"/>
  <c r="G80" i="2"/>
  <c r="G76" i="2"/>
  <c r="G71" i="2"/>
  <c r="G68" i="2"/>
  <c r="G67" i="2"/>
  <c r="G65" i="2"/>
  <c r="G63" i="2"/>
  <c r="G57" i="2"/>
  <c r="G54" i="2"/>
  <c r="G53" i="2"/>
  <c r="G51" i="2"/>
  <c r="G49" i="2"/>
  <c r="G43" i="2"/>
  <c r="G40" i="2"/>
  <c r="G39" i="2"/>
  <c r="G37" i="2"/>
  <c r="G36" i="2"/>
  <c r="G35" i="2"/>
  <c r="G29" i="2"/>
  <c r="G26" i="2"/>
  <c r="G25" i="2"/>
  <c r="G23" i="2"/>
  <c r="G21" i="2"/>
  <c r="G15" i="2"/>
  <c r="G7" i="2"/>
  <c r="G12" i="2"/>
  <c r="G11" i="2"/>
  <c r="G9" i="2"/>
  <c r="G77" i="2" l="1"/>
  <c r="G85" i="2" s="1"/>
  <c r="C17" i="4" s="1"/>
  <c r="G72" i="2"/>
  <c r="C13" i="4" s="1"/>
  <c r="G30" i="2"/>
  <c r="C10" i="4" s="1"/>
  <c r="G44" i="2"/>
  <c r="C11" i="4" s="1"/>
  <c r="G16" i="2"/>
  <c r="C9" i="4" s="1"/>
  <c r="G58" i="2"/>
  <c r="C12" i="4" s="1"/>
  <c r="G86" i="2" l="1"/>
  <c r="C16" i="4"/>
  <c r="C18" i="4" s="1"/>
  <c r="C14" i="4"/>
</calcChain>
</file>

<file path=xl/sharedStrings.xml><?xml version="1.0" encoding="utf-8"?>
<sst xmlns="http://schemas.openxmlformats.org/spreadsheetml/2006/main" count="234" uniqueCount="132">
  <si>
    <t>Summary of Base plus Option Periods</t>
  </si>
  <si>
    <t xml:space="preserve">Estimated Price $ </t>
  </si>
  <si>
    <t xml:space="preserve">Base Year </t>
  </si>
  <si>
    <t>Option Period Year 1</t>
  </si>
  <si>
    <t>Option Period Year 2</t>
  </si>
  <si>
    <t>Option Period Year 3</t>
  </si>
  <si>
    <t>Option Period Year 4</t>
  </si>
  <si>
    <t>Total Estimated Price</t>
  </si>
  <si>
    <t>Overall Total</t>
  </si>
  <si>
    <t>Estimated Price</t>
  </si>
  <si>
    <t>FAR 52.217-8</t>
  </si>
  <si>
    <t>Contract Line Item</t>
  </si>
  <si>
    <t>POP/Supplies/Services</t>
  </si>
  <si>
    <t>Qty.</t>
  </si>
  <si>
    <t>Estimated Total Cost</t>
  </si>
  <si>
    <t>8/1/2026 - 7/31/2027</t>
  </si>
  <si>
    <t>CLIN 0001</t>
  </si>
  <si>
    <t>SLIN 0001AA</t>
  </si>
  <si>
    <t>SLIN 0001AB</t>
  </si>
  <si>
    <t>CLIN 0002</t>
  </si>
  <si>
    <t>SLIN 0002AA</t>
  </si>
  <si>
    <t>SLIN 0002AB</t>
  </si>
  <si>
    <t>CLIN 0003</t>
  </si>
  <si>
    <t>SLIN 0003AA</t>
  </si>
  <si>
    <t>Materials - Not To Exceed (NTE) $5,000.</t>
  </si>
  <si>
    <t xml:space="preserve">Total </t>
  </si>
  <si>
    <t>1st Option Period</t>
  </si>
  <si>
    <t>8/1/2027 - 7/31/2028</t>
  </si>
  <si>
    <t>CLIN 1001</t>
  </si>
  <si>
    <t>SLIN 1001AA</t>
  </si>
  <si>
    <t>SLIN 1001AB</t>
  </si>
  <si>
    <t>CLIN 1002</t>
  </si>
  <si>
    <t>SLIN 1002AA</t>
  </si>
  <si>
    <t>SLIN 1002AB</t>
  </si>
  <si>
    <t>CLIN 1003</t>
  </si>
  <si>
    <t>SLIN 1004AA</t>
  </si>
  <si>
    <t>2nd Option Period</t>
  </si>
  <si>
    <t>8/1/2028 - 7/31/2029</t>
  </si>
  <si>
    <t>CLIN 2001</t>
  </si>
  <si>
    <t>SLIN 2001AA</t>
  </si>
  <si>
    <t>SLIN 2001AB</t>
  </si>
  <si>
    <t>CLIN 2002</t>
  </si>
  <si>
    <t>SLIN 2002AA</t>
  </si>
  <si>
    <t>SLIN 2002AB</t>
  </si>
  <si>
    <t>CLIN 2003</t>
  </si>
  <si>
    <t>SLIN 2003AA</t>
  </si>
  <si>
    <t>Total</t>
  </si>
  <si>
    <t>3rd Option Period</t>
  </si>
  <si>
    <t>8/1/2029 - 7/31/2030</t>
  </si>
  <si>
    <t>CLIN 3001</t>
  </si>
  <si>
    <t>SLIN 3001AA</t>
  </si>
  <si>
    <t>SLIN 3001AB</t>
  </si>
  <si>
    <t>CLIN 3002</t>
  </si>
  <si>
    <t>SLIN 3002AA</t>
  </si>
  <si>
    <t>SLIN 3002AB</t>
  </si>
  <si>
    <t>CLIN 3003</t>
  </si>
  <si>
    <t>SLIN 3003AA</t>
  </si>
  <si>
    <t>4th Option Period</t>
  </si>
  <si>
    <t>8/1/2030 - 7/31/2031</t>
  </si>
  <si>
    <t>CLIN 4001</t>
  </si>
  <si>
    <t>SLIN 4001AA</t>
  </si>
  <si>
    <t>SLIN 4001AB</t>
  </si>
  <si>
    <t>CLIN 4002</t>
  </si>
  <si>
    <t>SLIN 4002AA</t>
  </si>
  <si>
    <t>SLIN 4002AB</t>
  </si>
  <si>
    <t>CLIN 4003</t>
  </si>
  <si>
    <t>SLIN 4003AA</t>
  </si>
  <si>
    <t>8/1/2031 - 1/31/2032</t>
  </si>
  <si>
    <t>CLIN 5001</t>
  </si>
  <si>
    <t>SLIN 5001AA</t>
  </si>
  <si>
    <t>SLIN 5001AB</t>
  </si>
  <si>
    <t>CLIN 5002</t>
  </si>
  <si>
    <t>SLIN 5002AA</t>
  </si>
  <si>
    <t>SLIN 5002AB</t>
  </si>
  <si>
    <t>CLIN 5003</t>
  </si>
  <si>
    <t>SLIN 5003AA</t>
  </si>
  <si>
    <t xml:space="preserve">Total Contract </t>
  </si>
  <si>
    <t>Unit of Issue</t>
  </si>
  <si>
    <t>each</t>
  </si>
  <si>
    <t xml:space="preserve">Okinawa OBVSS </t>
  </si>
  <si>
    <t>Okinawa OBVSS Services</t>
  </si>
  <si>
    <t>Okinawa OBVSS</t>
  </si>
  <si>
    <t>SLIN 0001AC</t>
  </si>
  <si>
    <t>SLIN 1001AC</t>
  </si>
  <si>
    <t>SLIN 2001AC</t>
  </si>
  <si>
    <t>SLIN 3001AC</t>
  </si>
  <si>
    <t>SLIN 4001AC</t>
  </si>
  <si>
    <t>SLIN 5001AC</t>
  </si>
  <si>
    <t>SLIN 0002AC</t>
  </si>
  <si>
    <t>Maintenance &amp; Repairs</t>
  </si>
  <si>
    <t>SLIN 1002AC</t>
  </si>
  <si>
    <t>SLIN 2002AC</t>
  </si>
  <si>
    <t>SLIN 3002AC</t>
  </si>
  <si>
    <t>SLIN 4002AC</t>
  </si>
  <si>
    <t>SLIN 5002AC</t>
  </si>
  <si>
    <t>Bi-annual preventative maintenance per vehicle</t>
  </si>
  <si>
    <t>Unscheduled corrective maintenance per vehicle</t>
  </si>
  <si>
    <t>CONTROLLED UNCLASSIFIED INFORMATION (CUI)
Source Selection Information - See FAR 2.101 and 3.104</t>
  </si>
  <si>
    <t>DoWEA Pacific South HE125426QE047</t>
  </si>
  <si>
    <t>Unit Price</t>
  </si>
  <si>
    <t>Attachment 5 – Volume III, Price</t>
  </si>
  <si>
    <t>1. Pricing Entry</t>
  </si>
  <si>
    <t>2. Currency</t>
  </si>
  <si>
    <t>3. No Formulas in Unit Price Cells</t>
  </si>
  <si>
    <t>NTE CLINs shall not exceed the stated NTE amount.</t>
  </si>
  <si>
    <t>Entry of a Unit Price greater than the NTE may result in the proposal being determined non‑compliant.</t>
  </si>
  <si>
    <t>Prior to submission, Offerors shall ensure:</t>
  </si>
  <si>
    <t>All required Unit Price cells are completed</t>
  </si>
  <si>
    <t>No formulas exist in Unit Price cells</t>
  </si>
  <si>
    <t>All Base and Option Period CLINs are priced</t>
  </si>
  <si>
    <t>Workbook structure remains unchanged</t>
  </si>
  <si>
    <t>This workbook provides pricing for the Department of War Education Activity (DoWEA) requirement identified in the solicitation. Offerors shall complete this Attachment strictly in accordance with the instructions below.</t>
  </si>
  <si>
    <t>Instructions</t>
  </si>
  <si>
    <r>
      <t xml:space="preserve">Do </t>
    </r>
    <r>
      <rPr>
        <b/>
        <sz val="11"/>
        <color theme="1"/>
        <rFont val="Segoe UI"/>
        <family val="2"/>
      </rPr>
      <t>not</t>
    </r>
    <r>
      <rPr>
        <sz val="11"/>
        <color theme="1"/>
        <rFont val="Segoe UI"/>
        <family val="2"/>
      </rPr>
      <t xml:space="preserve"> alter formulas, protected cells, headers, or workbook structure.</t>
    </r>
  </si>
  <si>
    <r>
      <t xml:space="preserve">Unit Price cells shall contain </t>
    </r>
    <r>
      <rPr>
        <b/>
        <sz val="11"/>
        <color theme="1"/>
        <rFont val="Segoe UI"/>
        <family val="2"/>
      </rPr>
      <t>numeric values only</t>
    </r>
    <r>
      <rPr>
        <sz val="11"/>
        <color theme="1"/>
        <rFont val="Segoe UI"/>
        <family val="2"/>
      </rPr>
      <t>.</t>
    </r>
  </si>
  <si>
    <r>
      <t xml:space="preserve">Do </t>
    </r>
    <r>
      <rPr>
        <b/>
        <sz val="11"/>
        <color theme="1"/>
        <rFont val="Segoe UI"/>
        <family val="2"/>
      </rPr>
      <t>not</t>
    </r>
    <r>
      <rPr>
        <sz val="11"/>
        <color theme="1"/>
        <rFont val="Segoe UI"/>
        <family val="2"/>
      </rPr>
      <t xml:space="preserve"> use formulas, escalation factors, links, or references in U/P cells.</t>
    </r>
  </si>
  <si>
    <r>
      <t xml:space="preserve">Extended prices and subtotals are </t>
    </r>
    <r>
      <rPr>
        <b/>
        <sz val="11"/>
        <color theme="1"/>
        <rFont val="Segoe UI"/>
        <family val="2"/>
      </rPr>
      <t>automatically calculated</t>
    </r>
    <r>
      <rPr>
        <sz val="11"/>
        <color theme="1"/>
        <rFont val="Segoe UI"/>
        <family val="2"/>
      </rPr>
      <t>.</t>
    </r>
  </si>
  <si>
    <r>
      <t xml:space="preserve">Only use the next sheet titled "Pricing Input" Enter prices </t>
    </r>
    <r>
      <rPr>
        <b/>
        <sz val="11"/>
        <color theme="1"/>
        <rFont val="Segoe UI"/>
        <family val="2"/>
      </rPr>
      <t>only</t>
    </r>
    <r>
      <rPr>
        <sz val="11"/>
        <color theme="1"/>
        <rFont val="Segoe UI"/>
        <family val="2"/>
      </rPr>
      <t xml:space="preserve"> in the designated </t>
    </r>
    <r>
      <rPr>
        <b/>
        <sz val="11"/>
        <color theme="1"/>
        <rFont val="Segoe UI"/>
        <family val="2"/>
      </rPr>
      <t>Unit Price (U/P)</t>
    </r>
    <r>
      <rPr>
        <sz val="11"/>
        <color theme="1"/>
        <rFont val="Segoe UI"/>
        <family val="2"/>
      </rPr>
      <t xml:space="preserve"> input cells (highlighted in yellow).</t>
    </r>
  </si>
  <si>
    <t>Pricing Instructions:</t>
  </si>
  <si>
    <t>4. Materials – Not‑To‑Exceed (NTE) CLINs</t>
  </si>
  <si>
    <t>5. Totals</t>
  </si>
  <si>
    <t>6. Verification</t>
  </si>
  <si>
    <r>
      <t xml:space="preserve">Offerors shall not change/override calculated totals. Again, only use input your </t>
    </r>
    <r>
      <rPr>
        <b/>
        <sz val="11"/>
        <color theme="1"/>
        <rFont val="Segoe UI"/>
        <family val="2"/>
      </rPr>
      <t>Unit Prices in the cells highlighted in yellow.</t>
    </r>
  </si>
  <si>
    <r>
      <t xml:space="preserve">All prices shall be entered in </t>
    </r>
    <r>
      <rPr>
        <b/>
        <sz val="11"/>
        <color theme="1"/>
        <rFont val="Segoe UI"/>
        <family val="2"/>
      </rPr>
      <t>United States Dollars (USD)</t>
    </r>
    <r>
      <rPr>
        <sz val="11"/>
        <color theme="1"/>
        <rFont val="Segoe UI"/>
        <family val="2"/>
      </rPr>
      <t>.</t>
    </r>
  </si>
  <si>
    <r>
      <t>Prices shall be stated as whole dollars, or to no more than</t>
    </r>
    <r>
      <rPr>
        <b/>
        <sz val="11"/>
        <color theme="1"/>
        <rFont val="Segoe UI"/>
        <family val="2"/>
      </rPr>
      <t xml:space="preserve"> </t>
    </r>
    <r>
      <rPr>
        <sz val="11"/>
        <color theme="1"/>
        <rFont val="Segoe UI"/>
        <family val="2"/>
      </rPr>
      <t>two (2) decimal places, if applicable.</t>
    </r>
  </si>
  <si>
    <t xml:space="preserve">Installation on Buses </t>
  </si>
  <si>
    <t>Installation on Microbuses</t>
  </si>
  <si>
    <t>Installation on Vans</t>
  </si>
  <si>
    <t>OBVSS Removal per vehicle</t>
  </si>
  <si>
    <t>Installation per vehicle</t>
  </si>
  <si>
    <t>Phase‑in, phase‑out removals</t>
  </si>
  <si>
    <t>Materials - Not To Exceed (NTE) $2,500.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</si>
</sst>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[$$-409]* #,##0.00_);_([$$-409]* \(#,##0.00\);_([$$-409]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i/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sz val="12"/>
      <name val="Arial"/>
      <family val="2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Calibri"/>
      <family val="2"/>
      <scheme val="minor"/>
    </font>
    <font>
      <i/>
      <sz val="11"/>
      <color theme="1"/>
      <name val="Times New Roman"/>
      <family val="1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6FCE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164" fontId="2" fillId="0" borderId="1" xfId="1" applyNumberFormat="1" applyFont="1" applyBorder="1"/>
    <xf numFmtId="164" fontId="3" fillId="0" borderId="0" xfId="1" applyNumberFormat="1" applyFont="1" applyFill="1" applyBorder="1"/>
    <xf numFmtId="164" fontId="2" fillId="0" borderId="0" xfId="0" applyNumberFormat="1" applyFont="1"/>
    <xf numFmtId="164" fontId="0" fillId="0" borderId="0" xfId="0" applyNumberFormat="1"/>
    <xf numFmtId="0" fontId="5" fillId="0" borderId="0" xfId="0" applyFont="1" applyAlignment="1">
      <alignment horizontal="center" vertical="center"/>
    </xf>
    <xf numFmtId="0" fontId="3" fillId="3" borderId="1" xfId="0" applyFont="1" applyFill="1" applyBorder="1"/>
    <xf numFmtId="0" fontId="2" fillId="0" borderId="1" xfId="0" applyFont="1" applyBorder="1" applyAlignment="1">
      <alignment wrapText="1"/>
    </xf>
    <xf numFmtId="164" fontId="2" fillId="3" borderId="1" xfId="1" applyNumberFormat="1" applyFont="1" applyFill="1" applyBorder="1"/>
    <xf numFmtId="0" fontId="3" fillId="4" borderId="1" xfId="0" applyFont="1" applyFill="1" applyBorder="1"/>
    <xf numFmtId="164" fontId="3" fillId="4" borderId="1" xfId="1" applyNumberFormat="1" applyFont="1" applyFill="1" applyBorder="1"/>
    <xf numFmtId="164" fontId="2" fillId="2" borderId="1" xfId="1" applyNumberFormat="1" applyFont="1" applyFill="1" applyBorder="1"/>
    <xf numFmtId="16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164" fontId="3" fillId="0" borderId="1" xfId="0" applyNumberFormat="1" applyFont="1" applyBorder="1" applyAlignment="1">
      <alignment wrapText="1"/>
    </xf>
    <xf numFmtId="164" fontId="4" fillId="0" borderId="1" xfId="1" applyNumberFormat="1" applyFont="1" applyBorder="1"/>
    <xf numFmtId="164" fontId="2" fillId="4" borderId="1" xfId="1" applyNumberFormat="1" applyFont="1" applyFill="1" applyBorder="1"/>
    <xf numFmtId="0" fontId="9" fillId="5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1" fillId="0" borderId="0" xfId="0" applyFont="1"/>
    <xf numFmtId="0" fontId="12" fillId="0" borderId="4" xfId="0" applyFont="1" applyBorder="1" applyAlignment="1">
      <alignment horizontal="center" vertical="center"/>
    </xf>
    <xf numFmtId="44" fontId="12" fillId="0" borderId="5" xfId="2" applyFont="1" applyFill="1" applyBorder="1"/>
    <xf numFmtId="0" fontId="9" fillId="7" borderId="6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165" fontId="12" fillId="6" borderId="5" xfId="0" applyNumberFormat="1" applyFont="1" applyFill="1" applyBorder="1"/>
    <xf numFmtId="0" fontId="9" fillId="9" borderId="6" xfId="0" applyFont="1" applyFill="1" applyBorder="1"/>
    <xf numFmtId="165" fontId="9" fillId="9" borderId="7" xfId="0" applyNumberFormat="1" applyFont="1" applyFill="1" applyBorder="1"/>
    <xf numFmtId="0" fontId="3" fillId="4" borderId="1" xfId="0" applyFont="1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0" fontId="14" fillId="0" borderId="0" xfId="0" applyFont="1"/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" fontId="8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164" fontId="4" fillId="0" borderId="1" xfId="1" applyNumberFormat="1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164" fontId="8" fillId="0" borderId="1" xfId="1" applyNumberFormat="1" applyFont="1" applyBorder="1" applyAlignment="1">
      <alignment vertical="center"/>
    </xf>
    <xf numFmtId="164" fontId="8" fillId="10" borderId="1" xfId="1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164" fontId="2" fillId="2" borderId="1" xfId="1" applyNumberFormat="1" applyFont="1" applyFill="1" applyBorder="1" applyProtection="1">
      <protection locked="0"/>
    </xf>
    <xf numFmtId="164" fontId="2" fillId="2" borderId="1" xfId="1" applyNumberFormat="1" applyFont="1" applyFill="1" applyBorder="1" applyAlignment="1" applyProtection="1">
      <alignment vertical="center"/>
      <protection locked="0"/>
    </xf>
    <xf numFmtId="0" fontId="15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1BC6-97B1-47C0-8730-24ED2411E54A}">
  <dimension ref="A1:A46"/>
  <sheetViews>
    <sheetView tabSelected="1" topLeftCell="A21" workbookViewId="0">
      <selection activeCell="A50" sqref="A50"/>
    </sheetView>
  </sheetViews>
  <sheetFormatPr defaultRowHeight="15" x14ac:dyDescent="0.25"/>
  <cols>
    <col min="1" max="1" width="160" customWidth="1"/>
  </cols>
  <sheetData>
    <row r="1" spans="1:1" ht="31.5" x14ac:dyDescent="0.25">
      <c r="A1" s="61" t="s">
        <v>97</v>
      </c>
    </row>
    <row r="2" spans="1:1" ht="16.5" x14ac:dyDescent="0.25">
      <c r="A2" s="63" t="s">
        <v>100</v>
      </c>
    </row>
    <row r="3" spans="1:1" x14ac:dyDescent="0.25">
      <c r="A3" s="62"/>
    </row>
    <row r="4" spans="1:1" ht="16.5" x14ac:dyDescent="0.25">
      <c r="A4" s="63" t="s">
        <v>112</v>
      </c>
    </row>
    <row r="5" spans="1:1" x14ac:dyDescent="0.25">
      <c r="A5" s="62"/>
    </row>
    <row r="6" spans="1:1" ht="33" x14ac:dyDescent="0.25">
      <c r="A6" s="64" t="s">
        <v>111</v>
      </c>
    </row>
    <row r="7" spans="1:1" x14ac:dyDescent="0.25">
      <c r="A7" s="62"/>
    </row>
    <row r="8" spans="1:1" ht="16.5" x14ac:dyDescent="0.25">
      <c r="A8" s="63" t="s">
        <v>118</v>
      </c>
    </row>
    <row r="9" spans="1:1" x14ac:dyDescent="0.25">
      <c r="A9" s="65"/>
    </row>
    <row r="10" spans="1:1" ht="16.5" x14ac:dyDescent="0.25">
      <c r="A10" s="66" t="s">
        <v>101</v>
      </c>
    </row>
    <row r="11" spans="1:1" x14ac:dyDescent="0.25">
      <c r="A11" s="65"/>
    </row>
    <row r="12" spans="1:1" ht="16.5" x14ac:dyDescent="0.25">
      <c r="A12" s="67" t="s">
        <v>117</v>
      </c>
    </row>
    <row r="13" spans="1:1" ht="16.5" x14ac:dyDescent="0.25">
      <c r="A13" s="67" t="s">
        <v>113</v>
      </c>
    </row>
    <row r="14" spans="1:1" x14ac:dyDescent="0.25">
      <c r="A14" s="65"/>
    </row>
    <row r="15" spans="1:1" ht="16.5" x14ac:dyDescent="0.25">
      <c r="A15" s="66" t="s">
        <v>102</v>
      </c>
    </row>
    <row r="16" spans="1:1" x14ac:dyDescent="0.25">
      <c r="A16" s="65"/>
    </row>
    <row r="17" spans="1:1" ht="16.5" x14ac:dyDescent="0.25">
      <c r="A17" s="67" t="s">
        <v>123</v>
      </c>
    </row>
    <row r="18" spans="1:1" ht="16.5" x14ac:dyDescent="0.25">
      <c r="A18" s="67" t="s">
        <v>124</v>
      </c>
    </row>
    <row r="19" spans="1:1" x14ac:dyDescent="0.25">
      <c r="A19" s="65"/>
    </row>
    <row r="20" spans="1:1" ht="16.5" x14ac:dyDescent="0.25">
      <c r="A20" s="66" t="s">
        <v>103</v>
      </c>
    </row>
    <row r="21" spans="1:1" x14ac:dyDescent="0.25">
      <c r="A21" s="65"/>
    </row>
    <row r="22" spans="1:1" ht="16.5" x14ac:dyDescent="0.25">
      <c r="A22" s="67" t="s">
        <v>114</v>
      </c>
    </row>
    <row r="23" spans="1:1" ht="16.5" x14ac:dyDescent="0.25">
      <c r="A23" s="67" t="s">
        <v>115</v>
      </c>
    </row>
    <row r="24" spans="1:1" x14ac:dyDescent="0.25">
      <c r="A24" s="65"/>
    </row>
    <row r="25" spans="1:1" ht="16.5" x14ac:dyDescent="0.25">
      <c r="A25" s="63" t="s">
        <v>119</v>
      </c>
    </row>
    <row r="26" spans="1:1" x14ac:dyDescent="0.25">
      <c r="A26" s="65"/>
    </row>
    <row r="27" spans="1:1" ht="16.5" x14ac:dyDescent="0.25">
      <c r="A27" s="67" t="s">
        <v>104</v>
      </c>
    </row>
    <row r="28" spans="1:1" ht="16.5" x14ac:dyDescent="0.25">
      <c r="A28" s="67" t="s">
        <v>105</v>
      </c>
    </row>
    <row r="29" spans="1:1" ht="16.5" x14ac:dyDescent="0.25">
      <c r="A29" s="67"/>
    </row>
    <row r="30" spans="1:1" ht="16.5" x14ac:dyDescent="0.25">
      <c r="A30" s="63" t="s">
        <v>120</v>
      </c>
    </row>
    <row r="31" spans="1:1" x14ac:dyDescent="0.25">
      <c r="A31" s="65"/>
    </row>
    <row r="32" spans="1:1" ht="16.5" x14ac:dyDescent="0.25">
      <c r="A32" s="67" t="s">
        <v>116</v>
      </c>
    </row>
    <row r="33" spans="1:1" ht="16.5" x14ac:dyDescent="0.25">
      <c r="A33" s="67" t="s">
        <v>122</v>
      </c>
    </row>
    <row r="34" spans="1:1" ht="16.5" x14ac:dyDescent="0.25">
      <c r="A34" s="67"/>
    </row>
    <row r="35" spans="1:1" ht="16.5" x14ac:dyDescent="0.25">
      <c r="A35" s="63" t="s">
        <v>121</v>
      </c>
    </row>
    <row r="36" spans="1:1" x14ac:dyDescent="0.25">
      <c r="A36" s="62"/>
    </row>
    <row r="37" spans="1:1" ht="16.5" x14ac:dyDescent="0.25">
      <c r="A37" s="64" t="s">
        <v>106</v>
      </c>
    </row>
    <row r="38" spans="1:1" x14ac:dyDescent="0.25">
      <c r="A38" s="65"/>
    </row>
    <row r="39" spans="1:1" ht="16.5" x14ac:dyDescent="0.25">
      <c r="A39" s="67" t="s">
        <v>107</v>
      </c>
    </row>
    <row r="40" spans="1:1" ht="16.5" x14ac:dyDescent="0.25">
      <c r="A40" s="67" t="s">
        <v>108</v>
      </c>
    </row>
    <row r="41" spans="1:1" ht="16.5" x14ac:dyDescent="0.25">
      <c r="A41" s="67" t="s">
        <v>109</v>
      </c>
    </row>
    <row r="42" spans="1:1" ht="16.5" x14ac:dyDescent="0.25">
      <c r="A42" s="67" t="s">
        <v>110</v>
      </c>
    </row>
    <row r="43" spans="1:1" x14ac:dyDescent="0.25">
      <c r="A43" s="62"/>
    </row>
    <row r="44" spans="1:1" x14ac:dyDescent="0.25">
      <c r="A44" s="62"/>
    </row>
    <row r="45" spans="1:1" ht="31.5" x14ac:dyDescent="0.25">
      <c r="A45" s="61" t="s">
        <v>97</v>
      </c>
    </row>
    <row r="46" spans="1:1" x14ac:dyDescent="0.25">
      <c r="A46" s="6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42A5-7B29-403C-8292-2549B403EC83}">
  <sheetPr>
    <tabColor rgb="FFFFFF00"/>
    <pageSetUpPr fitToPage="1"/>
  </sheetPr>
  <dimension ref="B1:G88"/>
  <sheetViews>
    <sheetView topLeftCell="A52" zoomScale="85" zoomScaleNormal="85" workbookViewId="0">
      <selection activeCell="L82" sqref="L82"/>
    </sheetView>
  </sheetViews>
  <sheetFormatPr defaultRowHeight="15" x14ac:dyDescent="0.25"/>
  <cols>
    <col min="1" max="1" width="3.7109375" customWidth="1"/>
    <col min="2" max="2" width="26.140625" style="53" customWidth="1"/>
    <col min="3" max="3" width="64.28515625" customWidth="1"/>
    <col min="4" max="4" width="15" bestFit="1" customWidth="1"/>
    <col min="5" max="5" width="6.5703125" style="36" bestFit="1" customWidth="1"/>
    <col min="6" max="6" width="14.7109375" style="7" customWidth="1"/>
    <col min="7" max="7" width="16.28515625" style="7" customWidth="1"/>
    <col min="8" max="8" width="3.5703125" customWidth="1"/>
  </cols>
  <sheetData>
    <row r="1" spans="2:7" ht="15.75" x14ac:dyDescent="0.25">
      <c r="B1" s="46"/>
      <c r="C1" s="8"/>
      <c r="D1" s="8"/>
      <c r="E1" s="8"/>
      <c r="F1" s="8"/>
      <c r="G1" s="8"/>
    </row>
    <row r="2" spans="2:7" ht="31.5" x14ac:dyDescent="0.25">
      <c r="B2" s="46"/>
      <c r="C2" s="61" t="s">
        <v>97</v>
      </c>
      <c r="D2" s="8"/>
      <c r="E2" s="8"/>
      <c r="F2" s="8"/>
      <c r="G2" s="8"/>
    </row>
    <row r="3" spans="2:7" ht="15.75" x14ac:dyDescent="0.25">
      <c r="B3" s="46"/>
      <c r="C3" s="61"/>
      <c r="D3" s="8"/>
      <c r="E3" s="8"/>
      <c r="F3" s="8"/>
      <c r="G3" s="8"/>
    </row>
    <row r="4" spans="2:7" ht="31.5" x14ac:dyDescent="0.25">
      <c r="B4" s="47" t="s">
        <v>11</v>
      </c>
      <c r="C4" s="32" t="s">
        <v>12</v>
      </c>
      <c r="D4" s="32" t="s">
        <v>77</v>
      </c>
      <c r="E4" s="34" t="s">
        <v>13</v>
      </c>
      <c r="F4" s="33" t="s">
        <v>99</v>
      </c>
      <c r="G4" s="35" t="s">
        <v>14</v>
      </c>
    </row>
    <row r="5" spans="2:7" ht="15.75" x14ac:dyDescent="0.25">
      <c r="B5" s="48" t="s">
        <v>2</v>
      </c>
      <c r="C5" s="12" t="s">
        <v>15</v>
      </c>
      <c r="D5" s="12"/>
      <c r="E5" s="37"/>
      <c r="F5" s="19"/>
      <c r="G5" s="19"/>
    </row>
    <row r="6" spans="2:7" ht="15.75" x14ac:dyDescent="0.25">
      <c r="B6" s="49" t="s">
        <v>16</v>
      </c>
      <c r="C6" s="9" t="s">
        <v>129</v>
      </c>
      <c r="D6" s="9"/>
      <c r="E6" s="38"/>
      <c r="F6" s="11"/>
      <c r="G6" s="11"/>
    </row>
    <row r="7" spans="2:7" ht="15.75" x14ac:dyDescent="0.25">
      <c r="B7" s="39" t="s">
        <v>17</v>
      </c>
      <c r="C7" s="1" t="s">
        <v>125</v>
      </c>
      <c r="D7" s="1" t="s">
        <v>78</v>
      </c>
      <c r="E7" s="39">
        <v>68</v>
      </c>
      <c r="F7" s="71"/>
      <c r="G7" s="4">
        <f>F7*E7</f>
        <v>0</v>
      </c>
    </row>
    <row r="8" spans="2:7" ht="15.75" x14ac:dyDescent="0.25">
      <c r="B8" s="39" t="s">
        <v>18</v>
      </c>
      <c r="C8" s="1" t="s">
        <v>126</v>
      </c>
      <c r="D8" s="1" t="s">
        <v>78</v>
      </c>
      <c r="E8" s="39">
        <v>13</v>
      </c>
      <c r="F8" s="71"/>
      <c r="G8" s="4">
        <f>F8*E8</f>
        <v>0</v>
      </c>
    </row>
    <row r="9" spans="2:7" ht="15.75" x14ac:dyDescent="0.25">
      <c r="B9" s="39" t="s">
        <v>82</v>
      </c>
      <c r="C9" s="1" t="s">
        <v>127</v>
      </c>
      <c r="D9" s="1" t="s">
        <v>78</v>
      </c>
      <c r="E9" s="39">
        <v>2</v>
      </c>
      <c r="F9" s="71"/>
      <c r="G9" s="4">
        <f>F9*E9</f>
        <v>0</v>
      </c>
    </row>
    <row r="10" spans="2:7" ht="15.75" x14ac:dyDescent="0.25">
      <c r="B10" s="50" t="s">
        <v>19</v>
      </c>
      <c r="C10" s="9" t="s">
        <v>89</v>
      </c>
      <c r="D10" s="9"/>
      <c r="E10" s="40"/>
      <c r="F10" s="11"/>
      <c r="G10" s="11"/>
    </row>
    <row r="11" spans="2:7" ht="15.75" x14ac:dyDescent="0.25">
      <c r="B11" s="39" t="s">
        <v>20</v>
      </c>
      <c r="C11" s="1" t="s">
        <v>95</v>
      </c>
      <c r="D11" s="1" t="s">
        <v>78</v>
      </c>
      <c r="E11" s="39">
        <v>83</v>
      </c>
      <c r="F11" s="71"/>
      <c r="G11" s="4">
        <f>F11*E11</f>
        <v>0</v>
      </c>
    </row>
    <row r="12" spans="2:7" s="58" customFormat="1" x14ac:dyDescent="0.25">
      <c r="B12" s="54" t="s">
        <v>21</v>
      </c>
      <c r="C12" s="55" t="s">
        <v>96</v>
      </c>
      <c r="D12" s="55" t="s">
        <v>78</v>
      </c>
      <c r="E12" s="56">
        <v>21</v>
      </c>
      <c r="F12" s="72"/>
      <c r="G12" s="57">
        <f>F12*E12</f>
        <v>0</v>
      </c>
    </row>
    <row r="13" spans="2:7" s="58" customFormat="1" x14ac:dyDescent="0.25">
      <c r="B13" s="54" t="s">
        <v>88</v>
      </c>
      <c r="C13" s="59" t="s">
        <v>24</v>
      </c>
      <c r="D13" s="59" t="s">
        <v>78</v>
      </c>
      <c r="E13" s="70">
        <v>5000</v>
      </c>
      <c r="F13" s="69">
        <v>1</v>
      </c>
      <c r="G13" s="68">
        <f>F13*E13</f>
        <v>5000</v>
      </c>
    </row>
    <row r="14" spans="2:7" ht="15.75" x14ac:dyDescent="0.25">
      <c r="B14" s="50" t="s">
        <v>22</v>
      </c>
      <c r="C14" s="9" t="s">
        <v>130</v>
      </c>
      <c r="D14" s="9"/>
      <c r="E14" s="40"/>
      <c r="F14" s="11"/>
      <c r="G14" s="11"/>
    </row>
    <row r="15" spans="2:7" ht="15.75" x14ac:dyDescent="0.25">
      <c r="B15" s="39" t="s">
        <v>23</v>
      </c>
      <c r="C15" s="1" t="s">
        <v>128</v>
      </c>
      <c r="D15" s="1" t="s">
        <v>78</v>
      </c>
      <c r="E15" s="39">
        <v>83</v>
      </c>
      <c r="F15" s="71"/>
      <c r="G15" s="4">
        <f>F15*E15</f>
        <v>0</v>
      </c>
    </row>
    <row r="16" spans="2:7" ht="15.75" x14ac:dyDescent="0.25">
      <c r="B16" s="39"/>
      <c r="C16" s="12" t="s">
        <v>25</v>
      </c>
      <c r="D16" s="12"/>
      <c r="E16" s="41"/>
      <c r="F16" s="13"/>
      <c r="G16" s="13">
        <f>SUM(G7:G15)</f>
        <v>5000</v>
      </c>
    </row>
    <row r="17" spans="2:7" ht="15.75" x14ac:dyDescent="0.25">
      <c r="B17" s="51"/>
      <c r="C17" s="3"/>
      <c r="D17" s="3"/>
      <c r="E17" s="42"/>
      <c r="F17" s="5"/>
      <c r="G17" s="5"/>
    </row>
    <row r="18" spans="2:7" ht="15.75" x14ac:dyDescent="0.25">
      <c r="B18" s="51"/>
      <c r="C18" s="2"/>
      <c r="D18" s="2"/>
      <c r="E18" s="42"/>
      <c r="F18" s="5"/>
      <c r="G18" s="5"/>
    </row>
    <row r="19" spans="2:7" ht="15.75" x14ac:dyDescent="0.25">
      <c r="B19" s="48" t="s">
        <v>26</v>
      </c>
      <c r="C19" s="12" t="s">
        <v>27</v>
      </c>
      <c r="D19" s="12"/>
      <c r="E19" s="41"/>
      <c r="F19" s="19"/>
      <c r="G19" s="19"/>
    </row>
    <row r="20" spans="2:7" ht="15.75" x14ac:dyDescent="0.25">
      <c r="B20" s="49" t="s">
        <v>28</v>
      </c>
      <c r="C20" s="9" t="s">
        <v>129</v>
      </c>
      <c r="D20" s="9"/>
      <c r="E20" s="43"/>
      <c r="F20" s="11"/>
      <c r="G20" s="11"/>
    </row>
    <row r="21" spans="2:7" ht="15.75" x14ac:dyDescent="0.25">
      <c r="B21" s="39" t="s">
        <v>29</v>
      </c>
      <c r="C21" s="1" t="s">
        <v>125</v>
      </c>
      <c r="D21" s="10" t="s">
        <v>78</v>
      </c>
      <c r="E21" s="39">
        <v>1</v>
      </c>
      <c r="F21" s="71"/>
      <c r="G21" s="4">
        <f>F21*E21</f>
        <v>0</v>
      </c>
    </row>
    <row r="22" spans="2:7" ht="15.75" x14ac:dyDescent="0.25">
      <c r="B22" s="39" t="s">
        <v>30</v>
      </c>
      <c r="C22" s="1" t="s">
        <v>126</v>
      </c>
      <c r="D22" s="10" t="s">
        <v>78</v>
      </c>
      <c r="E22" s="39">
        <v>1</v>
      </c>
      <c r="F22" s="71"/>
      <c r="G22" s="4">
        <f>F22*E22</f>
        <v>0</v>
      </c>
    </row>
    <row r="23" spans="2:7" ht="15.75" x14ac:dyDescent="0.25">
      <c r="B23" s="39" t="s">
        <v>83</v>
      </c>
      <c r="C23" s="1" t="s">
        <v>127</v>
      </c>
      <c r="D23" s="10" t="s">
        <v>78</v>
      </c>
      <c r="E23" s="39">
        <v>1</v>
      </c>
      <c r="F23" s="71"/>
      <c r="G23" s="4">
        <f>F23*E23</f>
        <v>0</v>
      </c>
    </row>
    <row r="24" spans="2:7" ht="15.75" x14ac:dyDescent="0.25">
      <c r="B24" s="50" t="s">
        <v>31</v>
      </c>
      <c r="C24" s="9" t="s">
        <v>89</v>
      </c>
      <c r="D24" s="9"/>
      <c r="E24" s="43"/>
      <c r="F24" s="11"/>
      <c r="G24" s="11"/>
    </row>
    <row r="25" spans="2:7" ht="15.75" x14ac:dyDescent="0.25">
      <c r="B25" s="39" t="s">
        <v>32</v>
      </c>
      <c r="C25" s="1" t="s">
        <v>95</v>
      </c>
      <c r="D25" s="10" t="s">
        <v>78</v>
      </c>
      <c r="E25" s="39">
        <v>83</v>
      </c>
      <c r="F25" s="71"/>
      <c r="G25" s="4">
        <f>F25*E25</f>
        <v>0</v>
      </c>
    </row>
    <row r="26" spans="2:7" ht="15.75" x14ac:dyDescent="0.25">
      <c r="B26" s="39" t="s">
        <v>33</v>
      </c>
      <c r="C26" s="55" t="s">
        <v>96</v>
      </c>
      <c r="D26" s="10" t="s">
        <v>78</v>
      </c>
      <c r="E26" s="45">
        <f>E12</f>
        <v>21</v>
      </c>
      <c r="F26" s="71"/>
      <c r="G26" s="4">
        <f>F26*E26</f>
        <v>0</v>
      </c>
    </row>
    <row r="27" spans="2:7" s="58" customFormat="1" ht="15.75" x14ac:dyDescent="0.25">
      <c r="B27" s="54" t="s">
        <v>90</v>
      </c>
      <c r="C27" s="59" t="s">
        <v>24</v>
      </c>
      <c r="D27" s="59" t="s">
        <v>78</v>
      </c>
      <c r="E27" s="70">
        <v>5000</v>
      </c>
      <c r="F27" s="69">
        <v>1</v>
      </c>
      <c r="G27" s="60">
        <f>F27*E27</f>
        <v>5000</v>
      </c>
    </row>
    <row r="28" spans="2:7" ht="15.75" x14ac:dyDescent="0.25">
      <c r="B28" s="50" t="s">
        <v>34</v>
      </c>
      <c r="C28" s="9" t="s">
        <v>130</v>
      </c>
      <c r="D28" s="9"/>
      <c r="E28" s="40"/>
      <c r="F28" s="11"/>
      <c r="G28" s="11"/>
    </row>
    <row r="29" spans="2:7" ht="15.75" x14ac:dyDescent="0.25">
      <c r="B29" s="39" t="s">
        <v>35</v>
      </c>
      <c r="C29" s="1" t="s">
        <v>128</v>
      </c>
      <c r="D29" s="10" t="s">
        <v>78</v>
      </c>
      <c r="E29" s="39">
        <v>83</v>
      </c>
      <c r="F29" s="71"/>
      <c r="G29" s="4">
        <f>F29*E29</f>
        <v>0</v>
      </c>
    </row>
    <row r="30" spans="2:7" ht="15.75" x14ac:dyDescent="0.25">
      <c r="B30" s="39"/>
      <c r="C30" s="12" t="s">
        <v>25</v>
      </c>
      <c r="D30" s="12"/>
      <c r="E30" s="41"/>
      <c r="F30" s="13"/>
      <c r="G30" s="13">
        <f>SUM(G21:G29)</f>
        <v>5000</v>
      </c>
    </row>
    <row r="31" spans="2:7" ht="15.75" x14ac:dyDescent="0.25">
      <c r="B31" s="51"/>
      <c r="C31" s="3"/>
      <c r="D31" s="3"/>
      <c r="E31" s="42"/>
      <c r="F31" s="5"/>
      <c r="G31" s="5"/>
    </row>
    <row r="32" spans="2:7" ht="15.75" x14ac:dyDescent="0.25">
      <c r="B32" s="51"/>
      <c r="C32" s="3"/>
      <c r="D32" s="3"/>
      <c r="E32" s="42"/>
      <c r="F32" s="5"/>
      <c r="G32" s="5"/>
    </row>
    <row r="33" spans="2:7" ht="15.75" x14ac:dyDescent="0.25">
      <c r="B33" s="48" t="s">
        <v>36</v>
      </c>
      <c r="C33" s="12" t="s">
        <v>37</v>
      </c>
      <c r="D33" s="12"/>
      <c r="E33" s="41"/>
      <c r="F33" s="19"/>
      <c r="G33" s="19"/>
    </row>
    <row r="34" spans="2:7" ht="15.75" x14ac:dyDescent="0.25">
      <c r="B34" s="49" t="s">
        <v>38</v>
      </c>
      <c r="C34" s="9" t="s">
        <v>129</v>
      </c>
      <c r="D34" s="9"/>
      <c r="E34" s="43"/>
      <c r="F34" s="11"/>
      <c r="G34" s="11"/>
    </row>
    <row r="35" spans="2:7" ht="15.75" x14ac:dyDescent="0.25">
      <c r="B35" s="39" t="s">
        <v>39</v>
      </c>
      <c r="C35" s="1" t="s">
        <v>125</v>
      </c>
      <c r="D35" s="10" t="s">
        <v>78</v>
      </c>
      <c r="E35" s="39">
        <v>1</v>
      </c>
      <c r="F35" s="71"/>
      <c r="G35" s="4">
        <f>F35*E35</f>
        <v>0</v>
      </c>
    </row>
    <row r="36" spans="2:7" ht="15.75" x14ac:dyDescent="0.25">
      <c r="B36" s="39" t="s">
        <v>40</v>
      </c>
      <c r="C36" s="1" t="s">
        <v>126</v>
      </c>
      <c r="D36" s="10" t="s">
        <v>78</v>
      </c>
      <c r="E36" s="39">
        <v>1</v>
      </c>
      <c r="F36" s="71"/>
      <c r="G36" s="4">
        <f>F36*E36</f>
        <v>0</v>
      </c>
    </row>
    <row r="37" spans="2:7" ht="15.75" x14ac:dyDescent="0.25">
      <c r="B37" s="39" t="s">
        <v>84</v>
      </c>
      <c r="C37" s="1" t="s">
        <v>127</v>
      </c>
      <c r="D37" s="10" t="s">
        <v>78</v>
      </c>
      <c r="E37" s="39">
        <v>1</v>
      </c>
      <c r="F37" s="71"/>
      <c r="G37" s="4">
        <f>F37*E37</f>
        <v>0</v>
      </c>
    </row>
    <row r="38" spans="2:7" ht="15.75" x14ac:dyDescent="0.25">
      <c r="B38" s="50" t="s">
        <v>41</v>
      </c>
      <c r="C38" s="9" t="s">
        <v>89</v>
      </c>
      <c r="D38" s="9"/>
      <c r="E38" s="43"/>
      <c r="F38" s="11"/>
      <c r="G38" s="11"/>
    </row>
    <row r="39" spans="2:7" ht="15.75" x14ac:dyDescent="0.25">
      <c r="B39" s="39" t="s">
        <v>42</v>
      </c>
      <c r="C39" s="1" t="s">
        <v>95</v>
      </c>
      <c r="D39" s="10" t="s">
        <v>78</v>
      </c>
      <c r="E39" s="39">
        <v>83</v>
      </c>
      <c r="F39" s="71"/>
      <c r="G39" s="4">
        <f>F39*E39</f>
        <v>0</v>
      </c>
    </row>
    <row r="40" spans="2:7" ht="15.75" x14ac:dyDescent="0.25">
      <c r="B40" s="39" t="s">
        <v>43</v>
      </c>
      <c r="C40" s="55" t="s">
        <v>96</v>
      </c>
      <c r="D40" s="10" t="s">
        <v>78</v>
      </c>
      <c r="E40" s="45">
        <f>E26</f>
        <v>21</v>
      </c>
      <c r="F40" s="71"/>
      <c r="G40" s="4">
        <f>F40*E40</f>
        <v>0</v>
      </c>
    </row>
    <row r="41" spans="2:7" ht="15.75" x14ac:dyDescent="0.25">
      <c r="B41" s="39" t="s">
        <v>91</v>
      </c>
      <c r="C41" s="59" t="s">
        <v>24</v>
      </c>
      <c r="D41" s="10" t="s">
        <v>78</v>
      </c>
      <c r="E41" s="70">
        <v>5000</v>
      </c>
      <c r="F41" s="69">
        <v>1</v>
      </c>
      <c r="G41" s="18">
        <f>F41*E41</f>
        <v>5000</v>
      </c>
    </row>
    <row r="42" spans="2:7" ht="15.75" x14ac:dyDescent="0.25">
      <c r="B42" s="50" t="s">
        <v>44</v>
      </c>
      <c r="C42" s="9" t="s">
        <v>130</v>
      </c>
      <c r="D42" s="9"/>
      <c r="E42" s="40"/>
      <c r="F42" s="11"/>
      <c r="G42" s="11"/>
    </row>
    <row r="43" spans="2:7" ht="15.75" x14ac:dyDescent="0.25">
      <c r="B43" s="39" t="s">
        <v>45</v>
      </c>
      <c r="C43" s="1" t="s">
        <v>128</v>
      </c>
      <c r="D43" s="10" t="s">
        <v>78</v>
      </c>
      <c r="E43" s="39">
        <v>83</v>
      </c>
      <c r="F43" s="71"/>
      <c r="G43" s="4">
        <f>F43*E43</f>
        <v>0</v>
      </c>
    </row>
    <row r="44" spans="2:7" ht="15.75" x14ac:dyDescent="0.25">
      <c r="B44" s="39"/>
      <c r="C44" s="12" t="s">
        <v>46</v>
      </c>
      <c r="D44" s="12"/>
      <c r="E44" s="41"/>
      <c r="F44" s="13"/>
      <c r="G44" s="13">
        <f>SUM(G35:G43)</f>
        <v>5000</v>
      </c>
    </row>
    <row r="45" spans="2:7" ht="15.75" x14ac:dyDescent="0.25">
      <c r="B45" s="51"/>
      <c r="C45" s="3"/>
      <c r="D45" s="3"/>
      <c r="E45" s="42"/>
      <c r="F45" s="5"/>
      <c r="G45" s="5"/>
    </row>
    <row r="46" spans="2:7" ht="15.75" x14ac:dyDescent="0.25">
      <c r="B46" s="52"/>
      <c r="C46" s="2"/>
      <c r="D46" s="2"/>
      <c r="E46" s="42"/>
      <c r="F46" s="6"/>
      <c r="G46" s="6"/>
    </row>
    <row r="47" spans="2:7" ht="15.75" x14ac:dyDescent="0.25">
      <c r="B47" s="48" t="s">
        <v>47</v>
      </c>
      <c r="C47" s="12" t="s">
        <v>48</v>
      </c>
      <c r="D47" s="12"/>
      <c r="E47" s="41"/>
      <c r="F47" s="19"/>
      <c r="G47" s="19"/>
    </row>
    <row r="48" spans="2:7" ht="15.75" x14ac:dyDescent="0.25">
      <c r="B48" s="49" t="s">
        <v>49</v>
      </c>
      <c r="C48" s="9" t="s">
        <v>129</v>
      </c>
      <c r="D48" s="9"/>
      <c r="E48" s="43"/>
      <c r="F48" s="11"/>
      <c r="G48" s="11"/>
    </row>
    <row r="49" spans="2:7" ht="15.75" x14ac:dyDescent="0.25">
      <c r="B49" s="39" t="s">
        <v>50</v>
      </c>
      <c r="C49" s="1" t="s">
        <v>125</v>
      </c>
      <c r="D49" s="10" t="s">
        <v>78</v>
      </c>
      <c r="E49" s="39">
        <v>1</v>
      </c>
      <c r="F49" s="14"/>
      <c r="G49" s="4">
        <f>F49*E49</f>
        <v>0</v>
      </c>
    </row>
    <row r="50" spans="2:7" ht="15.75" x14ac:dyDescent="0.25">
      <c r="B50" s="39" t="s">
        <v>51</v>
      </c>
      <c r="C50" s="1" t="s">
        <v>126</v>
      </c>
      <c r="D50" s="10" t="s">
        <v>78</v>
      </c>
      <c r="E50" s="39">
        <v>1</v>
      </c>
      <c r="F50" s="14"/>
      <c r="G50" s="4">
        <f>F50*E50</f>
        <v>0</v>
      </c>
    </row>
    <row r="51" spans="2:7" ht="15.75" x14ac:dyDescent="0.25">
      <c r="B51" s="39" t="s">
        <v>85</v>
      </c>
      <c r="C51" s="1" t="s">
        <v>127</v>
      </c>
      <c r="D51" s="10" t="s">
        <v>78</v>
      </c>
      <c r="E51" s="39">
        <v>1</v>
      </c>
      <c r="F51" s="14"/>
      <c r="G51" s="4">
        <f>F51*E51</f>
        <v>0</v>
      </c>
    </row>
    <row r="52" spans="2:7" ht="15.75" x14ac:dyDescent="0.25">
      <c r="B52" s="50" t="s">
        <v>52</v>
      </c>
      <c r="C52" s="9" t="s">
        <v>89</v>
      </c>
      <c r="D52" s="9"/>
      <c r="E52" s="43"/>
      <c r="F52" s="11"/>
      <c r="G52" s="11"/>
    </row>
    <row r="53" spans="2:7" ht="15.75" x14ac:dyDescent="0.25">
      <c r="B53" s="39" t="s">
        <v>53</v>
      </c>
      <c r="C53" s="1" t="s">
        <v>95</v>
      </c>
      <c r="D53" s="10" t="s">
        <v>78</v>
      </c>
      <c r="E53" s="39">
        <v>83</v>
      </c>
      <c r="F53" s="14"/>
      <c r="G53" s="4">
        <f>F53*E53</f>
        <v>0</v>
      </c>
    </row>
    <row r="54" spans="2:7" ht="15.75" x14ac:dyDescent="0.25">
      <c r="B54" s="39" t="s">
        <v>54</v>
      </c>
      <c r="C54" s="55" t="s">
        <v>96</v>
      </c>
      <c r="D54" s="10" t="s">
        <v>78</v>
      </c>
      <c r="E54" s="45">
        <f>E40</f>
        <v>21</v>
      </c>
      <c r="F54" s="14"/>
      <c r="G54" s="4">
        <f>F54*E54</f>
        <v>0</v>
      </c>
    </row>
    <row r="55" spans="2:7" ht="15.75" x14ac:dyDescent="0.25">
      <c r="B55" s="39" t="s">
        <v>92</v>
      </c>
      <c r="C55" s="59" t="s">
        <v>24</v>
      </c>
      <c r="D55" s="10" t="s">
        <v>78</v>
      </c>
      <c r="E55" s="70">
        <v>5000</v>
      </c>
      <c r="F55" s="69">
        <v>1</v>
      </c>
      <c r="G55" s="18">
        <f>F55*E55</f>
        <v>5000</v>
      </c>
    </row>
    <row r="56" spans="2:7" ht="15.75" x14ac:dyDescent="0.25">
      <c r="B56" s="50" t="s">
        <v>55</v>
      </c>
      <c r="C56" s="9" t="s">
        <v>130</v>
      </c>
      <c r="D56" s="9"/>
      <c r="E56" s="40"/>
      <c r="F56" s="11"/>
      <c r="G56" s="11"/>
    </row>
    <row r="57" spans="2:7" ht="15.75" x14ac:dyDescent="0.25">
      <c r="B57" s="39" t="s">
        <v>56</v>
      </c>
      <c r="C57" s="1" t="s">
        <v>128</v>
      </c>
      <c r="D57" s="10" t="s">
        <v>78</v>
      </c>
      <c r="E57" s="39">
        <v>83</v>
      </c>
      <c r="F57" s="14"/>
      <c r="G57" s="4">
        <f>F57*E57</f>
        <v>0</v>
      </c>
    </row>
    <row r="58" spans="2:7" ht="15.75" x14ac:dyDescent="0.25">
      <c r="B58" s="39"/>
      <c r="C58" s="12" t="s">
        <v>25</v>
      </c>
      <c r="D58" s="12"/>
      <c r="E58" s="41"/>
      <c r="F58" s="13"/>
      <c r="G58" s="13">
        <f>SUM(G48:G57)</f>
        <v>5000</v>
      </c>
    </row>
    <row r="59" spans="2:7" ht="15.75" x14ac:dyDescent="0.25">
      <c r="B59" s="51"/>
      <c r="C59" s="3"/>
      <c r="D59" s="3"/>
      <c r="E59" s="42"/>
      <c r="F59" s="5"/>
      <c r="G59" s="5"/>
    </row>
    <row r="60" spans="2:7" ht="15.75" x14ac:dyDescent="0.25">
      <c r="B60" s="52"/>
      <c r="C60" s="2"/>
      <c r="D60" s="2"/>
      <c r="E60" s="42"/>
      <c r="F60" s="6"/>
      <c r="G60" s="6"/>
    </row>
    <row r="61" spans="2:7" ht="15.75" x14ac:dyDescent="0.25">
      <c r="B61" s="48" t="s">
        <v>57</v>
      </c>
      <c r="C61" s="12" t="s">
        <v>58</v>
      </c>
      <c r="D61" s="12"/>
      <c r="E61" s="41"/>
      <c r="F61" s="19"/>
      <c r="G61" s="19"/>
    </row>
    <row r="62" spans="2:7" ht="15.75" x14ac:dyDescent="0.25">
      <c r="B62" s="49" t="s">
        <v>59</v>
      </c>
      <c r="C62" s="9" t="s">
        <v>129</v>
      </c>
      <c r="D62" s="9"/>
      <c r="E62" s="43"/>
      <c r="F62" s="11"/>
      <c r="G62" s="11"/>
    </row>
    <row r="63" spans="2:7" ht="15.75" x14ac:dyDescent="0.25">
      <c r="B63" s="39" t="s">
        <v>60</v>
      </c>
      <c r="C63" s="1" t="s">
        <v>125</v>
      </c>
      <c r="D63" s="10" t="s">
        <v>78</v>
      </c>
      <c r="E63" s="39">
        <v>1</v>
      </c>
      <c r="F63" s="14"/>
      <c r="G63" s="4">
        <f>F63*E63</f>
        <v>0</v>
      </c>
    </row>
    <row r="64" spans="2:7" ht="15.75" x14ac:dyDescent="0.25">
      <c r="B64" s="39" t="s">
        <v>61</v>
      </c>
      <c r="C64" s="1" t="s">
        <v>126</v>
      </c>
      <c r="D64" s="10" t="s">
        <v>78</v>
      </c>
      <c r="E64" s="39">
        <v>1</v>
      </c>
      <c r="F64" s="14"/>
      <c r="G64" s="4">
        <f>F64*E64</f>
        <v>0</v>
      </c>
    </row>
    <row r="65" spans="2:7" ht="15.75" x14ac:dyDescent="0.25">
      <c r="B65" s="39" t="s">
        <v>86</v>
      </c>
      <c r="C65" s="1" t="s">
        <v>127</v>
      </c>
      <c r="D65" s="10" t="s">
        <v>78</v>
      </c>
      <c r="E65" s="39">
        <v>1</v>
      </c>
      <c r="F65" s="14"/>
      <c r="G65" s="4">
        <f>F65*E65</f>
        <v>0</v>
      </c>
    </row>
    <row r="66" spans="2:7" ht="15.75" x14ac:dyDescent="0.25">
      <c r="B66" s="50" t="s">
        <v>62</v>
      </c>
      <c r="C66" s="9" t="s">
        <v>89</v>
      </c>
      <c r="D66" s="9"/>
      <c r="E66" s="43"/>
      <c r="F66" s="11"/>
      <c r="G66" s="11"/>
    </row>
    <row r="67" spans="2:7" ht="15.75" x14ac:dyDescent="0.25">
      <c r="B67" s="39" t="s">
        <v>63</v>
      </c>
      <c r="C67" s="1" t="s">
        <v>95</v>
      </c>
      <c r="D67" s="10" t="s">
        <v>78</v>
      </c>
      <c r="E67" s="39">
        <v>83</v>
      </c>
      <c r="F67" s="14"/>
      <c r="G67" s="4">
        <f>F67*E67</f>
        <v>0</v>
      </c>
    </row>
    <row r="68" spans="2:7" ht="15.75" x14ac:dyDescent="0.25">
      <c r="B68" s="39" t="s">
        <v>64</v>
      </c>
      <c r="C68" s="55" t="s">
        <v>96</v>
      </c>
      <c r="D68" s="10" t="s">
        <v>78</v>
      </c>
      <c r="E68" s="45">
        <f>E54</f>
        <v>21</v>
      </c>
      <c r="F68" s="14"/>
      <c r="G68" s="4">
        <f>F68*E68</f>
        <v>0</v>
      </c>
    </row>
    <row r="69" spans="2:7" ht="15.75" x14ac:dyDescent="0.25">
      <c r="B69" s="39" t="s">
        <v>93</v>
      </c>
      <c r="C69" s="59" t="s">
        <v>24</v>
      </c>
      <c r="D69" s="10" t="s">
        <v>78</v>
      </c>
      <c r="E69" s="70">
        <v>5000</v>
      </c>
      <c r="F69" s="69">
        <v>1</v>
      </c>
      <c r="G69" s="18">
        <f>F69*E69</f>
        <v>5000</v>
      </c>
    </row>
    <row r="70" spans="2:7" ht="15.75" x14ac:dyDescent="0.25">
      <c r="B70" s="50" t="s">
        <v>65</v>
      </c>
      <c r="C70" s="9" t="s">
        <v>130</v>
      </c>
      <c r="D70" s="9"/>
      <c r="E70" s="40"/>
      <c r="F70" s="11"/>
      <c r="G70" s="11"/>
    </row>
    <row r="71" spans="2:7" ht="15.75" x14ac:dyDescent="0.25">
      <c r="B71" s="39" t="s">
        <v>66</v>
      </c>
      <c r="C71" s="1" t="s">
        <v>128</v>
      </c>
      <c r="D71" s="10" t="s">
        <v>78</v>
      </c>
      <c r="E71" s="39">
        <v>83</v>
      </c>
      <c r="F71" s="14"/>
      <c r="G71" s="4">
        <f>F71*E71</f>
        <v>0</v>
      </c>
    </row>
    <row r="72" spans="2:7" ht="15.75" x14ac:dyDescent="0.25">
      <c r="B72" s="39"/>
      <c r="C72" s="12" t="s">
        <v>25</v>
      </c>
      <c r="D72" s="12"/>
      <c r="E72" s="41"/>
      <c r="F72" s="13"/>
      <c r="G72" s="13">
        <f>SUM(G63:G71)</f>
        <v>5000</v>
      </c>
    </row>
    <row r="73" spans="2:7" x14ac:dyDescent="0.25">
      <c r="E73" s="44"/>
    </row>
    <row r="74" spans="2:7" ht="15.75" x14ac:dyDescent="0.25">
      <c r="B74" s="48" t="s">
        <v>10</v>
      </c>
      <c r="C74" s="12" t="s">
        <v>67</v>
      </c>
      <c r="D74" s="12"/>
      <c r="E74" s="41"/>
      <c r="F74" s="19"/>
      <c r="G74" s="19"/>
    </row>
    <row r="75" spans="2:7" ht="15.75" x14ac:dyDescent="0.25">
      <c r="B75" s="49" t="s">
        <v>68</v>
      </c>
      <c r="C75" s="9" t="s">
        <v>129</v>
      </c>
      <c r="D75" s="9"/>
      <c r="E75" s="43"/>
      <c r="F75" s="11"/>
      <c r="G75" s="11"/>
    </row>
    <row r="76" spans="2:7" ht="15.75" x14ac:dyDescent="0.25">
      <c r="B76" s="39" t="s">
        <v>69</v>
      </c>
      <c r="C76" s="1" t="s">
        <v>125</v>
      </c>
      <c r="D76" s="10" t="s">
        <v>78</v>
      </c>
      <c r="E76" s="39">
        <v>1</v>
      </c>
      <c r="F76" s="14"/>
      <c r="G76" s="4">
        <f>F76*E76</f>
        <v>0</v>
      </c>
    </row>
    <row r="77" spans="2:7" ht="15.75" x14ac:dyDescent="0.25">
      <c r="B77" s="39" t="s">
        <v>70</v>
      </c>
      <c r="C77" s="1" t="s">
        <v>126</v>
      </c>
      <c r="D77" s="10" t="s">
        <v>78</v>
      </c>
      <c r="E77" s="39">
        <v>1</v>
      </c>
      <c r="F77" s="14"/>
      <c r="G77" s="4">
        <f>F77*E77</f>
        <v>0</v>
      </c>
    </row>
    <row r="78" spans="2:7" ht="15.75" x14ac:dyDescent="0.25">
      <c r="B78" s="39" t="s">
        <v>87</v>
      </c>
      <c r="C78" s="1" t="s">
        <v>127</v>
      </c>
      <c r="D78" s="10" t="s">
        <v>78</v>
      </c>
      <c r="E78" s="39">
        <v>1</v>
      </c>
      <c r="F78" s="14"/>
      <c r="G78" s="4">
        <f>F78*E78</f>
        <v>0</v>
      </c>
    </row>
    <row r="79" spans="2:7" ht="15.75" x14ac:dyDescent="0.25">
      <c r="B79" s="50" t="s">
        <v>71</v>
      </c>
      <c r="C79" s="9" t="s">
        <v>89</v>
      </c>
      <c r="D79" s="9"/>
      <c r="E79" s="43"/>
      <c r="F79" s="11"/>
      <c r="G79" s="11"/>
    </row>
    <row r="80" spans="2:7" ht="15.75" x14ac:dyDescent="0.25">
      <c r="B80" s="39" t="s">
        <v>72</v>
      </c>
      <c r="C80" s="1" t="s">
        <v>95</v>
      </c>
      <c r="D80" s="10" t="s">
        <v>78</v>
      </c>
      <c r="E80" s="39">
        <v>43</v>
      </c>
      <c r="F80" s="14"/>
      <c r="G80" s="4">
        <f>F80*E80</f>
        <v>0</v>
      </c>
    </row>
    <row r="81" spans="2:7" ht="15.75" x14ac:dyDescent="0.25">
      <c r="B81" s="39" t="s">
        <v>73</v>
      </c>
      <c r="C81" s="55" t="s">
        <v>96</v>
      </c>
      <c r="D81" s="10" t="s">
        <v>78</v>
      </c>
      <c r="E81" s="39">
        <v>11</v>
      </c>
      <c r="F81" s="14"/>
      <c r="G81" s="4">
        <f>F81*E81</f>
        <v>0</v>
      </c>
    </row>
    <row r="82" spans="2:7" ht="15.75" x14ac:dyDescent="0.25">
      <c r="B82" s="39" t="s">
        <v>94</v>
      </c>
      <c r="C82" s="59" t="s">
        <v>131</v>
      </c>
      <c r="D82" s="10" t="s">
        <v>78</v>
      </c>
      <c r="E82" s="70">
        <v>2500</v>
      </c>
      <c r="F82" s="69">
        <v>1</v>
      </c>
      <c r="G82" s="18">
        <f>F82*E82</f>
        <v>2500</v>
      </c>
    </row>
    <row r="83" spans="2:7" ht="15.75" x14ac:dyDescent="0.25">
      <c r="B83" s="50" t="s">
        <v>74</v>
      </c>
      <c r="C83" s="9" t="s">
        <v>130</v>
      </c>
      <c r="D83" s="9"/>
      <c r="E83" s="40"/>
      <c r="F83" s="11"/>
      <c r="G83" s="11"/>
    </row>
    <row r="84" spans="2:7" ht="15.75" x14ac:dyDescent="0.25">
      <c r="B84" s="39" t="s">
        <v>75</v>
      </c>
      <c r="C84" s="1" t="s">
        <v>128</v>
      </c>
      <c r="D84" s="10" t="s">
        <v>78</v>
      </c>
      <c r="E84" s="39">
        <v>83</v>
      </c>
      <c r="F84" s="14"/>
      <c r="G84" s="4">
        <f>F84*E84</f>
        <v>0</v>
      </c>
    </row>
    <row r="85" spans="2:7" ht="15.75" x14ac:dyDescent="0.25">
      <c r="B85" s="39"/>
      <c r="C85" s="12" t="s">
        <v>25</v>
      </c>
      <c r="D85" s="12"/>
      <c r="E85" s="37"/>
      <c r="F85" s="13"/>
      <c r="G85" s="13">
        <f>SUM(G76:G84)</f>
        <v>2500</v>
      </c>
    </row>
    <row r="86" spans="2:7" ht="15.75" x14ac:dyDescent="0.25">
      <c r="C86" s="12" t="s">
        <v>76</v>
      </c>
      <c r="D86" s="12"/>
      <c r="E86" s="16"/>
      <c r="F86" s="15"/>
      <c r="G86" s="17">
        <f>G16+G30+G44+G58+G72+G85</f>
        <v>27500</v>
      </c>
    </row>
    <row r="88" spans="2:7" ht="31.5" x14ac:dyDescent="0.25">
      <c r="B88" s="46"/>
      <c r="C88" s="61" t="s">
        <v>97</v>
      </c>
      <c r="D88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C9B9-D29E-45F0-9205-0F2CD4725A9E}">
  <sheetPr>
    <pageSetUpPr fitToPage="1"/>
  </sheetPr>
  <dimension ref="A1:D22"/>
  <sheetViews>
    <sheetView zoomScaleNormal="100" workbookViewId="0">
      <selection activeCell="C18" sqref="C18"/>
    </sheetView>
  </sheetViews>
  <sheetFormatPr defaultRowHeight="15" x14ac:dyDescent="0.25"/>
  <cols>
    <col min="1" max="1" width="5.85546875" customWidth="1"/>
    <col min="2" max="2" width="36.5703125" bestFit="1" customWidth="1"/>
    <col min="3" max="3" width="34" customWidth="1"/>
    <col min="4" max="4" width="19" customWidth="1"/>
    <col min="5" max="5" width="14.5703125" customWidth="1"/>
    <col min="6" max="6" width="9.140625" customWidth="1"/>
    <col min="7" max="7" width="29.7109375" customWidth="1"/>
  </cols>
  <sheetData>
    <row r="1" spans="2:4" x14ac:dyDescent="0.25">
      <c r="B1" s="73" t="s">
        <v>97</v>
      </c>
      <c r="C1" s="74"/>
      <c r="D1" s="74"/>
    </row>
    <row r="2" spans="2:4" x14ac:dyDescent="0.25">
      <c r="B2" s="74"/>
      <c r="C2" s="74"/>
      <c r="D2" s="74"/>
    </row>
    <row r="3" spans="2:4" ht="18.75" x14ac:dyDescent="0.3">
      <c r="B3" s="75"/>
      <c r="C3" s="75"/>
      <c r="D3" s="75"/>
    </row>
    <row r="4" spans="2:4" ht="18.75" x14ac:dyDescent="0.3">
      <c r="B4" s="75" t="s">
        <v>98</v>
      </c>
      <c r="C4" s="75"/>
      <c r="D4" s="75"/>
    </row>
    <row r="5" spans="2:4" ht="17.45" customHeight="1" x14ac:dyDescent="0.3">
      <c r="B5" s="75" t="s">
        <v>80</v>
      </c>
      <c r="C5" s="75"/>
      <c r="D5" s="75"/>
    </row>
    <row r="6" spans="2:4" ht="18.75" x14ac:dyDescent="0.3">
      <c r="B6" s="75" t="s">
        <v>0</v>
      </c>
      <c r="C6" s="75"/>
      <c r="D6" s="75"/>
    </row>
    <row r="7" spans="2:4" ht="15" customHeight="1" thickBot="1" x14ac:dyDescent="0.3"/>
    <row r="8" spans="2:4" s="22" customFormat="1" ht="15.75" x14ac:dyDescent="0.25">
      <c r="B8" s="20" t="s">
        <v>79</v>
      </c>
      <c r="C8" s="21" t="s">
        <v>1</v>
      </c>
    </row>
    <row r="9" spans="2:4" s="22" customFormat="1" ht="15.75" x14ac:dyDescent="0.25">
      <c r="B9" s="23" t="s">
        <v>2</v>
      </c>
      <c r="C9" s="24">
        <f>'Pricing input'!G16</f>
        <v>5000</v>
      </c>
    </row>
    <row r="10" spans="2:4" s="22" customFormat="1" ht="15.75" x14ac:dyDescent="0.25">
      <c r="B10" s="23" t="s">
        <v>3</v>
      </c>
      <c r="C10" s="24">
        <f>'Pricing input'!G30</f>
        <v>5000</v>
      </c>
    </row>
    <row r="11" spans="2:4" s="22" customFormat="1" ht="15.75" x14ac:dyDescent="0.25">
      <c r="B11" s="23" t="s">
        <v>4</v>
      </c>
      <c r="C11" s="24">
        <f>'Pricing input'!G44</f>
        <v>5000</v>
      </c>
    </row>
    <row r="12" spans="2:4" s="22" customFormat="1" ht="15.75" x14ac:dyDescent="0.25">
      <c r="B12" s="23" t="s">
        <v>5</v>
      </c>
      <c r="C12" s="24">
        <f>'Pricing input'!G58</f>
        <v>5000</v>
      </c>
    </row>
    <row r="13" spans="2:4" s="22" customFormat="1" ht="15.75" x14ac:dyDescent="0.25">
      <c r="B13" s="23" t="s">
        <v>6</v>
      </c>
      <c r="C13" s="24">
        <f>'Pricing input'!G72</f>
        <v>5000</v>
      </c>
    </row>
    <row r="14" spans="2:4" s="22" customFormat="1" ht="16.5" thickBot="1" x14ac:dyDescent="0.3">
      <c r="B14" s="25" t="s">
        <v>7</v>
      </c>
      <c r="C14" s="24">
        <f>SUM(C9:C13)</f>
        <v>25000</v>
      </c>
    </row>
    <row r="15" spans="2:4" ht="15.75" x14ac:dyDescent="0.25">
      <c r="B15" s="26" t="s">
        <v>8</v>
      </c>
      <c r="C15" s="27" t="s">
        <v>9</v>
      </c>
    </row>
    <row r="16" spans="2:4" ht="15.75" x14ac:dyDescent="0.25">
      <c r="B16" s="28" t="s">
        <v>81</v>
      </c>
      <c r="C16" s="29">
        <f>SUM(C9:C13)</f>
        <v>25000</v>
      </c>
    </row>
    <row r="17" spans="1:4" ht="15.75" x14ac:dyDescent="0.25">
      <c r="B17" s="28" t="s">
        <v>10</v>
      </c>
      <c r="C17" s="29">
        <f>'Pricing input'!G85</f>
        <v>2500</v>
      </c>
    </row>
    <row r="18" spans="1:4" ht="16.5" thickBot="1" x14ac:dyDescent="0.3">
      <c r="B18" s="30" t="s">
        <v>7</v>
      </c>
      <c r="C18" s="31">
        <f>SUM(C16:C17)</f>
        <v>27500</v>
      </c>
    </row>
    <row r="20" spans="1:4" ht="14.45" customHeight="1" x14ac:dyDescent="0.25">
      <c r="B20" s="74"/>
      <c r="C20" s="74"/>
      <c r="D20" s="74"/>
    </row>
    <row r="21" spans="1:4" ht="14.45" customHeight="1" x14ac:dyDescent="0.25">
      <c r="A21" s="73" t="s">
        <v>97</v>
      </c>
      <c r="B21" s="74"/>
      <c r="C21" s="74"/>
    </row>
    <row r="22" spans="1:4" x14ac:dyDescent="0.25">
      <c r="A22" s="74"/>
      <c r="B22" s="74"/>
      <c r="C22" s="74"/>
    </row>
  </sheetData>
  <sheetProtection algorithmName="SHA-512" hashValue="3PCbl/UK26Y/f7ord2yD0eoi4gdOgxFp8VqdTx/LXnsFQtaNfACkgorzcQqTdxn76Da41/6c7QakiJZv/rw48w==" saltValue="7X9DCOWuOkBH7aILVWkIIw==" spinCount="100000" sheet="1" objects="1" scenarios="1"/>
  <mergeCells count="7">
    <mergeCell ref="A21:C22"/>
    <mergeCell ref="B20:D20"/>
    <mergeCell ref="B1:D2"/>
    <mergeCell ref="B3:D3"/>
    <mergeCell ref="B4:D4"/>
    <mergeCell ref="B5:D5"/>
    <mergeCell ref="B6:D6"/>
  </mergeCells>
  <pageMargins left="0.2" right="0" top="0.25" bottom="0.25" header="0.3" footer="0.3"/>
  <pageSetup scale="80" orientation="portrait" r:id="rId1"/>
  <headerFooter>
    <oddFooter xml:space="preserve">&amp;CControlled Unclassified Information (CUI)
Source Selection Information - See FAR 2.101 and 3.104
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98FA2F4DBC7947AD140E0E7B457240" ma:contentTypeVersion="18" ma:contentTypeDescription="Create a new document." ma:contentTypeScope="" ma:versionID="2cc6a41d7beb279ab0a8e08015d55f3f">
  <xsd:schema xmlns:xsd="http://www.w3.org/2001/XMLSchema" xmlns:xs="http://www.w3.org/2001/XMLSchema" xmlns:p="http://schemas.microsoft.com/office/2006/metadata/properties" xmlns:ns1="http://schemas.microsoft.com/sharepoint/v3" xmlns:ns2="ea060dc6-3480-4c8e-809c-224405e03b9e" xmlns:ns3="ff559184-0d06-4629-a649-4481ff06bf8b" targetNamespace="http://schemas.microsoft.com/office/2006/metadata/properties" ma:root="true" ma:fieldsID="aa0bd3490cba307ee0489331013c453c" ns1:_="" ns2:_="" ns3:_="">
    <xsd:import namespace="http://schemas.microsoft.com/sharepoint/v3"/>
    <xsd:import namespace="ea060dc6-3480-4c8e-809c-224405e03b9e"/>
    <xsd:import namespace="ff559184-0d06-4629-a649-4481ff06bf8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060dc6-3480-4c8e-809c-224405e03b9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df072a5-769d-472a-8166-36f66dcee0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59184-0d06-4629-a649-4481ff06bf8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81dc9e0-ff9d-4700-82ee-45ef04a8a585}" ma:internalName="TaxCatchAll" ma:showField="CatchAllData" ma:web="ff559184-0d06-4629-a649-4481ff06bf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ea060dc6-3480-4c8e-809c-224405e03b9e">
      <Terms xmlns="http://schemas.microsoft.com/office/infopath/2007/PartnerControls"/>
    </lcf76f155ced4ddcb4097134ff3c332f>
    <TaxCatchAll xmlns="ff559184-0d06-4629-a649-4481ff06bf8b" xsi:nil="true"/>
  </documentManagement>
</p:properties>
</file>

<file path=customXml/itemProps1.xml><?xml version="1.0" encoding="utf-8"?>
<ds:datastoreItem xmlns:ds="http://schemas.openxmlformats.org/officeDocument/2006/customXml" ds:itemID="{0C21D82B-7D0F-496C-A01E-2C2CB83125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a060dc6-3480-4c8e-809c-224405e03b9e"/>
    <ds:schemaRef ds:uri="ff559184-0d06-4629-a649-4481ff06bf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7DE487-E8E9-44C7-8061-94CF658594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6EE52B-5581-4025-A14F-363D4A4C78D7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f4d71bb0-03a8-431c-885f-ba2c89b96acf"/>
    <ds:schemaRef ds:uri="http://schemas.openxmlformats.org/package/2006/metadata/core-properties"/>
    <ds:schemaRef ds:uri="b87ee952-581c-4be2-88fd-081ace94adf6"/>
    <ds:schemaRef ds:uri="http://schemas.microsoft.com/sharepoint/v3"/>
    <ds:schemaRef ds:uri="ea060dc6-3480-4c8e-809c-224405e03b9e"/>
    <ds:schemaRef ds:uri="ff559184-0d06-4629-a649-4481ff06bf8b"/>
  </ds:schemaRefs>
</ds:datastoreItem>
</file>

<file path=docMetadata/LabelInfo.xml><?xml version="1.0" encoding="utf-8"?>
<clbl:labelList xmlns:clbl="http://schemas.microsoft.com/office/2020/mipLabelMetadata">
  <clbl:label id="{ce0f7be2-a755-4893-8d70-2b153371922c}" enabled="0" method="" siteId="{ce0f7be2-a755-4893-8d70-2b15337192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Pricing input</vt:lpstr>
      <vt:lpstr>Summary</vt:lpstr>
    </vt:vector>
  </TitlesOfParts>
  <Manager/>
  <Company>DoDEA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Pak, Kyehyong Mr. CIV OSD/DoDEA-Pacific</dc:creator>
  <cp:keywords/>
  <dc:description/>
  <cp:lastModifiedBy>Infante, David A. Mr. CIV OSW/DoWEA-HQ</cp:lastModifiedBy>
  <cp:revision/>
  <cp:lastPrinted>2026-03-03T02:00:51Z</cp:lastPrinted>
  <dcterms:created xsi:type="dcterms:W3CDTF">2024-03-22T03:54:42Z</dcterms:created>
  <dcterms:modified xsi:type="dcterms:W3CDTF">2026-04-28T19:44:58Z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0x0101004798FA2F4DBC7947AD140E0E7B457240</vt:lpwstr>
  </property>
  <property fmtid="{D5CDD505-2E9C-101B-9397-08002B2CF9AE}" pid="3" name="MediaServiceImageTags">
    <vt:lpwstr/>
  </property>
</Properties>
</file>