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.sharepoint-mil.us/teams/CCRI-ONA_TeamCarlough/Shared Documents/Casework/Tracy Yager/7355 - M48 Filter Coating Painting - Price Matrix/"/>
    </mc:Choice>
  </mc:AlternateContent>
  <xr:revisionPtr revIDLastSave="485" documentId="8_{8219996F-8CB8-4578-81A5-E080DA8BE6F5}" xr6:coauthVersionLast="47" xr6:coauthVersionMax="47" xr10:uidLastSave="{0365204B-B8DE-49DA-8BB9-FE5EC6542214}"/>
  <workbookProtection workbookAlgorithmName="SHA-512" workbookHashValue="2b4D0PnLA/zbcMXWbW5LOYg2vpqrplK/W6bOv/Kr/2Q6R6fYKB9S+AB/msYfrMNsZBpbu6dyrlT9JafyJ+dcAg==" workbookSaltValue="775PbMkZEUwpi2E98UTifw==" workbookSpinCount="100000" lockStructure="1"/>
  <bookViews>
    <workbookView xWindow="1152" yWindow="1140" windowWidth="21600" windowHeight="11100" activeTab="1" xr2:uid="{53CCE2BA-F758-409E-8E22-E082E77A4D29}"/>
  </bookViews>
  <sheets>
    <sheet name="Summary" sheetId="2" r:id="rId1"/>
    <sheet name="Propos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C4" i="1"/>
  <c r="C3" i="1"/>
  <c r="D14" i="1"/>
  <c r="F14" i="1"/>
  <c r="E9" i="2" s="1"/>
  <c r="F113" i="1"/>
  <c r="E18" i="2" s="1"/>
  <c r="D113" i="1"/>
  <c r="F102" i="1"/>
  <c r="E17" i="2" s="1"/>
  <c r="D102" i="1"/>
  <c r="D17" i="2" s="1"/>
  <c r="F91" i="1"/>
  <c r="E16" i="2" s="1"/>
  <c r="D91" i="1"/>
  <c r="D16" i="2" s="1"/>
  <c r="F80" i="1"/>
  <c r="E15" i="2" s="1"/>
  <c r="D80" i="1"/>
  <c r="D15" i="2" s="1"/>
  <c r="F69" i="1"/>
  <c r="E14" i="2" s="1"/>
  <c r="D69" i="1"/>
  <c r="D14" i="2" s="1"/>
  <c r="F58" i="1"/>
  <c r="E13" i="2" s="1"/>
  <c r="D58" i="1"/>
  <c r="D13" i="2" s="1"/>
  <c r="F47" i="1"/>
  <c r="E12" i="2" s="1"/>
  <c r="D47" i="1"/>
  <c r="D12" i="2" s="1"/>
  <c r="D36" i="1"/>
  <c r="D11" i="2" s="1"/>
  <c r="F36" i="1"/>
  <c r="E11" i="2" s="1"/>
  <c r="F25" i="1"/>
  <c r="E10" i="2" s="1"/>
  <c r="D25" i="1"/>
  <c r="D10" i="2" s="1"/>
  <c r="D18" i="2" l="1"/>
  <c r="F114" i="1"/>
  <c r="F18" i="2" s="1"/>
  <c r="F103" i="1"/>
  <c r="F17" i="2" s="1"/>
  <c r="E19" i="2"/>
  <c r="F81" i="1"/>
  <c r="F15" i="2" s="1"/>
  <c r="F48" i="1"/>
  <c r="F12" i="2" s="1"/>
  <c r="F59" i="1"/>
  <c r="F13" i="2" s="1"/>
  <c r="F70" i="1"/>
  <c r="F14" i="2" s="1"/>
  <c r="F92" i="1"/>
  <c r="F16" i="2" s="1"/>
  <c r="F26" i="1"/>
  <c r="F10" i="2" s="1"/>
  <c r="F37" i="1"/>
  <c r="F11" i="2" s="1"/>
  <c r="F15" i="1"/>
  <c r="F9" i="2" s="1"/>
  <c r="D19" i="2" l="1"/>
  <c r="F19" i="2" s="1"/>
  <c r="F20" i="2"/>
  <c r="G112" i="1"/>
  <c r="E112" i="1"/>
  <c r="A111" i="1"/>
  <c r="A110" i="1"/>
  <c r="A109" i="1"/>
  <c r="G101" i="1"/>
  <c r="E101" i="1"/>
  <c r="A100" i="1"/>
  <c r="A99" i="1"/>
  <c r="A98" i="1"/>
  <c r="G90" i="1"/>
  <c r="E90" i="1"/>
  <c r="A89" i="1"/>
  <c r="A88" i="1"/>
  <c r="A87" i="1"/>
  <c r="G79" i="1"/>
  <c r="E79" i="1"/>
  <c r="A78" i="1"/>
  <c r="A77" i="1"/>
  <c r="A76" i="1"/>
  <c r="G68" i="1"/>
  <c r="E68" i="1"/>
  <c r="A67" i="1"/>
  <c r="A66" i="1"/>
  <c r="A65" i="1"/>
  <c r="G57" i="1"/>
  <c r="E57" i="1"/>
  <c r="A56" i="1"/>
  <c r="A55" i="1"/>
  <c r="A54" i="1"/>
  <c r="G46" i="1"/>
  <c r="E46" i="1"/>
  <c r="A45" i="1"/>
  <c r="A44" i="1"/>
  <c r="A43" i="1"/>
  <c r="G35" i="1"/>
  <c r="E35" i="1"/>
  <c r="A34" i="1"/>
  <c r="A33" i="1"/>
  <c r="A32" i="1"/>
  <c r="G24" i="1"/>
  <c r="E24" i="1"/>
  <c r="A23" i="1"/>
  <c r="A22" i="1"/>
  <c r="A21" i="1"/>
  <c r="G13" i="1" l="1"/>
  <c r="E13" i="1"/>
  <c r="A12" i="1"/>
  <c r="A11" i="1"/>
  <c r="A10" i="1"/>
</calcChain>
</file>

<file path=xl/sharedStrings.xml><?xml version="1.0" encoding="utf-8"?>
<sst xmlns="http://schemas.openxmlformats.org/spreadsheetml/2006/main" count="182" uniqueCount="55">
  <si>
    <t>Contractor Fill-In</t>
  </si>
  <si>
    <t>Proposal Date:</t>
  </si>
  <si>
    <t>Quantity Ranges</t>
  </si>
  <si>
    <t>Unit Price</t>
  </si>
  <si>
    <t>Weight</t>
  </si>
  <si>
    <t>-</t>
  </si>
  <si>
    <t>M48 Filter Coating &amp; Painting</t>
  </si>
  <si>
    <t>W519TC-26-Q-A086</t>
  </si>
  <si>
    <t>CLIN 1</t>
  </si>
  <si>
    <t>5-19-7355 Cap, Filter Inlet. Chromate Only</t>
  </si>
  <si>
    <t>CLIN 2</t>
  </si>
  <si>
    <t>5-19-7355 Cap, Filter Inlet Chromate and Paint (Green)</t>
  </si>
  <si>
    <t>CLIN 3</t>
  </si>
  <si>
    <t>5-19-7355 Cap, Filter Inlet Chromate and Paint (Tan)</t>
  </si>
  <si>
    <t>CLIN 4</t>
  </si>
  <si>
    <t>5-19-7437 Filter Body, Outlet Chromate only</t>
  </si>
  <si>
    <t>CLIN 5</t>
  </si>
  <si>
    <t>5-19-7437 Filter Body, Outlet Chromate and Paint (Green)</t>
  </si>
  <si>
    <t>CLIN 6</t>
  </si>
  <si>
    <t>5-19-7437 Filter Body Outlet Chromate and Paint (Tan)</t>
  </si>
  <si>
    <t>CLIN 7</t>
  </si>
  <si>
    <t>5-19-7443 Outer Mesh Assy. Chromate Only</t>
  </si>
  <si>
    <t>CLIN 8</t>
  </si>
  <si>
    <t>5-19-7440 Inner Mesh Assy. Chromate Only</t>
  </si>
  <si>
    <t>CLIN 9</t>
  </si>
  <si>
    <t>5-19-7444 Outer Gas Mesh Assy.</t>
  </si>
  <si>
    <t>CLIN 10</t>
  </si>
  <si>
    <t>5-19-7236 Channel, treat per drawing.</t>
  </si>
  <si>
    <t>CLIN 0002
5-19-7355 Cap, Filter Inlet Chromate and Paint (Green)</t>
  </si>
  <si>
    <t>CLIN 0003
5-19-7355 Cap, Filter Inlet Chromate and Paint (Tan)</t>
  </si>
  <si>
    <t>CLIN 0004
5-19-7437 Filter Body, Outlet Chromate only</t>
  </si>
  <si>
    <t>CLIN 0005
5-19-7437 Filter Body, Outlet Chromate and Paint (Green)</t>
  </si>
  <si>
    <t>CLIN 0006
5-19-7437 Filter Body Outlet Chromate and Paint (Tan)</t>
  </si>
  <si>
    <t>CLIN 0007
5-19-7443 Outer Mesh Assy. Chromate Only</t>
  </si>
  <si>
    <t>CLIN 0008
5-19-7440 Inner Mesh Assy. Chromate Only</t>
  </si>
  <si>
    <t>CLIN 0009
5-19-7444 Outer Gas Mesh Assy.</t>
  </si>
  <si>
    <t>CLIN 0010
5-19-7236 Channel, treat per drawing.</t>
  </si>
  <si>
    <t>FOB Destination Pine Bluff Arsenal</t>
  </si>
  <si>
    <t>DESCRIPTION</t>
  </si>
  <si>
    <t xml:space="preserve">FOB DESTINATION PINE BLUFF ARSENAL </t>
  </si>
  <si>
    <t xml:space="preserve">TOTAL PER CLIN </t>
  </si>
  <si>
    <t>CLINS</t>
  </si>
  <si>
    <t>TOTAL EVALUATED PRICE</t>
  </si>
  <si>
    <t>Quoter Name:</t>
  </si>
  <si>
    <t>Cage Code:</t>
  </si>
  <si>
    <t>Ordering Period 1</t>
  </si>
  <si>
    <t>Ordering Period 2</t>
  </si>
  <si>
    <t>TOTAL ALL CLINS PER ORDERING PERIOD</t>
  </si>
  <si>
    <t>CAGE code:</t>
  </si>
  <si>
    <r>
      <t xml:space="preserve">CLIN 0001
</t>
    </r>
    <r>
      <rPr>
        <b/>
        <u/>
        <sz val="11"/>
        <rFont val="Arial"/>
        <family val="2"/>
      </rPr>
      <t>Cap 5-19-7355 Cap, Filter Inlet. Chromate Only</t>
    </r>
  </si>
  <si>
    <t>Weighted Price</t>
  </si>
  <si>
    <t xml:space="preserve">Total Weighted Price: </t>
  </si>
  <si>
    <t xml:space="preserve">Weighted Price:  </t>
  </si>
  <si>
    <r>
      <t xml:space="preserve">ORDERING PERIOD 1
</t>
    </r>
    <r>
      <rPr>
        <sz val="10"/>
        <color theme="1"/>
        <rFont val="Arial"/>
        <family val="2"/>
      </rPr>
      <t>1 June 2026 - 
31 May 2027</t>
    </r>
  </si>
  <si>
    <r>
      <t xml:space="preserve">ORDERING PERIOD 2
</t>
    </r>
    <r>
      <rPr>
        <sz val="10"/>
        <color theme="1"/>
        <rFont val="Arial"/>
        <family val="2"/>
      </rPr>
      <t>1 June 2027 - 
31 May 2028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</si>
</sst>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ahoma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u/>
      <sz val="12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44" fontId="11" fillId="0" borderId="0" xfId="2" applyFont="1" applyBorder="1" applyAlignment="1" applyProtection="1">
      <alignment horizontal="center"/>
    </xf>
    <xf numFmtId="164" fontId="11" fillId="0" borderId="0" xfId="1" applyNumberFormat="1" applyFont="1" applyBorder="1" applyAlignment="1" applyProtection="1">
      <alignment horizontal="center"/>
    </xf>
    <xf numFmtId="44" fontId="11" fillId="0" borderId="0" xfId="2" applyFont="1" applyBorder="1" applyProtection="1"/>
    <xf numFmtId="43" fontId="11" fillId="0" borderId="0" xfId="1" applyFont="1" applyBorder="1" applyProtection="1"/>
    <xf numFmtId="43" fontId="11" fillId="0" borderId="8" xfId="1" applyFont="1" applyBorder="1" applyProtection="1"/>
    <xf numFmtId="44" fontId="11" fillId="2" borderId="4" xfId="2" applyFont="1" applyFill="1" applyBorder="1" applyProtection="1">
      <protection locked="0"/>
    </xf>
    <xf numFmtId="44" fontId="11" fillId="2" borderId="4" xfId="2" applyNumberFormat="1" applyFont="1" applyFill="1" applyBorder="1" applyProtection="1">
      <protection locked="0"/>
    </xf>
    <xf numFmtId="44" fontId="13" fillId="3" borderId="4" xfId="2" applyFont="1" applyFill="1" applyBorder="1" applyProtection="1"/>
    <xf numFmtId="44" fontId="6" fillId="3" borderId="4" xfId="2" applyFont="1" applyFill="1" applyBorder="1" applyProtection="1"/>
    <xf numFmtId="44" fontId="6" fillId="0" borderId="0" xfId="2" applyFont="1" applyBorder="1" applyAlignment="1" applyProtection="1"/>
    <xf numFmtId="44" fontId="6" fillId="0" borderId="8" xfId="2" applyFont="1" applyBorder="1" applyAlignment="1" applyProtection="1"/>
    <xf numFmtId="37" fontId="11" fillId="0" borderId="5" xfId="1" applyNumberFormat="1" applyFont="1" applyBorder="1" applyAlignment="1" applyProtection="1"/>
    <xf numFmtId="37" fontId="11" fillId="0" borderId="0" xfId="1" applyNumberFormat="1" applyFont="1" applyFill="1" applyBorder="1" applyAlignment="1" applyProtection="1">
      <alignment horizontal="left"/>
    </xf>
    <xf numFmtId="44" fontId="6" fillId="0" borderId="7" xfId="2" applyFont="1" applyBorder="1" applyAlignment="1" applyProtection="1">
      <alignment horizontal="center"/>
    </xf>
    <xf numFmtId="44" fontId="11" fillId="3" borderId="4" xfId="2" applyFont="1" applyFill="1" applyBorder="1" applyProtection="1"/>
    <xf numFmtId="0" fontId="9" fillId="0" borderId="6" xfId="0" applyFont="1" applyBorder="1" applyProtection="1"/>
    <xf numFmtId="0" fontId="9" fillId="0" borderId="13" xfId="0" applyFont="1" applyBorder="1" applyProtection="1"/>
    <xf numFmtId="165" fontId="9" fillId="0" borderId="6" xfId="0" applyNumberFormat="1" applyFont="1" applyBorder="1" applyProtection="1"/>
    <xf numFmtId="0" fontId="9" fillId="0" borderId="11" xfId="0" applyFont="1" applyFill="1" applyBorder="1" applyProtection="1"/>
    <xf numFmtId="165" fontId="0" fillId="3" borderId="17" xfId="0" applyNumberFormat="1" applyFont="1" applyFill="1" applyBorder="1" applyProtection="1"/>
    <xf numFmtId="165" fontId="9" fillId="3" borderId="6" xfId="0" applyNumberFormat="1" applyFont="1" applyFill="1" applyBorder="1" applyProtection="1"/>
    <xf numFmtId="0" fontId="9" fillId="0" borderId="18" xfId="0" applyFont="1" applyFill="1" applyBorder="1" applyProtection="1"/>
    <xf numFmtId="0" fontId="14" fillId="0" borderId="0" xfId="0" applyFont="1" applyFill="1" applyBorder="1" applyAlignment="1" applyProtection="1"/>
    <xf numFmtId="165" fontId="14" fillId="3" borderId="6" xfId="0" applyNumberFormat="1" applyFont="1" applyFill="1" applyBorder="1" applyProtection="1"/>
    <xf numFmtId="0" fontId="0" fillId="0" borderId="0" xfId="0" applyProtection="1"/>
    <xf numFmtId="0" fontId="10" fillId="3" borderId="6" xfId="0" applyFont="1" applyFill="1" applyBorder="1" applyProtection="1"/>
    <xf numFmtId="0" fontId="10" fillId="3" borderId="6" xfId="0" applyFont="1" applyFill="1" applyBorder="1" applyAlignment="1" applyProtection="1">
      <alignment horizontal="center" wrapText="1"/>
    </xf>
    <xf numFmtId="0" fontId="10" fillId="3" borderId="6" xfId="0" applyFont="1" applyFill="1" applyBorder="1" applyAlignment="1" applyProtection="1">
      <alignment horizontal="center"/>
    </xf>
    <xf numFmtId="0" fontId="9" fillId="0" borderId="12" xfId="0" applyFont="1" applyBorder="1" applyProtection="1"/>
    <xf numFmtId="0" fontId="9" fillId="0" borderId="16" xfId="0" applyFont="1" applyBorder="1" applyProtection="1"/>
    <xf numFmtId="0" fontId="8" fillId="0" borderId="0" xfId="0" applyFont="1" applyBorder="1" applyAlignment="1" applyProtection="1">
      <alignment horizontal="right"/>
    </xf>
    <xf numFmtId="0" fontId="6" fillId="0" borderId="0" xfId="0" applyFont="1" applyFill="1" applyBorder="1" applyProtection="1"/>
    <xf numFmtId="0" fontId="6" fillId="2" borderId="4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4" fillId="0" borderId="0" xfId="0" applyFont="1" applyProtection="1"/>
    <xf numFmtId="14" fontId="6" fillId="0" borderId="0" xfId="0" applyNumberFormat="1" applyFont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5" fillId="0" borderId="5" xfId="0" applyFont="1" applyBorder="1" applyAlignment="1" applyProtection="1">
      <alignment wrapText="1"/>
    </xf>
    <xf numFmtId="0" fontId="5" fillId="0" borderId="0" xfId="0" applyFont="1" applyBorder="1" applyAlignment="1" applyProtection="1">
      <alignment wrapText="1"/>
    </xf>
    <xf numFmtId="0" fontId="11" fillId="0" borderId="0" xfId="0" applyFont="1" applyBorder="1" applyAlignment="1" applyProtection="1">
      <alignment horizontal="center"/>
    </xf>
    <xf numFmtId="0" fontId="11" fillId="0" borderId="8" xfId="0" applyFont="1" applyBorder="1" applyAlignment="1" applyProtection="1">
      <alignment horizontal="center"/>
    </xf>
    <xf numFmtId="0" fontId="13" fillId="0" borderId="5" xfId="0" applyFont="1" applyBorder="1" applyProtection="1"/>
    <xf numFmtId="0" fontId="13" fillId="0" borderId="0" xfId="0" applyFont="1" applyBorder="1" applyProtection="1"/>
    <xf numFmtId="9" fontId="11" fillId="0" borderId="0" xfId="0" applyNumberFormat="1" applyFont="1" applyBorder="1" applyAlignment="1" applyProtection="1">
      <alignment horizontal="center"/>
    </xf>
    <xf numFmtId="9" fontId="12" fillId="0" borderId="0" xfId="0" applyNumberFormat="1" applyFont="1" applyBorder="1" applyAlignment="1" applyProtection="1">
      <alignment horizontal="center"/>
    </xf>
    <xf numFmtId="9" fontId="11" fillId="0" borderId="8" xfId="0" applyNumberFormat="1" applyFont="1" applyBorder="1" applyAlignment="1" applyProtection="1">
      <alignment horizontal="center"/>
    </xf>
    <xf numFmtId="0" fontId="4" fillId="0" borderId="10" xfId="0" applyFont="1" applyBorder="1" applyProtection="1"/>
    <xf numFmtId="9" fontId="12" fillId="0" borderId="8" xfId="0" applyNumberFormat="1" applyFont="1" applyBorder="1" applyAlignment="1" applyProtection="1">
      <alignment horizontal="center"/>
    </xf>
    <xf numFmtId="0" fontId="13" fillId="0" borderId="0" xfId="0" applyFont="1" applyBorder="1" applyAlignment="1" applyProtection="1">
      <alignment horizontal="right" wrapText="1"/>
    </xf>
    <xf numFmtId="0" fontId="4" fillId="0" borderId="0" xfId="0" applyFont="1" applyBorder="1" applyProtection="1"/>
    <xf numFmtId="0" fontId="3" fillId="0" borderId="0" xfId="0" applyFont="1" applyBorder="1" applyAlignment="1" applyProtection="1"/>
    <xf numFmtId="0" fontId="6" fillId="0" borderId="0" xfId="0" applyFont="1" applyBorder="1" applyProtection="1"/>
    <xf numFmtId="0" fontId="6" fillId="0" borderId="0" xfId="0" applyFont="1" applyBorder="1" applyAlignment="1" applyProtection="1"/>
    <xf numFmtId="0" fontId="2" fillId="0" borderId="0" xfId="0" applyFont="1" applyProtection="1"/>
    <xf numFmtId="44" fontId="0" fillId="0" borderId="0" xfId="2" applyFont="1" applyProtection="1"/>
    <xf numFmtId="44" fontId="5" fillId="0" borderId="0" xfId="2" applyFont="1" applyFill="1" applyBorder="1" applyProtection="1"/>
    <xf numFmtId="0" fontId="15" fillId="0" borderId="0" xfId="0" applyFont="1" applyBorder="1" applyAlignment="1" applyProtection="1"/>
    <xf numFmtId="0" fontId="14" fillId="0" borderId="0" xfId="0" applyFont="1" applyBorder="1" applyAlignment="1" applyProtection="1"/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center"/>
    </xf>
    <xf numFmtId="44" fontId="0" fillId="0" borderId="0" xfId="0" applyNumberFormat="1" applyProtection="1"/>
    <xf numFmtId="0" fontId="10" fillId="0" borderId="0" xfId="0" applyFont="1" applyProtection="1"/>
    <xf numFmtId="0" fontId="10" fillId="0" borderId="0" xfId="0" applyFont="1" applyFill="1" applyBorder="1" applyAlignment="1" applyProtection="1"/>
    <xf numFmtId="0" fontId="9" fillId="0" borderId="0" xfId="0" applyFont="1" applyProtection="1"/>
    <xf numFmtId="0" fontId="10" fillId="3" borderId="15" xfId="0" applyFont="1" applyFill="1" applyBorder="1" applyAlignment="1" applyProtection="1">
      <alignment horizontal="center"/>
    </xf>
    <xf numFmtId="0" fontId="10" fillId="3" borderId="14" xfId="0" applyFont="1" applyFill="1" applyBorder="1" applyAlignment="1" applyProtection="1">
      <alignment horizontal="center"/>
    </xf>
    <xf numFmtId="0" fontId="10" fillId="3" borderId="13" xfId="0" applyFont="1" applyFill="1" applyBorder="1" applyAlignment="1" applyProtection="1">
      <alignment horizontal="right"/>
    </xf>
    <xf numFmtId="0" fontId="10" fillId="3" borderId="14" xfId="0" applyFont="1" applyFill="1" applyBorder="1" applyAlignment="1" applyProtection="1">
      <alignment horizontal="right"/>
    </xf>
    <xf numFmtId="165" fontId="14" fillId="3" borderId="13" xfId="0" applyNumberFormat="1" applyFont="1" applyFill="1" applyBorder="1" applyAlignment="1" applyProtection="1">
      <alignment horizontal="right"/>
    </xf>
    <xf numFmtId="165" fontId="14" fillId="3" borderId="14" xfId="0" applyNumberFormat="1" applyFont="1" applyFill="1" applyBorder="1" applyAlignment="1" applyProtection="1">
      <alignment horizontal="right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3" xfId="0" applyFont="1" applyFill="1" applyBorder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</xf>
    <xf numFmtId="0" fontId="14" fillId="0" borderId="0" xfId="0" applyFont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11" fillId="0" borderId="5" xfId="0" applyFont="1" applyBorder="1" applyAlignment="1" applyProtection="1">
      <alignment horizontal="center"/>
    </xf>
    <xf numFmtId="0" fontId="11" fillId="0" borderId="0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right" wrapText="1"/>
    </xf>
    <xf numFmtId="0" fontId="13" fillId="0" borderId="0" xfId="0" applyFont="1" applyBorder="1" applyAlignment="1" applyProtection="1">
      <alignment horizontal="right" wrapText="1"/>
    </xf>
    <xf numFmtId="0" fontId="13" fillId="0" borderId="8" xfId="0" applyFont="1" applyBorder="1" applyAlignment="1" applyProtection="1">
      <alignment horizontal="right" wrapText="1"/>
    </xf>
    <xf numFmtId="0" fontId="13" fillId="0" borderId="9" xfId="0" applyFont="1" applyBorder="1" applyAlignment="1" applyProtection="1">
      <alignment horizontal="right" wrapText="1"/>
    </xf>
    <xf numFmtId="0" fontId="13" fillId="0" borderId="7" xfId="0" applyFont="1" applyBorder="1" applyAlignment="1" applyProtection="1">
      <alignment horizontal="right" wrapText="1"/>
    </xf>
    <xf numFmtId="0" fontId="13" fillId="0" borderId="10" xfId="0" applyFont="1" applyBorder="1" applyAlignment="1" applyProtection="1">
      <alignment horizontal="right" wrapText="1"/>
    </xf>
    <xf numFmtId="0" fontId="16" fillId="0" borderId="26" xfId="0" applyFont="1" applyBorder="1" applyAlignment="1" applyProtection="1">
      <alignment horizontal="left" wrapText="1"/>
    </xf>
    <xf numFmtId="0" fontId="16" fillId="0" borderId="27" xfId="0" applyFont="1" applyBorder="1" applyAlignment="1" applyProtection="1">
      <alignment horizontal="left" wrapText="1"/>
    </xf>
    <xf numFmtId="0" fontId="16" fillId="0" borderId="28" xfId="0" applyFont="1" applyBorder="1" applyAlignment="1" applyProtection="1">
      <alignment horizontal="left" wrapText="1"/>
    </xf>
    <xf numFmtId="0" fontId="9" fillId="0" borderId="21" xfId="0" applyFont="1" applyBorder="1" applyAlignment="1" applyProtection="1">
      <alignment horizontal="right"/>
    </xf>
    <xf numFmtId="0" fontId="9" fillId="0" borderId="22" xfId="0" applyFont="1" applyBorder="1" applyAlignment="1" applyProtection="1">
      <alignment horizontal="right"/>
    </xf>
    <xf numFmtId="0" fontId="4" fillId="0" borderId="19" xfId="0" applyFont="1" applyBorder="1" applyAlignment="1" applyProtection="1">
      <alignment horizontal="right"/>
    </xf>
    <xf numFmtId="0" fontId="4" fillId="0" borderId="20" xfId="0" applyFont="1" applyBorder="1" applyAlignment="1" applyProtection="1">
      <alignment horizontal="right"/>
    </xf>
    <xf numFmtId="0" fontId="4" fillId="0" borderId="23" xfId="0" applyFont="1" applyFill="1" applyBorder="1" applyAlignment="1" applyProtection="1">
      <alignment horizontal="left"/>
    </xf>
    <xf numFmtId="0" fontId="4" fillId="0" borderId="24" xfId="0" applyFont="1" applyFill="1" applyBorder="1" applyAlignment="1" applyProtection="1">
      <alignment horizontal="left"/>
    </xf>
    <xf numFmtId="0" fontId="4" fillId="0" borderId="25" xfId="0" applyFont="1" applyFill="1" applyBorder="1" applyAlignment="1" applyProtection="1">
      <alignment horizontal="left"/>
    </xf>
    <xf numFmtId="0" fontId="4" fillId="0" borderId="29" xfId="0" applyFont="1" applyFill="1" applyBorder="1" applyAlignment="1" applyProtection="1">
      <alignment horizontal="left"/>
    </xf>
    <xf numFmtId="0" fontId="4" fillId="0" borderId="27" xfId="0" applyFont="1" applyFill="1" applyBorder="1" applyAlignment="1" applyProtection="1">
      <alignment horizontal="left"/>
    </xf>
    <xf numFmtId="0" fontId="4" fillId="0" borderId="28" xfId="0" applyFont="1" applyFill="1" applyBorder="1" applyAlignment="1" applyProtection="1">
      <alignment horizontal="left"/>
    </xf>
    <xf numFmtId="0" fontId="3" fillId="0" borderId="0" xfId="0" applyFont="1" applyBorder="1" applyAlignment="1" applyProtection="1">
      <alignment horizontal="center"/>
    </xf>
    <xf numFmtId="0" fontId="6" fillId="0" borderId="7" xfId="0" applyFont="1" applyBorder="1" applyAlignment="1" applyProtection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3EE3F0"/>
      <color rgb="FF94F8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80720-DC86-4D98-AB39-3623F063B1AA}">
  <dimension ref="A1:J21"/>
  <sheetViews>
    <sheetView workbookViewId="0">
      <selection activeCell="B4" sqref="B4:D4"/>
    </sheetView>
  </sheetViews>
  <sheetFormatPr defaultRowHeight="14.4" x14ac:dyDescent="0.3"/>
  <cols>
    <col min="1" max="1" width="15.5546875" style="25" customWidth="1"/>
    <col min="2" max="2" width="21.109375" style="25" customWidth="1"/>
    <col min="3" max="3" width="28.88671875" style="25" customWidth="1"/>
    <col min="4" max="4" width="22.6640625" style="25" customWidth="1"/>
    <col min="5" max="5" width="22.44140625" style="25" customWidth="1"/>
    <col min="6" max="6" width="20.109375" style="25" customWidth="1"/>
    <col min="7" max="9" width="8.88671875" style="25"/>
    <col min="10" max="10" width="13.88671875" style="25" bestFit="1" customWidth="1"/>
    <col min="11" max="16384" width="8.88671875" style="25"/>
  </cols>
  <sheetData>
    <row r="1" spans="1:10" ht="21" x14ac:dyDescent="0.4">
      <c r="A1" s="74" t="s">
        <v>6</v>
      </c>
      <c r="B1" s="74"/>
      <c r="C1" s="74"/>
      <c r="D1" s="74"/>
      <c r="E1" s="74"/>
      <c r="F1" s="74"/>
      <c r="G1" s="57"/>
    </row>
    <row r="2" spans="1:10" ht="15.6" x14ac:dyDescent="0.3">
      <c r="A2" s="75" t="s">
        <v>7</v>
      </c>
      <c r="B2" s="75"/>
      <c r="C2" s="75"/>
      <c r="D2" s="75"/>
      <c r="E2" s="75"/>
      <c r="F2" s="75"/>
      <c r="G2" s="58"/>
    </row>
    <row r="3" spans="1:10" ht="15" thickBot="1" x14ac:dyDescent="0.35">
      <c r="A3" s="76" t="s">
        <v>39</v>
      </c>
      <c r="B3" s="76"/>
      <c r="C3" s="76"/>
      <c r="D3" s="76"/>
      <c r="E3" s="76"/>
      <c r="F3" s="76"/>
      <c r="G3" s="59"/>
    </row>
    <row r="4" spans="1:10" ht="15" thickBot="1" x14ac:dyDescent="0.35">
      <c r="A4" s="31" t="s">
        <v>43</v>
      </c>
      <c r="B4" s="71">
        <v>0</v>
      </c>
      <c r="C4" s="72"/>
      <c r="D4" s="73"/>
      <c r="E4" s="32"/>
      <c r="F4" s="33" t="s">
        <v>0</v>
      </c>
      <c r="G4" s="60"/>
      <c r="H4" s="60"/>
    </row>
    <row r="5" spans="1:10" ht="15" thickBot="1" x14ac:dyDescent="0.35">
      <c r="A5" s="31" t="s">
        <v>44</v>
      </c>
      <c r="B5" s="71">
        <v>0</v>
      </c>
      <c r="C5" s="72"/>
      <c r="D5" s="73"/>
      <c r="E5" s="34"/>
      <c r="F5" s="35"/>
      <c r="G5" s="35"/>
    </row>
    <row r="6" spans="1:10" ht="15" thickBot="1" x14ac:dyDescent="0.35">
      <c r="A6" s="31" t="s">
        <v>1</v>
      </c>
      <c r="B6" s="71"/>
      <c r="C6" s="72"/>
      <c r="D6" s="73"/>
      <c r="E6" s="36"/>
      <c r="F6" s="35"/>
      <c r="G6" s="34"/>
    </row>
    <row r="8" spans="1:10" ht="40.799999999999997" x14ac:dyDescent="0.3">
      <c r="A8" s="26" t="s">
        <v>41</v>
      </c>
      <c r="B8" s="65" t="s">
        <v>38</v>
      </c>
      <c r="C8" s="66"/>
      <c r="D8" s="27" t="s">
        <v>53</v>
      </c>
      <c r="E8" s="27" t="s">
        <v>54</v>
      </c>
      <c r="F8" s="28" t="s">
        <v>40</v>
      </c>
      <c r="J8" s="61"/>
    </row>
    <row r="9" spans="1:10" x14ac:dyDescent="0.3">
      <c r="A9" s="29" t="s">
        <v>8</v>
      </c>
      <c r="B9" s="29" t="s">
        <v>9</v>
      </c>
      <c r="C9" s="30"/>
      <c r="D9" s="18">
        <f>Proposal!D14</f>
        <v>0</v>
      </c>
      <c r="E9" s="18">
        <f>Proposal!F14</f>
        <v>0</v>
      </c>
      <c r="F9" s="18">
        <f>Proposal!F15</f>
        <v>0</v>
      </c>
    </row>
    <row r="10" spans="1:10" x14ac:dyDescent="0.3">
      <c r="A10" s="16" t="s">
        <v>10</v>
      </c>
      <c r="B10" s="16" t="s">
        <v>11</v>
      </c>
      <c r="C10" s="17"/>
      <c r="D10" s="18">
        <f>Proposal!D25</f>
        <v>0</v>
      </c>
      <c r="E10" s="18">
        <f>Proposal!F25</f>
        <v>0</v>
      </c>
      <c r="F10" s="18">
        <f>Proposal!F26</f>
        <v>0</v>
      </c>
    </row>
    <row r="11" spans="1:10" x14ac:dyDescent="0.3">
      <c r="A11" s="16" t="s">
        <v>12</v>
      </c>
      <c r="B11" s="16" t="s">
        <v>13</v>
      </c>
      <c r="C11" s="17"/>
      <c r="D11" s="18">
        <f>Proposal!D36</f>
        <v>0</v>
      </c>
      <c r="E11" s="18">
        <f>Proposal!F36</f>
        <v>0</v>
      </c>
      <c r="F11" s="18">
        <f>Proposal!F37</f>
        <v>0</v>
      </c>
    </row>
    <row r="12" spans="1:10" x14ac:dyDescent="0.3">
      <c r="A12" s="16" t="s">
        <v>14</v>
      </c>
      <c r="B12" s="16" t="s">
        <v>15</v>
      </c>
      <c r="C12" s="17"/>
      <c r="D12" s="18">
        <f>Proposal!D47</f>
        <v>0</v>
      </c>
      <c r="E12" s="18">
        <f>Proposal!F47</f>
        <v>0</v>
      </c>
      <c r="F12" s="18">
        <f>Proposal!F48</f>
        <v>0</v>
      </c>
    </row>
    <row r="13" spans="1:10" x14ac:dyDescent="0.3">
      <c r="A13" s="16" t="s">
        <v>16</v>
      </c>
      <c r="B13" s="16" t="s">
        <v>17</v>
      </c>
      <c r="C13" s="17"/>
      <c r="D13" s="18">
        <f>Proposal!D58</f>
        <v>0</v>
      </c>
      <c r="E13" s="18">
        <f>Proposal!F58</f>
        <v>0</v>
      </c>
      <c r="F13" s="18">
        <f>Proposal!F59</f>
        <v>0</v>
      </c>
    </row>
    <row r="14" spans="1:10" x14ac:dyDescent="0.3">
      <c r="A14" s="16" t="s">
        <v>18</v>
      </c>
      <c r="B14" s="16" t="s">
        <v>19</v>
      </c>
      <c r="C14" s="17"/>
      <c r="D14" s="18">
        <f>Proposal!D69</f>
        <v>0</v>
      </c>
      <c r="E14" s="18">
        <f>Proposal!F69</f>
        <v>0</v>
      </c>
      <c r="F14" s="18">
        <f>Proposal!F70</f>
        <v>0</v>
      </c>
    </row>
    <row r="15" spans="1:10" x14ac:dyDescent="0.3">
      <c r="A15" s="16" t="s">
        <v>20</v>
      </c>
      <c r="B15" s="16" t="s">
        <v>21</v>
      </c>
      <c r="C15" s="17"/>
      <c r="D15" s="18">
        <f>Proposal!D80</f>
        <v>0</v>
      </c>
      <c r="E15" s="18">
        <f>Proposal!F80</f>
        <v>0</v>
      </c>
      <c r="F15" s="18">
        <f>Proposal!F81</f>
        <v>0</v>
      </c>
    </row>
    <row r="16" spans="1:10" x14ac:dyDescent="0.3">
      <c r="A16" s="16" t="s">
        <v>22</v>
      </c>
      <c r="B16" s="16" t="s">
        <v>23</v>
      </c>
      <c r="C16" s="17"/>
      <c r="D16" s="18">
        <f>Proposal!D91</f>
        <v>0</v>
      </c>
      <c r="E16" s="18">
        <f>Proposal!F91</f>
        <v>0</v>
      </c>
      <c r="F16" s="18">
        <f>Proposal!F92</f>
        <v>0</v>
      </c>
    </row>
    <row r="17" spans="1:6" x14ac:dyDescent="0.3">
      <c r="A17" s="16" t="s">
        <v>24</v>
      </c>
      <c r="B17" s="16" t="s">
        <v>25</v>
      </c>
      <c r="C17" s="17"/>
      <c r="D17" s="18">
        <f>Proposal!D102</f>
        <v>0</v>
      </c>
      <c r="E17" s="18">
        <f>Proposal!F102</f>
        <v>0</v>
      </c>
      <c r="F17" s="18">
        <f>Proposal!F103</f>
        <v>0</v>
      </c>
    </row>
    <row r="18" spans="1:6" x14ac:dyDescent="0.3">
      <c r="A18" s="16" t="s">
        <v>26</v>
      </c>
      <c r="B18" s="16" t="s">
        <v>27</v>
      </c>
      <c r="C18" s="17"/>
      <c r="D18" s="18">
        <f>Proposal!D113</f>
        <v>0</v>
      </c>
      <c r="E18" s="18">
        <f>Proposal!F113</f>
        <v>0</v>
      </c>
      <c r="F18" s="18">
        <f>Proposal!F114</f>
        <v>0</v>
      </c>
    </row>
    <row r="19" spans="1:6" x14ac:dyDescent="0.3">
      <c r="A19" s="19"/>
      <c r="B19" s="67" t="s">
        <v>47</v>
      </c>
      <c r="C19" s="68"/>
      <c r="D19" s="20">
        <f>SUM(D9:D18)</f>
        <v>0</v>
      </c>
      <c r="E19" s="20">
        <f>SUM(E9:E18)</f>
        <v>0</v>
      </c>
      <c r="F19" s="21">
        <f>D19+E19</f>
        <v>0</v>
      </c>
    </row>
    <row r="20" spans="1:6" ht="15.6" x14ac:dyDescent="0.3">
      <c r="A20" s="22"/>
      <c r="B20" s="23"/>
      <c r="C20" s="23"/>
      <c r="D20" s="69" t="s">
        <v>42</v>
      </c>
      <c r="E20" s="70"/>
      <c r="F20" s="24">
        <f>Proposal!F15+Proposal!F26+Proposal!F37+Proposal!F48+Proposal!F59+Proposal!F70+Proposal!F81+Proposal!F92+Proposal!F103+Proposal!F114</f>
        <v>0</v>
      </c>
    </row>
    <row r="21" spans="1:6" x14ac:dyDescent="0.3">
      <c r="A21" s="62"/>
      <c r="B21" s="63"/>
      <c r="C21" s="63"/>
      <c r="D21" s="64"/>
    </row>
  </sheetData>
  <sheetProtection algorithmName="SHA-512" hashValue="1cw/rdZyUBidU7qgZiwhJD3nW0TUENPMdZCvZy7uhVzUoJaBZnMnwrTSAMwqT7q8FhpdGCAp8U/nhofqR+MXRg==" saltValue="YRRRkum9n7Zxv80RbxfKig==" spinCount="100000" sheet="1" objects="1" scenarios="1"/>
  <mergeCells count="9">
    <mergeCell ref="B8:C8"/>
    <mergeCell ref="B19:C19"/>
    <mergeCell ref="D20:E20"/>
    <mergeCell ref="B4:D4"/>
    <mergeCell ref="A1:F1"/>
    <mergeCell ref="A2:F2"/>
    <mergeCell ref="A3:F3"/>
    <mergeCell ref="B5:D5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C6E7-9BC2-4B24-8785-D9E5189F097C}">
  <dimension ref="A1:K116"/>
  <sheetViews>
    <sheetView tabSelected="1" topLeftCell="A27" zoomScale="114" zoomScaleNormal="160" workbookViewId="0">
      <selection activeCell="D34" sqref="D34"/>
    </sheetView>
  </sheetViews>
  <sheetFormatPr defaultRowHeight="14.4" x14ac:dyDescent="0.3"/>
  <cols>
    <col min="1" max="1" width="11.44140625" style="25" customWidth="1"/>
    <col min="2" max="2" width="3.5546875" style="25" customWidth="1"/>
    <col min="3" max="3" width="11.44140625" style="25" customWidth="1"/>
    <col min="4" max="4" width="17.109375" style="25" customWidth="1"/>
    <col min="5" max="5" width="8" style="25" customWidth="1"/>
    <col min="6" max="6" width="17.109375" style="25" customWidth="1"/>
    <col min="7" max="7" width="8" style="25" customWidth="1"/>
    <col min="8" max="8" width="21.33203125" style="25" customWidth="1"/>
    <col min="9" max="9" width="7.44140625" style="25" customWidth="1"/>
    <col min="10" max="10" width="19.88671875" style="25" customWidth="1"/>
    <col min="11" max="16384" width="8.88671875" style="25"/>
  </cols>
  <sheetData>
    <row r="1" spans="1:11" ht="17.399999999999999" x14ac:dyDescent="0.3">
      <c r="A1" s="98" t="s">
        <v>6</v>
      </c>
      <c r="B1" s="98"/>
      <c r="C1" s="98"/>
      <c r="D1" s="98"/>
      <c r="E1" s="98"/>
      <c r="F1" s="98"/>
      <c r="G1" s="98"/>
      <c r="H1" s="51"/>
      <c r="I1" s="52"/>
      <c r="J1" s="52"/>
    </row>
    <row r="2" spans="1:11" ht="15" thickBot="1" x14ac:dyDescent="0.35">
      <c r="A2" s="99" t="s">
        <v>37</v>
      </c>
      <c r="B2" s="99"/>
      <c r="C2" s="99"/>
      <c r="D2" s="99"/>
      <c r="E2" s="99"/>
      <c r="F2" s="99"/>
      <c r="G2" s="99"/>
      <c r="H2" s="53"/>
      <c r="I2" s="50"/>
      <c r="J2" s="50"/>
    </row>
    <row r="3" spans="1:11" ht="16.8" customHeight="1" x14ac:dyDescent="0.3">
      <c r="A3" s="90" t="s">
        <v>43</v>
      </c>
      <c r="B3" s="91"/>
      <c r="C3" s="95">
        <f>Summary!B4</f>
        <v>0</v>
      </c>
      <c r="D3" s="96"/>
      <c r="E3" s="96"/>
      <c r="F3" s="96"/>
      <c r="G3" s="97"/>
      <c r="H3" s="51"/>
      <c r="I3" s="52"/>
      <c r="J3" s="54"/>
      <c r="K3" s="54"/>
    </row>
    <row r="4" spans="1:11" ht="16.8" customHeight="1" thickBot="1" x14ac:dyDescent="0.35">
      <c r="A4" s="88" t="s">
        <v>48</v>
      </c>
      <c r="B4" s="89"/>
      <c r="C4" s="92">
        <f>Summary!B5</f>
        <v>0</v>
      </c>
      <c r="D4" s="93"/>
      <c r="E4" s="93"/>
      <c r="F4" s="93"/>
      <c r="G4" s="94"/>
      <c r="H4" s="51"/>
      <c r="I4" s="52"/>
      <c r="J4" s="54"/>
      <c r="K4" s="54"/>
    </row>
    <row r="5" spans="1:11" ht="15" thickBot="1" x14ac:dyDescent="0.35">
      <c r="A5" s="37"/>
      <c r="B5" s="37"/>
      <c r="C5" s="37"/>
      <c r="D5" s="37"/>
      <c r="E5" s="37"/>
      <c r="F5" s="37"/>
      <c r="G5" s="37"/>
      <c r="H5" s="53"/>
      <c r="I5" s="50"/>
      <c r="J5" s="50"/>
    </row>
    <row r="6" spans="1:11" ht="30" customHeight="1" x14ac:dyDescent="0.3">
      <c r="A6" s="85" t="s">
        <v>49</v>
      </c>
      <c r="B6" s="86"/>
      <c r="C6" s="86"/>
      <c r="D6" s="86"/>
      <c r="E6" s="86"/>
      <c r="F6" s="86"/>
      <c r="G6" s="87"/>
      <c r="H6" s="53"/>
      <c r="I6" s="50"/>
      <c r="J6" s="50"/>
    </row>
    <row r="7" spans="1:11" ht="14.4" customHeight="1" thickBot="1" x14ac:dyDescent="0.35">
      <c r="A7" s="38"/>
      <c r="B7" s="39"/>
      <c r="C7" s="39"/>
      <c r="D7" s="14" t="s">
        <v>45</v>
      </c>
      <c r="E7" s="10"/>
      <c r="F7" s="14" t="s">
        <v>46</v>
      </c>
      <c r="G7" s="11"/>
      <c r="H7" s="53"/>
    </row>
    <row r="8" spans="1:11" ht="14.4" customHeight="1" thickBot="1" x14ac:dyDescent="0.35">
      <c r="A8" s="77" t="s">
        <v>2</v>
      </c>
      <c r="B8" s="78"/>
      <c r="C8" s="78"/>
      <c r="D8" s="1" t="s">
        <v>3</v>
      </c>
      <c r="E8" s="40" t="s">
        <v>4</v>
      </c>
      <c r="F8" s="1" t="s">
        <v>3</v>
      </c>
      <c r="G8" s="41" t="s">
        <v>4</v>
      </c>
      <c r="H8" s="50"/>
    </row>
    <row r="9" spans="1:11" ht="14.4" customHeight="1" thickBot="1" x14ac:dyDescent="0.35">
      <c r="A9" s="12">
        <v>1</v>
      </c>
      <c r="B9" s="2" t="s">
        <v>5</v>
      </c>
      <c r="C9" s="13">
        <v>750</v>
      </c>
      <c r="D9" s="6">
        <v>0</v>
      </c>
      <c r="E9" s="44">
        <v>0.3</v>
      </c>
      <c r="F9" s="7">
        <v>0</v>
      </c>
      <c r="G9" s="46">
        <v>0.3</v>
      </c>
      <c r="H9" s="50"/>
    </row>
    <row r="10" spans="1:11" ht="14.4" customHeight="1" thickBot="1" x14ac:dyDescent="0.35">
      <c r="A10" s="12">
        <f>C9+1</f>
        <v>751</v>
      </c>
      <c r="B10" s="2" t="s">
        <v>5</v>
      </c>
      <c r="C10" s="13">
        <v>1500</v>
      </c>
      <c r="D10" s="6">
        <v>0</v>
      </c>
      <c r="E10" s="44">
        <v>0.3</v>
      </c>
      <c r="F10" s="7">
        <v>0</v>
      </c>
      <c r="G10" s="46">
        <v>0.3</v>
      </c>
      <c r="H10" s="50"/>
    </row>
    <row r="11" spans="1:11" ht="14.4" customHeight="1" thickBot="1" x14ac:dyDescent="0.35">
      <c r="A11" s="12">
        <f>C10+1</f>
        <v>1501</v>
      </c>
      <c r="B11" s="2" t="s">
        <v>5</v>
      </c>
      <c r="C11" s="13">
        <v>2250</v>
      </c>
      <c r="D11" s="6">
        <v>0</v>
      </c>
      <c r="E11" s="44">
        <v>0.2</v>
      </c>
      <c r="F11" s="7">
        <v>0</v>
      </c>
      <c r="G11" s="46">
        <v>0.2</v>
      </c>
      <c r="H11" s="50"/>
    </row>
    <row r="12" spans="1:11" ht="14.4" customHeight="1" thickBot="1" x14ac:dyDescent="0.35">
      <c r="A12" s="12">
        <f>C11+1</f>
        <v>2251</v>
      </c>
      <c r="B12" s="2" t="s">
        <v>5</v>
      </c>
      <c r="C12" s="13">
        <v>3000</v>
      </c>
      <c r="D12" s="6">
        <v>0</v>
      </c>
      <c r="E12" s="45">
        <v>0.2</v>
      </c>
      <c r="F12" s="7">
        <v>0</v>
      </c>
      <c r="G12" s="48">
        <v>0.2</v>
      </c>
      <c r="H12" s="50"/>
    </row>
    <row r="13" spans="1:11" ht="14.4" customHeight="1" thickBot="1" x14ac:dyDescent="0.35">
      <c r="A13" s="42"/>
      <c r="B13" s="43"/>
      <c r="C13" s="43"/>
      <c r="D13" s="3"/>
      <c r="E13" s="44">
        <f>SUM(E9:E12)</f>
        <v>1</v>
      </c>
      <c r="F13" s="3"/>
      <c r="G13" s="46">
        <f>SUM(G9:G12)</f>
        <v>1</v>
      </c>
      <c r="H13" s="50"/>
    </row>
    <row r="14" spans="1:11" ht="14.4" customHeight="1" thickBot="1" x14ac:dyDescent="0.35">
      <c r="A14" s="79" t="s">
        <v>50</v>
      </c>
      <c r="B14" s="80"/>
      <c r="C14" s="81"/>
      <c r="D14" s="15">
        <f>($C9*D9*E9)+($C10*D10*E10)+($C11*D11*E11)+($C12*D12*E12)</f>
        <v>0</v>
      </c>
      <c r="E14" s="4"/>
      <c r="F14" s="15">
        <f>($C9*F9*G9)+($C10*F10*G10)+($C11*F11*G11)+($C12*F12*G12)</f>
        <v>0</v>
      </c>
      <c r="G14" s="5"/>
      <c r="H14" s="50"/>
    </row>
    <row r="15" spans="1:11" ht="14.4" customHeight="1" thickBot="1" x14ac:dyDescent="0.35">
      <c r="A15" s="82" t="s">
        <v>51</v>
      </c>
      <c r="B15" s="83"/>
      <c r="C15" s="83"/>
      <c r="D15" s="83"/>
      <c r="E15" s="84"/>
      <c r="F15" s="9">
        <f>D14+F14</f>
        <v>0</v>
      </c>
      <c r="G15" s="47"/>
      <c r="H15" s="50"/>
    </row>
    <row r="16" spans="1:11" ht="14.4" customHeight="1" thickBot="1" x14ac:dyDescent="0.35">
      <c r="A16" s="49"/>
      <c r="B16" s="49"/>
      <c r="C16" s="49"/>
      <c r="D16" s="49"/>
      <c r="E16" s="49"/>
      <c r="F16" s="49"/>
      <c r="G16" s="50"/>
      <c r="H16" s="50"/>
    </row>
    <row r="17" spans="1:10" ht="30" customHeight="1" x14ac:dyDescent="0.3">
      <c r="A17" s="85" t="s">
        <v>28</v>
      </c>
      <c r="B17" s="86"/>
      <c r="C17" s="86"/>
      <c r="D17" s="86"/>
      <c r="E17" s="86"/>
      <c r="F17" s="86"/>
      <c r="G17" s="87"/>
      <c r="H17" s="50"/>
      <c r="I17" s="55"/>
      <c r="J17" s="35"/>
    </row>
    <row r="18" spans="1:10" ht="14.4" customHeight="1" thickBot="1" x14ac:dyDescent="0.35">
      <c r="A18" s="38"/>
      <c r="B18" s="39"/>
      <c r="C18" s="39"/>
      <c r="D18" s="14" t="s">
        <v>45</v>
      </c>
      <c r="E18" s="10"/>
      <c r="F18" s="14" t="s">
        <v>46</v>
      </c>
      <c r="G18" s="11"/>
      <c r="H18" s="50"/>
      <c r="I18" s="35"/>
    </row>
    <row r="19" spans="1:10" ht="14.4" customHeight="1" thickBot="1" x14ac:dyDescent="0.35">
      <c r="A19" s="77" t="s">
        <v>2</v>
      </c>
      <c r="B19" s="78"/>
      <c r="C19" s="78"/>
      <c r="D19" s="1" t="s">
        <v>3</v>
      </c>
      <c r="E19" s="40" t="s">
        <v>4</v>
      </c>
      <c r="F19" s="1" t="s">
        <v>3</v>
      </c>
      <c r="G19" s="41" t="s">
        <v>4</v>
      </c>
      <c r="H19" s="50"/>
      <c r="J19" s="56"/>
    </row>
    <row r="20" spans="1:10" ht="14.4" customHeight="1" thickBot="1" x14ac:dyDescent="0.35">
      <c r="A20" s="12">
        <v>1</v>
      </c>
      <c r="B20" s="2" t="s">
        <v>5</v>
      </c>
      <c r="C20" s="13">
        <v>750</v>
      </c>
      <c r="D20" s="6">
        <v>0</v>
      </c>
      <c r="E20" s="44">
        <v>0.3</v>
      </c>
      <c r="F20" s="7">
        <v>0</v>
      </c>
      <c r="G20" s="46">
        <v>0.3</v>
      </c>
      <c r="H20" s="55"/>
      <c r="I20" s="35"/>
    </row>
    <row r="21" spans="1:10" ht="14.4" customHeight="1" thickBot="1" x14ac:dyDescent="0.35">
      <c r="A21" s="12">
        <f>C20+1</f>
        <v>751</v>
      </c>
      <c r="B21" s="2" t="s">
        <v>5</v>
      </c>
      <c r="C21" s="13">
        <v>1500</v>
      </c>
      <c r="D21" s="6">
        <v>0</v>
      </c>
      <c r="E21" s="44">
        <v>0.3</v>
      </c>
      <c r="F21" s="7">
        <v>0</v>
      </c>
      <c r="G21" s="46">
        <v>0.3</v>
      </c>
    </row>
    <row r="22" spans="1:10" ht="14.4" customHeight="1" thickBot="1" x14ac:dyDescent="0.35">
      <c r="A22" s="12">
        <f>C21+1</f>
        <v>1501</v>
      </c>
      <c r="B22" s="2" t="s">
        <v>5</v>
      </c>
      <c r="C22" s="13">
        <v>2250</v>
      </c>
      <c r="D22" s="6">
        <v>0</v>
      </c>
      <c r="E22" s="44">
        <v>0.2</v>
      </c>
      <c r="F22" s="7">
        <v>0</v>
      </c>
      <c r="G22" s="46">
        <v>0.2</v>
      </c>
    </row>
    <row r="23" spans="1:10" ht="14.4" customHeight="1" thickBot="1" x14ac:dyDescent="0.35">
      <c r="A23" s="12">
        <f>C22+1</f>
        <v>2251</v>
      </c>
      <c r="B23" s="2" t="s">
        <v>5</v>
      </c>
      <c r="C23" s="13">
        <v>3000</v>
      </c>
      <c r="D23" s="6">
        <v>0</v>
      </c>
      <c r="E23" s="45">
        <v>0.2</v>
      </c>
      <c r="F23" s="7">
        <v>0</v>
      </c>
      <c r="G23" s="48">
        <v>0.2</v>
      </c>
    </row>
    <row r="24" spans="1:10" ht="14.4" customHeight="1" thickBot="1" x14ac:dyDescent="0.35">
      <c r="A24" s="42"/>
      <c r="B24" s="43"/>
      <c r="C24" s="43"/>
      <c r="D24" s="3"/>
      <c r="E24" s="44">
        <f>SUM(E20:E23)</f>
        <v>1</v>
      </c>
      <c r="F24" s="3"/>
      <c r="G24" s="46">
        <f>SUM(G20:G23)</f>
        <v>1</v>
      </c>
    </row>
    <row r="25" spans="1:10" ht="14.4" customHeight="1" thickBot="1" x14ac:dyDescent="0.35">
      <c r="A25" s="79" t="s">
        <v>52</v>
      </c>
      <c r="B25" s="80"/>
      <c r="C25" s="81"/>
      <c r="D25" s="15">
        <f>($C20*D20*E20)+($C21*D21*E21)+($C22*D22*E22)+($C23*D23*E23)</f>
        <v>0</v>
      </c>
      <c r="E25" s="4"/>
      <c r="F25" s="15">
        <f>($C20*F20*G20)+($C21*F21*G21)+($C22*F22*G22)+($C23*F23*G23)</f>
        <v>0</v>
      </c>
      <c r="G25" s="5"/>
    </row>
    <row r="26" spans="1:10" ht="14.4" customHeight="1" thickBot="1" x14ac:dyDescent="0.35">
      <c r="A26" s="82" t="s">
        <v>51</v>
      </c>
      <c r="B26" s="83"/>
      <c r="C26" s="83"/>
      <c r="D26" s="83"/>
      <c r="E26" s="84"/>
      <c r="F26" s="9">
        <f>D25+F25</f>
        <v>0</v>
      </c>
      <c r="G26" s="47"/>
    </row>
    <row r="27" spans="1:10" ht="14.4" customHeight="1" thickBot="1" x14ac:dyDescent="0.35"/>
    <row r="28" spans="1:10" ht="30" customHeight="1" x14ac:dyDescent="0.3">
      <c r="A28" s="85" t="s">
        <v>29</v>
      </c>
      <c r="B28" s="86"/>
      <c r="C28" s="86"/>
      <c r="D28" s="86"/>
      <c r="E28" s="86"/>
      <c r="F28" s="86"/>
      <c r="G28" s="87"/>
    </row>
    <row r="29" spans="1:10" ht="14.4" customHeight="1" thickBot="1" x14ac:dyDescent="0.35">
      <c r="A29" s="38"/>
      <c r="B29" s="39"/>
      <c r="C29" s="39"/>
      <c r="D29" s="14" t="s">
        <v>45</v>
      </c>
      <c r="E29" s="10"/>
      <c r="F29" s="14" t="s">
        <v>46</v>
      </c>
      <c r="G29" s="11"/>
    </row>
    <row r="30" spans="1:10" ht="14.4" customHeight="1" thickBot="1" x14ac:dyDescent="0.35">
      <c r="A30" s="77" t="s">
        <v>2</v>
      </c>
      <c r="B30" s="78"/>
      <c r="C30" s="78"/>
      <c r="D30" s="1" t="s">
        <v>3</v>
      </c>
      <c r="E30" s="40" t="s">
        <v>4</v>
      </c>
      <c r="F30" s="1" t="s">
        <v>3</v>
      </c>
      <c r="G30" s="41" t="s">
        <v>4</v>
      </c>
    </row>
    <row r="31" spans="1:10" ht="14.4" customHeight="1" thickBot="1" x14ac:dyDescent="0.35">
      <c r="A31" s="12">
        <v>1</v>
      </c>
      <c r="B31" s="2" t="s">
        <v>5</v>
      </c>
      <c r="C31" s="13">
        <v>500</v>
      </c>
      <c r="D31" s="6">
        <v>0</v>
      </c>
      <c r="E31" s="44">
        <v>0.3</v>
      </c>
      <c r="F31" s="7">
        <v>0</v>
      </c>
      <c r="G31" s="46">
        <v>0.3</v>
      </c>
    </row>
    <row r="32" spans="1:10" ht="14.4" customHeight="1" thickBot="1" x14ac:dyDescent="0.35">
      <c r="A32" s="12">
        <f>C31+1</f>
        <v>501</v>
      </c>
      <c r="B32" s="2" t="s">
        <v>5</v>
      </c>
      <c r="C32" s="13">
        <v>1000</v>
      </c>
      <c r="D32" s="6">
        <v>0</v>
      </c>
      <c r="E32" s="44">
        <v>0.3</v>
      </c>
      <c r="F32" s="7">
        <v>0</v>
      </c>
      <c r="G32" s="46">
        <v>0.3</v>
      </c>
    </row>
    <row r="33" spans="1:7" ht="14.4" customHeight="1" thickBot="1" x14ac:dyDescent="0.35">
      <c r="A33" s="12">
        <f>C32+1</f>
        <v>1001</v>
      </c>
      <c r="B33" s="2" t="s">
        <v>5</v>
      </c>
      <c r="C33" s="13">
        <v>1500</v>
      </c>
      <c r="D33" s="6">
        <v>0</v>
      </c>
      <c r="E33" s="44">
        <v>0.2</v>
      </c>
      <c r="F33" s="7">
        <v>0</v>
      </c>
      <c r="G33" s="46">
        <v>0.2</v>
      </c>
    </row>
    <row r="34" spans="1:7" ht="14.4" customHeight="1" thickBot="1" x14ac:dyDescent="0.35">
      <c r="A34" s="12">
        <f>C33+1</f>
        <v>1501</v>
      </c>
      <c r="B34" s="2" t="s">
        <v>5</v>
      </c>
      <c r="C34" s="13">
        <v>2000</v>
      </c>
      <c r="D34" s="6">
        <v>0</v>
      </c>
      <c r="E34" s="45">
        <v>0.2</v>
      </c>
      <c r="F34" s="7">
        <v>0</v>
      </c>
      <c r="G34" s="48">
        <v>0.2</v>
      </c>
    </row>
    <row r="35" spans="1:7" ht="14.4" customHeight="1" thickBot="1" x14ac:dyDescent="0.35">
      <c r="A35" s="42"/>
      <c r="B35" s="43"/>
      <c r="C35" s="43"/>
      <c r="D35" s="3"/>
      <c r="E35" s="44">
        <f>SUM(E31:E34)</f>
        <v>1</v>
      </c>
      <c r="F35" s="3"/>
      <c r="G35" s="46">
        <f>SUM(G31:G34)</f>
        <v>1</v>
      </c>
    </row>
    <row r="36" spans="1:7" ht="14.4" customHeight="1" thickBot="1" x14ac:dyDescent="0.35">
      <c r="A36" s="79" t="s">
        <v>52</v>
      </c>
      <c r="B36" s="80"/>
      <c r="C36" s="81"/>
      <c r="D36" s="15">
        <f>($C31*D31*E31)+($C32*D32*E32)+($C33*D33*E33)+($C34*D34*E34)</f>
        <v>0</v>
      </c>
      <c r="E36" s="4"/>
      <c r="F36" s="15">
        <f>($C31*F31*G31)+($C32*F32*G32)+($C33*F33*G33)+($C34*F34*G34)</f>
        <v>0</v>
      </c>
      <c r="G36" s="5"/>
    </row>
    <row r="37" spans="1:7" ht="14.4" customHeight="1" thickBot="1" x14ac:dyDescent="0.35">
      <c r="A37" s="82" t="s">
        <v>51</v>
      </c>
      <c r="B37" s="83"/>
      <c r="C37" s="83"/>
      <c r="D37" s="83"/>
      <c r="E37" s="84"/>
      <c r="F37" s="9">
        <f>D36+F36</f>
        <v>0</v>
      </c>
      <c r="G37" s="47"/>
    </row>
    <row r="38" spans="1:7" ht="14.4" customHeight="1" thickBot="1" x14ac:dyDescent="0.35"/>
    <row r="39" spans="1:7" ht="30" customHeight="1" x14ac:dyDescent="0.3">
      <c r="A39" s="85" t="s">
        <v>30</v>
      </c>
      <c r="B39" s="86"/>
      <c r="C39" s="86"/>
      <c r="D39" s="86"/>
      <c r="E39" s="86"/>
      <c r="F39" s="86"/>
      <c r="G39" s="87"/>
    </row>
    <row r="40" spans="1:7" ht="14.4" customHeight="1" thickBot="1" x14ac:dyDescent="0.35">
      <c r="A40" s="38"/>
      <c r="B40" s="39"/>
      <c r="C40" s="39"/>
      <c r="D40" s="14" t="s">
        <v>45</v>
      </c>
      <c r="E40" s="10"/>
      <c r="F40" s="14" t="s">
        <v>46</v>
      </c>
      <c r="G40" s="11"/>
    </row>
    <row r="41" spans="1:7" ht="14.4" customHeight="1" thickBot="1" x14ac:dyDescent="0.35">
      <c r="A41" s="77" t="s">
        <v>2</v>
      </c>
      <c r="B41" s="78"/>
      <c r="C41" s="78"/>
      <c r="D41" s="1" t="s">
        <v>3</v>
      </c>
      <c r="E41" s="40" t="s">
        <v>4</v>
      </c>
      <c r="F41" s="1" t="s">
        <v>3</v>
      </c>
      <c r="G41" s="41" t="s">
        <v>4</v>
      </c>
    </row>
    <row r="42" spans="1:7" ht="14.4" customHeight="1" thickBot="1" x14ac:dyDescent="0.35">
      <c r="A42" s="12">
        <v>1</v>
      </c>
      <c r="B42" s="2" t="s">
        <v>5</v>
      </c>
      <c r="C42" s="13">
        <v>750</v>
      </c>
      <c r="D42" s="6">
        <v>0</v>
      </c>
      <c r="E42" s="44">
        <v>0.3</v>
      </c>
      <c r="F42" s="7">
        <v>0</v>
      </c>
      <c r="G42" s="46">
        <v>0.3</v>
      </c>
    </row>
    <row r="43" spans="1:7" ht="14.4" customHeight="1" thickBot="1" x14ac:dyDescent="0.35">
      <c r="A43" s="12">
        <f>C42+1</f>
        <v>751</v>
      </c>
      <c r="B43" s="2" t="s">
        <v>5</v>
      </c>
      <c r="C43" s="13">
        <v>1500</v>
      </c>
      <c r="D43" s="6">
        <v>0</v>
      </c>
      <c r="E43" s="44">
        <v>0.3</v>
      </c>
      <c r="F43" s="7">
        <v>0</v>
      </c>
      <c r="G43" s="46">
        <v>0.3</v>
      </c>
    </row>
    <row r="44" spans="1:7" ht="14.4" customHeight="1" thickBot="1" x14ac:dyDescent="0.35">
      <c r="A44" s="12">
        <f>C43+1</f>
        <v>1501</v>
      </c>
      <c r="B44" s="2" t="s">
        <v>5</v>
      </c>
      <c r="C44" s="13">
        <v>2250</v>
      </c>
      <c r="D44" s="6">
        <v>0</v>
      </c>
      <c r="E44" s="44">
        <v>0.2</v>
      </c>
      <c r="F44" s="7">
        <v>0</v>
      </c>
      <c r="G44" s="46">
        <v>0.2</v>
      </c>
    </row>
    <row r="45" spans="1:7" ht="14.4" customHeight="1" thickBot="1" x14ac:dyDescent="0.35">
      <c r="A45" s="12">
        <f>C44+1</f>
        <v>2251</v>
      </c>
      <c r="B45" s="2" t="s">
        <v>5</v>
      </c>
      <c r="C45" s="13">
        <v>3000</v>
      </c>
      <c r="D45" s="6">
        <v>0</v>
      </c>
      <c r="E45" s="45">
        <v>0.2</v>
      </c>
      <c r="F45" s="7">
        <v>0</v>
      </c>
      <c r="G45" s="48">
        <v>0.2</v>
      </c>
    </row>
    <row r="46" spans="1:7" ht="14.4" customHeight="1" thickBot="1" x14ac:dyDescent="0.35">
      <c r="A46" s="42"/>
      <c r="B46" s="43"/>
      <c r="C46" s="43"/>
      <c r="D46" s="3"/>
      <c r="E46" s="44">
        <f>SUM(E42:E45)</f>
        <v>1</v>
      </c>
      <c r="F46" s="3"/>
      <c r="G46" s="46">
        <f>SUM(G42:G45)</f>
        <v>1</v>
      </c>
    </row>
    <row r="47" spans="1:7" ht="14.4" customHeight="1" thickBot="1" x14ac:dyDescent="0.35">
      <c r="A47" s="79" t="s">
        <v>52</v>
      </c>
      <c r="B47" s="80"/>
      <c r="C47" s="81"/>
      <c r="D47" s="15">
        <f>($C42*D42*E42)+($C43*D43*E43)+($C44*D44*E44)+($C45*D45*E45)</f>
        <v>0</v>
      </c>
      <c r="E47" s="4"/>
      <c r="F47" s="15">
        <f>($C42*F42*G42)+($C43*F43*G43)+($C44*F44*G44)+($C45*F45*G45)</f>
        <v>0</v>
      </c>
      <c r="G47" s="5"/>
    </row>
    <row r="48" spans="1:7" ht="14.4" customHeight="1" thickBot="1" x14ac:dyDescent="0.35">
      <c r="A48" s="82" t="s">
        <v>51</v>
      </c>
      <c r="B48" s="83"/>
      <c r="C48" s="83"/>
      <c r="D48" s="83"/>
      <c r="E48" s="84"/>
      <c r="F48" s="9">
        <f>D47+F47</f>
        <v>0</v>
      </c>
      <c r="G48" s="47"/>
    </row>
    <row r="49" spans="1:7" ht="14.4" customHeight="1" thickBot="1" x14ac:dyDescent="0.35"/>
    <row r="50" spans="1:7" ht="30" customHeight="1" x14ac:dyDescent="0.3">
      <c r="A50" s="85" t="s">
        <v>31</v>
      </c>
      <c r="B50" s="86"/>
      <c r="C50" s="86"/>
      <c r="D50" s="86"/>
      <c r="E50" s="86"/>
      <c r="F50" s="86" t="s">
        <v>45</v>
      </c>
      <c r="G50" s="87"/>
    </row>
    <row r="51" spans="1:7" ht="14.4" customHeight="1" thickBot="1" x14ac:dyDescent="0.35">
      <c r="A51" s="38"/>
      <c r="B51" s="39"/>
      <c r="C51" s="39"/>
      <c r="D51" s="14" t="s">
        <v>45</v>
      </c>
      <c r="E51" s="10"/>
      <c r="F51" s="14" t="s">
        <v>46</v>
      </c>
      <c r="G51" s="11"/>
    </row>
    <row r="52" spans="1:7" ht="14.4" customHeight="1" thickBot="1" x14ac:dyDescent="0.35">
      <c r="A52" s="77" t="s">
        <v>2</v>
      </c>
      <c r="B52" s="78"/>
      <c r="C52" s="78"/>
      <c r="D52" s="1" t="s">
        <v>3</v>
      </c>
      <c r="E52" s="40" t="s">
        <v>4</v>
      </c>
      <c r="F52" s="1" t="s">
        <v>3</v>
      </c>
      <c r="G52" s="41" t="s">
        <v>4</v>
      </c>
    </row>
    <row r="53" spans="1:7" ht="14.4" customHeight="1" thickBot="1" x14ac:dyDescent="0.35">
      <c r="A53" s="12">
        <v>1</v>
      </c>
      <c r="B53" s="2" t="s">
        <v>5</v>
      </c>
      <c r="C53" s="13">
        <v>750</v>
      </c>
      <c r="D53" s="6">
        <v>0</v>
      </c>
      <c r="E53" s="44">
        <v>0.3</v>
      </c>
      <c r="F53" s="7">
        <v>0</v>
      </c>
      <c r="G53" s="46">
        <v>0.3</v>
      </c>
    </row>
    <row r="54" spans="1:7" ht="14.4" customHeight="1" thickBot="1" x14ac:dyDescent="0.35">
      <c r="A54" s="12">
        <f>C53+1</f>
        <v>751</v>
      </c>
      <c r="B54" s="2" t="s">
        <v>5</v>
      </c>
      <c r="C54" s="13">
        <v>1500</v>
      </c>
      <c r="D54" s="6">
        <v>0</v>
      </c>
      <c r="E54" s="44">
        <v>0.3</v>
      </c>
      <c r="F54" s="7">
        <v>0</v>
      </c>
      <c r="G54" s="46">
        <v>0.3</v>
      </c>
    </row>
    <row r="55" spans="1:7" ht="14.4" customHeight="1" thickBot="1" x14ac:dyDescent="0.35">
      <c r="A55" s="12">
        <f>C54+1</f>
        <v>1501</v>
      </c>
      <c r="B55" s="2" t="s">
        <v>5</v>
      </c>
      <c r="C55" s="13">
        <v>2250</v>
      </c>
      <c r="D55" s="6">
        <v>0</v>
      </c>
      <c r="E55" s="44">
        <v>0.2</v>
      </c>
      <c r="F55" s="7">
        <v>0</v>
      </c>
      <c r="G55" s="46">
        <v>0.2</v>
      </c>
    </row>
    <row r="56" spans="1:7" ht="14.4" customHeight="1" thickBot="1" x14ac:dyDescent="0.35">
      <c r="A56" s="12">
        <f>C55+1</f>
        <v>2251</v>
      </c>
      <c r="B56" s="2" t="s">
        <v>5</v>
      </c>
      <c r="C56" s="13">
        <v>3000</v>
      </c>
      <c r="D56" s="6">
        <v>0</v>
      </c>
      <c r="E56" s="45">
        <v>0.2</v>
      </c>
      <c r="F56" s="7">
        <v>0</v>
      </c>
      <c r="G56" s="48">
        <v>0.2</v>
      </c>
    </row>
    <row r="57" spans="1:7" ht="14.4" customHeight="1" thickBot="1" x14ac:dyDescent="0.35">
      <c r="A57" s="42"/>
      <c r="B57" s="43"/>
      <c r="C57" s="43"/>
      <c r="D57" s="3"/>
      <c r="E57" s="44">
        <f>SUM(E53:E56)</f>
        <v>1</v>
      </c>
      <c r="F57" s="3"/>
      <c r="G57" s="46">
        <f>SUM(G53:G56)</f>
        <v>1</v>
      </c>
    </row>
    <row r="58" spans="1:7" ht="14.4" customHeight="1" thickBot="1" x14ac:dyDescent="0.35">
      <c r="A58" s="79" t="s">
        <v>52</v>
      </c>
      <c r="B58" s="80"/>
      <c r="C58" s="81"/>
      <c r="D58" s="15">
        <f>($C53*D53*E53)+($C54*D54*E54)+($C55*D55*E55)+($C56*D56*E56)</f>
        <v>0</v>
      </c>
      <c r="E58" s="4"/>
      <c r="F58" s="15">
        <f>($C53*F53*G53)+($C54*F54*G54)+($C55*F55*G55)+($C56*F56*G56)</f>
        <v>0</v>
      </c>
      <c r="G58" s="5"/>
    </row>
    <row r="59" spans="1:7" ht="14.4" customHeight="1" thickBot="1" x14ac:dyDescent="0.35">
      <c r="A59" s="82" t="s">
        <v>51</v>
      </c>
      <c r="B59" s="83"/>
      <c r="C59" s="83"/>
      <c r="D59" s="83"/>
      <c r="E59" s="84"/>
      <c r="F59" s="9">
        <f>D58+F58</f>
        <v>0</v>
      </c>
      <c r="G59" s="47"/>
    </row>
    <row r="60" spans="1:7" ht="14.4" customHeight="1" thickBot="1" x14ac:dyDescent="0.35"/>
    <row r="61" spans="1:7" ht="30" customHeight="1" x14ac:dyDescent="0.3">
      <c r="A61" s="85" t="s">
        <v>32</v>
      </c>
      <c r="B61" s="86"/>
      <c r="C61" s="86"/>
      <c r="D61" s="86"/>
      <c r="E61" s="86"/>
      <c r="F61" s="86" t="s">
        <v>45</v>
      </c>
      <c r="G61" s="87"/>
    </row>
    <row r="62" spans="1:7" ht="15" customHeight="1" thickBot="1" x14ac:dyDescent="0.35">
      <c r="A62" s="38"/>
      <c r="B62" s="39"/>
      <c r="C62" s="39"/>
      <c r="D62" s="14" t="s">
        <v>45</v>
      </c>
      <c r="E62" s="10"/>
      <c r="F62" s="14" t="s">
        <v>46</v>
      </c>
      <c r="G62" s="11"/>
    </row>
    <row r="63" spans="1:7" ht="14.4" customHeight="1" thickBot="1" x14ac:dyDescent="0.35">
      <c r="A63" s="77" t="s">
        <v>2</v>
      </c>
      <c r="B63" s="78"/>
      <c r="C63" s="78"/>
      <c r="D63" s="1" t="s">
        <v>3</v>
      </c>
      <c r="E63" s="40" t="s">
        <v>4</v>
      </c>
      <c r="F63" s="1" t="s">
        <v>3</v>
      </c>
      <c r="G63" s="41" t="s">
        <v>4</v>
      </c>
    </row>
    <row r="64" spans="1:7" ht="14.4" customHeight="1" thickBot="1" x14ac:dyDescent="0.35">
      <c r="A64" s="12">
        <v>1</v>
      </c>
      <c r="B64" s="2" t="s">
        <v>5</v>
      </c>
      <c r="C64" s="13">
        <v>500</v>
      </c>
      <c r="D64" s="6">
        <v>0</v>
      </c>
      <c r="E64" s="44">
        <v>0.3</v>
      </c>
      <c r="F64" s="7">
        <v>0</v>
      </c>
      <c r="G64" s="46">
        <v>0.3</v>
      </c>
    </row>
    <row r="65" spans="1:7" ht="14.4" customHeight="1" thickBot="1" x14ac:dyDescent="0.35">
      <c r="A65" s="12">
        <f>C64+1</f>
        <v>501</v>
      </c>
      <c r="B65" s="2" t="s">
        <v>5</v>
      </c>
      <c r="C65" s="13">
        <v>1000</v>
      </c>
      <c r="D65" s="6">
        <v>0</v>
      </c>
      <c r="E65" s="44">
        <v>0.3</v>
      </c>
      <c r="F65" s="7">
        <v>0</v>
      </c>
      <c r="G65" s="46">
        <v>0.3</v>
      </c>
    </row>
    <row r="66" spans="1:7" ht="14.4" customHeight="1" thickBot="1" x14ac:dyDescent="0.35">
      <c r="A66" s="12">
        <f>C65+1</f>
        <v>1001</v>
      </c>
      <c r="B66" s="2" t="s">
        <v>5</v>
      </c>
      <c r="C66" s="13">
        <v>1500</v>
      </c>
      <c r="D66" s="6">
        <v>0</v>
      </c>
      <c r="E66" s="44">
        <v>0.2</v>
      </c>
      <c r="F66" s="7">
        <v>0</v>
      </c>
      <c r="G66" s="46">
        <v>0.2</v>
      </c>
    </row>
    <row r="67" spans="1:7" ht="14.4" customHeight="1" thickBot="1" x14ac:dyDescent="0.35">
      <c r="A67" s="12">
        <f>C66+1</f>
        <v>1501</v>
      </c>
      <c r="B67" s="2" t="s">
        <v>5</v>
      </c>
      <c r="C67" s="13">
        <v>2000</v>
      </c>
      <c r="D67" s="6">
        <v>0</v>
      </c>
      <c r="E67" s="45">
        <v>0.2</v>
      </c>
      <c r="F67" s="7">
        <v>0</v>
      </c>
      <c r="G67" s="48">
        <v>0.2</v>
      </c>
    </row>
    <row r="68" spans="1:7" ht="14.4" customHeight="1" thickBot="1" x14ac:dyDescent="0.35">
      <c r="A68" s="42"/>
      <c r="B68" s="43"/>
      <c r="C68" s="43"/>
      <c r="D68" s="3"/>
      <c r="E68" s="44">
        <f>SUM(E64:E67)</f>
        <v>1</v>
      </c>
      <c r="F68" s="3"/>
      <c r="G68" s="46">
        <f>SUM(G64:G67)</f>
        <v>1</v>
      </c>
    </row>
    <row r="69" spans="1:7" ht="14.4" customHeight="1" thickBot="1" x14ac:dyDescent="0.35">
      <c r="A69" s="79" t="s">
        <v>52</v>
      </c>
      <c r="B69" s="80"/>
      <c r="C69" s="81"/>
      <c r="D69" s="15">
        <f>($C64*D64*E64)+($C65*D65*E65)+($C66*D66*E66)+($C67*D67*E67)</f>
        <v>0</v>
      </c>
      <c r="E69" s="4"/>
      <c r="F69" s="15">
        <f>($C64*F64*G64)+($C65*F65*G65)+($C66*F66*G66)+($C67*F67*G67)</f>
        <v>0</v>
      </c>
      <c r="G69" s="5"/>
    </row>
    <row r="70" spans="1:7" ht="14.4" customHeight="1" thickBot="1" x14ac:dyDescent="0.35">
      <c r="A70" s="82" t="s">
        <v>51</v>
      </c>
      <c r="B70" s="83"/>
      <c r="C70" s="83"/>
      <c r="D70" s="83"/>
      <c r="E70" s="84"/>
      <c r="F70" s="9">
        <f>D69+F69</f>
        <v>0</v>
      </c>
      <c r="G70" s="47"/>
    </row>
    <row r="71" spans="1:7" ht="14.4" customHeight="1" thickBot="1" x14ac:dyDescent="0.35"/>
    <row r="72" spans="1:7" ht="30" customHeight="1" x14ac:dyDescent="0.3">
      <c r="A72" s="85" t="s">
        <v>33</v>
      </c>
      <c r="B72" s="86"/>
      <c r="C72" s="86"/>
      <c r="D72" s="86"/>
      <c r="E72" s="86"/>
      <c r="F72" s="86" t="s">
        <v>45</v>
      </c>
      <c r="G72" s="87"/>
    </row>
    <row r="73" spans="1:7" ht="14.4" customHeight="1" thickBot="1" x14ac:dyDescent="0.35">
      <c r="A73" s="38"/>
      <c r="B73" s="39"/>
      <c r="C73" s="39"/>
      <c r="D73" s="14" t="s">
        <v>45</v>
      </c>
      <c r="E73" s="10"/>
      <c r="F73" s="14" t="s">
        <v>46</v>
      </c>
      <c r="G73" s="11"/>
    </row>
    <row r="74" spans="1:7" ht="14.4" customHeight="1" thickBot="1" x14ac:dyDescent="0.35">
      <c r="A74" s="77" t="s">
        <v>2</v>
      </c>
      <c r="B74" s="78"/>
      <c r="C74" s="78"/>
      <c r="D74" s="1" t="s">
        <v>3</v>
      </c>
      <c r="E74" s="40" t="s">
        <v>4</v>
      </c>
      <c r="F74" s="1" t="s">
        <v>3</v>
      </c>
      <c r="G74" s="41" t="s">
        <v>4</v>
      </c>
    </row>
    <row r="75" spans="1:7" ht="14.4" customHeight="1" thickBot="1" x14ac:dyDescent="0.35">
      <c r="A75" s="12">
        <v>1</v>
      </c>
      <c r="B75" s="2" t="s">
        <v>5</v>
      </c>
      <c r="C75" s="13">
        <v>500</v>
      </c>
      <c r="D75" s="6">
        <v>0</v>
      </c>
      <c r="E75" s="44">
        <v>0.3</v>
      </c>
      <c r="F75" s="7">
        <v>0</v>
      </c>
      <c r="G75" s="46">
        <v>0.3</v>
      </c>
    </row>
    <row r="76" spans="1:7" ht="14.4" customHeight="1" thickBot="1" x14ac:dyDescent="0.35">
      <c r="A76" s="12">
        <f>C75+1</f>
        <v>501</v>
      </c>
      <c r="B76" s="2" t="s">
        <v>5</v>
      </c>
      <c r="C76" s="13">
        <v>1000</v>
      </c>
      <c r="D76" s="6">
        <v>0</v>
      </c>
      <c r="E76" s="44">
        <v>0.3</v>
      </c>
      <c r="F76" s="7">
        <v>0</v>
      </c>
      <c r="G76" s="46">
        <v>0.3</v>
      </c>
    </row>
    <row r="77" spans="1:7" ht="14.4" customHeight="1" thickBot="1" x14ac:dyDescent="0.35">
      <c r="A77" s="12">
        <f>C76+1</f>
        <v>1001</v>
      </c>
      <c r="B77" s="2" t="s">
        <v>5</v>
      </c>
      <c r="C77" s="13">
        <v>1500</v>
      </c>
      <c r="D77" s="6">
        <v>0</v>
      </c>
      <c r="E77" s="44">
        <v>0.2</v>
      </c>
      <c r="F77" s="7">
        <v>0</v>
      </c>
      <c r="G77" s="46">
        <v>0.2</v>
      </c>
    </row>
    <row r="78" spans="1:7" ht="14.4" customHeight="1" thickBot="1" x14ac:dyDescent="0.35">
      <c r="A78" s="12">
        <f>C77+1</f>
        <v>1501</v>
      </c>
      <c r="B78" s="2" t="s">
        <v>5</v>
      </c>
      <c r="C78" s="13">
        <v>2000</v>
      </c>
      <c r="D78" s="6">
        <v>0</v>
      </c>
      <c r="E78" s="45">
        <v>0.2</v>
      </c>
      <c r="F78" s="7">
        <v>0</v>
      </c>
      <c r="G78" s="48">
        <v>0.2</v>
      </c>
    </row>
    <row r="79" spans="1:7" ht="14.4" customHeight="1" thickBot="1" x14ac:dyDescent="0.35">
      <c r="A79" s="42"/>
      <c r="B79" s="43"/>
      <c r="C79" s="43"/>
      <c r="D79" s="3"/>
      <c r="E79" s="44">
        <f>SUM(E75:E78)</f>
        <v>1</v>
      </c>
      <c r="F79" s="3"/>
      <c r="G79" s="46">
        <f>SUM(G75:G78)</f>
        <v>1</v>
      </c>
    </row>
    <row r="80" spans="1:7" ht="14.4" customHeight="1" thickBot="1" x14ac:dyDescent="0.35">
      <c r="A80" s="79" t="s">
        <v>52</v>
      </c>
      <c r="B80" s="80"/>
      <c r="C80" s="81"/>
      <c r="D80" s="15">
        <f>($C75*D75*E75)+($C76*D76*E76)+($C77*D77*E77)+($C78*D78*E78)</f>
        <v>0</v>
      </c>
      <c r="E80" s="4"/>
      <c r="F80" s="15">
        <f>($C75*F75*G75)+($C76*F76*G76)+($C77*F77*G77)+($C78*F78*G78)</f>
        <v>0</v>
      </c>
      <c r="G80" s="5"/>
    </row>
    <row r="81" spans="1:7" ht="14.4" customHeight="1" thickBot="1" x14ac:dyDescent="0.35">
      <c r="A81" s="82" t="s">
        <v>51</v>
      </c>
      <c r="B81" s="83"/>
      <c r="C81" s="83"/>
      <c r="D81" s="83"/>
      <c r="E81" s="84"/>
      <c r="F81" s="9">
        <f>D80+F80</f>
        <v>0</v>
      </c>
      <c r="G81" s="47"/>
    </row>
    <row r="82" spans="1:7" ht="14.4" customHeight="1" thickBot="1" x14ac:dyDescent="0.35"/>
    <row r="83" spans="1:7" ht="30" customHeight="1" x14ac:dyDescent="0.3">
      <c r="A83" s="85" t="s">
        <v>34</v>
      </c>
      <c r="B83" s="86"/>
      <c r="C83" s="86"/>
      <c r="D83" s="86"/>
      <c r="E83" s="86"/>
      <c r="F83" s="86" t="s">
        <v>45</v>
      </c>
      <c r="G83" s="87"/>
    </row>
    <row r="84" spans="1:7" ht="14.4" customHeight="1" thickBot="1" x14ac:dyDescent="0.35">
      <c r="A84" s="38"/>
      <c r="B84" s="39"/>
      <c r="C84" s="39"/>
      <c r="D84" s="14" t="s">
        <v>45</v>
      </c>
      <c r="E84" s="10"/>
      <c r="F84" s="14" t="s">
        <v>46</v>
      </c>
      <c r="G84" s="11"/>
    </row>
    <row r="85" spans="1:7" ht="14.4" customHeight="1" thickBot="1" x14ac:dyDescent="0.35">
      <c r="A85" s="77" t="s">
        <v>2</v>
      </c>
      <c r="B85" s="78"/>
      <c r="C85" s="78"/>
      <c r="D85" s="1" t="s">
        <v>3</v>
      </c>
      <c r="E85" s="40" t="s">
        <v>4</v>
      </c>
      <c r="F85" s="1" t="s">
        <v>3</v>
      </c>
      <c r="G85" s="41" t="s">
        <v>4</v>
      </c>
    </row>
    <row r="86" spans="1:7" ht="14.4" customHeight="1" thickBot="1" x14ac:dyDescent="0.35">
      <c r="A86" s="12">
        <v>1</v>
      </c>
      <c r="B86" s="2" t="s">
        <v>5</v>
      </c>
      <c r="C86" s="13">
        <v>500</v>
      </c>
      <c r="D86" s="6">
        <v>0</v>
      </c>
      <c r="E86" s="44">
        <v>0.3</v>
      </c>
      <c r="F86" s="7">
        <v>0</v>
      </c>
      <c r="G86" s="46">
        <v>0.3</v>
      </c>
    </row>
    <row r="87" spans="1:7" ht="14.4" customHeight="1" thickBot="1" x14ac:dyDescent="0.35">
      <c r="A87" s="12">
        <f>C86+1</f>
        <v>501</v>
      </c>
      <c r="B87" s="2" t="s">
        <v>5</v>
      </c>
      <c r="C87" s="13">
        <v>1000</v>
      </c>
      <c r="D87" s="6">
        <v>0</v>
      </c>
      <c r="E87" s="44">
        <v>0.3</v>
      </c>
      <c r="F87" s="7">
        <v>0</v>
      </c>
      <c r="G87" s="46">
        <v>0.3</v>
      </c>
    </row>
    <row r="88" spans="1:7" ht="14.4" customHeight="1" thickBot="1" x14ac:dyDescent="0.35">
      <c r="A88" s="12">
        <f>C87+1</f>
        <v>1001</v>
      </c>
      <c r="B88" s="2" t="s">
        <v>5</v>
      </c>
      <c r="C88" s="13">
        <v>1500</v>
      </c>
      <c r="D88" s="6">
        <v>0</v>
      </c>
      <c r="E88" s="44">
        <v>0.2</v>
      </c>
      <c r="F88" s="7">
        <v>0</v>
      </c>
      <c r="G88" s="46">
        <v>0.2</v>
      </c>
    </row>
    <row r="89" spans="1:7" ht="14.4" customHeight="1" thickBot="1" x14ac:dyDescent="0.35">
      <c r="A89" s="12">
        <f>C88+1</f>
        <v>1501</v>
      </c>
      <c r="B89" s="2" t="s">
        <v>5</v>
      </c>
      <c r="C89" s="13">
        <v>2000</v>
      </c>
      <c r="D89" s="6">
        <v>0</v>
      </c>
      <c r="E89" s="45">
        <v>0.2</v>
      </c>
      <c r="F89" s="7">
        <v>0</v>
      </c>
      <c r="G89" s="48">
        <v>0.2</v>
      </c>
    </row>
    <row r="90" spans="1:7" ht="14.4" customHeight="1" thickBot="1" x14ac:dyDescent="0.35">
      <c r="A90" s="42"/>
      <c r="B90" s="43"/>
      <c r="C90" s="43"/>
      <c r="D90" s="3"/>
      <c r="E90" s="44">
        <f>SUM(E86:E89)</f>
        <v>1</v>
      </c>
      <c r="F90" s="3"/>
      <c r="G90" s="46">
        <f>SUM(G86:G89)</f>
        <v>1</v>
      </c>
    </row>
    <row r="91" spans="1:7" ht="14.4" customHeight="1" thickBot="1" x14ac:dyDescent="0.35">
      <c r="A91" s="79" t="s">
        <v>52</v>
      </c>
      <c r="B91" s="80"/>
      <c r="C91" s="81"/>
      <c r="D91" s="8">
        <f>($C86*D86*E86)+($C87*D87*E87)+($C88*D88*E88)+($C89*D89*E89)</f>
        <v>0</v>
      </c>
      <c r="E91" s="4"/>
      <c r="F91" s="8">
        <f>($C86*F86*G86)+($C87*F87*G87)+($C88*F88*G88)+($C89*F89*G89)</f>
        <v>0</v>
      </c>
      <c r="G91" s="5"/>
    </row>
    <row r="92" spans="1:7" ht="14.4" customHeight="1" thickBot="1" x14ac:dyDescent="0.35">
      <c r="A92" s="82" t="s">
        <v>51</v>
      </c>
      <c r="B92" s="83"/>
      <c r="C92" s="83"/>
      <c r="D92" s="83"/>
      <c r="E92" s="84"/>
      <c r="F92" s="9">
        <f>D91+F91</f>
        <v>0</v>
      </c>
      <c r="G92" s="47"/>
    </row>
    <row r="93" spans="1:7" ht="14.4" customHeight="1" thickBot="1" x14ac:dyDescent="0.35"/>
    <row r="94" spans="1:7" ht="30" customHeight="1" x14ac:dyDescent="0.3">
      <c r="A94" s="85" t="s">
        <v>35</v>
      </c>
      <c r="B94" s="86"/>
      <c r="C94" s="86"/>
      <c r="D94" s="86"/>
      <c r="E94" s="86"/>
      <c r="F94" s="86"/>
      <c r="G94" s="87"/>
    </row>
    <row r="95" spans="1:7" ht="14.4" customHeight="1" thickBot="1" x14ac:dyDescent="0.35">
      <c r="A95" s="38"/>
      <c r="B95" s="39"/>
      <c r="C95" s="39"/>
      <c r="D95" s="14" t="s">
        <v>45</v>
      </c>
      <c r="E95" s="10"/>
      <c r="F95" s="14" t="s">
        <v>46</v>
      </c>
      <c r="G95" s="11"/>
    </row>
    <row r="96" spans="1:7" ht="14.4" customHeight="1" thickBot="1" x14ac:dyDescent="0.35">
      <c r="A96" s="77" t="s">
        <v>2</v>
      </c>
      <c r="B96" s="78"/>
      <c r="C96" s="78"/>
      <c r="D96" s="1" t="s">
        <v>3</v>
      </c>
      <c r="E96" s="40" t="s">
        <v>4</v>
      </c>
      <c r="F96" s="1" t="s">
        <v>3</v>
      </c>
      <c r="G96" s="41" t="s">
        <v>4</v>
      </c>
    </row>
    <row r="97" spans="1:7" ht="14.4" customHeight="1" thickBot="1" x14ac:dyDescent="0.35">
      <c r="A97" s="12">
        <v>1</v>
      </c>
      <c r="B97" s="2" t="s">
        <v>5</v>
      </c>
      <c r="C97" s="13">
        <v>500</v>
      </c>
      <c r="D97" s="6">
        <v>0</v>
      </c>
      <c r="E97" s="44">
        <v>0.3</v>
      </c>
      <c r="F97" s="7">
        <v>0</v>
      </c>
      <c r="G97" s="46">
        <v>0.3</v>
      </c>
    </row>
    <row r="98" spans="1:7" ht="14.4" customHeight="1" thickBot="1" x14ac:dyDescent="0.35">
      <c r="A98" s="12">
        <f>C97+1</f>
        <v>501</v>
      </c>
      <c r="B98" s="2" t="s">
        <v>5</v>
      </c>
      <c r="C98" s="13">
        <v>1000</v>
      </c>
      <c r="D98" s="6">
        <v>0</v>
      </c>
      <c r="E98" s="44">
        <v>0.3</v>
      </c>
      <c r="F98" s="7">
        <v>0</v>
      </c>
      <c r="G98" s="46">
        <v>0.3</v>
      </c>
    </row>
    <row r="99" spans="1:7" ht="14.4" customHeight="1" thickBot="1" x14ac:dyDescent="0.35">
      <c r="A99" s="12">
        <f>C98+1</f>
        <v>1001</v>
      </c>
      <c r="B99" s="2" t="s">
        <v>5</v>
      </c>
      <c r="C99" s="13">
        <v>1500</v>
      </c>
      <c r="D99" s="6">
        <v>0</v>
      </c>
      <c r="E99" s="44">
        <v>0.2</v>
      </c>
      <c r="F99" s="7">
        <v>0</v>
      </c>
      <c r="G99" s="46">
        <v>0.2</v>
      </c>
    </row>
    <row r="100" spans="1:7" ht="14.4" customHeight="1" thickBot="1" x14ac:dyDescent="0.35">
      <c r="A100" s="12">
        <f>C99+1</f>
        <v>1501</v>
      </c>
      <c r="B100" s="2" t="s">
        <v>5</v>
      </c>
      <c r="C100" s="13">
        <v>2000</v>
      </c>
      <c r="D100" s="6">
        <v>0</v>
      </c>
      <c r="E100" s="45">
        <v>0.2</v>
      </c>
      <c r="F100" s="7">
        <v>0</v>
      </c>
      <c r="G100" s="48">
        <v>0.2</v>
      </c>
    </row>
    <row r="101" spans="1:7" ht="14.4" customHeight="1" thickBot="1" x14ac:dyDescent="0.35">
      <c r="A101" s="42"/>
      <c r="B101" s="43"/>
      <c r="C101" s="43"/>
      <c r="D101" s="3"/>
      <c r="E101" s="44">
        <f>SUM(E97:E100)</f>
        <v>1</v>
      </c>
      <c r="F101" s="3"/>
      <c r="G101" s="46">
        <f>SUM(G97:G100)</f>
        <v>1</v>
      </c>
    </row>
    <row r="102" spans="1:7" ht="14.4" customHeight="1" thickBot="1" x14ac:dyDescent="0.35">
      <c r="A102" s="79" t="s">
        <v>52</v>
      </c>
      <c r="B102" s="80"/>
      <c r="C102" s="81"/>
      <c r="D102" s="15">
        <f>($C97*D97*E97)+($C98*D98*E98)+($C99*D99*E99)+($C100*D100*E100)</f>
        <v>0</v>
      </c>
      <c r="E102" s="4"/>
      <c r="F102" s="15">
        <f>($C97*F97*G97)+($C98*F98*G98)+($C99*F99*G99)+($C100*F100*G100)</f>
        <v>0</v>
      </c>
      <c r="G102" s="5"/>
    </row>
    <row r="103" spans="1:7" ht="14.4" customHeight="1" thickBot="1" x14ac:dyDescent="0.35">
      <c r="A103" s="82" t="s">
        <v>51</v>
      </c>
      <c r="B103" s="83"/>
      <c r="C103" s="83"/>
      <c r="D103" s="83"/>
      <c r="E103" s="84"/>
      <c r="F103" s="9">
        <f>D102+F102</f>
        <v>0</v>
      </c>
      <c r="G103" s="47"/>
    </row>
    <row r="104" spans="1:7" ht="14.4" customHeight="1" thickBot="1" x14ac:dyDescent="0.35"/>
    <row r="105" spans="1:7" ht="30" customHeight="1" x14ac:dyDescent="0.3">
      <c r="A105" s="85" t="s">
        <v>36</v>
      </c>
      <c r="B105" s="86"/>
      <c r="C105" s="86"/>
      <c r="D105" s="86"/>
      <c r="E105" s="86"/>
      <c r="F105" s="86"/>
      <c r="G105" s="87"/>
    </row>
    <row r="106" spans="1:7" ht="14.4" customHeight="1" thickBot="1" x14ac:dyDescent="0.35">
      <c r="A106" s="38"/>
      <c r="B106" s="39"/>
      <c r="C106" s="39"/>
      <c r="D106" s="14" t="s">
        <v>45</v>
      </c>
      <c r="E106" s="10"/>
      <c r="F106" s="14" t="s">
        <v>46</v>
      </c>
      <c r="G106" s="11"/>
    </row>
    <row r="107" spans="1:7" ht="14.4" customHeight="1" thickBot="1" x14ac:dyDescent="0.35">
      <c r="A107" s="77" t="s">
        <v>2</v>
      </c>
      <c r="B107" s="78"/>
      <c r="C107" s="78"/>
      <c r="D107" s="1" t="s">
        <v>3</v>
      </c>
      <c r="E107" s="40" t="s">
        <v>4</v>
      </c>
      <c r="F107" s="1" t="s">
        <v>3</v>
      </c>
      <c r="G107" s="41" t="s">
        <v>4</v>
      </c>
    </row>
    <row r="108" spans="1:7" ht="14.4" customHeight="1" thickBot="1" x14ac:dyDescent="0.35">
      <c r="A108" s="12">
        <v>1</v>
      </c>
      <c r="B108" s="2" t="s">
        <v>5</v>
      </c>
      <c r="C108" s="13">
        <v>500</v>
      </c>
      <c r="D108" s="6">
        <v>0</v>
      </c>
      <c r="E108" s="44">
        <v>0.3</v>
      </c>
      <c r="F108" s="7">
        <v>0</v>
      </c>
      <c r="G108" s="46">
        <v>0.3</v>
      </c>
    </row>
    <row r="109" spans="1:7" ht="14.4" customHeight="1" thickBot="1" x14ac:dyDescent="0.35">
      <c r="A109" s="12">
        <f>C108+1</f>
        <v>501</v>
      </c>
      <c r="B109" s="2" t="s">
        <v>5</v>
      </c>
      <c r="C109" s="13">
        <v>1000</v>
      </c>
      <c r="D109" s="6">
        <v>0</v>
      </c>
      <c r="E109" s="44">
        <v>0.3</v>
      </c>
      <c r="F109" s="7">
        <v>0</v>
      </c>
      <c r="G109" s="46">
        <v>0.3</v>
      </c>
    </row>
    <row r="110" spans="1:7" ht="14.4" customHeight="1" thickBot="1" x14ac:dyDescent="0.35">
      <c r="A110" s="12">
        <f>C109+1</f>
        <v>1001</v>
      </c>
      <c r="B110" s="2" t="s">
        <v>5</v>
      </c>
      <c r="C110" s="13">
        <v>1500</v>
      </c>
      <c r="D110" s="6">
        <v>0</v>
      </c>
      <c r="E110" s="44">
        <v>0.2</v>
      </c>
      <c r="F110" s="7">
        <v>0</v>
      </c>
      <c r="G110" s="46">
        <v>0.2</v>
      </c>
    </row>
    <row r="111" spans="1:7" ht="14.4" customHeight="1" thickBot="1" x14ac:dyDescent="0.35">
      <c r="A111" s="12">
        <f>C110+1</f>
        <v>1501</v>
      </c>
      <c r="B111" s="2" t="s">
        <v>5</v>
      </c>
      <c r="C111" s="13">
        <v>2000</v>
      </c>
      <c r="D111" s="6">
        <v>0</v>
      </c>
      <c r="E111" s="45">
        <v>0.2</v>
      </c>
      <c r="F111" s="7">
        <v>0</v>
      </c>
      <c r="G111" s="48">
        <v>0.2</v>
      </c>
    </row>
    <row r="112" spans="1:7" ht="14.4" customHeight="1" thickBot="1" x14ac:dyDescent="0.35">
      <c r="A112" s="42"/>
      <c r="B112" s="43"/>
      <c r="C112" s="43"/>
      <c r="D112" s="3"/>
      <c r="E112" s="44">
        <f>SUM(E108:E111)</f>
        <v>1</v>
      </c>
      <c r="F112" s="3"/>
      <c r="G112" s="46">
        <f>SUM(G108:G111)</f>
        <v>1</v>
      </c>
    </row>
    <row r="113" spans="1:7" ht="14.4" customHeight="1" thickBot="1" x14ac:dyDescent="0.35">
      <c r="A113" s="79" t="s">
        <v>52</v>
      </c>
      <c r="B113" s="80"/>
      <c r="C113" s="81"/>
      <c r="D113" s="15">
        <f>($C108*D108*E108)+($C109*D109*E109)+($C110*D110*E110)+($C111*D111*E111)</f>
        <v>0</v>
      </c>
      <c r="E113" s="4"/>
      <c r="F113" s="15">
        <f>($C108*F108*G108)+($C109*F109*G109)+($C110*F110*G110)+($C111*F111*G111)</f>
        <v>0</v>
      </c>
      <c r="G113" s="5"/>
    </row>
    <row r="114" spans="1:7" ht="14.4" customHeight="1" thickBot="1" x14ac:dyDescent="0.35">
      <c r="A114" s="82" t="s">
        <v>51</v>
      </c>
      <c r="B114" s="83"/>
      <c r="C114" s="83"/>
      <c r="D114" s="83"/>
      <c r="E114" s="84"/>
      <c r="F114" s="9">
        <f>D113+F113</f>
        <v>0</v>
      </c>
      <c r="G114" s="47"/>
    </row>
    <row r="115" spans="1:7" ht="14.4" customHeight="1" x14ac:dyDescent="0.3"/>
    <row r="116" spans="1:7" x14ac:dyDescent="0.3">
      <c r="E116" s="50"/>
    </row>
  </sheetData>
  <sheetProtection algorithmName="SHA-512" hashValue="psN8NBEV5QhmYPIZ+xoIJdGsyMHOjic/HPzqqySmjc30XaAxbRHthSHIShT5Kp7heXZVWOyLwZQE6i9Y6GGDFQ==" saltValue="r4vFFEWO3KSmnv8qKs+ibA==" spinCount="100000" sheet="1" objects="1" scenarios="1"/>
  <mergeCells count="46">
    <mergeCell ref="A1:G1"/>
    <mergeCell ref="A2:G2"/>
    <mergeCell ref="A6:G6"/>
    <mergeCell ref="A14:C14"/>
    <mergeCell ref="A114:E114"/>
    <mergeCell ref="A61:G61"/>
    <mergeCell ref="A72:G72"/>
    <mergeCell ref="A83:G83"/>
    <mergeCell ref="A94:G94"/>
    <mergeCell ref="A105:G105"/>
    <mergeCell ref="A102:C102"/>
    <mergeCell ref="A113:C113"/>
    <mergeCell ref="A70:E70"/>
    <mergeCell ref="A81:E81"/>
    <mergeCell ref="A92:E92"/>
    <mergeCell ref="A103:E103"/>
    <mergeCell ref="A4:B4"/>
    <mergeCell ref="A3:B3"/>
    <mergeCell ref="C4:G4"/>
    <mergeCell ref="A17:G17"/>
    <mergeCell ref="C3:G3"/>
    <mergeCell ref="A8:C8"/>
    <mergeCell ref="A15:E15"/>
    <mergeCell ref="A19:C19"/>
    <mergeCell ref="A30:C30"/>
    <mergeCell ref="A25:C25"/>
    <mergeCell ref="A26:E26"/>
    <mergeCell ref="A28:G28"/>
    <mergeCell ref="A48:E48"/>
    <mergeCell ref="A50:G50"/>
    <mergeCell ref="A58:C58"/>
    <mergeCell ref="A59:E59"/>
    <mergeCell ref="A36:C36"/>
    <mergeCell ref="A37:E37"/>
    <mergeCell ref="A39:G39"/>
    <mergeCell ref="A47:C47"/>
    <mergeCell ref="A41:C41"/>
    <mergeCell ref="A96:C96"/>
    <mergeCell ref="A80:C80"/>
    <mergeCell ref="A91:C91"/>
    <mergeCell ref="A107:C107"/>
    <mergeCell ref="A52:C52"/>
    <mergeCell ref="A63:C63"/>
    <mergeCell ref="A69:C69"/>
    <mergeCell ref="A74:C74"/>
    <mergeCell ref="A85:C85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df73c30-c165-4a9a-b0fb-9338939b74c4">
      <Terms xmlns="http://schemas.microsoft.com/office/infopath/2007/PartnerControls"/>
    </lcf76f155ced4ddcb4097134ff3c332f>
    <TaxCatchAll xmlns="dd75b978-1357-409d-b8b8-7ac173bb090c" xsi:nil="true"/>
    <Status xmlns="0df73c30-c165-4a9a-b0fb-9338939b74c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FD3FF28ECAD04C84031764C7C42B6F" ma:contentTypeVersion="14" ma:contentTypeDescription="Create a new document." ma:contentTypeScope="" ma:versionID="4b98e45a120aa2744c47d5391c228a33">
  <xsd:schema xmlns:xsd="http://www.w3.org/2001/XMLSchema" xmlns:xs="http://www.w3.org/2001/XMLSchema" xmlns:p="http://schemas.microsoft.com/office/2006/metadata/properties" xmlns:ns1="http://schemas.microsoft.com/sharepoint/v3" xmlns:ns2="0df73c30-c165-4a9a-b0fb-9338939b74c4" xmlns:ns3="dd75b978-1357-409d-b8b8-7ac173bb090c" targetNamespace="http://schemas.microsoft.com/office/2006/metadata/properties" ma:root="true" ma:fieldsID="34bfce463a605466c7b09cefa2ace23d" ns1:_="" ns2:_="" ns3:_="">
    <xsd:import namespace="http://schemas.microsoft.com/sharepoint/v3"/>
    <xsd:import namespace="0df73c30-c165-4a9a-b0fb-9338939b74c4"/>
    <xsd:import namespace="dd75b978-1357-409d-b8b8-7ac173bb0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73c30-c165-4a9a-b0fb-9338939b74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tatus" ma:index="12" nillable="true" ma:displayName="Status" ma:format="Dropdown" ma:internalName="Status">
      <xsd:simpleType>
        <xsd:union memberTypes="dms:Text">
          <xsd:simpleType>
            <xsd:restriction base="dms:Choice">
              <xsd:enumeration value="Assigned"/>
              <xsd:enumeration value="Issued"/>
              <xsd:enumeration value="Closed"/>
            </xsd:restriction>
          </xsd:simpleType>
        </xsd:un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5b978-1357-409d-b8b8-7ac173bb090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2b1632a-58ba-4a40-902f-f5cde371506a}" ma:internalName="TaxCatchAll" ma:showField="CatchAllData" ma:web="dd75b978-1357-409d-b8b8-7ac173bb0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10CC81-28FF-404A-B1DA-7CB3A8B89956}">
  <ds:schemaRefs>
    <ds:schemaRef ds:uri="http://purl.org/dc/terms/"/>
    <ds:schemaRef ds:uri="http://schemas.openxmlformats.org/package/2006/metadata/core-properties"/>
    <ds:schemaRef ds:uri="dd75b978-1357-409d-b8b8-7ac173bb090c"/>
    <ds:schemaRef ds:uri="http://schemas.microsoft.com/office/2006/documentManagement/types"/>
    <ds:schemaRef ds:uri="0df73c30-c165-4a9a-b0fb-9338939b74c4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1D47BDF-E74A-44FF-933F-DDEF7D864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8E56E3-BB0D-4D7E-B38A-4638D8304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df73c30-c165-4a9a-b0fb-9338939b74c4"/>
    <ds:schemaRef ds:uri="dd75b978-1357-409d-b8b8-7ac173bb0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Proposal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Yager, Tracy A CIV USARMY ACC (USA)</dc:creator>
  <cp:lastModifiedBy>Carlough, Tiah E CIV USARMY ACC (USA)</cp:lastModifiedBy>
  <cp:lastPrinted>2026-02-12T18:54:05Z</cp:lastPrinted>
  <dcterms:created xsi:type="dcterms:W3CDTF">2026-02-11T19:08:06Z</dcterms:created>
  <dcterms:modified xsi:type="dcterms:W3CDTF">2026-02-18T21:26:30Z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0x01010067FD3FF28ECAD04C84031764C7C42B6F</vt:lpwstr>
  </property>
</Properties>
</file>