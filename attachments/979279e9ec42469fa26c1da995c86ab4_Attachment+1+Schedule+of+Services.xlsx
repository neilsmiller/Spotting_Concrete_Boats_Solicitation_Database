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scg-my.sharepoint-mil.us/personal/matthew_r_stansberry2_uscg_mil1/Documents/CGC VENTUROUS FY26 DD/Solicitation/"/>
    </mc:Choice>
  </mc:AlternateContent>
  <xr:revisionPtr revIDLastSave="129" documentId="8_{CF486393-A4AE-44FE-ACCD-DC89CB4FC330}" xr6:coauthVersionLast="47" xr6:coauthVersionMax="47" xr10:uidLastSave="{D0D18A3B-5CB9-4910-8AFE-AE8213CB840B}"/>
  <bookViews>
    <workbookView xWindow="-108" yWindow="-108" windowWidth="23256" windowHeight="12456" xr2:uid="{7E0FB14B-EE6F-4747-BDEF-470EB0B87802}"/>
  </bookViews>
  <sheets>
    <sheet name="SOS&amp;S" sheetId="1" r:id="rId1"/>
  </sheets>
  <definedNames>
    <definedName name="_xlnm.Print_Titles" localSheetId="0">'SOS&amp;S'!$1:$4,'SOS&amp;S'!$A:$F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 l="1"/>
  <c r="F53" i="1"/>
  <c r="F52" i="1"/>
  <c r="F51" i="1"/>
  <c r="F60" i="1" l="1"/>
  <c r="F59" i="1"/>
  <c r="F61" i="1" l="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7" i="1"/>
  <c r="F38" i="1"/>
  <c r="F39" i="1"/>
  <c r="F40" i="1"/>
  <c r="F41" i="1"/>
  <c r="F42" i="1"/>
  <c r="F43" i="1"/>
  <c r="F44" i="1"/>
  <c r="F45" i="1"/>
  <c r="F48" i="1" l="1"/>
  <c r="F47" i="1"/>
  <c r="F49" i="1" s="1"/>
  <c r="F63" i="1" s="1"/>
</calcChain>
</file>

<file path=xl/sharedStrings.xml><?xml version="1.0" encoding="utf-8"?>
<sst xmlns="http://schemas.openxmlformats.org/spreadsheetml/2006/main" count="184" uniqueCount="117">
  <si>
    <t>Composite Labor Rate</t>
  </si>
  <si>
    <t>ITEM</t>
  </si>
  <si>
    <t>DESCRIPTION</t>
  </si>
  <si>
    <t>UNIT PRICE</t>
  </si>
  <si>
    <t>USCGC VENTUROUS (WMEC-210B) DRYDOCK AVAILABILITY FY2026</t>
  </si>
  <si>
    <t>UNIT</t>
  </si>
  <si>
    <t>QTY</t>
  </si>
  <si>
    <t>EXTENDED PRICE</t>
  </si>
  <si>
    <t>D-001</t>
  </si>
  <si>
    <t>D-002</t>
  </si>
  <si>
    <t>D-003</t>
  </si>
  <si>
    <t>D-004</t>
  </si>
  <si>
    <t>D-005</t>
  </si>
  <si>
    <t>D-006</t>
  </si>
  <si>
    <t>D-007</t>
  </si>
  <si>
    <t>D-008</t>
  </si>
  <si>
    <t>D-009</t>
  </si>
  <si>
    <t>D-010</t>
  </si>
  <si>
    <t>D-024</t>
  </si>
  <si>
    <t>D-025</t>
  </si>
  <si>
    <t>D-026</t>
  </si>
  <si>
    <t>D-027</t>
  </si>
  <si>
    <t>D-028</t>
  </si>
  <si>
    <t>D-029</t>
  </si>
  <si>
    <t>D-030</t>
  </si>
  <si>
    <t>D-031</t>
  </si>
  <si>
    <t>D-032</t>
  </si>
  <si>
    <t>D-033</t>
  </si>
  <si>
    <t>D-034</t>
  </si>
  <si>
    <t>D-035</t>
  </si>
  <si>
    <t>D-036</t>
  </si>
  <si>
    <t>D-037</t>
  </si>
  <si>
    <t>D-038</t>
  </si>
  <si>
    <t>D-039</t>
  </si>
  <si>
    <t>D-040</t>
  </si>
  <si>
    <t>D-041</t>
  </si>
  <si>
    <t>D-042</t>
  </si>
  <si>
    <t>O-00A</t>
  </si>
  <si>
    <t>O-00Z</t>
  </si>
  <si>
    <t xml:space="preserve">Hull Plating, U/W Body, Ultrasonic Testing </t>
  </si>
  <si>
    <t xml:space="preserve">U/W Body, Preserve, 100 percent </t>
  </si>
  <si>
    <t xml:space="preserve">Hull Plating Freeboard, Preserve, 100 Percent </t>
  </si>
  <si>
    <t>Appendages (U/W), Preserve (Internal) and Leak Test</t>
  </si>
  <si>
    <t>Propulsion Shaft Fairwaters And Rope Guards, Inspect</t>
  </si>
  <si>
    <t>Voids (Non-Accessible), Preserve (Internal) and Leak Test</t>
  </si>
  <si>
    <t>Mast, Preserve, 100 Percent</t>
  </si>
  <si>
    <t>Propulsion Shafting, Strain Gauge Alignment, Drydock, Check</t>
  </si>
  <si>
    <t>Propulsion Shaft Seal (Mechanical And Inflatable) Assemblies, Inspect And Repair Or Renew</t>
  </si>
  <si>
    <t>Propulsion Shaft Bearings, External, Check Clearances</t>
  </si>
  <si>
    <t>Controllable Pitch Propellers, Clean and Inspect</t>
  </si>
  <si>
    <t>Controllable Pitch Propeller (CPP) System, Inspect and Service</t>
  </si>
  <si>
    <t>Controllable Pitch Propeller (CPP) Hub, Renew (Optional)</t>
  </si>
  <si>
    <t>Controllable Pitch Propeller (CPP) Hub, Inspect (Optional)</t>
  </si>
  <si>
    <t>Emergency Diesel Generator, Exhaust Piping, Clean and Inspect</t>
  </si>
  <si>
    <t xml:space="preserve">Fathometer Transducer, Renew </t>
  </si>
  <si>
    <t>Doppler Speed Log Transducer, Clean and Inspect</t>
  </si>
  <si>
    <t>Sea Valves and Waster Pieces, Overhaul Or Renew</t>
  </si>
  <si>
    <t>Sea Strainers, Duplex, All Sizes, Overhaul</t>
  </si>
  <si>
    <t>Rudder Assemblies, Inspect and Repair</t>
  </si>
  <si>
    <t>Tanks, Potable Water Preserve, 100 Percent</t>
  </si>
  <si>
    <t>Superstructure, Preserve, 100 Percent</t>
  </si>
  <si>
    <t xml:space="preserve">Cathodic Protection, Zinc Anodes, Renew, </t>
  </si>
  <si>
    <t xml:space="preserve">Drydock </t>
  </si>
  <si>
    <t>Temporary Services, Provide - Cutter</t>
  </si>
  <si>
    <t>Transverse Frames, Renew</t>
  </si>
  <si>
    <t>Main Mast Foundation and Deck, Renew</t>
  </si>
  <si>
    <t>Sewage System Piping, Renewal</t>
  </si>
  <si>
    <t>Superstructure Plating, Renewal</t>
  </si>
  <si>
    <t>Auxiliary Machinery Space Stringers, Renewal</t>
  </si>
  <si>
    <t>Stern Tube Exterior Surfaces, Preserve, 100 Percent</t>
  </si>
  <si>
    <t>Sea Chest, Repair</t>
  </si>
  <si>
    <t>Reduction Gear Lube Oil Strainer Assembly, Replace</t>
  </si>
  <si>
    <t>Total Price of Definite Items</t>
  </si>
  <si>
    <t>Total Price of Option Items</t>
  </si>
  <si>
    <t>Total Price of Definite and Optional Items</t>
  </si>
  <si>
    <t>JOB</t>
  </si>
  <si>
    <t>Hour</t>
  </si>
  <si>
    <t>Day</t>
  </si>
  <si>
    <t/>
  </si>
  <si>
    <t>Propulsion Shaft Bearings, External, Renew (Optional)</t>
  </si>
  <si>
    <t>Stern Tube Interior Surfaces, Preserve, 100 Percent (Optional)</t>
  </si>
  <si>
    <t>Propeller Shaft Sleeves, Renew (Optional)</t>
  </si>
  <si>
    <t>Propulsion Shaft Coating, Renew (Optional)</t>
  </si>
  <si>
    <t>Propulsion Intermediate Shafts; Remove, Inspect, and Reinstall</t>
  </si>
  <si>
    <t>Propulsion Shafting; Remove, Inspect, and Reinstall</t>
  </si>
  <si>
    <t>O-011</t>
  </si>
  <si>
    <t>O-012</t>
  </si>
  <si>
    <t>D-014</t>
  </si>
  <si>
    <t>D-015</t>
  </si>
  <si>
    <t>O-016</t>
  </si>
  <si>
    <t>O-017</t>
  </si>
  <si>
    <t>D-018</t>
  </si>
  <si>
    <t>D-019</t>
  </si>
  <si>
    <t>O-020</t>
  </si>
  <si>
    <t>O-021</t>
  </si>
  <si>
    <t>D-022</t>
  </si>
  <si>
    <t>D-023</t>
  </si>
  <si>
    <t>Propulsion Shafting, Realign</t>
  </si>
  <si>
    <t>Steering Gear Room Stiffeners, Renewal</t>
  </si>
  <si>
    <t>Propulsion Shafting, Optical or Laser Alignment Check</t>
  </si>
  <si>
    <t>D-013</t>
  </si>
  <si>
    <t>70Z08026QMECP0020</t>
  </si>
  <si>
    <t>Attachment 1: PRICING SCHEDULE OF SERVICES:</t>
  </si>
  <si>
    <t>**Fill in the sections highlighted below:</t>
  </si>
  <si>
    <t>Percent</t>
  </si>
  <si>
    <t>%</t>
  </si>
  <si>
    <t>Open and Inspect Repairs</t>
  </si>
  <si>
    <t>OIR-001</t>
  </si>
  <si>
    <t>Labor Rate</t>
  </si>
  <si>
    <t>OIR-002</t>
  </si>
  <si>
    <t>Material Markup/Handling Fee</t>
  </si>
  <si>
    <t>Total Fixed Price Ceiling of Open and Inspect Repairs</t>
  </si>
  <si>
    <t xml:space="preserve">Total Contract Value </t>
  </si>
  <si>
    <t>O-00Y</t>
  </si>
  <si>
    <t>Laydays - Pierside</t>
  </si>
  <si>
    <t>Laydays - Docked</t>
  </si>
  <si>
    <t xml:space="preserve">The Labor Rates and Material Markup/Handling Fee will be used throughout the life of the contract for all open and inspect repair items.  Open and inspect related repairs will be incorporated via  contract modification.  The values shown are an estimate only and may be exceeded at the unit prices offered. The total extended price for both CLINs below are being used solely for the purposes of evaluating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</si>
</sst>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8" formatCode="&quot;$&quot;#,##0.00_);[Red]\(&quot;$&quot;#,##0.00\)"/>
    <numFmt numFmtId="164" formatCode="&quot;$&quot;#,##0.00"/>
  </numFmts>
  <fonts count="4" x14ac:knownFonts="1">
    <font>
      <sz val="10"/>
      <color indexed="8"/>
      <name val="Arial"/>
      <family val="2"/>
    </font>
    <font>
      <sz val="10"/>
      <color indexed="8"/>
      <name val="Courier New"/>
      <family val="3"/>
    </font>
    <font>
      <b/>
      <sz val="10"/>
      <color indexed="8"/>
      <name val="Courier New"/>
      <family val="3"/>
    </font>
    <font>
      <b/>
      <sz val="10"/>
      <color rgb="FF000000"/>
      <name val="Courier New"/>
      <family val="3"/>
    </font>
  </fonts>
  <fills count="3">
    <fill>
      <patternFill patternType="none"/>
    </fill>
    <fill>
      <patternFill patternType="gray125"/>
    </fill>
    <fill>
      <patternFill patternType="solid">
        <fgColor rgb="FFFFFF00"/>
        <bgColor indexed="64"/>
      </patternFill>
    </fill>
  </fills>
  <borders count="35">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right style="thin">
        <color indexed="64"/>
      </right>
      <top style="medium">
        <color indexed="64"/>
      </top>
      <bottom style="thick">
        <color indexed="64"/>
      </bottom>
      <diagonal/>
    </border>
    <border>
      <left style="thin">
        <color indexed="64"/>
      </left>
      <right style="medium">
        <color indexed="64"/>
      </right>
      <top style="medium">
        <color indexed="64"/>
      </top>
      <bottom style="thick">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1" fillId="0" borderId="0" xfId="0" applyFont="1"/>
    <xf numFmtId="0" fontId="1" fillId="0" borderId="7" xfId="0" applyFont="1" applyBorder="1"/>
    <xf numFmtId="0" fontId="1" fillId="0" borderId="14" xfId="0" applyFont="1" applyBorder="1"/>
    <xf numFmtId="0" fontId="1" fillId="0" borderId="15" xfId="0" applyFont="1" applyBorder="1"/>
    <xf numFmtId="0" fontId="1" fillId="0" borderId="4" xfId="0" applyFont="1" applyBorder="1"/>
    <xf numFmtId="0" fontId="1" fillId="0" borderId="10" xfId="0" applyFont="1" applyBorder="1"/>
    <xf numFmtId="7" fontId="1" fillId="0" borderId="3" xfId="0" applyNumberFormat="1" applyFont="1" applyBorder="1"/>
    <xf numFmtId="7" fontId="1" fillId="0" borderId="8" xfId="0" applyNumberFormat="1" applyFont="1" applyBorder="1"/>
    <xf numFmtId="7" fontId="1" fillId="0" borderId="13" xfId="0" applyNumberFormat="1" applyFont="1" applyBorder="1"/>
    <xf numFmtId="7" fontId="1" fillId="0" borderId="5" xfId="0" applyNumberFormat="1" applyFont="1" applyBorder="1"/>
    <xf numFmtId="7" fontId="1" fillId="0" borderId="17" xfId="0" applyNumberFormat="1" applyFont="1" applyBorder="1"/>
    <xf numFmtId="0" fontId="1" fillId="0" borderId="0" xfId="0" applyFont="1" applyAlignment="1">
      <alignment wrapText="1"/>
    </xf>
    <xf numFmtId="7" fontId="1" fillId="0" borderId="11" xfId="0" applyNumberFormat="1" applyFont="1" applyBorder="1"/>
    <xf numFmtId="1" fontId="1" fillId="0" borderId="11" xfId="0" applyNumberFormat="1" applyFont="1" applyBorder="1"/>
    <xf numFmtId="0" fontId="1" fillId="0" borderId="8" xfId="0" applyFont="1" applyBorder="1" applyAlignment="1">
      <alignment wrapText="1"/>
    </xf>
    <xf numFmtId="0" fontId="1" fillId="0" borderId="8" xfId="0" applyFont="1" applyBorder="1"/>
    <xf numFmtId="0" fontId="1" fillId="2" borderId="8" xfId="0" applyFont="1" applyFill="1" applyBorder="1" applyProtection="1">
      <protection locked="0"/>
    </xf>
    <xf numFmtId="3" fontId="1" fillId="0" borderId="8" xfId="0" applyNumberFormat="1" applyFont="1" applyBorder="1"/>
    <xf numFmtId="0" fontId="2" fillId="0" borderId="0" xfId="0" applyFont="1" applyAlignment="1">
      <alignment wrapText="1"/>
    </xf>
    <xf numFmtId="0" fontId="1" fillId="0" borderId="1" xfId="0" applyFont="1" applyBorder="1" applyAlignment="1">
      <alignment wrapText="1"/>
    </xf>
    <xf numFmtId="0" fontId="1" fillId="0" borderId="2" xfId="0" applyFont="1" applyBorder="1"/>
    <xf numFmtId="0" fontId="1" fillId="0" borderId="13" xfId="0" applyFont="1" applyBorder="1" applyAlignment="1">
      <alignment wrapText="1"/>
    </xf>
    <xf numFmtId="0" fontId="1" fillId="0" borderId="13" xfId="0" applyFont="1" applyBorder="1"/>
    <xf numFmtId="0" fontId="1" fillId="0" borderId="5" xfId="0" applyFont="1" applyBorder="1" applyAlignment="1">
      <alignment wrapText="1"/>
    </xf>
    <xf numFmtId="0" fontId="1" fillId="0" borderId="5" xfId="0" applyFont="1" applyBorder="1"/>
    <xf numFmtId="0" fontId="1" fillId="0" borderId="16" xfId="0" applyFont="1" applyBorder="1" applyAlignment="1">
      <alignment wrapText="1"/>
    </xf>
    <xf numFmtId="0" fontId="1" fillId="0" borderId="18" xfId="0" applyFont="1" applyBorder="1"/>
    <xf numFmtId="0" fontId="1" fillId="0" borderId="11" xfId="0" applyFont="1" applyBorder="1" applyAlignment="1">
      <alignment wrapText="1"/>
    </xf>
    <xf numFmtId="0" fontId="1" fillId="0" borderId="11" xfId="0" applyFont="1" applyBorder="1"/>
    <xf numFmtId="164" fontId="1" fillId="0" borderId="12" xfId="0" applyNumberFormat="1" applyFont="1" applyBorder="1"/>
    <xf numFmtId="164" fontId="1" fillId="0" borderId="0" xfId="0" applyNumberFormat="1" applyFont="1"/>
    <xf numFmtId="164" fontId="1" fillId="0" borderId="19" xfId="0" applyNumberFormat="1" applyFont="1" applyBorder="1"/>
    <xf numFmtId="164" fontId="1" fillId="0" borderId="6" xfId="0" applyNumberFormat="1" applyFont="1" applyBorder="1"/>
    <xf numFmtId="164" fontId="1" fillId="0" borderId="9" xfId="0" applyNumberFormat="1" applyFont="1" applyBorder="1"/>
    <xf numFmtId="164" fontId="1" fillId="0" borderId="9" xfId="0" applyNumberFormat="1" applyFont="1" applyBorder="1" applyProtection="1">
      <protection locked="0"/>
    </xf>
    <xf numFmtId="0" fontId="1" fillId="0" borderId="20" xfId="0" applyFont="1" applyBorder="1"/>
    <xf numFmtId="8" fontId="1" fillId="0" borderId="13" xfId="0" applyNumberFormat="1" applyFont="1" applyBorder="1"/>
    <xf numFmtId="9" fontId="1" fillId="2" borderId="13" xfId="0" applyNumberFormat="1" applyFont="1" applyFill="1" applyBorder="1" applyProtection="1">
      <protection locked="0"/>
    </xf>
    <xf numFmtId="164" fontId="1" fillId="0" borderId="21" xfId="0" applyNumberFormat="1" applyFont="1" applyBorder="1" applyProtection="1">
      <protection locked="0"/>
    </xf>
    <xf numFmtId="0" fontId="1" fillId="0" borderId="22" xfId="0" applyFont="1" applyBorder="1"/>
    <xf numFmtId="0" fontId="1" fillId="0" borderId="16" xfId="0" applyFont="1" applyBorder="1"/>
    <xf numFmtId="164" fontId="1" fillId="0" borderId="19" xfId="0" applyNumberFormat="1" applyFont="1" applyBorder="1" applyProtection="1">
      <protection locked="0"/>
    </xf>
    <xf numFmtId="0" fontId="1" fillId="0" borderId="23" xfId="0" applyFont="1" applyBorder="1"/>
    <xf numFmtId="0" fontId="1" fillId="0" borderId="24" xfId="0" applyFont="1" applyBorder="1"/>
    <xf numFmtId="0" fontId="1" fillId="0" borderId="25" xfId="0" applyFont="1" applyBorder="1" applyAlignment="1">
      <alignment wrapText="1"/>
    </xf>
    <xf numFmtId="164" fontId="1" fillId="0" borderId="26" xfId="0" applyNumberFormat="1" applyFont="1" applyBorder="1"/>
    <xf numFmtId="0" fontId="3" fillId="0" borderId="0" xfId="0" applyFont="1" applyAlignment="1">
      <alignment wrapText="1"/>
    </xf>
    <xf numFmtId="0" fontId="2" fillId="0" borderId="27" xfId="0" applyFont="1" applyBorder="1"/>
    <xf numFmtId="0" fontId="2" fillId="0" borderId="28" xfId="0" applyFont="1" applyBorder="1" applyAlignment="1">
      <alignment wrapText="1"/>
    </xf>
    <xf numFmtId="0" fontId="2" fillId="0" borderId="29" xfId="0" applyFont="1" applyBorder="1"/>
    <xf numFmtId="164" fontId="2" fillId="0" borderId="30" xfId="0" applyNumberFormat="1" applyFont="1" applyBorder="1"/>
    <xf numFmtId="0" fontId="1" fillId="0" borderId="31" xfId="0" applyFont="1" applyBorder="1"/>
    <xf numFmtId="164" fontId="1" fillId="0" borderId="32" xfId="0" applyNumberFormat="1" applyFont="1" applyBorder="1"/>
    <xf numFmtId="0" fontId="1" fillId="0" borderId="33" xfId="0" applyFont="1" applyBorder="1"/>
    <xf numFmtId="0" fontId="1" fillId="0" borderId="34" xfId="0" applyFont="1" applyBorder="1"/>
    <xf numFmtId="0" fontId="1" fillId="0" borderId="1" xfId="0" applyFont="1" applyBorder="1"/>
    <xf numFmtId="0" fontId="1" fillId="0" borderId="0" xfId="0" applyFont="1" applyBorder="1"/>
    <xf numFmtId="0" fontId="1" fillId="0" borderId="0" xfId="0" applyFont="1" applyBorder="1" applyAlignment="1">
      <alignment wrapText="1"/>
    </xf>
    <xf numFmtId="164" fontId="1" fillId="0" borderId="0" xfId="0" applyNumberFormat="1" applyFont="1" applyBorder="1" applyProtection="1">
      <protection locked="0"/>
    </xf>
    <xf numFmtId="7" fontId="1" fillId="0" borderId="6" xfId="0" applyNumberFormat="1" applyFont="1" applyBorder="1" applyAlignment="1">
      <alignment horizontal="right"/>
    </xf>
    <xf numFmtId="1" fontId="1" fillId="0" borderId="8"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E403-91DA-46A0-8A4D-C888CE9EBA27}">
  <dimension ref="A1:F63"/>
  <sheetViews>
    <sheetView tabSelected="1" zoomScaleNormal="100" workbookViewId="0">
      <selection activeCell="I54" sqref="I54"/>
    </sheetView>
  </sheetViews>
  <sheetFormatPr defaultRowHeight="13.8" x14ac:dyDescent="0.3"/>
  <cols>
    <col min="1" max="1" width="9.109375" style="1" bestFit="1" customWidth="1"/>
    <col min="2" max="2" width="92.88671875" style="12" customWidth="1"/>
    <col min="3" max="3" width="14.44140625" style="1" bestFit="1" customWidth="1"/>
    <col min="4" max="4" width="10.6640625" style="1" customWidth="1"/>
    <col min="5" max="5" width="6.5546875" style="1" bestFit="1" customWidth="1"/>
    <col min="6" max="6" width="16.6640625" style="31" bestFit="1" customWidth="1"/>
    <col min="7" max="16384" width="8.88671875" style="1"/>
  </cols>
  <sheetData>
    <row r="1" spans="1:6" ht="15.9" customHeight="1" x14ac:dyDescent="0.3">
      <c r="B1" s="19" t="s">
        <v>102</v>
      </c>
    </row>
    <row r="2" spans="1:6" ht="15.9" customHeight="1" x14ac:dyDescent="0.3">
      <c r="B2" s="19" t="s">
        <v>4</v>
      </c>
    </row>
    <row r="3" spans="1:6" ht="15.9" customHeight="1" thickBot="1" x14ac:dyDescent="0.35">
      <c r="B3" s="47" t="s">
        <v>101</v>
      </c>
    </row>
    <row r="4" spans="1:6" ht="24.9" customHeight="1" thickBot="1" x14ac:dyDescent="0.35">
      <c r="A4" s="48" t="s">
        <v>1</v>
      </c>
      <c r="B4" s="49" t="s">
        <v>2</v>
      </c>
      <c r="C4" s="50" t="s">
        <v>3</v>
      </c>
      <c r="D4" s="50" t="s">
        <v>5</v>
      </c>
      <c r="E4" s="50" t="s">
        <v>6</v>
      </c>
      <c r="F4" s="51" t="s">
        <v>7</v>
      </c>
    </row>
    <row r="5" spans="1:6" ht="15.9" customHeight="1" thickTop="1" x14ac:dyDescent="0.3">
      <c r="A5" s="52" t="s">
        <v>8</v>
      </c>
      <c r="B5" s="20" t="s">
        <v>39</v>
      </c>
      <c r="C5" s="7"/>
      <c r="D5" s="21" t="s">
        <v>75</v>
      </c>
      <c r="E5" s="21">
        <v>1</v>
      </c>
      <c r="F5" s="53" t="str">
        <f>IF($C$5="","",$C$5*$E$5)</f>
        <v/>
      </c>
    </row>
    <row r="6" spans="1:6" ht="15.9" customHeight="1" x14ac:dyDescent="0.3">
      <c r="A6" s="52" t="s">
        <v>9</v>
      </c>
      <c r="B6" s="15" t="s">
        <v>40</v>
      </c>
      <c r="C6" s="8" t="s">
        <v>78</v>
      </c>
      <c r="D6" s="16" t="s">
        <v>75</v>
      </c>
      <c r="E6" s="16">
        <v>1</v>
      </c>
      <c r="F6" s="34" t="str">
        <f>IF($C$6="","",$C$6*$E$6)</f>
        <v/>
      </c>
    </row>
    <row r="7" spans="1:6" ht="15.9" customHeight="1" x14ac:dyDescent="0.3">
      <c r="A7" s="52" t="s">
        <v>10</v>
      </c>
      <c r="B7" s="15" t="s">
        <v>41</v>
      </c>
      <c r="C7" s="8" t="s">
        <v>78</v>
      </c>
      <c r="D7" s="16" t="s">
        <v>75</v>
      </c>
      <c r="E7" s="16">
        <v>1</v>
      </c>
      <c r="F7" s="34" t="str">
        <f>IF($C$7="","",$C$7*$E$7)</f>
        <v/>
      </c>
    </row>
    <row r="8" spans="1:6" ht="15.9" customHeight="1" x14ac:dyDescent="0.3">
      <c r="A8" s="52" t="s">
        <v>11</v>
      </c>
      <c r="B8" s="15" t="s">
        <v>42</v>
      </c>
      <c r="C8" s="8" t="s">
        <v>78</v>
      </c>
      <c r="D8" s="16" t="s">
        <v>75</v>
      </c>
      <c r="E8" s="16">
        <v>1</v>
      </c>
      <c r="F8" s="34" t="str">
        <f>IF($C$8="","",$C$8*$E$8)</f>
        <v/>
      </c>
    </row>
    <row r="9" spans="1:6" ht="15.9" customHeight="1" x14ac:dyDescent="0.3">
      <c r="A9" s="52" t="s">
        <v>12</v>
      </c>
      <c r="B9" s="15" t="s">
        <v>43</v>
      </c>
      <c r="C9" s="8" t="s">
        <v>78</v>
      </c>
      <c r="D9" s="16" t="s">
        <v>75</v>
      </c>
      <c r="E9" s="16">
        <v>1</v>
      </c>
      <c r="F9" s="34" t="str">
        <f>IF($C$9="","",$C$9*$E$9)</f>
        <v/>
      </c>
    </row>
    <row r="10" spans="1:6" ht="15.9" customHeight="1" x14ac:dyDescent="0.3">
      <c r="A10" s="52" t="s">
        <v>13</v>
      </c>
      <c r="B10" s="15" t="s">
        <v>44</v>
      </c>
      <c r="C10" s="8" t="s">
        <v>78</v>
      </c>
      <c r="D10" s="16" t="s">
        <v>75</v>
      </c>
      <c r="E10" s="16">
        <v>1</v>
      </c>
      <c r="F10" s="34" t="str">
        <f>IF($C$10="","",$C$10*$E$10)</f>
        <v/>
      </c>
    </row>
    <row r="11" spans="1:6" ht="15.9" customHeight="1" x14ac:dyDescent="0.3">
      <c r="A11" s="52" t="s">
        <v>14</v>
      </c>
      <c r="B11" s="15" t="s">
        <v>45</v>
      </c>
      <c r="C11" s="8" t="s">
        <v>78</v>
      </c>
      <c r="D11" s="16" t="s">
        <v>75</v>
      </c>
      <c r="E11" s="16">
        <v>1</v>
      </c>
      <c r="F11" s="34" t="str">
        <f>IF($C$11="","",$C$11*$E$11)</f>
        <v/>
      </c>
    </row>
    <row r="12" spans="1:6" ht="15.9" customHeight="1" x14ac:dyDescent="0.3">
      <c r="A12" s="52" t="s">
        <v>15</v>
      </c>
      <c r="B12" s="15" t="s">
        <v>46</v>
      </c>
      <c r="C12" s="8" t="s">
        <v>78</v>
      </c>
      <c r="D12" s="16" t="s">
        <v>75</v>
      </c>
      <c r="E12" s="16">
        <v>1</v>
      </c>
      <c r="F12" s="34" t="str">
        <f>IF($C$12="","",$C$12*$E$12)</f>
        <v/>
      </c>
    </row>
    <row r="13" spans="1:6" ht="15.9" customHeight="1" x14ac:dyDescent="0.3">
      <c r="A13" s="52" t="s">
        <v>16</v>
      </c>
      <c r="B13" s="15" t="s">
        <v>83</v>
      </c>
      <c r="C13" s="8" t="s">
        <v>78</v>
      </c>
      <c r="D13" s="16" t="s">
        <v>75</v>
      </c>
      <c r="E13" s="16">
        <v>1</v>
      </c>
      <c r="F13" s="34" t="str">
        <f>IF($C$13="","",$C$13*$E$13)</f>
        <v/>
      </c>
    </row>
    <row r="14" spans="1:6" ht="15.9" customHeight="1" x14ac:dyDescent="0.3">
      <c r="A14" s="52" t="s">
        <v>17</v>
      </c>
      <c r="B14" s="15" t="s">
        <v>84</v>
      </c>
      <c r="C14" s="8" t="s">
        <v>78</v>
      </c>
      <c r="D14" s="16" t="s">
        <v>75</v>
      </c>
      <c r="E14" s="16">
        <v>1</v>
      </c>
      <c r="F14" s="34" t="str">
        <f>IF($C$14="","",$C$14*$E$14)</f>
        <v/>
      </c>
    </row>
    <row r="15" spans="1:6" ht="15.9" customHeight="1" x14ac:dyDescent="0.3">
      <c r="A15" s="52" t="s">
        <v>85</v>
      </c>
      <c r="B15" s="15" t="s">
        <v>82</v>
      </c>
      <c r="C15" s="8"/>
      <c r="D15" s="16" t="s">
        <v>75</v>
      </c>
      <c r="E15" s="16">
        <v>1</v>
      </c>
      <c r="F15" s="34" t="str">
        <f>IF($C$15="","",$C$15*$E$15)</f>
        <v/>
      </c>
    </row>
    <row r="16" spans="1:6" ht="15.9" customHeight="1" x14ac:dyDescent="0.3">
      <c r="A16" s="52" t="s">
        <v>86</v>
      </c>
      <c r="B16" s="15" t="s">
        <v>81</v>
      </c>
      <c r="C16" s="8"/>
      <c r="D16" s="16" t="s">
        <v>75</v>
      </c>
      <c r="E16" s="16">
        <v>1</v>
      </c>
      <c r="F16" s="34" t="str">
        <f>IF($C$16="","",$C$16*$E$16)</f>
        <v/>
      </c>
    </row>
    <row r="17" spans="1:6" ht="15.9" customHeight="1" x14ac:dyDescent="0.3">
      <c r="A17" s="52" t="s">
        <v>100</v>
      </c>
      <c r="B17" s="15" t="s">
        <v>99</v>
      </c>
      <c r="C17" s="8" t="s">
        <v>78</v>
      </c>
      <c r="D17" s="16" t="s">
        <v>75</v>
      </c>
      <c r="E17" s="16">
        <v>1</v>
      </c>
      <c r="F17" s="34" t="str">
        <f>IF($C$17="","",$C$17*$E$17)</f>
        <v/>
      </c>
    </row>
    <row r="18" spans="1:6" ht="27.6" x14ac:dyDescent="0.3">
      <c r="A18" s="52" t="s">
        <v>87</v>
      </c>
      <c r="B18" s="15" t="s">
        <v>47</v>
      </c>
      <c r="C18" s="8"/>
      <c r="D18" s="16" t="s">
        <v>75</v>
      </c>
      <c r="E18" s="16">
        <v>1</v>
      </c>
      <c r="F18" s="34" t="str">
        <f>IF($C$18="","",$C$18*$E$18)</f>
        <v/>
      </c>
    </row>
    <row r="19" spans="1:6" ht="15.9" customHeight="1" x14ac:dyDescent="0.3">
      <c r="A19" s="52" t="s">
        <v>88</v>
      </c>
      <c r="B19" s="15" t="s">
        <v>48</v>
      </c>
      <c r="C19" s="8" t="s">
        <v>78</v>
      </c>
      <c r="D19" s="16" t="s">
        <v>75</v>
      </c>
      <c r="E19" s="16">
        <v>1</v>
      </c>
      <c r="F19" s="34" t="str">
        <f>IF($C$19="","",$C$19*$E$19)</f>
        <v/>
      </c>
    </row>
    <row r="20" spans="1:6" ht="15.9" customHeight="1" x14ac:dyDescent="0.3">
      <c r="A20" s="52" t="s">
        <v>89</v>
      </c>
      <c r="B20" s="15" t="s">
        <v>79</v>
      </c>
      <c r="C20" s="8" t="s">
        <v>78</v>
      </c>
      <c r="D20" s="16" t="s">
        <v>75</v>
      </c>
      <c r="E20" s="16">
        <v>1</v>
      </c>
      <c r="F20" s="34" t="str">
        <f>IF($C$20="","",$C$20*$E$20)</f>
        <v/>
      </c>
    </row>
    <row r="21" spans="1:6" ht="15.9" customHeight="1" x14ac:dyDescent="0.3">
      <c r="A21" s="52" t="s">
        <v>90</v>
      </c>
      <c r="B21" s="15" t="s">
        <v>80</v>
      </c>
      <c r="C21" s="8" t="s">
        <v>78</v>
      </c>
      <c r="D21" s="16" t="s">
        <v>75</v>
      </c>
      <c r="E21" s="16">
        <v>1</v>
      </c>
      <c r="F21" s="34" t="str">
        <f>IF($C$21="","",$C$21*$E$21)</f>
        <v/>
      </c>
    </row>
    <row r="22" spans="1:6" ht="15.9" customHeight="1" x14ac:dyDescent="0.3">
      <c r="A22" s="52" t="s">
        <v>91</v>
      </c>
      <c r="B22" s="15" t="s">
        <v>49</v>
      </c>
      <c r="C22" s="8" t="s">
        <v>78</v>
      </c>
      <c r="D22" s="16" t="s">
        <v>75</v>
      </c>
      <c r="E22" s="16">
        <v>1</v>
      </c>
      <c r="F22" s="34" t="str">
        <f>IF($C$22="","",$C$22*$E$22)</f>
        <v/>
      </c>
    </row>
    <row r="23" spans="1:6" ht="15.9" customHeight="1" x14ac:dyDescent="0.3">
      <c r="A23" s="52" t="s">
        <v>92</v>
      </c>
      <c r="B23" s="15" t="s">
        <v>50</v>
      </c>
      <c r="C23" s="8" t="s">
        <v>78</v>
      </c>
      <c r="D23" s="16" t="s">
        <v>75</v>
      </c>
      <c r="E23" s="16">
        <v>1</v>
      </c>
      <c r="F23" s="34" t="str">
        <f>IF($C$23="","",$C$23*$E$23)</f>
        <v/>
      </c>
    </row>
    <row r="24" spans="1:6" ht="15.9" customHeight="1" x14ac:dyDescent="0.3">
      <c r="A24" s="52" t="s">
        <v>93</v>
      </c>
      <c r="B24" s="15" t="s">
        <v>51</v>
      </c>
      <c r="C24" s="8"/>
      <c r="D24" s="16" t="s">
        <v>75</v>
      </c>
      <c r="E24" s="16">
        <v>1</v>
      </c>
      <c r="F24" s="34" t="str">
        <f>IF($C$24="","",$C$24*$E$24)</f>
        <v/>
      </c>
    </row>
    <row r="25" spans="1:6" ht="15.9" customHeight="1" x14ac:dyDescent="0.3">
      <c r="A25" s="52" t="s">
        <v>94</v>
      </c>
      <c r="B25" s="15" t="s">
        <v>52</v>
      </c>
      <c r="C25" s="8"/>
      <c r="D25" s="16" t="s">
        <v>75</v>
      </c>
      <c r="E25" s="16">
        <v>1</v>
      </c>
      <c r="F25" s="34" t="str">
        <f>IF($C$25="","",$C$25*$E$25)</f>
        <v/>
      </c>
    </row>
    <row r="26" spans="1:6" ht="15.9" customHeight="1" x14ac:dyDescent="0.3">
      <c r="A26" s="52" t="s">
        <v>95</v>
      </c>
      <c r="B26" s="15" t="s">
        <v>53</v>
      </c>
      <c r="C26" s="8" t="s">
        <v>78</v>
      </c>
      <c r="D26" s="16" t="s">
        <v>75</v>
      </c>
      <c r="E26" s="16">
        <v>1</v>
      </c>
      <c r="F26" s="34" t="str">
        <f>IF($C$26="","",$C$26*$E$26)</f>
        <v/>
      </c>
    </row>
    <row r="27" spans="1:6" ht="15.9" customHeight="1" x14ac:dyDescent="0.3">
      <c r="A27" s="52" t="s">
        <v>96</v>
      </c>
      <c r="B27" s="15" t="s">
        <v>54</v>
      </c>
      <c r="C27" s="8" t="s">
        <v>78</v>
      </c>
      <c r="D27" s="16" t="s">
        <v>75</v>
      </c>
      <c r="E27" s="16">
        <v>1</v>
      </c>
      <c r="F27" s="34" t="str">
        <f>IF($C$27="","",$C$27*$E$27)</f>
        <v/>
      </c>
    </row>
    <row r="28" spans="1:6" ht="15.9" customHeight="1" x14ac:dyDescent="0.3">
      <c r="A28" s="52" t="s">
        <v>18</v>
      </c>
      <c r="B28" s="15" t="s">
        <v>55</v>
      </c>
      <c r="C28" s="8" t="s">
        <v>78</v>
      </c>
      <c r="D28" s="16" t="s">
        <v>75</v>
      </c>
      <c r="E28" s="16">
        <v>1</v>
      </c>
      <c r="F28" s="34" t="str">
        <f>IF($C$28="","",$C$28*$E$28)</f>
        <v/>
      </c>
    </row>
    <row r="29" spans="1:6" ht="15.9" customHeight="1" x14ac:dyDescent="0.3">
      <c r="A29" s="52" t="s">
        <v>19</v>
      </c>
      <c r="B29" s="15" t="s">
        <v>56</v>
      </c>
      <c r="C29" s="8" t="s">
        <v>78</v>
      </c>
      <c r="D29" s="16" t="s">
        <v>75</v>
      </c>
      <c r="E29" s="16">
        <v>1</v>
      </c>
      <c r="F29" s="34" t="str">
        <f>IF($C$29="","",$C$29*$E$29)</f>
        <v/>
      </c>
    </row>
    <row r="30" spans="1:6" ht="15.9" customHeight="1" x14ac:dyDescent="0.3">
      <c r="A30" s="52" t="s">
        <v>20</v>
      </c>
      <c r="B30" s="15" t="s">
        <v>57</v>
      </c>
      <c r="C30" s="8" t="s">
        <v>78</v>
      </c>
      <c r="D30" s="16" t="s">
        <v>75</v>
      </c>
      <c r="E30" s="16">
        <v>1</v>
      </c>
      <c r="F30" s="34" t="str">
        <f>IF($C$30="","",$C$30*$E$30)</f>
        <v/>
      </c>
    </row>
    <row r="31" spans="1:6" ht="15.9" customHeight="1" x14ac:dyDescent="0.3">
      <c r="A31" s="52" t="s">
        <v>21</v>
      </c>
      <c r="B31" s="15" t="s">
        <v>58</v>
      </c>
      <c r="C31" s="8" t="s">
        <v>78</v>
      </c>
      <c r="D31" s="16" t="s">
        <v>75</v>
      </c>
      <c r="E31" s="16">
        <v>1</v>
      </c>
      <c r="F31" s="34" t="str">
        <f>IF($C$31="","",$C$31*$E$31)</f>
        <v/>
      </c>
    </row>
    <row r="32" spans="1:6" ht="15.9" customHeight="1" x14ac:dyDescent="0.3">
      <c r="A32" s="52" t="s">
        <v>22</v>
      </c>
      <c r="B32" s="15" t="s">
        <v>59</v>
      </c>
      <c r="C32" s="8" t="s">
        <v>78</v>
      </c>
      <c r="D32" s="16" t="s">
        <v>75</v>
      </c>
      <c r="E32" s="16">
        <v>1</v>
      </c>
      <c r="F32" s="34" t="str">
        <f>IF($C$32="","",$C$32*$E$32)</f>
        <v/>
      </c>
    </row>
    <row r="33" spans="1:6" ht="15.9" customHeight="1" x14ac:dyDescent="0.3">
      <c r="A33" s="52" t="s">
        <v>23</v>
      </c>
      <c r="B33" s="15" t="s">
        <v>60</v>
      </c>
      <c r="C33" s="8" t="s">
        <v>78</v>
      </c>
      <c r="D33" s="16" t="s">
        <v>75</v>
      </c>
      <c r="E33" s="16">
        <v>1</v>
      </c>
      <c r="F33" s="34" t="str">
        <f>IF($C$33="","",$C$33*$E$33)</f>
        <v/>
      </c>
    </row>
    <row r="34" spans="1:6" ht="15.9" customHeight="1" x14ac:dyDescent="0.3">
      <c r="A34" s="52" t="s">
        <v>24</v>
      </c>
      <c r="B34" s="15" t="s">
        <v>61</v>
      </c>
      <c r="C34" s="8" t="s">
        <v>78</v>
      </c>
      <c r="D34" s="16" t="s">
        <v>75</v>
      </c>
      <c r="E34" s="16">
        <v>1</v>
      </c>
      <c r="F34" s="34" t="str">
        <f>IF($C$34="","",$C$34*$E$34)</f>
        <v/>
      </c>
    </row>
    <row r="35" spans="1:6" ht="15.9" customHeight="1" x14ac:dyDescent="0.3">
      <c r="A35" s="52" t="s">
        <v>25</v>
      </c>
      <c r="B35" s="15" t="s">
        <v>62</v>
      </c>
      <c r="C35" s="8" t="s">
        <v>78</v>
      </c>
      <c r="D35" s="16" t="s">
        <v>75</v>
      </c>
      <c r="E35" s="16">
        <v>1</v>
      </c>
      <c r="F35" s="34" t="str">
        <f>IF($C$35="","",$C$35*$E$35)</f>
        <v/>
      </c>
    </row>
    <row r="36" spans="1:6" ht="15.9" customHeight="1" x14ac:dyDescent="0.3">
      <c r="A36" s="52" t="s">
        <v>26</v>
      </c>
      <c r="B36" s="15" t="s">
        <v>63</v>
      </c>
      <c r="C36" s="8"/>
      <c r="D36" s="16" t="s">
        <v>75</v>
      </c>
      <c r="E36" s="16">
        <v>1</v>
      </c>
      <c r="F36" s="34"/>
    </row>
    <row r="37" spans="1:6" ht="15.9" customHeight="1" x14ac:dyDescent="0.3">
      <c r="A37" s="52" t="s">
        <v>27</v>
      </c>
      <c r="B37" s="15" t="s">
        <v>64</v>
      </c>
      <c r="C37" s="8"/>
      <c r="D37" s="16" t="s">
        <v>75</v>
      </c>
      <c r="E37" s="16">
        <v>1</v>
      </c>
      <c r="F37" s="34" t="str">
        <f>IF($C$37="","",$C$37*$E$37)</f>
        <v/>
      </c>
    </row>
    <row r="38" spans="1:6" ht="15.9" customHeight="1" x14ac:dyDescent="0.3">
      <c r="A38" s="52" t="s">
        <v>28</v>
      </c>
      <c r="B38" s="15" t="s">
        <v>65</v>
      </c>
      <c r="C38" s="8"/>
      <c r="D38" s="16" t="s">
        <v>75</v>
      </c>
      <c r="E38" s="16">
        <v>1</v>
      </c>
      <c r="F38" s="34" t="str">
        <f>IF($C$38="","",$C$38*$E$38)</f>
        <v/>
      </c>
    </row>
    <row r="39" spans="1:6" ht="15.9" customHeight="1" x14ac:dyDescent="0.3">
      <c r="A39" s="52" t="s">
        <v>29</v>
      </c>
      <c r="B39" s="15" t="s">
        <v>66</v>
      </c>
      <c r="C39" s="8"/>
      <c r="D39" s="16" t="s">
        <v>75</v>
      </c>
      <c r="E39" s="16">
        <v>1</v>
      </c>
      <c r="F39" s="34" t="str">
        <f>IF($C$39="","",$C$39*$E$39)</f>
        <v/>
      </c>
    </row>
    <row r="40" spans="1:6" ht="15.9" customHeight="1" x14ac:dyDescent="0.3">
      <c r="A40" s="52" t="s">
        <v>30</v>
      </c>
      <c r="B40" s="15" t="s">
        <v>67</v>
      </c>
      <c r="C40" s="8"/>
      <c r="D40" s="16" t="s">
        <v>75</v>
      </c>
      <c r="E40" s="16">
        <v>1</v>
      </c>
      <c r="F40" s="34" t="str">
        <f>IF($C$40="","",$C$40*$E$40)</f>
        <v/>
      </c>
    </row>
    <row r="41" spans="1:6" ht="15.9" customHeight="1" x14ac:dyDescent="0.3">
      <c r="A41" s="52" t="s">
        <v>31</v>
      </c>
      <c r="B41" s="15" t="s">
        <v>68</v>
      </c>
      <c r="C41" s="8"/>
      <c r="D41" s="16" t="s">
        <v>75</v>
      </c>
      <c r="E41" s="16">
        <v>1</v>
      </c>
      <c r="F41" s="34" t="str">
        <f>IF($C$41="","",$C$41*$E$41)</f>
        <v/>
      </c>
    </row>
    <row r="42" spans="1:6" ht="15.9" customHeight="1" x14ac:dyDescent="0.3">
      <c r="A42" s="52" t="s">
        <v>32</v>
      </c>
      <c r="B42" s="15" t="s">
        <v>69</v>
      </c>
      <c r="C42" s="8"/>
      <c r="D42" s="16" t="s">
        <v>75</v>
      </c>
      <c r="E42" s="16">
        <v>1</v>
      </c>
      <c r="F42" s="34" t="str">
        <f>IF($C$42="","",$C$42*$E$42)</f>
        <v/>
      </c>
    </row>
    <row r="43" spans="1:6" ht="15.9" customHeight="1" x14ac:dyDescent="0.3">
      <c r="A43" s="52" t="s">
        <v>33</v>
      </c>
      <c r="B43" s="15" t="s">
        <v>98</v>
      </c>
      <c r="C43" s="8"/>
      <c r="D43" s="16" t="s">
        <v>75</v>
      </c>
      <c r="E43" s="16">
        <v>1</v>
      </c>
      <c r="F43" s="34" t="str">
        <f>IF($C$43="","",$C$43*$E$43)</f>
        <v/>
      </c>
    </row>
    <row r="44" spans="1:6" ht="15.9" customHeight="1" x14ac:dyDescent="0.3">
      <c r="A44" s="52" t="s">
        <v>34</v>
      </c>
      <c r="B44" s="15" t="s">
        <v>70</v>
      </c>
      <c r="C44" s="8"/>
      <c r="D44" s="16" t="s">
        <v>75</v>
      </c>
      <c r="E44" s="16">
        <v>1</v>
      </c>
      <c r="F44" s="34" t="str">
        <f>IF($C$44="","",$C$44*$E$44)</f>
        <v/>
      </c>
    </row>
    <row r="45" spans="1:6" ht="15.9" customHeight="1" x14ac:dyDescent="0.3">
      <c r="A45" s="52" t="s">
        <v>35</v>
      </c>
      <c r="B45" s="15" t="s">
        <v>71</v>
      </c>
      <c r="C45" s="8"/>
      <c r="D45" s="16" t="s">
        <v>75</v>
      </c>
      <c r="E45" s="16">
        <v>1</v>
      </c>
      <c r="F45" s="34" t="str">
        <f>IF($C$45="","",$C$45*$E$45)</f>
        <v/>
      </c>
    </row>
    <row r="46" spans="1:6" ht="15.9" customHeight="1" thickBot="1" x14ac:dyDescent="0.35">
      <c r="A46" s="54" t="s">
        <v>36</v>
      </c>
      <c r="B46" s="22" t="s">
        <v>97</v>
      </c>
      <c r="C46" s="9"/>
      <c r="D46" s="23" t="s">
        <v>75</v>
      </c>
      <c r="E46" s="23">
        <v>1</v>
      </c>
      <c r="F46" s="34" t="str">
        <f>IF($C$46="","",$C$46*$E$46)</f>
        <v/>
      </c>
    </row>
    <row r="47" spans="1:6" ht="15.9" customHeight="1" x14ac:dyDescent="0.3">
      <c r="A47" s="3"/>
      <c r="B47" s="24" t="s">
        <v>72</v>
      </c>
      <c r="C47" s="25"/>
      <c r="D47" s="25"/>
      <c r="E47" s="25"/>
      <c r="F47" s="60">
        <f>SUMIF($A$5:$A$46,"D-*",$F5:$F$46)</f>
        <v>0</v>
      </c>
    </row>
    <row r="48" spans="1:6" ht="15.9" customHeight="1" thickBot="1" x14ac:dyDescent="0.35">
      <c r="A48" s="44"/>
      <c r="B48" s="45" t="s">
        <v>73</v>
      </c>
      <c r="C48" s="13"/>
      <c r="D48" s="29"/>
      <c r="E48" s="43"/>
      <c r="F48" s="46">
        <f>SUMIF($A$5:$A$46,"O-*",$F5:$F$46)</f>
        <v>0</v>
      </c>
    </row>
    <row r="49" spans="1:6" ht="15.9" customHeight="1" thickBot="1" x14ac:dyDescent="0.35">
      <c r="A49" s="4"/>
      <c r="B49" s="26" t="s">
        <v>74</v>
      </c>
      <c r="C49" s="11"/>
      <c r="D49" s="27"/>
      <c r="E49" s="27"/>
      <c r="F49" s="32">
        <f>SUM(F47:F48)</f>
        <v>0</v>
      </c>
    </row>
    <row r="50" spans="1:6" ht="14.4" thickBot="1" x14ac:dyDescent="0.35"/>
    <row r="51" spans="1:6" ht="15.9" customHeight="1" x14ac:dyDescent="0.3">
      <c r="A51" s="5" t="s">
        <v>37</v>
      </c>
      <c r="B51" s="24" t="s">
        <v>0</v>
      </c>
      <c r="C51" s="10"/>
      <c r="D51" s="25" t="s">
        <v>76</v>
      </c>
      <c r="E51" s="25">
        <v>1</v>
      </c>
      <c r="F51" s="33">
        <f>C51</f>
        <v>0</v>
      </c>
    </row>
    <row r="52" spans="1:6" ht="15.9" customHeight="1" x14ac:dyDescent="0.3">
      <c r="A52" s="2" t="s">
        <v>113</v>
      </c>
      <c r="B52" s="15" t="s">
        <v>114</v>
      </c>
      <c r="C52" s="8"/>
      <c r="D52" s="16" t="s">
        <v>77</v>
      </c>
      <c r="E52" s="61">
        <v>1</v>
      </c>
      <c r="F52" s="34">
        <f>C52*E52</f>
        <v>0</v>
      </c>
    </row>
    <row r="53" spans="1:6" ht="15.9" customHeight="1" thickBot="1" x14ac:dyDescent="0.35">
      <c r="A53" s="6" t="s">
        <v>38</v>
      </c>
      <c r="B53" s="28" t="s">
        <v>115</v>
      </c>
      <c r="C53" s="13"/>
      <c r="D53" s="29" t="s">
        <v>77</v>
      </c>
      <c r="E53" s="14">
        <v>5</v>
      </c>
      <c r="F53" s="30">
        <f>C53*E53</f>
        <v>0</v>
      </c>
    </row>
    <row r="55" spans="1:6" ht="14.4" thickBot="1" x14ac:dyDescent="0.35"/>
    <row r="56" spans="1:6" ht="14.4" thickBot="1" x14ac:dyDescent="0.35">
      <c r="A56" s="40"/>
      <c r="B56" s="26" t="s">
        <v>106</v>
      </c>
      <c r="C56" s="41"/>
      <c r="D56" s="41"/>
      <c r="E56" s="41"/>
      <c r="F56" s="32"/>
    </row>
    <row r="57" spans="1:6" ht="82.8" x14ac:dyDescent="0.3">
      <c r="A57" s="55"/>
      <c r="B57" s="20" t="s">
        <v>116</v>
      </c>
      <c r="C57" s="56"/>
      <c r="D57" s="56"/>
      <c r="E57" s="56"/>
      <c r="F57" s="53"/>
    </row>
    <row r="58" spans="1:6" x14ac:dyDescent="0.3">
      <c r="A58" s="2"/>
      <c r="B58" s="15" t="s">
        <v>103</v>
      </c>
      <c r="C58" s="16"/>
      <c r="D58" s="16"/>
      <c r="E58" s="16"/>
      <c r="F58" s="34"/>
    </row>
    <row r="59" spans="1:6" x14ac:dyDescent="0.3">
      <c r="A59" s="2" t="s">
        <v>107</v>
      </c>
      <c r="B59" s="15" t="s">
        <v>108</v>
      </c>
      <c r="C59" s="17"/>
      <c r="D59" s="16" t="s">
        <v>76</v>
      </c>
      <c r="E59" s="18">
        <v>5190</v>
      </c>
      <c r="F59" s="35">
        <f>SUM(C59*E59)</f>
        <v>0</v>
      </c>
    </row>
    <row r="60" spans="1:6" ht="14.4" thickBot="1" x14ac:dyDescent="0.35">
      <c r="A60" s="36" t="s">
        <v>109</v>
      </c>
      <c r="B60" s="22" t="s">
        <v>110</v>
      </c>
      <c r="C60" s="37">
        <v>200202</v>
      </c>
      <c r="D60" s="23" t="s">
        <v>104</v>
      </c>
      <c r="E60" s="38" t="s">
        <v>105</v>
      </c>
      <c r="F60" s="39" t="e">
        <f>SUM(C60*E60)</f>
        <v>#VALUE!</v>
      </c>
    </row>
    <row r="61" spans="1:6" ht="14.4" thickBot="1" x14ac:dyDescent="0.35">
      <c r="A61" s="40"/>
      <c r="B61" s="26" t="s">
        <v>111</v>
      </c>
      <c r="C61" s="41"/>
      <c r="D61" s="41"/>
      <c r="E61" s="41"/>
      <c r="F61" s="42" t="e">
        <f>SUM(F57:F60)</f>
        <v>#VALUE!</v>
      </c>
    </row>
    <row r="62" spans="1:6" ht="14.4" thickBot="1" x14ac:dyDescent="0.35">
      <c r="A62" s="57"/>
      <c r="B62" s="58"/>
      <c r="C62" s="57"/>
      <c r="D62" s="57"/>
      <c r="E62" s="57"/>
      <c r="F62" s="59"/>
    </row>
    <row r="63" spans="1:6" ht="14.4" thickBot="1" x14ac:dyDescent="0.35">
      <c r="A63" s="40"/>
      <c r="B63" s="26" t="s">
        <v>112</v>
      </c>
      <c r="C63" s="41"/>
      <c r="D63" s="41"/>
      <c r="E63" s="41"/>
      <c r="F63" s="42" t="e">
        <f>(F49+F51+F52+53+F61)</f>
        <v>#VALUE!</v>
      </c>
    </row>
  </sheetData>
  <pageMargins left="0.75" right="0.75" top="1" bottom="1" header="0.5" footer="0.5"/>
  <pageSetup scale="70" orientation="landscape"/>
  <headerFooter>
    <oddFooter>&amp;C(11/18/2025)_x000D_
Draft-00 -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ef0ae6-f42e-49c2-a3d4-8cfb6ddd722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81E8FD9B61268488131342E33C616B9" ma:contentTypeVersion="15" ma:contentTypeDescription="Create a new document." ma:contentTypeScope="" ma:versionID="36e66514a707731f0bae935d34a8ff5c">
  <xsd:schema xmlns:xsd="http://www.w3.org/2001/XMLSchema" xmlns:xs="http://www.w3.org/2001/XMLSchema" xmlns:p="http://schemas.microsoft.com/office/2006/metadata/properties" xmlns:ns2="eaef0ae6-f42e-49c2-a3d4-8cfb6ddd722c" xmlns:ns3="6afc0c3c-a56d-4339-bd39-97eeec642787" targetNamespace="http://schemas.microsoft.com/office/2006/metadata/properties" ma:root="true" ma:fieldsID="e3ac28923ca5255c4b8592f8f12a3c2a" ns2:_="" ns3:_="">
    <xsd:import namespace="eaef0ae6-f42e-49c2-a3d4-8cfb6ddd722c"/>
    <xsd:import namespace="6afc0c3c-a56d-4339-bd39-97eeec6427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f0ae6-f42e-49c2-a3d4-8cfb6ddd72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fc0c3c-a56d-4339-bd39-97eeec64278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2F9896-3DB6-4D2A-AAEE-8BD91628E1CC}">
  <ds:schemaRefs>
    <ds:schemaRef ds:uri="http://schemas.microsoft.com/office/2006/metadata/properties"/>
    <ds:schemaRef ds:uri="http://schemas.microsoft.com/office/infopath/2007/PartnerControls"/>
    <ds:schemaRef ds:uri="eaef0ae6-f42e-49c2-a3d4-8cfb6ddd722c"/>
  </ds:schemaRefs>
</ds:datastoreItem>
</file>

<file path=customXml/itemProps2.xml><?xml version="1.0" encoding="utf-8"?>
<ds:datastoreItem xmlns:ds="http://schemas.openxmlformats.org/officeDocument/2006/customXml" ds:itemID="{213F02F6-88D2-496D-BDB3-BF7CFB0E9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f0ae6-f42e-49c2-a3d4-8cfb6ddd722c"/>
    <ds:schemaRef ds:uri="6afc0c3c-a56d-4339-bd39-97eeec6427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E1D82E-9B4D-495D-8976-01EC35722E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SOS&amp;S</vt:lpstr>
      <vt:lpstr>'SOS&amp;S'!Print_Titles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Stansberry, Matthew R CIV USCG SFLC (USA)</cp:lastModifiedBy>
  <dcterms:created xsi:type="dcterms:W3CDTF">2026-01-07T16:37:02Z</dcterms:created>
  <dcterms:modified xsi:type="dcterms:W3CDTF">2026-04-06T18:49:10Z</dcterms:modified>
  <cp:category/>
</cp:coreProperties>
</file>