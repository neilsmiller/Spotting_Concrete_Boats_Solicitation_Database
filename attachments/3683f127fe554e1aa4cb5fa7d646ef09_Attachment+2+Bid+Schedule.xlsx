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1411622254C\Desktop\S Woods Documents\Team 1\Contracting Officer Roles\FY 26 MFTs\FY26 Industrial Doors\Solicitation\"/>
    </mc:Choice>
  </mc:AlternateContent>
  <xr:revisionPtr revIDLastSave="0" documentId="13_ncr:1_{DA3E3514-6DD3-4685-B7D7-D526C723246D}" xr6:coauthVersionLast="47" xr6:coauthVersionMax="47" xr10:uidLastSave="{00000000-0000-0000-0000-000000000000}"/>
  <bookViews>
    <workbookView xWindow="-110" yWindow="30" windowWidth="19420" windowHeight="10160" xr2:uid="{00000000-000D-0000-FFFF-FFFF00000000}"/>
  </bookViews>
  <sheets>
    <sheet name="Recurring Pricing" sheetId="6" r:id="rId1"/>
    <sheet name="Non-Recurring Price" sheetId="4" r:id="rId2"/>
    <sheet name="Total Price"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3" i="4" l="1"/>
  <c r="D34" i="4"/>
  <c r="D25" i="4"/>
  <c r="D16" i="4"/>
  <c r="D7" i="4"/>
  <c r="B19" i="2"/>
  <c r="B15" i="2"/>
  <c r="B11" i="2"/>
  <c r="B7" i="2"/>
  <c r="G3" i="6"/>
  <c r="B3" i="2" s="1"/>
  <c r="D40" i="4"/>
  <c r="D31" i="4"/>
  <c r="D22" i="4"/>
  <c r="D13" i="4"/>
  <c r="D4" i="4"/>
  <c r="G8" i="6" l="1"/>
  <c r="D45" i="4"/>
  <c r="B20" i="2" s="1"/>
  <c r="B21" i="2" s="1"/>
  <c r="D9" i="4"/>
  <c r="B4" i="2" s="1"/>
  <c r="B5" i="2" s="1"/>
  <c r="D36" i="4"/>
  <c r="B16" i="2" s="1"/>
  <c r="B17" i="2" s="1"/>
  <c r="D27" i="4"/>
  <c r="B12" i="2" s="1"/>
  <c r="B13" i="2" s="1"/>
  <c r="D18" i="4"/>
  <c r="B8" i="2" s="1"/>
  <c r="B9" i="2" s="1"/>
  <c r="B23" i="2" l="1"/>
</calcChain>
</file>

<file path=xl/sharedStrings.xml><?xml version="1.0" encoding="utf-8"?>
<sst xmlns="http://schemas.openxmlformats.org/spreadsheetml/2006/main" count="98" uniqueCount="48">
  <si>
    <t>Total Price</t>
  </si>
  <si>
    <t>Base Year</t>
  </si>
  <si>
    <t>Hours</t>
  </si>
  <si>
    <t>Total</t>
  </si>
  <si>
    <t>Labor Rate</t>
  </si>
  <si>
    <t>Amount</t>
  </si>
  <si>
    <t>Mark-up</t>
  </si>
  <si>
    <t xml:space="preserve">  Total Price Base Year</t>
  </si>
  <si>
    <t>Option 1</t>
  </si>
  <si>
    <t xml:space="preserve">  Total Price Option 1</t>
  </si>
  <si>
    <t>Option 2</t>
  </si>
  <si>
    <t xml:space="preserve">  Total Price Option 2</t>
  </si>
  <si>
    <t>Option 3</t>
  </si>
  <si>
    <t xml:space="preserve">  Total Price Option 3</t>
  </si>
  <si>
    <t>Option 4</t>
  </si>
  <si>
    <t xml:space="preserve">  Total Price Option 4</t>
  </si>
  <si>
    <t>Price</t>
  </si>
  <si>
    <t>Period</t>
  </si>
  <si>
    <t>CLIN</t>
  </si>
  <si>
    <t>Pricing Category</t>
  </si>
  <si>
    <t>Qty</t>
  </si>
  <si>
    <t>Unit</t>
  </si>
  <si>
    <t>Unit Price</t>
  </si>
  <si>
    <t>Base Period</t>
  </si>
  <si>
    <t>0001</t>
  </si>
  <si>
    <t>Months</t>
  </si>
  <si>
    <t>Option Period 1</t>
  </si>
  <si>
    <t>1001</t>
  </si>
  <si>
    <t>Option Period 2</t>
  </si>
  <si>
    <t>2001</t>
  </si>
  <si>
    <t>Option Period 3</t>
  </si>
  <si>
    <t>3001</t>
  </si>
  <si>
    <t>Option Period 4</t>
  </si>
  <si>
    <t>4001</t>
  </si>
  <si>
    <t>TOTAL PRICE</t>
  </si>
  <si>
    <t>Recurring Price</t>
  </si>
  <si>
    <t>Non-Recurring Price</t>
  </si>
  <si>
    <t>Total Base Year</t>
  </si>
  <si>
    <t>Total Option 1</t>
  </si>
  <si>
    <t>Total Option 2</t>
  </si>
  <si>
    <t>Total Option 3</t>
  </si>
  <si>
    <t xml:space="preserve">Total Option 4 </t>
  </si>
  <si>
    <t>Repairs Above LOL Total</t>
  </si>
  <si>
    <t xml:space="preserve">No inputs are required on this tab.
The estimated amount shown in the Non-Recurring Price Tab, does not reflect historical or anticipated Repairs above the LOL. The estimated amount shown is for evaluation purposes only. 
</t>
  </si>
  <si>
    <t xml:space="preserve">  Total Price</t>
  </si>
  <si>
    <t>This tab requires inputs. Please complete green highlighted areas only. 
Price should be based on one PMI per year, per door, in accordance with Appendix A. 
Offerors shall ensure that their proposed recurring prices are fully inclusive of their financial responsibility for all service calls and repairs up to the $1,000 limit of liability. Historical data provided in Appendix C.</t>
  </si>
  <si>
    <t xml:space="preserve">This tab requires inputs. Please complete green highlighted cells only.
Rates will be utilized for Repairs above the limit of liability (LOL). 
Mark-up will be applied to quotes after the LOL deduction. Mark up rates should reflect profit only. G&amp;A and overhead associated with performance under this requirement should be included in values identified under Recurring Pricing tab. 
The estimated amount shown in the calculation below for Repairs above the LOL are for evaluation purposes only and do not reflect historical or anticipated repairs above the LOL.
</t>
  </si>
  <si>
    <t xml:space="preserve">Industrial and Specialty Door Preventative Maintenance and Service Calls/Repairs up to the Limit of Liability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</si>
</sst>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_);_(&quot;$&quot;* \(#,##0\);_(&quot;$&quot;* &quot;-&quot;??_);_(@_)"/>
    <numFmt numFmtId="165" formatCode="&quot;$&quot;#,##0.00"/>
    <numFmt numFmtId="166" formatCode="&quot;$&quot;#,##0"/>
  </numFmts>
  <fonts count="9" x14ac:knownFonts="1">
    <font>
      <sz val="11"/>
      <color theme="1"/>
      <name val="Calibri"/>
      <family val="2"/>
      <scheme val="minor"/>
    </font>
    <font>
      <sz val="11"/>
      <color theme="1"/>
      <name val="Calibri"/>
      <family val="2"/>
      <scheme val="minor"/>
    </font>
    <font>
      <b/>
      <sz val="11"/>
      <color theme="1"/>
      <name val="Calibri"/>
      <family val="2"/>
      <scheme val="minor"/>
    </font>
    <font>
      <b/>
      <i/>
      <sz val="11"/>
      <color theme="1"/>
      <name val="Calibri"/>
      <family val="2"/>
      <scheme val="minor"/>
    </font>
    <font>
      <b/>
      <u val="double"/>
      <sz val="11"/>
      <color theme="1"/>
      <name val="Calibri"/>
      <family val="2"/>
      <scheme val="minor"/>
    </font>
    <font>
      <sz val="11"/>
      <name val="Calibri"/>
      <family val="2"/>
    </font>
    <font>
      <i/>
      <sz val="11"/>
      <color rgb="FF7F7F7F"/>
      <name val="Calibri"/>
      <family val="2"/>
      <scheme val="minor"/>
    </font>
    <font>
      <b/>
      <sz val="16"/>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indexed="64"/>
      </left>
      <right style="thin">
        <color indexed="64"/>
      </right>
      <top/>
      <bottom/>
      <diagonal/>
    </border>
    <border>
      <left style="thin">
        <color auto="1"/>
      </left>
      <right style="thin">
        <color auto="1"/>
      </right>
      <top/>
      <bottom/>
      <diagonal/>
    </border>
    <border>
      <left style="thin">
        <color auto="1"/>
      </left>
      <right style="medium">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6" fillId="0" borderId="0" applyNumberFormat="0" applyFill="0" applyBorder="0" applyAlignment="0" applyProtection="0"/>
  </cellStyleXfs>
  <cellXfs count="51">
    <xf numFmtId="0" fontId="0" fillId="0" borderId="0" xfId="0"/>
    <xf numFmtId="0" fontId="0" fillId="0" borderId="0" xfId="0" applyProtection="1">
      <protection locked="0"/>
    </xf>
    <xf numFmtId="0" fontId="0" fillId="0" borderId="0" xfId="0" applyAlignment="1" applyProtection="1">
      <alignment horizontal="center"/>
      <protection locked="0"/>
    </xf>
    <xf numFmtId="0" fontId="0" fillId="0" borderId="7" xfId="0" applyBorder="1" applyAlignment="1" applyProtection="1">
      <alignment horizontal="center"/>
      <protection locked="0"/>
    </xf>
    <xf numFmtId="0" fontId="0" fillId="0" borderId="8" xfId="0" applyBorder="1" applyAlignment="1" applyProtection="1">
      <alignment horizontal="center"/>
      <protection locked="0"/>
    </xf>
    <xf numFmtId="0" fontId="0" fillId="0" borderId="9" xfId="0" applyBorder="1" applyAlignment="1" applyProtection="1">
      <alignment horizontal="center"/>
      <protection locked="0"/>
    </xf>
    <xf numFmtId="0" fontId="0" fillId="0" borderId="10" xfId="0" applyBorder="1" applyProtection="1">
      <protection locked="0"/>
    </xf>
    <xf numFmtId="0" fontId="0" fillId="0" borderId="5" xfId="0" applyBorder="1" applyProtection="1">
      <protection locked="0"/>
    </xf>
    <xf numFmtId="0" fontId="0" fillId="0" borderId="6" xfId="0" applyBorder="1" applyProtection="1">
      <protection locked="0"/>
    </xf>
    <xf numFmtId="0" fontId="0" fillId="0" borderId="10" xfId="0" applyBorder="1" applyAlignment="1" applyProtection="1">
      <alignment horizontal="center"/>
      <protection locked="0"/>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0" fontId="0" fillId="0" borderId="12" xfId="0" applyBorder="1" applyProtection="1">
      <protection locked="0"/>
    </xf>
    <xf numFmtId="0" fontId="0" fillId="0" borderId="13" xfId="0" applyBorder="1" applyProtection="1">
      <protection locked="0"/>
    </xf>
    <xf numFmtId="0" fontId="0" fillId="0" borderId="1" xfId="0" applyBorder="1" applyAlignment="1">
      <alignment horizontal="right"/>
    </xf>
    <xf numFmtId="166" fontId="0" fillId="0" borderId="11" xfId="0" applyNumberFormat="1" applyBorder="1"/>
    <xf numFmtId="164" fontId="0" fillId="0" borderId="1" xfId="0" applyNumberFormat="1" applyBorder="1"/>
    <xf numFmtId="166" fontId="2" fillId="0" borderId="14" xfId="0" applyNumberFormat="1" applyFont="1" applyBorder="1"/>
    <xf numFmtId="166" fontId="0" fillId="0" borderId="0" xfId="0" applyNumberFormat="1"/>
    <xf numFmtId="0" fontId="3" fillId="2" borderId="0" xfId="0" applyFont="1" applyFill="1"/>
    <xf numFmtId="166" fontId="4" fillId="2" borderId="0" xfId="0" applyNumberFormat="1" applyFont="1" applyFill="1"/>
    <xf numFmtId="0" fontId="0" fillId="0" borderId="0" xfId="0" applyAlignment="1">
      <alignment horizontal="center" vertical="center"/>
    </xf>
    <xf numFmtId="49" fontId="0" fillId="0" borderId="0" xfId="0" applyNumberFormat="1" applyAlignment="1">
      <alignment horizontal="center" vertical="center"/>
    </xf>
    <xf numFmtId="165" fontId="0" fillId="3" borderId="1" xfId="0" applyNumberFormat="1" applyFill="1" applyBorder="1" applyAlignment="1" applyProtection="1">
      <alignment horizontal="center"/>
      <protection locked="0"/>
    </xf>
    <xf numFmtId="9" fontId="0" fillId="3" borderId="1" xfId="1" applyFont="1" applyFill="1" applyBorder="1" applyAlignment="1" applyProtection="1">
      <alignment horizontal="center"/>
      <protection locked="0"/>
    </xf>
    <xf numFmtId="0" fontId="0" fillId="0" borderId="0" xfId="0" applyAlignment="1" applyProtection="1">
      <alignment horizontal="left"/>
      <protection locked="0"/>
    </xf>
    <xf numFmtId="0" fontId="2" fillId="0" borderId="0" xfId="0" applyFont="1" applyAlignment="1">
      <alignment vertical="center" wrapText="1"/>
    </xf>
    <xf numFmtId="0" fontId="0" fillId="0" borderId="7" xfId="0" applyBorder="1"/>
    <xf numFmtId="166" fontId="0" fillId="0" borderId="9" xfId="0" applyNumberFormat="1" applyBorder="1"/>
    <xf numFmtId="0" fontId="0" fillId="0" borderId="10" xfId="0" applyBorder="1"/>
    <xf numFmtId="0" fontId="0" fillId="0" borderId="12" xfId="0" applyBorder="1"/>
    <xf numFmtId="166" fontId="0" fillId="0" borderId="14" xfId="0" applyNumberFormat="1" applyBorder="1"/>
    <xf numFmtId="0" fontId="0" fillId="0" borderId="17" xfId="0" applyBorder="1" applyAlignment="1">
      <alignment horizontal="center"/>
    </xf>
    <xf numFmtId="0" fontId="0" fillId="0" borderId="1" xfId="0" applyBorder="1" applyAlignment="1">
      <alignment horizontal="center" vertical="center"/>
    </xf>
    <xf numFmtId="49" fontId="0" fillId="0" borderId="1" xfId="0" applyNumberFormat="1" applyBorder="1" applyAlignment="1">
      <alignment horizontal="center" vertical="center"/>
    </xf>
    <xf numFmtId="0" fontId="5" fillId="0" borderId="1" xfId="2" applyFont="1" applyFill="1" applyBorder="1" applyAlignment="1" applyProtection="1">
      <alignment horizontal="left" vertical="center" wrapText="1"/>
      <protection locked="0"/>
    </xf>
    <xf numFmtId="165" fontId="0" fillId="0" borderId="1" xfId="0" applyNumberFormat="1" applyBorder="1" applyAlignment="1">
      <alignment horizontal="center" vertical="center"/>
    </xf>
    <xf numFmtId="0" fontId="2" fillId="0" borderId="20" xfId="0" applyFont="1" applyBorder="1" applyAlignment="1">
      <alignment horizontal="center" vertical="center"/>
    </xf>
    <xf numFmtId="49" fontId="2" fillId="0" borderId="21" xfId="0" applyNumberFormat="1"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8" fillId="4" borderId="15" xfId="0" applyFont="1" applyFill="1" applyBorder="1" applyAlignment="1">
      <alignment horizontal="left" vertical="center" wrapText="1"/>
    </xf>
    <xf numFmtId="0" fontId="8" fillId="4" borderId="23" xfId="0" applyFont="1" applyFill="1" applyBorder="1" applyAlignment="1">
      <alignment horizontal="left" vertical="center"/>
    </xf>
    <xf numFmtId="0" fontId="8" fillId="4" borderId="24" xfId="0" applyFont="1" applyFill="1" applyBorder="1" applyAlignment="1">
      <alignment horizontal="left" vertical="center"/>
    </xf>
    <xf numFmtId="0" fontId="7" fillId="0" borderId="1" xfId="0" applyFont="1" applyBorder="1" applyAlignment="1">
      <alignment horizontal="center" vertical="center"/>
    </xf>
    <xf numFmtId="0" fontId="2" fillId="0" borderId="2" xfId="0" applyFont="1" applyBorder="1" applyAlignment="1" applyProtection="1">
      <alignment horizontal="center"/>
      <protection locked="0"/>
    </xf>
    <xf numFmtId="0" fontId="2" fillId="0" borderId="3" xfId="0" applyFont="1" applyBorder="1" applyAlignment="1" applyProtection="1">
      <alignment horizontal="center"/>
      <protection locked="0"/>
    </xf>
    <xf numFmtId="0" fontId="2" fillId="0" borderId="4" xfId="0" applyFont="1" applyBorder="1" applyAlignment="1" applyProtection="1">
      <alignment horizontal="center"/>
      <protection locked="0"/>
    </xf>
    <xf numFmtId="0" fontId="8" fillId="4" borderId="16" xfId="0" applyFont="1" applyFill="1" applyBorder="1" applyAlignment="1">
      <alignment horizontal="left" vertical="center" wrapText="1"/>
    </xf>
    <xf numFmtId="0" fontId="8" fillId="4" borderId="18" xfId="0" applyFont="1" applyFill="1" applyBorder="1" applyAlignment="1">
      <alignment horizontal="left" vertical="center" wrapText="1"/>
    </xf>
    <xf numFmtId="0" fontId="8" fillId="4" borderId="19" xfId="0" applyFont="1" applyFill="1" applyBorder="1" applyAlignment="1">
      <alignment horizontal="left" vertical="center" wrapText="1"/>
    </xf>
  </cellXfs>
  <cellStyles count="3">
    <cellStyle name="Explanatory Text" xfId="2" builtinId="5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30AD6-626B-4B08-ACD6-1A50222EE4DE}">
  <dimension ref="A1:G8"/>
  <sheetViews>
    <sheetView tabSelected="1" workbookViewId="0">
      <selection activeCell="C3" sqref="C3"/>
    </sheetView>
  </sheetViews>
  <sheetFormatPr defaultRowHeight="14.5" x14ac:dyDescent="0.35"/>
  <cols>
    <col min="1" max="1" width="21" customWidth="1"/>
    <col min="2" max="2" width="21" style="22" customWidth="1"/>
    <col min="3" max="3" width="59.81640625" customWidth="1"/>
    <col min="4" max="4" width="9.1796875" style="21"/>
    <col min="5" max="5" width="13.7265625" style="21" customWidth="1"/>
    <col min="6" max="6" width="21.54296875" style="21" customWidth="1"/>
    <col min="7" max="7" width="24.54296875" customWidth="1"/>
  </cols>
  <sheetData>
    <row r="1" spans="1:7" ht="102" customHeight="1" x14ac:dyDescent="0.35">
      <c r="A1" s="41" t="s">
        <v>45</v>
      </c>
      <c r="B1" s="42"/>
      <c r="C1" s="42"/>
      <c r="D1" s="42"/>
      <c r="E1" s="42"/>
      <c r="F1" s="42"/>
      <c r="G1" s="43"/>
    </row>
    <row r="2" spans="1:7" s="21" customFormat="1" x14ac:dyDescent="0.35">
      <c r="A2" s="37" t="s">
        <v>17</v>
      </c>
      <c r="B2" s="38" t="s">
        <v>18</v>
      </c>
      <c r="C2" s="39" t="s">
        <v>19</v>
      </c>
      <c r="D2" s="39" t="s">
        <v>20</v>
      </c>
      <c r="E2" s="39" t="s">
        <v>21</v>
      </c>
      <c r="F2" s="39" t="s">
        <v>22</v>
      </c>
      <c r="G2" s="40" t="s">
        <v>0</v>
      </c>
    </row>
    <row r="3" spans="1:7" ht="58" x14ac:dyDescent="0.35">
      <c r="A3" s="33" t="s">
        <v>23</v>
      </c>
      <c r="B3" s="34" t="s">
        <v>24</v>
      </c>
      <c r="C3" s="35" t="s">
        <v>47</v>
      </c>
      <c r="D3" s="33">
        <v>12</v>
      </c>
      <c r="E3" s="33" t="s">
        <v>25</v>
      </c>
      <c r="F3" s="23"/>
      <c r="G3" s="36">
        <f>D3*F3</f>
        <v>0</v>
      </c>
    </row>
    <row r="4" spans="1:7" ht="58" x14ac:dyDescent="0.35">
      <c r="A4" s="33" t="s">
        <v>26</v>
      </c>
      <c r="B4" s="34" t="s">
        <v>27</v>
      </c>
      <c r="C4" s="35" t="s">
        <v>47</v>
      </c>
      <c r="D4" s="33">
        <v>12</v>
      </c>
      <c r="E4" s="33" t="s">
        <v>25</v>
      </c>
      <c r="F4" s="23"/>
      <c r="G4" s="36">
        <v>0</v>
      </c>
    </row>
    <row r="5" spans="1:7" ht="58" x14ac:dyDescent="0.35">
      <c r="A5" s="33" t="s">
        <v>28</v>
      </c>
      <c r="B5" s="34" t="s">
        <v>29</v>
      </c>
      <c r="C5" s="35" t="s">
        <v>47</v>
      </c>
      <c r="D5" s="33">
        <v>12</v>
      </c>
      <c r="E5" s="33" t="s">
        <v>25</v>
      </c>
      <c r="F5" s="23"/>
      <c r="G5" s="36">
        <v>0</v>
      </c>
    </row>
    <row r="6" spans="1:7" ht="58" x14ac:dyDescent="0.35">
      <c r="A6" s="33" t="s">
        <v>30</v>
      </c>
      <c r="B6" s="34" t="s">
        <v>31</v>
      </c>
      <c r="C6" s="35" t="s">
        <v>47</v>
      </c>
      <c r="D6" s="33">
        <v>12</v>
      </c>
      <c r="E6" s="33" t="s">
        <v>25</v>
      </c>
      <c r="F6" s="23"/>
      <c r="G6" s="36">
        <v>0</v>
      </c>
    </row>
    <row r="7" spans="1:7" ht="58" x14ac:dyDescent="0.35">
      <c r="A7" s="33" t="s">
        <v>32</v>
      </c>
      <c r="B7" s="34" t="s">
        <v>33</v>
      </c>
      <c r="C7" s="35" t="s">
        <v>47</v>
      </c>
      <c r="D7" s="33">
        <v>12</v>
      </c>
      <c r="E7" s="33" t="s">
        <v>25</v>
      </c>
      <c r="F7" s="23"/>
      <c r="G7" s="36">
        <v>0</v>
      </c>
    </row>
    <row r="8" spans="1:7" ht="21" x14ac:dyDescent="0.35">
      <c r="D8" s="44" t="s">
        <v>34</v>
      </c>
      <c r="E8" s="44"/>
      <c r="F8" s="44"/>
      <c r="G8" s="36">
        <f>SUM(G3:G7)</f>
        <v>0</v>
      </c>
    </row>
  </sheetData>
  <sheetProtection algorithmName="SHA-512" hashValue="kV1A+Gnn50fh4KL/GIj52DFH8BTcvfrI6MjUDxg8G8aQTvE42LylHYTLY67SU4y6dyVex2npRKFT4v0tsZbmOg==" saltValue="LiuaiI+AH99lMr6IFra6sQ==" spinCount="100000" sheet="1" objects="1" scenarios="1" selectLockedCells="1"/>
  <mergeCells count="2">
    <mergeCell ref="A1:G1"/>
    <mergeCell ref="D8:F8"/>
  </mergeCells>
  <dataValidations count="1">
    <dataValidation allowBlank="1" showInputMessage="1" showErrorMessage="1" prompt="No more than 32,000 characters can be included" sqref="C3:C7" xr:uid="{873201ED-DF8E-4CFD-A91F-903FAC956BBA}"/>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E20F0-3E97-4676-A7D9-2E12BEF203AA}">
  <dimension ref="A1:K45"/>
  <sheetViews>
    <sheetView workbookViewId="0">
      <selection activeCell="G1" sqref="G1"/>
    </sheetView>
  </sheetViews>
  <sheetFormatPr defaultColWidth="9.1796875" defaultRowHeight="14.5" x14ac:dyDescent="0.35"/>
  <cols>
    <col min="1" max="1" width="26.453125" style="1" bestFit="1" customWidth="1"/>
    <col min="2" max="3" width="13.453125" style="1" customWidth="1"/>
    <col min="4" max="4" width="17" style="1" customWidth="1"/>
    <col min="5" max="16384" width="9.1796875" style="1"/>
  </cols>
  <sheetData>
    <row r="1" spans="1:11" ht="204" customHeight="1" thickBot="1" x14ac:dyDescent="0.4">
      <c r="A1" s="48" t="s">
        <v>46</v>
      </c>
      <c r="B1" s="48"/>
      <c r="C1" s="48"/>
      <c r="D1" s="48"/>
      <c r="E1" s="26"/>
      <c r="F1" s="26"/>
    </row>
    <row r="2" spans="1:11" ht="15" thickBot="1" x14ac:dyDescent="0.4">
      <c r="A2" s="45" t="s">
        <v>1</v>
      </c>
      <c r="B2" s="46"/>
      <c r="C2" s="46"/>
      <c r="D2" s="47"/>
    </row>
    <row r="3" spans="1:11" x14ac:dyDescent="0.35">
      <c r="A3" s="3"/>
      <c r="B3" s="4" t="s">
        <v>2</v>
      </c>
      <c r="C3" s="4" t="s">
        <v>4</v>
      </c>
      <c r="D3" s="5" t="s">
        <v>3</v>
      </c>
      <c r="E3" s="2"/>
      <c r="F3" s="2"/>
      <c r="G3" s="2"/>
      <c r="H3" s="2"/>
      <c r="I3" s="2"/>
      <c r="J3" s="2"/>
      <c r="K3" s="2"/>
    </row>
    <row r="4" spans="1:11" s="2" customFormat="1" x14ac:dyDescent="0.35">
      <c r="A4" s="6" t="s">
        <v>4</v>
      </c>
      <c r="B4" s="14">
        <v>1</v>
      </c>
      <c r="C4" s="23"/>
      <c r="D4" s="15">
        <f>B4*C4</f>
        <v>0</v>
      </c>
      <c r="E4" s="1"/>
      <c r="F4" s="1"/>
      <c r="G4" s="1"/>
      <c r="H4" s="1"/>
      <c r="I4" s="1"/>
      <c r="J4" s="1"/>
      <c r="K4" s="1"/>
    </row>
    <row r="5" spans="1:11" x14ac:dyDescent="0.35">
      <c r="A5" s="7"/>
      <c r="D5" s="8"/>
    </row>
    <row r="6" spans="1:11" x14ac:dyDescent="0.35">
      <c r="A6" s="9"/>
      <c r="B6" s="10" t="s">
        <v>5</v>
      </c>
      <c r="C6" s="10" t="s">
        <v>6</v>
      </c>
      <c r="D6" s="11" t="s">
        <v>3</v>
      </c>
      <c r="E6" s="2"/>
      <c r="F6" s="2"/>
      <c r="G6" s="2"/>
      <c r="H6" s="2"/>
      <c r="I6" s="2"/>
      <c r="J6" s="2"/>
      <c r="K6" s="2"/>
    </row>
    <row r="7" spans="1:11" x14ac:dyDescent="0.35">
      <c r="A7" s="6" t="s">
        <v>42</v>
      </c>
      <c r="B7" s="16">
        <v>10000</v>
      </c>
      <c r="C7" s="24"/>
      <c r="D7" s="15">
        <f>B7*C7</f>
        <v>0</v>
      </c>
    </row>
    <row r="8" spans="1:11" x14ac:dyDescent="0.35">
      <c r="A8" s="7"/>
      <c r="D8" s="8"/>
    </row>
    <row r="9" spans="1:11" ht="15" thickBot="1" x14ac:dyDescent="0.4">
      <c r="A9" s="12" t="s">
        <v>7</v>
      </c>
      <c r="B9" s="13"/>
      <c r="C9" s="13"/>
      <c r="D9" s="17">
        <f>D4+D7</f>
        <v>0</v>
      </c>
      <c r="J9" s="25"/>
    </row>
    <row r="10" spans="1:11" ht="15" thickBot="1" x14ac:dyDescent="0.4"/>
    <row r="11" spans="1:11" ht="15" thickBot="1" x14ac:dyDescent="0.4">
      <c r="A11" s="45" t="s">
        <v>8</v>
      </c>
      <c r="B11" s="46"/>
      <c r="C11" s="46"/>
      <c r="D11" s="47"/>
    </row>
    <row r="12" spans="1:11" x14ac:dyDescent="0.35">
      <c r="A12" s="3"/>
      <c r="B12" s="4" t="s">
        <v>2</v>
      </c>
      <c r="C12" s="4" t="s">
        <v>4</v>
      </c>
      <c r="D12" s="5" t="s">
        <v>3</v>
      </c>
    </row>
    <row r="13" spans="1:11" x14ac:dyDescent="0.35">
      <c r="A13" s="6" t="s">
        <v>4</v>
      </c>
      <c r="B13" s="14">
        <v>1</v>
      </c>
      <c r="C13" s="23"/>
      <c r="D13" s="15">
        <f>B13*C13</f>
        <v>0</v>
      </c>
    </row>
    <row r="14" spans="1:11" x14ac:dyDescent="0.35">
      <c r="A14" s="7"/>
      <c r="D14" s="8"/>
    </row>
    <row r="15" spans="1:11" x14ac:dyDescent="0.35">
      <c r="A15" s="9"/>
      <c r="B15" s="10" t="s">
        <v>5</v>
      </c>
      <c r="C15" s="10" t="s">
        <v>6</v>
      </c>
      <c r="D15" s="11" t="s">
        <v>3</v>
      </c>
    </row>
    <row r="16" spans="1:11" x14ac:dyDescent="0.35">
      <c r="A16" s="6" t="s">
        <v>42</v>
      </c>
      <c r="B16" s="16">
        <v>10000</v>
      </c>
      <c r="C16" s="24"/>
      <c r="D16" s="15">
        <f>B16*C16</f>
        <v>0</v>
      </c>
    </row>
    <row r="17" spans="1:4" x14ac:dyDescent="0.35">
      <c r="A17" s="7"/>
      <c r="D17" s="8"/>
    </row>
    <row r="18" spans="1:4" ht="15" thickBot="1" x14ac:dyDescent="0.4">
      <c r="A18" s="12" t="s">
        <v>9</v>
      </c>
      <c r="B18" s="13"/>
      <c r="C18" s="13"/>
      <c r="D18" s="17">
        <f>D13+D16</f>
        <v>0</v>
      </c>
    </row>
    <row r="19" spans="1:4" ht="15" thickBot="1" x14ac:dyDescent="0.4"/>
    <row r="20" spans="1:4" ht="15" thickBot="1" x14ac:dyDescent="0.4">
      <c r="A20" s="45" t="s">
        <v>10</v>
      </c>
      <c r="B20" s="46"/>
      <c r="C20" s="46"/>
      <c r="D20" s="47"/>
    </row>
    <row r="21" spans="1:4" x14ac:dyDescent="0.35">
      <c r="A21" s="3"/>
      <c r="B21" s="4" t="s">
        <v>2</v>
      </c>
      <c r="C21" s="4" t="s">
        <v>4</v>
      </c>
      <c r="D21" s="5" t="s">
        <v>3</v>
      </c>
    </row>
    <row r="22" spans="1:4" x14ac:dyDescent="0.35">
      <c r="A22" s="6" t="s">
        <v>4</v>
      </c>
      <c r="B22" s="14">
        <v>1</v>
      </c>
      <c r="C22" s="23"/>
      <c r="D22" s="15">
        <f>B22*C22</f>
        <v>0</v>
      </c>
    </row>
    <row r="23" spans="1:4" x14ac:dyDescent="0.35">
      <c r="A23" s="7"/>
      <c r="D23" s="8"/>
    </row>
    <row r="24" spans="1:4" x14ac:dyDescent="0.35">
      <c r="A24" s="9"/>
      <c r="B24" s="10" t="s">
        <v>5</v>
      </c>
      <c r="C24" s="10" t="s">
        <v>6</v>
      </c>
      <c r="D24" s="11" t="s">
        <v>3</v>
      </c>
    </row>
    <row r="25" spans="1:4" x14ac:dyDescent="0.35">
      <c r="A25" s="6" t="s">
        <v>42</v>
      </c>
      <c r="B25" s="16">
        <v>10000</v>
      </c>
      <c r="C25" s="24"/>
      <c r="D25" s="15">
        <f>B25*C25</f>
        <v>0</v>
      </c>
    </row>
    <row r="26" spans="1:4" x14ac:dyDescent="0.35">
      <c r="A26" s="7"/>
      <c r="D26" s="8"/>
    </row>
    <row r="27" spans="1:4" ht="15" thickBot="1" x14ac:dyDescent="0.4">
      <c r="A27" s="12" t="s">
        <v>11</v>
      </c>
      <c r="B27" s="13"/>
      <c r="C27" s="13"/>
      <c r="D27" s="17">
        <f>D22+D25</f>
        <v>0</v>
      </c>
    </row>
    <row r="28" spans="1:4" ht="15" thickBot="1" x14ac:dyDescent="0.4"/>
    <row r="29" spans="1:4" ht="15" thickBot="1" x14ac:dyDescent="0.4">
      <c r="A29" s="45" t="s">
        <v>12</v>
      </c>
      <c r="B29" s="46"/>
      <c r="C29" s="46"/>
      <c r="D29" s="47"/>
    </row>
    <row r="30" spans="1:4" x14ac:dyDescent="0.35">
      <c r="A30" s="3"/>
      <c r="B30" s="4" t="s">
        <v>2</v>
      </c>
      <c r="C30" s="4" t="s">
        <v>4</v>
      </c>
      <c r="D30" s="5" t="s">
        <v>3</v>
      </c>
    </row>
    <row r="31" spans="1:4" x14ac:dyDescent="0.35">
      <c r="A31" s="6" t="s">
        <v>4</v>
      </c>
      <c r="B31" s="14">
        <v>1</v>
      </c>
      <c r="C31" s="23"/>
      <c r="D31" s="15">
        <f>B31*C31</f>
        <v>0</v>
      </c>
    </row>
    <row r="32" spans="1:4" x14ac:dyDescent="0.35">
      <c r="A32" s="7"/>
      <c r="D32" s="8"/>
    </row>
    <row r="33" spans="1:4" x14ac:dyDescent="0.35">
      <c r="A33" s="9"/>
      <c r="B33" s="10" t="s">
        <v>5</v>
      </c>
      <c r="C33" s="10" t="s">
        <v>6</v>
      </c>
      <c r="D33" s="11" t="s">
        <v>3</v>
      </c>
    </row>
    <row r="34" spans="1:4" x14ac:dyDescent="0.35">
      <c r="A34" s="6" t="s">
        <v>42</v>
      </c>
      <c r="B34" s="16">
        <v>10000</v>
      </c>
      <c r="C34" s="24"/>
      <c r="D34" s="15">
        <f>B34*C34</f>
        <v>0</v>
      </c>
    </row>
    <row r="35" spans="1:4" x14ac:dyDescent="0.35">
      <c r="A35" s="7"/>
      <c r="D35" s="8"/>
    </row>
    <row r="36" spans="1:4" ht="15" thickBot="1" x14ac:dyDescent="0.4">
      <c r="A36" s="12" t="s">
        <v>13</v>
      </c>
      <c r="B36" s="13"/>
      <c r="C36" s="13"/>
      <c r="D36" s="17">
        <f>D31+D34</f>
        <v>0</v>
      </c>
    </row>
    <row r="37" spans="1:4" ht="15" thickBot="1" x14ac:dyDescent="0.4"/>
    <row r="38" spans="1:4" ht="15" thickBot="1" x14ac:dyDescent="0.4">
      <c r="A38" s="45" t="s">
        <v>14</v>
      </c>
      <c r="B38" s="46"/>
      <c r="C38" s="46"/>
      <c r="D38" s="47"/>
    </row>
    <row r="39" spans="1:4" x14ac:dyDescent="0.35">
      <c r="A39" s="3"/>
      <c r="B39" s="4" t="s">
        <v>2</v>
      </c>
      <c r="C39" s="4" t="s">
        <v>4</v>
      </c>
      <c r="D39" s="5" t="s">
        <v>3</v>
      </c>
    </row>
    <row r="40" spans="1:4" x14ac:dyDescent="0.35">
      <c r="A40" s="6" t="s">
        <v>4</v>
      </c>
      <c r="B40" s="14">
        <v>1</v>
      </c>
      <c r="C40" s="23"/>
      <c r="D40" s="15">
        <f>B40*C40</f>
        <v>0</v>
      </c>
    </row>
    <row r="41" spans="1:4" x14ac:dyDescent="0.35">
      <c r="A41" s="7"/>
      <c r="D41" s="8"/>
    </row>
    <row r="42" spans="1:4" x14ac:dyDescent="0.35">
      <c r="A42" s="9"/>
      <c r="B42" s="10" t="s">
        <v>5</v>
      </c>
      <c r="C42" s="10" t="s">
        <v>6</v>
      </c>
      <c r="D42" s="11" t="s">
        <v>3</v>
      </c>
    </row>
    <row r="43" spans="1:4" x14ac:dyDescent="0.35">
      <c r="A43" s="6" t="s">
        <v>42</v>
      </c>
      <c r="B43" s="16">
        <v>10000</v>
      </c>
      <c r="C43" s="24"/>
      <c r="D43" s="15">
        <f>B43*C43</f>
        <v>0</v>
      </c>
    </row>
    <row r="44" spans="1:4" x14ac:dyDescent="0.35">
      <c r="A44" s="7"/>
      <c r="D44" s="8"/>
    </row>
    <row r="45" spans="1:4" ht="15" thickBot="1" x14ac:dyDescent="0.4">
      <c r="A45" s="12" t="s">
        <v>15</v>
      </c>
      <c r="B45" s="13"/>
      <c r="C45" s="13"/>
      <c r="D45" s="17">
        <f>D40+D43</f>
        <v>0</v>
      </c>
    </row>
  </sheetData>
  <sheetProtection algorithmName="SHA-512" hashValue="tQ3RsZr4QleVogCKRqsFqYvEqP5nHi46gTMTRuDuQ70DHBELgizw5Io3r8tfMalt37Q0+BX4jdW2rlLPLikQOQ==" saltValue="FtciUAnijRmYG3LA8ZyZZA==" spinCount="100000" sheet="1" objects="1" scenarios="1" selectLockedCells="1"/>
  <mergeCells count="6">
    <mergeCell ref="A38:D38"/>
    <mergeCell ref="A1:D1"/>
    <mergeCell ref="A2:D2"/>
    <mergeCell ref="A11:D11"/>
    <mergeCell ref="A20:D20"/>
    <mergeCell ref="A29:D2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8"/>
  <sheetViews>
    <sheetView topLeftCell="A12" workbookViewId="0">
      <selection sqref="A1:B23"/>
    </sheetView>
  </sheetViews>
  <sheetFormatPr defaultRowHeight="14.5" x14ac:dyDescent="0.35"/>
  <cols>
    <col min="1" max="1" width="35.81640625" customWidth="1"/>
    <col min="2" max="2" width="27.7265625" customWidth="1"/>
  </cols>
  <sheetData>
    <row r="1" spans="1:2" ht="135.75" customHeight="1" thickBot="1" x14ac:dyDescent="0.4">
      <c r="A1" s="49" t="s">
        <v>43</v>
      </c>
      <c r="B1" s="50"/>
    </row>
    <row r="2" spans="1:2" ht="15" thickBot="1" x14ac:dyDescent="0.4">
      <c r="B2" s="32" t="s">
        <v>16</v>
      </c>
    </row>
    <row r="3" spans="1:2" x14ac:dyDescent="0.35">
      <c r="A3" s="27" t="s">
        <v>35</v>
      </c>
      <c r="B3" s="28">
        <f>SUM('Recurring Pricing'!G3)</f>
        <v>0</v>
      </c>
    </row>
    <row r="4" spans="1:2" x14ac:dyDescent="0.35">
      <c r="A4" s="29" t="s">
        <v>36</v>
      </c>
      <c r="B4" s="15">
        <f>'Non-Recurring Price'!D9</f>
        <v>0</v>
      </c>
    </row>
    <row r="5" spans="1:2" ht="15" thickBot="1" x14ac:dyDescent="0.4">
      <c r="A5" s="30" t="s">
        <v>37</v>
      </c>
      <c r="B5" s="31">
        <f>SUM(B3:B4)</f>
        <v>0</v>
      </c>
    </row>
    <row r="6" spans="1:2" ht="15" thickBot="1" x14ac:dyDescent="0.4">
      <c r="B6" s="18"/>
    </row>
    <row r="7" spans="1:2" x14ac:dyDescent="0.35">
      <c r="A7" s="27" t="s">
        <v>35</v>
      </c>
      <c r="B7" s="28">
        <f>SUM('Recurring Pricing'!G4)</f>
        <v>0</v>
      </c>
    </row>
    <row r="8" spans="1:2" x14ac:dyDescent="0.35">
      <c r="A8" s="29" t="s">
        <v>36</v>
      </c>
      <c r="B8" s="15">
        <f>'Non-Recurring Price'!D18</f>
        <v>0</v>
      </c>
    </row>
    <row r="9" spans="1:2" ht="15" thickBot="1" x14ac:dyDescent="0.4">
      <c r="A9" s="30" t="s">
        <v>38</v>
      </c>
      <c r="B9" s="31">
        <f>SUM(B7:B8)</f>
        <v>0</v>
      </c>
    </row>
    <row r="10" spans="1:2" ht="15" thickBot="1" x14ac:dyDescent="0.4">
      <c r="B10" s="18"/>
    </row>
    <row r="11" spans="1:2" x14ac:dyDescent="0.35">
      <c r="A11" s="27" t="s">
        <v>35</v>
      </c>
      <c r="B11" s="28">
        <f>SUM('Recurring Pricing'!G5)</f>
        <v>0</v>
      </c>
    </row>
    <row r="12" spans="1:2" x14ac:dyDescent="0.35">
      <c r="A12" s="29" t="s">
        <v>36</v>
      </c>
      <c r="B12" s="15">
        <f>'Non-Recurring Price'!D27</f>
        <v>0</v>
      </c>
    </row>
    <row r="13" spans="1:2" ht="15" thickBot="1" x14ac:dyDescent="0.4">
      <c r="A13" s="30" t="s">
        <v>39</v>
      </c>
      <c r="B13" s="31">
        <f>SUM(B11:B12)</f>
        <v>0</v>
      </c>
    </row>
    <row r="14" spans="1:2" ht="15" thickBot="1" x14ac:dyDescent="0.4">
      <c r="B14" s="18"/>
    </row>
    <row r="15" spans="1:2" x14ac:dyDescent="0.35">
      <c r="A15" s="27" t="s">
        <v>35</v>
      </c>
      <c r="B15" s="28">
        <f>SUM('Recurring Pricing'!G6)</f>
        <v>0</v>
      </c>
    </row>
    <row r="16" spans="1:2" x14ac:dyDescent="0.35">
      <c r="A16" s="29" t="s">
        <v>36</v>
      </c>
      <c r="B16" s="15">
        <f>'Non-Recurring Price'!D36</f>
        <v>0</v>
      </c>
    </row>
    <row r="17" spans="1:2" ht="15" thickBot="1" x14ac:dyDescent="0.4">
      <c r="A17" s="30" t="s">
        <v>40</v>
      </c>
      <c r="B17" s="31">
        <f>SUM(B15:B16)</f>
        <v>0</v>
      </c>
    </row>
    <row r="18" spans="1:2" ht="15" thickBot="1" x14ac:dyDescent="0.4">
      <c r="B18" s="18"/>
    </row>
    <row r="19" spans="1:2" x14ac:dyDescent="0.35">
      <c r="A19" s="27" t="s">
        <v>35</v>
      </c>
      <c r="B19" s="28">
        <f>SUM('Recurring Pricing'!G7)</f>
        <v>0</v>
      </c>
    </row>
    <row r="20" spans="1:2" x14ac:dyDescent="0.35">
      <c r="A20" s="29" t="s">
        <v>36</v>
      </c>
      <c r="B20" s="15">
        <f>'Non-Recurring Price'!D45</f>
        <v>0</v>
      </c>
    </row>
    <row r="21" spans="1:2" ht="15" thickBot="1" x14ac:dyDescent="0.4">
      <c r="A21" s="30" t="s">
        <v>41</v>
      </c>
      <c r="B21" s="31">
        <f>SUM(B19:B20)</f>
        <v>0</v>
      </c>
    </row>
    <row r="22" spans="1:2" x14ac:dyDescent="0.35">
      <c r="B22" s="18"/>
    </row>
    <row r="23" spans="1:2" x14ac:dyDescent="0.35">
      <c r="A23" s="19" t="s">
        <v>44</v>
      </c>
      <c r="B23" s="20">
        <f>B5+B9+B13+B17+B21</f>
        <v>0</v>
      </c>
    </row>
    <row r="24" spans="1:2" x14ac:dyDescent="0.35">
      <c r="B24" s="18"/>
    </row>
    <row r="25" spans="1:2" x14ac:dyDescent="0.35">
      <c r="B25" s="18"/>
    </row>
    <row r="26" spans="1:2" x14ac:dyDescent="0.35">
      <c r="B26" s="18"/>
    </row>
    <row r="27" spans="1:2" x14ac:dyDescent="0.35">
      <c r="B27" s="18"/>
    </row>
    <row r="28" spans="1:2" x14ac:dyDescent="0.35">
      <c r="B28" s="18"/>
    </row>
  </sheetData>
  <sheetProtection algorithmName="SHA-512" hashValue="0mJzGLXZu/HtefxSRaxU8FRsg5RO8APG3IHawWgtO9rPqU6JeE1EwmCKNnkGfq6VKA3FnyrEvG7UyBoH6iTxJg==" saltValue="EQ448/J5Y3VyYR1k5m7yvA==" spinCount="100000" sheet="1" selectLockedCells="1" selectUnlockedCells="1"/>
  <mergeCells count="1">
    <mergeCell ref="A1:B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ECFDocument" ma:contentTypeID="0x0101007CB26F019DEC5C469B13591439EFCC6E00F885F36DDEB7F24C8BDDA38F2590BCC7" ma:contentTypeVersion="3" ma:contentTypeDescription="Create a new document." ma:contentTypeScope="" ma:versionID="78a22f2613cec5264dc39ba530d3d4ab">
  <xsd:schema xmlns:xsd="http://www.w3.org/2001/XMLSchema" xmlns:xs="http://www.w3.org/2001/XMLSchema" xmlns:p="http://schemas.microsoft.com/office/2006/metadata/properties" xmlns:ns1="http://schemas.microsoft.com/sharepoint/v3" xmlns:ns2="ff51ef05-392e-4dfc-ac47-4d3b6fab66d1" targetNamespace="http://schemas.microsoft.com/office/2006/metadata/properties" ma:root="true" ma:fieldsID="769008f787decac4a737b6f616141e90" ns1:_="" ns2:_="">
    <xsd:import namespace="http://schemas.microsoft.com/sharepoint/v3"/>
    <xsd:import namespace="ff51ef05-392e-4dfc-ac47-4d3b6fab66d1"/>
    <xsd:element name="properties">
      <xsd:complexType>
        <xsd:sequence>
          <xsd:element name="documentManagement">
            <xsd:complexType>
              <xsd:all>
                <xsd:element ref="ns2:ECFActionID" minOccurs="0"/>
                <xsd:element ref="ns2:ECFActionParentID" minOccurs="0"/>
                <xsd:element ref="ns2:ECFActionName" minOccurs="0"/>
                <xsd:element ref="ns2:ECFActionNumber" minOccurs="0"/>
                <xsd:element ref="ns2:ECFActionDescription" minOccurs="0"/>
                <xsd:element ref="ns2:ECFActionCreateDate" minOccurs="0"/>
                <xsd:element ref="ns2:ECFActionOfficeID" minOccurs="0"/>
                <xsd:element ref="ns2:ECFActionPrimaryBuyer" minOccurs="0"/>
                <xsd:element ref="ns2:ECFActionBuyers" minOccurs="0"/>
                <xsd:element ref="ns2:ECFActionPrimaryCO" minOccurs="0"/>
                <xsd:element ref="ns2:ECFActionCOs" minOccurs="0"/>
                <xsd:element ref="ns2:ECFActionPrimaryCloseOutCO" minOccurs="0"/>
                <xsd:element ref="ns2:ECFActionPrimaryCloseOutBuyer" minOccurs="0"/>
                <xsd:element ref="ns2:ECFActionIsPartitioned" minOccurs="0"/>
                <xsd:element ref="ns2:ECFActionStatus" minOccurs="0"/>
                <xsd:element ref="ns2:ECFActionPurchaseReqNumbers" minOccurs="0"/>
                <xsd:element ref="ns2:ECFActionSolicitationNumber" minOccurs="0"/>
                <xsd:element ref="ns2:ECFApplicationVersion" minOccurs="0"/>
                <xsd:element ref="ns2:ECFApplicationEnvironment" minOccurs="0"/>
                <xsd:element ref="ns1:_vti_ItemDeclaredRecord" minOccurs="0"/>
                <xsd:element ref="ns1:_vti_ItemHoldRecordStatus"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7" nillable="true" ma:displayName="Declared Record" ma:hidden="true" ma:internalName="_vti_ItemDeclaredRecord" ma:readOnly="true">
      <xsd:simpleType>
        <xsd:restriction base="dms:DateTime"/>
      </xsd:simpleType>
    </xsd:element>
    <xsd:element name="_vti_ItemHoldRecordStatus" ma:index="28" nillable="true" ma:displayName="Hold and Record Status" ma:decimals="0" ma:hidden="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f51ef05-392e-4dfc-ac47-4d3b6fab66d1" elementFormDefault="qualified">
    <xsd:import namespace="http://schemas.microsoft.com/office/2006/documentManagement/types"/>
    <xsd:import namespace="http://schemas.microsoft.com/office/infopath/2007/PartnerControls"/>
    <xsd:element name="ECFActionID" ma:index="8" nillable="true" ma:displayName="Action ID" ma:decimals="0" ma:indexed="true" ma:internalName="ECFActionID">
      <xsd:simpleType>
        <xsd:restriction base="dms:Number"/>
      </xsd:simpleType>
    </xsd:element>
    <xsd:element name="ECFActionParentID" ma:index="9" nillable="true" ma:displayName="Parent Action ID" ma:decimals="0" ma:indexed="true" ma:internalName="ECFActionParentID">
      <xsd:simpleType>
        <xsd:restriction base="dms:Number"/>
      </xsd:simpleType>
    </xsd:element>
    <xsd:element name="ECFActionName" ma:index="10" nillable="true" ma:displayName="Action Name" ma:internalName="ECFActionName">
      <xsd:simpleType>
        <xsd:restriction base="dms:Text"/>
      </xsd:simpleType>
    </xsd:element>
    <xsd:element name="ECFActionNumber" ma:index="11" nillable="true" ma:displayName="Action Number" ma:internalName="ECFActionNumber">
      <xsd:simpleType>
        <xsd:restriction base="dms:Text"/>
      </xsd:simpleType>
    </xsd:element>
    <xsd:element name="ECFActionDescription" ma:index="12" nillable="true" ma:displayName="Action Description" ma:internalName="ECFActionDescription">
      <xsd:simpleType>
        <xsd:restriction base="dms:Note">
          <xsd:maxLength value="255"/>
        </xsd:restriction>
      </xsd:simpleType>
    </xsd:element>
    <xsd:element name="ECFActionCreateDate" ma:index="13" nillable="true" ma:displayName="Action CreateDate" ma:format="DateTime" ma:internalName="ECFActionCreateDate">
      <xsd:simpleType>
        <xsd:restriction base="dms:DateTime"/>
      </xsd:simpleType>
    </xsd:element>
    <xsd:element name="ECFActionOfficeID" ma:index="14" nillable="true" ma:displayName="Action Administration Office" ma:decimals="0" ma:internalName="ECFActionOfficeID">
      <xsd:simpleType>
        <xsd:restriction base="dms:Number"/>
      </xsd:simpleType>
    </xsd:element>
    <xsd:element name="ECFActionPrimaryBuyer" ma:index="15" nillable="true" ma:displayName="Primary Buyer" ma:description="Primary Buyer" ma:SharePointGroup="0" ma:internalName="ECFActionPrimary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Buyers" ma:index="16" nillable="true" ma:displayName="Buyers" ma:description="Buyers" ma:SharePointGroup="0" ma:internalName="ECFActionBuy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O" ma:index="17" nillable="true" ma:displayName="Primary Contracting Officer" ma:description="Primary Contracting Officer" ma:SharePointGroup="0" ma:internalName="ECFActionPrimary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COs" ma:index="18" nillable="true" ma:displayName="Contracting Officers" ma:description="Contracting Officers" ma:SharePointGroup="0" ma:internalName="ECFActionCO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CO" ma:index="19" nillable="true" ma:displayName="Primary Close-Out Contracting Officer" ma:description="Primary Close-Out Contracting Officer" ma:SharePointGroup="0" ma:internalName="ECFActionPrimaryCloseOut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Buyer" ma:index="20" nillable="true" ma:displayName="Primary Close-Out Buyer" ma:description="Primary Close-Out Buyer" ma:SharePointGroup="0" ma:internalName="ECFActionPrimaryCloseOut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IsPartitioned" ma:index="21" nillable="true" ma:displayName="Action Is Partitioned" ma:internalName="ECFActionIsPartitioned">
      <xsd:simpleType>
        <xsd:restriction base="dms:Boolean"/>
      </xsd:simpleType>
    </xsd:element>
    <xsd:element name="ECFActionStatus" ma:index="22" nillable="true" ma:displayName="Action Current Status" ma:description="Current Status of the Action" ma:internalName="ECFActionStatus">
      <xsd:simpleType>
        <xsd:restriction base="dms:Text"/>
      </xsd:simpleType>
    </xsd:element>
    <xsd:element name="ECFActionPurchaseReqNumbers" ma:index="23" nillable="true" ma:displayName="Purchase Requirement Numbers" ma:internalName="ECFActionPurchaseReqNumbers">
      <xsd:simpleType>
        <xsd:restriction base="dms:Text"/>
      </xsd:simpleType>
    </xsd:element>
    <xsd:element name="ECFActionSolicitationNumber" ma:index="24" nillable="true" ma:displayName="Solicitation Numbers" ma:internalName="ECFActionSolicitationNumber">
      <xsd:simpleType>
        <xsd:restriction base="dms:Text"/>
      </xsd:simpleType>
    </xsd:element>
    <xsd:element name="ECFApplicationVersion" ma:index="25" nillable="true" ma:displayName="Application Version" ma:default="5.0.0" ma:internalName="ECFApplicationVersion">
      <xsd:simpleType>
        <xsd:restriction base="dms:Text"/>
      </xsd:simpleType>
    </xsd:element>
    <xsd:element name="ECFApplicationEnvironment" ma:index="26" nillable="true" ma:displayName="Application Environment" ma:default="VanaQA" ma:internalName="ECFApplicationEnvironment">
      <xsd:simpleType>
        <xsd:restriction base="dms:Text"/>
      </xsd:simpleType>
    </xsd:element>
    <xsd:element name="_dlc_DocId" ma:index="29" nillable="true" ma:displayName="Document ID Value" ma:description="The value of the document ID assigned to this item." ma:indexed="true" ma:internalName="_dlc_DocId" ma:readOnly="true">
      <xsd:simpleType>
        <xsd:restriction base="dms:Text"/>
      </xsd:simpleType>
    </xsd:element>
    <xsd:element name="_dlc_DocIdUrl" ma:index="3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ff51ef05-392e-4dfc-ac47-4d3b6fab66d1">335QFUE6QVZ7-918271243-89</_dlc_DocId>
    <_dlc_DocIdUrl xmlns="ff51ef05-392e-4dfc-ac47-4d3b6fab66d1">
      <Url>https://usaf.dps.mil/teams/ktfso13126/1252933/_layouts/15/DocIdRedir.aspx?ID=335QFUE6QVZ7-918271243-89</Url>
      <Description>335QFUE6QVZ7-918271243-89</Description>
    </_dlc_DocIdUrl>
    <ECFActionParentID xmlns="ff51ef05-392e-4dfc-ac47-4d3b6fab66d1" xsi:nil="true"/>
    <ECFActionOfficeID xmlns="ff51ef05-392e-4dfc-ac47-4d3b6fab66d1" xsi:nil="true"/>
    <ECFActionNumber xmlns="ff51ef05-392e-4dfc-ac47-4d3b6fab66d1" xsi:nil="true"/>
    <ECFActionID xmlns="ff51ef05-392e-4dfc-ac47-4d3b6fab66d1" xsi:nil="true"/>
    <ECFActionCreateDate xmlns="ff51ef05-392e-4dfc-ac47-4d3b6fab66d1" xsi:nil="true"/>
    <ECFActionDescription xmlns="ff51ef05-392e-4dfc-ac47-4d3b6fab66d1" xsi:nil="true"/>
    <ECFActionPrimaryCloseOutBuyer xmlns="ff51ef05-392e-4dfc-ac47-4d3b6fab66d1">
      <UserInfo>
        <DisplayName/>
        <AccountId xsi:nil="true"/>
        <AccountType/>
      </UserInfo>
    </ECFActionPrimaryCloseOutBuyer>
    <ECFActionPrimaryCO xmlns="ff51ef05-392e-4dfc-ac47-4d3b6fab66d1">
      <UserInfo>
        <DisplayName/>
        <AccountId xsi:nil="true"/>
        <AccountType/>
      </UserInfo>
    </ECFActionPrimaryCO>
    <ECFActionPurchaseReqNumbers xmlns="ff51ef05-392e-4dfc-ac47-4d3b6fab66d1" xsi:nil="true"/>
    <ECFActionName xmlns="ff51ef05-392e-4dfc-ac47-4d3b6fab66d1" xsi:nil="true"/>
    <ECFActionPrimaryBuyer xmlns="ff51ef05-392e-4dfc-ac47-4d3b6fab66d1">
      <UserInfo>
        <DisplayName/>
        <AccountId xsi:nil="true"/>
        <AccountType/>
      </UserInfo>
    </ECFActionPrimaryBuyer>
    <ECFActionIsPartitioned xmlns="ff51ef05-392e-4dfc-ac47-4d3b6fab66d1" xsi:nil="true"/>
    <ECFActionCOs xmlns="ff51ef05-392e-4dfc-ac47-4d3b6fab66d1">
      <UserInfo>
        <DisplayName/>
        <AccountId xsi:nil="true"/>
        <AccountType/>
      </UserInfo>
    </ECFActionCOs>
    <ECFApplicationEnvironment xmlns="ff51ef05-392e-4dfc-ac47-4d3b6fab66d1">VanaQA</ECFApplicationEnvironment>
    <ECFActionSolicitationNumber xmlns="ff51ef05-392e-4dfc-ac47-4d3b6fab66d1" xsi:nil="true"/>
    <ECFActionBuyers xmlns="ff51ef05-392e-4dfc-ac47-4d3b6fab66d1">
      <UserInfo>
        <DisplayName/>
        <AccountId xsi:nil="true"/>
        <AccountType/>
      </UserInfo>
    </ECFActionBuyers>
    <ECFActionStatus xmlns="ff51ef05-392e-4dfc-ac47-4d3b6fab66d1" xsi:nil="true"/>
    <ECFApplicationVersion xmlns="ff51ef05-392e-4dfc-ac47-4d3b6fab66d1">5.0.0</ECFApplicationVersion>
    <ECFActionPrimaryCloseOutCO xmlns="ff51ef05-392e-4dfc-ac47-4d3b6fab66d1">
      <UserInfo>
        <DisplayName/>
        <AccountId xsi:nil="true"/>
        <AccountType/>
      </UserInfo>
    </ECFActionPrimaryCloseOutCO>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5C8A4A-6132-49C3-AC54-3BA3F2375361}">
  <ds:schemaRefs>
    <ds:schemaRef ds:uri="http://schemas.microsoft.com/sharepoint/events"/>
  </ds:schemaRefs>
</ds:datastoreItem>
</file>

<file path=customXml/itemProps2.xml><?xml version="1.0" encoding="utf-8"?>
<ds:datastoreItem xmlns:ds="http://schemas.openxmlformats.org/officeDocument/2006/customXml" ds:itemID="{C4A8A991-07CC-49FF-A92E-D2E5E03D48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f51ef05-392e-4dfc-ac47-4d3b6fab66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039C73E-1A0E-41F1-A70B-1F0FCA462104}">
  <ds:schemaRefs>
    <ds:schemaRef ds:uri="ff51ef05-392e-4dfc-ac47-4d3b6fab66d1"/>
    <ds:schemaRef ds:uri="http://schemas.microsoft.com/sharepoint/v3"/>
    <ds:schemaRef ds:uri="http://purl.org/dc/terms/"/>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http://www.w3.org/XML/1998/namespace"/>
    <ds:schemaRef ds:uri="http://schemas.microsoft.com/office/2006/metadata/properties"/>
    <ds:schemaRef ds:uri="http://purl.org/dc/elements/1.1/"/>
  </ds:schemaRefs>
</ds:datastoreItem>
</file>

<file path=customXml/itemProps4.xml><?xml version="1.0" encoding="utf-8"?>
<ds:datastoreItem xmlns:ds="http://schemas.openxmlformats.org/officeDocument/2006/customXml" ds:itemID="{6D08442B-8CFA-43BF-A00D-A5D5D0B481A0}">
  <ds:schemaRefs>
    <ds:schemaRef ds:uri="http://schemas.microsoft.com/sharepoint/v3/contenttype/forms"/>
  </ds:schemaRefs>
</ds:datastoreItem>
</file>

<file path=docMetadata/LabelInfo.xml><?xml version="1.0" encoding="utf-8"?>
<clbl:labelList xmlns:clbl="http://schemas.microsoft.com/office/2020/mipLabelMetadata">
  <clbl:label id="{1bd84cd2-a803-4625-aaf7-424aaac7782e}" enabled="1" method="Standar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Recurring Pricing</vt:lpstr>
      <vt:lpstr>Non-Recurring Price</vt:lpstr>
      <vt:lpstr>Total Price</vt:lpstr>
    </vt:vector>
  </TitlesOfParts>
  <Manager/>
  <Company>U.S. Air Force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CREWS, ROGER D CIV USAF AMC 628 CONS/PKA</dc:creator>
  <cp:keywords/>
  <dc:description/>
  <cp:lastModifiedBy>WOODS, STEPHANIE R CIV USAF AMC 628 CONS/PKA</cp:lastModifiedBy>
  <cp:revision/>
  <dcterms:created xsi:type="dcterms:W3CDTF">2021-06-22T17:49:13Z</dcterms:created>
  <dcterms:modified xsi:type="dcterms:W3CDTF">2026-05-06T12:20:48Z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0x0101007CB26F019DEC5C469B13591439EFCC6E00F885F36DDEB7F24C8BDDA38F2590BCC7</vt:lpwstr>
  </property>
  <property fmtid="{D5CDD505-2E9C-101B-9397-08002B2CF9AE}" pid="3" name="_dlc_DocIdItemGuid">
    <vt:lpwstr>27bccb59-0d7d-420e-b054-485f70dad28b</vt:lpwstr>
  </property>
  <property fmtid="{D5CDD505-2E9C-101B-9397-08002B2CF9AE}" pid="4" name="ecm_ItemDeleteBlockHolders">
    <vt:lpwstr/>
  </property>
  <property fmtid="{D5CDD505-2E9C-101B-9397-08002B2CF9AE}" pid="5" name="IconOverlay">
    <vt:lpwstr/>
  </property>
  <property fmtid="{D5CDD505-2E9C-101B-9397-08002B2CF9AE}" pid="6" name="ecm_RecordRestrictions">
    <vt:lpwstr/>
  </property>
  <property fmtid="{D5CDD505-2E9C-101B-9397-08002B2CF9AE}" pid="7" name="ecm_ItemLockHolders">
    <vt:lpwstr/>
  </property>
  <property fmtid="{D5CDD505-2E9C-101B-9397-08002B2CF9AE}" pid="8" name="MediaServiceImageTags">
    <vt:lpwstr/>
  </property>
</Properties>
</file>