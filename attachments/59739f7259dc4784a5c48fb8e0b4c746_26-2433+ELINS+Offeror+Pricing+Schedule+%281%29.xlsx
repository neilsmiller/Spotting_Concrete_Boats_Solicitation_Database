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showInkAnnotation="0"/>
  <mc:AlternateContent xmlns:mc="http://schemas.openxmlformats.org/markup-compatibility/2006">
    <mc:Choice Requires="x15">
      <x15ac:absPath xmlns:x15ac="http://schemas.microsoft.com/office/spreadsheetml/2010/11/ac" url="C:\Users\shaunah-ann.pilakows\OneDrive - US Navy-flankspeed\SW Personal Files\Shaunah\26-R-2433 FACILITY SUPPORT FX CONTRACT\1 FINAL\IGE\"/>
    </mc:Choice>
  </mc:AlternateContent>
  <xr:revisionPtr revIDLastSave="0" documentId="13_ncr:1_{25DD52C7-CB01-46DA-997C-745C69828E4D}" xr6:coauthVersionLast="47" xr6:coauthVersionMax="47" xr10:uidLastSave="{00000000-0000-0000-0000-000000000000}"/>
  <bookViews>
    <workbookView xWindow="-57720" yWindow="-120" windowWidth="29040" windowHeight="15720" tabRatio="678" xr2:uid="{00000000-000D-0000-FFFF-FFFF00000000}"/>
  </bookViews>
  <sheets>
    <sheet name="Base Year - Recurring" sheetId="1" r:id="rId1"/>
    <sheet name="Base Year - Non-Recurring" sheetId="7" r:id="rId2"/>
    <sheet name="Option Year 1- Recurring" sheetId="12" r:id="rId3"/>
    <sheet name="Option Year 1 -Non-Recurring" sheetId="8" r:id="rId4"/>
    <sheet name="Option Year 2- Recurring" sheetId="13" r:id="rId5"/>
    <sheet name="Option Year 2 -Non-Recurring" sheetId="9" r:id="rId6"/>
    <sheet name="Option Year 3- Recurring" sheetId="14" r:id="rId7"/>
    <sheet name="Option Year 3 -Non-Recurring" sheetId="10" r:id="rId8"/>
    <sheet name="Option Year 4- Recurring" sheetId="15" r:id="rId9"/>
    <sheet name="Option Year 4 -Non-Recurring" sheetId="11" r:id="rId10"/>
    <sheet name="Option to Extend - Recurring" sheetId="16" r:id="rId11"/>
    <sheet name="Option to Extend -Non-Recurring" sheetId="17" r:id="rId12"/>
    <sheet name="NAVFAC UOM" sheetId="21" r:id="rId13"/>
  </sheets>
  <definedNames>
    <definedName name="_xlnm.Print_Area" localSheetId="0">'Base Year - Recurring'!$A$1:$G$21</definedName>
    <definedName name="_xlnm.Print_Area" localSheetId="2">'Option Year 1- Recurring'!$A$1:$G$21</definedName>
    <definedName name="_xlnm.Print_Area" localSheetId="4">'Option Year 2- Recurring'!$A$1:$G$21</definedName>
    <definedName name="_xlnm.Print_Area" localSheetId="6">'Option Year 3- Recurring'!$A$1:$G$21</definedName>
    <definedName name="_xlnm.Print_Area" localSheetId="8">'Option Year 4- Recurring'!$A$1:$G$21</definedName>
    <definedName name="_xlnm.Print_Titles" localSheetId="1">'Base Year - Non-Recurring'!$1:$9</definedName>
    <definedName name="_xlnm.Print_Titles" localSheetId="3">'Option Year 1 -Non-Recurring'!$1:$9</definedName>
    <definedName name="_xlnm.Print_Titles" localSheetId="5">'Option Year 2 -Non-Recurring'!$1:$9</definedName>
    <definedName name="_xlnm.Print_Titles" localSheetId="7">'Option Year 3 -Non-Recurring'!$1:$9</definedName>
    <definedName name="_xlnm.Print_Titles" localSheetId="9">'Option Year 4 -Non-Recurring'!$1:$9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7" l="1"/>
  <c r="G36" i="17"/>
  <c r="F35" i="17"/>
  <c r="F33" i="17"/>
  <c r="G33" i="17" s="1"/>
  <c r="F31" i="17"/>
  <c r="G31" i="17" s="1"/>
  <c r="F30" i="17"/>
  <c r="G30" i="17" s="1"/>
  <c r="F29" i="17"/>
  <c r="G29" i="17" s="1"/>
  <c r="F28" i="17"/>
  <c r="G28" i="17" s="1"/>
  <c r="F27" i="17"/>
  <c r="G27" i="17" s="1"/>
  <c r="M26" i="17"/>
  <c r="O26" i="17" s="1"/>
  <c r="L26" i="17"/>
  <c r="N26" i="17" s="1"/>
  <c r="F26" i="17"/>
  <c r="G26" i="17" s="1"/>
  <c r="M25" i="17"/>
  <c r="O25" i="17" s="1"/>
  <c r="L25" i="17"/>
  <c r="N25" i="17" s="1"/>
  <c r="F25" i="17"/>
  <c r="G25" i="17" s="1"/>
  <c r="F24" i="17"/>
  <c r="G24" i="17" s="1"/>
  <c r="F23" i="17"/>
  <c r="G23" i="17" s="1"/>
  <c r="F22" i="17"/>
  <c r="G22" i="17" s="1"/>
  <c r="F21" i="17"/>
  <c r="G21" i="17" s="1"/>
  <c r="F20" i="17"/>
  <c r="J20" i="17" s="1"/>
  <c r="F19" i="17"/>
  <c r="J19" i="17" s="1"/>
  <c r="F18" i="17"/>
  <c r="G18" i="17" s="1"/>
  <c r="M17" i="17"/>
  <c r="O17" i="17" s="1"/>
  <c r="L17" i="17"/>
  <c r="N17" i="17" s="1"/>
  <c r="F17" i="17"/>
  <c r="G17" i="17" s="1"/>
  <c r="M16" i="17"/>
  <c r="O16" i="17" s="1"/>
  <c r="L16" i="17"/>
  <c r="N16" i="17" s="1"/>
  <c r="F16" i="17"/>
  <c r="G16" i="17" s="1"/>
  <c r="F15" i="17"/>
  <c r="G15" i="17" s="1"/>
  <c r="F13" i="17"/>
  <c r="G13" i="17" s="1"/>
  <c r="F12" i="17"/>
  <c r="G12" i="17" s="1"/>
  <c r="F11" i="17"/>
  <c r="G11" i="17" s="1"/>
  <c r="E19" i="16"/>
  <c r="F19" i="16" s="1"/>
  <c r="F20" i="16" s="1"/>
  <c r="E16" i="16"/>
  <c r="F16" i="16" s="1"/>
  <c r="F17" i="16" s="1"/>
  <c r="E13" i="16"/>
  <c r="F13" i="16" s="1"/>
  <c r="G36" i="8"/>
  <c r="G36" i="9"/>
  <c r="G36" i="10"/>
  <c r="G36" i="11"/>
  <c r="F14" i="16" l="1"/>
  <c r="F21" i="16" s="1"/>
  <c r="N28" i="17"/>
  <c r="L19" i="17"/>
  <c r="K19" i="17"/>
  <c r="L20" i="17"/>
  <c r="K20" i="17"/>
  <c r="G19" i="17"/>
  <c r="G37" i="17" s="1"/>
  <c r="G20" i="17"/>
  <c r="E19" i="15"/>
  <c r="F19" i="15" s="1"/>
  <c r="F20" i="15" s="1"/>
  <c r="E16" i="15"/>
  <c r="F16" i="15" s="1"/>
  <c r="F17" i="15" s="1"/>
  <c r="E13" i="15"/>
  <c r="F13" i="15" s="1"/>
  <c r="F14" i="15" s="1"/>
  <c r="F21" i="15" s="1"/>
  <c r="E19" i="14"/>
  <c r="F19" i="14" s="1"/>
  <c r="F20" i="14" s="1"/>
  <c r="E16" i="14"/>
  <c r="F16" i="14" s="1"/>
  <c r="F17" i="14" s="1"/>
  <c r="E13" i="14"/>
  <c r="F13" i="14" s="1"/>
  <c r="F14" i="14" s="1"/>
  <c r="E19" i="13"/>
  <c r="F19" i="13" s="1"/>
  <c r="F20" i="13" s="1"/>
  <c r="E16" i="13"/>
  <c r="F16" i="13" s="1"/>
  <c r="F17" i="13" s="1"/>
  <c r="E13" i="13"/>
  <c r="F13" i="13" s="1"/>
  <c r="F14" i="13" s="1"/>
  <c r="F21" i="13" s="1"/>
  <c r="E19" i="12"/>
  <c r="F19" i="12" s="1"/>
  <c r="F20" i="12" s="1"/>
  <c r="E16" i="12"/>
  <c r="F16" i="12" s="1"/>
  <c r="F17" i="12" s="1"/>
  <c r="E13" i="12"/>
  <c r="F13" i="12" s="1"/>
  <c r="F14" i="12" s="1"/>
  <c r="F21" i="12" s="1"/>
  <c r="F21" i="14" l="1"/>
  <c r="F35" i="7"/>
  <c r="G35" i="7" s="1"/>
  <c r="F35" i="8"/>
  <c r="G35" i="8" s="1"/>
  <c r="F35" i="9"/>
  <c r="G35" i="9" s="1"/>
  <c r="F35" i="10"/>
  <c r="G35" i="10" s="1"/>
  <c r="F35" i="11"/>
  <c r="G35" i="11" s="1"/>
  <c r="F33" i="11" l="1"/>
  <c r="G33" i="11" s="1"/>
  <c r="F31" i="11"/>
  <c r="G31" i="11" s="1"/>
  <c r="F30" i="11"/>
  <c r="G30" i="11" s="1"/>
  <c r="F29" i="11"/>
  <c r="G29" i="11" s="1"/>
  <c r="F28" i="11"/>
  <c r="G28" i="11" s="1"/>
  <c r="F27" i="11"/>
  <c r="G27" i="11" s="1"/>
  <c r="F26" i="11"/>
  <c r="G26" i="11" s="1"/>
  <c r="F25" i="11"/>
  <c r="G25" i="11" s="1"/>
  <c r="F24" i="11"/>
  <c r="G24" i="11" s="1"/>
  <c r="F23" i="11"/>
  <c r="G23" i="11" s="1"/>
  <c r="F22" i="11"/>
  <c r="G22" i="11" s="1"/>
  <c r="F21" i="11"/>
  <c r="G21" i="11" s="1"/>
  <c r="F20" i="11"/>
  <c r="G20" i="11" s="1"/>
  <c r="F19" i="11"/>
  <c r="G19" i="11" s="1"/>
  <c r="F18" i="11"/>
  <c r="G18" i="11" s="1"/>
  <c r="F17" i="11"/>
  <c r="G17" i="11" s="1"/>
  <c r="F16" i="11"/>
  <c r="G16" i="11" s="1"/>
  <c r="F15" i="11"/>
  <c r="G15" i="11" s="1"/>
  <c r="F13" i="11"/>
  <c r="G13" i="11" s="1"/>
  <c r="F12" i="11"/>
  <c r="G12" i="11" s="1"/>
  <c r="F11" i="11"/>
  <c r="G11" i="11" s="1"/>
  <c r="F33" i="10"/>
  <c r="G33" i="10" s="1"/>
  <c r="F31" i="10"/>
  <c r="G31" i="10" s="1"/>
  <c r="F30" i="10"/>
  <c r="G30" i="10" s="1"/>
  <c r="F29" i="10"/>
  <c r="G29" i="10" s="1"/>
  <c r="F28" i="10"/>
  <c r="G28" i="10" s="1"/>
  <c r="F27" i="10"/>
  <c r="G27" i="10" s="1"/>
  <c r="F26" i="10"/>
  <c r="G26" i="10" s="1"/>
  <c r="F25" i="10"/>
  <c r="G25" i="10" s="1"/>
  <c r="F24" i="10"/>
  <c r="G24" i="10" s="1"/>
  <c r="F23" i="10"/>
  <c r="G23" i="10" s="1"/>
  <c r="F22" i="10"/>
  <c r="G22" i="10" s="1"/>
  <c r="F21" i="10"/>
  <c r="G21" i="10" s="1"/>
  <c r="F20" i="10"/>
  <c r="G20" i="10" s="1"/>
  <c r="F19" i="10"/>
  <c r="G19" i="10" s="1"/>
  <c r="F18" i="10"/>
  <c r="G18" i="10" s="1"/>
  <c r="F17" i="10"/>
  <c r="G17" i="10" s="1"/>
  <c r="F16" i="10"/>
  <c r="G16" i="10" s="1"/>
  <c r="F15" i="10"/>
  <c r="G15" i="10" s="1"/>
  <c r="F13" i="10"/>
  <c r="G13" i="10" s="1"/>
  <c r="F12" i="10"/>
  <c r="G12" i="10" s="1"/>
  <c r="F11" i="10"/>
  <c r="G11" i="10" s="1"/>
  <c r="F33" i="9"/>
  <c r="G33" i="9" s="1"/>
  <c r="F31" i="9"/>
  <c r="G31" i="9" s="1"/>
  <c r="F30" i="9"/>
  <c r="G30" i="9" s="1"/>
  <c r="F29" i="9"/>
  <c r="G29" i="9" s="1"/>
  <c r="F28" i="9"/>
  <c r="G28" i="9" s="1"/>
  <c r="F27" i="9"/>
  <c r="G27" i="9" s="1"/>
  <c r="F26" i="9"/>
  <c r="G26" i="9" s="1"/>
  <c r="F25" i="9"/>
  <c r="G25" i="9" s="1"/>
  <c r="F24" i="9"/>
  <c r="G24" i="9" s="1"/>
  <c r="F23" i="9"/>
  <c r="G23" i="9" s="1"/>
  <c r="F22" i="9"/>
  <c r="G22" i="9" s="1"/>
  <c r="F21" i="9"/>
  <c r="G21" i="9" s="1"/>
  <c r="F20" i="9"/>
  <c r="G20" i="9" s="1"/>
  <c r="F19" i="9"/>
  <c r="G19" i="9" s="1"/>
  <c r="F18" i="9"/>
  <c r="G18" i="9" s="1"/>
  <c r="F17" i="9"/>
  <c r="G17" i="9" s="1"/>
  <c r="F16" i="9"/>
  <c r="G16" i="9" s="1"/>
  <c r="F15" i="9"/>
  <c r="G15" i="9" s="1"/>
  <c r="F13" i="9"/>
  <c r="G13" i="9" s="1"/>
  <c r="F12" i="9"/>
  <c r="G12" i="9" s="1"/>
  <c r="F11" i="9"/>
  <c r="G11" i="9" s="1"/>
  <c r="F33" i="8"/>
  <c r="G33" i="8" s="1"/>
  <c r="F31" i="8"/>
  <c r="G31" i="8" s="1"/>
  <c r="F30" i="8"/>
  <c r="G30" i="8" s="1"/>
  <c r="F29" i="8"/>
  <c r="G29" i="8" s="1"/>
  <c r="F28" i="8"/>
  <c r="G28" i="8" s="1"/>
  <c r="F27" i="8"/>
  <c r="G27" i="8" s="1"/>
  <c r="F26" i="8"/>
  <c r="G26" i="8" s="1"/>
  <c r="F25" i="8"/>
  <c r="G25" i="8" s="1"/>
  <c r="F24" i="8"/>
  <c r="G24" i="8" s="1"/>
  <c r="F23" i="8"/>
  <c r="G23" i="8" s="1"/>
  <c r="F22" i="8"/>
  <c r="G22" i="8" s="1"/>
  <c r="F21" i="8"/>
  <c r="G21" i="8" s="1"/>
  <c r="F20" i="8"/>
  <c r="G20" i="8" s="1"/>
  <c r="F19" i="8"/>
  <c r="G19" i="8" s="1"/>
  <c r="F18" i="8"/>
  <c r="G18" i="8" s="1"/>
  <c r="F17" i="8"/>
  <c r="G17" i="8" s="1"/>
  <c r="F16" i="8"/>
  <c r="G16" i="8" s="1"/>
  <c r="F15" i="8"/>
  <c r="G15" i="8" s="1"/>
  <c r="F13" i="8"/>
  <c r="G13" i="8" s="1"/>
  <c r="F12" i="8"/>
  <c r="G12" i="8" s="1"/>
  <c r="F11" i="8"/>
  <c r="G11" i="8" s="1"/>
  <c r="F33" i="7"/>
  <c r="G33" i="7" s="1"/>
  <c r="F31" i="7"/>
  <c r="G31" i="7" s="1"/>
  <c r="F30" i="7"/>
  <c r="G30" i="7" s="1"/>
  <c r="F29" i="7"/>
  <c r="G29" i="7" s="1"/>
  <c r="F28" i="7"/>
  <c r="G28" i="7" s="1"/>
  <c r="F27" i="7"/>
  <c r="G27" i="7" s="1"/>
  <c r="F26" i="7"/>
  <c r="G26" i="7" s="1"/>
  <c r="F25" i="7"/>
  <c r="G25" i="7" s="1"/>
  <c r="F24" i="7"/>
  <c r="G24" i="7" s="1"/>
  <c r="F23" i="7"/>
  <c r="G23" i="7" s="1"/>
  <c r="F22" i="7"/>
  <c r="G22" i="7" s="1"/>
  <c r="F21" i="7"/>
  <c r="G21" i="7" s="1"/>
  <c r="F20" i="7"/>
  <c r="G20" i="7" s="1"/>
  <c r="F19" i="7"/>
  <c r="G19" i="7" s="1"/>
  <c r="F18" i="7"/>
  <c r="G18" i="7" s="1"/>
  <c r="F17" i="7"/>
  <c r="G17" i="7" s="1"/>
  <c r="F16" i="7"/>
  <c r="G16" i="7" s="1"/>
  <c r="F15" i="7"/>
  <c r="G15" i="7" s="1"/>
  <c r="F13" i="7"/>
  <c r="G13" i="7" s="1"/>
  <c r="F12" i="7"/>
  <c r="G12" i="7" s="1"/>
  <c r="F11" i="7"/>
  <c r="G11" i="7" s="1"/>
  <c r="E19" i="1"/>
  <c r="F19" i="1" s="1"/>
  <c r="F20" i="1" s="1"/>
  <c r="E16" i="1"/>
  <c r="F16" i="1" s="1"/>
  <c r="F17" i="1" s="1"/>
  <c r="E13" i="1"/>
  <c r="F13" i="1" s="1"/>
  <c r="F14" i="1" s="1"/>
  <c r="F21" i="1" s="1"/>
  <c r="G37" i="11" l="1"/>
  <c r="G37" i="10"/>
  <c r="G37" i="8"/>
  <c r="G37" i="7"/>
  <c r="G37" i="9"/>
  <c r="M26" i="11"/>
  <c r="O26" i="11" s="1"/>
  <c r="L26" i="11"/>
  <c r="N26" i="11" s="1"/>
  <c r="N28" i="11" s="1"/>
  <c r="M25" i="11"/>
  <c r="O25" i="11" s="1"/>
  <c r="L25" i="11"/>
  <c r="N25" i="11" s="1"/>
  <c r="J20" i="11"/>
  <c r="J19" i="11"/>
  <c r="L19" i="11" s="1"/>
  <c r="M17" i="11"/>
  <c r="O17" i="11" s="1"/>
  <c r="L17" i="11"/>
  <c r="N17" i="11" s="1"/>
  <c r="M16" i="11"/>
  <c r="O16" i="11" s="1"/>
  <c r="L16" i="11"/>
  <c r="N16" i="11" s="1"/>
  <c r="M26" i="10"/>
  <c r="O26" i="10" s="1"/>
  <c r="L26" i="10"/>
  <c r="N26" i="10" s="1"/>
  <c r="N28" i="10" s="1"/>
  <c r="M25" i="10"/>
  <c r="O25" i="10" s="1"/>
  <c r="L25" i="10"/>
  <c r="N25" i="10" s="1"/>
  <c r="J20" i="10"/>
  <c r="J19" i="10"/>
  <c r="L19" i="10" s="1"/>
  <c r="M17" i="10"/>
  <c r="O17" i="10" s="1"/>
  <c r="L17" i="10"/>
  <c r="N17" i="10" s="1"/>
  <c r="M16" i="10"/>
  <c r="O16" i="10" s="1"/>
  <c r="L16" i="10"/>
  <c r="N16" i="10" s="1"/>
  <c r="M26" i="8"/>
  <c r="O26" i="8" s="1"/>
  <c r="L26" i="8"/>
  <c r="N26" i="8" s="1"/>
  <c r="N28" i="8" s="1"/>
  <c r="M25" i="8"/>
  <c r="O25" i="8" s="1"/>
  <c r="L25" i="8"/>
  <c r="N25" i="8" s="1"/>
  <c r="J20" i="8"/>
  <c r="J19" i="8"/>
  <c r="M17" i="8"/>
  <c r="O17" i="8" s="1"/>
  <c r="L17" i="8"/>
  <c r="N17" i="8" s="1"/>
  <c r="M16" i="8"/>
  <c r="O16" i="8" s="1"/>
  <c r="L16" i="8"/>
  <c r="N16" i="8" s="1"/>
  <c r="N26" i="7"/>
  <c r="P26" i="7" s="1"/>
  <c r="M26" i="7"/>
  <c r="O26" i="7" s="1"/>
  <c r="N25" i="7"/>
  <c r="P25" i="7" s="1"/>
  <c r="M25" i="7"/>
  <c r="O25" i="7" s="1"/>
  <c r="K20" i="7"/>
  <c r="K19" i="7"/>
  <c r="N17" i="7"/>
  <c r="P17" i="7" s="1"/>
  <c r="M17" i="7"/>
  <c r="O17" i="7" s="1"/>
  <c r="N16" i="7"/>
  <c r="P16" i="7" s="1"/>
  <c r="M16" i="7"/>
  <c r="O16" i="7" s="1"/>
  <c r="K20" i="11" l="1"/>
  <c r="L20" i="11"/>
  <c r="K19" i="11"/>
  <c r="K20" i="10"/>
  <c r="L20" i="10"/>
  <c r="K19" i="10"/>
  <c r="K19" i="8"/>
  <c r="L19" i="8"/>
  <c r="L20" i="8"/>
  <c r="K20" i="8"/>
  <c r="L19" i="7"/>
  <c r="M19" i="7"/>
  <c r="M20" i="7"/>
  <c r="L20" i="7"/>
  <c r="O28" i="7"/>
</calcChain>
</file>

<file path=xl/sharedStrings.xml><?xml version="1.0" encoding="utf-8"?>
<sst xmlns="http://schemas.openxmlformats.org/spreadsheetml/2006/main" count="1223" uniqueCount="593">
  <si>
    <t>EXHIBIT LINE ITEM NUMBERS</t>
  </si>
  <si>
    <t>EXHIBIT A - CLIN 9000</t>
  </si>
  <si>
    <t>ELIN /Sub ELIN</t>
  </si>
  <si>
    <t>Description</t>
  </si>
  <si>
    <t>Quantity</t>
  </si>
  <si>
    <t>Unit of Issue</t>
  </si>
  <si>
    <t>Unit Price</t>
  </si>
  <si>
    <t>A001</t>
  </si>
  <si>
    <t>1503010 - Custodial</t>
  </si>
  <si>
    <t>MO</t>
  </si>
  <si>
    <t>1503020 - Pest Control</t>
  </si>
  <si>
    <t>Custodial Subtotal</t>
  </si>
  <si>
    <t>Pest Control Subtotal</t>
  </si>
  <si>
    <t>1503050 - Grounds Maintenance</t>
  </si>
  <si>
    <t>Grounds Maintenance Subtotal</t>
  </si>
  <si>
    <t>EXHIBIT B - CLIN 9001</t>
  </si>
  <si>
    <t>B001</t>
  </si>
  <si>
    <t>C001</t>
  </si>
  <si>
    <t>EXHIBIT C - CLIN 9002</t>
  </si>
  <si>
    <t>EXHIBIT D - CLIN 9003</t>
  </si>
  <si>
    <t>D001</t>
  </si>
  <si>
    <t>EXHIBIT E - CLIN 9004</t>
  </si>
  <si>
    <t>E001</t>
  </si>
  <si>
    <t>Total Amount</t>
  </si>
  <si>
    <t>ELIN</t>
  </si>
  <si>
    <t xml:space="preserve">Product Name </t>
  </si>
  <si>
    <t>Description Extended</t>
  </si>
  <si>
    <t>Estimated Quantity</t>
  </si>
  <si>
    <t>Extended Price</t>
  </si>
  <si>
    <t>A701</t>
  </si>
  <si>
    <t>Spray Cleaning and Buffing</t>
  </si>
  <si>
    <t>The Contractor shall spray and buff floors to ensure that floors are clean and present a uniform gloss finish, This service includes the floors swept prior to spraying and buffing floors.</t>
  </si>
  <si>
    <t>SF</t>
  </si>
  <si>
    <t>A702</t>
  </si>
  <si>
    <t xml:space="preserve">Carpet and Rug Deep Cleaning </t>
  </si>
  <si>
    <t xml:space="preserve">The Contractor shall deep clean carpets and rugs to ensure that floors are clean and sightly.  Acceptable methods for deep cleaning include shampooing, chemical extraction, steam cleaning, and other similar deep cleaning processes. </t>
  </si>
  <si>
    <t>A703</t>
  </si>
  <si>
    <t>Restroom Cleaning and Servicing</t>
  </si>
  <si>
    <t>Restrooms are clean, sanitary and sightly.  All restroom surfaces are cleaned, sanitized and deodorized. Restroom supplies are completely restocked and all dispenser are in working condition.</t>
  </si>
  <si>
    <t>EA</t>
  </si>
  <si>
    <t>A704</t>
  </si>
  <si>
    <t>Infestation Bee, Wasp, Hornet, and Stinging Arthropod Control</t>
  </si>
  <si>
    <t>EA Infestation</t>
  </si>
  <si>
    <t>x</t>
  </si>
  <si>
    <t>x/2</t>
  </si>
  <si>
    <t>x/4</t>
  </si>
  <si>
    <t>50%+</t>
  </si>
  <si>
    <t>25%+</t>
  </si>
  <si>
    <t>A705</t>
  </si>
  <si>
    <t>Filth Fly Control</t>
  </si>
  <si>
    <t>A706</t>
  </si>
  <si>
    <t>Fire Ant Control</t>
  </si>
  <si>
    <t>Indoors: 1,000 SF
Outdoors: 0.25 acre</t>
  </si>
  <si>
    <t>A707</t>
  </si>
  <si>
    <t>Flea Control In and Around Buildings and Structures</t>
  </si>
  <si>
    <t>1,000 SF</t>
  </si>
  <si>
    <t>GE</t>
  </si>
  <si>
    <t>50%GE</t>
  </si>
  <si>
    <t>25%GE</t>
  </si>
  <si>
    <t>REV4</t>
  </si>
  <si>
    <t>REV5</t>
  </si>
  <si>
    <t>A708</t>
  </si>
  <si>
    <t>Larval and Pupal Mosquito Control</t>
  </si>
  <si>
    <t>A709</t>
  </si>
  <si>
    <t>Adult Mosquito Control</t>
  </si>
  <si>
    <t>Road Mile</t>
  </si>
  <si>
    <t>A710</t>
  </si>
  <si>
    <t>Commensal Rodents In and Around Buildings and Structures</t>
  </si>
  <si>
    <t>A711</t>
  </si>
  <si>
    <t xml:space="preserve">Industrial, Sidewalk, Substation, Vault, and Right-Of-Way Weed Control </t>
  </si>
  <si>
    <t>A712</t>
  </si>
  <si>
    <t xml:space="preserve">Stored Product Pest Control (Arthropods) </t>
  </si>
  <si>
    <t>A713</t>
  </si>
  <si>
    <t>Survey for Termite and Wood Destroying Organisms</t>
  </si>
  <si>
    <t>A714</t>
  </si>
  <si>
    <t>Subterranean Termite Control</t>
  </si>
  <si>
    <t>100 LF</t>
  </si>
  <si>
    <t>A715</t>
  </si>
  <si>
    <t>Other Wood Destroying Organism Control</t>
  </si>
  <si>
    <t>1000 SF</t>
  </si>
  <si>
    <t>A716</t>
  </si>
  <si>
    <t>Tick Survey and Control Outdoors</t>
  </si>
  <si>
    <t>5,000 SF</t>
  </si>
  <si>
    <t>A717</t>
  </si>
  <si>
    <t>Pest Vertebrate Control</t>
  </si>
  <si>
    <t>A718</t>
  </si>
  <si>
    <t>Ant Control</t>
  </si>
  <si>
    <t>A719</t>
  </si>
  <si>
    <t>Cockroach Control</t>
  </si>
  <si>
    <t>A720</t>
  </si>
  <si>
    <t>Miscellaneous Arthropod Pest Control</t>
  </si>
  <si>
    <t>Pavement Sweeping</t>
  </si>
  <si>
    <t xml:space="preserve">The Contractor shall sweep all feassible paved surfaces, sidewalks, roadways and parking lots.  Work shall be completed within 5 calendar days of order. </t>
  </si>
  <si>
    <t>Unit Priced Labor Work -  MUST BE NEGOTIATED BY KO.</t>
  </si>
  <si>
    <r>
      <t>Provide labor hourly rate to perform all Unit Priced Labor work below subject to the Service Contract Act per the scope and delivery schedule specified in the order.  The Contractor shall perform maintenance, repair, alteration, demolition and minor construction for building, structures and grounds</t>
    </r>
    <r>
      <rPr>
        <b/>
        <sz val="10"/>
        <rFont val="Times New Roman"/>
        <family val="1"/>
      </rPr>
      <t xml:space="preserve">
</t>
    </r>
  </si>
  <si>
    <t>HR</t>
  </si>
  <si>
    <r>
      <rPr>
        <u val="singleAccounting"/>
        <sz val="10"/>
        <color rgb="FFFF0000"/>
        <rFont val="Times New Roman"/>
        <family val="1"/>
      </rPr>
      <t>OFFEROR</t>
    </r>
    <r>
      <rPr>
        <sz val="10"/>
        <color rgb="FFFF0000"/>
        <rFont val="Times New Roman"/>
        <family val="1"/>
      </rPr>
      <t xml:space="preserve"> PROPOSED UNIT PRICE                  Enter proposed unit price in this column. Price will automatically copy to the UNIT Price cell rounded to two decimal places.</t>
    </r>
  </si>
  <si>
    <t>B701</t>
  </si>
  <si>
    <t>B702</t>
  </si>
  <si>
    <t>B703</t>
  </si>
  <si>
    <t>B704</t>
  </si>
  <si>
    <t>B705</t>
  </si>
  <si>
    <t>B706</t>
  </si>
  <si>
    <t>B707</t>
  </si>
  <si>
    <t>B708</t>
  </si>
  <si>
    <t>B709</t>
  </si>
  <si>
    <t>B710</t>
  </si>
  <si>
    <t>B711</t>
  </si>
  <si>
    <t>B712</t>
  </si>
  <si>
    <t>B713</t>
  </si>
  <si>
    <t>B714</t>
  </si>
  <si>
    <t>B715</t>
  </si>
  <si>
    <t>B716</t>
  </si>
  <si>
    <t>B717</t>
  </si>
  <si>
    <t>B718</t>
  </si>
  <si>
    <t>B719</t>
  </si>
  <si>
    <t>B720</t>
  </si>
  <si>
    <t>B723</t>
  </si>
  <si>
    <t>C701</t>
  </si>
  <si>
    <t>C702</t>
  </si>
  <si>
    <t>C703</t>
  </si>
  <si>
    <t>C704</t>
  </si>
  <si>
    <t>C705</t>
  </si>
  <si>
    <t>C706</t>
  </si>
  <si>
    <t>C707</t>
  </si>
  <si>
    <t>C708</t>
  </si>
  <si>
    <t>C709</t>
  </si>
  <si>
    <t>C710</t>
  </si>
  <si>
    <t>C711</t>
  </si>
  <si>
    <t>C712</t>
  </si>
  <si>
    <t>C713</t>
  </si>
  <si>
    <t>C714</t>
  </si>
  <si>
    <t>C715</t>
  </si>
  <si>
    <t>C716</t>
  </si>
  <si>
    <t>C717</t>
  </si>
  <si>
    <t>C718</t>
  </si>
  <si>
    <t>C719</t>
  </si>
  <si>
    <t>C720</t>
  </si>
  <si>
    <t>C723</t>
  </si>
  <si>
    <t>D701</t>
  </si>
  <si>
    <t>D702</t>
  </si>
  <si>
    <t>D703</t>
  </si>
  <si>
    <t>D704</t>
  </si>
  <si>
    <t>D705</t>
  </si>
  <si>
    <t>D706</t>
  </si>
  <si>
    <t>D707</t>
  </si>
  <si>
    <t>D708</t>
  </si>
  <si>
    <t>D709</t>
  </si>
  <si>
    <t>D710</t>
  </si>
  <si>
    <t>D711</t>
  </si>
  <si>
    <t>D712</t>
  </si>
  <si>
    <t>D713</t>
  </si>
  <si>
    <t>D714</t>
  </si>
  <si>
    <t>D715</t>
  </si>
  <si>
    <t>D716</t>
  </si>
  <si>
    <t>D717</t>
  </si>
  <si>
    <t>D718</t>
  </si>
  <si>
    <t>D719</t>
  </si>
  <si>
    <t>D720</t>
  </si>
  <si>
    <t>D723</t>
  </si>
  <si>
    <t>E701</t>
  </si>
  <si>
    <t>E702</t>
  </si>
  <si>
    <t>E703</t>
  </si>
  <si>
    <t>E704</t>
  </si>
  <si>
    <t>E705</t>
  </si>
  <si>
    <t>E706</t>
  </si>
  <si>
    <t>E707</t>
  </si>
  <si>
    <t>E708</t>
  </si>
  <si>
    <t>E709</t>
  </si>
  <si>
    <t>E710</t>
  </si>
  <si>
    <t>E711</t>
  </si>
  <si>
    <t>E712</t>
  </si>
  <si>
    <t>E713</t>
  </si>
  <si>
    <t>E714</t>
  </si>
  <si>
    <t>E715</t>
  </si>
  <si>
    <t>E716</t>
  </si>
  <si>
    <t>E717</t>
  </si>
  <si>
    <t>E718</t>
  </si>
  <si>
    <t>E723</t>
  </si>
  <si>
    <t>ATTACHMENT 0200000-09</t>
  </si>
  <si>
    <t>ATTACHMENT 0200000-10</t>
  </si>
  <si>
    <t>Scheduled Custodial Services, Spec Item 3. Per frequencies provided in Attachment 1503010-03</t>
  </si>
  <si>
    <t>Scheduled Pest Control, Spec Item 3. Per frequencies provided in Attachment 1503020-05.</t>
  </si>
  <si>
    <t>ATTACHMENT 0200000-11</t>
  </si>
  <si>
    <t>ATTACHMENT 0200000-12</t>
  </si>
  <si>
    <t>ATTACHMENT 0200000-13</t>
  </si>
  <si>
    <t>Improved Grounds, Spec Item 3. Per frequencies provided in Attachment 1503050-03.</t>
  </si>
  <si>
    <t>PROVIDE PRICES FOR FACILITY SERVICE NON-RECURRING WORK IN ACCORDANCE WITH 1503010, 1503020, 1503050, and 1503060, SPEC ITEM 4</t>
  </si>
  <si>
    <t>Provide labor and materials to control stinging arthropod infestations in and around buildings, structures, and areas.  Pests include, but are not limited to, bees, wasps, hornets, carpenter bees, cicada killers, yellow jackets, and solitary wasps (mud daubers, umbrella wasps).  European honeybee swarms/nests: Contractor shall contact state or local authorities to determine if local beekeepers can remove honeybee swarms/nests. Time Period to Respond: 4 hours.  If swarm, respond immediately at discretion of KO.  Complete work per time periods specified in Attachment 1503020</t>
  </si>
  <si>
    <t>Provide labor and materials to prevent and control filth flies including house flies, flesh flies, bottle flies, blow flies, fruit flies, and other related insects that breed or are attracted to garbage and trash in area designated by the KO.  Identify source, if applicable.  Time Period to Respond: 2 working days.   Complete work per time periods specified in Attachment 1503020</t>
  </si>
  <si>
    <t>Provide labor and materials to prevent and control fire ants indoors and outdoors.  Sites include all developed and semi-developed areas and other designated sites.  Time Period to Respond:  Indoors: Immediately.  Outdoors: 1 day.  Complete work per time periods specified in Attachment 1503020</t>
  </si>
  <si>
    <t>Provide labor and materials to control flea infestations in and around buildings and structures.  Time Period to Respond: 2 working days.  Complete work per time periods specified in Attachment 1503020</t>
  </si>
  <si>
    <t>Provide labor and materials to control of larval and pupal mosquitoes in designated area(s) when directed by KO (medical personnel determine when to control).  Time Period to Respond: 1 day.  Complete work per time periods specified in Attachment 1503020.</t>
  </si>
  <si>
    <t>Provide labor and materials to apply a mosquito adulticide (ULV Formulation) at designated sites when directed by KO.  Time Period to Respond: 24 hours.  Complete work per time periods specified in Attachment 1503020.</t>
  </si>
  <si>
    <t>Provide labor and materials to prevent and control rodents indoors or within 75 linear feet of the exterior walls of designated buildings and structures.  Rodent pests include, but are not limited to Norway rats, roof rats, house mice, and field mice.  Service requires removal of dead animals. Time Period to Respond:  Indoors: 1 day.  Outdoors: 3 working days.   Complete work per time periods specified in Attachment 1503020-01.</t>
  </si>
  <si>
    <t>Provide labor and materials to provide bare ground weed control in cracks in sidewalks, and paved surfaces, at fenceline locations, and in transformer vaults, around fire hydrants, and other locations as designated by the KO.  Time Period to Respond: 5 working days.  Complete work per time periods specified in Attachment 1503020.</t>
  </si>
  <si>
    <t>Provide labor and materials to control and prevent stored product pests at designated sites.  Time Period to Respond: 3 working days.  Complete work per time periods specified in Attachment 1503020.</t>
  </si>
  <si>
    <t>Provide labor and materials to survey for all termites species and other wood destroying organisms including fungal rots, carpenter ants, and wood boring beetles.  Time Period to Respond:  If swarm, immediately.  Otherwise, 1 week.  Complete work per time periods specified in Attachment 1503020.</t>
  </si>
  <si>
    <t>Provide labor and materials to control infestations of subterranean termites in accordance with Attachment 1503020(Termite Control Specifications).  Time Period to Respond: 5 working days after receipt of the task order.  Complete work per time periods specified in Attachment 1503020</t>
  </si>
  <si>
    <t>Provide labor and materials to prevent, manage, and control non-termite wood destroying organisms including, but not limited to powder post beetles (Lyctids and Bostrichids), Anobiids (furniture and deathwatch beetles), old house borer, carpenter ants, and carpenter bees.   Time Period to Respond: 10 working days.  Complete work per time periods specified in Attachment 1503020.</t>
  </si>
  <si>
    <t>Provide labor and materials to survey for and control of ticks outdoors.  Time Period to Respond: 3 calendar days.   Complete work per time periods specified in Attachment 1503020.</t>
  </si>
  <si>
    <t>Provide labor and materials to control pest vertebrate animals including, but not limited to, feral dogs and cats,  squirrels, skunks, snakes, opossums, raccoons, and mongoose.  Comply with local laws and regulations.  Time Period to Respond: Within 24 hours.  Emergency (animal possibly rabid) or indoors, immediately.  Complete work per time periods specified in Attachment 1503020.</t>
  </si>
  <si>
    <t>Provide labor and materials to prevent and control ants in and around buildings and structures.  Time Period to Respond: 10 working days   Complete work per time periods specified in Attachment 1503020.</t>
  </si>
  <si>
    <t>Provide labor and materials to prevent and control all cockroaches.  Time Period to Respond:  3 days.  Complete work per time periods specified in Attachment 1503020.</t>
  </si>
  <si>
    <t>Provide labor and materials to prevent and control nuisance arthropod pests in and around buildings and structures.  Excludes but is not limited to spiders, silverfish, scorpions, crickets, centipedes, millipedes, boxelder bugs, mites, beetles, etc.  (Excludes ants, cockroaches, filth flies, and bees/wasps/hornets covered in separate sections.)  Time Period to Respond: 7 days.  Complete work per time periods specified in Attachment 1503020.</t>
  </si>
  <si>
    <r>
      <rPr>
        <u/>
        <sz val="10"/>
        <color rgb="FFFF0000"/>
        <rFont val="Times New Roman"/>
        <family val="1"/>
      </rPr>
      <t>OFFEROR</t>
    </r>
    <r>
      <rPr>
        <sz val="10"/>
        <color rgb="FFFF0000"/>
        <rFont val="Times New Roman"/>
        <family val="1"/>
      </rPr>
      <t xml:space="preserve"> PROPOSED            UNIT PRICE          Enter proposed unit price in this column. Price will automatically copy to the UNIT PRICE cell rounded to two decimal places.</t>
    </r>
  </si>
  <si>
    <t>TOTAL NON-RECURRING EXHIBIT LINE ITEMS (OPTION FOUR) - E701 THROUGH E723</t>
  </si>
  <si>
    <t>E722</t>
  </si>
  <si>
    <t>E721</t>
  </si>
  <si>
    <t>E719</t>
  </si>
  <si>
    <t>E720</t>
  </si>
  <si>
    <t>D721</t>
  </si>
  <si>
    <t>D722</t>
  </si>
  <si>
    <t>TOTAL NON-RECURRING EXHIBIT LINE ITEMS (OPTION THREE) - D701 THROUGH D723</t>
  </si>
  <si>
    <t>C721</t>
  </si>
  <si>
    <t>C722</t>
  </si>
  <si>
    <t>B721</t>
  </si>
  <si>
    <t>B722</t>
  </si>
  <si>
    <t>A721</t>
  </si>
  <si>
    <t>A722</t>
  </si>
  <si>
    <t>CUSTODIAL NON-RECURRING - 1503010</t>
  </si>
  <si>
    <t>PEST CONTROL NON-RECURRING - 1503020</t>
  </si>
  <si>
    <t>PAVEMENT CLEARANCE NON-RECURRING - 1503060</t>
  </si>
  <si>
    <t>PROVIDE PRICES FOR FACILITY SERVICES IN ACCORDANCE WITH 1503010, 1503020, 1503050, and 1503060, SPEC ITEM 3</t>
  </si>
  <si>
    <t>A002</t>
  </si>
  <si>
    <t>A003</t>
  </si>
  <si>
    <t>ELINs B001-B003</t>
  </si>
  <si>
    <t>B002</t>
  </si>
  <si>
    <t>B003</t>
  </si>
  <si>
    <t>ELINs C001-C003</t>
  </si>
  <si>
    <t>C002</t>
  </si>
  <si>
    <t>C003</t>
  </si>
  <si>
    <t>ELINs D001-D003</t>
  </si>
  <si>
    <t>D002</t>
  </si>
  <si>
    <t>D003</t>
  </si>
  <si>
    <t>ELINs E001-E003</t>
  </si>
  <si>
    <t>E002</t>
  </si>
  <si>
    <t>E003</t>
  </si>
  <si>
    <t>ELINs A001-A003</t>
  </si>
  <si>
    <t>NON-RECURRING/NON PRE-PRICED</t>
  </si>
  <si>
    <t>NON-RECURRING/ NON PRE-PRICED</t>
  </si>
  <si>
    <t>NON-RECURRING / NON PRE-PRICED</t>
  </si>
  <si>
    <r>
      <t>Line</t>
    </r>
    <r>
      <rPr>
        <b/>
        <sz val="11"/>
        <rFont val="Times New Roman"/>
        <family val="1"/>
      </rPr>
      <t xml:space="preserve"> Item 0001   Recurring Work - Base Year                                                                                                                                                                     </t>
    </r>
  </si>
  <si>
    <t>Line Item 0002   Non-Recurring Work - Base Year</t>
  </si>
  <si>
    <t>Line Item 0004   Non-Recurring Work - Option Year #1</t>
  </si>
  <si>
    <t>Line Item 0006   Non-Recurring Work - Option Year #2</t>
  </si>
  <si>
    <t>Line Item 0010   Non-Recurring Work - Option Year #4</t>
  </si>
  <si>
    <t>SY</t>
  </si>
  <si>
    <t>Material and Equipment-MUST BE NEGOTIATED BY THE KO</t>
  </si>
  <si>
    <t>Provide all materials and equipment to perform Unit Priced Labor work for the scope and delivery specified in the order, and for the portion of equipment and materials cost that exceeds the limitations for service calls.</t>
  </si>
  <si>
    <t>DO</t>
  </si>
  <si>
    <t>A723</t>
  </si>
  <si>
    <t>ELINs F001-F003</t>
  </si>
  <si>
    <t>EXHIBIT E - CLIN 9005</t>
  </si>
  <si>
    <t>ATTACHMENT 0200000-14</t>
  </si>
  <si>
    <t>SOLICITATION/CONTRACT # N62478-26-R-2433</t>
  </si>
  <si>
    <t>F001</t>
  </si>
  <si>
    <t>F002</t>
  </si>
  <si>
    <t>F003</t>
  </si>
  <si>
    <r>
      <t>Line</t>
    </r>
    <r>
      <rPr>
        <b/>
        <sz val="11"/>
        <rFont val="Times New Roman"/>
        <family val="1"/>
      </rPr>
      <t xml:space="preserve"> Item 00011    Recurring Work - OPTION TO EXTEND                                                                                                                                           </t>
    </r>
  </si>
  <si>
    <t>Line Item 0012   Non-Recurring Work - Option To Extend</t>
  </si>
  <si>
    <r>
      <t>Line</t>
    </r>
    <r>
      <rPr>
        <b/>
        <sz val="11"/>
        <rFont val="Times New Roman"/>
        <family val="1"/>
      </rPr>
      <t xml:space="preserve"> Item 0005    Recurring Work - Option Year # 2                                                                                                                                                          </t>
    </r>
  </si>
  <si>
    <t>ATTACHMENT  0200000-10</t>
  </si>
  <si>
    <t>Scheduled Pest Control, Spec Item 3. Per frequencies provided in Attachment 1503020-05</t>
  </si>
  <si>
    <t>Improved Grounds, Spec Item 3. Per frequencies provided in Attachment 1503050-03</t>
  </si>
  <si>
    <t>Line Item 0008   Non-Recurring Work - Option Year Three</t>
  </si>
  <si>
    <r>
      <t>Line</t>
    </r>
    <r>
      <rPr>
        <b/>
        <sz val="11"/>
        <rFont val="Times New Roman"/>
        <family val="1"/>
      </rPr>
      <t xml:space="preserve"> Item 0009    Recurring Work - Option Year Four                                                                                                                                            </t>
    </r>
  </si>
  <si>
    <r>
      <t>Line</t>
    </r>
    <r>
      <rPr>
        <b/>
        <sz val="11"/>
        <rFont val="Times New Roman"/>
        <family val="1"/>
      </rPr>
      <t xml:space="preserve"> Item 0007    Recurring Work - Option Year Three                                                                                                                                              </t>
    </r>
  </si>
  <si>
    <r>
      <t>Line</t>
    </r>
    <r>
      <rPr>
        <b/>
        <sz val="11"/>
        <rFont val="Times New Roman"/>
        <family val="1"/>
      </rPr>
      <t xml:space="preserve"> Item 0003    Recurring Work - Option Year One                                                                                                                                                             </t>
    </r>
  </si>
  <si>
    <t>F701</t>
  </si>
  <si>
    <t>F702</t>
  </si>
  <si>
    <t>F703</t>
  </si>
  <si>
    <t>F704</t>
  </si>
  <si>
    <t>F705</t>
  </si>
  <si>
    <t>F706</t>
  </si>
  <si>
    <t>F707</t>
  </si>
  <si>
    <t>F708</t>
  </si>
  <si>
    <t>F709</t>
  </si>
  <si>
    <t>F710</t>
  </si>
  <si>
    <t>F711</t>
  </si>
  <si>
    <t>F712</t>
  </si>
  <si>
    <t>F713</t>
  </si>
  <si>
    <t>F714</t>
  </si>
  <si>
    <t>F715</t>
  </si>
  <si>
    <t>F716</t>
  </si>
  <si>
    <t>F717</t>
  </si>
  <si>
    <t>F718</t>
  </si>
  <si>
    <t>F719</t>
  </si>
  <si>
    <t>F720</t>
  </si>
  <si>
    <t>F721</t>
  </si>
  <si>
    <t>F722</t>
  </si>
  <si>
    <t>F723</t>
  </si>
  <si>
    <t>TOTAL NON-RECURRING EXHIBIT LINE ITEMS OPTION TO EXTEND - F701 THROUGH F723</t>
  </si>
  <si>
    <t>TOTAL RECURRING EXHIBIT LINE ITEM NUMBER BASE YEAR - A001 THRU A003</t>
  </si>
  <si>
    <t>TOTAL NON-RECURRING EXHIBIT LINE ITEM NUMBER BASE YEAR - A701 THROUGH A723</t>
  </si>
  <si>
    <t>TOTAL RECURRING EXHIBIT LINE ITEM NUMBER OPTION YEAR ONE - B001 THRU B003</t>
  </si>
  <si>
    <t>TOTAL RECURRING EXHIBIT LINE ITEM NUMBER OPTION YEAR TWO - C001 THRU C003</t>
  </si>
  <si>
    <t>TOTAL RECURRING EXHIBIT LINE ITEM NUMBER OPTION YEAR THREE - D001 THRU D003</t>
  </si>
  <si>
    <t>TOTAL RECURRING EXHIBIT LINE ITEM NUMBER OPTION YEAR FOUR - E001 THRU E003</t>
  </si>
  <si>
    <t>TOTAL RECURRING EXHIBIT LINE ITEM NUMBER OPTION TO EXTEND - F001 THRU F003</t>
  </si>
  <si>
    <t>TOTAL NON-RECURRING EXHIBIT LINE ITEM NUMBER OPTION YEAR ONE - B701 THROUGH B723</t>
  </si>
  <si>
    <t>TOTAL NON-RECURRING EXHIBIT LINE ITEM NUMBER OPTION YEAR TWO - C701 THROUGH C723</t>
  </si>
  <si>
    <t>Provide all materials and equipment to perform Unit Priced Labor work for the scope and delivery specified in the order, and for the portion of equipment and materials cost that exceeds the limitations for service calls</t>
  </si>
  <si>
    <t>The Contractor shall sweep all feassible paved surfaces, sidewalks, roadways and parking lots.  Work shall be completed within 5 calendar days of order</t>
  </si>
  <si>
    <t>Provide labor and materials to prevent and control nuisance arthropod pests in and around buildings and structures.  Excludes but is not limited to spiders, silverfish, scorpions, crickets, centipedes, millipedes, boxelder bugs, mites, beetles, etc.  (Excludes ants, cockroaches, filth flies, and bees/wasps/hornets covered in separate sections.)  Time Period to Respond: 7 days.  Complete work per time periods specified in Attachment 1503020</t>
  </si>
  <si>
    <t>Provide labor and materials to prevent and control all cockroaches.  Time Period to Respond:  3 days.  Complete work per time periods specified in Attachment 1503020</t>
  </si>
  <si>
    <t>Provide labor and materials to prevent and control ants in and around buildings and structures.  Time Period to Respond: 10 working days   Complete work per time periods specified in Attachment 1503020</t>
  </si>
  <si>
    <t>Provide labor and materials to control pest vertebrate animals including, but not limited to, feral dogs and cats,  squirrels, skunks, snakes, opossums, raccoons, and mongoose.  Comply with local laws and regulations.  Time Period to Respond: Within 24 hours.  Emergency (animal possibly rabid) or indoors, immediately.  Complete work per time periods specified in Attachment 1503020</t>
  </si>
  <si>
    <t>Provide labor and materials to survey for and control of ticks outdoors.  Time Period to Respond: 3 calendar days.   Complete work per time periods specified in Attachment 1503020</t>
  </si>
  <si>
    <t>Provide labor and materials to prevent, manage, and control non-termite wood destroying organisms including, but not limited to powder post beetles (Lyctids and Bostrichids), Anobiids (furniture and deathwatch beetles), old house borer, carpenter ants, and carpenter bees.   Time Period to Respond: 10 working days.  Complete work per time periods specified in Attachment 1503020</t>
  </si>
  <si>
    <t>Provide labor and materials to survey for all termites species and other wood destroying organisms including fungal rots, carpenter ants, and wood boring beetles.  Time Period to Respond:  If swarm, immediately.  Otherwise, 1 week.  Complete work per time periods specified in Attachment 1503020</t>
  </si>
  <si>
    <t>Provide labor and materials to control and prevent stored product pests at designated sites.  Time Period to Respond: 3 working days.  Complete work per time periods specified in Attachment 1503020</t>
  </si>
  <si>
    <t>Provide labor and materials to provide bare ground weed control in cracks in sidewalks, and paved surfaces, at fenceline locations, and in transformer vaults, around fire hydrants, and other locations as designated by the KO.  Time Period to Respond: 5 working days.  Complete work per time periods specified in Attachment 1503020</t>
  </si>
  <si>
    <t>Provide labor and materials to prevent and control rodents indoors or within 75 linear feet of the exterior walls of designated buildings and structures.  Rodent pests include, but are not limited to Norway rats, roof rats, house mice, and field mice.  Service requires removal of dead animals. Time Period to Respond:  Indoors: 1 day.  Outdoors: 3 working days.   Complete work per time periods specified in Attachment 1503020-01</t>
  </si>
  <si>
    <t>Provide labor and materials to apply a mosquito adulticide (ULV Formulation) at designated sites when directed by KO.  Time Period to Respond: 24 hours.  Complete work per time periods specified in Attachment 1503020</t>
  </si>
  <si>
    <t>Provide labor and materials to control of larval and pupal mosquitoes in designated area(s) when directed by KO (medical personnel determine when to control).  Time Period to Respond: 1 day.  Complete work per time periods specified in Attachment 1503020</t>
  </si>
  <si>
    <t>Restrooms are clean, sanitary and sightly.  All restroom surfaces are cleaned, sanitized and deodorized. Restroom supplies are completely restocked and all dispenser are in working condition</t>
  </si>
  <si>
    <t xml:space="preserve">The Contractor shall deep clean carpets and rugs to ensure that floors are clean and sightly.  Acceptable methods for deep cleaning include shampooing, chemical extraction, steam cleaning, and other similar deep cleaning processes </t>
  </si>
  <si>
    <t>The Contractor shall spray and buff floors to ensure that floors are clean and present a uniform gloss finish, This service includes the floors swept prior to spraying and buffing floors</t>
  </si>
  <si>
    <t>Services for facilites and spaces specificied in the Inventory provided in the Attachment 1503010-05/6 performed at the Standard Service Level frequencies specified per the Standard Level Standards listed in Attachment 1503010-03</t>
  </si>
  <si>
    <t>Services for facilities and spaces specificed in the Frequencies for Scheduled Work provided in 1503020-05 performed at the frequencies specified</t>
  </si>
  <si>
    <t>Services for grounds maintenance provided in the Attachment 1503050-03 and site inventories listed in Attachment 1503050-04</t>
  </si>
  <si>
    <t>NAVFAC - Units of Measure</t>
  </si>
  <si>
    <t>AC</t>
  </si>
  <si>
    <t>Acre</t>
  </si>
  <si>
    <t>FR</t>
  </si>
  <si>
    <t>Frame</t>
  </si>
  <si>
    <t>PD</t>
  </si>
  <si>
    <t>Pad</t>
  </si>
  <si>
    <t>AM</t>
  </si>
  <si>
    <t>Ampoule</t>
  </si>
  <si>
    <t>FT</t>
  </si>
  <si>
    <t>Foot</t>
  </si>
  <si>
    <t>PG</t>
  </si>
  <si>
    <t>Package</t>
  </si>
  <si>
    <t>AT</t>
  </si>
  <si>
    <t>Assortment</t>
  </si>
  <si>
    <t>FV</t>
  </si>
  <si>
    <t>Five</t>
  </si>
  <si>
    <t>PI</t>
  </si>
  <si>
    <t>Pillow</t>
  </si>
  <si>
    <t>AY</t>
  </si>
  <si>
    <t>Assembly</t>
  </si>
  <si>
    <t>FY</t>
  </si>
  <si>
    <t>Fifty</t>
  </si>
  <si>
    <t>PM</t>
  </si>
  <si>
    <t>Plate</t>
  </si>
  <si>
    <t>BA</t>
  </si>
  <si>
    <t>Ball</t>
  </si>
  <si>
    <t>GG</t>
  </si>
  <si>
    <t>Great Gross</t>
  </si>
  <si>
    <t>PR</t>
  </si>
  <si>
    <t>Pair</t>
  </si>
  <si>
    <t>BD</t>
  </si>
  <si>
    <t>Bundle</t>
  </si>
  <si>
    <t>GI</t>
  </si>
  <si>
    <t>Gill</t>
  </si>
  <si>
    <t>PT</t>
  </si>
  <si>
    <t>Pint</t>
  </si>
  <si>
    <t>BE</t>
  </si>
  <si>
    <t>Bale</t>
  </si>
  <si>
    <t>GL</t>
  </si>
  <si>
    <t>Gallon</t>
  </si>
  <si>
    <t>PX</t>
  </si>
  <si>
    <t>Pellet</t>
  </si>
  <si>
    <t>BF</t>
  </si>
  <si>
    <t>Board Foot</t>
  </si>
  <si>
    <t>GM</t>
  </si>
  <si>
    <t>Gram</t>
  </si>
  <si>
    <t>PZ</t>
  </si>
  <si>
    <t>Packet</t>
  </si>
  <si>
    <t>BG</t>
  </si>
  <si>
    <t>Bag</t>
  </si>
  <si>
    <t>GN</t>
  </si>
  <si>
    <t>Grain</t>
  </si>
  <si>
    <t>QT</t>
  </si>
  <si>
    <t>Quart</t>
  </si>
  <si>
    <t>BK</t>
  </si>
  <si>
    <t>Book</t>
  </si>
  <si>
    <t>GP</t>
  </si>
  <si>
    <t>Group</t>
  </si>
  <si>
    <t>RA</t>
  </si>
  <si>
    <t>Ration</t>
  </si>
  <si>
    <t>BL</t>
  </si>
  <si>
    <t>Barrel</t>
  </si>
  <si>
    <t>GR</t>
  </si>
  <si>
    <t>Gross</t>
  </si>
  <si>
    <t>RD</t>
  </si>
  <si>
    <t>Round</t>
  </si>
  <si>
    <t>BO</t>
  </si>
  <si>
    <t>Bolt</t>
  </si>
  <si>
    <t>HD</t>
  </si>
  <si>
    <t>Hundred</t>
  </si>
  <si>
    <t>RL</t>
  </si>
  <si>
    <t>Reel</t>
  </si>
  <si>
    <t>BQ</t>
  </si>
  <si>
    <t>Briquet</t>
  </si>
  <si>
    <t>HF</t>
  </si>
  <si>
    <t>Hundred Feet</t>
  </si>
  <si>
    <t>RM</t>
  </si>
  <si>
    <t>Ream</t>
  </si>
  <si>
    <t>BR</t>
  </si>
  <si>
    <t>Bar</t>
  </si>
  <si>
    <t>HK</t>
  </si>
  <si>
    <t>Hank</t>
  </si>
  <si>
    <t>RO</t>
  </si>
  <si>
    <t>Roll</t>
  </si>
  <si>
    <t>BT</t>
  </si>
  <si>
    <t>Bottle</t>
  </si>
  <si>
    <t>HP</t>
  </si>
  <si>
    <t>Hundred Pounds</t>
  </si>
  <si>
    <t>RX</t>
  </si>
  <si>
    <t>Thousand Rounds</t>
  </si>
  <si>
    <t>BX</t>
  </si>
  <si>
    <t>Box</t>
  </si>
  <si>
    <t>Hours</t>
  </si>
  <si>
    <t>SB</t>
  </si>
  <si>
    <t>Square Mile</t>
  </si>
  <si>
    <t>CA</t>
  </si>
  <si>
    <t>Cartridge</t>
  </si>
  <si>
    <t>HS</t>
  </si>
  <si>
    <t>Hundred Square Feet</t>
  </si>
  <si>
    <t>SC</t>
  </si>
  <si>
    <t>Square Centimeters</t>
  </si>
  <si>
    <t>CB</t>
  </si>
  <si>
    <t>Carboy</t>
  </si>
  <si>
    <t>HW</t>
  </si>
  <si>
    <t>Hundred Weight</t>
  </si>
  <si>
    <t>SD</t>
  </si>
  <si>
    <t>Skid</t>
  </si>
  <si>
    <t>CC</t>
  </si>
  <si>
    <t>Cubic Centimeter</t>
  </si>
  <si>
    <t>HY</t>
  </si>
  <si>
    <t>Hundred Yards</t>
  </si>
  <si>
    <t>SE</t>
  </si>
  <si>
    <t>Set</t>
  </si>
  <si>
    <t>CD</t>
  </si>
  <si>
    <t>Cubic Yard</t>
  </si>
  <si>
    <t>IN</t>
  </si>
  <si>
    <t>Inch</t>
  </si>
  <si>
    <t>Square Foot</t>
  </si>
  <si>
    <t>CE</t>
  </si>
  <si>
    <t>Cone</t>
  </si>
  <si>
    <t>JR</t>
  </si>
  <si>
    <t>Jar</t>
  </si>
  <si>
    <t>SH</t>
  </si>
  <si>
    <t>Sheet</t>
  </si>
  <si>
    <t>CF</t>
  </si>
  <si>
    <t>Cubic Foot</t>
  </si>
  <si>
    <t>KG</t>
  </si>
  <si>
    <t>Kilogram</t>
  </si>
  <si>
    <t>SI</t>
  </si>
  <si>
    <t>Square Inch</t>
  </si>
  <si>
    <t>CG</t>
  </si>
  <si>
    <t>Centigram</t>
  </si>
  <si>
    <t>KM</t>
  </si>
  <si>
    <t>Kilometer</t>
  </si>
  <si>
    <t>SK</t>
  </si>
  <si>
    <t>Skein</t>
  </si>
  <si>
    <t>CI</t>
  </si>
  <si>
    <t>Cubic Inch</t>
  </si>
  <si>
    <t>KR</t>
  </si>
  <si>
    <t>Carat</t>
  </si>
  <si>
    <t>SL</t>
  </si>
  <si>
    <t>Spool</t>
  </si>
  <si>
    <t>CK</t>
  </si>
  <si>
    <t>Cake</t>
  </si>
  <si>
    <t>KT</t>
  </si>
  <si>
    <t>Kit</t>
  </si>
  <si>
    <t>SM</t>
  </si>
  <si>
    <t>Square Meter</t>
  </si>
  <si>
    <t>CL</t>
  </si>
  <si>
    <t>Coil</t>
  </si>
  <si>
    <t>LB</t>
  </si>
  <si>
    <t>Pound</t>
  </si>
  <si>
    <t>SO</t>
  </si>
  <si>
    <t>Shot</t>
  </si>
  <si>
    <t>CM</t>
  </si>
  <si>
    <t>Centimeter</t>
  </si>
  <si>
    <t>LF</t>
  </si>
  <si>
    <t>Linear Foot</t>
  </si>
  <si>
    <t>SP</t>
  </si>
  <si>
    <t>Strip</t>
  </si>
  <si>
    <t>CN</t>
  </si>
  <si>
    <t>Can</t>
  </si>
  <si>
    <t>LG</t>
  </si>
  <si>
    <t>Length</t>
  </si>
  <si>
    <t>SQ</t>
  </si>
  <si>
    <t>Square</t>
  </si>
  <si>
    <t>CO</t>
  </si>
  <si>
    <t>Container</t>
  </si>
  <si>
    <t>LH</t>
  </si>
  <si>
    <t>Labor Hours</t>
  </si>
  <si>
    <t>SX</t>
  </si>
  <si>
    <t>Stick</t>
  </si>
  <si>
    <t>CU</t>
  </si>
  <si>
    <t>Curie</t>
  </si>
  <si>
    <t>LI</t>
  </si>
  <si>
    <t>Liter</t>
  </si>
  <si>
    <t>Square Yard</t>
  </si>
  <si>
    <t>CY</t>
  </si>
  <si>
    <t>Cylinder</t>
  </si>
  <si>
    <t>LM</t>
  </si>
  <si>
    <t>Linear Meter</t>
  </si>
  <si>
    <t>TC</t>
  </si>
  <si>
    <t>Truckload</t>
  </si>
  <si>
    <t>CZ</t>
  </si>
  <si>
    <t>Cubic Meter</t>
  </si>
  <si>
    <t>LO</t>
  </si>
  <si>
    <t>Lot</t>
  </si>
  <si>
    <t>TD</t>
  </si>
  <si>
    <t>Twenty-Four</t>
  </si>
  <si>
    <t>DA</t>
  </si>
  <si>
    <t>Days</t>
  </si>
  <si>
    <t>LS</t>
  </si>
  <si>
    <t>Lump Sum</t>
  </si>
  <si>
    <t>TE</t>
  </si>
  <si>
    <t>Ten</t>
  </si>
  <si>
    <t>DC</t>
  </si>
  <si>
    <t>Decagram</t>
  </si>
  <si>
    <t>LY</t>
  </si>
  <si>
    <t>Linear Yard</t>
  </si>
  <si>
    <t>TF</t>
  </si>
  <si>
    <t>Twenty-Five</t>
  </si>
  <si>
    <t>DE</t>
  </si>
  <si>
    <t>Decimeter</t>
  </si>
  <si>
    <t>MC</t>
  </si>
  <si>
    <t>Thousand Cubic Feet</t>
  </si>
  <si>
    <t>TG</t>
  </si>
  <si>
    <t>Gross Ton</t>
  </si>
  <si>
    <t>DG</t>
  </si>
  <si>
    <t>Decigram</t>
  </si>
  <si>
    <t>ME</t>
  </si>
  <si>
    <t>Meal</t>
  </si>
  <si>
    <t>TN</t>
  </si>
  <si>
    <t>Ton</t>
  </si>
  <si>
    <t>DL</t>
  </si>
  <si>
    <t>Deciliter</t>
  </si>
  <si>
    <t>MF</t>
  </si>
  <si>
    <t>Thousand Feet</t>
  </si>
  <si>
    <t>TO</t>
  </si>
  <si>
    <t>Troy Ounce</t>
  </si>
  <si>
    <t>DM</t>
  </si>
  <si>
    <t>Dram</t>
  </si>
  <si>
    <t>MG</t>
  </si>
  <si>
    <t>Milligram</t>
  </si>
  <si>
    <t>TS</t>
  </si>
  <si>
    <t>Thirty-Six</t>
  </si>
  <si>
    <t>Dollars</t>
  </si>
  <si>
    <t>MI</t>
  </si>
  <si>
    <t>Mile</t>
  </si>
  <si>
    <t>TT</t>
  </si>
  <si>
    <t>Tablet</t>
  </si>
  <si>
    <t>DR</t>
  </si>
  <si>
    <t>Drum</t>
  </si>
  <si>
    <t>ML</t>
  </si>
  <si>
    <t>Milliliter</t>
  </si>
  <si>
    <t>TU</t>
  </si>
  <si>
    <t>Tube</t>
  </si>
  <si>
    <t>DW</t>
  </si>
  <si>
    <t>Pennyweight</t>
  </si>
  <si>
    <t>MM</t>
  </si>
  <si>
    <t>Millimeter</t>
  </si>
  <si>
    <t>UN</t>
  </si>
  <si>
    <t>Unit</t>
  </si>
  <si>
    <t>DZ</t>
  </si>
  <si>
    <t>Dozen</t>
  </si>
  <si>
    <t>Months</t>
  </si>
  <si>
    <t>US</t>
  </si>
  <si>
    <t>US U.S.P Unit</t>
  </si>
  <si>
    <t>Each</t>
  </si>
  <si>
    <t>MR</t>
  </si>
  <si>
    <t>Meter</t>
  </si>
  <si>
    <t>VI</t>
  </si>
  <si>
    <t>Vial</t>
  </si>
  <si>
    <t>EN</t>
  </si>
  <si>
    <t>Each Collection</t>
  </si>
  <si>
    <t>MX</t>
  </si>
  <si>
    <t>Thousand</t>
  </si>
  <si>
    <t>WK</t>
  </si>
  <si>
    <t>Week</t>
  </si>
  <si>
    <t>EX</t>
  </si>
  <si>
    <t>Exposure</t>
  </si>
  <si>
    <t>OT</t>
  </si>
  <si>
    <t>Outfit</t>
  </si>
  <si>
    <t>YD</t>
  </si>
  <si>
    <t>Yard</t>
  </si>
  <si>
    <t>FD</t>
  </si>
  <si>
    <t>Fold</t>
  </si>
  <si>
    <t>OZ</t>
  </si>
  <si>
    <t>Ounce</t>
  </si>
  <si>
    <t>YR</t>
  </si>
  <si>
    <t>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</si>
</sst>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4" formatCode="_(&quot;$&quot;* #,##0.00_);_(&quot;$&quot;* \(#,##0.00\);_(&quot;$&quot;* &quot;-&quot;??_);_(@_)"/>
    <numFmt numFmtId="164" formatCode="&quot;$&quot;#,##0.00"/>
    <numFmt numFmtId="165" formatCode="0.0000"/>
    <numFmt numFmtId="166" formatCode="0.0"/>
    <numFmt numFmtId="167" formatCode="&quot;$&quot;#,##0"/>
  </numFmts>
  <fonts count="19" x14ac:knownFonts="1">
    <font>
      <sz val="11"/>
      <color theme="1"/>
      <name val="Calibri"/>
      <family val="2"/>
      <scheme val="minor"/>
    </font>
    <font>
      <b/>
      <sz val="11"/>
      <name val="Times New Roman"/>
      <family val="1"/>
    </font>
    <font>
      <sz val="11"/>
      <color theme="1"/>
      <name val="Times New Roman"/>
      <family val="1"/>
    </font>
    <font>
      <b/>
      <sz val="11"/>
      <color theme="1"/>
      <name val="Times New Roman"/>
      <family val="1"/>
    </font>
    <font>
      <sz val="10"/>
      <color theme="1"/>
      <name val="Calibri"/>
      <family val="2"/>
      <scheme val="minor"/>
    </font>
    <font>
      <b/>
      <sz val="10"/>
      <color rgb="FFFF0000"/>
      <name val="Times New Roman"/>
      <family val="1"/>
    </font>
    <font>
      <sz val="10"/>
      <name val="Times New Roman"/>
      <family val="1"/>
    </font>
    <font>
      <sz val="10"/>
      <name val="Arial"/>
      <family val="2"/>
    </font>
    <font>
      <sz val="10"/>
      <color rgb="FFFF0000"/>
      <name val="Times New Roman"/>
      <family val="1"/>
    </font>
    <font>
      <b/>
      <u/>
      <sz val="10"/>
      <name val="Times New Roman"/>
      <family val="1"/>
    </font>
    <font>
      <b/>
      <sz val="10"/>
      <name val="Times New Roman"/>
      <family val="1"/>
    </font>
    <font>
      <sz val="10"/>
      <color indexed="8"/>
      <name val="Times New Roman"/>
      <family val="1"/>
    </font>
    <font>
      <b/>
      <i/>
      <sz val="10"/>
      <name val="Times New Roman"/>
      <family val="1"/>
    </font>
    <font>
      <u val="singleAccounting"/>
      <sz val="10"/>
      <color rgb="FFFF0000"/>
      <name val="Times New Roman"/>
      <family val="1"/>
    </font>
    <font>
      <u/>
      <sz val="10"/>
      <color rgb="FFFF0000"/>
      <name val="Times New Roman"/>
      <family val="1"/>
    </font>
    <font>
      <sz val="11"/>
      <color theme="1"/>
      <name val="Calibri"/>
      <family val="2"/>
      <scheme val="minor"/>
    </font>
    <font>
      <sz val="11"/>
      <name val="Times New Roman"/>
      <family val="1"/>
    </font>
    <font>
      <sz val="8"/>
      <name val="Calibri"/>
      <family val="2"/>
      <scheme val="minor"/>
    </font>
    <font>
      <b/>
      <sz val="10"/>
      <color theme="1"/>
      <name val="Times New Roman"/>
      <family val="1"/>
    </font>
  </fonts>
  <fills count="4">
    <fill>
      <patternFill patternType="none"/>
    </fill>
    <fill>
      <patternFill patternType="gray125"/>
    </fill>
    <fill>
      <patternFill patternType="solid">
        <fgColor rgb="FFFFFFCC"/>
        <bgColor indexed="64"/>
      </patternFill>
    </fill>
    <fill>
      <patternFill patternType="solid">
        <fgColor theme="0" tint="-0.249977111117893"/>
        <bgColor indexed="64"/>
      </patternFill>
    </fill>
  </fills>
  <borders count="4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s>
  <cellStyleXfs count="4">
    <xf numFmtId="0" fontId="0" fillId="0" borderId="0"/>
    <xf numFmtId="44" fontId="7" fillId="0" borderId="0" applyFont="0" applyFill="0" applyBorder="0" applyAlignment="0" applyProtection="0"/>
    <xf numFmtId="0" fontId="7" fillId="0" borderId="0"/>
    <xf numFmtId="44" fontId="15" fillId="0" borderId="0" applyFont="0" applyFill="0" applyBorder="0" applyAlignment="0" applyProtection="0"/>
  </cellStyleXfs>
  <cellXfs count="245">
    <xf numFmtId="0" fontId="0" fillId="0" borderId="0" xfId="0"/>
    <xf numFmtId="0" fontId="0" fillId="0" borderId="1" xfId="0" applyBorder="1"/>
    <xf numFmtId="0" fontId="0" fillId="0" borderId="2" xfId="0" applyBorder="1"/>
    <xf numFmtId="0" fontId="0" fillId="0" borderId="3" xfId="0" applyBorder="1"/>
    <xf numFmtId="0" fontId="3" fillId="0" borderId="6" xfId="0" applyFont="1" applyBorder="1" applyAlignment="1">
      <alignment wrapText="1"/>
    </xf>
    <xf numFmtId="0" fontId="3" fillId="0" borderId="7" xfId="0" applyFont="1" applyBorder="1" applyAlignment="1">
      <alignment vertical="top"/>
    </xf>
    <xf numFmtId="0" fontId="3" fillId="0" borderId="7" xfId="0" applyFont="1" applyBorder="1" applyAlignment="1">
      <alignment horizontal="center" vertical="top"/>
    </xf>
    <xf numFmtId="0" fontId="3" fillId="0" borderId="8" xfId="0" applyFont="1" applyBorder="1" applyAlignment="1">
      <alignment horizontal="center" vertical="top"/>
    </xf>
    <xf numFmtId="0" fontId="4" fillId="0" borderId="4" xfId="0" applyFont="1" applyBorder="1"/>
    <xf numFmtId="0" fontId="4" fillId="0" borderId="5" xfId="0" applyFont="1" applyBorder="1"/>
    <xf numFmtId="0" fontId="4" fillId="0" borderId="0" xfId="0" applyFont="1" applyBorder="1"/>
    <xf numFmtId="0" fontId="2" fillId="0" borderId="4" xfId="0" applyFont="1" applyBorder="1"/>
    <xf numFmtId="0" fontId="2" fillId="0" borderId="0" xfId="0" applyFont="1" applyBorder="1"/>
    <xf numFmtId="0" fontId="2" fillId="0" borderId="9" xfId="0" applyFont="1" applyBorder="1"/>
    <xf numFmtId="0" fontId="2" fillId="0" borderId="9" xfId="0" applyFont="1" applyBorder="1" applyAlignment="1">
      <alignment horizontal="center" vertical="center"/>
    </xf>
    <xf numFmtId="0" fontId="3" fillId="0" borderId="9" xfId="0" applyFont="1" applyBorder="1" applyAlignment="1">
      <alignment horizontal="right"/>
    </xf>
    <xf numFmtId="0" fontId="3" fillId="0" borderId="9" xfId="0" applyFont="1" applyBorder="1"/>
    <xf numFmtId="0" fontId="3" fillId="0" borderId="10" xfId="0" applyFont="1" applyBorder="1"/>
    <xf numFmtId="0" fontId="3" fillId="0" borderId="11"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164" fontId="2" fillId="0" borderId="9" xfId="0" applyNumberFormat="1" applyFont="1" applyBorder="1" applyAlignment="1">
      <alignment horizontal="center" vertical="center"/>
    </xf>
    <xf numFmtId="0" fontId="2" fillId="0" borderId="18" xfId="0" applyFont="1" applyBorder="1"/>
    <xf numFmtId="44" fontId="2" fillId="0" borderId="19" xfId="0" applyNumberFormat="1" applyFont="1" applyBorder="1"/>
    <xf numFmtId="44" fontId="3" fillId="0" borderId="19" xfId="0" applyNumberFormat="1" applyFont="1" applyBorder="1"/>
    <xf numFmtId="0" fontId="0" fillId="0" borderId="21" xfId="0" applyBorder="1"/>
    <xf numFmtId="0" fontId="0" fillId="0" borderId="22" xfId="0" applyBorder="1"/>
    <xf numFmtId="0" fontId="0" fillId="0" borderId="23" xfId="0" applyBorder="1"/>
    <xf numFmtId="44" fontId="2" fillId="0" borderId="9" xfId="0" applyNumberFormat="1" applyFont="1" applyFill="1" applyBorder="1" applyAlignment="1">
      <alignment horizontal="center" vertical="center"/>
    </xf>
    <xf numFmtId="44" fontId="3" fillId="0" borderId="20" xfId="0" applyNumberFormat="1" applyFont="1" applyBorder="1" applyAlignment="1">
      <alignment horizontal="center" vertical="center"/>
    </xf>
    <xf numFmtId="0" fontId="0" fillId="0" borderId="0" xfId="0" applyProtection="1"/>
    <xf numFmtId="0" fontId="6" fillId="0" borderId="0" xfId="0" applyFont="1"/>
    <xf numFmtId="0" fontId="9" fillId="0" borderId="0" xfId="0" applyFont="1" applyBorder="1" applyAlignment="1">
      <alignment horizontal="center" vertical="center"/>
    </xf>
    <xf numFmtId="3" fontId="9" fillId="0" borderId="0" xfId="0" applyNumberFormat="1" applyFont="1" applyBorder="1" applyAlignment="1">
      <alignment horizontal="center" vertical="top"/>
    </xf>
    <xf numFmtId="164" fontId="9" fillId="0" borderId="0" xfId="0" applyNumberFormat="1" applyFont="1" applyBorder="1" applyAlignment="1">
      <alignment horizontal="center" vertical="center"/>
    </xf>
    <xf numFmtId="0" fontId="6" fillId="0" borderId="5" xfId="0" applyFont="1" applyBorder="1" applyAlignment="1">
      <alignment horizontal="center" vertical="top"/>
    </xf>
    <xf numFmtId="49" fontId="10" fillId="0" borderId="10" xfId="0" applyNumberFormat="1" applyFont="1" applyFill="1" applyBorder="1" applyAlignment="1">
      <alignment horizontal="center" vertical="top" wrapText="1"/>
    </xf>
    <xf numFmtId="0" fontId="10" fillId="0" borderId="11" xfId="0" applyFont="1" applyFill="1" applyBorder="1" applyAlignment="1">
      <alignment horizontal="center" vertical="top" wrapText="1"/>
    </xf>
    <xf numFmtId="0" fontId="10" fillId="0" borderId="11" xfId="0" applyNumberFormat="1" applyFont="1" applyFill="1" applyBorder="1" applyAlignment="1">
      <alignment horizontal="center" vertical="top" wrapText="1"/>
    </xf>
    <xf numFmtId="0" fontId="6" fillId="0" borderId="0" xfId="0" applyFont="1" applyFill="1"/>
    <xf numFmtId="0" fontId="6" fillId="0" borderId="12" xfId="0" applyFont="1" applyBorder="1" applyAlignment="1">
      <alignment vertical="top"/>
    </xf>
    <xf numFmtId="0" fontId="11" fillId="0" borderId="9" xfId="0" applyFont="1" applyBorder="1" applyAlignment="1">
      <alignment vertical="top" wrapText="1"/>
    </xf>
    <xf numFmtId="0" fontId="6" fillId="0" borderId="9" xfId="0" applyFont="1" applyBorder="1" applyAlignment="1">
      <alignment vertical="top" wrapText="1"/>
    </xf>
    <xf numFmtId="0" fontId="6" fillId="0" borderId="9" xfId="0" applyFont="1" applyFill="1" applyBorder="1" applyAlignment="1">
      <alignment vertical="top" wrapText="1"/>
    </xf>
    <xf numFmtId="0" fontId="6" fillId="0" borderId="12" xfId="0" applyFont="1" applyFill="1" applyBorder="1" applyAlignment="1">
      <alignment horizontal="left" vertical="top" wrapText="1"/>
    </xf>
    <xf numFmtId="0" fontId="6" fillId="0" borderId="9" xfId="0" applyFont="1" applyFill="1" applyBorder="1" applyAlignment="1">
      <alignment horizontal="center" vertical="top" wrapText="1"/>
    </xf>
    <xf numFmtId="0" fontId="6" fillId="0" borderId="0" xfId="0" applyFont="1" applyFill="1" applyAlignment="1">
      <alignment horizontal="right"/>
    </xf>
    <xf numFmtId="44" fontId="6" fillId="0" borderId="0" xfId="0" applyNumberFormat="1" applyFont="1" applyFill="1"/>
    <xf numFmtId="0" fontId="6" fillId="0" borderId="0" xfId="0" applyFont="1" applyFill="1" applyAlignment="1">
      <alignment horizontal="right" vertical="top"/>
    </xf>
    <xf numFmtId="44" fontId="6" fillId="0" borderId="0" xfId="0" applyNumberFormat="1" applyFont="1" applyFill="1" applyAlignment="1">
      <alignment horizontal="right" vertical="top"/>
    </xf>
    <xf numFmtId="0" fontId="6" fillId="0" borderId="0" xfId="0" applyFont="1" applyFill="1" applyAlignment="1">
      <alignment vertical="top" wrapText="1"/>
    </xf>
    <xf numFmtId="44" fontId="6" fillId="0" borderId="0" xfId="0" applyNumberFormat="1" applyFont="1" applyFill="1" applyAlignment="1">
      <alignment vertical="top" wrapText="1"/>
    </xf>
    <xf numFmtId="49" fontId="6" fillId="0" borderId="12" xfId="0" applyNumberFormat="1" applyFont="1" applyBorder="1" applyAlignment="1">
      <alignment vertical="top" wrapText="1"/>
    </xf>
    <xf numFmtId="0" fontId="6" fillId="0" borderId="9" xfId="0" applyNumberFormat="1" applyFont="1" applyBorder="1" applyAlignment="1">
      <alignment vertical="top" wrapText="1"/>
    </xf>
    <xf numFmtId="166" fontId="6" fillId="0" borderId="12" xfId="0" applyNumberFormat="1" applyFont="1" applyBorder="1" applyAlignment="1">
      <alignment horizontal="left" vertical="top" wrapText="1"/>
    </xf>
    <xf numFmtId="0" fontId="6" fillId="0" borderId="0" xfId="0" applyFont="1" applyAlignment="1">
      <alignment horizontal="left"/>
    </xf>
    <xf numFmtId="0" fontId="6" fillId="0" borderId="0" xfId="0" applyFont="1" applyAlignment="1">
      <alignment horizontal="center" vertical="top" wrapText="1"/>
    </xf>
    <xf numFmtId="0" fontId="6" fillId="0" borderId="0" xfId="0" applyFont="1" applyAlignment="1">
      <alignment horizontal="center"/>
    </xf>
    <xf numFmtId="44" fontId="6" fillId="0" borderId="0" xfId="1" applyFont="1"/>
    <xf numFmtId="0" fontId="10" fillId="0" borderId="11" xfId="1" applyNumberFormat="1" applyFont="1" applyFill="1" applyBorder="1" applyAlignment="1">
      <alignment horizontal="center" vertical="top" wrapText="1"/>
    </xf>
    <xf numFmtId="44" fontId="10" fillId="0" borderId="27" xfId="1" applyFont="1" applyFill="1" applyBorder="1" applyAlignment="1">
      <alignment horizontal="center" vertical="top" wrapText="1"/>
    </xf>
    <xf numFmtId="44" fontId="6" fillId="0" borderId="0" xfId="1" applyFont="1" applyFill="1"/>
    <xf numFmtId="3" fontId="6" fillId="0" borderId="9" xfId="0" applyNumberFormat="1" applyFont="1" applyBorder="1" applyAlignment="1">
      <alignment horizontal="center"/>
    </xf>
    <xf numFmtId="0" fontId="6" fillId="0" borderId="9" xfId="0" applyFont="1" applyBorder="1" applyAlignment="1">
      <alignment horizontal="center"/>
    </xf>
    <xf numFmtId="44" fontId="6" fillId="0" borderId="9" xfId="1" applyFont="1" applyFill="1" applyBorder="1" applyAlignment="1">
      <alignment horizontal="center" wrapText="1"/>
    </xf>
    <xf numFmtId="0" fontId="6" fillId="0" borderId="9" xfId="0" applyFont="1" applyFill="1" applyBorder="1" applyAlignment="1">
      <alignment horizontal="center" wrapText="1"/>
    </xf>
    <xf numFmtId="3" fontId="6" fillId="0" borderId="9" xfId="0" applyNumberFormat="1" applyFont="1" applyBorder="1" applyAlignment="1">
      <alignment horizontal="center" wrapText="1"/>
    </xf>
    <xf numFmtId="0" fontId="6" fillId="0" borderId="9" xfId="0" applyFont="1" applyBorder="1" applyAlignment="1">
      <alignment horizontal="center" wrapText="1"/>
    </xf>
    <xf numFmtId="44" fontId="6" fillId="0" borderId="9" xfId="1" applyFont="1" applyBorder="1" applyAlignment="1">
      <alignment horizontal="center" wrapText="1"/>
    </xf>
    <xf numFmtId="7" fontId="6" fillId="0" borderId="19" xfId="1" applyNumberFormat="1" applyFont="1" applyFill="1" applyBorder="1" applyAlignment="1">
      <alignment horizontal="center" wrapText="1"/>
    </xf>
    <xf numFmtId="44" fontId="6" fillId="0" borderId="19" xfId="1" applyNumberFormat="1" applyFont="1" applyFill="1" applyBorder="1" applyAlignment="1">
      <alignment horizontal="center" wrapText="1"/>
    </xf>
    <xf numFmtId="44" fontId="6" fillId="0" borderId="9" xfId="1" applyNumberFormat="1" applyFont="1" applyFill="1" applyBorder="1" applyAlignment="1">
      <alignment horizontal="center" wrapText="1"/>
    </xf>
    <xf numFmtId="0" fontId="2" fillId="0" borderId="9" xfId="0" applyFont="1" applyBorder="1" applyAlignment="1">
      <alignment wrapText="1"/>
    </xf>
    <xf numFmtId="44" fontId="2" fillId="0" borderId="19" xfId="0" applyNumberFormat="1" applyFont="1" applyBorder="1" applyAlignment="1">
      <alignment horizontal="center" vertical="center"/>
    </xf>
    <xf numFmtId="165" fontId="6" fillId="2" borderId="22" xfId="1" applyNumberFormat="1" applyFont="1" applyFill="1" applyBorder="1" applyAlignment="1" applyProtection="1">
      <alignment horizontal="center"/>
      <protection locked="0"/>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6" fillId="0" borderId="4" xfId="0" applyFont="1" applyBorder="1" applyAlignment="1">
      <alignment horizontal="center" vertical="center" wrapText="1"/>
    </xf>
    <xf numFmtId="0" fontId="6" fillId="0" borderId="0" xfId="0" applyFont="1" applyBorder="1" applyAlignment="1">
      <alignment horizontal="center" vertical="center" wrapText="1"/>
    </xf>
    <xf numFmtId="0" fontId="9" fillId="0" borderId="0" xfId="0" applyFont="1" applyBorder="1" applyAlignment="1">
      <alignment horizontal="center" vertical="center" wrapText="1"/>
    </xf>
    <xf numFmtId="3" fontId="9" fillId="0" borderId="0" xfId="0" applyNumberFormat="1" applyFont="1" applyBorder="1" applyAlignment="1">
      <alignment horizontal="center" vertical="top" wrapText="1"/>
    </xf>
    <xf numFmtId="164" fontId="9" fillId="0" borderId="0" xfId="0" applyNumberFormat="1" applyFont="1" applyBorder="1" applyAlignment="1">
      <alignment horizontal="center" vertical="center" wrapText="1"/>
    </xf>
    <xf numFmtId="0" fontId="6" fillId="0" borderId="5" xfId="0" applyFont="1" applyBorder="1" applyAlignment="1">
      <alignment horizontal="center" vertical="top" wrapText="1"/>
    </xf>
    <xf numFmtId="0" fontId="6" fillId="0" borderId="12" xfId="0" applyFont="1" applyBorder="1" applyAlignment="1">
      <alignment vertical="top" wrapText="1"/>
    </xf>
    <xf numFmtId="44" fontId="6" fillId="0" borderId="23" xfId="1" applyFont="1" applyBorder="1" applyAlignment="1">
      <alignment wrapText="1"/>
    </xf>
    <xf numFmtId="0" fontId="6" fillId="0" borderId="0" xfId="0" applyFont="1" applyFill="1" applyAlignment="1">
      <alignment wrapText="1"/>
    </xf>
    <xf numFmtId="0" fontId="6" fillId="0" borderId="0" xfId="0" applyFont="1" applyFill="1" applyAlignment="1">
      <alignment horizontal="right" wrapText="1"/>
    </xf>
    <xf numFmtId="44" fontId="6" fillId="0" borderId="0" xfId="1" applyFont="1" applyFill="1" applyAlignment="1">
      <alignment wrapText="1"/>
    </xf>
    <xf numFmtId="44" fontId="6" fillId="0" borderId="0" xfId="0" applyNumberFormat="1" applyFont="1" applyFill="1" applyAlignment="1">
      <alignment wrapText="1"/>
    </xf>
    <xf numFmtId="0" fontId="6" fillId="0" borderId="0" xfId="0" applyFont="1" applyFill="1" applyAlignment="1">
      <alignment horizontal="right" vertical="top" wrapText="1"/>
    </xf>
    <xf numFmtId="44" fontId="6" fillId="0" borderId="0" xfId="0" applyNumberFormat="1" applyFont="1" applyFill="1" applyAlignment="1">
      <alignment horizontal="right" vertical="top" wrapText="1"/>
    </xf>
    <xf numFmtId="44" fontId="3" fillId="0" borderId="36" xfId="0" applyNumberFormat="1" applyFont="1" applyBorder="1"/>
    <xf numFmtId="0" fontId="3" fillId="0" borderId="12" xfId="0" applyFont="1" applyBorder="1"/>
    <xf numFmtId="2" fontId="6" fillId="2" borderId="22" xfId="1" applyNumberFormat="1" applyFont="1" applyFill="1" applyBorder="1" applyAlignment="1" applyProtection="1">
      <alignment horizontal="center"/>
      <protection locked="0"/>
    </xf>
    <xf numFmtId="0" fontId="6" fillId="0" borderId="9" xfId="0" applyFont="1" applyBorder="1" applyAlignment="1">
      <alignment horizontal="left" vertical="top" wrapText="1"/>
    </xf>
    <xf numFmtId="0" fontId="6" fillId="0" borderId="9" xfId="3" applyNumberFormat="1" applyFont="1" applyBorder="1" applyAlignment="1">
      <alignment horizontal="center" wrapText="1"/>
    </xf>
    <xf numFmtId="44" fontId="6" fillId="0" borderId="9" xfId="1" applyNumberFormat="1" applyFont="1" applyBorder="1" applyAlignment="1">
      <alignment horizontal="center" wrapText="1"/>
    </xf>
    <xf numFmtId="167" fontId="6" fillId="0" borderId="19" xfId="0" applyNumberFormat="1" applyFont="1" applyBorder="1" applyAlignment="1">
      <alignment horizontal="center" wrapText="1"/>
    </xf>
    <xf numFmtId="44" fontId="6" fillId="0" borderId="22" xfId="1" applyFont="1" applyFill="1" applyBorder="1" applyAlignment="1" applyProtection="1">
      <alignment horizontal="center"/>
      <protection locked="0"/>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6" fillId="0" borderId="4" xfId="0" applyFont="1" applyBorder="1" applyAlignment="1">
      <alignment horizontal="center" vertical="center"/>
    </xf>
    <xf numFmtId="0" fontId="6" fillId="0" borderId="0" xfId="0" applyFont="1" applyBorder="1" applyAlignment="1">
      <alignment horizontal="center" vertical="center"/>
    </xf>
    <xf numFmtId="49" fontId="6" fillId="0" borderId="14" xfId="0" applyNumberFormat="1" applyFont="1" applyFill="1" applyBorder="1" applyAlignment="1">
      <alignment vertical="top" wrapText="1"/>
    </xf>
    <xf numFmtId="0" fontId="6" fillId="0" borderId="31" xfId="0" applyFont="1" applyFill="1" applyBorder="1" applyAlignment="1">
      <alignment vertical="top" wrapText="1"/>
    </xf>
    <xf numFmtId="44" fontId="12" fillId="0" borderId="31" xfId="1" applyFont="1" applyFill="1" applyBorder="1" applyAlignment="1">
      <alignment vertical="top" wrapText="1"/>
    </xf>
    <xf numFmtId="0" fontId="6" fillId="0" borderId="0" xfId="0" applyFont="1" applyFill="1" applyAlignment="1">
      <alignment horizontal="left"/>
    </xf>
    <xf numFmtId="0" fontId="6" fillId="0" borderId="0" xfId="0" applyFont="1" applyFill="1" applyAlignment="1">
      <alignment horizontal="center" vertical="top" wrapText="1"/>
    </xf>
    <xf numFmtId="0" fontId="6" fillId="0" borderId="0" xfId="0" applyFont="1" applyFill="1" applyAlignment="1">
      <alignment horizontal="center"/>
    </xf>
    <xf numFmtId="44" fontId="10" fillId="0" borderId="20" xfId="1" applyNumberFormat="1" applyFont="1" applyFill="1" applyBorder="1" applyAlignment="1">
      <alignment vertical="top" wrapText="1"/>
    </xf>
    <xf numFmtId="44" fontId="6" fillId="0" borderId="23" xfId="1" applyFont="1" applyFill="1" applyBorder="1" applyAlignment="1">
      <alignment wrapText="1"/>
    </xf>
    <xf numFmtId="44" fontId="6" fillId="0" borderId="23" xfId="1" applyFont="1" applyFill="1" applyBorder="1"/>
    <xf numFmtId="44" fontId="10" fillId="0" borderId="29" xfId="1" applyFont="1" applyFill="1" applyBorder="1" applyAlignment="1">
      <alignment horizontal="center" vertical="top" wrapText="1"/>
    </xf>
    <xf numFmtId="165" fontId="6" fillId="0" borderId="22" xfId="1" applyNumberFormat="1" applyFont="1" applyFill="1" applyBorder="1" applyAlignment="1">
      <alignment wrapText="1"/>
    </xf>
    <xf numFmtId="44" fontId="10" fillId="0" borderId="32" xfId="1" applyFont="1" applyFill="1" applyBorder="1" applyAlignment="1">
      <alignment horizontal="center" vertical="top" wrapText="1"/>
    </xf>
    <xf numFmtId="44" fontId="6" fillId="0" borderId="21" xfId="1" applyFont="1" applyFill="1" applyBorder="1" applyAlignment="1">
      <alignment wrapText="1"/>
    </xf>
    <xf numFmtId="0" fontId="6" fillId="0" borderId="4"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9" fillId="0" borderId="0" xfId="0" applyFont="1" applyFill="1" applyBorder="1" applyAlignment="1">
      <alignment horizontal="center" vertical="center" wrapText="1"/>
    </xf>
    <xf numFmtId="3" fontId="9" fillId="0" borderId="0" xfId="0" applyNumberFormat="1" applyFont="1" applyFill="1" applyBorder="1" applyAlignment="1">
      <alignment horizontal="center" vertical="top" wrapText="1"/>
    </xf>
    <xf numFmtId="164" fontId="9" fillId="0" borderId="0" xfId="0" applyNumberFormat="1" applyFont="1" applyFill="1" applyBorder="1" applyAlignment="1">
      <alignment horizontal="center" vertical="center" wrapText="1"/>
    </xf>
    <xf numFmtId="0" fontId="6" fillId="0" borderId="5" xfId="0" applyFont="1" applyFill="1" applyBorder="1" applyAlignment="1">
      <alignment horizontal="center" vertical="top" wrapText="1"/>
    </xf>
    <xf numFmtId="0" fontId="6" fillId="0" borderId="12" xfId="0" applyFont="1" applyFill="1" applyBorder="1" applyAlignment="1">
      <alignment vertical="top" wrapText="1"/>
    </xf>
    <xf numFmtId="0" fontId="11" fillId="0" borderId="9" xfId="0" applyFont="1" applyFill="1" applyBorder="1" applyAlignment="1">
      <alignment vertical="top" wrapText="1"/>
    </xf>
    <xf numFmtId="3" fontId="6" fillId="0" borderId="9" xfId="0" applyNumberFormat="1" applyFont="1" applyFill="1" applyBorder="1" applyAlignment="1">
      <alignment horizontal="center" wrapText="1"/>
    </xf>
    <xf numFmtId="49" fontId="6" fillId="0" borderId="12" xfId="0" applyNumberFormat="1" applyFont="1" applyFill="1" applyBorder="1" applyAlignment="1">
      <alignment vertical="top" wrapText="1"/>
    </xf>
    <xf numFmtId="0" fontId="6" fillId="0" borderId="9" xfId="0" applyNumberFormat="1" applyFont="1" applyFill="1" applyBorder="1" applyAlignment="1">
      <alignment vertical="top" wrapText="1"/>
    </xf>
    <xf numFmtId="166" fontId="6" fillId="0" borderId="12" xfId="0" applyNumberFormat="1" applyFont="1" applyFill="1" applyBorder="1" applyAlignment="1">
      <alignment horizontal="left" vertical="top" wrapText="1"/>
    </xf>
    <xf numFmtId="166" fontId="6" fillId="0" borderId="9" xfId="0" applyNumberFormat="1" applyFont="1" applyFill="1" applyBorder="1" applyAlignment="1">
      <alignment horizontal="center" vertical="top" wrapText="1"/>
    </xf>
    <xf numFmtId="0" fontId="6" fillId="0" borderId="9" xfId="0" applyFont="1" applyFill="1" applyBorder="1" applyAlignment="1">
      <alignment horizontal="left" vertical="top" wrapText="1"/>
    </xf>
    <xf numFmtId="0" fontId="6" fillId="0" borderId="9" xfId="3" applyNumberFormat="1" applyFont="1" applyFill="1" applyBorder="1" applyAlignment="1">
      <alignment horizontal="center" wrapText="1"/>
    </xf>
    <xf numFmtId="167" fontId="6" fillId="0" borderId="19" xfId="0" applyNumberFormat="1" applyFont="1" applyFill="1" applyBorder="1" applyAlignment="1">
      <alignment horizontal="center" wrapText="1"/>
    </xf>
    <xf numFmtId="165" fontId="0" fillId="2" borderId="22" xfId="0" applyNumberFormat="1" applyFill="1" applyBorder="1" applyAlignment="1" applyProtection="1">
      <alignment vertical="center"/>
      <protection locked="0"/>
    </xf>
    <xf numFmtId="165" fontId="0" fillId="2" borderId="22" xfId="0" applyNumberFormat="1" applyFill="1" applyBorder="1" applyAlignment="1" applyProtection="1">
      <alignment horizontal="right" vertical="center"/>
      <protection locked="0"/>
    </xf>
    <xf numFmtId="165" fontId="0" fillId="2" borderId="22" xfId="0" applyNumberFormat="1" applyFill="1" applyBorder="1" applyAlignment="1" applyProtection="1">
      <alignment horizontal="right"/>
      <protection locked="0"/>
    </xf>
    <xf numFmtId="44" fontId="6" fillId="0" borderId="22" xfId="1" applyFont="1" applyFill="1" applyBorder="1" applyAlignment="1">
      <alignment wrapText="1"/>
    </xf>
    <xf numFmtId="0" fontId="6" fillId="0" borderId="0" xfId="0" applyFont="1" applyFill="1" applyAlignment="1">
      <alignment horizontal="left" wrapText="1"/>
    </xf>
    <xf numFmtId="0" fontId="6" fillId="0" borderId="0" xfId="0" applyFont="1" applyFill="1" applyAlignment="1">
      <alignment horizontal="center" wrapText="1"/>
    </xf>
    <xf numFmtId="44" fontId="6" fillId="0" borderId="21" xfId="1" applyFont="1" applyFill="1" applyBorder="1"/>
    <xf numFmtId="165" fontId="6" fillId="0" borderId="22" xfId="1" applyNumberFormat="1" applyFont="1" applyFill="1" applyBorder="1"/>
    <xf numFmtId="44" fontId="6" fillId="0" borderId="22" xfId="1" applyFont="1" applyFill="1" applyBorder="1"/>
    <xf numFmtId="166" fontId="6" fillId="0" borderId="9" xfId="0" applyNumberFormat="1" applyFont="1" applyBorder="1" applyAlignment="1">
      <alignment horizontal="left" vertical="top" wrapText="1"/>
    </xf>
    <xf numFmtId="3" fontId="6" fillId="0" borderId="9" xfId="3" applyNumberFormat="1" applyFont="1" applyBorder="1" applyAlignment="1">
      <alignment horizontal="center" wrapText="1"/>
    </xf>
    <xf numFmtId="0" fontId="6" fillId="0" borderId="4" xfId="0" applyFont="1" applyFill="1" applyBorder="1" applyAlignment="1">
      <alignment horizontal="center" vertical="center"/>
    </xf>
    <xf numFmtId="0" fontId="6" fillId="0" borderId="0" xfId="0" applyFont="1" applyFill="1" applyBorder="1" applyAlignment="1">
      <alignment horizontal="center" vertical="center"/>
    </xf>
    <xf numFmtId="0" fontId="9" fillId="0" borderId="0" xfId="0" applyFont="1" applyFill="1" applyBorder="1" applyAlignment="1">
      <alignment horizontal="center" vertical="center"/>
    </xf>
    <xf numFmtId="3" fontId="9" fillId="0" borderId="0" xfId="0" applyNumberFormat="1" applyFont="1" applyFill="1" applyBorder="1" applyAlignment="1">
      <alignment horizontal="center" vertical="top"/>
    </xf>
    <xf numFmtId="164" fontId="9" fillId="0" borderId="0" xfId="0" applyNumberFormat="1" applyFont="1" applyFill="1" applyBorder="1" applyAlignment="1">
      <alignment horizontal="center" vertical="center"/>
    </xf>
    <xf numFmtId="0" fontId="6" fillId="0" borderId="5" xfId="0" applyFont="1" applyFill="1" applyBorder="1" applyAlignment="1">
      <alignment horizontal="center" vertical="top"/>
    </xf>
    <xf numFmtId="0" fontId="6" fillId="0" borderId="12" xfId="0" applyFont="1" applyFill="1" applyBorder="1" applyAlignment="1">
      <alignment vertical="top"/>
    </xf>
    <xf numFmtId="3" fontId="6" fillId="0" borderId="9" xfId="0" applyNumberFormat="1" applyFont="1" applyFill="1" applyBorder="1" applyAlignment="1">
      <alignment horizontal="center"/>
    </xf>
    <xf numFmtId="0" fontId="6" fillId="0" borderId="9" xfId="0" applyFont="1" applyFill="1" applyBorder="1" applyAlignment="1">
      <alignment horizontal="center"/>
    </xf>
    <xf numFmtId="166" fontId="6" fillId="0" borderId="9" xfId="0" applyNumberFormat="1" applyFont="1" applyFill="1" applyBorder="1" applyAlignment="1">
      <alignment horizontal="left" vertical="top" wrapText="1"/>
    </xf>
    <xf numFmtId="44" fontId="2" fillId="0" borderId="19" xfId="0" applyNumberFormat="1" applyFont="1" applyBorder="1" applyAlignment="1">
      <alignment vertical="center"/>
    </xf>
    <xf numFmtId="44" fontId="0" fillId="0" borderId="0" xfId="0" applyNumberFormat="1"/>
    <xf numFmtId="164" fontId="6" fillId="0" borderId="19" xfId="0" applyNumberFormat="1" applyFont="1" applyBorder="1" applyAlignment="1">
      <alignment horizontal="center" wrapText="1"/>
    </xf>
    <xf numFmtId="0" fontId="6" fillId="0" borderId="37" xfId="0" applyFont="1" applyBorder="1" applyAlignment="1" applyProtection="1">
      <alignment horizontal="center"/>
      <protection locked="0"/>
    </xf>
    <xf numFmtId="0" fontId="6" fillId="0" borderId="37" xfId="0" applyFont="1" applyBorder="1" applyAlignment="1" applyProtection="1">
      <alignment horizontal="left"/>
      <protection locked="0"/>
    </xf>
    <xf numFmtId="0" fontId="6" fillId="0" borderId="38" xfId="0" applyFont="1" applyBorder="1"/>
    <xf numFmtId="0" fontId="6" fillId="0" borderId="37" xfId="0" applyFont="1" applyBorder="1" applyAlignment="1">
      <alignment horizontal="center"/>
    </xf>
    <xf numFmtId="0" fontId="6" fillId="0" borderId="37" xfId="0" applyFont="1" applyBorder="1"/>
    <xf numFmtId="0" fontId="6" fillId="0" borderId="9" xfId="0" applyFont="1" applyBorder="1" applyAlignment="1">
      <alignment horizontal="center"/>
    </xf>
    <xf numFmtId="0" fontId="6" fillId="0" borderId="9" xfId="0" applyFont="1" applyBorder="1"/>
    <xf numFmtId="0" fontId="6" fillId="0" borderId="9" xfId="0" applyFont="1" applyBorder="1" applyAlignment="1" applyProtection="1">
      <alignment horizontal="center"/>
      <protection locked="0"/>
    </xf>
    <xf numFmtId="0" fontId="6" fillId="0" borderId="9" xfId="0" applyFont="1" applyBorder="1" applyAlignment="1" applyProtection="1">
      <alignment horizontal="left"/>
      <protection locked="0"/>
    </xf>
    <xf numFmtId="0" fontId="6" fillId="0" borderId="39" xfId="0" applyFont="1" applyBorder="1"/>
    <xf numFmtId="165" fontId="6" fillId="0" borderId="22" xfId="1" applyNumberFormat="1" applyFont="1" applyFill="1" applyBorder="1" applyAlignment="1" applyProtection="1">
      <alignment horizontal="center"/>
      <protection locked="0"/>
    </xf>
    <xf numFmtId="0" fontId="3" fillId="0" borderId="24" xfId="0" applyFont="1" applyBorder="1" applyAlignment="1">
      <alignment horizontal="left" vertical="center"/>
    </xf>
    <xf numFmtId="0" fontId="3" fillId="0" borderId="25" xfId="0" applyFont="1" applyBorder="1" applyAlignment="1">
      <alignment horizontal="left" vertical="center"/>
    </xf>
    <xf numFmtId="0" fontId="3" fillId="0" borderId="26" xfId="0" applyFont="1" applyBorder="1" applyAlignment="1">
      <alignment horizontal="left" vertical="center"/>
    </xf>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8" fillId="0" borderId="15" xfId="0" applyFont="1" applyBorder="1" applyAlignment="1">
      <alignment horizontal="center" vertical="top" wrapText="1"/>
    </xf>
    <xf numFmtId="0" fontId="5" fillId="0" borderId="16" xfId="0" applyFont="1" applyBorder="1" applyAlignment="1">
      <alignment horizontal="center" vertical="top" wrapText="1"/>
    </xf>
    <xf numFmtId="0" fontId="5" fillId="0" borderId="17" xfId="0" applyFont="1" applyBorder="1" applyAlignment="1">
      <alignment horizontal="center" vertical="top" wrapText="1"/>
    </xf>
    <xf numFmtId="0" fontId="2" fillId="0" borderId="0" xfId="0" applyFont="1" applyBorder="1" applyAlignment="1">
      <alignment horizontal="center"/>
    </xf>
    <xf numFmtId="0" fontId="16" fillId="0" borderId="0" xfId="0" applyFont="1" applyBorder="1" applyAlignment="1">
      <alignment horizontal="center"/>
    </xf>
    <xf numFmtId="0" fontId="2" fillId="0" borderId="4" xfId="0" applyFont="1" applyBorder="1" applyAlignment="1">
      <alignment horizontal="left" vertical="top" wrapText="1"/>
    </xf>
    <xf numFmtId="0" fontId="2" fillId="0" borderId="0" xfId="0" applyFont="1" applyBorder="1" applyAlignment="1">
      <alignment horizontal="left" vertical="top" wrapText="1"/>
    </xf>
    <xf numFmtId="0" fontId="10" fillId="0" borderId="33" xfId="0" applyFont="1" applyFill="1" applyBorder="1" applyAlignment="1">
      <alignment horizontal="center" vertical="top" wrapText="1"/>
    </xf>
    <xf numFmtId="0" fontId="10" fillId="0" borderId="34" xfId="0" applyFont="1" applyFill="1" applyBorder="1" applyAlignment="1">
      <alignment horizontal="center" vertical="top" wrapText="1"/>
    </xf>
    <xf numFmtId="0" fontId="10" fillId="0" borderId="35" xfId="0" applyFont="1" applyFill="1" applyBorder="1" applyAlignment="1">
      <alignment horizontal="center" vertical="top" wrapText="1"/>
    </xf>
    <xf numFmtId="49" fontId="10" fillId="0" borderId="28" xfId="0" applyNumberFormat="1" applyFont="1" applyFill="1" applyBorder="1" applyAlignment="1">
      <alignment horizontal="center" vertical="top" wrapText="1"/>
    </xf>
    <xf numFmtId="49" fontId="10" fillId="0" borderId="29" xfId="0" applyNumberFormat="1" applyFont="1" applyFill="1" applyBorder="1" applyAlignment="1">
      <alignment horizontal="center"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0" xfId="0" applyFont="1" applyBorder="1" applyAlignment="1">
      <alignment horizontal="center" vertical="center" wrapText="1"/>
    </xf>
    <xf numFmtId="0" fontId="6" fillId="0" borderId="5" xfId="0" applyFont="1" applyBorder="1" applyAlignment="1">
      <alignment horizontal="center" vertical="center" wrapText="1"/>
    </xf>
    <xf numFmtId="0" fontId="10" fillId="0" borderId="4" xfId="0" applyFont="1" applyBorder="1" applyAlignment="1">
      <alignment horizontal="left" wrapText="1"/>
    </xf>
    <xf numFmtId="0" fontId="10" fillId="0" borderId="0" xfId="0" applyFont="1" applyBorder="1" applyAlignment="1">
      <alignment horizontal="left" wrapText="1"/>
    </xf>
    <xf numFmtId="0" fontId="10" fillId="0" borderId="5" xfId="0" applyFont="1" applyBorder="1" applyAlignment="1">
      <alignment horizontal="left" wrapText="1"/>
    </xf>
    <xf numFmtId="0" fontId="6" fillId="0" borderId="4" xfId="0" applyFont="1" applyBorder="1" applyAlignment="1">
      <alignment horizontal="left" wrapText="1"/>
    </xf>
    <xf numFmtId="0" fontId="1" fillId="0" borderId="0" xfId="0" applyFont="1" applyBorder="1" applyAlignment="1">
      <alignment horizontal="left" wrapText="1"/>
    </xf>
    <xf numFmtId="0" fontId="1" fillId="0" borderId="5" xfId="0" applyFont="1" applyBorder="1" applyAlignment="1">
      <alignment horizontal="left" wrapText="1"/>
    </xf>
    <xf numFmtId="44" fontId="8" fillId="0" borderId="15" xfId="1" applyFont="1" applyBorder="1" applyAlignment="1">
      <alignment horizontal="center" vertical="center" wrapText="1"/>
    </xf>
    <xf numFmtId="44" fontId="6" fillId="0" borderId="16" xfId="1" applyFont="1" applyBorder="1" applyAlignment="1">
      <alignment horizontal="center" vertical="center" wrapText="1"/>
    </xf>
    <xf numFmtId="0" fontId="6" fillId="0" borderId="0" xfId="0" applyFont="1" applyBorder="1" applyAlignment="1">
      <alignment horizontal="left" wrapText="1"/>
    </xf>
    <xf numFmtId="0" fontId="6" fillId="0" borderId="5" xfId="0" applyFont="1" applyBorder="1" applyAlignment="1">
      <alignment horizontal="left" wrapText="1"/>
    </xf>
    <xf numFmtId="49" fontId="10" fillId="0" borderId="30" xfId="0" applyNumberFormat="1" applyFont="1" applyFill="1" applyBorder="1" applyAlignment="1">
      <alignment horizontal="center" vertical="top" wrapText="1"/>
    </xf>
    <xf numFmtId="44" fontId="8" fillId="0" borderId="15" xfId="1" applyFont="1" applyFill="1" applyBorder="1" applyAlignment="1">
      <alignment horizontal="center" vertical="center" wrapText="1"/>
    </xf>
    <xf numFmtId="44" fontId="6" fillId="0" borderId="16" xfId="1"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10" fillId="0" borderId="4" xfId="0" applyFont="1" applyFill="1" applyBorder="1" applyAlignment="1">
      <alignment horizontal="left" wrapText="1"/>
    </xf>
    <xf numFmtId="0" fontId="10" fillId="0" borderId="0" xfId="0" applyFont="1" applyFill="1" applyBorder="1" applyAlignment="1">
      <alignment horizontal="left" wrapText="1"/>
    </xf>
    <xf numFmtId="0" fontId="10" fillId="0" borderId="5" xfId="0" applyFont="1" applyFill="1" applyBorder="1" applyAlignment="1">
      <alignment horizontal="left" wrapText="1"/>
    </xf>
    <xf numFmtId="0" fontId="6" fillId="0" borderId="4" xfId="0" applyFont="1" applyFill="1" applyBorder="1" applyAlignment="1">
      <alignment horizontal="left" wrapText="1"/>
    </xf>
    <xf numFmtId="0" fontId="6" fillId="0" borderId="0" xfId="0" applyFont="1" applyFill="1" applyBorder="1" applyAlignment="1">
      <alignment horizontal="left" wrapText="1"/>
    </xf>
    <xf numFmtId="0" fontId="6" fillId="0" borderId="5" xfId="0" applyFont="1" applyFill="1" applyBorder="1" applyAlignment="1">
      <alignment horizontal="left" wrapText="1"/>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44" fontId="8" fillId="0" borderId="16" xfId="1" applyFont="1" applyFill="1" applyBorder="1" applyAlignment="1">
      <alignment horizontal="center" vertical="center" wrapText="1"/>
    </xf>
    <xf numFmtId="44" fontId="8" fillId="0" borderId="17" xfId="1" applyFont="1" applyFill="1" applyBorder="1" applyAlignment="1">
      <alignment horizontal="center" vertical="center" wrapText="1"/>
    </xf>
    <xf numFmtId="0" fontId="6" fillId="0" borderId="4" xfId="0" applyFont="1" applyBorder="1" applyAlignment="1">
      <alignment horizontal="center" vertical="center"/>
    </xf>
    <xf numFmtId="0" fontId="6" fillId="0" borderId="0" xfId="0" applyFont="1" applyBorder="1" applyAlignment="1">
      <alignment horizontal="center" vertical="center"/>
    </xf>
    <xf numFmtId="0" fontId="6" fillId="0" borderId="5" xfId="0" applyFont="1" applyBorder="1" applyAlignment="1">
      <alignment horizontal="center" vertical="center"/>
    </xf>
    <xf numFmtId="0" fontId="10" fillId="0" borderId="4" xfId="0" applyFont="1" applyBorder="1" applyAlignment="1">
      <alignment horizontal="left"/>
    </xf>
    <xf numFmtId="0" fontId="10" fillId="0" borderId="0" xfId="0" applyFont="1" applyBorder="1" applyAlignment="1">
      <alignment horizontal="left"/>
    </xf>
    <xf numFmtId="0" fontId="10" fillId="0" borderId="5" xfId="0" applyFont="1" applyBorder="1" applyAlignment="1">
      <alignment horizontal="left"/>
    </xf>
    <xf numFmtId="0" fontId="6" fillId="0" borderId="4" xfId="0" applyFont="1" applyBorder="1" applyAlignment="1">
      <alignment horizontal="left"/>
    </xf>
    <xf numFmtId="0" fontId="6" fillId="0" borderId="0" xfId="0" applyFont="1" applyBorder="1" applyAlignment="1">
      <alignment horizontal="left"/>
    </xf>
    <xf numFmtId="0" fontId="6" fillId="0" borderId="5" xfId="0" applyFont="1" applyBorder="1" applyAlignment="1">
      <alignment horizontal="left"/>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1" xfId="0" applyFont="1" applyFill="1" applyBorder="1" applyAlignment="1">
      <alignment horizontal="center" vertical="center"/>
    </xf>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5" xfId="0" applyFont="1" applyFill="1" applyBorder="1" applyAlignment="1">
      <alignment horizontal="center" vertical="center"/>
    </xf>
    <xf numFmtId="0" fontId="10" fillId="0" borderId="4" xfId="0" applyFont="1" applyFill="1" applyBorder="1" applyAlignment="1">
      <alignment horizontal="left"/>
    </xf>
    <xf numFmtId="0" fontId="10" fillId="0" borderId="0" xfId="0" applyFont="1" applyFill="1" applyBorder="1" applyAlignment="1">
      <alignment horizontal="left"/>
    </xf>
    <xf numFmtId="0" fontId="10" fillId="0" borderId="5" xfId="0" applyFont="1" applyFill="1" applyBorder="1" applyAlignment="1">
      <alignment horizontal="left"/>
    </xf>
    <xf numFmtId="0" fontId="6" fillId="0" borderId="4" xfId="0" applyFont="1" applyFill="1" applyBorder="1" applyAlignment="1">
      <alignment horizontal="left"/>
    </xf>
    <xf numFmtId="0" fontId="6" fillId="0" borderId="0" xfId="0" applyFont="1" applyFill="1" applyBorder="1" applyAlignment="1">
      <alignment horizontal="left"/>
    </xf>
    <xf numFmtId="0" fontId="6" fillId="0" borderId="5" xfId="0" applyFont="1" applyFill="1" applyBorder="1" applyAlignment="1">
      <alignment horizontal="left"/>
    </xf>
    <xf numFmtId="0" fontId="18" fillId="3" borderId="9" xfId="0" applyFont="1" applyFill="1" applyBorder="1" applyAlignment="1">
      <alignment horizontal="center"/>
    </xf>
  </cellXfs>
  <cellStyles count="4">
    <cellStyle name="Currency" xfId="3" builtinId="4"/>
    <cellStyle name="Currency 2" xfId="1" xr:uid="{00000000-0005-0000-0000-000001000000}"/>
    <cellStyle name="Normal" xfId="0" builtinId="0"/>
    <cellStyle name="Normal 3 2" xfId="2" xr:uid="{00000000-0005-0000-0000-000003000000}"/>
  </cellStyles>
  <dxfs count="0"/>
  <tableStyles count="0" defaultTableStyle="TableStyleMedium2" defaultPivotStyle="PivotStyleLight16"/>
  <colors>
    <mruColors>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6"/>
  <sheetViews>
    <sheetView tabSelected="1" zoomScale="130" zoomScaleNormal="130" workbookViewId="0">
      <selection activeCell="D14" sqref="D14"/>
    </sheetView>
  </sheetViews>
  <sheetFormatPr defaultRowHeight="14.5" x14ac:dyDescent="0.35"/>
  <cols>
    <col min="1" max="1" width="11" customWidth="1"/>
    <col min="2" max="2" width="74.54296875" customWidth="1"/>
    <col min="3" max="3" width="13.26953125" customWidth="1"/>
    <col min="4" max="4" width="13.54296875" customWidth="1"/>
    <col min="5" max="5" width="12.54296875" customWidth="1"/>
    <col min="6" max="6" width="14.54296875" customWidth="1"/>
    <col min="7" max="7" width="11.81640625" customWidth="1"/>
  </cols>
  <sheetData>
    <row r="1" spans="1:7" ht="15" customHeight="1" x14ac:dyDescent="0.35">
      <c r="A1" s="1"/>
      <c r="B1" s="2"/>
      <c r="C1" s="2"/>
      <c r="D1" s="2"/>
      <c r="E1" s="2"/>
      <c r="F1" s="3"/>
      <c r="G1" s="175" t="s">
        <v>205</v>
      </c>
    </row>
    <row r="2" spans="1:7" x14ac:dyDescent="0.35">
      <c r="A2" s="8"/>
      <c r="B2" s="178" t="s">
        <v>179</v>
      </c>
      <c r="C2" s="178"/>
      <c r="D2" s="178"/>
      <c r="E2" s="178"/>
      <c r="F2" s="9"/>
      <c r="G2" s="176"/>
    </row>
    <row r="3" spans="1:7" x14ac:dyDescent="0.35">
      <c r="A3" s="8"/>
      <c r="B3" s="178" t="s">
        <v>0</v>
      </c>
      <c r="C3" s="178"/>
      <c r="D3" s="178"/>
      <c r="E3" s="178"/>
      <c r="F3" s="9"/>
      <c r="G3" s="176"/>
    </row>
    <row r="4" spans="1:7" x14ac:dyDescent="0.35">
      <c r="A4" s="8"/>
      <c r="B4" s="179" t="s">
        <v>255</v>
      </c>
      <c r="C4" s="179"/>
      <c r="D4" s="179"/>
      <c r="E4" s="179"/>
      <c r="F4" s="9"/>
      <c r="G4" s="176"/>
    </row>
    <row r="5" spans="1:7" x14ac:dyDescent="0.35">
      <c r="A5" s="8"/>
      <c r="B5" s="178" t="s">
        <v>1</v>
      </c>
      <c r="C5" s="178"/>
      <c r="D5" s="178"/>
      <c r="E5" s="178"/>
      <c r="F5" s="9"/>
      <c r="G5" s="176"/>
    </row>
    <row r="6" spans="1:7" x14ac:dyDescent="0.35">
      <c r="A6" s="8"/>
      <c r="B6" s="10"/>
      <c r="C6" s="10"/>
      <c r="D6" s="10"/>
      <c r="E6" s="10"/>
      <c r="F6" s="9"/>
      <c r="G6" s="176"/>
    </row>
    <row r="7" spans="1:7" ht="16.5" customHeight="1" x14ac:dyDescent="0.35">
      <c r="A7" s="172" t="s">
        <v>242</v>
      </c>
      <c r="B7" s="173"/>
      <c r="C7" s="173"/>
      <c r="D7" s="173"/>
      <c r="E7" s="173"/>
      <c r="F7" s="174"/>
      <c r="G7" s="176"/>
    </row>
    <row r="8" spans="1:7" ht="15.75" customHeight="1" x14ac:dyDescent="0.35">
      <c r="A8" s="180" t="s">
        <v>223</v>
      </c>
      <c r="B8" s="181"/>
      <c r="C8" s="181"/>
      <c r="D8" s="181"/>
      <c r="E8" s="77"/>
      <c r="F8" s="78"/>
      <c r="G8" s="176"/>
    </row>
    <row r="9" spans="1:7" ht="15" customHeight="1" x14ac:dyDescent="0.35">
      <c r="A9" s="11" t="s">
        <v>238</v>
      </c>
      <c r="B9" s="12"/>
      <c r="C9" s="10"/>
      <c r="D9" s="10"/>
      <c r="E9" s="10"/>
      <c r="F9" s="9"/>
      <c r="G9" s="176"/>
    </row>
    <row r="10" spans="1:7" ht="15.75" customHeight="1" thickBot="1" x14ac:dyDescent="0.4">
      <c r="A10" s="11"/>
      <c r="B10" s="12"/>
      <c r="C10" s="10"/>
      <c r="D10" s="10"/>
      <c r="E10" s="10"/>
      <c r="F10" s="9"/>
      <c r="G10" s="176"/>
    </row>
    <row r="11" spans="1:7" ht="29" thickBot="1" x14ac:dyDescent="0.4">
      <c r="A11" s="4" t="s">
        <v>2</v>
      </c>
      <c r="B11" s="5" t="s">
        <v>3</v>
      </c>
      <c r="C11" s="6" t="s">
        <v>4</v>
      </c>
      <c r="D11" s="6" t="s">
        <v>5</v>
      </c>
      <c r="E11" s="6" t="s">
        <v>6</v>
      </c>
      <c r="F11" s="7" t="s">
        <v>23</v>
      </c>
      <c r="G11" s="177"/>
    </row>
    <row r="12" spans="1:7" x14ac:dyDescent="0.35">
      <c r="A12" s="17" t="s">
        <v>7</v>
      </c>
      <c r="B12" s="18" t="s">
        <v>8</v>
      </c>
      <c r="C12" s="19"/>
      <c r="D12" s="19"/>
      <c r="E12" s="19"/>
      <c r="F12" s="24"/>
      <c r="G12" s="27"/>
    </row>
    <row r="13" spans="1:7" ht="42.5" x14ac:dyDescent="0.35">
      <c r="A13" s="20"/>
      <c r="B13" s="74" t="s">
        <v>319</v>
      </c>
      <c r="C13" s="14">
        <v>12</v>
      </c>
      <c r="D13" s="14" t="s">
        <v>9</v>
      </c>
      <c r="E13" s="30">
        <f>G13</f>
        <v>0</v>
      </c>
      <c r="F13" s="75">
        <f>C13*E13</f>
        <v>0</v>
      </c>
      <c r="G13" s="134"/>
    </row>
    <row r="14" spans="1:7" x14ac:dyDescent="0.35">
      <c r="A14" s="20"/>
      <c r="B14" s="15" t="s">
        <v>11</v>
      </c>
      <c r="C14" s="14"/>
      <c r="D14" s="14"/>
      <c r="E14" s="23"/>
      <c r="F14" s="26">
        <f>F13</f>
        <v>0</v>
      </c>
      <c r="G14" s="28"/>
    </row>
    <row r="15" spans="1:7" x14ac:dyDescent="0.35">
      <c r="A15" s="94" t="s">
        <v>224</v>
      </c>
      <c r="B15" s="16" t="s">
        <v>10</v>
      </c>
      <c r="C15" s="14"/>
      <c r="D15" s="14"/>
      <c r="E15" s="23"/>
      <c r="F15" s="25"/>
      <c r="G15" s="28"/>
    </row>
    <row r="16" spans="1:7" ht="28.5" x14ac:dyDescent="0.35">
      <c r="A16" s="20"/>
      <c r="B16" s="74" t="s">
        <v>320</v>
      </c>
      <c r="C16" s="14">
        <v>12</v>
      </c>
      <c r="D16" s="14" t="s">
        <v>9</v>
      </c>
      <c r="E16" s="30">
        <f>G16</f>
        <v>0</v>
      </c>
      <c r="F16" s="75">
        <f>C16*E16</f>
        <v>0</v>
      </c>
      <c r="G16" s="135"/>
    </row>
    <row r="17" spans="1:7" x14ac:dyDescent="0.35">
      <c r="A17" s="20"/>
      <c r="B17" s="15" t="s">
        <v>12</v>
      </c>
      <c r="C17" s="14"/>
      <c r="D17" s="14"/>
      <c r="E17" s="23"/>
      <c r="F17" s="26">
        <f>F16</f>
        <v>0</v>
      </c>
      <c r="G17" s="28"/>
    </row>
    <row r="18" spans="1:7" x14ac:dyDescent="0.35">
      <c r="A18" s="94" t="s">
        <v>225</v>
      </c>
      <c r="B18" s="16" t="s">
        <v>13</v>
      </c>
      <c r="C18" s="14"/>
      <c r="D18" s="14"/>
      <c r="E18" s="23"/>
      <c r="F18" s="25"/>
      <c r="G18" s="28"/>
    </row>
    <row r="19" spans="1:7" ht="28.5" x14ac:dyDescent="0.35">
      <c r="A19" s="20"/>
      <c r="B19" s="74" t="s">
        <v>321</v>
      </c>
      <c r="C19" s="14">
        <v>12</v>
      </c>
      <c r="D19" s="14" t="s">
        <v>9</v>
      </c>
      <c r="E19" s="30">
        <f>G19</f>
        <v>0</v>
      </c>
      <c r="F19" s="155">
        <f>C19*E19</f>
        <v>0</v>
      </c>
      <c r="G19" s="135"/>
    </row>
    <row r="20" spans="1:7" ht="15" thickBot="1" x14ac:dyDescent="0.4">
      <c r="A20" s="21"/>
      <c r="B20" s="15" t="s">
        <v>14</v>
      </c>
      <c r="C20" s="14"/>
      <c r="D20" s="14"/>
      <c r="E20" s="23"/>
      <c r="F20" s="93">
        <f>F19</f>
        <v>0</v>
      </c>
      <c r="G20" s="28"/>
    </row>
    <row r="21" spans="1:7" ht="15.5" thickTop="1" thickBot="1" x14ac:dyDescent="0.4">
      <c r="A21" s="22"/>
      <c r="B21" s="169" t="s">
        <v>293</v>
      </c>
      <c r="C21" s="170"/>
      <c r="D21" s="170"/>
      <c r="E21" s="171"/>
      <c r="F21" s="31">
        <f>F14+F17+F20</f>
        <v>0</v>
      </c>
      <c r="G21" s="29"/>
    </row>
    <row r="22" spans="1:7" x14ac:dyDescent="0.35">
      <c r="A22" s="32"/>
    </row>
    <row r="24" spans="1:7" ht="36" customHeight="1" x14ac:dyDescent="0.35">
      <c r="F24" s="156"/>
    </row>
    <row r="26" spans="1:7" x14ac:dyDescent="0.35">
      <c r="B26" s="156"/>
    </row>
  </sheetData>
  <sheetProtection algorithmName="SHA-512" hashValue="f8XoyNEUIiCBDz/4FByMa989qjIYhGNYDrh0Oog6myZPWf3e8oCF8MjRPd/xdP/6ga6EbCX3DkPrY6eiYekxbQ==" saltValue="CUjkzozskwb7thzR9l/OPQ==" spinCount="100000" sheet="1"/>
  <mergeCells count="8">
    <mergeCell ref="B21:E21"/>
    <mergeCell ref="A7:F7"/>
    <mergeCell ref="G1:G11"/>
    <mergeCell ref="B2:E2"/>
    <mergeCell ref="B3:E3"/>
    <mergeCell ref="B4:E4"/>
    <mergeCell ref="B5:E5"/>
    <mergeCell ref="A8:D8"/>
  </mergeCells>
  <pageMargins left="0.7" right="0.7" top="0.75" bottom="0.75" header="0.3" footer="0.3"/>
  <pageSetup scale="80" fitToHeight="2" orientation="landscape" r:id="rId1"/>
  <headerFooter>
    <oddFooter>&amp;C14-21-2493
0200000-09,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37"/>
  <sheetViews>
    <sheetView topLeftCell="A31" zoomScale="130" zoomScaleNormal="130" workbookViewId="0">
      <selection activeCell="B46" sqref="B46"/>
    </sheetView>
  </sheetViews>
  <sheetFormatPr defaultColWidth="9.1796875" defaultRowHeight="13" x14ac:dyDescent="0.3"/>
  <cols>
    <col min="1" max="1" width="10.81640625" style="33" customWidth="1"/>
    <col min="2" max="2" width="24.54296875" style="33" customWidth="1"/>
    <col min="3" max="3" width="61.54296875" style="57" bestFit="1" customWidth="1"/>
    <col min="4" max="4" width="12.1796875" style="58" customWidth="1"/>
    <col min="5" max="5" width="14.453125" style="59" bestFit="1" customWidth="1"/>
    <col min="6" max="6" width="10.81640625" style="33" bestFit="1" customWidth="1"/>
    <col min="7" max="7" width="11.26953125" style="33" bestFit="1" customWidth="1"/>
    <col min="8" max="8" width="16.1796875" style="60" customWidth="1"/>
    <col min="9" max="9" width="11.54296875" style="60" bestFit="1" customWidth="1"/>
    <col min="10" max="10" width="9.1796875" style="33"/>
    <col min="11" max="16" width="0" style="33" hidden="1" customWidth="1"/>
    <col min="17" max="16384" width="9.1796875" style="33"/>
  </cols>
  <sheetData>
    <row r="1" spans="1:16" ht="12.75" customHeight="1" x14ac:dyDescent="0.3">
      <c r="A1" s="187" t="s">
        <v>179</v>
      </c>
      <c r="B1" s="188"/>
      <c r="C1" s="188"/>
      <c r="D1" s="188"/>
      <c r="E1" s="188"/>
      <c r="F1" s="188"/>
      <c r="G1" s="189"/>
      <c r="H1" s="199" t="s">
        <v>96</v>
      </c>
    </row>
    <row r="2" spans="1:16" ht="12.75" customHeight="1" x14ac:dyDescent="0.3">
      <c r="A2" s="190" t="s">
        <v>0</v>
      </c>
      <c r="B2" s="191"/>
      <c r="C2" s="191"/>
      <c r="D2" s="191"/>
      <c r="E2" s="191"/>
      <c r="F2" s="191"/>
      <c r="G2" s="192"/>
      <c r="H2" s="200"/>
    </row>
    <row r="3" spans="1:16" ht="12.75" customHeight="1" x14ac:dyDescent="0.3">
      <c r="A3" s="190" t="s">
        <v>255</v>
      </c>
      <c r="B3" s="191"/>
      <c r="C3" s="191"/>
      <c r="D3" s="191"/>
      <c r="E3" s="191"/>
      <c r="F3" s="191"/>
      <c r="G3" s="192"/>
      <c r="H3" s="200"/>
    </row>
    <row r="4" spans="1:16" ht="12.75" customHeight="1" x14ac:dyDescent="0.3">
      <c r="A4" s="190" t="s">
        <v>1</v>
      </c>
      <c r="B4" s="191"/>
      <c r="C4" s="191"/>
      <c r="D4" s="191"/>
      <c r="E4" s="191"/>
      <c r="F4" s="191"/>
      <c r="G4" s="192"/>
      <c r="H4" s="200"/>
    </row>
    <row r="5" spans="1:16" ht="12.75" customHeight="1" x14ac:dyDescent="0.3">
      <c r="A5" s="79"/>
      <c r="B5" s="80"/>
      <c r="C5" s="81"/>
      <c r="D5" s="82"/>
      <c r="E5" s="81"/>
      <c r="F5" s="83"/>
      <c r="G5" s="84"/>
      <c r="H5" s="200"/>
    </row>
    <row r="6" spans="1:16" x14ac:dyDescent="0.3">
      <c r="A6" s="193" t="s">
        <v>243</v>
      </c>
      <c r="B6" s="194"/>
      <c r="C6" s="194"/>
      <c r="D6" s="194"/>
      <c r="E6" s="194"/>
      <c r="F6" s="194"/>
      <c r="G6" s="195"/>
      <c r="H6" s="200"/>
    </row>
    <row r="7" spans="1:16" ht="12.75" customHeight="1" x14ac:dyDescent="0.3">
      <c r="A7" s="196" t="s">
        <v>187</v>
      </c>
      <c r="B7" s="197"/>
      <c r="C7" s="197"/>
      <c r="D7" s="197"/>
      <c r="E7" s="197"/>
      <c r="F7" s="197"/>
      <c r="G7" s="198"/>
      <c r="H7" s="200"/>
    </row>
    <row r="8" spans="1:16" ht="13.5" thickBot="1" x14ac:dyDescent="0.35">
      <c r="A8" s="196"/>
      <c r="B8" s="201"/>
      <c r="C8" s="201"/>
      <c r="D8" s="201"/>
      <c r="E8" s="201"/>
      <c r="F8" s="201"/>
      <c r="G8" s="202"/>
      <c r="H8" s="200"/>
    </row>
    <row r="9" spans="1:16" s="41" customFormat="1" ht="26.5" thickBot="1" x14ac:dyDescent="0.35">
      <c r="A9" s="38" t="s">
        <v>24</v>
      </c>
      <c r="B9" s="39" t="s">
        <v>25</v>
      </c>
      <c r="C9" s="40" t="s">
        <v>26</v>
      </c>
      <c r="D9" s="40" t="s">
        <v>27</v>
      </c>
      <c r="E9" s="40" t="s">
        <v>5</v>
      </c>
      <c r="F9" s="61" t="s">
        <v>6</v>
      </c>
      <c r="G9" s="62" t="s">
        <v>28</v>
      </c>
      <c r="H9" s="200"/>
      <c r="I9" s="63"/>
    </row>
    <row r="10" spans="1:16" s="41" customFormat="1" ht="15.75" customHeight="1" x14ac:dyDescent="0.3">
      <c r="A10" s="185" t="s">
        <v>220</v>
      </c>
      <c r="B10" s="186"/>
      <c r="C10" s="186"/>
      <c r="D10" s="186"/>
      <c r="E10" s="186"/>
      <c r="F10" s="203"/>
      <c r="G10" s="116"/>
      <c r="H10" s="117"/>
      <c r="I10" s="63"/>
    </row>
    <row r="11" spans="1:16" ht="39" x14ac:dyDescent="0.3">
      <c r="A11" s="85" t="s">
        <v>29</v>
      </c>
      <c r="B11" s="43" t="s">
        <v>30</v>
      </c>
      <c r="C11" s="43" t="s">
        <v>318</v>
      </c>
      <c r="D11" s="68">
        <v>1000</v>
      </c>
      <c r="E11" s="69" t="s">
        <v>32</v>
      </c>
      <c r="F11" s="70">
        <f>H11</f>
        <v>0</v>
      </c>
      <c r="G11" s="72">
        <f>D11*F11</f>
        <v>0</v>
      </c>
      <c r="H11" s="76"/>
    </row>
    <row r="12" spans="1:16" ht="44.25" customHeight="1" x14ac:dyDescent="0.3">
      <c r="A12" s="85" t="s">
        <v>33</v>
      </c>
      <c r="B12" s="44" t="s">
        <v>34</v>
      </c>
      <c r="C12" s="45" t="s">
        <v>317</v>
      </c>
      <c r="D12" s="68">
        <v>1500</v>
      </c>
      <c r="E12" s="69" t="s">
        <v>32</v>
      </c>
      <c r="F12" s="70">
        <f t="shared" ref="F12:F13" si="0">H12</f>
        <v>0</v>
      </c>
      <c r="G12" s="72">
        <f t="shared" ref="G12:G13" si="1">D12*F12</f>
        <v>0</v>
      </c>
      <c r="H12" s="76"/>
    </row>
    <row r="13" spans="1:16" ht="39" x14ac:dyDescent="0.3">
      <c r="A13" s="85" t="s">
        <v>36</v>
      </c>
      <c r="B13" s="44" t="s">
        <v>37</v>
      </c>
      <c r="C13" s="43" t="s">
        <v>316</v>
      </c>
      <c r="D13" s="68">
        <v>4</v>
      </c>
      <c r="E13" s="69" t="s">
        <v>39</v>
      </c>
      <c r="F13" s="70">
        <f t="shared" si="0"/>
        <v>0</v>
      </c>
      <c r="G13" s="72">
        <f t="shared" si="1"/>
        <v>0</v>
      </c>
      <c r="H13" s="76"/>
    </row>
    <row r="14" spans="1:16" s="41" customFormat="1" ht="15.75" customHeight="1" x14ac:dyDescent="0.3">
      <c r="A14" s="185" t="s">
        <v>221</v>
      </c>
      <c r="B14" s="186"/>
      <c r="C14" s="186"/>
      <c r="D14" s="186"/>
      <c r="E14" s="186"/>
      <c r="F14" s="203"/>
      <c r="G14" s="116"/>
      <c r="H14" s="115"/>
      <c r="I14" s="63"/>
    </row>
    <row r="15" spans="1:16" s="41" customFormat="1" ht="104.25" customHeight="1" x14ac:dyDescent="0.3">
      <c r="A15" s="46" t="s">
        <v>40</v>
      </c>
      <c r="B15" s="45" t="s">
        <v>41</v>
      </c>
      <c r="C15" s="45" t="s">
        <v>188</v>
      </c>
      <c r="D15" s="67">
        <v>12</v>
      </c>
      <c r="E15" s="67" t="s">
        <v>42</v>
      </c>
      <c r="F15" s="66">
        <f>H15</f>
        <v>0</v>
      </c>
      <c r="G15" s="72">
        <f>D15*F15</f>
        <v>0</v>
      </c>
      <c r="H15" s="76"/>
      <c r="I15" s="60"/>
      <c r="L15" s="48" t="s">
        <v>43</v>
      </c>
      <c r="M15" s="48" t="s">
        <v>44</v>
      </c>
      <c r="N15" s="48" t="s">
        <v>45</v>
      </c>
      <c r="O15" s="48" t="s">
        <v>46</v>
      </c>
      <c r="P15" s="48" t="s">
        <v>47</v>
      </c>
    </row>
    <row r="16" spans="1:16" s="41" customFormat="1" ht="65.25" customHeight="1" x14ac:dyDescent="0.3">
      <c r="A16" s="46" t="s">
        <v>48</v>
      </c>
      <c r="B16" s="45" t="s">
        <v>49</v>
      </c>
      <c r="C16" s="45" t="s">
        <v>189</v>
      </c>
      <c r="D16" s="67">
        <v>4</v>
      </c>
      <c r="E16" s="67" t="s">
        <v>42</v>
      </c>
      <c r="F16" s="66">
        <f t="shared" ref="F16:F31" si="2">H16</f>
        <v>0</v>
      </c>
      <c r="G16" s="72">
        <f t="shared" ref="G16:G31" si="3">D16*F16</f>
        <v>0</v>
      </c>
      <c r="H16" s="76"/>
      <c r="I16" s="60"/>
      <c r="L16" s="41">
        <v>100</v>
      </c>
      <c r="M16" s="41">
        <f>L16/2</f>
        <v>50</v>
      </c>
      <c r="N16" s="41">
        <f>L16/4</f>
        <v>25</v>
      </c>
      <c r="O16" s="41">
        <f>L16+M16</f>
        <v>150</v>
      </c>
      <c r="P16" s="41">
        <f>L16+N16</f>
        <v>125</v>
      </c>
    </row>
    <row r="17" spans="1:16" s="41" customFormat="1" ht="53.25" customHeight="1" x14ac:dyDescent="0.3">
      <c r="A17" s="46" t="s">
        <v>50</v>
      </c>
      <c r="B17" s="45" t="s">
        <v>51</v>
      </c>
      <c r="C17" s="45" t="s">
        <v>190</v>
      </c>
      <c r="D17" s="67">
        <v>4</v>
      </c>
      <c r="E17" s="67" t="s">
        <v>52</v>
      </c>
      <c r="F17" s="66">
        <f t="shared" si="2"/>
        <v>0</v>
      </c>
      <c r="G17" s="72">
        <f t="shared" si="3"/>
        <v>0</v>
      </c>
      <c r="H17" s="95"/>
      <c r="I17" s="60"/>
      <c r="K17" s="49">
        <v>222.51</v>
      </c>
      <c r="L17" s="41">
        <v>148.34</v>
      </c>
      <c r="M17" s="41">
        <f>L17/2</f>
        <v>74.17</v>
      </c>
      <c r="N17" s="41">
        <f>L17/4</f>
        <v>37.085000000000001</v>
      </c>
      <c r="O17" s="41">
        <f>L17+M17</f>
        <v>222.51</v>
      </c>
      <c r="P17" s="41">
        <f>L17+N17</f>
        <v>185.42500000000001</v>
      </c>
    </row>
    <row r="18" spans="1:16" s="41" customFormat="1" ht="39" x14ac:dyDescent="0.3">
      <c r="A18" s="46" t="s">
        <v>53</v>
      </c>
      <c r="B18" s="45" t="s">
        <v>54</v>
      </c>
      <c r="C18" s="45" t="s">
        <v>191</v>
      </c>
      <c r="D18" s="67">
        <v>4</v>
      </c>
      <c r="E18" s="67" t="s">
        <v>55</v>
      </c>
      <c r="F18" s="66">
        <f t="shared" si="2"/>
        <v>0</v>
      </c>
      <c r="G18" s="72">
        <f t="shared" si="3"/>
        <v>0</v>
      </c>
      <c r="H18" s="95"/>
      <c r="I18" s="60"/>
      <c r="L18" s="50" t="s">
        <v>56</v>
      </c>
      <c r="M18" s="50" t="s">
        <v>57</v>
      </c>
      <c r="N18" s="50" t="s">
        <v>58</v>
      </c>
      <c r="O18" s="51" t="s">
        <v>59</v>
      </c>
      <c r="P18" s="50" t="s">
        <v>60</v>
      </c>
    </row>
    <row r="19" spans="1:16" s="41" customFormat="1" ht="52" x14ac:dyDescent="0.3">
      <c r="A19" s="46" t="s">
        <v>61</v>
      </c>
      <c r="B19" s="45" t="s">
        <v>62</v>
      </c>
      <c r="C19" s="45" t="s">
        <v>315</v>
      </c>
      <c r="D19" s="67">
        <v>4</v>
      </c>
      <c r="E19" s="67" t="s">
        <v>55</v>
      </c>
      <c r="F19" s="66">
        <f t="shared" si="2"/>
        <v>0</v>
      </c>
      <c r="G19" s="72">
        <f t="shared" si="3"/>
        <v>0</v>
      </c>
      <c r="H19" s="95"/>
      <c r="I19" s="60"/>
      <c r="K19" s="49">
        <f>F19/5</f>
        <v>0</v>
      </c>
      <c r="L19" s="49">
        <f>K19*2</f>
        <v>0</v>
      </c>
      <c r="M19" s="49">
        <f>K19*5</f>
        <v>0</v>
      </c>
    </row>
    <row r="20" spans="1:16" s="41" customFormat="1" ht="42" customHeight="1" x14ac:dyDescent="0.3">
      <c r="A20" s="46" t="s">
        <v>63</v>
      </c>
      <c r="B20" s="45" t="s">
        <v>64</v>
      </c>
      <c r="C20" s="45" t="s">
        <v>314</v>
      </c>
      <c r="D20" s="67">
        <v>4</v>
      </c>
      <c r="E20" s="67" t="s">
        <v>65</v>
      </c>
      <c r="F20" s="66">
        <f t="shared" si="2"/>
        <v>0</v>
      </c>
      <c r="G20" s="72">
        <f t="shared" si="3"/>
        <v>0</v>
      </c>
      <c r="H20" s="95"/>
      <c r="I20" s="60"/>
      <c r="K20" s="49">
        <f>F20/7</f>
        <v>0</v>
      </c>
      <c r="L20" s="49">
        <f>K20*2</f>
        <v>0</v>
      </c>
      <c r="M20" s="49">
        <f>K20*7</f>
        <v>0</v>
      </c>
    </row>
    <row r="21" spans="1:16" s="41" customFormat="1" ht="78" x14ac:dyDescent="0.3">
      <c r="A21" s="46" t="s">
        <v>66</v>
      </c>
      <c r="B21" s="45" t="s">
        <v>67</v>
      </c>
      <c r="C21" s="45" t="s">
        <v>313</v>
      </c>
      <c r="D21" s="67">
        <v>12</v>
      </c>
      <c r="E21" s="67" t="s">
        <v>55</v>
      </c>
      <c r="F21" s="66">
        <f t="shared" si="2"/>
        <v>0</v>
      </c>
      <c r="G21" s="72">
        <f t="shared" si="3"/>
        <v>0</v>
      </c>
      <c r="H21" s="95"/>
      <c r="I21" s="60"/>
    </row>
    <row r="22" spans="1:16" s="41" customFormat="1" ht="65" x14ac:dyDescent="0.3">
      <c r="A22" s="46" t="s">
        <v>68</v>
      </c>
      <c r="B22" s="45" t="s">
        <v>69</v>
      </c>
      <c r="C22" s="45" t="s">
        <v>312</v>
      </c>
      <c r="D22" s="67">
        <v>4</v>
      </c>
      <c r="E22" s="67" t="s">
        <v>55</v>
      </c>
      <c r="F22" s="66">
        <f t="shared" si="2"/>
        <v>0</v>
      </c>
      <c r="G22" s="72">
        <f t="shared" si="3"/>
        <v>0</v>
      </c>
      <c r="H22" s="76"/>
      <c r="I22" s="60"/>
    </row>
    <row r="23" spans="1:16" s="41" customFormat="1" ht="39" x14ac:dyDescent="0.3">
      <c r="A23" s="46" t="s">
        <v>70</v>
      </c>
      <c r="B23" s="45" t="s">
        <v>71</v>
      </c>
      <c r="C23" s="45" t="s">
        <v>311</v>
      </c>
      <c r="D23" s="67">
        <v>4</v>
      </c>
      <c r="E23" s="67" t="s">
        <v>55</v>
      </c>
      <c r="F23" s="66">
        <f t="shared" si="2"/>
        <v>0</v>
      </c>
      <c r="G23" s="72">
        <f t="shared" si="3"/>
        <v>0</v>
      </c>
      <c r="H23" s="76"/>
      <c r="I23" s="60"/>
    </row>
    <row r="24" spans="1:16" s="41" customFormat="1" ht="52" x14ac:dyDescent="0.3">
      <c r="A24" s="46" t="s">
        <v>72</v>
      </c>
      <c r="B24" s="45" t="s">
        <v>73</v>
      </c>
      <c r="C24" s="45" t="s">
        <v>310</v>
      </c>
      <c r="D24" s="67">
        <v>1</v>
      </c>
      <c r="E24" s="67" t="s">
        <v>55</v>
      </c>
      <c r="F24" s="66">
        <f t="shared" si="2"/>
        <v>0</v>
      </c>
      <c r="G24" s="72">
        <f t="shared" si="3"/>
        <v>0</v>
      </c>
      <c r="H24" s="76"/>
      <c r="I24" s="60"/>
      <c r="L24" s="48" t="s">
        <v>43</v>
      </c>
      <c r="M24" s="48" t="s">
        <v>44</v>
      </c>
      <c r="N24" s="48" t="s">
        <v>45</v>
      </c>
      <c r="O24" s="48" t="s">
        <v>46</v>
      </c>
      <c r="P24" s="48" t="s">
        <v>47</v>
      </c>
    </row>
    <row r="25" spans="1:16" s="41" customFormat="1" ht="63.75" customHeight="1" x14ac:dyDescent="0.3">
      <c r="A25" s="46" t="s">
        <v>74</v>
      </c>
      <c r="B25" s="45" t="s">
        <v>75</v>
      </c>
      <c r="C25" s="45" t="s">
        <v>198</v>
      </c>
      <c r="D25" s="67">
        <v>1</v>
      </c>
      <c r="E25" s="67" t="s">
        <v>76</v>
      </c>
      <c r="F25" s="66">
        <f t="shared" si="2"/>
        <v>0</v>
      </c>
      <c r="G25" s="72">
        <f t="shared" si="3"/>
        <v>0</v>
      </c>
      <c r="H25" s="76"/>
      <c r="I25" s="60"/>
      <c r="L25" s="41">
        <v>100</v>
      </c>
      <c r="M25" s="41">
        <f>L25/2</f>
        <v>50</v>
      </c>
      <c r="N25" s="41">
        <f>L25/4</f>
        <v>25</v>
      </c>
      <c r="O25" s="41">
        <f>L25+M25</f>
        <v>150</v>
      </c>
      <c r="P25" s="41">
        <f>L25+N25</f>
        <v>125</v>
      </c>
    </row>
    <row r="26" spans="1:16" s="52" customFormat="1" ht="65" x14ac:dyDescent="0.3">
      <c r="A26" s="46" t="s">
        <v>77</v>
      </c>
      <c r="B26" s="45" t="s">
        <v>78</v>
      </c>
      <c r="C26" s="45" t="s">
        <v>309</v>
      </c>
      <c r="D26" s="67">
        <v>1</v>
      </c>
      <c r="E26" s="67" t="s">
        <v>79</v>
      </c>
      <c r="F26" s="66">
        <f t="shared" si="2"/>
        <v>0</v>
      </c>
      <c r="G26" s="72">
        <f t="shared" si="3"/>
        <v>0</v>
      </c>
      <c r="H26" s="76"/>
      <c r="I26" s="60"/>
      <c r="K26" s="52">
        <v>376.96</v>
      </c>
      <c r="L26" s="41">
        <v>250</v>
      </c>
      <c r="M26" s="41">
        <f>L26/2</f>
        <v>125</v>
      </c>
      <c r="N26" s="41">
        <f>L26/4</f>
        <v>62.5</v>
      </c>
      <c r="O26" s="41">
        <f>L26+M26</f>
        <v>375</v>
      </c>
      <c r="P26" s="41">
        <f>L26+N26</f>
        <v>312.5</v>
      </c>
    </row>
    <row r="27" spans="1:16" s="41" customFormat="1" ht="39" x14ac:dyDescent="0.3">
      <c r="A27" s="46" t="s">
        <v>80</v>
      </c>
      <c r="B27" s="45" t="s">
        <v>81</v>
      </c>
      <c r="C27" s="45" t="s">
        <v>308</v>
      </c>
      <c r="D27" s="67">
        <v>1</v>
      </c>
      <c r="E27" s="67" t="s">
        <v>82</v>
      </c>
      <c r="F27" s="66">
        <f t="shared" si="2"/>
        <v>0</v>
      </c>
      <c r="G27" s="72">
        <f t="shared" si="3"/>
        <v>0</v>
      </c>
      <c r="H27" s="76"/>
      <c r="I27" s="60"/>
      <c r="L27" s="50" t="s">
        <v>56</v>
      </c>
      <c r="M27" s="50" t="s">
        <v>57</v>
      </c>
      <c r="N27" s="50" t="s">
        <v>58</v>
      </c>
      <c r="O27" s="51" t="s">
        <v>59</v>
      </c>
      <c r="P27" s="50" t="s">
        <v>60</v>
      </c>
    </row>
    <row r="28" spans="1:16" s="52" customFormat="1" ht="65" x14ac:dyDescent="0.3">
      <c r="A28" s="46" t="s">
        <v>83</v>
      </c>
      <c r="B28" s="45" t="s">
        <v>84</v>
      </c>
      <c r="C28" s="45" t="s">
        <v>307</v>
      </c>
      <c r="D28" s="67">
        <v>12</v>
      </c>
      <c r="E28" s="67" t="s">
        <v>39</v>
      </c>
      <c r="F28" s="66">
        <f t="shared" si="2"/>
        <v>0</v>
      </c>
      <c r="G28" s="72">
        <f t="shared" si="3"/>
        <v>0</v>
      </c>
      <c r="H28" s="76"/>
      <c r="I28" s="60"/>
      <c r="O28" s="53">
        <f>F26-O26</f>
        <v>-375</v>
      </c>
    </row>
    <row r="29" spans="1:16" s="52" customFormat="1" ht="39" x14ac:dyDescent="0.3">
      <c r="A29" s="46" t="s">
        <v>85</v>
      </c>
      <c r="B29" s="45" t="s">
        <v>86</v>
      </c>
      <c r="C29" s="45" t="s">
        <v>306</v>
      </c>
      <c r="D29" s="67">
        <v>4</v>
      </c>
      <c r="E29" s="67" t="s">
        <v>55</v>
      </c>
      <c r="F29" s="66">
        <f t="shared" si="2"/>
        <v>0</v>
      </c>
      <c r="G29" s="72">
        <f t="shared" si="3"/>
        <v>0</v>
      </c>
      <c r="H29" s="76"/>
      <c r="I29" s="60"/>
    </row>
    <row r="30" spans="1:16" s="41" customFormat="1" ht="39" x14ac:dyDescent="0.3">
      <c r="A30" s="46" t="s">
        <v>87</v>
      </c>
      <c r="B30" s="45" t="s">
        <v>88</v>
      </c>
      <c r="C30" s="45" t="s">
        <v>305</v>
      </c>
      <c r="D30" s="67">
        <v>4</v>
      </c>
      <c r="E30" s="67" t="s">
        <v>55</v>
      </c>
      <c r="F30" s="66">
        <f t="shared" si="2"/>
        <v>0</v>
      </c>
      <c r="G30" s="72">
        <f t="shared" si="3"/>
        <v>0</v>
      </c>
      <c r="H30" s="76"/>
      <c r="I30" s="60"/>
    </row>
    <row r="31" spans="1:16" s="41" customFormat="1" ht="80.25" customHeight="1" x14ac:dyDescent="0.3">
      <c r="A31" s="46" t="s">
        <v>89</v>
      </c>
      <c r="B31" s="45" t="s">
        <v>90</v>
      </c>
      <c r="C31" s="45" t="s">
        <v>304</v>
      </c>
      <c r="D31" s="67">
        <v>4</v>
      </c>
      <c r="E31" s="67" t="s">
        <v>55</v>
      </c>
      <c r="F31" s="66">
        <f t="shared" si="2"/>
        <v>0</v>
      </c>
      <c r="G31" s="72">
        <f t="shared" si="3"/>
        <v>0</v>
      </c>
      <c r="H31" s="76"/>
      <c r="I31" s="60"/>
    </row>
    <row r="32" spans="1:16" s="41" customFormat="1" ht="15.75" customHeight="1" x14ac:dyDescent="0.3">
      <c r="A32" s="185" t="s">
        <v>222</v>
      </c>
      <c r="B32" s="186"/>
      <c r="C32" s="186"/>
      <c r="D32" s="186"/>
      <c r="E32" s="186"/>
      <c r="F32" s="186"/>
      <c r="G32" s="114"/>
      <c r="H32" s="115"/>
      <c r="I32" s="63"/>
    </row>
    <row r="33" spans="1:9" ht="42.75" customHeight="1" x14ac:dyDescent="0.3">
      <c r="A33" s="54" t="s">
        <v>218</v>
      </c>
      <c r="B33" s="44" t="s">
        <v>91</v>
      </c>
      <c r="C33" s="55" t="s">
        <v>303</v>
      </c>
      <c r="D33" s="68">
        <v>120000</v>
      </c>
      <c r="E33" s="69" t="s">
        <v>247</v>
      </c>
      <c r="F33" s="70">
        <f>H33</f>
        <v>0</v>
      </c>
      <c r="G33" s="72">
        <f>D33*F33</f>
        <v>0</v>
      </c>
      <c r="H33" s="76"/>
    </row>
    <row r="34" spans="1:9" s="41" customFormat="1" ht="15.75" customHeight="1" x14ac:dyDescent="0.3">
      <c r="A34" s="185" t="s">
        <v>241</v>
      </c>
      <c r="B34" s="186"/>
      <c r="C34" s="186"/>
      <c r="D34" s="186"/>
      <c r="E34" s="186"/>
      <c r="F34" s="186"/>
      <c r="G34" s="114"/>
      <c r="H34" s="115"/>
      <c r="I34" s="63"/>
    </row>
    <row r="35" spans="1:9" ht="51.75" customHeight="1" x14ac:dyDescent="0.3">
      <c r="A35" s="56" t="s">
        <v>219</v>
      </c>
      <c r="B35" s="143" t="s">
        <v>93</v>
      </c>
      <c r="C35" s="131" t="s">
        <v>94</v>
      </c>
      <c r="D35" s="67">
        <v>700</v>
      </c>
      <c r="E35" s="67" t="s">
        <v>95</v>
      </c>
      <c r="F35" s="73">
        <f>H35</f>
        <v>0</v>
      </c>
      <c r="G35" s="71">
        <f>F35*D35</f>
        <v>0</v>
      </c>
      <c r="H35" s="76"/>
    </row>
    <row r="36" spans="1:9" ht="39" x14ac:dyDescent="0.3">
      <c r="A36" s="56" t="s">
        <v>251</v>
      </c>
      <c r="B36" s="44" t="s">
        <v>248</v>
      </c>
      <c r="C36" s="96" t="s">
        <v>302</v>
      </c>
      <c r="D36" s="97">
        <v>20000</v>
      </c>
      <c r="E36" s="69" t="s">
        <v>250</v>
      </c>
      <c r="F36" s="98">
        <v>1</v>
      </c>
      <c r="G36" s="157">
        <f>(D36*F36)</f>
        <v>20000</v>
      </c>
      <c r="H36" s="100"/>
    </row>
    <row r="37" spans="1:9" ht="15" customHeight="1" thickBot="1" x14ac:dyDescent="0.35">
      <c r="A37" s="105"/>
      <c r="B37" s="106"/>
      <c r="C37" s="182" t="s">
        <v>294</v>
      </c>
      <c r="D37" s="183"/>
      <c r="E37" s="184"/>
      <c r="F37" s="107"/>
      <c r="G37" s="111">
        <f>SUM(G11:G36)</f>
        <v>20000</v>
      </c>
      <c r="H37" s="86"/>
    </row>
  </sheetData>
  <sheetProtection algorithmName="SHA-512" hashValue="IGhsY9urHjaBUQuyfQeSXpoq8iOOkShcyhHCMJgEM/lRQHIiNw25c4NzH8Tc6fDPbRU3RNPHsjD9DfiWUZt2IA==" saltValue="cwHzhXDSCT457aoatY89Pg==" spinCount="100000" sheet="1"/>
  <mergeCells count="13">
    <mergeCell ref="H1:H9"/>
    <mergeCell ref="A8:G8"/>
    <mergeCell ref="A10:F10"/>
    <mergeCell ref="A14:F14"/>
    <mergeCell ref="A32:F32"/>
    <mergeCell ref="C37:E37"/>
    <mergeCell ref="A34:F34"/>
    <mergeCell ref="A1:G1"/>
    <mergeCell ref="A2:G2"/>
    <mergeCell ref="A3:G3"/>
    <mergeCell ref="A4:G4"/>
    <mergeCell ref="A6:G6"/>
    <mergeCell ref="A7:G7"/>
  </mergeCells>
  <printOptions horizontalCentered="1" verticalCentered="1"/>
  <pageMargins left="0.7" right="0.7" top="0.75" bottom="0.75" header="0.3" footer="0.3"/>
  <pageSetup scale="60" fitToHeight="2" orientation="landscape" r:id="rId1"/>
  <headerFooter>
    <oddFooter>&amp;C14-21-2493
0200000-09,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24"/>
  <sheetViews>
    <sheetView topLeftCell="A9" zoomScale="140" zoomScaleNormal="140" workbookViewId="0">
      <selection activeCell="G16" sqref="G16"/>
    </sheetView>
  </sheetViews>
  <sheetFormatPr defaultRowHeight="14.5" x14ac:dyDescent="0.35"/>
  <cols>
    <col min="1" max="1" width="11" customWidth="1"/>
    <col min="2" max="2" width="74.54296875" customWidth="1"/>
    <col min="3" max="3" width="13.26953125" customWidth="1"/>
    <col min="4" max="4" width="13.54296875" customWidth="1"/>
    <col min="5" max="5" width="12.54296875" customWidth="1"/>
    <col min="6" max="6" width="14.54296875" customWidth="1"/>
    <col min="7" max="7" width="11.81640625" customWidth="1"/>
  </cols>
  <sheetData>
    <row r="1" spans="1:7" ht="15" customHeight="1" x14ac:dyDescent="0.35">
      <c r="A1" s="1"/>
      <c r="B1" s="2"/>
      <c r="C1" s="2"/>
      <c r="D1" s="2"/>
      <c r="E1" s="2"/>
      <c r="F1" s="3"/>
      <c r="G1" s="175" t="s">
        <v>205</v>
      </c>
    </row>
    <row r="2" spans="1:7" x14ac:dyDescent="0.35">
      <c r="A2" s="8"/>
      <c r="B2" s="178" t="s">
        <v>180</v>
      </c>
      <c r="C2" s="178"/>
      <c r="D2" s="178"/>
      <c r="E2" s="178"/>
      <c r="F2" s="9"/>
      <c r="G2" s="176"/>
    </row>
    <row r="3" spans="1:7" x14ac:dyDescent="0.35">
      <c r="A3" s="8"/>
      <c r="B3" s="178" t="s">
        <v>0</v>
      </c>
      <c r="C3" s="178"/>
      <c r="D3" s="178"/>
      <c r="E3" s="178"/>
      <c r="F3" s="9"/>
      <c r="G3" s="176"/>
    </row>
    <row r="4" spans="1:7" x14ac:dyDescent="0.35">
      <c r="A4" s="8"/>
      <c r="B4" s="179" t="s">
        <v>255</v>
      </c>
      <c r="C4" s="179"/>
      <c r="D4" s="179"/>
      <c r="E4" s="179"/>
      <c r="F4" s="9"/>
      <c r="G4" s="176"/>
    </row>
    <row r="5" spans="1:7" x14ac:dyDescent="0.35">
      <c r="A5" s="8"/>
      <c r="B5" s="178" t="s">
        <v>15</v>
      </c>
      <c r="C5" s="178"/>
      <c r="D5" s="178"/>
      <c r="E5" s="178"/>
      <c r="F5" s="9"/>
      <c r="G5" s="176"/>
    </row>
    <row r="6" spans="1:7" x14ac:dyDescent="0.35">
      <c r="A6" s="8"/>
      <c r="B6" s="10"/>
      <c r="C6" s="10"/>
      <c r="D6" s="10"/>
      <c r="E6" s="10"/>
      <c r="F6" s="9"/>
      <c r="G6" s="176"/>
    </row>
    <row r="7" spans="1:7" ht="16.5" customHeight="1" x14ac:dyDescent="0.35">
      <c r="A7" s="172" t="s">
        <v>268</v>
      </c>
      <c r="B7" s="173"/>
      <c r="C7" s="173"/>
      <c r="D7" s="173"/>
      <c r="E7" s="173"/>
      <c r="F7" s="174"/>
      <c r="G7" s="176"/>
    </row>
    <row r="8" spans="1:7" ht="15.75" customHeight="1" x14ac:dyDescent="0.35">
      <c r="A8" s="180" t="s">
        <v>223</v>
      </c>
      <c r="B8" s="181"/>
      <c r="C8" s="181"/>
      <c r="D8" s="181"/>
      <c r="E8" s="77"/>
      <c r="F8" s="78"/>
      <c r="G8" s="176"/>
    </row>
    <row r="9" spans="1:7" ht="15" customHeight="1" x14ac:dyDescent="0.35">
      <c r="A9" s="11" t="s">
        <v>226</v>
      </c>
      <c r="B9" s="12"/>
      <c r="C9" s="10"/>
      <c r="D9" s="10"/>
      <c r="E9" s="10"/>
      <c r="F9" s="9"/>
      <c r="G9" s="176"/>
    </row>
    <row r="10" spans="1:7" ht="15.75" customHeight="1" thickBot="1" x14ac:dyDescent="0.4">
      <c r="A10" s="11"/>
      <c r="B10" s="12"/>
      <c r="C10" s="10"/>
      <c r="D10" s="10"/>
      <c r="E10" s="10"/>
      <c r="F10" s="9"/>
      <c r="G10" s="176"/>
    </row>
    <row r="11" spans="1:7" ht="29" thickBot="1" x14ac:dyDescent="0.4">
      <c r="A11" s="4" t="s">
        <v>2</v>
      </c>
      <c r="B11" s="5" t="s">
        <v>3</v>
      </c>
      <c r="C11" s="6" t="s">
        <v>4</v>
      </c>
      <c r="D11" s="6" t="s">
        <v>5</v>
      </c>
      <c r="E11" s="6" t="s">
        <v>6</v>
      </c>
      <c r="F11" s="7" t="s">
        <v>23</v>
      </c>
      <c r="G11" s="177"/>
    </row>
    <row r="12" spans="1:7" x14ac:dyDescent="0.35">
      <c r="A12" s="17" t="s">
        <v>16</v>
      </c>
      <c r="B12" s="18" t="s">
        <v>8</v>
      </c>
      <c r="C12" s="19"/>
      <c r="D12" s="19"/>
      <c r="E12" s="19"/>
      <c r="F12" s="24"/>
      <c r="G12" s="27"/>
    </row>
    <row r="13" spans="1:7" ht="28.5" x14ac:dyDescent="0.35">
      <c r="A13" s="20"/>
      <c r="B13" s="74" t="s">
        <v>181</v>
      </c>
      <c r="C13" s="14">
        <v>12</v>
      </c>
      <c r="D13" s="14" t="s">
        <v>9</v>
      </c>
      <c r="E13" s="30">
        <f>G13</f>
        <v>0</v>
      </c>
      <c r="F13" s="75">
        <f>C13*E13</f>
        <v>0</v>
      </c>
      <c r="G13" s="134"/>
    </row>
    <row r="14" spans="1:7" x14ac:dyDescent="0.35">
      <c r="A14" s="20"/>
      <c r="B14" s="15" t="s">
        <v>11</v>
      </c>
      <c r="C14" s="14"/>
      <c r="D14" s="14"/>
      <c r="E14" s="23"/>
      <c r="F14" s="26">
        <f>F13</f>
        <v>0</v>
      </c>
      <c r="G14" s="28"/>
    </row>
    <row r="15" spans="1:7" x14ac:dyDescent="0.35">
      <c r="A15" s="94" t="s">
        <v>227</v>
      </c>
      <c r="B15" s="16" t="s">
        <v>10</v>
      </c>
      <c r="C15" s="14"/>
      <c r="D15" s="14"/>
      <c r="E15" s="23"/>
      <c r="F15" s="25"/>
      <c r="G15" s="28"/>
    </row>
    <row r="16" spans="1:7" ht="28.5" x14ac:dyDescent="0.35">
      <c r="A16" s="20"/>
      <c r="B16" s="74" t="s">
        <v>182</v>
      </c>
      <c r="C16" s="14">
        <v>12</v>
      </c>
      <c r="D16" s="14" t="s">
        <v>9</v>
      </c>
      <c r="E16" s="30">
        <f>G16</f>
        <v>0</v>
      </c>
      <c r="F16" s="75">
        <f>C16*E16</f>
        <v>0</v>
      </c>
      <c r="G16" s="135"/>
    </row>
    <row r="17" spans="1:7" x14ac:dyDescent="0.35">
      <c r="A17" s="20"/>
      <c r="B17" s="15" t="s">
        <v>12</v>
      </c>
      <c r="C17" s="14"/>
      <c r="D17" s="14"/>
      <c r="E17" s="23"/>
      <c r="F17" s="26">
        <f>F16</f>
        <v>0</v>
      </c>
      <c r="G17" s="28"/>
    </row>
    <row r="18" spans="1:7" x14ac:dyDescent="0.35">
      <c r="A18" s="94" t="s">
        <v>228</v>
      </c>
      <c r="B18" s="16" t="s">
        <v>13</v>
      </c>
      <c r="C18" s="14"/>
      <c r="D18" s="14"/>
      <c r="E18" s="23"/>
      <c r="F18" s="25"/>
      <c r="G18" s="28"/>
    </row>
    <row r="19" spans="1:7" x14ac:dyDescent="0.35">
      <c r="A19" s="20"/>
      <c r="B19" s="13" t="s">
        <v>186</v>
      </c>
      <c r="C19" s="14">
        <v>12</v>
      </c>
      <c r="D19" s="14" t="s">
        <v>9</v>
      </c>
      <c r="E19" s="30">
        <f>G19</f>
        <v>0</v>
      </c>
      <c r="F19" s="25">
        <f>C19*E19</f>
        <v>0</v>
      </c>
      <c r="G19" s="135"/>
    </row>
    <row r="20" spans="1:7" ht="15" thickBot="1" x14ac:dyDescent="0.4">
      <c r="A20" s="21"/>
      <c r="B20" s="15" t="s">
        <v>14</v>
      </c>
      <c r="C20" s="14"/>
      <c r="D20" s="14"/>
      <c r="E20" s="23"/>
      <c r="F20" s="93">
        <f>F19</f>
        <v>0</v>
      </c>
      <c r="G20" s="28"/>
    </row>
    <row r="21" spans="1:7" ht="15.5" thickTop="1" thickBot="1" x14ac:dyDescent="0.4">
      <c r="A21" s="22"/>
      <c r="B21" s="169" t="s">
        <v>295</v>
      </c>
      <c r="C21" s="170"/>
      <c r="D21" s="170"/>
      <c r="E21" s="171"/>
      <c r="F21" s="31">
        <f>SUM(F14+F17+F20)</f>
        <v>0</v>
      </c>
      <c r="G21" s="29"/>
    </row>
    <row r="22" spans="1:7" x14ac:dyDescent="0.35">
      <c r="A22" s="32"/>
    </row>
    <row r="24" spans="1:7" ht="36" customHeight="1" x14ac:dyDescent="0.35"/>
  </sheetData>
  <sheetProtection algorithmName="SHA-512" hashValue="rWPWLf3FB1FKfOK7w0q0N4HNagCer64vKx9OHLIpUd45RER2ARJLUIxlzezHw1kgUvt8iA4AcSlzYh6JSf+r/A==" saltValue="L8glyLLM7PIcP1JQmkp1bA==" spinCount="100000" sheet="1" selectLockedCells="1"/>
  <mergeCells count="8">
    <mergeCell ref="B21:E21"/>
    <mergeCell ref="G1:G11"/>
    <mergeCell ref="B2:E2"/>
    <mergeCell ref="B3:E3"/>
    <mergeCell ref="B4:E4"/>
    <mergeCell ref="B5:E5"/>
    <mergeCell ref="A7:F7"/>
    <mergeCell ref="A8:D8"/>
  </mergeCells>
  <pageMargins left="0.7" right="0.7" top="0.75" bottom="0.75" header="0.3" footer="0.3"/>
  <pageSetup scale="80" fitToHeight="2" orientation="landscape" r:id="rId1"/>
  <headerFooter>
    <oddFooter>&amp;C14-21-2493
0200000-10,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37"/>
  <sheetViews>
    <sheetView topLeftCell="A28" zoomScale="120" zoomScaleNormal="120" workbookViewId="0">
      <selection activeCell="B38" sqref="B38"/>
    </sheetView>
  </sheetViews>
  <sheetFormatPr defaultColWidth="9.1796875" defaultRowHeight="13" x14ac:dyDescent="0.3"/>
  <cols>
    <col min="1" max="1" width="10.81640625" style="41" customWidth="1"/>
    <col min="2" max="2" width="24.54296875" style="41" customWidth="1"/>
    <col min="3" max="3" width="61.54296875" style="108" bestFit="1" customWidth="1"/>
    <col min="4" max="4" width="12.1796875" style="109" customWidth="1"/>
    <col min="5" max="5" width="14.453125" style="110" bestFit="1" customWidth="1"/>
    <col min="6" max="6" width="10.81640625" style="41" bestFit="1" customWidth="1"/>
    <col min="7" max="7" width="11.26953125" style="41" bestFit="1" customWidth="1"/>
    <col min="8" max="8" width="16.1796875" style="63" customWidth="1"/>
    <col min="9" max="9" width="11.54296875" style="63" bestFit="1" customWidth="1"/>
    <col min="10" max="15" width="0" style="41" hidden="1" customWidth="1"/>
    <col min="16" max="16384" width="9.1796875" style="41"/>
  </cols>
  <sheetData>
    <row r="1" spans="1:15" ht="12.75" customHeight="1" x14ac:dyDescent="0.3">
      <c r="A1" s="215" t="s">
        <v>262</v>
      </c>
      <c r="B1" s="216"/>
      <c r="C1" s="216"/>
      <c r="D1" s="216"/>
      <c r="E1" s="216"/>
      <c r="F1" s="216"/>
      <c r="G1" s="217"/>
      <c r="H1" s="204" t="s">
        <v>96</v>
      </c>
    </row>
    <row r="2" spans="1:15" ht="12.75" customHeight="1" x14ac:dyDescent="0.3">
      <c r="A2" s="206" t="s">
        <v>0</v>
      </c>
      <c r="B2" s="207"/>
      <c r="C2" s="207"/>
      <c r="D2" s="207"/>
      <c r="E2" s="207"/>
      <c r="F2" s="207"/>
      <c r="G2" s="208"/>
      <c r="H2" s="205"/>
    </row>
    <row r="3" spans="1:15" ht="12.75" customHeight="1" x14ac:dyDescent="0.3">
      <c r="A3" s="206" t="s">
        <v>255</v>
      </c>
      <c r="B3" s="207"/>
      <c r="C3" s="207"/>
      <c r="D3" s="207"/>
      <c r="E3" s="207"/>
      <c r="F3" s="207"/>
      <c r="G3" s="208"/>
      <c r="H3" s="205"/>
    </row>
    <row r="4" spans="1:15" ht="12.75" customHeight="1" x14ac:dyDescent="0.3">
      <c r="A4" s="206" t="s">
        <v>15</v>
      </c>
      <c r="B4" s="207"/>
      <c r="C4" s="207"/>
      <c r="D4" s="207"/>
      <c r="E4" s="207"/>
      <c r="F4" s="207"/>
      <c r="G4" s="208"/>
      <c r="H4" s="205"/>
    </row>
    <row r="5" spans="1:15" ht="12.75" customHeight="1" x14ac:dyDescent="0.3">
      <c r="A5" s="118"/>
      <c r="B5" s="119"/>
      <c r="C5" s="120"/>
      <c r="D5" s="121"/>
      <c r="E5" s="120"/>
      <c r="F5" s="122"/>
      <c r="G5" s="123"/>
      <c r="H5" s="205"/>
    </row>
    <row r="6" spans="1:15" x14ac:dyDescent="0.3">
      <c r="A6" s="209" t="s">
        <v>244</v>
      </c>
      <c r="B6" s="210"/>
      <c r="C6" s="210"/>
      <c r="D6" s="210"/>
      <c r="E6" s="210"/>
      <c r="F6" s="210"/>
      <c r="G6" s="211"/>
      <c r="H6" s="205"/>
    </row>
    <row r="7" spans="1:15" x14ac:dyDescent="0.3">
      <c r="A7" s="212" t="s">
        <v>187</v>
      </c>
      <c r="B7" s="213"/>
      <c r="C7" s="213"/>
      <c r="D7" s="213"/>
      <c r="E7" s="213"/>
      <c r="F7" s="213"/>
      <c r="G7" s="214"/>
      <c r="H7" s="205"/>
    </row>
    <row r="8" spans="1:15" ht="13.5" thickBot="1" x14ac:dyDescent="0.35">
      <c r="A8" s="212"/>
      <c r="B8" s="213"/>
      <c r="C8" s="213"/>
      <c r="D8" s="213"/>
      <c r="E8" s="213"/>
      <c r="F8" s="213"/>
      <c r="G8" s="214"/>
      <c r="H8" s="205"/>
    </row>
    <row r="9" spans="1:15" ht="26.5" thickBot="1" x14ac:dyDescent="0.35">
      <c r="A9" s="38" t="s">
        <v>24</v>
      </c>
      <c r="B9" s="39" t="s">
        <v>25</v>
      </c>
      <c r="C9" s="40" t="s">
        <v>26</v>
      </c>
      <c r="D9" s="40" t="s">
        <v>27</v>
      </c>
      <c r="E9" s="40" t="s">
        <v>5</v>
      </c>
      <c r="F9" s="61" t="s">
        <v>6</v>
      </c>
      <c r="G9" s="62" t="s">
        <v>28</v>
      </c>
      <c r="H9" s="205"/>
    </row>
    <row r="10" spans="1:15" ht="15.75" customHeight="1" x14ac:dyDescent="0.3">
      <c r="A10" s="185" t="s">
        <v>220</v>
      </c>
      <c r="B10" s="186"/>
      <c r="C10" s="186"/>
      <c r="D10" s="186"/>
      <c r="E10" s="186"/>
      <c r="F10" s="203"/>
      <c r="G10" s="116"/>
      <c r="H10" s="117"/>
    </row>
    <row r="11" spans="1:15" ht="39" x14ac:dyDescent="0.3">
      <c r="A11" s="124" t="s">
        <v>97</v>
      </c>
      <c r="B11" s="125" t="s">
        <v>30</v>
      </c>
      <c r="C11" s="125" t="s">
        <v>31</v>
      </c>
      <c r="D11" s="126">
        <v>1000</v>
      </c>
      <c r="E11" s="67" t="s">
        <v>32</v>
      </c>
      <c r="F11" s="66">
        <f>H11</f>
        <v>0</v>
      </c>
      <c r="G11" s="72">
        <f>D11*F11</f>
        <v>0</v>
      </c>
      <c r="H11" s="76"/>
    </row>
    <row r="12" spans="1:15" ht="39" customHeight="1" x14ac:dyDescent="0.3">
      <c r="A12" s="124" t="s">
        <v>98</v>
      </c>
      <c r="B12" s="45" t="s">
        <v>34</v>
      </c>
      <c r="C12" s="45" t="s">
        <v>35</v>
      </c>
      <c r="D12" s="126">
        <v>1500</v>
      </c>
      <c r="E12" s="67" t="s">
        <v>32</v>
      </c>
      <c r="F12" s="66">
        <f t="shared" ref="F12:F13" si="0">H12</f>
        <v>0</v>
      </c>
      <c r="G12" s="72">
        <f t="shared" ref="G12:G13" si="1">D12*F12</f>
        <v>0</v>
      </c>
      <c r="H12" s="76"/>
    </row>
    <row r="13" spans="1:15" ht="39" x14ac:dyDescent="0.3">
      <c r="A13" s="124" t="s">
        <v>99</v>
      </c>
      <c r="B13" s="45" t="s">
        <v>37</v>
      </c>
      <c r="C13" s="125" t="s">
        <v>38</v>
      </c>
      <c r="D13" s="126">
        <v>4</v>
      </c>
      <c r="E13" s="67" t="s">
        <v>39</v>
      </c>
      <c r="F13" s="66">
        <f t="shared" si="0"/>
        <v>0</v>
      </c>
      <c r="G13" s="72">
        <f t="shared" si="1"/>
        <v>0</v>
      </c>
      <c r="H13" s="76"/>
    </row>
    <row r="14" spans="1:15" ht="15.75" customHeight="1" x14ac:dyDescent="0.3">
      <c r="A14" s="185" t="s">
        <v>221</v>
      </c>
      <c r="B14" s="186"/>
      <c r="C14" s="186"/>
      <c r="D14" s="186"/>
      <c r="E14" s="186"/>
      <c r="F14" s="203"/>
      <c r="G14" s="116"/>
      <c r="H14" s="76"/>
    </row>
    <row r="15" spans="1:15" ht="104" x14ac:dyDescent="0.3">
      <c r="A15" s="46" t="s">
        <v>100</v>
      </c>
      <c r="B15" s="45" t="s">
        <v>41</v>
      </c>
      <c r="C15" s="45" t="s">
        <v>188</v>
      </c>
      <c r="D15" s="67">
        <v>12</v>
      </c>
      <c r="E15" s="67" t="s">
        <v>39</v>
      </c>
      <c r="F15" s="66">
        <f>H15</f>
        <v>0</v>
      </c>
      <c r="G15" s="72">
        <f>D15*F15</f>
        <v>0</v>
      </c>
      <c r="H15" s="76"/>
      <c r="K15" s="48" t="s">
        <v>43</v>
      </c>
      <c r="L15" s="48" t="s">
        <v>44</v>
      </c>
      <c r="M15" s="48" t="s">
        <v>45</v>
      </c>
      <c r="N15" s="48" t="s">
        <v>46</v>
      </c>
      <c r="O15" s="48" t="s">
        <v>47</v>
      </c>
    </row>
    <row r="16" spans="1:15" ht="63.75" customHeight="1" x14ac:dyDescent="0.3">
      <c r="A16" s="46" t="s">
        <v>101</v>
      </c>
      <c r="B16" s="45" t="s">
        <v>49</v>
      </c>
      <c r="C16" s="45" t="s">
        <v>189</v>
      </c>
      <c r="D16" s="67">
        <v>4</v>
      </c>
      <c r="E16" s="67" t="s">
        <v>39</v>
      </c>
      <c r="F16" s="66">
        <f t="shared" ref="F16:F31" si="2">H16</f>
        <v>0</v>
      </c>
      <c r="G16" s="72">
        <f t="shared" ref="G16:G31" si="3">D16*F16</f>
        <v>0</v>
      </c>
      <c r="H16" s="76"/>
      <c r="K16" s="41">
        <v>100</v>
      </c>
      <c r="L16" s="41">
        <f>K16/2</f>
        <v>50</v>
      </c>
      <c r="M16" s="41">
        <f>K16/4</f>
        <v>25</v>
      </c>
      <c r="N16" s="41">
        <f>K16+L16</f>
        <v>150</v>
      </c>
      <c r="O16" s="41">
        <f>K16+M16</f>
        <v>125</v>
      </c>
    </row>
    <row r="17" spans="1:15" ht="52.5" customHeight="1" x14ac:dyDescent="0.3">
      <c r="A17" s="46" t="s">
        <v>102</v>
      </c>
      <c r="B17" s="45" t="s">
        <v>51</v>
      </c>
      <c r="C17" s="45" t="s">
        <v>190</v>
      </c>
      <c r="D17" s="67">
        <v>4</v>
      </c>
      <c r="E17" s="67" t="s">
        <v>52</v>
      </c>
      <c r="F17" s="66">
        <f t="shared" si="2"/>
        <v>0</v>
      </c>
      <c r="G17" s="72">
        <f t="shared" si="3"/>
        <v>0</v>
      </c>
      <c r="H17" s="76"/>
      <c r="J17" s="49">
        <v>222.51</v>
      </c>
      <c r="K17" s="41">
        <v>148.34</v>
      </c>
      <c r="L17" s="41">
        <f>K17/2</f>
        <v>74.17</v>
      </c>
      <c r="M17" s="41">
        <f>K17/4</f>
        <v>37.085000000000001</v>
      </c>
      <c r="N17" s="41">
        <f>K17+L17</f>
        <v>222.51</v>
      </c>
      <c r="O17" s="41">
        <f>K17+M17</f>
        <v>185.42500000000001</v>
      </c>
    </row>
    <row r="18" spans="1:15" ht="39" x14ac:dyDescent="0.3">
      <c r="A18" s="46" t="s">
        <v>103</v>
      </c>
      <c r="B18" s="45" t="s">
        <v>54</v>
      </c>
      <c r="C18" s="45" t="s">
        <v>191</v>
      </c>
      <c r="D18" s="67">
        <v>4</v>
      </c>
      <c r="E18" s="67" t="s">
        <v>55</v>
      </c>
      <c r="F18" s="66">
        <f t="shared" si="2"/>
        <v>0</v>
      </c>
      <c r="G18" s="72">
        <f t="shared" si="3"/>
        <v>0</v>
      </c>
      <c r="H18" s="76"/>
      <c r="K18" s="50" t="s">
        <v>56</v>
      </c>
      <c r="L18" s="50" t="s">
        <v>57</v>
      </c>
      <c r="M18" s="50" t="s">
        <v>58</v>
      </c>
      <c r="N18" s="51" t="s">
        <v>59</v>
      </c>
      <c r="O18" s="50" t="s">
        <v>60</v>
      </c>
    </row>
    <row r="19" spans="1:15" ht="54" customHeight="1" x14ac:dyDescent="0.3">
      <c r="A19" s="46" t="s">
        <v>104</v>
      </c>
      <c r="B19" s="45" t="s">
        <v>62</v>
      </c>
      <c r="C19" s="45" t="s">
        <v>192</v>
      </c>
      <c r="D19" s="67">
        <v>4</v>
      </c>
      <c r="E19" s="67" t="s">
        <v>55</v>
      </c>
      <c r="F19" s="66">
        <f t="shared" si="2"/>
        <v>0</v>
      </c>
      <c r="G19" s="72">
        <f t="shared" si="3"/>
        <v>0</v>
      </c>
      <c r="H19" s="76"/>
      <c r="J19" s="49">
        <f>F19/5</f>
        <v>0</v>
      </c>
      <c r="K19" s="49">
        <f>J19*2</f>
        <v>0</v>
      </c>
      <c r="L19" s="49">
        <f>J19*5</f>
        <v>0</v>
      </c>
    </row>
    <row r="20" spans="1:15" ht="41.25" customHeight="1" x14ac:dyDescent="0.3">
      <c r="A20" s="46" t="s">
        <v>105</v>
      </c>
      <c r="B20" s="45" t="s">
        <v>64</v>
      </c>
      <c r="C20" s="45" t="s">
        <v>193</v>
      </c>
      <c r="D20" s="67">
        <v>4</v>
      </c>
      <c r="E20" s="67" t="s">
        <v>65</v>
      </c>
      <c r="F20" s="66">
        <f t="shared" si="2"/>
        <v>0</v>
      </c>
      <c r="G20" s="72">
        <f t="shared" si="3"/>
        <v>0</v>
      </c>
      <c r="H20" s="76"/>
      <c r="J20" s="49">
        <f>F20/7</f>
        <v>0</v>
      </c>
      <c r="K20" s="49">
        <f>J20*2</f>
        <v>0</v>
      </c>
      <c r="L20" s="49">
        <f>J20*7</f>
        <v>0</v>
      </c>
    </row>
    <row r="21" spans="1:15" ht="81" customHeight="1" x14ac:dyDescent="0.3">
      <c r="A21" s="46" t="s">
        <v>106</v>
      </c>
      <c r="B21" s="45" t="s">
        <v>67</v>
      </c>
      <c r="C21" s="45" t="s">
        <v>194</v>
      </c>
      <c r="D21" s="67">
        <v>12</v>
      </c>
      <c r="E21" s="67" t="s">
        <v>55</v>
      </c>
      <c r="F21" s="66">
        <f t="shared" si="2"/>
        <v>0</v>
      </c>
      <c r="G21" s="72">
        <f t="shared" si="3"/>
        <v>0</v>
      </c>
      <c r="H21" s="76"/>
    </row>
    <row r="22" spans="1:15" ht="65" x14ac:dyDescent="0.3">
      <c r="A22" s="46" t="s">
        <v>107</v>
      </c>
      <c r="B22" s="45" t="s">
        <v>69</v>
      </c>
      <c r="C22" s="45" t="s">
        <v>195</v>
      </c>
      <c r="D22" s="67">
        <v>4</v>
      </c>
      <c r="E22" s="67" t="s">
        <v>55</v>
      </c>
      <c r="F22" s="66">
        <f t="shared" si="2"/>
        <v>0</v>
      </c>
      <c r="G22" s="72">
        <f t="shared" si="3"/>
        <v>0</v>
      </c>
      <c r="H22" s="76"/>
    </row>
    <row r="23" spans="1:15" ht="45" customHeight="1" x14ac:dyDescent="0.3">
      <c r="A23" s="46" t="s">
        <v>108</v>
      </c>
      <c r="B23" s="45" t="s">
        <v>71</v>
      </c>
      <c r="C23" s="45" t="s">
        <v>196</v>
      </c>
      <c r="D23" s="67">
        <v>4</v>
      </c>
      <c r="E23" s="67" t="s">
        <v>55</v>
      </c>
      <c r="F23" s="66">
        <f t="shared" si="2"/>
        <v>0</v>
      </c>
      <c r="G23" s="72">
        <f t="shared" si="3"/>
        <v>0</v>
      </c>
      <c r="H23" s="76"/>
    </row>
    <row r="24" spans="1:15" s="87" customFormat="1" ht="52.5" customHeight="1" x14ac:dyDescent="0.3">
      <c r="A24" s="46" t="s">
        <v>109</v>
      </c>
      <c r="B24" s="45" t="s">
        <v>73</v>
      </c>
      <c r="C24" s="45" t="s">
        <v>197</v>
      </c>
      <c r="D24" s="67">
        <v>1</v>
      </c>
      <c r="E24" s="67" t="s">
        <v>55</v>
      </c>
      <c r="F24" s="66">
        <f t="shared" si="2"/>
        <v>0</v>
      </c>
      <c r="G24" s="72">
        <f t="shared" si="3"/>
        <v>0</v>
      </c>
      <c r="H24" s="76"/>
      <c r="I24" s="89"/>
      <c r="K24" s="88" t="s">
        <v>43</v>
      </c>
      <c r="L24" s="88" t="s">
        <v>44</v>
      </c>
      <c r="M24" s="88" t="s">
        <v>45</v>
      </c>
      <c r="N24" s="88" t="s">
        <v>46</v>
      </c>
      <c r="O24" s="88" t="s">
        <v>47</v>
      </c>
    </row>
    <row r="25" spans="1:15" ht="54.75" customHeight="1" x14ac:dyDescent="0.3">
      <c r="A25" s="46" t="s">
        <v>110</v>
      </c>
      <c r="B25" s="45" t="s">
        <v>75</v>
      </c>
      <c r="C25" s="45" t="s">
        <v>198</v>
      </c>
      <c r="D25" s="67">
        <v>1</v>
      </c>
      <c r="E25" s="67" t="s">
        <v>76</v>
      </c>
      <c r="F25" s="66">
        <f t="shared" si="2"/>
        <v>0</v>
      </c>
      <c r="G25" s="72">
        <f t="shared" si="3"/>
        <v>0</v>
      </c>
      <c r="H25" s="76"/>
      <c r="K25" s="41">
        <v>100</v>
      </c>
      <c r="L25" s="41">
        <f>K25/2</f>
        <v>50</v>
      </c>
      <c r="M25" s="41">
        <f>K25/4</f>
        <v>25</v>
      </c>
      <c r="N25" s="41">
        <f>K25+L25</f>
        <v>150</v>
      </c>
      <c r="O25" s="41">
        <f>K25+M25</f>
        <v>125</v>
      </c>
    </row>
    <row r="26" spans="1:15" s="52" customFormat="1" ht="64.5" customHeight="1" x14ac:dyDescent="0.3">
      <c r="A26" s="46" t="s">
        <v>111</v>
      </c>
      <c r="B26" s="45" t="s">
        <v>78</v>
      </c>
      <c r="C26" s="45" t="s">
        <v>199</v>
      </c>
      <c r="D26" s="67">
        <v>1</v>
      </c>
      <c r="E26" s="67" t="s">
        <v>79</v>
      </c>
      <c r="F26" s="66">
        <f t="shared" si="2"/>
        <v>0</v>
      </c>
      <c r="G26" s="72">
        <f t="shared" si="3"/>
        <v>0</v>
      </c>
      <c r="H26" s="76"/>
      <c r="I26" s="63"/>
      <c r="J26" s="52">
        <v>376.96</v>
      </c>
      <c r="K26" s="41">
        <v>250</v>
      </c>
      <c r="L26" s="41">
        <f>K26/2</f>
        <v>125</v>
      </c>
      <c r="M26" s="41">
        <f>K26/4</f>
        <v>62.5</v>
      </c>
      <c r="N26" s="41">
        <f>K26+L26</f>
        <v>375</v>
      </c>
      <c r="O26" s="41">
        <f>K26+M26</f>
        <v>312.5</v>
      </c>
    </row>
    <row r="27" spans="1:15" ht="42" customHeight="1" x14ac:dyDescent="0.3">
      <c r="A27" s="46" t="s">
        <v>112</v>
      </c>
      <c r="B27" s="45" t="s">
        <v>81</v>
      </c>
      <c r="C27" s="45" t="s">
        <v>200</v>
      </c>
      <c r="D27" s="67">
        <v>1</v>
      </c>
      <c r="E27" s="67" t="s">
        <v>82</v>
      </c>
      <c r="F27" s="66">
        <f t="shared" si="2"/>
        <v>0</v>
      </c>
      <c r="G27" s="72">
        <f t="shared" si="3"/>
        <v>0</v>
      </c>
      <c r="H27" s="76"/>
      <c r="K27" s="50" t="s">
        <v>56</v>
      </c>
      <c r="L27" s="50" t="s">
        <v>57</v>
      </c>
      <c r="M27" s="50" t="s">
        <v>58</v>
      </c>
      <c r="N27" s="51" t="s">
        <v>59</v>
      </c>
      <c r="O27" s="50" t="s">
        <v>60</v>
      </c>
    </row>
    <row r="28" spans="1:15" s="52" customFormat="1" ht="75" customHeight="1" x14ac:dyDescent="0.3">
      <c r="A28" s="46" t="s">
        <v>113</v>
      </c>
      <c r="B28" s="45" t="s">
        <v>84</v>
      </c>
      <c r="C28" s="45" t="s">
        <v>201</v>
      </c>
      <c r="D28" s="67">
        <v>12</v>
      </c>
      <c r="E28" s="67" t="s">
        <v>39</v>
      </c>
      <c r="F28" s="66">
        <f t="shared" si="2"/>
        <v>0</v>
      </c>
      <c r="G28" s="72">
        <f t="shared" si="3"/>
        <v>0</v>
      </c>
      <c r="H28" s="76"/>
      <c r="I28" s="63"/>
      <c r="N28" s="53">
        <f>F26-N26</f>
        <v>-375</v>
      </c>
    </row>
    <row r="29" spans="1:15" s="52" customFormat="1" ht="39" x14ac:dyDescent="0.3">
      <c r="A29" s="46" t="s">
        <v>114</v>
      </c>
      <c r="B29" s="45" t="s">
        <v>86</v>
      </c>
      <c r="C29" s="45" t="s">
        <v>202</v>
      </c>
      <c r="D29" s="67">
        <v>4</v>
      </c>
      <c r="E29" s="67" t="s">
        <v>55</v>
      </c>
      <c r="F29" s="66">
        <f t="shared" si="2"/>
        <v>0</v>
      </c>
      <c r="G29" s="72">
        <f t="shared" si="3"/>
        <v>0</v>
      </c>
      <c r="H29" s="76"/>
      <c r="I29" s="63"/>
    </row>
    <row r="30" spans="1:15" ht="41.25" customHeight="1" x14ac:dyDescent="0.3">
      <c r="A30" s="46" t="s">
        <v>115</v>
      </c>
      <c r="B30" s="45" t="s">
        <v>88</v>
      </c>
      <c r="C30" s="45" t="s">
        <v>203</v>
      </c>
      <c r="D30" s="67">
        <v>4</v>
      </c>
      <c r="E30" s="67" t="s">
        <v>55</v>
      </c>
      <c r="F30" s="66">
        <f t="shared" si="2"/>
        <v>0</v>
      </c>
      <c r="G30" s="72">
        <f t="shared" si="3"/>
        <v>0</v>
      </c>
      <c r="H30" s="76"/>
    </row>
    <row r="31" spans="1:15" ht="77.25" customHeight="1" x14ac:dyDescent="0.3">
      <c r="A31" s="46" t="s">
        <v>116</v>
      </c>
      <c r="B31" s="45" t="s">
        <v>90</v>
      </c>
      <c r="C31" s="45" t="s">
        <v>204</v>
      </c>
      <c r="D31" s="67">
        <v>4</v>
      </c>
      <c r="E31" s="67" t="s">
        <v>55</v>
      </c>
      <c r="F31" s="66">
        <f t="shared" si="2"/>
        <v>0</v>
      </c>
      <c r="G31" s="72">
        <f t="shared" si="3"/>
        <v>0</v>
      </c>
      <c r="H31" s="76"/>
    </row>
    <row r="32" spans="1:15" ht="15.75" customHeight="1" x14ac:dyDescent="0.3">
      <c r="A32" s="185" t="s">
        <v>222</v>
      </c>
      <c r="B32" s="186"/>
      <c r="C32" s="186"/>
      <c r="D32" s="186"/>
      <c r="E32" s="186"/>
      <c r="F32" s="186"/>
      <c r="G32" s="114"/>
      <c r="H32" s="76"/>
    </row>
    <row r="33" spans="1:8" ht="28.5" customHeight="1" x14ac:dyDescent="0.3">
      <c r="A33" s="127" t="s">
        <v>216</v>
      </c>
      <c r="B33" s="45" t="s">
        <v>91</v>
      </c>
      <c r="C33" s="128" t="s">
        <v>92</v>
      </c>
      <c r="D33" s="126">
        <v>120000</v>
      </c>
      <c r="E33" s="67" t="s">
        <v>247</v>
      </c>
      <c r="F33" s="66">
        <f>H33</f>
        <v>0</v>
      </c>
      <c r="G33" s="72">
        <f>D33*F33</f>
        <v>0</v>
      </c>
      <c r="H33" s="76"/>
    </row>
    <row r="34" spans="1:8" ht="15.75" customHeight="1" x14ac:dyDescent="0.3">
      <c r="A34" s="185" t="s">
        <v>241</v>
      </c>
      <c r="B34" s="186"/>
      <c r="C34" s="186"/>
      <c r="D34" s="186"/>
      <c r="E34" s="186"/>
      <c r="F34" s="186"/>
      <c r="G34" s="114"/>
      <c r="H34" s="76"/>
    </row>
    <row r="35" spans="1:8" ht="52.5" customHeight="1" x14ac:dyDescent="0.3">
      <c r="A35" s="129" t="s">
        <v>217</v>
      </c>
      <c r="B35" s="130" t="s">
        <v>93</v>
      </c>
      <c r="C35" s="47" t="s">
        <v>94</v>
      </c>
      <c r="D35" s="67">
        <v>700</v>
      </c>
      <c r="E35" s="67" t="s">
        <v>95</v>
      </c>
      <c r="F35" s="73">
        <f>H35</f>
        <v>0</v>
      </c>
      <c r="G35" s="71">
        <f>F35*D35</f>
        <v>0</v>
      </c>
      <c r="H35" s="76"/>
    </row>
    <row r="36" spans="1:8" ht="42" customHeight="1" x14ac:dyDescent="0.3">
      <c r="A36" s="129" t="s">
        <v>117</v>
      </c>
      <c r="B36" s="47" t="s">
        <v>248</v>
      </c>
      <c r="C36" s="131" t="s">
        <v>249</v>
      </c>
      <c r="D36" s="132">
        <v>20000</v>
      </c>
      <c r="E36" s="67" t="s">
        <v>250</v>
      </c>
      <c r="F36" s="73">
        <v>1</v>
      </c>
      <c r="G36" s="133">
        <f>(D36*F36)</f>
        <v>20000</v>
      </c>
      <c r="H36" s="100"/>
    </row>
    <row r="37" spans="1:8" ht="15" customHeight="1" thickBot="1" x14ac:dyDescent="0.35">
      <c r="A37" s="105"/>
      <c r="B37" s="106"/>
      <c r="C37" s="182" t="s">
        <v>300</v>
      </c>
      <c r="D37" s="183"/>
      <c r="E37" s="184"/>
      <c r="F37" s="107"/>
      <c r="G37" s="111">
        <f>SUM(G11:G36)</f>
        <v>20000</v>
      </c>
      <c r="H37" s="112"/>
    </row>
  </sheetData>
  <sheetProtection algorithmName="SHA-512" hashValue="AAZLTnOEdce8aYxUXNIjFEoynQDfEnHAVvZG5IzOHGBaQuTf2pihkS0T1Z7BBnaad/fH5hDdUxaO/CfclzB/Xg==" saltValue="6uJD6RcnFBajj4+MN8iANw==" spinCount="100000" sheet="1"/>
  <mergeCells count="13">
    <mergeCell ref="C37:E37"/>
    <mergeCell ref="H1:H9"/>
    <mergeCell ref="A2:G2"/>
    <mergeCell ref="A3:G3"/>
    <mergeCell ref="A4:G4"/>
    <mergeCell ref="A6:G6"/>
    <mergeCell ref="A7:G7"/>
    <mergeCell ref="A8:G8"/>
    <mergeCell ref="A10:F10"/>
    <mergeCell ref="A14:F14"/>
    <mergeCell ref="A32:F32"/>
    <mergeCell ref="A34:F34"/>
    <mergeCell ref="A1:G1"/>
  </mergeCells>
  <printOptions horizontalCentered="1" verticalCentered="1"/>
  <pageMargins left="0.7" right="0.7" top="0.75" bottom="0.75" header="0.3" footer="0.3"/>
  <pageSetup scale="60" fitToHeight="2" orientation="landscape" r:id="rId1"/>
  <headerFooter>
    <oddFooter>&amp;C14-21-2493
0200000-10,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24"/>
  <sheetViews>
    <sheetView zoomScale="120" zoomScaleNormal="120" workbookViewId="0">
      <selection activeCell="B23" sqref="B23"/>
    </sheetView>
  </sheetViews>
  <sheetFormatPr defaultRowHeight="14.5" x14ac:dyDescent="0.35"/>
  <cols>
    <col min="1" max="1" width="11" customWidth="1"/>
    <col min="2" max="2" width="74.54296875" customWidth="1"/>
    <col min="3" max="3" width="13.26953125" customWidth="1"/>
    <col min="4" max="4" width="13.54296875" customWidth="1"/>
    <col min="5" max="5" width="12.54296875" customWidth="1"/>
    <col min="6" max="6" width="14.54296875" customWidth="1"/>
    <col min="7" max="7" width="11.81640625" customWidth="1"/>
    <col min="9" max="9" width="14.08984375" customWidth="1"/>
  </cols>
  <sheetData>
    <row r="1" spans="1:7" ht="15" customHeight="1" x14ac:dyDescent="0.35">
      <c r="A1" s="1"/>
      <c r="B1" s="2"/>
      <c r="C1" s="2"/>
      <c r="D1" s="2"/>
      <c r="E1" s="2"/>
      <c r="F1" s="3"/>
      <c r="G1" s="175" t="s">
        <v>205</v>
      </c>
    </row>
    <row r="2" spans="1:7" x14ac:dyDescent="0.35">
      <c r="A2" s="8"/>
      <c r="B2" s="178" t="s">
        <v>183</v>
      </c>
      <c r="C2" s="178"/>
      <c r="D2" s="178"/>
      <c r="E2" s="178"/>
      <c r="F2" s="9"/>
      <c r="G2" s="176"/>
    </row>
    <row r="3" spans="1:7" x14ac:dyDescent="0.35">
      <c r="A3" s="8"/>
      <c r="B3" s="178" t="s">
        <v>0</v>
      </c>
      <c r="C3" s="178"/>
      <c r="D3" s="178"/>
      <c r="E3" s="178"/>
      <c r="F3" s="9"/>
      <c r="G3" s="176"/>
    </row>
    <row r="4" spans="1:7" x14ac:dyDescent="0.35">
      <c r="A4" s="8"/>
      <c r="B4" s="179" t="s">
        <v>255</v>
      </c>
      <c r="C4" s="179"/>
      <c r="D4" s="179"/>
      <c r="E4" s="179"/>
      <c r="F4" s="9"/>
      <c r="G4" s="176"/>
    </row>
    <row r="5" spans="1:7" x14ac:dyDescent="0.35">
      <c r="A5" s="8"/>
      <c r="B5" s="178" t="s">
        <v>18</v>
      </c>
      <c r="C5" s="178"/>
      <c r="D5" s="178"/>
      <c r="E5" s="178"/>
      <c r="F5" s="9"/>
      <c r="G5" s="176"/>
    </row>
    <row r="6" spans="1:7" x14ac:dyDescent="0.35">
      <c r="A6" s="8"/>
      <c r="B6" s="10"/>
      <c r="C6" s="10"/>
      <c r="D6" s="10"/>
      <c r="E6" s="10"/>
      <c r="F6" s="9"/>
      <c r="G6" s="176"/>
    </row>
    <row r="7" spans="1:7" ht="16.5" customHeight="1" x14ac:dyDescent="0.35">
      <c r="A7" s="172" t="s">
        <v>261</v>
      </c>
      <c r="B7" s="173"/>
      <c r="C7" s="173"/>
      <c r="D7" s="173"/>
      <c r="E7" s="173"/>
      <c r="F7" s="174"/>
      <c r="G7" s="176"/>
    </row>
    <row r="8" spans="1:7" ht="15.75" customHeight="1" x14ac:dyDescent="0.35">
      <c r="A8" s="180" t="s">
        <v>223</v>
      </c>
      <c r="B8" s="181"/>
      <c r="C8" s="181"/>
      <c r="D8" s="181"/>
      <c r="E8" s="77"/>
      <c r="F8" s="78"/>
      <c r="G8" s="176"/>
    </row>
    <row r="9" spans="1:7" ht="15" customHeight="1" x14ac:dyDescent="0.35">
      <c r="A9" s="11" t="s">
        <v>229</v>
      </c>
      <c r="B9" s="12"/>
      <c r="C9" s="10"/>
      <c r="D9" s="10"/>
      <c r="E9" s="10"/>
      <c r="F9" s="9"/>
      <c r="G9" s="176"/>
    </row>
    <row r="10" spans="1:7" ht="15.75" customHeight="1" thickBot="1" x14ac:dyDescent="0.4">
      <c r="A10" s="11"/>
      <c r="B10" s="12"/>
      <c r="C10" s="10"/>
      <c r="D10" s="10"/>
      <c r="E10" s="10"/>
      <c r="F10" s="9"/>
      <c r="G10" s="176"/>
    </row>
    <row r="11" spans="1:7" ht="29" thickBot="1" x14ac:dyDescent="0.4">
      <c r="A11" s="4" t="s">
        <v>2</v>
      </c>
      <c r="B11" s="5" t="s">
        <v>3</v>
      </c>
      <c r="C11" s="6" t="s">
        <v>4</v>
      </c>
      <c r="D11" s="6" t="s">
        <v>5</v>
      </c>
      <c r="E11" s="6" t="s">
        <v>6</v>
      </c>
      <c r="F11" s="7" t="s">
        <v>23</v>
      </c>
      <c r="G11" s="177"/>
    </row>
    <row r="12" spans="1:7" x14ac:dyDescent="0.35">
      <c r="A12" s="17" t="s">
        <v>17</v>
      </c>
      <c r="B12" s="18" t="s">
        <v>8</v>
      </c>
      <c r="C12" s="19"/>
      <c r="D12" s="19"/>
      <c r="E12" s="19"/>
      <c r="F12" s="24"/>
      <c r="G12" s="27"/>
    </row>
    <row r="13" spans="1:7" ht="28.5" x14ac:dyDescent="0.35">
      <c r="A13" s="20"/>
      <c r="B13" s="74" t="s">
        <v>181</v>
      </c>
      <c r="C13" s="14">
        <v>12</v>
      </c>
      <c r="D13" s="14" t="s">
        <v>9</v>
      </c>
      <c r="E13" s="30">
        <f>G13</f>
        <v>0</v>
      </c>
      <c r="F13" s="75">
        <f>C13*E13</f>
        <v>0</v>
      </c>
      <c r="G13" s="134"/>
    </row>
    <row r="14" spans="1:7" x14ac:dyDescent="0.35">
      <c r="A14" s="20"/>
      <c r="B14" s="15" t="s">
        <v>11</v>
      </c>
      <c r="C14" s="14"/>
      <c r="D14" s="14"/>
      <c r="E14" s="23"/>
      <c r="F14" s="26">
        <f>F13</f>
        <v>0</v>
      </c>
      <c r="G14" s="28"/>
    </row>
    <row r="15" spans="1:7" x14ac:dyDescent="0.35">
      <c r="A15" s="94" t="s">
        <v>230</v>
      </c>
      <c r="B15" s="16" t="s">
        <v>10</v>
      </c>
      <c r="C15" s="14"/>
      <c r="D15" s="14"/>
      <c r="E15" s="23"/>
      <c r="F15" s="25"/>
      <c r="G15" s="28"/>
    </row>
    <row r="16" spans="1:7" ht="28.5" x14ac:dyDescent="0.35">
      <c r="A16" s="20"/>
      <c r="B16" s="74" t="s">
        <v>182</v>
      </c>
      <c r="C16" s="14">
        <v>12</v>
      </c>
      <c r="D16" s="14" t="s">
        <v>9</v>
      </c>
      <c r="E16" s="30">
        <f>G16</f>
        <v>0</v>
      </c>
      <c r="F16" s="75">
        <f>C16*E16</f>
        <v>0</v>
      </c>
      <c r="G16" s="135"/>
    </row>
    <row r="17" spans="1:7" x14ac:dyDescent="0.35">
      <c r="A17" s="20"/>
      <c r="B17" s="15" t="s">
        <v>12</v>
      </c>
      <c r="C17" s="14"/>
      <c r="D17" s="14"/>
      <c r="E17" s="23"/>
      <c r="F17" s="26">
        <f>F16</f>
        <v>0</v>
      </c>
      <c r="G17" s="28"/>
    </row>
    <row r="18" spans="1:7" x14ac:dyDescent="0.35">
      <c r="A18" s="94" t="s">
        <v>231</v>
      </c>
      <c r="B18" s="16" t="s">
        <v>13</v>
      </c>
      <c r="C18" s="14"/>
      <c r="D18" s="14"/>
      <c r="E18" s="23"/>
      <c r="F18" s="25"/>
      <c r="G18" s="28"/>
    </row>
    <row r="19" spans="1:7" x14ac:dyDescent="0.35">
      <c r="A19" s="20"/>
      <c r="B19" s="13" t="s">
        <v>186</v>
      </c>
      <c r="C19" s="14">
        <v>12</v>
      </c>
      <c r="D19" s="14" t="s">
        <v>9</v>
      </c>
      <c r="E19" s="30">
        <f>G19</f>
        <v>0</v>
      </c>
      <c r="F19" s="25">
        <f>C19*E19</f>
        <v>0</v>
      </c>
      <c r="G19" s="136"/>
    </row>
    <row r="20" spans="1:7" ht="15" thickBot="1" x14ac:dyDescent="0.4">
      <c r="A20" s="21"/>
      <c r="B20" s="15" t="s">
        <v>14</v>
      </c>
      <c r="C20" s="14"/>
      <c r="D20" s="14"/>
      <c r="E20" s="23"/>
      <c r="F20" s="93">
        <f>F19</f>
        <v>0</v>
      </c>
      <c r="G20" s="28"/>
    </row>
    <row r="21" spans="1:7" ht="15.5" thickTop="1" thickBot="1" x14ac:dyDescent="0.4">
      <c r="A21" s="22"/>
      <c r="B21" s="169" t="s">
        <v>296</v>
      </c>
      <c r="C21" s="170"/>
      <c r="D21" s="170"/>
      <c r="E21" s="171"/>
      <c r="F21" s="31">
        <f>F14+F17+F20</f>
        <v>0</v>
      </c>
      <c r="G21" s="29"/>
    </row>
    <row r="22" spans="1:7" x14ac:dyDescent="0.35">
      <c r="A22" s="32"/>
    </row>
    <row r="24" spans="1:7" ht="36" customHeight="1" x14ac:dyDescent="0.35"/>
  </sheetData>
  <sheetProtection algorithmName="SHA-512" hashValue="a1EDghq3rhliuQ55lNVvYt1/Tnyu4CKxWbgyF1uD3+gCUtfhVTblB1JSVFrUfeZw0K1GEgmCkz8wcqHWrxfq2w==" saltValue="2IRol5SVa14ZqFTcGvQpoA==" spinCount="100000" sheet="1"/>
  <mergeCells count="8">
    <mergeCell ref="B21:E21"/>
    <mergeCell ref="G1:G11"/>
    <mergeCell ref="B2:E2"/>
    <mergeCell ref="B3:E3"/>
    <mergeCell ref="B4:E4"/>
    <mergeCell ref="B5:E5"/>
    <mergeCell ref="A7:F7"/>
    <mergeCell ref="A8:D8"/>
  </mergeCells>
  <pageMargins left="0.7" right="0.7" top="0.75" bottom="0.75" header="0.3" footer="0.3"/>
  <pageSetup scale="80" fitToHeight="2" orientation="landscape" r:id="rId1"/>
  <headerFooter>
    <oddFooter>&amp;C14-21-2493
0200000-11,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37"/>
  <sheetViews>
    <sheetView topLeftCell="A32" zoomScale="120" zoomScaleNormal="120" workbookViewId="0">
      <selection activeCell="C55" sqref="C55"/>
    </sheetView>
  </sheetViews>
  <sheetFormatPr defaultColWidth="9.1796875" defaultRowHeight="13" x14ac:dyDescent="0.3"/>
  <cols>
    <col min="1" max="1" width="10.81640625" style="41" customWidth="1"/>
    <col min="2" max="2" width="24.54296875" style="41" customWidth="1"/>
    <col min="3" max="3" width="61.54296875" style="108" bestFit="1" customWidth="1"/>
    <col min="4" max="4" width="12.1796875" style="109" customWidth="1"/>
    <col min="5" max="5" width="14.453125" style="110" bestFit="1" customWidth="1"/>
    <col min="6" max="6" width="10.81640625" style="41" bestFit="1" customWidth="1"/>
    <col min="7" max="7" width="11.26953125" style="41" bestFit="1" customWidth="1"/>
    <col min="8" max="8" width="16.1796875" style="63" customWidth="1"/>
    <col min="9" max="9" width="11.54296875" style="63" bestFit="1" customWidth="1"/>
    <col min="10" max="14" width="9.1796875" style="41" customWidth="1"/>
    <col min="15" max="16384" width="9.1796875" style="41"/>
  </cols>
  <sheetData>
    <row r="1" spans="1:14" ht="12.75" customHeight="1" x14ac:dyDescent="0.3">
      <c r="A1" s="215" t="s">
        <v>183</v>
      </c>
      <c r="B1" s="216"/>
      <c r="C1" s="216"/>
      <c r="D1" s="216"/>
      <c r="E1" s="216"/>
      <c r="F1" s="216"/>
      <c r="G1" s="217"/>
      <c r="H1" s="204" t="s">
        <v>96</v>
      </c>
    </row>
    <row r="2" spans="1:14" ht="12.75" customHeight="1" x14ac:dyDescent="0.3">
      <c r="A2" s="206" t="s">
        <v>0</v>
      </c>
      <c r="B2" s="207"/>
      <c r="C2" s="207"/>
      <c r="D2" s="207"/>
      <c r="E2" s="207"/>
      <c r="F2" s="207"/>
      <c r="G2" s="208"/>
      <c r="H2" s="218"/>
    </row>
    <row r="3" spans="1:14" ht="12.75" customHeight="1" x14ac:dyDescent="0.3">
      <c r="A3" s="206" t="s">
        <v>255</v>
      </c>
      <c r="B3" s="207"/>
      <c r="C3" s="207"/>
      <c r="D3" s="207"/>
      <c r="E3" s="207"/>
      <c r="F3" s="207"/>
      <c r="G3" s="208"/>
      <c r="H3" s="218"/>
    </row>
    <row r="4" spans="1:14" ht="12.75" customHeight="1" x14ac:dyDescent="0.3">
      <c r="A4" s="206" t="s">
        <v>18</v>
      </c>
      <c r="B4" s="207"/>
      <c r="C4" s="207"/>
      <c r="D4" s="207"/>
      <c r="E4" s="207"/>
      <c r="F4" s="207"/>
      <c r="G4" s="208"/>
      <c r="H4" s="218"/>
    </row>
    <row r="5" spans="1:14" ht="12.75" customHeight="1" x14ac:dyDescent="0.3">
      <c r="A5" s="118"/>
      <c r="B5" s="119"/>
      <c r="C5" s="120"/>
      <c r="D5" s="121"/>
      <c r="E5" s="120"/>
      <c r="F5" s="122"/>
      <c r="G5" s="123"/>
      <c r="H5" s="218"/>
    </row>
    <row r="6" spans="1:14" x14ac:dyDescent="0.3">
      <c r="A6" s="209" t="s">
        <v>245</v>
      </c>
      <c r="B6" s="210"/>
      <c r="C6" s="210"/>
      <c r="D6" s="210"/>
      <c r="E6" s="210"/>
      <c r="F6" s="210"/>
      <c r="G6" s="211"/>
      <c r="H6" s="218"/>
    </row>
    <row r="7" spans="1:14" x14ac:dyDescent="0.3">
      <c r="A7" s="212" t="s">
        <v>187</v>
      </c>
      <c r="B7" s="213"/>
      <c r="C7" s="213"/>
      <c r="D7" s="213"/>
      <c r="E7" s="213"/>
      <c r="F7" s="213"/>
      <c r="G7" s="214"/>
      <c r="H7" s="218"/>
    </row>
    <row r="8" spans="1:14" ht="13.5" thickBot="1" x14ac:dyDescent="0.35">
      <c r="A8" s="212"/>
      <c r="B8" s="213"/>
      <c r="C8" s="213"/>
      <c r="D8" s="213"/>
      <c r="E8" s="213"/>
      <c r="F8" s="213"/>
      <c r="G8" s="214"/>
      <c r="H8" s="218"/>
    </row>
    <row r="9" spans="1:14" ht="26.5" thickBot="1" x14ac:dyDescent="0.35">
      <c r="A9" s="38" t="s">
        <v>24</v>
      </c>
      <c r="B9" s="39" t="s">
        <v>25</v>
      </c>
      <c r="C9" s="40" t="s">
        <v>26</v>
      </c>
      <c r="D9" s="40" t="s">
        <v>27</v>
      </c>
      <c r="E9" s="40" t="s">
        <v>5</v>
      </c>
      <c r="F9" s="61" t="s">
        <v>6</v>
      </c>
      <c r="G9" s="62" t="s">
        <v>28</v>
      </c>
      <c r="H9" s="219"/>
    </row>
    <row r="10" spans="1:14" ht="15.75" customHeight="1" x14ac:dyDescent="0.3">
      <c r="A10" s="185" t="s">
        <v>220</v>
      </c>
      <c r="B10" s="186"/>
      <c r="C10" s="186"/>
      <c r="D10" s="186"/>
      <c r="E10" s="186"/>
      <c r="F10" s="203"/>
      <c r="G10" s="116"/>
      <c r="H10" s="117"/>
    </row>
    <row r="11" spans="1:14" ht="39" x14ac:dyDescent="0.3">
      <c r="A11" s="124" t="s">
        <v>118</v>
      </c>
      <c r="B11" s="125" t="s">
        <v>30</v>
      </c>
      <c r="C11" s="125" t="s">
        <v>31</v>
      </c>
      <c r="D11" s="126">
        <v>1000</v>
      </c>
      <c r="E11" s="67" t="s">
        <v>32</v>
      </c>
      <c r="F11" s="66">
        <f>H11</f>
        <v>0</v>
      </c>
      <c r="G11" s="72">
        <f>D11*F11</f>
        <v>0</v>
      </c>
      <c r="H11" s="76"/>
    </row>
    <row r="12" spans="1:14" ht="41.25" customHeight="1" x14ac:dyDescent="0.3">
      <c r="A12" s="124" t="s">
        <v>119</v>
      </c>
      <c r="B12" s="45" t="s">
        <v>34</v>
      </c>
      <c r="C12" s="45" t="s">
        <v>35</v>
      </c>
      <c r="D12" s="126">
        <v>1500</v>
      </c>
      <c r="E12" s="67" t="s">
        <v>32</v>
      </c>
      <c r="F12" s="66">
        <f t="shared" ref="F12:F13" si="0">H12</f>
        <v>0</v>
      </c>
      <c r="G12" s="72">
        <f t="shared" ref="G12:G13" si="1">D12*F12</f>
        <v>0</v>
      </c>
      <c r="H12" s="76"/>
    </row>
    <row r="13" spans="1:14" ht="39" x14ac:dyDescent="0.3">
      <c r="A13" s="124" t="s">
        <v>120</v>
      </c>
      <c r="B13" s="45" t="s">
        <v>37</v>
      </c>
      <c r="C13" s="125" t="s">
        <v>38</v>
      </c>
      <c r="D13" s="126">
        <v>4</v>
      </c>
      <c r="E13" s="67" t="s">
        <v>39</v>
      </c>
      <c r="F13" s="66">
        <f t="shared" si="0"/>
        <v>0</v>
      </c>
      <c r="G13" s="72">
        <f t="shared" si="1"/>
        <v>0</v>
      </c>
      <c r="H13" s="76"/>
    </row>
    <row r="14" spans="1:14" ht="15.75" customHeight="1" x14ac:dyDescent="0.3">
      <c r="A14" s="185" t="s">
        <v>221</v>
      </c>
      <c r="B14" s="186"/>
      <c r="C14" s="186"/>
      <c r="D14" s="186"/>
      <c r="E14" s="186"/>
      <c r="F14" s="203"/>
      <c r="G14" s="116"/>
      <c r="H14" s="137"/>
    </row>
    <row r="15" spans="1:14" ht="102" customHeight="1" x14ac:dyDescent="0.3">
      <c r="A15" s="46" t="s">
        <v>121</v>
      </c>
      <c r="B15" s="45" t="s">
        <v>41</v>
      </c>
      <c r="C15" s="45" t="s">
        <v>188</v>
      </c>
      <c r="D15" s="67">
        <v>12</v>
      </c>
      <c r="E15" s="67" t="s">
        <v>42</v>
      </c>
      <c r="F15" s="66">
        <f>H15</f>
        <v>0</v>
      </c>
      <c r="G15" s="72">
        <f>D15*F15</f>
        <v>0</v>
      </c>
      <c r="H15" s="76"/>
      <c r="J15" s="48"/>
      <c r="K15" s="48"/>
      <c r="L15" s="48"/>
      <c r="M15" s="48"/>
      <c r="N15" s="48"/>
    </row>
    <row r="16" spans="1:14" ht="68.25" customHeight="1" x14ac:dyDescent="0.3">
      <c r="A16" s="46" t="s">
        <v>122</v>
      </c>
      <c r="B16" s="45" t="s">
        <v>49</v>
      </c>
      <c r="C16" s="45" t="s">
        <v>189</v>
      </c>
      <c r="D16" s="67">
        <v>4</v>
      </c>
      <c r="E16" s="67" t="s">
        <v>42</v>
      </c>
      <c r="F16" s="66">
        <f t="shared" ref="F16:F31" si="2">H16</f>
        <v>0</v>
      </c>
      <c r="G16" s="72">
        <f t="shared" ref="G16:G31" si="3">D16*F16</f>
        <v>0</v>
      </c>
      <c r="H16" s="76"/>
    </row>
    <row r="17" spans="1:14" ht="51" customHeight="1" x14ac:dyDescent="0.3">
      <c r="A17" s="46" t="s">
        <v>123</v>
      </c>
      <c r="B17" s="45" t="s">
        <v>51</v>
      </c>
      <c r="C17" s="45" t="s">
        <v>190</v>
      </c>
      <c r="D17" s="67">
        <v>4</v>
      </c>
      <c r="E17" s="67" t="s">
        <v>52</v>
      </c>
      <c r="F17" s="66">
        <f t="shared" si="2"/>
        <v>0</v>
      </c>
      <c r="G17" s="72">
        <f t="shared" si="3"/>
        <v>0</v>
      </c>
      <c r="H17" s="76"/>
    </row>
    <row r="18" spans="1:14" ht="39" customHeight="1" x14ac:dyDescent="0.3">
      <c r="A18" s="46" t="s">
        <v>124</v>
      </c>
      <c r="B18" s="45" t="s">
        <v>54</v>
      </c>
      <c r="C18" s="45" t="s">
        <v>191</v>
      </c>
      <c r="D18" s="67">
        <v>4</v>
      </c>
      <c r="E18" s="67" t="s">
        <v>55</v>
      </c>
      <c r="F18" s="66">
        <f t="shared" si="2"/>
        <v>0</v>
      </c>
      <c r="G18" s="72">
        <f t="shared" si="3"/>
        <v>0</v>
      </c>
      <c r="H18" s="76"/>
      <c r="J18" s="50"/>
      <c r="K18" s="50"/>
      <c r="L18" s="50"/>
      <c r="M18" s="51"/>
      <c r="N18" s="50"/>
    </row>
    <row r="19" spans="1:14" ht="52" x14ac:dyDescent="0.3">
      <c r="A19" s="46" t="s">
        <v>125</v>
      </c>
      <c r="B19" s="45" t="s">
        <v>62</v>
      </c>
      <c r="C19" s="45" t="s">
        <v>192</v>
      </c>
      <c r="D19" s="67">
        <v>4</v>
      </c>
      <c r="E19" s="67" t="s">
        <v>55</v>
      </c>
      <c r="F19" s="66">
        <f t="shared" si="2"/>
        <v>0</v>
      </c>
      <c r="G19" s="72">
        <f t="shared" si="3"/>
        <v>0</v>
      </c>
      <c r="H19" s="76"/>
      <c r="J19" s="49"/>
      <c r="K19" s="49"/>
    </row>
    <row r="20" spans="1:14" ht="38.25" customHeight="1" x14ac:dyDescent="0.3">
      <c r="A20" s="46" t="s">
        <v>126</v>
      </c>
      <c r="B20" s="45" t="s">
        <v>64</v>
      </c>
      <c r="C20" s="45" t="s">
        <v>193</v>
      </c>
      <c r="D20" s="67">
        <v>4</v>
      </c>
      <c r="E20" s="67" t="s">
        <v>65</v>
      </c>
      <c r="F20" s="66">
        <f t="shared" si="2"/>
        <v>0</v>
      </c>
      <c r="G20" s="72">
        <f t="shared" si="3"/>
        <v>0</v>
      </c>
      <c r="H20" s="76"/>
      <c r="J20" s="49"/>
      <c r="K20" s="49"/>
    </row>
    <row r="21" spans="1:14" ht="78" x14ac:dyDescent="0.3">
      <c r="A21" s="46" t="s">
        <v>127</v>
      </c>
      <c r="B21" s="45" t="s">
        <v>67</v>
      </c>
      <c r="C21" s="45" t="s">
        <v>194</v>
      </c>
      <c r="D21" s="67">
        <v>12</v>
      </c>
      <c r="E21" s="67" t="s">
        <v>55</v>
      </c>
      <c r="F21" s="66">
        <f t="shared" si="2"/>
        <v>0</v>
      </c>
      <c r="G21" s="72">
        <f t="shared" si="3"/>
        <v>0</v>
      </c>
      <c r="H21" s="76"/>
    </row>
    <row r="22" spans="1:14" ht="65" x14ac:dyDescent="0.3">
      <c r="A22" s="46" t="s">
        <v>128</v>
      </c>
      <c r="B22" s="45" t="s">
        <v>69</v>
      </c>
      <c r="C22" s="45" t="s">
        <v>195</v>
      </c>
      <c r="D22" s="67">
        <v>4</v>
      </c>
      <c r="E22" s="67" t="s">
        <v>55</v>
      </c>
      <c r="F22" s="66">
        <f t="shared" si="2"/>
        <v>0</v>
      </c>
      <c r="G22" s="72">
        <f t="shared" si="3"/>
        <v>0</v>
      </c>
      <c r="H22" s="76"/>
    </row>
    <row r="23" spans="1:14" ht="39" x14ac:dyDescent="0.3">
      <c r="A23" s="46" t="s">
        <v>129</v>
      </c>
      <c r="B23" s="45" t="s">
        <v>71</v>
      </c>
      <c r="C23" s="45" t="s">
        <v>196</v>
      </c>
      <c r="D23" s="67">
        <v>4</v>
      </c>
      <c r="E23" s="67" t="s">
        <v>55</v>
      </c>
      <c r="F23" s="66">
        <f t="shared" si="2"/>
        <v>0</v>
      </c>
      <c r="G23" s="72">
        <f t="shared" si="3"/>
        <v>0</v>
      </c>
      <c r="H23" s="76"/>
    </row>
    <row r="24" spans="1:14" ht="52" x14ac:dyDescent="0.3">
      <c r="A24" s="46" t="s">
        <v>130</v>
      </c>
      <c r="B24" s="45" t="s">
        <v>73</v>
      </c>
      <c r="C24" s="45" t="s">
        <v>197</v>
      </c>
      <c r="D24" s="67">
        <v>1</v>
      </c>
      <c r="E24" s="67" t="s">
        <v>55</v>
      </c>
      <c r="F24" s="66">
        <f t="shared" si="2"/>
        <v>0</v>
      </c>
      <c r="G24" s="72">
        <f t="shared" si="3"/>
        <v>0</v>
      </c>
      <c r="H24" s="76"/>
      <c r="J24" s="48"/>
      <c r="K24" s="48"/>
      <c r="L24" s="48"/>
      <c r="M24" s="48"/>
      <c r="N24" s="48"/>
    </row>
    <row r="25" spans="1:14" ht="49.5" customHeight="1" x14ac:dyDescent="0.3">
      <c r="A25" s="46" t="s">
        <v>131</v>
      </c>
      <c r="B25" s="45" t="s">
        <v>75</v>
      </c>
      <c r="C25" s="45" t="s">
        <v>198</v>
      </c>
      <c r="D25" s="67">
        <v>1</v>
      </c>
      <c r="E25" s="67" t="s">
        <v>76</v>
      </c>
      <c r="F25" s="66">
        <f t="shared" si="2"/>
        <v>0</v>
      </c>
      <c r="G25" s="72">
        <f t="shared" si="3"/>
        <v>0</v>
      </c>
      <c r="H25" s="76"/>
    </row>
    <row r="26" spans="1:14" s="52" customFormat="1" ht="67.5" customHeight="1" x14ac:dyDescent="0.3">
      <c r="A26" s="46" t="s">
        <v>132</v>
      </c>
      <c r="B26" s="45" t="s">
        <v>78</v>
      </c>
      <c r="C26" s="45" t="s">
        <v>199</v>
      </c>
      <c r="D26" s="67">
        <v>1</v>
      </c>
      <c r="E26" s="67" t="s">
        <v>79</v>
      </c>
      <c r="F26" s="66">
        <f t="shared" si="2"/>
        <v>0</v>
      </c>
      <c r="G26" s="72">
        <f t="shared" si="3"/>
        <v>0</v>
      </c>
      <c r="H26" s="76"/>
      <c r="I26" s="63"/>
      <c r="J26" s="41"/>
      <c r="K26" s="41"/>
      <c r="L26" s="41"/>
      <c r="M26" s="41"/>
      <c r="N26" s="41"/>
    </row>
    <row r="27" spans="1:14" ht="39" x14ac:dyDescent="0.3">
      <c r="A27" s="46" t="s">
        <v>133</v>
      </c>
      <c r="B27" s="45" t="s">
        <v>81</v>
      </c>
      <c r="C27" s="45" t="s">
        <v>200</v>
      </c>
      <c r="D27" s="67">
        <v>1</v>
      </c>
      <c r="E27" s="67" t="s">
        <v>82</v>
      </c>
      <c r="F27" s="66">
        <f t="shared" si="2"/>
        <v>0</v>
      </c>
      <c r="G27" s="72">
        <f t="shared" si="3"/>
        <v>0</v>
      </c>
      <c r="H27" s="76"/>
      <c r="J27" s="50"/>
      <c r="K27" s="50"/>
      <c r="L27" s="50"/>
      <c r="M27" s="51"/>
      <c r="N27" s="50"/>
    </row>
    <row r="28" spans="1:14" s="52" customFormat="1" ht="84.75" customHeight="1" x14ac:dyDescent="0.3">
      <c r="A28" s="46" t="s">
        <v>134</v>
      </c>
      <c r="B28" s="45" t="s">
        <v>84</v>
      </c>
      <c r="C28" s="45" t="s">
        <v>201</v>
      </c>
      <c r="D28" s="67">
        <v>12</v>
      </c>
      <c r="E28" s="67" t="s">
        <v>39</v>
      </c>
      <c r="F28" s="66">
        <f t="shared" si="2"/>
        <v>0</v>
      </c>
      <c r="G28" s="72">
        <f t="shared" si="3"/>
        <v>0</v>
      </c>
      <c r="H28" s="76"/>
      <c r="I28" s="63"/>
      <c r="M28" s="53"/>
    </row>
    <row r="29" spans="1:14" s="52" customFormat="1" ht="39" x14ac:dyDescent="0.3">
      <c r="A29" s="46" t="s">
        <v>135</v>
      </c>
      <c r="B29" s="45" t="s">
        <v>86</v>
      </c>
      <c r="C29" s="45" t="s">
        <v>202</v>
      </c>
      <c r="D29" s="67">
        <v>4</v>
      </c>
      <c r="E29" s="67" t="s">
        <v>55</v>
      </c>
      <c r="F29" s="66">
        <f t="shared" si="2"/>
        <v>0</v>
      </c>
      <c r="G29" s="72">
        <f t="shared" si="3"/>
        <v>0</v>
      </c>
      <c r="H29" s="76"/>
      <c r="I29" s="63"/>
    </row>
    <row r="30" spans="1:14" ht="39" x14ac:dyDescent="0.3">
      <c r="A30" s="46" t="s">
        <v>136</v>
      </c>
      <c r="B30" s="45" t="s">
        <v>88</v>
      </c>
      <c r="C30" s="45" t="s">
        <v>203</v>
      </c>
      <c r="D30" s="67">
        <v>4</v>
      </c>
      <c r="E30" s="67" t="s">
        <v>55</v>
      </c>
      <c r="F30" s="66">
        <f t="shared" si="2"/>
        <v>0</v>
      </c>
      <c r="G30" s="72">
        <f t="shared" si="3"/>
        <v>0</v>
      </c>
      <c r="H30" s="76"/>
    </row>
    <row r="31" spans="1:14" ht="75" customHeight="1" x14ac:dyDescent="0.3">
      <c r="A31" s="46" t="s">
        <v>137</v>
      </c>
      <c r="B31" s="45" t="s">
        <v>90</v>
      </c>
      <c r="C31" s="45" t="s">
        <v>204</v>
      </c>
      <c r="D31" s="67">
        <v>4</v>
      </c>
      <c r="E31" s="67" t="s">
        <v>55</v>
      </c>
      <c r="F31" s="66">
        <f t="shared" si="2"/>
        <v>0</v>
      </c>
      <c r="G31" s="72">
        <f t="shared" si="3"/>
        <v>0</v>
      </c>
      <c r="H31" s="76"/>
    </row>
    <row r="32" spans="1:14" ht="15.75" customHeight="1" x14ac:dyDescent="0.3">
      <c r="A32" s="185" t="s">
        <v>222</v>
      </c>
      <c r="B32" s="186"/>
      <c r="C32" s="186"/>
      <c r="D32" s="186"/>
      <c r="E32" s="186"/>
      <c r="F32" s="186"/>
      <c r="G32" s="114"/>
      <c r="H32" s="137"/>
    </row>
    <row r="33" spans="1:8" ht="29.25" customHeight="1" x14ac:dyDescent="0.3">
      <c r="A33" s="127" t="s">
        <v>214</v>
      </c>
      <c r="B33" s="45" t="s">
        <v>91</v>
      </c>
      <c r="C33" s="128" t="s">
        <v>92</v>
      </c>
      <c r="D33" s="126">
        <v>120000</v>
      </c>
      <c r="E33" s="67" t="s">
        <v>247</v>
      </c>
      <c r="F33" s="66">
        <f>H33</f>
        <v>0</v>
      </c>
      <c r="G33" s="72">
        <f>D33*F33</f>
        <v>0</v>
      </c>
      <c r="H33" s="76"/>
    </row>
    <row r="34" spans="1:8" ht="15.75" customHeight="1" x14ac:dyDescent="0.3">
      <c r="A34" s="185" t="s">
        <v>241</v>
      </c>
      <c r="B34" s="186"/>
      <c r="C34" s="186"/>
      <c r="D34" s="186"/>
      <c r="E34" s="186"/>
      <c r="F34" s="186"/>
      <c r="G34" s="114"/>
      <c r="H34" s="137"/>
    </row>
    <row r="35" spans="1:8" ht="49.5" customHeight="1" x14ac:dyDescent="0.3">
      <c r="A35" s="129" t="s">
        <v>215</v>
      </c>
      <c r="B35" s="130" t="s">
        <v>93</v>
      </c>
      <c r="C35" s="47" t="s">
        <v>94</v>
      </c>
      <c r="D35" s="67">
        <v>700</v>
      </c>
      <c r="E35" s="67" t="s">
        <v>95</v>
      </c>
      <c r="F35" s="73">
        <f>H35</f>
        <v>0</v>
      </c>
      <c r="G35" s="71">
        <f>F35*D35</f>
        <v>0</v>
      </c>
      <c r="H35" s="76"/>
    </row>
    <row r="36" spans="1:8" ht="39" x14ac:dyDescent="0.3">
      <c r="A36" s="129" t="s">
        <v>138</v>
      </c>
      <c r="B36" s="47" t="s">
        <v>248</v>
      </c>
      <c r="C36" s="131" t="s">
        <v>249</v>
      </c>
      <c r="D36" s="132">
        <v>20000</v>
      </c>
      <c r="E36" s="67" t="s">
        <v>250</v>
      </c>
      <c r="F36" s="73">
        <v>1</v>
      </c>
      <c r="G36" s="133">
        <f>(D36*F36)</f>
        <v>20000</v>
      </c>
      <c r="H36" s="100"/>
    </row>
    <row r="37" spans="1:8" ht="15" customHeight="1" thickBot="1" x14ac:dyDescent="0.35">
      <c r="A37" s="105"/>
      <c r="B37" s="106"/>
      <c r="C37" s="182" t="s">
        <v>301</v>
      </c>
      <c r="D37" s="183"/>
      <c r="E37" s="184"/>
      <c r="F37" s="107"/>
      <c r="G37" s="111">
        <f>SUM(G11:G36)</f>
        <v>20000</v>
      </c>
      <c r="H37" s="112"/>
    </row>
  </sheetData>
  <sheetProtection algorithmName="SHA-512" hashValue="myCCsg5HgRry0lZ74CEH/k3eDrpC662787Axj6gy67YrVdQND0VUtIP8Hsf6y/599mZ0Ks2XSt1KT14FPzwZ9A==" saltValue="oSacAdn2B+HJ0pIo8KJY8g==" spinCount="100000" sheet="1"/>
  <mergeCells count="13">
    <mergeCell ref="C37:E37"/>
    <mergeCell ref="H1:H9"/>
    <mergeCell ref="A2:G2"/>
    <mergeCell ref="A3:G3"/>
    <mergeCell ref="A4:G4"/>
    <mergeCell ref="A6:G6"/>
    <mergeCell ref="A7:G7"/>
    <mergeCell ref="A8:G8"/>
    <mergeCell ref="A10:F10"/>
    <mergeCell ref="A14:F14"/>
    <mergeCell ref="A32:F32"/>
    <mergeCell ref="A34:F34"/>
    <mergeCell ref="A1:G1"/>
  </mergeCells>
  <printOptions horizontalCentered="1" verticalCentered="1"/>
  <pageMargins left="0.7" right="0.7" top="0.75" bottom="0.75" header="0.3" footer="0.3"/>
  <pageSetup scale="61" fitToHeight="2" orientation="landscape" r:id="rId1"/>
  <headerFooter>
    <oddFooter>&amp;C14-21-2493
0200000-11,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24"/>
  <sheetViews>
    <sheetView zoomScale="120" zoomScaleNormal="120" workbookViewId="0">
      <selection activeCell="B24" sqref="B24"/>
    </sheetView>
  </sheetViews>
  <sheetFormatPr defaultRowHeight="14.5" x14ac:dyDescent="0.35"/>
  <cols>
    <col min="1" max="1" width="11" customWidth="1"/>
    <col min="2" max="2" width="74.54296875" customWidth="1"/>
    <col min="3" max="3" width="13.26953125" customWidth="1"/>
    <col min="4" max="4" width="13.54296875" customWidth="1"/>
    <col min="5" max="5" width="12.54296875" customWidth="1"/>
    <col min="6" max="6" width="14.54296875" customWidth="1"/>
    <col min="7" max="7" width="11.81640625" customWidth="1"/>
    <col min="9" max="9" width="10.7265625" bestFit="1" customWidth="1"/>
  </cols>
  <sheetData>
    <row r="1" spans="1:7" ht="15" customHeight="1" x14ac:dyDescent="0.35">
      <c r="A1" s="1"/>
      <c r="B1" s="2"/>
      <c r="C1" s="2"/>
      <c r="D1" s="2"/>
      <c r="E1" s="2"/>
      <c r="F1" s="3"/>
      <c r="G1" s="175" t="s">
        <v>205</v>
      </c>
    </row>
    <row r="2" spans="1:7" x14ac:dyDescent="0.35">
      <c r="A2" s="8"/>
      <c r="B2" s="178" t="s">
        <v>184</v>
      </c>
      <c r="C2" s="178"/>
      <c r="D2" s="178"/>
      <c r="E2" s="178"/>
      <c r="F2" s="9"/>
      <c r="G2" s="176"/>
    </row>
    <row r="3" spans="1:7" x14ac:dyDescent="0.35">
      <c r="A3" s="8"/>
      <c r="B3" s="178" t="s">
        <v>0</v>
      </c>
      <c r="C3" s="178"/>
      <c r="D3" s="178"/>
      <c r="E3" s="178"/>
      <c r="F3" s="9"/>
      <c r="G3" s="176"/>
    </row>
    <row r="4" spans="1:7" x14ac:dyDescent="0.35">
      <c r="A4" s="8"/>
      <c r="B4" s="179" t="s">
        <v>255</v>
      </c>
      <c r="C4" s="179"/>
      <c r="D4" s="179"/>
      <c r="E4" s="179"/>
      <c r="F4" s="9"/>
      <c r="G4" s="176"/>
    </row>
    <row r="5" spans="1:7" x14ac:dyDescent="0.35">
      <c r="A5" s="8"/>
      <c r="B5" s="178" t="s">
        <v>19</v>
      </c>
      <c r="C5" s="178"/>
      <c r="D5" s="178"/>
      <c r="E5" s="178"/>
      <c r="F5" s="9"/>
      <c r="G5" s="176"/>
    </row>
    <row r="6" spans="1:7" x14ac:dyDescent="0.35">
      <c r="A6" s="8"/>
      <c r="B6" s="10"/>
      <c r="C6" s="10"/>
      <c r="D6" s="10"/>
      <c r="E6" s="10"/>
      <c r="F6" s="9"/>
      <c r="G6" s="176"/>
    </row>
    <row r="7" spans="1:7" ht="16.5" customHeight="1" x14ac:dyDescent="0.35">
      <c r="A7" s="172" t="s">
        <v>267</v>
      </c>
      <c r="B7" s="173"/>
      <c r="C7" s="173"/>
      <c r="D7" s="173"/>
      <c r="E7" s="173"/>
      <c r="F7" s="174"/>
      <c r="G7" s="176"/>
    </row>
    <row r="8" spans="1:7" ht="15.75" customHeight="1" x14ac:dyDescent="0.35">
      <c r="A8" s="180" t="s">
        <v>223</v>
      </c>
      <c r="B8" s="181"/>
      <c r="C8" s="181"/>
      <c r="D8" s="181"/>
      <c r="E8" s="77"/>
      <c r="F8" s="78"/>
      <c r="G8" s="176"/>
    </row>
    <row r="9" spans="1:7" ht="15" customHeight="1" x14ac:dyDescent="0.35">
      <c r="A9" s="11" t="s">
        <v>232</v>
      </c>
      <c r="B9" s="12"/>
      <c r="C9" s="10"/>
      <c r="D9" s="10"/>
      <c r="E9" s="10"/>
      <c r="F9" s="9"/>
      <c r="G9" s="176"/>
    </row>
    <row r="10" spans="1:7" ht="15.75" customHeight="1" thickBot="1" x14ac:dyDescent="0.4">
      <c r="A10" s="11"/>
      <c r="B10" s="12"/>
      <c r="C10" s="10"/>
      <c r="D10" s="10"/>
      <c r="E10" s="10"/>
      <c r="F10" s="9"/>
      <c r="G10" s="176"/>
    </row>
    <row r="11" spans="1:7" ht="29" thickBot="1" x14ac:dyDescent="0.4">
      <c r="A11" s="4" t="s">
        <v>2</v>
      </c>
      <c r="B11" s="5" t="s">
        <v>3</v>
      </c>
      <c r="C11" s="6" t="s">
        <v>4</v>
      </c>
      <c r="D11" s="6" t="s">
        <v>5</v>
      </c>
      <c r="E11" s="6" t="s">
        <v>6</v>
      </c>
      <c r="F11" s="7" t="s">
        <v>23</v>
      </c>
      <c r="G11" s="177"/>
    </row>
    <row r="12" spans="1:7" x14ac:dyDescent="0.35">
      <c r="A12" s="17" t="s">
        <v>20</v>
      </c>
      <c r="B12" s="18" t="s">
        <v>8</v>
      </c>
      <c r="C12" s="19"/>
      <c r="D12" s="19"/>
      <c r="E12" s="19"/>
      <c r="F12" s="24"/>
      <c r="G12" s="27"/>
    </row>
    <row r="13" spans="1:7" ht="28.5" x14ac:dyDescent="0.35">
      <c r="A13" s="20"/>
      <c r="B13" s="74" t="s">
        <v>181</v>
      </c>
      <c r="C13" s="14">
        <v>12</v>
      </c>
      <c r="D13" s="14" t="s">
        <v>9</v>
      </c>
      <c r="E13" s="30">
        <f>G13</f>
        <v>0</v>
      </c>
      <c r="F13" s="75">
        <f>C13*E13</f>
        <v>0</v>
      </c>
      <c r="G13" s="134"/>
    </row>
    <row r="14" spans="1:7" x14ac:dyDescent="0.35">
      <c r="A14" s="20"/>
      <c r="B14" s="15" t="s">
        <v>11</v>
      </c>
      <c r="C14" s="14"/>
      <c r="D14" s="14"/>
      <c r="E14" s="23"/>
      <c r="F14" s="26">
        <f>F13</f>
        <v>0</v>
      </c>
      <c r="G14" s="28"/>
    </row>
    <row r="15" spans="1:7" x14ac:dyDescent="0.35">
      <c r="A15" s="94" t="s">
        <v>233</v>
      </c>
      <c r="B15" s="16" t="s">
        <v>10</v>
      </c>
      <c r="C15" s="14"/>
      <c r="D15" s="14"/>
      <c r="E15" s="23"/>
      <c r="F15" s="25"/>
      <c r="G15" s="28"/>
    </row>
    <row r="16" spans="1:7" ht="28.5" x14ac:dyDescent="0.35">
      <c r="A16" s="20"/>
      <c r="B16" s="74" t="s">
        <v>182</v>
      </c>
      <c r="C16" s="14">
        <v>12</v>
      </c>
      <c r="D16" s="14" t="s">
        <v>9</v>
      </c>
      <c r="E16" s="30">
        <f>G16</f>
        <v>0</v>
      </c>
      <c r="F16" s="75">
        <f>C16*E16</f>
        <v>0</v>
      </c>
      <c r="G16" s="135"/>
    </row>
    <row r="17" spans="1:7" x14ac:dyDescent="0.35">
      <c r="A17" s="20"/>
      <c r="B17" s="15" t="s">
        <v>12</v>
      </c>
      <c r="C17" s="14"/>
      <c r="D17" s="14"/>
      <c r="E17" s="23"/>
      <c r="F17" s="26">
        <f>F16</f>
        <v>0</v>
      </c>
      <c r="G17" s="28"/>
    </row>
    <row r="18" spans="1:7" x14ac:dyDescent="0.35">
      <c r="A18" s="94" t="s">
        <v>234</v>
      </c>
      <c r="B18" s="16" t="s">
        <v>13</v>
      </c>
      <c r="C18" s="14"/>
      <c r="D18" s="14"/>
      <c r="E18" s="23"/>
      <c r="F18" s="25"/>
      <c r="G18" s="28"/>
    </row>
    <row r="19" spans="1:7" x14ac:dyDescent="0.35">
      <c r="A19" s="20"/>
      <c r="B19" s="13" t="s">
        <v>186</v>
      </c>
      <c r="C19" s="14">
        <v>12</v>
      </c>
      <c r="D19" s="14" t="s">
        <v>9</v>
      </c>
      <c r="E19" s="30">
        <f>G19</f>
        <v>0</v>
      </c>
      <c r="F19" s="25">
        <f>C19*E19</f>
        <v>0</v>
      </c>
      <c r="G19" s="136"/>
    </row>
    <row r="20" spans="1:7" ht="15" thickBot="1" x14ac:dyDescent="0.4">
      <c r="A20" s="21"/>
      <c r="B20" s="15" t="s">
        <v>14</v>
      </c>
      <c r="C20" s="14"/>
      <c r="D20" s="14"/>
      <c r="E20" s="23"/>
      <c r="F20" s="93">
        <f>F19</f>
        <v>0</v>
      </c>
      <c r="G20" s="28"/>
    </row>
    <row r="21" spans="1:7" ht="15.5" thickTop="1" thickBot="1" x14ac:dyDescent="0.4">
      <c r="A21" s="22"/>
      <c r="B21" s="169" t="s">
        <v>297</v>
      </c>
      <c r="C21" s="170"/>
      <c r="D21" s="170"/>
      <c r="E21" s="171"/>
      <c r="F21" s="31">
        <f>F14+F17+F20</f>
        <v>0</v>
      </c>
      <c r="G21" s="29"/>
    </row>
    <row r="22" spans="1:7" x14ac:dyDescent="0.35">
      <c r="A22" s="32"/>
    </row>
    <row r="24" spans="1:7" ht="36" customHeight="1" x14ac:dyDescent="0.35"/>
  </sheetData>
  <sheetProtection algorithmName="SHA-512" hashValue="mWIDcOkNi8+VGzrr8xmiA7apXw8rmraWt6qAfU4kcL+C1+HftDLzuk2Vd4DEMDD3y5mu1+n98BDOPsmDtFVBAQ==" saltValue="gW7w20WEKioyCFzq4L/61A==" spinCount="100000" sheet="1"/>
  <mergeCells count="8">
    <mergeCell ref="B21:E21"/>
    <mergeCell ref="G1:G11"/>
    <mergeCell ref="B2:E2"/>
    <mergeCell ref="B3:E3"/>
    <mergeCell ref="B4:E4"/>
    <mergeCell ref="B5:E5"/>
    <mergeCell ref="A7:F7"/>
    <mergeCell ref="A8:D8"/>
  </mergeCells>
  <pageMargins left="0.7" right="0.7" top="0.75" bottom="0.75" header="0.3" footer="0.3"/>
  <pageSetup scale="80" fitToHeight="2" orientation="landscape" r:id="rId1"/>
  <headerFooter>
    <oddFooter>&amp;C14-21-2493
0200000-12,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37"/>
  <sheetViews>
    <sheetView topLeftCell="A31" zoomScale="120" zoomScaleNormal="120" zoomScaleSheetLayoutView="50" workbookViewId="0">
      <selection activeCell="B50" sqref="B50"/>
    </sheetView>
  </sheetViews>
  <sheetFormatPr defaultColWidth="9.1796875" defaultRowHeight="13" x14ac:dyDescent="0.3"/>
  <cols>
    <col min="1" max="1" width="10.81640625" style="87" customWidth="1"/>
    <col min="2" max="2" width="24.54296875" style="87" customWidth="1"/>
    <col min="3" max="3" width="61.54296875" style="138" bestFit="1" customWidth="1"/>
    <col min="4" max="4" width="12.1796875" style="109" customWidth="1"/>
    <col min="5" max="5" width="14.453125" style="139" bestFit="1" customWidth="1"/>
    <col min="6" max="6" width="10.81640625" style="87" bestFit="1" customWidth="1"/>
    <col min="7" max="7" width="11.26953125" style="87" bestFit="1" customWidth="1"/>
    <col min="8" max="8" width="16.1796875" style="89" customWidth="1"/>
    <col min="9" max="9" width="11.54296875" style="89" bestFit="1" customWidth="1"/>
    <col min="10" max="15" width="0" style="87" hidden="1" customWidth="1"/>
    <col min="16" max="16384" width="9.1796875" style="87"/>
  </cols>
  <sheetData>
    <row r="1" spans="1:15" ht="12.75" customHeight="1" x14ac:dyDescent="0.3">
      <c r="A1" s="215" t="s">
        <v>184</v>
      </c>
      <c r="B1" s="216"/>
      <c r="C1" s="216"/>
      <c r="D1" s="216"/>
      <c r="E1" s="216"/>
      <c r="F1" s="216"/>
      <c r="G1" s="217"/>
      <c r="H1" s="204" t="s">
        <v>96</v>
      </c>
    </row>
    <row r="2" spans="1:15" ht="12.75" customHeight="1" x14ac:dyDescent="0.3">
      <c r="A2" s="206" t="s">
        <v>0</v>
      </c>
      <c r="B2" s="207"/>
      <c r="C2" s="207"/>
      <c r="D2" s="207"/>
      <c r="E2" s="207"/>
      <c r="F2" s="207"/>
      <c r="G2" s="208"/>
      <c r="H2" s="205"/>
    </row>
    <row r="3" spans="1:15" ht="12.75" customHeight="1" x14ac:dyDescent="0.3">
      <c r="A3" s="206" t="s">
        <v>255</v>
      </c>
      <c r="B3" s="207"/>
      <c r="C3" s="207"/>
      <c r="D3" s="207"/>
      <c r="E3" s="207"/>
      <c r="F3" s="207"/>
      <c r="G3" s="208"/>
      <c r="H3" s="205"/>
    </row>
    <row r="4" spans="1:15" ht="12.75" customHeight="1" x14ac:dyDescent="0.3">
      <c r="A4" s="206" t="s">
        <v>19</v>
      </c>
      <c r="B4" s="207"/>
      <c r="C4" s="207"/>
      <c r="D4" s="207"/>
      <c r="E4" s="207"/>
      <c r="F4" s="207"/>
      <c r="G4" s="208"/>
      <c r="H4" s="205"/>
    </row>
    <row r="5" spans="1:15" ht="12.75" customHeight="1" x14ac:dyDescent="0.3">
      <c r="A5" s="118"/>
      <c r="B5" s="119"/>
      <c r="C5" s="120"/>
      <c r="D5" s="121"/>
      <c r="E5" s="120"/>
      <c r="F5" s="122"/>
      <c r="G5" s="123"/>
      <c r="H5" s="205"/>
    </row>
    <row r="6" spans="1:15" x14ac:dyDescent="0.3">
      <c r="A6" s="209" t="s">
        <v>265</v>
      </c>
      <c r="B6" s="210"/>
      <c r="C6" s="210"/>
      <c r="D6" s="210"/>
      <c r="E6" s="210"/>
      <c r="F6" s="210"/>
      <c r="G6" s="211"/>
      <c r="H6" s="205"/>
    </row>
    <row r="7" spans="1:15" x14ac:dyDescent="0.3">
      <c r="A7" s="212" t="s">
        <v>187</v>
      </c>
      <c r="B7" s="213"/>
      <c r="C7" s="213"/>
      <c r="D7" s="213"/>
      <c r="E7" s="213"/>
      <c r="F7" s="213"/>
      <c r="G7" s="214"/>
      <c r="H7" s="205"/>
    </row>
    <row r="8" spans="1:15" ht="13.5" thickBot="1" x14ac:dyDescent="0.35">
      <c r="A8" s="212"/>
      <c r="B8" s="213"/>
      <c r="C8" s="213"/>
      <c r="D8" s="213"/>
      <c r="E8" s="213"/>
      <c r="F8" s="213"/>
      <c r="G8" s="214"/>
      <c r="H8" s="205"/>
    </row>
    <row r="9" spans="1:15" ht="26.5" thickBot="1" x14ac:dyDescent="0.35">
      <c r="A9" s="38" t="s">
        <v>24</v>
      </c>
      <c r="B9" s="39" t="s">
        <v>25</v>
      </c>
      <c r="C9" s="40" t="s">
        <v>26</v>
      </c>
      <c r="D9" s="40" t="s">
        <v>27</v>
      </c>
      <c r="E9" s="40" t="s">
        <v>5</v>
      </c>
      <c r="F9" s="61" t="s">
        <v>6</v>
      </c>
      <c r="G9" s="62" t="s">
        <v>28</v>
      </c>
      <c r="H9" s="205"/>
    </row>
    <row r="10" spans="1:15" ht="15.75" customHeight="1" x14ac:dyDescent="0.3">
      <c r="A10" s="185" t="s">
        <v>220</v>
      </c>
      <c r="B10" s="186"/>
      <c r="C10" s="186"/>
      <c r="D10" s="186"/>
      <c r="E10" s="186"/>
      <c r="F10" s="203"/>
      <c r="G10" s="116"/>
      <c r="H10" s="117"/>
    </row>
    <row r="11" spans="1:15" ht="39" x14ac:dyDescent="0.3">
      <c r="A11" s="124" t="s">
        <v>139</v>
      </c>
      <c r="B11" s="125" t="s">
        <v>30</v>
      </c>
      <c r="C11" s="125" t="s">
        <v>31</v>
      </c>
      <c r="D11" s="126">
        <v>1000</v>
      </c>
      <c r="E11" s="67" t="s">
        <v>32</v>
      </c>
      <c r="F11" s="66">
        <f>H11</f>
        <v>0</v>
      </c>
      <c r="G11" s="72">
        <f>D11*F11</f>
        <v>0</v>
      </c>
      <c r="H11" s="76"/>
    </row>
    <row r="12" spans="1:15" ht="39" x14ac:dyDescent="0.3">
      <c r="A12" s="124" t="s">
        <v>140</v>
      </c>
      <c r="B12" s="45" t="s">
        <v>34</v>
      </c>
      <c r="C12" s="45" t="s">
        <v>35</v>
      </c>
      <c r="D12" s="126">
        <v>1500</v>
      </c>
      <c r="E12" s="67" t="s">
        <v>32</v>
      </c>
      <c r="F12" s="66">
        <f t="shared" ref="F12:F13" si="0">H12</f>
        <v>0</v>
      </c>
      <c r="G12" s="72">
        <f t="shared" ref="G12:G13" si="1">D12*F12</f>
        <v>0</v>
      </c>
      <c r="H12" s="76"/>
    </row>
    <row r="13" spans="1:15" ht="39" x14ac:dyDescent="0.3">
      <c r="A13" s="124" t="s">
        <v>141</v>
      </c>
      <c r="B13" s="45" t="s">
        <v>37</v>
      </c>
      <c r="C13" s="125" t="s">
        <v>38</v>
      </c>
      <c r="D13" s="126">
        <v>4</v>
      </c>
      <c r="E13" s="67" t="s">
        <v>39</v>
      </c>
      <c r="F13" s="66">
        <f t="shared" si="0"/>
        <v>0</v>
      </c>
      <c r="G13" s="72">
        <f t="shared" si="1"/>
        <v>0</v>
      </c>
      <c r="H13" s="76"/>
    </row>
    <row r="14" spans="1:15" ht="15.75" customHeight="1" x14ac:dyDescent="0.3">
      <c r="A14" s="185" t="s">
        <v>221</v>
      </c>
      <c r="B14" s="186"/>
      <c r="C14" s="186"/>
      <c r="D14" s="186"/>
      <c r="E14" s="186"/>
      <c r="F14" s="203"/>
      <c r="G14" s="116"/>
      <c r="H14" s="115"/>
    </row>
    <row r="15" spans="1:15" ht="104" x14ac:dyDescent="0.3">
      <c r="A15" s="46" t="s">
        <v>142</v>
      </c>
      <c r="B15" s="45" t="s">
        <v>41</v>
      </c>
      <c r="C15" s="45" t="s">
        <v>188</v>
      </c>
      <c r="D15" s="67">
        <v>12</v>
      </c>
      <c r="E15" s="67" t="s">
        <v>42</v>
      </c>
      <c r="F15" s="66">
        <f>H15</f>
        <v>0</v>
      </c>
      <c r="G15" s="72">
        <f>D15*F15</f>
        <v>0</v>
      </c>
      <c r="H15" s="76"/>
      <c r="K15" s="88" t="s">
        <v>43</v>
      </c>
      <c r="L15" s="88" t="s">
        <v>44</v>
      </c>
      <c r="M15" s="88" t="s">
        <v>45</v>
      </c>
      <c r="N15" s="88" t="s">
        <v>46</v>
      </c>
      <c r="O15" s="88" t="s">
        <v>47</v>
      </c>
    </row>
    <row r="16" spans="1:15" ht="65" x14ac:dyDescent="0.3">
      <c r="A16" s="46" t="s">
        <v>143</v>
      </c>
      <c r="B16" s="45" t="s">
        <v>49</v>
      </c>
      <c r="C16" s="45" t="s">
        <v>189</v>
      </c>
      <c r="D16" s="67">
        <v>4</v>
      </c>
      <c r="E16" s="67" t="s">
        <v>42</v>
      </c>
      <c r="F16" s="66">
        <f t="shared" ref="F16:F31" si="2">H16</f>
        <v>0</v>
      </c>
      <c r="G16" s="72">
        <f t="shared" ref="G16:G31" si="3">D16*F16</f>
        <v>0</v>
      </c>
      <c r="H16" s="76"/>
      <c r="K16" s="87">
        <v>100</v>
      </c>
      <c r="L16" s="87">
        <f>K16/2</f>
        <v>50</v>
      </c>
      <c r="M16" s="87">
        <f>K16/4</f>
        <v>25</v>
      </c>
      <c r="N16" s="87">
        <f>K16+L16</f>
        <v>150</v>
      </c>
      <c r="O16" s="87">
        <f>K16+M16</f>
        <v>125</v>
      </c>
    </row>
    <row r="17" spans="1:15" ht="52" x14ac:dyDescent="0.3">
      <c r="A17" s="46" t="s">
        <v>144</v>
      </c>
      <c r="B17" s="45" t="s">
        <v>51</v>
      </c>
      <c r="C17" s="45" t="s">
        <v>190</v>
      </c>
      <c r="D17" s="67">
        <v>4</v>
      </c>
      <c r="E17" s="67" t="s">
        <v>52</v>
      </c>
      <c r="F17" s="66">
        <f t="shared" si="2"/>
        <v>0</v>
      </c>
      <c r="G17" s="72">
        <f t="shared" si="3"/>
        <v>0</v>
      </c>
      <c r="H17" s="76"/>
      <c r="J17" s="90">
        <v>222.51</v>
      </c>
      <c r="K17" s="87">
        <v>148.34</v>
      </c>
      <c r="L17" s="87">
        <f>K17/2</f>
        <v>74.17</v>
      </c>
      <c r="M17" s="87">
        <f>K17/4</f>
        <v>37.085000000000001</v>
      </c>
      <c r="N17" s="87">
        <f>K17+L17</f>
        <v>222.51</v>
      </c>
      <c r="O17" s="87">
        <f>K17+M17</f>
        <v>185.42500000000001</v>
      </c>
    </row>
    <row r="18" spans="1:15" ht="39" x14ac:dyDescent="0.3">
      <c r="A18" s="46" t="s">
        <v>145</v>
      </c>
      <c r="B18" s="45" t="s">
        <v>54</v>
      </c>
      <c r="C18" s="45" t="s">
        <v>191</v>
      </c>
      <c r="D18" s="67">
        <v>4</v>
      </c>
      <c r="E18" s="67" t="s">
        <v>55</v>
      </c>
      <c r="F18" s="66">
        <f t="shared" si="2"/>
        <v>0</v>
      </c>
      <c r="G18" s="72">
        <f t="shared" si="3"/>
        <v>0</v>
      </c>
      <c r="H18" s="76"/>
      <c r="K18" s="91" t="s">
        <v>56</v>
      </c>
      <c r="L18" s="91" t="s">
        <v>57</v>
      </c>
      <c r="M18" s="91" t="s">
        <v>58</v>
      </c>
      <c r="N18" s="92" t="s">
        <v>59</v>
      </c>
      <c r="O18" s="91" t="s">
        <v>60</v>
      </c>
    </row>
    <row r="19" spans="1:15" ht="52" x14ac:dyDescent="0.3">
      <c r="A19" s="46" t="s">
        <v>146</v>
      </c>
      <c r="B19" s="45" t="s">
        <v>62</v>
      </c>
      <c r="C19" s="45" t="s">
        <v>192</v>
      </c>
      <c r="D19" s="67">
        <v>4</v>
      </c>
      <c r="E19" s="67" t="s">
        <v>55</v>
      </c>
      <c r="F19" s="66">
        <f t="shared" si="2"/>
        <v>0</v>
      </c>
      <c r="G19" s="72">
        <f t="shared" si="3"/>
        <v>0</v>
      </c>
      <c r="H19" s="76"/>
      <c r="J19" s="90">
        <f>F19/5</f>
        <v>0</v>
      </c>
      <c r="K19" s="90">
        <f>J19*2</f>
        <v>0</v>
      </c>
      <c r="L19" s="90">
        <f>J19*5</f>
        <v>0</v>
      </c>
    </row>
    <row r="20" spans="1:15" ht="39" x14ac:dyDescent="0.3">
      <c r="A20" s="46" t="s">
        <v>147</v>
      </c>
      <c r="B20" s="45" t="s">
        <v>64</v>
      </c>
      <c r="C20" s="45" t="s">
        <v>193</v>
      </c>
      <c r="D20" s="67">
        <v>4</v>
      </c>
      <c r="E20" s="67" t="s">
        <v>65</v>
      </c>
      <c r="F20" s="66">
        <f t="shared" si="2"/>
        <v>0</v>
      </c>
      <c r="G20" s="72">
        <f t="shared" si="3"/>
        <v>0</v>
      </c>
      <c r="H20" s="76"/>
      <c r="J20" s="90">
        <f>F20/7</f>
        <v>0</v>
      </c>
      <c r="K20" s="90">
        <f>J20*2</f>
        <v>0</v>
      </c>
      <c r="L20" s="90">
        <f>J20*7</f>
        <v>0</v>
      </c>
    </row>
    <row r="21" spans="1:15" ht="78" x14ac:dyDescent="0.3">
      <c r="A21" s="46" t="s">
        <v>148</v>
      </c>
      <c r="B21" s="45" t="s">
        <v>67</v>
      </c>
      <c r="C21" s="45" t="s">
        <v>194</v>
      </c>
      <c r="D21" s="67">
        <v>12</v>
      </c>
      <c r="E21" s="67" t="s">
        <v>55</v>
      </c>
      <c r="F21" s="66">
        <f t="shared" si="2"/>
        <v>0</v>
      </c>
      <c r="G21" s="72">
        <f t="shared" si="3"/>
        <v>0</v>
      </c>
      <c r="H21" s="76"/>
    </row>
    <row r="22" spans="1:15" ht="65" x14ac:dyDescent="0.3">
      <c r="A22" s="46" t="s">
        <v>149</v>
      </c>
      <c r="B22" s="45" t="s">
        <v>69</v>
      </c>
      <c r="C22" s="45" t="s">
        <v>195</v>
      </c>
      <c r="D22" s="67">
        <v>4</v>
      </c>
      <c r="E22" s="67" t="s">
        <v>55</v>
      </c>
      <c r="F22" s="66">
        <f t="shared" si="2"/>
        <v>0</v>
      </c>
      <c r="G22" s="72">
        <f t="shared" si="3"/>
        <v>0</v>
      </c>
      <c r="H22" s="76"/>
    </row>
    <row r="23" spans="1:15" ht="39" x14ac:dyDescent="0.3">
      <c r="A23" s="46" t="s">
        <v>150</v>
      </c>
      <c r="B23" s="45" t="s">
        <v>71</v>
      </c>
      <c r="C23" s="45" t="s">
        <v>196</v>
      </c>
      <c r="D23" s="67">
        <v>4</v>
      </c>
      <c r="E23" s="67" t="s">
        <v>55</v>
      </c>
      <c r="F23" s="66">
        <f t="shared" si="2"/>
        <v>0</v>
      </c>
      <c r="G23" s="72">
        <f t="shared" si="3"/>
        <v>0</v>
      </c>
      <c r="H23" s="76"/>
    </row>
    <row r="24" spans="1:15" ht="52" x14ac:dyDescent="0.3">
      <c r="A24" s="46" t="s">
        <v>151</v>
      </c>
      <c r="B24" s="45" t="s">
        <v>73</v>
      </c>
      <c r="C24" s="45" t="s">
        <v>197</v>
      </c>
      <c r="D24" s="67">
        <v>1</v>
      </c>
      <c r="E24" s="67" t="s">
        <v>55</v>
      </c>
      <c r="F24" s="66">
        <f t="shared" si="2"/>
        <v>0</v>
      </c>
      <c r="G24" s="72">
        <f t="shared" si="3"/>
        <v>0</v>
      </c>
      <c r="H24" s="76"/>
      <c r="K24" s="88" t="s">
        <v>43</v>
      </c>
      <c r="L24" s="88" t="s">
        <v>44</v>
      </c>
      <c r="M24" s="88" t="s">
        <v>45</v>
      </c>
      <c r="N24" s="88" t="s">
        <v>46</v>
      </c>
      <c r="O24" s="88" t="s">
        <v>47</v>
      </c>
    </row>
    <row r="25" spans="1:15" ht="52" x14ac:dyDescent="0.3">
      <c r="A25" s="46" t="s">
        <v>152</v>
      </c>
      <c r="B25" s="45" t="s">
        <v>75</v>
      </c>
      <c r="C25" s="45" t="s">
        <v>198</v>
      </c>
      <c r="D25" s="67">
        <v>1</v>
      </c>
      <c r="E25" s="67" t="s">
        <v>76</v>
      </c>
      <c r="F25" s="66">
        <f t="shared" si="2"/>
        <v>0</v>
      </c>
      <c r="G25" s="72">
        <f t="shared" si="3"/>
        <v>0</v>
      </c>
      <c r="H25" s="76"/>
      <c r="K25" s="87">
        <v>100</v>
      </c>
      <c r="L25" s="87">
        <f>K25/2</f>
        <v>50</v>
      </c>
      <c r="M25" s="87">
        <f>K25/4</f>
        <v>25</v>
      </c>
      <c r="N25" s="87">
        <f>K25+L25</f>
        <v>150</v>
      </c>
      <c r="O25" s="87">
        <f>K25+M25</f>
        <v>125</v>
      </c>
    </row>
    <row r="26" spans="1:15" s="52" customFormat="1" ht="65" x14ac:dyDescent="0.3">
      <c r="A26" s="46" t="s">
        <v>153</v>
      </c>
      <c r="B26" s="45" t="s">
        <v>78</v>
      </c>
      <c r="C26" s="45" t="s">
        <v>199</v>
      </c>
      <c r="D26" s="67">
        <v>1</v>
      </c>
      <c r="E26" s="67" t="s">
        <v>79</v>
      </c>
      <c r="F26" s="66">
        <f t="shared" si="2"/>
        <v>0</v>
      </c>
      <c r="G26" s="72">
        <f t="shared" si="3"/>
        <v>0</v>
      </c>
      <c r="H26" s="76"/>
      <c r="I26" s="89"/>
      <c r="J26" s="52">
        <v>376.96</v>
      </c>
      <c r="K26" s="87">
        <v>250</v>
      </c>
      <c r="L26" s="87">
        <f>K26/2</f>
        <v>125</v>
      </c>
      <c r="M26" s="87">
        <f>K26/4</f>
        <v>62.5</v>
      </c>
      <c r="N26" s="87">
        <f>K26+L26</f>
        <v>375</v>
      </c>
      <c r="O26" s="87">
        <f>K26+M26</f>
        <v>312.5</v>
      </c>
    </row>
    <row r="27" spans="1:15" ht="39" x14ac:dyDescent="0.3">
      <c r="A27" s="46" t="s">
        <v>154</v>
      </c>
      <c r="B27" s="45" t="s">
        <v>81</v>
      </c>
      <c r="C27" s="45" t="s">
        <v>200</v>
      </c>
      <c r="D27" s="67">
        <v>1</v>
      </c>
      <c r="E27" s="67" t="s">
        <v>82</v>
      </c>
      <c r="F27" s="66">
        <f t="shared" si="2"/>
        <v>0</v>
      </c>
      <c r="G27" s="72">
        <f t="shared" si="3"/>
        <v>0</v>
      </c>
      <c r="H27" s="76"/>
      <c r="K27" s="91" t="s">
        <v>56</v>
      </c>
      <c r="L27" s="91" t="s">
        <v>57</v>
      </c>
      <c r="M27" s="91" t="s">
        <v>58</v>
      </c>
      <c r="N27" s="92" t="s">
        <v>59</v>
      </c>
      <c r="O27" s="91" t="s">
        <v>60</v>
      </c>
    </row>
    <row r="28" spans="1:15" s="52" customFormat="1" ht="65" x14ac:dyDescent="0.3">
      <c r="A28" s="46" t="s">
        <v>155</v>
      </c>
      <c r="B28" s="45" t="s">
        <v>84</v>
      </c>
      <c r="C28" s="45" t="s">
        <v>201</v>
      </c>
      <c r="D28" s="67">
        <v>12</v>
      </c>
      <c r="E28" s="67" t="s">
        <v>39</v>
      </c>
      <c r="F28" s="66">
        <f t="shared" si="2"/>
        <v>0</v>
      </c>
      <c r="G28" s="72">
        <f t="shared" si="3"/>
        <v>0</v>
      </c>
      <c r="H28" s="76"/>
      <c r="I28" s="89"/>
      <c r="N28" s="53">
        <f>F26-N26</f>
        <v>-375</v>
      </c>
    </row>
    <row r="29" spans="1:15" s="52" customFormat="1" ht="39" x14ac:dyDescent="0.3">
      <c r="A29" s="46" t="s">
        <v>156</v>
      </c>
      <c r="B29" s="45" t="s">
        <v>86</v>
      </c>
      <c r="C29" s="45" t="s">
        <v>202</v>
      </c>
      <c r="D29" s="67">
        <v>4</v>
      </c>
      <c r="E29" s="67" t="s">
        <v>55</v>
      </c>
      <c r="F29" s="66">
        <f t="shared" si="2"/>
        <v>0</v>
      </c>
      <c r="G29" s="72">
        <f t="shared" si="3"/>
        <v>0</v>
      </c>
      <c r="H29" s="76"/>
      <c r="I29" s="89"/>
    </row>
    <row r="30" spans="1:15" ht="39" x14ac:dyDescent="0.3">
      <c r="A30" s="46" t="s">
        <v>157</v>
      </c>
      <c r="B30" s="45" t="s">
        <v>88</v>
      </c>
      <c r="C30" s="45" t="s">
        <v>203</v>
      </c>
      <c r="D30" s="67">
        <v>4</v>
      </c>
      <c r="E30" s="67" t="s">
        <v>55</v>
      </c>
      <c r="F30" s="66">
        <f t="shared" si="2"/>
        <v>0</v>
      </c>
      <c r="G30" s="72">
        <f t="shared" si="3"/>
        <v>0</v>
      </c>
      <c r="H30" s="76"/>
    </row>
    <row r="31" spans="1:15" ht="78" x14ac:dyDescent="0.3">
      <c r="A31" s="46" t="s">
        <v>158</v>
      </c>
      <c r="B31" s="45" t="s">
        <v>90</v>
      </c>
      <c r="C31" s="45" t="s">
        <v>204</v>
      </c>
      <c r="D31" s="67">
        <v>4</v>
      </c>
      <c r="E31" s="67" t="s">
        <v>55</v>
      </c>
      <c r="F31" s="66">
        <f t="shared" si="2"/>
        <v>0</v>
      </c>
      <c r="G31" s="72">
        <f t="shared" si="3"/>
        <v>0</v>
      </c>
      <c r="H31" s="76"/>
    </row>
    <row r="32" spans="1:15" ht="15.75" customHeight="1" x14ac:dyDescent="0.3">
      <c r="A32" s="185" t="s">
        <v>222</v>
      </c>
      <c r="B32" s="186"/>
      <c r="C32" s="186"/>
      <c r="D32" s="186"/>
      <c r="E32" s="186"/>
      <c r="F32" s="186"/>
      <c r="G32" s="114"/>
      <c r="H32" s="115"/>
    </row>
    <row r="33" spans="1:8" ht="26" x14ac:dyDescent="0.3">
      <c r="A33" s="127" t="s">
        <v>211</v>
      </c>
      <c r="B33" s="45" t="s">
        <v>91</v>
      </c>
      <c r="C33" s="128" t="s">
        <v>92</v>
      </c>
      <c r="D33" s="126">
        <v>120000</v>
      </c>
      <c r="E33" s="67" t="s">
        <v>247</v>
      </c>
      <c r="F33" s="66">
        <f>H33</f>
        <v>0</v>
      </c>
      <c r="G33" s="72">
        <f>D33*F33</f>
        <v>0</v>
      </c>
      <c r="H33" s="76"/>
    </row>
    <row r="34" spans="1:8" ht="15.75" customHeight="1" x14ac:dyDescent="0.3">
      <c r="A34" s="185" t="s">
        <v>239</v>
      </c>
      <c r="B34" s="186"/>
      <c r="C34" s="186"/>
      <c r="D34" s="186"/>
      <c r="E34" s="186"/>
      <c r="F34" s="186"/>
      <c r="G34" s="114"/>
      <c r="H34" s="115"/>
    </row>
    <row r="35" spans="1:8" ht="65" x14ac:dyDescent="0.3">
      <c r="A35" s="129" t="s">
        <v>212</v>
      </c>
      <c r="B35" s="130" t="s">
        <v>93</v>
      </c>
      <c r="C35" s="47" t="s">
        <v>94</v>
      </c>
      <c r="D35" s="67">
        <v>700</v>
      </c>
      <c r="E35" s="67" t="s">
        <v>95</v>
      </c>
      <c r="F35" s="73">
        <f>H35</f>
        <v>0</v>
      </c>
      <c r="G35" s="71">
        <f>F35*D35</f>
        <v>0</v>
      </c>
      <c r="H35" s="76"/>
    </row>
    <row r="36" spans="1:8" ht="39" x14ac:dyDescent="0.3">
      <c r="A36" s="129" t="s">
        <v>159</v>
      </c>
      <c r="B36" s="47" t="s">
        <v>248</v>
      </c>
      <c r="C36" s="131" t="s">
        <v>249</v>
      </c>
      <c r="D36" s="132">
        <v>20000</v>
      </c>
      <c r="E36" s="67" t="s">
        <v>250</v>
      </c>
      <c r="F36" s="73">
        <v>1</v>
      </c>
      <c r="G36" s="133">
        <f>(D36*F36)</f>
        <v>20000</v>
      </c>
      <c r="H36" s="100"/>
    </row>
    <row r="37" spans="1:8" ht="14.15" customHeight="1" thickBot="1" x14ac:dyDescent="0.35">
      <c r="A37" s="105"/>
      <c r="B37" s="106"/>
      <c r="C37" s="182" t="s">
        <v>213</v>
      </c>
      <c r="D37" s="183"/>
      <c r="E37" s="184"/>
      <c r="F37" s="107"/>
      <c r="G37" s="111">
        <f>SUM(G11:G36)</f>
        <v>20000</v>
      </c>
      <c r="H37" s="112"/>
    </row>
  </sheetData>
  <sheetProtection algorithmName="SHA-512" hashValue="3Y36rxmbR/uKdXzwk1pQFGhK4N8WbdWk3ckgPeRTqv1Cx1he+HkgByiFQYy5mQE8hKAMQwTGyudRO0P3Qush7g==" saltValue="NF19y3DbIW2Ho2eA9b1Fvg==" spinCount="100000" sheet="1"/>
  <mergeCells count="13">
    <mergeCell ref="C37:E37"/>
    <mergeCell ref="H1:H9"/>
    <mergeCell ref="A2:G2"/>
    <mergeCell ref="A3:G3"/>
    <mergeCell ref="A4:G4"/>
    <mergeCell ref="A6:G6"/>
    <mergeCell ref="A7:G7"/>
    <mergeCell ref="A8:G8"/>
    <mergeCell ref="A10:F10"/>
    <mergeCell ref="A14:F14"/>
    <mergeCell ref="A32:F32"/>
    <mergeCell ref="A34:F34"/>
    <mergeCell ref="A1:G1"/>
  </mergeCells>
  <printOptions horizontalCentered="1" verticalCentered="1"/>
  <pageMargins left="0.7" right="0.7" top="0.75" bottom="0.75" header="0.3" footer="0.3"/>
  <pageSetup scale="61" fitToHeight="2" orientation="landscape" r:id="rId1"/>
  <headerFooter>
    <oddFooter>&amp;C14-21-2493
0200000-12,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24"/>
  <sheetViews>
    <sheetView zoomScale="120" zoomScaleNormal="120" workbookViewId="0">
      <selection activeCell="B22" sqref="B22"/>
    </sheetView>
  </sheetViews>
  <sheetFormatPr defaultRowHeight="14.5" x14ac:dyDescent="0.35"/>
  <cols>
    <col min="1" max="1" width="11" customWidth="1"/>
    <col min="2" max="2" width="74.54296875" customWidth="1"/>
    <col min="3" max="3" width="13.26953125" customWidth="1"/>
    <col min="4" max="4" width="13.54296875" customWidth="1"/>
    <col min="5" max="5" width="12.54296875" customWidth="1"/>
    <col min="6" max="6" width="14.54296875" customWidth="1"/>
    <col min="7" max="7" width="11.81640625" customWidth="1"/>
    <col min="9" max="9" width="10.7265625" bestFit="1" customWidth="1"/>
  </cols>
  <sheetData>
    <row r="1" spans="1:7" ht="15" customHeight="1" x14ac:dyDescent="0.35">
      <c r="A1" s="1"/>
      <c r="B1" s="2"/>
      <c r="C1" s="2"/>
      <c r="D1" s="2"/>
      <c r="E1" s="2"/>
      <c r="F1" s="3"/>
      <c r="G1" s="175" t="s">
        <v>205</v>
      </c>
    </row>
    <row r="2" spans="1:7" x14ac:dyDescent="0.35">
      <c r="A2" s="8"/>
      <c r="B2" s="178" t="s">
        <v>185</v>
      </c>
      <c r="C2" s="178"/>
      <c r="D2" s="178"/>
      <c r="E2" s="178"/>
      <c r="F2" s="9"/>
      <c r="G2" s="176"/>
    </row>
    <row r="3" spans="1:7" x14ac:dyDescent="0.35">
      <c r="A3" s="8"/>
      <c r="B3" s="178" t="s">
        <v>0</v>
      </c>
      <c r="C3" s="178"/>
      <c r="D3" s="178"/>
      <c r="E3" s="178"/>
      <c r="F3" s="9"/>
      <c r="G3" s="176"/>
    </row>
    <row r="4" spans="1:7" x14ac:dyDescent="0.35">
      <c r="A4" s="8"/>
      <c r="B4" s="179" t="s">
        <v>255</v>
      </c>
      <c r="C4" s="179"/>
      <c r="D4" s="179"/>
      <c r="E4" s="179"/>
      <c r="F4" s="9"/>
      <c r="G4" s="176"/>
    </row>
    <row r="5" spans="1:7" x14ac:dyDescent="0.35">
      <c r="A5" s="8"/>
      <c r="B5" s="178" t="s">
        <v>21</v>
      </c>
      <c r="C5" s="178"/>
      <c r="D5" s="178"/>
      <c r="E5" s="178"/>
      <c r="F5" s="9"/>
      <c r="G5" s="176"/>
    </row>
    <row r="6" spans="1:7" x14ac:dyDescent="0.35">
      <c r="A6" s="8"/>
      <c r="B6" s="10"/>
      <c r="C6" s="10"/>
      <c r="D6" s="10"/>
      <c r="E6" s="10"/>
      <c r="F6" s="9"/>
      <c r="G6" s="176"/>
    </row>
    <row r="7" spans="1:7" ht="16.5" customHeight="1" x14ac:dyDescent="0.35">
      <c r="A7" s="172" t="s">
        <v>266</v>
      </c>
      <c r="B7" s="173"/>
      <c r="C7" s="173"/>
      <c r="D7" s="173"/>
      <c r="E7" s="173"/>
      <c r="F7" s="174"/>
      <c r="G7" s="176"/>
    </row>
    <row r="8" spans="1:7" ht="15.75" customHeight="1" x14ac:dyDescent="0.35">
      <c r="A8" s="180" t="s">
        <v>223</v>
      </c>
      <c r="B8" s="181"/>
      <c r="C8" s="181"/>
      <c r="D8" s="181"/>
      <c r="E8" s="77"/>
      <c r="F8" s="78"/>
      <c r="G8" s="176"/>
    </row>
    <row r="9" spans="1:7" ht="15" customHeight="1" x14ac:dyDescent="0.35">
      <c r="A9" s="11" t="s">
        <v>235</v>
      </c>
      <c r="B9" s="12"/>
      <c r="C9" s="10"/>
      <c r="D9" s="10"/>
      <c r="E9" s="10"/>
      <c r="F9" s="9"/>
      <c r="G9" s="176"/>
    </row>
    <row r="10" spans="1:7" ht="15.75" customHeight="1" thickBot="1" x14ac:dyDescent="0.4">
      <c r="A10" s="11"/>
      <c r="B10" s="12"/>
      <c r="C10" s="10"/>
      <c r="D10" s="10"/>
      <c r="E10" s="10"/>
      <c r="F10" s="9"/>
      <c r="G10" s="176"/>
    </row>
    <row r="11" spans="1:7" ht="29" thickBot="1" x14ac:dyDescent="0.4">
      <c r="A11" s="4" t="s">
        <v>2</v>
      </c>
      <c r="B11" s="5" t="s">
        <v>3</v>
      </c>
      <c r="C11" s="6" t="s">
        <v>4</v>
      </c>
      <c r="D11" s="6" t="s">
        <v>5</v>
      </c>
      <c r="E11" s="6" t="s">
        <v>6</v>
      </c>
      <c r="F11" s="7" t="s">
        <v>23</v>
      </c>
      <c r="G11" s="177"/>
    </row>
    <row r="12" spans="1:7" x14ac:dyDescent="0.35">
      <c r="A12" s="17" t="s">
        <v>22</v>
      </c>
      <c r="B12" s="18" t="s">
        <v>8</v>
      </c>
      <c r="C12" s="19"/>
      <c r="D12" s="19"/>
      <c r="E12" s="19"/>
      <c r="F12" s="24"/>
      <c r="G12" s="27"/>
    </row>
    <row r="13" spans="1:7" ht="28.5" x14ac:dyDescent="0.35">
      <c r="A13" s="20"/>
      <c r="B13" s="74" t="s">
        <v>181</v>
      </c>
      <c r="C13" s="14">
        <v>12</v>
      </c>
      <c r="D13" s="14" t="s">
        <v>9</v>
      </c>
      <c r="E13" s="30">
        <f>G13</f>
        <v>0</v>
      </c>
      <c r="F13" s="75">
        <f>C13*E13</f>
        <v>0</v>
      </c>
      <c r="G13" s="134"/>
    </row>
    <row r="14" spans="1:7" x14ac:dyDescent="0.35">
      <c r="A14" s="20"/>
      <c r="B14" s="15" t="s">
        <v>11</v>
      </c>
      <c r="C14" s="14"/>
      <c r="D14" s="14"/>
      <c r="E14" s="23"/>
      <c r="F14" s="26">
        <f>F13</f>
        <v>0</v>
      </c>
      <c r="G14" s="28"/>
    </row>
    <row r="15" spans="1:7" x14ac:dyDescent="0.35">
      <c r="A15" s="94" t="s">
        <v>236</v>
      </c>
      <c r="B15" s="16" t="s">
        <v>10</v>
      </c>
      <c r="C15" s="14"/>
      <c r="D15" s="14"/>
      <c r="E15" s="23"/>
      <c r="F15" s="25"/>
      <c r="G15" s="28"/>
    </row>
    <row r="16" spans="1:7" ht="28.5" x14ac:dyDescent="0.35">
      <c r="A16" s="20"/>
      <c r="B16" s="74" t="s">
        <v>182</v>
      </c>
      <c r="C16" s="14">
        <v>12</v>
      </c>
      <c r="D16" s="14" t="s">
        <v>9</v>
      </c>
      <c r="E16" s="30">
        <f>G16</f>
        <v>0</v>
      </c>
      <c r="F16" s="75">
        <f>C16*E16</f>
        <v>0</v>
      </c>
      <c r="G16" s="135"/>
    </row>
    <row r="17" spans="1:7" x14ac:dyDescent="0.35">
      <c r="A17" s="20"/>
      <c r="B17" s="15" t="s">
        <v>12</v>
      </c>
      <c r="C17" s="14"/>
      <c r="D17" s="14"/>
      <c r="E17" s="23"/>
      <c r="F17" s="26">
        <f>F16</f>
        <v>0</v>
      </c>
      <c r="G17" s="28"/>
    </row>
    <row r="18" spans="1:7" x14ac:dyDescent="0.35">
      <c r="A18" s="94" t="s">
        <v>237</v>
      </c>
      <c r="B18" s="16" t="s">
        <v>13</v>
      </c>
      <c r="C18" s="14"/>
      <c r="D18" s="14"/>
      <c r="E18" s="23"/>
      <c r="F18" s="25"/>
      <c r="G18" s="28"/>
    </row>
    <row r="19" spans="1:7" x14ac:dyDescent="0.35">
      <c r="A19" s="20"/>
      <c r="B19" s="13" t="s">
        <v>186</v>
      </c>
      <c r="C19" s="14">
        <v>12</v>
      </c>
      <c r="D19" s="14" t="s">
        <v>9</v>
      </c>
      <c r="E19" s="30">
        <f>G19</f>
        <v>0</v>
      </c>
      <c r="F19" s="25">
        <f>C19*E19</f>
        <v>0</v>
      </c>
      <c r="G19" s="136"/>
    </row>
    <row r="20" spans="1:7" ht="15" thickBot="1" x14ac:dyDescent="0.4">
      <c r="A20" s="21"/>
      <c r="B20" s="15" t="s">
        <v>14</v>
      </c>
      <c r="C20" s="14"/>
      <c r="D20" s="14"/>
      <c r="E20" s="23"/>
      <c r="F20" s="93">
        <f>F19</f>
        <v>0</v>
      </c>
      <c r="G20" s="28"/>
    </row>
    <row r="21" spans="1:7" ht="15.5" thickTop="1" thickBot="1" x14ac:dyDescent="0.4">
      <c r="A21" s="22"/>
      <c r="B21" s="169" t="s">
        <v>298</v>
      </c>
      <c r="C21" s="170"/>
      <c r="D21" s="170"/>
      <c r="E21" s="171"/>
      <c r="F21" s="31">
        <f>F14+F17+F20</f>
        <v>0</v>
      </c>
      <c r="G21" s="29"/>
    </row>
    <row r="22" spans="1:7" x14ac:dyDescent="0.35">
      <c r="A22" s="32"/>
    </row>
    <row r="24" spans="1:7" ht="36" customHeight="1" x14ac:dyDescent="0.35"/>
  </sheetData>
  <sheetProtection algorithmName="SHA-512" hashValue="e5z1GJVO2v4wBmmby4Q1O/n8qbFtU0JRLIdJco9dm9sUZj0ex5EjgnBMDJlu/TuQemWoAAFXMEkcO1CBCYawAg==" saltValue="PzFUSMzG0ZUkXqoaPQz7Eg==" spinCount="100000" sheet="1"/>
  <mergeCells count="8">
    <mergeCell ref="B21:E21"/>
    <mergeCell ref="G1:G11"/>
    <mergeCell ref="B2:E2"/>
    <mergeCell ref="B3:E3"/>
    <mergeCell ref="B4:E4"/>
    <mergeCell ref="B5:E5"/>
    <mergeCell ref="A7:F7"/>
    <mergeCell ref="A8:D8"/>
  </mergeCells>
  <pageMargins left="0.7" right="0.7" top="0.75" bottom="0.75" header="0.3" footer="0.3"/>
  <pageSetup scale="80" fitToHeight="2" orientation="landscape" r:id="rId1"/>
  <headerFooter>
    <oddFooter>&amp;C14-21-2493
0200000-13,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37"/>
  <sheetViews>
    <sheetView topLeftCell="A30" zoomScale="130" zoomScaleNormal="130" workbookViewId="0">
      <selection activeCell="B43" sqref="B43"/>
    </sheetView>
  </sheetViews>
  <sheetFormatPr defaultColWidth="9.1796875" defaultRowHeight="13" x14ac:dyDescent="0.3"/>
  <cols>
    <col min="1" max="1" width="10.81640625" style="33" customWidth="1"/>
    <col min="2" max="2" width="24.54296875" style="33" customWidth="1"/>
    <col min="3" max="3" width="61.54296875" style="57" bestFit="1" customWidth="1"/>
    <col min="4" max="4" width="12.1796875" style="58" customWidth="1"/>
    <col min="5" max="5" width="14.453125" style="59" bestFit="1" customWidth="1"/>
    <col min="6" max="6" width="10.81640625" style="33" bestFit="1" customWidth="1"/>
    <col min="7" max="7" width="11.26953125" style="33" bestFit="1" customWidth="1"/>
    <col min="8" max="8" width="16.1796875" style="60" customWidth="1"/>
    <col min="9" max="9" width="11.54296875" style="60" bestFit="1" customWidth="1"/>
    <col min="10" max="15" width="0" style="33" hidden="1" customWidth="1"/>
    <col min="16" max="16384" width="9.1796875" style="33"/>
  </cols>
  <sheetData>
    <row r="1" spans="1:15" ht="12.75" customHeight="1" x14ac:dyDescent="0.3">
      <c r="A1" s="229" t="s">
        <v>185</v>
      </c>
      <c r="B1" s="230"/>
      <c r="C1" s="230"/>
      <c r="D1" s="230"/>
      <c r="E1" s="230"/>
      <c r="F1" s="230"/>
      <c r="G1" s="231"/>
      <c r="H1" s="199" t="s">
        <v>96</v>
      </c>
    </row>
    <row r="2" spans="1:15" ht="12.75" customHeight="1" x14ac:dyDescent="0.3">
      <c r="A2" s="220" t="s">
        <v>0</v>
      </c>
      <c r="B2" s="221"/>
      <c r="C2" s="221"/>
      <c r="D2" s="221"/>
      <c r="E2" s="221"/>
      <c r="F2" s="221"/>
      <c r="G2" s="222"/>
      <c r="H2" s="200"/>
    </row>
    <row r="3" spans="1:15" ht="12.75" customHeight="1" x14ac:dyDescent="0.3">
      <c r="A3" s="220" t="s">
        <v>255</v>
      </c>
      <c r="B3" s="221"/>
      <c r="C3" s="221"/>
      <c r="D3" s="221"/>
      <c r="E3" s="221"/>
      <c r="F3" s="221"/>
      <c r="G3" s="222"/>
      <c r="H3" s="200"/>
    </row>
    <row r="4" spans="1:15" ht="12.75" customHeight="1" x14ac:dyDescent="0.3">
      <c r="A4" s="220" t="s">
        <v>21</v>
      </c>
      <c r="B4" s="221"/>
      <c r="C4" s="221"/>
      <c r="D4" s="221"/>
      <c r="E4" s="221"/>
      <c r="F4" s="221"/>
      <c r="G4" s="222"/>
      <c r="H4" s="200"/>
    </row>
    <row r="5" spans="1:15" ht="12.75" customHeight="1" x14ac:dyDescent="0.3">
      <c r="A5" s="103"/>
      <c r="B5" s="104"/>
      <c r="C5" s="34"/>
      <c r="D5" s="35"/>
      <c r="E5" s="34"/>
      <c r="F5" s="36"/>
      <c r="G5" s="37"/>
      <c r="H5" s="200"/>
    </row>
    <row r="6" spans="1:15" x14ac:dyDescent="0.3">
      <c r="A6" s="223" t="s">
        <v>246</v>
      </c>
      <c r="B6" s="224"/>
      <c r="C6" s="224"/>
      <c r="D6" s="224"/>
      <c r="E6" s="224"/>
      <c r="F6" s="224"/>
      <c r="G6" s="225"/>
      <c r="H6" s="200"/>
    </row>
    <row r="7" spans="1:15" x14ac:dyDescent="0.3">
      <c r="A7" s="226" t="s">
        <v>187</v>
      </c>
      <c r="B7" s="227"/>
      <c r="C7" s="227"/>
      <c r="D7" s="227"/>
      <c r="E7" s="227"/>
      <c r="F7" s="227"/>
      <c r="G7" s="228"/>
      <c r="H7" s="200"/>
    </row>
    <row r="8" spans="1:15" ht="13.5" thickBot="1" x14ac:dyDescent="0.35">
      <c r="A8" s="226"/>
      <c r="B8" s="227"/>
      <c r="C8" s="227"/>
      <c r="D8" s="227"/>
      <c r="E8" s="227"/>
      <c r="F8" s="227"/>
      <c r="G8" s="228"/>
      <c r="H8" s="200"/>
    </row>
    <row r="9" spans="1:15" s="41" customFormat="1" ht="26.5" thickBot="1" x14ac:dyDescent="0.35">
      <c r="A9" s="38" t="s">
        <v>24</v>
      </c>
      <c r="B9" s="39" t="s">
        <v>25</v>
      </c>
      <c r="C9" s="40" t="s">
        <v>26</v>
      </c>
      <c r="D9" s="40" t="s">
        <v>27</v>
      </c>
      <c r="E9" s="40" t="s">
        <v>5</v>
      </c>
      <c r="F9" s="61" t="s">
        <v>6</v>
      </c>
      <c r="G9" s="62" t="s">
        <v>28</v>
      </c>
      <c r="H9" s="200"/>
      <c r="I9" s="63"/>
    </row>
    <row r="10" spans="1:15" s="41" customFormat="1" ht="15.75" customHeight="1" x14ac:dyDescent="0.3">
      <c r="A10" s="185" t="s">
        <v>220</v>
      </c>
      <c r="B10" s="186"/>
      <c r="C10" s="186"/>
      <c r="D10" s="186"/>
      <c r="E10" s="186"/>
      <c r="F10" s="203"/>
      <c r="G10" s="116"/>
      <c r="H10" s="140"/>
      <c r="I10" s="63"/>
    </row>
    <row r="11" spans="1:15" ht="39" x14ac:dyDescent="0.3">
      <c r="A11" s="42" t="s">
        <v>160</v>
      </c>
      <c r="B11" s="43" t="s">
        <v>30</v>
      </c>
      <c r="C11" s="43" t="s">
        <v>31</v>
      </c>
      <c r="D11" s="64">
        <v>1000</v>
      </c>
      <c r="E11" s="65" t="s">
        <v>32</v>
      </c>
      <c r="F11" s="70">
        <f>H11</f>
        <v>0</v>
      </c>
      <c r="G11" s="72">
        <f>D11*F11</f>
        <v>0</v>
      </c>
      <c r="H11" s="76"/>
    </row>
    <row r="12" spans="1:15" ht="39" x14ac:dyDescent="0.3">
      <c r="A12" s="42" t="s">
        <v>161</v>
      </c>
      <c r="B12" s="44" t="s">
        <v>34</v>
      </c>
      <c r="C12" s="45" t="s">
        <v>35</v>
      </c>
      <c r="D12" s="64">
        <v>1500</v>
      </c>
      <c r="E12" s="65" t="s">
        <v>32</v>
      </c>
      <c r="F12" s="70">
        <f t="shared" ref="F12:F13" si="0">H12</f>
        <v>0</v>
      </c>
      <c r="G12" s="72">
        <f t="shared" ref="G12:G13" si="1">D12*F12</f>
        <v>0</v>
      </c>
      <c r="H12" s="76"/>
    </row>
    <row r="13" spans="1:15" ht="39" x14ac:dyDescent="0.3">
      <c r="A13" s="42" t="s">
        <v>162</v>
      </c>
      <c r="B13" s="44" t="s">
        <v>37</v>
      </c>
      <c r="C13" s="43" t="s">
        <v>38</v>
      </c>
      <c r="D13" s="64">
        <v>4</v>
      </c>
      <c r="E13" s="65" t="s">
        <v>39</v>
      </c>
      <c r="F13" s="70">
        <f t="shared" si="0"/>
        <v>0</v>
      </c>
      <c r="G13" s="72">
        <f t="shared" si="1"/>
        <v>0</v>
      </c>
      <c r="H13" s="76"/>
    </row>
    <row r="14" spans="1:15" s="41" customFormat="1" ht="15.75" customHeight="1" x14ac:dyDescent="0.3">
      <c r="A14" s="185" t="s">
        <v>221</v>
      </c>
      <c r="B14" s="186"/>
      <c r="C14" s="186"/>
      <c r="D14" s="186"/>
      <c r="E14" s="186"/>
      <c r="F14" s="203"/>
      <c r="G14" s="116"/>
      <c r="H14" s="141"/>
      <c r="I14" s="63"/>
    </row>
    <row r="15" spans="1:15" s="41" customFormat="1" ht="104" x14ac:dyDescent="0.3">
      <c r="A15" s="46" t="s">
        <v>163</v>
      </c>
      <c r="B15" s="45" t="s">
        <v>41</v>
      </c>
      <c r="C15" s="45" t="s">
        <v>188</v>
      </c>
      <c r="D15" s="67">
        <v>12</v>
      </c>
      <c r="E15" s="67" t="s">
        <v>39</v>
      </c>
      <c r="F15" s="66">
        <f>H15</f>
        <v>0</v>
      </c>
      <c r="G15" s="72">
        <f>D15*F15</f>
        <v>0</v>
      </c>
      <c r="H15" s="76"/>
      <c r="I15" s="60"/>
      <c r="K15" s="48" t="s">
        <v>43</v>
      </c>
      <c r="L15" s="48" t="s">
        <v>44</v>
      </c>
      <c r="M15" s="48" t="s">
        <v>45</v>
      </c>
      <c r="N15" s="48" t="s">
        <v>46</v>
      </c>
      <c r="O15" s="48" t="s">
        <v>47</v>
      </c>
    </row>
    <row r="16" spans="1:15" s="41" customFormat="1" ht="65" x14ac:dyDescent="0.3">
      <c r="A16" s="46" t="s">
        <v>164</v>
      </c>
      <c r="B16" s="45" t="s">
        <v>49</v>
      </c>
      <c r="C16" s="45" t="s">
        <v>189</v>
      </c>
      <c r="D16" s="67">
        <v>4</v>
      </c>
      <c r="E16" s="67" t="s">
        <v>39</v>
      </c>
      <c r="F16" s="66">
        <f t="shared" ref="F16:F31" si="2">H16</f>
        <v>0</v>
      </c>
      <c r="G16" s="72">
        <f t="shared" ref="G16:G31" si="3">D16*F16</f>
        <v>0</v>
      </c>
      <c r="H16" s="76"/>
      <c r="I16" s="60"/>
      <c r="K16" s="41">
        <v>100</v>
      </c>
      <c r="L16" s="41">
        <f>K16/2</f>
        <v>50</v>
      </c>
      <c r="M16" s="41">
        <f>K16/4</f>
        <v>25</v>
      </c>
      <c r="N16" s="41">
        <f>K16+L16</f>
        <v>150</v>
      </c>
      <c r="O16" s="41">
        <f>K16+M16</f>
        <v>125</v>
      </c>
    </row>
    <row r="17" spans="1:15" s="41" customFormat="1" ht="52" x14ac:dyDescent="0.3">
      <c r="A17" s="46" t="s">
        <v>165</v>
      </c>
      <c r="B17" s="45" t="s">
        <v>51</v>
      </c>
      <c r="C17" s="45" t="s">
        <v>190</v>
      </c>
      <c r="D17" s="67">
        <v>4</v>
      </c>
      <c r="E17" s="67" t="s">
        <v>52</v>
      </c>
      <c r="F17" s="66">
        <f t="shared" si="2"/>
        <v>0</v>
      </c>
      <c r="G17" s="72">
        <f t="shared" si="3"/>
        <v>0</v>
      </c>
      <c r="H17" s="76"/>
      <c r="I17" s="60"/>
      <c r="J17" s="49">
        <v>222.51</v>
      </c>
      <c r="K17" s="41">
        <v>148.34</v>
      </c>
      <c r="L17" s="41">
        <f>K17/2</f>
        <v>74.17</v>
      </c>
      <c r="M17" s="41">
        <f>K17/4</f>
        <v>37.085000000000001</v>
      </c>
      <c r="N17" s="41">
        <f>K17+L17</f>
        <v>222.51</v>
      </c>
      <c r="O17" s="41">
        <f>K17+M17</f>
        <v>185.42500000000001</v>
      </c>
    </row>
    <row r="18" spans="1:15" s="41" customFormat="1" ht="39" x14ac:dyDescent="0.3">
      <c r="A18" s="46" t="s">
        <v>166</v>
      </c>
      <c r="B18" s="45" t="s">
        <v>54</v>
      </c>
      <c r="C18" s="45" t="s">
        <v>191</v>
      </c>
      <c r="D18" s="67">
        <v>4</v>
      </c>
      <c r="E18" s="67" t="s">
        <v>55</v>
      </c>
      <c r="F18" s="66">
        <f t="shared" si="2"/>
        <v>0</v>
      </c>
      <c r="G18" s="72">
        <f t="shared" si="3"/>
        <v>0</v>
      </c>
      <c r="H18" s="76"/>
      <c r="I18" s="60"/>
      <c r="K18" s="50" t="s">
        <v>56</v>
      </c>
      <c r="L18" s="50" t="s">
        <v>57</v>
      </c>
      <c r="M18" s="50" t="s">
        <v>58</v>
      </c>
      <c r="N18" s="51" t="s">
        <v>59</v>
      </c>
      <c r="O18" s="50" t="s">
        <v>60</v>
      </c>
    </row>
    <row r="19" spans="1:15" s="41" customFormat="1" ht="52" x14ac:dyDescent="0.3">
      <c r="A19" s="46" t="s">
        <v>167</v>
      </c>
      <c r="B19" s="45" t="s">
        <v>62</v>
      </c>
      <c r="C19" s="45" t="s">
        <v>192</v>
      </c>
      <c r="D19" s="67">
        <v>4</v>
      </c>
      <c r="E19" s="67" t="s">
        <v>55</v>
      </c>
      <c r="F19" s="66">
        <f t="shared" si="2"/>
        <v>0</v>
      </c>
      <c r="G19" s="72">
        <f t="shared" si="3"/>
        <v>0</v>
      </c>
      <c r="H19" s="76"/>
      <c r="I19" s="60"/>
      <c r="J19" s="49">
        <f>F19/5</f>
        <v>0</v>
      </c>
      <c r="K19" s="49">
        <f>J19*2</f>
        <v>0</v>
      </c>
      <c r="L19" s="49">
        <f>J19*5</f>
        <v>0</v>
      </c>
    </row>
    <row r="20" spans="1:15" s="41" customFormat="1" ht="39" x14ac:dyDescent="0.3">
      <c r="A20" s="46" t="s">
        <v>168</v>
      </c>
      <c r="B20" s="45" t="s">
        <v>64</v>
      </c>
      <c r="C20" s="45" t="s">
        <v>193</v>
      </c>
      <c r="D20" s="67">
        <v>4</v>
      </c>
      <c r="E20" s="67" t="s">
        <v>65</v>
      </c>
      <c r="F20" s="66">
        <f t="shared" si="2"/>
        <v>0</v>
      </c>
      <c r="G20" s="72">
        <f t="shared" si="3"/>
        <v>0</v>
      </c>
      <c r="H20" s="76"/>
      <c r="I20" s="60"/>
      <c r="J20" s="49">
        <f>F20/7</f>
        <v>0</v>
      </c>
      <c r="K20" s="49">
        <f>J20*2</f>
        <v>0</v>
      </c>
      <c r="L20" s="49">
        <f>J20*7</f>
        <v>0</v>
      </c>
    </row>
    <row r="21" spans="1:15" s="41" customFormat="1" ht="78" x14ac:dyDescent="0.3">
      <c r="A21" s="46" t="s">
        <v>169</v>
      </c>
      <c r="B21" s="45" t="s">
        <v>67</v>
      </c>
      <c r="C21" s="45" t="s">
        <v>194</v>
      </c>
      <c r="D21" s="67">
        <v>12</v>
      </c>
      <c r="E21" s="67" t="s">
        <v>55</v>
      </c>
      <c r="F21" s="66">
        <f t="shared" si="2"/>
        <v>0</v>
      </c>
      <c r="G21" s="72">
        <f t="shared" si="3"/>
        <v>0</v>
      </c>
      <c r="H21" s="76"/>
      <c r="I21" s="60"/>
    </row>
    <row r="22" spans="1:15" s="41" customFormat="1" ht="65" x14ac:dyDescent="0.3">
      <c r="A22" s="46" t="s">
        <v>170</v>
      </c>
      <c r="B22" s="45" t="s">
        <v>69</v>
      </c>
      <c r="C22" s="45" t="s">
        <v>195</v>
      </c>
      <c r="D22" s="67">
        <v>4</v>
      </c>
      <c r="E22" s="67" t="s">
        <v>55</v>
      </c>
      <c r="F22" s="66">
        <f t="shared" si="2"/>
        <v>0</v>
      </c>
      <c r="G22" s="72">
        <f t="shared" si="3"/>
        <v>0</v>
      </c>
      <c r="H22" s="76"/>
      <c r="I22" s="60"/>
    </row>
    <row r="23" spans="1:15" s="41" customFormat="1" ht="39" x14ac:dyDescent="0.3">
      <c r="A23" s="46" t="s">
        <v>171</v>
      </c>
      <c r="B23" s="45" t="s">
        <v>71</v>
      </c>
      <c r="C23" s="45" t="s">
        <v>196</v>
      </c>
      <c r="D23" s="67">
        <v>4</v>
      </c>
      <c r="E23" s="67" t="s">
        <v>55</v>
      </c>
      <c r="F23" s="66">
        <f t="shared" si="2"/>
        <v>0</v>
      </c>
      <c r="G23" s="72">
        <f t="shared" si="3"/>
        <v>0</v>
      </c>
      <c r="H23" s="76"/>
      <c r="I23" s="60"/>
    </row>
    <row r="24" spans="1:15" s="41" customFormat="1" ht="52" x14ac:dyDescent="0.3">
      <c r="A24" s="46" t="s">
        <v>172</v>
      </c>
      <c r="B24" s="45" t="s">
        <v>73</v>
      </c>
      <c r="C24" s="45" t="s">
        <v>197</v>
      </c>
      <c r="D24" s="67">
        <v>1</v>
      </c>
      <c r="E24" s="67" t="s">
        <v>55</v>
      </c>
      <c r="F24" s="66">
        <f t="shared" si="2"/>
        <v>0</v>
      </c>
      <c r="G24" s="72">
        <f t="shared" si="3"/>
        <v>0</v>
      </c>
      <c r="H24" s="76"/>
      <c r="I24" s="60"/>
      <c r="K24" s="48" t="s">
        <v>43</v>
      </c>
      <c r="L24" s="48" t="s">
        <v>44</v>
      </c>
      <c r="M24" s="48" t="s">
        <v>45</v>
      </c>
      <c r="N24" s="48" t="s">
        <v>46</v>
      </c>
      <c r="O24" s="48" t="s">
        <v>47</v>
      </c>
    </row>
    <row r="25" spans="1:15" s="41" customFormat="1" ht="52" x14ac:dyDescent="0.3">
      <c r="A25" s="46" t="s">
        <v>173</v>
      </c>
      <c r="B25" s="45" t="s">
        <v>75</v>
      </c>
      <c r="C25" s="45" t="s">
        <v>198</v>
      </c>
      <c r="D25" s="67">
        <v>1</v>
      </c>
      <c r="E25" s="67" t="s">
        <v>76</v>
      </c>
      <c r="F25" s="66">
        <f t="shared" si="2"/>
        <v>0</v>
      </c>
      <c r="G25" s="72">
        <f t="shared" si="3"/>
        <v>0</v>
      </c>
      <c r="H25" s="76"/>
      <c r="I25" s="60"/>
      <c r="K25" s="41">
        <v>100</v>
      </c>
      <c r="L25" s="41">
        <f>K25/2</f>
        <v>50</v>
      </c>
      <c r="M25" s="41">
        <f>K25/4</f>
        <v>25</v>
      </c>
      <c r="N25" s="41">
        <f>K25+L25</f>
        <v>150</v>
      </c>
      <c r="O25" s="41">
        <f>K25+M25</f>
        <v>125</v>
      </c>
    </row>
    <row r="26" spans="1:15" s="52" customFormat="1" ht="65" x14ac:dyDescent="0.3">
      <c r="A26" s="46" t="s">
        <v>174</v>
      </c>
      <c r="B26" s="45" t="s">
        <v>78</v>
      </c>
      <c r="C26" s="45" t="s">
        <v>199</v>
      </c>
      <c r="D26" s="67">
        <v>1</v>
      </c>
      <c r="E26" s="67" t="s">
        <v>55</v>
      </c>
      <c r="F26" s="66">
        <f t="shared" si="2"/>
        <v>0</v>
      </c>
      <c r="G26" s="72">
        <f t="shared" si="3"/>
        <v>0</v>
      </c>
      <c r="H26" s="76"/>
      <c r="I26" s="60"/>
      <c r="J26" s="52">
        <v>376.96</v>
      </c>
      <c r="K26" s="41">
        <v>250</v>
      </c>
      <c r="L26" s="41">
        <f>K26/2</f>
        <v>125</v>
      </c>
      <c r="M26" s="41">
        <f>K26/4</f>
        <v>62.5</v>
      </c>
      <c r="N26" s="41">
        <f>K26+L26</f>
        <v>375</v>
      </c>
      <c r="O26" s="41">
        <f>K26+M26</f>
        <v>312.5</v>
      </c>
    </row>
    <row r="27" spans="1:15" s="41" customFormat="1" ht="39" x14ac:dyDescent="0.3">
      <c r="A27" s="46" t="s">
        <v>175</v>
      </c>
      <c r="B27" s="45" t="s">
        <v>81</v>
      </c>
      <c r="C27" s="45" t="s">
        <v>200</v>
      </c>
      <c r="D27" s="67">
        <v>1</v>
      </c>
      <c r="E27" s="67" t="s">
        <v>82</v>
      </c>
      <c r="F27" s="66">
        <f t="shared" si="2"/>
        <v>0</v>
      </c>
      <c r="G27" s="72">
        <f t="shared" si="3"/>
        <v>0</v>
      </c>
      <c r="H27" s="76"/>
      <c r="I27" s="60"/>
      <c r="K27" s="50" t="s">
        <v>56</v>
      </c>
      <c r="L27" s="50" t="s">
        <v>57</v>
      </c>
      <c r="M27" s="50" t="s">
        <v>58</v>
      </c>
      <c r="N27" s="51" t="s">
        <v>59</v>
      </c>
      <c r="O27" s="50" t="s">
        <v>60</v>
      </c>
    </row>
    <row r="28" spans="1:15" s="52" customFormat="1" ht="65" x14ac:dyDescent="0.3">
      <c r="A28" s="46" t="s">
        <v>176</v>
      </c>
      <c r="B28" s="45" t="s">
        <v>84</v>
      </c>
      <c r="C28" s="45" t="s">
        <v>201</v>
      </c>
      <c r="D28" s="67">
        <v>12</v>
      </c>
      <c r="E28" s="67" t="s">
        <v>39</v>
      </c>
      <c r="F28" s="66">
        <f t="shared" si="2"/>
        <v>0</v>
      </c>
      <c r="G28" s="72">
        <f t="shared" si="3"/>
        <v>0</v>
      </c>
      <c r="H28" s="76"/>
      <c r="I28" s="60"/>
      <c r="N28" s="53">
        <f>F26-N26</f>
        <v>-375</v>
      </c>
    </row>
    <row r="29" spans="1:15" s="52" customFormat="1" ht="39" x14ac:dyDescent="0.3">
      <c r="A29" s="46" t="s">
        <v>177</v>
      </c>
      <c r="B29" s="45" t="s">
        <v>86</v>
      </c>
      <c r="C29" s="45" t="s">
        <v>202</v>
      </c>
      <c r="D29" s="67">
        <v>4</v>
      </c>
      <c r="E29" s="67" t="s">
        <v>55</v>
      </c>
      <c r="F29" s="66">
        <f t="shared" si="2"/>
        <v>0</v>
      </c>
      <c r="G29" s="72">
        <f t="shared" si="3"/>
        <v>0</v>
      </c>
      <c r="H29" s="76"/>
      <c r="I29" s="60"/>
    </row>
    <row r="30" spans="1:15" s="41" customFormat="1" ht="39" x14ac:dyDescent="0.3">
      <c r="A30" s="46" t="s">
        <v>209</v>
      </c>
      <c r="B30" s="45" t="s">
        <v>88</v>
      </c>
      <c r="C30" s="45" t="s">
        <v>203</v>
      </c>
      <c r="D30" s="67">
        <v>4</v>
      </c>
      <c r="E30" s="67" t="s">
        <v>55</v>
      </c>
      <c r="F30" s="66">
        <f t="shared" si="2"/>
        <v>0</v>
      </c>
      <c r="G30" s="72">
        <f t="shared" si="3"/>
        <v>0</v>
      </c>
      <c r="H30" s="76"/>
      <c r="I30" s="60"/>
    </row>
    <row r="31" spans="1:15" s="41" customFormat="1" ht="78" x14ac:dyDescent="0.3">
      <c r="A31" s="46" t="s">
        <v>210</v>
      </c>
      <c r="B31" s="45" t="s">
        <v>90</v>
      </c>
      <c r="C31" s="45" t="s">
        <v>204</v>
      </c>
      <c r="D31" s="67">
        <v>4</v>
      </c>
      <c r="E31" s="67" t="s">
        <v>55</v>
      </c>
      <c r="F31" s="66">
        <f t="shared" si="2"/>
        <v>0</v>
      </c>
      <c r="G31" s="72">
        <f t="shared" si="3"/>
        <v>0</v>
      </c>
      <c r="H31" s="76"/>
      <c r="I31" s="60"/>
    </row>
    <row r="32" spans="1:15" s="41" customFormat="1" ht="15.75" customHeight="1" x14ac:dyDescent="0.3">
      <c r="A32" s="185" t="s">
        <v>222</v>
      </c>
      <c r="B32" s="186"/>
      <c r="C32" s="186"/>
      <c r="D32" s="186"/>
      <c r="E32" s="186"/>
      <c r="F32" s="186"/>
      <c r="G32" s="114"/>
      <c r="H32" s="142"/>
      <c r="I32" s="63"/>
    </row>
    <row r="33" spans="1:9" ht="26" x14ac:dyDescent="0.3">
      <c r="A33" s="54" t="s">
        <v>208</v>
      </c>
      <c r="B33" s="44" t="s">
        <v>91</v>
      </c>
      <c r="C33" s="55" t="s">
        <v>92</v>
      </c>
      <c r="D33" s="68">
        <v>120000</v>
      </c>
      <c r="E33" s="69" t="s">
        <v>247</v>
      </c>
      <c r="F33" s="70">
        <f>H33</f>
        <v>0</v>
      </c>
      <c r="G33" s="72">
        <f>D33*F33</f>
        <v>0</v>
      </c>
      <c r="H33" s="76"/>
    </row>
    <row r="34" spans="1:9" s="41" customFormat="1" ht="15.75" customHeight="1" x14ac:dyDescent="0.3">
      <c r="A34" s="185" t="s">
        <v>240</v>
      </c>
      <c r="B34" s="186"/>
      <c r="C34" s="186"/>
      <c r="D34" s="186"/>
      <c r="E34" s="186"/>
      <c r="F34" s="186"/>
      <c r="G34" s="114"/>
      <c r="H34" s="142"/>
      <c r="I34" s="63"/>
    </row>
    <row r="35" spans="1:9" ht="65" x14ac:dyDescent="0.3">
      <c r="A35" s="56" t="s">
        <v>207</v>
      </c>
      <c r="B35" s="143" t="s">
        <v>93</v>
      </c>
      <c r="C35" s="131" t="s">
        <v>94</v>
      </c>
      <c r="D35" s="67">
        <v>700</v>
      </c>
      <c r="E35" s="67" t="s">
        <v>95</v>
      </c>
      <c r="F35" s="73">
        <f>H35</f>
        <v>0</v>
      </c>
      <c r="G35" s="71">
        <f>F35*D35</f>
        <v>0</v>
      </c>
      <c r="H35" s="76"/>
    </row>
    <row r="36" spans="1:9" ht="39" x14ac:dyDescent="0.3">
      <c r="A36" s="56" t="s">
        <v>178</v>
      </c>
      <c r="B36" s="96" t="s">
        <v>248</v>
      </c>
      <c r="C36" s="96" t="s">
        <v>249</v>
      </c>
      <c r="D36" s="144">
        <v>20000</v>
      </c>
      <c r="E36" s="69" t="s">
        <v>250</v>
      </c>
      <c r="F36" s="98">
        <v>1</v>
      </c>
      <c r="G36" s="99">
        <f>(D36*F36)</f>
        <v>20000</v>
      </c>
      <c r="H36" s="100"/>
    </row>
    <row r="37" spans="1:9" s="41" customFormat="1" ht="15" customHeight="1" thickBot="1" x14ac:dyDescent="0.35">
      <c r="A37" s="105"/>
      <c r="B37" s="106"/>
      <c r="C37" s="182" t="s">
        <v>206</v>
      </c>
      <c r="D37" s="183"/>
      <c r="E37" s="184"/>
      <c r="F37" s="107"/>
      <c r="G37" s="111">
        <f>SUM(G11:G36)</f>
        <v>20000</v>
      </c>
      <c r="H37" s="113"/>
      <c r="I37" s="63"/>
    </row>
  </sheetData>
  <sheetProtection algorithmName="SHA-512" hashValue="/DixskhzOZ95+3n0t29U+5+uRqxyZs/gSJES8Ad7fHcyQ3PCG8uN/TZ2mbev//LUnra2nVRm2q07SLR4Njosgw==" saltValue="u8Fy/zkUn26Kqi8XRscWAg==" spinCount="100000" sheet="1"/>
  <mergeCells count="13">
    <mergeCell ref="C37:E37"/>
    <mergeCell ref="H1:H9"/>
    <mergeCell ref="A2:G2"/>
    <mergeCell ref="A3:G3"/>
    <mergeCell ref="A4:G4"/>
    <mergeCell ref="A6:G6"/>
    <mergeCell ref="A7:G7"/>
    <mergeCell ref="A8:G8"/>
    <mergeCell ref="A10:F10"/>
    <mergeCell ref="A14:F14"/>
    <mergeCell ref="A32:F32"/>
    <mergeCell ref="A34:F34"/>
    <mergeCell ref="A1:G1"/>
  </mergeCells>
  <printOptions horizontalCentered="1" verticalCentered="1"/>
  <pageMargins left="0.7" right="0.7" top="0.75" bottom="0.75" header="0.3" footer="0.3"/>
  <pageSetup scale="61" fitToWidth="0" fitToHeight="2" orientation="landscape" r:id="rId1"/>
  <headerFooter>
    <oddFooter>&amp;C14-21-2493
0200000-13,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C25AD-6468-4ED5-9ACA-F56D6A66904C}">
  <dimension ref="A1:G24"/>
  <sheetViews>
    <sheetView zoomScale="120" zoomScaleNormal="120" workbookViewId="0">
      <selection activeCell="B21" sqref="B21:E21"/>
    </sheetView>
  </sheetViews>
  <sheetFormatPr defaultRowHeight="14.5" x14ac:dyDescent="0.35"/>
  <cols>
    <col min="1" max="1" width="11" customWidth="1"/>
    <col min="2" max="2" width="74.54296875" customWidth="1"/>
    <col min="3" max="3" width="13.26953125" customWidth="1"/>
    <col min="4" max="4" width="13.54296875" customWidth="1"/>
    <col min="5" max="5" width="12.54296875" customWidth="1"/>
    <col min="6" max="6" width="14.54296875" customWidth="1"/>
    <col min="7" max="7" width="11.81640625" customWidth="1"/>
  </cols>
  <sheetData>
    <row r="1" spans="1:7" ht="15" customHeight="1" x14ac:dyDescent="0.35">
      <c r="A1" s="1"/>
      <c r="B1" s="2"/>
      <c r="C1" s="2"/>
      <c r="D1" s="2"/>
      <c r="E1" s="2"/>
      <c r="F1" s="3"/>
      <c r="G1" s="175" t="s">
        <v>205</v>
      </c>
    </row>
    <row r="2" spans="1:7" x14ac:dyDescent="0.35">
      <c r="A2" s="8"/>
      <c r="B2" s="178" t="s">
        <v>254</v>
      </c>
      <c r="C2" s="178"/>
      <c r="D2" s="178"/>
      <c r="E2" s="178"/>
      <c r="F2" s="9"/>
      <c r="G2" s="176"/>
    </row>
    <row r="3" spans="1:7" x14ac:dyDescent="0.35">
      <c r="A3" s="8"/>
      <c r="B3" s="178" t="s">
        <v>0</v>
      </c>
      <c r="C3" s="178"/>
      <c r="D3" s="178"/>
      <c r="E3" s="178"/>
      <c r="F3" s="9"/>
      <c r="G3" s="176"/>
    </row>
    <row r="4" spans="1:7" x14ac:dyDescent="0.35">
      <c r="A4" s="8"/>
      <c r="B4" s="179" t="s">
        <v>255</v>
      </c>
      <c r="C4" s="179"/>
      <c r="D4" s="179"/>
      <c r="E4" s="179"/>
      <c r="F4" s="9"/>
      <c r="G4" s="176"/>
    </row>
    <row r="5" spans="1:7" x14ac:dyDescent="0.35">
      <c r="A5" s="8"/>
      <c r="B5" s="178" t="s">
        <v>253</v>
      </c>
      <c r="C5" s="178"/>
      <c r="D5" s="178"/>
      <c r="E5" s="178"/>
      <c r="F5" s="9"/>
      <c r="G5" s="176"/>
    </row>
    <row r="6" spans="1:7" x14ac:dyDescent="0.35">
      <c r="A6" s="8"/>
      <c r="B6" s="10"/>
      <c r="C6" s="10"/>
      <c r="D6" s="10"/>
      <c r="E6" s="10"/>
      <c r="F6" s="9"/>
      <c r="G6" s="176"/>
    </row>
    <row r="7" spans="1:7" ht="16.5" customHeight="1" x14ac:dyDescent="0.35">
      <c r="A7" s="172" t="s">
        <v>259</v>
      </c>
      <c r="B7" s="173"/>
      <c r="C7" s="173"/>
      <c r="D7" s="173"/>
      <c r="E7" s="173"/>
      <c r="F7" s="174"/>
      <c r="G7" s="176"/>
    </row>
    <row r="8" spans="1:7" ht="33" customHeight="1" x14ac:dyDescent="0.35">
      <c r="A8" s="180" t="s">
        <v>223</v>
      </c>
      <c r="B8" s="181"/>
      <c r="C8" s="181"/>
      <c r="D8" s="181"/>
      <c r="E8" s="101"/>
      <c r="F8" s="102"/>
      <c r="G8" s="176"/>
    </row>
    <row r="9" spans="1:7" ht="15" customHeight="1" x14ac:dyDescent="0.35">
      <c r="A9" s="11" t="s">
        <v>252</v>
      </c>
      <c r="B9" s="12"/>
      <c r="C9" s="10"/>
      <c r="D9" s="10"/>
      <c r="E9" s="10"/>
      <c r="F9" s="9"/>
      <c r="G9" s="176"/>
    </row>
    <row r="10" spans="1:7" ht="15.75" customHeight="1" thickBot="1" x14ac:dyDescent="0.4">
      <c r="A10" s="11"/>
      <c r="B10" s="12"/>
      <c r="C10" s="10"/>
      <c r="D10" s="10"/>
      <c r="E10" s="10"/>
      <c r="F10" s="9"/>
      <c r="G10" s="176"/>
    </row>
    <row r="11" spans="1:7" ht="29" thickBot="1" x14ac:dyDescent="0.4">
      <c r="A11" s="4" t="s">
        <v>2</v>
      </c>
      <c r="B11" s="5" t="s">
        <v>3</v>
      </c>
      <c r="C11" s="6" t="s">
        <v>4</v>
      </c>
      <c r="D11" s="6" t="s">
        <v>5</v>
      </c>
      <c r="E11" s="6" t="s">
        <v>6</v>
      </c>
      <c r="F11" s="7" t="s">
        <v>23</v>
      </c>
      <c r="G11" s="177"/>
    </row>
    <row r="12" spans="1:7" x14ac:dyDescent="0.35">
      <c r="A12" s="17" t="s">
        <v>256</v>
      </c>
      <c r="B12" s="18" t="s">
        <v>8</v>
      </c>
      <c r="C12" s="19"/>
      <c r="D12" s="19"/>
      <c r="E12" s="19"/>
      <c r="F12" s="24"/>
      <c r="G12" s="27"/>
    </row>
    <row r="13" spans="1:7" ht="28.5" x14ac:dyDescent="0.35">
      <c r="A13" s="20"/>
      <c r="B13" s="74" t="s">
        <v>181</v>
      </c>
      <c r="C13" s="14">
        <v>6</v>
      </c>
      <c r="D13" s="14" t="s">
        <v>9</v>
      </c>
      <c r="E13" s="30">
        <f>G13</f>
        <v>0</v>
      </c>
      <c r="F13" s="75">
        <f>C13*E13</f>
        <v>0</v>
      </c>
      <c r="G13" s="134"/>
    </row>
    <row r="14" spans="1:7" x14ac:dyDescent="0.35">
      <c r="A14" s="20"/>
      <c r="B14" s="15" t="s">
        <v>11</v>
      </c>
      <c r="C14" s="14"/>
      <c r="D14" s="14"/>
      <c r="E14" s="23"/>
      <c r="F14" s="26">
        <f>F13</f>
        <v>0</v>
      </c>
      <c r="G14" s="28"/>
    </row>
    <row r="15" spans="1:7" x14ac:dyDescent="0.35">
      <c r="A15" s="94" t="s">
        <v>257</v>
      </c>
      <c r="B15" s="16" t="s">
        <v>10</v>
      </c>
      <c r="C15" s="14"/>
      <c r="D15" s="14"/>
      <c r="E15" s="23"/>
      <c r="F15" s="25"/>
      <c r="G15" s="28"/>
    </row>
    <row r="16" spans="1:7" ht="28.5" x14ac:dyDescent="0.35">
      <c r="A16" s="20"/>
      <c r="B16" s="74" t="s">
        <v>263</v>
      </c>
      <c r="C16" s="14">
        <v>6</v>
      </c>
      <c r="D16" s="14" t="s">
        <v>9</v>
      </c>
      <c r="E16" s="30">
        <f>G16</f>
        <v>0</v>
      </c>
      <c r="F16" s="75">
        <f>C16*E16</f>
        <v>0</v>
      </c>
      <c r="G16" s="135"/>
    </row>
    <row r="17" spans="1:7" x14ac:dyDescent="0.35">
      <c r="A17" s="20"/>
      <c r="B17" s="15" t="s">
        <v>12</v>
      </c>
      <c r="C17" s="14"/>
      <c r="D17" s="14"/>
      <c r="E17" s="23"/>
      <c r="F17" s="26">
        <f>F16</f>
        <v>0</v>
      </c>
      <c r="G17" s="28"/>
    </row>
    <row r="18" spans="1:7" x14ac:dyDescent="0.35">
      <c r="A18" s="94" t="s">
        <v>258</v>
      </c>
      <c r="B18" s="16" t="s">
        <v>13</v>
      </c>
      <c r="C18" s="14"/>
      <c r="D18" s="14"/>
      <c r="E18" s="23"/>
      <c r="F18" s="25"/>
      <c r="G18" s="28"/>
    </row>
    <row r="19" spans="1:7" x14ac:dyDescent="0.35">
      <c r="A19" s="20"/>
      <c r="B19" s="13" t="s">
        <v>264</v>
      </c>
      <c r="C19" s="14">
        <v>6</v>
      </c>
      <c r="D19" s="14" t="s">
        <v>9</v>
      </c>
      <c r="E19" s="30">
        <f>G19</f>
        <v>0</v>
      </c>
      <c r="F19" s="25">
        <f>C19*E19</f>
        <v>0</v>
      </c>
      <c r="G19" s="136"/>
    </row>
    <row r="20" spans="1:7" ht="15" thickBot="1" x14ac:dyDescent="0.4">
      <c r="A20" s="21"/>
      <c r="B20" s="15" t="s">
        <v>14</v>
      </c>
      <c r="C20" s="14"/>
      <c r="D20" s="14"/>
      <c r="E20" s="23"/>
      <c r="F20" s="93">
        <f>F19</f>
        <v>0</v>
      </c>
      <c r="G20" s="28"/>
    </row>
    <row r="21" spans="1:7" ht="15.5" thickTop="1" thickBot="1" x14ac:dyDescent="0.4">
      <c r="A21" s="22"/>
      <c r="B21" s="169" t="s">
        <v>299</v>
      </c>
      <c r="C21" s="170"/>
      <c r="D21" s="170"/>
      <c r="E21" s="171"/>
      <c r="F21" s="31">
        <f>F14+F17+F20</f>
        <v>0</v>
      </c>
      <c r="G21" s="29"/>
    </row>
    <row r="22" spans="1:7" x14ac:dyDescent="0.35">
      <c r="A22" s="32"/>
    </row>
    <row r="24" spans="1:7" ht="36" customHeight="1" x14ac:dyDescent="0.35"/>
  </sheetData>
  <sheetProtection algorithmName="SHA-512" hashValue="ix9HECj0vwawEUmOxSoY4vAvj3PkerrE4HIXPcHI1QhYVEV4S5tzZZ/OMgs3VLOyHm7KxOtOh6rK48nipn0xwQ==" saltValue="yzwCvVpG9+z9ychYu932Gw==" spinCount="100000" sheet="1" objects="1" scenarios="1"/>
  <mergeCells count="8">
    <mergeCell ref="B21:E21"/>
    <mergeCell ref="G1:G11"/>
    <mergeCell ref="B2:E2"/>
    <mergeCell ref="B3:E3"/>
    <mergeCell ref="B4:E4"/>
    <mergeCell ref="B5:E5"/>
    <mergeCell ref="A7:F7"/>
    <mergeCell ref="A8:D8"/>
  </mergeCells>
  <phoneticPr fontId="1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5948A-BDCA-4DCF-A5CF-C054998C6669}">
  <dimension ref="A1:O37"/>
  <sheetViews>
    <sheetView topLeftCell="A11" zoomScale="120" zoomScaleNormal="120" workbookViewId="0">
      <selection activeCell="C18" sqref="C18"/>
    </sheetView>
  </sheetViews>
  <sheetFormatPr defaultColWidth="9.1796875" defaultRowHeight="13" x14ac:dyDescent="0.3"/>
  <cols>
    <col min="1" max="1" width="10.81640625" style="41" customWidth="1"/>
    <col min="2" max="2" width="24.54296875" style="41" customWidth="1"/>
    <col min="3" max="3" width="61.54296875" style="108" bestFit="1" customWidth="1"/>
    <col min="4" max="4" width="12.1796875" style="109" customWidth="1"/>
    <col min="5" max="5" width="14.453125" style="110" bestFit="1" customWidth="1"/>
    <col min="6" max="6" width="10.81640625" style="41" bestFit="1" customWidth="1"/>
    <col min="7" max="7" width="11.26953125" style="41" bestFit="1" customWidth="1"/>
    <col min="8" max="8" width="16.1796875" style="63" customWidth="1"/>
    <col min="9" max="9" width="11.54296875" style="63" bestFit="1" customWidth="1"/>
    <col min="10" max="15" width="0" style="41" hidden="1" customWidth="1"/>
    <col min="16" max="16384" width="9.1796875" style="41"/>
  </cols>
  <sheetData>
    <row r="1" spans="1:15" ht="12.75" customHeight="1" x14ac:dyDescent="0.3">
      <c r="A1" s="232" t="s">
        <v>254</v>
      </c>
      <c r="B1" s="233"/>
      <c r="C1" s="233"/>
      <c r="D1" s="233"/>
      <c r="E1" s="233"/>
      <c r="F1" s="233"/>
      <c r="G1" s="234"/>
      <c r="H1" s="204" t="s">
        <v>96</v>
      </c>
    </row>
    <row r="2" spans="1:15" ht="12.75" customHeight="1" x14ac:dyDescent="0.3">
      <c r="A2" s="235" t="s">
        <v>0</v>
      </c>
      <c r="B2" s="236"/>
      <c r="C2" s="236"/>
      <c r="D2" s="236"/>
      <c r="E2" s="236"/>
      <c r="F2" s="236"/>
      <c r="G2" s="237"/>
      <c r="H2" s="205"/>
    </row>
    <row r="3" spans="1:15" ht="12.75" customHeight="1" x14ac:dyDescent="0.3">
      <c r="A3" s="235" t="s">
        <v>255</v>
      </c>
      <c r="B3" s="236"/>
      <c r="C3" s="236"/>
      <c r="D3" s="236"/>
      <c r="E3" s="236"/>
      <c r="F3" s="236"/>
      <c r="G3" s="237"/>
      <c r="H3" s="205"/>
    </row>
    <row r="4" spans="1:15" ht="12.75" customHeight="1" x14ac:dyDescent="0.3">
      <c r="A4" s="235" t="s">
        <v>253</v>
      </c>
      <c r="B4" s="236"/>
      <c r="C4" s="236"/>
      <c r="D4" s="236"/>
      <c r="E4" s="236"/>
      <c r="F4" s="236"/>
      <c r="G4" s="237"/>
      <c r="H4" s="205"/>
    </row>
    <row r="5" spans="1:15" ht="12.75" customHeight="1" x14ac:dyDescent="0.3">
      <c r="A5" s="145"/>
      <c r="B5" s="146"/>
      <c r="C5" s="147"/>
      <c r="D5" s="148"/>
      <c r="E5" s="147"/>
      <c r="F5" s="149"/>
      <c r="G5" s="150"/>
      <c r="H5" s="205"/>
    </row>
    <row r="6" spans="1:15" x14ac:dyDescent="0.3">
      <c r="A6" s="238" t="s">
        <v>260</v>
      </c>
      <c r="B6" s="239"/>
      <c r="C6" s="239"/>
      <c r="D6" s="239"/>
      <c r="E6" s="239"/>
      <c r="F6" s="239"/>
      <c r="G6" s="240"/>
      <c r="H6" s="205"/>
    </row>
    <row r="7" spans="1:15" x14ac:dyDescent="0.3">
      <c r="A7" s="241" t="s">
        <v>187</v>
      </c>
      <c r="B7" s="242"/>
      <c r="C7" s="242"/>
      <c r="D7" s="242"/>
      <c r="E7" s="242"/>
      <c r="F7" s="242"/>
      <c r="G7" s="243"/>
      <c r="H7" s="205"/>
    </row>
    <row r="8" spans="1:15" ht="13.5" thickBot="1" x14ac:dyDescent="0.35">
      <c r="A8" s="241"/>
      <c r="B8" s="242"/>
      <c r="C8" s="242"/>
      <c r="D8" s="242"/>
      <c r="E8" s="242"/>
      <c r="F8" s="242"/>
      <c r="G8" s="243"/>
      <c r="H8" s="205"/>
    </row>
    <row r="9" spans="1:15" ht="26.5" thickBot="1" x14ac:dyDescent="0.35">
      <c r="A9" s="38" t="s">
        <v>24</v>
      </c>
      <c r="B9" s="39" t="s">
        <v>25</v>
      </c>
      <c r="C9" s="40" t="s">
        <v>26</v>
      </c>
      <c r="D9" s="40" t="s">
        <v>27</v>
      </c>
      <c r="E9" s="40" t="s">
        <v>5</v>
      </c>
      <c r="F9" s="61" t="s">
        <v>6</v>
      </c>
      <c r="G9" s="62" t="s">
        <v>28</v>
      </c>
      <c r="H9" s="205"/>
    </row>
    <row r="10" spans="1:15" ht="15.75" customHeight="1" x14ac:dyDescent="0.3">
      <c r="A10" s="185" t="s">
        <v>220</v>
      </c>
      <c r="B10" s="186"/>
      <c r="C10" s="186"/>
      <c r="D10" s="186"/>
      <c r="E10" s="186"/>
      <c r="F10" s="203"/>
      <c r="G10" s="116"/>
      <c r="H10" s="140"/>
    </row>
    <row r="11" spans="1:15" ht="39" x14ac:dyDescent="0.3">
      <c r="A11" s="151" t="s">
        <v>269</v>
      </c>
      <c r="B11" s="125" t="s">
        <v>30</v>
      </c>
      <c r="C11" s="125" t="s">
        <v>31</v>
      </c>
      <c r="D11" s="152">
        <v>1000</v>
      </c>
      <c r="E11" s="153" t="s">
        <v>32</v>
      </c>
      <c r="F11" s="66">
        <f>H11</f>
        <v>0</v>
      </c>
      <c r="G11" s="72">
        <f>D11*F11</f>
        <v>0</v>
      </c>
      <c r="H11" s="76"/>
    </row>
    <row r="12" spans="1:15" ht="39" x14ac:dyDescent="0.3">
      <c r="A12" s="151" t="s">
        <v>270</v>
      </c>
      <c r="B12" s="45" t="s">
        <v>34</v>
      </c>
      <c r="C12" s="45" t="s">
        <v>35</v>
      </c>
      <c r="D12" s="152">
        <v>1500</v>
      </c>
      <c r="E12" s="153" t="s">
        <v>32</v>
      </c>
      <c r="F12" s="66">
        <f t="shared" ref="F12:F13" si="0">H12</f>
        <v>0</v>
      </c>
      <c r="G12" s="72">
        <f t="shared" ref="G12:G13" si="1">D12*F12</f>
        <v>0</v>
      </c>
      <c r="H12" s="76"/>
    </row>
    <row r="13" spans="1:15" ht="39" x14ac:dyDescent="0.3">
      <c r="A13" s="151" t="s">
        <v>271</v>
      </c>
      <c r="B13" s="45" t="s">
        <v>37</v>
      </c>
      <c r="C13" s="125" t="s">
        <v>38</v>
      </c>
      <c r="D13" s="152">
        <v>4</v>
      </c>
      <c r="E13" s="153" t="s">
        <v>39</v>
      </c>
      <c r="F13" s="66">
        <f t="shared" si="0"/>
        <v>0</v>
      </c>
      <c r="G13" s="72">
        <f t="shared" si="1"/>
        <v>0</v>
      </c>
      <c r="H13" s="76"/>
    </row>
    <row r="14" spans="1:15" ht="15.75" customHeight="1" x14ac:dyDescent="0.3">
      <c r="A14" s="185" t="s">
        <v>221</v>
      </c>
      <c r="B14" s="186"/>
      <c r="C14" s="186"/>
      <c r="D14" s="186"/>
      <c r="E14" s="186"/>
      <c r="F14" s="203"/>
      <c r="G14" s="116"/>
      <c r="H14" s="168"/>
    </row>
    <row r="15" spans="1:15" ht="104" x14ac:dyDescent="0.3">
      <c r="A15" s="46" t="s">
        <v>272</v>
      </c>
      <c r="B15" s="45" t="s">
        <v>41</v>
      </c>
      <c r="C15" s="45" t="s">
        <v>188</v>
      </c>
      <c r="D15" s="152">
        <v>12</v>
      </c>
      <c r="E15" s="67" t="s">
        <v>39</v>
      </c>
      <c r="F15" s="66">
        <f>H15</f>
        <v>0</v>
      </c>
      <c r="G15" s="72">
        <f>F15*D15</f>
        <v>0</v>
      </c>
      <c r="H15" s="76"/>
      <c r="K15" s="48" t="s">
        <v>43</v>
      </c>
      <c r="L15" s="48" t="s">
        <v>44</v>
      </c>
      <c r="M15" s="48" t="s">
        <v>45</v>
      </c>
      <c r="N15" s="48" t="s">
        <v>46</v>
      </c>
      <c r="O15" s="48" t="s">
        <v>47</v>
      </c>
    </row>
    <row r="16" spans="1:15" ht="65" x14ac:dyDescent="0.3">
      <c r="A16" s="46" t="s">
        <v>273</v>
      </c>
      <c r="B16" s="45" t="s">
        <v>49</v>
      </c>
      <c r="C16" s="45" t="s">
        <v>189</v>
      </c>
      <c r="D16" s="67">
        <v>4</v>
      </c>
      <c r="E16" s="67" t="s">
        <v>39</v>
      </c>
      <c r="F16" s="66">
        <f t="shared" ref="F16:F31" si="2">H16</f>
        <v>0</v>
      </c>
      <c r="G16" s="72">
        <f t="shared" ref="G16:G31" si="3">D16*F16</f>
        <v>0</v>
      </c>
      <c r="H16" s="76"/>
      <c r="K16" s="41">
        <v>100</v>
      </c>
      <c r="L16" s="41">
        <f>K16/2</f>
        <v>50</v>
      </c>
      <c r="M16" s="41">
        <f>K16/4</f>
        <v>25</v>
      </c>
      <c r="N16" s="41">
        <f>K16+L16</f>
        <v>150</v>
      </c>
      <c r="O16" s="41">
        <f>K16+M16</f>
        <v>125</v>
      </c>
    </row>
    <row r="17" spans="1:15" ht="52" x14ac:dyDescent="0.3">
      <c r="A17" s="46" t="s">
        <v>274</v>
      </c>
      <c r="B17" s="45" t="s">
        <v>51</v>
      </c>
      <c r="C17" s="45" t="s">
        <v>190</v>
      </c>
      <c r="D17" s="67">
        <v>4</v>
      </c>
      <c r="E17" s="67" t="s">
        <v>52</v>
      </c>
      <c r="F17" s="66">
        <f t="shared" si="2"/>
        <v>0</v>
      </c>
      <c r="G17" s="72">
        <f t="shared" si="3"/>
        <v>0</v>
      </c>
      <c r="H17" s="76"/>
      <c r="J17" s="49">
        <v>222.51</v>
      </c>
      <c r="K17" s="41">
        <v>148.34</v>
      </c>
      <c r="L17" s="41">
        <f>K17/2</f>
        <v>74.17</v>
      </c>
      <c r="M17" s="41">
        <f>K17/4</f>
        <v>37.085000000000001</v>
      </c>
      <c r="N17" s="41">
        <f>K17+L17</f>
        <v>222.51</v>
      </c>
      <c r="O17" s="41">
        <f>K17+M17</f>
        <v>185.42500000000001</v>
      </c>
    </row>
    <row r="18" spans="1:15" ht="39" x14ac:dyDescent="0.3">
      <c r="A18" s="46" t="s">
        <v>275</v>
      </c>
      <c r="B18" s="45" t="s">
        <v>54</v>
      </c>
      <c r="C18" s="45" t="s">
        <v>191</v>
      </c>
      <c r="D18" s="67">
        <v>4</v>
      </c>
      <c r="E18" s="67" t="s">
        <v>55</v>
      </c>
      <c r="F18" s="66">
        <f t="shared" si="2"/>
        <v>0</v>
      </c>
      <c r="G18" s="72">
        <f t="shared" si="3"/>
        <v>0</v>
      </c>
      <c r="H18" s="76"/>
      <c r="K18" s="50" t="s">
        <v>56</v>
      </c>
      <c r="L18" s="50" t="s">
        <v>57</v>
      </c>
      <c r="M18" s="50" t="s">
        <v>58</v>
      </c>
      <c r="N18" s="51" t="s">
        <v>59</v>
      </c>
      <c r="O18" s="50" t="s">
        <v>60</v>
      </c>
    </row>
    <row r="19" spans="1:15" ht="52" x14ac:dyDescent="0.3">
      <c r="A19" s="46" t="s">
        <v>276</v>
      </c>
      <c r="B19" s="45" t="s">
        <v>62</v>
      </c>
      <c r="C19" s="45" t="s">
        <v>192</v>
      </c>
      <c r="D19" s="67">
        <v>4</v>
      </c>
      <c r="E19" s="67" t="s">
        <v>55</v>
      </c>
      <c r="F19" s="66">
        <f t="shared" si="2"/>
        <v>0</v>
      </c>
      <c r="G19" s="72">
        <f t="shared" si="3"/>
        <v>0</v>
      </c>
      <c r="H19" s="76"/>
      <c r="J19" s="49">
        <f>F19/5</f>
        <v>0</v>
      </c>
      <c r="K19" s="49">
        <f>J19*2</f>
        <v>0</v>
      </c>
      <c r="L19" s="49">
        <f>J19*5</f>
        <v>0</v>
      </c>
    </row>
    <row r="20" spans="1:15" ht="39" x14ac:dyDescent="0.3">
      <c r="A20" s="46" t="s">
        <v>277</v>
      </c>
      <c r="B20" s="45" t="s">
        <v>64</v>
      </c>
      <c r="C20" s="45" t="s">
        <v>193</v>
      </c>
      <c r="D20" s="67">
        <v>4</v>
      </c>
      <c r="E20" s="67" t="s">
        <v>65</v>
      </c>
      <c r="F20" s="66">
        <f t="shared" si="2"/>
        <v>0</v>
      </c>
      <c r="G20" s="72">
        <f t="shared" si="3"/>
        <v>0</v>
      </c>
      <c r="H20" s="76"/>
      <c r="J20" s="49">
        <f>F20/7</f>
        <v>0</v>
      </c>
      <c r="K20" s="49">
        <f>J20*2</f>
        <v>0</v>
      </c>
      <c r="L20" s="49">
        <f>J20*7</f>
        <v>0</v>
      </c>
    </row>
    <row r="21" spans="1:15" ht="78" x14ac:dyDescent="0.3">
      <c r="A21" s="46" t="s">
        <v>278</v>
      </c>
      <c r="B21" s="45" t="s">
        <v>67</v>
      </c>
      <c r="C21" s="45" t="s">
        <v>194</v>
      </c>
      <c r="D21" s="67">
        <v>12</v>
      </c>
      <c r="E21" s="67" t="s">
        <v>55</v>
      </c>
      <c r="F21" s="66">
        <f t="shared" si="2"/>
        <v>0</v>
      </c>
      <c r="G21" s="72">
        <f t="shared" si="3"/>
        <v>0</v>
      </c>
      <c r="H21" s="76"/>
    </row>
    <row r="22" spans="1:15" ht="65" x14ac:dyDescent="0.3">
      <c r="A22" s="46" t="s">
        <v>279</v>
      </c>
      <c r="B22" s="45" t="s">
        <v>69</v>
      </c>
      <c r="C22" s="45" t="s">
        <v>195</v>
      </c>
      <c r="D22" s="67">
        <v>4</v>
      </c>
      <c r="E22" s="67" t="s">
        <v>55</v>
      </c>
      <c r="F22" s="66">
        <f t="shared" si="2"/>
        <v>0</v>
      </c>
      <c r="G22" s="72">
        <f t="shared" si="3"/>
        <v>0</v>
      </c>
      <c r="H22" s="76"/>
    </row>
    <row r="23" spans="1:15" ht="39" x14ac:dyDescent="0.3">
      <c r="A23" s="46" t="s">
        <v>280</v>
      </c>
      <c r="B23" s="45" t="s">
        <v>71</v>
      </c>
      <c r="C23" s="45" t="s">
        <v>196</v>
      </c>
      <c r="D23" s="67">
        <v>4</v>
      </c>
      <c r="E23" s="67" t="s">
        <v>55</v>
      </c>
      <c r="F23" s="66">
        <f t="shared" si="2"/>
        <v>0</v>
      </c>
      <c r="G23" s="72">
        <f t="shared" si="3"/>
        <v>0</v>
      </c>
      <c r="H23" s="76"/>
    </row>
    <row r="24" spans="1:15" ht="52" x14ac:dyDescent="0.3">
      <c r="A24" s="46" t="s">
        <v>281</v>
      </c>
      <c r="B24" s="45" t="s">
        <v>73</v>
      </c>
      <c r="C24" s="45" t="s">
        <v>197</v>
      </c>
      <c r="D24" s="67">
        <v>1</v>
      </c>
      <c r="E24" s="67" t="s">
        <v>55</v>
      </c>
      <c r="F24" s="66">
        <f t="shared" si="2"/>
        <v>0</v>
      </c>
      <c r="G24" s="72">
        <f t="shared" si="3"/>
        <v>0</v>
      </c>
      <c r="H24" s="76"/>
      <c r="K24" s="48" t="s">
        <v>43</v>
      </c>
      <c r="L24" s="48" t="s">
        <v>44</v>
      </c>
      <c r="M24" s="48" t="s">
        <v>45</v>
      </c>
      <c r="N24" s="48" t="s">
        <v>46</v>
      </c>
      <c r="O24" s="48" t="s">
        <v>47</v>
      </c>
    </row>
    <row r="25" spans="1:15" ht="52" x14ac:dyDescent="0.3">
      <c r="A25" s="46" t="s">
        <v>282</v>
      </c>
      <c r="B25" s="45" t="s">
        <v>75</v>
      </c>
      <c r="C25" s="45" t="s">
        <v>198</v>
      </c>
      <c r="D25" s="67">
        <v>1</v>
      </c>
      <c r="E25" s="67" t="s">
        <v>76</v>
      </c>
      <c r="F25" s="66">
        <f t="shared" si="2"/>
        <v>0</v>
      </c>
      <c r="G25" s="72">
        <f t="shared" si="3"/>
        <v>0</v>
      </c>
      <c r="H25" s="76"/>
      <c r="K25" s="41">
        <v>100</v>
      </c>
      <c r="L25" s="41">
        <f>K25/2</f>
        <v>50</v>
      </c>
      <c r="M25" s="41">
        <f>K25/4</f>
        <v>25</v>
      </c>
      <c r="N25" s="41">
        <f>K25+L25</f>
        <v>150</v>
      </c>
      <c r="O25" s="41">
        <f>K25+M25</f>
        <v>125</v>
      </c>
    </row>
    <row r="26" spans="1:15" s="52" customFormat="1" ht="65" x14ac:dyDescent="0.3">
      <c r="A26" s="46" t="s">
        <v>283</v>
      </c>
      <c r="B26" s="45" t="s">
        <v>78</v>
      </c>
      <c r="C26" s="45" t="s">
        <v>199</v>
      </c>
      <c r="D26" s="67">
        <v>1</v>
      </c>
      <c r="E26" s="67" t="s">
        <v>79</v>
      </c>
      <c r="F26" s="66">
        <f t="shared" si="2"/>
        <v>0</v>
      </c>
      <c r="G26" s="72">
        <f t="shared" si="3"/>
        <v>0</v>
      </c>
      <c r="H26" s="76"/>
      <c r="I26" s="63"/>
      <c r="J26" s="52">
        <v>376.96</v>
      </c>
      <c r="K26" s="41">
        <v>250</v>
      </c>
      <c r="L26" s="41">
        <f>K26/2</f>
        <v>125</v>
      </c>
      <c r="M26" s="41">
        <f>K26/4</f>
        <v>62.5</v>
      </c>
      <c r="N26" s="41">
        <f>K26+L26</f>
        <v>375</v>
      </c>
      <c r="O26" s="41">
        <f>K26+M26</f>
        <v>312.5</v>
      </c>
    </row>
    <row r="27" spans="1:15" ht="39" x14ac:dyDescent="0.3">
      <c r="A27" s="46" t="s">
        <v>284</v>
      </c>
      <c r="B27" s="45" t="s">
        <v>81</v>
      </c>
      <c r="C27" s="45" t="s">
        <v>200</v>
      </c>
      <c r="D27" s="67">
        <v>1</v>
      </c>
      <c r="E27" s="67" t="s">
        <v>82</v>
      </c>
      <c r="F27" s="66">
        <f t="shared" si="2"/>
        <v>0</v>
      </c>
      <c r="G27" s="72">
        <f t="shared" si="3"/>
        <v>0</v>
      </c>
      <c r="H27" s="76"/>
      <c r="K27" s="50" t="s">
        <v>56</v>
      </c>
      <c r="L27" s="50" t="s">
        <v>57</v>
      </c>
      <c r="M27" s="50" t="s">
        <v>58</v>
      </c>
      <c r="N27" s="51" t="s">
        <v>59</v>
      </c>
      <c r="O27" s="50" t="s">
        <v>60</v>
      </c>
    </row>
    <row r="28" spans="1:15" s="52" customFormat="1" ht="65" x14ac:dyDescent="0.3">
      <c r="A28" s="46" t="s">
        <v>285</v>
      </c>
      <c r="B28" s="45" t="s">
        <v>84</v>
      </c>
      <c r="C28" s="45" t="s">
        <v>201</v>
      </c>
      <c r="D28" s="67">
        <v>12</v>
      </c>
      <c r="E28" s="67" t="s">
        <v>39</v>
      </c>
      <c r="F28" s="66">
        <f t="shared" si="2"/>
        <v>0</v>
      </c>
      <c r="G28" s="72">
        <f t="shared" si="3"/>
        <v>0</v>
      </c>
      <c r="H28" s="76"/>
      <c r="I28" s="63"/>
      <c r="N28" s="53">
        <f>F26-N26</f>
        <v>-375</v>
      </c>
    </row>
    <row r="29" spans="1:15" s="52" customFormat="1" ht="39" x14ac:dyDescent="0.3">
      <c r="A29" s="46" t="s">
        <v>286</v>
      </c>
      <c r="B29" s="45" t="s">
        <v>86</v>
      </c>
      <c r="C29" s="45" t="s">
        <v>202</v>
      </c>
      <c r="D29" s="67">
        <v>4</v>
      </c>
      <c r="E29" s="67" t="s">
        <v>55</v>
      </c>
      <c r="F29" s="66">
        <f t="shared" si="2"/>
        <v>0</v>
      </c>
      <c r="G29" s="72">
        <f t="shared" si="3"/>
        <v>0</v>
      </c>
      <c r="H29" s="76"/>
      <c r="I29" s="63"/>
    </row>
    <row r="30" spans="1:15" ht="39" x14ac:dyDescent="0.3">
      <c r="A30" s="46" t="s">
        <v>287</v>
      </c>
      <c r="B30" s="45" t="s">
        <v>88</v>
      </c>
      <c r="C30" s="45" t="s">
        <v>203</v>
      </c>
      <c r="D30" s="67">
        <v>4</v>
      </c>
      <c r="E30" s="67" t="s">
        <v>55</v>
      </c>
      <c r="F30" s="66">
        <f t="shared" si="2"/>
        <v>0</v>
      </c>
      <c r="G30" s="72">
        <f t="shared" si="3"/>
        <v>0</v>
      </c>
      <c r="H30" s="76"/>
    </row>
    <row r="31" spans="1:15" ht="78" x14ac:dyDescent="0.3">
      <c r="A31" s="46" t="s">
        <v>288</v>
      </c>
      <c r="B31" s="45" t="s">
        <v>90</v>
      </c>
      <c r="C31" s="45" t="s">
        <v>204</v>
      </c>
      <c r="D31" s="67">
        <v>4</v>
      </c>
      <c r="E31" s="67" t="s">
        <v>55</v>
      </c>
      <c r="F31" s="66">
        <f t="shared" si="2"/>
        <v>0</v>
      </c>
      <c r="G31" s="72">
        <f t="shared" si="3"/>
        <v>0</v>
      </c>
      <c r="H31" s="76"/>
    </row>
    <row r="32" spans="1:15" ht="15.75" customHeight="1" x14ac:dyDescent="0.3">
      <c r="A32" s="185" t="s">
        <v>222</v>
      </c>
      <c r="B32" s="186"/>
      <c r="C32" s="186"/>
      <c r="D32" s="186"/>
      <c r="E32" s="186"/>
      <c r="F32" s="186"/>
      <c r="G32" s="114"/>
      <c r="H32" s="168"/>
    </row>
    <row r="33" spans="1:8" ht="26" x14ac:dyDescent="0.3">
      <c r="A33" s="127" t="s">
        <v>289</v>
      </c>
      <c r="B33" s="45" t="s">
        <v>91</v>
      </c>
      <c r="C33" s="128" t="s">
        <v>92</v>
      </c>
      <c r="D33" s="126">
        <v>120000</v>
      </c>
      <c r="E33" s="67" t="s">
        <v>247</v>
      </c>
      <c r="F33" s="66">
        <f>H33</f>
        <v>0</v>
      </c>
      <c r="G33" s="72">
        <f>D33*F33</f>
        <v>0</v>
      </c>
      <c r="H33" s="76"/>
    </row>
    <row r="34" spans="1:8" ht="15.75" customHeight="1" x14ac:dyDescent="0.3">
      <c r="A34" s="185" t="s">
        <v>240</v>
      </c>
      <c r="B34" s="186"/>
      <c r="C34" s="186"/>
      <c r="D34" s="186"/>
      <c r="E34" s="186"/>
      <c r="F34" s="186"/>
      <c r="G34" s="114"/>
      <c r="H34" s="168"/>
    </row>
    <row r="35" spans="1:8" ht="65" x14ac:dyDescent="0.3">
      <c r="A35" s="129" t="s">
        <v>290</v>
      </c>
      <c r="B35" s="154" t="s">
        <v>93</v>
      </c>
      <c r="C35" s="131" t="s">
        <v>94</v>
      </c>
      <c r="D35" s="67">
        <v>700</v>
      </c>
      <c r="E35" s="67" t="s">
        <v>95</v>
      </c>
      <c r="F35" s="73">
        <f>H35</f>
        <v>0</v>
      </c>
      <c r="G35" s="71">
        <v>700</v>
      </c>
      <c r="H35" s="76"/>
    </row>
    <row r="36" spans="1:8" ht="39" x14ac:dyDescent="0.3">
      <c r="A36" s="129" t="s">
        <v>291</v>
      </c>
      <c r="B36" s="131" t="s">
        <v>248</v>
      </c>
      <c r="C36" s="131" t="s">
        <v>249</v>
      </c>
      <c r="D36" s="132">
        <v>20000</v>
      </c>
      <c r="E36" s="67" t="s">
        <v>250</v>
      </c>
      <c r="F36" s="73">
        <v>1</v>
      </c>
      <c r="G36" s="133">
        <f>(D36*F36)</f>
        <v>20000</v>
      </c>
      <c r="H36" s="100"/>
    </row>
    <row r="37" spans="1:8" ht="15" customHeight="1" thickBot="1" x14ac:dyDescent="0.35">
      <c r="A37" s="105"/>
      <c r="B37" s="106"/>
      <c r="C37" s="182" t="s">
        <v>292</v>
      </c>
      <c r="D37" s="183"/>
      <c r="E37" s="184"/>
      <c r="F37" s="107"/>
      <c r="G37" s="111">
        <f>SUM(G11:G36)</f>
        <v>20700</v>
      </c>
      <c r="H37" s="113"/>
    </row>
  </sheetData>
  <sheetProtection algorithmName="SHA-512" hashValue="vMXdMZe3hutP6IRVvKrDWXpsM6BN8nJY4fgc+V99UNVm+NHfbQrNUYo/2/+BHPFx5BVcUSBox73e0Bn7F7e1pQ==" saltValue="AzQF63JnDlRKpY0xjucA2w==" spinCount="100000" sheet="1" objects="1" scenarios="1"/>
  <mergeCells count="13">
    <mergeCell ref="A10:F10"/>
    <mergeCell ref="A14:F14"/>
    <mergeCell ref="A32:F32"/>
    <mergeCell ref="A34:F34"/>
    <mergeCell ref="C37:E37"/>
    <mergeCell ref="A1:G1"/>
    <mergeCell ref="H1:H9"/>
    <mergeCell ref="A2:G2"/>
    <mergeCell ref="A3:G3"/>
    <mergeCell ref="A4:G4"/>
    <mergeCell ref="A6:G6"/>
    <mergeCell ref="A7:G7"/>
    <mergeCell ref="A8:G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4E8D7-31A9-4212-B5CD-7A0A4D0128FB}">
  <dimension ref="A1:H47"/>
  <sheetViews>
    <sheetView workbookViewId="0">
      <selection activeCell="H29" sqref="H29"/>
    </sheetView>
  </sheetViews>
  <sheetFormatPr defaultRowHeight="14.5" x14ac:dyDescent="0.35"/>
  <cols>
    <col min="2" max="2" width="13.453125" bestFit="1" customWidth="1"/>
    <col min="5" max="5" width="16.90625" bestFit="1" customWidth="1"/>
    <col min="8" max="8" width="15.08984375" bestFit="1" customWidth="1"/>
  </cols>
  <sheetData>
    <row r="1" spans="1:8" x14ac:dyDescent="0.35">
      <c r="A1" s="244" t="s">
        <v>322</v>
      </c>
      <c r="B1" s="244"/>
      <c r="C1" s="244"/>
      <c r="D1" s="244"/>
      <c r="E1" s="244"/>
      <c r="F1" s="244"/>
      <c r="G1" s="244"/>
      <c r="H1" s="244"/>
    </row>
    <row r="2" spans="1:8" x14ac:dyDescent="0.35">
      <c r="A2" s="158" t="s">
        <v>323</v>
      </c>
      <c r="B2" s="159" t="s">
        <v>324</v>
      </c>
      <c r="C2" s="160"/>
      <c r="D2" s="161" t="s">
        <v>325</v>
      </c>
      <c r="E2" s="162" t="s">
        <v>326</v>
      </c>
      <c r="F2" s="160"/>
      <c r="G2" s="161" t="s">
        <v>327</v>
      </c>
      <c r="H2" s="162" t="s">
        <v>328</v>
      </c>
    </row>
    <row r="3" spans="1:8" x14ac:dyDescent="0.35">
      <c r="A3" s="163" t="s">
        <v>329</v>
      </c>
      <c r="B3" s="164" t="s">
        <v>330</v>
      </c>
      <c r="C3" s="160"/>
      <c r="D3" s="163" t="s">
        <v>331</v>
      </c>
      <c r="E3" s="164" t="s">
        <v>332</v>
      </c>
      <c r="F3" s="160"/>
      <c r="G3" s="163" t="s">
        <v>333</v>
      </c>
      <c r="H3" s="164" t="s">
        <v>334</v>
      </c>
    </row>
    <row r="4" spans="1:8" x14ac:dyDescent="0.35">
      <c r="A4" s="163" t="s">
        <v>335</v>
      </c>
      <c r="B4" s="164" t="s">
        <v>336</v>
      </c>
      <c r="C4" s="160"/>
      <c r="D4" s="163" t="s">
        <v>337</v>
      </c>
      <c r="E4" s="164" t="s">
        <v>338</v>
      </c>
      <c r="F4" s="160"/>
      <c r="G4" s="163" t="s">
        <v>339</v>
      </c>
      <c r="H4" s="164" t="s">
        <v>340</v>
      </c>
    </row>
    <row r="5" spans="1:8" x14ac:dyDescent="0.35">
      <c r="A5" s="163" t="s">
        <v>341</v>
      </c>
      <c r="B5" s="164" t="s">
        <v>342</v>
      </c>
      <c r="C5" s="160"/>
      <c r="D5" s="163" t="s">
        <v>343</v>
      </c>
      <c r="E5" s="164" t="s">
        <v>344</v>
      </c>
      <c r="F5" s="160"/>
      <c r="G5" s="163" t="s">
        <v>345</v>
      </c>
      <c r="H5" s="164" t="s">
        <v>346</v>
      </c>
    </row>
    <row r="6" spans="1:8" x14ac:dyDescent="0.35">
      <c r="A6" s="163" t="s">
        <v>347</v>
      </c>
      <c r="B6" s="164" t="s">
        <v>348</v>
      </c>
      <c r="C6" s="160"/>
      <c r="D6" s="163" t="s">
        <v>349</v>
      </c>
      <c r="E6" s="164" t="s">
        <v>350</v>
      </c>
      <c r="F6" s="160"/>
      <c r="G6" s="163" t="s">
        <v>351</v>
      </c>
      <c r="H6" s="164" t="s">
        <v>352</v>
      </c>
    </row>
    <row r="7" spans="1:8" x14ac:dyDescent="0.35">
      <c r="A7" s="163" t="s">
        <v>353</v>
      </c>
      <c r="B7" s="164" t="s">
        <v>354</v>
      </c>
      <c r="C7" s="160"/>
      <c r="D7" s="163" t="s">
        <v>355</v>
      </c>
      <c r="E7" s="164" t="s">
        <v>356</v>
      </c>
      <c r="F7" s="160"/>
      <c r="G7" s="163" t="s">
        <v>357</v>
      </c>
      <c r="H7" s="164" t="s">
        <v>358</v>
      </c>
    </row>
    <row r="8" spans="1:8" x14ac:dyDescent="0.35">
      <c r="A8" s="163" t="s">
        <v>359</v>
      </c>
      <c r="B8" s="164" t="s">
        <v>360</v>
      </c>
      <c r="C8" s="160"/>
      <c r="D8" s="163" t="s">
        <v>361</v>
      </c>
      <c r="E8" s="164" t="s">
        <v>362</v>
      </c>
      <c r="F8" s="160"/>
      <c r="G8" s="163" t="s">
        <v>363</v>
      </c>
      <c r="H8" s="164" t="s">
        <v>364</v>
      </c>
    </row>
    <row r="9" spans="1:8" x14ac:dyDescent="0.35">
      <c r="A9" s="163" t="s">
        <v>365</v>
      </c>
      <c r="B9" s="164" t="s">
        <v>366</v>
      </c>
      <c r="C9" s="160"/>
      <c r="D9" s="163" t="s">
        <v>367</v>
      </c>
      <c r="E9" s="164" t="s">
        <v>368</v>
      </c>
      <c r="F9" s="160"/>
      <c r="G9" s="163" t="s">
        <v>369</v>
      </c>
      <c r="H9" s="164" t="s">
        <v>370</v>
      </c>
    </row>
    <row r="10" spans="1:8" x14ac:dyDescent="0.35">
      <c r="A10" s="163" t="s">
        <v>371</v>
      </c>
      <c r="B10" s="164" t="s">
        <v>372</v>
      </c>
      <c r="C10" s="160"/>
      <c r="D10" s="163" t="s">
        <v>373</v>
      </c>
      <c r="E10" s="164" t="s">
        <v>374</v>
      </c>
      <c r="F10" s="160"/>
      <c r="G10" s="163" t="s">
        <v>375</v>
      </c>
      <c r="H10" s="164" t="s">
        <v>376</v>
      </c>
    </row>
    <row r="11" spans="1:8" x14ac:dyDescent="0.35">
      <c r="A11" s="163" t="s">
        <v>377</v>
      </c>
      <c r="B11" s="164" t="s">
        <v>378</v>
      </c>
      <c r="C11" s="160"/>
      <c r="D11" s="163" t="s">
        <v>379</v>
      </c>
      <c r="E11" s="164" t="s">
        <v>380</v>
      </c>
      <c r="F11" s="160"/>
      <c r="G11" s="163" t="s">
        <v>381</v>
      </c>
      <c r="H11" s="164" t="s">
        <v>382</v>
      </c>
    </row>
    <row r="12" spans="1:8" x14ac:dyDescent="0.35">
      <c r="A12" s="163" t="s">
        <v>383</v>
      </c>
      <c r="B12" s="164" t="s">
        <v>384</v>
      </c>
      <c r="C12" s="160"/>
      <c r="D12" s="163" t="s">
        <v>385</v>
      </c>
      <c r="E12" s="164" t="s">
        <v>386</v>
      </c>
      <c r="F12" s="160"/>
      <c r="G12" s="163" t="s">
        <v>387</v>
      </c>
      <c r="H12" s="164" t="s">
        <v>388</v>
      </c>
    </row>
    <row r="13" spans="1:8" x14ac:dyDescent="0.35">
      <c r="A13" s="163" t="s">
        <v>389</v>
      </c>
      <c r="B13" s="164" t="s">
        <v>390</v>
      </c>
      <c r="C13" s="160"/>
      <c r="D13" s="163" t="s">
        <v>391</v>
      </c>
      <c r="E13" s="164" t="s">
        <v>392</v>
      </c>
      <c r="F13" s="160"/>
      <c r="G13" s="163" t="s">
        <v>393</v>
      </c>
      <c r="H13" s="164" t="s">
        <v>394</v>
      </c>
    </row>
    <row r="14" spans="1:8" x14ac:dyDescent="0.35">
      <c r="A14" s="163" t="s">
        <v>395</v>
      </c>
      <c r="B14" s="164" t="s">
        <v>396</v>
      </c>
      <c r="C14" s="160"/>
      <c r="D14" s="163" t="s">
        <v>397</v>
      </c>
      <c r="E14" s="164" t="s">
        <v>398</v>
      </c>
      <c r="F14" s="160"/>
      <c r="G14" s="163" t="s">
        <v>399</v>
      </c>
      <c r="H14" s="164" t="s">
        <v>400</v>
      </c>
    </row>
    <row r="15" spans="1:8" x14ac:dyDescent="0.35">
      <c r="A15" s="163" t="s">
        <v>401</v>
      </c>
      <c r="B15" s="164" t="s">
        <v>402</v>
      </c>
      <c r="C15" s="160"/>
      <c r="D15" s="163" t="s">
        <v>403</v>
      </c>
      <c r="E15" s="164" t="s">
        <v>404</v>
      </c>
      <c r="F15" s="160"/>
      <c r="G15" s="163" t="s">
        <v>405</v>
      </c>
      <c r="H15" s="164" t="s">
        <v>406</v>
      </c>
    </row>
    <row r="16" spans="1:8" x14ac:dyDescent="0.35">
      <c r="A16" s="163" t="s">
        <v>407</v>
      </c>
      <c r="B16" s="164" t="s">
        <v>408</v>
      </c>
      <c r="C16" s="160"/>
      <c r="D16" s="163" t="s">
        <v>409</v>
      </c>
      <c r="E16" s="164" t="s">
        <v>410</v>
      </c>
      <c r="F16" s="160"/>
      <c r="G16" s="163" t="s">
        <v>411</v>
      </c>
      <c r="H16" s="164" t="s">
        <v>412</v>
      </c>
    </row>
    <row r="17" spans="1:8" x14ac:dyDescent="0.35">
      <c r="A17" s="163" t="s">
        <v>413</v>
      </c>
      <c r="B17" s="164" t="s">
        <v>414</v>
      </c>
      <c r="C17" s="160"/>
      <c r="D17" s="165" t="s">
        <v>95</v>
      </c>
      <c r="E17" s="166" t="s">
        <v>415</v>
      </c>
      <c r="F17" s="160"/>
      <c r="G17" s="165" t="s">
        <v>416</v>
      </c>
      <c r="H17" s="166" t="s">
        <v>417</v>
      </c>
    </row>
    <row r="18" spans="1:8" x14ac:dyDescent="0.35">
      <c r="A18" s="163" t="s">
        <v>418</v>
      </c>
      <c r="B18" s="164" t="s">
        <v>419</v>
      </c>
      <c r="C18" s="160"/>
      <c r="D18" s="163" t="s">
        <v>420</v>
      </c>
      <c r="E18" s="164" t="s">
        <v>421</v>
      </c>
      <c r="F18" s="160"/>
      <c r="G18" s="163" t="s">
        <v>422</v>
      </c>
      <c r="H18" s="164" t="s">
        <v>423</v>
      </c>
    </row>
    <row r="19" spans="1:8" x14ac:dyDescent="0.35">
      <c r="A19" s="163" t="s">
        <v>424</v>
      </c>
      <c r="B19" s="164" t="s">
        <v>425</v>
      </c>
      <c r="C19" s="160"/>
      <c r="D19" s="163" t="s">
        <v>426</v>
      </c>
      <c r="E19" s="164" t="s">
        <v>427</v>
      </c>
      <c r="F19" s="160"/>
      <c r="G19" s="163" t="s">
        <v>428</v>
      </c>
      <c r="H19" s="164" t="s">
        <v>429</v>
      </c>
    </row>
    <row r="20" spans="1:8" x14ac:dyDescent="0.35">
      <c r="A20" s="163" t="s">
        <v>430</v>
      </c>
      <c r="B20" s="164" t="s">
        <v>431</v>
      </c>
      <c r="C20" s="160"/>
      <c r="D20" s="163" t="s">
        <v>432</v>
      </c>
      <c r="E20" s="164" t="s">
        <v>433</v>
      </c>
      <c r="F20" s="160"/>
      <c r="G20" s="163" t="s">
        <v>434</v>
      </c>
      <c r="H20" s="164" t="s">
        <v>435</v>
      </c>
    </row>
    <row r="21" spans="1:8" x14ac:dyDescent="0.35">
      <c r="A21" s="163" t="s">
        <v>436</v>
      </c>
      <c r="B21" s="164" t="s">
        <v>437</v>
      </c>
      <c r="C21" s="160"/>
      <c r="D21" s="163" t="s">
        <v>438</v>
      </c>
      <c r="E21" s="164" t="s">
        <v>439</v>
      </c>
      <c r="F21" s="160"/>
      <c r="G21" s="163" t="s">
        <v>32</v>
      </c>
      <c r="H21" s="164" t="s">
        <v>440</v>
      </c>
    </row>
    <row r="22" spans="1:8" x14ac:dyDescent="0.35">
      <c r="A22" s="163" t="s">
        <v>441</v>
      </c>
      <c r="B22" s="164" t="s">
        <v>442</v>
      </c>
      <c r="C22" s="160"/>
      <c r="D22" s="163" t="s">
        <v>443</v>
      </c>
      <c r="E22" s="164" t="s">
        <v>444</v>
      </c>
      <c r="F22" s="160"/>
      <c r="G22" s="163" t="s">
        <v>445</v>
      </c>
      <c r="H22" s="164" t="s">
        <v>446</v>
      </c>
    </row>
    <row r="23" spans="1:8" x14ac:dyDescent="0.35">
      <c r="A23" s="163" t="s">
        <v>447</v>
      </c>
      <c r="B23" s="164" t="s">
        <v>448</v>
      </c>
      <c r="C23" s="160"/>
      <c r="D23" s="163" t="s">
        <v>449</v>
      </c>
      <c r="E23" s="164" t="s">
        <v>450</v>
      </c>
      <c r="F23" s="160"/>
      <c r="G23" s="163" t="s">
        <v>451</v>
      </c>
      <c r="H23" s="164" t="s">
        <v>452</v>
      </c>
    </row>
    <row r="24" spans="1:8" x14ac:dyDescent="0.35">
      <c r="A24" s="163" t="s">
        <v>453</v>
      </c>
      <c r="B24" s="164" t="s">
        <v>454</v>
      </c>
      <c r="C24" s="160"/>
      <c r="D24" s="163" t="s">
        <v>455</v>
      </c>
      <c r="E24" s="164" t="s">
        <v>456</v>
      </c>
      <c r="F24" s="160"/>
      <c r="G24" s="163" t="s">
        <v>457</v>
      </c>
      <c r="H24" s="164" t="s">
        <v>458</v>
      </c>
    </row>
    <row r="25" spans="1:8" x14ac:dyDescent="0.35">
      <c r="A25" s="163" t="s">
        <v>459</v>
      </c>
      <c r="B25" s="164" t="s">
        <v>460</v>
      </c>
      <c r="C25" s="160"/>
      <c r="D25" s="163" t="s">
        <v>461</v>
      </c>
      <c r="E25" s="164" t="s">
        <v>462</v>
      </c>
      <c r="F25" s="160"/>
      <c r="G25" s="163" t="s">
        <v>463</v>
      </c>
      <c r="H25" s="164" t="s">
        <v>464</v>
      </c>
    </row>
    <row r="26" spans="1:8" x14ac:dyDescent="0.35">
      <c r="A26" s="163" t="s">
        <v>465</v>
      </c>
      <c r="B26" s="164" t="s">
        <v>466</v>
      </c>
      <c r="C26" s="160"/>
      <c r="D26" s="163" t="s">
        <v>467</v>
      </c>
      <c r="E26" s="164" t="s">
        <v>468</v>
      </c>
      <c r="F26" s="160"/>
      <c r="G26" s="163" t="s">
        <v>469</v>
      </c>
      <c r="H26" s="164" t="s">
        <v>470</v>
      </c>
    </row>
    <row r="27" spans="1:8" x14ac:dyDescent="0.35">
      <c r="A27" s="163" t="s">
        <v>471</v>
      </c>
      <c r="B27" s="164" t="s">
        <v>472</v>
      </c>
      <c r="C27" s="160"/>
      <c r="D27" s="163" t="s">
        <v>473</v>
      </c>
      <c r="E27" s="164" t="s">
        <v>474</v>
      </c>
      <c r="F27" s="160"/>
      <c r="G27" s="163" t="s">
        <v>475</v>
      </c>
      <c r="H27" s="164" t="s">
        <v>476</v>
      </c>
    </row>
    <row r="28" spans="1:8" x14ac:dyDescent="0.35">
      <c r="A28" s="163" t="s">
        <v>477</v>
      </c>
      <c r="B28" s="164" t="s">
        <v>478</v>
      </c>
      <c r="C28" s="160"/>
      <c r="D28" s="163" t="s">
        <v>479</v>
      </c>
      <c r="E28" s="164" t="s">
        <v>480</v>
      </c>
      <c r="F28" s="160"/>
      <c r="G28" s="163" t="s">
        <v>481</v>
      </c>
      <c r="H28" s="164" t="s">
        <v>482</v>
      </c>
    </row>
    <row r="29" spans="1:8" x14ac:dyDescent="0.35">
      <c r="A29" s="163" t="s">
        <v>483</v>
      </c>
      <c r="B29" s="164" t="s">
        <v>484</v>
      </c>
      <c r="C29" s="160"/>
      <c r="D29" s="163" t="s">
        <v>485</v>
      </c>
      <c r="E29" s="164" t="s">
        <v>486</v>
      </c>
      <c r="F29" s="160"/>
      <c r="G29" s="163" t="s">
        <v>487</v>
      </c>
      <c r="H29" s="164" t="s">
        <v>488</v>
      </c>
    </row>
    <row r="30" spans="1:8" x14ac:dyDescent="0.35">
      <c r="A30" s="163" t="s">
        <v>489</v>
      </c>
      <c r="B30" s="164" t="s">
        <v>490</v>
      </c>
      <c r="C30" s="160"/>
      <c r="D30" s="165" t="s">
        <v>491</v>
      </c>
      <c r="E30" s="166" t="s">
        <v>492</v>
      </c>
      <c r="F30" s="160"/>
      <c r="G30" s="163" t="s">
        <v>493</v>
      </c>
      <c r="H30" s="164" t="s">
        <v>494</v>
      </c>
    </row>
    <row r="31" spans="1:8" x14ac:dyDescent="0.35">
      <c r="A31" s="163" t="s">
        <v>495</v>
      </c>
      <c r="B31" s="164" t="s">
        <v>496</v>
      </c>
      <c r="C31" s="160"/>
      <c r="D31" s="163" t="s">
        <v>497</v>
      </c>
      <c r="E31" s="164" t="s">
        <v>498</v>
      </c>
      <c r="F31" s="160"/>
      <c r="G31" s="163" t="s">
        <v>247</v>
      </c>
      <c r="H31" s="164" t="s">
        <v>499</v>
      </c>
    </row>
    <row r="32" spans="1:8" x14ac:dyDescent="0.35">
      <c r="A32" s="163" t="s">
        <v>500</v>
      </c>
      <c r="B32" s="164" t="s">
        <v>501</v>
      </c>
      <c r="C32" s="160"/>
      <c r="D32" s="165" t="s">
        <v>502</v>
      </c>
      <c r="E32" s="166" t="s">
        <v>503</v>
      </c>
      <c r="F32" s="160"/>
      <c r="G32" s="165" t="s">
        <v>504</v>
      </c>
      <c r="H32" s="166" t="s">
        <v>505</v>
      </c>
    </row>
    <row r="33" spans="1:8" x14ac:dyDescent="0.35">
      <c r="A33" s="163" t="s">
        <v>506</v>
      </c>
      <c r="B33" s="164" t="s">
        <v>507</v>
      </c>
      <c r="C33" s="160"/>
      <c r="D33" s="165" t="s">
        <v>508</v>
      </c>
      <c r="E33" s="166" t="s">
        <v>509</v>
      </c>
      <c r="F33" s="160"/>
      <c r="G33" s="163" t="s">
        <v>510</v>
      </c>
      <c r="H33" s="164" t="s">
        <v>511</v>
      </c>
    </row>
    <row r="34" spans="1:8" x14ac:dyDescent="0.35">
      <c r="A34" s="165" t="s">
        <v>512</v>
      </c>
      <c r="B34" s="166" t="s">
        <v>513</v>
      </c>
      <c r="C34" s="160"/>
      <c r="D34" s="165" t="s">
        <v>514</v>
      </c>
      <c r="E34" s="166" t="s">
        <v>515</v>
      </c>
      <c r="F34" s="160"/>
      <c r="G34" s="163" t="s">
        <v>516</v>
      </c>
      <c r="H34" s="164" t="s">
        <v>517</v>
      </c>
    </row>
    <row r="35" spans="1:8" x14ac:dyDescent="0.35">
      <c r="A35" s="163" t="s">
        <v>518</v>
      </c>
      <c r="B35" s="164" t="s">
        <v>519</v>
      </c>
      <c r="C35" s="160"/>
      <c r="D35" s="165" t="s">
        <v>520</v>
      </c>
      <c r="E35" s="166" t="s">
        <v>521</v>
      </c>
      <c r="F35" s="160"/>
      <c r="G35" s="163" t="s">
        <v>522</v>
      </c>
      <c r="H35" s="164" t="s">
        <v>523</v>
      </c>
    </row>
    <row r="36" spans="1:8" x14ac:dyDescent="0.35">
      <c r="A36" s="163" t="s">
        <v>524</v>
      </c>
      <c r="B36" s="164" t="s">
        <v>525</v>
      </c>
      <c r="C36" s="160"/>
      <c r="D36" s="163" t="s">
        <v>526</v>
      </c>
      <c r="E36" s="164" t="s">
        <v>527</v>
      </c>
      <c r="F36" s="160"/>
      <c r="G36" s="165" t="s">
        <v>528</v>
      </c>
      <c r="H36" s="166" t="s">
        <v>529</v>
      </c>
    </row>
    <row r="37" spans="1:8" x14ac:dyDescent="0.35">
      <c r="A37" s="163" t="s">
        <v>530</v>
      </c>
      <c r="B37" s="164" t="s">
        <v>531</v>
      </c>
      <c r="C37" s="160"/>
      <c r="D37" s="163" t="s">
        <v>532</v>
      </c>
      <c r="E37" s="164" t="s">
        <v>533</v>
      </c>
      <c r="F37" s="160"/>
      <c r="G37" s="163" t="s">
        <v>534</v>
      </c>
      <c r="H37" s="164" t="s">
        <v>535</v>
      </c>
    </row>
    <row r="38" spans="1:8" x14ac:dyDescent="0.35">
      <c r="A38" s="163" t="s">
        <v>536</v>
      </c>
      <c r="B38" s="164" t="s">
        <v>537</v>
      </c>
      <c r="C38" s="160"/>
      <c r="D38" s="163" t="s">
        <v>538</v>
      </c>
      <c r="E38" s="164" t="s">
        <v>539</v>
      </c>
      <c r="F38" s="160"/>
      <c r="G38" s="163" t="s">
        <v>540</v>
      </c>
      <c r="H38" s="164" t="s">
        <v>541</v>
      </c>
    </row>
    <row r="39" spans="1:8" x14ac:dyDescent="0.35">
      <c r="A39" s="163" t="s">
        <v>542</v>
      </c>
      <c r="B39" s="164" t="s">
        <v>543</v>
      </c>
      <c r="C39" s="160"/>
      <c r="D39" s="163" t="s">
        <v>544</v>
      </c>
      <c r="E39" s="164" t="s">
        <v>545</v>
      </c>
      <c r="F39" s="160"/>
      <c r="G39" s="163" t="s">
        <v>546</v>
      </c>
      <c r="H39" s="164" t="s">
        <v>547</v>
      </c>
    </row>
    <row r="40" spans="1:8" x14ac:dyDescent="0.35">
      <c r="A40" s="165" t="s">
        <v>250</v>
      </c>
      <c r="B40" s="166" t="s">
        <v>548</v>
      </c>
      <c r="C40" s="160"/>
      <c r="D40" s="163" t="s">
        <v>549</v>
      </c>
      <c r="E40" s="164" t="s">
        <v>550</v>
      </c>
      <c r="F40" s="160"/>
      <c r="G40" s="163" t="s">
        <v>551</v>
      </c>
      <c r="H40" s="164" t="s">
        <v>552</v>
      </c>
    </row>
    <row r="41" spans="1:8" x14ac:dyDescent="0.35">
      <c r="A41" s="163" t="s">
        <v>553</v>
      </c>
      <c r="B41" s="164" t="s">
        <v>554</v>
      </c>
      <c r="C41" s="160"/>
      <c r="D41" s="163" t="s">
        <v>555</v>
      </c>
      <c r="E41" s="164" t="s">
        <v>556</v>
      </c>
      <c r="F41" s="160"/>
      <c r="G41" s="163" t="s">
        <v>557</v>
      </c>
      <c r="H41" s="164" t="s">
        <v>558</v>
      </c>
    </row>
    <row r="42" spans="1:8" x14ac:dyDescent="0.35">
      <c r="A42" s="163" t="s">
        <v>559</v>
      </c>
      <c r="B42" s="164" t="s">
        <v>560</v>
      </c>
      <c r="C42" s="160"/>
      <c r="D42" s="163" t="s">
        <v>561</v>
      </c>
      <c r="E42" s="164" t="s">
        <v>562</v>
      </c>
      <c r="F42" s="160"/>
      <c r="G42" s="165" t="s">
        <v>563</v>
      </c>
      <c r="H42" s="166" t="s">
        <v>564</v>
      </c>
    </row>
    <row r="43" spans="1:8" x14ac:dyDescent="0.35">
      <c r="A43" s="163" t="s">
        <v>565</v>
      </c>
      <c r="B43" s="164" t="s">
        <v>566</v>
      </c>
      <c r="C43" s="160"/>
      <c r="D43" s="165" t="s">
        <v>9</v>
      </c>
      <c r="E43" s="166" t="s">
        <v>567</v>
      </c>
      <c r="F43" s="160"/>
      <c r="G43" s="163" t="s">
        <v>568</v>
      </c>
      <c r="H43" s="164" t="s">
        <v>569</v>
      </c>
    </row>
    <row r="44" spans="1:8" x14ac:dyDescent="0.35">
      <c r="A44" s="163" t="s">
        <v>39</v>
      </c>
      <c r="B44" s="164" t="s">
        <v>570</v>
      </c>
      <c r="C44" s="160"/>
      <c r="D44" s="163" t="s">
        <v>571</v>
      </c>
      <c r="E44" s="164" t="s">
        <v>572</v>
      </c>
      <c r="F44" s="160"/>
      <c r="G44" s="163" t="s">
        <v>573</v>
      </c>
      <c r="H44" s="164" t="s">
        <v>574</v>
      </c>
    </row>
    <row r="45" spans="1:8" x14ac:dyDescent="0.35">
      <c r="A45" s="165" t="s">
        <v>575</v>
      </c>
      <c r="B45" s="166" t="s">
        <v>576</v>
      </c>
      <c r="C45" s="160"/>
      <c r="D45" s="163" t="s">
        <v>577</v>
      </c>
      <c r="E45" s="164" t="s">
        <v>578</v>
      </c>
      <c r="F45" s="160"/>
      <c r="G45" s="165" t="s">
        <v>579</v>
      </c>
      <c r="H45" s="166" t="s">
        <v>580</v>
      </c>
    </row>
    <row r="46" spans="1:8" x14ac:dyDescent="0.35">
      <c r="A46" s="163" t="s">
        <v>581</v>
      </c>
      <c r="B46" s="164" t="s">
        <v>582</v>
      </c>
      <c r="C46" s="160"/>
      <c r="D46" s="163" t="s">
        <v>583</v>
      </c>
      <c r="E46" s="164" t="s">
        <v>584</v>
      </c>
      <c r="F46" s="160"/>
      <c r="G46" s="163" t="s">
        <v>585</v>
      </c>
      <c r="H46" s="164" t="s">
        <v>586</v>
      </c>
    </row>
    <row r="47" spans="1:8" x14ac:dyDescent="0.35">
      <c r="A47" s="163" t="s">
        <v>587</v>
      </c>
      <c r="B47" s="164" t="s">
        <v>588</v>
      </c>
      <c r="C47" s="167"/>
      <c r="D47" s="163" t="s">
        <v>589</v>
      </c>
      <c r="E47" s="164" t="s">
        <v>590</v>
      </c>
      <c r="F47" s="167"/>
      <c r="G47" s="165" t="s">
        <v>591</v>
      </c>
      <c r="H47" s="166" t="s">
        <v>592</v>
      </c>
    </row>
  </sheetData>
  <mergeCells count="1">
    <mergeCell ref="A1:H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D823DECFA74F34D8F0001B5656EBB04" ma:contentTypeVersion="11" ma:contentTypeDescription="Create a new document." ma:contentTypeScope="" ma:versionID="0d02f1a3eb24e0aaacb01283f0bd4634">
  <xsd:schema xmlns:xsd="http://www.w3.org/2001/XMLSchema" xmlns:xs="http://www.w3.org/2001/XMLSchema" xmlns:p="http://schemas.microsoft.com/office/2006/metadata/properties" xmlns:ns2="839662b1-cb09-478b-bef4-55ae2346baaf" xmlns:ns3="5498497c-1f4e-4684-8e09-712e5b0873a6" targetNamespace="http://schemas.microsoft.com/office/2006/metadata/properties" ma:root="true" ma:fieldsID="dee9dac3d756309b7f08d23901c66515" ns2:_="" ns3:_="">
    <xsd:import namespace="839662b1-cb09-478b-bef4-55ae2346baaf"/>
    <xsd:import namespace="5498497c-1f4e-4684-8e09-712e5b0873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9662b1-cb09-478b-bef4-55ae2346ba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98497c-1f4e-4684-8e09-712e5b0873a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5a821f-aa9b-4e95-8465-cdf238120a05}" ma:internalName="TaxCatchAll" ma:showField="CatchAllData" ma:web="5498497c-1f4e-4684-8e09-712e5b0873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498497c-1f4e-4684-8e09-712e5b0873a6" xsi:nil="true"/>
    <lcf76f155ced4ddcb4097134ff3c332f xmlns="839662b1-cb09-478b-bef4-55ae2346baa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BA6E04F-7EF9-4E63-A1F6-4CDDDCE046D5}">
  <ds:schemaRefs>
    <ds:schemaRef ds:uri="http://schemas.microsoft.com/sharepoint/v3/contenttype/forms"/>
  </ds:schemaRefs>
</ds:datastoreItem>
</file>

<file path=customXml/itemProps2.xml><?xml version="1.0" encoding="utf-8"?>
<ds:datastoreItem xmlns:ds="http://schemas.openxmlformats.org/officeDocument/2006/customXml" ds:itemID="{94DDB3F0-EFB9-4F6E-A06F-D61D3EAD3260}"/>
</file>

<file path=customXml/itemProps3.xml><?xml version="1.0" encoding="utf-8"?>
<ds:datastoreItem xmlns:ds="http://schemas.openxmlformats.org/officeDocument/2006/customXml" ds:itemID="{BE598B7E-55B1-4F1B-B216-00BBF703656E}">
  <ds:schemaRefs>
    <ds:schemaRef ds:uri="http://schemas.microsoft.com/office/2006/metadata/properties"/>
    <ds:schemaRef ds:uri="http://schemas.microsoft.com/office/infopath/2007/PartnerControls"/>
    <ds:schemaRef ds:uri="6eae365f-db69-4394-ac9f-8c93c8472542"/>
    <ds:schemaRef ds:uri="d30e31c2-57cb-4765-86ff-3f8a7b07a2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vt:i4>
      </vt:variant>
    </vt:vector>
  </HeadingPairs>
  <TitlesOfParts>
    <vt:vector size="23" baseType="lpstr">
      <vt:lpstr>Base Year - Recurring</vt:lpstr>
      <vt:lpstr>Base Year - Non-Recurring</vt:lpstr>
      <vt:lpstr>Option Year 1- Recurring</vt:lpstr>
      <vt:lpstr>Option Year 1 -Non-Recurring</vt:lpstr>
      <vt:lpstr>Option Year 2- Recurring</vt:lpstr>
      <vt:lpstr>Option Year 2 -Non-Recurring</vt:lpstr>
      <vt:lpstr>Option Year 3- Recurring</vt:lpstr>
      <vt:lpstr>Option Year 3 -Non-Recurring</vt:lpstr>
      <vt:lpstr>Option Year 4- Recurring</vt:lpstr>
      <vt:lpstr>Option Year 4 -Non-Recurring</vt:lpstr>
      <vt:lpstr>Option to Extend - Recurring</vt:lpstr>
      <vt:lpstr>Option to Extend -Non-Recurring</vt:lpstr>
      <vt:lpstr>NAVFAC UOM</vt:lpstr>
      <vt:lpstr>'Base Year - Recurring'!Print_Area</vt:lpstr>
      <vt:lpstr>'Option Year 1- Recurring'!Print_Area</vt:lpstr>
      <vt:lpstr>'Option Year 2- Recurring'!Print_Area</vt:lpstr>
      <vt:lpstr>'Option Year 3- Recurring'!Print_Area</vt:lpstr>
      <vt:lpstr>'Option Year 4- Recurring'!Print_Area</vt:lpstr>
      <vt:lpstr>'Base Year - Non-Recurring'!Print_Titles</vt:lpstr>
      <vt:lpstr>'Option Year 1 -Non-Recurring'!Print_Titles</vt:lpstr>
      <vt:lpstr>'Option Year 2 -Non-Recurring'!Print_Titles</vt:lpstr>
      <vt:lpstr>'Option Year 3 -Non-Recurring'!Print_Titles</vt:lpstr>
      <vt:lpstr>'Option Year 4 -Non-Recurring'!Print_Titles</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Agsalud, Royale Joseph D CIV (USA)</dc:creator>
  <cp:lastModifiedBy>Pilakowski, Shaunah Ann K CIV (USA)</cp:lastModifiedBy>
  <cp:lastPrinted>2021-06-10T22:35:30Z</cp:lastPrinted>
  <dcterms:created xsi:type="dcterms:W3CDTF">2021-03-22T23:09:39Z</dcterms:created>
  <dcterms:modified xsi:type="dcterms:W3CDTF">2025-12-10T23:13:57Z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0x010100AD823DECFA74F34D8F0001B5656EBB04</vt:lpwstr>
  </property>
</Properties>
</file>