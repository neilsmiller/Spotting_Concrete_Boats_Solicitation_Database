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aniel.ok\Desktop\Requisitions\FY2026\NESDIS CDP SBEM IDIQ\3) Solicitation\032 - Solicitation\"/>
    </mc:Choice>
  </mc:AlternateContent>
  <xr:revisionPtr revIDLastSave="0" documentId="13_ncr:1_{BD65DF71-3CB3-427B-AB07-6ADEE4CA3529}" xr6:coauthVersionLast="47" xr6:coauthVersionMax="47" xr10:uidLastSave="{00000000-0000-0000-0000-000000000000}"/>
  <bookViews>
    <workbookView xWindow="1590" yWindow="-15870" windowWidth="25440" windowHeight="15270" xr2:uid="{00000000-000D-0000-FFFF-FFFF00000000}"/>
  </bookViews>
  <sheets>
    <sheet name="Instructions" sheetId="1" r:id="rId1"/>
    <sheet name="Data License Descriptions" sheetId="2" r:id="rId2"/>
    <sheet name="FC 1 - GNSS-RO (Base)" sheetId="3" r:id="rId3"/>
    <sheet name="FC 1 - GNSS-RO (Option)" sheetId="4" r:id="rId4"/>
    <sheet name="FC 2 - GNSS-R (Base)" sheetId="5" r:id="rId5"/>
    <sheet name="FC 2 - GNSS-R (Option)" sheetId="6" r:id="rId6"/>
    <sheet name="FC 3 - MWS (Base)" sheetId="7" r:id="rId7"/>
    <sheet name="FC 3 - MWS (Option)" sheetId="8" r:id="rId8"/>
    <sheet name="FC 4 - MSI (Base)" sheetId="9" r:id="rId9"/>
    <sheet name="FC 4 - MSI (Option)" sheetId="10" r:id="rId10"/>
    <sheet name="FC 5 - IRS (Base)" sheetId="11" r:id="rId11"/>
    <sheet name="FC 5 - IRS (Option)" sheetId="12" r:id="rId12"/>
    <sheet name="FC 6 - TND (Base)" sheetId="13" r:id="rId13"/>
    <sheet name="FC 6 - TND (Option)" sheetId="14" r:id="rId14"/>
    <sheet name="FC 7 - AS (Base)" sheetId="15" r:id="rId15"/>
    <sheet name="FC 7 - AS (Option)" sheetId="16"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0" roundtripDataChecksum="ui8TiYHxupBdm7R2/hrl004uqYOj+orwY1EKMjcunUY="/>
    </ext>
  </extLst>
</workbook>
</file>

<file path=xl/calcChain.xml><?xml version="1.0" encoding="utf-8"?>
<calcChain xmlns="http://schemas.openxmlformats.org/spreadsheetml/2006/main">
  <c r="I249" i="16" l="1"/>
  <c r="H249" i="16"/>
  <c r="H248" i="16"/>
  <c r="I248" i="16" s="1"/>
  <c r="I247" i="16"/>
  <c r="H247" i="16"/>
  <c r="H246" i="16"/>
  <c r="I246" i="16" s="1"/>
  <c r="H245" i="16"/>
  <c r="I245" i="16" s="1"/>
  <c r="I244" i="16"/>
  <c r="H244" i="16"/>
  <c r="I243" i="16"/>
  <c r="H243" i="16"/>
  <c r="H242" i="16"/>
  <c r="I242" i="16" s="1"/>
  <c r="L193" i="16" s="1"/>
  <c r="I241" i="16"/>
  <c r="H241" i="16"/>
  <c r="H240" i="16"/>
  <c r="I240" i="16" s="1"/>
  <c r="H239" i="16"/>
  <c r="I239" i="16" s="1"/>
  <c r="I238" i="16"/>
  <c r="H238" i="16"/>
  <c r="I237" i="16"/>
  <c r="H237" i="16"/>
  <c r="H236" i="16"/>
  <c r="I236" i="16" s="1"/>
  <c r="I235" i="16"/>
  <c r="H235" i="16"/>
  <c r="H234" i="16"/>
  <c r="I234" i="16" s="1"/>
  <c r="H233" i="16"/>
  <c r="I233" i="16" s="1"/>
  <c r="I232" i="16"/>
  <c r="H232" i="16"/>
  <c r="I231" i="16"/>
  <c r="H231" i="16"/>
  <c r="H230" i="16"/>
  <c r="I230" i="16" s="1"/>
  <c r="I229" i="16"/>
  <c r="H229" i="16"/>
  <c r="H228" i="16"/>
  <c r="I228" i="16" s="1"/>
  <c r="H227" i="16"/>
  <c r="I227" i="16" s="1"/>
  <c r="I226" i="16"/>
  <c r="H226" i="16"/>
  <c r="I225" i="16"/>
  <c r="H225" i="16"/>
  <c r="H224" i="16"/>
  <c r="I224" i="16" s="1"/>
  <c r="I223" i="16"/>
  <c r="H223" i="16"/>
  <c r="H222" i="16"/>
  <c r="I222" i="16" s="1"/>
  <c r="H221" i="16"/>
  <c r="I221" i="16" s="1"/>
  <c r="I220" i="16"/>
  <c r="H220" i="16"/>
  <c r="I219" i="16"/>
  <c r="H219" i="16"/>
  <c r="H218" i="16"/>
  <c r="I218" i="16" s="1"/>
  <c r="L190" i="16" s="1"/>
  <c r="I217" i="16"/>
  <c r="H217" i="16"/>
  <c r="H216" i="16"/>
  <c r="I216" i="16" s="1"/>
  <c r="H215" i="16"/>
  <c r="I215" i="16" s="1"/>
  <c r="I214" i="16"/>
  <c r="H214" i="16"/>
  <c r="I213" i="16"/>
  <c r="H213" i="16"/>
  <c r="H212" i="16"/>
  <c r="I212" i="16" s="1"/>
  <c r="I211" i="16"/>
  <c r="H211" i="16"/>
  <c r="H210" i="16"/>
  <c r="I210" i="16" s="1"/>
  <c r="L189" i="16" s="1"/>
  <c r="H209" i="16"/>
  <c r="I209" i="16" s="1"/>
  <c r="I208" i="16"/>
  <c r="H208" i="16"/>
  <c r="I207" i="16"/>
  <c r="H207" i="16"/>
  <c r="H206" i="16"/>
  <c r="I206" i="16" s="1"/>
  <c r="I205" i="16"/>
  <c r="H205" i="16"/>
  <c r="H204" i="16"/>
  <c r="I204" i="16" s="1"/>
  <c r="H203" i="16"/>
  <c r="I203" i="16" s="1"/>
  <c r="I202" i="16"/>
  <c r="H202" i="16"/>
  <c r="I201" i="16"/>
  <c r="H201" i="16"/>
  <c r="H200" i="16"/>
  <c r="I200" i="16" s="1"/>
  <c r="I199" i="16"/>
  <c r="H199" i="16"/>
  <c r="H198" i="16"/>
  <c r="I198" i="16" s="1"/>
  <c r="H197" i="16"/>
  <c r="I197" i="16" s="1"/>
  <c r="I196" i="16"/>
  <c r="H196" i="16"/>
  <c r="I195" i="16"/>
  <c r="H195" i="16"/>
  <c r="I194" i="16"/>
  <c r="H194" i="16"/>
  <c r="H193" i="16"/>
  <c r="I193" i="16" s="1"/>
  <c r="H192" i="16"/>
  <c r="I192" i="16" s="1"/>
  <c r="I191" i="16"/>
  <c r="H191" i="16"/>
  <c r="I190" i="16"/>
  <c r="H190" i="16"/>
  <c r="H189" i="16"/>
  <c r="I189" i="16" s="1"/>
  <c r="H188" i="16"/>
  <c r="I188" i="16" s="1"/>
  <c r="L187" i="16"/>
  <c r="I187" i="16"/>
  <c r="H187" i="16"/>
  <c r="I182" i="16"/>
  <c r="H182" i="16"/>
  <c r="H181" i="16"/>
  <c r="I181" i="16" s="1"/>
  <c r="H180" i="16"/>
  <c r="I180" i="16" s="1"/>
  <c r="I179" i="16"/>
  <c r="H179" i="16"/>
  <c r="H178" i="16"/>
  <c r="I178" i="16" s="1"/>
  <c r="I177" i="16"/>
  <c r="H177" i="16"/>
  <c r="I176" i="16"/>
  <c r="H176" i="16"/>
  <c r="H175" i="16"/>
  <c r="I175" i="16" s="1"/>
  <c r="H174" i="16"/>
  <c r="I174" i="16" s="1"/>
  <c r="I173" i="16"/>
  <c r="H173" i="16"/>
  <c r="H172" i="16"/>
  <c r="I172" i="16" s="1"/>
  <c r="I171" i="16"/>
  <c r="H171" i="16"/>
  <c r="I170" i="16"/>
  <c r="H170" i="16"/>
  <c r="H169" i="16"/>
  <c r="I169" i="16" s="1"/>
  <c r="H168" i="16"/>
  <c r="I168" i="16" s="1"/>
  <c r="I167" i="16"/>
  <c r="H167" i="16"/>
  <c r="H166" i="16"/>
  <c r="I166" i="16" s="1"/>
  <c r="I165" i="16"/>
  <c r="H165" i="16"/>
  <c r="I164" i="16"/>
  <c r="H164" i="16"/>
  <c r="H163" i="16"/>
  <c r="I163" i="16" s="1"/>
  <c r="H162" i="16"/>
  <c r="I162" i="16" s="1"/>
  <c r="I161" i="16"/>
  <c r="H161" i="16"/>
  <c r="H160" i="16"/>
  <c r="I160" i="16" s="1"/>
  <c r="I159" i="16"/>
  <c r="H159" i="16"/>
  <c r="I158" i="16"/>
  <c r="H158" i="16"/>
  <c r="H157" i="16"/>
  <c r="I157" i="16" s="1"/>
  <c r="H156" i="16"/>
  <c r="I156" i="16" s="1"/>
  <c r="I155" i="16"/>
  <c r="H155" i="16"/>
  <c r="H154" i="16"/>
  <c r="I154" i="16" s="1"/>
  <c r="I153" i="16"/>
  <c r="H153" i="16"/>
  <c r="I152" i="16"/>
  <c r="H152" i="16"/>
  <c r="H151" i="16"/>
  <c r="I151" i="16" s="1"/>
  <c r="H150" i="16"/>
  <c r="I150" i="16" s="1"/>
  <c r="I149" i="16"/>
  <c r="H149" i="16"/>
  <c r="H148" i="16"/>
  <c r="I148" i="16" s="1"/>
  <c r="I147" i="16"/>
  <c r="H147" i="16"/>
  <c r="I146" i="16"/>
  <c r="H146" i="16"/>
  <c r="H145" i="16"/>
  <c r="I145" i="16" s="1"/>
  <c r="H144" i="16"/>
  <c r="I144" i="16" s="1"/>
  <c r="I143" i="16"/>
  <c r="H143" i="16"/>
  <c r="H142" i="16"/>
  <c r="I142" i="16" s="1"/>
  <c r="I141" i="16"/>
  <c r="H141" i="16"/>
  <c r="I140" i="16"/>
  <c r="H140" i="16"/>
  <c r="H139" i="16"/>
  <c r="I139" i="16" s="1"/>
  <c r="H138" i="16"/>
  <c r="I138" i="16" s="1"/>
  <c r="L122" i="16" s="1"/>
  <c r="I137" i="16"/>
  <c r="H137" i="16"/>
  <c r="H136" i="16"/>
  <c r="I136" i="16" s="1"/>
  <c r="I135" i="16"/>
  <c r="H135" i="16"/>
  <c r="I134" i="16"/>
  <c r="H134" i="16"/>
  <c r="H133" i="16"/>
  <c r="I133" i="16" s="1"/>
  <c r="H132" i="16"/>
  <c r="I132" i="16" s="1"/>
  <c r="I131" i="16"/>
  <c r="H131" i="16"/>
  <c r="H130" i="16"/>
  <c r="I130" i="16" s="1"/>
  <c r="L121" i="16" s="1"/>
  <c r="I129" i="16"/>
  <c r="H129" i="16"/>
  <c r="I128" i="16"/>
  <c r="H128" i="16"/>
  <c r="I127" i="16"/>
  <c r="H127" i="16"/>
  <c r="I126" i="16"/>
  <c r="H126" i="16"/>
  <c r="I125" i="16"/>
  <c r="H125" i="16"/>
  <c r="I124" i="16"/>
  <c r="H124" i="16"/>
  <c r="I123" i="16"/>
  <c r="H123" i="16"/>
  <c r="I122" i="16"/>
  <c r="H122" i="16"/>
  <c r="I121" i="16"/>
  <c r="H121" i="16"/>
  <c r="I120" i="16"/>
  <c r="H120" i="16"/>
  <c r="I114" i="16"/>
  <c r="H114" i="16"/>
  <c r="H113" i="16"/>
  <c r="I113" i="16" s="1"/>
  <c r="I112" i="16"/>
  <c r="H112" i="16"/>
  <c r="H111" i="16"/>
  <c r="I111" i="16" s="1"/>
  <c r="H110" i="16"/>
  <c r="I110" i="16" s="1"/>
  <c r="I109" i="16"/>
  <c r="H109" i="16"/>
  <c r="H108" i="16"/>
  <c r="I108" i="16" s="1"/>
  <c r="H107" i="16"/>
  <c r="I107" i="16" s="1"/>
  <c r="I106" i="16"/>
  <c r="H106" i="16"/>
  <c r="I105" i="16"/>
  <c r="H105" i="16"/>
  <c r="H104" i="16"/>
  <c r="I104" i="16" s="1"/>
  <c r="I103" i="16"/>
  <c r="H103" i="16"/>
  <c r="H102" i="16"/>
  <c r="I102" i="16" s="1"/>
  <c r="H101" i="16"/>
  <c r="I101" i="16" s="1"/>
  <c r="I100" i="16"/>
  <c r="H100" i="16"/>
  <c r="H99" i="16"/>
  <c r="I99" i="16" s="1"/>
  <c r="H98" i="16"/>
  <c r="I98" i="16" s="1"/>
  <c r="I97" i="16"/>
  <c r="H97" i="16"/>
  <c r="H96" i="16"/>
  <c r="I96" i="16" s="1"/>
  <c r="H95" i="16"/>
  <c r="I95" i="16" s="1"/>
  <c r="I94" i="16"/>
  <c r="H94" i="16"/>
  <c r="I93" i="16"/>
  <c r="H93" i="16"/>
  <c r="H92" i="16"/>
  <c r="I92" i="16" s="1"/>
  <c r="I91" i="16"/>
  <c r="H91" i="16"/>
  <c r="I90" i="16"/>
  <c r="H90" i="16"/>
  <c r="H89" i="16"/>
  <c r="I89" i="16" s="1"/>
  <c r="I88" i="16"/>
  <c r="H88" i="16"/>
  <c r="I87" i="16"/>
  <c r="H87" i="16"/>
  <c r="H86" i="16"/>
  <c r="I86" i="16" s="1"/>
  <c r="I85" i="16"/>
  <c r="H85" i="16"/>
  <c r="I84" i="16"/>
  <c r="H84" i="16"/>
  <c r="H83" i="16"/>
  <c r="I83" i="16" s="1"/>
  <c r="I82" i="16"/>
  <c r="H82" i="16"/>
  <c r="H81" i="16"/>
  <c r="I81" i="16" s="1"/>
  <c r="H80" i="16"/>
  <c r="I80" i="16" s="1"/>
  <c r="L55" i="16" s="1"/>
  <c r="I79" i="16"/>
  <c r="H79" i="16"/>
  <c r="I78" i="16"/>
  <c r="H78" i="16"/>
  <c r="H77" i="16"/>
  <c r="I77" i="16" s="1"/>
  <c r="I76" i="16"/>
  <c r="H76" i="16"/>
  <c r="H75" i="16"/>
  <c r="I75" i="16" s="1"/>
  <c r="H74" i="16"/>
  <c r="I74" i="16" s="1"/>
  <c r="I73" i="16"/>
  <c r="H73" i="16"/>
  <c r="I72" i="16"/>
  <c r="H72" i="16"/>
  <c r="H71" i="16"/>
  <c r="I71" i="16" s="1"/>
  <c r="I70" i="16"/>
  <c r="H70" i="16"/>
  <c r="I69" i="16"/>
  <c r="H69" i="16"/>
  <c r="H68" i="16"/>
  <c r="I68" i="16" s="1"/>
  <c r="I67" i="16"/>
  <c r="H67" i="16"/>
  <c r="H66" i="16"/>
  <c r="I66" i="16" s="1"/>
  <c r="H65" i="16"/>
  <c r="I65" i="16" s="1"/>
  <c r="I64" i="16"/>
  <c r="H64" i="16"/>
  <c r="H63" i="16"/>
  <c r="I63" i="16" s="1"/>
  <c r="H62" i="16"/>
  <c r="I62" i="16" s="1"/>
  <c r="I61" i="16"/>
  <c r="H61" i="16"/>
  <c r="H60" i="16"/>
  <c r="I60" i="16" s="1"/>
  <c r="H59" i="16"/>
  <c r="I59" i="16" s="1"/>
  <c r="H58" i="16"/>
  <c r="I58" i="16" s="1"/>
  <c r="I57" i="16"/>
  <c r="H57" i="16"/>
  <c r="H56" i="16"/>
  <c r="I56" i="16" s="1"/>
  <c r="L52" i="16" s="1"/>
  <c r="H55" i="16"/>
  <c r="I55" i="16" s="1"/>
  <c r="H54" i="16"/>
  <c r="I54" i="16" s="1"/>
  <c r="I53" i="16"/>
  <c r="H53" i="16"/>
  <c r="I52" i="16"/>
  <c r="H52" i="16"/>
  <c r="I47" i="16"/>
  <c r="H47" i="16"/>
  <c r="H46" i="16"/>
  <c r="I46" i="16" s="1"/>
  <c r="H45" i="16"/>
  <c r="I45" i="16" s="1"/>
  <c r="H44" i="16"/>
  <c r="I44" i="16" s="1"/>
  <c r="H43" i="16"/>
  <c r="I43" i="16" s="1"/>
  <c r="I42" i="16"/>
  <c r="H42" i="16"/>
  <c r="I41" i="16"/>
  <c r="H41" i="16"/>
  <c r="H40" i="16"/>
  <c r="I40" i="16" s="1"/>
  <c r="H39" i="16"/>
  <c r="I39" i="16" s="1"/>
  <c r="H38" i="16"/>
  <c r="I38" i="16" s="1"/>
  <c r="H37" i="16"/>
  <c r="I37" i="16" s="1"/>
  <c r="H36" i="16"/>
  <c r="I36" i="16" s="1"/>
  <c r="L11" i="16" s="1"/>
  <c r="I35" i="16"/>
  <c r="H35" i="16"/>
  <c r="H34" i="16"/>
  <c r="I34" i="16" s="1"/>
  <c r="I33" i="16"/>
  <c r="H33" i="16"/>
  <c r="H32" i="16"/>
  <c r="I32" i="16" s="1"/>
  <c r="H31" i="16"/>
  <c r="I31" i="16" s="1"/>
  <c r="I30" i="16"/>
  <c r="L10" i="16" s="1"/>
  <c r="H30" i="16"/>
  <c r="I29" i="16"/>
  <c r="H29" i="16"/>
  <c r="H28" i="16"/>
  <c r="I28" i="16" s="1"/>
  <c r="H27" i="16"/>
  <c r="I27" i="16" s="1"/>
  <c r="H26" i="16"/>
  <c r="I26" i="16" s="1"/>
  <c r="H25" i="16"/>
  <c r="I25" i="16" s="1"/>
  <c r="H24" i="16"/>
  <c r="I24" i="16" s="1"/>
  <c r="I23" i="16"/>
  <c r="H23" i="16"/>
  <c r="H22" i="16"/>
  <c r="I22" i="16" s="1"/>
  <c r="H21" i="16"/>
  <c r="I21" i="16" s="1"/>
  <c r="I20" i="16"/>
  <c r="H20" i="16"/>
  <c r="H19" i="16"/>
  <c r="I19" i="16" s="1"/>
  <c r="H18" i="16"/>
  <c r="I18" i="16" s="1"/>
  <c r="I17" i="16"/>
  <c r="H17" i="16"/>
  <c r="H16" i="16"/>
  <c r="I16" i="16" s="1"/>
  <c r="I15" i="16"/>
  <c r="H15" i="16"/>
  <c r="I14" i="16"/>
  <c r="H14" i="16"/>
  <c r="H13" i="16"/>
  <c r="I13" i="16" s="1"/>
  <c r="I12" i="16"/>
  <c r="H12" i="16"/>
  <c r="I11" i="16"/>
  <c r="H11" i="16"/>
  <c r="H10" i="16"/>
  <c r="I10" i="16" s="1"/>
  <c r="H9" i="16"/>
  <c r="I9" i="16" s="1"/>
  <c r="I8" i="16"/>
  <c r="H8" i="16"/>
  <c r="H7" i="16"/>
  <c r="I7" i="16" s="1"/>
  <c r="I6" i="16"/>
  <c r="H6" i="16"/>
  <c r="H248" i="15"/>
  <c r="I248" i="15" s="1"/>
  <c r="I247" i="15"/>
  <c r="H247" i="15"/>
  <c r="I246" i="15"/>
  <c r="H246" i="15"/>
  <c r="H245" i="15"/>
  <c r="I245" i="15" s="1"/>
  <c r="I244" i="15"/>
  <c r="H244" i="15"/>
  <c r="H243" i="15"/>
  <c r="I243" i="15" s="1"/>
  <c r="I242" i="15"/>
  <c r="H242" i="15"/>
  <c r="I241" i="15"/>
  <c r="H241" i="15"/>
  <c r="I240" i="15"/>
  <c r="H240" i="15"/>
  <c r="H239" i="15"/>
  <c r="I239" i="15" s="1"/>
  <c r="H238" i="15"/>
  <c r="I238" i="15" s="1"/>
  <c r="H237" i="15"/>
  <c r="I237" i="15" s="1"/>
  <c r="H236" i="15"/>
  <c r="I236" i="15" s="1"/>
  <c r="I235" i="15"/>
  <c r="H235" i="15"/>
  <c r="I234" i="15"/>
  <c r="H234" i="15"/>
  <c r="H233" i="15"/>
  <c r="I233" i="15" s="1"/>
  <c r="H232" i="15"/>
  <c r="I232" i="15" s="1"/>
  <c r="I231" i="15"/>
  <c r="H231" i="15"/>
  <c r="I230" i="15"/>
  <c r="H230" i="15"/>
  <c r="H229" i="15"/>
  <c r="I229" i="15" s="1"/>
  <c r="I228" i="15"/>
  <c r="H228" i="15"/>
  <c r="H227" i="15"/>
  <c r="I227" i="15" s="1"/>
  <c r="H226" i="15"/>
  <c r="I226" i="15" s="1"/>
  <c r="H225" i="15"/>
  <c r="I225" i="15" s="1"/>
  <c r="I224" i="15"/>
  <c r="H224" i="15"/>
  <c r="H223" i="15"/>
  <c r="I223" i="15" s="1"/>
  <c r="I222" i="15"/>
  <c r="H222" i="15"/>
  <c r="H221" i="15"/>
  <c r="I221" i="15" s="1"/>
  <c r="I220" i="15"/>
  <c r="H220" i="15"/>
  <c r="H219" i="15"/>
  <c r="I219" i="15" s="1"/>
  <c r="I218" i="15"/>
  <c r="H218" i="15"/>
  <c r="H217" i="15"/>
  <c r="I217" i="15" s="1"/>
  <c r="I216" i="15"/>
  <c r="H216" i="15"/>
  <c r="H215" i="15"/>
  <c r="I215" i="15" s="1"/>
  <c r="H214" i="15"/>
  <c r="I214" i="15" s="1"/>
  <c r="H213" i="15"/>
  <c r="I213" i="15" s="1"/>
  <c r="H212" i="15"/>
  <c r="I212" i="15" s="1"/>
  <c r="H211" i="15"/>
  <c r="I211" i="15" s="1"/>
  <c r="I210" i="15"/>
  <c r="H210" i="15"/>
  <c r="H209" i="15"/>
  <c r="I209" i="15" s="1"/>
  <c r="I208" i="15"/>
  <c r="H208" i="15"/>
  <c r="I207" i="15"/>
  <c r="H207" i="15"/>
  <c r="I206" i="15"/>
  <c r="H206" i="15"/>
  <c r="I205" i="15"/>
  <c r="H205" i="15"/>
  <c r="I204" i="15"/>
  <c r="H204" i="15"/>
  <c r="H203" i="15"/>
  <c r="I203" i="15" s="1"/>
  <c r="H202" i="15"/>
  <c r="I202" i="15" s="1"/>
  <c r="H201" i="15"/>
  <c r="I201" i="15" s="1"/>
  <c r="H200" i="15"/>
  <c r="I200" i="15" s="1"/>
  <c r="H199" i="15"/>
  <c r="I199" i="15" s="1"/>
  <c r="I198" i="15"/>
  <c r="H198" i="15"/>
  <c r="H197" i="15"/>
  <c r="I197" i="15" s="1"/>
  <c r="H196" i="15"/>
  <c r="I196" i="15" s="1"/>
  <c r="I195" i="15"/>
  <c r="H195" i="15"/>
  <c r="I194" i="15"/>
  <c r="H194" i="15"/>
  <c r="H193" i="15"/>
  <c r="I193" i="15" s="1"/>
  <c r="H192" i="15"/>
  <c r="I192" i="15" s="1"/>
  <c r="H191" i="15"/>
  <c r="I191" i="15" s="1"/>
  <c r="I190" i="15"/>
  <c r="H190" i="15"/>
  <c r="H189" i="15"/>
  <c r="I189" i="15" s="1"/>
  <c r="H188" i="15"/>
  <c r="I188" i="15" s="1"/>
  <c r="H187" i="15"/>
  <c r="I187" i="15" s="1"/>
  <c r="H186" i="15"/>
  <c r="I186" i="15" s="1"/>
  <c r="I181" i="15"/>
  <c r="H181" i="15"/>
  <c r="I180" i="15"/>
  <c r="H180" i="15"/>
  <c r="H179" i="15"/>
  <c r="I179" i="15" s="1"/>
  <c r="H178" i="15"/>
  <c r="I178" i="15" s="1"/>
  <c r="I177" i="15"/>
  <c r="H177" i="15"/>
  <c r="H176" i="15"/>
  <c r="I176" i="15" s="1"/>
  <c r="H175" i="15"/>
  <c r="I175" i="15" s="1"/>
  <c r="I174" i="15"/>
  <c r="H174" i="15"/>
  <c r="H173" i="15"/>
  <c r="I173" i="15" s="1"/>
  <c r="I172" i="15"/>
  <c r="H172" i="15"/>
  <c r="H171" i="15"/>
  <c r="I171" i="15" s="1"/>
  <c r="H170" i="15"/>
  <c r="I170" i="15" s="1"/>
  <c r="H169" i="15"/>
  <c r="I169" i="15" s="1"/>
  <c r="I168" i="15"/>
  <c r="H168" i="15"/>
  <c r="H167" i="15"/>
  <c r="I167" i="15" s="1"/>
  <c r="H166" i="15"/>
  <c r="I166" i="15" s="1"/>
  <c r="H165" i="15"/>
  <c r="I165" i="15" s="1"/>
  <c r="I164" i="15"/>
  <c r="H164" i="15"/>
  <c r="H163" i="15"/>
  <c r="I163" i="15" s="1"/>
  <c r="I162" i="15"/>
  <c r="H162" i="15"/>
  <c r="H161" i="15"/>
  <c r="I161" i="15" s="1"/>
  <c r="H160" i="15"/>
  <c r="I160" i="15" s="1"/>
  <c r="I159" i="15"/>
  <c r="H159" i="15"/>
  <c r="H158" i="15"/>
  <c r="I158" i="15" s="1"/>
  <c r="I157" i="15"/>
  <c r="H157" i="15"/>
  <c r="I156" i="15"/>
  <c r="H156" i="15"/>
  <c r="H155" i="15"/>
  <c r="I155" i="15" s="1"/>
  <c r="H154" i="15"/>
  <c r="I154" i="15" s="1"/>
  <c r="H153" i="15"/>
  <c r="I153" i="15" s="1"/>
  <c r="H152" i="15"/>
  <c r="I152" i="15" s="1"/>
  <c r="H151" i="15"/>
  <c r="I151" i="15" s="1"/>
  <c r="I150" i="15"/>
  <c r="H150" i="15"/>
  <c r="H149" i="15"/>
  <c r="I149" i="15" s="1"/>
  <c r="I148" i="15"/>
  <c r="H148" i="15"/>
  <c r="I147" i="15"/>
  <c r="H147" i="15"/>
  <c r="I146" i="15"/>
  <c r="H146" i="15"/>
  <c r="I145" i="15"/>
  <c r="H145" i="15"/>
  <c r="I144" i="15"/>
  <c r="H144" i="15"/>
  <c r="H143" i="15"/>
  <c r="I143" i="15" s="1"/>
  <c r="I142" i="15"/>
  <c r="H142" i="15"/>
  <c r="H141" i="15"/>
  <c r="I141" i="15" s="1"/>
  <c r="H140" i="15"/>
  <c r="I140" i="15" s="1"/>
  <c r="H139" i="15"/>
  <c r="I139" i="15" s="1"/>
  <c r="I138" i="15"/>
  <c r="H138" i="15"/>
  <c r="H137" i="15"/>
  <c r="I137" i="15" s="1"/>
  <c r="H136" i="15"/>
  <c r="I136" i="15" s="1"/>
  <c r="I135" i="15"/>
  <c r="H135" i="15"/>
  <c r="I134" i="15"/>
  <c r="H134" i="15"/>
  <c r="I133" i="15"/>
  <c r="H133" i="15"/>
  <c r="I132" i="15"/>
  <c r="H132" i="15"/>
  <c r="H131" i="15"/>
  <c r="I131" i="15" s="1"/>
  <c r="I130" i="15"/>
  <c r="H130" i="15"/>
  <c r="I129" i="15"/>
  <c r="H129" i="15"/>
  <c r="H128" i="15"/>
  <c r="I128" i="15" s="1"/>
  <c r="H127" i="15"/>
  <c r="I127" i="15" s="1"/>
  <c r="H126" i="15"/>
  <c r="I126" i="15" s="1"/>
  <c r="H125" i="15"/>
  <c r="I125" i="15" s="1"/>
  <c r="H124" i="15"/>
  <c r="I124" i="15" s="1"/>
  <c r="L119" i="15" s="1"/>
  <c r="I123" i="15"/>
  <c r="H123" i="15"/>
  <c r="H122" i="15"/>
  <c r="I122" i="15" s="1"/>
  <c r="I121" i="15"/>
  <c r="H121" i="15"/>
  <c r="H120" i="15"/>
  <c r="I120" i="15" s="1"/>
  <c r="H119" i="15"/>
  <c r="I119" i="15" s="1"/>
  <c r="I114" i="15"/>
  <c r="H114" i="15"/>
  <c r="H113" i="15"/>
  <c r="I113" i="15" s="1"/>
  <c r="H112" i="15"/>
  <c r="I112" i="15" s="1"/>
  <c r="I111" i="15"/>
  <c r="H111" i="15"/>
  <c r="H110" i="15"/>
  <c r="I110" i="15" s="1"/>
  <c r="I109" i="15"/>
  <c r="H109" i="15"/>
  <c r="I108" i="15"/>
  <c r="H108" i="15"/>
  <c r="H107" i="15"/>
  <c r="I107" i="15" s="1"/>
  <c r="H106" i="15"/>
  <c r="I106" i="15" s="1"/>
  <c r="H105" i="15"/>
  <c r="I105" i="15" s="1"/>
  <c r="I104" i="15"/>
  <c r="H104" i="15"/>
  <c r="H103" i="15"/>
  <c r="I103" i="15" s="1"/>
  <c r="I102" i="15"/>
  <c r="H102" i="15"/>
  <c r="H101" i="15"/>
  <c r="I101" i="15" s="1"/>
  <c r="I100" i="15"/>
  <c r="H100" i="15"/>
  <c r="I99" i="15"/>
  <c r="H99" i="15"/>
  <c r="I98" i="15"/>
  <c r="H98" i="15"/>
  <c r="H97" i="15"/>
  <c r="I97" i="15" s="1"/>
  <c r="I96" i="15"/>
  <c r="H96" i="15"/>
  <c r="H95" i="15"/>
  <c r="I95" i="15" s="1"/>
  <c r="H94" i="15"/>
  <c r="I94" i="15" s="1"/>
  <c r="H93" i="15"/>
  <c r="I93" i="15" s="1"/>
  <c r="H92" i="15"/>
  <c r="I92" i="15" s="1"/>
  <c r="H91" i="15"/>
  <c r="I91" i="15" s="1"/>
  <c r="I90" i="15"/>
  <c r="H90" i="15"/>
  <c r="H89" i="15"/>
  <c r="I89" i="15" s="1"/>
  <c r="I88" i="15"/>
  <c r="H88" i="15"/>
  <c r="I87" i="15"/>
  <c r="H87" i="15"/>
  <c r="H86" i="15"/>
  <c r="I86" i="15" s="1"/>
  <c r="I85" i="15"/>
  <c r="H85" i="15"/>
  <c r="I84" i="15"/>
  <c r="H84" i="15"/>
  <c r="H83" i="15"/>
  <c r="I83" i="15" s="1"/>
  <c r="H82" i="15"/>
  <c r="I82" i="15" s="1"/>
  <c r="H81" i="15"/>
  <c r="I81" i="15" s="1"/>
  <c r="H80" i="15"/>
  <c r="I80" i="15" s="1"/>
  <c r="H79" i="15"/>
  <c r="I79" i="15" s="1"/>
  <c r="I78" i="15"/>
  <c r="H78" i="15"/>
  <c r="H77" i="15"/>
  <c r="I77" i="15" s="1"/>
  <c r="I76" i="15"/>
  <c r="H76" i="15"/>
  <c r="I75" i="15"/>
  <c r="H75" i="15"/>
  <c r="I74" i="15"/>
  <c r="H74" i="15"/>
  <c r="H73" i="15"/>
  <c r="I73" i="15" s="1"/>
  <c r="I72" i="15"/>
  <c r="H72" i="15"/>
  <c r="H71" i="15"/>
  <c r="I71" i="15" s="1"/>
  <c r="I70" i="15"/>
  <c r="H70" i="15"/>
  <c r="H69" i="15"/>
  <c r="I69" i="15" s="1"/>
  <c r="H68" i="15"/>
  <c r="I68" i="15" s="1"/>
  <c r="H67" i="15"/>
  <c r="I67" i="15" s="1"/>
  <c r="I66" i="15"/>
  <c r="H66" i="15"/>
  <c r="H65" i="15"/>
  <c r="I65" i="15" s="1"/>
  <c r="H64" i="15"/>
  <c r="I64" i="15" s="1"/>
  <c r="I63" i="15"/>
  <c r="H63" i="15"/>
  <c r="H62" i="15"/>
  <c r="I62" i="15" s="1"/>
  <c r="L53" i="15" s="1"/>
  <c r="I61" i="15"/>
  <c r="H61" i="15"/>
  <c r="I60" i="15"/>
  <c r="H60" i="15"/>
  <c r="H59" i="15"/>
  <c r="I59" i="15" s="1"/>
  <c r="H58" i="15"/>
  <c r="I58" i="15" s="1"/>
  <c r="H57" i="15"/>
  <c r="I57" i="15" s="1"/>
  <c r="I56" i="15"/>
  <c r="H56" i="15"/>
  <c r="H55" i="15"/>
  <c r="I55" i="15" s="1"/>
  <c r="H54" i="15"/>
  <c r="I54" i="15" s="1"/>
  <c r="H53" i="15"/>
  <c r="I53" i="15" s="1"/>
  <c r="I52" i="15"/>
  <c r="H52" i="15"/>
  <c r="H47" i="15"/>
  <c r="I47" i="15" s="1"/>
  <c r="H46" i="15"/>
  <c r="I46" i="15" s="1"/>
  <c r="H45" i="15"/>
  <c r="I45" i="15" s="1"/>
  <c r="I44" i="15"/>
  <c r="H44" i="15"/>
  <c r="H43" i="15"/>
  <c r="I43" i="15" s="1"/>
  <c r="I42" i="15"/>
  <c r="H42" i="15"/>
  <c r="H41" i="15"/>
  <c r="I41" i="15" s="1"/>
  <c r="H40" i="15"/>
  <c r="I40" i="15" s="1"/>
  <c r="L11" i="15" s="1"/>
  <c r="H39" i="15"/>
  <c r="I39" i="15" s="1"/>
  <c r="H38" i="15"/>
  <c r="I38" i="15" s="1"/>
  <c r="I37" i="15"/>
  <c r="H37" i="15"/>
  <c r="I36" i="15"/>
  <c r="H36" i="15"/>
  <c r="H35" i="15"/>
  <c r="I35" i="15" s="1"/>
  <c r="H34" i="15"/>
  <c r="I34" i="15" s="1"/>
  <c r="H33" i="15"/>
  <c r="I33" i="15" s="1"/>
  <c r="I32" i="15"/>
  <c r="H32" i="15"/>
  <c r="H31" i="15"/>
  <c r="I31" i="15" s="1"/>
  <c r="I30" i="15"/>
  <c r="H30" i="15"/>
  <c r="H29" i="15"/>
  <c r="I29" i="15" s="1"/>
  <c r="I28" i="15"/>
  <c r="H28" i="15"/>
  <c r="H27" i="15"/>
  <c r="I27" i="15" s="1"/>
  <c r="H26" i="15"/>
  <c r="I26" i="15" s="1"/>
  <c r="I25" i="15"/>
  <c r="H25" i="15"/>
  <c r="I24" i="15"/>
  <c r="H24" i="15"/>
  <c r="H23" i="15"/>
  <c r="I23" i="15" s="1"/>
  <c r="I22" i="15"/>
  <c r="H22" i="15"/>
  <c r="H21" i="15"/>
  <c r="I21" i="15" s="1"/>
  <c r="H20" i="15"/>
  <c r="I20" i="15" s="1"/>
  <c r="H19" i="15"/>
  <c r="I19" i="15" s="1"/>
  <c r="I18" i="15"/>
  <c r="L8" i="15" s="1"/>
  <c r="H18" i="15"/>
  <c r="H17" i="15"/>
  <c r="I17" i="15" s="1"/>
  <c r="H16" i="15"/>
  <c r="I16" i="15" s="1"/>
  <c r="I15" i="15"/>
  <c r="H15" i="15"/>
  <c r="H14" i="15"/>
  <c r="I14" i="15" s="1"/>
  <c r="I13" i="15"/>
  <c r="H13" i="15"/>
  <c r="H12" i="15"/>
  <c r="I12" i="15" s="1"/>
  <c r="L7" i="15" s="1"/>
  <c r="I11" i="15"/>
  <c r="H11" i="15"/>
  <c r="I10" i="15"/>
  <c r="H10" i="15"/>
  <c r="H9" i="15"/>
  <c r="I9" i="15" s="1"/>
  <c r="H8" i="15"/>
  <c r="I8" i="15" s="1"/>
  <c r="H7" i="15"/>
  <c r="I7" i="15" s="1"/>
  <c r="H6" i="15"/>
  <c r="I6" i="15" s="1"/>
  <c r="L6" i="15" s="1"/>
  <c r="I68" i="14"/>
  <c r="H68" i="14"/>
  <c r="I67" i="14"/>
  <c r="H67" i="14"/>
  <c r="H66" i="14"/>
  <c r="I66" i="14" s="1"/>
  <c r="H65" i="14"/>
  <c r="I65" i="14" s="1"/>
  <c r="I64" i="14"/>
  <c r="H64" i="14"/>
  <c r="I63" i="14"/>
  <c r="H63" i="14"/>
  <c r="I62" i="14"/>
  <c r="H62" i="14"/>
  <c r="I61" i="14"/>
  <c r="H61" i="14"/>
  <c r="H60" i="14"/>
  <c r="I60" i="14" s="1"/>
  <c r="I59" i="14"/>
  <c r="H59" i="14"/>
  <c r="H58" i="14"/>
  <c r="I58" i="14" s="1"/>
  <c r="I57" i="14"/>
  <c r="H57" i="14"/>
  <c r="H56" i="14"/>
  <c r="I56" i="14" s="1"/>
  <c r="I55" i="14"/>
  <c r="H55" i="14"/>
  <c r="H54" i="14"/>
  <c r="I54" i="14" s="1"/>
  <c r="I53" i="14"/>
  <c r="H53" i="14"/>
  <c r="I52" i="14"/>
  <c r="H52" i="14"/>
  <c r="H51" i="14"/>
  <c r="I51" i="14" s="1"/>
  <c r="I50" i="14"/>
  <c r="H50" i="14"/>
  <c r="I49" i="14"/>
  <c r="H49" i="14"/>
  <c r="H48" i="14"/>
  <c r="I48" i="14" s="1"/>
  <c r="I47" i="14"/>
  <c r="H47" i="14"/>
  <c r="H46" i="14"/>
  <c r="I46" i="14" s="1"/>
  <c r="I45" i="14"/>
  <c r="H45" i="14"/>
  <c r="I44" i="14"/>
  <c r="H44" i="14"/>
  <c r="I43" i="14"/>
  <c r="H43" i="14"/>
  <c r="H42" i="14"/>
  <c r="I42" i="14" s="1"/>
  <c r="H41" i="14"/>
  <c r="I41" i="14" s="1"/>
  <c r="I40" i="14"/>
  <c r="H40" i="14"/>
  <c r="H39" i="14"/>
  <c r="I39" i="14" s="1"/>
  <c r="H38" i="14"/>
  <c r="I38" i="14" s="1"/>
  <c r="I37" i="14"/>
  <c r="H37" i="14"/>
  <c r="H36" i="14"/>
  <c r="I36" i="14" s="1"/>
  <c r="I35" i="14"/>
  <c r="H35" i="14"/>
  <c r="H34" i="14"/>
  <c r="I34" i="14" s="1"/>
  <c r="L9" i="14" s="1"/>
  <c r="I33" i="14"/>
  <c r="H33" i="14"/>
  <c r="H32" i="14"/>
  <c r="I32" i="14" s="1"/>
  <c r="I31" i="14"/>
  <c r="H31" i="14"/>
  <c r="H30" i="14"/>
  <c r="I30" i="14" s="1"/>
  <c r="I29" i="14"/>
  <c r="H29" i="14"/>
  <c r="H28" i="14"/>
  <c r="I28" i="14" s="1"/>
  <c r="H27" i="14"/>
  <c r="I27" i="14" s="1"/>
  <c r="I26" i="14"/>
  <c r="H26" i="14"/>
  <c r="I25" i="14"/>
  <c r="H25" i="14"/>
  <c r="H24" i="14"/>
  <c r="I24" i="14" s="1"/>
  <c r="I23" i="14"/>
  <c r="H23" i="14"/>
  <c r="I22" i="14"/>
  <c r="H22" i="14"/>
  <c r="I21" i="14"/>
  <c r="H21" i="14"/>
  <c r="I20" i="14"/>
  <c r="H20" i="14"/>
  <c r="I19" i="14"/>
  <c r="H19" i="14"/>
  <c r="H18" i="14"/>
  <c r="I18" i="14" s="1"/>
  <c r="I17" i="14"/>
  <c r="H17" i="14"/>
  <c r="I16" i="14"/>
  <c r="H16" i="14"/>
  <c r="H15" i="14"/>
  <c r="I15" i="14" s="1"/>
  <c r="L7" i="14" s="1"/>
  <c r="I14" i="14"/>
  <c r="H14" i="14"/>
  <c r="H13" i="14"/>
  <c r="I13" i="14" s="1"/>
  <c r="I12" i="14"/>
  <c r="H12" i="14"/>
  <c r="I11" i="14"/>
  <c r="H11" i="14"/>
  <c r="I10" i="14"/>
  <c r="H10" i="14"/>
  <c r="H9" i="14"/>
  <c r="I9" i="14" s="1"/>
  <c r="I8" i="14"/>
  <c r="H8" i="14"/>
  <c r="I7" i="14"/>
  <c r="H7" i="14"/>
  <c r="H6" i="14"/>
  <c r="I6" i="14" s="1"/>
  <c r="I68" i="13"/>
  <c r="H68" i="13"/>
  <c r="H67" i="13"/>
  <c r="I67" i="13" s="1"/>
  <c r="I66" i="13"/>
  <c r="H66" i="13"/>
  <c r="I65" i="13"/>
  <c r="H65" i="13"/>
  <c r="I64" i="13"/>
  <c r="H64" i="13"/>
  <c r="H63" i="13"/>
  <c r="I63" i="13" s="1"/>
  <c r="I62" i="13"/>
  <c r="H62" i="13"/>
  <c r="H61" i="13"/>
  <c r="I61" i="13" s="1"/>
  <c r="H60" i="13"/>
  <c r="I60" i="13" s="1"/>
  <c r="L12" i="13" s="1"/>
  <c r="I59" i="13"/>
  <c r="H59" i="13"/>
  <c r="I58" i="13"/>
  <c r="H58" i="13"/>
  <c r="H57" i="13"/>
  <c r="I57" i="13" s="1"/>
  <c r="I56" i="13"/>
  <c r="H56" i="13"/>
  <c r="H55" i="13"/>
  <c r="I55" i="13" s="1"/>
  <c r="I54" i="13"/>
  <c r="H54" i="13"/>
  <c r="H53" i="13"/>
  <c r="I53" i="13" s="1"/>
  <c r="I52" i="13"/>
  <c r="H52" i="13"/>
  <c r="H51" i="13"/>
  <c r="I51" i="13" s="1"/>
  <c r="L11" i="13" s="1"/>
  <c r="I50" i="13"/>
  <c r="H50" i="13"/>
  <c r="H49" i="13"/>
  <c r="I49" i="13" s="1"/>
  <c r="H48" i="13"/>
  <c r="I48" i="13" s="1"/>
  <c r="L10" i="13" s="1"/>
  <c r="H47" i="13"/>
  <c r="I47" i="13" s="1"/>
  <c r="I46" i="13"/>
  <c r="H46" i="13"/>
  <c r="I45" i="13"/>
  <c r="H45" i="13"/>
  <c r="I44" i="13"/>
  <c r="H44" i="13"/>
  <c r="H43" i="13"/>
  <c r="I43" i="13" s="1"/>
  <c r="I42" i="13"/>
  <c r="H42" i="13"/>
  <c r="I41" i="13"/>
  <c r="H41" i="13"/>
  <c r="H40" i="13"/>
  <c r="I40" i="13" s="1"/>
  <c r="I39" i="13"/>
  <c r="H39" i="13"/>
  <c r="I38" i="13"/>
  <c r="H38" i="13"/>
  <c r="H37" i="13"/>
  <c r="I37" i="13" s="1"/>
  <c r="H36" i="13"/>
  <c r="I36" i="13" s="1"/>
  <c r="I35" i="13"/>
  <c r="H35" i="13"/>
  <c r="I34" i="13"/>
  <c r="H34" i="13"/>
  <c r="H33" i="13"/>
  <c r="I33" i="13" s="1"/>
  <c r="I32" i="13"/>
  <c r="H32" i="13"/>
  <c r="H31" i="13"/>
  <c r="I31" i="13" s="1"/>
  <c r="H30" i="13"/>
  <c r="I30" i="13" s="1"/>
  <c r="H29" i="13"/>
  <c r="I29" i="13" s="1"/>
  <c r="I28" i="13"/>
  <c r="H28" i="13"/>
  <c r="H27" i="13"/>
  <c r="I27" i="13" s="1"/>
  <c r="I26" i="13"/>
  <c r="H26" i="13"/>
  <c r="H25" i="13"/>
  <c r="I25" i="13" s="1"/>
  <c r="H24" i="13"/>
  <c r="I24" i="13" s="1"/>
  <c r="H23" i="13"/>
  <c r="I23" i="13" s="1"/>
  <c r="I22" i="13"/>
  <c r="H22" i="13"/>
  <c r="I21" i="13"/>
  <c r="H21" i="13"/>
  <c r="I20" i="13"/>
  <c r="H20" i="13"/>
  <c r="H19" i="13"/>
  <c r="I19" i="13" s="1"/>
  <c r="I18" i="13"/>
  <c r="H18" i="13"/>
  <c r="I17" i="13"/>
  <c r="H17" i="13"/>
  <c r="H16" i="13"/>
  <c r="I16" i="13" s="1"/>
  <c r="H15" i="13"/>
  <c r="I15" i="13" s="1"/>
  <c r="I14" i="13"/>
  <c r="H14" i="13"/>
  <c r="I13" i="13"/>
  <c r="H13" i="13"/>
  <c r="H12" i="13"/>
  <c r="I12" i="13" s="1"/>
  <c r="H11" i="13"/>
  <c r="I11" i="13" s="1"/>
  <c r="I10" i="13"/>
  <c r="H10" i="13"/>
  <c r="H9" i="13"/>
  <c r="I9" i="13" s="1"/>
  <c r="I8" i="13"/>
  <c r="H8" i="13"/>
  <c r="H7" i="13"/>
  <c r="I7" i="13" s="1"/>
  <c r="I6" i="13"/>
  <c r="L6" i="13" s="1"/>
  <c r="H6" i="13"/>
  <c r="H68" i="12"/>
  <c r="I68" i="12" s="1"/>
  <c r="H67" i="12"/>
  <c r="I67" i="12" s="1"/>
  <c r="H66" i="12"/>
  <c r="I66" i="12" s="1"/>
  <c r="H65" i="12"/>
  <c r="I65" i="12" s="1"/>
  <c r="H64" i="12"/>
  <c r="I64" i="12" s="1"/>
  <c r="I63" i="12"/>
  <c r="H63" i="12"/>
  <c r="H62" i="12"/>
  <c r="I62" i="12" s="1"/>
  <c r="H61" i="12"/>
  <c r="I61" i="12" s="1"/>
  <c r="I60" i="12"/>
  <c r="H60" i="12"/>
  <c r="I59" i="12"/>
  <c r="H59" i="12"/>
  <c r="I58" i="12"/>
  <c r="H58" i="12"/>
  <c r="I57" i="12"/>
  <c r="H57" i="12"/>
  <c r="H56" i="12"/>
  <c r="I56" i="12" s="1"/>
  <c r="H55" i="12"/>
  <c r="I55" i="12" s="1"/>
  <c r="H54" i="12"/>
  <c r="I54" i="12" s="1"/>
  <c r="H53" i="12"/>
  <c r="I53" i="12" s="1"/>
  <c r="H52" i="12"/>
  <c r="I52" i="12" s="1"/>
  <c r="I51" i="12"/>
  <c r="H51" i="12"/>
  <c r="H50" i="12"/>
  <c r="I50" i="12" s="1"/>
  <c r="I49" i="12"/>
  <c r="H49" i="12"/>
  <c r="H48" i="12"/>
  <c r="I48" i="12" s="1"/>
  <c r="I47" i="12"/>
  <c r="H47" i="12"/>
  <c r="H46" i="12"/>
  <c r="I46" i="12" s="1"/>
  <c r="I45" i="12"/>
  <c r="H45" i="12"/>
  <c r="H44" i="12"/>
  <c r="I44" i="12" s="1"/>
  <c r="I43" i="12"/>
  <c r="H43" i="12"/>
  <c r="I42" i="12"/>
  <c r="H42" i="12"/>
  <c r="H41" i="12"/>
  <c r="I41" i="12" s="1"/>
  <c r="H40" i="12"/>
  <c r="I40" i="12" s="1"/>
  <c r="I39" i="12"/>
  <c r="H39" i="12"/>
  <c r="H38" i="12"/>
  <c r="I38" i="12" s="1"/>
  <c r="I37" i="12"/>
  <c r="H37" i="12"/>
  <c r="I36" i="12"/>
  <c r="H36" i="12"/>
  <c r="I35" i="12"/>
  <c r="H35" i="12"/>
  <c r="I34" i="12"/>
  <c r="H34" i="12"/>
  <c r="I33" i="12"/>
  <c r="H33" i="12"/>
  <c r="H32" i="12"/>
  <c r="I32" i="12" s="1"/>
  <c r="H31" i="12"/>
  <c r="I31" i="12" s="1"/>
  <c r="I30" i="12"/>
  <c r="H30" i="12"/>
  <c r="I29" i="12"/>
  <c r="H29" i="12"/>
  <c r="I28" i="12"/>
  <c r="H28" i="12"/>
  <c r="I27" i="12"/>
  <c r="H27" i="12"/>
  <c r="H26" i="12"/>
  <c r="I26" i="12" s="1"/>
  <c r="H25" i="12"/>
  <c r="I25" i="12" s="1"/>
  <c r="I24" i="12"/>
  <c r="L8" i="12" s="1"/>
  <c r="H24" i="12"/>
  <c r="I23" i="12"/>
  <c r="H23" i="12"/>
  <c r="I22" i="12"/>
  <c r="H22" i="12"/>
  <c r="I21" i="12"/>
  <c r="H21" i="12"/>
  <c r="H20" i="12"/>
  <c r="I20" i="12" s="1"/>
  <c r="H19" i="12"/>
  <c r="I19" i="12" s="1"/>
  <c r="H18" i="12"/>
  <c r="I18" i="12" s="1"/>
  <c r="H17" i="12"/>
  <c r="I17" i="12" s="1"/>
  <c r="I16" i="12"/>
  <c r="H16" i="12"/>
  <c r="H15" i="12"/>
  <c r="I15" i="12" s="1"/>
  <c r="H14" i="12"/>
  <c r="I14" i="12" s="1"/>
  <c r="I13" i="12"/>
  <c r="H13" i="12"/>
  <c r="I12" i="12"/>
  <c r="H12" i="12"/>
  <c r="I11" i="12"/>
  <c r="H11" i="12"/>
  <c r="H10" i="12"/>
  <c r="I10" i="12" s="1"/>
  <c r="I9" i="12"/>
  <c r="H9" i="12"/>
  <c r="I8" i="12"/>
  <c r="H8" i="12"/>
  <c r="I7" i="12"/>
  <c r="H7" i="12"/>
  <c r="H6" i="12"/>
  <c r="I6" i="12" s="1"/>
  <c r="H68" i="11"/>
  <c r="I68" i="11" s="1"/>
  <c r="H67" i="11"/>
  <c r="I67" i="11" s="1"/>
  <c r="H66" i="11"/>
  <c r="I66" i="11" s="1"/>
  <c r="H65" i="11"/>
  <c r="I65" i="11" s="1"/>
  <c r="I64" i="11"/>
  <c r="H64" i="11"/>
  <c r="H63" i="11"/>
  <c r="I63" i="11" s="1"/>
  <c r="H62" i="11"/>
  <c r="I62" i="11" s="1"/>
  <c r="H61" i="11"/>
  <c r="I61" i="11" s="1"/>
  <c r="H60" i="11"/>
  <c r="I60" i="11" s="1"/>
  <c r="H59" i="11"/>
  <c r="I59" i="11" s="1"/>
  <c r="I58" i="11"/>
  <c r="H58" i="11"/>
  <c r="H57" i="11"/>
  <c r="I57" i="11" s="1"/>
  <c r="H56" i="11"/>
  <c r="I56" i="11" s="1"/>
  <c r="I55" i="11"/>
  <c r="H55" i="11"/>
  <c r="H54" i="11"/>
  <c r="I54" i="11" s="1"/>
  <c r="H53" i="11"/>
  <c r="I53" i="11" s="1"/>
  <c r="H52" i="11"/>
  <c r="I52" i="11" s="1"/>
  <c r="H51" i="11"/>
  <c r="I51" i="11" s="1"/>
  <c r="H50" i="11"/>
  <c r="I50" i="11" s="1"/>
  <c r="I49" i="11"/>
  <c r="H49" i="11"/>
  <c r="H48" i="11"/>
  <c r="I48" i="11" s="1"/>
  <c r="I47" i="11"/>
  <c r="H47" i="11"/>
  <c r="H46" i="11"/>
  <c r="I46" i="11" s="1"/>
  <c r="H45" i="11"/>
  <c r="I45" i="11" s="1"/>
  <c r="H44" i="11"/>
  <c r="I44" i="11" s="1"/>
  <c r="H43" i="11"/>
  <c r="I43" i="11" s="1"/>
  <c r="H42" i="11"/>
  <c r="I42" i="11" s="1"/>
  <c r="I41" i="11"/>
  <c r="H41" i="11"/>
  <c r="H40" i="11"/>
  <c r="I40" i="11" s="1"/>
  <c r="H39" i="11"/>
  <c r="I39" i="11" s="1"/>
  <c r="H38" i="11"/>
  <c r="I38" i="11" s="1"/>
  <c r="H37" i="11"/>
  <c r="I37" i="11" s="1"/>
  <c r="I36" i="11"/>
  <c r="H36" i="11"/>
  <c r="I35" i="11"/>
  <c r="L9" i="11" s="1"/>
  <c r="H35" i="11"/>
  <c r="H34" i="11"/>
  <c r="I34" i="11" s="1"/>
  <c r="H33" i="11"/>
  <c r="I33" i="11" s="1"/>
  <c r="H32" i="11"/>
  <c r="I32" i="11" s="1"/>
  <c r="H31" i="11"/>
  <c r="I31" i="11" s="1"/>
  <c r="I30" i="11"/>
  <c r="H30" i="11"/>
  <c r="H29" i="11"/>
  <c r="I29" i="11" s="1"/>
  <c r="H28" i="11"/>
  <c r="I28" i="11" s="1"/>
  <c r="H27" i="11"/>
  <c r="I27" i="11" s="1"/>
  <c r="H26" i="11"/>
  <c r="I26" i="11" s="1"/>
  <c r="I25" i="11"/>
  <c r="L8" i="11" s="1"/>
  <c r="H25" i="11"/>
  <c r="H24" i="11"/>
  <c r="I24" i="11" s="1"/>
  <c r="H23" i="11"/>
  <c r="I23" i="11" s="1"/>
  <c r="H22" i="11"/>
  <c r="I22" i="11" s="1"/>
  <c r="H21" i="11"/>
  <c r="I21" i="11" s="1"/>
  <c r="H20" i="11"/>
  <c r="I20" i="11" s="1"/>
  <c r="I19" i="11"/>
  <c r="H19" i="11"/>
  <c r="H18" i="11"/>
  <c r="I18" i="11" s="1"/>
  <c r="I17" i="11"/>
  <c r="H17" i="11"/>
  <c r="H16" i="11"/>
  <c r="I16" i="11" s="1"/>
  <c r="H15" i="11"/>
  <c r="I15" i="11" s="1"/>
  <c r="H14" i="11"/>
  <c r="I14" i="11" s="1"/>
  <c r="I13" i="11"/>
  <c r="H13" i="11"/>
  <c r="I12" i="11"/>
  <c r="H12" i="11"/>
  <c r="I11" i="11"/>
  <c r="H11" i="11"/>
  <c r="H10" i="11"/>
  <c r="I10" i="11" s="1"/>
  <c r="I9" i="11"/>
  <c r="H9" i="11"/>
  <c r="I8" i="11"/>
  <c r="H8" i="11"/>
  <c r="I7" i="11"/>
  <c r="H7" i="11"/>
  <c r="H6" i="11"/>
  <c r="I6" i="11" s="1"/>
  <c r="I136" i="10"/>
  <c r="H136" i="10"/>
  <c r="H135" i="10"/>
  <c r="I135" i="10" s="1"/>
  <c r="H134" i="10"/>
  <c r="I134" i="10" s="1"/>
  <c r="H133" i="10"/>
  <c r="I133" i="10" s="1"/>
  <c r="H132" i="10"/>
  <c r="I132" i="10" s="1"/>
  <c r="H131" i="10"/>
  <c r="I131" i="10" s="1"/>
  <c r="H130" i="10"/>
  <c r="I130" i="10" s="1"/>
  <c r="H129" i="10"/>
  <c r="I129" i="10" s="1"/>
  <c r="I128" i="10"/>
  <c r="H128" i="10"/>
  <c r="H127" i="10"/>
  <c r="I127" i="10" s="1"/>
  <c r="H126" i="10"/>
  <c r="I126" i="10" s="1"/>
  <c r="H125" i="10"/>
  <c r="I125" i="10" s="1"/>
  <c r="I124" i="10"/>
  <c r="H124" i="10"/>
  <c r="H123" i="10"/>
  <c r="I123" i="10" s="1"/>
  <c r="I122" i="10"/>
  <c r="H122" i="10"/>
  <c r="H121" i="10"/>
  <c r="I121" i="10" s="1"/>
  <c r="H120" i="10"/>
  <c r="I120" i="10" s="1"/>
  <c r="H119" i="10"/>
  <c r="I119" i="10" s="1"/>
  <c r="I118" i="10"/>
  <c r="H118" i="10"/>
  <c r="H117" i="10"/>
  <c r="I117" i="10" s="1"/>
  <c r="H116" i="10"/>
  <c r="I116" i="10" s="1"/>
  <c r="H115" i="10"/>
  <c r="I115" i="10" s="1"/>
  <c r="H114" i="10"/>
  <c r="I114" i="10" s="1"/>
  <c r="H113" i="10"/>
  <c r="I113" i="10" s="1"/>
  <c r="I112" i="10"/>
  <c r="H112" i="10"/>
  <c r="H111" i="10"/>
  <c r="I111" i="10" s="1"/>
  <c r="H110" i="10"/>
  <c r="I110" i="10" s="1"/>
  <c r="H109" i="10"/>
  <c r="I109" i="10" s="1"/>
  <c r="H108" i="10"/>
  <c r="I108" i="10" s="1"/>
  <c r="H107" i="10"/>
  <c r="I107" i="10" s="1"/>
  <c r="I106" i="10"/>
  <c r="H106" i="10"/>
  <c r="H105" i="10"/>
  <c r="I105" i="10" s="1"/>
  <c r="I104" i="10"/>
  <c r="H104" i="10"/>
  <c r="H103" i="10"/>
  <c r="I103" i="10" s="1"/>
  <c r="H102" i="10"/>
  <c r="I102" i="10" s="1"/>
  <c r="H101" i="10"/>
  <c r="I101" i="10" s="1"/>
  <c r="H100" i="10"/>
  <c r="I100" i="10" s="1"/>
  <c r="I99" i="10"/>
  <c r="H99" i="10"/>
  <c r="I98" i="10"/>
  <c r="H98" i="10"/>
  <c r="H97" i="10"/>
  <c r="I97" i="10" s="1"/>
  <c r="H96" i="10"/>
  <c r="I96" i="10" s="1"/>
  <c r="H95" i="10"/>
  <c r="I95" i="10" s="1"/>
  <c r="H94" i="10"/>
  <c r="I94" i="10" s="1"/>
  <c r="H93" i="10"/>
  <c r="I93" i="10" s="1"/>
  <c r="H92" i="10"/>
  <c r="I92" i="10" s="1"/>
  <c r="H91" i="10"/>
  <c r="I91" i="10" s="1"/>
  <c r="H90" i="10"/>
  <c r="I90" i="10" s="1"/>
  <c r="H89" i="10"/>
  <c r="I89" i="10" s="1"/>
  <c r="I88" i="10"/>
  <c r="H88" i="10"/>
  <c r="I87" i="10"/>
  <c r="H87" i="10"/>
  <c r="I86" i="10"/>
  <c r="H86" i="10"/>
  <c r="H85" i="10"/>
  <c r="I85" i="10" s="1"/>
  <c r="I84" i="10"/>
  <c r="H84" i="10"/>
  <c r="I83" i="10"/>
  <c r="H83" i="10"/>
  <c r="I82" i="10"/>
  <c r="H82" i="10"/>
  <c r="H81" i="10"/>
  <c r="I81" i="10" s="1"/>
  <c r="I75" i="10"/>
  <c r="H75" i="10"/>
  <c r="I74" i="10"/>
  <c r="H74" i="10"/>
  <c r="I73" i="10"/>
  <c r="H73" i="10"/>
  <c r="H72" i="10"/>
  <c r="I72" i="10" s="1"/>
  <c r="H71" i="10"/>
  <c r="I71" i="10" s="1"/>
  <c r="H70" i="10"/>
  <c r="I70" i="10" s="1"/>
  <c r="H69" i="10"/>
  <c r="I69" i="10" s="1"/>
  <c r="H68" i="10"/>
  <c r="I68" i="10" s="1"/>
  <c r="I67" i="10"/>
  <c r="H67" i="10"/>
  <c r="H66" i="10"/>
  <c r="I66" i="10" s="1"/>
  <c r="H65" i="10"/>
  <c r="I65" i="10" s="1"/>
  <c r="H64" i="10"/>
  <c r="I64" i="10" s="1"/>
  <c r="I63" i="10"/>
  <c r="H63" i="10"/>
  <c r="H62" i="10"/>
  <c r="I62" i="10" s="1"/>
  <c r="H61" i="10"/>
  <c r="I61" i="10" s="1"/>
  <c r="H60" i="10"/>
  <c r="I60" i="10" s="1"/>
  <c r="H59" i="10"/>
  <c r="I59" i="10" s="1"/>
  <c r="H58" i="10"/>
  <c r="I58" i="10" s="1"/>
  <c r="I57" i="10"/>
  <c r="H57" i="10"/>
  <c r="H56" i="10"/>
  <c r="I56" i="10" s="1"/>
  <c r="I55" i="10"/>
  <c r="H55" i="10"/>
  <c r="H54" i="10"/>
  <c r="I54" i="10" s="1"/>
  <c r="H53" i="10"/>
  <c r="I53" i="10" s="1"/>
  <c r="H52" i="10"/>
  <c r="I52" i="10" s="1"/>
  <c r="H51" i="10"/>
  <c r="I51" i="10" s="1"/>
  <c r="H50" i="10"/>
  <c r="I50" i="10" s="1"/>
  <c r="I49" i="10"/>
  <c r="H49" i="10"/>
  <c r="H48" i="10"/>
  <c r="I48" i="10" s="1"/>
  <c r="H47" i="10"/>
  <c r="I47" i="10" s="1"/>
  <c r="H46" i="10"/>
  <c r="I46" i="10" s="1"/>
  <c r="H45" i="10"/>
  <c r="I45" i="10" s="1"/>
  <c r="H44" i="10"/>
  <c r="I44" i="10" s="1"/>
  <c r="H43" i="10"/>
  <c r="I43" i="10" s="1"/>
  <c r="H42" i="10"/>
  <c r="I42" i="10" s="1"/>
  <c r="H41" i="10"/>
  <c r="I41" i="10" s="1"/>
  <c r="H40" i="10"/>
  <c r="I40" i="10" s="1"/>
  <c r="I39" i="10"/>
  <c r="H39" i="10"/>
  <c r="H38" i="10"/>
  <c r="I38" i="10" s="1"/>
  <c r="H37" i="10"/>
  <c r="I37" i="10" s="1"/>
  <c r="H36" i="10"/>
  <c r="I36" i="10" s="1"/>
  <c r="H35" i="10"/>
  <c r="I35" i="10" s="1"/>
  <c r="H34" i="10"/>
  <c r="I34" i="10" s="1"/>
  <c r="H33" i="10"/>
  <c r="I33" i="10" s="1"/>
  <c r="H32" i="10"/>
  <c r="I32" i="10" s="1"/>
  <c r="I31" i="10"/>
  <c r="H31" i="10"/>
  <c r="H30" i="10"/>
  <c r="I30" i="10" s="1"/>
  <c r="H29" i="10"/>
  <c r="I29" i="10" s="1"/>
  <c r="H28" i="10"/>
  <c r="I28" i="10" s="1"/>
  <c r="I27" i="10"/>
  <c r="H27" i="10"/>
  <c r="H26" i="10"/>
  <c r="I26" i="10" s="1"/>
  <c r="L8" i="10" s="1"/>
  <c r="I25" i="10"/>
  <c r="H25" i="10"/>
  <c r="H24" i="10"/>
  <c r="I24" i="10" s="1"/>
  <c r="H23" i="10"/>
  <c r="I23" i="10" s="1"/>
  <c r="H22" i="10"/>
  <c r="I22" i="10" s="1"/>
  <c r="I21" i="10"/>
  <c r="H21" i="10"/>
  <c r="H20" i="10"/>
  <c r="I20" i="10" s="1"/>
  <c r="H19" i="10"/>
  <c r="I19" i="10" s="1"/>
  <c r="H18" i="10"/>
  <c r="I18" i="10" s="1"/>
  <c r="H17" i="10"/>
  <c r="I17" i="10" s="1"/>
  <c r="H16" i="10"/>
  <c r="I16" i="10" s="1"/>
  <c r="I15" i="10"/>
  <c r="H15" i="10"/>
  <c r="H14" i="10"/>
  <c r="I14" i="10" s="1"/>
  <c r="I13" i="10"/>
  <c r="H13" i="10"/>
  <c r="H12" i="10"/>
  <c r="I12" i="10" s="1"/>
  <c r="H11" i="10"/>
  <c r="I11" i="10" s="1"/>
  <c r="H10" i="10"/>
  <c r="I10" i="10" s="1"/>
  <c r="I9" i="10"/>
  <c r="H9" i="10"/>
  <c r="H8" i="10"/>
  <c r="I8" i="10" s="1"/>
  <c r="H7" i="10"/>
  <c r="I7" i="10" s="1"/>
  <c r="H6" i="10"/>
  <c r="I6" i="10" s="1"/>
  <c r="I136" i="9"/>
  <c r="H136" i="9"/>
  <c r="H135" i="9"/>
  <c r="I135" i="9" s="1"/>
  <c r="H134" i="9"/>
  <c r="I134" i="9" s="1"/>
  <c r="H133" i="9"/>
  <c r="I133" i="9" s="1"/>
  <c r="I132" i="9"/>
  <c r="H132" i="9"/>
  <c r="I131" i="9"/>
  <c r="H131" i="9"/>
  <c r="H130" i="9"/>
  <c r="I130" i="9" s="1"/>
  <c r="H129" i="9"/>
  <c r="I129" i="9" s="1"/>
  <c r="H128" i="9"/>
  <c r="I128" i="9" s="1"/>
  <c r="H127" i="9"/>
  <c r="I127" i="9" s="1"/>
  <c r="I126" i="9"/>
  <c r="H126" i="9"/>
  <c r="H125" i="9"/>
  <c r="I125" i="9" s="1"/>
  <c r="I124" i="9"/>
  <c r="H124" i="9"/>
  <c r="H123" i="9"/>
  <c r="I123" i="9" s="1"/>
  <c r="H122" i="9"/>
  <c r="I122" i="9" s="1"/>
  <c r="H121" i="9"/>
  <c r="I121" i="9" s="1"/>
  <c r="H120" i="9"/>
  <c r="I120" i="9" s="1"/>
  <c r="H119" i="9"/>
  <c r="I119" i="9" s="1"/>
  <c r="I118" i="9"/>
  <c r="H118" i="9"/>
  <c r="H117" i="9"/>
  <c r="I117" i="9" s="1"/>
  <c r="H116" i="9"/>
  <c r="I116" i="9" s="1"/>
  <c r="H115" i="9"/>
  <c r="I115" i="9" s="1"/>
  <c r="H114" i="9"/>
  <c r="I114" i="9" s="1"/>
  <c r="I113" i="9"/>
  <c r="L85" i="9" s="1"/>
  <c r="H113" i="9"/>
  <c r="I112" i="9"/>
  <c r="H112" i="9"/>
  <c r="H111" i="9"/>
  <c r="I111" i="9" s="1"/>
  <c r="H110" i="9"/>
  <c r="I110" i="9" s="1"/>
  <c r="H109" i="9"/>
  <c r="I109" i="9" s="1"/>
  <c r="H108" i="9"/>
  <c r="I108" i="9" s="1"/>
  <c r="I107" i="9"/>
  <c r="H107" i="9"/>
  <c r="H106" i="9"/>
  <c r="I106" i="9" s="1"/>
  <c r="H105" i="9"/>
  <c r="I105" i="9" s="1"/>
  <c r="H104" i="9"/>
  <c r="I104" i="9" s="1"/>
  <c r="H103" i="9"/>
  <c r="I103" i="9" s="1"/>
  <c r="I102" i="9"/>
  <c r="H102" i="9"/>
  <c r="H101" i="9"/>
  <c r="I101" i="9" s="1"/>
  <c r="H100" i="9"/>
  <c r="I100" i="9" s="1"/>
  <c r="H99" i="9"/>
  <c r="I99" i="9" s="1"/>
  <c r="H98" i="9"/>
  <c r="I98" i="9" s="1"/>
  <c r="H97" i="9"/>
  <c r="I97" i="9" s="1"/>
  <c r="I96" i="9"/>
  <c r="H96" i="9"/>
  <c r="H95" i="9"/>
  <c r="I95" i="9" s="1"/>
  <c r="I94" i="9"/>
  <c r="H94" i="9"/>
  <c r="H93" i="9"/>
  <c r="I93" i="9" s="1"/>
  <c r="H92" i="9"/>
  <c r="I92" i="9" s="1"/>
  <c r="H91" i="9"/>
  <c r="I91" i="9" s="1"/>
  <c r="I90" i="9"/>
  <c r="H90" i="9"/>
  <c r="H89" i="9"/>
  <c r="I89" i="9" s="1"/>
  <c r="I88" i="9"/>
  <c r="H88" i="9"/>
  <c r="H87" i="9"/>
  <c r="I87" i="9" s="1"/>
  <c r="H86" i="9"/>
  <c r="I86" i="9" s="1"/>
  <c r="I85" i="9"/>
  <c r="H85" i="9"/>
  <c r="I84" i="9"/>
  <c r="H84" i="9"/>
  <c r="H83" i="9"/>
  <c r="I83" i="9" s="1"/>
  <c r="H82" i="9"/>
  <c r="I82" i="9" s="1"/>
  <c r="H81" i="9"/>
  <c r="I81" i="9" s="1"/>
  <c r="H75" i="9"/>
  <c r="I75" i="9" s="1"/>
  <c r="H74" i="9"/>
  <c r="I74" i="9" s="1"/>
  <c r="H73" i="9"/>
  <c r="I73" i="9" s="1"/>
  <c r="H72" i="9"/>
  <c r="I72" i="9" s="1"/>
  <c r="I71" i="9"/>
  <c r="H71" i="9"/>
  <c r="H70" i="9"/>
  <c r="I70" i="9" s="1"/>
  <c r="I69" i="9"/>
  <c r="H69" i="9"/>
  <c r="H68" i="9"/>
  <c r="I68" i="9" s="1"/>
  <c r="H67" i="9"/>
  <c r="I67" i="9" s="1"/>
  <c r="H66" i="9"/>
  <c r="I66" i="9" s="1"/>
  <c r="I65" i="9"/>
  <c r="H65" i="9"/>
  <c r="H64" i="9"/>
  <c r="I64" i="9" s="1"/>
  <c r="I63" i="9"/>
  <c r="H63" i="9"/>
  <c r="H62" i="9"/>
  <c r="I62" i="9" s="1"/>
  <c r="H61" i="9"/>
  <c r="I61" i="9" s="1"/>
  <c r="H60" i="9"/>
  <c r="I60" i="9" s="1"/>
  <c r="I59" i="9"/>
  <c r="H59" i="9"/>
  <c r="H58" i="9"/>
  <c r="I58" i="9" s="1"/>
  <c r="H57" i="9"/>
  <c r="I57" i="9" s="1"/>
  <c r="H56" i="9"/>
  <c r="I56" i="9" s="1"/>
  <c r="L11" i="9" s="1"/>
  <c r="H55" i="9"/>
  <c r="I55" i="9" s="1"/>
  <c r="H54" i="9"/>
  <c r="I54" i="9" s="1"/>
  <c r="I53" i="9"/>
  <c r="H53" i="9"/>
  <c r="H52" i="9"/>
  <c r="I52" i="9" s="1"/>
  <c r="I51" i="9"/>
  <c r="H51" i="9"/>
  <c r="H50" i="9"/>
  <c r="I50" i="9" s="1"/>
  <c r="H49" i="9"/>
  <c r="I49" i="9" s="1"/>
  <c r="I48" i="9"/>
  <c r="H48" i="9"/>
  <c r="I47" i="9"/>
  <c r="H47" i="9"/>
  <c r="H46" i="9"/>
  <c r="I46" i="9" s="1"/>
  <c r="I45" i="9"/>
  <c r="H45" i="9"/>
  <c r="H44" i="9"/>
  <c r="I44" i="9" s="1"/>
  <c r="I43" i="9"/>
  <c r="H43" i="9"/>
  <c r="I42" i="9"/>
  <c r="H42" i="9"/>
  <c r="I41" i="9"/>
  <c r="H41" i="9"/>
  <c r="H40" i="9"/>
  <c r="I40" i="9" s="1"/>
  <c r="H39" i="9"/>
  <c r="I39" i="9" s="1"/>
  <c r="I38" i="9"/>
  <c r="H38" i="9"/>
  <c r="H37" i="9"/>
  <c r="I37" i="9" s="1"/>
  <c r="I36" i="9"/>
  <c r="H36" i="9"/>
  <c r="I35" i="9"/>
  <c r="H35" i="9"/>
  <c r="H34" i="9"/>
  <c r="I34" i="9" s="1"/>
  <c r="I33" i="9"/>
  <c r="H33" i="9"/>
  <c r="I32" i="9"/>
  <c r="H32" i="9"/>
  <c r="H31" i="9"/>
  <c r="I31" i="9" s="1"/>
  <c r="I30" i="9"/>
  <c r="H30" i="9"/>
  <c r="I29" i="9"/>
  <c r="H29" i="9"/>
  <c r="H28" i="9"/>
  <c r="I28" i="9" s="1"/>
  <c r="H27" i="9"/>
  <c r="I27" i="9" s="1"/>
  <c r="H26" i="9"/>
  <c r="I26" i="9" s="1"/>
  <c r="I25" i="9"/>
  <c r="H25" i="9"/>
  <c r="I24" i="9"/>
  <c r="H24" i="9"/>
  <c r="I23" i="9"/>
  <c r="H23" i="9"/>
  <c r="H22" i="9"/>
  <c r="I22" i="9" s="1"/>
  <c r="I21" i="9"/>
  <c r="H21" i="9"/>
  <c r="I20" i="9"/>
  <c r="H20" i="9"/>
  <c r="H19" i="9"/>
  <c r="I19" i="9" s="1"/>
  <c r="I18" i="9"/>
  <c r="H18" i="9"/>
  <c r="I17" i="9"/>
  <c r="H17" i="9"/>
  <c r="H16" i="9"/>
  <c r="I16" i="9" s="1"/>
  <c r="I15" i="9"/>
  <c r="H15" i="9"/>
  <c r="H14" i="9"/>
  <c r="I14" i="9" s="1"/>
  <c r="H13" i="9"/>
  <c r="I13" i="9" s="1"/>
  <c r="I12" i="9"/>
  <c r="H12" i="9"/>
  <c r="I11" i="9"/>
  <c r="H11" i="9"/>
  <c r="L10" i="9"/>
  <c r="H10" i="9"/>
  <c r="I10" i="9" s="1"/>
  <c r="I9" i="9"/>
  <c r="H9" i="9"/>
  <c r="I8" i="9"/>
  <c r="H8" i="9"/>
  <c r="H7" i="9"/>
  <c r="I7" i="9" s="1"/>
  <c r="H6" i="9"/>
  <c r="I6" i="9" s="1"/>
  <c r="H150" i="8"/>
  <c r="I150" i="8" s="1"/>
  <c r="I149" i="8"/>
  <c r="H149" i="8"/>
  <c r="I148" i="8"/>
  <c r="H148" i="8"/>
  <c r="H147" i="8"/>
  <c r="I147" i="8" s="1"/>
  <c r="H146" i="8"/>
  <c r="I146" i="8" s="1"/>
  <c r="I145" i="8"/>
  <c r="H145" i="8"/>
  <c r="H144" i="8"/>
  <c r="I144" i="8" s="1"/>
  <c r="I143" i="8"/>
  <c r="H143" i="8"/>
  <c r="I142" i="8"/>
  <c r="H142" i="8"/>
  <c r="H141" i="8"/>
  <c r="I141" i="8" s="1"/>
  <c r="I140" i="8"/>
  <c r="H140" i="8"/>
  <c r="H139" i="8"/>
  <c r="I139" i="8" s="1"/>
  <c r="H138" i="8"/>
  <c r="I138" i="8" s="1"/>
  <c r="I137" i="8"/>
  <c r="H137" i="8"/>
  <c r="I136" i="8"/>
  <c r="H136" i="8"/>
  <c r="H135" i="8"/>
  <c r="I135" i="8" s="1"/>
  <c r="I134" i="8"/>
  <c r="H134" i="8"/>
  <c r="H133" i="8"/>
  <c r="I133" i="8" s="1"/>
  <c r="I132" i="8"/>
  <c r="H132" i="8"/>
  <c r="I131" i="8"/>
  <c r="H131" i="8"/>
  <c r="I130" i="8"/>
  <c r="H130" i="8"/>
  <c r="H129" i="8"/>
  <c r="I129" i="8" s="1"/>
  <c r="H128" i="8"/>
  <c r="I128" i="8" s="1"/>
  <c r="I127" i="8"/>
  <c r="H127" i="8"/>
  <c r="H126" i="8"/>
  <c r="I126" i="8" s="1"/>
  <c r="I125" i="8"/>
  <c r="H125" i="8"/>
  <c r="I124" i="8"/>
  <c r="H124" i="8"/>
  <c r="H123" i="8"/>
  <c r="I123" i="8" s="1"/>
  <c r="I122" i="8"/>
  <c r="H122" i="8"/>
  <c r="I121" i="8"/>
  <c r="H121" i="8"/>
  <c r="H120" i="8"/>
  <c r="I120" i="8" s="1"/>
  <c r="I119" i="8"/>
  <c r="H119" i="8"/>
  <c r="I118" i="8"/>
  <c r="H118" i="8"/>
  <c r="H117" i="8"/>
  <c r="I117" i="8" s="1"/>
  <c r="H116" i="8"/>
  <c r="I116" i="8" s="1"/>
  <c r="H115" i="8"/>
  <c r="I115" i="8" s="1"/>
  <c r="I114" i="8"/>
  <c r="H114" i="8"/>
  <c r="I113" i="8"/>
  <c r="H113" i="8"/>
  <c r="I112" i="8"/>
  <c r="H112" i="8"/>
  <c r="H111" i="8"/>
  <c r="I111" i="8" s="1"/>
  <c r="I110" i="8"/>
  <c r="H110" i="8"/>
  <c r="I109" i="8"/>
  <c r="H109" i="8"/>
  <c r="H108" i="8"/>
  <c r="I108" i="8" s="1"/>
  <c r="I107" i="8"/>
  <c r="H107" i="8"/>
  <c r="I106" i="8"/>
  <c r="H106" i="8"/>
  <c r="H105" i="8"/>
  <c r="I105" i="8" s="1"/>
  <c r="I104" i="8"/>
  <c r="H104" i="8"/>
  <c r="H103" i="8"/>
  <c r="I103" i="8" s="1"/>
  <c r="H102" i="8"/>
  <c r="I102" i="8" s="1"/>
  <c r="I101" i="8"/>
  <c r="H101" i="8"/>
  <c r="I100" i="8"/>
  <c r="H100" i="8"/>
  <c r="H99" i="8"/>
  <c r="I99" i="8" s="1"/>
  <c r="I98" i="8"/>
  <c r="H98" i="8"/>
  <c r="I97" i="8"/>
  <c r="H97" i="8"/>
  <c r="I96" i="8"/>
  <c r="H96" i="8"/>
  <c r="I95" i="8"/>
  <c r="H95" i="8"/>
  <c r="I94" i="8"/>
  <c r="H94" i="8"/>
  <c r="H93" i="8"/>
  <c r="I93" i="8" s="1"/>
  <c r="H92" i="8"/>
  <c r="I92" i="8" s="1"/>
  <c r="I91" i="8"/>
  <c r="H91" i="8"/>
  <c r="I90" i="8"/>
  <c r="H90" i="8"/>
  <c r="I89" i="8"/>
  <c r="H89" i="8"/>
  <c r="I88" i="8"/>
  <c r="H88" i="8"/>
  <c r="H87" i="8"/>
  <c r="I87" i="8" s="1"/>
  <c r="H86" i="8"/>
  <c r="I86" i="8" s="1"/>
  <c r="I85" i="8"/>
  <c r="H85" i="8"/>
  <c r="I84" i="8"/>
  <c r="H84" i="8"/>
  <c r="H83" i="8"/>
  <c r="I83" i="8" s="1"/>
  <c r="L82" i="8"/>
  <c r="I82" i="8"/>
  <c r="H82" i="8"/>
  <c r="I81" i="8"/>
  <c r="H81" i="8"/>
  <c r="I75" i="8"/>
  <c r="H75" i="8"/>
  <c r="H74" i="8"/>
  <c r="I74" i="8" s="1"/>
  <c r="I73" i="8"/>
  <c r="H73" i="8"/>
  <c r="I72" i="8"/>
  <c r="H72" i="8"/>
  <c r="I71" i="8"/>
  <c r="L12" i="8" s="1"/>
  <c r="H71" i="8"/>
  <c r="I70" i="8"/>
  <c r="H70" i="8"/>
  <c r="I69" i="8"/>
  <c r="H69" i="8"/>
  <c r="H68" i="8"/>
  <c r="I68" i="8" s="1"/>
  <c r="H67" i="8"/>
  <c r="I67" i="8" s="1"/>
  <c r="H66" i="8"/>
  <c r="I66" i="8" s="1"/>
  <c r="H65" i="8"/>
  <c r="I65" i="8" s="1"/>
  <c r="I64" i="8"/>
  <c r="H64" i="8"/>
  <c r="I63" i="8"/>
  <c r="H63" i="8"/>
  <c r="H62" i="8"/>
  <c r="I62" i="8" s="1"/>
  <c r="H61" i="8"/>
  <c r="I61" i="8" s="1"/>
  <c r="I60" i="8"/>
  <c r="H60" i="8"/>
  <c r="H59" i="8"/>
  <c r="I59" i="8" s="1"/>
  <c r="I58" i="8"/>
  <c r="H58" i="8"/>
  <c r="I57" i="8"/>
  <c r="H57" i="8"/>
  <c r="H56" i="8"/>
  <c r="I56" i="8" s="1"/>
  <c r="I55" i="8"/>
  <c r="H55" i="8"/>
  <c r="H54" i="8"/>
  <c r="I54" i="8" s="1"/>
  <c r="H53" i="8"/>
  <c r="I53" i="8" s="1"/>
  <c r="I52" i="8"/>
  <c r="H52" i="8"/>
  <c r="I51" i="8"/>
  <c r="H51" i="8"/>
  <c r="H50" i="8"/>
  <c r="I50" i="8" s="1"/>
  <c r="I49" i="8"/>
  <c r="H49" i="8"/>
  <c r="H48" i="8"/>
  <c r="I48" i="8" s="1"/>
  <c r="I47" i="8"/>
  <c r="H47" i="8"/>
  <c r="I46" i="8"/>
  <c r="H46" i="8"/>
  <c r="I45" i="8"/>
  <c r="H45" i="8"/>
  <c r="H44" i="8"/>
  <c r="I44" i="8" s="1"/>
  <c r="H43" i="8"/>
  <c r="I43" i="8" s="1"/>
  <c r="I42" i="8"/>
  <c r="H42" i="8"/>
  <c r="H41" i="8"/>
  <c r="I41" i="8" s="1"/>
  <c r="I40" i="8"/>
  <c r="H40" i="8"/>
  <c r="I39" i="8"/>
  <c r="H39" i="8"/>
  <c r="H38" i="8"/>
  <c r="I38" i="8" s="1"/>
  <c r="I37" i="8"/>
  <c r="H37" i="8"/>
  <c r="H36" i="8"/>
  <c r="I36" i="8" s="1"/>
  <c r="L9" i="8" s="1"/>
  <c r="H35" i="8"/>
  <c r="I35" i="8" s="1"/>
  <c r="I34" i="8"/>
  <c r="H34" i="8"/>
  <c r="I33" i="8"/>
  <c r="H33" i="8"/>
  <c r="H32" i="8"/>
  <c r="I32" i="8" s="1"/>
  <c r="H31" i="8"/>
  <c r="I31" i="8" s="1"/>
  <c r="H30" i="8"/>
  <c r="I30" i="8" s="1"/>
  <c r="I29" i="8"/>
  <c r="H29" i="8"/>
  <c r="I28" i="8"/>
  <c r="H28" i="8"/>
  <c r="I27" i="8"/>
  <c r="H27" i="8"/>
  <c r="H26" i="8"/>
  <c r="I26" i="8" s="1"/>
  <c r="H25" i="8"/>
  <c r="I25" i="8" s="1"/>
  <c r="I24" i="8"/>
  <c r="H24" i="8"/>
  <c r="I23" i="8"/>
  <c r="H23" i="8"/>
  <c r="I22" i="8"/>
  <c r="H22" i="8"/>
  <c r="I21" i="8"/>
  <c r="H21" i="8"/>
  <c r="H20" i="8"/>
  <c r="I20" i="8" s="1"/>
  <c r="H19" i="8"/>
  <c r="I19" i="8" s="1"/>
  <c r="I18" i="8"/>
  <c r="L7" i="8" s="1"/>
  <c r="H18" i="8"/>
  <c r="H17" i="8"/>
  <c r="I17" i="8" s="1"/>
  <c r="I16" i="8"/>
  <c r="H16" i="8"/>
  <c r="I15" i="8"/>
  <c r="H15" i="8"/>
  <c r="H14" i="8"/>
  <c r="I14" i="8" s="1"/>
  <c r="I13" i="8"/>
  <c r="H13" i="8"/>
  <c r="I12" i="8"/>
  <c r="H12" i="8"/>
  <c r="H11" i="8"/>
  <c r="I11" i="8" s="1"/>
  <c r="H10" i="8"/>
  <c r="I10" i="8" s="1"/>
  <c r="I9" i="8"/>
  <c r="H9" i="8"/>
  <c r="L8" i="8"/>
  <c r="I8" i="8"/>
  <c r="H8" i="8"/>
  <c r="H7" i="8"/>
  <c r="I7" i="8" s="1"/>
  <c r="H6" i="8"/>
  <c r="I6" i="8" s="1"/>
  <c r="H150" i="7"/>
  <c r="I150" i="7" s="1"/>
  <c r="H149" i="7"/>
  <c r="I149" i="7" s="1"/>
  <c r="I148" i="7"/>
  <c r="H148" i="7"/>
  <c r="I147" i="7"/>
  <c r="H147" i="7"/>
  <c r="I146" i="7"/>
  <c r="H146" i="7"/>
  <c r="H145" i="7"/>
  <c r="I145" i="7" s="1"/>
  <c r="H144" i="7"/>
  <c r="I144" i="7" s="1"/>
  <c r="I143" i="7"/>
  <c r="L87" i="7" s="1"/>
  <c r="H143" i="7"/>
  <c r="H142" i="7"/>
  <c r="I142" i="7" s="1"/>
  <c r="H141" i="7"/>
  <c r="I141" i="7" s="1"/>
  <c r="H140" i="7"/>
  <c r="I140" i="7" s="1"/>
  <c r="H139" i="7"/>
  <c r="I139" i="7" s="1"/>
  <c r="I138" i="7"/>
  <c r="H138" i="7"/>
  <c r="I137" i="7"/>
  <c r="H137" i="7"/>
  <c r="H136" i="7"/>
  <c r="I136" i="7" s="1"/>
  <c r="I135" i="7"/>
  <c r="H135" i="7"/>
  <c r="I134" i="7"/>
  <c r="H134" i="7"/>
  <c r="H133" i="7"/>
  <c r="I133" i="7" s="1"/>
  <c r="H132" i="7"/>
  <c r="I132" i="7" s="1"/>
  <c r="H131" i="7"/>
  <c r="I131" i="7" s="1"/>
  <c r="I130" i="7"/>
  <c r="H130" i="7"/>
  <c r="H129" i="7"/>
  <c r="I129" i="7" s="1"/>
  <c r="H128" i="7"/>
  <c r="I128" i="7" s="1"/>
  <c r="H127" i="7"/>
  <c r="I127" i="7" s="1"/>
  <c r="H126" i="7"/>
  <c r="I126" i="7" s="1"/>
  <c r="I125" i="7"/>
  <c r="H125" i="7"/>
  <c r="H124" i="7"/>
  <c r="I124" i="7" s="1"/>
  <c r="H123" i="7"/>
  <c r="I123" i="7" s="1"/>
  <c r="I122" i="7"/>
  <c r="H122" i="7"/>
  <c r="H121" i="7"/>
  <c r="I121" i="7" s="1"/>
  <c r="H120" i="7"/>
  <c r="I120" i="7" s="1"/>
  <c r="H119" i="7"/>
  <c r="I119" i="7" s="1"/>
  <c r="H118" i="7"/>
  <c r="I118" i="7" s="1"/>
  <c r="I117" i="7"/>
  <c r="H117" i="7"/>
  <c r="H116" i="7"/>
  <c r="I116" i="7" s="1"/>
  <c r="H115" i="7"/>
  <c r="I115" i="7" s="1"/>
  <c r="H114" i="7"/>
  <c r="I114" i="7" s="1"/>
  <c r="H113" i="7"/>
  <c r="I113" i="7" s="1"/>
  <c r="I112" i="7"/>
  <c r="H112" i="7"/>
  <c r="I111" i="7"/>
  <c r="H111" i="7"/>
  <c r="H110" i="7"/>
  <c r="I110" i="7" s="1"/>
  <c r="H109" i="7"/>
  <c r="I109" i="7" s="1"/>
  <c r="H108" i="7"/>
  <c r="I108" i="7" s="1"/>
  <c r="H107" i="7"/>
  <c r="I107" i="7" s="1"/>
  <c r="I106" i="7"/>
  <c r="H106" i="7"/>
  <c r="H105" i="7"/>
  <c r="I105" i="7" s="1"/>
  <c r="I104" i="7"/>
  <c r="H104" i="7"/>
  <c r="H103" i="7"/>
  <c r="I103" i="7" s="1"/>
  <c r="I102" i="7"/>
  <c r="H102" i="7"/>
  <c r="H101" i="7"/>
  <c r="I101" i="7" s="1"/>
  <c r="H100" i="7"/>
  <c r="I100" i="7" s="1"/>
  <c r="I99" i="7"/>
  <c r="H99" i="7"/>
  <c r="H98" i="7"/>
  <c r="I98" i="7" s="1"/>
  <c r="H97" i="7"/>
  <c r="I97" i="7" s="1"/>
  <c r="I96" i="7"/>
  <c r="H96" i="7"/>
  <c r="H95" i="7"/>
  <c r="I95" i="7" s="1"/>
  <c r="H94" i="7"/>
  <c r="I94" i="7" s="1"/>
  <c r="H93" i="7"/>
  <c r="I93" i="7" s="1"/>
  <c r="H92" i="7"/>
  <c r="I92" i="7" s="1"/>
  <c r="H91" i="7"/>
  <c r="I91" i="7" s="1"/>
  <c r="H90" i="7"/>
  <c r="I90" i="7" s="1"/>
  <c r="I89" i="7"/>
  <c r="H89" i="7"/>
  <c r="I88" i="7"/>
  <c r="H88" i="7"/>
  <c r="I87" i="7"/>
  <c r="H87" i="7"/>
  <c r="H86" i="7"/>
  <c r="I86" i="7" s="1"/>
  <c r="H85" i="7"/>
  <c r="I85" i="7" s="1"/>
  <c r="H84" i="7"/>
  <c r="I84" i="7" s="1"/>
  <c r="I83" i="7"/>
  <c r="H83" i="7"/>
  <c r="H82" i="7"/>
  <c r="I82" i="7" s="1"/>
  <c r="H81" i="7"/>
  <c r="I81" i="7" s="1"/>
  <c r="I75" i="7"/>
  <c r="H75" i="7"/>
  <c r="I74" i="7"/>
  <c r="H74" i="7"/>
  <c r="H73" i="7"/>
  <c r="I73" i="7" s="1"/>
  <c r="H72" i="7"/>
  <c r="I72" i="7" s="1"/>
  <c r="H71" i="7"/>
  <c r="I71" i="7" s="1"/>
  <c r="I70" i="7"/>
  <c r="H70" i="7"/>
  <c r="H69" i="7"/>
  <c r="I69" i="7" s="1"/>
  <c r="H68" i="7"/>
  <c r="I68" i="7" s="1"/>
  <c r="H67" i="7"/>
  <c r="I67" i="7" s="1"/>
  <c r="H66" i="7"/>
  <c r="I66" i="7" s="1"/>
  <c r="I65" i="7"/>
  <c r="H65" i="7"/>
  <c r="I64" i="7"/>
  <c r="H64" i="7"/>
  <c r="H63" i="7"/>
  <c r="I63" i="7" s="1"/>
  <c r="I62" i="7"/>
  <c r="H62" i="7"/>
  <c r="H61" i="7"/>
  <c r="I61" i="7" s="1"/>
  <c r="H60" i="7"/>
  <c r="I60" i="7" s="1"/>
  <c r="H59" i="7"/>
  <c r="I59" i="7" s="1"/>
  <c r="H58" i="7"/>
  <c r="I58" i="7" s="1"/>
  <c r="I57" i="7"/>
  <c r="H57" i="7"/>
  <c r="H56" i="7"/>
  <c r="I56" i="7" s="1"/>
  <c r="H55" i="7"/>
  <c r="I55" i="7" s="1"/>
  <c r="H54" i="7"/>
  <c r="I54" i="7" s="1"/>
  <c r="H53" i="7"/>
  <c r="I53" i="7" s="1"/>
  <c r="I52" i="7"/>
  <c r="H52" i="7"/>
  <c r="H51" i="7"/>
  <c r="I51" i="7" s="1"/>
  <c r="H50" i="7"/>
  <c r="I50" i="7" s="1"/>
  <c r="I49" i="7"/>
  <c r="H49" i="7"/>
  <c r="H48" i="7"/>
  <c r="I48" i="7" s="1"/>
  <c r="I47" i="7"/>
  <c r="H47" i="7"/>
  <c r="H46" i="7"/>
  <c r="I46" i="7" s="1"/>
  <c r="H45" i="7"/>
  <c r="I45" i="7" s="1"/>
  <c r="I44" i="7"/>
  <c r="H44" i="7"/>
  <c r="I43" i="7"/>
  <c r="H43" i="7"/>
  <c r="H42" i="7"/>
  <c r="I42" i="7" s="1"/>
  <c r="I41" i="7"/>
  <c r="H41" i="7"/>
  <c r="I40" i="7"/>
  <c r="H40" i="7"/>
  <c r="I39" i="7"/>
  <c r="H39" i="7"/>
  <c r="H38" i="7"/>
  <c r="I38" i="7" s="1"/>
  <c r="H37" i="7"/>
  <c r="I37" i="7" s="1"/>
  <c r="L9" i="7" s="1"/>
  <c r="H36" i="7"/>
  <c r="I36" i="7" s="1"/>
  <c r="H35" i="7"/>
  <c r="I35" i="7" s="1"/>
  <c r="H34" i="7"/>
  <c r="I34" i="7" s="1"/>
  <c r="H33" i="7"/>
  <c r="I33" i="7" s="1"/>
  <c r="H32" i="7"/>
  <c r="I32" i="7" s="1"/>
  <c r="I31" i="7"/>
  <c r="H31" i="7"/>
  <c r="H30" i="7"/>
  <c r="I30" i="7" s="1"/>
  <c r="I29" i="7"/>
  <c r="H29" i="7"/>
  <c r="I28" i="7"/>
  <c r="H28" i="7"/>
  <c r="H27" i="7"/>
  <c r="I27" i="7" s="1"/>
  <c r="L8" i="7" s="1"/>
  <c r="I26" i="7"/>
  <c r="H26" i="7"/>
  <c r="I25" i="7"/>
  <c r="H25" i="7"/>
  <c r="H24" i="7"/>
  <c r="I24" i="7" s="1"/>
  <c r="H23" i="7"/>
  <c r="I23" i="7" s="1"/>
  <c r="H22" i="7"/>
  <c r="I22" i="7" s="1"/>
  <c r="H21" i="7"/>
  <c r="I21" i="7" s="1"/>
  <c r="H20" i="7"/>
  <c r="I20" i="7" s="1"/>
  <c r="I19" i="7"/>
  <c r="H19" i="7"/>
  <c r="H18" i="7"/>
  <c r="I18" i="7" s="1"/>
  <c r="H17" i="7"/>
  <c r="I17" i="7" s="1"/>
  <c r="I16" i="7"/>
  <c r="H16" i="7"/>
  <c r="H15" i="7"/>
  <c r="I15" i="7" s="1"/>
  <c r="H14" i="7"/>
  <c r="I14" i="7" s="1"/>
  <c r="I13" i="7"/>
  <c r="H13" i="7"/>
  <c r="H12" i="7"/>
  <c r="I12" i="7" s="1"/>
  <c r="H11" i="7"/>
  <c r="I11" i="7" s="1"/>
  <c r="H10" i="7"/>
  <c r="I10" i="7" s="1"/>
  <c r="I9" i="7"/>
  <c r="H9" i="7"/>
  <c r="H8" i="7"/>
  <c r="I8" i="7" s="1"/>
  <c r="H7" i="7"/>
  <c r="I7" i="7" s="1"/>
  <c r="I6" i="7"/>
  <c r="H6" i="7"/>
  <c r="H54" i="6"/>
  <c r="I54" i="6" s="1"/>
  <c r="H53" i="6"/>
  <c r="I53" i="6" s="1"/>
  <c r="I52" i="6"/>
  <c r="H52" i="6"/>
  <c r="H51" i="6"/>
  <c r="I51" i="6" s="1"/>
  <c r="H50" i="6"/>
  <c r="I50" i="6" s="1"/>
  <c r="H49" i="6"/>
  <c r="I49" i="6" s="1"/>
  <c r="H48" i="6"/>
  <c r="I48" i="6" s="1"/>
  <c r="H47" i="6"/>
  <c r="I47" i="6" s="1"/>
  <c r="H46" i="6"/>
  <c r="I46" i="6" s="1"/>
  <c r="H45" i="6"/>
  <c r="I45" i="6" s="1"/>
  <c r="I44" i="6"/>
  <c r="H44" i="6"/>
  <c r="I43" i="6"/>
  <c r="H43" i="6"/>
  <c r="H42" i="6"/>
  <c r="I42" i="6" s="1"/>
  <c r="H41" i="6"/>
  <c r="I41" i="6" s="1"/>
  <c r="I40" i="6"/>
  <c r="H40" i="6"/>
  <c r="I39" i="6"/>
  <c r="H39" i="6"/>
  <c r="H38" i="6"/>
  <c r="I38" i="6" s="1"/>
  <c r="H37" i="6"/>
  <c r="I37" i="6" s="1"/>
  <c r="H36" i="6"/>
  <c r="I36" i="6" s="1"/>
  <c r="L10" i="6" s="1"/>
  <c r="H35" i="6"/>
  <c r="I35" i="6" s="1"/>
  <c r="H34" i="6"/>
  <c r="I34" i="6" s="1"/>
  <c r="H33" i="6"/>
  <c r="I33" i="6" s="1"/>
  <c r="H32" i="6"/>
  <c r="I32" i="6" s="1"/>
  <c r="I31" i="6"/>
  <c r="H31" i="6"/>
  <c r="H30" i="6"/>
  <c r="I30" i="6" s="1"/>
  <c r="I29" i="6"/>
  <c r="H29" i="6"/>
  <c r="H28" i="6"/>
  <c r="I28" i="6" s="1"/>
  <c r="I27" i="6"/>
  <c r="H27" i="6"/>
  <c r="H26" i="6"/>
  <c r="I26" i="6" s="1"/>
  <c r="I25" i="6"/>
  <c r="H25" i="6"/>
  <c r="H24" i="6"/>
  <c r="I24" i="6" s="1"/>
  <c r="H23" i="6"/>
  <c r="I23" i="6" s="1"/>
  <c r="I22" i="6"/>
  <c r="H22" i="6"/>
  <c r="H21" i="6"/>
  <c r="I21" i="6" s="1"/>
  <c r="H20" i="6"/>
  <c r="I20" i="6" s="1"/>
  <c r="I19" i="6"/>
  <c r="H19" i="6"/>
  <c r="H18" i="6"/>
  <c r="I18" i="6" s="1"/>
  <c r="H17" i="6"/>
  <c r="I17" i="6" s="1"/>
  <c r="H16" i="6"/>
  <c r="I16" i="6" s="1"/>
  <c r="H15" i="6"/>
  <c r="I15" i="6" s="1"/>
  <c r="H14" i="6"/>
  <c r="I14" i="6" s="1"/>
  <c r="H13" i="6"/>
  <c r="I13" i="6" s="1"/>
  <c r="I12" i="6"/>
  <c r="H12" i="6"/>
  <c r="H11" i="6"/>
  <c r="I11" i="6" s="1"/>
  <c r="H10" i="6"/>
  <c r="I10" i="6" s="1"/>
  <c r="H9" i="6"/>
  <c r="I9" i="6" s="1"/>
  <c r="I8" i="6"/>
  <c r="H8" i="6"/>
  <c r="I7" i="6"/>
  <c r="H7" i="6"/>
  <c r="H6" i="6"/>
  <c r="I6" i="6" s="1"/>
  <c r="I54" i="5"/>
  <c r="H54" i="5"/>
  <c r="I53" i="5"/>
  <c r="H53" i="5"/>
  <c r="H52" i="5"/>
  <c r="I52" i="5" s="1"/>
  <c r="H51" i="5"/>
  <c r="I51" i="5" s="1"/>
  <c r="I50" i="5"/>
  <c r="H50" i="5"/>
  <c r="H49" i="5"/>
  <c r="I49" i="5" s="1"/>
  <c r="I48" i="5"/>
  <c r="H48" i="5"/>
  <c r="H47" i="5"/>
  <c r="I47" i="5" s="1"/>
  <c r="H46" i="5"/>
  <c r="I46" i="5" s="1"/>
  <c r="I45" i="5"/>
  <c r="H45" i="5"/>
  <c r="I44" i="5"/>
  <c r="H44" i="5"/>
  <c r="H43" i="5"/>
  <c r="I43" i="5" s="1"/>
  <c r="I42" i="5"/>
  <c r="H42" i="5"/>
  <c r="I41" i="5"/>
  <c r="H41" i="5"/>
  <c r="I40" i="5"/>
  <c r="H40" i="5"/>
  <c r="H39" i="5"/>
  <c r="I39" i="5" s="1"/>
  <c r="H38" i="5"/>
  <c r="I38" i="5" s="1"/>
  <c r="H37" i="5"/>
  <c r="I37" i="5" s="1"/>
  <c r="I36" i="5"/>
  <c r="H36" i="5"/>
  <c r="H35" i="5"/>
  <c r="I35" i="5" s="1"/>
  <c r="H34" i="5"/>
  <c r="I34" i="5" s="1"/>
  <c r="L10" i="5" s="1"/>
  <c r="H33" i="5"/>
  <c r="I33" i="5" s="1"/>
  <c r="I32" i="5"/>
  <c r="H32" i="5"/>
  <c r="H31" i="5"/>
  <c r="I31" i="5" s="1"/>
  <c r="I30" i="5"/>
  <c r="H30" i="5"/>
  <c r="H29" i="5"/>
  <c r="I29" i="5" s="1"/>
  <c r="H28" i="5"/>
  <c r="I28" i="5" s="1"/>
  <c r="I27" i="5"/>
  <c r="H27" i="5"/>
  <c r="H26" i="5"/>
  <c r="I26" i="5" s="1"/>
  <c r="H25" i="5"/>
  <c r="I25" i="5" s="1"/>
  <c r="I24" i="5"/>
  <c r="H24" i="5"/>
  <c r="H23" i="5"/>
  <c r="I23" i="5" s="1"/>
  <c r="H22" i="5"/>
  <c r="I22" i="5" s="1"/>
  <c r="H21" i="5"/>
  <c r="I21" i="5" s="1"/>
  <c r="H20" i="5"/>
  <c r="I20" i="5" s="1"/>
  <c r="H19" i="5"/>
  <c r="I19" i="5" s="1"/>
  <c r="I18" i="5"/>
  <c r="H18" i="5"/>
  <c r="I17" i="5"/>
  <c r="H17" i="5"/>
  <c r="H16" i="5"/>
  <c r="I16" i="5" s="1"/>
  <c r="H15" i="5"/>
  <c r="I15" i="5" s="1"/>
  <c r="I14" i="5"/>
  <c r="H14" i="5"/>
  <c r="H13" i="5"/>
  <c r="I13" i="5" s="1"/>
  <c r="I12" i="5"/>
  <c r="H12" i="5"/>
  <c r="I11" i="5"/>
  <c r="H11" i="5"/>
  <c r="H10" i="5"/>
  <c r="I10" i="5" s="1"/>
  <c r="L6" i="5" s="1"/>
  <c r="I9" i="5"/>
  <c r="I8" i="5"/>
  <c r="I7" i="5"/>
  <c r="I6" i="5"/>
  <c r="I188" i="4"/>
  <c r="H188" i="4"/>
  <c r="H187" i="4"/>
  <c r="I187" i="4" s="1"/>
  <c r="H186" i="4"/>
  <c r="I186" i="4" s="1"/>
  <c r="I185" i="4"/>
  <c r="H185" i="4"/>
  <c r="I184" i="4"/>
  <c r="L153" i="4" s="1"/>
  <c r="H184" i="4"/>
  <c r="H183" i="4"/>
  <c r="I183" i="4" s="1"/>
  <c r="H182" i="4"/>
  <c r="I182" i="4" s="1"/>
  <c r="I181" i="4"/>
  <c r="H181" i="4"/>
  <c r="H180" i="4"/>
  <c r="I180" i="4" s="1"/>
  <c r="I179" i="4"/>
  <c r="H179" i="4"/>
  <c r="H178" i="4"/>
  <c r="I178" i="4" s="1"/>
  <c r="H177" i="4"/>
  <c r="I177" i="4" s="1"/>
  <c r="I176" i="4"/>
  <c r="H176" i="4"/>
  <c r="I175" i="4"/>
  <c r="H175" i="4"/>
  <c r="H174" i="4"/>
  <c r="I174" i="4" s="1"/>
  <c r="I173" i="4"/>
  <c r="H173" i="4"/>
  <c r="H172" i="4"/>
  <c r="I172" i="4" s="1"/>
  <c r="I171" i="4"/>
  <c r="H171" i="4"/>
  <c r="H170" i="4"/>
  <c r="I170" i="4" s="1"/>
  <c r="H169" i="4"/>
  <c r="I169" i="4" s="1"/>
  <c r="H168" i="4"/>
  <c r="I168" i="4" s="1"/>
  <c r="I167" i="4"/>
  <c r="H167" i="4"/>
  <c r="H166" i="4"/>
  <c r="I166" i="4" s="1"/>
  <c r="I165" i="4"/>
  <c r="H165" i="4"/>
  <c r="H164" i="4"/>
  <c r="I164" i="4" s="1"/>
  <c r="I163" i="4"/>
  <c r="H163" i="4"/>
  <c r="H162" i="4"/>
  <c r="I162" i="4" s="1"/>
  <c r="I161" i="4"/>
  <c r="H161" i="4"/>
  <c r="H160" i="4"/>
  <c r="I160" i="4" s="1"/>
  <c r="H159" i="4"/>
  <c r="I159" i="4" s="1"/>
  <c r="L149" i="4" s="1"/>
  <c r="I158" i="4"/>
  <c r="H158" i="4"/>
  <c r="H157" i="4"/>
  <c r="I157" i="4" s="1"/>
  <c r="H156" i="4"/>
  <c r="I156" i="4" s="1"/>
  <c r="I155" i="4"/>
  <c r="H155" i="4"/>
  <c r="H154" i="4"/>
  <c r="I154" i="4" s="1"/>
  <c r="H153" i="4"/>
  <c r="I153" i="4" s="1"/>
  <c r="L148" i="4" s="1"/>
  <c r="I152" i="4"/>
  <c r="H152" i="4"/>
  <c r="I151" i="4"/>
  <c r="H151" i="4"/>
  <c r="H150" i="4"/>
  <c r="I150" i="4" s="1"/>
  <c r="H149" i="4"/>
  <c r="I149" i="4" s="1"/>
  <c r="I148" i="4"/>
  <c r="H148" i="4"/>
  <c r="I147" i="4"/>
  <c r="H147" i="4"/>
  <c r="I141" i="4"/>
  <c r="H141" i="4"/>
  <c r="H140" i="4"/>
  <c r="I140" i="4" s="1"/>
  <c r="H139" i="4"/>
  <c r="I139" i="4" s="1"/>
  <c r="H138" i="4"/>
  <c r="I138" i="4" s="1"/>
  <c r="H137" i="4"/>
  <c r="I137" i="4" s="1"/>
  <c r="I136" i="4"/>
  <c r="H136" i="4"/>
  <c r="H135" i="4"/>
  <c r="I135" i="4" s="1"/>
  <c r="I134" i="4"/>
  <c r="H134" i="4"/>
  <c r="H133" i="4"/>
  <c r="I133" i="4" s="1"/>
  <c r="H132" i="4"/>
  <c r="I132" i="4" s="1"/>
  <c r="L105" i="4" s="1"/>
  <c r="H131" i="4"/>
  <c r="I131" i="4" s="1"/>
  <c r="I130" i="4"/>
  <c r="H130" i="4"/>
  <c r="I129" i="4"/>
  <c r="H129" i="4"/>
  <c r="I128" i="4"/>
  <c r="H128" i="4"/>
  <c r="H127" i="4"/>
  <c r="I127" i="4" s="1"/>
  <c r="H126" i="4"/>
  <c r="I126" i="4" s="1"/>
  <c r="L104" i="4" s="1"/>
  <c r="H125" i="4"/>
  <c r="I125" i="4" s="1"/>
  <c r="I124" i="4"/>
  <c r="H124" i="4"/>
  <c r="H123" i="4"/>
  <c r="I123" i="4" s="1"/>
  <c r="H122" i="4"/>
  <c r="I122" i="4" s="1"/>
  <c r="I121" i="4"/>
  <c r="H121" i="4"/>
  <c r="H120" i="4"/>
  <c r="I120" i="4" s="1"/>
  <c r="H119" i="4"/>
  <c r="I119" i="4" s="1"/>
  <c r="L103" i="4" s="1"/>
  <c r="I118" i="4"/>
  <c r="H118" i="4"/>
  <c r="H117" i="4"/>
  <c r="I117" i="4" s="1"/>
  <c r="I116" i="4"/>
  <c r="H116" i="4"/>
  <c r="I115" i="4"/>
  <c r="H115" i="4"/>
  <c r="H114" i="4"/>
  <c r="I114" i="4" s="1"/>
  <c r="H113" i="4"/>
  <c r="I113" i="4" s="1"/>
  <c r="I112" i="4"/>
  <c r="H112" i="4"/>
  <c r="I111" i="4"/>
  <c r="H111" i="4"/>
  <c r="H110" i="4"/>
  <c r="I110" i="4" s="1"/>
  <c r="H109" i="4"/>
  <c r="I109" i="4" s="1"/>
  <c r="I108" i="4"/>
  <c r="H108" i="4"/>
  <c r="I107" i="4"/>
  <c r="H107" i="4"/>
  <c r="H106" i="4"/>
  <c r="I106" i="4" s="1"/>
  <c r="H105" i="4"/>
  <c r="I105" i="4" s="1"/>
  <c r="H104" i="4"/>
  <c r="I104" i="4" s="1"/>
  <c r="I103" i="4"/>
  <c r="H103" i="4"/>
  <c r="H102" i="4"/>
  <c r="I102" i="4" s="1"/>
  <c r="I101" i="4"/>
  <c r="H101" i="4"/>
  <c r="H100" i="4"/>
  <c r="I100" i="4" s="1"/>
  <c r="L100" i="4" s="1"/>
  <c r="H94" i="4"/>
  <c r="I94" i="4" s="1"/>
  <c r="I93" i="4"/>
  <c r="H93" i="4"/>
  <c r="H92" i="4"/>
  <c r="I92" i="4" s="1"/>
  <c r="H91" i="4"/>
  <c r="I91" i="4" s="1"/>
  <c r="H90" i="4"/>
  <c r="I90" i="4" s="1"/>
  <c r="H89" i="4"/>
  <c r="I89" i="4" s="1"/>
  <c r="H88" i="4"/>
  <c r="I88" i="4" s="1"/>
  <c r="I87" i="4"/>
  <c r="H87" i="4"/>
  <c r="I86" i="4"/>
  <c r="H86" i="4"/>
  <c r="H85" i="4"/>
  <c r="I85" i="4" s="1"/>
  <c r="H84" i="4"/>
  <c r="I84" i="4" s="1"/>
  <c r="I83" i="4"/>
  <c r="H83" i="4"/>
  <c r="H82" i="4"/>
  <c r="I82" i="4" s="1"/>
  <c r="I81" i="4"/>
  <c r="H81" i="4"/>
  <c r="I80" i="4"/>
  <c r="H80" i="4"/>
  <c r="H79" i="4"/>
  <c r="I79" i="4" s="1"/>
  <c r="H78" i="4"/>
  <c r="I78" i="4" s="1"/>
  <c r="I77" i="4"/>
  <c r="L57" i="4" s="1"/>
  <c r="H77" i="4"/>
  <c r="H76" i="4"/>
  <c r="I76" i="4" s="1"/>
  <c r="I75" i="4"/>
  <c r="H75" i="4"/>
  <c r="H74" i="4"/>
  <c r="I74" i="4" s="1"/>
  <c r="I73" i="4"/>
  <c r="H73" i="4"/>
  <c r="H72" i="4"/>
  <c r="I72" i="4" s="1"/>
  <c r="H71" i="4"/>
  <c r="I71" i="4" s="1"/>
  <c r="L56" i="4" s="1"/>
  <c r="H70" i="4"/>
  <c r="I70" i="4" s="1"/>
  <c r="I69" i="4"/>
  <c r="H69" i="4"/>
  <c r="I68" i="4"/>
  <c r="H68" i="4"/>
  <c r="I67" i="4"/>
  <c r="H67" i="4"/>
  <c r="H66" i="4"/>
  <c r="I66" i="4" s="1"/>
  <c r="H65" i="4"/>
  <c r="I65" i="4" s="1"/>
  <c r="H64" i="4"/>
  <c r="I64" i="4" s="1"/>
  <c r="I63" i="4"/>
  <c r="H63" i="4"/>
  <c r="H62" i="4"/>
  <c r="I62" i="4" s="1"/>
  <c r="H61" i="4"/>
  <c r="I61" i="4" s="1"/>
  <c r="H60" i="4"/>
  <c r="I60" i="4" s="1"/>
  <c r="H59" i="4"/>
  <c r="I59" i="4" s="1"/>
  <c r="H58" i="4"/>
  <c r="I58" i="4" s="1"/>
  <c r="H57" i="4"/>
  <c r="I57" i="4" s="1"/>
  <c r="H56" i="4"/>
  <c r="I56" i="4" s="1"/>
  <c r="H55" i="4"/>
  <c r="I55" i="4" s="1"/>
  <c r="H54" i="4"/>
  <c r="I54" i="4" s="1"/>
  <c r="H53" i="4"/>
  <c r="I53" i="4" s="1"/>
  <c r="L53" i="4" s="1"/>
  <c r="I47" i="4"/>
  <c r="H47" i="4"/>
  <c r="I46" i="4"/>
  <c r="H46" i="4"/>
  <c r="H45" i="4"/>
  <c r="I45" i="4" s="1"/>
  <c r="I44" i="4"/>
  <c r="H44" i="4"/>
  <c r="H43" i="4"/>
  <c r="I43" i="4" s="1"/>
  <c r="H42" i="4"/>
  <c r="I42" i="4" s="1"/>
  <c r="H41" i="4"/>
  <c r="I41" i="4" s="1"/>
  <c r="H40" i="4"/>
  <c r="I40" i="4" s="1"/>
  <c r="H39" i="4"/>
  <c r="I39" i="4" s="1"/>
  <c r="I38" i="4"/>
  <c r="H38" i="4"/>
  <c r="I37" i="4"/>
  <c r="H37" i="4"/>
  <c r="H36" i="4"/>
  <c r="I36" i="4" s="1"/>
  <c r="I35" i="4"/>
  <c r="H35" i="4"/>
  <c r="I34" i="4"/>
  <c r="H34" i="4"/>
  <c r="H33" i="4"/>
  <c r="I33" i="4" s="1"/>
  <c r="I32" i="4"/>
  <c r="H32" i="4"/>
  <c r="I31" i="4"/>
  <c r="H31" i="4"/>
  <c r="H30" i="4"/>
  <c r="I30" i="4" s="1"/>
  <c r="H29" i="4"/>
  <c r="I29" i="4" s="1"/>
  <c r="H28" i="4"/>
  <c r="I28" i="4" s="1"/>
  <c r="H27" i="4"/>
  <c r="I27" i="4" s="1"/>
  <c r="I26" i="4"/>
  <c r="H26" i="4"/>
  <c r="H25" i="4"/>
  <c r="I25" i="4" s="1"/>
  <c r="I24" i="4"/>
  <c r="H24" i="4"/>
  <c r="H23" i="4"/>
  <c r="I23" i="4" s="1"/>
  <c r="I22" i="4"/>
  <c r="H22" i="4"/>
  <c r="H21" i="4"/>
  <c r="I21" i="4" s="1"/>
  <c r="I20" i="4"/>
  <c r="H20" i="4"/>
  <c r="I19" i="4"/>
  <c r="H19" i="4"/>
  <c r="I18" i="4"/>
  <c r="H18" i="4"/>
  <c r="H17" i="4"/>
  <c r="I17" i="4" s="1"/>
  <c r="H16" i="4"/>
  <c r="I16" i="4" s="1"/>
  <c r="H15" i="4"/>
  <c r="I15" i="4" s="1"/>
  <c r="I14" i="4"/>
  <c r="H14" i="4"/>
  <c r="I13" i="4"/>
  <c r="H13" i="4"/>
  <c r="I12" i="4"/>
  <c r="H12" i="4"/>
  <c r="I11" i="4"/>
  <c r="H11" i="4"/>
  <c r="I10" i="4"/>
  <c r="H10" i="4"/>
  <c r="H9" i="4"/>
  <c r="I9" i="4" s="1"/>
  <c r="I8" i="4"/>
  <c r="H8" i="4"/>
  <c r="I7" i="4"/>
  <c r="H7" i="4"/>
  <c r="I6" i="4"/>
  <c r="H6" i="4"/>
  <c r="I188" i="3"/>
  <c r="H188" i="3"/>
  <c r="I187" i="3"/>
  <c r="H187" i="3"/>
  <c r="H186" i="3"/>
  <c r="I186" i="3" s="1"/>
  <c r="I185" i="3"/>
  <c r="H185" i="3"/>
  <c r="H184" i="3"/>
  <c r="I184" i="3" s="1"/>
  <c r="I183" i="3"/>
  <c r="H183" i="3"/>
  <c r="H182" i="3"/>
  <c r="I182" i="3" s="1"/>
  <c r="H181" i="3"/>
  <c r="I181" i="3" s="1"/>
  <c r="I180" i="3"/>
  <c r="H180" i="3"/>
  <c r="I179" i="3"/>
  <c r="H179" i="3"/>
  <c r="H178" i="3"/>
  <c r="I178" i="3" s="1"/>
  <c r="I177" i="3"/>
  <c r="H177" i="3"/>
  <c r="H176" i="3"/>
  <c r="I176" i="3" s="1"/>
  <c r="L151" i="3" s="1"/>
  <c r="H175" i="3"/>
  <c r="I175" i="3" s="1"/>
  <c r="I174" i="3"/>
  <c r="H174" i="3"/>
  <c r="I173" i="3"/>
  <c r="H173" i="3"/>
  <c r="H172" i="3"/>
  <c r="I172" i="3" s="1"/>
  <c r="I171" i="3"/>
  <c r="H171" i="3"/>
  <c r="H170" i="3"/>
  <c r="I170" i="3" s="1"/>
  <c r="H169" i="3"/>
  <c r="I169" i="3" s="1"/>
  <c r="I168" i="3"/>
  <c r="H168" i="3"/>
  <c r="I167" i="3"/>
  <c r="H167" i="3"/>
  <c r="H166" i="3"/>
  <c r="I166" i="3" s="1"/>
  <c r="I165" i="3"/>
  <c r="H165" i="3"/>
  <c r="H164" i="3"/>
  <c r="I164" i="3" s="1"/>
  <c r="H163" i="3"/>
  <c r="I163" i="3" s="1"/>
  <c r="I162" i="3"/>
  <c r="H162" i="3"/>
  <c r="I161" i="3"/>
  <c r="H161" i="3"/>
  <c r="H160" i="3"/>
  <c r="I160" i="3" s="1"/>
  <c r="I159" i="3"/>
  <c r="H159" i="3"/>
  <c r="I158" i="3"/>
  <c r="H158" i="3"/>
  <c r="H157" i="3"/>
  <c r="I157" i="3" s="1"/>
  <c r="I156" i="3"/>
  <c r="H156" i="3"/>
  <c r="I155" i="3"/>
  <c r="H155" i="3"/>
  <c r="H154" i="3"/>
  <c r="I154" i="3" s="1"/>
  <c r="H153" i="3"/>
  <c r="I153" i="3" s="1"/>
  <c r="L148" i="3" s="1"/>
  <c r="H152" i="3"/>
  <c r="I152" i="3" s="1"/>
  <c r="H151" i="3"/>
  <c r="I151" i="3" s="1"/>
  <c r="H150" i="3"/>
  <c r="I150" i="3" s="1"/>
  <c r="H149" i="3"/>
  <c r="I149" i="3" s="1"/>
  <c r="L147" i="3" s="1"/>
  <c r="I148" i="3"/>
  <c r="H148" i="3"/>
  <c r="I147" i="3"/>
  <c r="H147" i="3"/>
  <c r="I141" i="3"/>
  <c r="H141" i="3"/>
  <c r="I140" i="3"/>
  <c r="H140" i="3"/>
  <c r="H139" i="3"/>
  <c r="I139" i="3" s="1"/>
  <c r="I138" i="3"/>
  <c r="H138" i="3"/>
  <c r="H137" i="3"/>
  <c r="I137" i="3" s="1"/>
  <c r="I136" i="3"/>
  <c r="H136" i="3"/>
  <c r="I135" i="3"/>
  <c r="H135" i="3"/>
  <c r="I134" i="3"/>
  <c r="H134" i="3"/>
  <c r="H133" i="3"/>
  <c r="I133" i="3" s="1"/>
  <c r="H132" i="3"/>
  <c r="I132" i="3" s="1"/>
  <c r="H131" i="3"/>
  <c r="I131" i="3" s="1"/>
  <c r="I130" i="3"/>
  <c r="H130" i="3"/>
  <c r="I129" i="3"/>
  <c r="H129" i="3"/>
  <c r="I128" i="3"/>
  <c r="H128" i="3"/>
  <c r="H127" i="3"/>
  <c r="I127" i="3" s="1"/>
  <c r="H126" i="3"/>
  <c r="I126" i="3" s="1"/>
  <c r="H125" i="3"/>
  <c r="I125" i="3" s="1"/>
  <c r="I124" i="3"/>
  <c r="H124" i="3"/>
  <c r="I123" i="3"/>
  <c r="H123" i="3"/>
  <c r="I122" i="3"/>
  <c r="H122" i="3"/>
  <c r="H121" i="3"/>
  <c r="I121" i="3" s="1"/>
  <c r="H120" i="3"/>
  <c r="I120" i="3" s="1"/>
  <c r="H119" i="3"/>
  <c r="I119" i="3" s="1"/>
  <c r="I118" i="3"/>
  <c r="H118" i="3"/>
  <c r="I117" i="3"/>
  <c r="H117" i="3"/>
  <c r="I116" i="3"/>
  <c r="H116" i="3"/>
  <c r="H115" i="3"/>
  <c r="I115" i="3" s="1"/>
  <c r="I114" i="3"/>
  <c r="H114" i="3"/>
  <c r="H113" i="3"/>
  <c r="I113" i="3" s="1"/>
  <c r="I112" i="3"/>
  <c r="L102" i="3" s="1"/>
  <c r="H112" i="3"/>
  <c r="I111" i="3"/>
  <c r="H111" i="3"/>
  <c r="I110" i="3"/>
  <c r="H110" i="3"/>
  <c r="H109" i="3"/>
  <c r="I109" i="3" s="1"/>
  <c r="H108" i="3"/>
  <c r="I108" i="3" s="1"/>
  <c r="I107" i="3"/>
  <c r="H107" i="3"/>
  <c r="I106" i="3"/>
  <c r="H106" i="3"/>
  <c r="H105" i="3"/>
  <c r="I105" i="3" s="1"/>
  <c r="I104" i="3"/>
  <c r="H104" i="3"/>
  <c r="H103" i="3"/>
  <c r="I103" i="3" s="1"/>
  <c r="H102" i="3"/>
  <c r="I102" i="3" s="1"/>
  <c r="H101" i="3"/>
  <c r="I101" i="3" s="1"/>
  <c r="H100" i="3"/>
  <c r="I100" i="3" s="1"/>
  <c r="H94" i="3"/>
  <c r="I94" i="3" s="1"/>
  <c r="H93" i="3"/>
  <c r="I93" i="3" s="1"/>
  <c r="I92" i="3"/>
  <c r="H92" i="3"/>
  <c r="I91" i="3"/>
  <c r="H91" i="3"/>
  <c r="H90" i="3"/>
  <c r="I90" i="3" s="1"/>
  <c r="H89" i="3"/>
  <c r="I89" i="3" s="1"/>
  <c r="H88" i="3"/>
  <c r="I88" i="3" s="1"/>
  <c r="H87" i="3"/>
  <c r="I87" i="3" s="1"/>
  <c r="I86" i="3"/>
  <c r="H86" i="3"/>
  <c r="I85" i="3"/>
  <c r="H85" i="3"/>
  <c r="H84" i="3"/>
  <c r="I84" i="3" s="1"/>
  <c r="H83" i="3"/>
  <c r="I83" i="3" s="1"/>
  <c r="H82" i="3"/>
  <c r="I82" i="3" s="1"/>
  <c r="H81" i="3"/>
  <c r="I81" i="3" s="1"/>
  <c r="I80" i="3"/>
  <c r="H80" i="3"/>
  <c r="I79" i="3"/>
  <c r="H79" i="3"/>
  <c r="H78" i="3"/>
  <c r="I78" i="3" s="1"/>
  <c r="H77" i="3"/>
  <c r="I77" i="3" s="1"/>
  <c r="H76" i="3"/>
  <c r="I76" i="3" s="1"/>
  <c r="H75" i="3"/>
  <c r="I75" i="3" s="1"/>
  <c r="I74" i="3"/>
  <c r="H74" i="3"/>
  <c r="I73" i="3"/>
  <c r="H73" i="3"/>
  <c r="H72" i="3"/>
  <c r="I72" i="3" s="1"/>
  <c r="H71" i="3"/>
  <c r="I71" i="3" s="1"/>
  <c r="H70" i="3"/>
  <c r="I70" i="3" s="1"/>
  <c r="H69" i="3"/>
  <c r="I69" i="3" s="1"/>
  <c r="I68" i="3"/>
  <c r="H68" i="3"/>
  <c r="I67" i="3"/>
  <c r="H67" i="3"/>
  <c r="H66" i="3"/>
  <c r="I66" i="3" s="1"/>
  <c r="L55" i="3" s="1"/>
  <c r="H65" i="3"/>
  <c r="I65" i="3" s="1"/>
  <c r="H64" i="3"/>
  <c r="I64" i="3" s="1"/>
  <c r="H63" i="3"/>
  <c r="I63" i="3" s="1"/>
  <c r="I62" i="3"/>
  <c r="H62" i="3"/>
  <c r="I61" i="3"/>
  <c r="H61" i="3"/>
  <c r="H60" i="3"/>
  <c r="I60" i="3" s="1"/>
  <c r="H59" i="3"/>
  <c r="I59" i="3" s="1"/>
  <c r="H58" i="3"/>
  <c r="I58" i="3" s="1"/>
  <c r="I57" i="3"/>
  <c r="H57" i="3"/>
  <c r="H56" i="3"/>
  <c r="I56" i="3" s="1"/>
  <c r="H55" i="3"/>
  <c r="I55" i="3" s="1"/>
  <c r="I54" i="3"/>
  <c r="H54" i="3"/>
  <c r="I53" i="3"/>
  <c r="H53" i="3"/>
  <c r="H47" i="3"/>
  <c r="I47" i="3" s="1"/>
  <c r="H46" i="3"/>
  <c r="I46" i="3" s="1"/>
  <c r="H45" i="3"/>
  <c r="I45" i="3" s="1"/>
  <c r="H44" i="3"/>
  <c r="I44" i="3" s="1"/>
  <c r="I43" i="3"/>
  <c r="H43" i="3"/>
  <c r="I42" i="3"/>
  <c r="H42" i="3"/>
  <c r="H41" i="3"/>
  <c r="I41" i="3" s="1"/>
  <c r="H40" i="3"/>
  <c r="I40" i="3" s="1"/>
  <c r="I39" i="3"/>
  <c r="H39" i="3"/>
  <c r="H38" i="3"/>
  <c r="I38" i="3" s="1"/>
  <c r="I37" i="3"/>
  <c r="H37" i="3"/>
  <c r="I36" i="3"/>
  <c r="H36" i="3"/>
  <c r="H35" i="3"/>
  <c r="I35" i="3" s="1"/>
  <c r="H34" i="3"/>
  <c r="I34" i="3" s="1"/>
  <c r="I33" i="3"/>
  <c r="H33" i="3"/>
  <c r="H32" i="3"/>
  <c r="I32" i="3" s="1"/>
  <c r="I31" i="3"/>
  <c r="L10" i="3" s="1"/>
  <c r="H31" i="3"/>
  <c r="I30" i="3"/>
  <c r="H30" i="3"/>
  <c r="H29" i="3"/>
  <c r="I29" i="3" s="1"/>
  <c r="H28" i="3"/>
  <c r="I28" i="3" s="1"/>
  <c r="H27" i="3"/>
  <c r="I27" i="3" s="1"/>
  <c r="H26" i="3"/>
  <c r="I26" i="3" s="1"/>
  <c r="I25" i="3"/>
  <c r="H25" i="3"/>
  <c r="I24" i="3"/>
  <c r="H24" i="3"/>
  <c r="H23" i="3"/>
  <c r="I23" i="3" s="1"/>
  <c r="H22" i="3"/>
  <c r="I22" i="3" s="1"/>
  <c r="H21" i="3"/>
  <c r="I21" i="3" s="1"/>
  <c r="H20" i="3"/>
  <c r="I20" i="3" s="1"/>
  <c r="I19" i="3"/>
  <c r="H19" i="3"/>
  <c r="I18" i="3"/>
  <c r="H18" i="3"/>
  <c r="H17" i="3"/>
  <c r="I17" i="3" s="1"/>
  <c r="H16" i="3"/>
  <c r="I16" i="3" s="1"/>
  <c r="I15" i="3"/>
  <c r="H15" i="3"/>
  <c r="H14" i="3"/>
  <c r="I14" i="3" s="1"/>
  <c r="H13" i="3"/>
  <c r="I13" i="3" s="1"/>
  <c r="I12" i="3"/>
  <c r="H12" i="3"/>
  <c r="H11" i="3"/>
  <c r="I11" i="3" s="1"/>
  <c r="I10" i="3"/>
  <c r="H10" i="3"/>
  <c r="I9" i="3"/>
  <c r="H9" i="3"/>
  <c r="I8" i="3"/>
  <c r="H8" i="3"/>
  <c r="H7" i="3"/>
  <c r="I7" i="3" s="1"/>
  <c r="H6" i="3"/>
  <c r="I6" i="3" s="1"/>
  <c r="L6" i="3" s="1"/>
  <c r="L9" i="3" l="1"/>
  <c r="L54" i="3"/>
  <c r="L152" i="3"/>
  <c r="L13" i="13"/>
  <c r="L101" i="4"/>
  <c r="L107" i="4" s="1"/>
  <c r="L103" i="3"/>
  <c r="L59" i="3"/>
  <c r="L58" i="4"/>
  <c r="L11" i="5"/>
  <c r="L12" i="12"/>
  <c r="L124" i="15"/>
  <c r="L104" i="3"/>
  <c r="L11" i="14"/>
  <c r="L194" i="16"/>
  <c r="L54" i="4"/>
  <c r="L60" i="4" s="1"/>
  <c r="L53" i="3"/>
  <c r="L11" i="6"/>
  <c r="L84" i="9"/>
  <c r="L58" i="3"/>
  <c r="L152" i="4"/>
  <c r="L83" i="8"/>
  <c r="L86" i="8"/>
  <c r="L9" i="9"/>
  <c r="L150" i="3"/>
  <c r="L10" i="7"/>
  <c r="L123" i="15"/>
  <c r="L9" i="4"/>
  <c r="L151" i="4"/>
  <c r="L57" i="3"/>
  <c r="L8" i="4"/>
  <c r="L102" i="4"/>
  <c r="L81" i="8"/>
  <c r="L9" i="13"/>
  <c r="L188" i="16"/>
  <c r="L12" i="4"/>
  <c r="L7" i="5"/>
  <c r="L13" i="5" s="1"/>
  <c r="L6" i="7"/>
  <c r="L84" i="8"/>
  <c r="L13" i="15"/>
  <c r="L7" i="3"/>
  <c r="L13" i="3" s="1"/>
  <c r="L7" i="4"/>
  <c r="L8" i="6"/>
  <c r="L11" i="8"/>
  <c r="L8" i="9"/>
  <c r="L55" i="15"/>
  <c r="L57" i="15"/>
  <c r="L186" i="15"/>
  <c r="L9" i="5"/>
  <c r="L8" i="5"/>
  <c r="L52" i="15"/>
  <c r="L55" i="4"/>
  <c r="L150" i="4"/>
  <c r="L12" i="7"/>
  <c r="L86" i="7"/>
  <c r="L106" i="3"/>
  <c r="L11" i="4"/>
  <c r="L12" i="6"/>
  <c r="L6" i="9"/>
  <c r="L83" i="10"/>
  <c r="L84" i="10"/>
  <c r="L83" i="7"/>
  <c r="L56" i="3"/>
  <c r="L59" i="4"/>
  <c r="L6" i="6"/>
  <c r="L7" i="6"/>
  <c r="L81" i="7"/>
  <c r="L85" i="8"/>
  <c r="L9" i="15"/>
  <c r="L9" i="6"/>
  <c r="L101" i="3"/>
  <c r="L100" i="3"/>
  <c r="L11" i="3"/>
  <c r="L105" i="3"/>
  <c r="L10" i="4"/>
  <c r="L10" i="10"/>
  <c r="L11" i="12"/>
  <c r="L187" i="15"/>
  <c r="L7" i="12"/>
  <c r="L106" i="4"/>
  <c r="L120" i="15"/>
  <c r="L147" i="4"/>
  <c r="L82" i="7"/>
  <c r="L85" i="7"/>
  <c r="L54" i="15"/>
  <c r="L121" i="15"/>
  <c r="L126" i="15" s="1"/>
  <c r="L153" i="3"/>
  <c r="L12" i="5"/>
  <c r="L190" i="15"/>
  <c r="L123" i="16"/>
  <c r="L124" i="16"/>
  <c r="L82" i="9"/>
  <c r="L11" i="10"/>
  <c r="L87" i="10"/>
  <c r="L58" i="15"/>
  <c r="L191" i="15"/>
  <c r="L6" i="14"/>
  <c r="L149" i="3"/>
  <c r="L154" i="3" s="1"/>
  <c r="L83" i="9"/>
  <c r="L7" i="7"/>
  <c r="L10" i="11"/>
  <c r="L11" i="11"/>
  <c r="L12" i="11"/>
  <c r="L12" i="14"/>
  <c r="L8" i="3"/>
  <c r="L84" i="7"/>
  <c r="L87" i="8"/>
  <c r="L81" i="10"/>
  <c r="L10" i="14"/>
  <c r="L6" i="4"/>
  <c r="L12" i="3"/>
  <c r="L11" i="7"/>
  <c r="L10" i="8"/>
  <c r="L7" i="9"/>
  <c r="L6" i="10"/>
  <c r="L7" i="11"/>
  <c r="L125" i="15"/>
  <c r="L6" i="8"/>
  <c r="L12" i="10"/>
  <c r="L9" i="10"/>
  <c r="L7" i="13"/>
  <c r="L6" i="16"/>
  <c r="L120" i="16"/>
  <c r="L87" i="9"/>
  <c r="L86" i="10"/>
  <c r="L6" i="12"/>
  <c r="L13" i="12" s="1"/>
  <c r="L12" i="9"/>
  <c r="L10" i="12"/>
  <c r="L10" i="15"/>
  <c r="L189" i="15"/>
  <c r="L81" i="9"/>
  <c r="L86" i="9"/>
  <c r="L8" i="13"/>
  <c r="L8" i="14"/>
  <c r="L9" i="16"/>
  <c r="L9" i="12"/>
  <c r="L122" i="15"/>
  <c r="L56" i="15"/>
  <c r="L12" i="16"/>
  <c r="L188" i="15"/>
  <c r="L53" i="16"/>
  <c r="L59" i="16" s="1"/>
  <c r="L7" i="10"/>
  <c r="L82" i="10"/>
  <c r="L85" i="10"/>
  <c r="L6" i="11"/>
  <c r="L8" i="16"/>
  <c r="L54" i="16"/>
  <c r="L58" i="16"/>
  <c r="L7" i="16"/>
  <c r="L56" i="16"/>
  <c r="L12" i="15"/>
  <c r="L125" i="16"/>
  <c r="L126" i="16"/>
  <c r="L191" i="16"/>
  <c r="L192" i="15"/>
  <c r="L57" i="16"/>
  <c r="L192" i="16"/>
  <c r="L60" i="3" l="1"/>
  <c r="L107" i="3"/>
  <c r="L13" i="8"/>
  <c r="L154" i="4"/>
  <c r="L13" i="4"/>
  <c r="L13" i="9"/>
  <c r="L127" i="16"/>
  <c r="L88" i="10"/>
  <c r="L88" i="8"/>
  <c r="L13" i="6"/>
  <c r="L59" i="15"/>
  <c r="L13" i="16"/>
  <c r="L13" i="7"/>
  <c r="L13" i="11"/>
  <c r="L13" i="14"/>
  <c r="L193" i="15"/>
  <c r="L88" i="9"/>
  <c r="L13" i="10"/>
  <c r="L88" i="7"/>
</calcChain>
</file>

<file path=xl/sharedStrings.xml><?xml version="1.0" encoding="utf-8"?>
<sst xmlns="http://schemas.openxmlformats.org/spreadsheetml/2006/main" count="5012" uniqueCount="431">
  <si>
    <t>INSTRUCTIONS FOR J.2_PRICE SCHEDULE</t>
  </si>
  <si>
    <r>
      <rPr>
        <b/>
        <sz val="11"/>
        <color theme="1"/>
        <rFont val="Arial"/>
      </rPr>
      <t xml:space="preserve">1) Vendors shall only fill out the </t>
    </r>
    <r>
      <rPr>
        <b/>
        <sz val="11"/>
        <color rgb="FFFF00FF"/>
        <rFont val="Arial"/>
      </rPr>
      <t>pink</t>
    </r>
    <r>
      <rPr>
        <b/>
        <sz val="11"/>
        <color theme="1"/>
        <rFont val="Arial"/>
      </rPr>
      <t xml:space="preserve"> "UNIT PRICE" Column cells for which capabilities they are proposing to, per subcategory, if applicable. </t>
    </r>
  </si>
  <si>
    <t xml:space="preserve">2) "Data License Descriptions" defines the various types of data option licenses that shall be made available under the IDIQ contract. </t>
  </si>
  <si>
    <r>
      <rPr>
        <b/>
        <sz val="11"/>
        <color theme="1"/>
        <rFont val="Arial"/>
      </rPr>
      <t xml:space="preserve">3) Worksheet tabs titled, </t>
    </r>
    <r>
      <rPr>
        <b/>
        <i/>
        <sz val="11"/>
        <color theme="1"/>
        <rFont val="Arial"/>
      </rPr>
      <t>"FC # - DATA TECH (Base/Option)"</t>
    </r>
    <r>
      <rPr>
        <b/>
        <sz val="11"/>
        <color theme="1"/>
        <rFont val="Arial"/>
      </rPr>
      <t>, once filled-in will reflect the offerors' maximum IDIQ ceiling rates for each of the corresponding Quantity and Data Options. These worksheets will also contain offerors' extended prices for the proposed scenarios presented in order for the Government to arrive at a Total Evaluted Price (TEP). The TEP is essentially the sum of the Extended Scenario Prices for 365 days per Functional Category, per License, and per Subcategory when applicable. The TEP is for Fair and Reasonable evaluation purposes only and does not reflect award value.</t>
    </r>
  </si>
  <si>
    <t xml:space="preserve">4) If a vendor anticipates an ability to provide more quantity than listed, an additonal row, or rows, should be inserted for each "Data License Option" by copying and pasting the ENTIRE previous row. The vendor would then enter the "Quantity" "UNIT PRICE" and "Max Quantity" into the additional row for each "Data License Option". There is no limit to how many rows can be added. </t>
  </si>
  <si>
    <t>5) Functional Category 1 GNSS-RO Unit prices reflect SOW C.4.4 Enhanced Data Requirements including enhanced Signal-Noise Ratio's as well as Temporal Resolution.</t>
  </si>
  <si>
    <t>NOTES:</t>
  </si>
  <si>
    <t>- When Unit Prices are applied per individual quantity, the award will be calculated by multiplying the Unit Price corresponding to the quantity awarded by the actual quantity awarded. Unit Prices for lower quantity ranges will not be applied. Only one Unit Price will be used per data type (e.g., RO, High SNR RO, TEC, ETC.).
Example: If 6,000 RO are awarded per day, the daily award will be calculated using the Unit Price for the 5,001–10,000 RO/day range, multiplied by 6,000.</t>
  </si>
  <si>
    <t>- When Unit Prices are applied per # of satellites, the award will be calculated by multiplying the Unit Price corresponding to the # of satellites awarded per day by the actual number of satellites awarded. Unit Prices for lower satellite quantities will not apply. Only one Unit Price will be used per data type.
Example: If 2 satellites of MWS observations are awarded per day, the daily award will be calculated using the Unit Price for 2 satellites, multiplied by 2.</t>
  </si>
  <si>
    <t>- When Unit Prices are applied per km², the award will be calculated by multiplying the Unit Price corresponding to the km² awarded per day by the actual km² awarded. Unit Prices for lower km² ranges will not apply. Only one Unit Price will be used per data type.
Example: If 1M km² of Multispectral Imagery observations are awarded per day, the daily award will be calculated using the Unit Price for the 500,001–1M km² range, multiplied by 1,000,000.</t>
  </si>
  <si>
    <t>Commercial Data Licensing Options</t>
  </si>
  <si>
    <t>Option 1:</t>
  </si>
  <si>
    <t>Right to distribute all Contractor-provided data to any entity immediately after receipt at NOAA with no restrictions on their use or further distribution, under a Creative Commons Attribution 4.0 International license (CC BY 4.0).</t>
  </si>
  <si>
    <t>Option 2:</t>
  </si>
  <si>
    <t>Right to distribute all Contractor-provided data to U.S. Government agencies, International Partners, including but not limited to those responsible for national meteorological, space weather, or hydrological services, and National Meteorological and Hydrological Services, WMO-designated Regional Specialized Meteorological Centers, members of the Coordination Group for Meteorological Satellites, and non-profit entities and academic entities, immediately after receipt at NOAA, for non-commercial use but not for further distribution.</t>
  </si>
  <si>
    <t>Option 2A:</t>
  </si>
  <si>
    <t>In addition to the rights under Option 2, Option 1 rights will apply to all Contractor-provided data beginning at 24 hours after collection.</t>
  </si>
  <si>
    <t>Option 3:</t>
  </si>
  <si>
    <t>Right to distribute all Contractor-provided data to U.S. Government agencies, International Partners, including but not limited to those responsible for national meteorological, space weather, or hydrological services, and National Meteorological and Hydrological Services, WMO-designated Regional Specialized Meteorological Centers, and members of the Coordination Group for Meteorological Satellites, immediately after receipt at NOAA, for non-commercial use but not for further distribution.</t>
  </si>
  <si>
    <t>Option 3A:</t>
  </si>
  <si>
    <t>In addition to the rights under Option 3, Option 1 rights will apply to all Contractor-provided data beginning at 24 hours after collection.</t>
  </si>
  <si>
    <t>Option 4:</t>
  </si>
  <si>
    <t>Distribution to U.S. government agencies for non-commercial use and no further distribution (except to contractors and affiliates for use on agency behalf).</t>
  </si>
  <si>
    <t>Option 4a:</t>
  </si>
  <si>
    <t>In addition to the rights under Option 4, Option 1 rights will apply to all Contractor-provided data beginning at 24 hours after collection.</t>
  </si>
  <si>
    <t>FUNCTIONAL CATEGORY 1: GLOBAL NAVIGATION SATELLITE SYSTEM-RADIO OCCULTATION (GNSS-RO)</t>
  </si>
  <si>
    <t>BASE Period</t>
  </si>
  <si>
    <t>Subcategory 1: Neutral Atmosphere Products (to include Enhanced Data Requirements - see SoW C.4.4.)</t>
  </si>
  <si>
    <t xml:space="preserve">SCHEDULE </t>
  </si>
  <si>
    <t>FC1 Subcategory 1: Extended Scenario Price (ESP)</t>
  </si>
  <si>
    <t>ITEM NO.
FC1.####</t>
  </si>
  <si>
    <t>Data License Option</t>
  </si>
  <si>
    <t>SUPPLIES</t>
  </si>
  <si>
    <t>QTY</t>
  </si>
  <si>
    <t>UNIT</t>
  </si>
  <si>
    <t>UNIT PRICE</t>
  </si>
  <si>
    <t>Max Quantity</t>
  </si>
  <si>
    <t>Max Price per Day</t>
  </si>
  <si>
    <t>Max Price per Year</t>
  </si>
  <si>
    <t>License</t>
  </si>
  <si>
    <t>FC1 Total Evaluated Price Subcategory 1
BASE Period</t>
  </si>
  <si>
    <t>0001</t>
  </si>
  <si>
    <r>
      <rPr>
        <sz val="11"/>
        <color rgb="FFFF0000"/>
        <rFont val="Arial"/>
      </rPr>
      <t>RO Profiles</t>
    </r>
    <r>
      <rPr>
        <sz val="11"/>
        <color theme="1"/>
        <rFont val="Arial"/>
      </rPr>
      <t xml:space="preserve"> per Day</t>
    </r>
  </si>
  <si>
    <t>EA</t>
  </si>
  <si>
    <t>501-1,000</t>
  </si>
  <si>
    <t>1,001-5,000</t>
  </si>
  <si>
    <t>2A</t>
  </si>
  <si>
    <t>5,001-10,000</t>
  </si>
  <si>
    <t>10,001-20,000</t>
  </si>
  <si>
    <t>3A</t>
  </si>
  <si>
    <t>20,001-30,000</t>
  </si>
  <si>
    <t>0002</t>
  </si>
  <si>
    <r>
      <rPr>
        <sz val="11"/>
        <color rgb="FFFF0000"/>
        <rFont val="Arial"/>
      </rPr>
      <t>RO Profiles</t>
    </r>
    <r>
      <rPr>
        <sz val="11"/>
        <color theme="1"/>
        <rFont val="Arial"/>
      </rPr>
      <t xml:space="preserve"> per Day</t>
    </r>
  </si>
  <si>
    <t>4A</t>
  </si>
  <si>
    <t>FC1 SC1 TOTAL</t>
  </si>
  <si>
    <t>0003</t>
  </si>
  <si>
    <r>
      <rPr>
        <sz val="11"/>
        <color rgb="FFFF0000"/>
        <rFont val="Arial"/>
      </rPr>
      <t>RO Profiles</t>
    </r>
    <r>
      <rPr>
        <sz val="11"/>
        <color theme="1"/>
        <rFont val="Arial"/>
      </rPr>
      <t xml:space="preserve"> per Day</t>
    </r>
  </si>
  <si>
    <t>0004</t>
  </si>
  <si>
    <r>
      <rPr>
        <sz val="11"/>
        <color rgb="FFFF0000"/>
        <rFont val="Arial"/>
      </rPr>
      <t>RO Profiles</t>
    </r>
    <r>
      <rPr>
        <sz val="11"/>
        <color theme="1"/>
        <rFont val="Arial"/>
      </rPr>
      <t xml:space="preserve"> per Day</t>
    </r>
  </si>
  <si>
    <t>0005</t>
  </si>
  <si>
    <r>
      <rPr>
        <sz val="11"/>
        <color rgb="FFFF0000"/>
        <rFont val="Arial"/>
      </rPr>
      <t>RO Profiles</t>
    </r>
    <r>
      <rPr>
        <sz val="11"/>
        <color theme="1"/>
        <rFont val="Arial"/>
      </rPr>
      <t xml:space="preserve"> per Day</t>
    </r>
  </si>
  <si>
    <t>0006</t>
  </si>
  <si>
    <r>
      <rPr>
        <sz val="11"/>
        <color rgb="FFFF0000"/>
        <rFont val="Arial"/>
      </rPr>
      <t>RO Profiles</t>
    </r>
    <r>
      <rPr>
        <sz val="11"/>
        <color theme="1"/>
        <rFont val="Arial"/>
      </rPr>
      <t xml:space="preserve"> per Day</t>
    </r>
  </si>
  <si>
    <t>0007</t>
  </si>
  <si>
    <r>
      <rPr>
        <sz val="11"/>
        <color rgb="FFFF0000"/>
        <rFont val="Arial"/>
      </rPr>
      <t>RO Profiles</t>
    </r>
    <r>
      <rPr>
        <sz val="11"/>
        <color theme="1"/>
        <rFont val="Arial"/>
      </rPr>
      <t xml:space="preserve"> per Day</t>
    </r>
  </si>
  <si>
    <t>Subcategory 2: Polarimetric RO (PRO) Products</t>
  </si>
  <si>
    <t>FC1 Subcategory 2: Extended Scenario Price (ESP)</t>
  </si>
  <si>
    <t>Max quantity</t>
  </si>
  <si>
    <t>FC1 Total Evaluated Price Subcategory 2
BASE Period</t>
  </si>
  <si>
    <t>0008</t>
  </si>
  <si>
    <r>
      <rPr>
        <sz val="11"/>
        <color rgb="FFFF0000"/>
        <rFont val="Arial"/>
      </rPr>
      <t>PRO Profiles</t>
    </r>
    <r>
      <rPr>
        <sz val="11"/>
        <color theme="1"/>
        <rFont val="Arial"/>
      </rPr>
      <t xml:space="preserve"> per Day</t>
    </r>
  </si>
  <si>
    <t>0009</t>
  </si>
  <si>
    <r>
      <rPr>
        <sz val="11"/>
        <color rgb="FFFF0000"/>
        <rFont val="Arial"/>
      </rPr>
      <t>PRO Profiles</t>
    </r>
    <r>
      <rPr>
        <sz val="11"/>
        <color theme="1"/>
        <rFont val="Arial"/>
      </rPr>
      <t xml:space="preserve"> per Day</t>
    </r>
  </si>
  <si>
    <t>FC1 SC2 TOTAL</t>
  </si>
  <si>
    <t>0010</t>
  </si>
  <si>
    <r>
      <rPr>
        <sz val="11"/>
        <color rgb="FFFF0000"/>
        <rFont val="Arial"/>
      </rPr>
      <t>PRO Profiles</t>
    </r>
    <r>
      <rPr>
        <sz val="11"/>
        <color theme="1"/>
        <rFont val="Arial"/>
      </rPr>
      <t xml:space="preserve"> per Day</t>
    </r>
  </si>
  <si>
    <t>0011</t>
  </si>
  <si>
    <r>
      <rPr>
        <sz val="11"/>
        <color rgb="FFFF0000"/>
        <rFont val="Arial"/>
      </rPr>
      <t>PRO Profiles</t>
    </r>
    <r>
      <rPr>
        <sz val="11"/>
        <color theme="1"/>
        <rFont val="Arial"/>
      </rPr>
      <t xml:space="preserve"> per Day</t>
    </r>
  </si>
  <si>
    <t>0012</t>
  </si>
  <si>
    <r>
      <rPr>
        <sz val="11"/>
        <color rgb="FFFF0000"/>
        <rFont val="Arial"/>
      </rPr>
      <t>PRO Profiles</t>
    </r>
    <r>
      <rPr>
        <sz val="11"/>
        <color theme="1"/>
        <rFont val="Arial"/>
      </rPr>
      <t xml:space="preserve"> per Day</t>
    </r>
  </si>
  <si>
    <t>0013</t>
  </si>
  <si>
    <r>
      <rPr>
        <sz val="11"/>
        <color rgb="FFFF0000"/>
        <rFont val="Arial"/>
      </rPr>
      <t>PRO Profiles</t>
    </r>
    <r>
      <rPr>
        <sz val="11"/>
        <color theme="1"/>
        <rFont val="Arial"/>
      </rPr>
      <t xml:space="preserve"> per Day</t>
    </r>
  </si>
  <si>
    <t>0014</t>
  </si>
  <si>
    <r>
      <rPr>
        <sz val="11"/>
        <color rgb="FFFF0000"/>
        <rFont val="Arial"/>
      </rPr>
      <t>PRO Profiles</t>
    </r>
    <r>
      <rPr>
        <sz val="11"/>
        <color theme="1"/>
        <rFont val="Arial"/>
      </rPr>
      <t xml:space="preserve"> per Day</t>
    </r>
  </si>
  <si>
    <t>Subcategory 3: Space Weather Total Electron Content (TEC) Products</t>
  </si>
  <si>
    <t>FC1 Subcategory 3: Extended Scenario Price (ESP)</t>
  </si>
  <si>
    <t>FC1 Total Evaluated Price Subcategory 3
BASE Period</t>
  </si>
  <si>
    <t>0015</t>
  </si>
  <si>
    <r>
      <rPr>
        <sz val="11"/>
        <color rgb="FFFF0000"/>
        <rFont val="Arial"/>
      </rPr>
      <t xml:space="preserve">Ionospheric Tracks </t>
    </r>
    <r>
      <rPr>
        <sz val="11"/>
        <color theme="1"/>
        <rFont val="Arial"/>
      </rPr>
      <t>per Day</t>
    </r>
  </si>
  <si>
    <t>0016</t>
  </si>
  <si>
    <r>
      <rPr>
        <sz val="11"/>
        <color rgb="FFFF0000"/>
        <rFont val="Arial"/>
      </rPr>
      <t xml:space="preserve">Ionospheric Tracks </t>
    </r>
    <r>
      <rPr>
        <sz val="11"/>
        <color theme="1"/>
        <rFont val="Arial"/>
      </rPr>
      <t>per Day</t>
    </r>
  </si>
  <si>
    <t>FC1 SC3 TOTAL</t>
  </si>
  <si>
    <t>0017</t>
  </si>
  <si>
    <r>
      <rPr>
        <sz val="11"/>
        <color rgb="FFFF0000"/>
        <rFont val="Arial"/>
      </rPr>
      <t xml:space="preserve">Ionospheric Tracks </t>
    </r>
    <r>
      <rPr>
        <sz val="11"/>
        <color theme="1"/>
        <rFont val="Arial"/>
      </rPr>
      <t>per Day</t>
    </r>
  </si>
  <si>
    <t>0018</t>
  </si>
  <si>
    <r>
      <rPr>
        <sz val="11"/>
        <color rgb="FFFF0000"/>
        <rFont val="Arial"/>
      </rPr>
      <t xml:space="preserve">Ionospheric Tracks </t>
    </r>
    <r>
      <rPr>
        <sz val="11"/>
        <color theme="1"/>
        <rFont val="Arial"/>
      </rPr>
      <t>per Day</t>
    </r>
  </si>
  <si>
    <t>0019</t>
  </si>
  <si>
    <r>
      <rPr>
        <sz val="11"/>
        <color rgb="FFFF0000"/>
        <rFont val="Arial"/>
      </rPr>
      <t xml:space="preserve">Ionospheric Tracks </t>
    </r>
    <r>
      <rPr>
        <sz val="11"/>
        <color theme="1"/>
        <rFont val="Arial"/>
      </rPr>
      <t>per Day</t>
    </r>
  </si>
  <si>
    <t>0020</t>
  </si>
  <si>
    <r>
      <rPr>
        <sz val="11"/>
        <color rgb="FFFF0000"/>
        <rFont val="Arial"/>
      </rPr>
      <t xml:space="preserve">Ionospheric Tracks </t>
    </r>
    <r>
      <rPr>
        <sz val="11"/>
        <color theme="1"/>
        <rFont val="Arial"/>
      </rPr>
      <t>per Day</t>
    </r>
  </si>
  <si>
    <t>0021</t>
  </si>
  <si>
    <r>
      <rPr>
        <sz val="11"/>
        <color rgb="FFFF0000"/>
        <rFont val="Arial"/>
      </rPr>
      <t xml:space="preserve">Ionospheric Tracks </t>
    </r>
    <r>
      <rPr>
        <sz val="11"/>
        <color theme="1"/>
        <rFont val="Arial"/>
      </rPr>
      <t>per Day</t>
    </r>
  </si>
  <si>
    <t>Subcategory 4: Space Weather Scintillation Products</t>
  </si>
  <si>
    <t>FC1 Subcategory 4: Extended Scenario Price (ESP)</t>
  </si>
  <si>
    <t>FC1 Total Evaluated Price Subcategory 4
BASE Period</t>
  </si>
  <si>
    <t>0022</t>
  </si>
  <si>
    <r>
      <rPr>
        <sz val="11"/>
        <color rgb="FFFF0000"/>
        <rFont val="Arial"/>
      </rPr>
      <t xml:space="preserve">Ionospheric Tracks </t>
    </r>
    <r>
      <rPr>
        <sz val="11"/>
        <color theme="1"/>
        <rFont val="Arial"/>
      </rPr>
      <t>per Day</t>
    </r>
  </si>
  <si>
    <t>0023</t>
  </si>
  <si>
    <r>
      <rPr>
        <sz val="11"/>
        <color rgb="FFFF0000"/>
        <rFont val="Arial"/>
      </rPr>
      <t xml:space="preserve">Ionospheric Tracks </t>
    </r>
    <r>
      <rPr>
        <sz val="11"/>
        <color theme="1"/>
        <rFont val="Arial"/>
      </rPr>
      <t>per Day</t>
    </r>
  </si>
  <si>
    <t>FC1 SC4 TOTAL</t>
  </si>
  <si>
    <t>0024</t>
  </si>
  <si>
    <r>
      <rPr>
        <sz val="11"/>
        <color rgb="FFFF0000"/>
        <rFont val="Arial"/>
      </rPr>
      <t xml:space="preserve">Ionospheric Tracks </t>
    </r>
    <r>
      <rPr>
        <sz val="11"/>
        <color theme="1"/>
        <rFont val="Arial"/>
      </rPr>
      <t>per Day</t>
    </r>
  </si>
  <si>
    <t>0025</t>
  </si>
  <si>
    <r>
      <rPr>
        <sz val="11"/>
        <color rgb="FFFF0000"/>
        <rFont val="Arial"/>
      </rPr>
      <t xml:space="preserve">Ionospheric Tracks </t>
    </r>
    <r>
      <rPr>
        <sz val="11"/>
        <color theme="1"/>
        <rFont val="Arial"/>
      </rPr>
      <t>per Day</t>
    </r>
  </si>
  <si>
    <t>0026</t>
  </si>
  <si>
    <r>
      <rPr>
        <sz val="11"/>
        <color rgb="FFFF0000"/>
        <rFont val="Arial"/>
      </rPr>
      <t xml:space="preserve">Ionospheric Tracks </t>
    </r>
    <r>
      <rPr>
        <sz val="11"/>
        <color theme="1"/>
        <rFont val="Arial"/>
      </rPr>
      <t>per Day</t>
    </r>
  </si>
  <si>
    <t>0027</t>
  </si>
  <si>
    <r>
      <rPr>
        <sz val="11"/>
        <color rgb="FFFF0000"/>
        <rFont val="Arial"/>
      </rPr>
      <t xml:space="preserve">Ionospheric Tracks </t>
    </r>
    <r>
      <rPr>
        <sz val="11"/>
        <color theme="1"/>
        <rFont val="Arial"/>
      </rPr>
      <t>per Day</t>
    </r>
  </si>
  <si>
    <t>0028</t>
  </si>
  <si>
    <r>
      <rPr>
        <sz val="11"/>
        <color rgb="FFFF0000"/>
        <rFont val="Arial"/>
      </rPr>
      <t xml:space="preserve">Ionospheric Tracks </t>
    </r>
    <r>
      <rPr>
        <sz val="11"/>
        <color theme="1"/>
        <rFont val="Arial"/>
      </rPr>
      <t>per Day</t>
    </r>
  </si>
  <si>
    <t>OPTION Period</t>
  </si>
  <si>
    <t>FC1 Total Evaluated Price Subcategory 1
OPTION Period</t>
  </si>
  <si>
    <r>
      <rPr>
        <sz val="11"/>
        <color rgb="FFFF0000"/>
        <rFont val="Arial"/>
      </rPr>
      <t>RO Profiles</t>
    </r>
    <r>
      <rPr>
        <sz val="11"/>
        <color theme="1"/>
        <rFont val="Arial"/>
      </rPr>
      <t xml:space="preserve"> per Day</t>
    </r>
  </si>
  <si>
    <r>
      <rPr>
        <sz val="11"/>
        <color rgb="FFFF0000"/>
        <rFont val="Arial"/>
      </rPr>
      <t>RO Profiles</t>
    </r>
    <r>
      <rPr>
        <sz val="11"/>
        <color theme="1"/>
        <rFont val="Arial"/>
      </rPr>
      <t xml:space="preserve"> per Day</t>
    </r>
  </si>
  <si>
    <r>
      <rPr>
        <sz val="11"/>
        <color rgb="FFFF0000"/>
        <rFont val="Arial"/>
      </rPr>
      <t>RO Profiles</t>
    </r>
    <r>
      <rPr>
        <sz val="11"/>
        <color theme="1"/>
        <rFont val="Arial"/>
      </rPr>
      <t xml:space="preserve"> per Day</t>
    </r>
  </si>
  <si>
    <r>
      <rPr>
        <sz val="11"/>
        <color rgb="FFFF0000"/>
        <rFont val="Arial"/>
      </rPr>
      <t>RO Profiles</t>
    </r>
    <r>
      <rPr>
        <sz val="11"/>
        <color theme="1"/>
        <rFont val="Arial"/>
      </rPr>
      <t xml:space="preserve"> per Day</t>
    </r>
  </si>
  <si>
    <r>
      <rPr>
        <sz val="11"/>
        <color rgb="FFFF0000"/>
        <rFont val="Arial"/>
      </rPr>
      <t>RO Profiles</t>
    </r>
    <r>
      <rPr>
        <sz val="11"/>
        <color theme="1"/>
        <rFont val="Arial"/>
      </rPr>
      <t xml:space="preserve"> per Day</t>
    </r>
  </si>
  <si>
    <r>
      <rPr>
        <sz val="11"/>
        <color rgb="FFFF0000"/>
        <rFont val="Arial"/>
      </rPr>
      <t>RO Profiles</t>
    </r>
    <r>
      <rPr>
        <sz val="11"/>
        <color theme="1"/>
        <rFont val="Arial"/>
      </rPr>
      <t xml:space="preserve"> per Day</t>
    </r>
  </si>
  <si>
    <r>
      <rPr>
        <sz val="11"/>
        <color rgb="FFFF0000"/>
        <rFont val="Arial"/>
      </rPr>
      <t>RO Profiles</t>
    </r>
    <r>
      <rPr>
        <sz val="11"/>
        <color theme="1"/>
        <rFont val="Arial"/>
      </rPr>
      <t xml:space="preserve"> per Day</t>
    </r>
  </si>
  <si>
    <t>FC1 Total Evaluated Price Subcategory 2
OPTION Period</t>
  </si>
  <si>
    <r>
      <rPr>
        <sz val="11"/>
        <color rgb="FFFF0000"/>
        <rFont val="Arial"/>
      </rPr>
      <t>PRO Profiles</t>
    </r>
    <r>
      <rPr>
        <sz val="11"/>
        <color theme="1"/>
        <rFont val="Arial"/>
      </rPr>
      <t xml:space="preserve"> per Day</t>
    </r>
  </si>
  <si>
    <r>
      <rPr>
        <sz val="11"/>
        <color rgb="FFFF0000"/>
        <rFont val="Arial"/>
      </rPr>
      <t>PRO Profiles</t>
    </r>
    <r>
      <rPr>
        <sz val="11"/>
        <color theme="1"/>
        <rFont val="Arial"/>
      </rPr>
      <t xml:space="preserve"> per Day</t>
    </r>
  </si>
  <si>
    <r>
      <rPr>
        <sz val="11"/>
        <color rgb="FFFF0000"/>
        <rFont val="Arial"/>
      </rPr>
      <t>PRO Profiles</t>
    </r>
    <r>
      <rPr>
        <sz val="11"/>
        <color theme="1"/>
        <rFont val="Arial"/>
      </rPr>
      <t xml:space="preserve"> per Day</t>
    </r>
  </si>
  <si>
    <r>
      <rPr>
        <sz val="11"/>
        <color rgb="FFFF0000"/>
        <rFont val="Arial"/>
      </rPr>
      <t>PRO Profiles</t>
    </r>
    <r>
      <rPr>
        <sz val="11"/>
        <color theme="1"/>
        <rFont val="Arial"/>
      </rPr>
      <t xml:space="preserve"> per Day</t>
    </r>
  </si>
  <si>
    <r>
      <rPr>
        <sz val="11"/>
        <color rgb="FFFF0000"/>
        <rFont val="Arial"/>
      </rPr>
      <t>PRO Profiles</t>
    </r>
    <r>
      <rPr>
        <sz val="11"/>
        <color theme="1"/>
        <rFont val="Arial"/>
      </rPr>
      <t xml:space="preserve"> per Day</t>
    </r>
  </si>
  <si>
    <r>
      <rPr>
        <sz val="11"/>
        <color rgb="FFFF0000"/>
        <rFont val="Arial"/>
      </rPr>
      <t>PRO Profiles</t>
    </r>
    <r>
      <rPr>
        <sz val="11"/>
        <color theme="1"/>
        <rFont val="Arial"/>
      </rPr>
      <t xml:space="preserve"> per Day</t>
    </r>
  </si>
  <si>
    <r>
      <rPr>
        <sz val="11"/>
        <color rgb="FFFF0000"/>
        <rFont val="Arial"/>
      </rPr>
      <t>PRO Profiles</t>
    </r>
    <r>
      <rPr>
        <sz val="11"/>
        <color theme="1"/>
        <rFont val="Arial"/>
      </rPr>
      <t xml:space="preserve"> per Day</t>
    </r>
  </si>
  <si>
    <t>FC1 Total Evaluated Price Subcategory 3
OPTION Period</t>
  </si>
  <si>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</si>
  <si>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</si>
  <si>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</si>
  <si>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</si>
  <si>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</si>
  <si>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</si>
  <si>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</si>
  <si>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t>FC1 Total Evaluated Price Subcategory 4
OPTION Period</t>
  </si>
  <si>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</si>
  <si>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</si>
  <si>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</si>
  <si>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</si>
  <si>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</si>
  <si>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</si>
  <si>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r>
      <rPr>
        <sz val="11"/>
        <color rgb="FFFF0000"/>
        <rFont val="Arial"/>
      </rPr>
      <t xml:space="preserve">Ionospheric Tracks </t>
    </r>
    <r>
      <rPr>
        <sz val="11"/>
        <color theme="1"/>
        <rFont val="Arial"/>
      </rPr>
      <t>per Day</t>
    </r>
  </si>
  <si>
    <t>FUNCTIONAL CATEGORY 2: GLOBAL NAVIGATION SATELLITE SYSTEM-REFLECTOMETRY (GNSS-R)</t>
  </si>
  <si>
    <t>FC2: Extended Scenario Price (ESP)</t>
  </si>
  <si>
    <t>ITEM NO.
FC2.####</t>
  </si>
  <si>
    <t>FC2 Total Evaluated Price BASE Period</t>
  </si>
  <si>
    <r>
      <rPr>
        <sz val="11"/>
        <color rgb="FFFF0000"/>
        <rFont val="Arial"/>
      </rPr>
      <t>Tracks</t>
    </r>
    <r>
      <rPr>
        <sz val="11"/>
        <color theme="1"/>
        <rFont val="Arial"/>
      </rPr>
      <t xml:space="preserve"> per Day</t>
    </r>
  </si>
  <si>
    <t>101-200</t>
  </si>
  <si>
    <t>201-500</t>
  </si>
  <si>
    <t>501-1000</t>
  </si>
  <si>
    <t>1001-1500</t>
  </si>
  <si>
    <t>1501-2000</t>
  </si>
  <si>
    <t>2001-3000</t>
  </si>
  <si>
    <r>
      <rPr>
        <sz val="11"/>
        <color rgb="FFFF0000"/>
        <rFont val="Arial"/>
      </rPr>
      <t>Tracks</t>
    </r>
    <r>
      <rPr>
        <sz val="11"/>
        <color theme="1"/>
        <rFont val="Arial"/>
      </rPr>
      <t xml:space="preserve"> per Day</t>
    </r>
  </si>
  <si>
    <t>FC2 TOTAL</t>
  </si>
  <si>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</si>
  <si>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</si>
  <si>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</si>
  <si>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</si>
  <si>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</si>
  <si>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t>FC2 Total Evaluated Price OPTION Period</t>
  </si>
  <si>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</si>
  <si>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</si>
  <si>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</si>
  <si>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</si>
  <si>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</si>
  <si>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</si>
  <si>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r>
      <rPr>
        <sz val="11"/>
        <color rgb="FFFF0000"/>
        <rFont val="Arial"/>
      </rPr>
      <t>Tracks</t>
    </r>
    <r>
      <rPr>
        <sz val="11"/>
        <color theme="1"/>
        <rFont val="Arial"/>
      </rPr>
      <t xml:space="preserve"> per Day</t>
    </r>
  </si>
  <si>
    <t>FUNCTIONAL CATEGORY 3: MICROWAVE SOUNDER (MWS)</t>
  </si>
  <si>
    <t>Subcategory 1: Traditional (non-HyperSpectral) MWS</t>
  </si>
  <si>
    <t>FC3: Extended Scenario Price (ESP)</t>
  </si>
  <si>
    <t>ITEM NO.
FC3.####</t>
  </si>
  <si>
    <t># of satellites</t>
  </si>
  <si>
    <t>FC3 Subcategory 1 Total Evaluated Price BASE Period</t>
  </si>
  <si>
    <r>
      <rPr>
        <sz val="11"/>
        <color rgb="FFFF0000"/>
        <rFont val="Arial"/>
      </rPr>
      <t xml:space="preserve">Satellites </t>
    </r>
    <r>
      <rPr>
        <sz val="11"/>
        <color theme="1"/>
        <rFont val="Arial"/>
      </rPr>
      <t>per Day</t>
    </r>
  </si>
  <si>
    <t>FC3 SC1 TOTAL</t>
  </si>
  <si>
    <t>15-19</t>
  </si>
  <si>
    <t>20-30</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</si>
  <si>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</si>
  <si>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</si>
  <si>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</si>
  <si>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</si>
  <si>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</si>
  <si>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</si>
  <si>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Subcategory 2: HyperSpectral MWS</t>
  </si>
  <si>
    <t>FC3 Subcategory 2 Total Evaluated Price BASE Period</t>
  </si>
  <si>
    <r>
      <rPr>
        <sz val="11"/>
        <color rgb="FFFF0000"/>
        <rFont val="Arial"/>
      </rPr>
      <t xml:space="preserve">Satellites </t>
    </r>
    <r>
      <rPr>
        <sz val="11"/>
        <color theme="1"/>
        <rFont val="Arial"/>
      </rPr>
      <t>per Day</t>
    </r>
  </si>
  <si>
    <t>FC3 SC2 TOTAL</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</si>
  <si>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</si>
  <si>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</si>
  <si>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</si>
  <si>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</si>
  <si>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</si>
  <si>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</si>
  <si>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FUNCTIONAL CATEGORY 3: MICROWAVE SOUNDER (MWS) (Includes Traditional and Hyperspectral)</t>
  </si>
  <si>
    <t>FC3 Subcategory 1 Total Evaluated Price OPTION Period</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</si>
  <si>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</si>
  <si>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</si>
  <si>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</si>
  <si>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</si>
  <si>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</si>
  <si>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</si>
  <si>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</si>
  <si>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FC3 Subcategory 2 Total Evaluated Price OPTION Period</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</si>
  <si>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</si>
  <si>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</si>
  <si>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</si>
  <si>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</si>
  <si>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</si>
  <si>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</si>
  <si>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</si>
  <si>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FUNCTIONAL CATEGORY 4: MULTISPECTRAL VISIBLE AND INFRARED IMAGERY (MSI)</t>
  </si>
  <si>
    <t>Subcategory 1: Multispectral Imagery to include Weather and Low-light Imagery</t>
  </si>
  <si>
    <t>FC4 Subcategory 1: Extended Scenario Price (ESP)</t>
  </si>
  <si>
    <t>ITEM NO.
FC4.####</t>
  </si>
  <si>
    <t># of Satellites</t>
  </si>
  <si>
    <t>Max Quantity # of Satellites</t>
  </si>
  <si>
    <t>FC4 Total Evaluated Price Subcategory 1
BASE Period</t>
  </si>
  <si>
    <r>
      <rPr>
        <sz val="11"/>
        <color rgb="FFFF0000"/>
        <rFont val="Arial"/>
      </rPr>
      <t xml:space="preserve">Satellites </t>
    </r>
    <r>
      <rPr>
        <sz val="11"/>
        <color theme="1"/>
        <rFont val="Arial"/>
      </rPr>
      <t>per Day</t>
    </r>
  </si>
  <si>
    <t>FC4 SC1 TOTAL</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</si>
  <si>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</si>
  <si>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</si>
  <si>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</si>
  <si>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</si>
  <si>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</si>
  <si>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</si>
  <si>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Subcategory 2: Multispectral Fire Imagery Applications</t>
  </si>
  <si>
    <t>FC4 Subcategory 2: Extended Scenario Price (ESP)</t>
  </si>
  <si>
    <t>Quantity (km²)</t>
  </si>
  <si>
    <t>Max Quantity (km²)</t>
  </si>
  <si>
    <t>Max Price per Day     (2 Units/day)</t>
  </si>
  <si>
    <t>FC4 Total Evaluated Price Subcategory 2
BASE Period</t>
  </si>
  <si>
    <r>
      <rPr>
        <sz val="11"/>
        <color rgb="FFFF0000"/>
        <rFont val="Arial"/>
      </rPr>
      <t>km²</t>
    </r>
    <r>
      <rPr>
        <sz val="11"/>
        <color rgb="FF000000"/>
        <rFont val="Arial"/>
      </rPr>
      <t xml:space="preserve"> </t>
    </r>
  </si>
  <si>
    <t>100k</t>
  </si>
  <si>
    <t>km²</t>
  </si>
  <si>
    <t>100,001 - 500k</t>
  </si>
  <si>
    <t>500,001 - 1M</t>
  </si>
  <si>
    <t>1,000,001 - 5M</t>
  </si>
  <si>
    <t>5,000,001 - 10M</t>
  </si>
  <si>
    <t>10,000,001 - 50M</t>
  </si>
  <si>
    <t>50,000,001 - 100M</t>
  </si>
  <si>
    <t>100,000,001 - 500M</t>
  </si>
  <si>
    <t>FC4 SC2 TOTAL</t>
  </si>
  <si>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</si>
  <si>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</si>
  <si>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t>100M - 500M</t>
  </si>
  <si>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</si>
  <si>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</si>
  <si>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</si>
  <si>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t>FC4 Total Evaluated Price Subcategory 1
OPTION Period</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</si>
  <si>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</si>
  <si>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</si>
  <si>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</si>
  <si>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</si>
  <si>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</si>
  <si>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</si>
  <si>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</si>
  <si>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FC4 Total Evaluated Price Subcategory 2
OPTION Period</t>
  </si>
  <si>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</si>
  <si>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</si>
  <si>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</si>
  <si>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</si>
  <si>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</si>
  <si>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</si>
  <si>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t>FUNCTIONAL CATEGORY 5: INFRARED SOUNDER (IRS)</t>
  </si>
  <si>
    <t>FC5: Extended Scenario Price (ESP)</t>
  </si>
  <si>
    <t>ITEM NO.
FC5.####</t>
  </si>
  <si>
    <t>Max Quantity # Satellites</t>
  </si>
  <si>
    <t>FC5 Total Evaluated Price BASE Period</t>
  </si>
  <si>
    <r>
      <rPr>
        <sz val="11"/>
        <color rgb="FFFF0000"/>
        <rFont val="Arial"/>
      </rPr>
      <t xml:space="preserve">Satellites </t>
    </r>
    <r>
      <rPr>
        <sz val="11"/>
        <color theme="1"/>
        <rFont val="Arial"/>
      </rPr>
      <t>per Day</t>
    </r>
  </si>
  <si>
    <t>6-7</t>
  </si>
  <si>
    <t>8-9</t>
  </si>
  <si>
    <t>10-14</t>
  </si>
  <si>
    <t>FC5 TOTAL</t>
  </si>
  <si>
    <t>15-20</t>
  </si>
  <si>
    <r>
      <rPr>
        <sz val="11"/>
        <color rgb="FFFF0000"/>
        <rFont val="Arial"/>
      </rPr>
      <t xml:space="preserve">Satellites </t>
    </r>
    <r>
      <rPr>
        <sz val="11"/>
        <color theme="1"/>
        <rFont val="Arial"/>
      </rPr>
      <t>per Day</t>
    </r>
  </si>
  <si>
    <t>0000</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</si>
  <si>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</si>
  <si>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</si>
  <si>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</si>
  <si>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</si>
  <si>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</si>
  <si>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FC5 Total Evaluated Price OPTION Period</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</si>
  <si>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</si>
  <si>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</si>
  <si>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</si>
  <si>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</si>
  <si>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</si>
  <si>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</si>
  <si>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</si>
  <si>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FUNCTIONAL CATEGORY 6: THERMOSPHERIC NEUTRAL DENSITY (TND)</t>
  </si>
  <si>
    <t>FC6: Extended Scenario Price (ESP)</t>
  </si>
  <si>
    <t>ITEM NO.
FC6.####</t>
  </si>
  <si>
    <t>Max Quantity # of Satelltes</t>
  </si>
  <si>
    <t>FC6 Total Evaluated Price BASE Period</t>
  </si>
  <si>
    <r>
      <rPr>
        <sz val="11"/>
        <color rgb="FFFF0000"/>
        <rFont val="Arial"/>
      </rPr>
      <t>Satellites</t>
    </r>
    <r>
      <rPr>
        <sz val="11"/>
        <color theme="1"/>
        <rFont val="Arial"/>
      </rPr>
      <t xml:space="preserve"> per Day</t>
    </r>
  </si>
  <si>
    <t>21-30</t>
  </si>
  <si>
    <t>31-40</t>
  </si>
  <si>
    <t>41-50</t>
  </si>
  <si>
    <t>51-100</t>
  </si>
  <si>
    <t>101-500</t>
  </si>
  <si>
    <t>FC6 TOTAL</t>
  </si>
  <si>
    <t>1001-2000</t>
  </si>
  <si>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</si>
  <si>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</si>
  <si>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</si>
  <si>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</si>
  <si>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</si>
  <si>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</si>
  <si>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t>FC6 Total Evaluated Price OPTION Period</t>
  </si>
  <si>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</si>
  <si>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</si>
  <si>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</si>
  <si>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</si>
  <si>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</si>
  <si>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r>
      <rPr>
        <sz val="11"/>
        <color rgb="FFFF0000"/>
        <rFont val="Arial"/>
      </rPr>
      <t>Satellites</t>
    </r>
    <r>
      <rPr>
        <sz val="11"/>
        <color theme="1"/>
        <rFont val="Arial"/>
      </rPr>
      <t xml:space="preserve"> per Day</t>
    </r>
  </si>
  <si>
    <t>1007</t>
  </si>
  <si>
    <r>
      <rPr>
        <sz val="11"/>
        <color rgb="FFFF0000"/>
        <rFont val="Arial"/>
      </rPr>
      <t>Satellites</t>
    </r>
    <r>
      <rPr>
        <sz val="11"/>
        <color theme="1"/>
        <rFont val="Arial"/>
      </rPr>
      <t xml:space="preserve"> per Day</t>
    </r>
  </si>
  <si>
    <t>FUNCTIONAL CATEGORY 7: ACTIVE SENSORS (AS)</t>
  </si>
  <si>
    <t>Subcategory 1: SAR</t>
  </si>
  <si>
    <t>SCHEDULE (SAR)</t>
  </si>
  <si>
    <t>FC7 SC1: Extended Scenario Price (ESP)</t>
  </si>
  <si>
    <t>ITEM NO.
FC7.####</t>
  </si>
  <si>
    <t>Max Price per Day    (1 Unit/day)</t>
  </si>
  <si>
    <t xml:space="preserve">FC7 SC1 Total Evaluated Price BASE Period (SAR) </t>
  </si>
  <si>
    <r>
      <rPr>
        <sz val="11"/>
        <color rgb="FFFF0000"/>
        <rFont val="Arial"/>
      </rPr>
      <t>km²</t>
    </r>
    <r>
      <rPr>
        <sz val="11"/>
        <color rgb="FF000000"/>
        <rFont val="Arial"/>
      </rPr>
      <t xml:space="preserve"> </t>
    </r>
  </si>
  <si>
    <t>10k</t>
  </si>
  <si>
    <t>10,001 - 50k</t>
  </si>
  <si>
    <t>50,001 - 100k</t>
  </si>
  <si>
    <r>
      <rPr>
        <sz val="11"/>
        <color rgb="FFFF0000"/>
        <rFont val="Arial"/>
      </rPr>
      <t>km²</t>
    </r>
    <r>
      <rPr>
        <sz val="11"/>
        <color rgb="FF000000"/>
        <rFont val="Arial"/>
      </rPr>
      <t xml:space="preserve"> </t>
    </r>
  </si>
  <si>
    <t>FC7 SC1 TOTAL</t>
  </si>
  <si>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</si>
  <si>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</si>
  <si>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</si>
  <si>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</si>
  <si>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</si>
  <si>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t>Subcategory 2: Altimetry</t>
  </si>
  <si>
    <t>SCHEDULE (Altimetry)</t>
  </si>
  <si>
    <t>FC7 SC2: Extended Scenario Price (ESP)</t>
  </si>
  <si>
    <t>FC7 SC2 Total Evaluated Price BASE Period (Altimetry)</t>
  </si>
  <si>
    <r>
      <rPr>
        <sz val="11"/>
        <color rgb="FFFF0000"/>
        <rFont val="Arial"/>
      </rPr>
      <t xml:space="preserve">Satellites </t>
    </r>
    <r>
      <rPr>
        <sz val="11"/>
        <color theme="1"/>
        <rFont val="Arial"/>
      </rPr>
      <t>per Day</t>
    </r>
  </si>
  <si>
    <t>FC7 SC2 TOTAL</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</si>
  <si>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</si>
  <si>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</si>
  <si>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</si>
  <si>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</si>
  <si>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</si>
  <si>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</si>
  <si>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Subcategory 3: K/Ka/Ku-Band Radar</t>
  </si>
  <si>
    <t>SCHEDULE (K/Ka/Ku-Band Radar)</t>
  </si>
  <si>
    <t>FC7 SC3 Extended Scenario Price (ESP)</t>
  </si>
  <si>
    <t>FC7 SC3 Total Evaluated Price BASE Period (K/Ka/Ku-Band Radar)</t>
  </si>
  <si>
    <r>
      <rPr>
        <sz val="11"/>
        <color rgb="FFFF0000"/>
        <rFont val="Arial"/>
      </rPr>
      <t xml:space="preserve">Satellites </t>
    </r>
    <r>
      <rPr>
        <sz val="11"/>
        <color theme="1"/>
        <rFont val="Arial"/>
      </rPr>
      <t>per Day</t>
    </r>
  </si>
  <si>
    <t>FC7 SC3 TOTAL</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</si>
  <si>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</si>
  <si>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</si>
  <si>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</si>
  <si>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</si>
  <si>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</si>
  <si>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</si>
  <si>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Subcategory 4:  Scatterometry</t>
  </si>
  <si>
    <t>SCHEDULE (Scatterometry)</t>
  </si>
  <si>
    <t>FC7 SC4: Extended Scenario Price (ESP)</t>
  </si>
  <si>
    <t>FC7 SC4 Total Evaluated Price BASE Period (Scatterometry)</t>
  </si>
  <si>
    <r>
      <rPr>
        <sz val="11"/>
        <color rgb="FFFF0000"/>
        <rFont val="Arial"/>
      </rPr>
      <t xml:space="preserve">Satellites </t>
    </r>
    <r>
      <rPr>
        <sz val="11"/>
        <color theme="1"/>
        <rFont val="Arial"/>
      </rPr>
      <t>per Day</t>
    </r>
  </si>
  <si>
    <t>FC7 SC4 TOTAL</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</si>
  <si>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</si>
  <si>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</si>
  <si>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</si>
  <si>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</si>
  <si>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</si>
  <si>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</si>
  <si>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Max Price per Day   (1 Unit/day)</t>
  </si>
  <si>
    <t xml:space="preserve">FC7 SC1 Total Evaluated Price OPTION Period (SAR) </t>
  </si>
  <si>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</si>
  <si>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</si>
  <si>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</si>
  <si>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</si>
  <si>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</si>
  <si>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</si>
  <si>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r>
      <rPr>
        <sz val="11"/>
        <color rgb="FFFF0000"/>
        <rFont val="Arial"/>
      </rPr>
      <t>km²</t>
    </r>
    <r>
      <rPr>
        <sz val="11"/>
        <color rgb="FF000000"/>
        <rFont val="Arial"/>
      </rPr>
      <t xml:space="preserve"> </t>
    </r>
  </si>
  <si>
    <t>SCHEDULE (Altimetry, K/Ka/Ku-Band Radar and Scatterometry)</t>
  </si>
  <si>
    <t>FC7 SC2 Total Evaluated Price OPTION Period (Altimetry)</t>
  </si>
  <si>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</si>
  <si>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</si>
  <si>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</si>
  <si>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</si>
  <si>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</si>
  <si>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</si>
  <si>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r>
      <rPr>
        <sz val="11"/>
        <color rgb="FFFF0000"/>
        <rFont val="Arial"/>
      </rPr>
      <t xml:space="preserve">Satellites </t>
    </r>
    <r>
      <rPr>
        <sz val="11"/>
        <color theme="1"/>
        <rFont val="Arial"/>
      </rPr>
      <t>per Day</t>
    </r>
  </si>
  <si>
    <t>FC7 SC3 Total Evaluated Price OPTION Period (K/Ka/Ku-Band Radar)</t>
  </si>
  <si>
    <t>1015</t>
  </si>
  <si>
    <r>
      <rPr>
        <sz val="11"/>
        <color rgb="FFFF0000"/>
        <rFont val="Arial"/>
      </rPr>
      <t xml:space="preserve">Satellites </t>
    </r>
    <r>
      <rPr>
        <sz val="11"/>
        <color theme="1"/>
        <rFont val="Arial"/>
      </rPr>
      <t>per Day</t>
    </r>
  </si>
  <si>
    <t>1016</t>
  </si>
  <si>
    <r>
      <rPr>
        <sz val="11"/>
        <color rgb="FFFF0000"/>
        <rFont val="Arial"/>
      </rPr>
      <t xml:space="preserve">Satellites </t>
    </r>
    <r>
      <rPr>
        <sz val="11"/>
        <color theme="1"/>
        <rFont val="Arial"/>
      </rPr>
      <t>per Day</t>
    </r>
  </si>
  <si>
    <t>1017</t>
  </si>
  <si>
    <r>
      <rPr>
        <sz val="11"/>
        <color rgb="FFFF0000"/>
        <rFont val="Arial"/>
      </rPr>
      <t xml:space="preserve">Satellites </t>
    </r>
    <r>
      <rPr>
        <sz val="11"/>
        <color theme="1"/>
        <rFont val="Arial"/>
      </rPr>
      <t>per Day</t>
    </r>
  </si>
  <si>
    <t>1018</t>
  </si>
  <si>
    <r>
      <rPr>
        <sz val="11"/>
        <color rgb="FFFF0000"/>
        <rFont val="Arial"/>
      </rPr>
      <t xml:space="preserve">Satellites </t>
    </r>
    <r>
      <rPr>
        <sz val="11"/>
        <color theme="1"/>
        <rFont val="Arial"/>
      </rPr>
      <t>per Day</t>
    </r>
  </si>
  <si>
    <t>1019</t>
  </si>
  <si>
    <r>
      <rPr>
        <sz val="11"/>
        <color rgb="FFFF0000"/>
        <rFont val="Arial"/>
      </rPr>
      <t xml:space="preserve">Satellites </t>
    </r>
    <r>
      <rPr>
        <sz val="11"/>
        <color theme="1"/>
        <rFont val="Arial"/>
      </rPr>
      <t>per Day</t>
    </r>
  </si>
  <si>
    <t>1020</t>
  </si>
  <si>
    <r>
      <rPr>
        <sz val="11"/>
        <color rgb="FFFF0000"/>
        <rFont val="Arial"/>
      </rPr>
      <t xml:space="preserve">Satellites </t>
    </r>
    <r>
      <rPr>
        <sz val="11"/>
        <color theme="1"/>
        <rFont val="Arial"/>
      </rPr>
      <t>per Day</t>
    </r>
  </si>
  <si>
    <t>1021</t>
  </si>
  <si>
    <r>
      <rPr>
        <sz val="11"/>
        <color rgb="FFFF0000"/>
        <rFont val="Arial"/>
      </rPr>
      <t xml:space="preserve">Satellites </t>
    </r>
    <r>
      <rPr>
        <sz val="11"/>
        <color theme="1"/>
        <rFont val="Arial"/>
      </rPr>
      <t>per Day</t>
    </r>
  </si>
  <si>
    <t>FC7 SC4 Total Evaluated Price OPTION Period (Scatterometry)</t>
  </si>
  <si>
    <t>1022</t>
  </si>
  <si>
    <r>
      <rPr>
        <sz val="11"/>
        <color rgb="FFFF0000"/>
        <rFont val="Arial"/>
      </rPr>
      <t xml:space="preserve">Satellites </t>
    </r>
    <r>
      <rPr>
        <sz val="11"/>
        <color theme="1"/>
        <rFont val="Arial"/>
      </rPr>
      <t>per Day</t>
    </r>
  </si>
  <si>
    <t>1023</t>
  </si>
  <si>
    <r>
      <rPr>
        <sz val="11"/>
        <color rgb="FFFF0000"/>
        <rFont val="Arial"/>
      </rPr>
      <t xml:space="preserve">Satellites </t>
    </r>
    <r>
      <rPr>
        <sz val="11"/>
        <color theme="1"/>
        <rFont val="Arial"/>
      </rPr>
      <t>per Day</t>
    </r>
  </si>
  <si>
    <t>1024</t>
  </si>
  <si>
    <r>
      <rPr>
        <sz val="11"/>
        <color rgb="FFFF0000"/>
        <rFont val="Arial"/>
      </rPr>
      <t xml:space="preserve">Satellites </t>
    </r>
    <r>
      <rPr>
        <sz val="11"/>
        <color theme="1"/>
        <rFont val="Arial"/>
      </rPr>
      <t>per Day</t>
    </r>
  </si>
  <si>
    <t>1025</t>
  </si>
  <si>
    <r>
      <rPr>
        <sz val="11"/>
        <color rgb="FFFF0000"/>
        <rFont val="Arial"/>
      </rPr>
      <t xml:space="preserve">Satellites </t>
    </r>
    <r>
      <rPr>
        <sz val="11"/>
        <color theme="1"/>
        <rFont val="Arial"/>
      </rPr>
      <t>per Day</t>
    </r>
  </si>
  <si>
    <t>1026</t>
  </si>
  <si>
    <r>
      <rPr>
        <sz val="11"/>
        <color rgb="FFFF0000"/>
        <rFont val="Arial"/>
      </rPr>
      <t xml:space="preserve">Satellites </t>
    </r>
    <r>
      <rPr>
        <sz val="11"/>
        <color theme="1"/>
        <rFont val="Arial"/>
      </rPr>
      <t>per Day</t>
    </r>
  </si>
  <si>
    <t>1027</t>
  </si>
  <si>
    <r>
      <rPr>
        <sz val="11"/>
        <color rgb="FFFF0000"/>
        <rFont val="Arial"/>
      </rPr>
      <t xml:space="preserve">Satellites </t>
    </r>
    <r>
      <rPr>
        <sz val="11"/>
        <color theme="1"/>
        <rFont val="Arial"/>
      </rPr>
      <t>per Day</t>
    </r>
  </si>
  <si>
    <t>1028</t>
  </si>
  <si>
    <r>
      <rPr>
        <sz val="11"/>
        <color rgb="FFFF0000"/>
        <rFont val="Arial"/>
      </rPr>
      <t xml:space="preserve">Satellites </t>
    </r>
    <r>
      <rPr>
        <sz val="11"/>
        <color theme="1"/>
        <rFont val="Arial"/>
      </rPr>
      <t>per 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</si>
</sst>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m\-d"/>
  </numFmts>
  <fonts count="17" x14ac:knownFonts="1">
    <font>
      <sz val="11"/>
      <color theme="1"/>
      <name val="Aptos Narrow"/>
      <scheme val="minor"/>
    </font>
    <font>
      <b/>
      <sz val="14"/>
      <color rgb="FFFFFFFF"/>
      <name val="Aptos Narrow"/>
    </font>
    <font>
      <sz val="11"/>
      <name val="Aptos Narrow"/>
    </font>
    <font>
      <b/>
      <sz val="11"/>
      <color theme="1"/>
      <name val="Arial"/>
    </font>
    <font>
      <b/>
      <sz val="11"/>
      <color theme="1"/>
      <name val="Aptos Narrow"/>
    </font>
    <font>
      <sz val="11"/>
      <color theme="1"/>
      <name val="Arial"/>
    </font>
    <font>
      <sz val="14"/>
      <color theme="1"/>
      <name val="Aptos Narrow"/>
    </font>
    <font>
      <sz val="11"/>
      <color theme="1"/>
      <name val="Aptos Narrow"/>
    </font>
    <font>
      <b/>
      <sz val="14"/>
      <color theme="1"/>
      <name val="Aptos Narrow"/>
    </font>
    <font>
      <b/>
      <sz val="14"/>
      <color theme="1"/>
      <name val="Arial"/>
    </font>
    <font>
      <sz val="11"/>
      <color theme="1"/>
      <name val="Aptos Narrow"/>
      <scheme val="minor"/>
    </font>
    <font>
      <sz val="11"/>
      <color rgb="FFFF0000"/>
      <name val="Arial"/>
    </font>
    <font>
      <sz val="12"/>
      <color theme="1"/>
      <name val="Arial"/>
    </font>
    <font>
      <sz val="14"/>
      <color theme="1"/>
      <name val="Arial"/>
    </font>
    <font>
      <b/>
      <sz val="11"/>
      <color rgb="FFFF00FF"/>
      <name val="Arial"/>
    </font>
    <font>
      <b/>
      <i/>
      <sz val="11"/>
      <color theme="1"/>
      <name val="Arial"/>
    </font>
    <font>
      <sz val="11"/>
      <color rgb="FF000000"/>
      <name val="Arial"/>
    </font>
  </fonts>
  <fills count="23">
    <fill>
      <patternFill patternType="none"/>
    </fill>
    <fill>
      <patternFill patternType="gray125"/>
    </fill>
    <fill>
      <patternFill patternType="solid">
        <fgColor rgb="FF1F497D"/>
        <bgColor rgb="FF1F497D"/>
      </patternFill>
    </fill>
    <fill>
      <patternFill patternType="solid">
        <fgColor rgb="FFFFFFFF"/>
        <bgColor rgb="FFFFFFFF"/>
      </patternFill>
    </fill>
    <fill>
      <patternFill patternType="solid">
        <fgColor rgb="FFF7CB4D"/>
        <bgColor rgb="FFF7CB4D"/>
      </patternFill>
    </fill>
    <fill>
      <patternFill patternType="solid">
        <fgColor rgb="FFFEF8E3"/>
        <bgColor rgb="FFFEF8E3"/>
      </patternFill>
    </fill>
    <fill>
      <patternFill patternType="solid">
        <fgColor rgb="FFFF00FF"/>
        <bgColor rgb="FFFF00FF"/>
      </patternFill>
    </fill>
    <fill>
      <patternFill patternType="solid">
        <fgColor rgb="FFF46524"/>
        <bgColor rgb="FFF46524"/>
      </patternFill>
    </fill>
    <fill>
      <patternFill patternType="solid">
        <fgColor rgb="FFFFE6DD"/>
        <bgColor rgb="FFFFE6DD"/>
      </patternFill>
    </fill>
    <fill>
      <patternFill patternType="solid">
        <fgColor rgb="FF8989EB"/>
        <bgColor rgb="FF8989EB"/>
      </patternFill>
    </fill>
    <fill>
      <patternFill patternType="solid">
        <fgColor rgb="FFE8E7FC"/>
        <bgColor rgb="FFE8E7FC"/>
      </patternFill>
    </fill>
    <fill>
      <patternFill patternType="solid">
        <fgColor rgb="FF78909C"/>
        <bgColor rgb="FF78909C"/>
      </patternFill>
    </fill>
    <fill>
      <patternFill patternType="solid">
        <fgColor rgb="FFEBEFF1"/>
        <bgColor rgb="FFEBEFF1"/>
      </patternFill>
    </fill>
    <fill>
      <patternFill patternType="solid">
        <fgColor rgb="FF5B95F9"/>
        <bgColor rgb="FF5B95F9"/>
      </patternFill>
    </fill>
    <fill>
      <patternFill patternType="solid">
        <fgColor rgb="FFE8F0FE"/>
        <bgColor rgb="FFE8F0FE"/>
      </patternFill>
    </fill>
    <fill>
      <patternFill patternType="solid">
        <fgColor rgb="FF4DD0E1"/>
        <bgColor rgb="FF4DD0E1"/>
      </patternFill>
    </fill>
    <fill>
      <patternFill patternType="solid">
        <fgColor rgb="FFE0F7FA"/>
        <bgColor rgb="FFE0F7FA"/>
      </patternFill>
    </fill>
    <fill>
      <patternFill patternType="solid">
        <fgColor rgb="FF8BC34A"/>
        <bgColor rgb="FF8BC34A"/>
      </patternFill>
    </fill>
    <fill>
      <patternFill patternType="solid">
        <fgColor rgb="FFEEF7E3"/>
        <bgColor rgb="FFEEF7E3"/>
      </patternFill>
    </fill>
    <fill>
      <patternFill patternType="solid">
        <fgColor rgb="FFBDBDBD"/>
        <bgColor rgb="FFBDBDBD"/>
      </patternFill>
    </fill>
    <fill>
      <patternFill patternType="solid">
        <fgColor rgb="FFF3F3F3"/>
        <bgColor rgb="FFF3F3F3"/>
      </patternFill>
    </fill>
    <fill>
      <patternFill patternType="solid">
        <fgColor rgb="FFCCA677"/>
        <bgColor rgb="FFCCA677"/>
      </patternFill>
    </fill>
    <fill>
      <patternFill patternType="solid">
        <fgColor rgb="FFF8F2EB"/>
        <bgColor rgb="FFF8F2EB"/>
      </patternFill>
    </fill>
  </fills>
  <borders count="58">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FBFBF"/>
      </left>
      <right/>
      <top style="thin">
        <color rgb="FFBFBFBF"/>
      </top>
      <bottom style="thin">
        <color rgb="FFBFBFBF"/>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style="medium">
        <color rgb="FF000000"/>
      </right>
      <top style="thin">
        <color rgb="FF000000"/>
      </top>
      <bottom/>
      <diagonal/>
    </border>
    <border>
      <left style="thin">
        <color indexed="64"/>
      </left>
      <right style="thin">
        <color rgb="FF000000"/>
      </right>
      <top style="thin">
        <color rgb="FF000000"/>
      </top>
      <bottom style="thin">
        <color rgb="FF000000"/>
      </bottom>
      <diagonal/>
    </border>
  </borders>
  <cellStyleXfs count="1">
    <xf numFmtId="0" fontId="0" fillId="0" borderId="0"/>
  </cellStyleXfs>
  <cellXfs count="455">
    <xf numFmtId="0" fontId="0" fillId="0" borderId="0" xfId="0" applyFont="1" applyAlignment="1"/>
    <xf numFmtId="0" fontId="3" fillId="0" borderId="0" xfId="0" applyFont="1" applyAlignment="1">
      <alignment horizontal="left" vertical="top" wrapText="1"/>
    </xf>
    <xf numFmtId="0" fontId="4" fillId="0" borderId="0" xfId="0" applyFont="1"/>
    <xf numFmtId="0" fontId="1" fillId="2" borderId="7" xfId="0" applyFont="1" applyFill="1" applyBorder="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4" fillId="3" borderId="8" xfId="0" applyFont="1" applyFill="1" applyBorder="1" applyAlignment="1">
      <alignment vertical="center" wrapText="1"/>
    </xf>
    <xf numFmtId="0" fontId="7" fillId="3" borderId="9" xfId="0" applyFont="1" applyFill="1" applyBorder="1" applyAlignment="1">
      <alignment vertical="center" wrapText="1"/>
    </xf>
    <xf numFmtId="0" fontId="5" fillId="3" borderId="9" xfId="0" applyFont="1" applyFill="1" applyBorder="1" applyAlignment="1">
      <alignment vertical="center" wrapText="1"/>
    </xf>
    <xf numFmtId="0" fontId="3" fillId="3" borderId="8" xfId="0" applyFont="1" applyFill="1" applyBorder="1" applyAlignment="1">
      <alignment vertical="center" wrapText="1"/>
    </xf>
    <xf numFmtId="0" fontId="8" fillId="0" borderId="0" xfId="0" applyFont="1"/>
    <xf numFmtId="0" fontId="9" fillId="0" borderId="0" xfId="0" applyFont="1"/>
    <xf numFmtId="0" fontId="5" fillId="3" borderId="15" xfId="0" applyFont="1" applyFill="1" applyBorder="1" applyAlignment="1">
      <alignment horizontal="center"/>
    </xf>
    <xf numFmtId="0" fontId="5" fillId="3" borderId="16" xfId="0" applyFont="1" applyFill="1" applyBorder="1" applyAlignment="1">
      <alignment horizontal="center" wrapText="1"/>
    </xf>
    <xf numFmtId="0" fontId="7" fillId="3" borderId="17" xfId="0" applyFont="1" applyFill="1" applyBorder="1" applyAlignment="1">
      <alignment horizontal="center" wrapText="1"/>
    </xf>
    <xf numFmtId="0" fontId="7" fillId="3" borderId="17" xfId="0" applyFont="1" applyFill="1" applyBorder="1" applyAlignment="1">
      <alignment horizontal="center"/>
    </xf>
    <xf numFmtId="0" fontId="5" fillId="3" borderId="17" xfId="0" applyFont="1" applyFill="1" applyBorder="1" applyAlignment="1">
      <alignment horizontal="center" wrapText="1"/>
    </xf>
    <xf numFmtId="0" fontId="5" fillId="3" borderId="18" xfId="0" applyFont="1" applyFill="1" applyBorder="1" applyAlignment="1">
      <alignment horizontal="center" wrapText="1"/>
    </xf>
    <xf numFmtId="0" fontId="5" fillId="0" borderId="19" xfId="0" applyFont="1" applyBorder="1" applyAlignment="1">
      <alignment horizontal="center"/>
    </xf>
    <xf numFmtId="0" fontId="5" fillId="0" borderId="19" xfId="0" applyFont="1" applyBorder="1"/>
    <xf numFmtId="49" fontId="5" fillId="5" borderId="20" xfId="0" applyNumberFormat="1" applyFont="1" applyFill="1" applyBorder="1" applyAlignment="1">
      <alignment horizontal="center"/>
    </xf>
    <xf numFmtId="0" fontId="5" fillId="5" borderId="21" xfId="0" applyFont="1" applyFill="1" applyBorder="1" applyAlignment="1">
      <alignment horizontal="center" vertical="center" wrapText="1"/>
    </xf>
    <xf numFmtId="0" fontId="5" fillId="5" borderId="21" xfId="0" applyFont="1" applyFill="1" applyBorder="1" applyAlignment="1">
      <alignment horizontal="center"/>
    </xf>
    <xf numFmtId="0" fontId="7" fillId="5" borderId="21" xfId="0" applyFont="1" applyFill="1" applyBorder="1" applyAlignment="1">
      <alignment horizontal="center"/>
    </xf>
    <xf numFmtId="44" fontId="5" fillId="6" borderId="21" xfId="0" applyNumberFormat="1" applyFont="1" applyFill="1" applyBorder="1" applyAlignment="1">
      <alignment horizontal="center"/>
    </xf>
    <xf numFmtId="0" fontId="5" fillId="5" borderId="21" xfId="0" applyFont="1" applyFill="1" applyBorder="1"/>
    <xf numFmtId="44" fontId="7" fillId="5" borderId="21" xfId="0" applyNumberFormat="1" applyFont="1" applyFill="1" applyBorder="1"/>
    <xf numFmtId="44" fontId="7" fillId="5" borderId="23" xfId="0" applyNumberFormat="1" applyFont="1" applyFill="1" applyBorder="1"/>
    <xf numFmtId="44" fontId="7" fillId="0" borderId="19" xfId="0" applyNumberFormat="1" applyFont="1" applyBorder="1"/>
    <xf numFmtId="49" fontId="5" fillId="3" borderId="24" xfId="0" applyNumberFormat="1" applyFont="1" applyFill="1" applyBorder="1" applyAlignment="1">
      <alignment horizontal="center"/>
    </xf>
    <xf numFmtId="0" fontId="5" fillId="3" borderId="19" xfId="0" applyFont="1" applyFill="1" applyBorder="1" applyAlignment="1">
      <alignment horizontal="center" vertical="center" wrapText="1"/>
    </xf>
    <xf numFmtId="2" fontId="5" fillId="3" borderId="19" xfId="0" applyNumberFormat="1" applyFont="1" applyFill="1" applyBorder="1" applyAlignment="1">
      <alignment horizontal="center"/>
    </xf>
    <xf numFmtId="0" fontId="7" fillId="3" borderId="19" xfId="0" applyFont="1" applyFill="1" applyBorder="1" applyAlignment="1">
      <alignment horizontal="center"/>
    </xf>
    <xf numFmtId="44" fontId="5" fillId="6" borderId="19" xfId="0" applyNumberFormat="1" applyFont="1" applyFill="1" applyBorder="1" applyAlignment="1">
      <alignment horizontal="center"/>
    </xf>
    <xf numFmtId="0" fontId="5" fillId="3" borderId="19" xfId="0" applyFont="1" applyFill="1" applyBorder="1"/>
    <xf numFmtId="44" fontId="7" fillId="3" borderId="19" xfId="0" applyNumberFormat="1" applyFont="1" applyFill="1" applyBorder="1"/>
    <xf numFmtId="44" fontId="7" fillId="3" borderId="26" xfId="0" applyNumberFormat="1" applyFont="1" applyFill="1" applyBorder="1"/>
    <xf numFmtId="49" fontId="5" fillId="5" borderId="24" xfId="0" applyNumberFormat="1" applyFont="1" applyFill="1" applyBorder="1" applyAlignment="1">
      <alignment horizontal="center"/>
    </xf>
    <xf numFmtId="0" fontId="5" fillId="5" borderId="19" xfId="0" applyFont="1" applyFill="1" applyBorder="1" applyAlignment="1">
      <alignment horizontal="center" vertical="center" wrapText="1"/>
    </xf>
    <xf numFmtId="0" fontId="5" fillId="5" borderId="19" xfId="0" applyFont="1" applyFill="1" applyBorder="1" applyAlignment="1">
      <alignment horizontal="center"/>
    </xf>
    <xf numFmtId="0" fontId="7" fillId="5" borderId="19" xfId="0" applyFont="1" applyFill="1" applyBorder="1" applyAlignment="1">
      <alignment horizontal="center"/>
    </xf>
    <xf numFmtId="0" fontId="5" fillId="5" borderId="19" xfId="0" applyFont="1" applyFill="1" applyBorder="1"/>
    <xf numFmtId="44" fontId="7" fillId="5" borderId="19" xfId="0" applyNumberFormat="1" applyFont="1" applyFill="1" applyBorder="1"/>
    <xf numFmtId="44" fontId="7" fillId="5" borderId="26" xfId="0" applyNumberFormat="1" applyFont="1" applyFill="1" applyBorder="1"/>
    <xf numFmtId="2" fontId="5" fillId="5" borderId="19" xfId="0" applyNumberFormat="1" applyFont="1" applyFill="1" applyBorder="1" applyAlignment="1">
      <alignment horizontal="center"/>
    </xf>
    <xf numFmtId="0" fontId="5" fillId="0" borderId="27" xfId="0" applyFont="1" applyBorder="1" applyAlignment="1">
      <alignment horizontal="center"/>
    </xf>
    <xf numFmtId="44" fontId="7" fillId="0" borderId="27" xfId="0" applyNumberFormat="1" applyFont="1" applyBorder="1"/>
    <xf numFmtId="49" fontId="5" fillId="3" borderId="28" xfId="0" applyNumberFormat="1" applyFont="1" applyFill="1" applyBorder="1" applyAlignment="1">
      <alignment horizontal="center"/>
    </xf>
    <xf numFmtId="0" fontId="5" fillId="3" borderId="29" xfId="0" applyFont="1" applyFill="1" applyBorder="1" applyAlignment="1">
      <alignment horizontal="center" vertical="center" wrapText="1"/>
    </xf>
    <xf numFmtId="2" fontId="5" fillId="3" borderId="29" xfId="0" applyNumberFormat="1" applyFont="1" applyFill="1" applyBorder="1" applyAlignment="1">
      <alignment horizontal="center"/>
    </xf>
    <xf numFmtId="0" fontId="7" fillId="3" borderId="29" xfId="0" applyFont="1" applyFill="1" applyBorder="1" applyAlignment="1">
      <alignment horizontal="center"/>
    </xf>
    <xf numFmtId="44" fontId="5" fillId="6" borderId="31" xfId="0" applyNumberFormat="1" applyFont="1" applyFill="1" applyBorder="1" applyAlignment="1">
      <alignment horizontal="center"/>
    </xf>
    <xf numFmtId="0" fontId="5" fillId="3" borderId="29" xfId="0" applyFont="1" applyFill="1" applyBorder="1"/>
    <xf numFmtId="44" fontId="7" fillId="3" borderId="29" xfId="0" applyNumberFormat="1" applyFont="1" applyFill="1" applyBorder="1"/>
    <xf numFmtId="44" fontId="7" fillId="3" borderId="32" xfId="0" applyNumberFormat="1" applyFont="1" applyFill="1" applyBorder="1"/>
    <xf numFmtId="49" fontId="5" fillId="5" borderId="33" xfId="0" applyNumberFormat="1" applyFont="1" applyFill="1" applyBorder="1" applyAlignment="1">
      <alignment horizontal="center"/>
    </xf>
    <xf numFmtId="0" fontId="5" fillId="5" borderId="31" xfId="0" applyFont="1" applyFill="1" applyBorder="1" applyAlignment="1">
      <alignment horizontal="center" vertical="center" wrapText="1"/>
    </xf>
    <xf numFmtId="0" fontId="5" fillId="5" borderId="31" xfId="0" applyFont="1" applyFill="1" applyBorder="1" applyAlignment="1">
      <alignment horizontal="center"/>
    </xf>
    <xf numFmtId="0" fontId="7" fillId="5" borderId="31" xfId="0" applyFont="1" applyFill="1" applyBorder="1" applyAlignment="1">
      <alignment horizontal="center"/>
    </xf>
    <xf numFmtId="0" fontId="5" fillId="5" borderId="31" xfId="0" applyFont="1" applyFill="1" applyBorder="1"/>
    <xf numFmtId="44" fontId="7" fillId="5" borderId="31" xfId="0" applyNumberFormat="1" applyFont="1" applyFill="1" applyBorder="1"/>
    <xf numFmtId="44" fontId="7" fillId="5" borderId="35" xfId="0" applyNumberFormat="1" applyFont="1" applyFill="1" applyBorder="1"/>
    <xf numFmtId="49" fontId="7" fillId="3" borderId="24" xfId="0" applyNumberFormat="1" applyFont="1" applyFill="1" applyBorder="1" applyAlignment="1">
      <alignment horizontal="center"/>
    </xf>
    <xf numFmtId="49" fontId="7" fillId="3" borderId="28" xfId="0" applyNumberFormat="1" applyFont="1" applyFill="1" applyBorder="1" applyAlignment="1">
      <alignment horizontal="center"/>
    </xf>
    <xf numFmtId="44" fontId="7" fillId="6" borderId="21" xfId="0" applyNumberFormat="1" applyFont="1" applyFill="1" applyBorder="1" applyAlignment="1">
      <alignment horizontal="center"/>
    </xf>
    <xf numFmtId="44" fontId="7" fillId="6" borderId="19" xfId="0" applyNumberFormat="1" applyFont="1" applyFill="1" applyBorder="1" applyAlignment="1">
      <alignment horizontal="center"/>
    </xf>
    <xf numFmtId="44" fontId="7" fillId="6" borderId="29" xfId="0" applyNumberFormat="1" applyFont="1" applyFill="1" applyBorder="1" applyAlignment="1">
      <alignment horizontal="center"/>
    </xf>
    <xf numFmtId="0" fontId="7" fillId="0" borderId="0" xfId="0" applyFont="1"/>
    <xf numFmtId="0" fontId="7" fillId="3" borderId="28" xfId="0" applyFont="1" applyFill="1" applyBorder="1" applyAlignment="1">
      <alignment horizontal="center"/>
    </xf>
    <xf numFmtId="0" fontId="7" fillId="3" borderId="29" xfId="0" applyFont="1" applyFill="1" applyBorder="1" applyAlignment="1">
      <alignment horizontal="center" wrapText="1"/>
    </xf>
    <xf numFmtId="0" fontId="5" fillId="3" borderId="29" xfId="0" applyFont="1" applyFill="1" applyBorder="1" applyAlignment="1">
      <alignment wrapText="1"/>
    </xf>
    <xf numFmtId="0" fontId="5" fillId="3" borderId="32" xfId="0" applyFont="1" applyFill="1" applyBorder="1" applyAlignment="1">
      <alignment horizontal="center" wrapText="1"/>
    </xf>
    <xf numFmtId="49" fontId="5" fillId="8" borderId="20" xfId="0" applyNumberFormat="1" applyFont="1" applyFill="1" applyBorder="1" applyAlignment="1">
      <alignment horizontal="center"/>
    </xf>
    <xf numFmtId="0" fontId="7" fillId="8" borderId="21" xfId="0" applyFont="1" applyFill="1" applyBorder="1" applyAlignment="1">
      <alignment horizontal="center" vertical="center" wrapText="1"/>
    </xf>
    <xf numFmtId="0" fontId="5" fillId="8" borderId="21" xfId="0" applyFont="1" applyFill="1" applyBorder="1" applyAlignment="1">
      <alignment horizontal="center"/>
    </xf>
    <xf numFmtId="0" fontId="7" fillId="8" borderId="21" xfId="0" applyFont="1" applyFill="1" applyBorder="1" applyAlignment="1">
      <alignment horizontal="center"/>
    </xf>
    <xf numFmtId="0" fontId="5" fillId="8" borderId="21" xfId="0" applyFont="1" applyFill="1" applyBorder="1"/>
    <xf numFmtId="44" fontId="7" fillId="8" borderId="21" xfId="0" applyNumberFormat="1" applyFont="1" applyFill="1" applyBorder="1"/>
    <xf numFmtId="44" fontId="7" fillId="8" borderId="23" xfId="0" applyNumberFormat="1" applyFont="1" applyFill="1" applyBorder="1"/>
    <xf numFmtId="0" fontId="7" fillId="3" borderId="19" xfId="0" applyFont="1" applyFill="1" applyBorder="1" applyAlignment="1">
      <alignment horizontal="center" vertical="center" wrapText="1"/>
    </xf>
    <xf numFmtId="49" fontId="5" fillId="8" borderId="24" xfId="0" applyNumberFormat="1" applyFont="1" applyFill="1" applyBorder="1" applyAlignment="1">
      <alignment horizontal="center"/>
    </xf>
    <xf numFmtId="0" fontId="7" fillId="8" borderId="19" xfId="0" applyFont="1" applyFill="1" applyBorder="1" applyAlignment="1">
      <alignment horizontal="center" vertical="center" wrapText="1"/>
    </xf>
    <xf numFmtId="0" fontId="5" fillId="8" borderId="19" xfId="0" applyFont="1" applyFill="1" applyBorder="1" applyAlignment="1">
      <alignment horizontal="center"/>
    </xf>
    <xf numFmtId="0" fontId="7" fillId="8" borderId="19" xfId="0" applyFont="1" applyFill="1" applyBorder="1" applyAlignment="1">
      <alignment horizontal="center"/>
    </xf>
    <xf numFmtId="0" fontId="5" fillId="8" borderId="19" xfId="0" applyFont="1" applyFill="1" applyBorder="1"/>
    <xf numFmtId="44" fontId="7" fillId="8" borderId="19" xfId="0" applyNumberFormat="1" applyFont="1" applyFill="1" applyBorder="1"/>
    <xf numFmtId="44" fontId="7" fillId="8" borderId="26" xfId="0" applyNumberFormat="1" applyFont="1" applyFill="1" applyBorder="1"/>
    <xf numFmtId="2" fontId="5" fillId="8" borderId="19" xfId="0" applyNumberFormat="1" applyFont="1" applyFill="1" applyBorder="1" applyAlignment="1">
      <alignment horizontal="center"/>
    </xf>
    <xf numFmtId="0" fontId="7" fillId="3" borderId="29" xfId="0" applyFont="1" applyFill="1" applyBorder="1" applyAlignment="1">
      <alignment horizontal="center" vertical="center" wrapText="1"/>
    </xf>
    <xf numFmtId="0" fontId="5" fillId="8" borderId="21" xfId="0" applyFont="1" applyFill="1" applyBorder="1" applyAlignment="1">
      <alignment horizontal="center" vertical="center" wrapText="1"/>
    </xf>
    <xf numFmtId="49" fontId="5" fillId="10" borderId="20" xfId="0" applyNumberFormat="1" applyFont="1" applyFill="1" applyBorder="1" applyAlignment="1">
      <alignment horizontal="center"/>
    </xf>
    <xf numFmtId="0" fontId="7" fillId="10" borderId="21" xfId="0" applyFont="1" applyFill="1" applyBorder="1" applyAlignment="1">
      <alignment horizontal="center" vertical="center" wrapText="1"/>
    </xf>
    <xf numFmtId="0" fontId="5" fillId="10" borderId="21" xfId="0" applyFont="1" applyFill="1" applyBorder="1" applyAlignment="1">
      <alignment horizontal="center"/>
    </xf>
    <xf numFmtId="0" fontId="7" fillId="10" borderId="21" xfId="0" applyFont="1" applyFill="1" applyBorder="1" applyAlignment="1">
      <alignment horizontal="center"/>
    </xf>
    <xf numFmtId="0" fontId="5" fillId="10" borderId="21" xfId="0" applyFont="1" applyFill="1" applyBorder="1"/>
    <xf numFmtId="44" fontId="7" fillId="10" borderId="21" xfId="0" applyNumberFormat="1" applyFont="1" applyFill="1" applyBorder="1"/>
    <xf numFmtId="44" fontId="7" fillId="10" borderId="23" xfId="0" applyNumberFormat="1" applyFont="1" applyFill="1" applyBorder="1"/>
    <xf numFmtId="49" fontId="5" fillId="10" borderId="24" xfId="0" applyNumberFormat="1" applyFont="1" applyFill="1" applyBorder="1" applyAlignment="1">
      <alignment horizontal="center"/>
    </xf>
    <xf numFmtId="0" fontId="7" fillId="10" borderId="19" xfId="0" applyFont="1" applyFill="1" applyBorder="1" applyAlignment="1">
      <alignment horizontal="center" vertical="center" wrapText="1"/>
    </xf>
    <xf numFmtId="0" fontId="5" fillId="10" borderId="19" xfId="0" applyFont="1" applyFill="1" applyBorder="1" applyAlignment="1">
      <alignment horizontal="center"/>
    </xf>
    <xf numFmtId="0" fontId="7" fillId="10" borderId="19" xfId="0" applyFont="1" applyFill="1" applyBorder="1" applyAlignment="1">
      <alignment horizontal="center"/>
    </xf>
    <xf numFmtId="0" fontId="5" fillId="10" borderId="19" xfId="0" applyFont="1" applyFill="1" applyBorder="1"/>
    <xf numFmtId="44" fontId="7" fillId="10" borderId="19" xfId="0" applyNumberFormat="1" applyFont="1" applyFill="1" applyBorder="1"/>
    <xf numFmtId="44" fontId="7" fillId="10" borderId="26" xfId="0" applyNumberFormat="1" applyFont="1" applyFill="1" applyBorder="1"/>
    <xf numFmtId="2" fontId="5" fillId="10" borderId="19" xfId="0" applyNumberFormat="1" applyFont="1" applyFill="1" applyBorder="1" applyAlignment="1">
      <alignment horizontal="center"/>
    </xf>
    <xf numFmtId="0" fontId="5" fillId="10" borderId="21" xfId="0" applyFont="1" applyFill="1" applyBorder="1" applyAlignment="1">
      <alignment horizontal="center" vertical="center" wrapText="1"/>
    </xf>
    <xf numFmtId="49" fontId="5" fillId="12" borderId="20" xfId="0" applyNumberFormat="1" applyFont="1" applyFill="1" applyBorder="1" applyAlignment="1">
      <alignment horizontal="center"/>
    </xf>
    <xf numFmtId="0" fontId="7" fillId="12" borderId="21" xfId="0" applyFont="1" applyFill="1" applyBorder="1" applyAlignment="1">
      <alignment horizontal="center" vertical="center" wrapText="1"/>
    </xf>
    <xf numFmtId="0" fontId="5" fillId="12" borderId="21" xfId="0" applyFont="1" applyFill="1" applyBorder="1" applyAlignment="1">
      <alignment horizontal="center"/>
    </xf>
    <xf numFmtId="0" fontId="7" fillId="12" borderId="21" xfId="0" applyFont="1" applyFill="1" applyBorder="1" applyAlignment="1">
      <alignment horizontal="center"/>
    </xf>
    <xf numFmtId="0" fontId="5" fillId="12" borderId="21" xfId="0" applyFont="1" applyFill="1" applyBorder="1"/>
    <xf numFmtId="44" fontId="7" fillId="12" borderId="21" xfId="0" applyNumberFormat="1" applyFont="1" applyFill="1" applyBorder="1"/>
    <xf numFmtId="44" fontId="7" fillId="12" borderId="23" xfId="0" applyNumberFormat="1" applyFont="1" applyFill="1" applyBorder="1"/>
    <xf numFmtId="49" fontId="5" fillId="12" borderId="24" xfId="0" applyNumberFormat="1" applyFont="1" applyFill="1" applyBorder="1" applyAlignment="1">
      <alignment horizontal="center"/>
    </xf>
    <xf numFmtId="0" fontId="7" fillId="12" borderId="19" xfId="0" applyFont="1" applyFill="1" applyBorder="1" applyAlignment="1">
      <alignment horizontal="center" vertical="center" wrapText="1"/>
    </xf>
    <xf numFmtId="0" fontId="5" fillId="12" borderId="19" xfId="0" applyFont="1" applyFill="1" applyBorder="1" applyAlignment="1">
      <alignment horizontal="center"/>
    </xf>
    <xf numFmtId="0" fontId="7" fillId="12" borderId="19" xfId="0" applyFont="1" applyFill="1" applyBorder="1" applyAlignment="1">
      <alignment horizontal="center"/>
    </xf>
    <xf numFmtId="0" fontId="5" fillId="12" borderId="19" xfId="0" applyFont="1" applyFill="1" applyBorder="1"/>
    <xf numFmtId="44" fontId="7" fillId="12" borderId="19" xfId="0" applyNumberFormat="1" applyFont="1" applyFill="1" applyBorder="1"/>
    <xf numFmtId="44" fontId="7" fillId="12" borderId="26" xfId="0" applyNumberFormat="1" applyFont="1" applyFill="1" applyBorder="1"/>
    <xf numFmtId="49" fontId="5" fillId="12" borderId="33" xfId="0" applyNumberFormat="1" applyFont="1" applyFill="1" applyBorder="1" applyAlignment="1">
      <alignment horizontal="center"/>
    </xf>
    <xf numFmtId="2" fontId="5" fillId="12" borderId="19" xfId="0" applyNumberFormat="1" applyFont="1" applyFill="1" applyBorder="1" applyAlignment="1">
      <alignment horizontal="center"/>
    </xf>
    <xf numFmtId="49" fontId="5" fillId="3" borderId="15" xfId="0" applyNumberFormat="1" applyFont="1" applyFill="1" applyBorder="1" applyAlignment="1">
      <alignment horizontal="center"/>
    </xf>
    <xf numFmtId="0" fontId="5" fillId="12" borderId="21" xfId="0" applyFont="1" applyFill="1" applyBorder="1" applyAlignment="1">
      <alignment horizontal="center" vertical="center" wrapText="1"/>
    </xf>
    <xf numFmtId="0" fontId="7" fillId="0" borderId="0" xfId="0" applyFont="1" applyAlignment="1">
      <alignment wrapText="1"/>
    </xf>
    <xf numFmtId="0" fontId="5" fillId="3" borderId="28" xfId="0" applyFont="1" applyFill="1" applyBorder="1" applyAlignment="1">
      <alignment horizontal="center"/>
    </xf>
    <xf numFmtId="0" fontId="5" fillId="3" borderId="36" xfId="0" applyFont="1" applyFill="1" applyBorder="1" applyAlignment="1">
      <alignment horizontal="center" wrapText="1"/>
    </xf>
    <xf numFmtId="0" fontId="5" fillId="3" borderId="29" xfId="0" applyFont="1" applyFill="1" applyBorder="1" applyAlignment="1">
      <alignment horizontal="center" wrapText="1"/>
    </xf>
    <xf numFmtId="0" fontId="7" fillId="3" borderId="32" xfId="0" applyFont="1" applyFill="1" applyBorder="1" applyAlignment="1">
      <alignment horizontal="center" wrapText="1"/>
    </xf>
    <xf numFmtId="49" fontId="5" fillId="14" borderId="37" xfId="0" applyNumberFormat="1" applyFont="1" applyFill="1" applyBorder="1" applyAlignment="1">
      <alignment horizontal="center"/>
    </xf>
    <xf numFmtId="0" fontId="5" fillId="14" borderId="38" xfId="0" applyFont="1" applyFill="1" applyBorder="1" applyAlignment="1">
      <alignment horizontal="center" vertical="center" wrapText="1"/>
    </xf>
    <xf numFmtId="0" fontId="5" fillId="14" borderId="39" xfId="0" applyFont="1" applyFill="1" applyBorder="1" applyAlignment="1">
      <alignment horizontal="center"/>
    </xf>
    <xf numFmtId="0" fontId="5" fillId="14" borderId="39" xfId="0" applyFont="1" applyFill="1" applyBorder="1"/>
    <xf numFmtId="44" fontId="5" fillId="14" borderId="19" xfId="0" applyNumberFormat="1" applyFont="1" applyFill="1" applyBorder="1"/>
    <xf numFmtId="44" fontId="7" fillId="14" borderId="26" xfId="0" applyNumberFormat="1" applyFont="1" applyFill="1" applyBorder="1"/>
    <xf numFmtId="0" fontId="5" fillId="3" borderId="19" xfId="0" applyFont="1" applyFill="1" applyBorder="1" applyAlignment="1">
      <alignment horizontal="center"/>
    </xf>
    <xf numFmtId="44" fontId="5" fillId="3" borderId="19" xfId="0" applyNumberFormat="1" applyFont="1" applyFill="1" applyBorder="1"/>
    <xf numFmtId="49" fontId="5" fillId="14" borderId="24" xfId="0" applyNumberFormat="1" applyFont="1" applyFill="1" applyBorder="1" applyAlignment="1">
      <alignment horizontal="center"/>
    </xf>
    <xf numFmtId="0" fontId="5" fillId="14" borderId="19" xfId="0" applyFont="1" applyFill="1" applyBorder="1" applyAlignment="1">
      <alignment horizontal="center" vertical="center" wrapText="1"/>
    </xf>
    <xf numFmtId="0" fontId="5" fillId="14" borderId="19" xfId="0" applyFont="1" applyFill="1" applyBorder="1" applyAlignment="1">
      <alignment horizontal="center"/>
    </xf>
    <xf numFmtId="0" fontId="7" fillId="14" borderId="19" xfId="0" applyFont="1" applyFill="1" applyBorder="1" applyAlignment="1">
      <alignment horizontal="center"/>
    </xf>
    <xf numFmtId="0" fontId="5" fillId="14" borderId="19" xfId="0" applyFont="1" applyFill="1" applyBorder="1"/>
    <xf numFmtId="2" fontId="5" fillId="14" borderId="19" xfId="0" applyNumberFormat="1" applyFont="1" applyFill="1" applyBorder="1" applyAlignment="1">
      <alignment horizontal="center"/>
    </xf>
    <xf numFmtId="44" fontId="7" fillId="14" borderId="19" xfId="0" applyNumberFormat="1" applyFont="1" applyFill="1" applyBorder="1"/>
    <xf numFmtId="49" fontId="5" fillId="14" borderId="28" xfId="0" applyNumberFormat="1" applyFont="1" applyFill="1" applyBorder="1" applyAlignment="1">
      <alignment horizontal="center"/>
    </xf>
    <xf numFmtId="0" fontId="5" fillId="14" borderId="29" xfId="0" applyFont="1" applyFill="1" applyBorder="1" applyAlignment="1">
      <alignment horizontal="center" vertical="center" wrapText="1"/>
    </xf>
    <xf numFmtId="2" fontId="5" fillId="14" borderId="29" xfId="0" applyNumberFormat="1" applyFont="1" applyFill="1" applyBorder="1" applyAlignment="1">
      <alignment horizontal="center"/>
    </xf>
    <xf numFmtId="0" fontId="7" fillId="14" borderId="29" xfId="0" applyFont="1" applyFill="1" applyBorder="1" applyAlignment="1">
      <alignment horizontal="center"/>
    </xf>
    <xf numFmtId="0" fontId="5" fillId="14" borderId="29" xfId="0" applyFont="1" applyFill="1" applyBorder="1"/>
    <xf numFmtId="44" fontId="7" fillId="14" borderId="29" xfId="0" applyNumberFormat="1" applyFont="1" applyFill="1" applyBorder="1"/>
    <xf numFmtId="44" fontId="7" fillId="14" borderId="32" xfId="0" applyNumberFormat="1" applyFont="1" applyFill="1" applyBorder="1"/>
    <xf numFmtId="49" fontId="5" fillId="3" borderId="20" xfId="0" applyNumberFormat="1" applyFont="1" applyFill="1" applyBorder="1" applyAlignment="1">
      <alignment horizontal="center"/>
    </xf>
    <xf numFmtId="0" fontId="5" fillId="3" borderId="21" xfId="0" applyFont="1" applyFill="1" applyBorder="1" applyAlignment="1">
      <alignment horizontal="center" vertical="center" wrapText="1"/>
    </xf>
    <xf numFmtId="0" fontId="5" fillId="3" borderId="39" xfId="0" applyFont="1" applyFill="1" applyBorder="1" applyAlignment="1">
      <alignment horizontal="center"/>
    </xf>
    <xf numFmtId="0" fontId="7" fillId="3" borderId="21" xfId="0" applyFont="1" applyFill="1" applyBorder="1" applyAlignment="1">
      <alignment horizontal="center"/>
    </xf>
    <xf numFmtId="0" fontId="5" fillId="3" borderId="39" xfId="0" applyFont="1" applyFill="1" applyBorder="1"/>
    <xf numFmtId="44" fontId="7" fillId="3" borderId="21" xfId="0" applyNumberFormat="1" applyFont="1" applyFill="1" applyBorder="1"/>
    <xf numFmtId="44" fontId="7" fillId="3" borderId="23" xfId="0" applyNumberFormat="1" applyFont="1" applyFill="1" applyBorder="1"/>
    <xf numFmtId="49" fontId="5" fillId="14" borderId="33" xfId="0" applyNumberFormat="1" applyFont="1" applyFill="1" applyBorder="1" applyAlignment="1">
      <alignment horizontal="center"/>
    </xf>
    <xf numFmtId="0" fontId="5" fillId="14" borderId="31" xfId="0" applyFont="1" applyFill="1" applyBorder="1" applyAlignment="1">
      <alignment horizontal="center" vertical="center" wrapText="1"/>
    </xf>
    <xf numFmtId="0" fontId="10" fillId="0" borderId="0" xfId="0" applyFont="1"/>
    <xf numFmtId="49" fontId="5" fillId="14" borderId="20" xfId="0" applyNumberFormat="1" applyFont="1" applyFill="1" applyBorder="1" applyAlignment="1">
      <alignment horizontal="center"/>
    </xf>
    <xf numFmtId="0" fontId="5" fillId="14" borderId="21" xfId="0" applyFont="1" applyFill="1" applyBorder="1" applyAlignment="1">
      <alignment horizontal="center" vertical="center" wrapText="1"/>
    </xf>
    <xf numFmtId="0" fontId="7" fillId="14" borderId="21" xfId="0" applyFont="1" applyFill="1" applyBorder="1" applyAlignment="1">
      <alignment horizontal="center"/>
    </xf>
    <xf numFmtId="44" fontId="7" fillId="14" borderId="21" xfId="0" applyNumberFormat="1" applyFont="1" applyFill="1" applyBorder="1"/>
    <xf numFmtId="44" fontId="7" fillId="14" borderId="23" xfId="0" applyNumberFormat="1" applyFont="1" applyFill="1" applyBorder="1"/>
    <xf numFmtId="49" fontId="5" fillId="3" borderId="33" xfId="0" applyNumberFormat="1" applyFont="1" applyFill="1" applyBorder="1" applyAlignment="1">
      <alignment horizontal="center"/>
    </xf>
    <xf numFmtId="0" fontId="5" fillId="3" borderId="31" xfId="0" applyFont="1" applyFill="1" applyBorder="1" applyAlignment="1">
      <alignment horizontal="center" vertical="center" wrapText="1"/>
    </xf>
    <xf numFmtId="0" fontId="5" fillId="0" borderId="19" xfId="0" applyFont="1" applyBorder="1" applyAlignment="1">
      <alignment horizontal="center"/>
    </xf>
    <xf numFmtId="44" fontId="7" fillId="0" borderId="27" xfId="0" applyNumberFormat="1" applyFont="1" applyBorder="1"/>
    <xf numFmtId="44" fontId="7" fillId="0" borderId="19" xfId="0" applyNumberFormat="1" applyFont="1" applyBorder="1"/>
    <xf numFmtId="0" fontId="5" fillId="15" borderId="40" xfId="0" applyFont="1" applyFill="1" applyBorder="1" applyAlignment="1">
      <alignment horizontal="center"/>
    </xf>
    <xf numFmtId="0" fontId="7" fillId="0" borderId="0" xfId="0" applyFont="1" applyAlignment="1">
      <alignment horizontal="center"/>
    </xf>
    <xf numFmtId="0" fontId="5" fillId="0" borderId="19" xfId="0" applyFont="1" applyBorder="1" applyAlignment="1">
      <alignment wrapText="1"/>
    </xf>
    <xf numFmtId="49" fontId="5" fillId="16" borderId="20" xfId="0" applyNumberFormat="1" applyFont="1" applyFill="1" applyBorder="1" applyAlignment="1">
      <alignment horizontal="center"/>
    </xf>
    <xf numFmtId="0" fontId="7" fillId="16" borderId="21" xfId="0" applyFont="1" applyFill="1" applyBorder="1" applyAlignment="1">
      <alignment horizontal="center" vertical="center" wrapText="1"/>
    </xf>
    <xf numFmtId="3" fontId="5" fillId="16" borderId="21" xfId="0" applyNumberFormat="1" applyFont="1" applyFill="1" applyBorder="1" applyAlignment="1">
      <alignment horizontal="center"/>
    </xf>
    <xf numFmtId="0" fontId="7" fillId="16" borderId="21" xfId="0" applyFont="1" applyFill="1" applyBorder="1" applyAlignment="1">
      <alignment horizontal="center"/>
    </xf>
    <xf numFmtId="3" fontId="5" fillId="16" borderId="41" xfId="0" applyNumberFormat="1" applyFont="1" applyFill="1" applyBorder="1"/>
    <xf numFmtId="44" fontId="7" fillId="16" borderId="21" xfId="0" applyNumberFormat="1" applyFont="1" applyFill="1" applyBorder="1"/>
    <xf numFmtId="44" fontId="7" fillId="16" borderId="42" xfId="0" applyNumberFormat="1" applyFont="1" applyFill="1" applyBorder="1"/>
    <xf numFmtId="3" fontId="5" fillId="3" borderId="19" xfId="0" applyNumberFormat="1" applyFont="1" applyFill="1" applyBorder="1" applyAlignment="1">
      <alignment horizontal="center"/>
    </xf>
    <xf numFmtId="3" fontId="5" fillId="3" borderId="43" xfId="0" applyNumberFormat="1" applyFont="1" applyFill="1" applyBorder="1"/>
    <xf numFmtId="44" fontId="7" fillId="3" borderId="44" xfId="0" applyNumberFormat="1" applyFont="1" applyFill="1" applyBorder="1"/>
    <xf numFmtId="49" fontId="5" fillId="16" borderId="24" xfId="0" applyNumberFormat="1" applyFont="1" applyFill="1" applyBorder="1" applyAlignment="1">
      <alignment horizontal="center"/>
    </xf>
    <xf numFmtId="0" fontId="7" fillId="16" borderId="19" xfId="0" applyFont="1" applyFill="1" applyBorder="1" applyAlignment="1">
      <alignment horizontal="center" vertical="center" wrapText="1"/>
    </xf>
    <xf numFmtId="3" fontId="5" fillId="16" borderId="19" xfId="0" applyNumberFormat="1" applyFont="1" applyFill="1" applyBorder="1" applyAlignment="1">
      <alignment horizontal="center"/>
    </xf>
    <xf numFmtId="0" fontId="7" fillId="16" borderId="19" xfId="0" applyFont="1" applyFill="1" applyBorder="1" applyAlignment="1">
      <alignment horizontal="center"/>
    </xf>
    <xf numFmtId="3" fontId="5" fillId="16" borderId="43" xfId="0" applyNumberFormat="1" applyFont="1" applyFill="1" applyBorder="1"/>
    <xf numFmtId="44" fontId="7" fillId="16" borderId="19" xfId="0" applyNumberFormat="1" applyFont="1" applyFill="1" applyBorder="1"/>
    <xf numFmtId="44" fontId="7" fillId="16" borderId="44" xfId="0" applyNumberFormat="1" applyFont="1" applyFill="1" applyBorder="1"/>
    <xf numFmtId="164" fontId="5" fillId="3" borderId="19" xfId="0" applyNumberFormat="1" applyFont="1" applyFill="1" applyBorder="1" applyAlignment="1">
      <alignment horizontal="center"/>
    </xf>
    <xf numFmtId="164" fontId="5" fillId="16" borderId="19" xfId="0" applyNumberFormat="1" applyFont="1" applyFill="1" applyBorder="1" applyAlignment="1">
      <alignment horizontal="center"/>
    </xf>
    <xf numFmtId="3" fontId="5" fillId="3" borderId="29" xfId="0" applyNumberFormat="1" applyFont="1" applyFill="1" applyBorder="1" applyAlignment="1">
      <alignment horizontal="center"/>
    </xf>
    <xf numFmtId="3" fontId="5" fillId="3" borderId="45" xfId="0" applyNumberFormat="1" applyFont="1" applyFill="1" applyBorder="1"/>
    <xf numFmtId="44" fontId="7" fillId="3" borderId="46" xfId="0" applyNumberFormat="1" applyFont="1" applyFill="1" applyBorder="1"/>
    <xf numFmtId="44" fontId="7" fillId="16" borderId="35" xfId="0" applyNumberFormat="1" applyFont="1" applyFill="1" applyBorder="1"/>
    <xf numFmtId="44" fontId="7" fillId="16" borderId="26" xfId="0" applyNumberFormat="1" applyFont="1" applyFill="1" applyBorder="1"/>
    <xf numFmtId="44" fontId="7" fillId="16" borderId="23" xfId="0" applyNumberFormat="1" applyFont="1" applyFill="1" applyBorder="1"/>
    <xf numFmtId="0" fontId="5" fillId="16" borderId="21" xfId="0" applyFont="1" applyFill="1" applyBorder="1" applyAlignment="1">
      <alignment horizontal="center" vertical="center" wrapText="1"/>
    </xf>
    <xf numFmtId="0" fontId="5" fillId="17" borderId="40" xfId="0" applyFont="1" applyFill="1" applyBorder="1" applyAlignment="1">
      <alignment horizontal="center"/>
    </xf>
    <xf numFmtId="49" fontId="5" fillId="18" borderId="20" xfId="0" applyNumberFormat="1" applyFont="1" applyFill="1" applyBorder="1" applyAlignment="1">
      <alignment horizontal="center"/>
    </xf>
    <xf numFmtId="0" fontId="7" fillId="18" borderId="21" xfId="0" applyFont="1" applyFill="1" applyBorder="1" applyAlignment="1">
      <alignment horizontal="center" vertical="center" wrapText="1"/>
    </xf>
    <xf numFmtId="3" fontId="5" fillId="18" borderId="21" xfId="0" applyNumberFormat="1" applyFont="1" applyFill="1" applyBorder="1" applyAlignment="1">
      <alignment horizontal="center"/>
    </xf>
    <xf numFmtId="0" fontId="7" fillId="18" borderId="21" xfId="0" applyFont="1" applyFill="1" applyBorder="1" applyAlignment="1">
      <alignment horizontal="center"/>
    </xf>
    <xf numFmtId="3" fontId="5" fillId="18" borderId="41" xfId="0" applyNumberFormat="1" applyFont="1" applyFill="1" applyBorder="1"/>
    <xf numFmtId="44" fontId="7" fillId="18" borderId="21" xfId="0" applyNumberFormat="1" applyFont="1" applyFill="1" applyBorder="1"/>
    <xf numFmtId="44" fontId="7" fillId="18" borderId="23" xfId="0" applyNumberFormat="1" applyFont="1" applyFill="1" applyBorder="1"/>
    <xf numFmtId="49" fontId="5" fillId="18" borderId="24" xfId="0" applyNumberFormat="1" applyFont="1" applyFill="1" applyBorder="1" applyAlignment="1">
      <alignment horizontal="center"/>
    </xf>
    <xf numFmtId="0" fontId="7" fillId="18" borderId="19" xfId="0" applyFont="1" applyFill="1" applyBorder="1" applyAlignment="1">
      <alignment horizontal="center" vertical="center" wrapText="1"/>
    </xf>
    <xf numFmtId="3" fontId="5" fillId="18" borderId="19" xfId="0" applyNumberFormat="1" applyFont="1" applyFill="1" applyBorder="1" applyAlignment="1">
      <alignment horizontal="center"/>
    </xf>
    <xf numFmtId="0" fontId="7" fillId="18" borderId="19" xfId="0" applyFont="1" applyFill="1" applyBorder="1" applyAlignment="1">
      <alignment horizontal="center"/>
    </xf>
    <xf numFmtId="3" fontId="5" fillId="18" borderId="43" xfId="0" applyNumberFormat="1" applyFont="1" applyFill="1" applyBorder="1"/>
    <xf numFmtId="44" fontId="7" fillId="18" borderId="19" xfId="0" applyNumberFormat="1" applyFont="1" applyFill="1" applyBorder="1"/>
    <xf numFmtId="44" fontId="7" fillId="18" borderId="26" xfId="0" applyNumberFormat="1" applyFont="1" applyFill="1" applyBorder="1"/>
    <xf numFmtId="164" fontId="5" fillId="18" borderId="19" xfId="0" applyNumberFormat="1" applyFont="1" applyFill="1" applyBorder="1" applyAlignment="1">
      <alignment horizontal="center"/>
    </xf>
    <xf numFmtId="0" fontId="5" fillId="18" borderId="21" xfId="0" applyFont="1" applyFill="1" applyBorder="1" applyAlignment="1">
      <alignment horizontal="center" vertical="center" wrapText="1"/>
    </xf>
    <xf numFmtId="44" fontId="7" fillId="16" borderId="21" xfId="0" applyNumberFormat="1" applyFont="1" applyFill="1" applyBorder="1" applyAlignment="1">
      <alignment horizontal="center"/>
    </xf>
    <xf numFmtId="44" fontId="7" fillId="3" borderId="19" xfId="0" applyNumberFormat="1" applyFont="1" applyFill="1" applyBorder="1" applyAlignment="1">
      <alignment horizontal="center"/>
    </xf>
    <xf numFmtId="44" fontId="7" fillId="16" borderId="19" xfId="0" applyNumberFormat="1" applyFont="1" applyFill="1" applyBorder="1" applyAlignment="1">
      <alignment horizontal="center"/>
    </xf>
    <xf numFmtId="44" fontId="7" fillId="3" borderId="29" xfId="0" applyNumberFormat="1" applyFont="1" applyFill="1" applyBorder="1" applyAlignment="1">
      <alignment horizontal="center"/>
    </xf>
    <xf numFmtId="3" fontId="5" fillId="10" borderId="21" xfId="0" applyNumberFormat="1" applyFont="1" applyFill="1" applyBorder="1" applyAlignment="1">
      <alignment horizontal="center"/>
    </xf>
    <xf numFmtId="3" fontId="5" fillId="10" borderId="41" xfId="0" applyNumberFormat="1" applyFont="1" applyFill="1" applyBorder="1"/>
    <xf numFmtId="44" fontId="7" fillId="10" borderId="42" xfId="0" applyNumberFormat="1" applyFont="1" applyFill="1" applyBorder="1"/>
    <xf numFmtId="0" fontId="5" fillId="10" borderId="19" xfId="0" applyFont="1" applyFill="1" applyBorder="1" applyAlignment="1">
      <alignment horizontal="center" vertical="center" wrapText="1"/>
    </xf>
    <xf numFmtId="3" fontId="5" fillId="10" borderId="19" xfId="0" applyNumberFormat="1" applyFont="1" applyFill="1" applyBorder="1" applyAlignment="1">
      <alignment horizontal="center"/>
    </xf>
    <xf numFmtId="3" fontId="5" fillId="10" borderId="43" xfId="0" applyNumberFormat="1" applyFont="1" applyFill="1" applyBorder="1"/>
    <xf numFmtId="44" fontId="7" fillId="10" borderId="44" xfId="0" applyNumberFormat="1" applyFont="1" applyFill="1" applyBorder="1"/>
    <xf numFmtId="164" fontId="5" fillId="10" borderId="19" xfId="0" applyNumberFormat="1" applyFont="1" applyFill="1" applyBorder="1" applyAlignment="1">
      <alignment horizontal="center"/>
    </xf>
    <xf numFmtId="0" fontId="5" fillId="10" borderId="47" xfId="0" applyFont="1" applyFill="1" applyBorder="1" applyAlignment="1">
      <alignment horizontal="center"/>
    </xf>
    <xf numFmtId="0" fontId="5" fillId="10" borderId="47" xfId="0" applyFont="1" applyFill="1" applyBorder="1" applyAlignment="1">
      <alignment horizontal="center" vertical="center" wrapText="1"/>
    </xf>
    <xf numFmtId="0" fontId="11" fillId="10" borderId="47" xfId="0" applyFont="1" applyFill="1" applyBorder="1" applyAlignment="1">
      <alignment horizontal="center" vertical="center" wrapText="1"/>
    </xf>
    <xf numFmtId="0" fontId="7" fillId="10" borderId="47" xfId="0" applyFont="1" applyFill="1" applyBorder="1" applyAlignment="1">
      <alignment horizontal="center"/>
    </xf>
    <xf numFmtId="0" fontId="5" fillId="10" borderId="47" xfId="0" applyFont="1" applyFill="1" applyBorder="1"/>
    <xf numFmtId="0" fontId="7" fillId="10" borderId="47" xfId="0" applyFont="1" applyFill="1" applyBorder="1"/>
    <xf numFmtId="0" fontId="5" fillId="3" borderId="47" xfId="0" applyFont="1" applyFill="1" applyBorder="1" applyAlignment="1">
      <alignment horizontal="center"/>
    </xf>
    <xf numFmtId="0" fontId="5" fillId="3" borderId="47" xfId="0" applyFont="1" applyFill="1" applyBorder="1" applyAlignment="1">
      <alignment horizontal="center" vertical="center" wrapText="1"/>
    </xf>
    <xf numFmtId="0" fontId="11" fillId="3" borderId="47" xfId="0" applyFont="1" applyFill="1" applyBorder="1" applyAlignment="1">
      <alignment horizontal="center" vertical="center" wrapText="1"/>
    </xf>
    <xf numFmtId="0" fontId="7" fillId="3" borderId="47" xfId="0" applyFont="1" applyFill="1" applyBorder="1" applyAlignment="1">
      <alignment horizontal="center"/>
    </xf>
    <xf numFmtId="0" fontId="5" fillId="3" borderId="47" xfId="0" applyFont="1" applyFill="1" applyBorder="1"/>
    <xf numFmtId="0" fontId="7" fillId="3" borderId="47" xfId="0" applyFont="1" applyFill="1" applyBorder="1"/>
    <xf numFmtId="2" fontId="5" fillId="8" borderId="21" xfId="0" applyNumberFormat="1" applyFont="1" applyFill="1" applyBorder="1" applyAlignment="1">
      <alignment horizontal="center"/>
    </xf>
    <xf numFmtId="3" fontId="5" fillId="8" borderId="21" xfId="0" applyNumberFormat="1" applyFont="1" applyFill="1" applyBorder="1"/>
    <xf numFmtId="3" fontId="5" fillId="3" borderId="19" xfId="0" applyNumberFormat="1" applyFont="1" applyFill="1" applyBorder="1"/>
    <xf numFmtId="0" fontId="5" fillId="8" borderId="19" xfId="0" applyFont="1" applyFill="1" applyBorder="1" applyAlignment="1">
      <alignment horizontal="center" vertical="center" wrapText="1"/>
    </xf>
    <xf numFmtId="3" fontId="5" fillId="8" borderId="19" xfId="0" applyNumberFormat="1" applyFont="1" applyFill="1" applyBorder="1"/>
    <xf numFmtId="0" fontId="5" fillId="3" borderId="29" xfId="0" applyFont="1" applyFill="1" applyBorder="1" applyAlignment="1">
      <alignment horizontal="center"/>
    </xf>
    <xf numFmtId="3" fontId="5" fillId="3" borderId="29" xfId="0" applyNumberFormat="1" applyFont="1" applyFill="1" applyBorder="1"/>
    <xf numFmtId="0" fontId="5" fillId="4" borderId="40" xfId="0" applyFont="1" applyFill="1" applyBorder="1" applyAlignment="1">
      <alignment horizontal="center"/>
    </xf>
    <xf numFmtId="0" fontId="7" fillId="5" borderId="21" xfId="0" applyFont="1" applyFill="1" applyBorder="1" applyAlignment="1">
      <alignment horizontal="center" vertical="center" wrapText="1"/>
    </xf>
    <xf numFmtId="3" fontId="5" fillId="5" borderId="21" xfId="0" applyNumberFormat="1" applyFont="1" applyFill="1" applyBorder="1" applyAlignment="1">
      <alignment horizontal="center"/>
    </xf>
    <xf numFmtId="3" fontId="5" fillId="5" borderId="41" xfId="0" applyNumberFormat="1" applyFont="1" applyFill="1" applyBorder="1"/>
    <xf numFmtId="44" fontId="7" fillId="5" borderId="42" xfId="0" applyNumberFormat="1" applyFont="1" applyFill="1" applyBorder="1"/>
    <xf numFmtId="0" fontId="7" fillId="5" borderId="19" xfId="0" applyFont="1" applyFill="1" applyBorder="1" applyAlignment="1">
      <alignment horizontal="center" vertical="center" wrapText="1"/>
    </xf>
    <xf numFmtId="3" fontId="5" fillId="5" borderId="19" xfId="0" applyNumberFormat="1" applyFont="1" applyFill="1" applyBorder="1" applyAlignment="1">
      <alignment horizontal="center"/>
    </xf>
    <xf numFmtId="3" fontId="5" fillId="5" borderId="43" xfId="0" applyNumberFormat="1" applyFont="1" applyFill="1" applyBorder="1"/>
    <xf numFmtId="44" fontId="7" fillId="5" borderId="44" xfId="0" applyNumberFormat="1" applyFont="1" applyFill="1" applyBorder="1"/>
    <xf numFmtId="3" fontId="5" fillId="5" borderId="17" xfId="0" applyNumberFormat="1" applyFont="1" applyFill="1" applyBorder="1" applyAlignment="1">
      <alignment horizontal="center"/>
    </xf>
    <xf numFmtId="49" fontId="5" fillId="3" borderId="17" xfId="0" applyNumberFormat="1" applyFont="1" applyFill="1" applyBorder="1" applyAlignment="1">
      <alignment horizontal="center"/>
    </xf>
    <xf numFmtId="49" fontId="5" fillId="5" borderId="17" xfId="0" applyNumberFormat="1" applyFont="1" applyFill="1" applyBorder="1" applyAlignment="1">
      <alignment horizontal="center"/>
    </xf>
    <xf numFmtId="49" fontId="5" fillId="5" borderId="28" xfId="0" applyNumberFormat="1" applyFont="1" applyFill="1" applyBorder="1" applyAlignment="1">
      <alignment horizontal="center"/>
    </xf>
    <xf numFmtId="0" fontId="7" fillId="5" borderId="29" xfId="0" applyFont="1" applyFill="1" applyBorder="1" applyAlignment="1">
      <alignment horizontal="center" vertical="center" wrapText="1"/>
    </xf>
    <xf numFmtId="49" fontId="5" fillId="5" borderId="29" xfId="0" applyNumberFormat="1" applyFont="1" applyFill="1" applyBorder="1" applyAlignment="1">
      <alignment horizontal="center"/>
    </xf>
    <xf numFmtId="0" fontId="7" fillId="5" borderId="29" xfId="0" applyFont="1" applyFill="1" applyBorder="1" applyAlignment="1">
      <alignment horizontal="center"/>
    </xf>
    <xf numFmtId="44" fontId="7" fillId="5" borderId="29" xfId="0" applyNumberFormat="1" applyFont="1" applyFill="1" applyBorder="1"/>
    <xf numFmtId="0" fontId="7" fillId="3" borderId="21" xfId="0" applyFont="1" applyFill="1" applyBorder="1" applyAlignment="1">
      <alignment horizontal="center" vertical="center" wrapText="1"/>
    </xf>
    <xf numFmtId="3" fontId="5" fillId="3" borderId="21" xfId="0" applyNumberFormat="1" applyFont="1" applyFill="1" applyBorder="1" applyAlignment="1">
      <alignment horizontal="center"/>
    </xf>
    <xf numFmtId="3" fontId="5" fillId="3" borderId="41" xfId="0" applyNumberFormat="1" applyFont="1" applyFill="1" applyBorder="1"/>
    <xf numFmtId="44" fontId="7" fillId="3" borderId="42" xfId="0" applyNumberFormat="1" applyFont="1" applyFill="1" applyBorder="1"/>
    <xf numFmtId="3" fontId="5" fillId="3" borderId="17" xfId="0" applyNumberFormat="1" applyFont="1" applyFill="1" applyBorder="1" applyAlignment="1">
      <alignment horizontal="center"/>
    </xf>
    <xf numFmtId="49" fontId="5" fillId="3" borderId="29" xfId="0" applyNumberFormat="1" applyFont="1" applyFill="1" applyBorder="1" applyAlignment="1">
      <alignment horizontal="center"/>
    </xf>
    <xf numFmtId="0" fontId="5" fillId="3" borderId="21" xfId="0" applyFont="1" applyFill="1" applyBorder="1" applyAlignment="1">
      <alignment horizontal="center"/>
    </xf>
    <xf numFmtId="3" fontId="5" fillId="5" borderId="45" xfId="0" applyNumberFormat="1" applyFont="1" applyFill="1" applyBorder="1"/>
    <xf numFmtId="44" fontId="7" fillId="5" borderId="46" xfId="0" applyNumberFormat="1" applyFont="1" applyFill="1" applyBorder="1"/>
    <xf numFmtId="0" fontId="5" fillId="0" borderId="0" xfId="0" applyFont="1" applyAlignment="1">
      <alignment horizontal="center" wrapText="1"/>
    </xf>
    <xf numFmtId="0" fontId="5" fillId="19" borderId="19" xfId="0" applyFont="1" applyFill="1" applyBorder="1" applyAlignment="1">
      <alignment horizontal="center"/>
    </xf>
    <xf numFmtId="0" fontId="5" fillId="19" borderId="19" xfId="0" applyFont="1" applyFill="1" applyBorder="1"/>
    <xf numFmtId="0" fontId="5" fillId="20" borderId="19" xfId="0" applyFont="1" applyFill="1" applyBorder="1" applyAlignment="1">
      <alignment horizontal="center"/>
    </xf>
    <xf numFmtId="44" fontId="7" fillId="20" borderId="19" xfId="0" applyNumberFormat="1" applyFont="1" applyFill="1" applyBorder="1"/>
    <xf numFmtId="44" fontId="7" fillId="20" borderId="27" xfId="0" applyNumberFormat="1" applyFont="1" applyFill="1" applyBorder="1"/>
    <xf numFmtId="0" fontId="12" fillId="20" borderId="19" xfId="0" applyFont="1" applyFill="1" applyBorder="1" applyAlignment="1">
      <alignment horizontal="center"/>
    </xf>
    <xf numFmtId="49" fontId="5" fillId="22" borderId="20" xfId="0" applyNumberFormat="1" applyFont="1" applyFill="1" applyBorder="1" applyAlignment="1">
      <alignment horizontal="center"/>
    </xf>
    <xf numFmtId="0" fontId="7" fillId="22" borderId="21" xfId="0" applyFont="1" applyFill="1" applyBorder="1" applyAlignment="1">
      <alignment horizontal="center" vertical="center" wrapText="1"/>
    </xf>
    <xf numFmtId="164" fontId="5" fillId="22" borderId="21" xfId="0" applyNumberFormat="1" applyFont="1" applyFill="1" applyBorder="1" applyAlignment="1">
      <alignment horizontal="center"/>
    </xf>
    <xf numFmtId="0" fontId="7" fillId="22" borderId="21" xfId="0" applyFont="1" applyFill="1" applyBorder="1" applyAlignment="1">
      <alignment horizontal="center"/>
    </xf>
    <xf numFmtId="0" fontId="5" fillId="22" borderId="21" xfId="0" applyFont="1" applyFill="1" applyBorder="1"/>
    <xf numFmtId="44" fontId="7" fillId="22" borderId="21" xfId="0" applyNumberFormat="1" applyFont="1" applyFill="1" applyBorder="1"/>
    <xf numFmtId="44" fontId="7" fillId="22" borderId="23" xfId="0" applyNumberFormat="1" applyFont="1" applyFill="1" applyBorder="1"/>
    <xf numFmtId="49" fontId="5" fillId="22" borderId="24" xfId="0" applyNumberFormat="1" applyFont="1" applyFill="1" applyBorder="1" applyAlignment="1">
      <alignment horizontal="center"/>
    </xf>
    <xf numFmtId="0" fontId="7" fillId="22" borderId="19" xfId="0" applyFont="1" applyFill="1" applyBorder="1" applyAlignment="1">
      <alignment horizontal="center" vertical="center" wrapText="1"/>
    </xf>
    <xf numFmtId="0" fontId="5" fillId="22" borderId="19" xfId="0" applyFont="1" applyFill="1" applyBorder="1" applyAlignment="1">
      <alignment horizontal="center"/>
    </xf>
    <xf numFmtId="0" fontId="7" fillId="22" borderId="19" xfId="0" applyFont="1" applyFill="1" applyBorder="1" applyAlignment="1">
      <alignment horizontal="center"/>
    </xf>
    <xf numFmtId="0" fontId="5" fillId="22" borderId="19" xfId="0" applyFont="1" applyFill="1" applyBorder="1"/>
    <xf numFmtId="44" fontId="7" fillId="22" borderId="19" xfId="0" applyNumberFormat="1" applyFont="1" applyFill="1" applyBorder="1"/>
    <xf numFmtId="44" fontId="7" fillId="22" borderId="26" xfId="0" applyNumberFormat="1" applyFont="1" applyFill="1" applyBorder="1"/>
    <xf numFmtId="49" fontId="7" fillId="22" borderId="15" xfId="0" applyNumberFormat="1" applyFont="1" applyFill="1" applyBorder="1" applyAlignment="1">
      <alignment horizontal="center"/>
    </xf>
    <xf numFmtId="0" fontId="7" fillId="22" borderId="17" xfId="0" applyFont="1" applyFill="1" applyBorder="1" applyAlignment="1">
      <alignment horizontal="center" vertical="center" wrapText="1"/>
    </xf>
    <xf numFmtId="2" fontId="5" fillId="22" borderId="17" xfId="0" applyNumberFormat="1" applyFont="1" applyFill="1" applyBorder="1" applyAlignment="1">
      <alignment horizontal="center"/>
    </xf>
    <xf numFmtId="0" fontId="7" fillId="22" borderId="17" xfId="0" applyFont="1" applyFill="1" applyBorder="1" applyAlignment="1">
      <alignment horizontal="center"/>
    </xf>
    <xf numFmtId="44" fontId="7" fillId="6" borderId="17" xfId="0" applyNumberFormat="1" applyFont="1" applyFill="1" applyBorder="1" applyAlignment="1">
      <alignment horizontal="center"/>
    </xf>
    <xf numFmtId="0" fontId="5" fillId="22" borderId="17" xfId="0" applyFont="1" applyFill="1" applyBorder="1"/>
    <xf numFmtId="44" fontId="7" fillId="22" borderId="17" xfId="0" applyNumberFormat="1" applyFont="1" applyFill="1" applyBorder="1"/>
    <xf numFmtId="44" fontId="7" fillId="22" borderId="18" xfId="0" applyNumberFormat="1" applyFont="1" applyFill="1" applyBorder="1"/>
    <xf numFmtId="0" fontId="5" fillId="22" borderId="19" xfId="0" applyFont="1" applyFill="1" applyBorder="1" applyAlignment="1">
      <alignment horizontal="center" vertical="center" wrapText="1"/>
    </xf>
    <xf numFmtId="2" fontId="5" fillId="22" borderId="19" xfId="0" applyNumberFormat="1" applyFont="1" applyFill="1" applyBorder="1" applyAlignment="1">
      <alignment horizontal="center"/>
    </xf>
    <xf numFmtId="49" fontId="5" fillId="3" borderId="37" xfId="0" applyNumberFormat="1" applyFont="1" applyFill="1" applyBorder="1" applyAlignment="1">
      <alignment horizontal="center"/>
    </xf>
    <xf numFmtId="0" fontId="5" fillId="3" borderId="39" xfId="0" applyFont="1" applyFill="1" applyBorder="1" applyAlignment="1">
      <alignment horizontal="center" vertical="center" wrapText="1"/>
    </xf>
    <xf numFmtId="49" fontId="5" fillId="22" borderId="49" xfId="0" applyNumberFormat="1" applyFont="1" applyFill="1" applyBorder="1" applyAlignment="1">
      <alignment horizontal="center"/>
    </xf>
    <xf numFmtId="0" fontId="5" fillId="22" borderId="50" xfId="0" applyFont="1" applyFill="1" applyBorder="1" applyAlignment="1">
      <alignment horizontal="center" vertical="center" wrapText="1"/>
    </xf>
    <xf numFmtId="2" fontId="5" fillId="22" borderId="50" xfId="0" applyNumberFormat="1" applyFont="1" applyFill="1" applyBorder="1" applyAlignment="1">
      <alignment horizontal="center"/>
    </xf>
    <xf numFmtId="0" fontId="7" fillId="22" borderId="50" xfId="0" applyFont="1" applyFill="1" applyBorder="1" applyAlignment="1">
      <alignment horizontal="center"/>
    </xf>
    <xf numFmtId="44" fontId="7" fillId="6" borderId="50" xfId="0" applyNumberFormat="1" applyFont="1" applyFill="1" applyBorder="1" applyAlignment="1">
      <alignment horizontal="center"/>
    </xf>
    <xf numFmtId="0" fontId="5" fillId="22" borderId="50" xfId="0" applyFont="1" applyFill="1" applyBorder="1"/>
    <xf numFmtId="44" fontId="7" fillId="22" borderId="50" xfId="0" applyNumberFormat="1" applyFont="1" applyFill="1" applyBorder="1"/>
    <xf numFmtId="44" fontId="7" fillId="22" borderId="51" xfId="0" applyNumberFormat="1" applyFont="1" applyFill="1" applyBorder="1"/>
    <xf numFmtId="0" fontId="5" fillId="0" borderId="0" xfId="0" applyFont="1" applyAlignment="1">
      <alignment horizontal="center"/>
    </xf>
    <xf numFmtId="0" fontId="7" fillId="0" borderId="0" xfId="0" applyFont="1"/>
    <xf numFmtId="164" fontId="5" fillId="3" borderId="21" xfId="0" applyNumberFormat="1" applyFont="1" applyFill="1" applyBorder="1" applyAlignment="1">
      <alignment horizontal="center"/>
    </xf>
    <xf numFmtId="0" fontId="5" fillId="3" borderId="21" xfId="0" applyFont="1" applyFill="1" applyBorder="1"/>
    <xf numFmtId="164" fontId="5" fillId="22" borderId="19" xfId="0" applyNumberFormat="1" applyFont="1" applyFill="1" applyBorder="1" applyAlignment="1">
      <alignment horizontal="center"/>
    </xf>
    <xf numFmtId="0" fontId="5" fillId="3" borderId="17" xfId="0" applyFont="1" applyFill="1" applyBorder="1" applyAlignment="1">
      <alignment horizontal="center" vertical="center" wrapText="1"/>
    </xf>
    <xf numFmtId="2" fontId="5" fillId="3" borderId="17" xfId="0" applyNumberFormat="1" applyFont="1" applyFill="1" applyBorder="1" applyAlignment="1">
      <alignment horizontal="center"/>
    </xf>
    <xf numFmtId="0" fontId="5" fillId="3" borderId="17" xfId="0" applyFont="1" applyFill="1" applyBorder="1"/>
    <xf numFmtId="44" fontId="7" fillId="3" borderId="17" xfId="0" applyNumberFormat="1" applyFont="1" applyFill="1" applyBorder="1"/>
    <xf numFmtId="44" fontId="7" fillId="3" borderId="18" xfId="0" applyNumberFormat="1" applyFont="1" applyFill="1" applyBorder="1"/>
    <xf numFmtId="49" fontId="5" fillId="3" borderId="49" xfId="0" applyNumberFormat="1" applyFont="1" applyFill="1" applyBorder="1" applyAlignment="1">
      <alignment horizontal="center"/>
    </xf>
    <xf numFmtId="0" fontId="5" fillId="3" borderId="50" xfId="0" applyFont="1" applyFill="1" applyBorder="1" applyAlignment="1">
      <alignment horizontal="center" vertical="center" wrapText="1"/>
    </xf>
    <xf numFmtId="2" fontId="5" fillId="3" borderId="50" xfId="0" applyNumberFormat="1" applyFont="1" applyFill="1" applyBorder="1" applyAlignment="1">
      <alignment horizontal="center"/>
    </xf>
    <xf numFmtId="0" fontId="7" fillId="3" borderId="50" xfId="0" applyFont="1" applyFill="1" applyBorder="1" applyAlignment="1">
      <alignment horizontal="center"/>
    </xf>
    <xf numFmtId="0" fontId="5" fillId="3" borderId="50" xfId="0" applyFont="1" applyFill="1" applyBorder="1"/>
    <xf numFmtId="44" fontId="7" fillId="3" borderId="50" xfId="0" applyNumberFormat="1" applyFont="1" applyFill="1" applyBorder="1"/>
    <xf numFmtId="44" fontId="7" fillId="3" borderId="51" xfId="0" applyNumberFormat="1" applyFont="1" applyFill="1" applyBorder="1"/>
    <xf numFmtId="0" fontId="5" fillId="22" borderId="21" xfId="0" applyFont="1" applyFill="1" applyBorder="1" applyAlignment="1">
      <alignment horizontal="center" vertical="center" wrapText="1"/>
    </xf>
    <xf numFmtId="49" fontId="7" fillId="3" borderId="15" xfId="0" applyNumberFormat="1" applyFont="1" applyFill="1" applyBorder="1" applyAlignment="1">
      <alignment horizontal="center"/>
    </xf>
    <xf numFmtId="0" fontId="7" fillId="3" borderId="17" xfId="0" applyFont="1" applyFill="1" applyBorder="1" applyAlignment="1">
      <alignment horizontal="center" vertical="center" wrapText="1"/>
    </xf>
    <xf numFmtId="49" fontId="7" fillId="22" borderId="24" xfId="0" applyNumberFormat="1" applyFont="1" applyFill="1" applyBorder="1" applyAlignment="1">
      <alignment horizontal="center"/>
    </xf>
    <xf numFmtId="0" fontId="13" fillId="0" borderId="0" xfId="0" applyFont="1" applyAlignment="1">
      <alignment horizontal="center" vertical="center"/>
    </xf>
    <xf numFmtId="0" fontId="10" fillId="3" borderId="0" xfId="0" applyFont="1" applyFill="1"/>
    <xf numFmtId="0" fontId="13" fillId="3" borderId="0" xfId="0" applyFont="1" applyFill="1" applyAlignment="1">
      <alignment horizontal="center" vertical="center"/>
    </xf>
    <xf numFmtId="0" fontId="5" fillId="0" borderId="19" xfId="0" applyFont="1" applyBorder="1" applyAlignment="1">
      <alignment horizontal="center"/>
    </xf>
    <xf numFmtId="44" fontId="7" fillId="8" borderId="21" xfId="0" applyNumberFormat="1" applyFont="1" applyFill="1" applyBorder="1" applyAlignment="1">
      <alignment horizontal="center"/>
    </xf>
    <xf numFmtId="44" fontId="7" fillId="8" borderId="23" xfId="0" applyNumberFormat="1" applyFont="1" applyFill="1" applyBorder="1" applyAlignment="1">
      <alignment horizontal="center"/>
    </xf>
    <xf numFmtId="44" fontId="7" fillId="3" borderId="26" xfId="0" applyNumberFormat="1" applyFont="1" applyFill="1" applyBorder="1" applyAlignment="1">
      <alignment horizontal="center"/>
    </xf>
    <xf numFmtId="44" fontId="7" fillId="8" borderId="19" xfId="0" applyNumberFormat="1" applyFont="1" applyFill="1" applyBorder="1" applyAlignment="1">
      <alignment horizontal="center"/>
    </xf>
    <xf numFmtId="44" fontId="7" fillId="8" borderId="26" xfId="0" applyNumberFormat="1" applyFont="1" applyFill="1" applyBorder="1" applyAlignment="1">
      <alignment horizontal="center"/>
    </xf>
    <xf numFmtId="44" fontId="5" fillId="6" borderId="29" xfId="0" applyNumberFormat="1" applyFont="1" applyFill="1" applyBorder="1" applyAlignment="1">
      <alignment horizontal="center"/>
    </xf>
    <xf numFmtId="44" fontId="7" fillId="3" borderId="32" xfId="0" applyNumberFormat="1" applyFont="1" applyFill="1" applyBorder="1" applyAlignment="1">
      <alignment horizontal="center"/>
    </xf>
    <xf numFmtId="49" fontId="7" fillId="0" borderId="0" xfId="0" applyNumberFormat="1" applyFont="1" applyAlignment="1">
      <alignment horizontal="center"/>
    </xf>
    <xf numFmtId="49" fontId="5" fillId="0" borderId="0" xfId="0" applyNumberFormat="1" applyFont="1" applyAlignment="1">
      <alignment horizontal="center"/>
    </xf>
    <xf numFmtId="0" fontId="5" fillId="3" borderId="17" xfId="0" applyFont="1" applyFill="1" applyBorder="1" applyAlignment="1">
      <alignment horizontal="center"/>
    </xf>
    <xf numFmtId="3" fontId="5" fillId="3" borderId="17" xfId="0" applyNumberFormat="1" applyFont="1" applyFill="1" applyBorder="1"/>
    <xf numFmtId="44" fontId="7" fillId="3" borderId="17" xfId="0" applyNumberFormat="1" applyFont="1" applyFill="1" applyBorder="1" applyAlignment="1">
      <alignment horizontal="center"/>
    </xf>
    <xf numFmtId="44" fontId="7" fillId="3" borderId="18" xfId="0" applyNumberFormat="1" applyFont="1" applyFill="1" applyBorder="1" applyAlignment="1">
      <alignment horizontal="center"/>
    </xf>
    <xf numFmtId="3" fontId="5" fillId="8" borderId="41" xfId="0" applyNumberFormat="1" applyFont="1" applyFill="1" applyBorder="1"/>
    <xf numFmtId="3" fontId="5" fillId="8" borderId="43" xfId="0" applyNumberFormat="1" applyFont="1" applyFill="1" applyBorder="1"/>
    <xf numFmtId="0" fontId="5" fillId="8" borderId="41" xfId="0" applyFont="1" applyFill="1" applyBorder="1" applyAlignment="1">
      <alignment horizontal="center" vertical="center" wrapText="1"/>
    </xf>
    <xf numFmtId="2" fontId="5" fillId="8" borderId="52" xfId="0" applyNumberFormat="1" applyFont="1" applyFill="1" applyBorder="1" applyAlignment="1">
      <alignment horizontal="center"/>
    </xf>
    <xf numFmtId="0" fontId="5" fillId="3" borderId="43" xfId="0" applyFont="1" applyFill="1" applyBorder="1" applyAlignment="1">
      <alignment horizontal="center" vertical="center" wrapText="1"/>
    </xf>
    <xf numFmtId="0" fontId="5" fillId="3" borderId="53" xfId="0" applyFont="1" applyFill="1" applyBorder="1" applyAlignment="1">
      <alignment horizontal="center"/>
    </xf>
    <xf numFmtId="0" fontId="5" fillId="8" borderId="43" xfId="0" applyFont="1" applyFill="1" applyBorder="1" applyAlignment="1">
      <alignment horizontal="center" vertical="center" wrapText="1"/>
    </xf>
    <xf numFmtId="2" fontId="5" fillId="8" borderId="53" xfId="0" applyNumberFormat="1" applyFont="1" applyFill="1" applyBorder="1" applyAlignment="1">
      <alignment horizontal="center"/>
    </xf>
    <xf numFmtId="2" fontId="5" fillId="3" borderId="53" xfId="0" applyNumberFormat="1" applyFont="1" applyFill="1" applyBorder="1" applyAlignment="1">
      <alignment horizontal="center"/>
    </xf>
    <xf numFmtId="0" fontId="5" fillId="3" borderId="45" xfId="0" applyFont="1" applyFill="1" applyBorder="1" applyAlignment="1">
      <alignment horizontal="center" vertical="center" wrapText="1"/>
    </xf>
    <xf numFmtId="2" fontId="5" fillId="3" borderId="36" xfId="0" applyNumberFormat="1" applyFont="1" applyFill="1" applyBorder="1" applyAlignment="1">
      <alignment horizontal="center"/>
    </xf>
    <xf numFmtId="49" fontId="5" fillId="18" borderId="33" xfId="0" applyNumberFormat="1" applyFont="1" applyFill="1" applyBorder="1" applyAlignment="1">
      <alignment horizontal="center"/>
    </xf>
    <xf numFmtId="0" fontId="7" fillId="18" borderId="31" xfId="0" applyFont="1" applyFill="1" applyBorder="1" applyAlignment="1">
      <alignment horizontal="center" vertical="center" wrapText="1"/>
    </xf>
    <xf numFmtId="3" fontId="5" fillId="18" borderId="31" xfId="0" applyNumberFormat="1" applyFont="1" applyFill="1" applyBorder="1" applyAlignment="1">
      <alignment horizontal="center"/>
    </xf>
    <xf numFmtId="0" fontId="7" fillId="18" borderId="31" xfId="0" applyFont="1" applyFill="1" applyBorder="1" applyAlignment="1">
      <alignment horizontal="center"/>
    </xf>
    <xf numFmtId="44" fontId="7" fillId="6" borderId="31" xfId="0" applyNumberFormat="1" applyFont="1" applyFill="1" applyBorder="1" applyAlignment="1">
      <alignment horizontal="center"/>
    </xf>
    <xf numFmtId="0" fontId="5" fillId="18" borderId="21" xfId="0" applyFont="1" applyFill="1" applyBorder="1"/>
    <xf numFmtId="44" fontId="7" fillId="18" borderId="54" xfId="0" applyNumberFormat="1" applyFont="1" applyFill="1" applyBorder="1"/>
    <xf numFmtId="44" fontId="7" fillId="6" borderId="43" xfId="0" applyNumberFormat="1" applyFont="1" applyFill="1" applyBorder="1" applyAlignment="1">
      <alignment horizontal="center"/>
    </xf>
    <xf numFmtId="0" fontId="5" fillId="18" borderId="19" xfId="0" applyFont="1" applyFill="1" applyBorder="1"/>
    <xf numFmtId="44" fontId="7" fillId="18" borderId="44" xfId="0" applyNumberFormat="1" applyFont="1" applyFill="1" applyBorder="1"/>
    <xf numFmtId="3" fontId="5" fillId="18" borderId="17" xfId="0" applyNumberFormat="1" applyFont="1" applyFill="1" applyBorder="1" applyAlignment="1">
      <alignment horizontal="center"/>
    </xf>
    <xf numFmtId="164" fontId="5" fillId="3" borderId="17" xfId="0" applyNumberFormat="1" applyFont="1" applyFill="1" applyBorder="1" applyAlignment="1">
      <alignment horizontal="center"/>
    </xf>
    <xf numFmtId="164" fontId="5" fillId="18" borderId="17" xfId="0" applyNumberFormat="1" applyFont="1" applyFill="1" applyBorder="1" applyAlignment="1">
      <alignment horizontal="center"/>
    </xf>
    <xf numFmtId="0" fontId="7" fillId="18" borderId="29" xfId="0" applyFont="1" applyFill="1" applyBorder="1" applyAlignment="1">
      <alignment horizontal="center" vertical="center" wrapText="1"/>
    </xf>
    <xf numFmtId="3" fontId="5" fillId="18" borderId="29" xfId="0" applyNumberFormat="1" applyFont="1" applyFill="1" applyBorder="1" applyAlignment="1">
      <alignment horizontal="center"/>
    </xf>
    <xf numFmtId="0" fontId="7" fillId="18" borderId="17" xfId="0" applyFont="1" applyFill="1" applyBorder="1" applyAlignment="1">
      <alignment horizontal="center"/>
    </xf>
    <xf numFmtId="44" fontId="7" fillId="6" borderId="55" xfId="0" applyNumberFormat="1" applyFont="1" applyFill="1" applyBorder="1" applyAlignment="1">
      <alignment horizontal="center"/>
    </xf>
    <xf numFmtId="0" fontId="5" fillId="18" borderId="29" xfId="0" applyFont="1" applyFill="1" applyBorder="1"/>
    <xf numFmtId="44" fontId="7" fillId="18" borderId="29" xfId="0" applyNumberFormat="1" applyFont="1" applyFill="1" applyBorder="1"/>
    <xf numFmtId="44" fontId="7" fillId="18" borderId="56" xfId="0" applyNumberFormat="1" applyFont="1" applyFill="1" applyBorder="1"/>
    <xf numFmtId="44" fontId="7" fillId="18" borderId="42" xfId="0" applyNumberFormat="1" applyFont="1" applyFill="1" applyBorder="1"/>
    <xf numFmtId="49" fontId="5" fillId="18" borderId="28" xfId="0" applyNumberFormat="1" applyFont="1" applyFill="1" applyBorder="1" applyAlignment="1">
      <alignment horizontal="center"/>
    </xf>
    <xf numFmtId="0" fontId="7" fillId="18" borderId="29" xfId="0" applyFont="1" applyFill="1" applyBorder="1" applyAlignment="1">
      <alignment horizontal="center"/>
    </xf>
    <xf numFmtId="0" fontId="5" fillId="18" borderId="21" xfId="0" applyFont="1" applyFill="1" applyBorder="1" applyAlignment="1">
      <alignment horizontal="center"/>
    </xf>
    <xf numFmtId="44" fontId="7" fillId="6" borderId="45" xfId="0" applyNumberFormat="1" applyFont="1" applyFill="1" applyBorder="1" applyAlignment="1">
      <alignment horizontal="center"/>
    </xf>
    <xf numFmtId="44" fontId="7" fillId="18" borderId="46" xfId="0" applyNumberFormat="1" applyFont="1" applyFill="1" applyBorder="1"/>
    <xf numFmtId="49" fontId="5" fillId="18" borderId="33" xfId="0" applyNumberFormat="1" applyFont="1" applyFill="1" applyBorder="1" applyAlignment="1">
      <alignment horizontal="center"/>
    </xf>
    <xf numFmtId="49" fontId="5" fillId="3" borderId="24" xfId="0" applyNumberFormat="1" applyFont="1" applyFill="1" applyBorder="1" applyAlignment="1">
      <alignment horizontal="center"/>
    </xf>
    <xf numFmtId="49" fontId="5" fillId="18" borderId="24" xfId="0" applyNumberFormat="1" applyFont="1" applyFill="1" applyBorder="1" applyAlignment="1">
      <alignment horizontal="center"/>
    </xf>
    <xf numFmtId="49" fontId="5" fillId="3" borderId="20" xfId="0" applyNumberFormat="1" applyFont="1" applyFill="1" applyBorder="1" applyAlignment="1">
      <alignment horizontal="center"/>
    </xf>
    <xf numFmtId="49" fontId="5" fillId="3" borderId="28" xfId="0" applyNumberFormat="1" applyFont="1" applyFill="1" applyBorder="1" applyAlignment="1">
      <alignment horizontal="center"/>
    </xf>
    <xf numFmtId="49" fontId="5" fillId="18" borderId="28" xfId="0" applyNumberFormat="1" applyFont="1" applyFill="1" applyBorder="1" applyAlignment="1">
      <alignment horizontal="center"/>
    </xf>
    <xf numFmtId="49" fontId="5" fillId="18" borderId="20" xfId="0" applyNumberFormat="1" applyFont="1" applyFill="1" applyBorder="1" applyAlignment="1">
      <alignment horizontal="center"/>
    </xf>
    <xf numFmtId="0" fontId="5" fillId="0" borderId="19" xfId="0" applyFont="1" applyBorder="1" applyAlignment="1">
      <alignment horizontal="center" wrapText="1"/>
    </xf>
    <xf numFmtId="0" fontId="5" fillId="0" borderId="0" xfId="0" applyFont="1" applyAlignment="1">
      <alignment horizontal="center"/>
    </xf>
    <xf numFmtId="44" fontId="7" fillId="0" borderId="0" xfId="0" applyNumberFormat="1" applyFont="1"/>
    <xf numFmtId="0" fontId="5" fillId="19" borderId="19" xfId="0" applyFont="1" applyFill="1" applyBorder="1" applyAlignment="1">
      <alignment horizontal="center" wrapText="1"/>
    </xf>
    <xf numFmtId="44" fontId="7" fillId="3" borderId="47" xfId="0" applyNumberFormat="1" applyFont="1" applyFill="1" applyBorder="1"/>
    <xf numFmtId="0" fontId="5" fillId="19" borderId="19" xfId="0" applyFont="1" applyFill="1" applyBorder="1" applyAlignment="1">
      <alignment horizontal="center"/>
    </xf>
    <xf numFmtId="0" fontId="5" fillId="20" borderId="19" xfId="0" applyFont="1" applyFill="1" applyBorder="1" applyAlignment="1">
      <alignment horizontal="center"/>
    </xf>
    <xf numFmtId="0" fontId="5" fillId="0" borderId="4" xfId="0" applyFont="1" applyBorder="1" applyAlignment="1">
      <alignment wrapText="1"/>
    </xf>
    <xf numFmtId="0" fontId="2" fillId="0" borderId="5" xfId="0" applyFont="1" applyBorder="1"/>
    <xf numFmtId="0" fontId="2" fillId="0" borderId="6" xfId="0" applyFont="1" applyBorder="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3" fillId="0" borderId="4" xfId="0" applyFont="1" applyBorder="1" applyAlignment="1">
      <alignment horizontal="left" vertical="top" wrapText="1"/>
    </xf>
    <xf numFmtId="0" fontId="3" fillId="0" borderId="4" xfId="0" applyFont="1" applyBorder="1" applyAlignment="1">
      <alignment wrapText="1"/>
    </xf>
    <xf numFmtId="0" fontId="5" fillId="0" borderId="0" xfId="0" applyFont="1" applyAlignment="1">
      <alignment horizontal="left" vertical="top" wrapText="1"/>
    </xf>
    <xf numFmtId="0" fontId="0" fillId="0" borderId="0" xfId="0" applyFont="1" applyAlignment="1"/>
    <xf numFmtId="0" fontId="9" fillId="0" borderId="0" xfId="0" applyFont="1"/>
    <xf numFmtId="0" fontId="6" fillId="4" borderId="10" xfId="0" applyFont="1" applyFill="1" applyBorder="1" applyAlignment="1">
      <alignment horizontal="center" vertical="center"/>
    </xf>
    <xf numFmtId="0" fontId="2" fillId="0" borderId="11" xfId="0" applyFont="1" applyBorder="1"/>
    <xf numFmtId="0" fontId="2" fillId="0" borderId="12" xfId="0" applyFont="1" applyBorder="1"/>
    <xf numFmtId="0" fontId="5" fillId="4" borderId="13" xfId="0" applyFont="1" applyFill="1" applyBorder="1" applyAlignment="1">
      <alignment horizontal="center"/>
    </xf>
    <xf numFmtId="0" fontId="2" fillId="0" borderId="14" xfId="0" applyFont="1" applyBorder="1"/>
    <xf numFmtId="0" fontId="7" fillId="5" borderId="22" xfId="0" applyFont="1" applyFill="1" applyBorder="1" applyAlignment="1">
      <alignment horizontal="center" vertical="center" wrapText="1"/>
    </xf>
    <xf numFmtId="0" fontId="2" fillId="0" borderId="25" xfId="0" applyFont="1" applyBorder="1"/>
    <xf numFmtId="0" fontId="2" fillId="0" borderId="30" xfId="0" applyFont="1" applyBorder="1"/>
    <xf numFmtId="0" fontId="7" fillId="5" borderId="34" xfId="0" applyFont="1" applyFill="1" applyBorder="1" applyAlignment="1">
      <alignment horizontal="center" vertical="center" wrapText="1"/>
    </xf>
    <xf numFmtId="0" fontId="6" fillId="7" borderId="10" xfId="0" applyFont="1" applyFill="1" applyBorder="1" applyAlignment="1">
      <alignment horizontal="center" vertical="center"/>
    </xf>
    <xf numFmtId="0" fontId="5" fillId="7" borderId="13" xfId="0" applyFont="1" applyFill="1" applyBorder="1" applyAlignment="1">
      <alignment horizontal="center"/>
    </xf>
    <xf numFmtId="0" fontId="7" fillId="8" borderId="22" xfId="0" applyFont="1" applyFill="1" applyBorder="1" applyAlignment="1">
      <alignment horizontal="center" vertical="center" wrapText="1"/>
    </xf>
    <xf numFmtId="0" fontId="6" fillId="9" borderId="10" xfId="0" applyFont="1" applyFill="1" applyBorder="1" applyAlignment="1">
      <alignment horizontal="center" vertical="center"/>
    </xf>
    <xf numFmtId="0" fontId="5" fillId="9" borderId="13" xfId="0" applyFont="1" applyFill="1" applyBorder="1" applyAlignment="1">
      <alignment horizontal="center"/>
    </xf>
    <xf numFmtId="0" fontId="7" fillId="10" borderId="22" xfId="0" applyFont="1" applyFill="1" applyBorder="1" applyAlignment="1">
      <alignment horizontal="center" vertical="center" wrapText="1"/>
    </xf>
    <xf numFmtId="0" fontId="7" fillId="12" borderId="22" xfId="0" applyFont="1" applyFill="1" applyBorder="1" applyAlignment="1">
      <alignment horizontal="center" vertical="center" wrapText="1"/>
    </xf>
    <xf numFmtId="0" fontId="6" fillId="11" borderId="10" xfId="0" applyFont="1" applyFill="1" applyBorder="1" applyAlignment="1">
      <alignment horizontal="center" vertical="center"/>
    </xf>
    <xf numFmtId="0" fontId="5" fillId="11" borderId="13" xfId="0" applyFont="1" applyFill="1" applyBorder="1" applyAlignment="1">
      <alignment horizontal="center"/>
    </xf>
    <xf numFmtId="0" fontId="7" fillId="3" borderId="22" xfId="0" applyFont="1" applyFill="1" applyBorder="1" applyAlignment="1">
      <alignment horizontal="center" vertical="center" wrapText="1"/>
    </xf>
    <xf numFmtId="0" fontId="7" fillId="14" borderId="22" xfId="0" applyFont="1" applyFill="1" applyBorder="1" applyAlignment="1">
      <alignment horizontal="center" vertical="center" wrapText="1"/>
    </xf>
    <xf numFmtId="0" fontId="6" fillId="13" borderId="10" xfId="0" applyFont="1" applyFill="1" applyBorder="1" applyAlignment="1">
      <alignment horizontal="center" vertical="center"/>
    </xf>
    <xf numFmtId="0" fontId="5" fillId="13" borderId="13" xfId="0" applyFont="1" applyFill="1" applyBorder="1" applyAlignment="1">
      <alignment horizontal="center" vertical="center" wrapText="1"/>
    </xf>
    <xf numFmtId="0" fontId="6" fillId="15" borderId="10" xfId="0" applyFont="1" applyFill="1" applyBorder="1" applyAlignment="1">
      <alignment horizontal="center" vertical="center"/>
    </xf>
    <xf numFmtId="0" fontId="5" fillId="15" borderId="13" xfId="0" applyFont="1" applyFill="1" applyBorder="1" applyAlignment="1">
      <alignment horizontal="center"/>
    </xf>
    <xf numFmtId="0" fontId="7" fillId="16" borderId="22" xfId="0" applyFont="1" applyFill="1" applyBorder="1" applyAlignment="1">
      <alignment horizontal="center" vertical="center" wrapText="1"/>
    </xf>
    <xf numFmtId="0" fontId="7" fillId="18" borderId="22" xfId="0" applyFont="1" applyFill="1" applyBorder="1" applyAlignment="1">
      <alignment horizontal="center" vertical="center" wrapText="1"/>
    </xf>
    <xf numFmtId="0" fontId="6" fillId="17" borderId="10" xfId="0" applyFont="1" applyFill="1" applyBorder="1" applyAlignment="1">
      <alignment horizontal="center" vertical="center"/>
    </xf>
    <xf numFmtId="0" fontId="5" fillId="17" borderId="13" xfId="0" applyFont="1" applyFill="1" applyBorder="1" applyAlignment="1">
      <alignment horizontal="center"/>
    </xf>
    <xf numFmtId="0" fontId="11" fillId="8" borderId="22" xfId="0" applyFont="1" applyFill="1" applyBorder="1" applyAlignment="1">
      <alignment horizontal="center" vertical="center" wrapText="1"/>
    </xf>
    <xf numFmtId="0" fontId="2" fillId="0" borderId="48" xfId="0" applyFont="1" applyBorder="1"/>
    <xf numFmtId="0" fontId="7" fillId="22" borderId="22" xfId="0" applyFont="1" applyFill="1" applyBorder="1" applyAlignment="1">
      <alignment horizontal="center" vertical="center" wrapText="1"/>
    </xf>
    <xf numFmtId="0" fontId="7" fillId="0" borderId="0" xfId="0" applyFont="1"/>
    <xf numFmtId="0" fontId="6" fillId="21" borderId="10" xfId="0" applyFont="1" applyFill="1" applyBorder="1" applyAlignment="1">
      <alignment horizontal="center" vertical="center"/>
    </xf>
    <xf numFmtId="0" fontId="5" fillId="21" borderId="13" xfId="0" applyFont="1" applyFill="1" applyBorder="1" applyAlignment="1">
      <alignment horizontal="center"/>
    </xf>
    <xf numFmtId="0" fontId="13" fillId="7" borderId="10" xfId="0" applyFont="1" applyFill="1" applyBorder="1" applyAlignment="1">
      <alignment horizontal="center" vertical="center"/>
    </xf>
    <xf numFmtId="0" fontId="9" fillId="0" borderId="0" xfId="0" applyFont="1" applyAlignment="1"/>
    <xf numFmtId="0" fontId="13" fillId="17" borderId="10" xfId="0" applyFont="1" applyFill="1" applyBorder="1" applyAlignment="1">
      <alignment horizontal="center" vertical="center"/>
    </xf>
    <xf numFmtId="0" fontId="5" fillId="17" borderId="13" xfId="0" applyFont="1" applyFill="1" applyBorder="1" applyAlignment="1">
      <alignment wrapText="1"/>
    </xf>
    <xf numFmtId="0" fontId="7" fillId="18" borderId="34" xfId="0" applyFont="1" applyFill="1" applyBorder="1" applyAlignment="1">
      <alignment horizontal="center" vertical="center" wrapText="1"/>
    </xf>
    <xf numFmtId="0" fontId="5" fillId="0" borderId="57" xfId="0" applyFont="1" applyBorder="1" applyAlignment="1">
      <alignment horizontal="center"/>
    </xf>
  </cellXfs>
  <cellStyles count="1">
    <cellStyle name="Normal" xfId="0" builtinId="0"/>
  </cellStyles>
  <dxfs count="90">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
      <fill>
        <patternFill patternType="solid">
          <fgColor rgb="FFDDF2F0"/>
          <bgColor rgb="FFDDF2F0"/>
        </patternFill>
      </fill>
    </dxf>
    <dxf>
      <fill>
        <patternFill patternType="solid">
          <fgColor rgb="FFFFFFFF"/>
          <bgColor rgb="FFFFFFFF"/>
        </patternFill>
      </fill>
    </dxf>
    <dxf>
      <fill>
        <patternFill patternType="solid">
          <fgColor rgb="FF26A69A"/>
          <bgColor rgb="FF26A69A"/>
        </patternFill>
      </fill>
    </dxf>
  </dxfs>
  <tableStyles count="30">
    <tableStyle name="FC 1 - GNSS-RO (Base)-style" pivot="0" count="3" xr9:uid="{00000000-0011-0000-FFFF-FFFF00000000}">
      <tableStyleElement type="headerRow" dxfId="89"/>
      <tableStyleElement type="firstRowStripe" dxfId="88"/>
      <tableStyleElement type="secondRowStripe" dxfId="87"/>
    </tableStyle>
    <tableStyle name="FC 1 - GNSS-RO (Base)-style 2" pivot="0" count="3" xr9:uid="{00000000-0011-0000-FFFF-FFFF01000000}">
      <tableStyleElement type="headerRow" dxfId="86"/>
      <tableStyleElement type="firstRowStripe" dxfId="85"/>
      <tableStyleElement type="secondRowStripe" dxfId="84"/>
    </tableStyle>
    <tableStyle name="FC 1 - GNSS-RO (Base)-style 3" pivot="0" count="3" xr9:uid="{00000000-0011-0000-FFFF-FFFF02000000}">
      <tableStyleElement type="headerRow" dxfId="83"/>
      <tableStyleElement type="firstRowStripe" dxfId="82"/>
      <tableStyleElement type="secondRowStripe" dxfId="81"/>
    </tableStyle>
    <tableStyle name="FC 1 - GNSS-RO (Base)-style 4" pivot="0" count="3" xr9:uid="{00000000-0011-0000-FFFF-FFFF03000000}">
      <tableStyleElement type="headerRow" dxfId="80"/>
      <tableStyleElement type="firstRowStripe" dxfId="79"/>
      <tableStyleElement type="secondRowStripe" dxfId="78"/>
    </tableStyle>
    <tableStyle name="FC 1 - GNSS-RO (Option)-style" pivot="0" count="3" xr9:uid="{00000000-0011-0000-FFFF-FFFF04000000}">
      <tableStyleElement type="headerRow" dxfId="77"/>
      <tableStyleElement type="firstRowStripe" dxfId="76"/>
      <tableStyleElement type="secondRowStripe" dxfId="75"/>
    </tableStyle>
    <tableStyle name="FC 1 - GNSS-RO (Option)-style 2" pivot="0" count="3" xr9:uid="{00000000-0011-0000-FFFF-FFFF05000000}">
      <tableStyleElement type="headerRow" dxfId="74"/>
      <tableStyleElement type="firstRowStripe" dxfId="73"/>
      <tableStyleElement type="secondRowStripe" dxfId="72"/>
    </tableStyle>
    <tableStyle name="FC 1 - GNSS-RO (Option)-style 3" pivot="0" count="3" xr9:uid="{00000000-0011-0000-FFFF-FFFF06000000}">
      <tableStyleElement type="headerRow" dxfId="71"/>
      <tableStyleElement type="firstRowStripe" dxfId="70"/>
      <tableStyleElement type="secondRowStripe" dxfId="69"/>
    </tableStyle>
    <tableStyle name="FC 1 - GNSS-RO (Option)-style 4" pivot="0" count="3" xr9:uid="{00000000-0011-0000-FFFF-FFFF07000000}">
      <tableStyleElement type="headerRow" dxfId="68"/>
      <tableStyleElement type="firstRowStripe" dxfId="67"/>
      <tableStyleElement type="secondRowStripe" dxfId="66"/>
    </tableStyle>
    <tableStyle name="FC 2 - GNSS-R (Base)-style" pivot="0" count="3" xr9:uid="{00000000-0011-0000-FFFF-FFFF08000000}">
      <tableStyleElement type="headerRow" dxfId="65"/>
      <tableStyleElement type="firstRowStripe" dxfId="64"/>
      <tableStyleElement type="secondRowStripe" dxfId="63"/>
    </tableStyle>
    <tableStyle name="FC 2 - GNSS-R (Option)-style" pivot="0" count="3" xr9:uid="{00000000-0011-0000-FFFF-FFFF09000000}">
      <tableStyleElement type="headerRow" dxfId="62"/>
      <tableStyleElement type="firstRowStripe" dxfId="61"/>
      <tableStyleElement type="secondRowStripe" dxfId="60"/>
    </tableStyle>
    <tableStyle name="FC 3 - MWS (Base)-style" pivot="0" count="3" xr9:uid="{00000000-0011-0000-FFFF-FFFF0A000000}">
      <tableStyleElement type="headerRow" dxfId="59"/>
      <tableStyleElement type="firstRowStripe" dxfId="58"/>
      <tableStyleElement type="secondRowStripe" dxfId="57"/>
    </tableStyle>
    <tableStyle name="FC 3 - MWS (Base)-style 2" pivot="0" count="3" xr9:uid="{00000000-0011-0000-FFFF-FFFF0B000000}">
      <tableStyleElement type="headerRow" dxfId="56"/>
      <tableStyleElement type="firstRowStripe" dxfId="55"/>
      <tableStyleElement type="secondRowStripe" dxfId="54"/>
    </tableStyle>
    <tableStyle name="FC 3 - MWS (Option)-style" pivot="0" count="3" xr9:uid="{00000000-0011-0000-FFFF-FFFF0C000000}">
      <tableStyleElement type="headerRow" dxfId="53"/>
      <tableStyleElement type="firstRowStripe" dxfId="52"/>
      <tableStyleElement type="secondRowStripe" dxfId="51"/>
    </tableStyle>
    <tableStyle name="FC 3 - MWS (Option)-style 2" pivot="0" count="3" xr9:uid="{00000000-0011-0000-FFFF-FFFF0D000000}">
      <tableStyleElement type="headerRow" dxfId="50"/>
      <tableStyleElement type="firstRowStripe" dxfId="49"/>
      <tableStyleElement type="secondRowStripe" dxfId="48"/>
    </tableStyle>
    <tableStyle name="FC 4 - MSI (Base)-style" pivot="0" count="3" xr9:uid="{00000000-0011-0000-FFFF-FFFF0E000000}">
      <tableStyleElement type="headerRow" dxfId="47"/>
      <tableStyleElement type="firstRowStripe" dxfId="46"/>
      <tableStyleElement type="secondRowStripe" dxfId="45"/>
    </tableStyle>
    <tableStyle name="FC 4 - MSI (Base)-style 2" pivot="0" count="3" xr9:uid="{00000000-0011-0000-FFFF-FFFF0F000000}">
      <tableStyleElement type="headerRow" dxfId="44"/>
      <tableStyleElement type="firstRowStripe" dxfId="43"/>
      <tableStyleElement type="secondRowStripe" dxfId="42"/>
    </tableStyle>
    <tableStyle name="FC 4 - MSI (Option)-style" pivot="0" count="3" xr9:uid="{00000000-0011-0000-FFFF-FFFF10000000}">
      <tableStyleElement type="headerRow" dxfId="41"/>
      <tableStyleElement type="firstRowStripe" dxfId="40"/>
      <tableStyleElement type="secondRowStripe" dxfId="39"/>
    </tableStyle>
    <tableStyle name="FC 4 - MSI (Option)-style 2" pivot="0" count="3" xr9:uid="{00000000-0011-0000-FFFF-FFFF11000000}">
      <tableStyleElement type="headerRow" dxfId="38"/>
      <tableStyleElement type="firstRowStripe" dxfId="37"/>
      <tableStyleElement type="secondRowStripe" dxfId="36"/>
    </tableStyle>
    <tableStyle name="FC 5 - IRS (Base)-style" pivot="0" count="3" xr9:uid="{00000000-0011-0000-FFFF-FFFF12000000}">
      <tableStyleElement type="headerRow" dxfId="35"/>
      <tableStyleElement type="firstRowStripe" dxfId="34"/>
      <tableStyleElement type="secondRowStripe" dxfId="33"/>
    </tableStyle>
    <tableStyle name="FC 5 - IRS (Option)-style" pivot="0" count="3" xr9:uid="{00000000-0011-0000-FFFF-FFFF13000000}">
      <tableStyleElement type="headerRow" dxfId="32"/>
      <tableStyleElement type="firstRowStripe" dxfId="31"/>
      <tableStyleElement type="secondRowStripe" dxfId="30"/>
    </tableStyle>
    <tableStyle name="FC 6 - TND (Base)-style" pivot="0" count="3" xr9:uid="{00000000-0011-0000-FFFF-FFFF14000000}">
      <tableStyleElement type="headerRow" dxfId="29"/>
      <tableStyleElement type="firstRowStripe" dxfId="28"/>
      <tableStyleElement type="secondRowStripe" dxfId="27"/>
    </tableStyle>
    <tableStyle name="FC 6 - TND (Option)-style" pivot="0" count="3" xr9:uid="{00000000-0011-0000-FFFF-FFFF15000000}">
      <tableStyleElement type="headerRow" dxfId="26"/>
      <tableStyleElement type="firstRowStripe" dxfId="25"/>
      <tableStyleElement type="secondRowStripe" dxfId="24"/>
    </tableStyle>
    <tableStyle name="FC 7 - AS (Base)-style" pivot="0" count="3" xr9:uid="{00000000-0011-0000-FFFF-FFFF16000000}">
      <tableStyleElement type="headerRow" dxfId="23"/>
      <tableStyleElement type="firstRowStripe" dxfId="22"/>
      <tableStyleElement type="secondRowStripe" dxfId="21"/>
    </tableStyle>
    <tableStyle name="FC 7 - AS (Base)-style 2" pivot="0" count="3" xr9:uid="{00000000-0011-0000-FFFF-FFFF17000000}">
      <tableStyleElement type="headerRow" dxfId="20"/>
      <tableStyleElement type="firstRowStripe" dxfId="19"/>
      <tableStyleElement type="secondRowStripe" dxfId="18"/>
    </tableStyle>
    <tableStyle name="FC 7 - AS (Base)-style 3" pivot="0" count="3" xr9:uid="{00000000-0011-0000-FFFF-FFFF18000000}">
      <tableStyleElement type="headerRow" dxfId="17"/>
      <tableStyleElement type="firstRowStripe" dxfId="16"/>
      <tableStyleElement type="secondRowStripe" dxfId="15"/>
    </tableStyle>
    <tableStyle name="FC 7 - AS (Base)-style 4" pivot="0" count="3" xr9:uid="{00000000-0011-0000-FFFF-FFFF19000000}">
      <tableStyleElement type="headerRow" dxfId="14"/>
      <tableStyleElement type="firstRowStripe" dxfId="13"/>
      <tableStyleElement type="secondRowStripe" dxfId="12"/>
    </tableStyle>
    <tableStyle name="FC 7 - AS (Option)-style" pivot="0" count="3" xr9:uid="{00000000-0011-0000-FFFF-FFFF1A000000}">
      <tableStyleElement type="headerRow" dxfId="11"/>
      <tableStyleElement type="firstRowStripe" dxfId="10"/>
      <tableStyleElement type="secondRowStripe" dxfId="9"/>
    </tableStyle>
    <tableStyle name="FC 7 - AS (Option)-style 2" pivot="0" count="3" xr9:uid="{00000000-0011-0000-FFFF-FFFF1B000000}">
      <tableStyleElement type="headerRow" dxfId="8"/>
      <tableStyleElement type="firstRowStripe" dxfId="7"/>
      <tableStyleElement type="secondRowStripe" dxfId="6"/>
    </tableStyle>
    <tableStyle name="FC 7 - AS (Option)-style 3" pivot="0" count="3" xr9:uid="{00000000-0011-0000-FFFF-FFFF1C000000}">
      <tableStyleElement type="headerRow" dxfId="5"/>
      <tableStyleElement type="firstRowStripe" dxfId="4"/>
      <tableStyleElement type="secondRowStripe" dxfId="3"/>
    </tableStyle>
    <tableStyle name="FC 7 - AS (Option)-style 4" pivot="0" count="3" xr9:uid="{00000000-0011-0000-FFFF-FFFF1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K5:L13">
  <tableColumns count="2">
    <tableColumn id="1" xr3:uid="{00000000-0010-0000-0000-000001000000}" name="License"/>
    <tableColumn id="2" xr3:uid="{00000000-0010-0000-0000-000002000000}" name="FC1 Total Evaluated Price Subcategory 1_x000a_BASE Period"/>
  </tableColumns>
  <tableStyleInfo name="FC 1 - GNSS-RO (Bas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K52:L60">
  <tableColumns count="2">
    <tableColumn id="1" xr3:uid="{00000000-0010-0000-0100-000001000000}" name="License"/>
    <tableColumn id="2" xr3:uid="{00000000-0010-0000-0100-000002000000}" name="FC1 Total Evaluated Price Subcategory 2_x000a_BASE Period"/>
  </tableColumns>
  <tableStyleInfo name="FC 1 - GNSS-RO (Bas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K99:L107">
  <tableColumns count="2">
    <tableColumn id="1" xr3:uid="{00000000-0010-0000-0200-000001000000}" name="License"/>
    <tableColumn id="2" xr3:uid="{00000000-0010-0000-0200-000002000000}" name="FC1 Total Evaluated Price Subcategory 3_x000a_BASE Period"/>
  </tableColumns>
  <tableStyleInfo name="FC 1 - GNSS-RO (Base)-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K146:L154">
  <tableColumns count="2">
    <tableColumn id="1" xr3:uid="{00000000-0010-0000-0300-000001000000}" name="License"/>
    <tableColumn id="2" xr3:uid="{00000000-0010-0000-0300-000002000000}" name="FC1 Total Evaluated Price Subcategory 4_x000a_BASE Period"/>
  </tableColumns>
  <tableStyleInfo name="FC 1 - GNSS-RO (Base)-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5:L13">
  <tableColumns count="2">
    <tableColumn id="1" xr3:uid="{00000000-0010-0000-0400-000001000000}" name="License"/>
    <tableColumn id="2" xr3:uid="{00000000-0010-0000-0400-000002000000}" name="FC1 Total Evaluated Price Subcategory 1_x000a_OPTION Period"/>
  </tableColumns>
  <tableStyleInfo name="FC 1 - GNSS-RO (Optio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K52:L60">
  <tableColumns count="2">
    <tableColumn id="1" xr3:uid="{00000000-0010-0000-0500-000001000000}" name="License"/>
    <tableColumn id="2" xr3:uid="{00000000-0010-0000-0500-000002000000}" name="FC1 Total Evaluated Price Subcategory 2_x000a_OPTION Period"/>
  </tableColumns>
  <tableStyleInfo name="FC 1 - GNSS-RO (Option)-style 2"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K99:L107">
  <tableColumns count="2">
    <tableColumn id="1" xr3:uid="{00000000-0010-0000-0600-000001000000}" name="License"/>
    <tableColumn id="2" xr3:uid="{00000000-0010-0000-0600-000002000000}" name="FC1 Total Evaluated Price Subcategory 3_x000a_OPTION Period"/>
  </tableColumns>
  <tableStyleInfo name="FC 1 - GNSS-RO (Option)-style 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K146:L154">
  <tableColumns count="2">
    <tableColumn id="1" xr3:uid="{00000000-0010-0000-0700-000001000000}" name="License"/>
    <tableColumn id="2" xr3:uid="{00000000-0010-0000-0700-000002000000}" name="FC1 Total Evaluated Price Subcategory 4_x000a_OPTION Period"/>
  </tableColumns>
  <tableStyleInfo name="FC 1 - GNSS-RO (Option)-style 4"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K5:L14">
  <tableColumns count="2">
    <tableColumn id="1" xr3:uid="{00000000-0010-0000-0800-000001000000}" name="License"/>
    <tableColumn id="2" xr3:uid="{00000000-0010-0000-0800-000002000000}" name="FC2 Total Evaluated Price BASE Period"/>
  </tableColumns>
  <tableStyleInfo name="FC 2 - GNSS-R (Base)-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K5:L11">
  <tableColumns count="2">
    <tableColumn id="1" xr3:uid="{00000000-0010-0000-0900-000001000000}" name="License"/>
    <tableColumn id="2" xr3:uid="{00000000-0010-0000-0900-000002000000}" name="FC2 Total Evaluated Price OPTION Period"/>
  </tableColumns>
  <tableStyleInfo name="FC 2 - GNSS-R (Option)-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K5:L13">
  <tableColumns count="2">
    <tableColumn id="1" xr3:uid="{00000000-0010-0000-0A00-000001000000}" name="License"/>
    <tableColumn id="2" xr3:uid="{00000000-0010-0000-0A00-000002000000}" name="FC3 Subcategory 1 Total Evaluated Price BASE Period"/>
  </tableColumns>
  <tableStyleInfo name="FC 3 - MWS (Base)-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K80:L88">
  <tableColumns count="2">
    <tableColumn id="1" xr3:uid="{00000000-0010-0000-0B00-000001000000}" name="License"/>
    <tableColumn id="2" xr3:uid="{00000000-0010-0000-0B00-000002000000}" name="FC3 Subcategory 2 Total Evaluated Price BASE Period"/>
  </tableColumns>
  <tableStyleInfo name="FC 3 - MWS (Base)-style 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K5:L11">
  <tableColumns count="2">
    <tableColumn id="1" xr3:uid="{00000000-0010-0000-0C00-000001000000}" name="License"/>
    <tableColumn id="2" xr3:uid="{00000000-0010-0000-0C00-000002000000}" name="FC3 Subcategory 1 Total Evaluated Price OPTION Period"/>
  </tableColumns>
  <tableStyleInfo name="FC 3 - MWS (Option)-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K80:L88">
  <tableColumns count="2">
    <tableColumn id="1" xr3:uid="{00000000-0010-0000-0D00-000001000000}" name="License"/>
    <tableColumn id="2" xr3:uid="{00000000-0010-0000-0D00-000002000000}" name="FC3 Subcategory 2 Total Evaluated Price OPTION Period"/>
  </tableColumns>
  <tableStyleInfo name="FC 3 - MWS (Option)-style 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K5:L13">
  <tableColumns count="2">
    <tableColumn id="1" xr3:uid="{00000000-0010-0000-0E00-000001000000}" name="License"/>
    <tableColumn id="2" xr3:uid="{00000000-0010-0000-0E00-000002000000}" name="FC4 Total Evaluated Price Subcategory 1_x000a_BASE Period"/>
  </tableColumns>
  <tableStyleInfo name="FC 4 - MSI (Base)-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K80:L88">
  <tableColumns count="2">
    <tableColumn id="1" xr3:uid="{00000000-0010-0000-0F00-000001000000}" name="License"/>
    <tableColumn id="2" xr3:uid="{00000000-0010-0000-0F00-000002000000}" name="FC4 Total Evaluated Price Subcategory 2_x000a_BASE Period"/>
  </tableColumns>
  <tableStyleInfo name="FC 4 - MSI (Base)-style 2"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K5:L13">
  <tableColumns count="2">
    <tableColumn id="1" xr3:uid="{00000000-0010-0000-1000-000001000000}" name="License"/>
    <tableColumn id="2" xr3:uid="{00000000-0010-0000-1000-000002000000}" name="FC4 Total Evaluated Price Subcategory 1_x000a_OPTION Period"/>
  </tableColumns>
  <tableStyleInfo name="FC 4 - MSI (Option)-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K80:L88">
  <tableColumns count="2">
    <tableColumn id="1" xr3:uid="{00000000-0010-0000-1100-000001000000}" name="License"/>
    <tableColumn id="2" xr3:uid="{00000000-0010-0000-1100-000002000000}" name="FC4 Total Evaluated Price Subcategory 2_x000a_OPTION Period"/>
  </tableColumns>
  <tableStyleInfo name="FC 4 - MSI (Option)-style 2"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K5:L13">
  <tableColumns count="2">
    <tableColumn id="1" xr3:uid="{00000000-0010-0000-1200-000001000000}" name="License"/>
    <tableColumn id="2" xr3:uid="{00000000-0010-0000-1200-000002000000}" name="FC5 Total Evaluated Price BASE Period"/>
  </tableColumns>
  <tableStyleInfo name="FC 5 - IRS (Base)-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K5:L13">
  <tableColumns count="2">
    <tableColumn id="1" xr3:uid="{00000000-0010-0000-1300-000001000000}" name="License"/>
    <tableColumn id="2" xr3:uid="{00000000-0010-0000-1300-000002000000}" name="FC5 Total Evaluated Price OPTION Period"/>
  </tableColumns>
  <tableStyleInfo name="FC 5 - IRS (Option)-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K5:L14">
  <tableColumns count="2">
    <tableColumn id="1" xr3:uid="{00000000-0010-0000-1400-000001000000}" name="License"/>
    <tableColumn id="2" xr3:uid="{00000000-0010-0000-1400-000002000000}" name="FC6 Total Evaluated Price BASE Period"/>
  </tableColumns>
  <tableStyleInfo name="FC 6 - TND (Base)-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K5:L14">
  <tableColumns count="2">
    <tableColumn id="1" xr3:uid="{00000000-0010-0000-1500-000001000000}" name="License"/>
    <tableColumn id="2" xr3:uid="{00000000-0010-0000-1500-000002000000}" name="FC6 Total Evaluated Price OPTION Period"/>
  </tableColumns>
  <tableStyleInfo name="FC 6 - TND (Option)-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J5:M13" headerRowCount="0">
  <tableColumns count="4">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s>
  <tableStyleInfo name="FC 7 - AS (Base)-style" showFirstColumn="1" showLastColumn="1" showRowStripes="1" showColumnStripes="0"/>
  <extLst>
    <ext uri="GoogleSheetsCustomDataVersion1">
      <go:sheetsCustomData xmlns:go="http://customooxmlschemas.google.com/" headerRowCount="1"/>
    </ext>
  </extLst>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K51:M70" headerRowCount="0">
  <tableColumns count="3">
    <tableColumn id="1" xr3:uid="{00000000-0010-0000-1700-000001000000}" name="Column1"/>
    <tableColumn id="2" xr3:uid="{00000000-0010-0000-1700-000002000000}" name="Column2"/>
    <tableColumn id="3" xr3:uid="{00000000-0010-0000-1700-000003000000}" name="Column3"/>
  </tableColumns>
  <tableStyleInfo name="FC 7 - AS (Base)-style 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K118:M137" headerRowCount="0">
  <tableColumns count="3">
    <tableColumn id="1" xr3:uid="{00000000-0010-0000-1800-000001000000}" name="Column1"/>
    <tableColumn id="2" xr3:uid="{00000000-0010-0000-1800-000002000000}" name="Column2"/>
    <tableColumn id="3" xr3:uid="{00000000-0010-0000-1800-000003000000}" name="Column3"/>
  </tableColumns>
  <tableStyleInfo name="FC 7 - AS (Base)-style 3" showFirstColumn="1" showLastColumn="1" showRowStripes="1" showColumnStripes="0"/>
  <extLst>
    <ext uri="GoogleSheetsCustomDataVersion1">
      <go:sheetsCustomData xmlns:go="http://customooxmlschemas.google.com/" headerRowCount="1"/>
    </ext>
  </extLst>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K185:L204">
  <tableColumns count="2">
    <tableColumn id="1" xr3:uid="{00000000-0010-0000-1900-000001000000}" name="License"/>
    <tableColumn id="2" xr3:uid="{00000000-0010-0000-1900-000002000000}" name="FC7 SC4 Total Evaluated Price BASE Period (Scatterometry)"/>
  </tableColumns>
  <tableStyleInfo name="FC 7 - AS (Base)-style 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J5:L13" headerRowCount="0">
  <tableColumns count="3">
    <tableColumn id="1" xr3:uid="{00000000-0010-0000-1A00-000001000000}" name="Column1"/>
    <tableColumn id="2" xr3:uid="{00000000-0010-0000-1A00-000002000000}" name="Column2"/>
    <tableColumn id="3" xr3:uid="{00000000-0010-0000-1A00-000003000000}" name="Column3"/>
  </tableColumns>
  <tableStyleInfo name="FC 7 - AS (Option)-style" showFirstColumn="1" showLastColumn="1" showRowStripes="1" showColumnStripes="0"/>
  <extLst>
    <ext uri="GoogleSheetsCustomDataVersion1">
      <go:sheetsCustomData xmlns:go="http://customooxmlschemas.google.com/" headerRowCount="1"/>
    </ext>
  </extLst>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K51:L59">
  <tableColumns count="2">
    <tableColumn id="1" xr3:uid="{00000000-0010-0000-1B00-000001000000}" name="License"/>
    <tableColumn id="2" xr3:uid="{00000000-0010-0000-1B00-000002000000}" name="FC7 SC2 Total Evaluated Price OPTION Period (Altimetry)"/>
  </tableColumns>
  <tableStyleInfo name="FC 7 - AS (Option)-style 2"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K119:L138">
  <tableColumns count="2">
    <tableColumn id="1" xr3:uid="{00000000-0010-0000-1C00-000001000000}" name="License"/>
    <tableColumn id="2" xr3:uid="{00000000-0010-0000-1C00-000002000000}" name="FC7 SC3 Total Evaluated Price OPTION Period (K/Ka/Ku-Band Radar)"/>
  </tableColumns>
  <tableStyleInfo name="FC 7 - AS (Option)-style 3"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K186:L205">
  <tableColumns count="2">
    <tableColumn id="1" xr3:uid="{00000000-0010-0000-1D00-000001000000}" name="License"/>
    <tableColumn id="2" xr3:uid="{00000000-0010-0000-1D00-000002000000}" name="FC7 SC4 Total Evaluated Price OPTION Period (Scatterometry)"/>
  </tableColumns>
  <tableStyleInfo name="FC 7 - AS (Option)-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 Id="rId4" Type="http://schemas.openxmlformats.org/officeDocument/2006/relationships/table" Target="../tables/table2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table" Target="../tables/table27.xml"/><Relationship Id="rId4"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3"/>
  <sheetViews>
    <sheetView tabSelected="1" workbookViewId="0">
      <selection sqref="A1:F1"/>
    </sheetView>
  </sheetViews>
  <sheetFormatPr defaultColWidth="12.6328125" defaultRowHeight="15" customHeight="1" x14ac:dyDescent="0.35"/>
  <cols>
    <col min="1" max="5" width="25.7265625" customWidth="1"/>
    <col min="6" max="6" width="43.6328125" customWidth="1"/>
    <col min="7" max="26" width="8.6328125" customWidth="1"/>
  </cols>
  <sheetData>
    <row r="1" spans="1:6" ht="18.5" x14ac:dyDescent="0.45">
      <c r="A1" s="407" t="s">
        <v>0</v>
      </c>
      <c r="B1" s="408"/>
      <c r="C1" s="408"/>
      <c r="D1" s="408"/>
      <c r="E1" s="408"/>
      <c r="F1" s="409"/>
    </row>
    <row r="3" spans="1:6" ht="14.5" x14ac:dyDescent="0.35">
      <c r="A3" s="410" t="s">
        <v>1</v>
      </c>
      <c r="B3" s="405"/>
      <c r="C3" s="405"/>
      <c r="D3" s="405"/>
      <c r="E3" s="405"/>
      <c r="F3" s="406"/>
    </row>
    <row r="4" spans="1:6" ht="6.75" customHeight="1" x14ac:dyDescent="0.35">
      <c r="A4" s="1"/>
      <c r="B4" s="1"/>
      <c r="C4" s="1"/>
      <c r="D4" s="1"/>
      <c r="E4" s="1"/>
      <c r="F4" s="1"/>
    </row>
    <row r="5" spans="1:6" ht="14.5" x14ac:dyDescent="0.35">
      <c r="A5" s="410" t="s">
        <v>2</v>
      </c>
      <c r="B5" s="405"/>
      <c r="C5" s="405"/>
      <c r="D5" s="405"/>
      <c r="E5" s="405"/>
      <c r="F5" s="406"/>
    </row>
    <row r="6" spans="1:6" ht="5.25" customHeight="1" x14ac:dyDescent="0.35">
      <c r="A6" s="2"/>
      <c r="B6" s="2"/>
      <c r="C6" s="2"/>
      <c r="D6" s="2"/>
      <c r="E6" s="2"/>
      <c r="F6" s="2"/>
    </row>
    <row r="7" spans="1:6" ht="14.5" x14ac:dyDescent="0.35">
      <c r="A7" s="410" t="s">
        <v>3</v>
      </c>
      <c r="B7" s="405"/>
      <c r="C7" s="405"/>
      <c r="D7" s="405"/>
      <c r="E7" s="405"/>
      <c r="F7" s="406"/>
    </row>
    <row r="8" spans="1:6" ht="6" customHeight="1" x14ac:dyDescent="0.35"/>
    <row r="9" spans="1:6" ht="14.5" x14ac:dyDescent="0.35">
      <c r="A9" s="411" t="s">
        <v>4</v>
      </c>
      <c r="B9" s="405"/>
      <c r="C9" s="405"/>
      <c r="D9" s="405"/>
      <c r="E9" s="405"/>
      <c r="F9" s="406"/>
    </row>
    <row r="10" spans="1:6" ht="4.5" customHeight="1" x14ac:dyDescent="0.35"/>
    <row r="11" spans="1:6" ht="14.5" x14ac:dyDescent="0.35">
      <c r="A11" s="411" t="s">
        <v>5</v>
      </c>
      <c r="B11" s="405"/>
      <c r="C11" s="405"/>
      <c r="D11" s="405"/>
      <c r="E11" s="405"/>
      <c r="F11" s="406"/>
    </row>
    <row r="12" spans="1:6" ht="4.5" customHeight="1" x14ac:dyDescent="0.35"/>
    <row r="13" spans="1:6" ht="8.25" customHeight="1" x14ac:dyDescent="0.35"/>
    <row r="14" spans="1:6" ht="14.5" x14ac:dyDescent="0.35">
      <c r="A14" s="412" t="s">
        <v>6</v>
      </c>
      <c r="B14" s="413"/>
      <c r="C14" s="413"/>
      <c r="D14" s="413"/>
      <c r="E14" s="413"/>
      <c r="F14" s="413"/>
    </row>
    <row r="15" spans="1:6" ht="14.5" x14ac:dyDescent="0.35">
      <c r="A15" s="404" t="s">
        <v>7</v>
      </c>
      <c r="B15" s="405"/>
      <c r="C15" s="405"/>
      <c r="D15" s="405"/>
      <c r="E15" s="405"/>
      <c r="F15" s="406"/>
    </row>
    <row r="16" spans="1:6" ht="14.5" x14ac:dyDescent="0.35">
      <c r="A16" s="404" t="s">
        <v>8</v>
      </c>
      <c r="B16" s="405"/>
      <c r="C16" s="405"/>
      <c r="D16" s="405"/>
      <c r="E16" s="405"/>
      <c r="F16" s="406"/>
    </row>
    <row r="17" spans="1:6" ht="14.5" x14ac:dyDescent="0.35">
      <c r="A17" s="404" t="s">
        <v>9</v>
      </c>
      <c r="B17" s="405"/>
      <c r="C17" s="405"/>
      <c r="D17" s="405"/>
      <c r="E17" s="405"/>
      <c r="F17" s="406"/>
    </row>
    <row r="24" spans="1:6" ht="15.75" customHeight="1" x14ac:dyDescent="0.35"/>
    <row r="25" spans="1:6" ht="15.75" customHeight="1" x14ac:dyDescent="0.35"/>
    <row r="26" spans="1:6" ht="15.75" customHeight="1" x14ac:dyDescent="0.35"/>
    <row r="27" spans="1:6" ht="15.75" customHeight="1" x14ac:dyDescent="0.35"/>
    <row r="28" spans="1:6" ht="15.75" customHeight="1" x14ac:dyDescent="0.35"/>
    <row r="29" spans="1:6" ht="15.75" customHeight="1" x14ac:dyDescent="0.35"/>
    <row r="30" spans="1:6" ht="15.75" customHeight="1" x14ac:dyDescent="0.35"/>
    <row r="31" spans="1:6" ht="15.75" customHeight="1" x14ac:dyDescent="0.35"/>
    <row r="32" spans="1:6"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sheetData>
  <mergeCells count="10">
    <mergeCell ref="A15:F15"/>
    <mergeCell ref="A16:F16"/>
    <mergeCell ref="A17:F17"/>
    <mergeCell ref="A1:F1"/>
    <mergeCell ref="A3:F3"/>
    <mergeCell ref="A5:F5"/>
    <mergeCell ref="A7:F7"/>
    <mergeCell ref="A9:F9"/>
    <mergeCell ref="A11:F11"/>
    <mergeCell ref="A14:F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defaultColWidth="12.6328125" defaultRowHeight="15" customHeight="1" x14ac:dyDescent="0.35"/>
  <cols>
    <col min="1" max="1" width="83.90625" customWidth="1"/>
    <col min="2" max="26" width="8.6328125" customWidth="1"/>
  </cols>
  <sheetData>
    <row r="1" spans="1:6" ht="18.5" x14ac:dyDescent="0.45">
      <c r="A1" s="3" t="s">
        <v>10</v>
      </c>
      <c r="B1" s="4"/>
      <c r="C1" s="4"/>
      <c r="D1" s="4"/>
      <c r="E1" s="4"/>
      <c r="F1" s="5"/>
    </row>
    <row r="2" spans="1:6" ht="22.5" customHeight="1" x14ac:dyDescent="0.35">
      <c r="A2" s="6" t="s">
        <v>11</v>
      </c>
    </row>
    <row r="3" spans="1:6" ht="43.5" x14ac:dyDescent="0.35">
      <c r="A3" s="7" t="s">
        <v>12</v>
      </c>
    </row>
    <row r="4" spans="1:6" ht="22.5" customHeight="1" x14ac:dyDescent="0.35">
      <c r="A4" s="6" t="s">
        <v>13</v>
      </c>
    </row>
    <row r="5" spans="1:6" ht="87" x14ac:dyDescent="0.35">
      <c r="A5" s="7" t="s">
        <v>14</v>
      </c>
    </row>
    <row r="6" spans="1:6" ht="22.5" customHeight="1" x14ac:dyDescent="0.35">
      <c r="A6" s="6" t="s">
        <v>15</v>
      </c>
    </row>
    <row r="7" spans="1:6" ht="29" x14ac:dyDescent="0.35">
      <c r="A7" s="7" t="s">
        <v>16</v>
      </c>
    </row>
    <row r="8" spans="1:6" ht="22.5" customHeight="1" x14ac:dyDescent="0.35">
      <c r="A8" s="6" t="s">
        <v>17</v>
      </c>
    </row>
    <row r="9" spans="1:6" ht="84" x14ac:dyDescent="0.35">
      <c r="A9" s="8" t="s">
        <v>18</v>
      </c>
    </row>
    <row r="10" spans="1:6" ht="22.5" customHeight="1" x14ac:dyDescent="0.35">
      <c r="A10" s="6" t="s">
        <v>19</v>
      </c>
    </row>
    <row r="11" spans="1:6" ht="29" x14ac:dyDescent="0.35">
      <c r="A11" s="7" t="s">
        <v>20</v>
      </c>
    </row>
    <row r="12" spans="1:6" ht="14.5" x14ac:dyDescent="0.35">
      <c r="A12" s="9" t="s">
        <v>21</v>
      </c>
    </row>
    <row r="13" spans="1:6" ht="28" x14ac:dyDescent="0.35">
      <c r="A13" s="8" t="s">
        <v>22</v>
      </c>
    </row>
    <row r="14" spans="1:6" ht="14.5" x14ac:dyDescent="0.35">
      <c r="A14" s="9" t="s">
        <v>23</v>
      </c>
    </row>
    <row r="15" spans="1:6" ht="28" x14ac:dyDescent="0.35">
      <c r="A15" s="8" t="s">
        <v>24</v>
      </c>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31"/>
  <sheetViews>
    <sheetView workbookViewId="0"/>
  </sheetViews>
  <sheetFormatPr defaultColWidth="12.6328125" defaultRowHeight="15" customHeight="1" x14ac:dyDescent="0.35"/>
  <cols>
    <col min="1" max="1" width="10.90625" customWidth="1"/>
    <col min="2" max="2" width="12.36328125" customWidth="1"/>
    <col min="3" max="3" width="27.90625" customWidth="1"/>
    <col min="4" max="4" width="14.36328125" customWidth="1"/>
    <col min="5" max="6" width="8.6328125" customWidth="1"/>
    <col min="7" max="7" width="11" customWidth="1"/>
    <col min="8" max="8" width="14.36328125" customWidth="1"/>
    <col min="9" max="9" width="20.90625" customWidth="1"/>
    <col min="10" max="10" width="7.36328125" customWidth="1"/>
    <col min="11" max="11" width="17.26953125" customWidth="1"/>
    <col min="12" max="12" width="54.6328125" customWidth="1"/>
    <col min="13" max="13" width="24.08984375" customWidth="1"/>
    <col min="14" max="23" width="8.6328125" customWidth="1"/>
  </cols>
  <sheetData>
    <row r="1" spans="1:12" ht="18.5" x14ac:dyDescent="0.45">
      <c r="A1" s="10" t="s">
        <v>25</v>
      </c>
    </row>
    <row r="2" spans="1:12" ht="18" x14ac:dyDescent="0.4">
      <c r="A2" s="11" t="s">
        <v>26</v>
      </c>
    </row>
    <row r="3" spans="1:12" ht="18" x14ac:dyDescent="0.4">
      <c r="A3" s="414" t="s">
        <v>27</v>
      </c>
      <c r="B3" s="413"/>
      <c r="C3" s="413"/>
      <c r="D3" s="413"/>
      <c r="E3" s="413"/>
      <c r="F3" s="413"/>
      <c r="G3" s="413"/>
      <c r="H3" s="413"/>
      <c r="I3" s="413"/>
    </row>
    <row r="4" spans="1:12" ht="18.5" x14ac:dyDescent="0.35">
      <c r="A4" s="415" t="s">
        <v>28</v>
      </c>
      <c r="B4" s="416"/>
      <c r="C4" s="416"/>
      <c r="D4" s="416"/>
      <c r="E4" s="416"/>
      <c r="F4" s="417"/>
      <c r="G4" s="418" t="s">
        <v>29</v>
      </c>
      <c r="H4" s="416"/>
      <c r="I4" s="419"/>
    </row>
    <row r="5" spans="1:12" ht="42.5" x14ac:dyDescent="0.35">
      <c r="A5" s="12" t="s">
        <v>30</v>
      </c>
      <c r="B5" s="13" t="s">
        <v>31</v>
      </c>
      <c r="C5" s="14" t="s">
        <v>32</v>
      </c>
      <c r="D5" s="15" t="s">
        <v>33</v>
      </c>
      <c r="E5" s="15" t="s">
        <v>34</v>
      </c>
      <c r="F5" s="14" t="s">
        <v>35</v>
      </c>
      <c r="G5" s="16" t="s">
        <v>36</v>
      </c>
      <c r="H5" s="16" t="s">
        <v>37</v>
      </c>
      <c r="I5" s="17" t="s">
        <v>38</v>
      </c>
      <c r="K5" s="18" t="s">
        <v>39</v>
      </c>
      <c r="L5" s="19" t="s">
        <v>40</v>
      </c>
    </row>
    <row r="6" spans="1:12" ht="15.75" customHeight="1" x14ac:dyDescent="0.35">
      <c r="A6" s="20" t="s">
        <v>41</v>
      </c>
      <c r="B6" s="21">
        <v>1</v>
      </c>
      <c r="C6" s="420" t="s">
        <v>42</v>
      </c>
      <c r="D6" s="22">
        <v>500</v>
      </c>
      <c r="E6" s="23" t="s">
        <v>43</v>
      </c>
      <c r="F6" s="24">
        <v>0</v>
      </c>
      <c r="G6" s="25">
        <v>500</v>
      </c>
      <c r="H6" s="26">
        <f t="shared" ref="H6:H47" si="0">F6*G6</f>
        <v>0</v>
      </c>
      <c r="I6" s="27">
        <f t="shared" ref="I6:I47" si="1">H6*365</f>
        <v>0</v>
      </c>
      <c r="K6" s="18">
        <v>1</v>
      </c>
      <c r="L6" s="28">
        <f>SUM(I6:I11)</f>
        <v>0</v>
      </c>
    </row>
    <row r="7" spans="1:12" ht="15.75" customHeight="1" x14ac:dyDescent="0.35">
      <c r="A7" s="29" t="s">
        <v>41</v>
      </c>
      <c r="B7" s="30">
        <v>1</v>
      </c>
      <c r="C7" s="421"/>
      <c r="D7" s="31" t="s">
        <v>44</v>
      </c>
      <c r="E7" s="32" t="s">
        <v>43</v>
      </c>
      <c r="F7" s="33">
        <v>0</v>
      </c>
      <c r="G7" s="34">
        <v>1000</v>
      </c>
      <c r="H7" s="35">
        <f t="shared" si="0"/>
        <v>0</v>
      </c>
      <c r="I7" s="36">
        <f t="shared" si="1"/>
        <v>0</v>
      </c>
      <c r="K7" s="18">
        <v>2</v>
      </c>
      <c r="L7" s="28">
        <f>SUM(I12:I17)</f>
        <v>0</v>
      </c>
    </row>
    <row r="8" spans="1:12" ht="14.5" x14ac:dyDescent="0.35">
      <c r="A8" s="37" t="s">
        <v>41</v>
      </c>
      <c r="B8" s="38">
        <v>1</v>
      </c>
      <c r="C8" s="421"/>
      <c r="D8" s="39" t="s">
        <v>45</v>
      </c>
      <c r="E8" s="40" t="s">
        <v>43</v>
      </c>
      <c r="F8" s="33">
        <v>0</v>
      </c>
      <c r="G8" s="41">
        <v>5000</v>
      </c>
      <c r="H8" s="42">
        <f t="shared" si="0"/>
        <v>0</v>
      </c>
      <c r="I8" s="43">
        <f t="shared" si="1"/>
        <v>0</v>
      </c>
      <c r="K8" s="18" t="s">
        <v>46</v>
      </c>
      <c r="L8" s="28">
        <f>SUM(I18:I23)</f>
        <v>0</v>
      </c>
    </row>
    <row r="9" spans="1:12" ht="14.5" x14ac:dyDescent="0.35">
      <c r="A9" s="29" t="s">
        <v>41</v>
      </c>
      <c r="B9" s="30">
        <v>1</v>
      </c>
      <c r="C9" s="421"/>
      <c r="D9" s="31" t="s">
        <v>47</v>
      </c>
      <c r="E9" s="32" t="s">
        <v>43</v>
      </c>
      <c r="F9" s="33">
        <v>0</v>
      </c>
      <c r="G9" s="34">
        <v>10000</v>
      </c>
      <c r="H9" s="35">
        <f t="shared" si="0"/>
        <v>0</v>
      </c>
      <c r="I9" s="36">
        <f t="shared" si="1"/>
        <v>0</v>
      </c>
      <c r="K9" s="18">
        <v>3</v>
      </c>
      <c r="L9" s="28">
        <f>SUM(I24:I29)</f>
        <v>0</v>
      </c>
    </row>
    <row r="10" spans="1:12" ht="14.5" x14ac:dyDescent="0.35">
      <c r="A10" s="37" t="s">
        <v>41</v>
      </c>
      <c r="B10" s="38">
        <v>1</v>
      </c>
      <c r="C10" s="421"/>
      <c r="D10" s="44" t="s">
        <v>48</v>
      </c>
      <c r="E10" s="40" t="s">
        <v>43</v>
      </c>
      <c r="F10" s="33">
        <v>0</v>
      </c>
      <c r="G10" s="41">
        <v>20000</v>
      </c>
      <c r="H10" s="42">
        <f t="shared" si="0"/>
        <v>0</v>
      </c>
      <c r="I10" s="43">
        <f t="shared" si="1"/>
        <v>0</v>
      </c>
      <c r="K10" s="45" t="s">
        <v>49</v>
      </c>
      <c r="L10" s="46">
        <f>SUM(I30:I35)</f>
        <v>0</v>
      </c>
    </row>
    <row r="11" spans="1:12" ht="14.5" x14ac:dyDescent="0.35">
      <c r="A11" s="47" t="s">
        <v>41</v>
      </c>
      <c r="B11" s="48">
        <v>1</v>
      </c>
      <c r="C11" s="422"/>
      <c r="D11" s="49" t="s">
        <v>50</v>
      </c>
      <c r="E11" s="50" t="s">
        <v>43</v>
      </c>
      <c r="F11" s="51">
        <v>0</v>
      </c>
      <c r="G11" s="52">
        <v>30000</v>
      </c>
      <c r="H11" s="53">
        <f t="shared" si="0"/>
        <v>0</v>
      </c>
      <c r="I11" s="54">
        <f t="shared" si="1"/>
        <v>0</v>
      </c>
      <c r="K11" s="18">
        <v>4</v>
      </c>
      <c r="L11" s="46">
        <f>SUM(I36:I41)</f>
        <v>0</v>
      </c>
    </row>
    <row r="12" spans="1:12" ht="15.75" customHeight="1" x14ac:dyDescent="0.35">
      <c r="A12" s="20" t="s">
        <v>51</v>
      </c>
      <c r="B12" s="21">
        <v>2</v>
      </c>
      <c r="C12" s="420" t="s">
        <v>52</v>
      </c>
      <c r="D12" s="22">
        <v>500</v>
      </c>
      <c r="E12" s="23" t="s">
        <v>43</v>
      </c>
      <c r="F12" s="24">
        <v>0</v>
      </c>
      <c r="G12" s="25">
        <v>500</v>
      </c>
      <c r="H12" s="26">
        <f t="shared" si="0"/>
        <v>0</v>
      </c>
      <c r="I12" s="27">
        <f t="shared" si="1"/>
        <v>0</v>
      </c>
      <c r="K12" s="18" t="s">
        <v>53</v>
      </c>
      <c r="L12" s="46">
        <f>SUM(I42:I47)</f>
        <v>0</v>
      </c>
    </row>
    <row r="13" spans="1:12" ht="15.75" customHeight="1" x14ac:dyDescent="0.35">
      <c r="A13" s="29" t="s">
        <v>51</v>
      </c>
      <c r="B13" s="30">
        <v>2</v>
      </c>
      <c r="C13" s="421"/>
      <c r="D13" s="31" t="s">
        <v>44</v>
      </c>
      <c r="E13" s="32" t="s">
        <v>43</v>
      </c>
      <c r="F13" s="33">
        <v>0</v>
      </c>
      <c r="G13" s="34">
        <v>1000</v>
      </c>
      <c r="H13" s="35">
        <f t="shared" si="0"/>
        <v>0</v>
      </c>
      <c r="I13" s="36">
        <f t="shared" si="1"/>
        <v>0</v>
      </c>
      <c r="K13" s="18" t="s">
        <v>54</v>
      </c>
      <c r="L13" s="28">
        <f>SUM(L6:L12)</f>
        <v>0</v>
      </c>
    </row>
    <row r="14" spans="1:12" ht="14.5" x14ac:dyDescent="0.35">
      <c r="A14" s="37" t="s">
        <v>51</v>
      </c>
      <c r="B14" s="38">
        <v>2</v>
      </c>
      <c r="C14" s="421"/>
      <c r="D14" s="39" t="s">
        <v>45</v>
      </c>
      <c r="E14" s="40" t="s">
        <v>43</v>
      </c>
      <c r="F14" s="33">
        <v>0</v>
      </c>
      <c r="G14" s="41">
        <v>5000</v>
      </c>
      <c r="H14" s="42">
        <f t="shared" si="0"/>
        <v>0</v>
      </c>
      <c r="I14" s="43">
        <f t="shared" si="1"/>
        <v>0</v>
      </c>
    </row>
    <row r="15" spans="1:12" ht="14.5" x14ac:dyDescent="0.35">
      <c r="A15" s="29" t="s">
        <v>51</v>
      </c>
      <c r="B15" s="30">
        <v>2</v>
      </c>
      <c r="C15" s="421"/>
      <c r="D15" s="31" t="s">
        <v>47</v>
      </c>
      <c r="E15" s="32" t="s">
        <v>43</v>
      </c>
      <c r="F15" s="33">
        <v>0</v>
      </c>
      <c r="G15" s="34">
        <v>10000</v>
      </c>
      <c r="H15" s="35">
        <f t="shared" si="0"/>
        <v>0</v>
      </c>
      <c r="I15" s="36">
        <f t="shared" si="1"/>
        <v>0</v>
      </c>
    </row>
    <row r="16" spans="1:12" ht="14.5" x14ac:dyDescent="0.35">
      <c r="A16" s="37" t="s">
        <v>51</v>
      </c>
      <c r="B16" s="38">
        <v>2</v>
      </c>
      <c r="C16" s="421"/>
      <c r="D16" s="44" t="s">
        <v>48</v>
      </c>
      <c r="E16" s="40" t="s">
        <v>43</v>
      </c>
      <c r="F16" s="33">
        <v>0</v>
      </c>
      <c r="G16" s="41">
        <v>20000</v>
      </c>
      <c r="H16" s="42">
        <f t="shared" si="0"/>
        <v>0</v>
      </c>
      <c r="I16" s="43">
        <f t="shared" si="1"/>
        <v>0</v>
      </c>
    </row>
    <row r="17" spans="1:9" ht="14.5" x14ac:dyDescent="0.35">
      <c r="A17" s="47" t="s">
        <v>51</v>
      </c>
      <c r="B17" s="48">
        <v>2</v>
      </c>
      <c r="C17" s="422"/>
      <c r="D17" s="49" t="s">
        <v>50</v>
      </c>
      <c r="E17" s="50" t="s">
        <v>43</v>
      </c>
      <c r="F17" s="51">
        <v>0</v>
      </c>
      <c r="G17" s="52">
        <v>30000</v>
      </c>
      <c r="H17" s="53">
        <f t="shared" si="0"/>
        <v>0</v>
      </c>
      <c r="I17" s="54">
        <f t="shared" si="1"/>
        <v>0</v>
      </c>
    </row>
    <row r="18" spans="1:9" ht="15.75" customHeight="1" x14ac:dyDescent="0.35">
      <c r="A18" s="55" t="s">
        <v>55</v>
      </c>
      <c r="B18" s="56" t="s">
        <v>46</v>
      </c>
      <c r="C18" s="423" t="s">
        <v>56</v>
      </c>
      <c r="D18" s="57">
        <v>500</v>
      </c>
      <c r="E18" s="58" t="s">
        <v>43</v>
      </c>
      <c r="F18" s="24">
        <v>0</v>
      </c>
      <c r="G18" s="59">
        <v>500</v>
      </c>
      <c r="H18" s="60">
        <f t="shared" si="0"/>
        <v>0</v>
      </c>
      <c r="I18" s="61">
        <f t="shared" si="1"/>
        <v>0</v>
      </c>
    </row>
    <row r="19" spans="1:9" ht="14.5" x14ac:dyDescent="0.35">
      <c r="A19" s="62" t="s">
        <v>55</v>
      </c>
      <c r="B19" s="30" t="s">
        <v>46</v>
      </c>
      <c r="C19" s="421"/>
      <c r="D19" s="31" t="s">
        <v>44</v>
      </c>
      <c r="E19" s="32" t="s">
        <v>43</v>
      </c>
      <c r="F19" s="33">
        <v>0</v>
      </c>
      <c r="G19" s="34">
        <v>1000</v>
      </c>
      <c r="H19" s="35">
        <f t="shared" si="0"/>
        <v>0</v>
      </c>
      <c r="I19" s="36">
        <f t="shared" si="1"/>
        <v>0</v>
      </c>
    </row>
    <row r="20" spans="1:9" ht="15.75" customHeight="1" x14ac:dyDescent="0.35">
      <c r="A20" s="37" t="s">
        <v>55</v>
      </c>
      <c r="B20" s="38" t="s">
        <v>46</v>
      </c>
      <c r="C20" s="421"/>
      <c r="D20" s="39" t="s">
        <v>45</v>
      </c>
      <c r="E20" s="40" t="s">
        <v>43</v>
      </c>
      <c r="F20" s="33">
        <v>0</v>
      </c>
      <c r="G20" s="41">
        <v>5000</v>
      </c>
      <c r="H20" s="42">
        <f t="shared" si="0"/>
        <v>0</v>
      </c>
      <c r="I20" s="43">
        <f t="shared" si="1"/>
        <v>0</v>
      </c>
    </row>
    <row r="21" spans="1:9" ht="15.75" customHeight="1" x14ac:dyDescent="0.35">
      <c r="A21" s="62" t="s">
        <v>55</v>
      </c>
      <c r="B21" s="30" t="s">
        <v>46</v>
      </c>
      <c r="C21" s="421"/>
      <c r="D21" s="31" t="s">
        <v>47</v>
      </c>
      <c r="E21" s="32" t="s">
        <v>43</v>
      </c>
      <c r="F21" s="33">
        <v>0</v>
      </c>
      <c r="G21" s="34">
        <v>10000</v>
      </c>
      <c r="H21" s="35">
        <f t="shared" si="0"/>
        <v>0</v>
      </c>
      <c r="I21" s="36">
        <f t="shared" si="1"/>
        <v>0</v>
      </c>
    </row>
    <row r="22" spans="1:9" ht="15.75" customHeight="1" x14ac:dyDescent="0.35">
      <c r="A22" s="37" t="s">
        <v>55</v>
      </c>
      <c r="B22" s="38" t="s">
        <v>46</v>
      </c>
      <c r="C22" s="421"/>
      <c r="D22" s="44" t="s">
        <v>48</v>
      </c>
      <c r="E22" s="40" t="s">
        <v>43</v>
      </c>
      <c r="F22" s="33">
        <v>0</v>
      </c>
      <c r="G22" s="41">
        <v>20000</v>
      </c>
      <c r="H22" s="42">
        <f t="shared" si="0"/>
        <v>0</v>
      </c>
      <c r="I22" s="43">
        <f t="shared" si="1"/>
        <v>0</v>
      </c>
    </row>
    <row r="23" spans="1:9" ht="15.75" customHeight="1" x14ac:dyDescent="0.35">
      <c r="A23" s="63" t="s">
        <v>55</v>
      </c>
      <c r="B23" s="48" t="s">
        <v>46</v>
      </c>
      <c r="C23" s="422"/>
      <c r="D23" s="49" t="s">
        <v>50</v>
      </c>
      <c r="E23" s="50" t="s">
        <v>43</v>
      </c>
      <c r="F23" s="51">
        <v>0</v>
      </c>
      <c r="G23" s="52">
        <v>30000</v>
      </c>
      <c r="H23" s="53">
        <f t="shared" si="0"/>
        <v>0</v>
      </c>
      <c r="I23" s="54">
        <f t="shared" si="1"/>
        <v>0</v>
      </c>
    </row>
    <row r="24" spans="1:9" ht="15.75" customHeight="1" x14ac:dyDescent="0.35">
      <c r="A24" s="55" t="s">
        <v>57</v>
      </c>
      <c r="B24" s="56">
        <v>3</v>
      </c>
      <c r="C24" s="423" t="s">
        <v>58</v>
      </c>
      <c r="D24" s="57">
        <v>500</v>
      </c>
      <c r="E24" s="58" t="s">
        <v>43</v>
      </c>
      <c r="F24" s="24">
        <v>0</v>
      </c>
      <c r="G24" s="59">
        <v>500</v>
      </c>
      <c r="H24" s="60">
        <f t="shared" si="0"/>
        <v>0</v>
      </c>
      <c r="I24" s="61">
        <f t="shared" si="1"/>
        <v>0</v>
      </c>
    </row>
    <row r="25" spans="1:9" ht="15.75" customHeight="1" x14ac:dyDescent="0.35">
      <c r="A25" s="62" t="s">
        <v>57</v>
      </c>
      <c r="B25" s="30">
        <v>3</v>
      </c>
      <c r="C25" s="421"/>
      <c r="D25" s="31" t="s">
        <v>44</v>
      </c>
      <c r="E25" s="32" t="s">
        <v>43</v>
      </c>
      <c r="F25" s="33">
        <v>0</v>
      </c>
      <c r="G25" s="34">
        <v>1000</v>
      </c>
      <c r="H25" s="35">
        <f t="shared" si="0"/>
        <v>0</v>
      </c>
      <c r="I25" s="36">
        <f t="shared" si="1"/>
        <v>0</v>
      </c>
    </row>
    <row r="26" spans="1:9" ht="15.75" customHeight="1" x14ac:dyDescent="0.35">
      <c r="A26" s="37" t="s">
        <v>57</v>
      </c>
      <c r="B26" s="38">
        <v>3</v>
      </c>
      <c r="C26" s="421"/>
      <c r="D26" s="39" t="s">
        <v>45</v>
      </c>
      <c r="E26" s="40" t="s">
        <v>43</v>
      </c>
      <c r="F26" s="33">
        <v>0</v>
      </c>
      <c r="G26" s="41">
        <v>5000</v>
      </c>
      <c r="H26" s="42">
        <f t="shared" si="0"/>
        <v>0</v>
      </c>
      <c r="I26" s="43">
        <f t="shared" si="1"/>
        <v>0</v>
      </c>
    </row>
    <row r="27" spans="1:9" ht="15.75" customHeight="1" x14ac:dyDescent="0.35">
      <c r="A27" s="62" t="s">
        <v>57</v>
      </c>
      <c r="B27" s="30">
        <v>3</v>
      </c>
      <c r="C27" s="421"/>
      <c r="D27" s="31" t="s">
        <v>47</v>
      </c>
      <c r="E27" s="32" t="s">
        <v>43</v>
      </c>
      <c r="F27" s="33">
        <v>0</v>
      </c>
      <c r="G27" s="34">
        <v>10000</v>
      </c>
      <c r="H27" s="35">
        <f t="shared" si="0"/>
        <v>0</v>
      </c>
      <c r="I27" s="36">
        <f t="shared" si="1"/>
        <v>0</v>
      </c>
    </row>
    <row r="28" spans="1:9" ht="15.75" customHeight="1" x14ac:dyDescent="0.35">
      <c r="A28" s="37" t="s">
        <v>57</v>
      </c>
      <c r="B28" s="38">
        <v>3</v>
      </c>
      <c r="C28" s="421"/>
      <c r="D28" s="44" t="s">
        <v>48</v>
      </c>
      <c r="E28" s="40" t="s">
        <v>43</v>
      </c>
      <c r="F28" s="33">
        <v>0</v>
      </c>
      <c r="G28" s="41">
        <v>20000</v>
      </c>
      <c r="H28" s="42">
        <f t="shared" si="0"/>
        <v>0</v>
      </c>
      <c r="I28" s="43">
        <f t="shared" si="1"/>
        <v>0</v>
      </c>
    </row>
    <row r="29" spans="1:9" ht="15.75" customHeight="1" x14ac:dyDescent="0.35">
      <c r="A29" s="63" t="s">
        <v>57</v>
      </c>
      <c r="B29" s="48">
        <v>3</v>
      </c>
      <c r="C29" s="422"/>
      <c r="D29" s="49" t="s">
        <v>50</v>
      </c>
      <c r="E29" s="50" t="s">
        <v>43</v>
      </c>
      <c r="F29" s="24">
        <v>0</v>
      </c>
      <c r="G29" s="52">
        <v>30000</v>
      </c>
      <c r="H29" s="53">
        <f t="shared" si="0"/>
        <v>0</v>
      </c>
      <c r="I29" s="54">
        <f t="shared" si="1"/>
        <v>0</v>
      </c>
    </row>
    <row r="30" spans="1:9" ht="15.75" customHeight="1" x14ac:dyDescent="0.35">
      <c r="A30" s="55" t="s">
        <v>59</v>
      </c>
      <c r="B30" s="56" t="s">
        <v>49</v>
      </c>
      <c r="C30" s="423" t="s">
        <v>60</v>
      </c>
      <c r="D30" s="57">
        <v>500</v>
      </c>
      <c r="E30" s="58" t="s">
        <v>43</v>
      </c>
      <c r="F30" s="64">
        <v>0</v>
      </c>
      <c r="G30" s="59">
        <v>500</v>
      </c>
      <c r="H30" s="60">
        <f t="shared" si="0"/>
        <v>0</v>
      </c>
      <c r="I30" s="61">
        <f t="shared" si="1"/>
        <v>0</v>
      </c>
    </row>
    <row r="31" spans="1:9" ht="15.75" customHeight="1" x14ac:dyDescent="0.35">
      <c r="A31" s="62" t="s">
        <v>59</v>
      </c>
      <c r="B31" s="30" t="s">
        <v>49</v>
      </c>
      <c r="C31" s="421"/>
      <c r="D31" s="31" t="s">
        <v>44</v>
      </c>
      <c r="E31" s="32" t="s">
        <v>43</v>
      </c>
      <c r="F31" s="65">
        <v>0</v>
      </c>
      <c r="G31" s="34">
        <v>1000</v>
      </c>
      <c r="H31" s="35">
        <f t="shared" si="0"/>
        <v>0</v>
      </c>
      <c r="I31" s="36">
        <f t="shared" si="1"/>
        <v>0</v>
      </c>
    </row>
    <row r="32" spans="1:9" ht="15.75" customHeight="1" x14ac:dyDescent="0.35">
      <c r="A32" s="37" t="s">
        <v>59</v>
      </c>
      <c r="B32" s="38" t="s">
        <v>49</v>
      </c>
      <c r="C32" s="421"/>
      <c r="D32" s="39" t="s">
        <v>45</v>
      </c>
      <c r="E32" s="40" t="s">
        <v>43</v>
      </c>
      <c r="F32" s="65">
        <v>0</v>
      </c>
      <c r="G32" s="41">
        <v>5000</v>
      </c>
      <c r="H32" s="42">
        <f t="shared" si="0"/>
        <v>0</v>
      </c>
      <c r="I32" s="43">
        <f t="shared" si="1"/>
        <v>0</v>
      </c>
    </row>
    <row r="33" spans="1:9" ht="15.75" customHeight="1" x14ac:dyDescent="0.35">
      <c r="A33" s="62" t="s">
        <v>59</v>
      </c>
      <c r="B33" s="30" t="s">
        <v>49</v>
      </c>
      <c r="C33" s="421"/>
      <c r="D33" s="31" t="s">
        <v>47</v>
      </c>
      <c r="E33" s="32" t="s">
        <v>43</v>
      </c>
      <c r="F33" s="65">
        <v>0</v>
      </c>
      <c r="G33" s="34">
        <v>10000</v>
      </c>
      <c r="H33" s="35">
        <f t="shared" si="0"/>
        <v>0</v>
      </c>
      <c r="I33" s="36">
        <f t="shared" si="1"/>
        <v>0</v>
      </c>
    </row>
    <row r="34" spans="1:9" ht="15.75" customHeight="1" x14ac:dyDescent="0.35">
      <c r="A34" s="37" t="s">
        <v>59</v>
      </c>
      <c r="B34" s="38" t="s">
        <v>49</v>
      </c>
      <c r="C34" s="421"/>
      <c r="D34" s="44" t="s">
        <v>48</v>
      </c>
      <c r="E34" s="40" t="s">
        <v>43</v>
      </c>
      <c r="F34" s="65">
        <v>0</v>
      </c>
      <c r="G34" s="41">
        <v>20000</v>
      </c>
      <c r="H34" s="42">
        <f t="shared" si="0"/>
        <v>0</v>
      </c>
      <c r="I34" s="43">
        <f t="shared" si="1"/>
        <v>0</v>
      </c>
    </row>
    <row r="35" spans="1:9" ht="15.75" customHeight="1" x14ac:dyDescent="0.35">
      <c r="A35" s="63" t="s">
        <v>59</v>
      </c>
      <c r="B35" s="48" t="s">
        <v>49</v>
      </c>
      <c r="C35" s="422"/>
      <c r="D35" s="49" t="s">
        <v>50</v>
      </c>
      <c r="E35" s="50" t="s">
        <v>43</v>
      </c>
      <c r="F35" s="66">
        <v>0</v>
      </c>
      <c r="G35" s="52">
        <v>30000</v>
      </c>
      <c r="H35" s="53">
        <f t="shared" si="0"/>
        <v>0</v>
      </c>
      <c r="I35" s="54">
        <f t="shared" si="1"/>
        <v>0</v>
      </c>
    </row>
    <row r="36" spans="1:9" ht="15.75" customHeight="1" x14ac:dyDescent="0.35">
      <c r="A36" s="55" t="s">
        <v>61</v>
      </c>
      <c r="B36" s="56">
        <v>4</v>
      </c>
      <c r="C36" s="423" t="s">
        <v>62</v>
      </c>
      <c r="D36" s="57">
        <v>500</v>
      </c>
      <c r="E36" s="58" t="s">
        <v>43</v>
      </c>
      <c r="F36" s="24">
        <v>0</v>
      </c>
      <c r="G36" s="59">
        <v>500</v>
      </c>
      <c r="H36" s="60">
        <f t="shared" si="0"/>
        <v>0</v>
      </c>
      <c r="I36" s="61">
        <f t="shared" si="1"/>
        <v>0</v>
      </c>
    </row>
    <row r="37" spans="1:9" ht="15.75" customHeight="1" x14ac:dyDescent="0.35">
      <c r="A37" s="29" t="s">
        <v>61</v>
      </c>
      <c r="B37" s="30">
        <v>4</v>
      </c>
      <c r="C37" s="421"/>
      <c r="D37" s="31" t="s">
        <v>44</v>
      </c>
      <c r="E37" s="32" t="s">
        <v>43</v>
      </c>
      <c r="F37" s="33">
        <v>0</v>
      </c>
      <c r="G37" s="34">
        <v>1000</v>
      </c>
      <c r="H37" s="35">
        <f t="shared" si="0"/>
        <v>0</v>
      </c>
      <c r="I37" s="36">
        <f t="shared" si="1"/>
        <v>0</v>
      </c>
    </row>
    <row r="38" spans="1:9" ht="15.75" customHeight="1" x14ac:dyDescent="0.35">
      <c r="A38" s="37" t="s">
        <v>61</v>
      </c>
      <c r="B38" s="38">
        <v>4</v>
      </c>
      <c r="C38" s="421"/>
      <c r="D38" s="39" t="s">
        <v>45</v>
      </c>
      <c r="E38" s="40" t="s">
        <v>43</v>
      </c>
      <c r="F38" s="33">
        <v>0</v>
      </c>
      <c r="G38" s="41">
        <v>5000</v>
      </c>
      <c r="H38" s="42">
        <f t="shared" si="0"/>
        <v>0</v>
      </c>
      <c r="I38" s="43">
        <f t="shared" si="1"/>
        <v>0</v>
      </c>
    </row>
    <row r="39" spans="1:9" ht="15.75" customHeight="1" x14ac:dyDescent="0.35">
      <c r="A39" s="62" t="s">
        <v>61</v>
      </c>
      <c r="B39" s="30">
        <v>4</v>
      </c>
      <c r="C39" s="421"/>
      <c r="D39" s="31" t="s">
        <v>47</v>
      </c>
      <c r="E39" s="32" t="s">
        <v>43</v>
      </c>
      <c r="F39" s="33">
        <v>0</v>
      </c>
      <c r="G39" s="34">
        <v>10000</v>
      </c>
      <c r="H39" s="35">
        <f t="shared" si="0"/>
        <v>0</v>
      </c>
      <c r="I39" s="36">
        <f t="shared" si="1"/>
        <v>0</v>
      </c>
    </row>
    <row r="40" spans="1:9" ht="15.75" customHeight="1" x14ac:dyDescent="0.35">
      <c r="A40" s="37" t="s">
        <v>61</v>
      </c>
      <c r="B40" s="38">
        <v>4</v>
      </c>
      <c r="C40" s="421"/>
      <c r="D40" s="44" t="s">
        <v>48</v>
      </c>
      <c r="E40" s="40" t="s">
        <v>43</v>
      </c>
      <c r="F40" s="33">
        <v>0</v>
      </c>
      <c r="G40" s="41">
        <v>20000</v>
      </c>
      <c r="H40" s="42">
        <f t="shared" si="0"/>
        <v>0</v>
      </c>
      <c r="I40" s="43">
        <f t="shared" si="1"/>
        <v>0</v>
      </c>
    </row>
    <row r="41" spans="1:9" ht="15.75" customHeight="1" x14ac:dyDescent="0.35">
      <c r="A41" s="63" t="s">
        <v>61</v>
      </c>
      <c r="B41" s="48">
        <v>4</v>
      </c>
      <c r="C41" s="422"/>
      <c r="D41" s="49" t="s">
        <v>50</v>
      </c>
      <c r="E41" s="50" t="s">
        <v>43</v>
      </c>
      <c r="F41" s="24">
        <v>0</v>
      </c>
      <c r="G41" s="52">
        <v>30000</v>
      </c>
      <c r="H41" s="53">
        <f t="shared" si="0"/>
        <v>0</v>
      </c>
      <c r="I41" s="54">
        <f t="shared" si="1"/>
        <v>0</v>
      </c>
    </row>
    <row r="42" spans="1:9" ht="15.75" customHeight="1" x14ac:dyDescent="0.35">
      <c r="A42" s="55" t="s">
        <v>63</v>
      </c>
      <c r="B42" s="56" t="s">
        <v>53</v>
      </c>
      <c r="C42" s="423" t="s">
        <v>64</v>
      </c>
      <c r="D42" s="57">
        <v>500</v>
      </c>
      <c r="E42" s="58" t="s">
        <v>43</v>
      </c>
      <c r="F42" s="64">
        <v>0</v>
      </c>
      <c r="G42" s="59">
        <v>500</v>
      </c>
      <c r="H42" s="60">
        <f t="shared" si="0"/>
        <v>0</v>
      </c>
      <c r="I42" s="61">
        <f t="shared" si="1"/>
        <v>0</v>
      </c>
    </row>
    <row r="43" spans="1:9" ht="15.75" customHeight="1" x14ac:dyDescent="0.35">
      <c r="A43" s="62" t="s">
        <v>63</v>
      </c>
      <c r="B43" s="30" t="s">
        <v>53</v>
      </c>
      <c r="C43" s="421"/>
      <c r="D43" s="31" t="s">
        <v>44</v>
      </c>
      <c r="E43" s="32" t="s">
        <v>43</v>
      </c>
      <c r="F43" s="65">
        <v>0</v>
      </c>
      <c r="G43" s="34">
        <v>1000</v>
      </c>
      <c r="H43" s="35">
        <f t="shared" si="0"/>
        <v>0</v>
      </c>
      <c r="I43" s="36">
        <f t="shared" si="1"/>
        <v>0</v>
      </c>
    </row>
    <row r="44" spans="1:9" ht="15.75" customHeight="1" x14ac:dyDescent="0.35">
      <c r="A44" s="37" t="s">
        <v>63</v>
      </c>
      <c r="B44" s="56" t="s">
        <v>53</v>
      </c>
      <c r="C44" s="421"/>
      <c r="D44" s="39" t="s">
        <v>45</v>
      </c>
      <c r="E44" s="40" t="s">
        <v>43</v>
      </c>
      <c r="F44" s="65">
        <v>0</v>
      </c>
      <c r="G44" s="41">
        <v>5000</v>
      </c>
      <c r="H44" s="42">
        <f t="shared" si="0"/>
        <v>0</v>
      </c>
      <c r="I44" s="43">
        <f t="shared" si="1"/>
        <v>0</v>
      </c>
    </row>
    <row r="45" spans="1:9" ht="15.75" customHeight="1" x14ac:dyDescent="0.35">
      <c r="A45" s="62" t="s">
        <v>63</v>
      </c>
      <c r="B45" s="30" t="s">
        <v>53</v>
      </c>
      <c r="C45" s="421"/>
      <c r="D45" s="31" t="s">
        <v>47</v>
      </c>
      <c r="E45" s="32" t="s">
        <v>43</v>
      </c>
      <c r="F45" s="65">
        <v>0</v>
      </c>
      <c r="G45" s="34">
        <v>10000</v>
      </c>
      <c r="H45" s="35">
        <f t="shared" si="0"/>
        <v>0</v>
      </c>
      <c r="I45" s="36">
        <f t="shared" si="1"/>
        <v>0</v>
      </c>
    </row>
    <row r="46" spans="1:9" ht="15.75" customHeight="1" x14ac:dyDescent="0.35">
      <c r="A46" s="37" t="s">
        <v>63</v>
      </c>
      <c r="B46" s="56" t="s">
        <v>53</v>
      </c>
      <c r="C46" s="421"/>
      <c r="D46" s="44" t="s">
        <v>48</v>
      </c>
      <c r="E46" s="40" t="s">
        <v>43</v>
      </c>
      <c r="F46" s="65">
        <v>0</v>
      </c>
      <c r="G46" s="41">
        <v>20000</v>
      </c>
      <c r="H46" s="42">
        <f t="shared" si="0"/>
        <v>0</v>
      </c>
      <c r="I46" s="43">
        <f t="shared" si="1"/>
        <v>0</v>
      </c>
    </row>
    <row r="47" spans="1:9" ht="15.75" customHeight="1" x14ac:dyDescent="0.35">
      <c r="A47" s="63" t="s">
        <v>63</v>
      </c>
      <c r="B47" s="48" t="s">
        <v>53</v>
      </c>
      <c r="C47" s="422"/>
      <c r="D47" s="49" t="s">
        <v>50</v>
      </c>
      <c r="E47" s="50" t="s">
        <v>43</v>
      </c>
      <c r="F47" s="66">
        <v>0</v>
      </c>
      <c r="G47" s="52">
        <v>30000</v>
      </c>
      <c r="H47" s="53">
        <f t="shared" si="0"/>
        <v>0</v>
      </c>
      <c r="I47" s="54">
        <f t="shared" si="1"/>
        <v>0</v>
      </c>
    </row>
    <row r="48" spans="1:9" ht="15.75" customHeight="1" x14ac:dyDescent="0.35"/>
    <row r="49" spans="1:12" ht="15.75" customHeight="1" x14ac:dyDescent="0.35">
      <c r="A49" s="67"/>
      <c r="B49" s="67"/>
      <c r="C49" s="67"/>
      <c r="D49" s="67"/>
      <c r="E49" s="67"/>
      <c r="F49" s="67"/>
      <c r="G49" s="67"/>
    </row>
    <row r="50" spans="1:12" ht="15.75" customHeight="1" x14ac:dyDescent="0.4">
      <c r="A50" s="414" t="s">
        <v>65</v>
      </c>
      <c r="B50" s="413"/>
      <c r="C50" s="413"/>
      <c r="D50" s="413"/>
      <c r="E50" s="413"/>
      <c r="F50" s="413"/>
      <c r="G50" s="413"/>
      <c r="H50" s="413"/>
      <c r="I50" s="413"/>
    </row>
    <row r="51" spans="1:12" ht="15.75" customHeight="1" x14ac:dyDescent="0.35">
      <c r="A51" s="424" t="s">
        <v>28</v>
      </c>
      <c r="B51" s="416"/>
      <c r="C51" s="416"/>
      <c r="D51" s="416"/>
      <c r="E51" s="416"/>
      <c r="F51" s="417"/>
      <c r="G51" s="425" t="s">
        <v>66</v>
      </c>
      <c r="H51" s="416"/>
      <c r="I51" s="419"/>
    </row>
    <row r="52" spans="1:12" ht="29" x14ac:dyDescent="0.35">
      <c r="A52" s="68" t="s">
        <v>30</v>
      </c>
      <c r="B52" s="69" t="s">
        <v>31</v>
      </c>
      <c r="C52" s="69" t="s">
        <v>32</v>
      </c>
      <c r="D52" s="50" t="s">
        <v>33</v>
      </c>
      <c r="E52" s="50" t="s">
        <v>34</v>
      </c>
      <c r="F52" s="69" t="s">
        <v>35</v>
      </c>
      <c r="G52" s="70" t="s">
        <v>67</v>
      </c>
      <c r="H52" s="70" t="s">
        <v>37</v>
      </c>
      <c r="I52" s="71" t="s">
        <v>38</v>
      </c>
      <c r="K52" s="18" t="s">
        <v>39</v>
      </c>
      <c r="L52" s="19" t="s">
        <v>68</v>
      </c>
    </row>
    <row r="53" spans="1:12" ht="15.75" customHeight="1" x14ac:dyDescent="0.35">
      <c r="A53" s="72" t="s">
        <v>69</v>
      </c>
      <c r="B53" s="73">
        <v>1</v>
      </c>
      <c r="C53" s="426" t="s">
        <v>70</v>
      </c>
      <c r="D53" s="74">
        <v>500</v>
      </c>
      <c r="E53" s="75" t="s">
        <v>43</v>
      </c>
      <c r="F53" s="64">
        <v>0</v>
      </c>
      <c r="G53" s="76">
        <v>500</v>
      </c>
      <c r="H53" s="77">
        <f t="shared" ref="H53:H94" si="2">F53*G53</f>
        <v>0</v>
      </c>
      <c r="I53" s="78">
        <f t="shared" ref="I53:I94" si="3">H53*365</f>
        <v>0</v>
      </c>
      <c r="K53" s="18">
        <v>1</v>
      </c>
      <c r="L53" s="28">
        <f>SUM(I53:I58)</f>
        <v>0</v>
      </c>
    </row>
    <row r="54" spans="1:12" ht="15.75" customHeight="1" x14ac:dyDescent="0.35">
      <c r="A54" s="29" t="s">
        <v>69</v>
      </c>
      <c r="B54" s="79">
        <v>1</v>
      </c>
      <c r="C54" s="421"/>
      <c r="D54" s="31" t="s">
        <v>44</v>
      </c>
      <c r="E54" s="32" t="s">
        <v>43</v>
      </c>
      <c r="F54" s="65">
        <v>0</v>
      </c>
      <c r="G54" s="34">
        <v>1000</v>
      </c>
      <c r="H54" s="35">
        <f t="shared" si="2"/>
        <v>0</v>
      </c>
      <c r="I54" s="36">
        <f t="shared" si="3"/>
        <v>0</v>
      </c>
      <c r="K54" s="18">
        <v>2</v>
      </c>
      <c r="L54" s="28">
        <f>SUM(I59:I64)</f>
        <v>0</v>
      </c>
    </row>
    <row r="55" spans="1:12" ht="15.75" customHeight="1" x14ac:dyDescent="0.35">
      <c r="A55" s="80" t="s">
        <v>69</v>
      </c>
      <c r="B55" s="81">
        <v>1</v>
      </c>
      <c r="C55" s="421"/>
      <c r="D55" s="82" t="s">
        <v>45</v>
      </c>
      <c r="E55" s="83" t="s">
        <v>43</v>
      </c>
      <c r="F55" s="33">
        <v>0</v>
      </c>
      <c r="G55" s="84">
        <v>5000</v>
      </c>
      <c r="H55" s="85">
        <f t="shared" si="2"/>
        <v>0</v>
      </c>
      <c r="I55" s="86">
        <f t="shared" si="3"/>
        <v>0</v>
      </c>
      <c r="K55" s="18" t="s">
        <v>46</v>
      </c>
      <c r="L55" s="28">
        <f>SUM(I65:I70)</f>
        <v>0</v>
      </c>
    </row>
    <row r="56" spans="1:12" ht="15.75" customHeight="1" x14ac:dyDescent="0.35">
      <c r="A56" s="29" t="s">
        <v>69</v>
      </c>
      <c r="B56" s="79">
        <v>1</v>
      </c>
      <c r="C56" s="421"/>
      <c r="D56" s="31" t="s">
        <v>47</v>
      </c>
      <c r="E56" s="32" t="s">
        <v>43</v>
      </c>
      <c r="F56" s="33">
        <v>0</v>
      </c>
      <c r="G56" s="34">
        <v>10000</v>
      </c>
      <c r="H56" s="35">
        <f t="shared" si="2"/>
        <v>0</v>
      </c>
      <c r="I56" s="36">
        <f t="shared" si="3"/>
        <v>0</v>
      </c>
      <c r="K56" s="18">
        <v>3</v>
      </c>
      <c r="L56" s="28">
        <f>SUM(I71:I76)</f>
        <v>0</v>
      </c>
    </row>
    <row r="57" spans="1:12" ht="15.75" customHeight="1" x14ac:dyDescent="0.35">
      <c r="A57" s="80" t="s">
        <v>69</v>
      </c>
      <c r="B57" s="81">
        <v>1</v>
      </c>
      <c r="C57" s="421"/>
      <c r="D57" s="87" t="s">
        <v>48</v>
      </c>
      <c r="E57" s="83" t="s">
        <v>43</v>
      </c>
      <c r="F57" s="33">
        <v>0</v>
      </c>
      <c r="G57" s="84">
        <v>20000</v>
      </c>
      <c r="H57" s="85">
        <f t="shared" si="2"/>
        <v>0</v>
      </c>
      <c r="I57" s="86">
        <f t="shared" si="3"/>
        <v>0</v>
      </c>
      <c r="K57" s="45" t="s">
        <v>49</v>
      </c>
      <c r="L57" s="46">
        <f>SUM(I77:I82)</f>
        <v>0</v>
      </c>
    </row>
    <row r="58" spans="1:12" ht="15.75" customHeight="1" x14ac:dyDescent="0.35">
      <c r="A58" s="47" t="s">
        <v>69</v>
      </c>
      <c r="B58" s="88">
        <v>1</v>
      </c>
      <c r="C58" s="422"/>
      <c r="D58" s="49" t="s">
        <v>50</v>
      </c>
      <c r="E58" s="50" t="s">
        <v>43</v>
      </c>
      <c r="F58" s="51">
        <v>0</v>
      </c>
      <c r="G58" s="52">
        <v>30000</v>
      </c>
      <c r="H58" s="53">
        <f t="shared" si="2"/>
        <v>0</v>
      </c>
      <c r="I58" s="54">
        <f t="shared" si="3"/>
        <v>0</v>
      </c>
      <c r="K58" s="18">
        <v>4</v>
      </c>
      <c r="L58" s="46">
        <f>SUM(I83:I88)</f>
        <v>0</v>
      </c>
    </row>
    <row r="59" spans="1:12" ht="15.75" customHeight="1" x14ac:dyDescent="0.35">
      <c r="A59" s="72" t="s">
        <v>71</v>
      </c>
      <c r="B59" s="73">
        <v>2</v>
      </c>
      <c r="C59" s="426" t="s">
        <v>72</v>
      </c>
      <c r="D59" s="74">
        <v>500</v>
      </c>
      <c r="E59" s="75" t="s">
        <v>43</v>
      </c>
      <c r="F59" s="64">
        <v>0</v>
      </c>
      <c r="G59" s="76">
        <v>500</v>
      </c>
      <c r="H59" s="77">
        <f t="shared" si="2"/>
        <v>0</v>
      </c>
      <c r="I59" s="78">
        <f t="shared" si="3"/>
        <v>0</v>
      </c>
      <c r="K59" s="18" t="s">
        <v>53</v>
      </c>
      <c r="L59" s="46">
        <f>SUM(I89:I94)</f>
        <v>0</v>
      </c>
    </row>
    <row r="60" spans="1:12" ht="15.75" customHeight="1" x14ac:dyDescent="0.35">
      <c r="A60" s="29" t="s">
        <v>71</v>
      </c>
      <c r="B60" s="79">
        <v>2</v>
      </c>
      <c r="C60" s="421"/>
      <c r="D60" s="31" t="s">
        <v>44</v>
      </c>
      <c r="E60" s="32" t="s">
        <v>43</v>
      </c>
      <c r="F60" s="65">
        <v>0</v>
      </c>
      <c r="G60" s="34">
        <v>1000</v>
      </c>
      <c r="H60" s="35">
        <f t="shared" si="2"/>
        <v>0</v>
      </c>
      <c r="I60" s="36">
        <f t="shared" si="3"/>
        <v>0</v>
      </c>
      <c r="K60" s="18" t="s">
        <v>73</v>
      </c>
      <c r="L60" s="28">
        <f>SUM(L53:L59)</f>
        <v>0</v>
      </c>
    </row>
    <row r="61" spans="1:12" ht="15.75" customHeight="1" x14ac:dyDescent="0.35">
      <c r="A61" s="80" t="s">
        <v>71</v>
      </c>
      <c r="B61" s="81">
        <v>2</v>
      </c>
      <c r="C61" s="421"/>
      <c r="D61" s="82" t="s">
        <v>45</v>
      </c>
      <c r="E61" s="83" t="s">
        <v>43</v>
      </c>
      <c r="F61" s="65">
        <v>0</v>
      </c>
      <c r="G61" s="84">
        <v>5000</v>
      </c>
      <c r="H61" s="85">
        <f t="shared" si="2"/>
        <v>0</v>
      </c>
      <c r="I61" s="86">
        <f t="shared" si="3"/>
        <v>0</v>
      </c>
    </row>
    <row r="62" spans="1:12" ht="15.75" customHeight="1" x14ac:dyDescent="0.35">
      <c r="A62" s="29" t="s">
        <v>71</v>
      </c>
      <c r="B62" s="79">
        <v>2</v>
      </c>
      <c r="C62" s="421"/>
      <c r="D62" s="31" t="s">
        <v>47</v>
      </c>
      <c r="E62" s="32" t="s">
        <v>43</v>
      </c>
      <c r="F62" s="65">
        <v>0</v>
      </c>
      <c r="G62" s="34">
        <v>10000</v>
      </c>
      <c r="H62" s="35">
        <f t="shared" si="2"/>
        <v>0</v>
      </c>
      <c r="I62" s="36">
        <f t="shared" si="3"/>
        <v>0</v>
      </c>
    </row>
    <row r="63" spans="1:12" ht="15.75" customHeight="1" x14ac:dyDescent="0.35">
      <c r="A63" s="80" t="s">
        <v>71</v>
      </c>
      <c r="B63" s="81">
        <v>2</v>
      </c>
      <c r="C63" s="421"/>
      <c r="D63" s="87" t="s">
        <v>48</v>
      </c>
      <c r="E63" s="83" t="s">
        <v>43</v>
      </c>
      <c r="F63" s="65">
        <v>0</v>
      </c>
      <c r="G63" s="84">
        <v>20000</v>
      </c>
      <c r="H63" s="85">
        <f t="shared" si="2"/>
        <v>0</v>
      </c>
      <c r="I63" s="86">
        <f t="shared" si="3"/>
        <v>0</v>
      </c>
    </row>
    <row r="64" spans="1:12" ht="15.75" customHeight="1" x14ac:dyDescent="0.35">
      <c r="A64" s="47" t="s">
        <v>71</v>
      </c>
      <c r="B64" s="88">
        <v>2</v>
      </c>
      <c r="C64" s="422"/>
      <c r="D64" s="49" t="s">
        <v>50</v>
      </c>
      <c r="E64" s="50" t="s">
        <v>43</v>
      </c>
      <c r="F64" s="64">
        <v>0</v>
      </c>
      <c r="G64" s="52">
        <v>30000</v>
      </c>
      <c r="H64" s="53">
        <f t="shared" si="2"/>
        <v>0</v>
      </c>
      <c r="I64" s="54">
        <f t="shared" si="3"/>
        <v>0</v>
      </c>
    </row>
    <row r="65" spans="1:9" ht="15.75" customHeight="1" x14ac:dyDescent="0.35">
      <c r="A65" s="72" t="s">
        <v>74</v>
      </c>
      <c r="B65" s="73" t="s">
        <v>46</v>
      </c>
      <c r="C65" s="426" t="s">
        <v>75</v>
      </c>
      <c r="D65" s="74">
        <v>500</v>
      </c>
      <c r="E65" s="75" t="s">
        <v>43</v>
      </c>
      <c r="F65" s="64">
        <v>0</v>
      </c>
      <c r="G65" s="76">
        <v>500</v>
      </c>
      <c r="H65" s="77">
        <f t="shared" si="2"/>
        <v>0</v>
      </c>
      <c r="I65" s="78">
        <f t="shared" si="3"/>
        <v>0</v>
      </c>
    </row>
    <row r="66" spans="1:9" ht="15.75" customHeight="1" x14ac:dyDescent="0.35">
      <c r="A66" s="29" t="s">
        <v>74</v>
      </c>
      <c r="B66" s="79" t="s">
        <v>46</v>
      </c>
      <c r="C66" s="421"/>
      <c r="D66" s="31" t="s">
        <v>44</v>
      </c>
      <c r="E66" s="32" t="s">
        <v>43</v>
      </c>
      <c r="F66" s="65">
        <v>0</v>
      </c>
      <c r="G66" s="34">
        <v>1000</v>
      </c>
      <c r="H66" s="35">
        <f t="shared" si="2"/>
        <v>0</v>
      </c>
      <c r="I66" s="36">
        <f t="shared" si="3"/>
        <v>0</v>
      </c>
    </row>
    <row r="67" spans="1:9" ht="15.75" customHeight="1" x14ac:dyDescent="0.35">
      <c r="A67" s="80" t="s">
        <v>74</v>
      </c>
      <c r="B67" s="81" t="s">
        <v>46</v>
      </c>
      <c r="C67" s="421"/>
      <c r="D67" s="82" t="s">
        <v>45</v>
      </c>
      <c r="E67" s="83" t="s">
        <v>43</v>
      </c>
      <c r="F67" s="65">
        <v>0</v>
      </c>
      <c r="G67" s="84">
        <v>5000</v>
      </c>
      <c r="H67" s="85">
        <f t="shared" si="2"/>
        <v>0</v>
      </c>
      <c r="I67" s="86">
        <f t="shared" si="3"/>
        <v>0</v>
      </c>
    </row>
    <row r="68" spans="1:9" ht="15.75" customHeight="1" x14ac:dyDescent="0.35">
      <c r="A68" s="29" t="s">
        <v>74</v>
      </c>
      <c r="B68" s="79" t="s">
        <v>46</v>
      </c>
      <c r="C68" s="421"/>
      <c r="D68" s="31" t="s">
        <v>47</v>
      </c>
      <c r="E68" s="32" t="s">
        <v>43</v>
      </c>
      <c r="F68" s="65">
        <v>0</v>
      </c>
      <c r="G68" s="34">
        <v>10000</v>
      </c>
      <c r="H68" s="35">
        <f t="shared" si="2"/>
        <v>0</v>
      </c>
      <c r="I68" s="36">
        <f t="shared" si="3"/>
        <v>0</v>
      </c>
    </row>
    <row r="69" spans="1:9" ht="15.75" customHeight="1" x14ac:dyDescent="0.35">
      <c r="A69" s="80" t="s">
        <v>74</v>
      </c>
      <c r="B69" s="81" t="s">
        <v>46</v>
      </c>
      <c r="C69" s="421"/>
      <c r="D69" s="87" t="s">
        <v>48</v>
      </c>
      <c r="E69" s="83" t="s">
        <v>43</v>
      </c>
      <c r="F69" s="65">
        <v>0</v>
      </c>
      <c r="G69" s="84">
        <v>20000</v>
      </c>
      <c r="H69" s="85">
        <f t="shared" si="2"/>
        <v>0</v>
      </c>
      <c r="I69" s="86">
        <f t="shared" si="3"/>
        <v>0</v>
      </c>
    </row>
    <row r="70" spans="1:9" ht="15.75" customHeight="1" x14ac:dyDescent="0.35">
      <c r="A70" s="47" t="s">
        <v>74</v>
      </c>
      <c r="B70" s="88" t="s">
        <v>46</v>
      </c>
      <c r="C70" s="422"/>
      <c r="D70" s="49" t="s">
        <v>50</v>
      </c>
      <c r="E70" s="50" t="s">
        <v>43</v>
      </c>
      <c r="F70" s="64">
        <v>0</v>
      </c>
      <c r="G70" s="52">
        <v>30000</v>
      </c>
      <c r="H70" s="53">
        <f t="shared" si="2"/>
        <v>0</v>
      </c>
      <c r="I70" s="54">
        <f t="shared" si="3"/>
        <v>0</v>
      </c>
    </row>
    <row r="71" spans="1:9" ht="15.75" customHeight="1" x14ac:dyDescent="0.35">
      <c r="A71" s="72" t="s">
        <v>76</v>
      </c>
      <c r="B71" s="73">
        <v>3</v>
      </c>
      <c r="C71" s="426" t="s">
        <v>77</v>
      </c>
      <c r="D71" s="74">
        <v>500</v>
      </c>
      <c r="E71" s="75" t="s">
        <v>43</v>
      </c>
      <c r="F71" s="64">
        <v>0</v>
      </c>
      <c r="G71" s="76">
        <v>500</v>
      </c>
      <c r="H71" s="77">
        <f t="shared" si="2"/>
        <v>0</v>
      </c>
      <c r="I71" s="78">
        <f t="shared" si="3"/>
        <v>0</v>
      </c>
    </row>
    <row r="72" spans="1:9" ht="15.75" customHeight="1" x14ac:dyDescent="0.35">
      <c r="A72" s="29" t="s">
        <v>76</v>
      </c>
      <c r="B72" s="79">
        <v>3</v>
      </c>
      <c r="C72" s="421"/>
      <c r="D72" s="31" t="s">
        <v>44</v>
      </c>
      <c r="E72" s="32" t="s">
        <v>43</v>
      </c>
      <c r="F72" s="65">
        <v>0</v>
      </c>
      <c r="G72" s="34">
        <v>1000</v>
      </c>
      <c r="H72" s="35">
        <f t="shared" si="2"/>
        <v>0</v>
      </c>
      <c r="I72" s="36">
        <f t="shared" si="3"/>
        <v>0</v>
      </c>
    </row>
    <row r="73" spans="1:9" ht="15.75" customHeight="1" x14ac:dyDescent="0.35">
      <c r="A73" s="80" t="s">
        <v>76</v>
      </c>
      <c r="B73" s="81">
        <v>3</v>
      </c>
      <c r="C73" s="421"/>
      <c r="D73" s="82" t="s">
        <v>45</v>
      </c>
      <c r="E73" s="83" t="s">
        <v>43</v>
      </c>
      <c r="F73" s="65">
        <v>0</v>
      </c>
      <c r="G73" s="84">
        <v>5000</v>
      </c>
      <c r="H73" s="85">
        <f t="shared" si="2"/>
        <v>0</v>
      </c>
      <c r="I73" s="86">
        <f t="shared" si="3"/>
        <v>0</v>
      </c>
    </row>
    <row r="74" spans="1:9" ht="15.75" customHeight="1" x14ac:dyDescent="0.35">
      <c r="A74" s="29" t="s">
        <v>76</v>
      </c>
      <c r="B74" s="79">
        <v>3</v>
      </c>
      <c r="C74" s="421"/>
      <c r="D74" s="31" t="s">
        <v>47</v>
      </c>
      <c r="E74" s="32" t="s">
        <v>43</v>
      </c>
      <c r="F74" s="65">
        <v>0</v>
      </c>
      <c r="G74" s="34">
        <v>10000</v>
      </c>
      <c r="H74" s="35">
        <f t="shared" si="2"/>
        <v>0</v>
      </c>
      <c r="I74" s="36">
        <f t="shared" si="3"/>
        <v>0</v>
      </c>
    </row>
    <row r="75" spans="1:9" ht="15.75" customHeight="1" x14ac:dyDescent="0.35">
      <c r="A75" s="80" t="s">
        <v>76</v>
      </c>
      <c r="B75" s="81">
        <v>3</v>
      </c>
      <c r="C75" s="421"/>
      <c r="D75" s="87" t="s">
        <v>48</v>
      </c>
      <c r="E75" s="83" t="s">
        <v>43</v>
      </c>
      <c r="F75" s="65">
        <v>0</v>
      </c>
      <c r="G75" s="84">
        <v>20000</v>
      </c>
      <c r="H75" s="85">
        <f t="shared" si="2"/>
        <v>0</v>
      </c>
      <c r="I75" s="86">
        <f t="shared" si="3"/>
        <v>0</v>
      </c>
    </row>
    <row r="76" spans="1:9" ht="15.75" customHeight="1" x14ac:dyDescent="0.35">
      <c r="A76" s="47" t="s">
        <v>76</v>
      </c>
      <c r="B76" s="88">
        <v>3</v>
      </c>
      <c r="C76" s="422"/>
      <c r="D76" s="49" t="s">
        <v>50</v>
      </c>
      <c r="E76" s="50" t="s">
        <v>43</v>
      </c>
      <c r="F76" s="64">
        <v>0</v>
      </c>
      <c r="G76" s="52">
        <v>30000</v>
      </c>
      <c r="H76" s="53">
        <f t="shared" si="2"/>
        <v>0</v>
      </c>
      <c r="I76" s="54">
        <f t="shared" si="3"/>
        <v>0</v>
      </c>
    </row>
    <row r="77" spans="1:9" ht="15.75" customHeight="1" x14ac:dyDescent="0.35">
      <c r="A77" s="72" t="s">
        <v>78</v>
      </c>
      <c r="B77" s="73" t="s">
        <v>49</v>
      </c>
      <c r="C77" s="426" t="s">
        <v>79</v>
      </c>
      <c r="D77" s="74">
        <v>500</v>
      </c>
      <c r="E77" s="75" t="s">
        <v>43</v>
      </c>
      <c r="F77" s="64">
        <v>0</v>
      </c>
      <c r="G77" s="76">
        <v>500</v>
      </c>
      <c r="H77" s="77">
        <f t="shared" si="2"/>
        <v>0</v>
      </c>
      <c r="I77" s="78">
        <f t="shared" si="3"/>
        <v>0</v>
      </c>
    </row>
    <row r="78" spans="1:9" ht="15.75" customHeight="1" x14ac:dyDescent="0.35">
      <c r="A78" s="29" t="s">
        <v>78</v>
      </c>
      <c r="B78" s="79" t="s">
        <v>49</v>
      </c>
      <c r="C78" s="421"/>
      <c r="D78" s="31" t="s">
        <v>44</v>
      </c>
      <c r="E78" s="32" t="s">
        <v>43</v>
      </c>
      <c r="F78" s="65">
        <v>0</v>
      </c>
      <c r="G78" s="34">
        <v>1000</v>
      </c>
      <c r="H78" s="35">
        <f t="shared" si="2"/>
        <v>0</v>
      </c>
      <c r="I78" s="36">
        <f t="shared" si="3"/>
        <v>0</v>
      </c>
    </row>
    <row r="79" spans="1:9" ht="15.75" customHeight="1" x14ac:dyDescent="0.35">
      <c r="A79" s="80" t="s">
        <v>78</v>
      </c>
      <c r="B79" s="81" t="s">
        <v>49</v>
      </c>
      <c r="C79" s="421"/>
      <c r="D79" s="82" t="s">
        <v>45</v>
      </c>
      <c r="E79" s="83" t="s">
        <v>43</v>
      </c>
      <c r="F79" s="65">
        <v>0</v>
      </c>
      <c r="G79" s="84">
        <v>5000</v>
      </c>
      <c r="H79" s="85">
        <f t="shared" si="2"/>
        <v>0</v>
      </c>
      <c r="I79" s="86">
        <f t="shared" si="3"/>
        <v>0</v>
      </c>
    </row>
    <row r="80" spans="1:9" ht="15.75" customHeight="1" x14ac:dyDescent="0.35">
      <c r="A80" s="29" t="s">
        <v>78</v>
      </c>
      <c r="B80" s="79" t="s">
        <v>49</v>
      </c>
      <c r="C80" s="421"/>
      <c r="D80" s="31" t="s">
        <v>47</v>
      </c>
      <c r="E80" s="32" t="s">
        <v>43</v>
      </c>
      <c r="F80" s="65">
        <v>0</v>
      </c>
      <c r="G80" s="34">
        <v>10000</v>
      </c>
      <c r="H80" s="35">
        <f t="shared" si="2"/>
        <v>0</v>
      </c>
      <c r="I80" s="36">
        <f t="shared" si="3"/>
        <v>0</v>
      </c>
    </row>
    <row r="81" spans="1:9" ht="15.75" customHeight="1" x14ac:dyDescent="0.35">
      <c r="A81" s="80" t="s">
        <v>78</v>
      </c>
      <c r="B81" s="81" t="s">
        <v>49</v>
      </c>
      <c r="C81" s="421"/>
      <c r="D81" s="87" t="s">
        <v>48</v>
      </c>
      <c r="E81" s="83" t="s">
        <v>43</v>
      </c>
      <c r="F81" s="65">
        <v>0</v>
      </c>
      <c r="G81" s="84">
        <v>20000</v>
      </c>
      <c r="H81" s="85">
        <f t="shared" si="2"/>
        <v>0</v>
      </c>
      <c r="I81" s="86">
        <f t="shared" si="3"/>
        <v>0</v>
      </c>
    </row>
    <row r="82" spans="1:9" ht="15.75" customHeight="1" x14ac:dyDescent="0.35">
      <c r="A82" s="47" t="s">
        <v>78</v>
      </c>
      <c r="B82" s="88" t="s">
        <v>49</v>
      </c>
      <c r="C82" s="422"/>
      <c r="D82" s="49" t="s">
        <v>50</v>
      </c>
      <c r="E82" s="50" t="s">
        <v>43</v>
      </c>
      <c r="F82" s="66">
        <v>0</v>
      </c>
      <c r="G82" s="52">
        <v>30000</v>
      </c>
      <c r="H82" s="53">
        <f t="shared" si="2"/>
        <v>0</v>
      </c>
      <c r="I82" s="54">
        <f t="shared" si="3"/>
        <v>0</v>
      </c>
    </row>
    <row r="83" spans="1:9" ht="15.75" customHeight="1" x14ac:dyDescent="0.35">
      <c r="A83" s="72" t="s">
        <v>80</v>
      </c>
      <c r="B83" s="89">
        <v>4</v>
      </c>
      <c r="C83" s="426" t="s">
        <v>81</v>
      </c>
      <c r="D83" s="74">
        <v>500</v>
      </c>
      <c r="E83" s="75" t="s">
        <v>43</v>
      </c>
      <c r="F83" s="64">
        <v>0</v>
      </c>
      <c r="G83" s="76">
        <v>500</v>
      </c>
      <c r="H83" s="77">
        <f t="shared" si="2"/>
        <v>0</v>
      </c>
      <c r="I83" s="78">
        <f t="shared" si="3"/>
        <v>0</v>
      </c>
    </row>
    <row r="84" spans="1:9" ht="15.75" customHeight="1" x14ac:dyDescent="0.35">
      <c r="A84" s="29" t="s">
        <v>80</v>
      </c>
      <c r="B84" s="30">
        <v>4</v>
      </c>
      <c r="C84" s="421"/>
      <c r="D84" s="31" t="s">
        <v>44</v>
      </c>
      <c r="E84" s="32" t="s">
        <v>43</v>
      </c>
      <c r="F84" s="65">
        <v>0</v>
      </c>
      <c r="G84" s="34">
        <v>1000</v>
      </c>
      <c r="H84" s="35">
        <f t="shared" si="2"/>
        <v>0</v>
      </c>
      <c r="I84" s="36">
        <f t="shared" si="3"/>
        <v>0</v>
      </c>
    </row>
    <row r="85" spans="1:9" ht="15.75" customHeight="1" x14ac:dyDescent="0.35">
      <c r="A85" s="80" t="s">
        <v>80</v>
      </c>
      <c r="B85" s="81">
        <v>4</v>
      </c>
      <c r="C85" s="421"/>
      <c r="D85" s="82" t="s">
        <v>45</v>
      </c>
      <c r="E85" s="83" t="s">
        <v>43</v>
      </c>
      <c r="F85" s="65">
        <v>0</v>
      </c>
      <c r="G85" s="84">
        <v>5000</v>
      </c>
      <c r="H85" s="85">
        <f t="shared" si="2"/>
        <v>0</v>
      </c>
      <c r="I85" s="86">
        <f t="shared" si="3"/>
        <v>0</v>
      </c>
    </row>
    <row r="86" spans="1:9" ht="15.75" customHeight="1" x14ac:dyDescent="0.35">
      <c r="A86" s="29" t="s">
        <v>80</v>
      </c>
      <c r="B86" s="79">
        <v>4</v>
      </c>
      <c r="C86" s="421"/>
      <c r="D86" s="31" t="s">
        <v>47</v>
      </c>
      <c r="E86" s="32" t="s">
        <v>43</v>
      </c>
      <c r="F86" s="65">
        <v>0</v>
      </c>
      <c r="G86" s="34">
        <v>10000</v>
      </c>
      <c r="H86" s="35">
        <f t="shared" si="2"/>
        <v>0</v>
      </c>
      <c r="I86" s="36">
        <f t="shared" si="3"/>
        <v>0</v>
      </c>
    </row>
    <row r="87" spans="1:9" ht="15.75" customHeight="1" x14ac:dyDescent="0.35">
      <c r="A87" s="80" t="s">
        <v>80</v>
      </c>
      <c r="B87" s="81">
        <v>4</v>
      </c>
      <c r="C87" s="421"/>
      <c r="D87" s="87" t="s">
        <v>48</v>
      </c>
      <c r="E87" s="83" t="s">
        <v>43</v>
      </c>
      <c r="F87" s="65">
        <v>0</v>
      </c>
      <c r="G87" s="84">
        <v>20000</v>
      </c>
      <c r="H87" s="85">
        <f t="shared" si="2"/>
        <v>0</v>
      </c>
      <c r="I87" s="86">
        <f t="shared" si="3"/>
        <v>0</v>
      </c>
    </row>
    <row r="88" spans="1:9" ht="15.75" customHeight="1" x14ac:dyDescent="0.35">
      <c r="A88" s="47" t="s">
        <v>80</v>
      </c>
      <c r="B88" s="88">
        <v>4</v>
      </c>
      <c r="C88" s="422"/>
      <c r="D88" s="49" t="s">
        <v>50</v>
      </c>
      <c r="E88" s="50" t="s">
        <v>43</v>
      </c>
      <c r="F88" s="64">
        <v>0</v>
      </c>
      <c r="G88" s="52">
        <v>30000</v>
      </c>
      <c r="H88" s="53">
        <f t="shared" si="2"/>
        <v>0</v>
      </c>
      <c r="I88" s="54">
        <f t="shared" si="3"/>
        <v>0</v>
      </c>
    </row>
    <row r="89" spans="1:9" ht="15.75" customHeight="1" x14ac:dyDescent="0.35">
      <c r="A89" s="72" t="s">
        <v>82</v>
      </c>
      <c r="B89" s="89" t="s">
        <v>53</v>
      </c>
      <c r="C89" s="426" t="s">
        <v>83</v>
      </c>
      <c r="D89" s="74">
        <v>500</v>
      </c>
      <c r="E89" s="75" t="s">
        <v>43</v>
      </c>
      <c r="F89" s="64">
        <v>0</v>
      </c>
      <c r="G89" s="76">
        <v>500</v>
      </c>
      <c r="H89" s="77">
        <f t="shared" si="2"/>
        <v>0</v>
      </c>
      <c r="I89" s="78">
        <f t="shared" si="3"/>
        <v>0</v>
      </c>
    </row>
    <row r="90" spans="1:9" ht="15.75" customHeight="1" x14ac:dyDescent="0.35">
      <c r="A90" s="29" t="s">
        <v>82</v>
      </c>
      <c r="B90" s="79" t="s">
        <v>53</v>
      </c>
      <c r="C90" s="421"/>
      <c r="D90" s="31" t="s">
        <v>44</v>
      </c>
      <c r="E90" s="32" t="s">
        <v>43</v>
      </c>
      <c r="F90" s="65">
        <v>0</v>
      </c>
      <c r="G90" s="34">
        <v>1000</v>
      </c>
      <c r="H90" s="35">
        <f t="shared" si="2"/>
        <v>0</v>
      </c>
      <c r="I90" s="36">
        <f t="shared" si="3"/>
        <v>0</v>
      </c>
    </row>
    <row r="91" spans="1:9" ht="15.75" customHeight="1" x14ac:dyDescent="0.35">
      <c r="A91" s="80" t="s">
        <v>82</v>
      </c>
      <c r="B91" s="81" t="s">
        <v>53</v>
      </c>
      <c r="C91" s="421"/>
      <c r="D91" s="82" t="s">
        <v>45</v>
      </c>
      <c r="E91" s="83" t="s">
        <v>43</v>
      </c>
      <c r="F91" s="65">
        <v>0</v>
      </c>
      <c r="G91" s="84">
        <v>5000</v>
      </c>
      <c r="H91" s="85">
        <f t="shared" si="2"/>
        <v>0</v>
      </c>
      <c r="I91" s="86">
        <f t="shared" si="3"/>
        <v>0</v>
      </c>
    </row>
    <row r="92" spans="1:9" ht="15.75" customHeight="1" x14ac:dyDescent="0.35">
      <c r="A92" s="29" t="s">
        <v>82</v>
      </c>
      <c r="B92" s="79" t="s">
        <v>53</v>
      </c>
      <c r="C92" s="421"/>
      <c r="D92" s="31" t="s">
        <v>47</v>
      </c>
      <c r="E92" s="32" t="s">
        <v>43</v>
      </c>
      <c r="F92" s="65">
        <v>0</v>
      </c>
      <c r="G92" s="34">
        <v>10000</v>
      </c>
      <c r="H92" s="35">
        <f t="shared" si="2"/>
        <v>0</v>
      </c>
      <c r="I92" s="36">
        <f t="shared" si="3"/>
        <v>0</v>
      </c>
    </row>
    <row r="93" spans="1:9" ht="15.75" customHeight="1" x14ac:dyDescent="0.35">
      <c r="A93" s="80" t="s">
        <v>82</v>
      </c>
      <c r="B93" s="81" t="s">
        <v>53</v>
      </c>
      <c r="C93" s="421"/>
      <c r="D93" s="87" t="s">
        <v>48</v>
      </c>
      <c r="E93" s="83" t="s">
        <v>43</v>
      </c>
      <c r="F93" s="65">
        <v>0</v>
      </c>
      <c r="G93" s="84">
        <v>20000</v>
      </c>
      <c r="H93" s="85">
        <f t="shared" si="2"/>
        <v>0</v>
      </c>
      <c r="I93" s="86">
        <f t="shared" si="3"/>
        <v>0</v>
      </c>
    </row>
    <row r="94" spans="1:9" ht="15.75" customHeight="1" x14ac:dyDescent="0.35">
      <c r="A94" s="47" t="s">
        <v>82</v>
      </c>
      <c r="B94" s="88" t="s">
        <v>53</v>
      </c>
      <c r="C94" s="422"/>
      <c r="D94" s="49" t="s">
        <v>50</v>
      </c>
      <c r="E94" s="50" t="s">
        <v>43</v>
      </c>
      <c r="F94" s="66">
        <v>0</v>
      </c>
      <c r="G94" s="52">
        <v>30000</v>
      </c>
      <c r="H94" s="53">
        <f t="shared" si="2"/>
        <v>0</v>
      </c>
      <c r="I94" s="54">
        <f t="shared" si="3"/>
        <v>0</v>
      </c>
    </row>
    <row r="95" spans="1:9" ht="15.75" customHeight="1" x14ac:dyDescent="0.35"/>
    <row r="96" spans="1:9" ht="15.75" customHeight="1" x14ac:dyDescent="0.35"/>
    <row r="97" spans="1:12" ht="15.75" customHeight="1" x14ac:dyDescent="0.4">
      <c r="A97" s="414" t="s">
        <v>84</v>
      </c>
      <c r="B97" s="413"/>
      <c r="C97" s="413"/>
      <c r="D97" s="413"/>
      <c r="E97" s="413"/>
      <c r="F97" s="413"/>
      <c r="G97" s="413"/>
      <c r="H97" s="413"/>
      <c r="I97" s="413"/>
    </row>
    <row r="98" spans="1:12" ht="15.75" customHeight="1" x14ac:dyDescent="0.35">
      <c r="A98" s="427" t="s">
        <v>28</v>
      </c>
      <c r="B98" s="416"/>
      <c r="C98" s="416"/>
      <c r="D98" s="416"/>
      <c r="E98" s="416"/>
      <c r="F98" s="417"/>
      <c r="G98" s="428" t="s">
        <v>85</v>
      </c>
      <c r="H98" s="416"/>
      <c r="I98" s="419"/>
    </row>
    <row r="99" spans="1:12" ht="29" x14ac:dyDescent="0.35">
      <c r="A99" s="68" t="s">
        <v>30</v>
      </c>
      <c r="B99" s="69" t="s">
        <v>31</v>
      </c>
      <c r="C99" s="69" t="s">
        <v>32</v>
      </c>
      <c r="D99" s="50" t="s">
        <v>33</v>
      </c>
      <c r="E99" s="50" t="s">
        <v>34</v>
      </c>
      <c r="F99" s="69" t="s">
        <v>35</v>
      </c>
      <c r="G99" s="70" t="s">
        <v>67</v>
      </c>
      <c r="H99" s="70" t="s">
        <v>37</v>
      </c>
      <c r="I99" s="71" t="s">
        <v>38</v>
      </c>
      <c r="K99" s="18" t="s">
        <v>39</v>
      </c>
      <c r="L99" s="19" t="s">
        <v>86</v>
      </c>
    </row>
    <row r="100" spans="1:12" ht="15" customHeight="1" x14ac:dyDescent="0.35">
      <c r="A100" s="90" t="s">
        <v>87</v>
      </c>
      <c r="B100" s="91">
        <v>1</v>
      </c>
      <c r="C100" s="429" t="s">
        <v>88</v>
      </c>
      <c r="D100" s="92">
        <v>500</v>
      </c>
      <c r="E100" s="93" t="s">
        <v>43</v>
      </c>
      <c r="F100" s="64">
        <v>0</v>
      </c>
      <c r="G100" s="94">
        <v>500</v>
      </c>
      <c r="H100" s="95">
        <f t="shared" ref="H100:H141" si="4">F100*G100</f>
        <v>0</v>
      </c>
      <c r="I100" s="96">
        <f t="shared" ref="I100:I141" si="5">H100*365</f>
        <v>0</v>
      </c>
      <c r="K100" s="18">
        <v>1</v>
      </c>
      <c r="L100" s="28">
        <f>SUM(I100:I105)</f>
        <v>0</v>
      </c>
    </row>
    <row r="101" spans="1:12" ht="15" customHeight="1" x14ac:dyDescent="0.35">
      <c r="A101" s="29" t="s">
        <v>87</v>
      </c>
      <c r="B101" s="79">
        <v>1</v>
      </c>
      <c r="C101" s="421"/>
      <c r="D101" s="31" t="s">
        <v>44</v>
      </c>
      <c r="E101" s="32" t="s">
        <v>43</v>
      </c>
      <c r="F101" s="65">
        <v>0</v>
      </c>
      <c r="G101" s="34">
        <v>1000</v>
      </c>
      <c r="H101" s="35">
        <f t="shared" si="4"/>
        <v>0</v>
      </c>
      <c r="I101" s="36">
        <f t="shared" si="5"/>
        <v>0</v>
      </c>
      <c r="K101" s="18">
        <v>2</v>
      </c>
      <c r="L101" s="28">
        <f>SUM(I106:I111)</f>
        <v>0</v>
      </c>
    </row>
    <row r="102" spans="1:12" ht="15" customHeight="1" x14ac:dyDescent="0.35">
      <c r="A102" s="97" t="s">
        <v>87</v>
      </c>
      <c r="B102" s="98">
        <v>1</v>
      </c>
      <c r="C102" s="421"/>
      <c r="D102" s="99" t="s">
        <v>45</v>
      </c>
      <c r="E102" s="100" t="s">
        <v>43</v>
      </c>
      <c r="F102" s="65">
        <v>0</v>
      </c>
      <c r="G102" s="101">
        <v>5000</v>
      </c>
      <c r="H102" s="102">
        <f t="shared" si="4"/>
        <v>0</v>
      </c>
      <c r="I102" s="103">
        <f t="shared" si="5"/>
        <v>0</v>
      </c>
      <c r="K102" s="18" t="s">
        <v>46</v>
      </c>
      <c r="L102" s="28">
        <f>SUM(I112:I117)</f>
        <v>0</v>
      </c>
    </row>
    <row r="103" spans="1:12" ht="15" customHeight="1" x14ac:dyDescent="0.35">
      <c r="A103" s="29" t="s">
        <v>87</v>
      </c>
      <c r="B103" s="79">
        <v>1</v>
      </c>
      <c r="C103" s="421"/>
      <c r="D103" s="31" t="s">
        <v>47</v>
      </c>
      <c r="E103" s="32" t="s">
        <v>43</v>
      </c>
      <c r="F103" s="65">
        <v>0</v>
      </c>
      <c r="G103" s="34">
        <v>10000</v>
      </c>
      <c r="H103" s="35">
        <f t="shared" si="4"/>
        <v>0</v>
      </c>
      <c r="I103" s="36">
        <f t="shared" si="5"/>
        <v>0</v>
      </c>
      <c r="K103" s="18">
        <v>3</v>
      </c>
      <c r="L103" s="28">
        <f>SUM(I118:I123)</f>
        <v>0</v>
      </c>
    </row>
    <row r="104" spans="1:12" ht="15.75" customHeight="1" x14ac:dyDescent="0.35">
      <c r="A104" s="97" t="s">
        <v>87</v>
      </c>
      <c r="B104" s="98">
        <v>1</v>
      </c>
      <c r="C104" s="421"/>
      <c r="D104" s="104" t="s">
        <v>48</v>
      </c>
      <c r="E104" s="100" t="s">
        <v>43</v>
      </c>
      <c r="F104" s="65">
        <v>0</v>
      </c>
      <c r="G104" s="101">
        <v>20000</v>
      </c>
      <c r="H104" s="102">
        <f t="shared" si="4"/>
        <v>0</v>
      </c>
      <c r="I104" s="103">
        <f t="shared" si="5"/>
        <v>0</v>
      </c>
      <c r="K104" s="18" t="s">
        <v>49</v>
      </c>
      <c r="L104" s="28">
        <f>SUM(I124:I129)</f>
        <v>0</v>
      </c>
    </row>
    <row r="105" spans="1:12" ht="15.75" customHeight="1" x14ac:dyDescent="0.35">
      <c r="A105" s="47" t="s">
        <v>87</v>
      </c>
      <c r="B105" s="88">
        <v>1</v>
      </c>
      <c r="C105" s="422"/>
      <c r="D105" s="49" t="s">
        <v>50</v>
      </c>
      <c r="E105" s="50" t="s">
        <v>43</v>
      </c>
      <c r="F105" s="66">
        <v>0</v>
      </c>
      <c r="G105" s="52">
        <v>30000</v>
      </c>
      <c r="H105" s="53">
        <f t="shared" si="4"/>
        <v>0</v>
      </c>
      <c r="I105" s="54">
        <f t="shared" si="5"/>
        <v>0</v>
      </c>
      <c r="K105" s="18">
        <v>4</v>
      </c>
      <c r="L105" s="46">
        <f>SUM(I130:I135)</f>
        <v>0</v>
      </c>
    </row>
    <row r="106" spans="1:12" ht="15" customHeight="1" x14ac:dyDescent="0.35">
      <c r="A106" s="90" t="s">
        <v>89</v>
      </c>
      <c r="B106" s="91">
        <v>2</v>
      </c>
      <c r="C106" s="429" t="s">
        <v>90</v>
      </c>
      <c r="D106" s="92">
        <v>500</v>
      </c>
      <c r="E106" s="93" t="s">
        <v>43</v>
      </c>
      <c r="F106" s="64">
        <v>0</v>
      </c>
      <c r="G106" s="94">
        <v>500</v>
      </c>
      <c r="H106" s="95">
        <f t="shared" si="4"/>
        <v>0</v>
      </c>
      <c r="I106" s="96">
        <f t="shared" si="5"/>
        <v>0</v>
      </c>
      <c r="K106" s="18" t="s">
        <v>53</v>
      </c>
      <c r="L106" s="46">
        <f>SUM(I136:I141)</f>
        <v>0</v>
      </c>
    </row>
    <row r="107" spans="1:12" ht="15" customHeight="1" x14ac:dyDescent="0.35">
      <c r="A107" s="29" t="s">
        <v>89</v>
      </c>
      <c r="B107" s="79">
        <v>2</v>
      </c>
      <c r="C107" s="421"/>
      <c r="D107" s="31" t="s">
        <v>44</v>
      </c>
      <c r="E107" s="32" t="s">
        <v>43</v>
      </c>
      <c r="F107" s="65">
        <v>0</v>
      </c>
      <c r="G107" s="34">
        <v>1000</v>
      </c>
      <c r="H107" s="35">
        <f t="shared" si="4"/>
        <v>0</v>
      </c>
      <c r="I107" s="36">
        <f t="shared" si="5"/>
        <v>0</v>
      </c>
      <c r="K107" s="18" t="s">
        <v>91</v>
      </c>
      <c r="L107" s="28">
        <f>SUM(L100:L106)</f>
        <v>0</v>
      </c>
    </row>
    <row r="108" spans="1:12" ht="15" customHeight="1" x14ac:dyDescent="0.35">
      <c r="A108" s="97" t="s">
        <v>89</v>
      </c>
      <c r="B108" s="98">
        <v>2</v>
      </c>
      <c r="C108" s="421"/>
      <c r="D108" s="99" t="s">
        <v>45</v>
      </c>
      <c r="E108" s="100" t="s">
        <v>43</v>
      </c>
      <c r="F108" s="65">
        <v>0</v>
      </c>
      <c r="G108" s="101">
        <v>5000</v>
      </c>
      <c r="H108" s="102">
        <f t="shared" si="4"/>
        <v>0</v>
      </c>
      <c r="I108" s="103">
        <f t="shared" si="5"/>
        <v>0</v>
      </c>
    </row>
    <row r="109" spans="1:12" ht="15.75" customHeight="1" x14ac:dyDescent="0.35">
      <c r="A109" s="29" t="s">
        <v>89</v>
      </c>
      <c r="B109" s="79">
        <v>2</v>
      </c>
      <c r="C109" s="421"/>
      <c r="D109" s="31" t="s">
        <v>47</v>
      </c>
      <c r="E109" s="32" t="s">
        <v>43</v>
      </c>
      <c r="F109" s="65">
        <v>0</v>
      </c>
      <c r="G109" s="34">
        <v>10000</v>
      </c>
      <c r="H109" s="35">
        <f t="shared" si="4"/>
        <v>0</v>
      </c>
      <c r="I109" s="36">
        <f t="shared" si="5"/>
        <v>0</v>
      </c>
    </row>
    <row r="110" spans="1:12" ht="15.75" customHeight="1" x14ac:dyDescent="0.35">
      <c r="A110" s="97" t="s">
        <v>89</v>
      </c>
      <c r="B110" s="98">
        <v>2</v>
      </c>
      <c r="C110" s="421"/>
      <c r="D110" s="104" t="s">
        <v>48</v>
      </c>
      <c r="E110" s="100" t="s">
        <v>43</v>
      </c>
      <c r="F110" s="65">
        <v>0</v>
      </c>
      <c r="G110" s="101">
        <v>20000</v>
      </c>
      <c r="H110" s="102">
        <f t="shared" si="4"/>
        <v>0</v>
      </c>
      <c r="I110" s="103">
        <f t="shared" si="5"/>
        <v>0</v>
      </c>
    </row>
    <row r="111" spans="1:12" ht="15" customHeight="1" x14ac:dyDescent="0.35">
      <c r="A111" s="47" t="s">
        <v>89</v>
      </c>
      <c r="B111" s="88">
        <v>2</v>
      </c>
      <c r="C111" s="422"/>
      <c r="D111" s="49" t="s">
        <v>50</v>
      </c>
      <c r="E111" s="50" t="s">
        <v>43</v>
      </c>
      <c r="F111" s="66">
        <v>0</v>
      </c>
      <c r="G111" s="52">
        <v>30000</v>
      </c>
      <c r="H111" s="53">
        <f t="shared" si="4"/>
        <v>0</v>
      </c>
      <c r="I111" s="54">
        <f t="shared" si="5"/>
        <v>0</v>
      </c>
    </row>
    <row r="112" spans="1:12" ht="15" customHeight="1" x14ac:dyDescent="0.35">
      <c r="A112" s="90" t="s">
        <v>92</v>
      </c>
      <c r="B112" s="91" t="s">
        <v>46</v>
      </c>
      <c r="C112" s="429" t="s">
        <v>93</v>
      </c>
      <c r="D112" s="92">
        <v>500</v>
      </c>
      <c r="E112" s="93" t="s">
        <v>43</v>
      </c>
      <c r="F112" s="64">
        <v>0</v>
      </c>
      <c r="G112" s="94">
        <v>500</v>
      </c>
      <c r="H112" s="95">
        <f t="shared" si="4"/>
        <v>0</v>
      </c>
      <c r="I112" s="96">
        <f t="shared" si="5"/>
        <v>0</v>
      </c>
    </row>
    <row r="113" spans="1:9" ht="15" customHeight="1" x14ac:dyDescent="0.35">
      <c r="A113" s="29" t="s">
        <v>92</v>
      </c>
      <c r="B113" s="79" t="s">
        <v>46</v>
      </c>
      <c r="C113" s="421"/>
      <c r="D113" s="31" t="s">
        <v>44</v>
      </c>
      <c r="E113" s="32" t="s">
        <v>43</v>
      </c>
      <c r="F113" s="65">
        <v>0</v>
      </c>
      <c r="G113" s="34">
        <v>1000</v>
      </c>
      <c r="H113" s="35">
        <f t="shared" si="4"/>
        <v>0</v>
      </c>
      <c r="I113" s="36">
        <f t="shared" si="5"/>
        <v>0</v>
      </c>
    </row>
    <row r="114" spans="1:9" ht="15.75" customHeight="1" x14ac:dyDescent="0.35">
      <c r="A114" s="97" t="s">
        <v>92</v>
      </c>
      <c r="B114" s="98" t="s">
        <v>46</v>
      </c>
      <c r="C114" s="421"/>
      <c r="D114" s="99" t="s">
        <v>45</v>
      </c>
      <c r="E114" s="100" t="s">
        <v>43</v>
      </c>
      <c r="F114" s="65">
        <v>0</v>
      </c>
      <c r="G114" s="101">
        <v>5000</v>
      </c>
      <c r="H114" s="102">
        <f t="shared" si="4"/>
        <v>0</v>
      </c>
      <c r="I114" s="103">
        <f t="shared" si="5"/>
        <v>0</v>
      </c>
    </row>
    <row r="115" spans="1:9" ht="15.75" customHeight="1" x14ac:dyDescent="0.35">
      <c r="A115" s="29" t="s">
        <v>92</v>
      </c>
      <c r="B115" s="79" t="s">
        <v>46</v>
      </c>
      <c r="C115" s="421"/>
      <c r="D115" s="31" t="s">
        <v>47</v>
      </c>
      <c r="E115" s="32" t="s">
        <v>43</v>
      </c>
      <c r="F115" s="65">
        <v>0</v>
      </c>
      <c r="G115" s="34">
        <v>10000</v>
      </c>
      <c r="H115" s="35">
        <f t="shared" si="4"/>
        <v>0</v>
      </c>
      <c r="I115" s="36">
        <f t="shared" si="5"/>
        <v>0</v>
      </c>
    </row>
    <row r="116" spans="1:9" ht="15.75" customHeight="1" x14ac:dyDescent="0.35">
      <c r="A116" s="97" t="s">
        <v>92</v>
      </c>
      <c r="B116" s="98" t="s">
        <v>46</v>
      </c>
      <c r="C116" s="421"/>
      <c r="D116" s="104" t="s">
        <v>48</v>
      </c>
      <c r="E116" s="100" t="s">
        <v>43</v>
      </c>
      <c r="F116" s="65">
        <v>0</v>
      </c>
      <c r="G116" s="101">
        <v>20000</v>
      </c>
      <c r="H116" s="102">
        <f t="shared" si="4"/>
        <v>0</v>
      </c>
      <c r="I116" s="103">
        <f t="shared" si="5"/>
        <v>0</v>
      </c>
    </row>
    <row r="117" spans="1:9" ht="15.75" customHeight="1" x14ac:dyDescent="0.35">
      <c r="A117" s="47" t="s">
        <v>92</v>
      </c>
      <c r="B117" s="88" t="s">
        <v>46</v>
      </c>
      <c r="C117" s="422"/>
      <c r="D117" s="49" t="s">
        <v>50</v>
      </c>
      <c r="E117" s="50" t="s">
        <v>43</v>
      </c>
      <c r="F117" s="66">
        <v>0</v>
      </c>
      <c r="G117" s="52">
        <v>30000</v>
      </c>
      <c r="H117" s="53">
        <f t="shared" si="4"/>
        <v>0</v>
      </c>
      <c r="I117" s="54">
        <f t="shared" si="5"/>
        <v>0</v>
      </c>
    </row>
    <row r="118" spans="1:9" ht="15.75" customHeight="1" x14ac:dyDescent="0.35">
      <c r="A118" s="90" t="s">
        <v>94</v>
      </c>
      <c r="B118" s="91">
        <v>3</v>
      </c>
      <c r="C118" s="429" t="s">
        <v>95</v>
      </c>
      <c r="D118" s="92">
        <v>500</v>
      </c>
      <c r="E118" s="93" t="s">
        <v>43</v>
      </c>
      <c r="F118" s="64">
        <v>0</v>
      </c>
      <c r="G118" s="94">
        <v>500</v>
      </c>
      <c r="H118" s="95">
        <f t="shared" si="4"/>
        <v>0</v>
      </c>
      <c r="I118" s="96">
        <f t="shared" si="5"/>
        <v>0</v>
      </c>
    </row>
    <row r="119" spans="1:9" ht="15.75" customHeight="1" x14ac:dyDescent="0.35">
      <c r="A119" s="29" t="s">
        <v>94</v>
      </c>
      <c r="B119" s="79">
        <v>3</v>
      </c>
      <c r="C119" s="421"/>
      <c r="D119" s="31" t="s">
        <v>44</v>
      </c>
      <c r="E119" s="32" t="s">
        <v>43</v>
      </c>
      <c r="F119" s="65">
        <v>0</v>
      </c>
      <c r="G119" s="34">
        <v>1000</v>
      </c>
      <c r="H119" s="35">
        <f t="shared" si="4"/>
        <v>0</v>
      </c>
      <c r="I119" s="36">
        <f t="shared" si="5"/>
        <v>0</v>
      </c>
    </row>
    <row r="120" spans="1:9" ht="15.75" customHeight="1" x14ac:dyDescent="0.35">
      <c r="A120" s="97" t="s">
        <v>94</v>
      </c>
      <c r="B120" s="98">
        <v>3</v>
      </c>
      <c r="C120" s="421"/>
      <c r="D120" s="99" t="s">
        <v>45</v>
      </c>
      <c r="E120" s="100" t="s">
        <v>43</v>
      </c>
      <c r="F120" s="65">
        <v>0</v>
      </c>
      <c r="G120" s="101">
        <v>5000</v>
      </c>
      <c r="H120" s="102">
        <f t="shared" si="4"/>
        <v>0</v>
      </c>
      <c r="I120" s="103">
        <f t="shared" si="5"/>
        <v>0</v>
      </c>
    </row>
    <row r="121" spans="1:9" ht="15.75" customHeight="1" x14ac:dyDescent="0.35">
      <c r="A121" s="29" t="s">
        <v>94</v>
      </c>
      <c r="B121" s="79">
        <v>3</v>
      </c>
      <c r="C121" s="421"/>
      <c r="D121" s="31" t="s">
        <v>47</v>
      </c>
      <c r="E121" s="32" t="s">
        <v>43</v>
      </c>
      <c r="F121" s="65">
        <v>0</v>
      </c>
      <c r="G121" s="34">
        <v>10000</v>
      </c>
      <c r="H121" s="35">
        <f t="shared" si="4"/>
        <v>0</v>
      </c>
      <c r="I121" s="36">
        <f t="shared" si="5"/>
        <v>0</v>
      </c>
    </row>
    <row r="122" spans="1:9" ht="15.75" customHeight="1" x14ac:dyDescent="0.35">
      <c r="A122" s="97" t="s">
        <v>94</v>
      </c>
      <c r="B122" s="98">
        <v>3</v>
      </c>
      <c r="C122" s="421"/>
      <c r="D122" s="104" t="s">
        <v>48</v>
      </c>
      <c r="E122" s="100" t="s">
        <v>43</v>
      </c>
      <c r="F122" s="65">
        <v>0</v>
      </c>
      <c r="G122" s="101">
        <v>20000</v>
      </c>
      <c r="H122" s="102">
        <f t="shared" si="4"/>
        <v>0</v>
      </c>
      <c r="I122" s="103">
        <f t="shared" si="5"/>
        <v>0</v>
      </c>
    </row>
    <row r="123" spans="1:9" ht="15.75" customHeight="1" x14ac:dyDescent="0.35">
      <c r="A123" s="47" t="s">
        <v>94</v>
      </c>
      <c r="B123" s="88">
        <v>3</v>
      </c>
      <c r="C123" s="422"/>
      <c r="D123" s="49" t="s">
        <v>50</v>
      </c>
      <c r="E123" s="50" t="s">
        <v>43</v>
      </c>
      <c r="F123" s="66">
        <v>0</v>
      </c>
      <c r="G123" s="52">
        <v>30000</v>
      </c>
      <c r="H123" s="53">
        <f t="shared" si="4"/>
        <v>0</v>
      </c>
      <c r="I123" s="54">
        <f t="shared" si="5"/>
        <v>0</v>
      </c>
    </row>
    <row r="124" spans="1:9" ht="15.75" customHeight="1" x14ac:dyDescent="0.35">
      <c r="A124" s="90" t="s">
        <v>96</v>
      </c>
      <c r="B124" s="91" t="s">
        <v>49</v>
      </c>
      <c r="C124" s="429" t="s">
        <v>97</v>
      </c>
      <c r="D124" s="92">
        <v>500</v>
      </c>
      <c r="E124" s="93" t="s">
        <v>43</v>
      </c>
      <c r="F124" s="64">
        <v>0</v>
      </c>
      <c r="G124" s="94">
        <v>500</v>
      </c>
      <c r="H124" s="95">
        <f t="shared" si="4"/>
        <v>0</v>
      </c>
      <c r="I124" s="96">
        <f t="shared" si="5"/>
        <v>0</v>
      </c>
    </row>
    <row r="125" spans="1:9" ht="15.75" customHeight="1" x14ac:dyDescent="0.35">
      <c r="A125" s="29" t="s">
        <v>96</v>
      </c>
      <c r="B125" s="79" t="s">
        <v>49</v>
      </c>
      <c r="C125" s="421"/>
      <c r="D125" s="31" t="s">
        <v>44</v>
      </c>
      <c r="E125" s="32" t="s">
        <v>43</v>
      </c>
      <c r="F125" s="65">
        <v>0</v>
      </c>
      <c r="G125" s="34">
        <v>1000</v>
      </c>
      <c r="H125" s="35">
        <f t="shared" si="4"/>
        <v>0</v>
      </c>
      <c r="I125" s="36">
        <f t="shared" si="5"/>
        <v>0</v>
      </c>
    </row>
    <row r="126" spans="1:9" ht="15.75" customHeight="1" x14ac:dyDescent="0.35">
      <c r="A126" s="97" t="s">
        <v>96</v>
      </c>
      <c r="B126" s="98" t="s">
        <v>49</v>
      </c>
      <c r="C126" s="421"/>
      <c r="D126" s="99" t="s">
        <v>45</v>
      </c>
      <c r="E126" s="100" t="s">
        <v>43</v>
      </c>
      <c r="F126" s="65">
        <v>0</v>
      </c>
      <c r="G126" s="101">
        <v>5000</v>
      </c>
      <c r="H126" s="102">
        <f t="shared" si="4"/>
        <v>0</v>
      </c>
      <c r="I126" s="103">
        <f t="shared" si="5"/>
        <v>0</v>
      </c>
    </row>
    <row r="127" spans="1:9" ht="15.75" customHeight="1" x14ac:dyDescent="0.35">
      <c r="A127" s="29" t="s">
        <v>96</v>
      </c>
      <c r="B127" s="79" t="s">
        <v>49</v>
      </c>
      <c r="C127" s="421"/>
      <c r="D127" s="31" t="s">
        <v>47</v>
      </c>
      <c r="E127" s="32" t="s">
        <v>43</v>
      </c>
      <c r="F127" s="65">
        <v>0</v>
      </c>
      <c r="G127" s="34">
        <v>10000</v>
      </c>
      <c r="H127" s="35">
        <f t="shared" si="4"/>
        <v>0</v>
      </c>
      <c r="I127" s="36">
        <f t="shared" si="5"/>
        <v>0</v>
      </c>
    </row>
    <row r="128" spans="1:9" ht="15.75" customHeight="1" x14ac:dyDescent="0.35">
      <c r="A128" s="97" t="s">
        <v>96</v>
      </c>
      <c r="B128" s="98" t="s">
        <v>49</v>
      </c>
      <c r="C128" s="421"/>
      <c r="D128" s="104" t="s">
        <v>48</v>
      </c>
      <c r="E128" s="100" t="s">
        <v>43</v>
      </c>
      <c r="F128" s="65">
        <v>0</v>
      </c>
      <c r="G128" s="101">
        <v>20000</v>
      </c>
      <c r="H128" s="102">
        <f t="shared" si="4"/>
        <v>0</v>
      </c>
      <c r="I128" s="103">
        <f t="shared" si="5"/>
        <v>0</v>
      </c>
    </row>
    <row r="129" spans="1:9" ht="15.75" customHeight="1" x14ac:dyDescent="0.35">
      <c r="A129" s="47" t="s">
        <v>96</v>
      </c>
      <c r="B129" s="88" t="s">
        <v>49</v>
      </c>
      <c r="C129" s="422"/>
      <c r="D129" s="49" t="s">
        <v>50</v>
      </c>
      <c r="E129" s="50" t="s">
        <v>43</v>
      </c>
      <c r="F129" s="66">
        <v>0</v>
      </c>
      <c r="G129" s="52">
        <v>30000</v>
      </c>
      <c r="H129" s="53">
        <f t="shared" si="4"/>
        <v>0</v>
      </c>
      <c r="I129" s="54">
        <f t="shared" si="5"/>
        <v>0</v>
      </c>
    </row>
    <row r="130" spans="1:9" ht="15.75" customHeight="1" x14ac:dyDescent="0.35">
      <c r="A130" s="90" t="s">
        <v>98</v>
      </c>
      <c r="B130" s="105">
        <v>4</v>
      </c>
      <c r="C130" s="429" t="s">
        <v>99</v>
      </c>
      <c r="D130" s="92">
        <v>500</v>
      </c>
      <c r="E130" s="93" t="s">
        <v>43</v>
      </c>
      <c r="F130" s="64">
        <v>0</v>
      </c>
      <c r="G130" s="94">
        <v>500</v>
      </c>
      <c r="H130" s="95">
        <f t="shared" si="4"/>
        <v>0</v>
      </c>
      <c r="I130" s="96">
        <f t="shared" si="5"/>
        <v>0</v>
      </c>
    </row>
    <row r="131" spans="1:9" ht="15.75" customHeight="1" x14ac:dyDescent="0.35">
      <c r="A131" s="29" t="s">
        <v>98</v>
      </c>
      <c r="B131" s="79">
        <v>4</v>
      </c>
      <c r="C131" s="421"/>
      <c r="D131" s="31" t="s">
        <v>44</v>
      </c>
      <c r="E131" s="32" t="s">
        <v>43</v>
      </c>
      <c r="F131" s="65">
        <v>0</v>
      </c>
      <c r="G131" s="34">
        <v>1000</v>
      </c>
      <c r="H131" s="35">
        <f t="shared" si="4"/>
        <v>0</v>
      </c>
      <c r="I131" s="36">
        <f t="shared" si="5"/>
        <v>0</v>
      </c>
    </row>
    <row r="132" spans="1:9" ht="15.75" customHeight="1" x14ac:dyDescent="0.35">
      <c r="A132" s="97" t="s">
        <v>98</v>
      </c>
      <c r="B132" s="98">
        <v>4</v>
      </c>
      <c r="C132" s="421"/>
      <c r="D132" s="99" t="s">
        <v>45</v>
      </c>
      <c r="E132" s="100" t="s">
        <v>43</v>
      </c>
      <c r="F132" s="65">
        <v>0</v>
      </c>
      <c r="G132" s="101">
        <v>5000</v>
      </c>
      <c r="H132" s="102">
        <f t="shared" si="4"/>
        <v>0</v>
      </c>
      <c r="I132" s="103">
        <f t="shared" si="5"/>
        <v>0</v>
      </c>
    </row>
    <row r="133" spans="1:9" ht="15.75" customHeight="1" x14ac:dyDescent="0.35">
      <c r="A133" s="29" t="s">
        <v>98</v>
      </c>
      <c r="B133" s="79">
        <v>4</v>
      </c>
      <c r="C133" s="421"/>
      <c r="D133" s="31" t="s">
        <v>47</v>
      </c>
      <c r="E133" s="32" t="s">
        <v>43</v>
      </c>
      <c r="F133" s="65">
        <v>0</v>
      </c>
      <c r="G133" s="34">
        <v>10000</v>
      </c>
      <c r="H133" s="35">
        <f t="shared" si="4"/>
        <v>0</v>
      </c>
      <c r="I133" s="36">
        <f t="shared" si="5"/>
        <v>0</v>
      </c>
    </row>
    <row r="134" spans="1:9" ht="15.75" customHeight="1" x14ac:dyDescent="0.35">
      <c r="A134" s="97" t="s">
        <v>98</v>
      </c>
      <c r="B134" s="98">
        <v>4</v>
      </c>
      <c r="C134" s="421"/>
      <c r="D134" s="104" t="s">
        <v>48</v>
      </c>
      <c r="E134" s="100" t="s">
        <v>43</v>
      </c>
      <c r="F134" s="65">
        <v>0</v>
      </c>
      <c r="G134" s="101">
        <v>20000</v>
      </c>
      <c r="H134" s="102">
        <f t="shared" si="4"/>
        <v>0</v>
      </c>
      <c r="I134" s="103">
        <f t="shared" si="5"/>
        <v>0</v>
      </c>
    </row>
    <row r="135" spans="1:9" ht="15.75" customHeight="1" x14ac:dyDescent="0.35">
      <c r="A135" s="47" t="s">
        <v>98</v>
      </c>
      <c r="B135" s="88">
        <v>4</v>
      </c>
      <c r="C135" s="422"/>
      <c r="D135" s="49" t="s">
        <v>50</v>
      </c>
      <c r="E135" s="50" t="s">
        <v>43</v>
      </c>
      <c r="F135" s="66">
        <v>0</v>
      </c>
      <c r="G135" s="52">
        <v>30000</v>
      </c>
      <c r="H135" s="53">
        <f t="shared" si="4"/>
        <v>0</v>
      </c>
      <c r="I135" s="54">
        <f t="shared" si="5"/>
        <v>0</v>
      </c>
    </row>
    <row r="136" spans="1:9" ht="15.75" customHeight="1" x14ac:dyDescent="0.35">
      <c r="A136" s="90" t="s">
        <v>100</v>
      </c>
      <c r="B136" s="105" t="s">
        <v>53</v>
      </c>
      <c r="C136" s="429" t="s">
        <v>101</v>
      </c>
      <c r="D136" s="92">
        <v>500</v>
      </c>
      <c r="E136" s="93" t="s">
        <v>43</v>
      </c>
      <c r="F136" s="64">
        <v>0</v>
      </c>
      <c r="G136" s="94">
        <v>500</v>
      </c>
      <c r="H136" s="95">
        <f t="shared" si="4"/>
        <v>0</v>
      </c>
      <c r="I136" s="96">
        <f t="shared" si="5"/>
        <v>0</v>
      </c>
    </row>
    <row r="137" spans="1:9" ht="15.75" customHeight="1" x14ac:dyDescent="0.35">
      <c r="A137" s="29" t="s">
        <v>100</v>
      </c>
      <c r="B137" s="79" t="s">
        <v>53</v>
      </c>
      <c r="C137" s="421"/>
      <c r="D137" s="31" t="s">
        <v>44</v>
      </c>
      <c r="E137" s="32" t="s">
        <v>43</v>
      </c>
      <c r="F137" s="65">
        <v>0</v>
      </c>
      <c r="G137" s="34">
        <v>1000</v>
      </c>
      <c r="H137" s="35">
        <f t="shared" si="4"/>
        <v>0</v>
      </c>
      <c r="I137" s="36">
        <f t="shared" si="5"/>
        <v>0</v>
      </c>
    </row>
    <row r="138" spans="1:9" ht="15.75" customHeight="1" x14ac:dyDescent="0.35">
      <c r="A138" s="97" t="s">
        <v>100</v>
      </c>
      <c r="B138" s="98" t="s">
        <v>53</v>
      </c>
      <c r="C138" s="421"/>
      <c r="D138" s="99" t="s">
        <v>45</v>
      </c>
      <c r="E138" s="100" t="s">
        <v>43</v>
      </c>
      <c r="F138" s="65">
        <v>0</v>
      </c>
      <c r="G138" s="101">
        <v>5000</v>
      </c>
      <c r="H138" s="102">
        <f t="shared" si="4"/>
        <v>0</v>
      </c>
      <c r="I138" s="103">
        <f t="shared" si="5"/>
        <v>0</v>
      </c>
    </row>
    <row r="139" spans="1:9" ht="15.75" customHeight="1" x14ac:dyDescent="0.35">
      <c r="A139" s="29" t="s">
        <v>100</v>
      </c>
      <c r="B139" s="79" t="s">
        <v>53</v>
      </c>
      <c r="C139" s="421"/>
      <c r="D139" s="31" t="s">
        <v>47</v>
      </c>
      <c r="E139" s="32" t="s">
        <v>43</v>
      </c>
      <c r="F139" s="65">
        <v>0</v>
      </c>
      <c r="G139" s="34">
        <v>10000</v>
      </c>
      <c r="H139" s="35">
        <f t="shared" si="4"/>
        <v>0</v>
      </c>
      <c r="I139" s="36">
        <f t="shared" si="5"/>
        <v>0</v>
      </c>
    </row>
    <row r="140" spans="1:9" ht="15.75" customHeight="1" x14ac:dyDescent="0.35">
      <c r="A140" s="97" t="s">
        <v>100</v>
      </c>
      <c r="B140" s="98" t="s">
        <v>53</v>
      </c>
      <c r="C140" s="421"/>
      <c r="D140" s="104" t="s">
        <v>48</v>
      </c>
      <c r="E140" s="100" t="s">
        <v>43</v>
      </c>
      <c r="F140" s="65">
        <v>0</v>
      </c>
      <c r="G140" s="101">
        <v>20000</v>
      </c>
      <c r="H140" s="102">
        <f t="shared" si="4"/>
        <v>0</v>
      </c>
      <c r="I140" s="103">
        <f t="shared" si="5"/>
        <v>0</v>
      </c>
    </row>
    <row r="141" spans="1:9" ht="15.75" customHeight="1" x14ac:dyDescent="0.35">
      <c r="A141" s="47" t="s">
        <v>100</v>
      </c>
      <c r="B141" s="88" t="s">
        <v>53</v>
      </c>
      <c r="C141" s="422"/>
      <c r="D141" s="49" t="s">
        <v>50</v>
      </c>
      <c r="E141" s="50" t="s">
        <v>43</v>
      </c>
      <c r="F141" s="66">
        <v>0</v>
      </c>
      <c r="G141" s="52">
        <v>30000</v>
      </c>
      <c r="H141" s="53">
        <f t="shared" si="4"/>
        <v>0</v>
      </c>
      <c r="I141" s="54">
        <f t="shared" si="5"/>
        <v>0</v>
      </c>
    </row>
    <row r="142" spans="1:9" ht="15.75" customHeight="1" x14ac:dyDescent="0.35"/>
    <row r="143" spans="1:9" ht="15.75" customHeight="1" x14ac:dyDescent="0.35"/>
    <row r="144" spans="1:9" ht="15.75" customHeight="1" x14ac:dyDescent="0.4">
      <c r="A144" s="414" t="s">
        <v>102</v>
      </c>
      <c r="B144" s="413"/>
      <c r="C144" s="413"/>
      <c r="D144" s="413"/>
      <c r="E144" s="413"/>
      <c r="F144" s="413"/>
      <c r="G144" s="413"/>
      <c r="H144" s="413"/>
      <c r="I144" s="413"/>
    </row>
    <row r="145" spans="1:12" ht="15.75" customHeight="1" x14ac:dyDescent="0.35">
      <c r="A145" s="431" t="s">
        <v>28</v>
      </c>
      <c r="B145" s="416"/>
      <c r="C145" s="416"/>
      <c r="D145" s="416"/>
      <c r="E145" s="416"/>
      <c r="F145" s="417"/>
      <c r="G145" s="432" t="s">
        <v>103</v>
      </c>
      <c r="H145" s="416"/>
      <c r="I145" s="419"/>
    </row>
    <row r="146" spans="1:12" ht="29" x14ac:dyDescent="0.35">
      <c r="A146" s="68" t="s">
        <v>30</v>
      </c>
      <c r="B146" s="69" t="s">
        <v>31</v>
      </c>
      <c r="C146" s="69" t="s">
        <v>32</v>
      </c>
      <c r="D146" s="50" t="s">
        <v>33</v>
      </c>
      <c r="E146" s="50" t="s">
        <v>34</v>
      </c>
      <c r="F146" s="69" t="s">
        <v>35</v>
      </c>
      <c r="G146" s="70" t="s">
        <v>67</v>
      </c>
      <c r="H146" s="70" t="s">
        <v>37</v>
      </c>
      <c r="I146" s="71" t="s">
        <v>38</v>
      </c>
      <c r="K146" s="18" t="s">
        <v>39</v>
      </c>
      <c r="L146" s="19" t="s">
        <v>104</v>
      </c>
    </row>
    <row r="147" spans="1:12" ht="15" customHeight="1" x14ac:dyDescent="0.35">
      <c r="A147" s="106" t="s">
        <v>105</v>
      </c>
      <c r="B147" s="107">
        <v>1</v>
      </c>
      <c r="C147" s="430" t="s">
        <v>106</v>
      </c>
      <c r="D147" s="108">
        <v>500</v>
      </c>
      <c r="E147" s="109" t="s">
        <v>43</v>
      </c>
      <c r="F147" s="64">
        <v>0</v>
      </c>
      <c r="G147" s="110">
        <v>500</v>
      </c>
      <c r="H147" s="111">
        <f t="shared" ref="H147:H188" si="6">F147*G147</f>
        <v>0</v>
      </c>
      <c r="I147" s="112">
        <f t="shared" ref="I147:I188" si="7">H147*365</f>
        <v>0</v>
      </c>
      <c r="K147" s="18">
        <v>1</v>
      </c>
      <c r="L147" s="28">
        <f>SUM(I147:I152)</f>
        <v>0</v>
      </c>
    </row>
    <row r="148" spans="1:12" ht="15" customHeight="1" x14ac:dyDescent="0.35">
      <c r="A148" s="29" t="s">
        <v>105</v>
      </c>
      <c r="B148" s="79">
        <v>1</v>
      </c>
      <c r="C148" s="421"/>
      <c r="D148" s="31" t="s">
        <v>44</v>
      </c>
      <c r="E148" s="32" t="s">
        <v>43</v>
      </c>
      <c r="F148" s="65">
        <v>0</v>
      </c>
      <c r="G148" s="34">
        <v>1000</v>
      </c>
      <c r="H148" s="35">
        <f t="shared" si="6"/>
        <v>0</v>
      </c>
      <c r="I148" s="36">
        <f t="shared" si="7"/>
        <v>0</v>
      </c>
      <c r="K148" s="18">
        <v>2</v>
      </c>
      <c r="L148" s="28">
        <f>SUM(I153:I158)</f>
        <v>0</v>
      </c>
    </row>
    <row r="149" spans="1:12" ht="15" customHeight="1" x14ac:dyDescent="0.35">
      <c r="A149" s="113" t="s">
        <v>105</v>
      </c>
      <c r="B149" s="114">
        <v>1</v>
      </c>
      <c r="C149" s="421"/>
      <c r="D149" s="115" t="s">
        <v>45</v>
      </c>
      <c r="E149" s="116" t="s">
        <v>43</v>
      </c>
      <c r="F149" s="65">
        <v>0</v>
      </c>
      <c r="G149" s="117">
        <v>5000</v>
      </c>
      <c r="H149" s="118">
        <f t="shared" si="6"/>
        <v>0</v>
      </c>
      <c r="I149" s="119">
        <f t="shared" si="7"/>
        <v>0</v>
      </c>
      <c r="K149" s="18" t="s">
        <v>46</v>
      </c>
      <c r="L149" s="28">
        <f>SUM(I159:I164)</f>
        <v>0</v>
      </c>
    </row>
    <row r="150" spans="1:12" ht="15" customHeight="1" x14ac:dyDescent="0.35">
      <c r="A150" s="29" t="s">
        <v>105</v>
      </c>
      <c r="B150" s="79">
        <v>1</v>
      </c>
      <c r="C150" s="421"/>
      <c r="D150" s="31" t="s">
        <v>47</v>
      </c>
      <c r="E150" s="32" t="s">
        <v>43</v>
      </c>
      <c r="F150" s="65">
        <v>0</v>
      </c>
      <c r="G150" s="34">
        <v>10000</v>
      </c>
      <c r="H150" s="35">
        <f t="shared" si="6"/>
        <v>0</v>
      </c>
      <c r="I150" s="36">
        <f t="shared" si="7"/>
        <v>0</v>
      </c>
      <c r="K150" s="18">
        <v>3</v>
      </c>
      <c r="L150" s="28">
        <f>SUM(I165:I170)</f>
        <v>0</v>
      </c>
    </row>
    <row r="151" spans="1:12" ht="15.75" customHeight="1" x14ac:dyDescent="0.35">
      <c r="A151" s="120" t="s">
        <v>105</v>
      </c>
      <c r="B151" s="114">
        <v>1</v>
      </c>
      <c r="C151" s="421"/>
      <c r="D151" s="121" t="s">
        <v>48</v>
      </c>
      <c r="E151" s="116" t="s">
        <v>43</v>
      </c>
      <c r="F151" s="65">
        <v>0</v>
      </c>
      <c r="G151" s="117">
        <v>20000</v>
      </c>
      <c r="H151" s="118">
        <f t="shared" si="6"/>
        <v>0</v>
      </c>
      <c r="I151" s="119">
        <f t="shared" si="7"/>
        <v>0</v>
      </c>
      <c r="K151" s="18" t="s">
        <v>49</v>
      </c>
      <c r="L151" s="28">
        <f>SUM(I171:I176)</f>
        <v>0</v>
      </c>
    </row>
    <row r="152" spans="1:12" ht="15.75" customHeight="1" x14ac:dyDescent="0.35">
      <c r="A152" s="29" t="s">
        <v>105</v>
      </c>
      <c r="B152" s="88">
        <v>1</v>
      </c>
      <c r="C152" s="422"/>
      <c r="D152" s="49" t="s">
        <v>50</v>
      </c>
      <c r="E152" s="50" t="s">
        <v>43</v>
      </c>
      <c r="F152" s="66">
        <v>0</v>
      </c>
      <c r="G152" s="52">
        <v>30000</v>
      </c>
      <c r="H152" s="53">
        <f t="shared" si="6"/>
        <v>0</v>
      </c>
      <c r="I152" s="54">
        <f t="shared" si="7"/>
        <v>0</v>
      </c>
      <c r="K152" s="18">
        <v>4</v>
      </c>
      <c r="L152" s="46">
        <f>SUM(I177:I182)</f>
        <v>0</v>
      </c>
    </row>
    <row r="153" spans="1:12" ht="15" customHeight="1" x14ac:dyDescent="0.35">
      <c r="A153" s="106" t="s">
        <v>107</v>
      </c>
      <c r="B153" s="107">
        <v>2</v>
      </c>
      <c r="C153" s="430" t="s">
        <v>108</v>
      </c>
      <c r="D153" s="108">
        <v>500</v>
      </c>
      <c r="E153" s="109" t="s">
        <v>43</v>
      </c>
      <c r="F153" s="64">
        <v>0</v>
      </c>
      <c r="G153" s="110">
        <v>500</v>
      </c>
      <c r="H153" s="111">
        <f t="shared" si="6"/>
        <v>0</v>
      </c>
      <c r="I153" s="112">
        <f t="shared" si="7"/>
        <v>0</v>
      </c>
      <c r="K153" s="18" t="s">
        <v>53</v>
      </c>
      <c r="L153" s="46">
        <f>SUM(I183:I188)</f>
        <v>0</v>
      </c>
    </row>
    <row r="154" spans="1:12" ht="15" customHeight="1" x14ac:dyDescent="0.35">
      <c r="A154" s="29" t="s">
        <v>107</v>
      </c>
      <c r="B154" s="79">
        <v>2</v>
      </c>
      <c r="C154" s="421"/>
      <c r="D154" s="31" t="s">
        <v>44</v>
      </c>
      <c r="E154" s="32" t="s">
        <v>43</v>
      </c>
      <c r="F154" s="65">
        <v>0</v>
      </c>
      <c r="G154" s="34">
        <v>1000</v>
      </c>
      <c r="H154" s="35">
        <f t="shared" si="6"/>
        <v>0</v>
      </c>
      <c r="I154" s="36">
        <f t="shared" si="7"/>
        <v>0</v>
      </c>
      <c r="K154" s="18" t="s">
        <v>109</v>
      </c>
      <c r="L154" s="28">
        <f>SUM(L147:L153)</f>
        <v>0</v>
      </c>
    </row>
    <row r="155" spans="1:12" ht="15" customHeight="1" x14ac:dyDescent="0.35">
      <c r="A155" s="113" t="s">
        <v>107</v>
      </c>
      <c r="B155" s="114">
        <v>2</v>
      </c>
      <c r="C155" s="421"/>
      <c r="D155" s="115" t="s">
        <v>45</v>
      </c>
      <c r="E155" s="116" t="s">
        <v>43</v>
      </c>
      <c r="F155" s="65">
        <v>0</v>
      </c>
      <c r="G155" s="117">
        <v>5000</v>
      </c>
      <c r="H155" s="118">
        <f t="shared" si="6"/>
        <v>0</v>
      </c>
      <c r="I155" s="119">
        <f t="shared" si="7"/>
        <v>0</v>
      </c>
    </row>
    <row r="156" spans="1:12" ht="15.75" customHeight="1" x14ac:dyDescent="0.35">
      <c r="A156" s="29" t="s">
        <v>107</v>
      </c>
      <c r="B156" s="79">
        <v>2</v>
      </c>
      <c r="C156" s="421"/>
      <c r="D156" s="31" t="s">
        <v>47</v>
      </c>
      <c r="E156" s="32" t="s">
        <v>43</v>
      </c>
      <c r="F156" s="65">
        <v>0</v>
      </c>
      <c r="G156" s="34">
        <v>10000</v>
      </c>
      <c r="H156" s="35">
        <f t="shared" si="6"/>
        <v>0</v>
      </c>
      <c r="I156" s="36">
        <f t="shared" si="7"/>
        <v>0</v>
      </c>
    </row>
    <row r="157" spans="1:12" ht="15.75" customHeight="1" x14ac:dyDescent="0.35">
      <c r="A157" s="113" t="s">
        <v>107</v>
      </c>
      <c r="B157" s="114">
        <v>2</v>
      </c>
      <c r="C157" s="421"/>
      <c r="D157" s="121" t="s">
        <v>48</v>
      </c>
      <c r="E157" s="116" t="s">
        <v>43</v>
      </c>
      <c r="F157" s="65">
        <v>0</v>
      </c>
      <c r="G157" s="117">
        <v>20000</v>
      </c>
      <c r="H157" s="118">
        <f t="shared" si="6"/>
        <v>0</v>
      </c>
      <c r="I157" s="119">
        <f t="shared" si="7"/>
        <v>0</v>
      </c>
    </row>
    <row r="158" spans="1:12" ht="15" customHeight="1" x14ac:dyDescent="0.35">
      <c r="A158" s="29" t="s">
        <v>107</v>
      </c>
      <c r="B158" s="88">
        <v>2</v>
      </c>
      <c r="C158" s="422"/>
      <c r="D158" s="49" t="s">
        <v>50</v>
      </c>
      <c r="E158" s="50" t="s">
        <v>43</v>
      </c>
      <c r="F158" s="66">
        <v>0</v>
      </c>
      <c r="G158" s="52">
        <v>30000</v>
      </c>
      <c r="H158" s="53">
        <f t="shared" si="6"/>
        <v>0</v>
      </c>
      <c r="I158" s="54">
        <f t="shared" si="7"/>
        <v>0</v>
      </c>
    </row>
    <row r="159" spans="1:12" ht="15" customHeight="1" x14ac:dyDescent="0.35">
      <c r="A159" s="106" t="s">
        <v>110</v>
      </c>
      <c r="B159" s="107" t="s">
        <v>46</v>
      </c>
      <c r="C159" s="430" t="s">
        <v>111</v>
      </c>
      <c r="D159" s="108">
        <v>500</v>
      </c>
      <c r="E159" s="109" t="s">
        <v>43</v>
      </c>
      <c r="F159" s="64">
        <v>0</v>
      </c>
      <c r="G159" s="110">
        <v>500</v>
      </c>
      <c r="H159" s="111">
        <f t="shared" si="6"/>
        <v>0</v>
      </c>
      <c r="I159" s="112">
        <f t="shared" si="7"/>
        <v>0</v>
      </c>
    </row>
    <row r="160" spans="1:12" ht="15" customHeight="1" x14ac:dyDescent="0.35">
      <c r="A160" s="29" t="s">
        <v>110</v>
      </c>
      <c r="B160" s="79" t="s">
        <v>46</v>
      </c>
      <c r="C160" s="421"/>
      <c r="D160" s="31" t="s">
        <v>44</v>
      </c>
      <c r="E160" s="32" t="s">
        <v>43</v>
      </c>
      <c r="F160" s="65">
        <v>0</v>
      </c>
      <c r="G160" s="34">
        <v>1000</v>
      </c>
      <c r="H160" s="35">
        <f t="shared" si="6"/>
        <v>0</v>
      </c>
      <c r="I160" s="36">
        <f t="shared" si="7"/>
        <v>0</v>
      </c>
    </row>
    <row r="161" spans="1:9" ht="15.75" customHeight="1" x14ac:dyDescent="0.35">
      <c r="A161" s="113" t="s">
        <v>110</v>
      </c>
      <c r="B161" s="114" t="s">
        <v>46</v>
      </c>
      <c r="C161" s="421"/>
      <c r="D161" s="115" t="s">
        <v>45</v>
      </c>
      <c r="E161" s="116" t="s">
        <v>43</v>
      </c>
      <c r="F161" s="65">
        <v>0</v>
      </c>
      <c r="G161" s="117">
        <v>5000</v>
      </c>
      <c r="H161" s="118">
        <f t="shared" si="6"/>
        <v>0</v>
      </c>
      <c r="I161" s="119">
        <f t="shared" si="7"/>
        <v>0</v>
      </c>
    </row>
    <row r="162" spans="1:9" ht="15.75" customHeight="1" x14ac:dyDescent="0.35">
      <c r="A162" s="29" t="s">
        <v>110</v>
      </c>
      <c r="B162" s="79" t="s">
        <v>46</v>
      </c>
      <c r="C162" s="421"/>
      <c r="D162" s="31" t="s">
        <v>47</v>
      </c>
      <c r="E162" s="32" t="s">
        <v>43</v>
      </c>
      <c r="F162" s="65">
        <v>0</v>
      </c>
      <c r="G162" s="34">
        <v>10000</v>
      </c>
      <c r="H162" s="35">
        <f t="shared" si="6"/>
        <v>0</v>
      </c>
      <c r="I162" s="36">
        <f t="shared" si="7"/>
        <v>0</v>
      </c>
    </row>
    <row r="163" spans="1:9" ht="15.75" customHeight="1" x14ac:dyDescent="0.35">
      <c r="A163" s="113" t="s">
        <v>110</v>
      </c>
      <c r="B163" s="114" t="s">
        <v>46</v>
      </c>
      <c r="C163" s="421"/>
      <c r="D163" s="121" t="s">
        <v>48</v>
      </c>
      <c r="E163" s="116" t="s">
        <v>43</v>
      </c>
      <c r="F163" s="65">
        <v>0</v>
      </c>
      <c r="G163" s="117">
        <v>20000</v>
      </c>
      <c r="H163" s="118">
        <f t="shared" si="6"/>
        <v>0</v>
      </c>
      <c r="I163" s="119">
        <f t="shared" si="7"/>
        <v>0</v>
      </c>
    </row>
    <row r="164" spans="1:9" ht="15.75" customHeight="1" x14ac:dyDescent="0.35">
      <c r="A164" s="122" t="s">
        <v>110</v>
      </c>
      <c r="B164" s="88" t="s">
        <v>46</v>
      </c>
      <c r="C164" s="422"/>
      <c r="D164" s="49" t="s">
        <v>50</v>
      </c>
      <c r="E164" s="50" t="s">
        <v>43</v>
      </c>
      <c r="F164" s="66">
        <v>0</v>
      </c>
      <c r="G164" s="52">
        <v>30000</v>
      </c>
      <c r="H164" s="53">
        <f t="shared" si="6"/>
        <v>0</v>
      </c>
      <c r="I164" s="54">
        <f t="shared" si="7"/>
        <v>0</v>
      </c>
    </row>
    <row r="165" spans="1:9" ht="15.75" customHeight="1" x14ac:dyDescent="0.35">
      <c r="A165" s="106" t="s">
        <v>112</v>
      </c>
      <c r="B165" s="107">
        <v>3</v>
      </c>
      <c r="C165" s="430" t="s">
        <v>113</v>
      </c>
      <c r="D165" s="108">
        <v>500</v>
      </c>
      <c r="E165" s="109" t="s">
        <v>43</v>
      </c>
      <c r="F165" s="64">
        <v>0</v>
      </c>
      <c r="G165" s="110">
        <v>500</v>
      </c>
      <c r="H165" s="111">
        <f t="shared" si="6"/>
        <v>0</v>
      </c>
      <c r="I165" s="112">
        <f t="shared" si="7"/>
        <v>0</v>
      </c>
    </row>
    <row r="166" spans="1:9" ht="15.75" customHeight="1" x14ac:dyDescent="0.35">
      <c r="A166" s="29" t="s">
        <v>112</v>
      </c>
      <c r="B166" s="79">
        <v>3</v>
      </c>
      <c r="C166" s="421"/>
      <c r="D166" s="31" t="s">
        <v>44</v>
      </c>
      <c r="E166" s="32" t="s">
        <v>43</v>
      </c>
      <c r="F166" s="65">
        <v>0</v>
      </c>
      <c r="G166" s="34">
        <v>1000</v>
      </c>
      <c r="H166" s="35">
        <f t="shared" si="6"/>
        <v>0</v>
      </c>
      <c r="I166" s="36">
        <f t="shared" si="7"/>
        <v>0</v>
      </c>
    </row>
    <row r="167" spans="1:9" ht="15.75" customHeight="1" x14ac:dyDescent="0.35">
      <c r="A167" s="113" t="s">
        <v>112</v>
      </c>
      <c r="B167" s="114">
        <v>3</v>
      </c>
      <c r="C167" s="421"/>
      <c r="D167" s="115" t="s">
        <v>45</v>
      </c>
      <c r="E167" s="116" t="s">
        <v>43</v>
      </c>
      <c r="F167" s="65">
        <v>0</v>
      </c>
      <c r="G167" s="117">
        <v>5000</v>
      </c>
      <c r="H167" s="118">
        <f t="shared" si="6"/>
        <v>0</v>
      </c>
      <c r="I167" s="119">
        <f t="shared" si="7"/>
        <v>0</v>
      </c>
    </row>
    <row r="168" spans="1:9" ht="15.75" customHeight="1" x14ac:dyDescent="0.35">
      <c r="A168" s="29" t="s">
        <v>112</v>
      </c>
      <c r="B168" s="79">
        <v>3</v>
      </c>
      <c r="C168" s="421"/>
      <c r="D168" s="31" t="s">
        <v>47</v>
      </c>
      <c r="E168" s="32" t="s">
        <v>43</v>
      </c>
      <c r="F168" s="65">
        <v>0</v>
      </c>
      <c r="G168" s="34">
        <v>10000</v>
      </c>
      <c r="H168" s="35">
        <f t="shared" si="6"/>
        <v>0</v>
      </c>
      <c r="I168" s="36">
        <f t="shared" si="7"/>
        <v>0</v>
      </c>
    </row>
    <row r="169" spans="1:9" ht="15.75" customHeight="1" x14ac:dyDescent="0.35">
      <c r="A169" s="113" t="s">
        <v>112</v>
      </c>
      <c r="B169" s="114">
        <v>3</v>
      </c>
      <c r="C169" s="421"/>
      <c r="D169" s="121" t="s">
        <v>48</v>
      </c>
      <c r="E169" s="116" t="s">
        <v>43</v>
      </c>
      <c r="F169" s="65">
        <v>0</v>
      </c>
      <c r="G169" s="117">
        <v>20000</v>
      </c>
      <c r="H169" s="118">
        <f t="shared" si="6"/>
        <v>0</v>
      </c>
      <c r="I169" s="119">
        <f t="shared" si="7"/>
        <v>0</v>
      </c>
    </row>
    <row r="170" spans="1:9" ht="15.75" customHeight="1" x14ac:dyDescent="0.35">
      <c r="A170" s="29" t="s">
        <v>112</v>
      </c>
      <c r="B170" s="88">
        <v>3</v>
      </c>
      <c r="C170" s="422"/>
      <c r="D170" s="49" t="s">
        <v>50</v>
      </c>
      <c r="E170" s="50" t="s">
        <v>43</v>
      </c>
      <c r="F170" s="66">
        <v>0</v>
      </c>
      <c r="G170" s="52">
        <v>30000</v>
      </c>
      <c r="H170" s="53">
        <f t="shared" si="6"/>
        <v>0</v>
      </c>
      <c r="I170" s="54">
        <f t="shared" si="7"/>
        <v>0</v>
      </c>
    </row>
    <row r="171" spans="1:9" ht="15.75" customHeight="1" x14ac:dyDescent="0.35">
      <c r="A171" s="106" t="s">
        <v>114</v>
      </c>
      <c r="B171" s="107" t="s">
        <v>49</v>
      </c>
      <c r="C171" s="430" t="s">
        <v>115</v>
      </c>
      <c r="D171" s="108">
        <v>500</v>
      </c>
      <c r="E171" s="109" t="s">
        <v>43</v>
      </c>
      <c r="F171" s="64">
        <v>0</v>
      </c>
      <c r="G171" s="110">
        <v>500</v>
      </c>
      <c r="H171" s="111">
        <f t="shared" si="6"/>
        <v>0</v>
      </c>
      <c r="I171" s="112">
        <f t="shared" si="7"/>
        <v>0</v>
      </c>
    </row>
    <row r="172" spans="1:9" ht="15.75" customHeight="1" x14ac:dyDescent="0.35">
      <c r="A172" s="29" t="s">
        <v>114</v>
      </c>
      <c r="B172" s="79" t="s">
        <v>49</v>
      </c>
      <c r="C172" s="421"/>
      <c r="D172" s="31" t="s">
        <v>44</v>
      </c>
      <c r="E172" s="32" t="s">
        <v>43</v>
      </c>
      <c r="F172" s="65">
        <v>0</v>
      </c>
      <c r="G172" s="34">
        <v>1000</v>
      </c>
      <c r="H172" s="35">
        <f t="shared" si="6"/>
        <v>0</v>
      </c>
      <c r="I172" s="36">
        <f t="shared" si="7"/>
        <v>0</v>
      </c>
    </row>
    <row r="173" spans="1:9" ht="15.75" customHeight="1" x14ac:dyDescent="0.35">
      <c r="A173" s="113" t="s">
        <v>114</v>
      </c>
      <c r="B173" s="114" t="s">
        <v>49</v>
      </c>
      <c r="C173" s="421"/>
      <c r="D173" s="115" t="s">
        <v>45</v>
      </c>
      <c r="E173" s="116" t="s">
        <v>43</v>
      </c>
      <c r="F173" s="65">
        <v>0</v>
      </c>
      <c r="G173" s="117">
        <v>5000</v>
      </c>
      <c r="H173" s="118">
        <f t="shared" si="6"/>
        <v>0</v>
      </c>
      <c r="I173" s="119">
        <f t="shared" si="7"/>
        <v>0</v>
      </c>
    </row>
    <row r="174" spans="1:9" ht="15.75" customHeight="1" x14ac:dyDescent="0.35">
      <c r="A174" s="29" t="s">
        <v>114</v>
      </c>
      <c r="B174" s="79" t="s">
        <v>49</v>
      </c>
      <c r="C174" s="421"/>
      <c r="D174" s="31" t="s">
        <v>47</v>
      </c>
      <c r="E174" s="32" t="s">
        <v>43</v>
      </c>
      <c r="F174" s="65">
        <v>0</v>
      </c>
      <c r="G174" s="34">
        <v>10000</v>
      </c>
      <c r="H174" s="35">
        <f t="shared" si="6"/>
        <v>0</v>
      </c>
      <c r="I174" s="36">
        <f t="shared" si="7"/>
        <v>0</v>
      </c>
    </row>
    <row r="175" spans="1:9" ht="15.75" customHeight="1" x14ac:dyDescent="0.35">
      <c r="A175" s="120" t="s">
        <v>114</v>
      </c>
      <c r="B175" s="114" t="s">
        <v>49</v>
      </c>
      <c r="C175" s="421"/>
      <c r="D175" s="121" t="s">
        <v>48</v>
      </c>
      <c r="E175" s="116" t="s">
        <v>43</v>
      </c>
      <c r="F175" s="65">
        <v>0</v>
      </c>
      <c r="G175" s="117">
        <v>20000</v>
      </c>
      <c r="H175" s="118">
        <f t="shared" si="6"/>
        <v>0</v>
      </c>
      <c r="I175" s="119">
        <f t="shared" si="7"/>
        <v>0</v>
      </c>
    </row>
    <row r="176" spans="1:9" ht="15.75" customHeight="1" x14ac:dyDescent="0.35">
      <c r="A176" s="47" t="s">
        <v>114</v>
      </c>
      <c r="B176" s="88" t="s">
        <v>49</v>
      </c>
      <c r="C176" s="422"/>
      <c r="D176" s="49" t="s">
        <v>50</v>
      </c>
      <c r="E176" s="50" t="s">
        <v>43</v>
      </c>
      <c r="F176" s="66">
        <v>0</v>
      </c>
      <c r="G176" s="52">
        <v>30000</v>
      </c>
      <c r="H176" s="53">
        <f t="shared" si="6"/>
        <v>0</v>
      </c>
      <c r="I176" s="54">
        <f t="shared" si="7"/>
        <v>0</v>
      </c>
    </row>
    <row r="177" spans="1:9" ht="15.75" customHeight="1" x14ac:dyDescent="0.35">
      <c r="A177" s="106" t="s">
        <v>116</v>
      </c>
      <c r="B177" s="123">
        <v>4</v>
      </c>
      <c r="C177" s="430" t="s">
        <v>117</v>
      </c>
      <c r="D177" s="108">
        <v>500</v>
      </c>
      <c r="E177" s="109" t="s">
        <v>43</v>
      </c>
      <c r="F177" s="64">
        <v>0</v>
      </c>
      <c r="G177" s="110">
        <v>500</v>
      </c>
      <c r="H177" s="111">
        <f t="shared" si="6"/>
        <v>0</v>
      </c>
      <c r="I177" s="112">
        <f t="shared" si="7"/>
        <v>0</v>
      </c>
    </row>
    <row r="178" spans="1:9" ht="15.75" customHeight="1" x14ac:dyDescent="0.35">
      <c r="A178" s="29" t="s">
        <v>116</v>
      </c>
      <c r="B178" s="79">
        <v>4</v>
      </c>
      <c r="C178" s="421"/>
      <c r="D178" s="31" t="s">
        <v>44</v>
      </c>
      <c r="E178" s="32" t="s">
        <v>43</v>
      </c>
      <c r="F178" s="65">
        <v>0</v>
      </c>
      <c r="G178" s="34">
        <v>1000</v>
      </c>
      <c r="H178" s="35">
        <f t="shared" si="6"/>
        <v>0</v>
      </c>
      <c r="I178" s="36">
        <f t="shared" si="7"/>
        <v>0</v>
      </c>
    </row>
    <row r="179" spans="1:9" ht="15.75" customHeight="1" x14ac:dyDescent="0.35">
      <c r="A179" s="113" t="s">
        <v>116</v>
      </c>
      <c r="B179" s="114">
        <v>4</v>
      </c>
      <c r="C179" s="421"/>
      <c r="D179" s="115" t="s">
        <v>45</v>
      </c>
      <c r="E179" s="116" t="s">
        <v>43</v>
      </c>
      <c r="F179" s="65">
        <v>0</v>
      </c>
      <c r="G179" s="117">
        <v>5000</v>
      </c>
      <c r="H179" s="118">
        <f t="shared" si="6"/>
        <v>0</v>
      </c>
      <c r="I179" s="119">
        <f t="shared" si="7"/>
        <v>0</v>
      </c>
    </row>
    <row r="180" spans="1:9" ht="15.75" customHeight="1" x14ac:dyDescent="0.35">
      <c r="A180" s="29" t="s">
        <v>116</v>
      </c>
      <c r="B180" s="79">
        <v>4</v>
      </c>
      <c r="C180" s="421"/>
      <c r="D180" s="31" t="s">
        <v>47</v>
      </c>
      <c r="E180" s="32" t="s">
        <v>43</v>
      </c>
      <c r="F180" s="65">
        <v>0</v>
      </c>
      <c r="G180" s="34">
        <v>10000</v>
      </c>
      <c r="H180" s="35">
        <f t="shared" si="6"/>
        <v>0</v>
      </c>
      <c r="I180" s="36">
        <f t="shared" si="7"/>
        <v>0</v>
      </c>
    </row>
    <row r="181" spans="1:9" ht="15.75" customHeight="1" x14ac:dyDescent="0.35">
      <c r="A181" s="113" t="s">
        <v>116</v>
      </c>
      <c r="B181" s="114">
        <v>4</v>
      </c>
      <c r="C181" s="421"/>
      <c r="D181" s="121" t="s">
        <v>48</v>
      </c>
      <c r="E181" s="116" t="s">
        <v>43</v>
      </c>
      <c r="F181" s="65">
        <v>0</v>
      </c>
      <c r="G181" s="117">
        <v>20000</v>
      </c>
      <c r="H181" s="118">
        <f t="shared" si="6"/>
        <v>0</v>
      </c>
      <c r="I181" s="119">
        <f t="shared" si="7"/>
        <v>0</v>
      </c>
    </row>
    <row r="182" spans="1:9" ht="15.75" customHeight="1" x14ac:dyDescent="0.35">
      <c r="A182" s="29" t="s">
        <v>116</v>
      </c>
      <c r="B182" s="88">
        <v>4</v>
      </c>
      <c r="C182" s="422"/>
      <c r="D182" s="49" t="s">
        <v>50</v>
      </c>
      <c r="E182" s="50" t="s">
        <v>43</v>
      </c>
      <c r="F182" s="66">
        <v>0</v>
      </c>
      <c r="G182" s="52">
        <v>30000</v>
      </c>
      <c r="H182" s="53">
        <f t="shared" si="6"/>
        <v>0</v>
      </c>
      <c r="I182" s="54">
        <f t="shared" si="7"/>
        <v>0</v>
      </c>
    </row>
    <row r="183" spans="1:9" ht="15.75" customHeight="1" x14ac:dyDescent="0.35">
      <c r="A183" s="106" t="s">
        <v>118</v>
      </c>
      <c r="B183" s="123" t="s">
        <v>53</v>
      </c>
      <c r="C183" s="430" t="s">
        <v>119</v>
      </c>
      <c r="D183" s="108">
        <v>500</v>
      </c>
      <c r="E183" s="109" t="s">
        <v>43</v>
      </c>
      <c r="F183" s="64">
        <v>0</v>
      </c>
      <c r="G183" s="110">
        <v>500</v>
      </c>
      <c r="H183" s="111">
        <f t="shared" si="6"/>
        <v>0</v>
      </c>
      <c r="I183" s="112">
        <f t="shared" si="7"/>
        <v>0</v>
      </c>
    </row>
    <row r="184" spans="1:9" ht="15.75" customHeight="1" x14ac:dyDescent="0.35">
      <c r="A184" s="29" t="s">
        <v>118</v>
      </c>
      <c r="B184" s="79" t="s">
        <v>53</v>
      </c>
      <c r="C184" s="421"/>
      <c r="D184" s="31" t="s">
        <v>44</v>
      </c>
      <c r="E184" s="32" t="s">
        <v>43</v>
      </c>
      <c r="F184" s="65">
        <v>0</v>
      </c>
      <c r="G184" s="34">
        <v>1000</v>
      </c>
      <c r="H184" s="35">
        <f t="shared" si="6"/>
        <v>0</v>
      </c>
      <c r="I184" s="36">
        <f t="shared" si="7"/>
        <v>0</v>
      </c>
    </row>
    <row r="185" spans="1:9" ht="15.75" customHeight="1" x14ac:dyDescent="0.35">
      <c r="A185" s="113" t="s">
        <v>118</v>
      </c>
      <c r="B185" s="114" t="s">
        <v>53</v>
      </c>
      <c r="C185" s="421"/>
      <c r="D185" s="115" t="s">
        <v>45</v>
      </c>
      <c r="E185" s="116" t="s">
        <v>43</v>
      </c>
      <c r="F185" s="65">
        <v>0</v>
      </c>
      <c r="G185" s="117">
        <v>5000</v>
      </c>
      <c r="H185" s="118">
        <f t="shared" si="6"/>
        <v>0</v>
      </c>
      <c r="I185" s="119">
        <f t="shared" si="7"/>
        <v>0</v>
      </c>
    </row>
    <row r="186" spans="1:9" ht="15.75" customHeight="1" x14ac:dyDescent="0.35">
      <c r="A186" s="29" t="s">
        <v>118</v>
      </c>
      <c r="B186" s="79" t="s">
        <v>53</v>
      </c>
      <c r="C186" s="421"/>
      <c r="D186" s="31" t="s">
        <v>47</v>
      </c>
      <c r="E186" s="32" t="s">
        <v>43</v>
      </c>
      <c r="F186" s="65">
        <v>0</v>
      </c>
      <c r="G186" s="34">
        <v>10000</v>
      </c>
      <c r="H186" s="35">
        <f t="shared" si="6"/>
        <v>0</v>
      </c>
      <c r="I186" s="36">
        <f t="shared" si="7"/>
        <v>0</v>
      </c>
    </row>
    <row r="187" spans="1:9" ht="15.75" customHeight="1" x14ac:dyDescent="0.35">
      <c r="A187" s="120" t="s">
        <v>118</v>
      </c>
      <c r="B187" s="114" t="s">
        <v>53</v>
      </c>
      <c r="C187" s="421"/>
      <c r="D187" s="121" t="s">
        <v>48</v>
      </c>
      <c r="E187" s="116" t="s">
        <v>43</v>
      </c>
      <c r="F187" s="65">
        <v>0</v>
      </c>
      <c r="G187" s="117">
        <v>20000</v>
      </c>
      <c r="H187" s="118">
        <f t="shared" si="6"/>
        <v>0</v>
      </c>
      <c r="I187" s="119">
        <f t="shared" si="7"/>
        <v>0</v>
      </c>
    </row>
    <row r="188" spans="1:9" ht="15.75" customHeight="1" x14ac:dyDescent="0.35">
      <c r="A188" s="47" t="s">
        <v>118</v>
      </c>
      <c r="B188" s="88" t="s">
        <v>53</v>
      </c>
      <c r="C188" s="422"/>
      <c r="D188" s="49" t="s">
        <v>50</v>
      </c>
      <c r="E188" s="50" t="s">
        <v>43</v>
      </c>
      <c r="F188" s="66">
        <v>0</v>
      </c>
      <c r="G188" s="52">
        <v>30000</v>
      </c>
      <c r="H188" s="53">
        <f t="shared" si="6"/>
        <v>0</v>
      </c>
      <c r="I188" s="54">
        <f t="shared" si="7"/>
        <v>0</v>
      </c>
    </row>
    <row r="189" spans="1:9" ht="15.75" customHeight="1" x14ac:dyDescent="0.35"/>
    <row r="190" spans="1:9" ht="15.75" customHeight="1" x14ac:dyDescent="0.35"/>
    <row r="191" spans="1:9" ht="15.75" customHeight="1" x14ac:dyDescent="0.35"/>
    <row r="192" spans="1:9"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sheetData>
  <mergeCells count="40">
    <mergeCell ref="C171:C176"/>
    <mergeCell ref="C177:C182"/>
    <mergeCell ref="C183:C188"/>
    <mergeCell ref="C130:C135"/>
    <mergeCell ref="C136:C141"/>
    <mergeCell ref="A144:I144"/>
    <mergeCell ref="A145:F145"/>
    <mergeCell ref="G145:I145"/>
    <mergeCell ref="C147:C152"/>
    <mergeCell ref="C153:C158"/>
    <mergeCell ref="C112:C117"/>
    <mergeCell ref="C118:C123"/>
    <mergeCell ref="C124:C129"/>
    <mergeCell ref="C159:C164"/>
    <mergeCell ref="C165:C170"/>
    <mergeCell ref="A97:I97"/>
    <mergeCell ref="A98:F98"/>
    <mergeCell ref="G98:I98"/>
    <mergeCell ref="C100:C105"/>
    <mergeCell ref="C106:C111"/>
    <mergeCell ref="C65:C70"/>
    <mergeCell ref="C71:C76"/>
    <mergeCell ref="C77:C82"/>
    <mergeCell ref="C83:C88"/>
    <mergeCell ref="C89:C94"/>
    <mergeCell ref="A50:I50"/>
    <mergeCell ref="A51:F51"/>
    <mergeCell ref="G51:I51"/>
    <mergeCell ref="C53:C58"/>
    <mergeCell ref="C59:C64"/>
    <mergeCell ref="C18:C23"/>
    <mergeCell ref="C24:C29"/>
    <mergeCell ref="C30:C35"/>
    <mergeCell ref="C36:C41"/>
    <mergeCell ref="C42:C47"/>
    <mergeCell ref="A3:I3"/>
    <mergeCell ref="A4:F4"/>
    <mergeCell ref="G4:I4"/>
    <mergeCell ref="C6:C11"/>
    <mergeCell ref="C12:C17"/>
  </mergeCells>
  <pageMargins left="0.7" right="0.7" top="0.75" bottom="0.75" header="0" footer="0"/>
  <pageSetup fitToHeight="0" orientation="portrait"/>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863"/>
  <sheetViews>
    <sheetView workbookViewId="0"/>
  </sheetViews>
  <sheetFormatPr defaultColWidth="12.6328125" defaultRowHeight="15" customHeight="1" x14ac:dyDescent="0.35"/>
  <cols>
    <col min="1" max="1" width="10.90625" customWidth="1"/>
    <col min="2" max="2" width="12.36328125" customWidth="1"/>
    <col min="3" max="3" width="27.90625" customWidth="1"/>
    <col min="4" max="4" width="14.36328125" customWidth="1"/>
    <col min="5" max="6" width="8.6328125" customWidth="1"/>
    <col min="7" max="7" width="11" customWidth="1"/>
    <col min="8" max="8" width="14.36328125" customWidth="1"/>
    <col min="9" max="9" width="20.90625" customWidth="1"/>
    <col min="10" max="10" width="7.36328125" customWidth="1"/>
    <col min="11" max="11" width="17.26953125" customWidth="1"/>
    <col min="12" max="12" width="57" customWidth="1"/>
    <col min="13" max="13" width="23.6328125" customWidth="1"/>
  </cols>
  <sheetData>
    <row r="1" spans="1:12" ht="18.5" x14ac:dyDescent="0.45">
      <c r="A1" s="10" t="s">
        <v>25</v>
      </c>
    </row>
    <row r="2" spans="1:12" ht="18" x14ac:dyDescent="0.4">
      <c r="A2" s="11" t="s">
        <v>120</v>
      </c>
    </row>
    <row r="3" spans="1:12" ht="18" x14ac:dyDescent="0.4">
      <c r="A3" s="414" t="s">
        <v>27</v>
      </c>
      <c r="B3" s="413"/>
      <c r="C3" s="413"/>
      <c r="D3" s="413"/>
      <c r="E3" s="413"/>
      <c r="F3" s="413"/>
      <c r="G3" s="413"/>
      <c r="H3" s="413"/>
      <c r="I3" s="413"/>
    </row>
    <row r="4" spans="1:12" ht="15.75" customHeight="1" x14ac:dyDescent="0.35">
      <c r="A4" s="415" t="s">
        <v>28</v>
      </c>
      <c r="B4" s="416"/>
      <c r="C4" s="416"/>
      <c r="D4" s="416"/>
      <c r="E4" s="416"/>
      <c r="F4" s="417"/>
      <c r="G4" s="418" t="s">
        <v>29</v>
      </c>
      <c r="H4" s="416"/>
      <c r="I4" s="419"/>
    </row>
    <row r="5" spans="1:12" ht="42.5" x14ac:dyDescent="0.35">
      <c r="A5" s="12" t="s">
        <v>30</v>
      </c>
      <c r="B5" s="13" t="s">
        <v>31</v>
      </c>
      <c r="C5" s="14" t="s">
        <v>32</v>
      </c>
      <c r="D5" s="15" t="s">
        <v>33</v>
      </c>
      <c r="E5" s="15" t="s">
        <v>34</v>
      </c>
      <c r="F5" s="14" t="s">
        <v>35</v>
      </c>
      <c r="G5" s="16" t="s">
        <v>36</v>
      </c>
      <c r="H5" s="16" t="s">
        <v>37</v>
      </c>
      <c r="I5" s="17" t="s">
        <v>38</v>
      </c>
      <c r="K5" s="18" t="s">
        <v>39</v>
      </c>
      <c r="L5" s="19" t="s">
        <v>121</v>
      </c>
    </row>
    <row r="6" spans="1:12" ht="15.75" customHeight="1" x14ac:dyDescent="0.35">
      <c r="A6" s="20">
        <v>1001</v>
      </c>
      <c r="B6" s="21">
        <v>1</v>
      </c>
      <c r="C6" s="420" t="s">
        <v>122</v>
      </c>
      <c r="D6" s="22">
        <v>500</v>
      </c>
      <c r="E6" s="23" t="s">
        <v>43</v>
      </c>
      <c r="F6" s="24">
        <v>0</v>
      </c>
      <c r="G6" s="25">
        <v>500</v>
      </c>
      <c r="H6" s="26">
        <f t="shared" ref="H6:H47" si="0">F6*G6</f>
        <v>0</v>
      </c>
      <c r="I6" s="27">
        <f t="shared" ref="I6:I47" si="1">H6*365</f>
        <v>0</v>
      </c>
      <c r="K6" s="18">
        <v>1</v>
      </c>
      <c r="L6" s="28">
        <f>SUM(I6:I11)</f>
        <v>0</v>
      </c>
    </row>
    <row r="7" spans="1:12" ht="15.75" customHeight="1" x14ac:dyDescent="0.35">
      <c r="A7" s="29">
        <v>1001</v>
      </c>
      <c r="B7" s="30">
        <v>1</v>
      </c>
      <c r="C7" s="421"/>
      <c r="D7" s="31" t="s">
        <v>44</v>
      </c>
      <c r="E7" s="32" t="s">
        <v>43</v>
      </c>
      <c r="F7" s="33">
        <v>0</v>
      </c>
      <c r="G7" s="34">
        <v>1000</v>
      </c>
      <c r="H7" s="35">
        <f t="shared" si="0"/>
        <v>0</v>
      </c>
      <c r="I7" s="36">
        <f t="shared" si="1"/>
        <v>0</v>
      </c>
      <c r="K7" s="18">
        <v>2</v>
      </c>
      <c r="L7" s="28">
        <f>SUM(I12:I17)</f>
        <v>0</v>
      </c>
    </row>
    <row r="8" spans="1:12" ht="15.75" customHeight="1" x14ac:dyDescent="0.35">
      <c r="A8" s="37">
        <v>1001</v>
      </c>
      <c r="B8" s="38">
        <v>1</v>
      </c>
      <c r="C8" s="421"/>
      <c r="D8" s="39" t="s">
        <v>45</v>
      </c>
      <c r="E8" s="40" t="s">
        <v>43</v>
      </c>
      <c r="F8" s="33">
        <v>0</v>
      </c>
      <c r="G8" s="41">
        <v>5000</v>
      </c>
      <c r="H8" s="42">
        <f t="shared" si="0"/>
        <v>0</v>
      </c>
      <c r="I8" s="43">
        <f t="shared" si="1"/>
        <v>0</v>
      </c>
      <c r="K8" s="18" t="s">
        <v>46</v>
      </c>
      <c r="L8" s="28">
        <f>SUM(I18:I23)</f>
        <v>0</v>
      </c>
    </row>
    <row r="9" spans="1:12" ht="15.75" customHeight="1" x14ac:dyDescent="0.35">
      <c r="A9" s="29">
        <v>1001</v>
      </c>
      <c r="B9" s="30">
        <v>1</v>
      </c>
      <c r="C9" s="421"/>
      <c r="D9" s="31" t="s">
        <v>47</v>
      </c>
      <c r="E9" s="32" t="s">
        <v>43</v>
      </c>
      <c r="F9" s="33">
        <v>0</v>
      </c>
      <c r="G9" s="34">
        <v>10000</v>
      </c>
      <c r="H9" s="35">
        <f t="shared" si="0"/>
        <v>0</v>
      </c>
      <c r="I9" s="36">
        <f t="shared" si="1"/>
        <v>0</v>
      </c>
      <c r="K9" s="18">
        <v>3</v>
      </c>
      <c r="L9" s="28">
        <f>SUM(I24:I29)</f>
        <v>0</v>
      </c>
    </row>
    <row r="10" spans="1:12" ht="15.75" customHeight="1" x14ac:dyDescent="0.35">
      <c r="A10" s="37">
        <v>1001</v>
      </c>
      <c r="B10" s="38">
        <v>1</v>
      </c>
      <c r="C10" s="421"/>
      <c r="D10" s="44" t="s">
        <v>48</v>
      </c>
      <c r="E10" s="40" t="s">
        <v>43</v>
      </c>
      <c r="F10" s="33">
        <v>0</v>
      </c>
      <c r="G10" s="41">
        <v>20000</v>
      </c>
      <c r="H10" s="42">
        <f t="shared" si="0"/>
        <v>0</v>
      </c>
      <c r="I10" s="43">
        <f t="shared" si="1"/>
        <v>0</v>
      </c>
      <c r="K10" s="45" t="s">
        <v>49</v>
      </c>
      <c r="L10" s="46">
        <f>SUM(I30:I35)</f>
        <v>0</v>
      </c>
    </row>
    <row r="11" spans="1:12" ht="15.75" customHeight="1" x14ac:dyDescent="0.35">
      <c r="A11" s="47">
        <v>1001</v>
      </c>
      <c r="B11" s="48">
        <v>1</v>
      </c>
      <c r="C11" s="422"/>
      <c r="D11" s="49" t="s">
        <v>50</v>
      </c>
      <c r="E11" s="50" t="s">
        <v>43</v>
      </c>
      <c r="F11" s="51">
        <v>0</v>
      </c>
      <c r="G11" s="52">
        <v>30000</v>
      </c>
      <c r="H11" s="53">
        <f t="shared" si="0"/>
        <v>0</v>
      </c>
      <c r="I11" s="54">
        <f t="shared" si="1"/>
        <v>0</v>
      </c>
      <c r="K11" s="18">
        <v>4</v>
      </c>
      <c r="L11" s="46">
        <f>SUM(I36:I41)</f>
        <v>0</v>
      </c>
    </row>
    <row r="12" spans="1:12" ht="15.75" customHeight="1" x14ac:dyDescent="0.35">
      <c r="A12" s="20">
        <v>1002</v>
      </c>
      <c r="B12" s="21">
        <v>2</v>
      </c>
      <c r="C12" s="420" t="s">
        <v>123</v>
      </c>
      <c r="D12" s="22">
        <v>500</v>
      </c>
      <c r="E12" s="23" t="s">
        <v>43</v>
      </c>
      <c r="F12" s="24">
        <v>0</v>
      </c>
      <c r="G12" s="25">
        <v>500</v>
      </c>
      <c r="H12" s="26">
        <f t="shared" si="0"/>
        <v>0</v>
      </c>
      <c r="I12" s="27">
        <f t="shared" si="1"/>
        <v>0</v>
      </c>
      <c r="K12" s="18" t="s">
        <v>53</v>
      </c>
      <c r="L12" s="46">
        <f>SUM(I42:I47)</f>
        <v>0</v>
      </c>
    </row>
    <row r="13" spans="1:12" ht="15.75" customHeight="1" x14ac:dyDescent="0.35">
      <c r="A13" s="29">
        <v>1002</v>
      </c>
      <c r="B13" s="30">
        <v>2</v>
      </c>
      <c r="C13" s="421"/>
      <c r="D13" s="31" t="s">
        <v>44</v>
      </c>
      <c r="E13" s="32" t="s">
        <v>43</v>
      </c>
      <c r="F13" s="33">
        <v>0</v>
      </c>
      <c r="G13" s="34">
        <v>1000</v>
      </c>
      <c r="H13" s="35">
        <f t="shared" si="0"/>
        <v>0</v>
      </c>
      <c r="I13" s="36">
        <f t="shared" si="1"/>
        <v>0</v>
      </c>
      <c r="K13" s="18" t="s">
        <v>54</v>
      </c>
      <c r="L13" s="28">
        <f>SUM(L6:L12)</f>
        <v>0</v>
      </c>
    </row>
    <row r="14" spans="1:12" ht="15.75" customHeight="1" x14ac:dyDescent="0.35">
      <c r="A14" s="37">
        <v>1002</v>
      </c>
      <c r="B14" s="38">
        <v>2</v>
      </c>
      <c r="C14" s="421"/>
      <c r="D14" s="39" t="s">
        <v>45</v>
      </c>
      <c r="E14" s="40" t="s">
        <v>43</v>
      </c>
      <c r="F14" s="33">
        <v>0</v>
      </c>
      <c r="G14" s="41">
        <v>5000</v>
      </c>
      <c r="H14" s="42">
        <f t="shared" si="0"/>
        <v>0</v>
      </c>
      <c r="I14" s="43">
        <f t="shared" si="1"/>
        <v>0</v>
      </c>
    </row>
    <row r="15" spans="1:12" ht="15.75" customHeight="1" x14ac:dyDescent="0.35">
      <c r="A15" s="29">
        <v>1002</v>
      </c>
      <c r="B15" s="30">
        <v>2</v>
      </c>
      <c r="C15" s="421"/>
      <c r="D15" s="31" t="s">
        <v>47</v>
      </c>
      <c r="E15" s="32" t="s">
        <v>43</v>
      </c>
      <c r="F15" s="33">
        <v>0</v>
      </c>
      <c r="G15" s="34">
        <v>10000</v>
      </c>
      <c r="H15" s="35">
        <f t="shared" si="0"/>
        <v>0</v>
      </c>
      <c r="I15" s="36">
        <f t="shared" si="1"/>
        <v>0</v>
      </c>
    </row>
    <row r="16" spans="1:12" ht="15.75" customHeight="1" x14ac:dyDescent="0.35">
      <c r="A16" s="37">
        <v>1002</v>
      </c>
      <c r="B16" s="38">
        <v>2</v>
      </c>
      <c r="C16" s="421"/>
      <c r="D16" s="44" t="s">
        <v>48</v>
      </c>
      <c r="E16" s="40" t="s">
        <v>43</v>
      </c>
      <c r="F16" s="33">
        <v>0</v>
      </c>
      <c r="G16" s="41">
        <v>20000</v>
      </c>
      <c r="H16" s="42">
        <f t="shared" si="0"/>
        <v>0</v>
      </c>
      <c r="I16" s="43">
        <f t="shared" si="1"/>
        <v>0</v>
      </c>
    </row>
    <row r="17" spans="1:9" ht="15.75" customHeight="1" x14ac:dyDescent="0.35">
      <c r="A17" s="47">
        <v>1002</v>
      </c>
      <c r="B17" s="48">
        <v>2</v>
      </c>
      <c r="C17" s="422"/>
      <c r="D17" s="49" t="s">
        <v>50</v>
      </c>
      <c r="E17" s="50" t="s">
        <v>43</v>
      </c>
      <c r="F17" s="51">
        <v>0</v>
      </c>
      <c r="G17" s="52">
        <v>30000</v>
      </c>
      <c r="H17" s="53">
        <f t="shared" si="0"/>
        <v>0</v>
      </c>
      <c r="I17" s="54">
        <f t="shared" si="1"/>
        <v>0</v>
      </c>
    </row>
    <row r="18" spans="1:9" ht="15.75" customHeight="1" x14ac:dyDescent="0.35">
      <c r="A18" s="55">
        <v>1003</v>
      </c>
      <c r="B18" s="56" t="s">
        <v>46</v>
      </c>
      <c r="C18" s="423" t="s">
        <v>124</v>
      </c>
      <c r="D18" s="57">
        <v>500</v>
      </c>
      <c r="E18" s="58" t="s">
        <v>43</v>
      </c>
      <c r="F18" s="24">
        <v>0</v>
      </c>
      <c r="G18" s="59">
        <v>500</v>
      </c>
      <c r="H18" s="60">
        <f t="shared" si="0"/>
        <v>0</v>
      </c>
      <c r="I18" s="61">
        <f t="shared" si="1"/>
        <v>0</v>
      </c>
    </row>
    <row r="19" spans="1:9" ht="15.75" customHeight="1" x14ac:dyDescent="0.35">
      <c r="A19" s="62">
        <v>1003</v>
      </c>
      <c r="B19" s="30" t="s">
        <v>46</v>
      </c>
      <c r="C19" s="421"/>
      <c r="D19" s="31" t="s">
        <v>44</v>
      </c>
      <c r="E19" s="32" t="s">
        <v>43</v>
      </c>
      <c r="F19" s="33">
        <v>0</v>
      </c>
      <c r="G19" s="34">
        <v>1000</v>
      </c>
      <c r="H19" s="35">
        <f t="shared" si="0"/>
        <v>0</v>
      </c>
      <c r="I19" s="36">
        <f t="shared" si="1"/>
        <v>0</v>
      </c>
    </row>
    <row r="20" spans="1:9" ht="15.75" customHeight="1" x14ac:dyDescent="0.35">
      <c r="A20" s="37">
        <v>1003</v>
      </c>
      <c r="B20" s="38" t="s">
        <v>46</v>
      </c>
      <c r="C20" s="421"/>
      <c r="D20" s="39" t="s">
        <v>45</v>
      </c>
      <c r="E20" s="40" t="s">
        <v>43</v>
      </c>
      <c r="F20" s="33">
        <v>0</v>
      </c>
      <c r="G20" s="41">
        <v>5000</v>
      </c>
      <c r="H20" s="42">
        <f t="shared" si="0"/>
        <v>0</v>
      </c>
      <c r="I20" s="43">
        <f t="shared" si="1"/>
        <v>0</v>
      </c>
    </row>
    <row r="21" spans="1:9" ht="15.75" customHeight="1" x14ac:dyDescent="0.35">
      <c r="A21" s="62">
        <v>1003</v>
      </c>
      <c r="B21" s="30" t="s">
        <v>46</v>
      </c>
      <c r="C21" s="421"/>
      <c r="D21" s="31" t="s">
        <v>47</v>
      </c>
      <c r="E21" s="32" t="s">
        <v>43</v>
      </c>
      <c r="F21" s="33">
        <v>0</v>
      </c>
      <c r="G21" s="34">
        <v>10000</v>
      </c>
      <c r="H21" s="35">
        <f t="shared" si="0"/>
        <v>0</v>
      </c>
      <c r="I21" s="36">
        <f t="shared" si="1"/>
        <v>0</v>
      </c>
    </row>
    <row r="22" spans="1:9" ht="15.75" customHeight="1" x14ac:dyDescent="0.35">
      <c r="A22" s="37">
        <v>1003</v>
      </c>
      <c r="B22" s="38" t="s">
        <v>46</v>
      </c>
      <c r="C22" s="421"/>
      <c r="D22" s="44" t="s">
        <v>48</v>
      </c>
      <c r="E22" s="40" t="s">
        <v>43</v>
      </c>
      <c r="F22" s="33">
        <v>0</v>
      </c>
      <c r="G22" s="41">
        <v>20000</v>
      </c>
      <c r="H22" s="42">
        <f t="shared" si="0"/>
        <v>0</v>
      </c>
      <c r="I22" s="43">
        <f t="shared" si="1"/>
        <v>0</v>
      </c>
    </row>
    <row r="23" spans="1:9" ht="15.75" customHeight="1" x14ac:dyDescent="0.35">
      <c r="A23" s="63">
        <v>1003</v>
      </c>
      <c r="B23" s="48" t="s">
        <v>46</v>
      </c>
      <c r="C23" s="422"/>
      <c r="D23" s="49" t="s">
        <v>50</v>
      </c>
      <c r="E23" s="50" t="s">
        <v>43</v>
      </c>
      <c r="F23" s="51">
        <v>0</v>
      </c>
      <c r="G23" s="52">
        <v>30000</v>
      </c>
      <c r="H23" s="53">
        <f t="shared" si="0"/>
        <v>0</v>
      </c>
      <c r="I23" s="54">
        <f t="shared" si="1"/>
        <v>0</v>
      </c>
    </row>
    <row r="24" spans="1:9" ht="15.75" customHeight="1" x14ac:dyDescent="0.35">
      <c r="A24" s="55">
        <v>1004</v>
      </c>
      <c r="B24" s="56">
        <v>3</v>
      </c>
      <c r="C24" s="423" t="s">
        <v>125</v>
      </c>
      <c r="D24" s="57">
        <v>500</v>
      </c>
      <c r="E24" s="58" t="s">
        <v>43</v>
      </c>
      <c r="F24" s="24">
        <v>0</v>
      </c>
      <c r="G24" s="59">
        <v>500</v>
      </c>
      <c r="H24" s="60">
        <f t="shared" si="0"/>
        <v>0</v>
      </c>
      <c r="I24" s="61">
        <f t="shared" si="1"/>
        <v>0</v>
      </c>
    </row>
    <row r="25" spans="1:9" ht="15.75" customHeight="1" x14ac:dyDescent="0.35">
      <c r="A25" s="62">
        <v>1004</v>
      </c>
      <c r="B25" s="30">
        <v>3</v>
      </c>
      <c r="C25" s="421"/>
      <c r="D25" s="31" t="s">
        <v>44</v>
      </c>
      <c r="E25" s="32" t="s">
        <v>43</v>
      </c>
      <c r="F25" s="33">
        <v>0</v>
      </c>
      <c r="G25" s="34">
        <v>1000</v>
      </c>
      <c r="H25" s="35">
        <f t="shared" si="0"/>
        <v>0</v>
      </c>
      <c r="I25" s="36">
        <f t="shared" si="1"/>
        <v>0</v>
      </c>
    </row>
    <row r="26" spans="1:9" ht="15.75" customHeight="1" x14ac:dyDescent="0.35">
      <c r="A26" s="37">
        <v>1004</v>
      </c>
      <c r="B26" s="38">
        <v>3</v>
      </c>
      <c r="C26" s="421"/>
      <c r="D26" s="39" t="s">
        <v>45</v>
      </c>
      <c r="E26" s="40" t="s">
        <v>43</v>
      </c>
      <c r="F26" s="33">
        <v>0</v>
      </c>
      <c r="G26" s="41">
        <v>5000</v>
      </c>
      <c r="H26" s="42">
        <f t="shared" si="0"/>
        <v>0</v>
      </c>
      <c r="I26" s="43">
        <f t="shared" si="1"/>
        <v>0</v>
      </c>
    </row>
    <row r="27" spans="1:9" ht="15.75" customHeight="1" x14ac:dyDescent="0.35">
      <c r="A27" s="62">
        <v>1004</v>
      </c>
      <c r="B27" s="30">
        <v>3</v>
      </c>
      <c r="C27" s="421"/>
      <c r="D27" s="31" t="s">
        <v>47</v>
      </c>
      <c r="E27" s="32" t="s">
        <v>43</v>
      </c>
      <c r="F27" s="33">
        <v>0</v>
      </c>
      <c r="G27" s="34">
        <v>10000</v>
      </c>
      <c r="H27" s="35">
        <f t="shared" si="0"/>
        <v>0</v>
      </c>
      <c r="I27" s="36">
        <f t="shared" si="1"/>
        <v>0</v>
      </c>
    </row>
    <row r="28" spans="1:9" ht="15.75" customHeight="1" x14ac:dyDescent="0.35">
      <c r="A28" s="37">
        <v>1004</v>
      </c>
      <c r="B28" s="38">
        <v>3</v>
      </c>
      <c r="C28" s="421"/>
      <c r="D28" s="44" t="s">
        <v>48</v>
      </c>
      <c r="E28" s="40" t="s">
        <v>43</v>
      </c>
      <c r="F28" s="33">
        <v>0</v>
      </c>
      <c r="G28" s="41">
        <v>20000</v>
      </c>
      <c r="H28" s="42">
        <f t="shared" si="0"/>
        <v>0</v>
      </c>
      <c r="I28" s="43">
        <f t="shared" si="1"/>
        <v>0</v>
      </c>
    </row>
    <row r="29" spans="1:9" ht="15.75" customHeight="1" x14ac:dyDescent="0.35">
      <c r="A29" s="63">
        <v>1004</v>
      </c>
      <c r="B29" s="48">
        <v>3</v>
      </c>
      <c r="C29" s="422"/>
      <c r="D29" s="49" t="s">
        <v>50</v>
      </c>
      <c r="E29" s="50" t="s">
        <v>43</v>
      </c>
      <c r="F29" s="24">
        <v>0</v>
      </c>
      <c r="G29" s="52">
        <v>30000</v>
      </c>
      <c r="H29" s="53">
        <f t="shared" si="0"/>
        <v>0</v>
      </c>
      <c r="I29" s="54">
        <f t="shared" si="1"/>
        <v>0</v>
      </c>
    </row>
    <row r="30" spans="1:9" ht="15.75" customHeight="1" x14ac:dyDescent="0.35">
      <c r="A30" s="55">
        <v>1005</v>
      </c>
      <c r="B30" s="56" t="s">
        <v>49</v>
      </c>
      <c r="C30" s="423" t="s">
        <v>126</v>
      </c>
      <c r="D30" s="57">
        <v>500</v>
      </c>
      <c r="E30" s="58" t="s">
        <v>43</v>
      </c>
      <c r="F30" s="64">
        <v>0</v>
      </c>
      <c r="G30" s="59">
        <v>500</v>
      </c>
      <c r="H30" s="60">
        <f t="shared" si="0"/>
        <v>0</v>
      </c>
      <c r="I30" s="61">
        <f t="shared" si="1"/>
        <v>0</v>
      </c>
    </row>
    <row r="31" spans="1:9" ht="15.75" customHeight="1" x14ac:dyDescent="0.35">
      <c r="A31" s="62">
        <v>1005</v>
      </c>
      <c r="B31" s="30" t="s">
        <v>49</v>
      </c>
      <c r="C31" s="421"/>
      <c r="D31" s="31" t="s">
        <v>44</v>
      </c>
      <c r="E31" s="32" t="s">
        <v>43</v>
      </c>
      <c r="F31" s="65">
        <v>0</v>
      </c>
      <c r="G31" s="34">
        <v>1000</v>
      </c>
      <c r="H31" s="35">
        <f t="shared" si="0"/>
        <v>0</v>
      </c>
      <c r="I31" s="36">
        <f t="shared" si="1"/>
        <v>0</v>
      </c>
    </row>
    <row r="32" spans="1:9" ht="15.75" customHeight="1" x14ac:dyDescent="0.35">
      <c r="A32" s="37">
        <v>1005</v>
      </c>
      <c r="B32" s="38" t="s">
        <v>49</v>
      </c>
      <c r="C32" s="421"/>
      <c r="D32" s="39" t="s">
        <v>45</v>
      </c>
      <c r="E32" s="40" t="s">
        <v>43</v>
      </c>
      <c r="F32" s="65">
        <v>0</v>
      </c>
      <c r="G32" s="41">
        <v>5000</v>
      </c>
      <c r="H32" s="42">
        <f t="shared" si="0"/>
        <v>0</v>
      </c>
      <c r="I32" s="43">
        <f t="shared" si="1"/>
        <v>0</v>
      </c>
    </row>
    <row r="33" spans="1:9" ht="15.75" customHeight="1" x14ac:dyDescent="0.35">
      <c r="A33" s="62">
        <v>1005</v>
      </c>
      <c r="B33" s="30" t="s">
        <v>49</v>
      </c>
      <c r="C33" s="421"/>
      <c r="D33" s="31" t="s">
        <v>47</v>
      </c>
      <c r="E33" s="32" t="s">
        <v>43</v>
      </c>
      <c r="F33" s="65">
        <v>0</v>
      </c>
      <c r="G33" s="34">
        <v>10000</v>
      </c>
      <c r="H33" s="35">
        <f t="shared" si="0"/>
        <v>0</v>
      </c>
      <c r="I33" s="36">
        <f t="shared" si="1"/>
        <v>0</v>
      </c>
    </row>
    <row r="34" spans="1:9" ht="15.75" customHeight="1" x14ac:dyDescent="0.35">
      <c r="A34" s="37">
        <v>1005</v>
      </c>
      <c r="B34" s="38" t="s">
        <v>49</v>
      </c>
      <c r="C34" s="421"/>
      <c r="D34" s="44" t="s">
        <v>48</v>
      </c>
      <c r="E34" s="40" t="s">
        <v>43</v>
      </c>
      <c r="F34" s="65">
        <v>0</v>
      </c>
      <c r="G34" s="41">
        <v>20000</v>
      </c>
      <c r="H34" s="42">
        <f t="shared" si="0"/>
        <v>0</v>
      </c>
      <c r="I34" s="43">
        <f t="shared" si="1"/>
        <v>0</v>
      </c>
    </row>
    <row r="35" spans="1:9" ht="15.75" customHeight="1" x14ac:dyDescent="0.35">
      <c r="A35" s="63">
        <v>1005</v>
      </c>
      <c r="B35" s="48" t="s">
        <v>49</v>
      </c>
      <c r="C35" s="422"/>
      <c r="D35" s="49" t="s">
        <v>50</v>
      </c>
      <c r="E35" s="50" t="s">
        <v>43</v>
      </c>
      <c r="F35" s="66">
        <v>0</v>
      </c>
      <c r="G35" s="52">
        <v>30000</v>
      </c>
      <c r="H35" s="53">
        <f t="shared" si="0"/>
        <v>0</v>
      </c>
      <c r="I35" s="54">
        <f t="shared" si="1"/>
        <v>0</v>
      </c>
    </row>
    <row r="36" spans="1:9" ht="15.75" customHeight="1" x14ac:dyDescent="0.35">
      <c r="A36" s="55">
        <v>1006</v>
      </c>
      <c r="B36" s="56">
        <v>4</v>
      </c>
      <c r="C36" s="423" t="s">
        <v>127</v>
      </c>
      <c r="D36" s="57">
        <v>500</v>
      </c>
      <c r="E36" s="58" t="s">
        <v>43</v>
      </c>
      <c r="F36" s="24">
        <v>0</v>
      </c>
      <c r="G36" s="59">
        <v>500</v>
      </c>
      <c r="H36" s="60">
        <f t="shared" si="0"/>
        <v>0</v>
      </c>
      <c r="I36" s="61">
        <f t="shared" si="1"/>
        <v>0</v>
      </c>
    </row>
    <row r="37" spans="1:9" ht="15.75" customHeight="1" x14ac:dyDescent="0.35">
      <c r="A37" s="29">
        <v>1006</v>
      </c>
      <c r="B37" s="30">
        <v>4</v>
      </c>
      <c r="C37" s="421"/>
      <c r="D37" s="31" t="s">
        <v>44</v>
      </c>
      <c r="E37" s="32" t="s">
        <v>43</v>
      </c>
      <c r="F37" s="33">
        <v>0</v>
      </c>
      <c r="G37" s="34">
        <v>1000</v>
      </c>
      <c r="H37" s="35">
        <f t="shared" si="0"/>
        <v>0</v>
      </c>
      <c r="I37" s="36">
        <f t="shared" si="1"/>
        <v>0</v>
      </c>
    </row>
    <row r="38" spans="1:9" ht="15.75" customHeight="1" x14ac:dyDescent="0.35">
      <c r="A38" s="37">
        <v>1006</v>
      </c>
      <c r="B38" s="38">
        <v>4</v>
      </c>
      <c r="C38" s="421"/>
      <c r="D38" s="39" t="s">
        <v>45</v>
      </c>
      <c r="E38" s="40" t="s">
        <v>43</v>
      </c>
      <c r="F38" s="33">
        <v>0</v>
      </c>
      <c r="G38" s="41">
        <v>5000</v>
      </c>
      <c r="H38" s="42">
        <f t="shared" si="0"/>
        <v>0</v>
      </c>
      <c r="I38" s="43">
        <f t="shared" si="1"/>
        <v>0</v>
      </c>
    </row>
    <row r="39" spans="1:9" ht="15.75" customHeight="1" x14ac:dyDescent="0.35">
      <c r="A39" s="62">
        <v>1006</v>
      </c>
      <c r="B39" s="30">
        <v>4</v>
      </c>
      <c r="C39" s="421"/>
      <c r="D39" s="31" t="s">
        <v>47</v>
      </c>
      <c r="E39" s="32" t="s">
        <v>43</v>
      </c>
      <c r="F39" s="33">
        <v>0</v>
      </c>
      <c r="G39" s="34">
        <v>10000</v>
      </c>
      <c r="H39" s="35">
        <f t="shared" si="0"/>
        <v>0</v>
      </c>
      <c r="I39" s="36">
        <f t="shared" si="1"/>
        <v>0</v>
      </c>
    </row>
    <row r="40" spans="1:9" ht="15.75" customHeight="1" x14ac:dyDescent="0.35">
      <c r="A40" s="37">
        <v>1006</v>
      </c>
      <c r="B40" s="38">
        <v>4</v>
      </c>
      <c r="C40" s="421"/>
      <c r="D40" s="44" t="s">
        <v>48</v>
      </c>
      <c r="E40" s="40" t="s">
        <v>43</v>
      </c>
      <c r="F40" s="33">
        <v>0</v>
      </c>
      <c r="G40" s="41">
        <v>20000</v>
      </c>
      <c r="H40" s="42">
        <f t="shared" si="0"/>
        <v>0</v>
      </c>
      <c r="I40" s="43">
        <f t="shared" si="1"/>
        <v>0</v>
      </c>
    </row>
    <row r="41" spans="1:9" ht="15.75" customHeight="1" x14ac:dyDescent="0.35">
      <c r="A41" s="63">
        <v>1006</v>
      </c>
      <c r="B41" s="48">
        <v>4</v>
      </c>
      <c r="C41" s="422"/>
      <c r="D41" s="49" t="s">
        <v>50</v>
      </c>
      <c r="E41" s="50" t="s">
        <v>43</v>
      </c>
      <c r="F41" s="24">
        <v>0</v>
      </c>
      <c r="G41" s="52">
        <v>30000</v>
      </c>
      <c r="H41" s="53">
        <f t="shared" si="0"/>
        <v>0</v>
      </c>
      <c r="I41" s="54">
        <f t="shared" si="1"/>
        <v>0</v>
      </c>
    </row>
    <row r="42" spans="1:9" ht="15.75" customHeight="1" x14ac:dyDescent="0.35">
      <c r="A42" s="55">
        <v>1007</v>
      </c>
      <c r="B42" s="56" t="s">
        <v>53</v>
      </c>
      <c r="C42" s="423" t="s">
        <v>128</v>
      </c>
      <c r="D42" s="57">
        <v>500</v>
      </c>
      <c r="E42" s="58" t="s">
        <v>43</v>
      </c>
      <c r="F42" s="64">
        <v>0</v>
      </c>
      <c r="G42" s="59">
        <v>500</v>
      </c>
      <c r="H42" s="60">
        <f t="shared" si="0"/>
        <v>0</v>
      </c>
      <c r="I42" s="61">
        <f t="shared" si="1"/>
        <v>0</v>
      </c>
    </row>
    <row r="43" spans="1:9" ht="15.75" customHeight="1" x14ac:dyDescent="0.35">
      <c r="A43" s="62">
        <v>1007</v>
      </c>
      <c r="B43" s="30" t="s">
        <v>53</v>
      </c>
      <c r="C43" s="421"/>
      <c r="D43" s="31" t="s">
        <v>44</v>
      </c>
      <c r="E43" s="32" t="s">
        <v>43</v>
      </c>
      <c r="F43" s="65">
        <v>0</v>
      </c>
      <c r="G43" s="34">
        <v>1000</v>
      </c>
      <c r="H43" s="35">
        <f t="shared" si="0"/>
        <v>0</v>
      </c>
      <c r="I43" s="36">
        <f t="shared" si="1"/>
        <v>0</v>
      </c>
    </row>
    <row r="44" spans="1:9" ht="15.75" customHeight="1" x14ac:dyDescent="0.35">
      <c r="A44" s="37">
        <v>1007</v>
      </c>
      <c r="B44" s="56" t="s">
        <v>53</v>
      </c>
      <c r="C44" s="421"/>
      <c r="D44" s="39" t="s">
        <v>45</v>
      </c>
      <c r="E44" s="40" t="s">
        <v>43</v>
      </c>
      <c r="F44" s="65">
        <v>0</v>
      </c>
      <c r="G44" s="41">
        <v>5000</v>
      </c>
      <c r="H44" s="42">
        <f t="shared" si="0"/>
        <v>0</v>
      </c>
      <c r="I44" s="43">
        <f t="shared" si="1"/>
        <v>0</v>
      </c>
    </row>
    <row r="45" spans="1:9" ht="15.75" customHeight="1" x14ac:dyDescent="0.35">
      <c r="A45" s="62">
        <v>1007</v>
      </c>
      <c r="B45" s="30" t="s">
        <v>53</v>
      </c>
      <c r="C45" s="421"/>
      <c r="D45" s="31" t="s">
        <v>47</v>
      </c>
      <c r="E45" s="32" t="s">
        <v>43</v>
      </c>
      <c r="F45" s="65">
        <v>0</v>
      </c>
      <c r="G45" s="34">
        <v>10000</v>
      </c>
      <c r="H45" s="35">
        <f t="shared" si="0"/>
        <v>0</v>
      </c>
      <c r="I45" s="36">
        <f t="shared" si="1"/>
        <v>0</v>
      </c>
    </row>
    <row r="46" spans="1:9" ht="15.75" customHeight="1" x14ac:dyDescent="0.35">
      <c r="A46" s="37">
        <v>1007</v>
      </c>
      <c r="B46" s="56" t="s">
        <v>53</v>
      </c>
      <c r="C46" s="421"/>
      <c r="D46" s="44" t="s">
        <v>48</v>
      </c>
      <c r="E46" s="40" t="s">
        <v>43</v>
      </c>
      <c r="F46" s="65">
        <v>0</v>
      </c>
      <c r="G46" s="41">
        <v>20000</v>
      </c>
      <c r="H46" s="42">
        <f t="shared" si="0"/>
        <v>0</v>
      </c>
      <c r="I46" s="43">
        <f t="shared" si="1"/>
        <v>0</v>
      </c>
    </row>
    <row r="47" spans="1:9" ht="15.75" customHeight="1" x14ac:dyDescent="0.35">
      <c r="A47" s="63">
        <v>1007</v>
      </c>
      <c r="B47" s="48" t="s">
        <v>53</v>
      </c>
      <c r="C47" s="422"/>
      <c r="D47" s="49" t="s">
        <v>50</v>
      </c>
      <c r="E47" s="50" t="s">
        <v>43</v>
      </c>
      <c r="F47" s="66">
        <v>0</v>
      </c>
      <c r="G47" s="52">
        <v>30000</v>
      </c>
      <c r="H47" s="53">
        <f t="shared" si="0"/>
        <v>0</v>
      </c>
      <c r="I47" s="54">
        <f t="shared" si="1"/>
        <v>0</v>
      </c>
    </row>
    <row r="48" spans="1:9" ht="15.75" customHeight="1" x14ac:dyDescent="0.35"/>
    <row r="49" spans="1:12" ht="15.75" customHeight="1" x14ac:dyDescent="0.35">
      <c r="A49" s="67"/>
      <c r="B49" s="67"/>
      <c r="C49" s="67"/>
      <c r="D49" s="67"/>
      <c r="E49" s="67"/>
      <c r="F49" s="67"/>
      <c r="G49" s="67"/>
    </row>
    <row r="50" spans="1:12" ht="15.75" customHeight="1" x14ac:dyDescent="0.4">
      <c r="A50" s="414" t="s">
        <v>65</v>
      </c>
      <c r="B50" s="413"/>
      <c r="C50" s="413"/>
      <c r="D50" s="413"/>
      <c r="E50" s="413"/>
      <c r="F50" s="413"/>
      <c r="G50" s="413"/>
      <c r="H50" s="413"/>
      <c r="I50" s="413"/>
    </row>
    <row r="51" spans="1:12" ht="15.75" customHeight="1" x14ac:dyDescent="0.35">
      <c r="A51" s="424" t="s">
        <v>28</v>
      </c>
      <c r="B51" s="416"/>
      <c r="C51" s="416"/>
      <c r="D51" s="416"/>
      <c r="E51" s="416"/>
      <c r="F51" s="417"/>
      <c r="G51" s="425" t="s">
        <v>66</v>
      </c>
      <c r="H51" s="416"/>
      <c r="I51" s="419"/>
    </row>
    <row r="52" spans="1:12" ht="29" x14ac:dyDescent="0.35">
      <c r="A52" s="68" t="s">
        <v>30</v>
      </c>
      <c r="B52" s="69" t="s">
        <v>31</v>
      </c>
      <c r="C52" s="69" t="s">
        <v>32</v>
      </c>
      <c r="D52" s="50" t="s">
        <v>33</v>
      </c>
      <c r="E52" s="50" t="s">
        <v>34</v>
      </c>
      <c r="F52" s="69" t="s">
        <v>35</v>
      </c>
      <c r="G52" s="70" t="s">
        <v>67</v>
      </c>
      <c r="H52" s="70" t="s">
        <v>37</v>
      </c>
      <c r="I52" s="71" t="s">
        <v>38</v>
      </c>
      <c r="K52" s="18" t="s">
        <v>39</v>
      </c>
      <c r="L52" s="19" t="s">
        <v>129</v>
      </c>
    </row>
    <row r="53" spans="1:12" ht="15.75" customHeight="1" x14ac:dyDescent="0.35">
      <c r="A53" s="72">
        <v>1008</v>
      </c>
      <c r="B53" s="73">
        <v>1</v>
      </c>
      <c r="C53" s="426" t="s">
        <v>130</v>
      </c>
      <c r="D53" s="74">
        <v>500</v>
      </c>
      <c r="E53" s="75" t="s">
        <v>43</v>
      </c>
      <c r="F53" s="64">
        <v>0</v>
      </c>
      <c r="G53" s="76">
        <v>500</v>
      </c>
      <c r="H53" s="77">
        <f t="shared" ref="H53:H94" si="2">F53*G53</f>
        <v>0</v>
      </c>
      <c r="I53" s="78">
        <f t="shared" ref="I53:I94" si="3">H53*365</f>
        <v>0</v>
      </c>
      <c r="K53" s="18">
        <v>1</v>
      </c>
      <c r="L53" s="28">
        <f>SUM(I53:I58)</f>
        <v>0</v>
      </c>
    </row>
    <row r="54" spans="1:12" ht="15.75" customHeight="1" x14ac:dyDescent="0.35">
      <c r="A54" s="29">
        <v>1008</v>
      </c>
      <c r="B54" s="79">
        <v>1</v>
      </c>
      <c r="C54" s="421"/>
      <c r="D54" s="31" t="s">
        <v>44</v>
      </c>
      <c r="E54" s="32" t="s">
        <v>43</v>
      </c>
      <c r="F54" s="65">
        <v>0</v>
      </c>
      <c r="G54" s="34">
        <v>1000</v>
      </c>
      <c r="H54" s="35">
        <f t="shared" si="2"/>
        <v>0</v>
      </c>
      <c r="I54" s="36">
        <f t="shared" si="3"/>
        <v>0</v>
      </c>
      <c r="K54" s="18">
        <v>2</v>
      </c>
      <c r="L54" s="28">
        <f>SUM(I59:I64)</f>
        <v>0</v>
      </c>
    </row>
    <row r="55" spans="1:12" ht="15.75" customHeight="1" x14ac:dyDescent="0.35">
      <c r="A55" s="80">
        <v>1008</v>
      </c>
      <c r="B55" s="81">
        <v>1</v>
      </c>
      <c r="C55" s="421"/>
      <c r="D55" s="82" t="s">
        <v>45</v>
      </c>
      <c r="E55" s="83" t="s">
        <v>43</v>
      </c>
      <c r="F55" s="33">
        <v>0</v>
      </c>
      <c r="G55" s="84">
        <v>5000</v>
      </c>
      <c r="H55" s="85">
        <f t="shared" si="2"/>
        <v>0</v>
      </c>
      <c r="I55" s="86">
        <f t="shared" si="3"/>
        <v>0</v>
      </c>
      <c r="K55" s="18" t="s">
        <v>46</v>
      </c>
      <c r="L55" s="28">
        <f>SUM(I65:I70)</f>
        <v>0</v>
      </c>
    </row>
    <row r="56" spans="1:12" ht="15.75" customHeight="1" x14ac:dyDescent="0.35">
      <c r="A56" s="29">
        <v>1008</v>
      </c>
      <c r="B56" s="79">
        <v>1</v>
      </c>
      <c r="C56" s="421"/>
      <c r="D56" s="31" t="s">
        <v>47</v>
      </c>
      <c r="E56" s="32" t="s">
        <v>43</v>
      </c>
      <c r="F56" s="33">
        <v>0</v>
      </c>
      <c r="G56" s="34">
        <v>10000</v>
      </c>
      <c r="H56" s="35">
        <f t="shared" si="2"/>
        <v>0</v>
      </c>
      <c r="I56" s="36">
        <f t="shared" si="3"/>
        <v>0</v>
      </c>
      <c r="K56" s="18">
        <v>3</v>
      </c>
      <c r="L56" s="28">
        <f>SUM(I71:I76)</f>
        <v>0</v>
      </c>
    </row>
    <row r="57" spans="1:12" ht="15.75" customHeight="1" x14ac:dyDescent="0.35">
      <c r="A57" s="80">
        <v>1008</v>
      </c>
      <c r="B57" s="81">
        <v>1</v>
      </c>
      <c r="C57" s="421"/>
      <c r="D57" s="87" t="s">
        <v>48</v>
      </c>
      <c r="E57" s="83" t="s">
        <v>43</v>
      </c>
      <c r="F57" s="33">
        <v>0</v>
      </c>
      <c r="G57" s="84">
        <v>20000</v>
      </c>
      <c r="H57" s="85">
        <f t="shared" si="2"/>
        <v>0</v>
      </c>
      <c r="I57" s="86">
        <f t="shared" si="3"/>
        <v>0</v>
      </c>
      <c r="K57" s="45" t="s">
        <v>49</v>
      </c>
      <c r="L57" s="46">
        <f>SUM(I77:I82)</f>
        <v>0</v>
      </c>
    </row>
    <row r="58" spans="1:12" ht="15.75" customHeight="1" x14ac:dyDescent="0.35">
      <c r="A58" s="47">
        <v>1008</v>
      </c>
      <c r="B58" s="88">
        <v>1</v>
      </c>
      <c r="C58" s="422"/>
      <c r="D58" s="49" t="s">
        <v>50</v>
      </c>
      <c r="E58" s="50" t="s">
        <v>43</v>
      </c>
      <c r="F58" s="51">
        <v>0</v>
      </c>
      <c r="G58" s="52">
        <v>30000</v>
      </c>
      <c r="H58" s="53">
        <f t="shared" si="2"/>
        <v>0</v>
      </c>
      <c r="I58" s="54">
        <f t="shared" si="3"/>
        <v>0</v>
      </c>
      <c r="K58" s="18">
        <v>4</v>
      </c>
      <c r="L58" s="46">
        <f>SUM(I83:I88)</f>
        <v>0</v>
      </c>
    </row>
    <row r="59" spans="1:12" ht="15.75" customHeight="1" x14ac:dyDescent="0.35">
      <c r="A59" s="72">
        <v>1009</v>
      </c>
      <c r="B59" s="73">
        <v>2</v>
      </c>
      <c r="C59" s="426" t="s">
        <v>131</v>
      </c>
      <c r="D59" s="74">
        <v>500</v>
      </c>
      <c r="E59" s="75" t="s">
        <v>43</v>
      </c>
      <c r="F59" s="64">
        <v>0</v>
      </c>
      <c r="G59" s="76">
        <v>500</v>
      </c>
      <c r="H59" s="77">
        <f t="shared" si="2"/>
        <v>0</v>
      </c>
      <c r="I59" s="78">
        <f t="shared" si="3"/>
        <v>0</v>
      </c>
      <c r="K59" s="18" t="s">
        <v>53</v>
      </c>
      <c r="L59" s="46">
        <f>SUM(I89:I94)</f>
        <v>0</v>
      </c>
    </row>
    <row r="60" spans="1:12" ht="15.75" customHeight="1" x14ac:dyDescent="0.35">
      <c r="A60" s="29">
        <v>1009</v>
      </c>
      <c r="B60" s="79">
        <v>2</v>
      </c>
      <c r="C60" s="421"/>
      <c r="D60" s="31" t="s">
        <v>44</v>
      </c>
      <c r="E60" s="32" t="s">
        <v>43</v>
      </c>
      <c r="F60" s="65">
        <v>0</v>
      </c>
      <c r="G60" s="34">
        <v>1000</v>
      </c>
      <c r="H60" s="35">
        <f t="shared" si="2"/>
        <v>0</v>
      </c>
      <c r="I60" s="36">
        <f t="shared" si="3"/>
        <v>0</v>
      </c>
      <c r="K60" s="18" t="s">
        <v>73</v>
      </c>
      <c r="L60" s="28">
        <f>SUM(L53:L59)</f>
        <v>0</v>
      </c>
    </row>
    <row r="61" spans="1:12" ht="15.75" customHeight="1" x14ac:dyDescent="0.35">
      <c r="A61" s="80">
        <v>1009</v>
      </c>
      <c r="B61" s="81">
        <v>2</v>
      </c>
      <c r="C61" s="421"/>
      <c r="D61" s="82" t="s">
        <v>45</v>
      </c>
      <c r="E61" s="83" t="s">
        <v>43</v>
      </c>
      <c r="F61" s="65">
        <v>0</v>
      </c>
      <c r="G61" s="84">
        <v>5000</v>
      </c>
      <c r="H61" s="85">
        <f t="shared" si="2"/>
        <v>0</v>
      </c>
      <c r="I61" s="86">
        <f t="shared" si="3"/>
        <v>0</v>
      </c>
    </row>
    <row r="62" spans="1:12" ht="15.75" customHeight="1" x14ac:dyDescent="0.35">
      <c r="A62" s="29">
        <v>1009</v>
      </c>
      <c r="B62" s="79">
        <v>2</v>
      </c>
      <c r="C62" s="421"/>
      <c r="D62" s="31" t="s">
        <v>47</v>
      </c>
      <c r="E62" s="32" t="s">
        <v>43</v>
      </c>
      <c r="F62" s="65">
        <v>0</v>
      </c>
      <c r="G62" s="34">
        <v>10000</v>
      </c>
      <c r="H62" s="35">
        <f t="shared" si="2"/>
        <v>0</v>
      </c>
      <c r="I62" s="36">
        <f t="shared" si="3"/>
        <v>0</v>
      </c>
    </row>
    <row r="63" spans="1:12" ht="15.75" customHeight="1" x14ac:dyDescent="0.35">
      <c r="A63" s="80">
        <v>1009</v>
      </c>
      <c r="B63" s="81">
        <v>2</v>
      </c>
      <c r="C63" s="421"/>
      <c r="D63" s="87" t="s">
        <v>48</v>
      </c>
      <c r="E63" s="83" t="s">
        <v>43</v>
      </c>
      <c r="F63" s="65">
        <v>0</v>
      </c>
      <c r="G63" s="84">
        <v>20000</v>
      </c>
      <c r="H63" s="85">
        <f t="shared" si="2"/>
        <v>0</v>
      </c>
      <c r="I63" s="86">
        <f t="shared" si="3"/>
        <v>0</v>
      </c>
    </row>
    <row r="64" spans="1:12" ht="15.75" customHeight="1" x14ac:dyDescent="0.35">
      <c r="A64" s="47">
        <v>1009</v>
      </c>
      <c r="B64" s="88">
        <v>2</v>
      </c>
      <c r="C64" s="422"/>
      <c r="D64" s="49" t="s">
        <v>50</v>
      </c>
      <c r="E64" s="50" t="s">
        <v>43</v>
      </c>
      <c r="F64" s="64">
        <v>0</v>
      </c>
      <c r="G64" s="52">
        <v>30000</v>
      </c>
      <c r="H64" s="53">
        <f t="shared" si="2"/>
        <v>0</v>
      </c>
      <c r="I64" s="54">
        <f t="shared" si="3"/>
        <v>0</v>
      </c>
    </row>
    <row r="65" spans="1:9" ht="15.75" customHeight="1" x14ac:dyDescent="0.35">
      <c r="A65" s="72">
        <v>1010</v>
      </c>
      <c r="B65" s="73" t="s">
        <v>46</v>
      </c>
      <c r="C65" s="426" t="s">
        <v>132</v>
      </c>
      <c r="D65" s="74">
        <v>500</v>
      </c>
      <c r="E65" s="75" t="s">
        <v>43</v>
      </c>
      <c r="F65" s="64">
        <v>0</v>
      </c>
      <c r="G65" s="76">
        <v>500</v>
      </c>
      <c r="H65" s="77">
        <f t="shared" si="2"/>
        <v>0</v>
      </c>
      <c r="I65" s="78">
        <f t="shared" si="3"/>
        <v>0</v>
      </c>
    </row>
    <row r="66" spans="1:9" ht="15.75" customHeight="1" x14ac:dyDescent="0.35">
      <c r="A66" s="29">
        <v>1010</v>
      </c>
      <c r="B66" s="79" t="s">
        <v>46</v>
      </c>
      <c r="C66" s="421"/>
      <c r="D66" s="31" t="s">
        <v>44</v>
      </c>
      <c r="E66" s="32" t="s">
        <v>43</v>
      </c>
      <c r="F66" s="65">
        <v>0</v>
      </c>
      <c r="G66" s="34">
        <v>1000</v>
      </c>
      <c r="H66" s="35">
        <f t="shared" si="2"/>
        <v>0</v>
      </c>
      <c r="I66" s="36">
        <f t="shared" si="3"/>
        <v>0</v>
      </c>
    </row>
    <row r="67" spans="1:9" ht="15.75" customHeight="1" x14ac:dyDescent="0.35">
      <c r="A67" s="80">
        <v>1010</v>
      </c>
      <c r="B67" s="81" t="s">
        <v>46</v>
      </c>
      <c r="C67" s="421"/>
      <c r="D67" s="82" t="s">
        <v>45</v>
      </c>
      <c r="E67" s="83" t="s">
        <v>43</v>
      </c>
      <c r="F67" s="65">
        <v>0</v>
      </c>
      <c r="G67" s="84">
        <v>5000</v>
      </c>
      <c r="H67" s="85">
        <f t="shared" si="2"/>
        <v>0</v>
      </c>
      <c r="I67" s="86">
        <f t="shared" si="3"/>
        <v>0</v>
      </c>
    </row>
    <row r="68" spans="1:9" ht="15.75" customHeight="1" x14ac:dyDescent="0.35">
      <c r="A68" s="29">
        <v>1010</v>
      </c>
      <c r="B68" s="79" t="s">
        <v>46</v>
      </c>
      <c r="C68" s="421"/>
      <c r="D68" s="31" t="s">
        <v>47</v>
      </c>
      <c r="E68" s="32" t="s">
        <v>43</v>
      </c>
      <c r="F68" s="65">
        <v>0</v>
      </c>
      <c r="G68" s="34">
        <v>10000</v>
      </c>
      <c r="H68" s="35">
        <f t="shared" si="2"/>
        <v>0</v>
      </c>
      <c r="I68" s="36">
        <f t="shared" si="3"/>
        <v>0</v>
      </c>
    </row>
    <row r="69" spans="1:9" ht="15.75" customHeight="1" x14ac:dyDescent="0.35">
      <c r="A69" s="80">
        <v>1010</v>
      </c>
      <c r="B69" s="81" t="s">
        <v>46</v>
      </c>
      <c r="C69" s="421"/>
      <c r="D69" s="87" t="s">
        <v>48</v>
      </c>
      <c r="E69" s="83" t="s">
        <v>43</v>
      </c>
      <c r="F69" s="65">
        <v>0</v>
      </c>
      <c r="G69" s="84">
        <v>20000</v>
      </c>
      <c r="H69" s="85">
        <f t="shared" si="2"/>
        <v>0</v>
      </c>
      <c r="I69" s="86">
        <f t="shared" si="3"/>
        <v>0</v>
      </c>
    </row>
    <row r="70" spans="1:9" ht="15.75" customHeight="1" x14ac:dyDescent="0.35">
      <c r="A70" s="47">
        <v>1010</v>
      </c>
      <c r="B70" s="88" t="s">
        <v>46</v>
      </c>
      <c r="C70" s="422"/>
      <c r="D70" s="49" t="s">
        <v>50</v>
      </c>
      <c r="E70" s="50" t="s">
        <v>43</v>
      </c>
      <c r="F70" s="64">
        <v>0</v>
      </c>
      <c r="G70" s="52">
        <v>30000</v>
      </c>
      <c r="H70" s="53">
        <f t="shared" si="2"/>
        <v>0</v>
      </c>
      <c r="I70" s="54">
        <f t="shared" si="3"/>
        <v>0</v>
      </c>
    </row>
    <row r="71" spans="1:9" ht="15.75" customHeight="1" x14ac:dyDescent="0.35">
      <c r="A71" s="72">
        <v>1011</v>
      </c>
      <c r="B71" s="73">
        <v>3</v>
      </c>
      <c r="C71" s="426" t="s">
        <v>133</v>
      </c>
      <c r="D71" s="74">
        <v>500</v>
      </c>
      <c r="E71" s="75" t="s">
        <v>43</v>
      </c>
      <c r="F71" s="64">
        <v>0</v>
      </c>
      <c r="G71" s="76">
        <v>500</v>
      </c>
      <c r="H71" s="77">
        <f t="shared" si="2"/>
        <v>0</v>
      </c>
      <c r="I71" s="78">
        <f t="shared" si="3"/>
        <v>0</v>
      </c>
    </row>
    <row r="72" spans="1:9" ht="15.75" customHeight="1" x14ac:dyDescent="0.35">
      <c r="A72" s="29">
        <v>1011</v>
      </c>
      <c r="B72" s="79">
        <v>3</v>
      </c>
      <c r="C72" s="421"/>
      <c r="D72" s="31" t="s">
        <v>44</v>
      </c>
      <c r="E72" s="32" t="s">
        <v>43</v>
      </c>
      <c r="F72" s="65">
        <v>0</v>
      </c>
      <c r="G72" s="34">
        <v>1000</v>
      </c>
      <c r="H72" s="35">
        <f t="shared" si="2"/>
        <v>0</v>
      </c>
      <c r="I72" s="36">
        <f t="shared" si="3"/>
        <v>0</v>
      </c>
    </row>
    <row r="73" spans="1:9" ht="15.75" customHeight="1" x14ac:dyDescent="0.35">
      <c r="A73" s="80">
        <v>1011</v>
      </c>
      <c r="B73" s="81">
        <v>3</v>
      </c>
      <c r="C73" s="421"/>
      <c r="D73" s="82" t="s">
        <v>45</v>
      </c>
      <c r="E73" s="83" t="s">
        <v>43</v>
      </c>
      <c r="F73" s="65">
        <v>0</v>
      </c>
      <c r="G73" s="84">
        <v>5000</v>
      </c>
      <c r="H73" s="85">
        <f t="shared" si="2"/>
        <v>0</v>
      </c>
      <c r="I73" s="86">
        <f t="shared" si="3"/>
        <v>0</v>
      </c>
    </row>
    <row r="74" spans="1:9" ht="15.75" customHeight="1" x14ac:dyDescent="0.35">
      <c r="A74" s="29">
        <v>1011</v>
      </c>
      <c r="B74" s="79">
        <v>3</v>
      </c>
      <c r="C74" s="421"/>
      <c r="D74" s="31" t="s">
        <v>47</v>
      </c>
      <c r="E74" s="32" t="s">
        <v>43</v>
      </c>
      <c r="F74" s="65">
        <v>0</v>
      </c>
      <c r="G74" s="34">
        <v>10000</v>
      </c>
      <c r="H74" s="35">
        <f t="shared" si="2"/>
        <v>0</v>
      </c>
      <c r="I74" s="36">
        <f t="shared" si="3"/>
        <v>0</v>
      </c>
    </row>
    <row r="75" spans="1:9" ht="15.75" customHeight="1" x14ac:dyDescent="0.35">
      <c r="A75" s="80">
        <v>1011</v>
      </c>
      <c r="B75" s="81">
        <v>3</v>
      </c>
      <c r="C75" s="421"/>
      <c r="D75" s="87" t="s">
        <v>48</v>
      </c>
      <c r="E75" s="83" t="s">
        <v>43</v>
      </c>
      <c r="F75" s="65">
        <v>0</v>
      </c>
      <c r="G75" s="84">
        <v>20000</v>
      </c>
      <c r="H75" s="85">
        <f t="shared" si="2"/>
        <v>0</v>
      </c>
      <c r="I75" s="86">
        <f t="shared" si="3"/>
        <v>0</v>
      </c>
    </row>
    <row r="76" spans="1:9" ht="15.75" customHeight="1" x14ac:dyDescent="0.35">
      <c r="A76" s="47">
        <v>1011</v>
      </c>
      <c r="B76" s="88">
        <v>3</v>
      </c>
      <c r="C76" s="422"/>
      <c r="D76" s="49" t="s">
        <v>50</v>
      </c>
      <c r="E76" s="50" t="s">
        <v>43</v>
      </c>
      <c r="F76" s="64">
        <v>0</v>
      </c>
      <c r="G76" s="52">
        <v>30000</v>
      </c>
      <c r="H76" s="53">
        <f t="shared" si="2"/>
        <v>0</v>
      </c>
      <c r="I76" s="54">
        <f t="shared" si="3"/>
        <v>0</v>
      </c>
    </row>
    <row r="77" spans="1:9" ht="15.75" customHeight="1" x14ac:dyDescent="0.35">
      <c r="A77" s="72">
        <v>1012</v>
      </c>
      <c r="B77" s="73" t="s">
        <v>49</v>
      </c>
      <c r="C77" s="426" t="s">
        <v>134</v>
      </c>
      <c r="D77" s="74">
        <v>500</v>
      </c>
      <c r="E77" s="75" t="s">
        <v>43</v>
      </c>
      <c r="F77" s="64">
        <v>0</v>
      </c>
      <c r="G77" s="76">
        <v>500</v>
      </c>
      <c r="H77" s="77">
        <f t="shared" si="2"/>
        <v>0</v>
      </c>
      <c r="I77" s="78">
        <f t="shared" si="3"/>
        <v>0</v>
      </c>
    </row>
    <row r="78" spans="1:9" ht="15.75" customHeight="1" x14ac:dyDescent="0.35">
      <c r="A78" s="29">
        <v>1012</v>
      </c>
      <c r="B78" s="79" t="s">
        <v>49</v>
      </c>
      <c r="C78" s="421"/>
      <c r="D78" s="31" t="s">
        <v>44</v>
      </c>
      <c r="E78" s="32" t="s">
        <v>43</v>
      </c>
      <c r="F78" s="65">
        <v>0</v>
      </c>
      <c r="G78" s="34">
        <v>1000</v>
      </c>
      <c r="H78" s="35">
        <f t="shared" si="2"/>
        <v>0</v>
      </c>
      <c r="I78" s="36">
        <f t="shared" si="3"/>
        <v>0</v>
      </c>
    </row>
    <row r="79" spans="1:9" ht="15.75" customHeight="1" x14ac:dyDescent="0.35">
      <c r="A79" s="80">
        <v>1012</v>
      </c>
      <c r="B79" s="81" t="s">
        <v>49</v>
      </c>
      <c r="C79" s="421"/>
      <c r="D79" s="82" t="s">
        <v>45</v>
      </c>
      <c r="E79" s="83" t="s">
        <v>43</v>
      </c>
      <c r="F79" s="65">
        <v>0</v>
      </c>
      <c r="G79" s="84">
        <v>5000</v>
      </c>
      <c r="H79" s="85">
        <f t="shared" si="2"/>
        <v>0</v>
      </c>
      <c r="I79" s="86">
        <f t="shared" si="3"/>
        <v>0</v>
      </c>
    </row>
    <row r="80" spans="1:9" ht="15.75" customHeight="1" x14ac:dyDescent="0.35">
      <c r="A80" s="29">
        <v>1012</v>
      </c>
      <c r="B80" s="79" t="s">
        <v>49</v>
      </c>
      <c r="C80" s="421"/>
      <c r="D80" s="31" t="s">
        <v>47</v>
      </c>
      <c r="E80" s="32" t="s">
        <v>43</v>
      </c>
      <c r="F80" s="65">
        <v>0</v>
      </c>
      <c r="G80" s="34">
        <v>10000</v>
      </c>
      <c r="H80" s="35">
        <f t="shared" si="2"/>
        <v>0</v>
      </c>
      <c r="I80" s="36">
        <f t="shared" si="3"/>
        <v>0</v>
      </c>
    </row>
    <row r="81" spans="1:9" ht="15.75" customHeight="1" x14ac:dyDescent="0.35">
      <c r="A81" s="80">
        <v>1012</v>
      </c>
      <c r="B81" s="81" t="s">
        <v>49</v>
      </c>
      <c r="C81" s="421"/>
      <c r="D81" s="87" t="s">
        <v>48</v>
      </c>
      <c r="E81" s="83" t="s">
        <v>43</v>
      </c>
      <c r="F81" s="65">
        <v>0</v>
      </c>
      <c r="G81" s="84">
        <v>20000</v>
      </c>
      <c r="H81" s="85">
        <f t="shared" si="2"/>
        <v>0</v>
      </c>
      <c r="I81" s="86">
        <f t="shared" si="3"/>
        <v>0</v>
      </c>
    </row>
    <row r="82" spans="1:9" ht="15.75" customHeight="1" x14ac:dyDescent="0.35">
      <c r="A82" s="47">
        <v>1012</v>
      </c>
      <c r="B82" s="88" t="s">
        <v>49</v>
      </c>
      <c r="C82" s="422"/>
      <c r="D82" s="49" t="s">
        <v>50</v>
      </c>
      <c r="E82" s="50" t="s">
        <v>43</v>
      </c>
      <c r="F82" s="66">
        <v>0</v>
      </c>
      <c r="G82" s="52">
        <v>30000</v>
      </c>
      <c r="H82" s="53">
        <f t="shared" si="2"/>
        <v>0</v>
      </c>
      <c r="I82" s="54">
        <f t="shared" si="3"/>
        <v>0</v>
      </c>
    </row>
    <row r="83" spans="1:9" ht="15.75" customHeight="1" x14ac:dyDescent="0.35">
      <c r="A83" s="72">
        <v>1013</v>
      </c>
      <c r="B83" s="89">
        <v>4</v>
      </c>
      <c r="C83" s="426" t="s">
        <v>135</v>
      </c>
      <c r="D83" s="74">
        <v>500</v>
      </c>
      <c r="E83" s="75" t="s">
        <v>43</v>
      </c>
      <c r="F83" s="64">
        <v>0</v>
      </c>
      <c r="G83" s="76">
        <v>500</v>
      </c>
      <c r="H83" s="77">
        <f t="shared" si="2"/>
        <v>0</v>
      </c>
      <c r="I83" s="78">
        <f t="shared" si="3"/>
        <v>0</v>
      </c>
    </row>
    <row r="84" spans="1:9" ht="15.75" customHeight="1" x14ac:dyDescent="0.35">
      <c r="A84" s="29">
        <v>1013</v>
      </c>
      <c r="B84" s="30">
        <v>4</v>
      </c>
      <c r="C84" s="421"/>
      <c r="D84" s="31" t="s">
        <v>44</v>
      </c>
      <c r="E84" s="32" t="s">
        <v>43</v>
      </c>
      <c r="F84" s="65">
        <v>0</v>
      </c>
      <c r="G84" s="34">
        <v>1000</v>
      </c>
      <c r="H84" s="35">
        <f t="shared" si="2"/>
        <v>0</v>
      </c>
      <c r="I84" s="36">
        <f t="shared" si="3"/>
        <v>0</v>
      </c>
    </row>
    <row r="85" spans="1:9" ht="15.75" customHeight="1" x14ac:dyDescent="0.35">
      <c r="A85" s="80">
        <v>1013</v>
      </c>
      <c r="B85" s="81">
        <v>4</v>
      </c>
      <c r="C85" s="421"/>
      <c r="D85" s="82" t="s">
        <v>45</v>
      </c>
      <c r="E85" s="83" t="s">
        <v>43</v>
      </c>
      <c r="F85" s="65">
        <v>0</v>
      </c>
      <c r="G85" s="84">
        <v>5000</v>
      </c>
      <c r="H85" s="85">
        <f t="shared" si="2"/>
        <v>0</v>
      </c>
      <c r="I85" s="86">
        <f t="shared" si="3"/>
        <v>0</v>
      </c>
    </row>
    <row r="86" spans="1:9" ht="15.75" customHeight="1" x14ac:dyDescent="0.35">
      <c r="A86" s="29">
        <v>1013</v>
      </c>
      <c r="B86" s="79">
        <v>4</v>
      </c>
      <c r="C86" s="421"/>
      <c r="D86" s="31" t="s">
        <v>47</v>
      </c>
      <c r="E86" s="32" t="s">
        <v>43</v>
      </c>
      <c r="F86" s="65">
        <v>0</v>
      </c>
      <c r="G86" s="34">
        <v>10000</v>
      </c>
      <c r="H86" s="35">
        <f t="shared" si="2"/>
        <v>0</v>
      </c>
      <c r="I86" s="36">
        <f t="shared" si="3"/>
        <v>0</v>
      </c>
    </row>
    <row r="87" spans="1:9" ht="15.75" customHeight="1" x14ac:dyDescent="0.35">
      <c r="A87" s="80">
        <v>1013</v>
      </c>
      <c r="B87" s="81">
        <v>4</v>
      </c>
      <c r="C87" s="421"/>
      <c r="D87" s="87" t="s">
        <v>48</v>
      </c>
      <c r="E87" s="83" t="s">
        <v>43</v>
      </c>
      <c r="F87" s="65">
        <v>0</v>
      </c>
      <c r="G87" s="84">
        <v>20000</v>
      </c>
      <c r="H87" s="85">
        <f t="shared" si="2"/>
        <v>0</v>
      </c>
      <c r="I87" s="86">
        <f t="shared" si="3"/>
        <v>0</v>
      </c>
    </row>
    <row r="88" spans="1:9" ht="15.75" customHeight="1" x14ac:dyDescent="0.35">
      <c r="A88" s="47">
        <v>1013</v>
      </c>
      <c r="B88" s="88">
        <v>4</v>
      </c>
      <c r="C88" s="422"/>
      <c r="D88" s="49" t="s">
        <v>50</v>
      </c>
      <c r="E88" s="50" t="s">
        <v>43</v>
      </c>
      <c r="F88" s="64">
        <v>0</v>
      </c>
      <c r="G88" s="52">
        <v>30000</v>
      </c>
      <c r="H88" s="53">
        <f t="shared" si="2"/>
        <v>0</v>
      </c>
      <c r="I88" s="54">
        <f t="shared" si="3"/>
        <v>0</v>
      </c>
    </row>
    <row r="89" spans="1:9" ht="15.75" customHeight="1" x14ac:dyDescent="0.35">
      <c r="A89" s="72">
        <v>1014</v>
      </c>
      <c r="B89" s="89" t="s">
        <v>53</v>
      </c>
      <c r="C89" s="426" t="s">
        <v>136</v>
      </c>
      <c r="D89" s="74">
        <v>500</v>
      </c>
      <c r="E89" s="75" t="s">
        <v>43</v>
      </c>
      <c r="F89" s="64">
        <v>0</v>
      </c>
      <c r="G89" s="76">
        <v>500</v>
      </c>
      <c r="H89" s="77">
        <f t="shared" si="2"/>
        <v>0</v>
      </c>
      <c r="I89" s="78">
        <f t="shared" si="3"/>
        <v>0</v>
      </c>
    </row>
    <row r="90" spans="1:9" ht="15.75" customHeight="1" x14ac:dyDescent="0.35">
      <c r="A90" s="29">
        <v>1014</v>
      </c>
      <c r="B90" s="79" t="s">
        <v>53</v>
      </c>
      <c r="C90" s="421"/>
      <c r="D90" s="31" t="s">
        <v>44</v>
      </c>
      <c r="E90" s="32" t="s">
        <v>43</v>
      </c>
      <c r="F90" s="65">
        <v>0</v>
      </c>
      <c r="G90" s="34">
        <v>1000</v>
      </c>
      <c r="H90" s="35">
        <f t="shared" si="2"/>
        <v>0</v>
      </c>
      <c r="I90" s="36">
        <f t="shared" si="3"/>
        <v>0</v>
      </c>
    </row>
    <row r="91" spans="1:9" ht="15.75" customHeight="1" x14ac:dyDescent="0.35">
      <c r="A91" s="80">
        <v>1014</v>
      </c>
      <c r="B91" s="81" t="s">
        <v>53</v>
      </c>
      <c r="C91" s="421"/>
      <c r="D91" s="82" t="s">
        <v>45</v>
      </c>
      <c r="E91" s="83" t="s">
        <v>43</v>
      </c>
      <c r="F91" s="65">
        <v>0</v>
      </c>
      <c r="G91" s="84">
        <v>5000</v>
      </c>
      <c r="H91" s="85">
        <f t="shared" si="2"/>
        <v>0</v>
      </c>
      <c r="I91" s="86">
        <f t="shared" si="3"/>
        <v>0</v>
      </c>
    </row>
    <row r="92" spans="1:9" ht="15.75" customHeight="1" x14ac:dyDescent="0.35">
      <c r="A92" s="29">
        <v>1014</v>
      </c>
      <c r="B92" s="79" t="s">
        <v>53</v>
      </c>
      <c r="C92" s="421"/>
      <c r="D92" s="31" t="s">
        <v>47</v>
      </c>
      <c r="E92" s="32" t="s">
        <v>43</v>
      </c>
      <c r="F92" s="65">
        <v>0</v>
      </c>
      <c r="G92" s="34">
        <v>10000</v>
      </c>
      <c r="H92" s="35">
        <f t="shared" si="2"/>
        <v>0</v>
      </c>
      <c r="I92" s="36">
        <f t="shared" si="3"/>
        <v>0</v>
      </c>
    </row>
    <row r="93" spans="1:9" ht="15.75" customHeight="1" x14ac:dyDescent="0.35">
      <c r="A93" s="80">
        <v>1014</v>
      </c>
      <c r="B93" s="81" t="s">
        <v>53</v>
      </c>
      <c r="C93" s="421"/>
      <c r="D93" s="87" t="s">
        <v>48</v>
      </c>
      <c r="E93" s="83" t="s">
        <v>43</v>
      </c>
      <c r="F93" s="65">
        <v>0</v>
      </c>
      <c r="G93" s="84">
        <v>20000</v>
      </c>
      <c r="H93" s="85">
        <f t="shared" si="2"/>
        <v>0</v>
      </c>
      <c r="I93" s="86">
        <f t="shared" si="3"/>
        <v>0</v>
      </c>
    </row>
    <row r="94" spans="1:9" ht="15.75" customHeight="1" x14ac:dyDescent="0.35">
      <c r="A94" s="47">
        <v>1014</v>
      </c>
      <c r="B94" s="88" t="s">
        <v>53</v>
      </c>
      <c r="C94" s="422"/>
      <c r="D94" s="49" t="s">
        <v>50</v>
      </c>
      <c r="E94" s="50" t="s">
        <v>43</v>
      </c>
      <c r="F94" s="66">
        <v>0</v>
      </c>
      <c r="G94" s="52">
        <v>30000</v>
      </c>
      <c r="H94" s="53">
        <f t="shared" si="2"/>
        <v>0</v>
      </c>
      <c r="I94" s="54">
        <f t="shared" si="3"/>
        <v>0</v>
      </c>
    </row>
    <row r="95" spans="1:9" ht="15.75" customHeight="1" x14ac:dyDescent="0.35"/>
    <row r="96" spans="1:9" ht="15.75" customHeight="1" x14ac:dyDescent="0.35"/>
    <row r="97" spans="1:12" ht="15.75" customHeight="1" x14ac:dyDescent="0.4">
      <c r="A97" s="414" t="s">
        <v>84</v>
      </c>
      <c r="B97" s="413"/>
      <c r="C97" s="413"/>
      <c r="D97" s="413"/>
      <c r="E97" s="413"/>
      <c r="F97" s="413"/>
      <c r="G97" s="413"/>
      <c r="H97" s="413"/>
      <c r="I97" s="413"/>
    </row>
    <row r="98" spans="1:12" ht="15.75" customHeight="1" x14ac:dyDescent="0.35">
      <c r="A98" s="427" t="s">
        <v>28</v>
      </c>
      <c r="B98" s="416"/>
      <c r="C98" s="416"/>
      <c r="D98" s="416"/>
      <c r="E98" s="416"/>
      <c r="F98" s="417"/>
      <c r="G98" s="428" t="s">
        <v>85</v>
      </c>
      <c r="H98" s="416"/>
      <c r="I98" s="419"/>
    </row>
    <row r="99" spans="1:12" ht="29" x14ac:dyDescent="0.35">
      <c r="A99" s="68" t="s">
        <v>30</v>
      </c>
      <c r="B99" s="69" t="s">
        <v>31</v>
      </c>
      <c r="C99" s="69" t="s">
        <v>32</v>
      </c>
      <c r="D99" s="50" t="s">
        <v>33</v>
      </c>
      <c r="E99" s="50" t="s">
        <v>34</v>
      </c>
      <c r="F99" s="69" t="s">
        <v>35</v>
      </c>
      <c r="G99" s="70" t="s">
        <v>67</v>
      </c>
      <c r="H99" s="70" t="s">
        <v>37</v>
      </c>
      <c r="I99" s="71" t="s">
        <v>38</v>
      </c>
      <c r="K99" s="18" t="s">
        <v>39</v>
      </c>
      <c r="L99" s="19" t="s">
        <v>137</v>
      </c>
    </row>
    <row r="100" spans="1:12" ht="15.75" customHeight="1" x14ac:dyDescent="0.35">
      <c r="A100" s="90">
        <v>1015</v>
      </c>
      <c r="B100" s="91">
        <v>1</v>
      </c>
      <c r="C100" s="429" t="s">
        <v>138</v>
      </c>
      <c r="D100" s="92">
        <v>500</v>
      </c>
      <c r="E100" s="93" t="s">
        <v>43</v>
      </c>
      <c r="F100" s="64">
        <v>0</v>
      </c>
      <c r="G100" s="94">
        <v>500</v>
      </c>
      <c r="H100" s="95">
        <f t="shared" ref="H100:H141" si="4">F100*G100</f>
        <v>0</v>
      </c>
      <c r="I100" s="96">
        <f t="shared" ref="I100:I141" si="5">H100*365</f>
        <v>0</v>
      </c>
      <c r="K100" s="18">
        <v>1</v>
      </c>
      <c r="L100" s="28">
        <f>SUM(I100:I105)</f>
        <v>0</v>
      </c>
    </row>
    <row r="101" spans="1:12" ht="15.75" customHeight="1" x14ac:dyDescent="0.35">
      <c r="A101" s="29">
        <v>1015</v>
      </c>
      <c r="B101" s="79">
        <v>1</v>
      </c>
      <c r="C101" s="421"/>
      <c r="D101" s="31" t="s">
        <v>44</v>
      </c>
      <c r="E101" s="32" t="s">
        <v>43</v>
      </c>
      <c r="F101" s="65">
        <v>0</v>
      </c>
      <c r="G101" s="34">
        <v>1000</v>
      </c>
      <c r="H101" s="35">
        <f t="shared" si="4"/>
        <v>0</v>
      </c>
      <c r="I101" s="36">
        <f t="shared" si="5"/>
        <v>0</v>
      </c>
      <c r="K101" s="18">
        <v>2</v>
      </c>
      <c r="L101" s="28">
        <f>SUM(I106:I111)</f>
        <v>0</v>
      </c>
    </row>
    <row r="102" spans="1:12" ht="15.75" customHeight="1" x14ac:dyDescent="0.35">
      <c r="A102" s="97">
        <v>1015</v>
      </c>
      <c r="B102" s="98">
        <v>1</v>
      </c>
      <c r="C102" s="421"/>
      <c r="D102" s="99" t="s">
        <v>45</v>
      </c>
      <c r="E102" s="100" t="s">
        <v>43</v>
      </c>
      <c r="F102" s="65">
        <v>0</v>
      </c>
      <c r="G102" s="101">
        <v>5000</v>
      </c>
      <c r="H102" s="102">
        <f t="shared" si="4"/>
        <v>0</v>
      </c>
      <c r="I102" s="103">
        <f t="shared" si="5"/>
        <v>0</v>
      </c>
      <c r="K102" s="18" t="s">
        <v>46</v>
      </c>
      <c r="L102" s="28">
        <f>SUM(I112:I117)</f>
        <v>0</v>
      </c>
    </row>
    <row r="103" spans="1:12" ht="15.75" customHeight="1" x14ac:dyDescent="0.35">
      <c r="A103" s="29">
        <v>1015</v>
      </c>
      <c r="B103" s="79">
        <v>1</v>
      </c>
      <c r="C103" s="421"/>
      <c r="D103" s="31" t="s">
        <v>47</v>
      </c>
      <c r="E103" s="32" t="s">
        <v>43</v>
      </c>
      <c r="F103" s="65">
        <v>0</v>
      </c>
      <c r="G103" s="34">
        <v>10000</v>
      </c>
      <c r="H103" s="35">
        <f t="shared" si="4"/>
        <v>0</v>
      </c>
      <c r="I103" s="36">
        <f t="shared" si="5"/>
        <v>0</v>
      </c>
      <c r="K103" s="18">
        <v>3</v>
      </c>
      <c r="L103" s="28">
        <f>SUM(I118:I123)</f>
        <v>0</v>
      </c>
    </row>
    <row r="104" spans="1:12" ht="15.75" customHeight="1" x14ac:dyDescent="0.35">
      <c r="A104" s="97">
        <v>1015</v>
      </c>
      <c r="B104" s="98">
        <v>1</v>
      </c>
      <c r="C104" s="421"/>
      <c r="D104" s="104" t="s">
        <v>48</v>
      </c>
      <c r="E104" s="100" t="s">
        <v>43</v>
      </c>
      <c r="F104" s="65">
        <v>0</v>
      </c>
      <c r="G104" s="101">
        <v>20000</v>
      </c>
      <c r="H104" s="102">
        <f t="shared" si="4"/>
        <v>0</v>
      </c>
      <c r="I104" s="103">
        <f t="shared" si="5"/>
        <v>0</v>
      </c>
      <c r="K104" s="18" t="s">
        <v>49</v>
      </c>
      <c r="L104" s="28">
        <f>SUM(I124:I129)</f>
        <v>0</v>
      </c>
    </row>
    <row r="105" spans="1:12" ht="15.75" customHeight="1" x14ac:dyDescent="0.35">
      <c r="A105" s="47">
        <v>1015</v>
      </c>
      <c r="B105" s="88">
        <v>1</v>
      </c>
      <c r="C105" s="422"/>
      <c r="D105" s="49" t="s">
        <v>50</v>
      </c>
      <c r="E105" s="50" t="s">
        <v>43</v>
      </c>
      <c r="F105" s="66">
        <v>0</v>
      </c>
      <c r="G105" s="52">
        <v>30000</v>
      </c>
      <c r="H105" s="53">
        <f t="shared" si="4"/>
        <v>0</v>
      </c>
      <c r="I105" s="54">
        <f t="shared" si="5"/>
        <v>0</v>
      </c>
      <c r="K105" s="18">
        <v>4</v>
      </c>
      <c r="L105" s="46">
        <f>SUM(I130:I135)</f>
        <v>0</v>
      </c>
    </row>
    <row r="106" spans="1:12" ht="15.75" customHeight="1" x14ac:dyDescent="0.35">
      <c r="A106" s="90">
        <v>1016</v>
      </c>
      <c r="B106" s="91">
        <v>2</v>
      </c>
      <c r="C106" s="429" t="s">
        <v>139</v>
      </c>
      <c r="D106" s="92">
        <v>500</v>
      </c>
      <c r="E106" s="93" t="s">
        <v>43</v>
      </c>
      <c r="F106" s="64">
        <v>0</v>
      </c>
      <c r="G106" s="94">
        <v>500</v>
      </c>
      <c r="H106" s="95">
        <f t="shared" si="4"/>
        <v>0</v>
      </c>
      <c r="I106" s="96">
        <f t="shared" si="5"/>
        <v>0</v>
      </c>
      <c r="K106" s="18" t="s">
        <v>53</v>
      </c>
      <c r="L106" s="46">
        <f>SUM(I136:I141)</f>
        <v>0</v>
      </c>
    </row>
    <row r="107" spans="1:12" ht="15.75" customHeight="1" x14ac:dyDescent="0.35">
      <c r="A107" s="29">
        <v>1016</v>
      </c>
      <c r="B107" s="79">
        <v>2</v>
      </c>
      <c r="C107" s="421"/>
      <c r="D107" s="31" t="s">
        <v>44</v>
      </c>
      <c r="E107" s="32" t="s">
        <v>43</v>
      </c>
      <c r="F107" s="65">
        <v>0</v>
      </c>
      <c r="G107" s="34">
        <v>1000</v>
      </c>
      <c r="H107" s="35">
        <f t="shared" si="4"/>
        <v>0</v>
      </c>
      <c r="I107" s="36">
        <f t="shared" si="5"/>
        <v>0</v>
      </c>
      <c r="K107" s="18" t="s">
        <v>91</v>
      </c>
      <c r="L107" s="28">
        <f>SUM(L100:L106)</f>
        <v>0</v>
      </c>
    </row>
    <row r="108" spans="1:12" ht="15.75" customHeight="1" x14ac:dyDescent="0.35">
      <c r="A108" s="97">
        <v>1016</v>
      </c>
      <c r="B108" s="98">
        <v>2</v>
      </c>
      <c r="C108" s="421"/>
      <c r="D108" s="99" t="s">
        <v>45</v>
      </c>
      <c r="E108" s="100" t="s">
        <v>43</v>
      </c>
      <c r="F108" s="65">
        <v>0</v>
      </c>
      <c r="G108" s="101">
        <v>5000</v>
      </c>
      <c r="H108" s="102">
        <f t="shared" si="4"/>
        <v>0</v>
      </c>
      <c r="I108" s="103">
        <f t="shared" si="5"/>
        <v>0</v>
      </c>
    </row>
    <row r="109" spans="1:12" ht="15.75" customHeight="1" x14ac:dyDescent="0.35">
      <c r="A109" s="29">
        <v>1016</v>
      </c>
      <c r="B109" s="79">
        <v>2</v>
      </c>
      <c r="C109" s="421"/>
      <c r="D109" s="31" t="s">
        <v>47</v>
      </c>
      <c r="E109" s="32" t="s">
        <v>43</v>
      </c>
      <c r="F109" s="65">
        <v>0</v>
      </c>
      <c r="G109" s="34">
        <v>10000</v>
      </c>
      <c r="H109" s="35">
        <f t="shared" si="4"/>
        <v>0</v>
      </c>
      <c r="I109" s="36">
        <f t="shared" si="5"/>
        <v>0</v>
      </c>
    </row>
    <row r="110" spans="1:12" ht="15.75" customHeight="1" x14ac:dyDescent="0.35">
      <c r="A110" s="97">
        <v>1016</v>
      </c>
      <c r="B110" s="98">
        <v>2</v>
      </c>
      <c r="C110" s="421"/>
      <c r="D110" s="104" t="s">
        <v>48</v>
      </c>
      <c r="E110" s="100" t="s">
        <v>43</v>
      </c>
      <c r="F110" s="65">
        <v>0</v>
      </c>
      <c r="G110" s="101">
        <v>20000</v>
      </c>
      <c r="H110" s="102">
        <f t="shared" si="4"/>
        <v>0</v>
      </c>
      <c r="I110" s="103">
        <f t="shared" si="5"/>
        <v>0</v>
      </c>
    </row>
    <row r="111" spans="1:12" ht="15.75" customHeight="1" x14ac:dyDescent="0.35">
      <c r="A111" s="47">
        <v>1016</v>
      </c>
      <c r="B111" s="88">
        <v>2</v>
      </c>
      <c r="C111" s="422"/>
      <c r="D111" s="49" t="s">
        <v>50</v>
      </c>
      <c r="E111" s="50" t="s">
        <v>43</v>
      </c>
      <c r="F111" s="66">
        <v>0</v>
      </c>
      <c r="G111" s="52">
        <v>30000</v>
      </c>
      <c r="H111" s="53">
        <f t="shared" si="4"/>
        <v>0</v>
      </c>
      <c r="I111" s="54">
        <f t="shared" si="5"/>
        <v>0</v>
      </c>
    </row>
    <row r="112" spans="1:12" ht="15.75" customHeight="1" x14ac:dyDescent="0.35">
      <c r="A112" s="90">
        <v>1017</v>
      </c>
      <c r="B112" s="91" t="s">
        <v>46</v>
      </c>
      <c r="C112" s="429" t="s">
        <v>140</v>
      </c>
      <c r="D112" s="92">
        <v>500</v>
      </c>
      <c r="E112" s="93" t="s">
        <v>43</v>
      </c>
      <c r="F112" s="64">
        <v>0</v>
      </c>
      <c r="G112" s="94">
        <v>500</v>
      </c>
      <c r="H112" s="95">
        <f t="shared" si="4"/>
        <v>0</v>
      </c>
      <c r="I112" s="96">
        <f t="shared" si="5"/>
        <v>0</v>
      </c>
    </row>
    <row r="113" spans="1:9" ht="15.75" customHeight="1" x14ac:dyDescent="0.35">
      <c r="A113" s="29">
        <v>1017</v>
      </c>
      <c r="B113" s="79" t="s">
        <v>46</v>
      </c>
      <c r="C113" s="421"/>
      <c r="D113" s="31" t="s">
        <v>44</v>
      </c>
      <c r="E113" s="32" t="s">
        <v>43</v>
      </c>
      <c r="F113" s="65">
        <v>0</v>
      </c>
      <c r="G113" s="34">
        <v>1000</v>
      </c>
      <c r="H113" s="35">
        <f t="shared" si="4"/>
        <v>0</v>
      </c>
      <c r="I113" s="36">
        <f t="shared" si="5"/>
        <v>0</v>
      </c>
    </row>
    <row r="114" spans="1:9" ht="15.75" customHeight="1" x14ac:dyDescent="0.35">
      <c r="A114" s="97">
        <v>1017</v>
      </c>
      <c r="B114" s="98" t="s">
        <v>46</v>
      </c>
      <c r="C114" s="421"/>
      <c r="D114" s="99" t="s">
        <v>45</v>
      </c>
      <c r="E114" s="100" t="s">
        <v>43</v>
      </c>
      <c r="F114" s="65">
        <v>0</v>
      </c>
      <c r="G114" s="101">
        <v>5000</v>
      </c>
      <c r="H114" s="102">
        <f t="shared" si="4"/>
        <v>0</v>
      </c>
      <c r="I114" s="103">
        <f t="shared" si="5"/>
        <v>0</v>
      </c>
    </row>
    <row r="115" spans="1:9" ht="15.75" customHeight="1" x14ac:dyDescent="0.35">
      <c r="A115" s="29">
        <v>1017</v>
      </c>
      <c r="B115" s="79" t="s">
        <v>46</v>
      </c>
      <c r="C115" s="421"/>
      <c r="D115" s="31" t="s">
        <v>47</v>
      </c>
      <c r="E115" s="32" t="s">
        <v>43</v>
      </c>
      <c r="F115" s="65">
        <v>0</v>
      </c>
      <c r="G115" s="34">
        <v>10000</v>
      </c>
      <c r="H115" s="35">
        <f t="shared" si="4"/>
        <v>0</v>
      </c>
      <c r="I115" s="36">
        <f t="shared" si="5"/>
        <v>0</v>
      </c>
    </row>
    <row r="116" spans="1:9" ht="15.75" customHeight="1" x14ac:dyDescent="0.35">
      <c r="A116" s="97">
        <v>1017</v>
      </c>
      <c r="B116" s="98" t="s">
        <v>46</v>
      </c>
      <c r="C116" s="421"/>
      <c r="D116" s="104" t="s">
        <v>48</v>
      </c>
      <c r="E116" s="100" t="s">
        <v>43</v>
      </c>
      <c r="F116" s="65">
        <v>0</v>
      </c>
      <c r="G116" s="101">
        <v>20000</v>
      </c>
      <c r="H116" s="102">
        <f t="shared" si="4"/>
        <v>0</v>
      </c>
      <c r="I116" s="103">
        <f t="shared" si="5"/>
        <v>0</v>
      </c>
    </row>
    <row r="117" spans="1:9" ht="15.75" customHeight="1" x14ac:dyDescent="0.35">
      <c r="A117" s="47">
        <v>1017</v>
      </c>
      <c r="B117" s="88" t="s">
        <v>46</v>
      </c>
      <c r="C117" s="422"/>
      <c r="D117" s="49" t="s">
        <v>50</v>
      </c>
      <c r="E117" s="50" t="s">
        <v>43</v>
      </c>
      <c r="F117" s="66">
        <v>0</v>
      </c>
      <c r="G117" s="52">
        <v>30000</v>
      </c>
      <c r="H117" s="53">
        <f t="shared" si="4"/>
        <v>0</v>
      </c>
      <c r="I117" s="54">
        <f t="shared" si="5"/>
        <v>0</v>
      </c>
    </row>
    <row r="118" spans="1:9" ht="15.75" customHeight="1" x14ac:dyDescent="0.35">
      <c r="A118" s="90">
        <v>1018</v>
      </c>
      <c r="B118" s="91">
        <v>3</v>
      </c>
      <c r="C118" s="429" t="s">
        <v>141</v>
      </c>
      <c r="D118" s="92">
        <v>500</v>
      </c>
      <c r="E118" s="93" t="s">
        <v>43</v>
      </c>
      <c r="F118" s="64">
        <v>0</v>
      </c>
      <c r="G118" s="94">
        <v>500</v>
      </c>
      <c r="H118" s="95">
        <f t="shared" si="4"/>
        <v>0</v>
      </c>
      <c r="I118" s="96">
        <f t="shared" si="5"/>
        <v>0</v>
      </c>
    </row>
    <row r="119" spans="1:9" ht="15.75" customHeight="1" x14ac:dyDescent="0.35">
      <c r="A119" s="29">
        <v>1018</v>
      </c>
      <c r="B119" s="79">
        <v>3</v>
      </c>
      <c r="C119" s="421"/>
      <c r="D119" s="31" t="s">
        <v>44</v>
      </c>
      <c r="E119" s="32" t="s">
        <v>43</v>
      </c>
      <c r="F119" s="65">
        <v>0</v>
      </c>
      <c r="G119" s="34">
        <v>1000</v>
      </c>
      <c r="H119" s="35">
        <f t="shared" si="4"/>
        <v>0</v>
      </c>
      <c r="I119" s="36">
        <f t="shared" si="5"/>
        <v>0</v>
      </c>
    </row>
    <row r="120" spans="1:9" ht="15.75" customHeight="1" x14ac:dyDescent="0.35">
      <c r="A120" s="97">
        <v>1018</v>
      </c>
      <c r="B120" s="98">
        <v>3</v>
      </c>
      <c r="C120" s="421"/>
      <c r="D120" s="99" t="s">
        <v>45</v>
      </c>
      <c r="E120" s="100" t="s">
        <v>43</v>
      </c>
      <c r="F120" s="65">
        <v>0</v>
      </c>
      <c r="G120" s="101">
        <v>5000</v>
      </c>
      <c r="H120" s="102">
        <f t="shared" si="4"/>
        <v>0</v>
      </c>
      <c r="I120" s="103">
        <f t="shared" si="5"/>
        <v>0</v>
      </c>
    </row>
    <row r="121" spans="1:9" ht="15.75" customHeight="1" x14ac:dyDescent="0.35">
      <c r="A121" s="29">
        <v>1018</v>
      </c>
      <c r="B121" s="79">
        <v>3</v>
      </c>
      <c r="C121" s="421"/>
      <c r="D121" s="31" t="s">
        <v>47</v>
      </c>
      <c r="E121" s="32" t="s">
        <v>43</v>
      </c>
      <c r="F121" s="65">
        <v>0</v>
      </c>
      <c r="G121" s="34">
        <v>10000</v>
      </c>
      <c r="H121" s="35">
        <f t="shared" si="4"/>
        <v>0</v>
      </c>
      <c r="I121" s="36">
        <f t="shared" si="5"/>
        <v>0</v>
      </c>
    </row>
    <row r="122" spans="1:9" ht="15.75" customHeight="1" x14ac:dyDescent="0.35">
      <c r="A122" s="97">
        <v>1018</v>
      </c>
      <c r="B122" s="98">
        <v>3</v>
      </c>
      <c r="C122" s="421"/>
      <c r="D122" s="104" t="s">
        <v>48</v>
      </c>
      <c r="E122" s="100" t="s">
        <v>43</v>
      </c>
      <c r="F122" s="65">
        <v>0</v>
      </c>
      <c r="G122" s="101">
        <v>20000</v>
      </c>
      <c r="H122" s="102">
        <f t="shared" si="4"/>
        <v>0</v>
      </c>
      <c r="I122" s="103">
        <f t="shared" si="5"/>
        <v>0</v>
      </c>
    </row>
    <row r="123" spans="1:9" ht="15.75" customHeight="1" x14ac:dyDescent="0.35">
      <c r="A123" s="47">
        <v>1018</v>
      </c>
      <c r="B123" s="88">
        <v>3</v>
      </c>
      <c r="C123" s="422"/>
      <c r="D123" s="49" t="s">
        <v>50</v>
      </c>
      <c r="E123" s="50" t="s">
        <v>43</v>
      </c>
      <c r="F123" s="66">
        <v>0</v>
      </c>
      <c r="G123" s="52">
        <v>30000</v>
      </c>
      <c r="H123" s="53">
        <f t="shared" si="4"/>
        <v>0</v>
      </c>
      <c r="I123" s="54">
        <f t="shared" si="5"/>
        <v>0</v>
      </c>
    </row>
    <row r="124" spans="1:9" ht="15.75" customHeight="1" x14ac:dyDescent="0.35">
      <c r="A124" s="90">
        <v>1019</v>
      </c>
      <c r="B124" s="91" t="s">
        <v>49</v>
      </c>
      <c r="C124" s="429" t="s">
        <v>142</v>
      </c>
      <c r="D124" s="92">
        <v>500</v>
      </c>
      <c r="E124" s="93" t="s">
        <v>43</v>
      </c>
      <c r="F124" s="64">
        <v>0</v>
      </c>
      <c r="G124" s="94">
        <v>500</v>
      </c>
      <c r="H124" s="95">
        <f t="shared" si="4"/>
        <v>0</v>
      </c>
      <c r="I124" s="96">
        <f t="shared" si="5"/>
        <v>0</v>
      </c>
    </row>
    <row r="125" spans="1:9" ht="15.75" customHeight="1" x14ac:dyDescent="0.35">
      <c r="A125" s="29">
        <v>1019</v>
      </c>
      <c r="B125" s="79" t="s">
        <v>49</v>
      </c>
      <c r="C125" s="421"/>
      <c r="D125" s="31" t="s">
        <v>44</v>
      </c>
      <c r="E125" s="32" t="s">
        <v>43</v>
      </c>
      <c r="F125" s="65">
        <v>0</v>
      </c>
      <c r="G125" s="34">
        <v>1000</v>
      </c>
      <c r="H125" s="35">
        <f t="shared" si="4"/>
        <v>0</v>
      </c>
      <c r="I125" s="36">
        <f t="shared" si="5"/>
        <v>0</v>
      </c>
    </row>
    <row r="126" spans="1:9" ht="15.75" customHeight="1" x14ac:dyDescent="0.35">
      <c r="A126" s="97">
        <v>1019</v>
      </c>
      <c r="B126" s="98" t="s">
        <v>49</v>
      </c>
      <c r="C126" s="421"/>
      <c r="D126" s="99" t="s">
        <v>45</v>
      </c>
      <c r="E126" s="100" t="s">
        <v>43</v>
      </c>
      <c r="F126" s="65">
        <v>0</v>
      </c>
      <c r="G126" s="101">
        <v>5000</v>
      </c>
      <c r="H126" s="102">
        <f t="shared" si="4"/>
        <v>0</v>
      </c>
      <c r="I126" s="103">
        <f t="shared" si="5"/>
        <v>0</v>
      </c>
    </row>
    <row r="127" spans="1:9" ht="15.75" customHeight="1" x14ac:dyDescent="0.35">
      <c r="A127" s="29">
        <v>1019</v>
      </c>
      <c r="B127" s="79" t="s">
        <v>49</v>
      </c>
      <c r="C127" s="421"/>
      <c r="D127" s="31" t="s">
        <v>47</v>
      </c>
      <c r="E127" s="32" t="s">
        <v>43</v>
      </c>
      <c r="F127" s="65">
        <v>0</v>
      </c>
      <c r="G127" s="34">
        <v>10000</v>
      </c>
      <c r="H127" s="35">
        <f t="shared" si="4"/>
        <v>0</v>
      </c>
      <c r="I127" s="36">
        <f t="shared" si="5"/>
        <v>0</v>
      </c>
    </row>
    <row r="128" spans="1:9" ht="15.75" customHeight="1" x14ac:dyDescent="0.35">
      <c r="A128" s="97">
        <v>1019</v>
      </c>
      <c r="B128" s="98" t="s">
        <v>49</v>
      </c>
      <c r="C128" s="421"/>
      <c r="D128" s="104" t="s">
        <v>48</v>
      </c>
      <c r="E128" s="100" t="s">
        <v>43</v>
      </c>
      <c r="F128" s="65">
        <v>0</v>
      </c>
      <c r="G128" s="101">
        <v>20000</v>
      </c>
      <c r="H128" s="102">
        <f t="shared" si="4"/>
        <v>0</v>
      </c>
      <c r="I128" s="103">
        <f t="shared" si="5"/>
        <v>0</v>
      </c>
    </row>
    <row r="129" spans="1:9" ht="15.75" customHeight="1" x14ac:dyDescent="0.35">
      <c r="A129" s="47">
        <v>1019</v>
      </c>
      <c r="B129" s="88" t="s">
        <v>49</v>
      </c>
      <c r="C129" s="422"/>
      <c r="D129" s="49" t="s">
        <v>50</v>
      </c>
      <c r="E129" s="50" t="s">
        <v>43</v>
      </c>
      <c r="F129" s="66">
        <v>0</v>
      </c>
      <c r="G129" s="52">
        <v>30000</v>
      </c>
      <c r="H129" s="53">
        <f t="shared" si="4"/>
        <v>0</v>
      </c>
      <c r="I129" s="54">
        <f t="shared" si="5"/>
        <v>0</v>
      </c>
    </row>
    <row r="130" spans="1:9" ht="15.75" customHeight="1" x14ac:dyDescent="0.35">
      <c r="A130" s="90">
        <v>1020</v>
      </c>
      <c r="B130" s="105">
        <v>4</v>
      </c>
      <c r="C130" s="429" t="s">
        <v>143</v>
      </c>
      <c r="D130" s="92">
        <v>500</v>
      </c>
      <c r="E130" s="93" t="s">
        <v>43</v>
      </c>
      <c r="F130" s="64">
        <v>0</v>
      </c>
      <c r="G130" s="94">
        <v>500</v>
      </c>
      <c r="H130" s="95">
        <f t="shared" si="4"/>
        <v>0</v>
      </c>
      <c r="I130" s="96">
        <f t="shared" si="5"/>
        <v>0</v>
      </c>
    </row>
    <row r="131" spans="1:9" ht="15.75" customHeight="1" x14ac:dyDescent="0.35">
      <c r="A131" s="29">
        <v>1020</v>
      </c>
      <c r="B131" s="79">
        <v>4</v>
      </c>
      <c r="C131" s="421"/>
      <c r="D131" s="31" t="s">
        <v>44</v>
      </c>
      <c r="E131" s="32" t="s">
        <v>43</v>
      </c>
      <c r="F131" s="65">
        <v>0</v>
      </c>
      <c r="G131" s="34">
        <v>1000</v>
      </c>
      <c r="H131" s="35">
        <f t="shared" si="4"/>
        <v>0</v>
      </c>
      <c r="I131" s="36">
        <f t="shared" si="5"/>
        <v>0</v>
      </c>
    </row>
    <row r="132" spans="1:9" ht="15.75" customHeight="1" x14ac:dyDescent="0.35">
      <c r="A132" s="97">
        <v>1020</v>
      </c>
      <c r="B132" s="98">
        <v>4</v>
      </c>
      <c r="C132" s="421"/>
      <c r="D132" s="99" t="s">
        <v>45</v>
      </c>
      <c r="E132" s="100" t="s">
        <v>43</v>
      </c>
      <c r="F132" s="65">
        <v>0</v>
      </c>
      <c r="G132" s="101">
        <v>5000</v>
      </c>
      <c r="H132" s="102">
        <f t="shared" si="4"/>
        <v>0</v>
      </c>
      <c r="I132" s="103">
        <f t="shared" si="5"/>
        <v>0</v>
      </c>
    </row>
    <row r="133" spans="1:9" ht="15.75" customHeight="1" x14ac:dyDescent="0.35">
      <c r="A133" s="29">
        <v>1020</v>
      </c>
      <c r="B133" s="79">
        <v>4</v>
      </c>
      <c r="C133" s="421"/>
      <c r="D133" s="31" t="s">
        <v>47</v>
      </c>
      <c r="E133" s="32" t="s">
        <v>43</v>
      </c>
      <c r="F133" s="65">
        <v>0</v>
      </c>
      <c r="G133" s="34">
        <v>10000</v>
      </c>
      <c r="H133" s="35">
        <f t="shared" si="4"/>
        <v>0</v>
      </c>
      <c r="I133" s="36">
        <f t="shared" si="5"/>
        <v>0</v>
      </c>
    </row>
    <row r="134" spans="1:9" ht="15.75" customHeight="1" x14ac:dyDescent="0.35">
      <c r="A134" s="97">
        <v>1020</v>
      </c>
      <c r="B134" s="98">
        <v>4</v>
      </c>
      <c r="C134" s="421"/>
      <c r="D134" s="104" t="s">
        <v>48</v>
      </c>
      <c r="E134" s="100" t="s">
        <v>43</v>
      </c>
      <c r="F134" s="65">
        <v>0</v>
      </c>
      <c r="G134" s="101">
        <v>20000</v>
      </c>
      <c r="H134" s="102">
        <f t="shared" si="4"/>
        <v>0</v>
      </c>
      <c r="I134" s="103">
        <f t="shared" si="5"/>
        <v>0</v>
      </c>
    </row>
    <row r="135" spans="1:9" ht="15.75" customHeight="1" x14ac:dyDescent="0.35">
      <c r="A135" s="47">
        <v>1020</v>
      </c>
      <c r="B135" s="88">
        <v>4</v>
      </c>
      <c r="C135" s="422"/>
      <c r="D135" s="49" t="s">
        <v>50</v>
      </c>
      <c r="E135" s="50" t="s">
        <v>43</v>
      </c>
      <c r="F135" s="66">
        <v>0</v>
      </c>
      <c r="G135" s="52">
        <v>30000</v>
      </c>
      <c r="H135" s="53">
        <f t="shared" si="4"/>
        <v>0</v>
      </c>
      <c r="I135" s="54">
        <f t="shared" si="5"/>
        <v>0</v>
      </c>
    </row>
    <row r="136" spans="1:9" ht="15.75" customHeight="1" x14ac:dyDescent="0.35">
      <c r="A136" s="90">
        <v>1021</v>
      </c>
      <c r="B136" s="105" t="s">
        <v>53</v>
      </c>
      <c r="C136" s="429" t="s">
        <v>144</v>
      </c>
      <c r="D136" s="92">
        <v>500</v>
      </c>
      <c r="E136" s="93" t="s">
        <v>43</v>
      </c>
      <c r="F136" s="64">
        <v>0</v>
      </c>
      <c r="G136" s="94">
        <v>500</v>
      </c>
      <c r="H136" s="95">
        <f t="shared" si="4"/>
        <v>0</v>
      </c>
      <c r="I136" s="96">
        <f t="shared" si="5"/>
        <v>0</v>
      </c>
    </row>
    <row r="137" spans="1:9" ht="15.75" customHeight="1" x14ac:dyDescent="0.35">
      <c r="A137" s="29">
        <v>1021</v>
      </c>
      <c r="B137" s="79" t="s">
        <v>53</v>
      </c>
      <c r="C137" s="421"/>
      <c r="D137" s="31" t="s">
        <v>44</v>
      </c>
      <c r="E137" s="32" t="s">
        <v>43</v>
      </c>
      <c r="F137" s="65">
        <v>0</v>
      </c>
      <c r="G137" s="34">
        <v>1000</v>
      </c>
      <c r="H137" s="35">
        <f t="shared" si="4"/>
        <v>0</v>
      </c>
      <c r="I137" s="36">
        <f t="shared" si="5"/>
        <v>0</v>
      </c>
    </row>
    <row r="138" spans="1:9" ht="15.75" customHeight="1" x14ac:dyDescent="0.35">
      <c r="A138" s="97">
        <v>1021</v>
      </c>
      <c r="B138" s="98" t="s">
        <v>53</v>
      </c>
      <c r="C138" s="421"/>
      <c r="D138" s="99" t="s">
        <v>45</v>
      </c>
      <c r="E138" s="100" t="s">
        <v>43</v>
      </c>
      <c r="F138" s="65">
        <v>0</v>
      </c>
      <c r="G138" s="101">
        <v>5000</v>
      </c>
      <c r="H138" s="102">
        <f t="shared" si="4"/>
        <v>0</v>
      </c>
      <c r="I138" s="103">
        <f t="shared" si="5"/>
        <v>0</v>
      </c>
    </row>
    <row r="139" spans="1:9" ht="15.75" customHeight="1" x14ac:dyDescent="0.35">
      <c r="A139" s="29">
        <v>1021</v>
      </c>
      <c r="B139" s="79" t="s">
        <v>53</v>
      </c>
      <c r="C139" s="421"/>
      <c r="D139" s="31" t="s">
        <v>47</v>
      </c>
      <c r="E139" s="32" t="s">
        <v>43</v>
      </c>
      <c r="F139" s="65">
        <v>0</v>
      </c>
      <c r="G139" s="34">
        <v>10000</v>
      </c>
      <c r="H139" s="35">
        <f t="shared" si="4"/>
        <v>0</v>
      </c>
      <c r="I139" s="36">
        <f t="shared" si="5"/>
        <v>0</v>
      </c>
    </row>
    <row r="140" spans="1:9" ht="15.75" customHeight="1" x14ac:dyDescent="0.35">
      <c r="A140" s="97">
        <v>1021</v>
      </c>
      <c r="B140" s="98" t="s">
        <v>53</v>
      </c>
      <c r="C140" s="421"/>
      <c r="D140" s="104" t="s">
        <v>48</v>
      </c>
      <c r="E140" s="100" t="s">
        <v>43</v>
      </c>
      <c r="F140" s="65">
        <v>0</v>
      </c>
      <c r="G140" s="101">
        <v>20000</v>
      </c>
      <c r="H140" s="102">
        <f t="shared" si="4"/>
        <v>0</v>
      </c>
      <c r="I140" s="103">
        <f t="shared" si="5"/>
        <v>0</v>
      </c>
    </row>
    <row r="141" spans="1:9" ht="15.75" customHeight="1" x14ac:dyDescent="0.35">
      <c r="A141" s="47">
        <v>1021</v>
      </c>
      <c r="B141" s="88" t="s">
        <v>53</v>
      </c>
      <c r="C141" s="422"/>
      <c r="D141" s="49" t="s">
        <v>50</v>
      </c>
      <c r="E141" s="50" t="s">
        <v>43</v>
      </c>
      <c r="F141" s="66">
        <v>0</v>
      </c>
      <c r="G141" s="52">
        <v>30000</v>
      </c>
      <c r="H141" s="53">
        <f t="shared" si="4"/>
        <v>0</v>
      </c>
      <c r="I141" s="54">
        <f t="shared" si="5"/>
        <v>0</v>
      </c>
    </row>
    <row r="142" spans="1:9" ht="15.75" customHeight="1" x14ac:dyDescent="0.35"/>
    <row r="143" spans="1:9" ht="15.75" customHeight="1" x14ac:dyDescent="0.35"/>
    <row r="144" spans="1:9" ht="15.75" customHeight="1" x14ac:dyDescent="0.4">
      <c r="A144" s="414" t="s">
        <v>102</v>
      </c>
      <c r="B144" s="413"/>
      <c r="C144" s="413"/>
      <c r="D144" s="413"/>
      <c r="E144" s="413"/>
      <c r="F144" s="413"/>
      <c r="G144" s="413"/>
      <c r="H144" s="413"/>
      <c r="I144" s="413"/>
    </row>
    <row r="145" spans="1:12" ht="15.75" customHeight="1" x14ac:dyDescent="0.35">
      <c r="A145" s="431" t="s">
        <v>28</v>
      </c>
      <c r="B145" s="416"/>
      <c r="C145" s="416"/>
      <c r="D145" s="416"/>
      <c r="E145" s="416"/>
      <c r="F145" s="417"/>
      <c r="G145" s="432" t="s">
        <v>103</v>
      </c>
      <c r="H145" s="416"/>
      <c r="I145" s="419"/>
    </row>
    <row r="146" spans="1:12" ht="29" x14ac:dyDescent="0.35">
      <c r="A146" s="68" t="s">
        <v>30</v>
      </c>
      <c r="B146" s="69" t="s">
        <v>31</v>
      </c>
      <c r="C146" s="69" t="s">
        <v>32</v>
      </c>
      <c r="D146" s="50" t="s">
        <v>33</v>
      </c>
      <c r="E146" s="50" t="s">
        <v>34</v>
      </c>
      <c r="F146" s="69" t="s">
        <v>35</v>
      </c>
      <c r="G146" s="70" t="s">
        <v>67</v>
      </c>
      <c r="H146" s="70" t="s">
        <v>37</v>
      </c>
      <c r="I146" s="71" t="s">
        <v>38</v>
      </c>
      <c r="K146" s="18" t="s">
        <v>39</v>
      </c>
      <c r="L146" s="19" t="s">
        <v>145</v>
      </c>
    </row>
    <row r="147" spans="1:12" ht="15.75" customHeight="1" x14ac:dyDescent="0.35">
      <c r="A147" s="106">
        <v>1022</v>
      </c>
      <c r="B147" s="107">
        <v>1</v>
      </c>
      <c r="C147" s="430" t="s">
        <v>146</v>
      </c>
      <c r="D147" s="108">
        <v>500</v>
      </c>
      <c r="E147" s="109" t="s">
        <v>43</v>
      </c>
      <c r="F147" s="64">
        <v>0</v>
      </c>
      <c r="G147" s="110">
        <v>500</v>
      </c>
      <c r="H147" s="111">
        <f t="shared" ref="H147:H188" si="6">F147*G147</f>
        <v>0</v>
      </c>
      <c r="I147" s="112">
        <f t="shared" ref="I147:I188" si="7">H147*365</f>
        <v>0</v>
      </c>
      <c r="K147" s="18">
        <v>1</v>
      </c>
      <c r="L147" s="28">
        <f>SUM(I147:I152)</f>
        <v>0</v>
      </c>
    </row>
    <row r="148" spans="1:12" ht="15.75" customHeight="1" x14ac:dyDescent="0.35">
      <c r="A148" s="29">
        <v>1022</v>
      </c>
      <c r="B148" s="79">
        <v>1</v>
      </c>
      <c r="C148" s="421"/>
      <c r="D148" s="31" t="s">
        <v>44</v>
      </c>
      <c r="E148" s="32" t="s">
        <v>43</v>
      </c>
      <c r="F148" s="65">
        <v>0</v>
      </c>
      <c r="G148" s="34">
        <v>1000</v>
      </c>
      <c r="H148" s="35">
        <f t="shared" si="6"/>
        <v>0</v>
      </c>
      <c r="I148" s="36">
        <f t="shared" si="7"/>
        <v>0</v>
      </c>
      <c r="K148" s="18">
        <v>2</v>
      </c>
      <c r="L148" s="28">
        <f>SUM(I153:I158)</f>
        <v>0</v>
      </c>
    </row>
    <row r="149" spans="1:12" ht="15.75" customHeight="1" x14ac:dyDescent="0.35">
      <c r="A149" s="113">
        <v>1022</v>
      </c>
      <c r="B149" s="114">
        <v>1</v>
      </c>
      <c r="C149" s="421"/>
      <c r="D149" s="115" t="s">
        <v>45</v>
      </c>
      <c r="E149" s="116" t="s">
        <v>43</v>
      </c>
      <c r="F149" s="65">
        <v>0</v>
      </c>
      <c r="G149" s="117">
        <v>5000</v>
      </c>
      <c r="H149" s="118">
        <f t="shared" si="6"/>
        <v>0</v>
      </c>
      <c r="I149" s="119">
        <f t="shared" si="7"/>
        <v>0</v>
      </c>
      <c r="K149" s="18" t="s">
        <v>46</v>
      </c>
      <c r="L149" s="28">
        <f>SUM(I159:I164)</f>
        <v>0</v>
      </c>
    </row>
    <row r="150" spans="1:12" ht="15.75" customHeight="1" x14ac:dyDescent="0.35">
      <c r="A150" s="29">
        <v>1022</v>
      </c>
      <c r="B150" s="79">
        <v>1</v>
      </c>
      <c r="C150" s="421"/>
      <c r="D150" s="31" t="s">
        <v>47</v>
      </c>
      <c r="E150" s="32" t="s">
        <v>43</v>
      </c>
      <c r="F150" s="65">
        <v>0</v>
      </c>
      <c r="G150" s="34">
        <v>10000</v>
      </c>
      <c r="H150" s="35">
        <f t="shared" si="6"/>
        <v>0</v>
      </c>
      <c r="I150" s="36">
        <f t="shared" si="7"/>
        <v>0</v>
      </c>
      <c r="K150" s="18">
        <v>3</v>
      </c>
      <c r="L150" s="28">
        <f>SUM(I165:I170)</f>
        <v>0</v>
      </c>
    </row>
    <row r="151" spans="1:12" ht="15.75" customHeight="1" x14ac:dyDescent="0.35">
      <c r="A151" s="120">
        <v>1022</v>
      </c>
      <c r="B151" s="114">
        <v>1</v>
      </c>
      <c r="C151" s="421"/>
      <c r="D151" s="121" t="s">
        <v>48</v>
      </c>
      <c r="E151" s="116" t="s">
        <v>43</v>
      </c>
      <c r="F151" s="65">
        <v>0</v>
      </c>
      <c r="G151" s="117">
        <v>20000</v>
      </c>
      <c r="H151" s="118">
        <f t="shared" si="6"/>
        <v>0</v>
      </c>
      <c r="I151" s="119">
        <f t="shared" si="7"/>
        <v>0</v>
      </c>
      <c r="K151" s="18" t="s">
        <v>49</v>
      </c>
      <c r="L151" s="28">
        <f>SUM(I171:I176)</f>
        <v>0</v>
      </c>
    </row>
    <row r="152" spans="1:12" ht="15.75" customHeight="1" x14ac:dyDescent="0.35">
      <c r="A152" s="29">
        <v>1022</v>
      </c>
      <c r="B152" s="88">
        <v>1</v>
      </c>
      <c r="C152" s="422"/>
      <c r="D152" s="49" t="s">
        <v>50</v>
      </c>
      <c r="E152" s="50" t="s">
        <v>43</v>
      </c>
      <c r="F152" s="66">
        <v>0</v>
      </c>
      <c r="G152" s="52">
        <v>30000</v>
      </c>
      <c r="H152" s="53">
        <f t="shared" si="6"/>
        <v>0</v>
      </c>
      <c r="I152" s="54">
        <f t="shared" si="7"/>
        <v>0</v>
      </c>
      <c r="K152" s="18">
        <v>4</v>
      </c>
      <c r="L152" s="46">
        <f>SUM(I177:I182)</f>
        <v>0</v>
      </c>
    </row>
    <row r="153" spans="1:12" ht="15.75" customHeight="1" x14ac:dyDescent="0.35">
      <c r="A153" s="106">
        <v>1023</v>
      </c>
      <c r="B153" s="107">
        <v>2</v>
      </c>
      <c r="C153" s="430" t="s">
        <v>147</v>
      </c>
      <c r="D153" s="108">
        <v>500</v>
      </c>
      <c r="E153" s="109" t="s">
        <v>43</v>
      </c>
      <c r="F153" s="64">
        <v>0</v>
      </c>
      <c r="G153" s="110">
        <v>500</v>
      </c>
      <c r="H153" s="111">
        <f t="shared" si="6"/>
        <v>0</v>
      </c>
      <c r="I153" s="112">
        <f t="shared" si="7"/>
        <v>0</v>
      </c>
      <c r="K153" s="18" t="s">
        <v>53</v>
      </c>
      <c r="L153" s="46">
        <f>SUM(I183:I188)</f>
        <v>0</v>
      </c>
    </row>
    <row r="154" spans="1:12" ht="15.75" customHeight="1" x14ac:dyDescent="0.35">
      <c r="A154" s="29">
        <v>1023</v>
      </c>
      <c r="B154" s="79">
        <v>2</v>
      </c>
      <c r="C154" s="421"/>
      <c r="D154" s="31" t="s">
        <v>44</v>
      </c>
      <c r="E154" s="32" t="s">
        <v>43</v>
      </c>
      <c r="F154" s="65">
        <v>0</v>
      </c>
      <c r="G154" s="34">
        <v>1000</v>
      </c>
      <c r="H154" s="35">
        <f t="shared" si="6"/>
        <v>0</v>
      </c>
      <c r="I154" s="36">
        <f t="shared" si="7"/>
        <v>0</v>
      </c>
      <c r="K154" s="18" t="s">
        <v>109</v>
      </c>
      <c r="L154" s="28">
        <f>SUM(L147:L153)</f>
        <v>0</v>
      </c>
    </row>
    <row r="155" spans="1:12" ht="15.75" customHeight="1" x14ac:dyDescent="0.35">
      <c r="A155" s="113">
        <v>1023</v>
      </c>
      <c r="B155" s="114">
        <v>2</v>
      </c>
      <c r="C155" s="421"/>
      <c r="D155" s="115" t="s">
        <v>45</v>
      </c>
      <c r="E155" s="116" t="s">
        <v>43</v>
      </c>
      <c r="F155" s="65">
        <v>0</v>
      </c>
      <c r="G155" s="117">
        <v>5000</v>
      </c>
      <c r="H155" s="118">
        <f t="shared" si="6"/>
        <v>0</v>
      </c>
      <c r="I155" s="119">
        <f t="shared" si="7"/>
        <v>0</v>
      </c>
    </row>
    <row r="156" spans="1:12" ht="15.75" customHeight="1" x14ac:dyDescent="0.35">
      <c r="A156" s="29">
        <v>1023</v>
      </c>
      <c r="B156" s="79">
        <v>2</v>
      </c>
      <c r="C156" s="421"/>
      <c r="D156" s="31" t="s">
        <v>47</v>
      </c>
      <c r="E156" s="32" t="s">
        <v>43</v>
      </c>
      <c r="F156" s="65">
        <v>0</v>
      </c>
      <c r="G156" s="34">
        <v>10000</v>
      </c>
      <c r="H156" s="35">
        <f t="shared" si="6"/>
        <v>0</v>
      </c>
      <c r="I156" s="36">
        <f t="shared" si="7"/>
        <v>0</v>
      </c>
    </row>
    <row r="157" spans="1:12" ht="15.75" customHeight="1" x14ac:dyDescent="0.35">
      <c r="A157" s="113">
        <v>1023</v>
      </c>
      <c r="B157" s="114">
        <v>2</v>
      </c>
      <c r="C157" s="421"/>
      <c r="D157" s="121" t="s">
        <v>48</v>
      </c>
      <c r="E157" s="116" t="s">
        <v>43</v>
      </c>
      <c r="F157" s="65">
        <v>0</v>
      </c>
      <c r="G157" s="117">
        <v>20000</v>
      </c>
      <c r="H157" s="118">
        <f t="shared" si="6"/>
        <v>0</v>
      </c>
      <c r="I157" s="119">
        <f t="shared" si="7"/>
        <v>0</v>
      </c>
    </row>
    <row r="158" spans="1:12" ht="15.75" customHeight="1" x14ac:dyDescent="0.35">
      <c r="A158" s="29">
        <v>1023</v>
      </c>
      <c r="B158" s="88">
        <v>2</v>
      </c>
      <c r="C158" s="422"/>
      <c r="D158" s="49" t="s">
        <v>50</v>
      </c>
      <c r="E158" s="50" t="s">
        <v>43</v>
      </c>
      <c r="F158" s="66">
        <v>0</v>
      </c>
      <c r="G158" s="52">
        <v>30000</v>
      </c>
      <c r="H158" s="53">
        <f t="shared" si="6"/>
        <v>0</v>
      </c>
      <c r="I158" s="54">
        <f t="shared" si="7"/>
        <v>0</v>
      </c>
    </row>
    <row r="159" spans="1:12" ht="15.75" customHeight="1" x14ac:dyDescent="0.35">
      <c r="A159" s="106">
        <v>1024</v>
      </c>
      <c r="B159" s="107" t="s">
        <v>46</v>
      </c>
      <c r="C159" s="430" t="s">
        <v>148</v>
      </c>
      <c r="D159" s="108">
        <v>500</v>
      </c>
      <c r="E159" s="109" t="s">
        <v>43</v>
      </c>
      <c r="F159" s="64">
        <v>0</v>
      </c>
      <c r="G159" s="110">
        <v>500</v>
      </c>
      <c r="H159" s="111">
        <f t="shared" si="6"/>
        <v>0</v>
      </c>
      <c r="I159" s="112">
        <f t="shared" si="7"/>
        <v>0</v>
      </c>
    </row>
    <row r="160" spans="1:12" ht="15.75" customHeight="1" x14ac:dyDescent="0.35">
      <c r="A160" s="29">
        <v>1024</v>
      </c>
      <c r="B160" s="79" t="s">
        <v>46</v>
      </c>
      <c r="C160" s="421"/>
      <c r="D160" s="31" t="s">
        <v>44</v>
      </c>
      <c r="E160" s="32" t="s">
        <v>43</v>
      </c>
      <c r="F160" s="65">
        <v>0</v>
      </c>
      <c r="G160" s="34">
        <v>1000</v>
      </c>
      <c r="H160" s="35">
        <f t="shared" si="6"/>
        <v>0</v>
      </c>
      <c r="I160" s="36">
        <f t="shared" si="7"/>
        <v>0</v>
      </c>
    </row>
    <row r="161" spans="1:9" ht="15.75" customHeight="1" x14ac:dyDescent="0.35">
      <c r="A161" s="113">
        <v>1024</v>
      </c>
      <c r="B161" s="114" t="s">
        <v>46</v>
      </c>
      <c r="C161" s="421"/>
      <c r="D161" s="115" t="s">
        <v>45</v>
      </c>
      <c r="E161" s="116" t="s">
        <v>43</v>
      </c>
      <c r="F161" s="65">
        <v>0</v>
      </c>
      <c r="G161" s="117">
        <v>5000</v>
      </c>
      <c r="H161" s="118">
        <f t="shared" si="6"/>
        <v>0</v>
      </c>
      <c r="I161" s="119">
        <f t="shared" si="7"/>
        <v>0</v>
      </c>
    </row>
    <row r="162" spans="1:9" ht="15.75" customHeight="1" x14ac:dyDescent="0.35">
      <c r="A162" s="29">
        <v>1024</v>
      </c>
      <c r="B162" s="79" t="s">
        <v>46</v>
      </c>
      <c r="C162" s="421"/>
      <c r="D162" s="31" t="s">
        <v>47</v>
      </c>
      <c r="E162" s="32" t="s">
        <v>43</v>
      </c>
      <c r="F162" s="65">
        <v>0</v>
      </c>
      <c r="G162" s="34">
        <v>10000</v>
      </c>
      <c r="H162" s="35">
        <f t="shared" si="6"/>
        <v>0</v>
      </c>
      <c r="I162" s="36">
        <f t="shared" si="7"/>
        <v>0</v>
      </c>
    </row>
    <row r="163" spans="1:9" ht="15.75" customHeight="1" x14ac:dyDescent="0.35">
      <c r="A163" s="113">
        <v>1024</v>
      </c>
      <c r="B163" s="114" t="s">
        <v>46</v>
      </c>
      <c r="C163" s="421"/>
      <c r="D163" s="121" t="s">
        <v>48</v>
      </c>
      <c r="E163" s="116" t="s">
        <v>43</v>
      </c>
      <c r="F163" s="65">
        <v>0</v>
      </c>
      <c r="G163" s="117">
        <v>20000</v>
      </c>
      <c r="H163" s="118">
        <f t="shared" si="6"/>
        <v>0</v>
      </c>
      <c r="I163" s="119">
        <f t="shared" si="7"/>
        <v>0</v>
      </c>
    </row>
    <row r="164" spans="1:9" ht="15.75" customHeight="1" x14ac:dyDescent="0.35">
      <c r="A164" s="122">
        <v>1024</v>
      </c>
      <c r="B164" s="88" t="s">
        <v>46</v>
      </c>
      <c r="C164" s="422"/>
      <c r="D164" s="49" t="s">
        <v>50</v>
      </c>
      <c r="E164" s="50" t="s">
        <v>43</v>
      </c>
      <c r="F164" s="66">
        <v>0</v>
      </c>
      <c r="G164" s="52">
        <v>30000</v>
      </c>
      <c r="H164" s="53">
        <f t="shared" si="6"/>
        <v>0</v>
      </c>
      <c r="I164" s="54">
        <f t="shared" si="7"/>
        <v>0</v>
      </c>
    </row>
    <row r="165" spans="1:9" ht="15.75" customHeight="1" x14ac:dyDescent="0.35">
      <c r="A165" s="106">
        <v>1025</v>
      </c>
      <c r="B165" s="107">
        <v>3</v>
      </c>
      <c r="C165" s="430" t="s">
        <v>149</v>
      </c>
      <c r="D165" s="108">
        <v>500</v>
      </c>
      <c r="E165" s="109" t="s">
        <v>43</v>
      </c>
      <c r="F165" s="64">
        <v>0</v>
      </c>
      <c r="G165" s="110">
        <v>500</v>
      </c>
      <c r="H165" s="111">
        <f t="shared" si="6"/>
        <v>0</v>
      </c>
      <c r="I165" s="112">
        <f t="shared" si="7"/>
        <v>0</v>
      </c>
    </row>
    <row r="166" spans="1:9" ht="15.75" customHeight="1" x14ac:dyDescent="0.35">
      <c r="A166" s="29">
        <v>1025</v>
      </c>
      <c r="B166" s="79">
        <v>3</v>
      </c>
      <c r="C166" s="421"/>
      <c r="D166" s="31" t="s">
        <v>44</v>
      </c>
      <c r="E166" s="32" t="s">
        <v>43</v>
      </c>
      <c r="F166" s="65">
        <v>0</v>
      </c>
      <c r="G166" s="34">
        <v>1000</v>
      </c>
      <c r="H166" s="35">
        <f t="shared" si="6"/>
        <v>0</v>
      </c>
      <c r="I166" s="36">
        <f t="shared" si="7"/>
        <v>0</v>
      </c>
    </row>
    <row r="167" spans="1:9" ht="15.75" customHeight="1" x14ac:dyDescent="0.35">
      <c r="A167" s="113">
        <v>1025</v>
      </c>
      <c r="B167" s="114">
        <v>3</v>
      </c>
      <c r="C167" s="421"/>
      <c r="D167" s="115" t="s">
        <v>45</v>
      </c>
      <c r="E167" s="116" t="s">
        <v>43</v>
      </c>
      <c r="F167" s="65">
        <v>0</v>
      </c>
      <c r="G167" s="117">
        <v>5000</v>
      </c>
      <c r="H167" s="118">
        <f t="shared" si="6"/>
        <v>0</v>
      </c>
      <c r="I167" s="119">
        <f t="shared" si="7"/>
        <v>0</v>
      </c>
    </row>
    <row r="168" spans="1:9" ht="15.75" customHeight="1" x14ac:dyDescent="0.35">
      <c r="A168" s="29">
        <v>1025</v>
      </c>
      <c r="B168" s="79">
        <v>3</v>
      </c>
      <c r="C168" s="421"/>
      <c r="D168" s="31" t="s">
        <v>47</v>
      </c>
      <c r="E168" s="32" t="s">
        <v>43</v>
      </c>
      <c r="F168" s="65">
        <v>0</v>
      </c>
      <c r="G168" s="34">
        <v>10000</v>
      </c>
      <c r="H168" s="35">
        <f t="shared" si="6"/>
        <v>0</v>
      </c>
      <c r="I168" s="36">
        <f t="shared" si="7"/>
        <v>0</v>
      </c>
    </row>
    <row r="169" spans="1:9" ht="15.75" customHeight="1" x14ac:dyDescent="0.35">
      <c r="A169" s="113">
        <v>1025</v>
      </c>
      <c r="B169" s="114">
        <v>3</v>
      </c>
      <c r="C169" s="421"/>
      <c r="D169" s="121" t="s">
        <v>48</v>
      </c>
      <c r="E169" s="116" t="s">
        <v>43</v>
      </c>
      <c r="F169" s="65">
        <v>0</v>
      </c>
      <c r="G169" s="117">
        <v>20000</v>
      </c>
      <c r="H169" s="118">
        <f t="shared" si="6"/>
        <v>0</v>
      </c>
      <c r="I169" s="119">
        <f t="shared" si="7"/>
        <v>0</v>
      </c>
    </row>
    <row r="170" spans="1:9" ht="15.75" customHeight="1" x14ac:dyDescent="0.35">
      <c r="A170" s="29">
        <v>1025</v>
      </c>
      <c r="B170" s="88">
        <v>3</v>
      </c>
      <c r="C170" s="422"/>
      <c r="D170" s="49" t="s">
        <v>50</v>
      </c>
      <c r="E170" s="50" t="s">
        <v>43</v>
      </c>
      <c r="F170" s="66">
        <v>0</v>
      </c>
      <c r="G170" s="52">
        <v>30000</v>
      </c>
      <c r="H170" s="53">
        <f t="shared" si="6"/>
        <v>0</v>
      </c>
      <c r="I170" s="54">
        <f t="shared" si="7"/>
        <v>0</v>
      </c>
    </row>
    <row r="171" spans="1:9" ht="15.75" customHeight="1" x14ac:dyDescent="0.35">
      <c r="A171" s="106">
        <v>1026</v>
      </c>
      <c r="B171" s="107" t="s">
        <v>49</v>
      </c>
      <c r="C171" s="430" t="s">
        <v>150</v>
      </c>
      <c r="D171" s="108">
        <v>500</v>
      </c>
      <c r="E171" s="109" t="s">
        <v>43</v>
      </c>
      <c r="F171" s="64">
        <v>0</v>
      </c>
      <c r="G171" s="110">
        <v>500</v>
      </c>
      <c r="H171" s="111">
        <f t="shared" si="6"/>
        <v>0</v>
      </c>
      <c r="I171" s="112">
        <f t="shared" si="7"/>
        <v>0</v>
      </c>
    </row>
    <row r="172" spans="1:9" ht="15.75" customHeight="1" x14ac:dyDescent="0.35">
      <c r="A172" s="29">
        <v>1026</v>
      </c>
      <c r="B172" s="79" t="s">
        <v>49</v>
      </c>
      <c r="C172" s="421"/>
      <c r="D172" s="31" t="s">
        <v>44</v>
      </c>
      <c r="E172" s="32" t="s">
        <v>43</v>
      </c>
      <c r="F172" s="65">
        <v>0</v>
      </c>
      <c r="G172" s="34">
        <v>1000</v>
      </c>
      <c r="H172" s="35">
        <f t="shared" si="6"/>
        <v>0</v>
      </c>
      <c r="I172" s="36">
        <f t="shared" si="7"/>
        <v>0</v>
      </c>
    </row>
    <row r="173" spans="1:9" ht="15.75" customHeight="1" x14ac:dyDescent="0.35">
      <c r="A173" s="113">
        <v>1026</v>
      </c>
      <c r="B173" s="114" t="s">
        <v>49</v>
      </c>
      <c r="C173" s="421"/>
      <c r="D173" s="115" t="s">
        <v>45</v>
      </c>
      <c r="E173" s="116" t="s">
        <v>43</v>
      </c>
      <c r="F173" s="65">
        <v>0</v>
      </c>
      <c r="G173" s="117">
        <v>5000</v>
      </c>
      <c r="H173" s="118">
        <f t="shared" si="6"/>
        <v>0</v>
      </c>
      <c r="I173" s="119">
        <f t="shared" si="7"/>
        <v>0</v>
      </c>
    </row>
    <row r="174" spans="1:9" ht="15.75" customHeight="1" x14ac:dyDescent="0.35">
      <c r="A174" s="29">
        <v>1026</v>
      </c>
      <c r="B174" s="79" t="s">
        <v>49</v>
      </c>
      <c r="C174" s="421"/>
      <c r="D174" s="31" t="s">
        <v>47</v>
      </c>
      <c r="E174" s="32" t="s">
        <v>43</v>
      </c>
      <c r="F174" s="65">
        <v>0</v>
      </c>
      <c r="G174" s="34">
        <v>10000</v>
      </c>
      <c r="H174" s="35">
        <f t="shared" si="6"/>
        <v>0</v>
      </c>
      <c r="I174" s="36">
        <f t="shared" si="7"/>
        <v>0</v>
      </c>
    </row>
    <row r="175" spans="1:9" ht="15.75" customHeight="1" x14ac:dyDescent="0.35">
      <c r="A175" s="120">
        <v>1026</v>
      </c>
      <c r="B175" s="114" t="s">
        <v>49</v>
      </c>
      <c r="C175" s="421"/>
      <c r="D175" s="121" t="s">
        <v>48</v>
      </c>
      <c r="E175" s="116" t="s">
        <v>43</v>
      </c>
      <c r="F175" s="65">
        <v>0</v>
      </c>
      <c r="G175" s="117">
        <v>20000</v>
      </c>
      <c r="H175" s="118">
        <f t="shared" si="6"/>
        <v>0</v>
      </c>
      <c r="I175" s="119">
        <f t="shared" si="7"/>
        <v>0</v>
      </c>
    </row>
    <row r="176" spans="1:9" ht="15.75" customHeight="1" x14ac:dyDescent="0.35">
      <c r="A176" s="47">
        <v>1026</v>
      </c>
      <c r="B176" s="88" t="s">
        <v>49</v>
      </c>
      <c r="C176" s="422"/>
      <c r="D176" s="49" t="s">
        <v>50</v>
      </c>
      <c r="E176" s="50" t="s">
        <v>43</v>
      </c>
      <c r="F176" s="66">
        <v>0</v>
      </c>
      <c r="G176" s="52">
        <v>30000</v>
      </c>
      <c r="H176" s="53">
        <f t="shared" si="6"/>
        <v>0</v>
      </c>
      <c r="I176" s="54">
        <f t="shared" si="7"/>
        <v>0</v>
      </c>
    </row>
    <row r="177" spans="1:9" ht="15.75" customHeight="1" x14ac:dyDescent="0.35">
      <c r="A177" s="106">
        <v>1027</v>
      </c>
      <c r="B177" s="123">
        <v>4</v>
      </c>
      <c r="C177" s="430" t="s">
        <v>151</v>
      </c>
      <c r="D177" s="108">
        <v>500</v>
      </c>
      <c r="E177" s="109" t="s">
        <v>43</v>
      </c>
      <c r="F177" s="64">
        <v>0</v>
      </c>
      <c r="G177" s="110">
        <v>500</v>
      </c>
      <c r="H177" s="111">
        <f t="shared" si="6"/>
        <v>0</v>
      </c>
      <c r="I177" s="112">
        <f t="shared" si="7"/>
        <v>0</v>
      </c>
    </row>
    <row r="178" spans="1:9" ht="15.75" customHeight="1" x14ac:dyDescent="0.35">
      <c r="A178" s="29">
        <v>1027</v>
      </c>
      <c r="B178" s="79">
        <v>4</v>
      </c>
      <c r="C178" s="421"/>
      <c r="D178" s="31" t="s">
        <v>44</v>
      </c>
      <c r="E178" s="32" t="s">
        <v>43</v>
      </c>
      <c r="F178" s="65">
        <v>0</v>
      </c>
      <c r="G178" s="34">
        <v>1000</v>
      </c>
      <c r="H178" s="35">
        <f t="shared" si="6"/>
        <v>0</v>
      </c>
      <c r="I178" s="36">
        <f t="shared" si="7"/>
        <v>0</v>
      </c>
    </row>
    <row r="179" spans="1:9" ht="15.75" customHeight="1" x14ac:dyDescent="0.35">
      <c r="A179" s="113">
        <v>1027</v>
      </c>
      <c r="B179" s="114">
        <v>4</v>
      </c>
      <c r="C179" s="421"/>
      <c r="D179" s="115" t="s">
        <v>45</v>
      </c>
      <c r="E179" s="116" t="s">
        <v>43</v>
      </c>
      <c r="F179" s="65">
        <v>0</v>
      </c>
      <c r="G179" s="117">
        <v>5000</v>
      </c>
      <c r="H179" s="118">
        <f t="shared" si="6"/>
        <v>0</v>
      </c>
      <c r="I179" s="119">
        <f t="shared" si="7"/>
        <v>0</v>
      </c>
    </row>
    <row r="180" spans="1:9" ht="15.75" customHeight="1" x14ac:dyDescent="0.35">
      <c r="A180" s="29">
        <v>1027</v>
      </c>
      <c r="B180" s="79">
        <v>4</v>
      </c>
      <c r="C180" s="421"/>
      <c r="D180" s="31" t="s">
        <v>47</v>
      </c>
      <c r="E180" s="32" t="s">
        <v>43</v>
      </c>
      <c r="F180" s="65">
        <v>0</v>
      </c>
      <c r="G180" s="34">
        <v>10000</v>
      </c>
      <c r="H180" s="35">
        <f t="shared" si="6"/>
        <v>0</v>
      </c>
      <c r="I180" s="36">
        <f t="shared" si="7"/>
        <v>0</v>
      </c>
    </row>
    <row r="181" spans="1:9" ht="15.75" customHeight="1" x14ac:dyDescent="0.35">
      <c r="A181" s="113">
        <v>1027</v>
      </c>
      <c r="B181" s="114">
        <v>4</v>
      </c>
      <c r="C181" s="421"/>
      <c r="D181" s="121" t="s">
        <v>48</v>
      </c>
      <c r="E181" s="116" t="s">
        <v>43</v>
      </c>
      <c r="F181" s="65">
        <v>0</v>
      </c>
      <c r="G181" s="117">
        <v>20000</v>
      </c>
      <c r="H181" s="118">
        <f t="shared" si="6"/>
        <v>0</v>
      </c>
      <c r="I181" s="119">
        <f t="shared" si="7"/>
        <v>0</v>
      </c>
    </row>
    <row r="182" spans="1:9" ht="15.75" customHeight="1" x14ac:dyDescent="0.35">
      <c r="A182" s="29">
        <v>1027</v>
      </c>
      <c r="B182" s="88">
        <v>4</v>
      </c>
      <c r="C182" s="422"/>
      <c r="D182" s="49" t="s">
        <v>50</v>
      </c>
      <c r="E182" s="50" t="s">
        <v>43</v>
      </c>
      <c r="F182" s="66">
        <v>0</v>
      </c>
      <c r="G182" s="52">
        <v>30000</v>
      </c>
      <c r="H182" s="53">
        <f t="shared" si="6"/>
        <v>0</v>
      </c>
      <c r="I182" s="54">
        <f t="shared" si="7"/>
        <v>0</v>
      </c>
    </row>
    <row r="183" spans="1:9" ht="15.75" customHeight="1" x14ac:dyDescent="0.35">
      <c r="A183" s="106">
        <v>1028</v>
      </c>
      <c r="B183" s="123" t="s">
        <v>53</v>
      </c>
      <c r="C183" s="430" t="s">
        <v>152</v>
      </c>
      <c r="D183" s="108">
        <v>500</v>
      </c>
      <c r="E183" s="109" t="s">
        <v>43</v>
      </c>
      <c r="F183" s="64">
        <v>0</v>
      </c>
      <c r="G183" s="110">
        <v>500</v>
      </c>
      <c r="H183" s="111">
        <f t="shared" si="6"/>
        <v>0</v>
      </c>
      <c r="I183" s="112">
        <f t="shared" si="7"/>
        <v>0</v>
      </c>
    </row>
    <row r="184" spans="1:9" ht="15.75" customHeight="1" x14ac:dyDescent="0.35">
      <c r="A184" s="29">
        <v>1028</v>
      </c>
      <c r="B184" s="79" t="s">
        <v>53</v>
      </c>
      <c r="C184" s="421"/>
      <c r="D184" s="31" t="s">
        <v>44</v>
      </c>
      <c r="E184" s="32" t="s">
        <v>43</v>
      </c>
      <c r="F184" s="65">
        <v>0</v>
      </c>
      <c r="G184" s="34">
        <v>1000</v>
      </c>
      <c r="H184" s="35">
        <f t="shared" si="6"/>
        <v>0</v>
      </c>
      <c r="I184" s="36">
        <f t="shared" si="7"/>
        <v>0</v>
      </c>
    </row>
    <row r="185" spans="1:9" ht="15.75" customHeight="1" x14ac:dyDescent="0.35">
      <c r="A185" s="113">
        <v>1028</v>
      </c>
      <c r="B185" s="114" t="s">
        <v>53</v>
      </c>
      <c r="C185" s="421"/>
      <c r="D185" s="115" t="s">
        <v>45</v>
      </c>
      <c r="E185" s="116" t="s">
        <v>43</v>
      </c>
      <c r="F185" s="65">
        <v>0</v>
      </c>
      <c r="G185" s="117">
        <v>5000</v>
      </c>
      <c r="H185" s="118">
        <f t="shared" si="6"/>
        <v>0</v>
      </c>
      <c r="I185" s="119">
        <f t="shared" si="7"/>
        <v>0</v>
      </c>
    </row>
    <row r="186" spans="1:9" ht="15.75" customHeight="1" x14ac:dyDescent="0.35">
      <c r="A186" s="29">
        <v>1028</v>
      </c>
      <c r="B186" s="79" t="s">
        <v>53</v>
      </c>
      <c r="C186" s="421"/>
      <c r="D186" s="31" t="s">
        <v>47</v>
      </c>
      <c r="E186" s="32" t="s">
        <v>43</v>
      </c>
      <c r="F186" s="65">
        <v>0</v>
      </c>
      <c r="G186" s="34">
        <v>10000</v>
      </c>
      <c r="H186" s="35">
        <f t="shared" si="6"/>
        <v>0</v>
      </c>
      <c r="I186" s="36">
        <f t="shared" si="7"/>
        <v>0</v>
      </c>
    </row>
    <row r="187" spans="1:9" ht="15.75" customHeight="1" x14ac:dyDescent="0.35">
      <c r="A187" s="120">
        <v>1028</v>
      </c>
      <c r="B187" s="114" t="s">
        <v>53</v>
      </c>
      <c r="C187" s="421"/>
      <c r="D187" s="121" t="s">
        <v>48</v>
      </c>
      <c r="E187" s="116" t="s">
        <v>43</v>
      </c>
      <c r="F187" s="65">
        <v>0</v>
      </c>
      <c r="G187" s="117">
        <v>20000</v>
      </c>
      <c r="H187" s="118">
        <f t="shared" si="6"/>
        <v>0</v>
      </c>
      <c r="I187" s="119">
        <f t="shared" si="7"/>
        <v>0</v>
      </c>
    </row>
    <row r="188" spans="1:9" ht="15.75" customHeight="1" x14ac:dyDescent="0.35">
      <c r="A188" s="47">
        <v>1028</v>
      </c>
      <c r="B188" s="88" t="s">
        <v>53</v>
      </c>
      <c r="C188" s="422"/>
      <c r="D188" s="49" t="s">
        <v>50</v>
      </c>
      <c r="E188" s="50" t="s">
        <v>43</v>
      </c>
      <c r="F188" s="66">
        <v>0</v>
      </c>
      <c r="G188" s="52">
        <v>30000</v>
      </c>
      <c r="H188" s="53">
        <f t="shared" si="6"/>
        <v>0</v>
      </c>
      <c r="I188" s="54">
        <f t="shared" si="7"/>
        <v>0</v>
      </c>
    </row>
    <row r="189" spans="1:9" ht="15.75" customHeight="1" x14ac:dyDescent="0.35"/>
    <row r="190" spans="1:9" ht="15.75" customHeight="1" x14ac:dyDescent="0.35"/>
    <row r="191" spans="1:9" ht="15.75" customHeight="1" x14ac:dyDescent="0.35"/>
    <row r="192" spans="1:9"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sheetData>
  <mergeCells count="40">
    <mergeCell ref="C171:C176"/>
    <mergeCell ref="C177:C182"/>
    <mergeCell ref="C183:C188"/>
    <mergeCell ref="C130:C135"/>
    <mergeCell ref="C136:C141"/>
    <mergeCell ref="A144:I144"/>
    <mergeCell ref="A145:F145"/>
    <mergeCell ref="G145:I145"/>
    <mergeCell ref="C147:C152"/>
    <mergeCell ref="C153:C158"/>
    <mergeCell ref="C112:C117"/>
    <mergeCell ref="C118:C123"/>
    <mergeCell ref="C124:C129"/>
    <mergeCell ref="C159:C164"/>
    <mergeCell ref="C165:C170"/>
    <mergeCell ref="A97:I97"/>
    <mergeCell ref="A98:F98"/>
    <mergeCell ref="G98:I98"/>
    <mergeCell ref="C100:C105"/>
    <mergeCell ref="C106:C111"/>
    <mergeCell ref="C65:C70"/>
    <mergeCell ref="C71:C76"/>
    <mergeCell ref="C77:C82"/>
    <mergeCell ref="C83:C88"/>
    <mergeCell ref="C89:C94"/>
    <mergeCell ref="A50:I50"/>
    <mergeCell ref="A51:F51"/>
    <mergeCell ref="G51:I51"/>
    <mergeCell ref="C53:C58"/>
    <mergeCell ref="C59:C64"/>
    <mergeCell ref="C18:C23"/>
    <mergeCell ref="C24:C29"/>
    <mergeCell ref="C30:C35"/>
    <mergeCell ref="C36:C41"/>
    <mergeCell ref="C42:C47"/>
    <mergeCell ref="A3:I3"/>
    <mergeCell ref="A4:F4"/>
    <mergeCell ref="G4:I4"/>
    <mergeCell ref="C6:C11"/>
    <mergeCell ref="C12:C17"/>
  </mergeCells>
  <pageMargins left="0.7" right="0.7" top="0.75" bottom="0.75" header="0" footer="0"/>
  <pageSetup orientation="landscape"/>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5"/>
  <sheetViews>
    <sheetView workbookViewId="0"/>
  </sheetViews>
  <sheetFormatPr defaultColWidth="12.6328125" defaultRowHeight="15" customHeight="1" x14ac:dyDescent="0.35"/>
  <cols>
    <col min="1" max="1" width="10.6328125" customWidth="1"/>
    <col min="2" max="2" width="12.36328125" customWidth="1"/>
    <col min="3" max="3" width="27.90625" customWidth="1"/>
    <col min="4" max="4" width="14.36328125" customWidth="1"/>
    <col min="5" max="7" width="8.6328125" customWidth="1"/>
    <col min="8" max="8" width="15.36328125" customWidth="1"/>
    <col min="9" max="9" width="18" customWidth="1"/>
    <col min="10" max="10" width="10.26953125" customWidth="1"/>
    <col min="11" max="11" width="12.26953125" customWidth="1"/>
    <col min="12" max="12" width="39" customWidth="1"/>
    <col min="13" max="13" width="22.7265625" customWidth="1"/>
    <col min="14" max="27" width="8.6328125" customWidth="1"/>
  </cols>
  <sheetData>
    <row r="1" spans="1:12" ht="18.5" x14ac:dyDescent="0.45">
      <c r="A1" s="10" t="s">
        <v>153</v>
      </c>
      <c r="B1" s="124"/>
      <c r="C1" s="124"/>
    </row>
    <row r="2" spans="1:12" ht="18" x14ac:dyDescent="0.4">
      <c r="A2" s="11" t="s">
        <v>26</v>
      </c>
      <c r="B2" s="124"/>
      <c r="C2" s="124"/>
    </row>
    <row r="3" spans="1:12" ht="18" x14ac:dyDescent="0.4">
      <c r="A3" s="11"/>
      <c r="B3" s="124"/>
      <c r="C3" s="124"/>
    </row>
    <row r="4" spans="1:12" ht="18" customHeight="1" x14ac:dyDescent="0.35">
      <c r="A4" s="435" t="s">
        <v>28</v>
      </c>
      <c r="B4" s="416"/>
      <c r="C4" s="416"/>
      <c r="D4" s="416"/>
      <c r="E4" s="416"/>
      <c r="F4" s="417"/>
      <c r="G4" s="436" t="s">
        <v>154</v>
      </c>
      <c r="H4" s="416"/>
      <c r="I4" s="419"/>
    </row>
    <row r="5" spans="1:12" ht="42.5" x14ac:dyDescent="0.35">
      <c r="A5" s="125" t="s">
        <v>155</v>
      </c>
      <c r="B5" s="126" t="s">
        <v>31</v>
      </c>
      <c r="C5" s="69" t="s">
        <v>32</v>
      </c>
      <c r="D5" s="50" t="s">
        <v>33</v>
      </c>
      <c r="E5" s="50" t="s">
        <v>34</v>
      </c>
      <c r="F5" s="69" t="s">
        <v>35</v>
      </c>
      <c r="G5" s="127" t="s">
        <v>36</v>
      </c>
      <c r="H5" s="69" t="s">
        <v>37</v>
      </c>
      <c r="I5" s="128" t="s">
        <v>38</v>
      </c>
      <c r="K5" s="18" t="s">
        <v>39</v>
      </c>
      <c r="L5" s="18" t="s">
        <v>156</v>
      </c>
    </row>
    <row r="6" spans="1:12" ht="15.75" customHeight="1" x14ac:dyDescent="0.35">
      <c r="A6" s="129" t="s">
        <v>41</v>
      </c>
      <c r="B6" s="130">
        <v>1</v>
      </c>
      <c r="C6" s="434" t="s">
        <v>157</v>
      </c>
      <c r="D6" s="131">
        <v>100</v>
      </c>
      <c r="E6" s="131" t="s">
        <v>43</v>
      </c>
      <c r="F6" s="65">
        <v>0</v>
      </c>
      <c r="G6" s="132">
        <v>100</v>
      </c>
      <c r="H6" s="133">
        <v>0</v>
      </c>
      <c r="I6" s="134">
        <f t="shared" ref="I6:I54" si="0">H6*365</f>
        <v>0</v>
      </c>
      <c r="K6" s="18">
        <v>1</v>
      </c>
      <c r="L6" s="28">
        <f>SUM(I6:I12)</f>
        <v>0</v>
      </c>
    </row>
    <row r="7" spans="1:12" ht="15.75" customHeight="1" x14ac:dyDescent="0.35">
      <c r="A7" s="29" t="s">
        <v>41</v>
      </c>
      <c r="B7" s="30">
        <v>1</v>
      </c>
      <c r="C7" s="421"/>
      <c r="D7" s="135" t="s">
        <v>158</v>
      </c>
      <c r="E7" s="32" t="s">
        <v>43</v>
      </c>
      <c r="F7" s="65">
        <v>0</v>
      </c>
      <c r="G7" s="34">
        <v>200</v>
      </c>
      <c r="H7" s="136">
        <v>0</v>
      </c>
      <c r="I7" s="36">
        <f t="shared" si="0"/>
        <v>0</v>
      </c>
      <c r="K7" s="18">
        <v>2</v>
      </c>
      <c r="L7" s="28">
        <f>SUM(I13:I19)</f>
        <v>0</v>
      </c>
    </row>
    <row r="8" spans="1:12" ht="14.5" x14ac:dyDescent="0.35">
      <c r="A8" s="137" t="s">
        <v>41</v>
      </c>
      <c r="B8" s="138">
        <v>1</v>
      </c>
      <c r="C8" s="421"/>
      <c r="D8" s="139" t="s">
        <v>159</v>
      </c>
      <c r="E8" s="140" t="s">
        <v>43</v>
      </c>
      <c r="F8" s="65">
        <v>0</v>
      </c>
      <c r="G8" s="141">
        <v>500</v>
      </c>
      <c r="H8" s="133">
        <v>0</v>
      </c>
      <c r="I8" s="134">
        <f t="shared" si="0"/>
        <v>0</v>
      </c>
      <c r="K8" s="18" t="s">
        <v>46</v>
      </c>
      <c r="L8" s="28">
        <f>SUM(I20:I26)</f>
        <v>0</v>
      </c>
    </row>
    <row r="9" spans="1:12" ht="14.5" x14ac:dyDescent="0.35">
      <c r="A9" s="29" t="s">
        <v>41</v>
      </c>
      <c r="B9" s="30">
        <v>1</v>
      </c>
      <c r="C9" s="421"/>
      <c r="D9" s="31" t="s">
        <v>160</v>
      </c>
      <c r="E9" s="32" t="s">
        <v>43</v>
      </c>
      <c r="F9" s="65">
        <v>0</v>
      </c>
      <c r="G9" s="34">
        <v>1000</v>
      </c>
      <c r="H9" s="136">
        <v>0</v>
      </c>
      <c r="I9" s="36">
        <f t="shared" si="0"/>
        <v>0</v>
      </c>
      <c r="K9" s="18">
        <v>3</v>
      </c>
      <c r="L9" s="28">
        <f>SUM(I27:I33)</f>
        <v>0</v>
      </c>
    </row>
    <row r="10" spans="1:12" ht="14.5" x14ac:dyDescent="0.35">
      <c r="A10" s="137" t="s">
        <v>41</v>
      </c>
      <c r="B10" s="138">
        <v>1</v>
      </c>
      <c r="C10" s="421"/>
      <c r="D10" s="142" t="s">
        <v>161</v>
      </c>
      <c r="E10" s="140" t="s">
        <v>43</v>
      </c>
      <c r="F10" s="65">
        <v>0</v>
      </c>
      <c r="G10" s="141">
        <v>1500</v>
      </c>
      <c r="H10" s="143">
        <f t="shared" ref="H10:H54" si="1">F10*G10</f>
        <v>0</v>
      </c>
      <c r="I10" s="134">
        <f t="shared" si="0"/>
        <v>0</v>
      </c>
      <c r="K10" s="18" t="s">
        <v>49</v>
      </c>
      <c r="L10" s="28">
        <f>SUM(I34:I40)</f>
        <v>0</v>
      </c>
    </row>
    <row r="11" spans="1:12" ht="14.5" x14ac:dyDescent="0.35">
      <c r="A11" s="29" t="s">
        <v>41</v>
      </c>
      <c r="B11" s="30">
        <v>1</v>
      </c>
      <c r="C11" s="421"/>
      <c r="D11" s="31" t="s">
        <v>162</v>
      </c>
      <c r="E11" s="32" t="s">
        <v>43</v>
      </c>
      <c r="F11" s="65">
        <v>0</v>
      </c>
      <c r="G11" s="34">
        <v>2000</v>
      </c>
      <c r="H11" s="35">
        <f t="shared" si="1"/>
        <v>0</v>
      </c>
      <c r="I11" s="36">
        <f t="shared" si="0"/>
        <v>0</v>
      </c>
      <c r="K11" s="18">
        <v>4</v>
      </c>
      <c r="L11" s="46">
        <f>SUM(I41:I47)</f>
        <v>0</v>
      </c>
    </row>
    <row r="12" spans="1:12" ht="14.5" x14ac:dyDescent="0.35">
      <c r="A12" s="144" t="s">
        <v>41</v>
      </c>
      <c r="B12" s="145">
        <v>1</v>
      </c>
      <c r="C12" s="422"/>
      <c r="D12" s="146" t="s">
        <v>163</v>
      </c>
      <c r="E12" s="147" t="s">
        <v>43</v>
      </c>
      <c r="F12" s="66">
        <v>0</v>
      </c>
      <c r="G12" s="148">
        <v>2500</v>
      </c>
      <c r="H12" s="149">
        <f t="shared" si="1"/>
        <v>0</v>
      </c>
      <c r="I12" s="150">
        <f t="shared" si="0"/>
        <v>0</v>
      </c>
      <c r="K12" s="18" t="s">
        <v>53</v>
      </c>
      <c r="L12" s="46">
        <f>SUM(I48:I54)</f>
        <v>0</v>
      </c>
    </row>
    <row r="13" spans="1:12" ht="15.75" customHeight="1" x14ac:dyDescent="0.35">
      <c r="A13" s="151" t="s">
        <v>51</v>
      </c>
      <c r="B13" s="152">
        <v>2</v>
      </c>
      <c r="C13" s="433" t="s">
        <v>164</v>
      </c>
      <c r="D13" s="153">
        <v>100</v>
      </c>
      <c r="E13" s="154" t="s">
        <v>43</v>
      </c>
      <c r="F13" s="64">
        <v>0</v>
      </c>
      <c r="G13" s="155">
        <v>100</v>
      </c>
      <c r="H13" s="156">
        <f t="shared" si="1"/>
        <v>0</v>
      </c>
      <c r="I13" s="157">
        <f t="shared" si="0"/>
        <v>0</v>
      </c>
      <c r="K13" s="18" t="s">
        <v>165</v>
      </c>
      <c r="L13" s="28">
        <f>SUM(L6:L12)</f>
        <v>0</v>
      </c>
    </row>
    <row r="14" spans="1:12" ht="14.5" x14ac:dyDescent="0.35">
      <c r="A14" s="158" t="s">
        <v>51</v>
      </c>
      <c r="B14" s="159">
        <v>2</v>
      </c>
      <c r="C14" s="421"/>
      <c r="D14" s="139" t="s">
        <v>158</v>
      </c>
      <c r="E14" s="140" t="s">
        <v>43</v>
      </c>
      <c r="F14" s="65">
        <v>0</v>
      </c>
      <c r="G14" s="141">
        <v>200</v>
      </c>
      <c r="H14" s="143">
        <f t="shared" si="1"/>
        <v>0</v>
      </c>
      <c r="I14" s="134">
        <f t="shared" si="0"/>
        <v>0</v>
      </c>
      <c r="K14" s="160"/>
      <c r="L14" s="160"/>
    </row>
    <row r="15" spans="1:12" ht="14.5" x14ac:dyDescent="0.35">
      <c r="A15" s="29" t="s">
        <v>51</v>
      </c>
      <c r="B15" s="30">
        <v>2</v>
      </c>
      <c r="C15" s="421"/>
      <c r="D15" s="135" t="s">
        <v>159</v>
      </c>
      <c r="E15" s="32" t="s">
        <v>43</v>
      </c>
      <c r="F15" s="65">
        <v>0</v>
      </c>
      <c r="G15" s="34">
        <v>500</v>
      </c>
      <c r="H15" s="35">
        <f t="shared" si="1"/>
        <v>0</v>
      </c>
      <c r="I15" s="36">
        <f t="shared" si="0"/>
        <v>0</v>
      </c>
    </row>
    <row r="16" spans="1:12" ht="14.5" x14ac:dyDescent="0.35">
      <c r="A16" s="137" t="s">
        <v>51</v>
      </c>
      <c r="B16" s="138">
        <v>2</v>
      </c>
      <c r="C16" s="421"/>
      <c r="D16" s="142" t="s">
        <v>160</v>
      </c>
      <c r="E16" s="140" t="s">
        <v>43</v>
      </c>
      <c r="F16" s="65">
        <v>0</v>
      </c>
      <c r="G16" s="141">
        <v>1000</v>
      </c>
      <c r="H16" s="143">
        <f t="shared" si="1"/>
        <v>0</v>
      </c>
      <c r="I16" s="134">
        <f t="shared" si="0"/>
        <v>0</v>
      </c>
    </row>
    <row r="17" spans="1:9" ht="14.5" x14ac:dyDescent="0.35">
      <c r="A17" s="29" t="s">
        <v>51</v>
      </c>
      <c r="B17" s="30">
        <v>2</v>
      </c>
      <c r="C17" s="421"/>
      <c r="D17" s="31" t="s">
        <v>161</v>
      </c>
      <c r="E17" s="32" t="s">
        <v>43</v>
      </c>
      <c r="F17" s="65">
        <v>0</v>
      </c>
      <c r="G17" s="34">
        <v>1500</v>
      </c>
      <c r="H17" s="35">
        <f t="shared" si="1"/>
        <v>0</v>
      </c>
      <c r="I17" s="36">
        <f t="shared" si="0"/>
        <v>0</v>
      </c>
    </row>
    <row r="18" spans="1:9" ht="14.5" x14ac:dyDescent="0.35">
      <c r="A18" s="137" t="s">
        <v>51</v>
      </c>
      <c r="B18" s="138">
        <v>2</v>
      </c>
      <c r="C18" s="421"/>
      <c r="D18" s="142" t="s">
        <v>162</v>
      </c>
      <c r="E18" s="140" t="s">
        <v>43</v>
      </c>
      <c r="F18" s="65">
        <v>0</v>
      </c>
      <c r="G18" s="141">
        <v>2000</v>
      </c>
      <c r="H18" s="143">
        <f t="shared" si="1"/>
        <v>0</v>
      </c>
      <c r="I18" s="134">
        <f t="shared" si="0"/>
        <v>0</v>
      </c>
    </row>
    <row r="19" spans="1:9" ht="14.5" x14ac:dyDescent="0.35">
      <c r="A19" s="47" t="s">
        <v>51</v>
      </c>
      <c r="B19" s="48">
        <v>2</v>
      </c>
      <c r="C19" s="422"/>
      <c r="D19" s="49" t="s">
        <v>163</v>
      </c>
      <c r="E19" s="50" t="s">
        <v>43</v>
      </c>
      <c r="F19" s="66">
        <v>0</v>
      </c>
      <c r="G19" s="52">
        <v>2500</v>
      </c>
      <c r="H19" s="53">
        <f t="shared" si="1"/>
        <v>0</v>
      </c>
      <c r="I19" s="54">
        <f t="shared" si="0"/>
        <v>0</v>
      </c>
    </row>
    <row r="20" spans="1:9" ht="15.75" customHeight="1" x14ac:dyDescent="0.35">
      <c r="A20" s="161" t="s">
        <v>55</v>
      </c>
      <c r="B20" s="162" t="s">
        <v>46</v>
      </c>
      <c r="C20" s="434" t="s">
        <v>166</v>
      </c>
      <c r="D20" s="131">
        <v>100</v>
      </c>
      <c r="E20" s="163" t="s">
        <v>43</v>
      </c>
      <c r="F20" s="64">
        <v>0</v>
      </c>
      <c r="G20" s="132">
        <v>100</v>
      </c>
      <c r="H20" s="164">
        <f t="shared" si="1"/>
        <v>0</v>
      </c>
      <c r="I20" s="165">
        <f t="shared" si="0"/>
        <v>0</v>
      </c>
    </row>
    <row r="21" spans="1:9" ht="14.5" x14ac:dyDescent="0.35">
      <c r="A21" s="166" t="s">
        <v>55</v>
      </c>
      <c r="B21" s="167" t="s">
        <v>46</v>
      </c>
      <c r="C21" s="421"/>
      <c r="D21" s="135" t="s">
        <v>158</v>
      </c>
      <c r="E21" s="32" t="s">
        <v>43</v>
      </c>
      <c r="F21" s="65">
        <v>0</v>
      </c>
      <c r="G21" s="34">
        <v>200</v>
      </c>
      <c r="H21" s="35">
        <f t="shared" si="1"/>
        <v>0</v>
      </c>
      <c r="I21" s="36">
        <f t="shared" si="0"/>
        <v>0</v>
      </c>
    </row>
    <row r="22" spans="1:9" ht="14.5" x14ac:dyDescent="0.35">
      <c r="A22" s="137" t="s">
        <v>55</v>
      </c>
      <c r="B22" s="138" t="s">
        <v>46</v>
      </c>
      <c r="C22" s="421"/>
      <c r="D22" s="139" t="s">
        <v>159</v>
      </c>
      <c r="E22" s="140" t="s">
        <v>43</v>
      </c>
      <c r="F22" s="65">
        <v>0</v>
      </c>
      <c r="G22" s="141">
        <v>500</v>
      </c>
      <c r="H22" s="143">
        <f t="shared" si="1"/>
        <v>0</v>
      </c>
      <c r="I22" s="134">
        <f t="shared" si="0"/>
        <v>0</v>
      </c>
    </row>
    <row r="23" spans="1:9" ht="14.5" x14ac:dyDescent="0.35">
      <c r="A23" s="29" t="s">
        <v>55</v>
      </c>
      <c r="B23" s="30" t="s">
        <v>46</v>
      </c>
      <c r="C23" s="421"/>
      <c r="D23" s="31" t="s">
        <v>160</v>
      </c>
      <c r="E23" s="32" t="s">
        <v>43</v>
      </c>
      <c r="F23" s="65">
        <v>0</v>
      </c>
      <c r="G23" s="34">
        <v>1000</v>
      </c>
      <c r="H23" s="35">
        <f t="shared" si="1"/>
        <v>0</v>
      </c>
      <c r="I23" s="36">
        <f t="shared" si="0"/>
        <v>0</v>
      </c>
    </row>
    <row r="24" spans="1:9" ht="15.75" customHeight="1" x14ac:dyDescent="0.35">
      <c r="A24" s="137" t="s">
        <v>55</v>
      </c>
      <c r="B24" s="138" t="s">
        <v>46</v>
      </c>
      <c r="C24" s="421"/>
      <c r="D24" s="142" t="s">
        <v>161</v>
      </c>
      <c r="E24" s="140" t="s">
        <v>43</v>
      </c>
      <c r="F24" s="65">
        <v>0</v>
      </c>
      <c r="G24" s="141">
        <v>1500</v>
      </c>
      <c r="H24" s="143">
        <f t="shared" si="1"/>
        <v>0</v>
      </c>
      <c r="I24" s="134">
        <f t="shared" si="0"/>
        <v>0</v>
      </c>
    </row>
    <row r="25" spans="1:9" ht="15.75" customHeight="1" x14ac:dyDescent="0.35">
      <c r="A25" s="29" t="s">
        <v>55</v>
      </c>
      <c r="B25" s="30" t="s">
        <v>46</v>
      </c>
      <c r="C25" s="421"/>
      <c r="D25" s="31" t="s">
        <v>162</v>
      </c>
      <c r="E25" s="32" t="s">
        <v>43</v>
      </c>
      <c r="F25" s="65">
        <v>0</v>
      </c>
      <c r="G25" s="34">
        <v>2000</v>
      </c>
      <c r="H25" s="35">
        <f t="shared" si="1"/>
        <v>0</v>
      </c>
      <c r="I25" s="36">
        <f t="shared" si="0"/>
        <v>0</v>
      </c>
    </row>
    <row r="26" spans="1:9" ht="15.75" customHeight="1" x14ac:dyDescent="0.35">
      <c r="A26" s="144" t="s">
        <v>55</v>
      </c>
      <c r="B26" s="145" t="s">
        <v>46</v>
      </c>
      <c r="C26" s="422"/>
      <c r="D26" s="146" t="s">
        <v>163</v>
      </c>
      <c r="E26" s="147" t="s">
        <v>43</v>
      </c>
      <c r="F26" s="66">
        <v>0</v>
      </c>
      <c r="G26" s="148">
        <v>2500</v>
      </c>
      <c r="H26" s="149">
        <f t="shared" si="1"/>
        <v>0</v>
      </c>
      <c r="I26" s="150">
        <f t="shared" si="0"/>
        <v>0</v>
      </c>
    </row>
    <row r="27" spans="1:9" ht="15.75" customHeight="1" x14ac:dyDescent="0.35">
      <c r="A27" s="151" t="s">
        <v>57</v>
      </c>
      <c r="B27" s="152">
        <v>3</v>
      </c>
      <c r="C27" s="433" t="s">
        <v>167</v>
      </c>
      <c r="D27" s="153">
        <v>100</v>
      </c>
      <c r="E27" s="154" t="s">
        <v>43</v>
      </c>
      <c r="F27" s="64">
        <v>0</v>
      </c>
      <c r="G27" s="155">
        <v>100</v>
      </c>
      <c r="H27" s="156">
        <f t="shared" si="1"/>
        <v>0</v>
      </c>
      <c r="I27" s="157">
        <f t="shared" si="0"/>
        <v>0</v>
      </c>
    </row>
    <row r="28" spans="1:9" ht="15.75" customHeight="1" x14ac:dyDescent="0.35">
      <c r="A28" s="158" t="s">
        <v>57</v>
      </c>
      <c r="B28" s="159">
        <v>3</v>
      </c>
      <c r="C28" s="421"/>
      <c r="D28" s="139" t="s">
        <v>158</v>
      </c>
      <c r="E28" s="140" t="s">
        <v>43</v>
      </c>
      <c r="F28" s="65">
        <v>0</v>
      </c>
      <c r="G28" s="141">
        <v>200</v>
      </c>
      <c r="H28" s="143">
        <f t="shared" si="1"/>
        <v>0</v>
      </c>
      <c r="I28" s="134">
        <f t="shared" si="0"/>
        <v>0</v>
      </c>
    </row>
    <row r="29" spans="1:9" ht="15.75" customHeight="1" x14ac:dyDescent="0.35">
      <c r="A29" s="29" t="s">
        <v>57</v>
      </c>
      <c r="B29" s="30">
        <v>3</v>
      </c>
      <c r="C29" s="421"/>
      <c r="D29" s="135" t="s">
        <v>159</v>
      </c>
      <c r="E29" s="32" t="s">
        <v>43</v>
      </c>
      <c r="F29" s="65">
        <v>0</v>
      </c>
      <c r="G29" s="34">
        <v>500</v>
      </c>
      <c r="H29" s="35">
        <f t="shared" si="1"/>
        <v>0</v>
      </c>
      <c r="I29" s="36">
        <f t="shared" si="0"/>
        <v>0</v>
      </c>
    </row>
    <row r="30" spans="1:9" ht="15.75" customHeight="1" x14ac:dyDescent="0.35">
      <c r="A30" s="137" t="s">
        <v>57</v>
      </c>
      <c r="B30" s="138">
        <v>3</v>
      </c>
      <c r="C30" s="421"/>
      <c r="D30" s="142" t="s">
        <v>160</v>
      </c>
      <c r="E30" s="140" t="s">
        <v>43</v>
      </c>
      <c r="F30" s="65">
        <v>0</v>
      </c>
      <c r="G30" s="141">
        <v>1000</v>
      </c>
      <c r="H30" s="143">
        <f t="shared" si="1"/>
        <v>0</v>
      </c>
      <c r="I30" s="134">
        <f t="shared" si="0"/>
        <v>0</v>
      </c>
    </row>
    <row r="31" spans="1:9" ht="15.75" customHeight="1" x14ac:dyDescent="0.35">
      <c r="A31" s="29" t="s">
        <v>57</v>
      </c>
      <c r="B31" s="30">
        <v>3</v>
      </c>
      <c r="C31" s="421"/>
      <c r="D31" s="31" t="s">
        <v>161</v>
      </c>
      <c r="E31" s="32" t="s">
        <v>43</v>
      </c>
      <c r="F31" s="65">
        <v>0</v>
      </c>
      <c r="G31" s="34">
        <v>1500</v>
      </c>
      <c r="H31" s="35">
        <f t="shared" si="1"/>
        <v>0</v>
      </c>
      <c r="I31" s="36">
        <f t="shared" si="0"/>
        <v>0</v>
      </c>
    </row>
    <row r="32" spans="1:9" ht="15.75" customHeight="1" x14ac:dyDescent="0.35">
      <c r="A32" s="137" t="s">
        <v>57</v>
      </c>
      <c r="B32" s="138">
        <v>3</v>
      </c>
      <c r="C32" s="421"/>
      <c r="D32" s="142" t="s">
        <v>162</v>
      </c>
      <c r="E32" s="140" t="s">
        <v>43</v>
      </c>
      <c r="F32" s="65">
        <v>0</v>
      </c>
      <c r="G32" s="141">
        <v>2000</v>
      </c>
      <c r="H32" s="143">
        <f t="shared" si="1"/>
        <v>0</v>
      </c>
      <c r="I32" s="134">
        <f t="shared" si="0"/>
        <v>0</v>
      </c>
    </row>
    <row r="33" spans="1:9" ht="15.75" customHeight="1" x14ac:dyDescent="0.35">
      <c r="A33" s="47" t="s">
        <v>57</v>
      </c>
      <c r="B33" s="48">
        <v>3</v>
      </c>
      <c r="C33" s="422"/>
      <c r="D33" s="49" t="s">
        <v>163</v>
      </c>
      <c r="E33" s="50" t="s">
        <v>43</v>
      </c>
      <c r="F33" s="66">
        <v>0</v>
      </c>
      <c r="G33" s="52">
        <v>2500</v>
      </c>
      <c r="H33" s="53">
        <f t="shared" si="1"/>
        <v>0</v>
      </c>
      <c r="I33" s="54">
        <f t="shared" si="0"/>
        <v>0</v>
      </c>
    </row>
    <row r="34" spans="1:9" ht="15.75" customHeight="1" x14ac:dyDescent="0.35">
      <c r="A34" s="161" t="s">
        <v>59</v>
      </c>
      <c r="B34" s="162" t="s">
        <v>49</v>
      </c>
      <c r="C34" s="434" t="s">
        <v>168</v>
      </c>
      <c r="D34" s="131">
        <v>100</v>
      </c>
      <c r="E34" s="163" t="s">
        <v>43</v>
      </c>
      <c r="F34" s="64">
        <v>0</v>
      </c>
      <c r="G34" s="132">
        <v>100</v>
      </c>
      <c r="H34" s="164">
        <f t="shared" si="1"/>
        <v>0</v>
      </c>
      <c r="I34" s="165">
        <f t="shared" si="0"/>
        <v>0</v>
      </c>
    </row>
    <row r="35" spans="1:9" ht="15.75" customHeight="1" x14ac:dyDescent="0.35">
      <c r="A35" s="166" t="s">
        <v>59</v>
      </c>
      <c r="B35" s="167" t="s">
        <v>49</v>
      </c>
      <c r="C35" s="421"/>
      <c r="D35" s="135" t="s">
        <v>158</v>
      </c>
      <c r="E35" s="32" t="s">
        <v>43</v>
      </c>
      <c r="F35" s="65">
        <v>0</v>
      </c>
      <c r="G35" s="34">
        <v>200</v>
      </c>
      <c r="H35" s="35">
        <f t="shared" si="1"/>
        <v>0</v>
      </c>
      <c r="I35" s="36">
        <f t="shared" si="0"/>
        <v>0</v>
      </c>
    </row>
    <row r="36" spans="1:9" ht="15.75" customHeight="1" x14ac:dyDescent="0.35">
      <c r="A36" s="137" t="s">
        <v>59</v>
      </c>
      <c r="B36" s="138" t="s">
        <v>49</v>
      </c>
      <c r="C36" s="421"/>
      <c r="D36" s="139" t="s">
        <v>159</v>
      </c>
      <c r="E36" s="140" t="s">
        <v>43</v>
      </c>
      <c r="F36" s="65">
        <v>0</v>
      </c>
      <c r="G36" s="141">
        <v>500</v>
      </c>
      <c r="H36" s="143">
        <f t="shared" si="1"/>
        <v>0</v>
      </c>
      <c r="I36" s="134">
        <f t="shared" si="0"/>
        <v>0</v>
      </c>
    </row>
    <row r="37" spans="1:9" ht="15.75" customHeight="1" x14ac:dyDescent="0.35">
      <c r="A37" s="29" t="s">
        <v>59</v>
      </c>
      <c r="B37" s="30" t="s">
        <v>49</v>
      </c>
      <c r="C37" s="421"/>
      <c r="D37" s="31" t="s">
        <v>160</v>
      </c>
      <c r="E37" s="32" t="s">
        <v>43</v>
      </c>
      <c r="F37" s="65">
        <v>0</v>
      </c>
      <c r="G37" s="34">
        <v>1000</v>
      </c>
      <c r="H37" s="35">
        <f t="shared" si="1"/>
        <v>0</v>
      </c>
      <c r="I37" s="36">
        <f t="shared" si="0"/>
        <v>0</v>
      </c>
    </row>
    <row r="38" spans="1:9" ht="15.75" customHeight="1" x14ac:dyDescent="0.35">
      <c r="A38" s="137" t="s">
        <v>59</v>
      </c>
      <c r="B38" s="138" t="s">
        <v>49</v>
      </c>
      <c r="C38" s="421"/>
      <c r="D38" s="142" t="s">
        <v>161</v>
      </c>
      <c r="E38" s="140" t="s">
        <v>43</v>
      </c>
      <c r="F38" s="65">
        <v>0</v>
      </c>
      <c r="G38" s="141">
        <v>1500</v>
      </c>
      <c r="H38" s="143">
        <f t="shared" si="1"/>
        <v>0</v>
      </c>
      <c r="I38" s="134">
        <f t="shared" si="0"/>
        <v>0</v>
      </c>
    </row>
    <row r="39" spans="1:9" ht="15.75" customHeight="1" x14ac:dyDescent="0.35">
      <c r="A39" s="29" t="s">
        <v>59</v>
      </c>
      <c r="B39" s="30" t="s">
        <v>49</v>
      </c>
      <c r="C39" s="421"/>
      <c r="D39" s="31" t="s">
        <v>162</v>
      </c>
      <c r="E39" s="32" t="s">
        <v>43</v>
      </c>
      <c r="F39" s="65">
        <v>0</v>
      </c>
      <c r="G39" s="34">
        <v>2000</v>
      </c>
      <c r="H39" s="35">
        <f t="shared" si="1"/>
        <v>0</v>
      </c>
      <c r="I39" s="36">
        <f t="shared" si="0"/>
        <v>0</v>
      </c>
    </row>
    <row r="40" spans="1:9" ht="15.75" customHeight="1" x14ac:dyDescent="0.35">
      <c r="A40" s="144" t="s">
        <v>59</v>
      </c>
      <c r="B40" s="145" t="s">
        <v>49</v>
      </c>
      <c r="C40" s="422"/>
      <c r="D40" s="146" t="s">
        <v>163</v>
      </c>
      <c r="E40" s="147" t="s">
        <v>43</v>
      </c>
      <c r="F40" s="66">
        <v>0</v>
      </c>
      <c r="G40" s="148">
        <v>2500</v>
      </c>
      <c r="H40" s="149">
        <f t="shared" si="1"/>
        <v>0</v>
      </c>
      <c r="I40" s="150">
        <f t="shared" si="0"/>
        <v>0</v>
      </c>
    </row>
    <row r="41" spans="1:9" ht="15.75" customHeight="1" x14ac:dyDescent="0.35">
      <c r="A41" s="151" t="s">
        <v>61</v>
      </c>
      <c r="B41" s="152">
        <v>4</v>
      </c>
      <c r="C41" s="433" t="s">
        <v>169</v>
      </c>
      <c r="D41" s="153">
        <v>100</v>
      </c>
      <c r="E41" s="154" t="s">
        <v>43</v>
      </c>
      <c r="F41" s="64">
        <v>0</v>
      </c>
      <c r="G41" s="155">
        <v>100</v>
      </c>
      <c r="H41" s="156">
        <f t="shared" si="1"/>
        <v>0</v>
      </c>
      <c r="I41" s="157">
        <f t="shared" si="0"/>
        <v>0</v>
      </c>
    </row>
    <row r="42" spans="1:9" ht="15.75" customHeight="1" x14ac:dyDescent="0.35">
      <c r="A42" s="158" t="s">
        <v>61</v>
      </c>
      <c r="B42" s="159">
        <v>4</v>
      </c>
      <c r="C42" s="421"/>
      <c r="D42" s="139" t="s">
        <v>158</v>
      </c>
      <c r="E42" s="140" t="s">
        <v>43</v>
      </c>
      <c r="F42" s="65">
        <v>0</v>
      </c>
      <c r="G42" s="141">
        <v>200</v>
      </c>
      <c r="H42" s="143">
        <f t="shared" si="1"/>
        <v>0</v>
      </c>
      <c r="I42" s="134">
        <f t="shared" si="0"/>
        <v>0</v>
      </c>
    </row>
    <row r="43" spans="1:9" ht="15.75" customHeight="1" x14ac:dyDescent="0.35">
      <c r="A43" s="29" t="s">
        <v>61</v>
      </c>
      <c r="B43" s="30">
        <v>4</v>
      </c>
      <c r="C43" s="421"/>
      <c r="D43" s="135" t="s">
        <v>159</v>
      </c>
      <c r="E43" s="32" t="s">
        <v>43</v>
      </c>
      <c r="F43" s="65">
        <v>0</v>
      </c>
      <c r="G43" s="34">
        <v>500</v>
      </c>
      <c r="H43" s="35">
        <f t="shared" si="1"/>
        <v>0</v>
      </c>
      <c r="I43" s="36">
        <f t="shared" si="0"/>
        <v>0</v>
      </c>
    </row>
    <row r="44" spans="1:9" ht="15.75" customHeight="1" x14ac:dyDescent="0.35">
      <c r="A44" s="137" t="s">
        <v>61</v>
      </c>
      <c r="B44" s="138">
        <v>4</v>
      </c>
      <c r="C44" s="421"/>
      <c r="D44" s="142" t="s">
        <v>160</v>
      </c>
      <c r="E44" s="140" t="s">
        <v>43</v>
      </c>
      <c r="F44" s="65">
        <v>0</v>
      </c>
      <c r="G44" s="141">
        <v>1000</v>
      </c>
      <c r="H44" s="143">
        <f t="shared" si="1"/>
        <v>0</v>
      </c>
      <c r="I44" s="134">
        <f t="shared" si="0"/>
        <v>0</v>
      </c>
    </row>
    <row r="45" spans="1:9" ht="15.75" customHeight="1" x14ac:dyDescent="0.35">
      <c r="A45" s="29" t="s">
        <v>61</v>
      </c>
      <c r="B45" s="30">
        <v>4</v>
      </c>
      <c r="C45" s="421"/>
      <c r="D45" s="31" t="s">
        <v>161</v>
      </c>
      <c r="E45" s="32" t="s">
        <v>43</v>
      </c>
      <c r="F45" s="65">
        <v>0</v>
      </c>
      <c r="G45" s="34">
        <v>1500</v>
      </c>
      <c r="H45" s="35">
        <f t="shared" si="1"/>
        <v>0</v>
      </c>
      <c r="I45" s="36">
        <f t="shared" si="0"/>
        <v>0</v>
      </c>
    </row>
    <row r="46" spans="1:9" ht="15.75" customHeight="1" x14ac:dyDescent="0.35">
      <c r="A46" s="137" t="s">
        <v>61</v>
      </c>
      <c r="B46" s="138">
        <v>4</v>
      </c>
      <c r="C46" s="421"/>
      <c r="D46" s="142" t="s">
        <v>162</v>
      </c>
      <c r="E46" s="140" t="s">
        <v>43</v>
      </c>
      <c r="F46" s="65">
        <v>0</v>
      </c>
      <c r="G46" s="141">
        <v>2000</v>
      </c>
      <c r="H46" s="143">
        <f t="shared" si="1"/>
        <v>0</v>
      </c>
      <c r="I46" s="134">
        <f t="shared" si="0"/>
        <v>0</v>
      </c>
    </row>
    <row r="47" spans="1:9" ht="15.75" customHeight="1" x14ac:dyDescent="0.35">
      <c r="A47" s="47" t="s">
        <v>61</v>
      </c>
      <c r="B47" s="48">
        <v>4</v>
      </c>
      <c r="C47" s="422"/>
      <c r="D47" s="49" t="s">
        <v>163</v>
      </c>
      <c r="E47" s="50" t="s">
        <v>43</v>
      </c>
      <c r="F47" s="66">
        <v>0</v>
      </c>
      <c r="G47" s="52">
        <v>2500</v>
      </c>
      <c r="H47" s="53">
        <f t="shared" si="1"/>
        <v>0</v>
      </c>
      <c r="I47" s="54">
        <f t="shared" si="0"/>
        <v>0</v>
      </c>
    </row>
    <row r="48" spans="1:9" ht="15.75" customHeight="1" x14ac:dyDescent="0.35">
      <c r="A48" s="161" t="s">
        <v>63</v>
      </c>
      <c r="B48" s="162" t="s">
        <v>53</v>
      </c>
      <c r="C48" s="434" t="s">
        <v>170</v>
      </c>
      <c r="D48" s="131">
        <v>100</v>
      </c>
      <c r="E48" s="163" t="s">
        <v>43</v>
      </c>
      <c r="F48" s="64">
        <v>0</v>
      </c>
      <c r="G48" s="132">
        <v>100</v>
      </c>
      <c r="H48" s="164">
        <f t="shared" si="1"/>
        <v>0</v>
      </c>
      <c r="I48" s="165">
        <f t="shared" si="0"/>
        <v>0</v>
      </c>
    </row>
    <row r="49" spans="1:9" ht="15.75" customHeight="1" x14ac:dyDescent="0.35">
      <c r="A49" s="166" t="s">
        <v>63</v>
      </c>
      <c r="B49" s="167" t="s">
        <v>53</v>
      </c>
      <c r="C49" s="421"/>
      <c r="D49" s="135" t="s">
        <v>158</v>
      </c>
      <c r="E49" s="32" t="s">
        <v>43</v>
      </c>
      <c r="F49" s="65">
        <v>0</v>
      </c>
      <c r="G49" s="34">
        <v>200</v>
      </c>
      <c r="H49" s="35">
        <f t="shared" si="1"/>
        <v>0</v>
      </c>
      <c r="I49" s="36">
        <f t="shared" si="0"/>
        <v>0</v>
      </c>
    </row>
    <row r="50" spans="1:9" ht="15.75" customHeight="1" x14ac:dyDescent="0.35">
      <c r="A50" s="137" t="s">
        <v>63</v>
      </c>
      <c r="B50" s="138" t="s">
        <v>53</v>
      </c>
      <c r="C50" s="421"/>
      <c r="D50" s="139" t="s">
        <v>159</v>
      </c>
      <c r="E50" s="140" t="s">
        <v>43</v>
      </c>
      <c r="F50" s="65">
        <v>0</v>
      </c>
      <c r="G50" s="141">
        <v>500</v>
      </c>
      <c r="H50" s="143">
        <f t="shared" si="1"/>
        <v>0</v>
      </c>
      <c r="I50" s="134">
        <f t="shared" si="0"/>
        <v>0</v>
      </c>
    </row>
    <row r="51" spans="1:9" ht="15.75" customHeight="1" x14ac:dyDescent="0.35">
      <c r="A51" s="29" t="s">
        <v>63</v>
      </c>
      <c r="B51" s="30" t="s">
        <v>53</v>
      </c>
      <c r="C51" s="421"/>
      <c r="D51" s="31" t="s">
        <v>160</v>
      </c>
      <c r="E51" s="32" t="s">
        <v>43</v>
      </c>
      <c r="F51" s="65">
        <v>0</v>
      </c>
      <c r="G51" s="34">
        <v>1000</v>
      </c>
      <c r="H51" s="35">
        <f t="shared" si="1"/>
        <v>0</v>
      </c>
      <c r="I51" s="36">
        <f t="shared" si="0"/>
        <v>0</v>
      </c>
    </row>
    <row r="52" spans="1:9" ht="15.75" customHeight="1" x14ac:dyDescent="0.35">
      <c r="A52" s="137" t="s">
        <v>63</v>
      </c>
      <c r="B52" s="138" t="s">
        <v>53</v>
      </c>
      <c r="C52" s="421"/>
      <c r="D52" s="142" t="s">
        <v>161</v>
      </c>
      <c r="E52" s="140" t="s">
        <v>43</v>
      </c>
      <c r="F52" s="65">
        <v>0</v>
      </c>
      <c r="G52" s="141">
        <v>1500</v>
      </c>
      <c r="H52" s="143">
        <f t="shared" si="1"/>
        <v>0</v>
      </c>
      <c r="I52" s="134">
        <f t="shared" si="0"/>
        <v>0</v>
      </c>
    </row>
    <row r="53" spans="1:9" ht="15.75" customHeight="1" x14ac:dyDescent="0.35">
      <c r="A53" s="29" t="s">
        <v>63</v>
      </c>
      <c r="B53" s="30" t="s">
        <v>53</v>
      </c>
      <c r="C53" s="421"/>
      <c r="D53" s="31" t="s">
        <v>162</v>
      </c>
      <c r="E53" s="32" t="s">
        <v>43</v>
      </c>
      <c r="F53" s="65">
        <v>0</v>
      </c>
      <c r="G53" s="34">
        <v>2000</v>
      </c>
      <c r="H53" s="35">
        <f t="shared" si="1"/>
        <v>0</v>
      </c>
      <c r="I53" s="36">
        <f t="shared" si="0"/>
        <v>0</v>
      </c>
    </row>
    <row r="54" spans="1:9" ht="15.75" customHeight="1" x14ac:dyDescent="0.35">
      <c r="A54" s="144" t="s">
        <v>63</v>
      </c>
      <c r="B54" s="145" t="s">
        <v>53</v>
      </c>
      <c r="C54" s="422"/>
      <c r="D54" s="146" t="s">
        <v>163</v>
      </c>
      <c r="E54" s="147" t="s">
        <v>43</v>
      </c>
      <c r="F54" s="66">
        <v>0</v>
      </c>
      <c r="G54" s="148">
        <v>2500</v>
      </c>
      <c r="H54" s="149">
        <f t="shared" si="1"/>
        <v>0</v>
      </c>
      <c r="I54" s="150">
        <f t="shared" si="0"/>
        <v>0</v>
      </c>
    </row>
    <row r="55" spans="1:9" ht="15.75" customHeight="1" x14ac:dyDescent="0.35"/>
    <row r="56" spans="1:9" ht="15.75" customHeight="1" x14ac:dyDescent="0.35"/>
    <row r="57" spans="1:9" ht="15.75" customHeight="1" x14ac:dyDescent="0.35"/>
    <row r="58" spans="1:9" ht="15.75" customHeight="1" x14ac:dyDescent="0.35"/>
    <row r="59" spans="1:9" ht="15.75" customHeight="1" x14ac:dyDescent="0.35"/>
    <row r="60" spans="1:9" ht="15.75" customHeight="1" x14ac:dyDescent="0.35"/>
    <row r="61" spans="1:9" ht="15.75" customHeight="1" x14ac:dyDescent="0.35"/>
    <row r="62" spans="1:9" ht="15.75" customHeight="1" x14ac:dyDescent="0.35"/>
    <row r="63" spans="1:9" ht="15.75" customHeight="1" x14ac:dyDescent="0.35"/>
    <row r="64" spans="1:9"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sheetData>
  <mergeCells count="9">
    <mergeCell ref="C41:C47"/>
    <mergeCell ref="C48:C54"/>
    <mergeCell ref="A4:F4"/>
    <mergeCell ref="G4:I4"/>
    <mergeCell ref="C6:C12"/>
    <mergeCell ref="C13:C19"/>
    <mergeCell ref="C20:C26"/>
    <mergeCell ref="C27:C33"/>
    <mergeCell ref="C34:C40"/>
  </mergeCell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6328125" defaultRowHeight="15" customHeight="1" x14ac:dyDescent="0.35"/>
  <cols>
    <col min="1" max="1" width="10.6328125" customWidth="1"/>
    <col min="2" max="2" width="12.36328125" customWidth="1"/>
    <col min="3" max="3" width="27.90625" customWidth="1"/>
    <col min="4" max="4" width="14.36328125" customWidth="1"/>
    <col min="5" max="7" width="8.6328125" customWidth="1"/>
    <col min="8" max="8" width="15.36328125" customWidth="1"/>
    <col min="9" max="9" width="18" customWidth="1"/>
    <col min="10" max="10" width="10.26953125" customWidth="1"/>
    <col min="11" max="11" width="12.26953125" customWidth="1"/>
    <col min="12" max="12" width="41.36328125" customWidth="1"/>
    <col min="13" max="26" width="8.6328125" customWidth="1"/>
  </cols>
  <sheetData>
    <row r="1" spans="1:12" ht="18.5" x14ac:dyDescent="0.45">
      <c r="A1" s="10" t="s">
        <v>153</v>
      </c>
      <c r="B1" s="124"/>
      <c r="C1" s="124"/>
    </row>
    <row r="2" spans="1:12" ht="18" x14ac:dyDescent="0.4">
      <c r="A2" s="11" t="s">
        <v>120</v>
      </c>
      <c r="B2" s="124"/>
      <c r="C2" s="124"/>
    </row>
    <row r="3" spans="1:12" ht="16.5" customHeight="1" x14ac:dyDescent="0.4">
      <c r="A3" s="11"/>
      <c r="B3" s="124"/>
      <c r="C3" s="124"/>
    </row>
    <row r="4" spans="1:12" ht="18.5" x14ac:dyDescent="0.35">
      <c r="A4" s="435" t="s">
        <v>28</v>
      </c>
      <c r="B4" s="416"/>
      <c r="C4" s="416"/>
      <c r="D4" s="416"/>
      <c r="E4" s="416"/>
      <c r="F4" s="417"/>
      <c r="G4" s="436" t="s">
        <v>154</v>
      </c>
      <c r="H4" s="416"/>
      <c r="I4" s="419"/>
    </row>
    <row r="5" spans="1:12" ht="42.5" x14ac:dyDescent="0.35">
      <c r="A5" s="125" t="s">
        <v>155</v>
      </c>
      <c r="B5" s="126" t="s">
        <v>31</v>
      </c>
      <c r="C5" s="69" t="s">
        <v>32</v>
      </c>
      <c r="D5" s="50" t="s">
        <v>33</v>
      </c>
      <c r="E5" s="50" t="s">
        <v>34</v>
      </c>
      <c r="F5" s="69" t="s">
        <v>35</v>
      </c>
      <c r="G5" s="127" t="s">
        <v>36</v>
      </c>
      <c r="H5" s="69" t="s">
        <v>37</v>
      </c>
      <c r="I5" s="128" t="s">
        <v>38</v>
      </c>
      <c r="K5" s="18" t="s">
        <v>39</v>
      </c>
      <c r="L5" s="18" t="s">
        <v>171</v>
      </c>
    </row>
    <row r="6" spans="1:12" ht="15.75" customHeight="1" x14ac:dyDescent="0.35">
      <c r="A6" s="129">
        <v>1001</v>
      </c>
      <c r="B6" s="130">
        <v>1</v>
      </c>
      <c r="C6" s="434" t="s">
        <v>172</v>
      </c>
      <c r="D6" s="131">
        <v>100</v>
      </c>
      <c r="E6" s="131" t="s">
        <v>43</v>
      </c>
      <c r="F6" s="65">
        <v>0</v>
      </c>
      <c r="G6" s="132">
        <v>100</v>
      </c>
      <c r="H6" s="143">
        <f t="shared" ref="H6:H54" si="0">F6*G6</f>
        <v>0</v>
      </c>
      <c r="I6" s="134">
        <f t="shared" ref="I6:I54" si="1">H6*365</f>
        <v>0</v>
      </c>
      <c r="K6" s="18">
        <v>1</v>
      </c>
      <c r="L6" s="28">
        <f>SUM(I6:I12)</f>
        <v>0</v>
      </c>
    </row>
    <row r="7" spans="1:12" ht="14.5" x14ac:dyDescent="0.35">
      <c r="A7" s="29">
        <v>1001</v>
      </c>
      <c r="B7" s="30">
        <v>1</v>
      </c>
      <c r="C7" s="421"/>
      <c r="D7" s="135" t="s">
        <v>158</v>
      </c>
      <c r="E7" s="32" t="s">
        <v>43</v>
      </c>
      <c r="F7" s="65">
        <v>0</v>
      </c>
      <c r="G7" s="34">
        <v>200</v>
      </c>
      <c r="H7" s="35">
        <f t="shared" si="0"/>
        <v>0</v>
      </c>
      <c r="I7" s="36">
        <f t="shared" si="1"/>
        <v>0</v>
      </c>
      <c r="K7" s="18">
        <v>2</v>
      </c>
      <c r="L7" s="28">
        <f>SUM(I13:I19)</f>
        <v>0</v>
      </c>
    </row>
    <row r="8" spans="1:12" ht="14.5" x14ac:dyDescent="0.35">
      <c r="A8" s="137">
        <v>1001</v>
      </c>
      <c r="B8" s="138">
        <v>1</v>
      </c>
      <c r="C8" s="421"/>
      <c r="D8" s="139" t="s">
        <v>159</v>
      </c>
      <c r="E8" s="140" t="s">
        <v>43</v>
      </c>
      <c r="F8" s="65">
        <v>0</v>
      </c>
      <c r="G8" s="141">
        <v>500</v>
      </c>
      <c r="H8" s="143">
        <f t="shared" si="0"/>
        <v>0</v>
      </c>
      <c r="I8" s="134">
        <f t="shared" si="1"/>
        <v>0</v>
      </c>
      <c r="K8" s="18" t="s">
        <v>46</v>
      </c>
      <c r="L8" s="28">
        <f>SUM(I20:I26)</f>
        <v>0</v>
      </c>
    </row>
    <row r="9" spans="1:12" ht="14.5" x14ac:dyDescent="0.35">
      <c r="A9" s="29">
        <v>1001</v>
      </c>
      <c r="B9" s="30">
        <v>1</v>
      </c>
      <c r="C9" s="421"/>
      <c r="D9" s="31" t="s">
        <v>160</v>
      </c>
      <c r="E9" s="32" t="s">
        <v>43</v>
      </c>
      <c r="F9" s="65">
        <v>0</v>
      </c>
      <c r="G9" s="34">
        <v>1000</v>
      </c>
      <c r="H9" s="35">
        <f t="shared" si="0"/>
        <v>0</v>
      </c>
      <c r="I9" s="36">
        <f t="shared" si="1"/>
        <v>0</v>
      </c>
      <c r="K9" s="18">
        <v>3</v>
      </c>
      <c r="L9" s="28">
        <f>SUM(I27:I33)</f>
        <v>0</v>
      </c>
    </row>
    <row r="10" spans="1:12" ht="14.5" x14ac:dyDescent="0.35">
      <c r="A10" s="137">
        <v>1001</v>
      </c>
      <c r="B10" s="138">
        <v>1</v>
      </c>
      <c r="C10" s="421"/>
      <c r="D10" s="142" t="s">
        <v>161</v>
      </c>
      <c r="E10" s="140" t="s">
        <v>43</v>
      </c>
      <c r="F10" s="65">
        <v>0</v>
      </c>
      <c r="G10" s="141">
        <v>1500</v>
      </c>
      <c r="H10" s="143">
        <f t="shared" si="0"/>
        <v>0</v>
      </c>
      <c r="I10" s="134">
        <f t="shared" si="1"/>
        <v>0</v>
      </c>
      <c r="K10" s="18" t="s">
        <v>49</v>
      </c>
      <c r="L10" s="28">
        <f>SUM(I34:I40)</f>
        <v>0</v>
      </c>
    </row>
    <row r="11" spans="1:12" ht="14.5" x14ac:dyDescent="0.35">
      <c r="A11" s="29">
        <v>1001</v>
      </c>
      <c r="B11" s="30">
        <v>1</v>
      </c>
      <c r="C11" s="421"/>
      <c r="D11" s="31" t="s">
        <v>162</v>
      </c>
      <c r="E11" s="32" t="s">
        <v>43</v>
      </c>
      <c r="F11" s="65">
        <v>0</v>
      </c>
      <c r="G11" s="34">
        <v>2000</v>
      </c>
      <c r="H11" s="35">
        <f t="shared" si="0"/>
        <v>0</v>
      </c>
      <c r="I11" s="36">
        <f t="shared" si="1"/>
        <v>0</v>
      </c>
      <c r="K11" s="18">
        <v>4</v>
      </c>
      <c r="L11" s="46">
        <f>SUM(I41:I47)</f>
        <v>0</v>
      </c>
    </row>
    <row r="12" spans="1:12" ht="15.75" customHeight="1" x14ac:dyDescent="0.35">
      <c r="A12" s="144">
        <v>1001</v>
      </c>
      <c r="B12" s="145">
        <v>1</v>
      </c>
      <c r="C12" s="422"/>
      <c r="D12" s="146" t="s">
        <v>163</v>
      </c>
      <c r="E12" s="147" t="s">
        <v>43</v>
      </c>
      <c r="F12" s="66">
        <v>0</v>
      </c>
      <c r="G12" s="148">
        <v>2500</v>
      </c>
      <c r="H12" s="149">
        <f t="shared" si="0"/>
        <v>0</v>
      </c>
      <c r="I12" s="150">
        <f t="shared" si="1"/>
        <v>0</v>
      </c>
      <c r="K12" s="168" t="s">
        <v>53</v>
      </c>
      <c r="L12" s="169">
        <f>SUM(I48:I54)</f>
        <v>0</v>
      </c>
    </row>
    <row r="13" spans="1:12" ht="14.5" x14ac:dyDescent="0.35">
      <c r="A13" s="151">
        <v>1002</v>
      </c>
      <c r="B13" s="152">
        <v>2</v>
      </c>
      <c r="C13" s="433" t="s">
        <v>173</v>
      </c>
      <c r="D13" s="153">
        <v>100</v>
      </c>
      <c r="E13" s="154" t="s">
        <v>43</v>
      </c>
      <c r="F13" s="64">
        <v>0</v>
      </c>
      <c r="G13" s="155">
        <v>100</v>
      </c>
      <c r="H13" s="156">
        <f t="shared" si="0"/>
        <v>0</v>
      </c>
      <c r="I13" s="157">
        <f t="shared" si="1"/>
        <v>0</v>
      </c>
      <c r="K13" s="168" t="s">
        <v>165</v>
      </c>
      <c r="L13" s="170">
        <f>SUM(L6:L12)</f>
        <v>0</v>
      </c>
    </row>
    <row r="14" spans="1:12" ht="14.5" x14ac:dyDescent="0.35">
      <c r="A14" s="158">
        <v>1002</v>
      </c>
      <c r="B14" s="159">
        <v>2</v>
      </c>
      <c r="C14" s="421"/>
      <c r="D14" s="139" t="s">
        <v>158</v>
      </c>
      <c r="E14" s="140" t="s">
        <v>43</v>
      </c>
      <c r="F14" s="65">
        <v>0</v>
      </c>
      <c r="G14" s="141">
        <v>200</v>
      </c>
      <c r="H14" s="143">
        <f t="shared" si="0"/>
        <v>0</v>
      </c>
      <c r="I14" s="134">
        <f t="shared" si="1"/>
        <v>0</v>
      </c>
    </row>
    <row r="15" spans="1:12" ht="14.5" x14ac:dyDescent="0.35">
      <c r="A15" s="29">
        <v>1002</v>
      </c>
      <c r="B15" s="30">
        <v>2</v>
      </c>
      <c r="C15" s="421"/>
      <c r="D15" s="135" t="s">
        <v>159</v>
      </c>
      <c r="E15" s="32" t="s">
        <v>43</v>
      </c>
      <c r="F15" s="65">
        <v>0</v>
      </c>
      <c r="G15" s="34">
        <v>500</v>
      </c>
      <c r="H15" s="35">
        <f t="shared" si="0"/>
        <v>0</v>
      </c>
      <c r="I15" s="36">
        <f t="shared" si="1"/>
        <v>0</v>
      </c>
    </row>
    <row r="16" spans="1:12" ht="14.5" x14ac:dyDescent="0.35">
      <c r="A16" s="137">
        <v>1002</v>
      </c>
      <c r="B16" s="138">
        <v>2</v>
      </c>
      <c r="C16" s="421"/>
      <c r="D16" s="142" t="s">
        <v>160</v>
      </c>
      <c r="E16" s="140" t="s">
        <v>43</v>
      </c>
      <c r="F16" s="65">
        <v>0</v>
      </c>
      <c r="G16" s="141">
        <v>1000</v>
      </c>
      <c r="H16" s="143">
        <f t="shared" si="0"/>
        <v>0</v>
      </c>
      <c r="I16" s="134">
        <f t="shared" si="1"/>
        <v>0</v>
      </c>
    </row>
    <row r="17" spans="1:9" ht="14.5" x14ac:dyDescent="0.35">
      <c r="A17" s="29">
        <v>1002</v>
      </c>
      <c r="B17" s="30">
        <v>2</v>
      </c>
      <c r="C17" s="421"/>
      <c r="D17" s="31" t="s">
        <v>161</v>
      </c>
      <c r="E17" s="32" t="s">
        <v>43</v>
      </c>
      <c r="F17" s="65">
        <v>0</v>
      </c>
      <c r="G17" s="34">
        <v>1500</v>
      </c>
      <c r="H17" s="35">
        <f t="shared" si="0"/>
        <v>0</v>
      </c>
      <c r="I17" s="36">
        <f t="shared" si="1"/>
        <v>0</v>
      </c>
    </row>
    <row r="18" spans="1:9" ht="15.75" customHeight="1" x14ac:dyDescent="0.35">
      <c r="A18" s="137">
        <v>1002</v>
      </c>
      <c r="B18" s="138">
        <v>2</v>
      </c>
      <c r="C18" s="421"/>
      <c r="D18" s="142" t="s">
        <v>162</v>
      </c>
      <c r="E18" s="140" t="s">
        <v>43</v>
      </c>
      <c r="F18" s="65">
        <v>0</v>
      </c>
      <c r="G18" s="141">
        <v>2000</v>
      </c>
      <c r="H18" s="143">
        <f t="shared" si="0"/>
        <v>0</v>
      </c>
      <c r="I18" s="134">
        <f t="shared" si="1"/>
        <v>0</v>
      </c>
    </row>
    <row r="19" spans="1:9" ht="14.5" x14ac:dyDescent="0.35">
      <c r="A19" s="47">
        <v>1002</v>
      </c>
      <c r="B19" s="48">
        <v>2</v>
      </c>
      <c r="C19" s="422"/>
      <c r="D19" s="49" t="s">
        <v>163</v>
      </c>
      <c r="E19" s="50" t="s">
        <v>43</v>
      </c>
      <c r="F19" s="66">
        <v>0</v>
      </c>
      <c r="G19" s="52">
        <v>2500</v>
      </c>
      <c r="H19" s="53">
        <f t="shared" si="0"/>
        <v>0</v>
      </c>
      <c r="I19" s="54">
        <f t="shared" si="1"/>
        <v>0</v>
      </c>
    </row>
    <row r="20" spans="1:9" ht="14.5" x14ac:dyDescent="0.35">
      <c r="A20" s="161">
        <v>1003</v>
      </c>
      <c r="B20" s="162" t="s">
        <v>46</v>
      </c>
      <c r="C20" s="434" t="s">
        <v>174</v>
      </c>
      <c r="D20" s="131">
        <v>100</v>
      </c>
      <c r="E20" s="163" t="s">
        <v>43</v>
      </c>
      <c r="F20" s="64">
        <v>0</v>
      </c>
      <c r="G20" s="132">
        <v>100</v>
      </c>
      <c r="H20" s="164">
        <f t="shared" si="0"/>
        <v>0</v>
      </c>
      <c r="I20" s="165">
        <f t="shared" si="1"/>
        <v>0</v>
      </c>
    </row>
    <row r="21" spans="1:9" ht="15.75" customHeight="1" x14ac:dyDescent="0.35">
      <c r="A21" s="166">
        <v>1003</v>
      </c>
      <c r="B21" s="167" t="s">
        <v>46</v>
      </c>
      <c r="C21" s="421"/>
      <c r="D21" s="135" t="s">
        <v>158</v>
      </c>
      <c r="E21" s="32" t="s">
        <v>43</v>
      </c>
      <c r="F21" s="65">
        <v>0</v>
      </c>
      <c r="G21" s="34">
        <v>200</v>
      </c>
      <c r="H21" s="35">
        <f t="shared" si="0"/>
        <v>0</v>
      </c>
      <c r="I21" s="36">
        <f t="shared" si="1"/>
        <v>0</v>
      </c>
    </row>
    <row r="22" spans="1:9" ht="15.75" customHeight="1" x14ac:dyDescent="0.35">
      <c r="A22" s="137">
        <v>1003</v>
      </c>
      <c r="B22" s="138" t="s">
        <v>46</v>
      </c>
      <c r="C22" s="421"/>
      <c r="D22" s="139" t="s">
        <v>159</v>
      </c>
      <c r="E22" s="140" t="s">
        <v>43</v>
      </c>
      <c r="F22" s="65">
        <v>0</v>
      </c>
      <c r="G22" s="141">
        <v>500</v>
      </c>
      <c r="H22" s="143">
        <f t="shared" si="0"/>
        <v>0</v>
      </c>
      <c r="I22" s="134">
        <f t="shared" si="1"/>
        <v>0</v>
      </c>
    </row>
    <row r="23" spans="1:9" ht="15.75" customHeight="1" x14ac:dyDescent="0.35">
      <c r="A23" s="29">
        <v>1003</v>
      </c>
      <c r="B23" s="30" t="s">
        <v>46</v>
      </c>
      <c r="C23" s="421"/>
      <c r="D23" s="31" t="s">
        <v>160</v>
      </c>
      <c r="E23" s="32" t="s">
        <v>43</v>
      </c>
      <c r="F23" s="65">
        <v>0</v>
      </c>
      <c r="G23" s="34">
        <v>1000</v>
      </c>
      <c r="H23" s="35">
        <f t="shared" si="0"/>
        <v>0</v>
      </c>
      <c r="I23" s="36">
        <f t="shared" si="1"/>
        <v>0</v>
      </c>
    </row>
    <row r="24" spans="1:9" ht="15.75" customHeight="1" x14ac:dyDescent="0.35">
      <c r="A24" s="137">
        <v>1003</v>
      </c>
      <c r="B24" s="138" t="s">
        <v>46</v>
      </c>
      <c r="C24" s="421"/>
      <c r="D24" s="142" t="s">
        <v>161</v>
      </c>
      <c r="E24" s="140" t="s">
        <v>43</v>
      </c>
      <c r="F24" s="65">
        <v>0</v>
      </c>
      <c r="G24" s="141">
        <v>1500</v>
      </c>
      <c r="H24" s="143">
        <f t="shared" si="0"/>
        <v>0</v>
      </c>
      <c r="I24" s="134">
        <f t="shared" si="1"/>
        <v>0</v>
      </c>
    </row>
    <row r="25" spans="1:9" ht="15.75" customHeight="1" x14ac:dyDescent="0.35">
      <c r="A25" s="29">
        <v>1003</v>
      </c>
      <c r="B25" s="30" t="s">
        <v>46</v>
      </c>
      <c r="C25" s="421"/>
      <c r="D25" s="31" t="s">
        <v>162</v>
      </c>
      <c r="E25" s="32" t="s">
        <v>43</v>
      </c>
      <c r="F25" s="65">
        <v>0</v>
      </c>
      <c r="G25" s="34">
        <v>2000</v>
      </c>
      <c r="H25" s="35">
        <f t="shared" si="0"/>
        <v>0</v>
      </c>
      <c r="I25" s="36">
        <f t="shared" si="1"/>
        <v>0</v>
      </c>
    </row>
    <row r="26" spans="1:9" ht="15.75" customHeight="1" x14ac:dyDescent="0.35">
      <c r="A26" s="144">
        <v>1003</v>
      </c>
      <c r="B26" s="145" t="s">
        <v>46</v>
      </c>
      <c r="C26" s="422"/>
      <c r="D26" s="146" t="s">
        <v>163</v>
      </c>
      <c r="E26" s="147" t="s">
        <v>43</v>
      </c>
      <c r="F26" s="66">
        <v>0</v>
      </c>
      <c r="G26" s="148">
        <v>2500</v>
      </c>
      <c r="H26" s="149">
        <f t="shared" si="0"/>
        <v>0</v>
      </c>
      <c r="I26" s="150">
        <f t="shared" si="1"/>
        <v>0</v>
      </c>
    </row>
    <row r="27" spans="1:9" ht="15.75" customHeight="1" x14ac:dyDescent="0.35">
      <c r="A27" s="151">
        <v>1004</v>
      </c>
      <c r="B27" s="152">
        <v>3</v>
      </c>
      <c r="C27" s="433" t="s">
        <v>175</v>
      </c>
      <c r="D27" s="153">
        <v>100</v>
      </c>
      <c r="E27" s="154" t="s">
        <v>43</v>
      </c>
      <c r="F27" s="64">
        <v>0</v>
      </c>
      <c r="G27" s="155">
        <v>100</v>
      </c>
      <c r="H27" s="156">
        <f t="shared" si="0"/>
        <v>0</v>
      </c>
      <c r="I27" s="157">
        <f t="shared" si="1"/>
        <v>0</v>
      </c>
    </row>
    <row r="28" spans="1:9" ht="15.75" customHeight="1" x14ac:dyDescent="0.35">
      <c r="A28" s="158">
        <v>1004</v>
      </c>
      <c r="B28" s="159">
        <v>3</v>
      </c>
      <c r="C28" s="421"/>
      <c r="D28" s="139" t="s">
        <v>158</v>
      </c>
      <c r="E28" s="140" t="s">
        <v>43</v>
      </c>
      <c r="F28" s="65">
        <v>0</v>
      </c>
      <c r="G28" s="141">
        <v>200</v>
      </c>
      <c r="H28" s="143">
        <f t="shared" si="0"/>
        <v>0</v>
      </c>
      <c r="I28" s="134">
        <f t="shared" si="1"/>
        <v>0</v>
      </c>
    </row>
    <row r="29" spans="1:9" ht="15.75" customHeight="1" x14ac:dyDescent="0.35">
      <c r="A29" s="29">
        <v>1004</v>
      </c>
      <c r="B29" s="30">
        <v>3</v>
      </c>
      <c r="C29" s="421"/>
      <c r="D29" s="135" t="s">
        <v>159</v>
      </c>
      <c r="E29" s="32" t="s">
        <v>43</v>
      </c>
      <c r="F29" s="65">
        <v>0</v>
      </c>
      <c r="G29" s="34">
        <v>500</v>
      </c>
      <c r="H29" s="35">
        <f t="shared" si="0"/>
        <v>0</v>
      </c>
      <c r="I29" s="36">
        <f t="shared" si="1"/>
        <v>0</v>
      </c>
    </row>
    <row r="30" spans="1:9" ht="15.75" customHeight="1" x14ac:dyDescent="0.35">
      <c r="A30" s="137">
        <v>1004</v>
      </c>
      <c r="B30" s="138">
        <v>3</v>
      </c>
      <c r="C30" s="421"/>
      <c r="D30" s="142" t="s">
        <v>160</v>
      </c>
      <c r="E30" s="140" t="s">
        <v>43</v>
      </c>
      <c r="F30" s="65">
        <v>0</v>
      </c>
      <c r="G30" s="141">
        <v>1000</v>
      </c>
      <c r="H30" s="143">
        <f t="shared" si="0"/>
        <v>0</v>
      </c>
      <c r="I30" s="134">
        <f t="shared" si="1"/>
        <v>0</v>
      </c>
    </row>
    <row r="31" spans="1:9" ht="15.75" customHeight="1" x14ac:dyDescent="0.35">
      <c r="A31" s="29">
        <v>1004</v>
      </c>
      <c r="B31" s="30">
        <v>3</v>
      </c>
      <c r="C31" s="421"/>
      <c r="D31" s="31" t="s">
        <v>161</v>
      </c>
      <c r="E31" s="32" t="s">
        <v>43</v>
      </c>
      <c r="F31" s="65">
        <v>0</v>
      </c>
      <c r="G31" s="34">
        <v>1500</v>
      </c>
      <c r="H31" s="35">
        <f t="shared" si="0"/>
        <v>0</v>
      </c>
      <c r="I31" s="36">
        <f t="shared" si="1"/>
        <v>0</v>
      </c>
    </row>
    <row r="32" spans="1:9" ht="15.75" customHeight="1" x14ac:dyDescent="0.35">
      <c r="A32" s="137">
        <v>1004</v>
      </c>
      <c r="B32" s="138">
        <v>3</v>
      </c>
      <c r="C32" s="421"/>
      <c r="D32" s="142" t="s">
        <v>162</v>
      </c>
      <c r="E32" s="140" t="s">
        <v>43</v>
      </c>
      <c r="F32" s="65">
        <v>0</v>
      </c>
      <c r="G32" s="141">
        <v>2000</v>
      </c>
      <c r="H32" s="143">
        <f t="shared" si="0"/>
        <v>0</v>
      </c>
      <c r="I32" s="134">
        <f t="shared" si="1"/>
        <v>0</v>
      </c>
    </row>
    <row r="33" spans="1:9" ht="15.75" customHeight="1" x14ac:dyDescent="0.35">
      <c r="A33" s="47">
        <v>1004</v>
      </c>
      <c r="B33" s="48">
        <v>3</v>
      </c>
      <c r="C33" s="422"/>
      <c r="D33" s="49" t="s">
        <v>163</v>
      </c>
      <c r="E33" s="50" t="s">
        <v>43</v>
      </c>
      <c r="F33" s="66">
        <v>0</v>
      </c>
      <c r="G33" s="52">
        <v>2500</v>
      </c>
      <c r="H33" s="53">
        <f t="shared" si="0"/>
        <v>0</v>
      </c>
      <c r="I33" s="54">
        <f t="shared" si="1"/>
        <v>0</v>
      </c>
    </row>
    <row r="34" spans="1:9" ht="15.75" customHeight="1" x14ac:dyDescent="0.35">
      <c r="A34" s="161">
        <v>1005</v>
      </c>
      <c r="B34" s="162" t="s">
        <v>49</v>
      </c>
      <c r="C34" s="434" t="s">
        <v>176</v>
      </c>
      <c r="D34" s="131">
        <v>100</v>
      </c>
      <c r="E34" s="163" t="s">
        <v>43</v>
      </c>
      <c r="F34" s="64">
        <v>0</v>
      </c>
      <c r="G34" s="132">
        <v>100</v>
      </c>
      <c r="H34" s="164">
        <f t="shared" si="0"/>
        <v>0</v>
      </c>
      <c r="I34" s="165">
        <f t="shared" si="1"/>
        <v>0</v>
      </c>
    </row>
    <row r="35" spans="1:9" ht="15.75" customHeight="1" x14ac:dyDescent="0.35">
      <c r="A35" s="166">
        <v>1005</v>
      </c>
      <c r="B35" s="167" t="s">
        <v>49</v>
      </c>
      <c r="C35" s="421"/>
      <c r="D35" s="135" t="s">
        <v>158</v>
      </c>
      <c r="E35" s="32" t="s">
        <v>43</v>
      </c>
      <c r="F35" s="65">
        <v>0</v>
      </c>
      <c r="G35" s="34">
        <v>200</v>
      </c>
      <c r="H35" s="35">
        <f t="shared" si="0"/>
        <v>0</v>
      </c>
      <c r="I35" s="36">
        <f t="shared" si="1"/>
        <v>0</v>
      </c>
    </row>
    <row r="36" spans="1:9" ht="15.75" customHeight="1" x14ac:dyDescent="0.35">
      <c r="A36" s="137">
        <v>1005</v>
      </c>
      <c r="B36" s="138" t="s">
        <v>49</v>
      </c>
      <c r="C36" s="421"/>
      <c r="D36" s="139" t="s">
        <v>159</v>
      </c>
      <c r="E36" s="140" t="s">
        <v>43</v>
      </c>
      <c r="F36" s="65">
        <v>0</v>
      </c>
      <c r="G36" s="141">
        <v>500</v>
      </c>
      <c r="H36" s="143">
        <f t="shared" si="0"/>
        <v>0</v>
      </c>
      <c r="I36" s="134">
        <f t="shared" si="1"/>
        <v>0</v>
      </c>
    </row>
    <row r="37" spans="1:9" ht="15.75" customHeight="1" x14ac:dyDescent="0.35">
      <c r="A37" s="29">
        <v>1005</v>
      </c>
      <c r="B37" s="30" t="s">
        <v>49</v>
      </c>
      <c r="C37" s="421"/>
      <c r="D37" s="31" t="s">
        <v>160</v>
      </c>
      <c r="E37" s="32" t="s">
        <v>43</v>
      </c>
      <c r="F37" s="65">
        <v>0</v>
      </c>
      <c r="G37" s="34">
        <v>1000</v>
      </c>
      <c r="H37" s="35">
        <f t="shared" si="0"/>
        <v>0</v>
      </c>
      <c r="I37" s="36">
        <f t="shared" si="1"/>
        <v>0</v>
      </c>
    </row>
    <row r="38" spans="1:9" ht="15.75" customHeight="1" x14ac:dyDescent="0.35">
      <c r="A38" s="137">
        <v>1005</v>
      </c>
      <c r="B38" s="138" t="s">
        <v>49</v>
      </c>
      <c r="C38" s="421"/>
      <c r="D38" s="142" t="s">
        <v>161</v>
      </c>
      <c r="E38" s="140" t="s">
        <v>43</v>
      </c>
      <c r="F38" s="65">
        <v>0</v>
      </c>
      <c r="G38" s="141">
        <v>1500</v>
      </c>
      <c r="H38" s="143">
        <f t="shared" si="0"/>
        <v>0</v>
      </c>
      <c r="I38" s="134">
        <f t="shared" si="1"/>
        <v>0</v>
      </c>
    </row>
    <row r="39" spans="1:9" ht="15.75" customHeight="1" x14ac:dyDescent="0.35">
      <c r="A39" s="29">
        <v>1005</v>
      </c>
      <c r="B39" s="30" t="s">
        <v>49</v>
      </c>
      <c r="C39" s="421"/>
      <c r="D39" s="31" t="s">
        <v>162</v>
      </c>
      <c r="E39" s="32" t="s">
        <v>43</v>
      </c>
      <c r="F39" s="65">
        <v>0</v>
      </c>
      <c r="G39" s="34">
        <v>2000</v>
      </c>
      <c r="H39" s="35">
        <f t="shared" si="0"/>
        <v>0</v>
      </c>
      <c r="I39" s="36">
        <f t="shared" si="1"/>
        <v>0</v>
      </c>
    </row>
    <row r="40" spans="1:9" ht="15.75" customHeight="1" x14ac:dyDescent="0.35">
      <c r="A40" s="144">
        <v>1005</v>
      </c>
      <c r="B40" s="145" t="s">
        <v>49</v>
      </c>
      <c r="C40" s="422"/>
      <c r="D40" s="146" t="s">
        <v>163</v>
      </c>
      <c r="E40" s="147" t="s">
        <v>43</v>
      </c>
      <c r="F40" s="66">
        <v>0</v>
      </c>
      <c r="G40" s="148">
        <v>2500</v>
      </c>
      <c r="H40" s="149">
        <f t="shared" si="0"/>
        <v>0</v>
      </c>
      <c r="I40" s="150">
        <f t="shared" si="1"/>
        <v>0</v>
      </c>
    </row>
    <row r="41" spans="1:9" ht="15.75" customHeight="1" x14ac:dyDescent="0.35">
      <c r="A41" s="151">
        <v>1006</v>
      </c>
      <c r="B41" s="152">
        <v>4</v>
      </c>
      <c r="C41" s="433" t="s">
        <v>177</v>
      </c>
      <c r="D41" s="153">
        <v>100</v>
      </c>
      <c r="E41" s="154" t="s">
        <v>43</v>
      </c>
      <c r="F41" s="64">
        <v>0</v>
      </c>
      <c r="G41" s="155">
        <v>100</v>
      </c>
      <c r="H41" s="156">
        <f t="shared" si="0"/>
        <v>0</v>
      </c>
      <c r="I41" s="157">
        <f t="shared" si="1"/>
        <v>0</v>
      </c>
    </row>
    <row r="42" spans="1:9" ht="15.75" customHeight="1" x14ac:dyDescent="0.35">
      <c r="A42" s="158">
        <v>1006</v>
      </c>
      <c r="B42" s="159">
        <v>4</v>
      </c>
      <c r="C42" s="421"/>
      <c r="D42" s="139" t="s">
        <v>158</v>
      </c>
      <c r="E42" s="140" t="s">
        <v>43</v>
      </c>
      <c r="F42" s="65">
        <v>0</v>
      </c>
      <c r="G42" s="141">
        <v>200</v>
      </c>
      <c r="H42" s="143">
        <f t="shared" si="0"/>
        <v>0</v>
      </c>
      <c r="I42" s="134">
        <f t="shared" si="1"/>
        <v>0</v>
      </c>
    </row>
    <row r="43" spans="1:9" ht="15.75" customHeight="1" x14ac:dyDescent="0.35">
      <c r="A43" s="29">
        <v>1006</v>
      </c>
      <c r="B43" s="30">
        <v>4</v>
      </c>
      <c r="C43" s="421"/>
      <c r="D43" s="135" t="s">
        <v>159</v>
      </c>
      <c r="E43" s="32" t="s">
        <v>43</v>
      </c>
      <c r="F43" s="65">
        <v>0</v>
      </c>
      <c r="G43" s="34">
        <v>500</v>
      </c>
      <c r="H43" s="35">
        <f t="shared" si="0"/>
        <v>0</v>
      </c>
      <c r="I43" s="36">
        <f t="shared" si="1"/>
        <v>0</v>
      </c>
    </row>
    <row r="44" spans="1:9" ht="15.75" customHeight="1" x14ac:dyDescent="0.35">
      <c r="A44" s="137">
        <v>1006</v>
      </c>
      <c r="B44" s="138">
        <v>4</v>
      </c>
      <c r="C44" s="421"/>
      <c r="D44" s="142" t="s">
        <v>160</v>
      </c>
      <c r="E44" s="140" t="s">
        <v>43</v>
      </c>
      <c r="F44" s="65">
        <v>0</v>
      </c>
      <c r="G44" s="141">
        <v>1000</v>
      </c>
      <c r="H44" s="143">
        <f t="shared" si="0"/>
        <v>0</v>
      </c>
      <c r="I44" s="134">
        <f t="shared" si="1"/>
        <v>0</v>
      </c>
    </row>
    <row r="45" spans="1:9" ht="15.75" customHeight="1" x14ac:dyDescent="0.35">
      <c r="A45" s="29">
        <v>1006</v>
      </c>
      <c r="B45" s="30">
        <v>4</v>
      </c>
      <c r="C45" s="421"/>
      <c r="D45" s="31" t="s">
        <v>161</v>
      </c>
      <c r="E45" s="32" t="s">
        <v>43</v>
      </c>
      <c r="F45" s="65">
        <v>0</v>
      </c>
      <c r="G45" s="34">
        <v>1500</v>
      </c>
      <c r="H45" s="35">
        <f t="shared" si="0"/>
        <v>0</v>
      </c>
      <c r="I45" s="36">
        <f t="shared" si="1"/>
        <v>0</v>
      </c>
    </row>
    <row r="46" spans="1:9" ht="15.75" customHeight="1" x14ac:dyDescent="0.35">
      <c r="A46" s="137">
        <v>1006</v>
      </c>
      <c r="B46" s="138">
        <v>4</v>
      </c>
      <c r="C46" s="421"/>
      <c r="D46" s="142" t="s">
        <v>162</v>
      </c>
      <c r="E46" s="140" t="s">
        <v>43</v>
      </c>
      <c r="F46" s="65">
        <v>0</v>
      </c>
      <c r="G46" s="141">
        <v>2000</v>
      </c>
      <c r="H46" s="143">
        <f t="shared" si="0"/>
        <v>0</v>
      </c>
      <c r="I46" s="134">
        <f t="shared" si="1"/>
        <v>0</v>
      </c>
    </row>
    <row r="47" spans="1:9" ht="15.75" customHeight="1" x14ac:dyDescent="0.35">
      <c r="A47" s="47">
        <v>1006</v>
      </c>
      <c r="B47" s="48">
        <v>4</v>
      </c>
      <c r="C47" s="422"/>
      <c r="D47" s="49" t="s">
        <v>163</v>
      </c>
      <c r="E47" s="50" t="s">
        <v>43</v>
      </c>
      <c r="F47" s="66">
        <v>0</v>
      </c>
      <c r="G47" s="52">
        <v>2500</v>
      </c>
      <c r="H47" s="53">
        <f t="shared" si="0"/>
        <v>0</v>
      </c>
      <c r="I47" s="54">
        <f t="shared" si="1"/>
        <v>0</v>
      </c>
    </row>
    <row r="48" spans="1:9" ht="15.75" customHeight="1" x14ac:dyDescent="0.35">
      <c r="A48" s="161">
        <v>1007</v>
      </c>
      <c r="B48" s="162" t="s">
        <v>53</v>
      </c>
      <c r="C48" s="434" t="s">
        <v>178</v>
      </c>
      <c r="D48" s="131">
        <v>100</v>
      </c>
      <c r="E48" s="163" t="s">
        <v>43</v>
      </c>
      <c r="F48" s="64">
        <v>0</v>
      </c>
      <c r="G48" s="132">
        <v>100</v>
      </c>
      <c r="H48" s="164">
        <f t="shared" si="0"/>
        <v>0</v>
      </c>
      <c r="I48" s="165">
        <f t="shared" si="1"/>
        <v>0</v>
      </c>
    </row>
    <row r="49" spans="1:9" ht="15.75" customHeight="1" x14ac:dyDescent="0.35">
      <c r="A49" s="166">
        <v>1007</v>
      </c>
      <c r="B49" s="167" t="s">
        <v>53</v>
      </c>
      <c r="C49" s="421"/>
      <c r="D49" s="135" t="s">
        <v>158</v>
      </c>
      <c r="E49" s="32" t="s">
        <v>43</v>
      </c>
      <c r="F49" s="65">
        <v>0</v>
      </c>
      <c r="G49" s="34">
        <v>200</v>
      </c>
      <c r="H49" s="35">
        <f t="shared" si="0"/>
        <v>0</v>
      </c>
      <c r="I49" s="36">
        <f t="shared" si="1"/>
        <v>0</v>
      </c>
    </row>
    <row r="50" spans="1:9" ht="15.75" customHeight="1" x14ac:dyDescent="0.35">
      <c r="A50" s="137">
        <v>1007</v>
      </c>
      <c r="B50" s="138" t="s">
        <v>53</v>
      </c>
      <c r="C50" s="421"/>
      <c r="D50" s="139" t="s">
        <v>159</v>
      </c>
      <c r="E50" s="140" t="s">
        <v>43</v>
      </c>
      <c r="F50" s="65">
        <v>0</v>
      </c>
      <c r="G50" s="141">
        <v>500</v>
      </c>
      <c r="H50" s="143">
        <f t="shared" si="0"/>
        <v>0</v>
      </c>
      <c r="I50" s="134">
        <f t="shared" si="1"/>
        <v>0</v>
      </c>
    </row>
    <row r="51" spans="1:9" ht="15.75" customHeight="1" x14ac:dyDescent="0.35">
      <c r="A51" s="29">
        <v>1007</v>
      </c>
      <c r="B51" s="30" t="s">
        <v>53</v>
      </c>
      <c r="C51" s="421"/>
      <c r="D51" s="31" t="s">
        <v>160</v>
      </c>
      <c r="E51" s="32" t="s">
        <v>43</v>
      </c>
      <c r="F51" s="65">
        <v>0</v>
      </c>
      <c r="G51" s="34">
        <v>1000</v>
      </c>
      <c r="H51" s="35">
        <f t="shared" si="0"/>
        <v>0</v>
      </c>
      <c r="I51" s="36">
        <f t="shared" si="1"/>
        <v>0</v>
      </c>
    </row>
    <row r="52" spans="1:9" ht="15.75" customHeight="1" x14ac:dyDescent="0.35">
      <c r="A52" s="137">
        <v>1007</v>
      </c>
      <c r="B52" s="138" t="s">
        <v>53</v>
      </c>
      <c r="C52" s="421"/>
      <c r="D52" s="142" t="s">
        <v>161</v>
      </c>
      <c r="E52" s="140" t="s">
        <v>43</v>
      </c>
      <c r="F52" s="65">
        <v>0</v>
      </c>
      <c r="G52" s="141">
        <v>1500</v>
      </c>
      <c r="H52" s="143">
        <f t="shared" si="0"/>
        <v>0</v>
      </c>
      <c r="I52" s="134">
        <f t="shared" si="1"/>
        <v>0</v>
      </c>
    </row>
    <row r="53" spans="1:9" ht="15.75" customHeight="1" x14ac:dyDescent="0.35">
      <c r="A53" s="29">
        <v>1007</v>
      </c>
      <c r="B53" s="30" t="s">
        <v>53</v>
      </c>
      <c r="C53" s="421"/>
      <c r="D53" s="31" t="s">
        <v>162</v>
      </c>
      <c r="E53" s="32" t="s">
        <v>43</v>
      </c>
      <c r="F53" s="65">
        <v>0</v>
      </c>
      <c r="G53" s="34">
        <v>2000</v>
      </c>
      <c r="H53" s="35">
        <f t="shared" si="0"/>
        <v>0</v>
      </c>
      <c r="I53" s="36">
        <f t="shared" si="1"/>
        <v>0</v>
      </c>
    </row>
    <row r="54" spans="1:9" ht="15.75" customHeight="1" x14ac:dyDescent="0.35">
      <c r="A54" s="144">
        <v>1007</v>
      </c>
      <c r="B54" s="145" t="s">
        <v>53</v>
      </c>
      <c r="C54" s="422"/>
      <c r="D54" s="146" t="s">
        <v>163</v>
      </c>
      <c r="E54" s="147" t="s">
        <v>43</v>
      </c>
      <c r="F54" s="66">
        <v>0</v>
      </c>
      <c r="G54" s="148">
        <v>2500</v>
      </c>
      <c r="H54" s="149">
        <f t="shared" si="0"/>
        <v>0</v>
      </c>
      <c r="I54" s="150">
        <f t="shared" si="1"/>
        <v>0</v>
      </c>
    </row>
    <row r="55" spans="1:9" ht="15.75" customHeight="1" x14ac:dyDescent="0.35"/>
    <row r="56" spans="1:9" ht="15.75" customHeight="1" x14ac:dyDescent="0.35"/>
    <row r="57" spans="1:9" ht="15.75" customHeight="1" x14ac:dyDescent="0.35"/>
    <row r="58" spans="1:9" ht="15.75" customHeight="1" x14ac:dyDescent="0.35"/>
    <row r="59" spans="1:9" ht="15.75" customHeight="1" x14ac:dyDescent="0.35"/>
    <row r="60" spans="1:9" ht="15.75" customHeight="1" x14ac:dyDescent="0.35"/>
    <row r="61" spans="1:9" ht="15.75" customHeight="1" x14ac:dyDescent="0.35"/>
    <row r="62" spans="1:9" ht="15.75" customHeight="1" x14ac:dyDescent="0.35"/>
    <row r="63" spans="1:9" ht="15.75" customHeight="1" x14ac:dyDescent="0.35"/>
    <row r="64" spans="1:9"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9">
    <mergeCell ref="C41:C47"/>
    <mergeCell ref="C48:C54"/>
    <mergeCell ref="A4:F4"/>
    <mergeCell ref="G4:I4"/>
    <mergeCell ref="C6:C12"/>
    <mergeCell ref="C13:C19"/>
    <mergeCell ref="C20:C26"/>
    <mergeCell ref="C27:C33"/>
    <mergeCell ref="C34:C40"/>
  </mergeCell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016"/>
  <sheetViews>
    <sheetView workbookViewId="0">
      <selection sqref="A1:I1"/>
    </sheetView>
  </sheetViews>
  <sheetFormatPr defaultColWidth="12.6328125" defaultRowHeight="15" customHeight="1" x14ac:dyDescent="0.35"/>
  <cols>
    <col min="1" max="1" width="10.6328125" customWidth="1"/>
    <col min="2" max="2" width="13.36328125" customWidth="1"/>
    <col min="3" max="3" width="27.90625" customWidth="1"/>
    <col min="4" max="4" width="14.36328125" customWidth="1"/>
    <col min="5" max="6" width="8.6328125" customWidth="1"/>
    <col min="7" max="8" width="15.36328125" customWidth="1"/>
    <col min="9" max="9" width="23.36328125" customWidth="1"/>
    <col min="10" max="10" width="8.6328125" customWidth="1"/>
    <col min="11" max="11" width="17.26953125" customWidth="1"/>
    <col min="12" max="12" width="53.36328125" customWidth="1"/>
    <col min="13" max="21" width="8.6328125" customWidth="1"/>
  </cols>
  <sheetData>
    <row r="1" spans="1:12" ht="18" x14ac:dyDescent="0.4">
      <c r="A1" s="414" t="s">
        <v>179</v>
      </c>
      <c r="B1" s="413"/>
      <c r="C1" s="413"/>
      <c r="D1" s="413"/>
      <c r="E1" s="413"/>
      <c r="F1" s="413"/>
      <c r="G1" s="413"/>
      <c r="H1" s="413"/>
      <c r="I1" s="413"/>
    </row>
    <row r="2" spans="1:12" ht="18" x14ac:dyDescent="0.4">
      <c r="A2" s="11" t="s">
        <v>26</v>
      </c>
      <c r="B2" s="124"/>
      <c r="C2" s="124"/>
    </row>
    <row r="3" spans="1:12" ht="18" customHeight="1" x14ac:dyDescent="0.4">
      <c r="A3" s="414" t="s">
        <v>180</v>
      </c>
      <c r="B3" s="413"/>
      <c r="C3" s="413"/>
      <c r="D3" s="413"/>
      <c r="E3" s="413"/>
      <c r="F3" s="413"/>
      <c r="G3" s="413"/>
      <c r="H3" s="413"/>
      <c r="I3" s="413"/>
      <c r="J3" s="413"/>
    </row>
    <row r="4" spans="1:12" ht="17.25" customHeight="1" x14ac:dyDescent="0.35">
      <c r="A4" s="437" t="s">
        <v>28</v>
      </c>
      <c r="B4" s="416"/>
      <c r="C4" s="416"/>
      <c r="D4" s="416"/>
      <c r="E4" s="416"/>
      <c r="F4" s="417"/>
      <c r="G4" s="171"/>
      <c r="H4" s="438" t="s">
        <v>181</v>
      </c>
      <c r="I4" s="419"/>
      <c r="J4" s="172"/>
    </row>
    <row r="5" spans="1:12" ht="29" x14ac:dyDescent="0.35">
      <c r="A5" s="125" t="s">
        <v>182</v>
      </c>
      <c r="B5" s="69" t="s">
        <v>31</v>
      </c>
      <c r="C5" s="69" t="s">
        <v>32</v>
      </c>
      <c r="D5" s="127" t="s">
        <v>183</v>
      </c>
      <c r="E5" s="50" t="s">
        <v>34</v>
      </c>
      <c r="F5" s="69" t="s">
        <v>35</v>
      </c>
      <c r="G5" s="69" t="s">
        <v>36</v>
      </c>
      <c r="H5" s="14" t="s">
        <v>37</v>
      </c>
      <c r="I5" s="128" t="s">
        <v>38</v>
      </c>
      <c r="K5" s="18" t="s">
        <v>39</v>
      </c>
      <c r="L5" s="173" t="s">
        <v>184</v>
      </c>
    </row>
    <row r="6" spans="1:12" ht="15.75" customHeight="1" x14ac:dyDescent="0.35">
      <c r="A6" s="174" t="s">
        <v>41</v>
      </c>
      <c r="B6" s="175">
        <v>1</v>
      </c>
      <c r="C6" s="439" t="s">
        <v>185</v>
      </c>
      <c r="D6" s="176">
        <v>1</v>
      </c>
      <c r="E6" s="177" t="s">
        <v>43</v>
      </c>
      <c r="F6" s="64">
        <v>0</v>
      </c>
      <c r="G6" s="178">
        <v>1</v>
      </c>
      <c r="H6" s="179">
        <f t="shared" ref="H6:H75" si="0">F6*G6</f>
        <v>0</v>
      </c>
      <c r="I6" s="180">
        <f t="shared" ref="I6:I75" si="1">H6*365</f>
        <v>0</v>
      </c>
      <c r="K6" s="18">
        <v>1</v>
      </c>
      <c r="L6" s="28">
        <f>SUM(I6:I15)</f>
        <v>0</v>
      </c>
    </row>
    <row r="7" spans="1:12" ht="14.5" x14ac:dyDescent="0.35">
      <c r="A7" s="29" t="s">
        <v>41</v>
      </c>
      <c r="B7" s="79">
        <v>1</v>
      </c>
      <c r="C7" s="421"/>
      <c r="D7" s="181">
        <v>2</v>
      </c>
      <c r="E7" s="32" t="s">
        <v>43</v>
      </c>
      <c r="F7" s="65">
        <v>0</v>
      </c>
      <c r="G7" s="182">
        <v>2</v>
      </c>
      <c r="H7" s="35">
        <f t="shared" si="0"/>
        <v>0</v>
      </c>
      <c r="I7" s="183">
        <f t="shared" si="1"/>
        <v>0</v>
      </c>
      <c r="K7" s="18">
        <v>2</v>
      </c>
      <c r="L7" s="28">
        <f>SUM(I16:I25)</f>
        <v>0</v>
      </c>
    </row>
    <row r="8" spans="1:12" ht="14.5" x14ac:dyDescent="0.35">
      <c r="A8" s="184" t="s">
        <v>41</v>
      </c>
      <c r="B8" s="185">
        <v>1</v>
      </c>
      <c r="C8" s="421"/>
      <c r="D8" s="186">
        <v>3</v>
      </c>
      <c r="E8" s="187" t="s">
        <v>43</v>
      </c>
      <c r="F8" s="65">
        <v>0</v>
      </c>
      <c r="G8" s="188">
        <v>3</v>
      </c>
      <c r="H8" s="189">
        <f t="shared" si="0"/>
        <v>0</v>
      </c>
      <c r="I8" s="190">
        <f t="shared" si="1"/>
        <v>0</v>
      </c>
      <c r="K8" s="18" t="s">
        <v>46</v>
      </c>
      <c r="L8" s="28">
        <f>SUM(I26:I35)</f>
        <v>0</v>
      </c>
    </row>
    <row r="9" spans="1:12" ht="14.5" x14ac:dyDescent="0.35">
      <c r="A9" s="29" t="s">
        <v>41</v>
      </c>
      <c r="B9" s="79">
        <v>1</v>
      </c>
      <c r="C9" s="421"/>
      <c r="D9" s="181">
        <v>4</v>
      </c>
      <c r="E9" s="32" t="s">
        <v>43</v>
      </c>
      <c r="F9" s="65">
        <v>0</v>
      </c>
      <c r="G9" s="182">
        <v>4</v>
      </c>
      <c r="H9" s="35">
        <f t="shared" si="0"/>
        <v>0</v>
      </c>
      <c r="I9" s="183">
        <f t="shared" si="1"/>
        <v>0</v>
      </c>
      <c r="K9" s="18">
        <v>3</v>
      </c>
      <c r="L9" s="28">
        <f>SUM(I36:I45)</f>
        <v>0</v>
      </c>
    </row>
    <row r="10" spans="1:12" ht="14.5" x14ac:dyDescent="0.35">
      <c r="A10" s="184" t="s">
        <v>41</v>
      </c>
      <c r="B10" s="185">
        <v>1</v>
      </c>
      <c r="C10" s="421"/>
      <c r="D10" s="186">
        <v>5</v>
      </c>
      <c r="E10" s="187" t="s">
        <v>43</v>
      </c>
      <c r="F10" s="65">
        <v>0</v>
      </c>
      <c r="G10" s="188">
        <v>5</v>
      </c>
      <c r="H10" s="189">
        <f t="shared" si="0"/>
        <v>0</v>
      </c>
      <c r="I10" s="190">
        <f t="shared" si="1"/>
        <v>0</v>
      </c>
      <c r="K10" s="18" t="s">
        <v>49</v>
      </c>
      <c r="L10" s="28">
        <f>SUM(I46:I55)</f>
        <v>0</v>
      </c>
    </row>
    <row r="11" spans="1:12" ht="14.5" x14ac:dyDescent="0.35">
      <c r="A11" s="29" t="s">
        <v>41</v>
      </c>
      <c r="B11" s="79">
        <v>1</v>
      </c>
      <c r="C11" s="421"/>
      <c r="D11" s="191">
        <v>46180</v>
      </c>
      <c r="E11" s="32" t="s">
        <v>43</v>
      </c>
      <c r="F11" s="65">
        <v>0</v>
      </c>
      <c r="G11" s="182">
        <v>7</v>
      </c>
      <c r="H11" s="35">
        <f t="shared" si="0"/>
        <v>0</v>
      </c>
      <c r="I11" s="183">
        <f t="shared" si="1"/>
        <v>0</v>
      </c>
      <c r="K11" s="18">
        <v>4</v>
      </c>
      <c r="L11" s="46">
        <f>SUM(I56:I65)</f>
        <v>0</v>
      </c>
    </row>
    <row r="12" spans="1:12" ht="14.5" x14ac:dyDescent="0.35">
      <c r="A12" s="184" t="s">
        <v>41</v>
      </c>
      <c r="B12" s="185">
        <v>1</v>
      </c>
      <c r="C12" s="421"/>
      <c r="D12" s="192">
        <v>46243</v>
      </c>
      <c r="E12" s="187" t="s">
        <v>43</v>
      </c>
      <c r="F12" s="65">
        <v>0</v>
      </c>
      <c r="G12" s="188">
        <v>9</v>
      </c>
      <c r="H12" s="189">
        <f t="shared" si="0"/>
        <v>0</v>
      </c>
      <c r="I12" s="190">
        <f t="shared" si="1"/>
        <v>0</v>
      </c>
      <c r="K12" s="18" t="s">
        <v>53</v>
      </c>
      <c r="L12" s="46">
        <f>SUM(I66:I75)</f>
        <v>0</v>
      </c>
    </row>
    <row r="13" spans="1:12" ht="14.5" x14ac:dyDescent="0.35">
      <c r="A13" s="29" t="s">
        <v>41</v>
      </c>
      <c r="B13" s="79">
        <v>1</v>
      </c>
      <c r="C13" s="421"/>
      <c r="D13" s="191">
        <v>46309</v>
      </c>
      <c r="E13" s="32" t="s">
        <v>43</v>
      </c>
      <c r="F13" s="65">
        <v>0</v>
      </c>
      <c r="G13" s="182">
        <v>14</v>
      </c>
      <c r="H13" s="35">
        <f t="shared" si="0"/>
        <v>0</v>
      </c>
      <c r="I13" s="183">
        <f t="shared" si="1"/>
        <v>0</v>
      </c>
      <c r="K13" s="18" t="s">
        <v>186</v>
      </c>
      <c r="L13" s="28">
        <f>SUM(L6:L12)</f>
        <v>0</v>
      </c>
    </row>
    <row r="14" spans="1:12" ht="14.5" x14ac:dyDescent="0.35">
      <c r="A14" s="184" t="s">
        <v>41</v>
      </c>
      <c r="B14" s="185">
        <v>1</v>
      </c>
      <c r="C14" s="421"/>
      <c r="D14" s="186" t="s">
        <v>187</v>
      </c>
      <c r="E14" s="187" t="s">
        <v>43</v>
      </c>
      <c r="F14" s="65">
        <v>0</v>
      </c>
      <c r="G14" s="188">
        <v>19</v>
      </c>
      <c r="H14" s="189">
        <f t="shared" si="0"/>
        <v>0</v>
      </c>
      <c r="I14" s="190">
        <f t="shared" si="1"/>
        <v>0</v>
      </c>
    </row>
    <row r="15" spans="1:12" ht="14.5" x14ac:dyDescent="0.35">
      <c r="A15" s="47" t="s">
        <v>41</v>
      </c>
      <c r="B15" s="88">
        <v>1</v>
      </c>
      <c r="C15" s="422"/>
      <c r="D15" s="193" t="s">
        <v>188</v>
      </c>
      <c r="E15" s="50" t="s">
        <v>43</v>
      </c>
      <c r="F15" s="66">
        <v>0</v>
      </c>
      <c r="G15" s="194">
        <v>30</v>
      </c>
      <c r="H15" s="53">
        <f t="shared" si="0"/>
        <v>0</v>
      </c>
      <c r="I15" s="195">
        <f t="shared" si="1"/>
        <v>0</v>
      </c>
    </row>
    <row r="16" spans="1:12" ht="15.75" customHeight="1" x14ac:dyDescent="0.35">
      <c r="A16" s="174" t="s">
        <v>51</v>
      </c>
      <c r="B16" s="175">
        <v>2</v>
      </c>
      <c r="C16" s="439" t="s">
        <v>189</v>
      </c>
      <c r="D16" s="176">
        <v>1</v>
      </c>
      <c r="E16" s="177" t="s">
        <v>43</v>
      </c>
      <c r="F16" s="64">
        <v>0</v>
      </c>
      <c r="G16" s="178">
        <v>1</v>
      </c>
      <c r="H16" s="179">
        <f t="shared" si="0"/>
        <v>0</v>
      </c>
      <c r="I16" s="196">
        <f t="shared" si="1"/>
        <v>0</v>
      </c>
    </row>
    <row r="17" spans="1:9" ht="14.5" x14ac:dyDescent="0.35">
      <c r="A17" s="29" t="s">
        <v>51</v>
      </c>
      <c r="B17" s="79">
        <v>2</v>
      </c>
      <c r="C17" s="421"/>
      <c r="D17" s="181">
        <v>2</v>
      </c>
      <c r="E17" s="32" t="s">
        <v>43</v>
      </c>
      <c r="F17" s="65">
        <v>0</v>
      </c>
      <c r="G17" s="182">
        <v>2</v>
      </c>
      <c r="H17" s="35">
        <f t="shared" si="0"/>
        <v>0</v>
      </c>
      <c r="I17" s="36">
        <f t="shared" si="1"/>
        <v>0</v>
      </c>
    </row>
    <row r="18" spans="1:9" ht="14.5" x14ac:dyDescent="0.35">
      <c r="A18" s="184" t="s">
        <v>51</v>
      </c>
      <c r="B18" s="185">
        <v>2</v>
      </c>
      <c r="C18" s="421"/>
      <c r="D18" s="186">
        <v>3</v>
      </c>
      <c r="E18" s="187" t="s">
        <v>43</v>
      </c>
      <c r="F18" s="65">
        <v>0</v>
      </c>
      <c r="G18" s="188">
        <v>3</v>
      </c>
      <c r="H18" s="189">
        <f t="shared" si="0"/>
        <v>0</v>
      </c>
      <c r="I18" s="197">
        <f t="shared" si="1"/>
        <v>0</v>
      </c>
    </row>
    <row r="19" spans="1:9" ht="14.5" x14ac:dyDescent="0.35">
      <c r="A19" s="29" t="s">
        <v>51</v>
      </c>
      <c r="B19" s="79">
        <v>2</v>
      </c>
      <c r="C19" s="421"/>
      <c r="D19" s="181">
        <v>4</v>
      </c>
      <c r="E19" s="32" t="s">
        <v>43</v>
      </c>
      <c r="F19" s="65">
        <v>0</v>
      </c>
      <c r="G19" s="182">
        <v>4</v>
      </c>
      <c r="H19" s="35">
        <f t="shared" si="0"/>
        <v>0</v>
      </c>
      <c r="I19" s="36">
        <f t="shared" si="1"/>
        <v>0</v>
      </c>
    </row>
    <row r="20" spans="1:9" ht="14.5" x14ac:dyDescent="0.35">
      <c r="A20" s="184" t="s">
        <v>51</v>
      </c>
      <c r="B20" s="185">
        <v>2</v>
      </c>
      <c r="C20" s="421"/>
      <c r="D20" s="186">
        <v>5</v>
      </c>
      <c r="E20" s="187" t="s">
        <v>43</v>
      </c>
      <c r="F20" s="65">
        <v>0</v>
      </c>
      <c r="G20" s="188">
        <v>5</v>
      </c>
      <c r="H20" s="189">
        <f t="shared" si="0"/>
        <v>0</v>
      </c>
      <c r="I20" s="197">
        <f t="shared" si="1"/>
        <v>0</v>
      </c>
    </row>
    <row r="21" spans="1:9" ht="14.5" x14ac:dyDescent="0.35">
      <c r="A21" s="29" t="s">
        <v>51</v>
      </c>
      <c r="B21" s="79">
        <v>2</v>
      </c>
      <c r="C21" s="421"/>
      <c r="D21" s="191">
        <v>46180</v>
      </c>
      <c r="E21" s="32" t="s">
        <v>43</v>
      </c>
      <c r="F21" s="65">
        <v>0</v>
      </c>
      <c r="G21" s="182">
        <v>7</v>
      </c>
      <c r="H21" s="35">
        <f t="shared" si="0"/>
        <v>0</v>
      </c>
      <c r="I21" s="36">
        <f t="shared" si="1"/>
        <v>0</v>
      </c>
    </row>
    <row r="22" spans="1:9" ht="14.5" x14ac:dyDescent="0.35">
      <c r="A22" s="184" t="s">
        <v>51</v>
      </c>
      <c r="B22" s="185">
        <v>2</v>
      </c>
      <c r="C22" s="421"/>
      <c r="D22" s="192">
        <v>46243</v>
      </c>
      <c r="E22" s="187" t="s">
        <v>43</v>
      </c>
      <c r="F22" s="65">
        <v>0</v>
      </c>
      <c r="G22" s="188">
        <v>9</v>
      </c>
      <c r="H22" s="189">
        <f t="shared" si="0"/>
        <v>0</v>
      </c>
      <c r="I22" s="197">
        <f t="shared" si="1"/>
        <v>0</v>
      </c>
    </row>
    <row r="23" spans="1:9" ht="14.5" x14ac:dyDescent="0.35">
      <c r="A23" s="29" t="s">
        <v>51</v>
      </c>
      <c r="B23" s="79">
        <v>2</v>
      </c>
      <c r="C23" s="421"/>
      <c r="D23" s="191">
        <v>46309</v>
      </c>
      <c r="E23" s="32" t="s">
        <v>43</v>
      </c>
      <c r="F23" s="65">
        <v>0</v>
      </c>
      <c r="G23" s="182">
        <v>14</v>
      </c>
      <c r="H23" s="35">
        <f t="shared" si="0"/>
        <v>0</v>
      </c>
      <c r="I23" s="36">
        <f t="shared" si="1"/>
        <v>0</v>
      </c>
    </row>
    <row r="24" spans="1:9" ht="14.5" x14ac:dyDescent="0.35">
      <c r="A24" s="184" t="s">
        <v>51</v>
      </c>
      <c r="B24" s="185">
        <v>2</v>
      </c>
      <c r="C24" s="421"/>
      <c r="D24" s="186" t="s">
        <v>187</v>
      </c>
      <c r="E24" s="187" t="s">
        <v>43</v>
      </c>
      <c r="F24" s="65">
        <v>0</v>
      </c>
      <c r="G24" s="188">
        <v>19</v>
      </c>
      <c r="H24" s="189">
        <f t="shared" si="0"/>
        <v>0</v>
      </c>
      <c r="I24" s="197">
        <f t="shared" si="1"/>
        <v>0</v>
      </c>
    </row>
    <row r="25" spans="1:9" ht="14.5" x14ac:dyDescent="0.35">
      <c r="A25" s="47" t="s">
        <v>51</v>
      </c>
      <c r="B25" s="88">
        <v>2</v>
      </c>
      <c r="C25" s="422"/>
      <c r="D25" s="193" t="s">
        <v>188</v>
      </c>
      <c r="E25" s="50" t="s">
        <v>43</v>
      </c>
      <c r="F25" s="66">
        <v>0</v>
      </c>
      <c r="G25" s="194">
        <v>30</v>
      </c>
      <c r="H25" s="53">
        <f t="shared" si="0"/>
        <v>0</v>
      </c>
      <c r="I25" s="54">
        <f t="shared" si="1"/>
        <v>0</v>
      </c>
    </row>
    <row r="26" spans="1:9" ht="15.75" customHeight="1" x14ac:dyDescent="0.35">
      <c r="A26" s="174" t="s">
        <v>55</v>
      </c>
      <c r="B26" s="175" t="s">
        <v>46</v>
      </c>
      <c r="C26" s="439" t="s">
        <v>190</v>
      </c>
      <c r="D26" s="176">
        <v>1</v>
      </c>
      <c r="E26" s="177" t="s">
        <v>43</v>
      </c>
      <c r="F26" s="64">
        <v>0</v>
      </c>
      <c r="G26" s="178">
        <v>1</v>
      </c>
      <c r="H26" s="179">
        <f t="shared" si="0"/>
        <v>0</v>
      </c>
      <c r="I26" s="198">
        <f t="shared" si="1"/>
        <v>0</v>
      </c>
    </row>
    <row r="27" spans="1:9" ht="14.5" x14ac:dyDescent="0.35">
      <c r="A27" s="29" t="s">
        <v>55</v>
      </c>
      <c r="B27" s="79" t="s">
        <v>46</v>
      </c>
      <c r="C27" s="421"/>
      <c r="D27" s="181">
        <v>2</v>
      </c>
      <c r="E27" s="32" t="s">
        <v>43</v>
      </c>
      <c r="F27" s="65">
        <v>0</v>
      </c>
      <c r="G27" s="182">
        <v>2</v>
      </c>
      <c r="H27" s="35">
        <f t="shared" si="0"/>
        <v>0</v>
      </c>
      <c r="I27" s="36">
        <f t="shared" si="1"/>
        <v>0</v>
      </c>
    </row>
    <row r="28" spans="1:9" ht="14.5" x14ac:dyDescent="0.35">
      <c r="A28" s="184" t="s">
        <v>55</v>
      </c>
      <c r="B28" s="185" t="s">
        <v>46</v>
      </c>
      <c r="C28" s="421"/>
      <c r="D28" s="186">
        <v>3</v>
      </c>
      <c r="E28" s="187" t="s">
        <v>43</v>
      </c>
      <c r="F28" s="65">
        <v>0</v>
      </c>
      <c r="G28" s="188">
        <v>3</v>
      </c>
      <c r="H28" s="189">
        <f t="shared" si="0"/>
        <v>0</v>
      </c>
      <c r="I28" s="197">
        <f t="shared" si="1"/>
        <v>0</v>
      </c>
    </row>
    <row r="29" spans="1:9" ht="15.75" customHeight="1" x14ac:dyDescent="0.35">
      <c r="A29" s="29" t="s">
        <v>55</v>
      </c>
      <c r="B29" s="79" t="s">
        <v>46</v>
      </c>
      <c r="C29" s="421"/>
      <c r="D29" s="181">
        <v>4</v>
      </c>
      <c r="E29" s="32" t="s">
        <v>43</v>
      </c>
      <c r="F29" s="65">
        <v>0</v>
      </c>
      <c r="G29" s="182">
        <v>4</v>
      </c>
      <c r="H29" s="35">
        <f t="shared" si="0"/>
        <v>0</v>
      </c>
      <c r="I29" s="36">
        <f t="shared" si="1"/>
        <v>0</v>
      </c>
    </row>
    <row r="30" spans="1:9" ht="15.75" customHeight="1" x14ac:dyDescent="0.35">
      <c r="A30" s="184" t="s">
        <v>55</v>
      </c>
      <c r="B30" s="185" t="s">
        <v>46</v>
      </c>
      <c r="C30" s="421"/>
      <c r="D30" s="186">
        <v>5</v>
      </c>
      <c r="E30" s="187" t="s">
        <v>43</v>
      </c>
      <c r="F30" s="65">
        <v>0</v>
      </c>
      <c r="G30" s="188">
        <v>5</v>
      </c>
      <c r="H30" s="189">
        <f t="shared" si="0"/>
        <v>0</v>
      </c>
      <c r="I30" s="197">
        <f t="shared" si="1"/>
        <v>0</v>
      </c>
    </row>
    <row r="31" spans="1:9" ht="15.75" customHeight="1" x14ac:dyDescent="0.35">
      <c r="A31" s="29" t="s">
        <v>55</v>
      </c>
      <c r="B31" s="79" t="s">
        <v>46</v>
      </c>
      <c r="C31" s="421"/>
      <c r="D31" s="191">
        <v>46180</v>
      </c>
      <c r="E31" s="32" t="s">
        <v>43</v>
      </c>
      <c r="F31" s="65">
        <v>0</v>
      </c>
      <c r="G31" s="182">
        <v>7</v>
      </c>
      <c r="H31" s="35">
        <f t="shared" si="0"/>
        <v>0</v>
      </c>
      <c r="I31" s="36">
        <f t="shared" si="1"/>
        <v>0</v>
      </c>
    </row>
    <row r="32" spans="1:9" ht="15.75" customHeight="1" x14ac:dyDescent="0.35">
      <c r="A32" s="184" t="s">
        <v>55</v>
      </c>
      <c r="B32" s="185" t="s">
        <v>46</v>
      </c>
      <c r="C32" s="421"/>
      <c r="D32" s="192">
        <v>46243</v>
      </c>
      <c r="E32" s="187" t="s">
        <v>43</v>
      </c>
      <c r="F32" s="65">
        <v>0</v>
      </c>
      <c r="G32" s="188">
        <v>9</v>
      </c>
      <c r="H32" s="189">
        <f t="shared" si="0"/>
        <v>0</v>
      </c>
      <c r="I32" s="197">
        <f t="shared" si="1"/>
        <v>0</v>
      </c>
    </row>
    <row r="33" spans="1:9" ht="15.75" customHeight="1" x14ac:dyDescent="0.35">
      <c r="A33" s="29" t="s">
        <v>55</v>
      </c>
      <c r="B33" s="79" t="s">
        <v>46</v>
      </c>
      <c r="C33" s="421"/>
      <c r="D33" s="191">
        <v>46309</v>
      </c>
      <c r="E33" s="32" t="s">
        <v>43</v>
      </c>
      <c r="F33" s="65">
        <v>0</v>
      </c>
      <c r="G33" s="182">
        <v>14</v>
      </c>
      <c r="H33" s="35">
        <f t="shared" si="0"/>
        <v>0</v>
      </c>
      <c r="I33" s="36">
        <f t="shared" si="1"/>
        <v>0</v>
      </c>
    </row>
    <row r="34" spans="1:9" ht="15.75" customHeight="1" x14ac:dyDescent="0.35">
      <c r="A34" s="184" t="s">
        <v>55</v>
      </c>
      <c r="B34" s="185" t="s">
        <v>46</v>
      </c>
      <c r="C34" s="421"/>
      <c r="D34" s="186" t="s">
        <v>187</v>
      </c>
      <c r="E34" s="187" t="s">
        <v>43</v>
      </c>
      <c r="F34" s="65">
        <v>0</v>
      </c>
      <c r="G34" s="188">
        <v>19</v>
      </c>
      <c r="H34" s="189">
        <f t="shared" si="0"/>
        <v>0</v>
      </c>
      <c r="I34" s="197">
        <f t="shared" si="1"/>
        <v>0</v>
      </c>
    </row>
    <row r="35" spans="1:9" ht="15.75" customHeight="1" x14ac:dyDescent="0.35">
      <c r="A35" s="47" t="s">
        <v>55</v>
      </c>
      <c r="B35" s="88" t="s">
        <v>46</v>
      </c>
      <c r="C35" s="422"/>
      <c r="D35" s="193" t="s">
        <v>188</v>
      </c>
      <c r="E35" s="50" t="s">
        <v>43</v>
      </c>
      <c r="F35" s="66">
        <v>0</v>
      </c>
      <c r="G35" s="194">
        <v>30</v>
      </c>
      <c r="H35" s="53">
        <f t="shared" si="0"/>
        <v>0</v>
      </c>
      <c r="I35" s="54">
        <f t="shared" si="1"/>
        <v>0</v>
      </c>
    </row>
    <row r="36" spans="1:9" ht="15.75" customHeight="1" x14ac:dyDescent="0.35">
      <c r="A36" s="174" t="s">
        <v>57</v>
      </c>
      <c r="B36" s="175">
        <v>3</v>
      </c>
      <c r="C36" s="439" t="s">
        <v>191</v>
      </c>
      <c r="D36" s="176">
        <v>1</v>
      </c>
      <c r="E36" s="177" t="s">
        <v>43</v>
      </c>
      <c r="F36" s="64">
        <v>0</v>
      </c>
      <c r="G36" s="178">
        <v>1</v>
      </c>
      <c r="H36" s="179">
        <f t="shared" si="0"/>
        <v>0</v>
      </c>
      <c r="I36" s="198">
        <f t="shared" si="1"/>
        <v>0</v>
      </c>
    </row>
    <row r="37" spans="1:9" ht="15.75" customHeight="1" x14ac:dyDescent="0.35">
      <c r="A37" s="29" t="s">
        <v>57</v>
      </c>
      <c r="B37" s="79">
        <v>3</v>
      </c>
      <c r="C37" s="421"/>
      <c r="D37" s="181">
        <v>2</v>
      </c>
      <c r="E37" s="32" t="s">
        <v>43</v>
      </c>
      <c r="F37" s="65">
        <v>0</v>
      </c>
      <c r="G37" s="182">
        <v>2</v>
      </c>
      <c r="H37" s="35">
        <f t="shared" si="0"/>
        <v>0</v>
      </c>
      <c r="I37" s="36">
        <f t="shared" si="1"/>
        <v>0</v>
      </c>
    </row>
    <row r="38" spans="1:9" ht="15.75" customHeight="1" x14ac:dyDescent="0.35">
      <c r="A38" s="184" t="s">
        <v>57</v>
      </c>
      <c r="B38" s="185">
        <v>3</v>
      </c>
      <c r="C38" s="421"/>
      <c r="D38" s="186">
        <v>3</v>
      </c>
      <c r="E38" s="187" t="s">
        <v>43</v>
      </c>
      <c r="F38" s="65">
        <v>0</v>
      </c>
      <c r="G38" s="188">
        <v>3</v>
      </c>
      <c r="H38" s="189">
        <f t="shared" si="0"/>
        <v>0</v>
      </c>
      <c r="I38" s="197">
        <f t="shared" si="1"/>
        <v>0</v>
      </c>
    </row>
    <row r="39" spans="1:9" ht="15.75" customHeight="1" x14ac:dyDescent="0.35">
      <c r="A39" s="29" t="s">
        <v>57</v>
      </c>
      <c r="B39" s="79">
        <v>3</v>
      </c>
      <c r="C39" s="421"/>
      <c r="D39" s="181">
        <v>4</v>
      </c>
      <c r="E39" s="32" t="s">
        <v>43</v>
      </c>
      <c r="F39" s="65">
        <v>0</v>
      </c>
      <c r="G39" s="182">
        <v>4</v>
      </c>
      <c r="H39" s="35">
        <f t="shared" si="0"/>
        <v>0</v>
      </c>
      <c r="I39" s="36">
        <f t="shared" si="1"/>
        <v>0</v>
      </c>
    </row>
    <row r="40" spans="1:9" ht="15.75" customHeight="1" x14ac:dyDescent="0.35">
      <c r="A40" s="184" t="s">
        <v>57</v>
      </c>
      <c r="B40" s="185">
        <v>3</v>
      </c>
      <c r="C40" s="421"/>
      <c r="D40" s="186">
        <v>5</v>
      </c>
      <c r="E40" s="187" t="s">
        <v>43</v>
      </c>
      <c r="F40" s="65">
        <v>0</v>
      </c>
      <c r="G40" s="188">
        <v>5</v>
      </c>
      <c r="H40" s="189">
        <f t="shared" si="0"/>
        <v>0</v>
      </c>
      <c r="I40" s="197">
        <f t="shared" si="1"/>
        <v>0</v>
      </c>
    </row>
    <row r="41" spans="1:9" ht="15.75" customHeight="1" x14ac:dyDescent="0.35">
      <c r="A41" s="29" t="s">
        <v>57</v>
      </c>
      <c r="B41" s="79">
        <v>3</v>
      </c>
      <c r="C41" s="421"/>
      <c r="D41" s="191">
        <v>46180</v>
      </c>
      <c r="E41" s="32" t="s">
        <v>43</v>
      </c>
      <c r="F41" s="65">
        <v>0</v>
      </c>
      <c r="G41" s="182">
        <v>7</v>
      </c>
      <c r="H41" s="35">
        <f t="shared" si="0"/>
        <v>0</v>
      </c>
      <c r="I41" s="36">
        <f t="shared" si="1"/>
        <v>0</v>
      </c>
    </row>
    <row r="42" spans="1:9" ht="15.75" customHeight="1" x14ac:dyDescent="0.35">
      <c r="A42" s="184" t="s">
        <v>57</v>
      </c>
      <c r="B42" s="185">
        <v>3</v>
      </c>
      <c r="C42" s="421"/>
      <c r="D42" s="192">
        <v>46243</v>
      </c>
      <c r="E42" s="187" t="s">
        <v>43</v>
      </c>
      <c r="F42" s="65">
        <v>0</v>
      </c>
      <c r="G42" s="188">
        <v>9</v>
      </c>
      <c r="H42" s="189">
        <f t="shared" si="0"/>
        <v>0</v>
      </c>
      <c r="I42" s="197">
        <f t="shared" si="1"/>
        <v>0</v>
      </c>
    </row>
    <row r="43" spans="1:9" ht="15.75" customHeight="1" x14ac:dyDescent="0.35">
      <c r="A43" s="29" t="s">
        <v>57</v>
      </c>
      <c r="B43" s="79">
        <v>3</v>
      </c>
      <c r="C43" s="421"/>
      <c r="D43" s="191">
        <v>46309</v>
      </c>
      <c r="E43" s="32" t="s">
        <v>43</v>
      </c>
      <c r="F43" s="65">
        <v>0</v>
      </c>
      <c r="G43" s="182">
        <v>14</v>
      </c>
      <c r="H43" s="35">
        <f t="shared" si="0"/>
        <v>0</v>
      </c>
      <c r="I43" s="36">
        <f t="shared" si="1"/>
        <v>0</v>
      </c>
    </row>
    <row r="44" spans="1:9" ht="15.75" customHeight="1" x14ac:dyDescent="0.35">
      <c r="A44" s="184" t="s">
        <v>57</v>
      </c>
      <c r="B44" s="185">
        <v>3</v>
      </c>
      <c r="C44" s="421"/>
      <c r="D44" s="186" t="s">
        <v>187</v>
      </c>
      <c r="E44" s="187" t="s">
        <v>43</v>
      </c>
      <c r="F44" s="65">
        <v>0</v>
      </c>
      <c r="G44" s="188">
        <v>19</v>
      </c>
      <c r="H44" s="189">
        <f t="shared" si="0"/>
        <v>0</v>
      </c>
      <c r="I44" s="197">
        <f t="shared" si="1"/>
        <v>0</v>
      </c>
    </row>
    <row r="45" spans="1:9" ht="15.75" customHeight="1" x14ac:dyDescent="0.35">
      <c r="A45" s="47" t="s">
        <v>57</v>
      </c>
      <c r="B45" s="88">
        <v>3</v>
      </c>
      <c r="C45" s="422"/>
      <c r="D45" s="193" t="s">
        <v>188</v>
      </c>
      <c r="E45" s="50" t="s">
        <v>43</v>
      </c>
      <c r="F45" s="66">
        <v>0</v>
      </c>
      <c r="G45" s="194">
        <v>30</v>
      </c>
      <c r="H45" s="53">
        <f t="shared" si="0"/>
        <v>0</v>
      </c>
      <c r="I45" s="54">
        <f t="shared" si="1"/>
        <v>0</v>
      </c>
    </row>
    <row r="46" spans="1:9" ht="15.75" customHeight="1" x14ac:dyDescent="0.35">
      <c r="A46" s="174" t="s">
        <v>59</v>
      </c>
      <c r="B46" s="175" t="s">
        <v>49</v>
      </c>
      <c r="C46" s="439" t="s">
        <v>192</v>
      </c>
      <c r="D46" s="176">
        <v>1</v>
      </c>
      <c r="E46" s="177" t="s">
        <v>43</v>
      </c>
      <c r="F46" s="64">
        <v>0</v>
      </c>
      <c r="G46" s="178">
        <v>1</v>
      </c>
      <c r="H46" s="179">
        <f t="shared" si="0"/>
        <v>0</v>
      </c>
      <c r="I46" s="198">
        <f t="shared" si="1"/>
        <v>0</v>
      </c>
    </row>
    <row r="47" spans="1:9" ht="15.75" customHeight="1" x14ac:dyDescent="0.35">
      <c r="A47" s="29" t="s">
        <v>59</v>
      </c>
      <c r="B47" s="79" t="s">
        <v>49</v>
      </c>
      <c r="C47" s="421"/>
      <c r="D47" s="181">
        <v>2</v>
      </c>
      <c r="E47" s="32" t="s">
        <v>43</v>
      </c>
      <c r="F47" s="65">
        <v>0</v>
      </c>
      <c r="G47" s="182">
        <v>2</v>
      </c>
      <c r="H47" s="35">
        <f t="shared" si="0"/>
        <v>0</v>
      </c>
      <c r="I47" s="36">
        <f t="shared" si="1"/>
        <v>0</v>
      </c>
    </row>
    <row r="48" spans="1:9" ht="15.75" customHeight="1" x14ac:dyDescent="0.35">
      <c r="A48" s="184" t="s">
        <v>59</v>
      </c>
      <c r="B48" s="185" t="s">
        <v>49</v>
      </c>
      <c r="C48" s="421"/>
      <c r="D48" s="186">
        <v>3</v>
      </c>
      <c r="E48" s="187" t="s">
        <v>43</v>
      </c>
      <c r="F48" s="65">
        <v>0</v>
      </c>
      <c r="G48" s="188">
        <v>3</v>
      </c>
      <c r="H48" s="189">
        <f t="shared" si="0"/>
        <v>0</v>
      </c>
      <c r="I48" s="197">
        <f t="shared" si="1"/>
        <v>0</v>
      </c>
    </row>
    <row r="49" spans="1:9" ht="15.75" customHeight="1" x14ac:dyDescent="0.35">
      <c r="A49" s="29" t="s">
        <v>59</v>
      </c>
      <c r="B49" s="79" t="s">
        <v>49</v>
      </c>
      <c r="C49" s="421"/>
      <c r="D49" s="181">
        <v>4</v>
      </c>
      <c r="E49" s="32" t="s">
        <v>43</v>
      </c>
      <c r="F49" s="65">
        <v>0</v>
      </c>
      <c r="G49" s="182">
        <v>4</v>
      </c>
      <c r="H49" s="35">
        <f t="shared" si="0"/>
        <v>0</v>
      </c>
      <c r="I49" s="36">
        <f t="shared" si="1"/>
        <v>0</v>
      </c>
    </row>
    <row r="50" spans="1:9" ht="15.75" customHeight="1" x14ac:dyDescent="0.35">
      <c r="A50" s="184" t="s">
        <v>59</v>
      </c>
      <c r="B50" s="185" t="s">
        <v>49</v>
      </c>
      <c r="C50" s="421"/>
      <c r="D50" s="186">
        <v>5</v>
      </c>
      <c r="E50" s="187" t="s">
        <v>43</v>
      </c>
      <c r="F50" s="65">
        <v>0</v>
      </c>
      <c r="G50" s="188">
        <v>5</v>
      </c>
      <c r="H50" s="189">
        <f t="shared" si="0"/>
        <v>0</v>
      </c>
      <c r="I50" s="197">
        <f t="shared" si="1"/>
        <v>0</v>
      </c>
    </row>
    <row r="51" spans="1:9" ht="15.75" customHeight="1" x14ac:dyDescent="0.35">
      <c r="A51" s="29" t="s">
        <v>59</v>
      </c>
      <c r="B51" s="79" t="s">
        <v>49</v>
      </c>
      <c r="C51" s="421"/>
      <c r="D51" s="191">
        <v>46180</v>
      </c>
      <c r="E51" s="32" t="s">
        <v>43</v>
      </c>
      <c r="F51" s="65">
        <v>0</v>
      </c>
      <c r="G51" s="182">
        <v>7</v>
      </c>
      <c r="H51" s="35">
        <f t="shared" si="0"/>
        <v>0</v>
      </c>
      <c r="I51" s="36">
        <f t="shared" si="1"/>
        <v>0</v>
      </c>
    </row>
    <row r="52" spans="1:9" ht="15.75" customHeight="1" x14ac:dyDescent="0.35">
      <c r="A52" s="184" t="s">
        <v>59</v>
      </c>
      <c r="B52" s="185" t="s">
        <v>49</v>
      </c>
      <c r="C52" s="421"/>
      <c r="D52" s="192">
        <v>46243</v>
      </c>
      <c r="E52" s="187" t="s">
        <v>43</v>
      </c>
      <c r="F52" s="65">
        <v>0</v>
      </c>
      <c r="G52" s="188">
        <v>9</v>
      </c>
      <c r="H52" s="189">
        <f t="shared" si="0"/>
        <v>0</v>
      </c>
      <c r="I52" s="197">
        <f t="shared" si="1"/>
        <v>0</v>
      </c>
    </row>
    <row r="53" spans="1:9" ht="15.75" customHeight="1" x14ac:dyDescent="0.35">
      <c r="A53" s="29" t="s">
        <v>59</v>
      </c>
      <c r="B53" s="79" t="s">
        <v>49</v>
      </c>
      <c r="C53" s="421"/>
      <c r="D53" s="191">
        <v>46309</v>
      </c>
      <c r="E53" s="32" t="s">
        <v>43</v>
      </c>
      <c r="F53" s="65">
        <v>0</v>
      </c>
      <c r="G53" s="182">
        <v>14</v>
      </c>
      <c r="H53" s="35">
        <f t="shared" si="0"/>
        <v>0</v>
      </c>
      <c r="I53" s="36">
        <f t="shared" si="1"/>
        <v>0</v>
      </c>
    </row>
    <row r="54" spans="1:9" ht="15.75" customHeight="1" x14ac:dyDescent="0.35">
      <c r="A54" s="184" t="s">
        <v>59</v>
      </c>
      <c r="B54" s="185" t="s">
        <v>49</v>
      </c>
      <c r="C54" s="421"/>
      <c r="D54" s="186" t="s">
        <v>187</v>
      </c>
      <c r="E54" s="187" t="s">
        <v>43</v>
      </c>
      <c r="F54" s="65">
        <v>0</v>
      </c>
      <c r="G54" s="188">
        <v>19</v>
      </c>
      <c r="H54" s="189">
        <f t="shared" si="0"/>
        <v>0</v>
      </c>
      <c r="I54" s="197">
        <f t="shared" si="1"/>
        <v>0</v>
      </c>
    </row>
    <row r="55" spans="1:9" ht="15.75" customHeight="1" x14ac:dyDescent="0.35">
      <c r="A55" s="47" t="s">
        <v>59</v>
      </c>
      <c r="B55" s="88" t="s">
        <v>49</v>
      </c>
      <c r="C55" s="422"/>
      <c r="D55" s="193" t="s">
        <v>188</v>
      </c>
      <c r="E55" s="50" t="s">
        <v>43</v>
      </c>
      <c r="F55" s="66">
        <v>0</v>
      </c>
      <c r="G55" s="194">
        <v>30</v>
      </c>
      <c r="H55" s="53">
        <f t="shared" si="0"/>
        <v>0</v>
      </c>
      <c r="I55" s="54">
        <f t="shared" si="1"/>
        <v>0</v>
      </c>
    </row>
    <row r="56" spans="1:9" ht="15.75" customHeight="1" x14ac:dyDescent="0.35">
      <c r="A56" s="174" t="s">
        <v>61</v>
      </c>
      <c r="B56" s="199">
        <v>4</v>
      </c>
      <c r="C56" s="439" t="s">
        <v>193</v>
      </c>
      <c r="D56" s="176">
        <v>1</v>
      </c>
      <c r="E56" s="177" t="s">
        <v>43</v>
      </c>
      <c r="F56" s="64">
        <v>0</v>
      </c>
      <c r="G56" s="178">
        <v>1</v>
      </c>
      <c r="H56" s="179">
        <f t="shared" si="0"/>
        <v>0</v>
      </c>
      <c r="I56" s="198">
        <f t="shared" si="1"/>
        <v>0</v>
      </c>
    </row>
    <row r="57" spans="1:9" ht="15.75" customHeight="1" x14ac:dyDescent="0.35">
      <c r="A57" s="29" t="s">
        <v>61</v>
      </c>
      <c r="B57" s="79">
        <v>4</v>
      </c>
      <c r="C57" s="421"/>
      <c r="D57" s="181">
        <v>2</v>
      </c>
      <c r="E57" s="32" t="s">
        <v>43</v>
      </c>
      <c r="F57" s="65">
        <v>0</v>
      </c>
      <c r="G57" s="182">
        <v>2</v>
      </c>
      <c r="H57" s="35">
        <f t="shared" si="0"/>
        <v>0</v>
      </c>
      <c r="I57" s="36">
        <f t="shared" si="1"/>
        <v>0</v>
      </c>
    </row>
    <row r="58" spans="1:9" ht="15.75" customHeight="1" x14ac:dyDescent="0.35">
      <c r="A58" s="184" t="s">
        <v>61</v>
      </c>
      <c r="B58" s="185">
        <v>4</v>
      </c>
      <c r="C58" s="421"/>
      <c r="D58" s="186">
        <v>3</v>
      </c>
      <c r="E58" s="187" t="s">
        <v>43</v>
      </c>
      <c r="F58" s="65">
        <v>0</v>
      </c>
      <c r="G58" s="188">
        <v>3</v>
      </c>
      <c r="H58" s="189">
        <f t="shared" si="0"/>
        <v>0</v>
      </c>
      <c r="I58" s="197">
        <f t="shared" si="1"/>
        <v>0</v>
      </c>
    </row>
    <row r="59" spans="1:9" ht="15.75" customHeight="1" x14ac:dyDescent="0.35">
      <c r="A59" s="29" t="s">
        <v>61</v>
      </c>
      <c r="B59" s="79">
        <v>4</v>
      </c>
      <c r="C59" s="421"/>
      <c r="D59" s="181">
        <v>4</v>
      </c>
      <c r="E59" s="32" t="s">
        <v>43</v>
      </c>
      <c r="F59" s="65">
        <v>0</v>
      </c>
      <c r="G59" s="182">
        <v>4</v>
      </c>
      <c r="H59" s="35">
        <f t="shared" si="0"/>
        <v>0</v>
      </c>
      <c r="I59" s="36">
        <f t="shared" si="1"/>
        <v>0</v>
      </c>
    </row>
    <row r="60" spans="1:9" ht="15.75" customHeight="1" x14ac:dyDescent="0.35">
      <c r="A60" s="184" t="s">
        <v>61</v>
      </c>
      <c r="B60" s="185">
        <v>4</v>
      </c>
      <c r="C60" s="421"/>
      <c r="D60" s="186">
        <v>5</v>
      </c>
      <c r="E60" s="187" t="s">
        <v>43</v>
      </c>
      <c r="F60" s="65">
        <v>0</v>
      </c>
      <c r="G60" s="188">
        <v>5</v>
      </c>
      <c r="H60" s="189">
        <f t="shared" si="0"/>
        <v>0</v>
      </c>
      <c r="I60" s="197">
        <f t="shared" si="1"/>
        <v>0</v>
      </c>
    </row>
    <row r="61" spans="1:9" ht="15.75" customHeight="1" x14ac:dyDescent="0.35">
      <c r="A61" s="29" t="s">
        <v>61</v>
      </c>
      <c r="B61" s="79">
        <v>4</v>
      </c>
      <c r="C61" s="421"/>
      <c r="D61" s="191">
        <v>46180</v>
      </c>
      <c r="E61" s="32" t="s">
        <v>43</v>
      </c>
      <c r="F61" s="65">
        <v>0</v>
      </c>
      <c r="G61" s="182">
        <v>7</v>
      </c>
      <c r="H61" s="35">
        <f t="shared" si="0"/>
        <v>0</v>
      </c>
      <c r="I61" s="36">
        <f t="shared" si="1"/>
        <v>0</v>
      </c>
    </row>
    <row r="62" spans="1:9" ht="15.75" customHeight="1" x14ac:dyDescent="0.35">
      <c r="A62" s="184" t="s">
        <v>61</v>
      </c>
      <c r="B62" s="185">
        <v>4</v>
      </c>
      <c r="C62" s="421"/>
      <c r="D62" s="192">
        <v>46243</v>
      </c>
      <c r="E62" s="187" t="s">
        <v>43</v>
      </c>
      <c r="F62" s="65">
        <v>0</v>
      </c>
      <c r="G62" s="188">
        <v>9</v>
      </c>
      <c r="H62" s="189">
        <f t="shared" si="0"/>
        <v>0</v>
      </c>
      <c r="I62" s="197">
        <f t="shared" si="1"/>
        <v>0</v>
      </c>
    </row>
    <row r="63" spans="1:9" ht="15.75" customHeight="1" x14ac:dyDescent="0.35">
      <c r="A63" s="29" t="s">
        <v>61</v>
      </c>
      <c r="B63" s="79">
        <v>4</v>
      </c>
      <c r="C63" s="421"/>
      <c r="D63" s="191">
        <v>46309</v>
      </c>
      <c r="E63" s="32" t="s">
        <v>43</v>
      </c>
      <c r="F63" s="65">
        <v>0</v>
      </c>
      <c r="G63" s="182">
        <v>14</v>
      </c>
      <c r="H63" s="35">
        <f t="shared" si="0"/>
        <v>0</v>
      </c>
      <c r="I63" s="36">
        <f t="shared" si="1"/>
        <v>0</v>
      </c>
    </row>
    <row r="64" spans="1:9" ht="15.75" customHeight="1" x14ac:dyDescent="0.35">
      <c r="A64" s="184" t="s">
        <v>61</v>
      </c>
      <c r="B64" s="185">
        <v>4</v>
      </c>
      <c r="C64" s="421"/>
      <c r="D64" s="186" t="s">
        <v>187</v>
      </c>
      <c r="E64" s="187" t="s">
        <v>43</v>
      </c>
      <c r="F64" s="65">
        <v>0</v>
      </c>
      <c r="G64" s="188">
        <v>19</v>
      </c>
      <c r="H64" s="189">
        <f t="shared" si="0"/>
        <v>0</v>
      </c>
      <c r="I64" s="197">
        <f t="shared" si="1"/>
        <v>0</v>
      </c>
    </row>
    <row r="65" spans="1:12" ht="15.75" customHeight="1" x14ac:dyDescent="0.35">
      <c r="A65" s="47" t="s">
        <v>61</v>
      </c>
      <c r="B65" s="88">
        <v>4</v>
      </c>
      <c r="C65" s="422"/>
      <c r="D65" s="193" t="s">
        <v>188</v>
      </c>
      <c r="E65" s="50" t="s">
        <v>43</v>
      </c>
      <c r="F65" s="66">
        <v>0</v>
      </c>
      <c r="G65" s="194">
        <v>30</v>
      </c>
      <c r="H65" s="53">
        <f t="shared" si="0"/>
        <v>0</v>
      </c>
      <c r="I65" s="54">
        <f t="shared" si="1"/>
        <v>0</v>
      </c>
    </row>
    <row r="66" spans="1:12" ht="15.75" customHeight="1" x14ac:dyDescent="0.35">
      <c r="A66" s="174" t="s">
        <v>63</v>
      </c>
      <c r="B66" s="199" t="s">
        <v>53</v>
      </c>
      <c r="C66" s="439" t="s">
        <v>194</v>
      </c>
      <c r="D66" s="176">
        <v>1</v>
      </c>
      <c r="E66" s="177" t="s">
        <v>43</v>
      </c>
      <c r="F66" s="64">
        <v>0</v>
      </c>
      <c r="G66" s="178">
        <v>1</v>
      </c>
      <c r="H66" s="179">
        <f t="shared" si="0"/>
        <v>0</v>
      </c>
      <c r="I66" s="198">
        <f t="shared" si="1"/>
        <v>0</v>
      </c>
    </row>
    <row r="67" spans="1:12" ht="15.75" customHeight="1" x14ac:dyDescent="0.35">
      <c r="A67" s="29" t="s">
        <v>63</v>
      </c>
      <c r="B67" s="79" t="s">
        <v>53</v>
      </c>
      <c r="C67" s="421"/>
      <c r="D67" s="181">
        <v>2</v>
      </c>
      <c r="E67" s="32" t="s">
        <v>43</v>
      </c>
      <c r="F67" s="65">
        <v>0</v>
      </c>
      <c r="G67" s="182">
        <v>2</v>
      </c>
      <c r="H67" s="35">
        <f t="shared" si="0"/>
        <v>0</v>
      </c>
      <c r="I67" s="36">
        <f t="shared" si="1"/>
        <v>0</v>
      </c>
    </row>
    <row r="68" spans="1:12" ht="15.75" customHeight="1" x14ac:dyDescent="0.35">
      <c r="A68" s="184" t="s">
        <v>63</v>
      </c>
      <c r="B68" s="185" t="s">
        <v>53</v>
      </c>
      <c r="C68" s="421"/>
      <c r="D68" s="186">
        <v>3</v>
      </c>
      <c r="E68" s="187" t="s">
        <v>43</v>
      </c>
      <c r="F68" s="65">
        <v>0</v>
      </c>
      <c r="G68" s="188">
        <v>3</v>
      </c>
      <c r="H68" s="189">
        <f t="shared" si="0"/>
        <v>0</v>
      </c>
      <c r="I68" s="197">
        <f t="shared" si="1"/>
        <v>0</v>
      </c>
    </row>
    <row r="69" spans="1:12" ht="15.75" customHeight="1" x14ac:dyDescent="0.35">
      <c r="A69" s="29" t="s">
        <v>63</v>
      </c>
      <c r="B69" s="79" t="s">
        <v>53</v>
      </c>
      <c r="C69" s="421"/>
      <c r="D69" s="181">
        <v>4</v>
      </c>
      <c r="E69" s="32" t="s">
        <v>43</v>
      </c>
      <c r="F69" s="65">
        <v>0</v>
      </c>
      <c r="G69" s="182">
        <v>4</v>
      </c>
      <c r="H69" s="35">
        <f t="shared" si="0"/>
        <v>0</v>
      </c>
      <c r="I69" s="36">
        <f t="shared" si="1"/>
        <v>0</v>
      </c>
    </row>
    <row r="70" spans="1:12" ht="15.75" customHeight="1" x14ac:dyDescent="0.35">
      <c r="A70" s="184" t="s">
        <v>63</v>
      </c>
      <c r="B70" s="185" t="s">
        <v>53</v>
      </c>
      <c r="C70" s="421"/>
      <c r="D70" s="186">
        <v>5</v>
      </c>
      <c r="E70" s="187" t="s">
        <v>43</v>
      </c>
      <c r="F70" s="65">
        <v>0</v>
      </c>
      <c r="G70" s="188">
        <v>5</v>
      </c>
      <c r="H70" s="189">
        <f t="shared" si="0"/>
        <v>0</v>
      </c>
      <c r="I70" s="197">
        <f t="shared" si="1"/>
        <v>0</v>
      </c>
    </row>
    <row r="71" spans="1:12" ht="15.75" customHeight="1" x14ac:dyDescent="0.35">
      <c r="A71" s="29" t="s">
        <v>63</v>
      </c>
      <c r="B71" s="79" t="s">
        <v>53</v>
      </c>
      <c r="C71" s="421"/>
      <c r="D71" s="191">
        <v>46180</v>
      </c>
      <c r="E71" s="32" t="s">
        <v>43</v>
      </c>
      <c r="F71" s="65">
        <v>0</v>
      </c>
      <c r="G71" s="182">
        <v>7</v>
      </c>
      <c r="H71" s="35">
        <f t="shared" si="0"/>
        <v>0</v>
      </c>
      <c r="I71" s="36">
        <f t="shared" si="1"/>
        <v>0</v>
      </c>
    </row>
    <row r="72" spans="1:12" ht="15.75" customHeight="1" x14ac:dyDescent="0.35">
      <c r="A72" s="184" t="s">
        <v>63</v>
      </c>
      <c r="B72" s="185" t="s">
        <v>53</v>
      </c>
      <c r="C72" s="421"/>
      <c r="D72" s="192">
        <v>46243</v>
      </c>
      <c r="E72" s="187" t="s">
        <v>43</v>
      </c>
      <c r="F72" s="65">
        <v>0</v>
      </c>
      <c r="G72" s="188">
        <v>9</v>
      </c>
      <c r="H72" s="189">
        <f t="shared" si="0"/>
        <v>0</v>
      </c>
      <c r="I72" s="197">
        <f t="shared" si="1"/>
        <v>0</v>
      </c>
    </row>
    <row r="73" spans="1:12" ht="15.75" customHeight="1" x14ac:dyDescent="0.35">
      <c r="A73" s="29" t="s">
        <v>63</v>
      </c>
      <c r="B73" s="79" t="s">
        <v>53</v>
      </c>
      <c r="C73" s="421"/>
      <c r="D73" s="191">
        <v>46309</v>
      </c>
      <c r="E73" s="32" t="s">
        <v>43</v>
      </c>
      <c r="F73" s="65">
        <v>0</v>
      </c>
      <c r="G73" s="182">
        <v>14</v>
      </c>
      <c r="H73" s="35">
        <f t="shared" si="0"/>
        <v>0</v>
      </c>
      <c r="I73" s="36">
        <f t="shared" si="1"/>
        <v>0</v>
      </c>
    </row>
    <row r="74" spans="1:12" ht="15.75" customHeight="1" x14ac:dyDescent="0.35">
      <c r="A74" s="184" t="s">
        <v>63</v>
      </c>
      <c r="B74" s="185" t="s">
        <v>53</v>
      </c>
      <c r="C74" s="421"/>
      <c r="D74" s="186" t="s">
        <v>187</v>
      </c>
      <c r="E74" s="187" t="s">
        <v>43</v>
      </c>
      <c r="F74" s="65">
        <v>0</v>
      </c>
      <c r="G74" s="188">
        <v>19</v>
      </c>
      <c r="H74" s="189">
        <f t="shared" si="0"/>
        <v>0</v>
      </c>
      <c r="I74" s="197">
        <f t="shared" si="1"/>
        <v>0</v>
      </c>
    </row>
    <row r="75" spans="1:12" ht="15.75" customHeight="1" x14ac:dyDescent="0.35">
      <c r="A75" s="47" t="s">
        <v>63</v>
      </c>
      <c r="B75" s="88" t="s">
        <v>53</v>
      </c>
      <c r="C75" s="422"/>
      <c r="D75" s="193" t="s">
        <v>188</v>
      </c>
      <c r="E75" s="50" t="s">
        <v>43</v>
      </c>
      <c r="F75" s="66">
        <v>0</v>
      </c>
      <c r="G75" s="194">
        <v>30</v>
      </c>
      <c r="H75" s="53">
        <f t="shared" si="0"/>
        <v>0</v>
      </c>
      <c r="I75" s="54">
        <f t="shared" si="1"/>
        <v>0</v>
      </c>
    </row>
    <row r="76" spans="1:12" ht="15.75" customHeight="1" x14ac:dyDescent="0.35"/>
    <row r="77" spans="1:12" ht="15.75" customHeight="1" x14ac:dyDescent="0.35"/>
    <row r="78" spans="1:12" ht="15.75" customHeight="1" x14ac:dyDescent="0.4">
      <c r="A78" s="414" t="s">
        <v>195</v>
      </c>
      <c r="B78" s="413"/>
      <c r="C78" s="413"/>
      <c r="D78" s="413"/>
      <c r="E78" s="413"/>
      <c r="F78" s="413"/>
      <c r="G78" s="413"/>
      <c r="H78" s="413"/>
      <c r="I78" s="413"/>
      <c r="J78" s="413"/>
    </row>
    <row r="79" spans="1:12" ht="15.75" customHeight="1" x14ac:dyDescent="0.35">
      <c r="A79" s="441" t="s">
        <v>28</v>
      </c>
      <c r="B79" s="416"/>
      <c r="C79" s="416"/>
      <c r="D79" s="416"/>
      <c r="E79" s="416"/>
      <c r="F79" s="417"/>
      <c r="G79" s="200"/>
      <c r="H79" s="442" t="s">
        <v>181</v>
      </c>
      <c r="I79" s="419"/>
      <c r="J79" s="172"/>
    </row>
    <row r="80" spans="1:12" ht="15.75" customHeight="1" x14ac:dyDescent="0.35">
      <c r="A80" s="125" t="s">
        <v>182</v>
      </c>
      <c r="B80" s="69" t="s">
        <v>31</v>
      </c>
      <c r="C80" s="69" t="s">
        <v>32</v>
      </c>
      <c r="D80" s="127" t="s">
        <v>183</v>
      </c>
      <c r="E80" s="50" t="s">
        <v>34</v>
      </c>
      <c r="F80" s="69" t="s">
        <v>35</v>
      </c>
      <c r="G80" s="69" t="s">
        <v>36</v>
      </c>
      <c r="H80" s="69" t="s">
        <v>37</v>
      </c>
      <c r="I80" s="128" t="s">
        <v>38</v>
      </c>
      <c r="K80" s="18" t="s">
        <v>39</v>
      </c>
      <c r="L80" s="173" t="s">
        <v>196</v>
      </c>
    </row>
    <row r="81" spans="1:12" ht="15.75" customHeight="1" x14ac:dyDescent="0.35">
      <c r="A81" s="201" t="s">
        <v>69</v>
      </c>
      <c r="B81" s="202">
        <v>1</v>
      </c>
      <c r="C81" s="440" t="s">
        <v>197</v>
      </c>
      <c r="D81" s="203">
        <v>1</v>
      </c>
      <c r="E81" s="204" t="s">
        <v>43</v>
      </c>
      <c r="F81" s="64">
        <v>0</v>
      </c>
      <c r="G81" s="205">
        <v>1</v>
      </c>
      <c r="H81" s="206">
        <f t="shared" ref="H81:H150" si="2">F81*G81</f>
        <v>0</v>
      </c>
      <c r="I81" s="207">
        <f t="shared" ref="I81:I150" si="3">H81*365</f>
        <v>0</v>
      </c>
      <c r="K81" s="18">
        <v>1</v>
      </c>
      <c r="L81" s="28">
        <f>SUM(I81:I90)</f>
        <v>0</v>
      </c>
    </row>
    <row r="82" spans="1:12" ht="15.75" customHeight="1" x14ac:dyDescent="0.35">
      <c r="A82" s="29" t="s">
        <v>69</v>
      </c>
      <c r="B82" s="79">
        <v>1</v>
      </c>
      <c r="C82" s="421"/>
      <c r="D82" s="181">
        <v>2</v>
      </c>
      <c r="E82" s="32" t="s">
        <v>43</v>
      </c>
      <c r="F82" s="65">
        <v>0</v>
      </c>
      <c r="G82" s="182">
        <v>2</v>
      </c>
      <c r="H82" s="35">
        <f t="shared" si="2"/>
        <v>0</v>
      </c>
      <c r="I82" s="36">
        <f t="shared" si="3"/>
        <v>0</v>
      </c>
      <c r="K82" s="18">
        <v>2</v>
      </c>
      <c r="L82" s="28">
        <f>SUM(I91:I100)</f>
        <v>0</v>
      </c>
    </row>
    <row r="83" spans="1:12" ht="15.75" customHeight="1" x14ac:dyDescent="0.35">
      <c r="A83" s="208" t="s">
        <v>69</v>
      </c>
      <c r="B83" s="209">
        <v>1</v>
      </c>
      <c r="C83" s="421"/>
      <c r="D83" s="210">
        <v>3</v>
      </c>
      <c r="E83" s="211" t="s">
        <v>43</v>
      </c>
      <c r="F83" s="65">
        <v>0</v>
      </c>
      <c r="G83" s="212">
        <v>3</v>
      </c>
      <c r="H83" s="213">
        <f t="shared" si="2"/>
        <v>0</v>
      </c>
      <c r="I83" s="214">
        <f t="shared" si="3"/>
        <v>0</v>
      </c>
      <c r="K83" s="18" t="s">
        <v>46</v>
      </c>
      <c r="L83" s="28">
        <f>SUM(I101:I110)</f>
        <v>0</v>
      </c>
    </row>
    <row r="84" spans="1:12" ht="15.75" customHeight="1" x14ac:dyDescent="0.35">
      <c r="A84" s="29" t="s">
        <v>69</v>
      </c>
      <c r="B84" s="79">
        <v>1</v>
      </c>
      <c r="C84" s="421"/>
      <c r="D84" s="181">
        <v>4</v>
      </c>
      <c r="E84" s="32" t="s">
        <v>43</v>
      </c>
      <c r="F84" s="65">
        <v>0</v>
      </c>
      <c r="G84" s="182">
        <v>4</v>
      </c>
      <c r="H84" s="35">
        <f t="shared" si="2"/>
        <v>0</v>
      </c>
      <c r="I84" s="36">
        <f t="shared" si="3"/>
        <v>0</v>
      </c>
      <c r="K84" s="18">
        <v>3</v>
      </c>
      <c r="L84" s="28">
        <f>SUM(I111:I120)</f>
        <v>0</v>
      </c>
    </row>
    <row r="85" spans="1:12" ht="15.75" customHeight="1" x14ac:dyDescent="0.35">
      <c r="A85" s="208" t="s">
        <v>69</v>
      </c>
      <c r="B85" s="209">
        <v>1</v>
      </c>
      <c r="C85" s="421"/>
      <c r="D85" s="210">
        <v>5</v>
      </c>
      <c r="E85" s="211" t="s">
        <v>43</v>
      </c>
      <c r="F85" s="65">
        <v>0</v>
      </c>
      <c r="G85" s="212">
        <v>5</v>
      </c>
      <c r="H85" s="213">
        <f t="shared" si="2"/>
        <v>0</v>
      </c>
      <c r="I85" s="214">
        <f t="shared" si="3"/>
        <v>0</v>
      </c>
      <c r="K85" s="18" t="s">
        <v>49</v>
      </c>
      <c r="L85" s="28">
        <f>SUM(I121:I130)</f>
        <v>0</v>
      </c>
    </row>
    <row r="86" spans="1:12" ht="15.75" customHeight="1" x14ac:dyDescent="0.35">
      <c r="A86" s="29" t="s">
        <v>69</v>
      </c>
      <c r="B86" s="79">
        <v>1</v>
      </c>
      <c r="C86" s="421"/>
      <c r="D86" s="191">
        <v>46180</v>
      </c>
      <c r="E86" s="32" t="s">
        <v>43</v>
      </c>
      <c r="F86" s="65">
        <v>0</v>
      </c>
      <c r="G86" s="182">
        <v>7</v>
      </c>
      <c r="H86" s="35">
        <f t="shared" si="2"/>
        <v>0</v>
      </c>
      <c r="I86" s="36">
        <f t="shared" si="3"/>
        <v>0</v>
      </c>
      <c r="K86" s="18">
        <v>4</v>
      </c>
      <c r="L86" s="46">
        <f>SUM(I131:I140)</f>
        <v>0</v>
      </c>
    </row>
    <row r="87" spans="1:12" ht="15.75" customHeight="1" x14ac:dyDescent="0.35">
      <c r="A87" s="208" t="s">
        <v>69</v>
      </c>
      <c r="B87" s="209">
        <v>1</v>
      </c>
      <c r="C87" s="421"/>
      <c r="D87" s="215">
        <v>46243</v>
      </c>
      <c r="E87" s="211" t="s">
        <v>43</v>
      </c>
      <c r="F87" s="65">
        <v>0</v>
      </c>
      <c r="G87" s="212">
        <v>9</v>
      </c>
      <c r="H87" s="213">
        <f t="shared" si="2"/>
        <v>0</v>
      </c>
      <c r="I87" s="214">
        <f t="shared" si="3"/>
        <v>0</v>
      </c>
      <c r="K87" s="18" t="s">
        <v>53</v>
      </c>
      <c r="L87" s="46">
        <f>SUM(I141:I150)</f>
        <v>0</v>
      </c>
    </row>
    <row r="88" spans="1:12" ht="15.75" customHeight="1" x14ac:dyDescent="0.35">
      <c r="A88" s="29" t="s">
        <v>69</v>
      </c>
      <c r="B88" s="79">
        <v>1</v>
      </c>
      <c r="C88" s="421"/>
      <c r="D88" s="191">
        <v>46309</v>
      </c>
      <c r="E88" s="32" t="s">
        <v>43</v>
      </c>
      <c r="F88" s="65">
        <v>0</v>
      </c>
      <c r="G88" s="182">
        <v>14</v>
      </c>
      <c r="H88" s="35">
        <f t="shared" si="2"/>
        <v>0</v>
      </c>
      <c r="I88" s="36">
        <f t="shared" si="3"/>
        <v>0</v>
      </c>
      <c r="K88" s="18" t="s">
        <v>198</v>
      </c>
      <c r="L88" s="28">
        <f>SUM(L81:L87)</f>
        <v>0</v>
      </c>
    </row>
    <row r="89" spans="1:12" ht="15.75" customHeight="1" x14ac:dyDescent="0.35">
      <c r="A89" s="208" t="s">
        <v>69</v>
      </c>
      <c r="B89" s="209">
        <v>1</v>
      </c>
      <c r="C89" s="421"/>
      <c r="D89" s="210" t="s">
        <v>187</v>
      </c>
      <c r="E89" s="211" t="s">
        <v>43</v>
      </c>
      <c r="F89" s="65">
        <v>0</v>
      </c>
      <c r="G89" s="212">
        <v>19</v>
      </c>
      <c r="H89" s="213">
        <f t="shared" si="2"/>
        <v>0</v>
      </c>
      <c r="I89" s="214">
        <f t="shared" si="3"/>
        <v>0</v>
      </c>
    </row>
    <row r="90" spans="1:12" ht="15.75" customHeight="1" x14ac:dyDescent="0.35">
      <c r="A90" s="47" t="s">
        <v>69</v>
      </c>
      <c r="B90" s="88">
        <v>1</v>
      </c>
      <c r="C90" s="422"/>
      <c r="D90" s="193" t="s">
        <v>188</v>
      </c>
      <c r="E90" s="50" t="s">
        <v>43</v>
      </c>
      <c r="F90" s="66">
        <v>0</v>
      </c>
      <c r="G90" s="194">
        <v>30</v>
      </c>
      <c r="H90" s="53">
        <f t="shared" si="2"/>
        <v>0</v>
      </c>
      <c r="I90" s="54">
        <f t="shared" si="3"/>
        <v>0</v>
      </c>
    </row>
    <row r="91" spans="1:12" ht="15.75" customHeight="1" x14ac:dyDescent="0.35">
      <c r="A91" s="201" t="s">
        <v>71</v>
      </c>
      <c r="B91" s="202">
        <v>2</v>
      </c>
      <c r="C91" s="440" t="s">
        <v>199</v>
      </c>
      <c r="D91" s="203">
        <v>1</v>
      </c>
      <c r="E91" s="204" t="s">
        <v>43</v>
      </c>
      <c r="F91" s="64">
        <v>0</v>
      </c>
      <c r="G91" s="205">
        <v>1</v>
      </c>
      <c r="H91" s="206">
        <f t="shared" si="2"/>
        <v>0</v>
      </c>
      <c r="I91" s="207">
        <f t="shared" si="3"/>
        <v>0</v>
      </c>
    </row>
    <row r="92" spans="1:12" ht="15.75" customHeight="1" x14ac:dyDescent="0.35">
      <c r="A92" s="29" t="s">
        <v>71</v>
      </c>
      <c r="B92" s="79">
        <v>2</v>
      </c>
      <c r="C92" s="421"/>
      <c r="D92" s="181">
        <v>2</v>
      </c>
      <c r="E92" s="32" t="s">
        <v>43</v>
      </c>
      <c r="F92" s="65">
        <v>0</v>
      </c>
      <c r="G92" s="182">
        <v>2</v>
      </c>
      <c r="H92" s="35">
        <f t="shared" si="2"/>
        <v>0</v>
      </c>
      <c r="I92" s="36">
        <f t="shared" si="3"/>
        <v>0</v>
      </c>
    </row>
    <row r="93" spans="1:12" ht="15.75" customHeight="1" x14ac:dyDescent="0.35">
      <c r="A93" s="208" t="s">
        <v>71</v>
      </c>
      <c r="B93" s="209">
        <v>2</v>
      </c>
      <c r="C93" s="421"/>
      <c r="D93" s="210">
        <v>3</v>
      </c>
      <c r="E93" s="211" t="s">
        <v>43</v>
      </c>
      <c r="F93" s="65">
        <v>0</v>
      </c>
      <c r="G93" s="212">
        <v>3</v>
      </c>
      <c r="H93" s="213">
        <f t="shared" si="2"/>
        <v>0</v>
      </c>
      <c r="I93" s="214">
        <f t="shared" si="3"/>
        <v>0</v>
      </c>
    </row>
    <row r="94" spans="1:12" ht="15.75" customHeight="1" x14ac:dyDescent="0.35">
      <c r="A94" s="29" t="s">
        <v>71</v>
      </c>
      <c r="B94" s="79">
        <v>2</v>
      </c>
      <c r="C94" s="421"/>
      <c r="D94" s="181">
        <v>4</v>
      </c>
      <c r="E94" s="32" t="s">
        <v>43</v>
      </c>
      <c r="F94" s="65">
        <v>0</v>
      </c>
      <c r="G94" s="182">
        <v>4</v>
      </c>
      <c r="H94" s="35">
        <f t="shared" si="2"/>
        <v>0</v>
      </c>
      <c r="I94" s="36">
        <f t="shared" si="3"/>
        <v>0</v>
      </c>
    </row>
    <row r="95" spans="1:12" ht="15.75" customHeight="1" x14ac:dyDescent="0.35">
      <c r="A95" s="208" t="s">
        <v>71</v>
      </c>
      <c r="B95" s="209">
        <v>2</v>
      </c>
      <c r="C95" s="421"/>
      <c r="D95" s="210">
        <v>5</v>
      </c>
      <c r="E95" s="211" t="s">
        <v>43</v>
      </c>
      <c r="F95" s="65">
        <v>0</v>
      </c>
      <c r="G95" s="212">
        <v>5</v>
      </c>
      <c r="H95" s="213">
        <f t="shared" si="2"/>
        <v>0</v>
      </c>
      <c r="I95" s="214">
        <f t="shared" si="3"/>
        <v>0</v>
      </c>
    </row>
    <row r="96" spans="1:12" ht="15.75" customHeight="1" x14ac:dyDescent="0.35">
      <c r="A96" s="29" t="s">
        <v>71</v>
      </c>
      <c r="B96" s="79">
        <v>2</v>
      </c>
      <c r="C96" s="421"/>
      <c r="D96" s="191">
        <v>46180</v>
      </c>
      <c r="E96" s="32" t="s">
        <v>43</v>
      </c>
      <c r="F96" s="65">
        <v>0</v>
      </c>
      <c r="G96" s="182">
        <v>7</v>
      </c>
      <c r="H96" s="35">
        <f t="shared" si="2"/>
        <v>0</v>
      </c>
      <c r="I96" s="36">
        <f t="shared" si="3"/>
        <v>0</v>
      </c>
    </row>
    <row r="97" spans="1:9" ht="15.75" customHeight="1" x14ac:dyDescent="0.35">
      <c r="A97" s="208" t="s">
        <v>71</v>
      </c>
      <c r="B97" s="209">
        <v>2</v>
      </c>
      <c r="C97" s="421"/>
      <c r="D97" s="215">
        <v>46243</v>
      </c>
      <c r="E97" s="211" t="s">
        <v>43</v>
      </c>
      <c r="F97" s="65">
        <v>0</v>
      </c>
      <c r="G97" s="212">
        <v>9</v>
      </c>
      <c r="H97" s="213">
        <f t="shared" si="2"/>
        <v>0</v>
      </c>
      <c r="I97" s="214">
        <f t="shared" si="3"/>
        <v>0</v>
      </c>
    </row>
    <row r="98" spans="1:9" ht="15.75" customHeight="1" x14ac:dyDescent="0.35">
      <c r="A98" s="29" t="s">
        <v>71</v>
      </c>
      <c r="B98" s="79">
        <v>2</v>
      </c>
      <c r="C98" s="421"/>
      <c r="D98" s="191">
        <v>46309</v>
      </c>
      <c r="E98" s="32" t="s">
        <v>43</v>
      </c>
      <c r="F98" s="65">
        <v>0</v>
      </c>
      <c r="G98" s="182">
        <v>14</v>
      </c>
      <c r="H98" s="35">
        <f t="shared" si="2"/>
        <v>0</v>
      </c>
      <c r="I98" s="36">
        <f t="shared" si="3"/>
        <v>0</v>
      </c>
    </row>
    <row r="99" spans="1:9" ht="15.75" customHeight="1" x14ac:dyDescent="0.35">
      <c r="A99" s="208" t="s">
        <v>71</v>
      </c>
      <c r="B99" s="209">
        <v>2</v>
      </c>
      <c r="C99" s="421"/>
      <c r="D99" s="210" t="s">
        <v>187</v>
      </c>
      <c r="E99" s="211" t="s">
        <v>43</v>
      </c>
      <c r="F99" s="65">
        <v>0</v>
      </c>
      <c r="G99" s="212">
        <v>19</v>
      </c>
      <c r="H99" s="213">
        <f t="shared" si="2"/>
        <v>0</v>
      </c>
      <c r="I99" s="214">
        <f t="shared" si="3"/>
        <v>0</v>
      </c>
    </row>
    <row r="100" spans="1:9" ht="15.75" customHeight="1" x14ac:dyDescent="0.35">
      <c r="A100" s="47" t="s">
        <v>71</v>
      </c>
      <c r="B100" s="88">
        <v>2</v>
      </c>
      <c r="C100" s="422"/>
      <c r="D100" s="193" t="s">
        <v>188</v>
      </c>
      <c r="E100" s="50" t="s">
        <v>43</v>
      </c>
      <c r="F100" s="66">
        <v>0</v>
      </c>
      <c r="G100" s="194">
        <v>30</v>
      </c>
      <c r="H100" s="53">
        <f t="shared" si="2"/>
        <v>0</v>
      </c>
      <c r="I100" s="54">
        <f t="shared" si="3"/>
        <v>0</v>
      </c>
    </row>
    <row r="101" spans="1:9" ht="15.75" customHeight="1" x14ac:dyDescent="0.35">
      <c r="A101" s="201" t="s">
        <v>74</v>
      </c>
      <c r="B101" s="202" t="s">
        <v>46</v>
      </c>
      <c r="C101" s="440" t="s">
        <v>200</v>
      </c>
      <c r="D101" s="203">
        <v>1</v>
      </c>
      <c r="E101" s="204" t="s">
        <v>43</v>
      </c>
      <c r="F101" s="64">
        <v>0</v>
      </c>
      <c r="G101" s="205">
        <v>1</v>
      </c>
      <c r="H101" s="206">
        <f t="shared" si="2"/>
        <v>0</v>
      </c>
      <c r="I101" s="207">
        <f t="shared" si="3"/>
        <v>0</v>
      </c>
    </row>
    <row r="102" spans="1:9" ht="15.75" customHeight="1" x14ac:dyDescent="0.35">
      <c r="A102" s="29" t="s">
        <v>74</v>
      </c>
      <c r="B102" s="79" t="s">
        <v>46</v>
      </c>
      <c r="C102" s="421"/>
      <c r="D102" s="181">
        <v>2</v>
      </c>
      <c r="E102" s="32" t="s">
        <v>43</v>
      </c>
      <c r="F102" s="65">
        <v>0</v>
      </c>
      <c r="G102" s="182">
        <v>2</v>
      </c>
      <c r="H102" s="35">
        <f t="shared" si="2"/>
        <v>0</v>
      </c>
      <c r="I102" s="36">
        <f t="shared" si="3"/>
        <v>0</v>
      </c>
    </row>
    <row r="103" spans="1:9" ht="15.75" customHeight="1" x14ac:dyDescent="0.35">
      <c r="A103" s="208" t="s">
        <v>74</v>
      </c>
      <c r="B103" s="209" t="s">
        <v>46</v>
      </c>
      <c r="C103" s="421"/>
      <c r="D103" s="210">
        <v>3</v>
      </c>
      <c r="E103" s="211" t="s">
        <v>43</v>
      </c>
      <c r="F103" s="65">
        <v>0</v>
      </c>
      <c r="G103" s="212">
        <v>3</v>
      </c>
      <c r="H103" s="213">
        <f t="shared" si="2"/>
        <v>0</v>
      </c>
      <c r="I103" s="214">
        <f t="shared" si="3"/>
        <v>0</v>
      </c>
    </row>
    <row r="104" spans="1:9" ht="15.75" customHeight="1" x14ac:dyDescent="0.35">
      <c r="A104" s="29" t="s">
        <v>74</v>
      </c>
      <c r="B104" s="79" t="s">
        <v>46</v>
      </c>
      <c r="C104" s="421"/>
      <c r="D104" s="181">
        <v>4</v>
      </c>
      <c r="E104" s="32" t="s">
        <v>43</v>
      </c>
      <c r="F104" s="65">
        <v>0</v>
      </c>
      <c r="G104" s="182">
        <v>4</v>
      </c>
      <c r="H104" s="35">
        <f t="shared" si="2"/>
        <v>0</v>
      </c>
      <c r="I104" s="36">
        <f t="shared" si="3"/>
        <v>0</v>
      </c>
    </row>
    <row r="105" spans="1:9" ht="15.75" customHeight="1" x14ac:dyDescent="0.35">
      <c r="A105" s="208" t="s">
        <v>74</v>
      </c>
      <c r="B105" s="209" t="s">
        <v>46</v>
      </c>
      <c r="C105" s="421"/>
      <c r="D105" s="210">
        <v>5</v>
      </c>
      <c r="E105" s="211" t="s">
        <v>43</v>
      </c>
      <c r="F105" s="65">
        <v>0</v>
      </c>
      <c r="G105" s="212">
        <v>5</v>
      </c>
      <c r="H105" s="213">
        <f t="shared" si="2"/>
        <v>0</v>
      </c>
      <c r="I105" s="214">
        <f t="shared" si="3"/>
        <v>0</v>
      </c>
    </row>
    <row r="106" spans="1:9" ht="15.75" customHeight="1" x14ac:dyDescent="0.35">
      <c r="A106" s="29" t="s">
        <v>74</v>
      </c>
      <c r="B106" s="79" t="s">
        <v>46</v>
      </c>
      <c r="C106" s="421"/>
      <c r="D106" s="191">
        <v>46180</v>
      </c>
      <c r="E106" s="32" t="s">
        <v>43</v>
      </c>
      <c r="F106" s="65">
        <v>0</v>
      </c>
      <c r="G106" s="182">
        <v>7</v>
      </c>
      <c r="H106" s="35">
        <f t="shared" si="2"/>
        <v>0</v>
      </c>
      <c r="I106" s="36">
        <f t="shared" si="3"/>
        <v>0</v>
      </c>
    </row>
    <row r="107" spans="1:9" ht="15.75" customHeight="1" x14ac:dyDescent="0.35">
      <c r="A107" s="208" t="s">
        <v>74</v>
      </c>
      <c r="B107" s="209" t="s">
        <v>46</v>
      </c>
      <c r="C107" s="421"/>
      <c r="D107" s="215">
        <v>46243</v>
      </c>
      <c r="E107" s="211" t="s">
        <v>43</v>
      </c>
      <c r="F107" s="65">
        <v>0</v>
      </c>
      <c r="G107" s="212">
        <v>9</v>
      </c>
      <c r="H107" s="213">
        <f t="shared" si="2"/>
        <v>0</v>
      </c>
      <c r="I107" s="214">
        <f t="shared" si="3"/>
        <v>0</v>
      </c>
    </row>
    <row r="108" spans="1:9" ht="15.75" customHeight="1" x14ac:dyDescent="0.35">
      <c r="A108" s="29" t="s">
        <v>74</v>
      </c>
      <c r="B108" s="79" t="s">
        <v>46</v>
      </c>
      <c r="C108" s="421"/>
      <c r="D108" s="191">
        <v>46309</v>
      </c>
      <c r="E108" s="32" t="s">
        <v>43</v>
      </c>
      <c r="F108" s="65">
        <v>0</v>
      </c>
      <c r="G108" s="182">
        <v>14</v>
      </c>
      <c r="H108" s="35">
        <f t="shared" si="2"/>
        <v>0</v>
      </c>
      <c r="I108" s="36">
        <f t="shared" si="3"/>
        <v>0</v>
      </c>
    </row>
    <row r="109" spans="1:9" ht="15.75" customHeight="1" x14ac:dyDescent="0.35">
      <c r="A109" s="208" t="s">
        <v>74</v>
      </c>
      <c r="B109" s="209" t="s">
        <v>46</v>
      </c>
      <c r="C109" s="421"/>
      <c r="D109" s="210" t="s">
        <v>187</v>
      </c>
      <c r="E109" s="211" t="s">
        <v>43</v>
      </c>
      <c r="F109" s="65">
        <v>0</v>
      </c>
      <c r="G109" s="212">
        <v>19</v>
      </c>
      <c r="H109" s="213">
        <f t="shared" si="2"/>
        <v>0</v>
      </c>
      <c r="I109" s="214">
        <f t="shared" si="3"/>
        <v>0</v>
      </c>
    </row>
    <row r="110" spans="1:9" ht="15.75" customHeight="1" x14ac:dyDescent="0.35">
      <c r="A110" s="47" t="s">
        <v>74</v>
      </c>
      <c r="B110" s="88" t="s">
        <v>46</v>
      </c>
      <c r="C110" s="422"/>
      <c r="D110" s="193" t="s">
        <v>188</v>
      </c>
      <c r="E110" s="50" t="s">
        <v>43</v>
      </c>
      <c r="F110" s="66">
        <v>0</v>
      </c>
      <c r="G110" s="194">
        <v>30</v>
      </c>
      <c r="H110" s="53">
        <f t="shared" si="2"/>
        <v>0</v>
      </c>
      <c r="I110" s="54">
        <f t="shared" si="3"/>
        <v>0</v>
      </c>
    </row>
    <row r="111" spans="1:9" ht="15.75" customHeight="1" x14ac:dyDescent="0.35">
      <c r="A111" s="201" t="s">
        <v>76</v>
      </c>
      <c r="B111" s="202">
        <v>3</v>
      </c>
      <c r="C111" s="440" t="s">
        <v>201</v>
      </c>
      <c r="D111" s="203">
        <v>1</v>
      </c>
      <c r="E111" s="204" t="s">
        <v>43</v>
      </c>
      <c r="F111" s="64">
        <v>0</v>
      </c>
      <c r="G111" s="205">
        <v>1</v>
      </c>
      <c r="H111" s="206">
        <f t="shared" si="2"/>
        <v>0</v>
      </c>
      <c r="I111" s="207">
        <f t="shared" si="3"/>
        <v>0</v>
      </c>
    </row>
    <row r="112" spans="1:9" ht="15.75" customHeight="1" x14ac:dyDescent="0.35">
      <c r="A112" s="29" t="s">
        <v>76</v>
      </c>
      <c r="B112" s="79">
        <v>3</v>
      </c>
      <c r="C112" s="421"/>
      <c r="D112" s="181">
        <v>2</v>
      </c>
      <c r="E112" s="32" t="s">
        <v>43</v>
      </c>
      <c r="F112" s="65">
        <v>0</v>
      </c>
      <c r="G112" s="182">
        <v>2</v>
      </c>
      <c r="H112" s="35">
        <f t="shared" si="2"/>
        <v>0</v>
      </c>
      <c r="I112" s="36">
        <f t="shared" si="3"/>
        <v>0</v>
      </c>
    </row>
    <row r="113" spans="1:9" ht="15.75" customHeight="1" x14ac:dyDescent="0.35">
      <c r="A113" s="208" t="s">
        <v>76</v>
      </c>
      <c r="B113" s="209">
        <v>3</v>
      </c>
      <c r="C113" s="421"/>
      <c r="D113" s="210">
        <v>3</v>
      </c>
      <c r="E113" s="211" t="s">
        <v>43</v>
      </c>
      <c r="F113" s="65">
        <v>0</v>
      </c>
      <c r="G113" s="212">
        <v>3</v>
      </c>
      <c r="H113" s="213">
        <f t="shared" si="2"/>
        <v>0</v>
      </c>
      <c r="I113" s="214">
        <f t="shared" si="3"/>
        <v>0</v>
      </c>
    </row>
    <row r="114" spans="1:9" ht="15.75" customHeight="1" x14ac:dyDescent="0.35">
      <c r="A114" s="29" t="s">
        <v>76</v>
      </c>
      <c r="B114" s="79">
        <v>3</v>
      </c>
      <c r="C114" s="421"/>
      <c r="D114" s="181">
        <v>4</v>
      </c>
      <c r="E114" s="32" t="s">
        <v>43</v>
      </c>
      <c r="F114" s="65">
        <v>0</v>
      </c>
      <c r="G114" s="182">
        <v>4</v>
      </c>
      <c r="H114" s="35">
        <f t="shared" si="2"/>
        <v>0</v>
      </c>
      <c r="I114" s="36">
        <f t="shared" si="3"/>
        <v>0</v>
      </c>
    </row>
    <row r="115" spans="1:9" ht="15.75" customHeight="1" x14ac:dyDescent="0.35">
      <c r="A115" s="208" t="s">
        <v>76</v>
      </c>
      <c r="B115" s="209">
        <v>3</v>
      </c>
      <c r="C115" s="421"/>
      <c r="D115" s="210">
        <v>5</v>
      </c>
      <c r="E115" s="211" t="s">
        <v>43</v>
      </c>
      <c r="F115" s="65">
        <v>0</v>
      </c>
      <c r="G115" s="212">
        <v>5</v>
      </c>
      <c r="H115" s="213">
        <f t="shared" si="2"/>
        <v>0</v>
      </c>
      <c r="I115" s="214">
        <f t="shared" si="3"/>
        <v>0</v>
      </c>
    </row>
    <row r="116" spans="1:9" ht="15.75" customHeight="1" x14ac:dyDescent="0.35">
      <c r="A116" s="29" t="s">
        <v>76</v>
      </c>
      <c r="B116" s="79">
        <v>3</v>
      </c>
      <c r="C116" s="421"/>
      <c r="D116" s="191">
        <v>46180</v>
      </c>
      <c r="E116" s="32" t="s">
        <v>43</v>
      </c>
      <c r="F116" s="65">
        <v>0</v>
      </c>
      <c r="G116" s="182">
        <v>7</v>
      </c>
      <c r="H116" s="35">
        <f t="shared" si="2"/>
        <v>0</v>
      </c>
      <c r="I116" s="36">
        <f t="shared" si="3"/>
        <v>0</v>
      </c>
    </row>
    <row r="117" spans="1:9" ht="15.75" customHeight="1" x14ac:dyDescent="0.35">
      <c r="A117" s="208" t="s">
        <v>76</v>
      </c>
      <c r="B117" s="209">
        <v>3</v>
      </c>
      <c r="C117" s="421"/>
      <c r="D117" s="215">
        <v>46243</v>
      </c>
      <c r="E117" s="211" t="s">
        <v>43</v>
      </c>
      <c r="F117" s="65">
        <v>0</v>
      </c>
      <c r="G117" s="212">
        <v>9</v>
      </c>
      <c r="H117" s="213">
        <f t="shared" si="2"/>
        <v>0</v>
      </c>
      <c r="I117" s="214">
        <f t="shared" si="3"/>
        <v>0</v>
      </c>
    </row>
    <row r="118" spans="1:9" ht="15.75" customHeight="1" x14ac:dyDescent="0.35">
      <c r="A118" s="29" t="s">
        <v>76</v>
      </c>
      <c r="B118" s="79">
        <v>3</v>
      </c>
      <c r="C118" s="421"/>
      <c r="D118" s="191">
        <v>46309</v>
      </c>
      <c r="E118" s="32" t="s">
        <v>43</v>
      </c>
      <c r="F118" s="65">
        <v>0</v>
      </c>
      <c r="G118" s="182">
        <v>14</v>
      </c>
      <c r="H118" s="35">
        <f t="shared" si="2"/>
        <v>0</v>
      </c>
      <c r="I118" s="36">
        <f t="shared" si="3"/>
        <v>0</v>
      </c>
    </row>
    <row r="119" spans="1:9" ht="15.75" customHeight="1" x14ac:dyDescent="0.35">
      <c r="A119" s="208" t="s">
        <v>76</v>
      </c>
      <c r="B119" s="209">
        <v>3</v>
      </c>
      <c r="C119" s="421"/>
      <c r="D119" s="210" t="s">
        <v>187</v>
      </c>
      <c r="E119" s="211" t="s">
        <v>43</v>
      </c>
      <c r="F119" s="65">
        <v>0</v>
      </c>
      <c r="G119" s="212">
        <v>19</v>
      </c>
      <c r="H119" s="213">
        <f t="shared" si="2"/>
        <v>0</v>
      </c>
      <c r="I119" s="214">
        <f t="shared" si="3"/>
        <v>0</v>
      </c>
    </row>
    <row r="120" spans="1:9" ht="15.75" customHeight="1" x14ac:dyDescent="0.35">
      <c r="A120" s="47" t="s">
        <v>76</v>
      </c>
      <c r="B120" s="88">
        <v>3</v>
      </c>
      <c r="C120" s="422"/>
      <c r="D120" s="193" t="s">
        <v>188</v>
      </c>
      <c r="E120" s="50" t="s">
        <v>43</v>
      </c>
      <c r="F120" s="66">
        <v>0</v>
      </c>
      <c r="G120" s="194">
        <v>30</v>
      </c>
      <c r="H120" s="53">
        <f t="shared" si="2"/>
        <v>0</v>
      </c>
      <c r="I120" s="54">
        <f t="shared" si="3"/>
        <v>0</v>
      </c>
    </row>
    <row r="121" spans="1:9" ht="15.75" customHeight="1" x14ac:dyDescent="0.35">
      <c r="A121" s="201" t="s">
        <v>78</v>
      </c>
      <c r="B121" s="202" t="s">
        <v>49</v>
      </c>
      <c r="C121" s="440" t="s">
        <v>202</v>
      </c>
      <c r="D121" s="203">
        <v>1</v>
      </c>
      <c r="E121" s="204" t="s">
        <v>43</v>
      </c>
      <c r="F121" s="64">
        <v>0</v>
      </c>
      <c r="G121" s="205">
        <v>1</v>
      </c>
      <c r="H121" s="206">
        <f t="shared" si="2"/>
        <v>0</v>
      </c>
      <c r="I121" s="207">
        <f t="shared" si="3"/>
        <v>0</v>
      </c>
    </row>
    <row r="122" spans="1:9" ht="15.75" customHeight="1" x14ac:dyDescent="0.35">
      <c r="A122" s="29" t="s">
        <v>78</v>
      </c>
      <c r="B122" s="79" t="s">
        <v>49</v>
      </c>
      <c r="C122" s="421"/>
      <c r="D122" s="181">
        <v>2</v>
      </c>
      <c r="E122" s="32" t="s">
        <v>43</v>
      </c>
      <c r="F122" s="65">
        <v>0</v>
      </c>
      <c r="G122" s="182">
        <v>2</v>
      </c>
      <c r="H122" s="35">
        <f t="shared" si="2"/>
        <v>0</v>
      </c>
      <c r="I122" s="36">
        <f t="shared" si="3"/>
        <v>0</v>
      </c>
    </row>
    <row r="123" spans="1:9" ht="15.75" customHeight="1" x14ac:dyDescent="0.35">
      <c r="A123" s="208" t="s">
        <v>78</v>
      </c>
      <c r="B123" s="209" t="s">
        <v>49</v>
      </c>
      <c r="C123" s="421"/>
      <c r="D123" s="210">
        <v>3</v>
      </c>
      <c r="E123" s="211" t="s">
        <v>43</v>
      </c>
      <c r="F123" s="65">
        <v>0</v>
      </c>
      <c r="G123" s="212">
        <v>3</v>
      </c>
      <c r="H123" s="213">
        <f t="shared" si="2"/>
        <v>0</v>
      </c>
      <c r="I123" s="214">
        <f t="shared" si="3"/>
        <v>0</v>
      </c>
    </row>
    <row r="124" spans="1:9" ht="15.75" customHeight="1" x14ac:dyDescent="0.35">
      <c r="A124" s="29" t="s">
        <v>78</v>
      </c>
      <c r="B124" s="79" t="s">
        <v>49</v>
      </c>
      <c r="C124" s="421"/>
      <c r="D124" s="181">
        <v>4</v>
      </c>
      <c r="E124" s="32" t="s">
        <v>43</v>
      </c>
      <c r="F124" s="65">
        <v>0</v>
      </c>
      <c r="G124" s="182">
        <v>4</v>
      </c>
      <c r="H124" s="35">
        <f t="shared" si="2"/>
        <v>0</v>
      </c>
      <c r="I124" s="36">
        <f t="shared" si="3"/>
        <v>0</v>
      </c>
    </row>
    <row r="125" spans="1:9" ht="15.75" customHeight="1" x14ac:dyDescent="0.35">
      <c r="A125" s="208" t="s">
        <v>78</v>
      </c>
      <c r="B125" s="209" t="s">
        <v>49</v>
      </c>
      <c r="C125" s="421"/>
      <c r="D125" s="210">
        <v>5</v>
      </c>
      <c r="E125" s="211" t="s">
        <v>43</v>
      </c>
      <c r="F125" s="65">
        <v>0</v>
      </c>
      <c r="G125" s="212">
        <v>5</v>
      </c>
      <c r="H125" s="213">
        <f t="shared" si="2"/>
        <v>0</v>
      </c>
      <c r="I125" s="214">
        <f t="shared" si="3"/>
        <v>0</v>
      </c>
    </row>
    <row r="126" spans="1:9" ht="15.75" customHeight="1" x14ac:dyDescent="0.35">
      <c r="A126" s="29" t="s">
        <v>78</v>
      </c>
      <c r="B126" s="79" t="s">
        <v>49</v>
      </c>
      <c r="C126" s="421"/>
      <c r="D126" s="191">
        <v>46180</v>
      </c>
      <c r="E126" s="32" t="s">
        <v>43</v>
      </c>
      <c r="F126" s="65">
        <v>0</v>
      </c>
      <c r="G126" s="182">
        <v>7</v>
      </c>
      <c r="H126" s="35">
        <f t="shared" si="2"/>
        <v>0</v>
      </c>
      <c r="I126" s="36">
        <f t="shared" si="3"/>
        <v>0</v>
      </c>
    </row>
    <row r="127" spans="1:9" ht="15.75" customHeight="1" x14ac:dyDescent="0.35">
      <c r="A127" s="208" t="s">
        <v>78</v>
      </c>
      <c r="B127" s="209" t="s">
        <v>49</v>
      </c>
      <c r="C127" s="421"/>
      <c r="D127" s="215">
        <v>46243</v>
      </c>
      <c r="E127" s="211" t="s">
        <v>43</v>
      </c>
      <c r="F127" s="65">
        <v>0</v>
      </c>
      <c r="G127" s="212">
        <v>9</v>
      </c>
      <c r="H127" s="213">
        <f t="shared" si="2"/>
        <v>0</v>
      </c>
      <c r="I127" s="214">
        <f t="shared" si="3"/>
        <v>0</v>
      </c>
    </row>
    <row r="128" spans="1:9" ht="15.75" customHeight="1" x14ac:dyDescent="0.35">
      <c r="A128" s="29" t="s">
        <v>78</v>
      </c>
      <c r="B128" s="79" t="s">
        <v>49</v>
      </c>
      <c r="C128" s="421"/>
      <c r="D128" s="191">
        <v>46309</v>
      </c>
      <c r="E128" s="32" t="s">
        <v>43</v>
      </c>
      <c r="F128" s="65">
        <v>0</v>
      </c>
      <c r="G128" s="182">
        <v>14</v>
      </c>
      <c r="H128" s="35">
        <f t="shared" si="2"/>
        <v>0</v>
      </c>
      <c r="I128" s="36">
        <f t="shared" si="3"/>
        <v>0</v>
      </c>
    </row>
    <row r="129" spans="1:9" ht="15.75" customHeight="1" x14ac:dyDescent="0.35">
      <c r="A129" s="208" t="s">
        <v>78</v>
      </c>
      <c r="B129" s="209" t="s">
        <v>49</v>
      </c>
      <c r="C129" s="421"/>
      <c r="D129" s="210" t="s">
        <v>187</v>
      </c>
      <c r="E129" s="211" t="s">
        <v>43</v>
      </c>
      <c r="F129" s="65">
        <v>0</v>
      </c>
      <c r="G129" s="212">
        <v>19</v>
      </c>
      <c r="H129" s="213">
        <f t="shared" si="2"/>
        <v>0</v>
      </c>
      <c r="I129" s="214">
        <f t="shared" si="3"/>
        <v>0</v>
      </c>
    </row>
    <row r="130" spans="1:9" ht="15.75" customHeight="1" x14ac:dyDescent="0.35">
      <c r="A130" s="47" t="s">
        <v>78</v>
      </c>
      <c r="B130" s="88" t="s">
        <v>49</v>
      </c>
      <c r="C130" s="422"/>
      <c r="D130" s="193" t="s">
        <v>188</v>
      </c>
      <c r="E130" s="50" t="s">
        <v>43</v>
      </c>
      <c r="F130" s="66">
        <v>0</v>
      </c>
      <c r="G130" s="194">
        <v>30</v>
      </c>
      <c r="H130" s="53">
        <f t="shared" si="2"/>
        <v>0</v>
      </c>
      <c r="I130" s="54">
        <f t="shared" si="3"/>
        <v>0</v>
      </c>
    </row>
    <row r="131" spans="1:9" ht="15.75" customHeight="1" x14ac:dyDescent="0.35">
      <c r="A131" s="201" t="s">
        <v>80</v>
      </c>
      <c r="B131" s="216">
        <v>4</v>
      </c>
      <c r="C131" s="440" t="s">
        <v>203</v>
      </c>
      <c r="D131" s="203">
        <v>1</v>
      </c>
      <c r="E131" s="204" t="s">
        <v>43</v>
      </c>
      <c r="F131" s="64">
        <v>0</v>
      </c>
      <c r="G131" s="205">
        <v>1</v>
      </c>
      <c r="H131" s="206">
        <f t="shared" si="2"/>
        <v>0</v>
      </c>
      <c r="I131" s="207">
        <f t="shared" si="3"/>
        <v>0</v>
      </c>
    </row>
    <row r="132" spans="1:9" ht="15.75" customHeight="1" x14ac:dyDescent="0.35">
      <c r="A132" s="29" t="s">
        <v>80</v>
      </c>
      <c r="B132" s="79">
        <v>4</v>
      </c>
      <c r="C132" s="421"/>
      <c r="D132" s="181">
        <v>2</v>
      </c>
      <c r="E132" s="32" t="s">
        <v>43</v>
      </c>
      <c r="F132" s="65">
        <v>0</v>
      </c>
      <c r="G132" s="182">
        <v>2</v>
      </c>
      <c r="H132" s="35">
        <f t="shared" si="2"/>
        <v>0</v>
      </c>
      <c r="I132" s="36">
        <f t="shared" si="3"/>
        <v>0</v>
      </c>
    </row>
    <row r="133" spans="1:9" ht="15.75" customHeight="1" x14ac:dyDescent="0.35">
      <c r="A133" s="208" t="s">
        <v>80</v>
      </c>
      <c r="B133" s="209">
        <v>4</v>
      </c>
      <c r="C133" s="421"/>
      <c r="D133" s="210">
        <v>3</v>
      </c>
      <c r="E133" s="211" t="s">
        <v>43</v>
      </c>
      <c r="F133" s="65">
        <v>0</v>
      </c>
      <c r="G133" s="212">
        <v>3</v>
      </c>
      <c r="H133" s="213">
        <f t="shared" si="2"/>
        <v>0</v>
      </c>
      <c r="I133" s="214">
        <f t="shared" si="3"/>
        <v>0</v>
      </c>
    </row>
    <row r="134" spans="1:9" ht="15.75" customHeight="1" x14ac:dyDescent="0.35">
      <c r="A134" s="29" t="s">
        <v>80</v>
      </c>
      <c r="B134" s="79">
        <v>4</v>
      </c>
      <c r="C134" s="421"/>
      <c r="D134" s="181">
        <v>4</v>
      </c>
      <c r="E134" s="32" t="s">
        <v>43</v>
      </c>
      <c r="F134" s="65">
        <v>0</v>
      </c>
      <c r="G134" s="182">
        <v>4</v>
      </c>
      <c r="H134" s="35">
        <f t="shared" si="2"/>
        <v>0</v>
      </c>
      <c r="I134" s="36">
        <f t="shared" si="3"/>
        <v>0</v>
      </c>
    </row>
    <row r="135" spans="1:9" ht="15.75" customHeight="1" x14ac:dyDescent="0.35">
      <c r="A135" s="208" t="s">
        <v>80</v>
      </c>
      <c r="B135" s="209">
        <v>4</v>
      </c>
      <c r="C135" s="421"/>
      <c r="D135" s="210">
        <v>5</v>
      </c>
      <c r="E135" s="211" t="s">
        <v>43</v>
      </c>
      <c r="F135" s="65">
        <v>0</v>
      </c>
      <c r="G135" s="212">
        <v>5</v>
      </c>
      <c r="H135" s="213">
        <f t="shared" si="2"/>
        <v>0</v>
      </c>
      <c r="I135" s="214">
        <f t="shared" si="3"/>
        <v>0</v>
      </c>
    </row>
    <row r="136" spans="1:9" ht="15.75" customHeight="1" x14ac:dyDescent="0.35">
      <c r="A136" s="29" t="s">
        <v>80</v>
      </c>
      <c r="B136" s="79">
        <v>4</v>
      </c>
      <c r="C136" s="421"/>
      <c r="D136" s="191">
        <v>46180</v>
      </c>
      <c r="E136" s="32" t="s">
        <v>43</v>
      </c>
      <c r="F136" s="65">
        <v>0</v>
      </c>
      <c r="G136" s="182">
        <v>7</v>
      </c>
      <c r="H136" s="35">
        <f t="shared" si="2"/>
        <v>0</v>
      </c>
      <c r="I136" s="36">
        <f t="shared" si="3"/>
        <v>0</v>
      </c>
    </row>
    <row r="137" spans="1:9" ht="15.75" customHeight="1" x14ac:dyDescent="0.35">
      <c r="A137" s="208" t="s">
        <v>80</v>
      </c>
      <c r="B137" s="209">
        <v>4</v>
      </c>
      <c r="C137" s="421"/>
      <c r="D137" s="215">
        <v>46243</v>
      </c>
      <c r="E137" s="211" t="s">
        <v>43</v>
      </c>
      <c r="F137" s="65">
        <v>0</v>
      </c>
      <c r="G137" s="212">
        <v>9</v>
      </c>
      <c r="H137" s="213">
        <f t="shared" si="2"/>
        <v>0</v>
      </c>
      <c r="I137" s="214">
        <f t="shared" si="3"/>
        <v>0</v>
      </c>
    </row>
    <row r="138" spans="1:9" ht="15.75" customHeight="1" x14ac:dyDescent="0.35">
      <c r="A138" s="29" t="s">
        <v>80</v>
      </c>
      <c r="B138" s="79">
        <v>4</v>
      </c>
      <c r="C138" s="421"/>
      <c r="D138" s="191">
        <v>46309</v>
      </c>
      <c r="E138" s="32" t="s">
        <v>43</v>
      </c>
      <c r="F138" s="65">
        <v>0</v>
      </c>
      <c r="G138" s="182">
        <v>14</v>
      </c>
      <c r="H138" s="35">
        <f t="shared" si="2"/>
        <v>0</v>
      </c>
      <c r="I138" s="36">
        <f t="shared" si="3"/>
        <v>0</v>
      </c>
    </row>
    <row r="139" spans="1:9" ht="15.75" customHeight="1" x14ac:dyDescent="0.35">
      <c r="A139" s="208" t="s">
        <v>80</v>
      </c>
      <c r="B139" s="209">
        <v>4</v>
      </c>
      <c r="C139" s="421"/>
      <c r="D139" s="210" t="s">
        <v>187</v>
      </c>
      <c r="E139" s="211" t="s">
        <v>43</v>
      </c>
      <c r="F139" s="65">
        <v>0</v>
      </c>
      <c r="G139" s="212">
        <v>19</v>
      </c>
      <c r="H139" s="213">
        <f t="shared" si="2"/>
        <v>0</v>
      </c>
      <c r="I139" s="214">
        <f t="shared" si="3"/>
        <v>0</v>
      </c>
    </row>
    <row r="140" spans="1:9" ht="15.75" customHeight="1" x14ac:dyDescent="0.35">
      <c r="A140" s="47" t="s">
        <v>80</v>
      </c>
      <c r="B140" s="88">
        <v>4</v>
      </c>
      <c r="C140" s="422"/>
      <c r="D140" s="193" t="s">
        <v>188</v>
      </c>
      <c r="E140" s="50" t="s">
        <v>43</v>
      </c>
      <c r="F140" s="66">
        <v>0</v>
      </c>
      <c r="G140" s="194">
        <v>30</v>
      </c>
      <c r="H140" s="53">
        <f t="shared" si="2"/>
        <v>0</v>
      </c>
      <c r="I140" s="54">
        <f t="shared" si="3"/>
        <v>0</v>
      </c>
    </row>
    <row r="141" spans="1:9" ht="15.75" customHeight="1" x14ac:dyDescent="0.35">
      <c r="A141" s="201" t="s">
        <v>82</v>
      </c>
      <c r="B141" s="216" t="s">
        <v>53</v>
      </c>
      <c r="C141" s="440" t="s">
        <v>204</v>
      </c>
      <c r="D141" s="203">
        <v>1</v>
      </c>
      <c r="E141" s="204" t="s">
        <v>43</v>
      </c>
      <c r="F141" s="64">
        <v>0</v>
      </c>
      <c r="G141" s="205">
        <v>1</v>
      </c>
      <c r="H141" s="206">
        <f t="shared" si="2"/>
        <v>0</v>
      </c>
      <c r="I141" s="207">
        <f t="shared" si="3"/>
        <v>0</v>
      </c>
    </row>
    <row r="142" spans="1:9" ht="15.75" customHeight="1" x14ac:dyDescent="0.35">
      <c r="A142" s="29" t="s">
        <v>82</v>
      </c>
      <c r="B142" s="79" t="s">
        <v>53</v>
      </c>
      <c r="C142" s="421"/>
      <c r="D142" s="181">
        <v>2</v>
      </c>
      <c r="E142" s="32" t="s">
        <v>43</v>
      </c>
      <c r="F142" s="65">
        <v>0</v>
      </c>
      <c r="G142" s="182">
        <v>2</v>
      </c>
      <c r="H142" s="35">
        <f t="shared" si="2"/>
        <v>0</v>
      </c>
      <c r="I142" s="36">
        <f t="shared" si="3"/>
        <v>0</v>
      </c>
    </row>
    <row r="143" spans="1:9" ht="15.75" customHeight="1" x14ac:dyDescent="0.35">
      <c r="A143" s="208" t="s">
        <v>82</v>
      </c>
      <c r="B143" s="209" t="s">
        <v>53</v>
      </c>
      <c r="C143" s="421"/>
      <c r="D143" s="210">
        <v>3</v>
      </c>
      <c r="E143" s="211" t="s">
        <v>43</v>
      </c>
      <c r="F143" s="65">
        <v>0</v>
      </c>
      <c r="G143" s="212">
        <v>3</v>
      </c>
      <c r="H143" s="213">
        <f t="shared" si="2"/>
        <v>0</v>
      </c>
      <c r="I143" s="214">
        <f t="shared" si="3"/>
        <v>0</v>
      </c>
    </row>
    <row r="144" spans="1:9" ht="15.75" customHeight="1" x14ac:dyDescent="0.35">
      <c r="A144" s="29" t="s">
        <v>82</v>
      </c>
      <c r="B144" s="79" t="s">
        <v>53</v>
      </c>
      <c r="C144" s="421"/>
      <c r="D144" s="181">
        <v>4</v>
      </c>
      <c r="E144" s="32" t="s">
        <v>43</v>
      </c>
      <c r="F144" s="65">
        <v>0</v>
      </c>
      <c r="G144" s="182">
        <v>4</v>
      </c>
      <c r="H144" s="35">
        <f t="shared" si="2"/>
        <v>0</v>
      </c>
      <c r="I144" s="36">
        <f t="shared" si="3"/>
        <v>0</v>
      </c>
    </row>
    <row r="145" spans="1:9" ht="15.75" customHeight="1" x14ac:dyDescent="0.35">
      <c r="A145" s="208" t="s">
        <v>82</v>
      </c>
      <c r="B145" s="209" t="s">
        <v>53</v>
      </c>
      <c r="C145" s="421"/>
      <c r="D145" s="210">
        <v>5</v>
      </c>
      <c r="E145" s="211" t="s">
        <v>43</v>
      </c>
      <c r="F145" s="65">
        <v>0</v>
      </c>
      <c r="G145" s="212">
        <v>5</v>
      </c>
      <c r="H145" s="213">
        <f t="shared" si="2"/>
        <v>0</v>
      </c>
      <c r="I145" s="214">
        <f t="shared" si="3"/>
        <v>0</v>
      </c>
    </row>
    <row r="146" spans="1:9" ht="15.75" customHeight="1" x14ac:dyDescent="0.35">
      <c r="A146" s="29" t="s">
        <v>82</v>
      </c>
      <c r="B146" s="79" t="s">
        <v>53</v>
      </c>
      <c r="C146" s="421"/>
      <c r="D146" s="191">
        <v>46180</v>
      </c>
      <c r="E146" s="32" t="s">
        <v>43</v>
      </c>
      <c r="F146" s="65">
        <v>0</v>
      </c>
      <c r="G146" s="182">
        <v>7</v>
      </c>
      <c r="H146" s="35">
        <f t="shared" si="2"/>
        <v>0</v>
      </c>
      <c r="I146" s="36">
        <f t="shared" si="3"/>
        <v>0</v>
      </c>
    </row>
    <row r="147" spans="1:9" ht="15.75" customHeight="1" x14ac:dyDescent="0.35">
      <c r="A147" s="208" t="s">
        <v>82</v>
      </c>
      <c r="B147" s="209" t="s">
        <v>53</v>
      </c>
      <c r="C147" s="421"/>
      <c r="D147" s="215">
        <v>46243</v>
      </c>
      <c r="E147" s="211" t="s">
        <v>43</v>
      </c>
      <c r="F147" s="65">
        <v>0</v>
      </c>
      <c r="G147" s="212">
        <v>9</v>
      </c>
      <c r="H147" s="213">
        <f t="shared" si="2"/>
        <v>0</v>
      </c>
      <c r="I147" s="214">
        <f t="shared" si="3"/>
        <v>0</v>
      </c>
    </row>
    <row r="148" spans="1:9" ht="15.75" customHeight="1" x14ac:dyDescent="0.35">
      <c r="A148" s="29" t="s">
        <v>82</v>
      </c>
      <c r="B148" s="79" t="s">
        <v>53</v>
      </c>
      <c r="C148" s="421"/>
      <c r="D148" s="191">
        <v>46309</v>
      </c>
      <c r="E148" s="32" t="s">
        <v>43</v>
      </c>
      <c r="F148" s="65">
        <v>0</v>
      </c>
      <c r="G148" s="182">
        <v>14</v>
      </c>
      <c r="H148" s="35">
        <f t="shared" si="2"/>
        <v>0</v>
      </c>
      <c r="I148" s="36">
        <f t="shared" si="3"/>
        <v>0</v>
      </c>
    </row>
    <row r="149" spans="1:9" ht="15.75" customHeight="1" x14ac:dyDescent="0.35">
      <c r="A149" s="208" t="s">
        <v>82</v>
      </c>
      <c r="B149" s="209" t="s">
        <v>53</v>
      </c>
      <c r="C149" s="421"/>
      <c r="D149" s="210" t="s">
        <v>187</v>
      </c>
      <c r="E149" s="211" t="s">
        <v>43</v>
      </c>
      <c r="F149" s="65">
        <v>0</v>
      </c>
      <c r="G149" s="212">
        <v>19</v>
      </c>
      <c r="H149" s="213">
        <f t="shared" si="2"/>
        <v>0</v>
      </c>
      <c r="I149" s="214">
        <f t="shared" si="3"/>
        <v>0</v>
      </c>
    </row>
    <row r="150" spans="1:9" ht="15.75" customHeight="1" x14ac:dyDescent="0.35">
      <c r="A150" s="47" t="s">
        <v>82</v>
      </c>
      <c r="B150" s="88" t="s">
        <v>53</v>
      </c>
      <c r="C150" s="422"/>
      <c r="D150" s="193" t="s">
        <v>188</v>
      </c>
      <c r="E150" s="50" t="s">
        <v>43</v>
      </c>
      <c r="F150" s="66">
        <v>0</v>
      </c>
      <c r="G150" s="194">
        <v>30</v>
      </c>
      <c r="H150" s="53">
        <f t="shared" si="2"/>
        <v>0</v>
      </c>
      <c r="I150" s="54">
        <f t="shared" si="3"/>
        <v>0</v>
      </c>
    </row>
    <row r="151" spans="1:9" ht="15.75" customHeight="1" x14ac:dyDescent="0.35"/>
    <row r="152" spans="1:9" ht="15.75" customHeight="1" x14ac:dyDescent="0.35"/>
    <row r="153" spans="1:9" ht="15.75" customHeight="1" x14ac:dyDescent="0.35"/>
    <row r="154" spans="1:9" ht="15.75" customHeight="1" x14ac:dyDescent="0.35"/>
    <row r="155" spans="1:9" ht="15.75" customHeight="1" x14ac:dyDescent="0.35"/>
    <row r="156" spans="1:9" ht="15.75" customHeight="1" x14ac:dyDescent="0.35"/>
    <row r="157" spans="1:9" ht="15.75" customHeight="1" x14ac:dyDescent="0.35"/>
    <row r="158" spans="1:9" ht="15.75" customHeight="1" x14ac:dyDescent="0.35"/>
    <row r="159" spans="1:9" ht="15.75" customHeight="1" x14ac:dyDescent="0.35"/>
    <row r="160" spans="1:9"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sheetData>
  <mergeCells count="21">
    <mergeCell ref="C111:C120"/>
    <mergeCell ref="C121:C130"/>
    <mergeCell ref="C131:C140"/>
    <mergeCell ref="C141:C150"/>
    <mergeCell ref="C36:C45"/>
    <mergeCell ref="C46:C55"/>
    <mergeCell ref="C56:C65"/>
    <mergeCell ref="C66:C75"/>
    <mergeCell ref="A78:J78"/>
    <mergeCell ref="A79:F79"/>
    <mergeCell ref="H79:I79"/>
    <mergeCell ref="C16:C25"/>
    <mergeCell ref="C26:C35"/>
    <mergeCell ref="C81:C90"/>
    <mergeCell ref="C91:C100"/>
    <mergeCell ref="C101:C110"/>
    <mergeCell ref="A1:I1"/>
    <mergeCell ref="A3:J3"/>
    <mergeCell ref="A4:F4"/>
    <mergeCell ref="H4:I4"/>
    <mergeCell ref="C6:C15"/>
  </mergeCells>
  <pageMargins left="0.7" right="0.7" top="0.75" bottom="0.75" header="0" footer="0"/>
  <pageSetup orientation="landscape"/>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16"/>
  <sheetViews>
    <sheetView workbookViewId="0"/>
  </sheetViews>
  <sheetFormatPr defaultColWidth="12.6328125" defaultRowHeight="15" customHeight="1" x14ac:dyDescent="0.35"/>
  <cols>
    <col min="1" max="1" width="10.6328125" customWidth="1"/>
    <col min="2" max="2" width="13.36328125" customWidth="1"/>
    <col min="3" max="3" width="27.90625" customWidth="1"/>
    <col min="4" max="4" width="14.36328125" customWidth="1"/>
    <col min="5" max="6" width="8.6328125" customWidth="1"/>
    <col min="7" max="8" width="15.36328125" customWidth="1"/>
    <col min="9" max="9" width="23.36328125" customWidth="1"/>
    <col min="10" max="10" width="8.6328125" customWidth="1"/>
    <col min="11" max="11" width="17.26953125" customWidth="1"/>
    <col min="12" max="12" width="56" customWidth="1"/>
    <col min="13" max="26" width="8.6328125" customWidth="1"/>
  </cols>
  <sheetData>
    <row r="1" spans="1:12" ht="18" x14ac:dyDescent="0.4">
      <c r="A1" s="414" t="s">
        <v>205</v>
      </c>
      <c r="B1" s="413"/>
      <c r="C1" s="413"/>
      <c r="D1" s="413"/>
      <c r="E1" s="413"/>
      <c r="F1" s="413"/>
      <c r="G1" s="413"/>
      <c r="H1" s="413"/>
      <c r="I1" s="413"/>
    </row>
    <row r="2" spans="1:12" ht="18" x14ac:dyDescent="0.4">
      <c r="A2" s="11" t="s">
        <v>120</v>
      </c>
      <c r="B2" s="124"/>
      <c r="C2" s="124"/>
    </row>
    <row r="3" spans="1:12" ht="20.25" customHeight="1" x14ac:dyDescent="0.4">
      <c r="A3" s="414" t="s">
        <v>180</v>
      </c>
      <c r="B3" s="413"/>
      <c r="C3" s="413"/>
      <c r="D3" s="413"/>
      <c r="E3" s="413"/>
      <c r="F3" s="413"/>
      <c r="G3" s="413"/>
      <c r="H3" s="413"/>
      <c r="I3" s="413"/>
      <c r="J3" s="413"/>
    </row>
    <row r="4" spans="1:12" ht="18.5" x14ac:dyDescent="0.35">
      <c r="A4" s="437" t="s">
        <v>28</v>
      </c>
      <c r="B4" s="416"/>
      <c r="C4" s="416"/>
      <c r="D4" s="416"/>
      <c r="E4" s="416"/>
      <c r="F4" s="417"/>
      <c r="G4" s="171"/>
      <c r="H4" s="438" t="s">
        <v>181</v>
      </c>
      <c r="I4" s="419"/>
      <c r="J4" s="172"/>
    </row>
    <row r="5" spans="1:12" ht="29" x14ac:dyDescent="0.35">
      <c r="A5" s="125" t="s">
        <v>182</v>
      </c>
      <c r="B5" s="69" t="s">
        <v>31</v>
      </c>
      <c r="C5" s="69" t="s">
        <v>32</v>
      </c>
      <c r="D5" s="127" t="s">
        <v>183</v>
      </c>
      <c r="E5" s="50" t="s">
        <v>34</v>
      </c>
      <c r="F5" s="69" t="s">
        <v>35</v>
      </c>
      <c r="G5" s="69" t="s">
        <v>36</v>
      </c>
      <c r="H5" s="14" t="s">
        <v>37</v>
      </c>
      <c r="I5" s="128" t="s">
        <v>38</v>
      </c>
      <c r="K5" s="18" t="s">
        <v>39</v>
      </c>
      <c r="L5" s="173" t="s">
        <v>206</v>
      </c>
    </row>
    <row r="6" spans="1:12" ht="15.75" customHeight="1" x14ac:dyDescent="0.35">
      <c r="A6" s="174">
        <v>1001</v>
      </c>
      <c r="B6" s="175">
        <v>1</v>
      </c>
      <c r="C6" s="439" t="s">
        <v>207</v>
      </c>
      <c r="D6" s="176">
        <v>1</v>
      </c>
      <c r="E6" s="177" t="s">
        <v>43</v>
      </c>
      <c r="F6" s="64">
        <v>0</v>
      </c>
      <c r="G6" s="178">
        <v>1</v>
      </c>
      <c r="H6" s="179">
        <f t="shared" ref="H6:H75" si="0">F6*G6</f>
        <v>0</v>
      </c>
      <c r="I6" s="198">
        <f t="shared" ref="I6:I75" si="1">H6*365</f>
        <v>0</v>
      </c>
      <c r="K6" s="18">
        <v>1</v>
      </c>
      <c r="L6" s="28">
        <f>SUM(I6:I15)</f>
        <v>0</v>
      </c>
    </row>
    <row r="7" spans="1:12" ht="14.5" x14ac:dyDescent="0.35">
      <c r="A7" s="29">
        <v>1001</v>
      </c>
      <c r="B7" s="79">
        <v>1</v>
      </c>
      <c r="C7" s="421"/>
      <c r="D7" s="181">
        <v>2</v>
      </c>
      <c r="E7" s="32" t="s">
        <v>43</v>
      </c>
      <c r="F7" s="65">
        <v>0</v>
      </c>
      <c r="G7" s="182">
        <v>2</v>
      </c>
      <c r="H7" s="35">
        <f t="shared" si="0"/>
        <v>0</v>
      </c>
      <c r="I7" s="36">
        <f t="shared" si="1"/>
        <v>0</v>
      </c>
      <c r="K7" s="18">
        <v>2</v>
      </c>
      <c r="L7" s="28">
        <f>SUM(I16:I25)</f>
        <v>0</v>
      </c>
    </row>
    <row r="8" spans="1:12" ht="14.5" x14ac:dyDescent="0.35">
      <c r="A8" s="184">
        <v>1001</v>
      </c>
      <c r="B8" s="185">
        <v>1</v>
      </c>
      <c r="C8" s="421"/>
      <c r="D8" s="186">
        <v>3</v>
      </c>
      <c r="E8" s="187" t="s">
        <v>43</v>
      </c>
      <c r="F8" s="65">
        <v>0</v>
      </c>
      <c r="G8" s="188">
        <v>3</v>
      </c>
      <c r="H8" s="189">
        <f t="shared" si="0"/>
        <v>0</v>
      </c>
      <c r="I8" s="197">
        <f t="shared" si="1"/>
        <v>0</v>
      </c>
      <c r="K8" s="18" t="s">
        <v>46</v>
      </c>
      <c r="L8" s="28">
        <f>SUM(I26:I35)</f>
        <v>0</v>
      </c>
    </row>
    <row r="9" spans="1:12" ht="14.5" x14ac:dyDescent="0.35">
      <c r="A9" s="29">
        <v>1001</v>
      </c>
      <c r="B9" s="79">
        <v>1</v>
      </c>
      <c r="C9" s="421"/>
      <c r="D9" s="181">
        <v>4</v>
      </c>
      <c r="E9" s="32" t="s">
        <v>43</v>
      </c>
      <c r="F9" s="65">
        <v>0</v>
      </c>
      <c r="G9" s="182">
        <v>4</v>
      </c>
      <c r="H9" s="35">
        <f t="shared" si="0"/>
        <v>0</v>
      </c>
      <c r="I9" s="36">
        <f t="shared" si="1"/>
        <v>0</v>
      </c>
      <c r="K9" s="18">
        <v>3</v>
      </c>
      <c r="L9" s="28">
        <f>SUM(I36:I45)</f>
        <v>0</v>
      </c>
    </row>
    <row r="10" spans="1:12" ht="14.5" x14ac:dyDescent="0.35">
      <c r="A10" s="184">
        <v>1001</v>
      </c>
      <c r="B10" s="185">
        <v>1</v>
      </c>
      <c r="C10" s="421"/>
      <c r="D10" s="186">
        <v>5</v>
      </c>
      <c r="E10" s="187" t="s">
        <v>43</v>
      </c>
      <c r="F10" s="65">
        <v>0</v>
      </c>
      <c r="G10" s="188">
        <v>5</v>
      </c>
      <c r="H10" s="189">
        <f t="shared" si="0"/>
        <v>0</v>
      </c>
      <c r="I10" s="197">
        <f t="shared" si="1"/>
        <v>0</v>
      </c>
      <c r="K10" s="18" t="s">
        <v>49</v>
      </c>
      <c r="L10" s="28">
        <f>SUM(I46:I55)</f>
        <v>0</v>
      </c>
    </row>
    <row r="11" spans="1:12" ht="14.5" x14ac:dyDescent="0.35">
      <c r="A11" s="29">
        <v>1001</v>
      </c>
      <c r="B11" s="79">
        <v>1</v>
      </c>
      <c r="C11" s="421"/>
      <c r="D11" s="191">
        <v>46180</v>
      </c>
      <c r="E11" s="32" t="s">
        <v>43</v>
      </c>
      <c r="F11" s="65">
        <v>0</v>
      </c>
      <c r="G11" s="182">
        <v>7</v>
      </c>
      <c r="H11" s="35">
        <f t="shared" si="0"/>
        <v>0</v>
      </c>
      <c r="I11" s="36">
        <f t="shared" si="1"/>
        <v>0</v>
      </c>
      <c r="K11" s="18">
        <v>4</v>
      </c>
      <c r="L11" s="46">
        <f>SUM(I56:I65)</f>
        <v>0</v>
      </c>
    </row>
    <row r="12" spans="1:12" ht="15.75" customHeight="1" x14ac:dyDescent="0.35">
      <c r="A12" s="184">
        <v>1001</v>
      </c>
      <c r="B12" s="185">
        <v>1</v>
      </c>
      <c r="C12" s="421"/>
      <c r="D12" s="192">
        <v>46243</v>
      </c>
      <c r="E12" s="187" t="s">
        <v>43</v>
      </c>
      <c r="F12" s="65">
        <v>0</v>
      </c>
      <c r="G12" s="188">
        <v>9</v>
      </c>
      <c r="H12" s="189">
        <f t="shared" si="0"/>
        <v>0</v>
      </c>
      <c r="I12" s="197">
        <f t="shared" si="1"/>
        <v>0</v>
      </c>
      <c r="K12" s="168" t="s">
        <v>53</v>
      </c>
      <c r="L12" s="169">
        <f>SUM(I66:I75)</f>
        <v>0</v>
      </c>
    </row>
    <row r="13" spans="1:12" ht="14.5" x14ac:dyDescent="0.35">
      <c r="A13" s="29">
        <v>1001</v>
      </c>
      <c r="B13" s="79">
        <v>1</v>
      </c>
      <c r="C13" s="421"/>
      <c r="D13" s="191">
        <v>46309</v>
      </c>
      <c r="E13" s="32" t="s">
        <v>43</v>
      </c>
      <c r="F13" s="65">
        <v>0</v>
      </c>
      <c r="G13" s="182">
        <v>14</v>
      </c>
      <c r="H13" s="35">
        <f t="shared" si="0"/>
        <v>0</v>
      </c>
      <c r="I13" s="36">
        <f t="shared" si="1"/>
        <v>0</v>
      </c>
      <c r="K13" s="168" t="s">
        <v>186</v>
      </c>
      <c r="L13" s="170">
        <f>SUM(L6:L12)</f>
        <v>0</v>
      </c>
    </row>
    <row r="14" spans="1:12" ht="14.5" x14ac:dyDescent="0.35">
      <c r="A14" s="184">
        <v>1001</v>
      </c>
      <c r="B14" s="185">
        <v>1</v>
      </c>
      <c r="C14" s="421"/>
      <c r="D14" s="186" t="s">
        <v>187</v>
      </c>
      <c r="E14" s="187" t="s">
        <v>43</v>
      </c>
      <c r="F14" s="65">
        <v>0</v>
      </c>
      <c r="G14" s="188">
        <v>19</v>
      </c>
      <c r="H14" s="189">
        <f t="shared" si="0"/>
        <v>0</v>
      </c>
      <c r="I14" s="197">
        <f t="shared" si="1"/>
        <v>0</v>
      </c>
    </row>
    <row r="15" spans="1:12" ht="14.5" x14ac:dyDescent="0.35">
      <c r="A15" s="47">
        <v>1001</v>
      </c>
      <c r="B15" s="88">
        <v>1</v>
      </c>
      <c r="C15" s="422"/>
      <c r="D15" s="193" t="s">
        <v>188</v>
      </c>
      <c r="E15" s="50" t="s">
        <v>43</v>
      </c>
      <c r="F15" s="66">
        <v>0</v>
      </c>
      <c r="G15" s="194">
        <v>30</v>
      </c>
      <c r="H15" s="53">
        <f t="shared" si="0"/>
        <v>0</v>
      </c>
      <c r="I15" s="54">
        <f t="shared" si="1"/>
        <v>0</v>
      </c>
    </row>
    <row r="16" spans="1:12" ht="14.5" x14ac:dyDescent="0.35">
      <c r="A16" s="174">
        <v>1002</v>
      </c>
      <c r="B16" s="175">
        <v>2</v>
      </c>
      <c r="C16" s="439" t="s">
        <v>208</v>
      </c>
      <c r="D16" s="176">
        <v>1</v>
      </c>
      <c r="E16" s="177" t="s">
        <v>43</v>
      </c>
      <c r="F16" s="64">
        <v>0</v>
      </c>
      <c r="G16" s="178">
        <v>1</v>
      </c>
      <c r="H16" s="179">
        <f t="shared" si="0"/>
        <v>0</v>
      </c>
      <c r="I16" s="198">
        <f t="shared" si="1"/>
        <v>0</v>
      </c>
    </row>
    <row r="17" spans="1:9" ht="14.5" x14ac:dyDescent="0.35">
      <c r="A17" s="29">
        <v>1002</v>
      </c>
      <c r="B17" s="79">
        <v>2</v>
      </c>
      <c r="C17" s="421"/>
      <c r="D17" s="181">
        <v>2</v>
      </c>
      <c r="E17" s="32" t="s">
        <v>43</v>
      </c>
      <c r="F17" s="65">
        <v>0</v>
      </c>
      <c r="G17" s="182">
        <v>2</v>
      </c>
      <c r="H17" s="35">
        <f t="shared" si="0"/>
        <v>0</v>
      </c>
      <c r="I17" s="36">
        <f t="shared" si="1"/>
        <v>0</v>
      </c>
    </row>
    <row r="18" spans="1:9" ht="15.75" customHeight="1" x14ac:dyDescent="0.35">
      <c r="A18" s="184">
        <v>1002</v>
      </c>
      <c r="B18" s="185">
        <v>2</v>
      </c>
      <c r="C18" s="421"/>
      <c r="D18" s="186">
        <v>3</v>
      </c>
      <c r="E18" s="187" t="s">
        <v>43</v>
      </c>
      <c r="F18" s="65">
        <v>0</v>
      </c>
      <c r="G18" s="188">
        <v>3</v>
      </c>
      <c r="H18" s="189">
        <f t="shared" si="0"/>
        <v>0</v>
      </c>
      <c r="I18" s="197">
        <f t="shared" si="1"/>
        <v>0</v>
      </c>
    </row>
    <row r="19" spans="1:9" ht="14.5" x14ac:dyDescent="0.35">
      <c r="A19" s="29">
        <v>1002</v>
      </c>
      <c r="B19" s="79">
        <v>2</v>
      </c>
      <c r="C19" s="421"/>
      <c r="D19" s="181">
        <v>4</v>
      </c>
      <c r="E19" s="32" t="s">
        <v>43</v>
      </c>
      <c r="F19" s="65">
        <v>0</v>
      </c>
      <c r="G19" s="182">
        <v>4</v>
      </c>
      <c r="H19" s="35">
        <f t="shared" si="0"/>
        <v>0</v>
      </c>
      <c r="I19" s="36">
        <f t="shared" si="1"/>
        <v>0</v>
      </c>
    </row>
    <row r="20" spans="1:9" ht="14.5" x14ac:dyDescent="0.35">
      <c r="A20" s="184">
        <v>1002</v>
      </c>
      <c r="B20" s="185">
        <v>2</v>
      </c>
      <c r="C20" s="421"/>
      <c r="D20" s="186">
        <v>5</v>
      </c>
      <c r="E20" s="187" t="s">
        <v>43</v>
      </c>
      <c r="F20" s="65">
        <v>0</v>
      </c>
      <c r="G20" s="188">
        <v>5</v>
      </c>
      <c r="H20" s="189">
        <f t="shared" si="0"/>
        <v>0</v>
      </c>
      <c r="I20" s="197">
        <f t="shared" si="1"/>
        <v>0</v>
      </c>
    </row>
    <row r="21" spans="1:9" ht="15.75" customHeight="1" x14ac:dyDescent="0.35">
      <c r="A21" s="29">
        <v>1002</v>
      </c>
      <c r="B21" s="79">
        <v>2</v>
      </c>
      <c r="C21" s="421"/>
      <c r="D21" s="191">
        <v>46180</v>
      </c>
      <c r="E21" s="32" t="s">
        <v>43</v>
      </c>
      <c r="F21" s="65">
        <v>0</v>
      </c>
      <c r="G21" s="182">
        <v>7</v>
      </c>
      <c r="H21" s="35">
        <f t="shared" si="0"/>
        <v>0</v>
      </c>
      <c r="I21" s="36">
        <f t="shared" si="1"/>
        <v>0</v>
      </c>
    </row>
    <row r="22" spans="1:9" ht="15.75" customHeight="1" x14ac:dyDescent="0.35">
      <c r="A22" s="184">
        <v>1002</v>
      </c>
      <c r="B22" s="185">
        <v>2</v>
      </c>
      <c r="C22" s="421"/>
      <c r="D22" s="192">
        <v>46243</v>
      </c>
      <c r="E22" s="187" t="s">
        <v>43</v>
      </c>
      <c r="F22" s="65">
        <v>0</v>
      </c>
      <c r="G22" s="188">
        <v>9</v>
      </c>
      <c r="H22" s="189">
        <f t="shared" si="0"/>
        <v>0</v>
      </c>
      <c r="I22" s="197">
        <f t="shared" si="1"/>
        <v>0</v>
      </c>
    </row>
    <row r="23" spans="1:9" ht="15.75" customHeight="1" x14ac:dyDescent="0.35">
      <c r="A23" s="29">
        <v>1002</v>
      </c>
      <c r="B23" s="79">
        <v>2</v>
      </c>
      <c r="C23" s="421"/>
      <c r="D23" s="191">
        <v>46309</v>
      </c>
      <c r="E23" s="32" t="s">
        <v>43</v>
      </c>
      <c r="F23" s="65">
        <v>0</v>
      </c>
      <c r="G23" s="182">
        <v>14</v>
      </c>
      <c r="H23" s="35">
        <f t="shared" si="0"/>
        <v>0</v>
      </c>
      <c r="I23" s="36">
        <f t="shared" si="1"/>
        <v>0</v>
      </c>
    </row>
    <row r="24" spans="1:9" ht="15.75" customHeight="1" x14ac:dyDescent="0.35">
      <c r="A24" s="184">
        <v>1002</v>
      </c>
      <c r="B24" s="185">
        <v>2</v>
      </c>
      <c r="C24" s="421"/>
      <c r="D24" s="186" t="s">
        <v>187</v>
      </c>
      <c r="E24" s="187" t="s">
        <v>43</v>
      </c>
      <c r="F24" s="65">
        <v>0</v>
      </c>
      <c r="G24" s="188">
        <v>19</v>
      </c>
      <c r="H24" s="189">
        <f t="shared" si="0"/>
        <v>0</v>
      </c>
      <c r="I24" s="197">
        <f t="shared" si="1"/>
        <v>0</v>
      </c>
    </row>
    <row r="25" spans="1:9" ht="15.75" customHeight="1" x14ac:dyDescent="0.35">
      <c r="A25" s="47">
        <v>1002</v>
      </c>
      <c r="B25" s="88">
        <v>2</v>
      </c>
      <c r="C25" s="422"/>
      <c r="D25" s="193" t="s">
        <v>188</v>
      </c>
      <c r="E25" s="50" t="s">
        <v>43</v>
      </c>
      <c r="F25" s="66">
        <v>0</v>
      </c>
      <c r="G25" s="194">
        <v>30</v>
      </c>
      <c r="H25" s="53">
        <f t="shared" si="0"/>
        <v>0</v>
      </c>
      <c r="I25" s="54">
        <f t="shared" si="1"/>
        <v>0</v>
      </c>
    </row>
    <row r="26" spans="1:9" ht="15.75" customHeight="1" x14ac:dyDescent="0.35">
      <c r="A26" s="174">
        <v>1003</v>
      </c>
      <c r="B26" s="175" t="s">
        <v>46</v>
      </c>
      <c r="C26" s="439" t="s">
        <v>209</v>
      </c>
      <c r="D26" s="176">
        <v>1</v>
      </c>
      <c r="E26" s="177" t="s">
        <v>43</v>
      </c>
      <c r="F26" s="64">
        <v>0</v>
      </c>
      <c r="G26" s="178">
        <v>1</v>
      </c>
      <c r="H26" s="179">
        <f t="shared" si="0"/>
        <v>0</v>
      </c>
      <c r="I26" s="198">
        <f t="shared" si="1"/>
        <v>0</v>
      </c>
    </row>
    <row r="27" spans="1:9" ht="15.75" customHeight="1" x14ac:dyDescent="0.35">
      <c r="A27" s="29">
        <v>1003</v>
      </c>
      <c r="B27" s="79" t="s">
        <v>46</v>
      </c>
      <c r="C27" s="421"/>
      <c r="D27" s="181">
        <v>2</v>
      </c>
      <c r="E27" s="32" t="s">
        <v>43</v>
      </c>
      <c r="F27" s="65">
        <v>0</v>
      </c>
      <c r="G27" s="182">
        <v>2</v>
      </c>
      <c r="H27" s="35">
        <f t="shared" si="0"/>
        <v>0</v>
      </c>
      <c r="I27" s="36">
        <f t="shared" si="1"/>
        <v>0</v>
      </c>
    </row>
    <row r="28" spans="1:9" ht="15.75" customHeight="1" x14ac:dyDescent="0.35">
      <c r="A28" s="184">
        <v>1003</v>
      </c>
      <c r="B28" s="185" t="s">
        <v>46</v>
      </c>
      <c r="C28" s="421"/>
      <c r="D28" s="186">
        <v>3</v>
      </c>
      <c r="E28" s="187" t="s">
        <v>43</v>
      </c>
      <c r="F28" s="65">
        <v>0</v>
      </c>
      <c r="G28" s="188">
        <v>3</v>
      </c>
      <c r="H28" s="189">
        <f t="shared" si="0"/>
        <v>0</v>
      </c>
      <c r="I28" s="197">
        <f t="shared" si="1"/>
        <v>0</v>
      </c>
    </row>
    <row r="29" spans="1:9" ht="15.75" customHeight="1" x14ac:dyDescent="0.35">
      <c r="A29" s="29">
        <v>1003</v>
      </c>
      <c r="B29" s="79" t="s">
        <v>46</v>
      </c>
      <c r="C29" s="421"/>
      <c r="D29" s="181">
        <v>4</v>
      </c>
      <c r="E29" s="32" t="s">
        <v>43</v>
      </c>
      <c r="F29" s="65">
        <v>0</v>
      </c>
      <c r="G29" s="182">
        <v>4</v>
      </c>
      <c r="H29" s="35">
        <f t="shared" si="0"/>
        <v>0</v>
      </c>
      <c r="I29" s="36">
        <f t="shared" si="1"/>
        <v>0</v>
      </c>
    </row>
    <row r="30" spans="1:9" ht="15.75" customHeight="1" x14ac:dyDescent="0.35">
      <c r="A30" s="184">
        <v>1003</v>
      </c>
      <c r="B30" s="185" t="s">
        <v>46</v>
      </c>
      <c r="C30" s="421"/>
      <c r="D30" s="186">
        <v>5</v>
      </c>
      <c r="E30" s="187" t="s">
        <v>43</v>
      </c>
      <c r="F30" s="65">
        <v>0</v>
      </c>
      <c r="G30" s="188">
        <v>5</v>
      </c>
      <c r="H30" s="189">
        <f t="shared" si="0"/>
        <v>0</v>
      </c>
      <c r="I30" s="197">
        <f t="shared" si="1"/>
        <v>0</v>
      </c>
    </row>
    <row r="31" spans="1:9" ht="15.75" customHeight="1" x14ac:dyDescent="0.35">
      <c r="A31" s="29">
        <v>1003</v>
      </c>
      <c r="B31" s="79" t="s">
        <v>46</v>
      </c>
      <c r="C31" s="421"/>
      <c r="D31" s="191">
        <v>46180</v>
      </c>
      <c r="E31" s="32" t="s">
        <v>43</v>
      </c>
      <c r="F31" s="65">
        <v>0</v>
      </c>
      <c r="G31" s="182">
        <v>7</v>
      </c>
      <c r="H31" s="35">
        <f t="shared" si="0"/>
        <v>0</v>
      </c>
      <c r="I31" s="36">
        <f t="shared" si="1"/>
        <v>0</v>
      </c>
    </row>
    <row r="32" spans="1:9" ht="15.75" customHeight="1" x14ac:dyDescent="0.35">
      <c r="A32" s="184">
        <v>1003</v>
      </c>
      <c r="B32" s="185" t="s">
        <v>46</v>
      </c>
      <c r="C32" s="421"/>
      <c r="D32" s="192">
        <v>46243</v>
      </c>
      <c r="E32" s="187" t="s">
        <v>43</v>
      </c>
      <c r="F32" s="65">
        <v>0</v>
      </c>
      <c r="G32" s="188">
        <v>9</v>
      </c>
      <c r="H32" s="189">
        <f t="shared" si="0"/>
        <v>0</v>
      </c>
      <c r="I32" s="197">
        <f t="shared" si="1"/>
        <v>0</v>
      </c>
    </row>
    <row r="33" spans="1:9" ht="15.75" customHeight="1" x14ac:dyDescent="0.35">
      <c r="A33" s="29">
        <v>1003</v>
      </c>
      <c r="B33" s="79" t="s">
        <v>46</v>
      </c>
      <c r="C33" s="421"/>
      <c r="D33" s="191">
        <v>46309</v>
      </c>
      <c r="E33" s="32" t="s">
        <v>43</v>
      </c>
      <c r="F33" s="65">
        <v>0</v>
      </c>
      <c r="G33" s="182">
        <v>14</v>
      </c>
      <c r="H33" s="35">
        <f t="shared" si="0"/>
        <v>0</v>
      </c>
      <c r="I33" s="36">
        <f t="shared" si="1"/>
        <v>0</v>
      </c>
    </row>
    <row r="34" spans="1:9" ht="15.75" customHeight="1" x14ac:dyDescent="0.35">
      <c r="A34" s="184">
        <v>1003</v>
      </c>
      <c r="B34" s="185" t="s">
        <v>46</v>
      </c>
      <c r="C34" s="421"/>
      <c r="D34" s="186" t="s">
        <v>187</v>
      </c>
      <c r="E34" s="187" t="s">
        <v>43</v>
      </c>
      <c r="F34" s="65">
        <v>0</v>
      </c>
      <c r="G34" s="188">
        <v>19</v>
      </c>
      <c r="H34" s="189">
        <f t="shared" si="0"/>
        <v>0</v>
      </c>
      <c r="I34" s="197">
        <f t="shared" si="1"/>
        <v>0</v>
      </c>
    </row>
    <row r="35" spans="1:9" ht="15.75" customHeight="1" x14ac:dyDescent="0.35">
      <c r="A35" s="47">
        <v>1003</v>
      </c>
      <c r="B35" s="88" t="s">
        <v>46</v>
      </c>
      <c r="C35" s="422"/>
      <c r="D35" s="193" t="s">
        <v>188</v>
      </c>
      <c r="E35" s="50" t="s">
        <v>43</v>
      </c>
      <c r="F35" s="66">
        <v>0</v>
      </c>
      <c r="G35" s="194">
        <v>30</v>
      </c>
      <c r="H35" s="53">
        <f t="shared" si="0"/>
        <v>0</v>
      </c>
      <c r="I35" s="54">
        <f t="shared" si="1"/>
        <v>0</v>
      </c>
    </row>
    <row r="36" spans="1:9" ht="15.75" customHeight="1" x14ac:dyDescent="0.35">
      <c r="A36" s="174">
        <v>1004</v>
      </c>
      <c r="B36" s="175">
        <v>3</v>
      </c>
      <c r="C36" s="439" t="s">
        <v>210</v>
      </c>
      <c r="D36" s="176">
        <v>1</v>
      </c>
      <c r="E36" s="177" t="s">
        <v>43</v>
      </c>
      <c r="F36" s="64">
        <v>0</v>
      </c>
      <c r="G36" s="178">
        <v>1</v>
      </c>
      <c r="H36" s="179">
        <f t="shared" si="0"/>
        <v>0</v>
      </c>
      <c r="I36" s="198">
        <f t="shared" si="1"/>
        <v>0</v>
      </c>
    </row>
    <row r="37" spans="1:9" ht="15.75" customHeight="1" x14ac:dyDescent="0.35">
      <c r="A37" s="29">
        <v>1004</v>
      </c>
      <c r="B37" s="79">
        <v>3</v>
      </c>
      <c r="C37" s="421"/>
      <c r="D37" s="181">
        <v>2</v>
      </c>
      <c r="E37" s="32" t="s">
        <v>43</v>
      </c>
      <c r="F37" s="65">
        <v>0</v>
      </c>
      <c r="G37" s="182">
        <v>2</v>
      </c>
      <c r="H37" s="35">
        <f t="shared" si="0"/>
        <v>0</v>
      </c>
      <c r="I37" s="36">
        <f t="shared" si="1"/>
        <v>0</v>
      </c>
    </row>
    <row r="38" spans="1:9" ht="15.75" customHeight="1" x14ac:dyDescent="0.35">
      <c r="A38" s="184">
        <v>1004</v>
      </c>
      <c r="B38" s="185">
        <v>3</v>
      </c>
      <c r="C38" s="421"/>
      <c r="D38" s="186">
        <v>3</v>
      </c>
      <c r="E38" s="187" t="s">
        <v>43</v>
      </c>
      <c r="F38" s="65">
        <v>0</v>
      </c>
      <c r="G38" s="188">
        <v>3</v>
      </c>
      <c r="H38" s="189">
        <f t="shared" si="0"/>
        <v>0</v>
      </c>
      <c r="I38" s="197">
        <f t="shared" si="1"/>
        <v>0</v>
      </c>
    </row>
    <row r="39" spans="1:9" ht="15.75" customHeight="1" x14ac:dyDescent="0.35">
      <c r="A39" s="29">
        <v>1004</v>
      </c>
      <c r="B39" s="79">
        <v>3</v>
      </c>
      <c r="C39" s="421"/>
      <c r="D39" s="181">
        <v>4</v>
      </c>
      <c r="E39" s="32" t="s">
        <v>43</v>
      </c>
      <c r="F39" s="65">
        <v>0</v>
      </c>
      <c r="G39" s="182">
        <v>4</v>
      </c>
      <c r="H39" s="35">
        <f t="shared" si="0"/>
        <v>0</v>
      </c>
      <c r="I39" s="36">
        <f t="shared" si="1"/>
        <v>0</v>
      </c>
    </row>
    <row r="40" spans="1:9" ht="15.75" customHeight="1" x14ac:dyDescent="0.35">
      <c r="A40" s="184">
        <v>1004</v>
      </c>
      <c r="B40" s="185">
        <v>3</v>
      </c>
      <c r="C40" s="421"/>
      <c r="D40" s="186">
        <v>5</v>
      </c>
      <c r="E40" s="187" t="s">
        <v>43</v>
      </c>
      <c r="F40" s="65">
        <v>0</v>
      </c>
      <c r="G40" s="188">
        <v>5</v>
      </c>
      <c r="H40" s="189">
        <f t="shared" si="0"/>
        <v>0</v>
      </c>
      <c r="I40" s="197">
        <f t="shared" si="1"/>
        <v>0</v>
      </c>
    </row>
    <row r="41" spans="1:9" ht="15.75" customHeight="1" x14ac:dyDescent="0.35">
      <c r="A41" s="29">
        <v>1004</v>
      </c>
      <c r="B41" s="79">
        <v>3</v>
      </c>
      <c r="C41" s="421"/>
      <c r="D41" s="191">
        <v>46180</v>
      </c>
      <c r="E41" s="32" t="s">
        <v>43</v>
      </c>
      <c r="F41" s="65">
        <v>0</v>
      </c>
      <c r="G41" s="182">
        <v>7</v>
      </c>
      <c r="H41" s="35">
        <f t="shared" si="0"/>
        <v>0</v>
      </c>
      <c r="I41" s="36">
        <f t="shared" si="1"/>
        <v>0</v>
      </c>
    </row>
    <row r="42" spans="1:9" ht="15.75" customHeight="1" x14ac:dyDescent="0.35">
      <c r="A42" s="184">
        <v>1004</v>
      </c>
      <c r="B42" s="185">
        <v>3</v>
      </c>
      <c r="C42" s="421"/>
      <c r="D42" s="192">
        <v>46243</v>
      </c>
      <c r="E42" s="187" t="s">
        <v>43</v>
      </c>
      <c r="F42" s="65">
        <v>0</v>
      </c>
      <c r="G42" s="188">
        <v>9</v>
      </c>
      <c r="H42" s="189">
        <f t="shared" si="0"/>
        <v>0</v>
      </c>
      <c r="I42" s="197">
        <f t="shared" si="1"/>
        <v>0</v>
      </c>
    </row>
    <row r="43" spans="1:9" ht="15.75" customHeight="1" x14ac:dyDescent="0.35">
      <c r="A43" s="29">
        <v>1004</v>
      </c>
      <c r="B43" s="79">
        <v>3</v>
      </c>
      <c r="C43" s="421"/>
      <c r="D43" s="191">
        <v>46309</v>
      </c>
      <c r="E43" s="32" t="s">
        <v>43</v>
      </c>
      <c r="F43" s="65">
        <v>0</v>
      </c>
      <c r="G43" s="182">
        <v>14</v>
      </c>
      <c r="H43" s="35">
        <f t="shared" si="0"/>
        <v>0</v>
      </c>
      <c r="I43" s="36">
        <f t="shared" si="1"/>
        <v>0</v>
      </c>
    </row>
    <row r="44" spans="1:9" ht="15.75" customHeight="1" x14ac:dyDescent="0.35">
      <c r="A44" s="184">
        <v>1004</v>
      </c>
      <c r="B44" s="185">
        <v>3</v>
      </c>
      <c r="C44" s="421"/>
      <c r="D44" s="186" t="s">
        <v>187</v>
      </c>
      <c r="E44" s="187" t="s">
        <v>43</v>
      </c>
      <c r="F44" s="65">
        <v>0</v>
      </c>
      <c r="G44" s="188">
        <v>19</v>
      </c>
      <c r="H44" s="189">
        <f t="shared" si="0"/>
        <v>0</v>
      </c>
      <c r="I44" s="197">
        <f t="shared" si="1"/>
        <v>0</v>
      </c>
    </row>
    <row r="45" spans="1:9" ht="15.75" customHeight="1" x14ac:dyDescent="0.35">
      <c r="A45" s="47">
        <v>1004</v>
      </c>
      <c r="B45" s="88">
        <v>3</v>
      </c>
      <c r="C45" s="422"/>
      <c r="D45" s="193" t="s">
        <v>188</v>
      </c>
      <c r="E45" s="50" t="s">
        <v>43</v>
      </c>
      <c r="F45" s="66">
        <v>0</v>
      </c>
      <c r="G45" s="194">
        <v>30</v>
      </c>
      <c r="H45" s="53">
        <f t="shared" si="0"/>
        <v>0</v>
      </c>
      <c r="I45" s="54">
        <f t="shared" si="1"/>
        <v>0</v>
      </c>
    </row>
    <row r="46" spans="1:9" ht="15.75" customHeight="1" x14ac:dyDescent="0.35">
      <c r="A46" s="174">
        <v>1005</v>
      </c>
      <c r="B46" s="175" t="s">
        <v>49</v>
      </c>
      <c r="C46" s="439" t="s">
        <v>211</v>
      </c>
      <c r="D46" s="176">
        <v>1</v>
      </c>
      <c r="E46" s="177" t="s">
        <v>43</v>
      </c>
      <c r="F46" s="64">
        <v>0</v>
      </c>
      <c r="G46" s="178">
        <v>1</v>
      </c>
      <c r="H46" s="179">
        <f t="shared" si="0"/>
        <v>0</v>
      </c>
      <c r="I46" s="198">
        <f t="shared" si="1"/>
        <v>0</v>
      </c>
    </row>
    <row r="47" spans="1:9" ht="15.75" customHeight="1" x14ac:dyDescent="0.35">
      <c r="A47" s="29">
        <v>1005</v>
      </c>
      <c r="B47" s="79" t="s">
        <v>49</v>
      </c>
      <c r="C47" s="421"/>
      <c r="D47" s="181">
        <v>2</v>
      </c>
      <c r="E47" s="32" t="s">
        <v>43</v>
      </c>
      <c r="F47" s="65">
        <v>0</v>
      </c>
      <c r="G47" s="182">
        <v>2</v>
      </c>
      <c r="H47" s="35">
        <f t="shared" si="0"/>
        <v>0</v>
      </c>
      <c r="I47" s="36">
        <f t="shared" si="1"/>
        <v>0</v>
      </c>
    </row>
    <row r="48" spans="1:9" ht="15.75" customHeight="1" x14ac:dyDescent="0.35">
      <c r="A48" s="184">
        <v>1005</v>
      </c>
      <c r="B48" s="185" t="s">
        <v>49</v>
      </c>
      <c r="C48" s="421"/>
      <c r="D48" s="186">
        <v>3</v>
      </c>
      <c r="E48" s="187" t="s">
        <v>43</v>
      </c>
      <c r="F48" s="65">
        <v>0</v>
      </c>
      <c r="G48" s="188">
        <v>3</v>
      </c>
      <c r="H48" s="189">
        <f t="shared" si="0"/>
        <v>0</v>
      </c>
      <c r="I48" s="197">
        <f t="shared" si="1"/>
        <v>0</v>
      </c>
    </row>
    <row r="49" spans="1:9" ht="15.75" customHeight="1" x14ac:dyDescent="0.35">
      <c r="A49" s="29">
        <v>1005</v>
      </c>
      <c r="B49" s="79" t="s">
        <v>49</v>
      </c>
      <c r="C49" s="421"/>
      <c r="D49" s="181">
        <v>4</v>
      </c>
      <c r="E49" s="32" t="s">
        <v>43</v>
      </c>
      <c r="F49" s="65">
        <v>0</v>
      </c>
      <c r="G49" s="182">
        <v>4</v>
      </c>
      <c r="H49" s="35">
        <f t="shared" si="0"/>
        <v>0</v>
      </c>
      <c r="I49" s="36">
        <f t="shared" si="1"/>
        <v>0</v>
      </c>
    </row>
    <row r="50" spans="1:9" ht="15.75" customHeight="1" x14ac:dyDescent="0.35">
      <c r="A50" s="184">
        <v>1005</v>
      </c>
      <c r="B50" s="185" t="s">
        <v>49</v>
      </c>
      <c r="C50" s="421"/>
      <c r="D50" s="186">
        <v>5</v>
      </c>
      <c r="E50" s="187" t="s">
        <v>43</v>
      </c>
      <c r="F50" s="65">
        <v>0</v>
      </c>
      <c r="G50" s="188">
        <v>5</v>
      </c>
      <c r="H50" s="189">
        <f t="shared" si="0"/>
        <v>0</v>
      </c>
      <c r="I50" s="197">
        <f t="shared" si="1"/>
        <v>0</v>
      </c>
    </row>
    <row r="51" spans="1:9" ht="15.75" customHeight="1" x14ac:dyDescent="0.35">
      <c r="A51" s="29">
        <v>1005</v>
      </c>
      <c r="B51" s="79" t="s">
        <v>49</v>
      </c>
      <c r="C51" s="421"/>
      <c r="D51" s="191">
        <v>46180</v>
      </c>
      <c r="E51" s="32" t="s">
        <v>43</v>
      </c>
      <c r="F51" s="65">
        <v>0</v>
      </c>
      <c r="G51" s="182">
        <v>7</v>
      </c>
      <c r="H51" s="35">
        <f t="shared" si="0"/>
        <v>0</v>
      </c>
      <c r="I51" s="36">
        <f t="shared" si="1"/>
        <v>0</v>
      </c>
    </row>
    <row r="52" spans="1:9" ht="15.75" customHeight="1" x14ac:dyDescent="0.35">
      <c r="A52" s="184">
        <v>1005</v>
      </c>
      <c r="B52" s="185" t="s">
        <v>49</v>
      </c>
      <c r="C52" s="421"/>
      <c r="D52" s="192">
        <v>46243</v>
      </c>
      <c r="E52" s="187" t="s">
        <v>43</v>
      </c>
      <c r="F52" s="65">
        <v>0</v>
      </c>
      <c r="G52" s="188">
        <v>9</v>
      </c>
      <c r="H52" s="189">
        <f t="shared" si="0"/>
        <v>0</v>
      </c>
      <c r="I52" s="197">
        <f t="shared" si="1"/>
        <v>0</v>
      </c>
    </row>
    <row r="53" spans="1:9" ht="15.75" customHeight="1" x14ac:dyDescent="0.35">
      <c r="A53" s="29">
        <v>1005</v>
      </c>
      <c r="B53" s="79" t="s">
        <v>49</v>
      </c>
      <c r="C53" s="421"/>
      <c r="D53" s="191">
        <v>46309</v>
      </c>
      <c r="E53" s="32" t="s">
        <v>43</v>
      </c>
      <c r="F53" s="65">
        <v>0</v>
      </c>
      <c r="G53" s="182">
        <v>14</v>
      </c>
      <c r="H53" s="35">
        <f t="shared" si="0"/>
        <v>0</v>
      </c>
      <c r="I53" s="36">
        <f t="shared" si="1"/>
        <v>0</v>
      </c>
    </row>
    <row r="54" spans="1:9" ht="15.75" customHeight="1" x14ac:dyDescent="0.35">
      <c r="A54" s="184">
        <v>1005</v>
      </c>
      <c r="B54" s="185" t="s">
        <v>49</v>
      </c>
      <c r="C54" s="421"/>
      <c r="D54" s="186" t="s">
        <v>187</v>
      </c>
      <c r="E54" s="187" t="s">
        <v>43</v>
      </c>
      <c r="F54" s="65">
        <v>0</v>
      </c>
      <c r="G54" s="188">
        <v>19</v>
      </c>
      <c r="H54" s="189">
        <f t="shared" si="0"/>
        <v>0</v>
      </c>
      <c r="I54" s="197">
        <f t="shared" si="1"/>
        <v>0</v>
      </c>
    </row>
    <row r="55" spans="1:9" ht="15.75" customHeight="1" x14ac:dyDescent="0.35">
      <c r="A55" s="47">
        <v>1005</v>
      </c>
      <c r="B55" s="88" t="s">
        <v>49</v>
      </c>
      <c r="C55" s="422"/>
      <c r="D55" s="193" t="s">
        <v>188</v>
      </c>
      <c r="E55" s="50" t="s">
        <v>43</v>
      </c>
      <c r="F55" s="66">
        <v>0</v>
      </c>
      <c r="G55" s="194">
        <v>30</v>
      </c>
      <c r="H55" s="53">
        <f t="shared" si="0"/>
        <v>0</v>
      </c>
      <c r="I55" s="54">
        <f t="shared" si="1"/>
        <v>0</v>
      </c>
    </row>
    <row r="56" spans="1:9" ht="15.75" customHeight="1" x14ac:dyDescent="0.35">
      <c r="A56" s="174">
        <v>1006</v>
      </c>
      <c r="B56" s="199">
        <v>4</v>
      </c>
      <c r="C56" s="439" t="s">
        <v>212</v>
      </c>
      <c r="D56" s="176">
        <v>1</v>
      </c>
      <c r="E56" s="177" t="s">
        <v>43</v>
      </c>
      <c r="F56" s="217">
        <v>0</v>
      </c>
      <c r="G56" s="178">
        <v>1</v>
      </c>
      <c r="H56" s="179">
        <f t="shared" si="0"/>
        <v>0</v>
      </c>
      <c r="I56" s="198">
        <f t="shared" si="1"/>
        <v>0</v>
      </c>
    </row>
    <row r="57" spans="1:9" ht="15.75" customHeight="1" x14ac:dyDescent="0.35">
      <c r="A57" s="29">
        <v>1006</v>
      </c>
      <c r="B57" s="79">
        <v>4</v>
      </c>
      <c r="C57" s="421"/>
      <c r="D57" s="181">
        <v>2</v>
      </c>
      <c r="E57" s="32" t="s">
        <v>43</v>
      </c>
      <c r="F57" s="218">
        <v>0</v>
      </c>
      <c r="G57" s="182">
        <v>2</v>
      </c>
      <c r="H57" s="35">
        <f t="shared" si="0"/>
        <v>0</v>
      </c>
      <c r="I57" s="36">
        <f t="shared" si="1"/>
        <v>0</v>
      </c>
    </row>
    <row r="58" spans="1:9" ht="15.75" customHeight="1" x14ac:dyDescent="0.35">
      <c r="A58" s="184">
        <v>1006</v>
      </c>
      <c r="B58" s="185">
        <v>4</v>
      </c>
      <c r="C58" s="421"/>
      <c r="D58" s="186">
        <v>3</v>
      </c>
      <c r="E58" s="187" t="s">
        <v>43</v>
      </c>
      <c r="F58" s="219">
        <v>0</v>
      </c>
      <c r="G58" s="188">
        <v>3</v>
      </c>
      <c r="H58" s="189">
        <f t="shared" si="0"/>
        <v>0</v>
      </c>
      <c r="I58" s="197">
        <f t="shared" si="1"/>
        <v>0</v>
      </c>
    </row>
    <row r="59" spans="1:9" ht="15.75" customHeight="1" x14ac:dyDescent="0.35">
      <c r="A59" s="29">
        <v>1006</v>
      </c>
      <c r="B59" s="79">
        <v>4</v>
      </c>
      <c r="C59" s="421"/>
      <c r="D59" s="181">
        <v>4</v>
      </c>
      <c r="E59" s="32" t="s">
        <v>43</v>
      </c>
      <c r="F59" s="218">
        <v>0</v>
      </c>
      <c r="G59" s="182">
        <v>4</v>
      </c>
      <c r="H59" s="35">
        <f t="shared" si="0"/>
        <v>0</v>
      </c>
      <c r="I59" s="36">
        <f t="shared" si="1"/>
        <v>0</v>
      </c>
    </row>
    <row r="60" spans="1:9" ht="15.75" customHeight="1" x14ac:dyDescent="0.35">
      <c r="A60" s="184">
        <v>1006</v>
      </c>
      <c r="B60" s="185">
        <v>4</v>
      </c>
      <c r="C60" s="421"/>
      <c r="D60" s="186">
        <v>5</v>
      </c>
      <c r="E60" s="187" t="s">
        <v>43</v>
      </c>
      <c r="F60" s="219">
        <v>0</v>
      </c>
      <c r="G60" s="188">
        <v>5</v>
      </c>
      <c r="H60" s="189">
        <f t="shared" si="0"/>
        <v>0</v>
      </c>
      <c r="I60" s="197">
        <f t="shared" si="1"/>
        <v>0</v>
      </c>
    </row>
    <row r="61" spans="1:9" ht="15.75" customHeight="1" x14ac:dyDescent="0.35">
      <c r="A61" s="29">
        <v>1006</v>
      </c>
      <c r="B61" s="79">
        <v>4</v>
      </c>
      <c r="C61" s="421"/>
      <c r="D61" s="191">
        <v>46180</v>
      </c>
      <c r="E61" s="32" t="s">
        <v>43</v>
      </c>
      <c r="F61" s="218">
        <v>0</v>
      </c>
      <c r="G61" s="182">
        <v>7</v>
      </c>
      <c r="H61" s="35">
        <f t="shared" si="0"/>
        <v>0</v>
      </c>
      <c r="I61" s="36">
        <f t="shared" si="1"/>
        <v>0</v>
      </c>
    </row>
    <row r="62" spans="1:9" ht="15.75" customHeight="1" x14ac:dyDescent="0.35">
      <c r="A62" s="184">
        <v>1006</v>
      </c>
      <c r="B62" s="185">
        <v>4</v>
      </c>
      <c r="C62" s="421"/>
      <c r="D62" s="192">
        <v>46243</v>
      </c>
      <c r="E62" s="187" t="s">
        <v>43</v>
      </c>
      <c r="F62" s="219">
        <v>0</v>
      </c>
      <c r="G62" s="188">
        <v>9</v>
      </c>
      <c r="H62" s="189">
        <f t="shared" si="0"/>
        <v>0</v>
      </c>
      <c r="I62" s="197">
        <f t="shared" si="1"/>
        <v>0</v>
      </c>
    </row>
    <row r="63" spans="1:9" ht="15.75" customHeight="1" x14ac:dyDescent="0.35">
      <c r="A63" s="29">
        <v>1006</v>
      </c>
      <c r="B63" s="79">
        <v>4</v>
      </c>
      <c r="C63" s="421"/>
      <c r="D63" s="191">
        <v>46309</v>
      </c>
      <c r="E63" s="32" t="s">
        <v>43</v>
      </c>
      <c r="F63" s="218">
        <v>0</v>
      </c>
      <c r="G63" s="182">
        <v>14</v>
      </c>
      <c r="H63" s="35">
        <f t="shared" si="0"/>
        <v>0</v>
      </c>
      <c r="I63" s="36">
        <f t="shared" si="1"/>
        <v>0</v>
      </c>
    </row>
    <row r="64" spans="1:9" ht="15.75" customHeight="1" x14ac:dyDescent="0.35">
      <c r="A64" s="184">
        <v>1006</v>
      </c>
      <c r="B64" s="185">
        <v>4</v>
      </c>
      <c r="C64" s="421"/>
      <c r="D64" s="186" t="s">
        <v>187</v>
      </c>
      <c r="E64" s="187" t="s">
        <v>43</v>
      </c>
      <c r="F64" s="219">
        <v>0</v>
      </c>
      <c r="G64" s="188">
        <v>19</v>
      </c>
      <c r="H64" s="189">
        <f t="shared" si="0"/>
        <v>0</v>
      </c>
      <c r="I64" s="197">
        <f t="shared" si="1"/>
        <v>0</v>
      </c>
    </row>
    <row r="65" spans="1:12" ht="15.75" customHeight="1" x14ac:dyDescent="0.35">
      <c r="A65" s="47">
        <v>1006</v>
      </c>
      <c r="B65" s="88">
        <v>4</v>
      </c>
      <c r="C65" s="422"/>
      <c r="D65" s="193" t="s">
        <v>188</v>
      </c>
      <c r="E65" s="50" t="s">
        <v>43</v>
      </c>
      <c r="F65" s="220">
        <v>0</v>
      </c>
      <c r="G65" s="194">
        <v>30</v>
      </c>
      <c r="H65" s="53">
        <f t="shared" si="0"/>
        <v>0</v>
      </c>
      <c r="I65" s="54">
        <f t="shared" si="1"/>
        <v>0</v>
      </c>
    </row>
    <row r="66" spans="1:12" ht="15.75" customHeight="1" x14ac:dyDescent="0.35">
      <c r="A66" s="174">
        <v>1007</v>
      </c>
      <c r="B66" s="199" t="s">
        <v>53</v>
      </c>
      <c r="C66" s="439" t="s">
        <v>213</v>
      </c>
      <c r="D66" s="176">
        <v>1</v>
      </c>
      <c r="E66" s="177" t="s">
        <v>43</v>
      </c>
      <c r="F66" s="217">
        <v>0</v>
      </c>
      <c r="G66" s="178">
        <v>1</v>
      </c>
      <c r="H66" s="179">
        <f t="shared" si="0"/>
        <v>0</v>
      </c>
      <c r="I66" s="198">
        <f t="shared" si="1"/>
        <v>0</v>
      </c>
    </row>
    <row r="67" spans="1:12" ht="15.75" customHeight="1" x14ac:dyDescent="0.35">
      <c r="A67" s="29">
        <v>1007</v>
      </c>
      <c r="B67" s="79" t="s">
        <v>53</v>
      </c>
      <c r="C67" s="421"/>
      <c r="D67" s="181">
        <v>2</v>
      </c>
      <c r="E67" s="32" t="s">
        <v>43</v>
      </c>
      <c r="F67" s="218">
        <v>0</v>
      </c>
      <c r="G67" s="182">
        <v>2</v>
      </c>
      <c r="H67" s="35">
        <f t="shared" si="0"/>
        <v>0</v>
      </c>
      <c r="I67" s="36">
        <f t="shared" si="1"/>
        <v>0</v>
      </c>
    </row>
    <row r="68" spans="1:12" ht="15.75" customHeight="1" x14ac:dyDescent="0.35">
      <c r="A68" s="184">
        <v>1007</v>
      </c>
      <c r="B68" s="185" t="s">
        <v>53</v>
      </c>
      <c r="C68" s="421"/>
      <c r="D68" s="186">
        <v>3</v>
      </c>
      <c r="E68" s="187" t="s">
        <v>43</v>
      </c>
      <c r="F68" s="219">
        <v>0</v>
      </c>
      <c r="G68" s="188">
        <v>3</v>
      </c>
      <c r="H68" s="189">
        <f t="shared" si="0"/>
        <v>0</v>
      </c>
      <c r="I68" s="197">
        <f t="shared" si="1"/>
        <v>0</v>
      </c>
    </row>
    <row r="69" spans="1:12" ht="15.75" customHeight="1" x14ac:dyDescent="0.35">
      <c r="A69" s="29">
        <v>1007</v>
      </c>
      <c r="B69" s="79" t="s">
        <v>53</v>
      </c>
      <c r="C69" s="421"/>
      <c r="D69" s="181">
        <v>4</v>
      </c>
      <c r="E69" s="32" t="s">
        <v>43</v>
      </c>
      <c r="F69" s="218">
        <v>0</v>
      </c>
      <c r="G69" s="182">
        <v>4</v>
      </c>
      <c r="H69" s="35">
        <f t="shared" si="0"/>
        <v>0</v>
      </c>
      <c r="I69" s="36">
        <f t="shared" si="1"/>
        <v>0</v>
      </c>
    </row>
    <row r="70" spans="1:12" ht="15.75" customHeight="1" x14ac:dyDescent="0.35">
      <c r="A70" s="184">
        <v>1007</v>
      </c>
      <c r="B70" s="185" t="s">
        <v>53</v>
      </c>
      <c r="C70" s="421"/>
      <c r="D70" s="186">
        <v>5</v>
      </c>
      <c r="E70" s="187" t="s">
        <v>43</v>
      </c>
      <c r="F70" s="219">
        <v>0</v>
      </c>
      <c r="G70" s="188">
        <v>5</v>
      </c>
      <c r="H70" s="189">
        <f t="shared" si="0"/>
        <v>0</v>
      </c>
      <c r="I70" s="197">
        <f t="shared" si="1"/>
        <v>0</v>
      </c>
    </row>
    <row r="71" spans="1:12" ht="15.75" customHeight="1" x14ac:dyDescent="0.35">
      <c r="A71" s="29">
        <v>1007</v>
      </c>
      <c r="B71" s="79" t="s">
        <v>53</v>
      </c>
      <c r="C71" s="421"/>
      <c r="D71" s="191">
        <v>46180</v>
      </c>
      <c r="E71" s="32" t="s">
        <v>43</v>
      </c>
      <c r="F71" s="218">
        <v>0</v>
      </c>
      <c r="G71" s="182">
        <v>7</v>
      </c>
      <c r="H71" s="35">
        <f t="shared" si="0"/>
        <v>0</v>
      </c>
      <c r="I71" s="36">
        <f t="shared" si="1"/>
        <v>0</v>
      </c>
    </row>
    <row r="72" spans="1:12" ht="15.75" customHeight="1" x14ac:dyDescent="0.35">
      <c r="A72" s="184">
        <v>1007</v>
      </c>
      <c r="B72" s="185" t="s">
        <v>53</v>
      </c>
      <c r="C72" s="421"/>
      <c r="D72" s="192">
        <v>46243</v>
      </c>
      <c r="E72" s="187" t="s">
        <v>43</v>
      </c>
      <c r="F72" s="219">
        <v>0</v>
      </c>
      <c r="G72" s="188">
        <v>9</v>
      </c>
      <c r="H72" s="189">
        <f t="shared" si="0"/>
        <v>0</v>
      </c>
      <c r="I72" s="197">
        <f t="shared" si="1"/>
        <v>0</v>
      </c>
    </row>
    <row r="73" spans="1:12" ht="15.75" customHeight="1" x14ac:dyDescent="0.35">
      <c r="A73" s="29">
        <v>1007</v>
      </c>
      <c r="B73" s="79" t="s">
        <v>53</v>
      </c>
      <c r="C73" s="421"/>
      <c r="D73" s="191">
        <v>46309</v>
      </c>
      <c r="E73" s="32" t="s">
        <v>43</v>
      </c>
      <c r="F73" s="218">
        <v>0</v>
      </c>
      <c r="G73" s="182">
        <v>14</v>
      </c>
      <c r="H73" s="35">
        <f t="shared" si="0"/>
        <v>0</v>
      </c>
      <c r="I73" s="36">
        <f t="shared" si="1"/>
        <v>0</v>
      </c>
    </row>
    <row r="74" spans="1:12" ht="15.75" customHeight="1" x14ac:dyDescent="0.35">
      <c r="A74" s="184">
        <v>1007</v>
      </c>
      <c r="B74" s="185" t="s">
        <v>53</v>
      </c>
      <c r="C74" s="421"/>
      <c r="D74" s="186" t="s">
        <v>187</v>
      </c>
      <c r="E74" s="187" t="s">
        <v>43</v>
      </c>
      <c r="F74" s="219">
        <v>0</v>
      </c>
      <c r="G74" s="188">
        <v>19</v>
      </c>
      <c r="H74" s="189">
        <f t="shared" si="0"/>
        <v>0</v>
      </c>
      <c r="I74" s="197">
        <f t="shared" si="1"/>
        <v>0</v>
      </c>
    </row>
    <row r="75" spans="1:12" ht="15.75" customHeight="1" x14ac:dyDescent="0.35">
      <c r="A75" s="47">
        <v>1007</v>
      </c>
      <c r="B75" s="88" t="s">
        <v>53</v>
      </c>
      <c r="C75" s="422"/>
      <c r="D75" s="193" t="s">
        <v>188</v>
      </c>
      <c r="E75" s="50" t="s">
        <v>43</v>
      </c>
      <c r="F75" s="220">
        <v>0</v>
      </c>
      <c r="G75" s="194">
        <v>30</v>
      </c>
      <c r="H75" s="53">
        <f t="shared" si="0"/>
        <v>0</v>
      </c>
      <c r="I75" s="54">
        <f t="shared" si="1"/>
        <v>0</v>
      </c>
    </row>
    <row r="76" spans="1:12" ht="15.75" customHeight="1" x14ac:dyDescent="0.35"/>
    <row r="77" spans="1:12" ht="15.75" customHeight="1" x14ac:dyDescent="0.35"/>
    <row r="78" spans="1:12" ht="15.75" customHeight="1" x14ac:dyDescent="0.4">
      <c r="A78" s="414" t="s">
        <v>195</v>
      </c>
      <c r="B78" s="413"/>
      <c r="C78" s="413"/>
      <c r="D78" s="413"/>
      <c r="E78" s="413"/>
      <c r="F78" s="413"/>
      <c r="G78" s="413"/>
      <c r="H78" s="413"/>
      <c r="I78" s="413"/>
      <c r="J78" s="413"/>
    </row>
    <row r="79" spans="1:12" ht="15.75" customHeight="1" x14ac:dyDescent="0.35">
      <c r="A79" s="441" t="s">
        <v>28</v>
      </c>
      <c r="B79" s="416"/>
      <c r="C79" s="416"/>
      <c r="D79" s="416"/>
      <c r="E79" s="416"/>
      <c r="F79" s="417"/>
      <c r="G79" s="200"/>
      <c r="H79" s="442" t="s">
        <v>181</v>
      </c>
      <c r="I79" s="419"/>
      <c r="J79" s="172"/>
    </row>
    <row r="80" spans="1:12" ht="15.75" customHeight="1" x14ac:dyDescent="0.35">
      <c r="A80" s="125" t="s">
        <v>182</v>
      </c>
      <c r="B80" s="69" t="s">
        <v>31</v>
      </c>
      <c r="C80" s="69" t="s">
        <v>32</v>
      </c>
      <c r="D80" s="127" t="s">
        <v>183</v>
      </c>
      <c r="E80" s="50" t="s">
        <v>34</v>
      </c>
      <c r="F80" s="69" t="s">
        <v>35</v>
      </c>
      <c r="G80" s="69" t="s">
        <v>36</v>
      </c>
      <c r="H80" s="69" t="s">
        <v>37</v>
      </c>
      <c r="I80" s="128" t="s">
        <v>38</v>
      </c>
      <c r="K80" s="18" t="s">
        <v>39</v>
      </c>
      <c r="L80" s="173" t="s">
        <v>214</v>
      </c>
    </row>
    <row r="81" spans="1:12" ht="15.75" customHeight="1" x14ac:dyDescent="0.35">
      <c r="A81" s="201">
        <v>1008</v>
      </c>
      <c r="B81" s="202">
        <v>1</v>
      </c>
      <c r="C81" s="440" t="s">
        <v>215</v>
      </c>
      <c r="D81" s="203">
        <v>1</v>
      </c>
      <c r="E81" s="204" t="s">
        <v>43</v>
      </c>
      <c r="F81" s="64">
        <v>0</v>
      </c>
      <c r="G81" s="205">
        <v>1</v>
      </c>
      <c r="H81" s="206">
        <f t="shared" ref="H81:H150" si="2">F81*G81</f>
        <v>0</v>
      </c>
      <c r="I81" s="207">
        <f t="shared" ref="I81:I150" si="3">H81*365</f>
        <v>0</v>
      </c>
      <c r="K81" s="18">
        <v>1</v>
      </c>
      <c r="L81" s="28">
        <f>SUM(I81:I90)</f>
        <v>0</v>
      </c>
    </row>
    <row r="82" spans="1:12" ht="15.75" customHeight="1" x14ac:dyDescent="0.35">
      <c r="A82" s="29">
        <v>1008</v>
      </c>
      <c r="B82" s="79">
        <v>1</v>
      </c>
      <c r="C82" s="421"/>
      <c r="D82" s="181">
        <v>2</v>
      </c>
      <c r="E82" s="32" t="s">
        <v>43</v>
      </c>
      <c r="F82" s="65">
        <v>0</v>
      </c>
      <c r="G82" s="182">
        <v>2</v>
      </c>
      <c r="H82" s="35">
        <f t="shared" si="2"/>
        <v>0</v>
      </c>
      <c r="I82" s="36">
        <f t="shared" si="3"/>
        <v>0</v>
      </c>
      <c r="K82" s="18">
        <v>2</v>
      </c>
      <c r="L82" s="28">
        <f>SUM(I91:I100)</f>
        <v>0</v>
      </c>
    </row>
    <row r="83" spans="1:12" ht="15.75" customHeight="1" x14ac:dyDescent="0.35">
      <c r="A83" s="208">
        <v>1008</v>
      </c>
      <c r="B83" s="209">
        <v>1</v>
      </c>
      <c r="C83" s="421"/>
      <c r="D83" s="210">
        <v>3</v>
      </c>
      <c r="E83" s="211" t="s">
        <v>43</v>
      </c>
      <c r="F83" s="65">
        <v>0</v>
      </c>
      <c r="G83" s="212">
        <v>3</v>
      </c>
      <c r="H83" s="213">
        <f t="shared" si="2"/>
        <v>0</v>
      </c>
      <c r="I83" s="214">
        <f t="shared" si="3"/>
        <v>0</v>
      </c>
      <c r="K83" s="18" t="s">
        <v>46</v>
      </c>
      <c r="L83" s="28">
        <f>SUM(I101:I110)</f>
        <v>0</v>
      </c>
    </row>
    <row r="84" spans="1:12" ht="15.75" customHeight="1" x14ac:dyDescent="0.35">
      <c r="A84" s="29">
        <v>1008</v>
      </c>
      <c r="B84" s="79">
        <v>1</v>
      </c>
      <c r="C84" s="421"/>
      <c r="D84" s="181">
        <v>4</v>
      </c>
      <c r="E84" s="32" t="s">
        <v>43</v>
      </c>
      <c r="F84" s="65">
        <v>0</v>
      </c>
      <c r="G84" s="182">
        <v>4</v>
      </c>
      <c r="H84" s="35">
        <f t="shared" si="2"/>
        <v>0</v>
      </c>
      <c r="I84" s="36">
        <f t="shared" si="3"/>
        <v>0</v>
      </c>
      <c r="K84" s="18">
        <v>3</v>
      </c>
      <c r="L84" s="28">
        <f>SUM(I111:I120)</f>
        <v>0</v>
      </c>
    </row>
    <row r="85" spans="1:12" ht="15.75" customHeight="1" x14ac:dyDescent="0.35">
      <c r="A85" s="208">
        <v>1008</v>
      </c>
      <c r="B85" s="209">
        <v>1</v>
      </c>
      <c r="C85" s="421"/>
      <c r="D85" s="210">
        <v>5</v>
      </c>
      <c r="E85" s="211" t="s">
        <v>43</v>
      </c>
      <c r="F85" s="65">
        <v>0</v>
      </c>
      <c r="G85" s="212">
        <v>5</v>
      </c>
      <c r="H85" s="213">
        <f t="shared" si="2"/>
        <v>0</v>
      </c>
      <c r="I85" s="214">
        <f t="shared" si="3"/>
        <v>0</v>
      </c>
      <c r="K85" s="18" t="s">
        <v>49</v>
      </c>
      <c r="L85" s="28">
        <f>SUM(I121:I130)</f>
        <v>0</v>
      </c>
    </row>
    <row r="86" spans="1:12" ht="15.75" customHeight="1" x14ac:dyDescent="0.35">
      <c r="A86" s="29">
        <v>1008</v>
      </c>
      <c r="B86" s="79">
        <v>1</v>
      </c>
      <c r="C86" s="421"/>
      <c r="D86" s="191">
        <v>46180</v>
      </c>
      <c r="E86" s="32" t="s">
        <v>43</v>
      </c>
      <c r="F86" s="65">
        <v>0</v>
      </c>
      <c r="G86" s="182">
        <v>7</v>
      </c>
      <c r="H86" s="35">
        <f t="shared" si="2"/>
        <v>0</v>
      </c>
      <c r="I86" s="36">
        <f t="shared" si="3"/>
        <v>0</v>
      </c>
      <c r="K86" s="18">
        <v>4</v>
      </c>
      <c r="L86" s="46">
        <f>SUM(I131:I140)</f>
        <v>0</v>
      </c>
    </row>
    <row r="87" spans="1:12" ht="15.75" customHeight="1" x14ac:dyDescent="0.35">
      <c r="A87" s="208">
        <v>1008</v>
      </c>
      <c r="B87" s="209">
        <v>1</v>
      </c>
      <c r="C87" s="421"/>
      <c r="D87" s="215">
        <v>46243</v>
      </c>
      <c r="E87" s="211" t="s">
        <v>43</v>
      </c>
      <c r="F87" s="65">
        <v>0</v>
      </c>
      <c r="G87" s="212">
        <v>9</v>
      </c>
      <c r="H87" s="213">
        <f t="shared" si="2"/>
        <v>0</v>
      </c>
      <c r="I87" s="214">
        <f t="shared" si="3"/>
        <v>0</v>
      </c>
      <c r="K87" s="18" t="s">
        <v>53</v>
      </c>
      <c r="L87" s="46">
        <f>SUM(I141:I150)</f>
        <v>0</v>
      </c>
    </row>
    <row r="88" spans="1:12" ht="15.75" customHeight="1" x14ac:dyDescent="0.35">
      <c r="A88" s="29">
        <v>1008</v>
      </c>
      <c r="B88" s="79">
        <v>1</v>
      </c>
      <c r="C88" s="421"/>
      <c r="D88" s="191">
        <v>46309</v>
      </c>
      <c r="E88" s="32" t="s">
        <v>43</v>
      </c>
      <c r="F88" s="65">
        <v>0</v>
      </c>
      <c r="G88" s="182">
        <v>14</v>
      </c>
      <c r="H88" s="35">
        <f t="shared" si="2"/>
        <v>0</v>
      </c>
      <c r="I88" s="36">
        <f t="shared" si="3"/>
        <v>0</v>
      </c>
      <c r="K88" s="18" t="s">
        <v>198</v>
      </c>
      <c r="L88" s="28">
        <f>SUM(L81:L87)</f>
        <v>0</v>
      </c>
    </row>
    <row r="89" spans="1:12" ht="15.75" customHeight="1" x14ac:dyDescent="0.35">
      <c r="A89" s="208">
        <v>1008</v>
      </c>
      <c r="B89" s="209">
        <v>1</v>
      </c>
      <c r="C89" s="421"/>
      <c r="D89" s="210" t="s">
        <v>187</v>
      </c>
      <c r="E89" s="211" t="s">
        <v>43</v>
      </c>
      <c r="F89" s="65">
        <v>0</v>
      </c>
      <c r="G89" s="212">
        <v>19</v>
      </c>
      <c r="H89" s="213">
        <f t="shared" si="2"/>
        <v>0</v>
      </c>
      <c r="I89" s="214">
        <f t="shared" si="3"/>
        <v>0</v>
      </c>
    </row>
    <row r="90" spans="1:12" ht="15.75" customHeight="1" x14ac:dyDescent="0.35">
      <c r="A90" s="47">
        <v>1008</v>
      </c>
      <c r="B90" s="88">
        <v>1</v>
      </c>
      <c r="C90" s="422"/>
      <c r="D90" s="193" t="s">
        <v>188</v>
      </c>
      <c r="E90" s="50" t="s">
        <v>43</v>
      </c>
      <c r="F90" s="66">
        <v>0</v>
      </c>
      <c r="G90" s="194">
        <v>30</v>
      </c>
      <c r="H90" s="53">
        <f t="shared" si="2"/>
        <v>0</v>
      </c>
      <c r="I90" s="54">
        <f t="shared" si="3"/>
        <v>0</v>
      </c>
    </row>
    <row r="91" spans="1:12" ht="15.75" customHeight="1" x14ac:dyDescent="0.35">
      <c r="A91" s="201">
        <v>1009</v>
      </c>
      <c r="B91" s="202">
        <v>2</v>
      </c>
      <c r="C91" s="440" t="s">
        <v>216</v>
      </c>
      <c r="D91" s="203">
        <v>1</v>
      </c>
      <c r="E91" s="204" t="s">
        <v>43</v>
      </c>
      <c r="F91" s="64">
        <v>0</v>
      </c>
      <c r="G91" s="205">
        <v>1</v>
      </c>
      <c r="H91" s="206">
        <f t="shared" si="2"/>
        <v>0</v>
      </c>
      <c r="I91" s="207">
        <f t="shared" si="3"/>
        <v>0</v>
      </c>
    </row>
    <row r="92" spans="1:12" ht="15.75" customHeight="1" x14ac:dyDescent="0.35">
      <c r="A92" s="29">
        <v>1009</v>
      </c>
      <c r="B92" s="79">
        <v>2</v>
      </c>
      <c r="C92" s="421"/>
      <c r="D92" s="181">
        <v>2</v>
      </c>
      <c r="E92" s="32" t="s">
        <v>43</v>
      </c>
      <c r="F92" s="65">
        <v>0</v>
      </c>
      <c r="G92" s="182">
        <v>2</v>
      </c>
      <c r="H92" s="35">
        <f t="shared" si="2"/>
        <v>0</v>
      </c>
      <c r="I92" s="36">
        <f t="shared" si="3"/>
        <v>0</v>
      </c>
    </row>
    <row r="93" spans="1:12" ht="15.75" customHeight="1" x14ac:dyDescent="0.35">
      <c r="A93" s="208">
        <v>1009</v>
      </c>
      <c r="B93" s="209">
        <v>2</v>
      </c>
      <c r="C93" s="421"/>
      <c r="D93" s="210">
        <v>3</v>
      </c>
      <c r="E93" s="211" t="s">
        <v>43</v>
      </c>
      <c r="F93" s="65">
        <v>0</v>
      </c>
      <c r="G93" s="212">
        <v>3</v>
      </c>
      <c r="H93" s="213">
        <f t="shared" si="2"/>
        <v>0</v>
      </c>
      <c r="I93" s="214">
        <f t="shared" si="3"/>
        <v>0</v>
      </c>
    </row>
    <row r="94" spans="1:12" ht="15.75" customHeight="1" x14ac:dyDescent="0.35">
      <c r="A94" s="29">
        <v>1009</v>
      </c>
      <c r="B94" s="79">
        <v>2</v>
      </c>
      <c r="C94" s="421"/>
      <c r="D94" s="181">
        <v>4</v>
      </c>
      <c r="E94" s="32" t="s">
        <v>43</v>
      </c>
      <c r="F94" s="65">
        <v>0</v>
      </c>
      <c r="G94" s="182">
        <v>4</v>
      </c>
      <c r="H94" s="35">
        <f t="shared" si="2"/>
        <v>0</v>
      </c>
      <c r="I94" s="36">
        <f t="shared" si="3"/>
        <v>0</v>
      </c>
    </row>
    <row r="95" spans="1:12" ht="15.75" customHeight="1" x14ac:dyDescent="0.35">
      <c r="A95" s="208">
        <v>1009</v>
      </c>
      <c r="B95" s="209">
        <v>2</v>
      </c>
      <c r="C95" s="421"/>
      <c r="D95" s="210">
        <v>5</v>
      </c>
      <c r="E95" s="211" t="s">
        <v>43</v>
      </c>
      <c r="F95" s="65">
        <v>0</v>
      </c>
      <c r="G95" s="212">
        <v>5</v>
      </c>
      <c r="H95" s="213">
        <f t="shared" si="2"/>
        <v>0</v>
      </c>
      <c r="I95" s="214">
        <f t="shared" si="3"/>
        <v>0</v>
      </c>
    </row>
    <row r="96" spans="1:12" ht="15.75" customHeight="1" x14ac:dyDescent="0.35">
      <c r="A96" s="29">
        <v>1009</v>
      </c>
      <c r="B96" s="79">
        <v>2</v>
      </c>
      <c r="C96" s="421"/>
      <c r="D96" s="191">
        <v>46180</v>
      </c>
      <c r="E96" s="32" t="s">
        <v>43</v>
      </c>
      <c r="F96" s="65">
        <v>0</v>
      </c>
      <c r="G96" s="182">
        <v>7</v>
      </c>
      <c r="H96" s="35">
        <f t="shared" si="2"/>
        <v>0</v>
      </c>
      <c r="I96" s="36">
        <f t="shared" si="3"/>
        <v>0</v>
      </c>
    </row>
    <row r="97" spans="1:9" ht="15.75" customHeight="1" x14ac:dyDescent="0.35">
      <c r="A97" s="208">
        <v>1009</v>
      </c>
      <c r="B97" s="209">
        <v>2</v>
      </c>
      <c r="C97" s="421"/>
      <c r="D97" s="215">
        <v>46243</v>
      </c>
      <c r="E97" s="211" t="s">
        <v>43</v>
      </c>
      <c r="F97" s="65">
        <v>0</v>
      </c>
      <c r="G97" s="212">
        <v>9</v>
      </c>
      <c r="H97" s="213">
        <f t="shared" si="2"/>
        <v>0</v>
      </c>
      <c r="I97" s="214">
        <f t="shared" si="3"/>
        <v>0</v>
      </c>
    </row>
    <row r="98" spans="1:9" ht="15.75" customHeight="1" x14ac:dyDescent="0.35">
      <c r="A98" s="29">
        <v>1009</v>
      </c>
      <c r="B98" s="79">
        <v>2</v>
      </c>
      <c r="C98" s="421"/>
      <c r="D98" s="191">
        <v>46309</v>
      </c>
      <c r="E98" s="32" t="s">
        <v>43</v>
      </c>
      <c r="F98" s="65">
        <v>0</v>
      </c>
      <c r="G98" s="182">
        <v>14</v>
      </c>
      <c r="H98" s="35">
        <f t="shared" si="2"/>
        <v>0</v>
      </c>
      <c r="I98" s="36">
        <f t="shared" si="3"/>
        <v>0</v>
      </c>
    </row>
    <row r="99" spans="1:9" ht="15.75" customHeight="1" x14ac:dyDescent="0.35">
      <c r="A99" s="208">
        <v>1009</v>
      </c>
      <c r="B99" s="209">
        <v>2</v>
      </c>
      <c r="C99" s="421"/>
      <c r="D99" s="210" t="s">
        <v>187</v>
      </c>
      <c r="E99" s="211" t="s">
        <v>43</v>
      </c>
      <c r="F99" s="65">
        <v>0</v>
      </c>
      <c r="G99" s="212">
        <v>19</v>
      </c>
      <c r="H99" s="213">
        <f t="shared" si="2"/>
        <v>0</v>
      </c>
      <c r="I99" s="214">
        <f t="shared" si="3"/>
        <v>0</v>
      </c>
    </row>
    <row r="100" spans="1:9" ht="15.75" customHeight="1" x14ac:dyDescent="0.35">
      <c r="A100" s="47">
        <v>1009</v>
      </c>
      <c r="B100" s="88">
        <v>2</v>
      </c>
      <c r="C100" s="422"/>
      <c r="D100" s="193" t="s">
        <v>188</v>
      </c>
      <c r="E100" s="50" t="s">
        <v>43</v>
      </c>
      <c r="F100" s="66">
        <v>0</v>
      </c>
      <c r="G100" s="194">
        <v>30</v>
      </c>
      <c r="H100" s="53">
        <f t="shared" si="2"/>
        <v>0</v>
      </c>
      <c r="I100" s="54">
        <f t="shared" si="3"/>
        <v>0</v>
      </c>
    </row>
    <row r="101" spans="1:9" ht="15.75" customHeight="1" x14ac:dyDescent="0.35">
      <c r="A101" s="201">
        <v>1010</v>
      </c>
      <c r="B101" s="202" t="s">
        <v>46</v>
      </c>
      <c r="C101" s="440" t="s">
        <v>217</v>
      </c>
      <c r="D101" s="203">
        <v>1</v>
      </c>
      <c r="E101" s="204" t="s">
        <v>43</v>
      </c>
      <c r="F101" s="64">
        <v>0</v>
      </c>
      <c r="G101" s="205">
        <v>1</v>
      </c>
      <c r="H101" s="206">
        <f t="shared" si="2"/>
        <v>0</v>
      </c>
      <c r="I101" s="207">
        <f t="shared" si="3"/>
        <v>0</v>
      </c>
    </row>
    <row r="102" spans="1:9" ht="15.75" customHeight="1" x14ac:dyDescent="0.35">
      <c r="A102" s="29">
        <v>1010</v>
      </c>
      <c r="B102" s="79" t="s">
        <v>46</v>
      </c>
      <c r="C102" s="421"/>
      <c r="D102" s="181">
        <v>2</v>
      </c>
      <c r="E102" s="32" t="s">
        <v>43</v>
      </c>
      <c r="F102" s="65">
        <v>0</v>
      </c>
      <c r="G102" s="182">
        <v>2</v>
      </c>
      <c r="H102" s="35">
        <f t="shared" si="2"/>
        <v>0</v>
      </c>
      <c r="I102" s="36">
        <f t="shared" si="3"/>
        <v>0</v>
      </c>
    </row>
    <row r="103" spans="1:9" ht="15.75" customHeight="1" x14ac:dyDescent="0.35">
      <c r="A103" s="208">
        <v>1010</v>
      </c>
      <c r="B103" s="209" t="s">
        <v>46</v>
      </c>
      <c r="C103" s="421"/>
      <c r="D103" s="210">
        <v>3</v>
      </c>
      <c r="E103" s="211" t="s">
        <v>43</v>
      </c>
      <c r="F103" s="65">
        <v>0</v>
      </c>
      <c r="G103" s="212">
        <v>3</v>
      </c>
      <c r="H103" s="213">
        <f t="shared" si="2"/>
        <v>0</v>
      </c>
      <c r="I103" s="214">
        <f t="shared" si="3"/>
        <v>0</v>
      </c>
    </row>
    <row r="104" spans="1:9" ht="15.75" customHeight="1" x14ac:dyDescent="0.35">
      <c r="A104" s="29">
        <v>1010</v>
      </c>
      <c r="B104" s="79" t="s">
        <v>46</v>
      </c>
      <c r="C104" s="421"/>
      <c r="D104" s="181">
        <v>4</v>
      </c>
      <c r="E104" s="32" t="s">
        <v>43</v>
      </c>
      <c r="F104" s="65">
        <v>0</v>
      </c>
      <c r="G104" s="182">
        <v>4</v>
      </c>
      <c r="H104" s="35">
        <f t="shared" si="2"/>
        <v>0</v>
      </c>
      <c r="I104" s="36">
        <f t="shared" si="3"/>
        <v>0</v>
      </c>
    </row>
    <row r="105" spans="1:9" ht="15.75" customHeight="1" x14ac:dyDescent="0.35">
      <c r="A105" s="208">
        <v>1010</v>
      </c>
      <c r="B105" s="209" t="s">
        <v>46</v>
      </c>
      <c r="C105" s="421"/>
      <c r="D105" s="210">
        <v>5</v>
      </c>
      <c r="E105" s="211" t="s">
        <v>43</v>
      </c>
      <c r="F105" s="65">
        <v>0</v>
      </c>
      <c r="G105" s="212">
        <v>5</v>
      </c>
      <c r="H105" s="213">
        <f t="shared" si="2"/>
        <v>0</v>
      </c>
      <c r="I105" s="214">
        <f t="shared" si="3"/>
        <v>0</v>
      </c>
    </row>
    <row r="106" spans="1:9" ht="15.75" customHeight="1" x14ac:dyDescent="0.35">
      <c r="A106" s="29">
        <v>1010</v>
      </c>
      <c r="B106" s="79" t="s">
        <v>46</v>
      </c>
      <c r="C106" s="421"/>
      <c r="D106" s="191">
        <v>46180</v>
      </c>
      <c r="E106" s="32" t="s">
        <v>43</v>
      </c>
      <c r="F106" s="65">
        <v>0</v>
      </c>
      <c r="G106" s="182">
        <v>7</v>
      </c>
      <c r="H106" s="35">
        <f t="shared" si="2"/>
        <v>0</v>
      </c>
      <c r="I106" s="36">
        <f t="shared" si="3"/>
        <v>0</v>
      </c>
    </row>
    <row r="107" spans="1:9" ht="15.75" customHeight="1" x14ac:dyDescent="0.35">
      <c r="A107" s="208">
        <v>1010</v>
      </c>
      <c r="B107" s="209" t="s">
        <v>46</v>
      </c>
      <c r="C107" s="421"/>
      <c r="D107" s="215">
        <v>46243</v>
      </c>
      <c r="E107" s="211" t="s">
        <v>43</v>
      </c>
      <c r="F107" s="65">
        <v>0</v>
      </c>
      <c r="G107" s="212">
        <v>9</v>
      </c>
      <c r="H107" s="213">
        <f t="shared" si="2"/>
        <v>0</v>
      </c>
      <c r="I107" s="214">
        <f t="shared" si="3"/>
        <v>0</v>
      </c>
    </row>
    <row r="108" spans="1:9" ht="15.75" customHeight="1" x14ac:dyDescent="0.35">
      <c r="A108" s="29">
        <v>1010</v>
      </c>
      <c r="B108" s="79" t="s">
        <v>46</v>
      </c>
      <c r="C108" s="421"/>
      <c r="D108" s="191">
        <v>46309</v>
      </c>
      <c r="E108" s="32" t="s">
        <v>43</v>
      </c>
      <c r="F108" s="65">
        <v>0</v>
      </c>
      <c r="G108" s="182">
        <v>14</v>
      </c>
      <c r="H108" s="35">
        <f t="shared" si="2"/>
        <v>0</v>
      </c>
      <c r="I108" s="36">
        <f t="shared" si="3"/>
        <v>0</v>
      </c>
    </row>
    <row r="109" spans="1:9" ht="15.75" customHeight="1" x14ac:dyDescent="0.35">
      <c r="A109" s="208">
        <v>1010</v>
      </c>
      <c r="B109" s="209" t="s">
        <v>46</v>
      </c>
      <c r="C109" s="421"/>
      <c r="D109" s="210" t="s">
        <v>187</v>
      </c>
      <c r="E109" s="211" t="s">
        <v>43</v>
      </c>
      <c r="F109" s="65">
        <v>0</v>
      </c>
      <c r="G109" s="212">
        <v>19</v>
      </c>
      <c r="H109" s="213">
        <f t="shared" si="2"/>
        <v>0</v>
      </c>
      <c r="I109" s="214">
        <f t="shared" si="3"/>
        <v>0</v>
      </c>
    </row>
    <row r="110" spans="1:9" ht="15.75" customHeight="1" x14ac:dyDescent="0.35">
      <c r="A110" s="47">
        <v>1010</v>
      </c>
      <c r="B110" s="88" t="s">
        <v>46</v>
      </c>
      <c r="C110" s="422"/>
      <c r="D110" s="193" t="s">
        <v>188</v>
      </c>
      <c r="E110" s="50" t="s">
        <v>43</v>
      </c>
      <c r="F110" s="66">
        <v>0</v>
      </c>
      <c r="G110" s="194">
        <v>30</v>
      </c>
      <c r="H110" s="53">
        <f t="shared" si="2"/>
        <v>0</v>
      </c>
      <c r="I110" s="54">
        <f t="shared" si="3"/>
        <v>0</v>
      </c>
    </row>
    <row r="111" spans="1:9" ht="15.75" customHeight="1" x14ac:dyDescent="0.35">
      <c r="A111" s="201">
        <v>1011</v>
      </c>
      <c r="B111" s="202">
        <v>3</v>
      </c>
      <c r="C111" s="440" t="s">
        <v>218</v>
      </c>
      <c r="D111" s="203">
        <v>1</v>
      </c>
      <c r="E111" s="204" t="s">
        <v>43</v>
      </c>
      <c r="F111" s="64">
        <v>0</v>
      </c>
      <c r="G111" s="205">
        <v>1</v>
      </c>
      <c r="H111" s="206">
        <f t="shared" si="2"/>
        <v>0</v>
      </c>
      <c r="I111" s="207">
        <f t="shared" si="3"/>
        <v>0</v>
      </c>
    </row>
    <row r="112" spans="1:9" ht="15.75" customHeight="1" x14ac:dyDescent="0.35">
      <c r="A112" s="29">
        <v>1011</v>
      </c>
      <c r="B112" s="79">
        <v>3</v>
      </c>
      <c r="C112" s="421"/>
      <c r="D112" s="181">
        <v>2</v>
      </c>
      <c r="E112" s="32" t="s">
        <v>43</v>
      </c>
      <c r="F112" s="65">
        <v>0</v>
      </c>
      <c r="G112" s="182">
        <v>2</v>
      </c>
      <c r="H112" s="35">
        <f t="shared" si="2"/>
        <v>0</v>
      </c>
      <c r="I112" s="36">
        <f t="shared" si="3"/>
        <v>0</v>
      </c>
    </row>
    <row r="113" spans="1:9" ht="15.75" customHeight="1" x14ac:dyDescent="0.35">
      <c r="A113" s="208">
        <v>1011</v>
      </c>
      <c r="B113" s="209">
        <v>3</v>
      </c>
      <c r="C113" s="421"/>
      <c r="D113" s="210">
        <v>3</v>
      </c>
      <c r="E113" s="211" t="s">
        <v>43</v>
      </c>
      <c r="F113" s="65">
        <v>0</v>
      </c>
      <c r="G113" s="212">
        <v>3</v>
      </c>
      <c r="H113" s="213">
        <f t="shared" si="2"/>
        <v>0</v>
      </c>
      <c r="I113" s="214">
        <f t="shared" si="3"/>
        <v>0</v>
      </c>
    </row>
    <row r="114" spans="1:9" ht="15.75" customHeight="1" x14ac:dyDescent="0.35">
      <c r="A114" s="29">
        <v>1011</v>
      </c>
      <c r="B114" s="79">
        <v>3</v>
      </c>
      <c r="C114" s="421"/>
      <c r="D114" s="181">
        <v>4</v>
      </c>
      <c r="E114" s="32" t="s">
        <v>43</v>
      </c>
      <c r="F114" s="65">
        <v>0</v>
      </c>
      <c r="G114" s="182">
        <v>4</v>
      </c>
      <c r="H114" s="35">
        <f t="shared" si="2"/>
        <v>0</v>
      </c>
      <c r="I114" s="36">
        <f t="shared" si="3"/>
        <v>0</v>
      </c>
    </row>
    <row r="115" spans="1:9" ht="15.75" customHeight="1" x14ac:dyDescent="0.35">
      <c r="A115" s="208">
        <v>1011</v>
      </c>
      <c r="B115" s="209">
        <v>3</v>
      </c>
      <c r="C115" s="421"/>
      <c r="D115" s="210">
        <v>5</v>
      </c>
      <c r="E115" s="211" t="s">
        <v>43</v>
      </c>
      <c r="F115" s="65">
        <v>0</v>
      </c>
      <c r="G115" s="212">
        <v>5</v>
      </c>
      <c r="H115" s="213">
        <f t="shared" si="2"/>
        <v>0</v>
      </c>
      <c r="I115" s="214">
        <f t="shared" si="3"/>
        <v>0</v>
      </c>
    </row>
    <row r="116" spans="1:9" ht="15.75" customHeight="1" x14ac:dyDescent="0.35">
      <c r="A116" s="29">
        <v>1011</v>
      </c>
      <c r="B116" s="79">
        <v>3</v>
      </c>
      <c r="C116" s="421"/>
      <c r="D116" s="191">
        <v>46180</v>
      </c>
      <c r="E116" s="32" t="s">
        <v>43</v>
      </c>
      <c r="F116" s="65">
        <v>0</v>
      </c>
      <c r="G116" s="182">
        <v>7</v>
      </c>
      <c r="H116" s="35">
        <f t="shared" si="2"/>
        <v>0</v>
      </c>
      <c r="I116" s="36">
        <f t="shared" si="3"/>
        <v>0</v>
      </c>
    </row>
    <row r="117" spans="1:9" ht="15.75" customHeight="1" x14ac:dyDescent="0.35">
      <c r="A117" s="208">
        <v>1011</v>
      </c>
      <c r="B117" s="209">
        <v>3</v>
      </c>
      <c r="C117" s="421"/>
      <c r="D117" s="215">
        <v>46243</v>
      </c>
      <c r="E117" s="211" t="s">
        <v>43</v>
      </c>
      <c r="F117" s="65">
        <v>0</v>
      </c>
      <c r="G117" s="212">
        <v>9</v>
      </c>
      <c r="H117" s="213">
        <f t="shared" si="2"/>
        <v>0</v>
      </c>
      <c r="I117" s="214">
        <f t="shared" si="3"/>
        <v>0</v>
      </c>
    </row>
    <row r="118" spans="1:9" ht="15.75" customHeight="1" x14ac:dyDescent="0.35">
      <c r="A118" s="29">
        <v>1011</v>
      </c>
      <c r="B118" s="79">
        <v>3</v>
      </c>
      <c r="C118" s="421"/>
      <c r="D118" s="191">
        <v>46309</v>
      </c>
      <c r="E118" s="32" t="s">
        <v>43</v>
      </c>
      <c r="F118" s="65">
        <v>0</v>
      </c>
      <c r="G118" s="182">
        <v>14</v>
      </c>
      <c r="H118" s="35">
        <f t="shared" si="2"/>
        <v>0</v>
      </c>
      <c r="I118" s="36">
        <f t="shared" si="3"/>
        <v>0</v>
      </c>
    </row>
    <row r="119" spans="1:9" ht="15.75" customHeight="1" x14ac:dyDescent="0.35">
      <c r="A119" s="208">
        <v>1011</v>
      </c>
      <c r="B119" s="209">
        <v>3</v>
      </c>
      <c r="C119" s="421"/>
      <c r="D119" s="210" t="s">
        <v>187</v>
      </c>
      <c r="E119" s="211" t="s">
        <v>43</v>
      </c>
      <c r="F119" s="65">
        <v>0</v>
      </c>
      <c r="G119" s="212">
        <v>19</v>
      </c>
      <c r="H119" s="213">
        <f t="shared" si="2"/>
        <v>0</v>
      </c>
      <c r="I119" s="214">
        <f t="shared" si="3"/>
        <v>0</v>
      </c>
    </row>
    <row r="120" spans="1:9" ht="15.75" customHeight="1" x14ac:dyDescent="0.35">
      <c r="A120" s="47">
        <v>1011</v>
      </c>
      <c r="B120" s="88">
        <v>3</v>
      </c>
      <c r="C120" s="422"/>
      <c r="D120" s="193" t="s">
        <v>188</v>
      </c>
      <c r="E120" s="50" t="s">
        <v>43</v>
      </c>
      <c r="F120" s="66">
        <v>0</v>
      </c>
      <c r="G120" s="194">
        <v>30</v>
      </c>
      <c r="H120" s="53">
        <f t="shared" si="2"/>
        <v>0</v>
      </c>
      <c r="I120" s="54">
        <f t="shared" si="3"/>
        <v>0</v>
      </c>
    </row>
    <row r="121" spans="1:9" ht="15.75" customHeight="1" x14ac:dyDescent="0.35">
      <c r="A121" s="201">
        <v>1012</v>
      </c>
      <c r="B121" s="202" t="s">
        <v>49</v>
      </c>
      <c r="C121" s="440" t="s">
        <v>219</v>
      </c>
      <c r="D121" s="203">
        <v>1</v>
      </c>
      <c r="E121" s="204" t="s">
        <v>43</v>
      </c>
      <c r="F121" s="64">
        <v>0</v>
      </c>
      <c r="G121" s="205">
        <v>1</v>
      </c>
      <c r="H121" s="206">
        <f t="shared" si="2"/>
        <v>0</v>
      </c>
      <c r="I121" s="207">
        <f t="shared" si="3"/>
        <v>0</v>
      </c>
    </row>
    <row r="122" spans="1:9" ht="15.75" customHeight="1" x14ac:dyDescent="0.35">
      <c r="A122" s="29">
        <v>1012</v>
      </c>
      <c r="B122" s="79" t="s">
        <v>49</v>
      </c>
      <c r="C122" s="421"/>
      <c r="D122" s="181">
        <v>2</v>
      </c>
      <c r="E122" s="32" t="s">
        <v>43</v>
      </c>
      <c r="F122" s="65">
        <v>0</v>
      </c>
      <c r="G122" s="182">
        <v>2</v>
      </c>
      <c r="H122" s="35">
        <f t="shared" si="2"/>
        <v>0</v>
      </c>
      <c r="I122" s="36">
        <f t="shared" si="3"/>
        <v>0</v>
      </c>
    </row>
    <row r="123" spans="1:9" ht="15.75" customHeight="1" x14ac:dyDescent="0.35">
      <c r="A123" s="208">
        <v>1012</v>
      </c>
      <c r="B123" s="209" t="s">
        <v>49</v>
      </c>
      <c r="C123" s="421"/>
      <c r="D123" s="210">
        <v>3</v>
      </c>
      <c r="E123" s="211" t="s">
        <v>43</v>
      </c>
      <c r="F123" s="65">
        <v>0</v>
      </c>
      <c r="G123" s="212">
        <v>3</v>
      </c>
      <c r="H123" s="213">
        <f t="shared" si="2"/>
        <v>0</v>
      </c>
      <c r="I123" s="214">
        <f t="shared" si="3"/>
        <v>0</v>
      </c>
    </row>
    <row r="124" spans="1:9" ht="15.75" customHeight="1" x14ac:dyDescent="0.35">
      <c r="A124" s="29">
        <v>1012</v>
      </c>
      <c r="B124" s="79" t="s">
        <v>49</v>
      </c>
      <c r="C124" s="421"/>
      <c r="D124" s="181">
        <v>4</v>
      </c>
      <c r="E124" s="32" t="s">
        <v>43</v>
      </c>
      <c r="F124" s="65">
        <v>0</v>
      </c>
      <c r="G124" s="182">
        <v>4</v>
      </c>
      <c r="H124" s="35">
        <f t="shared" si="2"/>
        <v>0</v>
      </c>
      <c r="I124" s="36">
        <f t="shared" si="3"/>
        <v>0</v>
      </c>
    </row>
    <row r="125" spans="1:9" ht="15.75" customHeight="1" x14ac:dyDescent="0.35">
      <c r="A125" s="208">
        <v>1012</v>
      </c>
      <c r="B125" s="209" t="s">
        <v>49</v>
      </c>
      <c r="C125" s="421"/>
      <c r="D125" s="210">
        <v>5</v>
      </c>
      <c r="E125" s="211" t="s">
        <v>43</v>
      </c>
      <c r="F125" s="65">
        <v>0</v>
      </c>
      <c r="G125" s="212">
        <v>5</v>
      </c>
      <c r="H125" s="213">
        <f t="shared" si="2"/>
        <v>0</v>
      </c>
      <c r="I125" s="214">
        <f t="shared" si="3"/>
        <v>0</v>
      </c>
    </row>
    <row r="126" spans="1:9" ht="15.75" customHeight="1" x14ac:dyDescent="0.35">
      <c r="A126" s="29">
        <v>1012</v>
      </c>
      <c r="B126" s="79" t="s">
        <v>49</v>
      </c>
      <c r="C126" s="421"/>
      <c r="D126" s="191">
        <v>46180</v>
      </c>
      <c r="E126" s="32" t="s">
        <v>43</v>
      </c>
      <c r="F126" s="65">
        <v>0</v>
      </c>
      <c r="G126" s="182">
        <v>7</v>
      </c>
      <c r="H126" s="35">
        <f t="shared" si="2"/>
        <v>0</v>
      </c>
      <c r="I126" s="36">
        <f t="shared" si="3"/>
        <v>0</v>
      </c>
    </row>
    <row r="127" spans="1:9" ht="15.75" customHeight="1" x14ac:dyDescent="0.35">
      <c r="A127" s="208">
        <v>1012</v>
      </c>
      <c r="B127" s="209" t="s">
        <v>49</v>
      </c>
      <c r="C127" s="421"/>
      <c r="D127" s="215">
        <v>46243</v>
      </c>
      <c r="E127" s="211" t="s">
        <v>43</v>
      </c>
      <c r="F127" s="65">
        <v>0</v>
      </c>
      <c r="G127" s="212">
        <v>9</v>
      </c>
      <c r="H127" s="213">
        <f t="shared" si="2"/>
        <v>0</v>
      </c>
      <c r="I127" s="214">
        <f t="shared" si="3"/>
        <v>0</v>
      </c>
    </row>
    <row r="128" spans="1:9" ht="15.75" customHeight="1" x14ac:dyDescent="0.35">
      <c r="A128" s="29">
        <v>1012</v>
      </c>
      <c r="B128" s="79" t="s">
        <v>49</v>
      </c>
      <c r="C128" s="421"/>
      <c r="D128" s="191">
        <v>46309</v>
      </c>
      <c r="E128" s="32" t="s">
        <v>43</v>
      </c>
      <c r="F128" s="65">
        <v>0</v>
      </c>
      <c r="G128" s="182">
        <v>14</v>
      </c>
      <c r="H128" s="35">
        <f t="shared" si="2"/>
        <v>0</v>
      </c>
      <c r="I128" s="36">
        <f t="shared" si="3"/>
        <v>0</v>
      </c>
    </row>
    <row r="129" spans="1:9" ht="15.75" customHeight="1" x14ac:dyDescent="0.35">
      <c r="A129" s="208">
        <v>1012</v>
      </c>
      <c r="B129" s="209" t="s">
        <v>49</v>
      </c>
      <c r="C129" s="421"/>
      <c r="D129" s="210" t="s">
        <v>187</v>
      </c>
      <c r="E129" s="211" t="s">
        <v>43</v>
      </c>
      <c r="F129" s="65">
        <v>0</v>
      </c>
      <c r="G129" s="212">
        <v>19</v>
      </c>
      <c r="H129" s="213">
        <f t="shared" si="2"/>
        <v>0</v>
      </c>
      <c r="I129" s="214">
        <f t="shared" si="3"/>
        <v>0</v>
      </c>
    </row>
    <row r="130" spans="1:9" ht="15.75" customHeight="1" x14ac:dyDescent="0.35">
      <c r="A130" s="47">
        <v>1012</v>
      </c>
      <c r="B130" s="88" t="s">
        <v>49</v>
      </c>
      <c r="C130" s="422"/>
      <c r="D130" s="193" t="s">
        <v>188</v>
      </c>
      <c r="E130" s="50" t="s">
        <v>43</v>
      </c>
      <c r="F130" s="66">
        <v>0</v>
      </c>
      <c r="G130" s="194">
        <v>30</v>
      </c>
      <c r="H130" s="53">
        <f t="shared" si="2"/>
        <v>0</v>
      </c>
      <c r="I130" s="54">
        <f t="shared" si="3"/>
        <v>0</v>
      </c>
    </row>
    <row r="131" spans="1:9" ht="15.75" customHeight="1" x14ac:dyDescent="0.35">
      <c r="A131" s="201">
        <v>1013</v>
      </c>
      <c r="B131" s="216">
        <v>4</v>
      </c>
      <c r="C131" s="440" t="s">
        <v>220</v>
      </c>
      <c r="D131" s="203">
        <v>1</v>
      </c>
      <c r="E131" s="204" t="s">
        <v>43</v>
      </c>
      <c r="F131" s="64">
        <v>0</v>
      </c>
      <c r="G131" s="205">
        <v>1</v>
      </c>
      <c r="H131" s="206">
        <f t="shared" si="2"/>
        <v>0</v>
      </c>
      <c r="I131" s="207">
        <f t="shared" si="3"/>
        <v>0</v>
      </c>
    </row>
    <row r="132" spans="1:9" ht="15.75" customHeight="1" x14ac:dyDescent="0.35">
      <c r="A132" s="29">
        <v>1013</v>
      </c>
      <c r="B132" s="79">
        <v>4</v>
      </c>
      <c r="C132" s="421"/>
      <c r="D132" s="181">
        <v>2</v>
      </c>
      <c r="E132" s="32" t="s">
        <v>43</v>
      </c>
      <c r="F132" s="65">
        <v>0</v>
      </c>
      <c r="G132" s="182">
        <v>2</v>
      </c>
      <c r="H132" s="35">
        <f t="shared" si="2"/>
        <v>0</v>
      </c>
      <c r="I132" s="36">
        <f t="shared" si="3"/>
        <v>0</v>
      </c>
    </row>
    <row r="133" spans="1:9" ht="15.75" customHeight="1" x14ac:dyDescent="0.35">
      <c r="A133" s="208">
        <v>1013</v>
      </c>
      <c r="B133" s="209">
        <v>4</v>
      </c>
      <c r="C133" s="421"/>
      <c r="D133" s="210">
        <v>3</v>
      </c>
      <c r="E133" s="211" t="s">
        <v>43</v>
      </c>
      <c r="F133" s="65">
        <v>0</v>
      </c>
      <c r="G133" s="212">
        <v>3</v>
      </c>
      <c r="H133" s="213">
        <f t="shared" si="2"/>
        <v>0</v>
      </c>
      <c r="I133" s="214">
        <f t="shared" si="3"/>
        <v>0</v>
      </c>
    </row>
    <row r="134" spans="1:9" ht="15.75" customHeight="1" x14ac:dyDescent="0.35">
      <c r="A134" s="29">
        <v>1013</v>
      </c>
      <c r="B134" s="79">
        <v>4</v>
      </c>
      <c r="C134" s="421"/>
      <c r="D134" s="181">
        <v>4</v>
      </c>
      <c r="E134" s="32" t="s">
        <v>43</v>
      </c>
      <c r="F134" s="65">
        <v>0</v>
      </c>
      <c r="G134" s="182">
        <v>4</v>
      </c>
      <c r="H134" s="35">
        <f t="shared" si="2"/>
        <v>0</v>
      </c>
      <c r="I134" s="36">
        <f t="shared" si="3"/>
        <v>0</v>
      </c>
    </row>
    <row r="135" spans="1:9" ht="15.75" customHeight="1" x14ac:dyDescent="0.35">
      <c r="A135" s="208">
        <v>1013</v>
      </c>
      <c r="B135" s="209">
        <v>4</v>
      </c>
      <c r="C135" s="421"/>
      <c r="D135" s="210">
        <v>5</v>
      </c>
      <c r="E135" s="211" t="s">
        <v>43</v>
      </c>
      <c r="F135" s="65">
        <v>0</v>
      </c>
      <c r="G135" s="212">
        <v>5</v>
      </c>
      <c r="H135" s="213">
        <f t="shared" si="2"/>
        <v>0</v>
      </c>
      <c r="I135" s="214">
        <f t="shared" si="3"/>
        <v>0</v>
      </c>
    </row>
    <row r="136" spans="1:9" ht="15.75" customHeight="1" x14ac:dyDescent="0.35">
      <c r="A136" s="29">
        <v>1013</v>
      </c>
      <c r="B136" s="79">
        <v>4</v>
      </c>
      <c r="C136" s="421"/>
      <c r="D136" s="191">
        <v>46180</v>
      </c>
      <c r="E136" s="32" t="s">
        <v>43</v>
      </c>
      <c r="F136" s="65">
        <v>0</v>
      </c>
      <c r="G136" s="182">
        <v>7</v>
      </c>
      <c r="H136" s="35">
        <f t="shared" si="2"/>
        <v>0</v>
      </c>
      <c r="I136" s="36">
        <f t="shared" si="3"/>
        <v>0</v>
      </c>
    </row>
    <row r="137" spans="1:9" ht="15.75" customHeight="1" x14ac:dyDescent="0.35">
      <c r="A137" s="208">
        <v>1013</v>
      </c>
      <c r="B137" s="209">
        <v>4</v>
      </c>
      <c r="C137" s="421"/>
      <c r="D137" s="215">
        <v>46243</v>
      </c>
      <c r="E137" s="211" t="s">
        <v>43</v>
      </c>
      <c r="F137" s="65">
        <v>0</v>
      </c>
      <c r="G137" s="212">
        <v>9</v>
      </c>
      <c r="H137" s="213">
        <f t="shared" si="2"/>
        <v>0</v>
      </c>
      <c r="I137" s="214">
        <f t="shared" si="3"/>
        <v>0</v>
      </c>
    </row>
    <row r="138" spans="1:9" ht="15.75" customHeight="1" x14ac:dyDescent="0.35">
      <c r="A138" s="29">
        <v>1013</v>
      </c>
      <c r="B138" s="79">
        <v>4</v>
      </c>
      <c r="C138" s="421"/>
      <c r="D138" s="191">
        <v>46309</v>
      </c>
      <c r="E138" s="32" t="s">
        <v>43</v>
      </c>
      <c r="F138" s="65">
        <v>0</v>
      </c>
      <c r="G138" s="182">
        <v>14</v>
      </c>
      <c r="H138" s="35">
        <f t="shared" si="2"/>
        <v>0</v>
      </c>
      <c r="I138" s="36">
        <f t="shared" si="3"/>
        <v>0</v>
      </c>
    </row>
    <row r="139" spans="1:9" ht="15.75" customHeight="1" x14ac:dyDescent="0.35">
      <c r="A139" s="208">
        <v>1013</v>
      </c>
      <c r="B139" s="209">
        <v>4</v>
      </c>
      <c r="C139" s="421"/>
      <c r="D139" s="210" t="s">
        <v>187</v>
      </c>
      <c r="E139" s="211" t="s">
        <v>43</v>
      </c>
      <c r="F139" s="65">
        <v>0</v>
      </c>
      <c r="G139" s="212">
        <v>19</v>
      </c>
      <c r="H139" s="213">
        <f t="shared" si="2"/>
        <v>0</v>
      </c>
      <c r="I139" s="214">
        <f t="shared" si="3"/>
        <v>0</v>
      </c>
    </row>
    <row r="140" spans="1:9" ht="15.75" customHeight="1" x14ac:dyDescent="0.35">
      <c r="A140" s="47">
        <v>1013</v>
      </c>
      <c r="B140" s="88">
        <v>4</v>
      </c>
      <c r="C140" s="422"/>
      <c r="D140" s="193" t="s">
        <v>188</v>
      </c>
      <c r="E140" s="50" t="s">
        <v>43</v>
      </c>
      <c r="F140" s="66">
        <v>0</v>
      </c>
      <c r="G140" s="194">
        <v>30</v>
      </c>
      <c r="H140" s="53">
        <f t="shared" si="2"/>
        <v>0</v>
      </c>
      <c r="I140" s="54">
        <f t="shared" si="3"/>
        <v>0</v>
      </c>
    </row>
    <row r="141" spans="1:9" ht="15.75" customHeight="1" x14ac:dyDescent="0.35">
      <c r="A141" s="201">
        <v>1014</v>
      </c>
      <c r="B141" s="216" t="s">
        <v>53</v>
      </c>
      <c r="C141" s="440" t="s">
        <v>221</v>
      </c>
      <c r="D141" s="203">
        <v>1</v>
      </c>
      <c r="E141" s="204" t="s">
        <v>43</v>
      </c>
      <c r="F141" s="64">
        <v>0</v>
      </c>
      <c r="G141" s="205">
        <v>1</v>
      </c>
      <c r="H141" s="206">
        <f t="shared" si="2"/>
        <v>0</v>
      </c>
      <c r="I141" s="207">
        <f t="shared" si="3"/>
        <v>0</v>
      </c>
    </row>
    <row r="142" spans="1:9" ht="15.75" customHeight="1" x14ac:dyDescent="0.35">
      <c r="A142" s="29">
        <v>1014</v>
      </c>
      <c r="B142" s="79" t="s">
        <v>53</v>
      </c>
      <c r="C142" s="421"/>
      <c r="D142" s="181">
        <v>2</v>
      </c>
      <c r="E142" s="32" t="s">
        <v>43</v>
      </c>
      <c r="F142" s="65">
        <v>0</v>
      </c>
      <c r="G142" s="182">
        <v>2</v>
      </c>
      <c r="H142" s="35">
        <f t="shared" si="2"/>
        <v>0</v>
      </c>
      <c r="I142" s="36">
        <f t="shared" si="3"/>
        <v>0</v>
      </c>
    </row>
    <row r="143" spans="1:9" ht="15.75" customHeight="1" x14ac:dyDescent="0.35">
      <c r="A143" s="208">
        <v>1014</v>
      </c>
      <c r="B143" s="209" t="s">
        <v>53</v>
      </c>
      <c r="C143" s="421"/>
      <c r="D143" s="210">
        <v>3</v>
      </c>
      <c r="E143" s="211" t="s">
        <v>43</v>
      </c>
      <c r="F143" s="65">
        <v>0</v>
      </c>
      <c r="G143" s="212">
        <v>3</v>
      </c>
      <c r="H143" s="213">
        <f t="shared" si="2"/>
        <v>0</v>
      </c>
      <c r="I143" s="214">
        <f t="shared" si="3"/>
        <v>0</v>
      </c>
    </row>
    <row r="144" spans="1:9" ht="15.75" customHeight="1" x14ac:dyDescent="0.35">
      <c r="A144" s="29">
        <v>1014</v>
      </c>
      <c r="B144" s="79" t="s">
        <v>53</v>
      </c>
      <c r="C144" s="421"/>
      <c r="D144" s="181">
        <v>4</v>
      </c>
      <c r="E144" s="32" t="s">
        <v>43</v>
      </c>
      <c r="F144" s="65">
        <v>0</v>
      </c>
      <c r="G144" s="182">
        <v>4</v>
      </c>
      <c r="H144" s="35">
        <f t="shared" si="2"/>
        <v>0</v>
      </c>
      <c r="I144" s="36">
        <f t="shared" si="3"/>
        <v>0</v>
      </c>
    </row>
    <row r="145" spans="1:9" ht="15.75" customHeight="1" x14ac:dyDescent="0.35">
      <c r="A145" s="208">
        <v>1014</v>
      </c>
      <c r="B145" s="209" t="s">
        <v>53</v>
      </c>
      <c r="C145" s="421"/>
      <c r="D145" s="210">
        <v>5</v>
      </c>
      <c r="E145" s="211" t="s">
        <v>43</v>
      </c>
      <c r="F145" s="65">
        <v>0</v>
      </c>
      <c r="G145" s="212">
        <v>5</v>
      </c>
      <c r="H145" s="213">
        <f t="shared" si="2"/>
        <v>0</v>
      </c>
      <c r="I145" s="214">
        <f t="shared" si="3"/>
        <v>0</v>
      </c>
    </row>
    <row r="146" spans="1:9" ht="15.75" customHeight="1" x14ac:dyDescent="0.35">
      <c r="A146" s="29">
        <v>1014</v>
      </c>
      <c r="B146" s="79" t="s">
        <v>53</v>
      </c>
      <c r="C146" s="421"/>
      <c r="D146" s="191">
        <v>46180</v>
      </c>
      <c r="E146" s="32" t="s">
        <v>43</v>
      </c>
      <c r="F146" s="65">
        <v>0</v>
      </c>
      <c r="G146" s="182">
        <v>7</v>
      </c>
      <c r="H146" s="35">
        <f t="shared" si="2"/>
        <v>0</v>
      </c>
      <c r="I146" s="36">
        <f t="shared" si="3"/>
        <v>0</v>
      </c>
    </row>
    <row r="147" spans="1:9" ht="15.75" customHeight="1" x14ac:dyDescent="0.35">
      <c r="A147" s="208">
        <v>1014</v>
      </c>
      <c r="B147" s="209" t="s">
        <v>53</v>
      </c>
      <c r="C147" s="421"/>
      <c r="D147" s="215">
        <v>46243</v>
      </c>
      <c r="E147" s="211" t="s">
        <v>43</v>
      </c>
      <c r="F147" s="65">
        <v>0</v>
      </c>
      <c r="G147" s="212">
        <v>9</v>
      </c>
      <c r="H147" s="213">
        <f t="shared" si="2"/>
        <v>0</v>
      </c>
      <c r="I147" s="214">
        <f t="shared" si="3"/>
        <v>0</v>
      </c>
    </row>
    <row r="148" spans="1:9" ht="15.75" customHeight="1" x14ac:dyDescent="0.35">
      <c r="A148" s="29">
        <v>1014</v>
      </c>
      <c r="B148" s="79" t="s">
        <v>53</v>
      </c>
      <c r="C148" s="421"/>
      <c r="D148" s="191">
        <v>46309</v>
      </c>
      <c r="E148" s="32" t="s">
        <v>43</v>
      </c>
      <c r="F148" s="65">
        <v>0</v>
      </c>
      <c r="G148" s="182">
        <v>14</v>
      </c>
      <c r="H148" s="35">
        <f t="shared" si="2"/>
        <v>0</v>
      </c>
      <c r="I148" s="36">
        <f t="shared" si="3"/>
        <v>0</v>
      </c>
    </row>
    <row r="149" spans="1:9" ht="15.75" customHeight="1" x14ac:dyDescent="0.35">
      <c r="A149" s="208">
        <v>1014</v>
      </c>
      <c r="B149" s="209" t="s">
        <v>53</v>
      </c>
      <c r="C149" s="421"/>
      <c r="D149" s="210" t="s">
        <v>187</v>
      </c>
      <c r="E149" s="211" t="s">
        <v>43</v>
      </c>
      <c r="F149" s="65">
        <v>0</v>
      </c>
      <c r="G149" s="212">
        <v>19</v>
      </c>
      <c r="H149" s="213">
        <f t="shared" si="2"/>
        <v>0</v>
      </c>
      <c r="I149" s="214">
        <f t="shared" si="3"/>
        <v>0</v>
      </c>
    </row>
    <row r="150" spans="1:9" ht="15.75" customHeight="1" x14ac:dyDescent="0.35">
      <c r="A150" s="47">
        <v>1014</v>
      </c>
      <c r="B150" s="88" t="s">
        <v>53</v>
      </c>
      <c r="C150" s="422"/>
      <c r="D150" s="193" t="s">
        <v>188</v>
      </c>
      <c r="E150" s="50" t="s">
        <v>43</v>
      </c>
      <c r="F150" s="66">
        <v>0</v>
      </c>
      <c r="G150" s="194">
        <v>30</v>
      </c>
      <c r="H150" s="53">
        <f t="shared" si="2"/>
        <v>0</v>
      </c>
      <c r="I150" s="54">
        <f t="shared" si="3"/>
        <v>0</v>
      </c>
    </row>
    <row r="151" spans="1:9" ht="15.75" customHeight="1" x14ac:dyDescent="0.35"/>
    <row r="152" spans="1:9" ht="15.75" customHeight="1" x14ac:dyDescent="0.35"/>
    <row r="153" spans="1:9" ht="15.75" customHeight="1" x14ac:dyDescent="0.35"/>
    <row r="154" spans="1:9" ht="15.75" customHeight="1" x14ac:dyDescent="0.35"/>
    <row r="155" spans="1:9" ht="15.75" customHeight="1" x14ac:dyDescent="0.35"/>
    <row r="156" spans="1:9" ht="15.75" customHeight="1" x14ac:dyDescent="0.35"/>
    <row r="157" spans="1:9" ht="15.75" customHeight="1" x14ac:dyDescent="0.35"/>
    <row r="158" spans="1:9" ht="15.75" customHeight="1" x14ac:dyDescent="0.35"/>
    <row r="159" spans="1:9" ht="15.75" customHeight="1" x14ac:dyDescent="0.35"/>
    <row r="160" spans="1:9"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sheetData>
  <mergeCells count="21">
    <mergeCell ref="C111:C120"/>
    <mergeCell ref="C121:C130"/>
    <mergeCell ref="C131:C140"/>
    <mergeCell ref="C141:C150"/>
    <mergeCell ref="C36:C45"/>
    <mergeCell ref="C46:C55"/>
    <mergeCell ref="C56:C65"/>
    <mergeCell ref="C66:C75"/>
    <mergeCell ref="A78:J78"/>
    <mergeCell ref="A79:F79"/>
    <mergeCell ref="H79:I79"/>
    <mergeCell ref="C16:C25"/>
    <mergeCell ref="C26:C35"/>
    <mergeCell ref="C81:C90"/>
    <mergeCell ref="C91:C100"/>
    <mergeCell ref="C101:C110"/>
    <mergeCell ref="A1:I1"/>
    <mergeCell ref="A3:J3"/>
    <mergeCell ref="A4:F4"/>
    <mergeCell ref="H4:I4"/>
    <mergeCell ref="C6:C15"/>
  </mergeCells>
  <pageMargins left="0.7" right="0.7" top="0.75" bottom="0.75" header="0" footer="0"/>
  <pageSetup orientation="landscape"/>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25"/>
  <sheetViews>
    <sheetView workbookViewId="0"/>
  </sheetViews>
  <sheetFormatPr defaultColWidth="12.6328125" defaultRowHeight="15" customHeight="1" x14ac:dyDescent="0.35"/>
  <cols>
    <col min="1" max="1" width="10.6328125" customWidth="1"/>
    <col min="2" max="2" width="13.08984375" customWidth="1"/>
    <col min="3" max="3" width="27.90625" customWidth="1"/>
    <col min="4" max="4" width="19.36328125" customWidth="1"/>
    <col min="5" max="5" width="8.6328125" customWidth="1"/>
    <col min="6" max="6" width="10" customWidth="1"/>
    <col min="7" max="7" width="15.26953125" customWidth="1"/>
    <col min="8" max="8" width="18.6328125" customWidth="1"/>
    <col min="9" max="9" width="17.6328125" customWidth="1"/>
    <col min="10" max="10" width="8.6328125" customWidth="1"/>
    <col min="11" max="11" width="17.26953125" customWidth="1"/>
    <col min="12" max="12" width="54.6328125" customWidth="1"/>
    <col min="13" max="13" width="19.7265625" customWidth="1"/>
    <col min="14" max="22" width="8.6328125" customWidth="1"/>
  </cols>
  <sheetData>
    <row r="1" spans="1:12" ht="18.5" x14ac:dyDescent="0.45">
      <c r="A1" s="10" t="s">
        <v>222</v>
      </c>
      <c r="B1" s="124"/>
      <c r="C1" s="124"/>
    </row>
    <row r="2" spans="1:12" ht="18" x14ac:dyDescent="0.4">
      <c r="A2" s="11" t="s">
        <v>26</v>
      </c>
      <c r="B2" s="124"/>
      <c r="C2" s="124"/>
    </row>
    <row r="3" spans="1:12" ht="23.25" customHeight="1" x14ac:dyDescent="0.4">
      <c r="A3" s="11" t="s">
        <v>223</v>
      </c>
      <c r="B3" s="124"/>
      <c r="C3" s="124"/>
    </row>
    <row r="4" spans="1:12" ht="17.25" customHeight="1" x14ac:dyDescent="0.35">
      <c r="A4" s="427" t="s">
        <v>28</v>
      </c>
      <c r="B4" s="416"/>
      <c r="C4" s="416"/>
      <c r="D4" s="416"/>
      <c r="E4" s="416"/>
      <c r="F4" s="417"/>
      <c r="G4" s="428" t="s">
        <v>224</v>
      </c>
      <c r="H4" s="416"/>
      <c r="I4" s="419"/>
    </row>
    <row r="5" spans="1:12" ht="29" x14ac:dyDescent="0.35">
      <c r="A5" s="125" t="s">
        <v>225</v>
      </c>
      <c r="B5" s="69" t="s">
        <v>31</v>
      </c>
      <c r="C5" s="69" t="s">
        <v>32</v>
      </c>
      <c r="D5" s="127" t="s">
        <v>226</v>
      </c>
      <c r="E5" s="50" t="s">
        <v>34</v>
      </c>
      <c r="F5" s="69" t="s">
        <v>35</v>
      </c>
      <c r="G5" s="127" t="s">
        <v>227</v>
      </c>
      <c r="H5" s="14" t="s">
        <v>37</v>
      </c>
      <c r="I5" s="128" t="s">
        <v>38</v>
      </c>
      <c r="K5" s="18" t="s">
        <v>39</v>
      </c>
      <c r="L5" s="19" t="s">
        <v>228</v>
      </c>
    </row>
    <row r="6" spans="1:12" ht="15.75" customHeight="1" x14ac:dyDescent="0.35">
      <c r="A6" s="90" t="s">
        <v>41</v>
      </c>
      <c r="B6" s="105">
        <v>1</v>
      </c>
      <c r="C6" s="429" t="s">
        <v>229</v>
      </c>
      <c r="D6" s="221">
        <v>1</v>
      </c>
      <c r="E6" s="93" t="s">
        <v>43</v>
      </c>
      <c r="F6" s="64">
        <v>0</v>
      </c>
      <c r="G6" s="222">
        <v>1</v>
      </c>
      <c r="H6" s="95">
        <f t="shared" ref="H6:H75" si="0">F6*G6</f>
        <v>0</v>
      </c>
      <c r="I6" s="223">
        <f t="shared" ref="I6:I75" si="1">H6*365</f>
        <v>0</v>
      </c>
      <c r="K6" s="18">
        <v>1</v>
      </c>
      <c r="L6" s="28">
        <f>SUM(I6:I15)</f>
        <v>0</v>
      </c>
    </row>
    <row r="7" spans="1:12" ht="15.75" customHeight="1" x14ac:dyDescent="0.35">
      <c r="A7" s="29" t="s">
        <v>41</v>
      </c>
      <c r="B7" s="30">
        <v>1</v>
      </c>
      <c r="C7" s="421"/>
      <c r="D7" s="181">
        <v>2</v>
      </c>
      <c r="E7" s="32" t="s">
        <v>43</v>
      </c>
      <c r="F7" s="65">
        <v>0</v>
      </c>
      <c r="G7" s="182">
        <v>2</v>
      </c>
      <c r="H7" s="35">
        <f t="shared" si="0"/>
        <v>0</v>
      </c>
      <c r="I7" s="183">
        <f t="shared" si="1"/>
        <v>0</v>
      </c>
      <c r="K7" s="18">
        <v>2</v>
      </c>
      <c r="L7" s="28">
        <f>SUM(I16:I25)</f>
        <v>0</v>
      </c>
    </row>
    <row r="8" spans="1:12" ht="14.5" x14ac:dyDescent="0.35">
      <c r="A8" s="97" t="s">
        <v>41</v>
      </c>
      <c r="B8" s="224">
        <v>1</v>
      </c>
      <c r="C8" s="421"/>
      <c r="D8" s="225">
        <v>3</v>
      </c>
      <c r="E8" s="100" t="s">
        <v>43</v>
      </c>
      <c r="F8" s="65">
        <v>0</v>
      </c>
      <c r="G8" s="226">
        <v>3</v>
      </c>
      <c r="H8" s="102">
        <f t="shared" si="0"/>
        <v>0</v>
      </c>
      <c r="I8" s="227">
        <f t="shared" si="1"/>
        <v>0</v>
      </c>
      <c r="K8" s="18" t="s">
        <v>46</v>
      </c>
      <c r="L8" s="28">
        <f>SUM(I26:I35)</f>
        <v>0</v>
      </c>
    </row>
    <row r="9" spans="1:12" ht="14.5" x14ac:dyDescent="0.35">
      <c r="A9" s="29" t="s">
        <v>41</v>
      </c>
      <c r="B9" s="30">
        <v>1</v>
      </c>
      <c r="C9" s="421"/>
      <c r="D9" s="181">
        <v>4</v>
      </c>
      <c r="E9" s="32" t="s">
        <v>43</v>
      </c>
      <c r="F9" s="65">
        <v>0</v>
      </c>
      <c r="G9" s="182">
        <v>4</v>
      </c>
      <c r="H9" s="35">
        <f t="shared" si="0"/>
        <v>0</v>
      </c>
      <c r="I9" s="183">
        <f t="shared" si="1"/>
        <v>0</v>
      </c>
      <c r="K9" s="18">
        <v>3</v>
      </c>
      <c r="L9" s="28">
        <f>SUM(I36:I45)</f>
        <v>0</v>
      </c>
    </row>
    <row r="10" spans="1:12" ht="14.5" x14ac:dyDescent="0.35">
      <c r="A10" s="97" t="s">
        <v>41</v>
      </c>
      <c r="B10" s="224">
        <v>1</v>
      </c>
      <c r="C10" s="421"/>
      <c r="D10" s="225">
        <v>5</v>
      </c>
      <c r="E10" s="100" t="s">
        <v>43</v>
      </c>
      <c r="F10" s="65">
        <v>0</v>
      </c>
      <c r="G10" s="226">
        <v>5</v>
      </c>
      <c r="H10" s="102">
        <f t="shared" si="0"/>
        <v>0</v>
      </c>
      <c r="I10" s="227">
        <f t="shared" si="1"/>
        <v>0</v>
      </c>
      <c r="K10" s="18" t="s">
        <v>49</v>
      </c>
      <c r="L10" s="28">
        <f>SUM(I46:I55)</f>
        <v>0</v>
      </c>
    </row>
    <row r="11" spans="1:12" ht="14.5" x14ac:dyDescent="0.35">
      <c r="A11" s="29" t="s">
        <v>41</v>
      </c>
      <c r="B11" s="30">
        <v>1</v>
      </c>
      <c r="C11" s="421"/>
      <c r="D11" s="191">
        <v>46180</v>
      </c>
      <c r="E11" s="32" t="s">
        <v>43</v>
      </c>
      <c r="F11" s="65">
        <v>0</v>
      </c>
      <c r="G11" s="182">
        <v>7</v>
      </c>
      <c r="H11" s="35">
        <f t="shared" si="0"/>
        <v>0</v>
      </c>
      <c r="I11" s="183">
        <f t="shared" si="1"/>
        <v>0</v>
      </c>
      <c r="K11" s="18">
        <v>4</v>
      </c>
      <c r="L11" s="46">
        <f>SUM(I56:I65)</f>
        <v>0</v>
      </c>
    </row>
    <row r="12" spans="1:12" ht="14.5" x14ac:dyDescent="0.35">
      <c r="A12" s="97" t="s">
        <v>41</v>
      </c>
      <c r="B12" s="224">
        <v>1</v>
      </c>
      <c r="C12" s="421"/>
      <c r="D12" s="228">
        <v>46243</v>
      </c>
      <c r="E12" s="100" t="s">
        <v>43</v>
      </c>
      <c r="F12" s="65">
        <v>0</v>
      </c>
      <c r="G12" s="226">
        <v>9</v>
      </c>
      <c r="H12" s="102">
        <f t="shared" si="0"/>
        <v>0</v>
      </c>
      <c r="I12" s="227">
        <f t="shared" si="1"/>
        <v>0</v>
      </c>
      <c r="K12" s="18" t="s">
        <v>53</v>
      </c>
      <c r="L12" s="46">
        <f>SUM(I66:I75)</f>
        <v>0</v>
      </c>
    </row>
    <row r="13" spans="1:12" ht="14.5" x14ac:dyDescent="0.35">
      <c r="A13" s="29" t="s">
        <v>41</v>
      </c>
      <c r="B13" s="30">
        <v>1</v>
      </c>
      <c r="C13" s="421"/>
      <c r="D13" s="191">
        <v>46309</v>
      </c>
      <c r="E13" s="32" t="s">
        <v>43</v>
      </c>
      <c r="F13" s="65">
        <v>0</v>
      </c>
      <c r="G13" s="182">
        <v>14</v>
      </c>
      <c r="H13" s="35">
        <f t="shared" si="0"/>
        <v>0</v>
      </c>
      <c r="I13" s="183">
        <f t="shared" si="1"/>
        <v>0</v>
      </c>
      <c r="K13" s="18" t="s">
        <v>230</v>
      </c>
      <c r="L13" s="28">
        <f>SUM(L6:L12)</f>
        <v>0</v>
      </c>
    </row>
    <row r="14" spans="1:12" ht="14.5" x14ac:dyDescent="0.35">
      <c r="A14" s="97" t="s">
        <v>41</v>
      </c>
      <c r="B14" s="224">
        <v>1</v>
      </c>
      <c r="C14" s="421"/>
      <c r="D14" s="225" t="s">
        <v>187</v>
      </c>
      <c r="E14" s="100" t="s">
        <v>43</v>
      </c>
      <c r="F14" s="65">
        <v>0</v>
      </c>
      <c r="G14" s="226">
        <v>19</v>
      </c>
      <c r="H14" s="102">
        <f t="shared" si="0"/>
        <v>0</v>
      </c>
      <c r="I14" s="227">
        <f t="shared" si="1"/>
        <v>0</v>
      </c>
    </row>
    <row r="15" spans="1:12" ht="14.5" x14ac:dyDescent="0.35">
      <c r="A15" s="47" t="s">
        <v>41</v>
      </c>
      <c r="B15" s="48">
        <v>1</v>
      </c>
      <c r="C15" s="422"/>
      <c r="D15" s="193" t="s">
        <v>188</v>
      </c>
      <c r="E15" s="50" t="s">
        <v>43</v>
      </c>
      <c r="F15" s="66">
        <v>0</v>
      </c>
      <c r="G15" s="194">
        <v>30</v>
      </c>
      <c r="H15" s="53">
        <f t="shared" si="0"/>
        <v>0</v>
      </c>
      <c r="I15" s="195">
        <f t="shared" si="1"/>
        <v>0</v>
      </c>
    </row>
    <row r="16" spans="1:12" ht="15.75" customHeight="1" x14ac:dyDescent="0.35">
      <c r="A16" s="90" t="s">
        <v>51</v>
      </c>
      <c r="B16" s="105">
        <v>2</v>
      </c>
      <c r="C16" s="429" t="s">
        <v>231</v>
      </c>
      <c r="D16" s="221">
        <v>1</v>
      </c>
      <c r="E16" s="93" t="s">
        <v>43</v>
      </c>
      <c r="F16" s="64">
        <v>0</v>
      </c>
      <c r="G16" s="222">
        <v>1</v>
      </c>
      <c r="H16" s="95">
        <f t="shared" si="0"/>
        <v>0</v>
      </c>
      <c r="I16" s="223">
        <f t="shared" si="1"/>
        <v>0</v>
      </c>
    </row>
    <row r="17" spans="1:9" ht="15.75" customHeight="1" x14ac:dyDescent="0.35">
      <c r="A17" s="29" t="s">
        <v>51</v>
      </c>
      <c r="B17" s="30">
        <v>2</v>
      </c>
      <c r="C17" s="421"/>
      <c r="D17" s="181">
        <v>2</v>
      </c>
      <c r="E17" s="32" t="s">
        <v>43</v>
      </c>
      <c r="F17" s="65">
        <v>0</v>
      </c>
      <c r="G17" s="182">
        <v>2</v>
      </c>
      <c r="H17" s="35">
        <f t="shared" si="0"/>
        <v>0</v>
      </c>
      <c r="I17" s="183">
        <f t="shared" si="1"/>
        <v>0</v>
      </c>
    </row>
    <row r="18" spans="1:9" ht="14.5" x14ac:dyDescent="0.35">
      <c r="A18" s="97" t="s">
        <v>51</v>
      </c>
      <c r="B18" s="224">
        <v>2</v>
      </c>
      <c r="C18" s="421"/>
      <c r="D18" s="225">
        <v>3</v>
      </c>
      <c r="E18" s="100" t="s">
        <v>43</v>
      </c>
      <c r="F18" s="65">
        <v>0</v>
      </c>
      <c r="G18" s="226">
        <v>3</v>
      </c>
      <c r="H18" s="102">
        <f t="shared" si="0"/>
        <v>0</v>
      </c>
      <c r="I18" s="227">
        <f t="shared" si="1"/>
        <v>0</v>
      </c>
    </row>
    <row r="19" spans="1:9" ht="14.5" x14ac:dyDescent="0.35">
      <c r="A19" s="29" t="s">
        <v>51</v>
      </c>
      <c r="B19" s="30">
        <v>2</v>
      </c>
      <c r="C19" s="421"/>
      <c r="D19" s="181">
        <v>4</v>
      </c>
      <c r="E19" s="32" t="s">
        <v>43</v>
      </c>
      <c r="F19" s="65">
        <v>0</v>
      </c>
      <c r="G19" s="182">
        <v>4</v>
      </c>
      <c r="H19" s="35">
        <f t="shared" si="0"/>
        <v>0</v>
      </c>
      <c r="I19" s="183">
        <f t="shared" si="1"/>
        <v>0</v>
      </c>
    </row>
    <row r="20" spans="1:9" ht="14.5" x14ac:dyDescent="0.35">
      <c r="A20" s="97" t="s">
        <v>51</v>
      </c>
      <c r="B20" s="224">
        <v>2</v>
      </c>
      <c r="C20" s="421"/>
      <c r="D20" s="225">
        <v>5</v>
      </c>
      <c r="E20" s="100" t="s">
        <v>43</v>
      </c>
      <c r="F20" s="65">
        <v>0</v>
      </c>
      <c r="G20" s="226">
        <v>5</v>
      </c>
      <c r="H20" s="102">
        <f t="shared" si="0"/>
        <v>0</v>
      </c>
      <c r="I20" s="227">
        <f t="shared" si="1"/>
        <v>0</v>
      </c>
    </row>
    <row r="21" spans="1:9" ht="14.5" x14ac:dyDescent="0.35">
      <c r="A21" s="29" t="s">
        <v>51</v>
      </c>
      <c r="B21" s="30">
        <v>2</v>
      </c>
      <c r="C21" s="421"/>
      <c r="D21" s="191">
        <v>46180</v>
      </c>
      <c r="E21" s="32" t="s">
        <v>43</v>
      </c>
      <c r="F21" s="65">
        <v>0</v>
      </c>
      <c r="G21" s="182">
        <v>7</v>
      </c>
      <c r="H21" s="35">
        <f t="shared" si="0"/>
        <v>0</v>
      </c>
      <c r="I21" s="183">
        <f t="shared" si="1"/>
        <v>0</v>
      </c>
    </row>
    <row r="22" spans="1:9" ht="14.5" x14ac:dyDescent="0.35">
      <c r="A22" s="97" t="s">
        <v>51</v>
      </c>
      <c r="B22" s="224">
        <v>2</v>
      </c>
      <c r="C22" s="421"/>
      <c r="D22" s="228">
        <v>46243</v>
      </c>
      <c r="E22" s="100" t="s">
        <v>43</v>
      </c>
      <c r="F22" s="65">
        <v>0</v>
      </c>
      <c r="G22" s="226">
        <v>9</v>
      </c>
      <c r="H22" s="102">
        <f t="shared" si="0"/>
        <v>0</v>
      </c>
      <c r="I22" s="227">
        <f t="shared" si="1"/>
        <v>0</v>
      </c>
    </row>
    <row r="23" spans="1:9" ht="14.5" x14ac:dyDescent="0.35">
      <c r="A23" s="29" t="s">
        <v>51</v>
      </c>
      <c r="B23" s="30">
        <v>2</v>
      </c>
      <c r="C23" s="421"/>
      <c r="D23" s="191">
        <v>46309</v>
      </c>
      <c r="E23" s="32" t="s">
        <v>43</v>
      </c>
      <c r="F23" s="65">
        <v>0</v>
      </c>
      <c r="G23" s="182">
        <v>14</v>
      </c>
      <c r="H23" s="35">
        <f t="shared" si="0"/>
        <v>0</v>
      </c>
      <c r="I23" s="183">
        <f t="shared" si="1"/>
        <v>0</v>
      </c>
    </row>
    <row r="24" spans="1:9" ht="14.5" x14ac:dyDescent="0.35">
      <c r="A24" s="97" t="s">
        <v>51</v>
      </c>
      <c r="B24" s="224">
        <v>2</v>
      </c>
      <c r="C24" s="421"/>
      <c r="D24" s="225" t="s">
        <v>187</v>
      </c>
      <c r="E24" s="100" t="s">
        <v>43</v>
      </c>
      <c r="F24" s="65">
        <v>0</v>
      </c>
      <c r="G24" s="226">
        <v>19</v>
      </c>
      <c r="H24" s="102">
        <f t="shared" si="0"/>
        <v>0</v>
      </c>
      <c r="I24" s="227">
        <f t="shared" si="1"/>
        <v>0</v>
      </c>
    </row>
    <row r="25" spans="1:9" ht="14.5" x14ac:dyDescent="0.35">
      <c r="A25" s="47" t="s">
        <v>51</v>
      </c>
      <c r="B25" s="48">
        <v>2</v>
      </c>
      <c r="C25" s="422"/>
      <c r="D25" s="193" t="s">
        <v>188</v>
      </c>
      <c r="E25" s="50" t="s">
        <v>43</v>
      </c>
      <c r="F25" s="66">
        <v>0</v>
      </c>
      <c r="G25" s="194">
        <v>30</v>
      </c>
      <c r="H25" s="53">
        <f t="shared" si="0"/>
        <v>0</v>
      </c>
      <c r="I25" s="195">
        <f t="shared" si="1"/>
        <v>0</v>
      </c>
    </row>
    <row r="26" spans="1:9" ht="15.75" customHeight="1" x14ac:dyDescent="0.35">
      <c r="A26" s="90" t="s">
        <v>55</v>
      </c>
      <c r="B26" s="105" t="s">
        <v>46</v>
      </c>
      <c r="C26" s="429" t="s">
        <v>232</v>
      </c>
      <c r="D26" s="221">
        <v>1</v>
      </c>
      <c r="E26" s="93" t="s">
        <v>43</v>
      </c>
      <c r="F26" s="64">
        <v>0</v>
      </c>
      <c r="G26" s="222">
        <v>1</v>
      </c>
      <c r="H26" s="95">
        <f t="shared" si="0"/>
        <v>0</v>
      </c>
      <c r="I26" s="223">
        <f t="shared" si="1"/>
        <v>0</v>
      </c>
    </row>
    <row r="27" spans="1:9" ht="15.75" customHeight="1" x14ac:dyDescent="0.35">
      <c r="A27" s="29" t="s">
        <v>55</v>
      </c>
      <c r="B27" s="30" t="s">
        <v>46</v>
      </c>
      <c r="C27" s="421"/>
      <c r="D27" s="181">
        <v>2</v>
      </c>
      <c r="E27" s="32" t="s">
        <v>43</v>
      </c>
      <c r="F27" s="65">
        <v>0</v>
      </c>
      <c r="G27" s="182">
        <v>2</v>
      </c>
      <c r="H27" s="35">
        <f t="shared" si="0"/>
        <v>0</v>
      </c>
      <c r="I27" s="183">
        <f t="shared" si="1"/>
        <v>0</v>
      </c>
    </row>
    <row r="28" spans="1:9" ht="14.5" x14ac:dyDescent="0.35">
      <c r="A28" s="97" t="s">
        <v>55</v>
      </c>
      <c r="B28" s="224" t="s">
        <v>46</v>
      </c>
      <c r="C28" s="421"/>
      <c r="D28" s="225">
        <v>3</v>
      </c>
      <c r="E28" s="100" t="s">
        <v>43</v>
      </c>
      <c r="F28" s="65">
        <v>0</v>
      </c>
      <c r="G28" s="226">
        <v>3</v>
      </c>
      <c r="H28" s="102">
        <f t="shared" si="0"/>
        <v>0</v>
      </c>
      <c r="I28" s="227">
        <f t="shared" si="1"/>
        <v>0</v>
      </c>
    </row>
    <row r="29" spans="1:9" ht="14.5" x14ac:dyDescent="0.35">
      <c r="A29" s="29" t="s">
        <v>55</v>
      </c>
      <c r="B29" s="30" t="s">
        <v>46</v>
      </c>
      <c r="C29" s="421"/>
      <c r="D29" s="181">
        <v>4</v>
      </c>
      <c r="E29" s="32" t="s">
        <v>43</v>
      </c>
      <c r="F29" s="65">
        <v>0</v>
      </c>
      <c r="G29" s="182">
        <v>4</v>
      </c>
      <c r="H29" s="35">
        <f t="shared" si="0"/>
        <v>0</v>
      </c>
      <c r="I29" s="183">
        <f t="shared" si="1"/>
        <v>0</v>
      </c>
    </row>
    <row r="30" spans="1:9" ht="14.5" x14ac:dyDescent="0.35">
      <c r="A30" s="97" t="s">
        <v>55</v>
      </c>
      <c r="B30" s="224" t="s">
        <v>46</v>
      </c>
      <c r="C30" s="421"/>
      <c r="D30" s="225">
        <v>5</v>
      </c>
      <c r="E30" s="100" t="s">
        <v>43</v>
      </c>
      <c r="F30" s="65">
        <v>0</v>
      </c>
      <c r="G30" s="226">
        <v>5</v>
      </c>
      <c r="H30" s="102">
        <f t="shared" si="0"/>
        <v>0</v>
      </c>
      <c r="I30" s="227">
        <f t="shared" si="1"/>
        <v>0</v>
      </c>
    </row>
    <row r="31" spans="1:9" ht="14.5" x14ac:dyDescent="0.35">
      <c r="A31" s="29" t="s">
        <v>55</v>
      </c>
      <c r="B31" s="30" t="s">
        <v>46</v>
      </c>
      <c r="C31" s="421"/>
      <c r="D31" s="191">
        <v>46180</v>
      </c>
      <c r="E31" s="32" t="s">
        <v>43</v>
      </c>
      <c r="F31" s="65">
        <v>0</v>
      </c>
      <c r="G31" s="182">
        <v>7</v>
      </c>
      <c r="H31" s="35">
        <f t="shared" si="0"/>
        <v>0</v>
      </c>
      <c r="I31" s="183">
        <f t="shared" si="1"/>
        <v>0</v>
      </c>
    </row>
    <row r="32" spans="1:9" ht="15.75" customHeight="1" x14ac:dyDescent="0.35">
      <c r="A32" s="97" t="s">
        <v>55</v>
      </c>
      <c r="B32" s="224" t="s">
        <v>46</v>
      </c>
      <c r="C32" s="421"/>
      <c r="D32" s="228">
        <v>46243</v>
      </c>
      <c r="E32" s="100" t="s">
        <v>43</v>
      </c>
      <c r="F32" s="65">
        <v>0</v>
      </c>
      <c r="G32" s="226">
        <v>9</v>
      </c>
      <c r="H32" s="102">
        <f t="shared" si="0"/>
        <v>0</v>
      </c>
      <c r="I32" s="227">
        <f t="shared" si="1"/>
        <v>0</v>
      </c>
    </row>
    <row r="33" spans="1:9" ht="15.75" customHeight="1" x14ac:dyDescent="0.35">
      <c r="A33" s="29" t="s">
        <v>55</v>
      </c>
      <c r="B33" s="30" t="s">
        <v>46</v>
      </c>
      <c r="C33" s="421"/>
      <c r="D33" s="191">
        <v>46309</v>
      </c>
      <c r="E33" s="32" t="s">
        <v>43</v>
      </c>
      <c r="F33" s="65">
        <v>0</v>
      </c>
      <c r="G33" s="182">
        <v>14</v>
      </c>
      <c r="H33" s="35">
        <f t="shared" si="0"/>
        <v>0</v>
      </c>
      <c r="I33" s="183">
        <f t="shared" si="1"/>
        <v>0</v>
      </c>
    </row>
    <row r="34" spans="1:9" ht="15.75" customHeight="1" x14ac:dyDescent="0.35">
      <c r="A34" s="97" t="s">
        <v>55</v>
      </c>
      <c r="B34" s="224" t="s">
        <v>46</v>
      </c>
      <c r="C34" s="421"/>
      <c r="D34" s="225" t="s">
        <v>187</v>
      </c>
      <c r="E34" s="100" t="s">
        <v>43</v>
      </c>
      <c r="F34" s="65">
        <v>0</v>
      </c>
      <c r="G34" s="226">
        <v>19</v>
      </c>
      <c r="H34" s="102">
        <f t="shared" si="0"/>
        <v>0</v>
      </c>
      <c r="I34" s="227">
        <f t="shared" si="1"/>
        <v>0</v>
      </c>
    </row>
    <row r="35" spans="1:9" ht="15.75" customHeight="1" x14ac:dyDescent="0.35">
      <c r="A35" s="47" t="s">
        <v>55</v>
      </c>
      <c r="B35" s="48" t="s">
        <v>46</v>
      </c>
      <c r="C35" s="422"/>
      <c r="D35" s="193" t="s">
        <v>188</v>
      </c>
      <c r="E35" s="50" t="s">
        <v>43</v>
      </c>
      <c r="F35" s="66">
        <v>0</v>
      </c>
      <c r="G35" s="194">
        <v>30</v>
      </c>
      <c r="H35" s="53">
        <f t="shared" si="0"/>
        <v>0</v>
      </c>
      <c r="I35" s="195">
        <f t="shared" si="1"/>
        <v>0</v>
      </c>
    </row>
    <row r="36" spans="1:9" ht="15.75" customHeight="1" x14ac:dyDescent="0.35">
      <c r="A36" s="90" t="s">
        <v>57</v>
      </c>
      <c r="B36" s="105">
        <v>3</v>
      </c>
      <c r="C36" s="429" t="s">
        <v>233</v>
      </c>
      <c r="D36" s="221">
        <v>1</v>
      </c>
      <c r="E36" s="93" t="s">
        <v>43</v>
      </c>
      <c r="F36" s="64">
        <v>0</v>
      </c>
      <c r="G36" s="222">
        <v>1</v>
      </c>
      <c r="H36" s="95">
        <f t="shared" si="0"/>
        <v>0</v>
      </c>
      <c r="I36" s="223">
        <f t="shared" si="1"/>
        <v>0</v>
      </c>
    </row>
    <row r="37" spans="1:9" ht="15.75" customHeight="1" x14ac:dyDescent="0.35">
      <c r="A37" s="29" t="s">
        <v>57</v>
      </c>
      <c r="B37" s="30">
        <v>3</v>
      </c>
      <c r="C37" s="421"/>
      <c r="D37" s="181">
        <v>2</v>
      </c>
      <c r="E37" s="32" t="s">
        <v>43</v>
      </c>
      <c r="F37" s="65">
        <v>0</v>
      </c>
      <c r="G37" s="182">
        <v>2</v>
      </c>
      <c r="H37" s="35">
        <f t="shared" si="0"/>
        <v>0</v>
      </c>
      <c r="I37" s="183">
        <f t="shared" si="1"/>
        <v>0</v>
      </c>
    </row>
    <row r="38" spans="1:9" ht="15.75" customHeight="1" x14ac:dyDescent="0.35">
      <c r="A38" s="97" t="s">
        <v>57</v>
      </c>
      <c r="B38" s="224">
        <v>3</v>
      </c>
      <c r="C38" s="421"/>
      <c r="D38" s="225">
        <v>3</v>
      </c>
      <c r="E38" s="100" t="s">
        <v>43</v>
      </c>
      <c r="F38" s="65">
        <v>0</v>
      </c>
      <c r="G38" s="226">
        <v>3</v>
      </c>
      <c r="H38" s="102">
        <f t="shared" si="0"/>
        <v>0</v>
      </c>
      <c r="I38" s="227">
        <f t="shared" si="1"/>
        <v>0</v>
      </c>
    </row>
    <row r="39" spans="1:9" ht="15.75" customHeight="1" x14ac:dyDescent="0.35">
      <c r="A39" s="29" t="s">
        <v>57</v>
      </c>
      <c r="B39" s="30">
        <v>3</v>
      </c>
      <c r="C39" s="421"/>
      <c r="D39" s="181">
        <v>4</v>
      </c>
      <c r="E39" s="32" t="s">
        <v>43</v>
      </c>
      <c r="F39" s="65">
        <v>0</v>
      </c>
      <c r="G39" s="182">
        <v>4</v>
      </c>
      <c r="H39" s="35">
        <f t="shared" si="0"/>
        <v>0</v>
      </c>
      <c r="I39" s="183">
        <f t="shared" si="1"/>
        <v>0</v>
      </c>
    </row>
    <row r="40" spans="1:9" ht="15.75" customHeight="1" x14ac:dyDescent="0.35">
      <c r="A40" s="97" t="s">
        <v>57</v>
      </c>
      <c r="B40" s="224">
        <v>3</v>
      </c>
      <c r="C40" s="421"/>
      <c r="D40" s="225">
        <v>5</v>
      </c>
      <c r="E40" s="100" t="s">
        <v>43</v>
      </c>
      <c r="F40" s="65">
        <v>0</v>
      </c>
      <c r="G40" s="226">
        <v>5</v>
      </c>
      <c r="H40" s="102">
        <f t="shared" si="0"/>
        <v>0</v>
      </c>
      <c r="I40" s="227">
        <f t="shared" si="1"/>
        <v>0</v>
      </c>
    </row>
    <row r="41" spans="1:9" ht="15.75" customHeight="1" x14ac:dyDescent="0.35">
      <c r="A41" s="29" t="s">
        <v>57</v>
      </c>
      <c r="B41" s="30">
        <v>3</v>
      </c>
      <c r="C41" s="421"/>
      <c r="D41" s="191">
        <v>46180</v>
      </c>
      <c r="E41" s="32" t="s">
        <v>43</v>
      </c>
      <c r="F41" s="65">
        <v>0</v>
      </c>
      <c r="G41" s="182">
        <v>7</v>
      </c>
      <c r="H41" s="35">
        <f t="shared" si="0"/>
        <v>0</v>
      </c>
      <c r="I41" s="183">
        <f t="shared" si="1"/>
        <v>0</v>
      </c>
    </row>
    <row r="42" spans="1:9" ht="15.75" customHeight="1" x14ac:dyDescent="0.35">
      <c r="A42" s="97" t="s">
        <v>57</v>
      </c>
      <c r="B42" s="224">
        <v>3</v>
      </c>
      <c r="C42" s="421"/>
      <c r="D42" s="228">
        <v>46243</v>
      </c>
      <c r="E42" s="100" t="s">
        <v>43</v>
      </c>
      <c r="F42" s="65">
        <v>0</v>
      </c>
      <c r="G42" s="226">
        <v>9</v>
      </c>
      <c r="H42" s="102">
        <f t="shared" si="0"/>
        <v>0</v>
      </c>
      <c r="I42" s="227">
        <f t="shared" si="1"/>
        <v>0</v>
      </c>
    </row>
    <row r="43" spans="1:9" ht="15.75" customHeight="1" x14ac:dyDescent="0.35">
      <c r="A43" s="29" t="s">
        <v>57</v>
      </c>
      <c r="B43" s="30">
        <v>3</v>
      </c>
      <c r="C43" s="421"/>
      <c r="D43" s="191">
        <v>46309</v>
      </c>
      <c r="E43" s="32" t="s">
        <v>43</v>
      </c>
      <c r="F43" s="65">
        <v>0</v>
      </c>
      <c r="G43" s="182">
        <v>14</v>
      </c>
      <c r="H43" s="35">
        <f t="shared" si="0"/>
        <v>0</v>
      </c>
      <c r="I43" s="183">
        <f t="shared" si="1"/>
        <v>0</v>
      </c>
    </row>
    <row r="44" spans="1:9" ht="15.75" customHeight="1" x14ac:dyDescent="0.35">
      <c r="A44" s="97" t="s">
        <v>57</v>
      </c>
      <c r="B44" s="224">
        <v>3</v>
      </c>
      <c r="C44" s="421"/>
      <c r="D44" s="225" t="s">
        <v>187</v>
      </c>
      <c r="E44" s="100" t="s">
        <v>43</v>
      </c>
      <c r="F44" s="65">
        <v>0</v>
      </c>
      <c r="G44" s="226">
        <v>19</v>
      </c>
      <c r="H44" s="102">
        <f t="shared" si="0"/>
        <v>0</v>
      </c>
      <c r="I44" s="227">
        <f t="shared" si="1"/>
        <v>0</v>
      </c>
    </row>
    <row r="45" spans="1:9" ht="15.75" customHeight="1" x14ac:dyDescent="0.35">
      <c r="A45" s="47" t="s">
        <v>57</v>
      </c>
      <c r="B45" s="48">
        <v>3</v>
      </c>
      <c r="C45" s="422"/>
      <c r="D45" s="193" t="s">
        <v>188</v>
      </c>
      <c r="E45" s="50" t="s">
        <v>43</v>
      </c>
      <c r="F45" s="66">
        <v>0</v>
      </c>
      <c r="G45" s="194">
        <v>30</v>
      </c>
      <c r="H45" s="53">
        <f t="shared" si="0"/>
        <v>0</v>
      </c>
      <c r="I45" s="195">
        <f t="shared" si="1"/>
        <v>0</v>
      </c>
    </row>
    <row r="46" spans="1:9" ht="15.75" customHeight="1" x14ac:dyDescent="0.35">
      <c r="A46" s="90" t="s">
        <v>59</v>
      </c>
      <c r="B46" s="105" t="s">
        <v>49</v>
      </c>
      <c r="C46" s="429" t="s">
        <v>234</v>
      </c>
      <c r="D46" s="221">
        <v>1</v>
      </c>
      <c r="E46" s="93" t="s">
        <v>43</v>
      </c>
      <c r="F46" s="64">
        <v>0</v>
      </c>
      <c r="G46" s="222">
        <v>1</v>
      </c>
      <c r="H46" s="95">
        <f t="shared" si="0"/>
        <v>0</v>
      </c>
      <c r="I46" s="223">
        <f t="shared" si="1"/>
        <v>0</v>
      </c>
    </row>
    <row r="47" spans="1:9" ht="15.75" customHeight="1" x14ac:dyDescent="0.35">
      <c r="A47" s="29" t="s">
        <v>59</v>
      </c>
      <c r="B47" s="30" t="s">
        <v>49</v>
      </c>
      <c r="C47" s="421"/>
      <c r="D47" s="181">
        <v>2</v>
      </c>
      <c r="E47" s="32" t="s">
        <v>43</v>
      </c>
      <c r="F47" s="65">
        <v>0</v>
      </c>
      <c r="G47" s="182">
        <v>2</v>
      </c>
      <c r="H47" s="35">
        <f t="shared" si="0"/>
        <v>0</v>
      </c>
      <c r="I47" s="183">
        <f t="shared" si="1"/>
        <v>0</v>
      </c>
    </row>
    <row r="48" spans="1:9" ht="15.75" customHeight="1" x14ac:dyDescent="0.35">
      <c r="A48" s="97" t="s">
        <v>59</v>
      </c>
      <c r="B48" s="224" t="s">
        <v>49</v>
      </c>
      <c r="C48" s="421"/>
      <c r="D48" s="225">
        <v>3</v>
      </c>
      <c r="E48" s="100" t="s">
        <v>43</v>
      </c>
      <c r="F48" s="65">
        <v>0</v>
      </c>
      <c r="G48" s="226">
        <v>3</v>
      </c>
      <c r="H48" s="102">
        <f t="shared" si="0"/>
        <v>0</v>
      </c>
      <c r="I48" s="227">
        <f t="shared" si="1"/>
        <v>0</v>
      </c>
    </row>
    <row r="49" spans="1:9" ht="15.75" customHeight="1" x14ac:dyDescent="0.35">
      <c r="A49" s="29" t="s">
        <v>59</v>
      </c>
      <c r="B49" s="30" t="s">
        <v>49</v>
      </c>
      <c r="C49" s="421"/>
      <c r="D49" s="181">
        <v>4</v>
      </c>
      <c r="E49" s="32" t="s">
        <v>43</v>
      </c>
      <c r="F49" s="65">
        <v>0</v>
      </c>
      <c r="G49" s="182">
        <v>4</v>
      </c>
      <c r="H49" s="35">
        <f t="shared" si="0"/>
        <v>0</v>
      </c>
      <c r="I49" s="183">
        <f t="shared" si="1"/>
        <v>0</v>
      </c>
    </row>
    <row r="50" spans="1:9" ht="15.75" customHeight="1" x14ac:dyDescent="0.35">
      <c r="A50" s="97" t="s">
        <v>59</v>
      </c>
      <c r="B50" s="224" t="s">
        <v>49</v>
      </c>
      <c r="C50" s="421"/>
      <c r="D50" s="225">
        <v>5</v>
      </c>
      <c r="E50" s="100" t="s">
        <v>43</v>
      </c>
      <c r="F50" s="65">
        <v>0</v>
      </c>
      <c r="G50" s="226">
        <v>5</v>
      </c>
      <c r="H50" s="102">
        <f t="shared" si="0"/>
        <v>0</v>
      </c>
      <c r="I50" s="227">
        <f t="shared" si="1"/>
        <v>0</v>
      </c>
    </row>
    <row r="51" spans="1:9" ht="15.75" customHeight="1" x14ac:dyDescent="0.35">
      <c r="A51" s="29" t="s">
        <v>59</v>
      </c>
      <c r="B51" s="30" t="s">
        <v>49</v>
      </c>
      <c r="C51" s="421"/>
      <c r="D51" s="191">
        <v>46180</v>
      </c>
      <c r="E51" s="32" t="s">
        <v>43</v>
      </c>
      <c r="F51" s="65">
        <v>0</v>
      </c>
      <c r="G51" s="182">
        <v>7</v>
      </c>
      <c r="H51" s="35">
        <f t="shared" si="0"/>
        <v>0</v>
      </c>
      <c r="I51" s="183">
        <f t="shared" si="1"/>
        <v>0</v>
      </c>
    </row>
    <row r="52" spans="1:9" ht="15.75" customHeight="1" x14ac:dyDescent="0.35">
      <c r="A52" s="97" t="s">
        <v>59</v>
      </c>
      <c r="B52" s="224" t="s">
        <v>49</v>
      </c>
      <c r="C52" s="421"/>
      <c r="D52" s="228">
        <v>46243</v>
      </c>
      <c r="E52" s="100" t="s">
        <v>43</v>
      </c>
      <c r="F52" s="65">
        <v>0</v>
      </c>
      <c r="G52" s="226">
        <v>9</v>
      </c>
      <c r="H52" s="102">
        <f t="shared" si="0"/>
        <v>0</v>
      </c>
      <c r="I52" s="227">
        <f t="shared" si="1"/>
        <v>0</v>
      </c>
    </row>
    <row r="53" spans="1:9" ht="15.75" customHeight="1" x14ac:dyDescent="0.35">
      <c r="A53" s="29" t="s">
        <v>59</v>
      </c>
      <c r="B53" s="30" t="s">
        <v>49</v>
      </c>
      <c r="C53" s="421"/>
      <c r="D53" s="191">
        <v>46309</v>
      </c>
      <c r="E53" s="32" t="s">
        <v>43</v>
      </c>
      <c r="F53" s="65">
        <v>0</v>
      </c>
      <c r="G53" s="182">
        <v>14</v>
      </c>
      <c r="H53" s="35">
        <f t="shared" si="0"/>
        <v>0</v>
      </c>
      <c r="I53" s="183">
        <f t="shared" si="1"/>
        <v>0</v>
      </c>
    </row>
    <row r="54" spans="1:9" ht="15.75" customHeight="1" x14ac:dyDescent="0.35">
      <c r="A54" s="97" t="s">
        <v>59</v>
      </c>
      <c r="B54" s="224" t="s">
        <v>49</v>
      </c>
      <c r="C54" s="421"/>
      <c r="D54" s="225" t="s">
        <v>187</v>
      </c>
      <c r="E54" s="100" t="s">
        <v>43</v>
      </c>
      <c r="F54" s="65">
        <v>0</v>
      </c>
      <c r="G54" s="226">
        <v>19</v>
      </c>
      <c r="H54" s="102">
        <f t="shared" si="0"/>
        <v>0</v>
      </c>
      <c r="I54" s="227">
        <f t="shared" si="1"/>
        <v>0</v>
      </c>
    </row>
    <row r="55" spans="1:9" ht="15.75" customHeight="1" x14ac:dyDescent="0.35">
      <c r="A55" s="47" t="s">
        <v>59</v>
      </c>
      <c r="B55" s="48" t="s">
        <v>49</v>
      </c>
      <c r="C55" s="422"/>
      <c r="D55" s="193" t="s">
        <v>188</v>
      </c>
      <c r="E55" s="50" t="s">
        <v>43</v>
      </c>
      <c r="F55" s="66">
        <v>0</v>
      </c>
      <c r="G55" s="194">
        <v>30</v>
      </c>
      <c r="H55" s="53">
        <f t="shared" si="0"/>
        <v>0</v>
      </c>
      <c r="I55" s="195">
        <f t="shared" si="1"/>
        <v>0</v>
      </c>
    </row>
    <row r="56" spans="1:9" ht="15.75" customHeight="1" x14ac:dyDescent="0.35">
      <c r="A56" s="90" t="s">
        <v>61</v>
      </c>
      <c r="B56" s="105">
        <v>4</v>
      </c>
      <c r="C56" s="429" t="s">
        <v>235</v>
      </c>
      <c r="D56" s="221">
        <v>1</v>
      </c>
      <c r="E56" s="93" t="s">
        <v>43</v>
      </c>
      <c r="F56" s="64">
        <v>0</v>
      </c>
      <c r="G56" s="222">
        <v>1</v>
      </c>
      <c r="H56" s="95">
        <f t="shared" si="0"/>
        <v>0</v>
      </c>
      <c r="I56" s="223">
        <f t="shared" si="1"/>
        <v>0</v>
      </c>
    </row>
    <row r="57" spans="1:9" ht="15.75" customHeight="1" x14ac:dyDescent="0.35">
      <c r="A57" s="29" t="s">
        <v>61</v>
      </c>
      <c r="B57" s="30">
        <v>4</v>
      </c>
      <c r="C57" s="421"/>
      <c r="D57" s="181">
        <v>2</v>
      </c>
      <c r="E57" s="32" t="s">
        <v>43</v>
      </c>
      <c r="F57" s="65">
        <v>0</v>
      </c>
      <c r="G57" s="182">
        <v>2</v>
      </c>
      <c r="H57" s="35">
        <f t="shared" si="0"/>
        <v>0</v>
      </c>
      <c r="I57" s="183">
        <f t="shared" si="1"/>
        <v>0</v>
      </c>
    </row>
    <row r="58" spans="1:9" ht="15.75" customHeight="1" x14ac:dyDescent="0.35">
      <c r="A58" s="97" t="s">
        <v>61</v>
      </c>
      <c r="B58" s="224">
        <v>4</v>
      </c>
      <c r="C58" s="421"/>
      <c r="D58" s="225">
        <v>3</v>
      </c>
      <c r="E58" s="100" t="s">
        <v>43</v>
      </c>
      <c r="F58" s="65">
        <v>0</v>
      </c>
      <c r="G58" s="226">
        <v>3</v>
      </c>
      <c r="H58" s="102">
        <f t="shared" si="0"/>
        <v>0</v>
      </c>
      <c r="I58" s="227">
        <f t="shared" si="1"/>
        <v>0</v>
      </c>
    </row>
    <row r="59" spans="1:9" ht="15.75" customHeight="1" x14ac:dyDescent="0.35">
      <c r="A59" s="29" t="s">
        <v>61</v>
      </c>
      <c r="B59" s="30">
        <v>4</v>
      </c>
      <c r="C59" s="421"/>
      <c r="D59" s="181">
        <v>4</v>
      </c>
      <c r="E59" s="32" t="s">
        <v>43</v>
      </c>
      <c r="F59" s="65">
        <v>0</v>
      </c>
      <c r="G59" s="182">
        <v>4</v>
      </c>
      <c r="H59" s="35">
        <f t="shared" si="0"/>
        <v>0</v>
      </c>
      <c r="I59" s="183">
        <f t="shared" si="1"/>
        <v>0</v>
      </c>
    </row>
    <row r="60" spans="1:9" ht="15.75" customHeight="1" x14ac:dyDescent="0.35">
      <c r="A60" s="97" t="s">
        <v>61</v>
      </c>
      <c r="B60" s="224">
        <v>4</v>
      </c>
      <c r="C60" s="421"/>
      <c r="D60" s="225">
        <v>5</v>
      </c>
      <c r="E60" s="100" t="s">
        <v>43</v>
      </c>
      <c r="F60" s="65">
        <v>0</v>
      </c>
      <c r="G60" s="226">
        <v>5</v>
      </c>
      <c r="H60" s="102">
        <f t="shared" si="0"/>
        <v>0</v>
      </c>
      <c r="I60" s="227">
        <f t="shared" si="1"/>
        <v>0</v>
      </c>
    </row>
    <row r="61" spans="1:9" ht="15.75" customHeight="1" x14ac:dyDescent="0.35">
      <c r="A61" s="29" t="s">
        <v>61</v>
      </c>
      <c r="B61" s="30">
        <v>4</v>
      </c>
      <c r="C61" s="421"/>
      <c r="D61" s="191">
        <v>46180</v>
      </c>
      <c r="E61" s="32" t="s">
        <v>43</v>
      </c>
      <c r="F61" s="65">
        <v>0</v>
      </c>
      <c r="G61" s="182">
        <v>7</v>
      </c>
      <c r="H61" s="35">
        <f t="shared" si="0"/>
        <v>0</v>
      </c>
      <c r="I61" s="183">
        <f t="shared" si="1"/>
        <v>0</v>
      </c>
    </row>
    <row r="62" spans="1:9" ht="15.75" customHeight="1" x14ac:dyDescent="0.35">
      <c r="A62" s="97" t="s">
        <v>61</v>
      </c>
      <c r="B62" s="224">
        <v>4</v>
      </c>
      <c r="C62" s="421"/>
      <c r="D62" s="228">
        <v>46243</v>
      </c>
      <c r="E62" s="100" t="s">
        <v>43</v>
      </c>
      <c r="F62" s="65">
        <v>0</v>
      </c>
      <c r="G62" s="226">
        <v>9</v>
      </c>
      <c r="H62" s="102">
        <f t="shared" si="0"/>
        <v>0</v>
      </c>
      <c r="I62" s="227">
        <f t="shared" si="1"/>
        <v>0</v>
      </c>
    </row>
    <row r="63" spans="1:9" ht="15.75" customHeight="1" x14ac:dyDescent="0.35">
      <c r="A63" s="29" t="s">
        <v>61</v>
      </c>
      <c r="B63" s="30">
        <v>4</v>
      </c>
      <c r="C63" s="421"/>
      <c r="D63" s="191">
        <v>46309</v>
      </c>
      <c r="E63" s="32" t="s">
        <v>43</v>
      </c>
      <c r="F63" s="65">
        <v>0</v>
      </c>
      <c r="G63" s="182">
        <v>14</v>
      </c>
      <c r="H63" s="35">
        <f t="shared" si="0"/>
        <v>0</v>
      </c>
      <c r="I63" s="183">
        <f t="shared" si="1"/>
        <v>0</v>
      </c>
    </row>
    <row r="64" spans="1:9" ht="15.75" customHeight="1" x14ac:dyDescent="0.35">
      <c r="A64" s="97" t="s">
        <v>61</v>
      </c>
      <c r="B64" s="224">
        <v>4</v>
      </c>
      <c r="C64" s="421"/>
      <c r="D64" s="225" t="s">
        <v>187</v>
      </c>
      <c r="E64" s="100" t="s">
        <v>43</v>
      </c>
      <c r="F64" s="65">
        <v>0</v>
      </c>
      <c r="G64" s="226">
        <v>19</v>
      </c>
      <c r="H64" s="102">
        <f t="shared" si="0"/>
        <v>0</v>
      </c>
      <c r="I64" s="227">
        <f t="shared" si="1"/>
        <v>0</v>
      </c>
    </row>
    <row r="65" spans="1:12" ht="15.75" customHeight="1" x14ac:dyDescent="0.35">
      <c r="A65" s="47" t="s">
        <v>61</v>
      </c>
      <c r="B65" s="48">
        <v>4</v>
      </c>
      <c r="C65" s="422"/>
      <c r="D65" s="193" t="s">
        <v>188</v>
      </c>
      <c r="E65" s="50" t="s">
        <v>43</v>
      </c>
      <c r="F65" s="66">
        <v>0</v>
      </c>
      <c r="G65" s="194">
        <v>30</v>
      </c>
      <c r="H65" s="53">
        <f t="shared" si="0"/>
        <v>0</v>
      </c>
      <c r="I65" s="195">
        <f t="shared" si="1"/>
        <v>0</v>
      </c>
    </row>
    <row r="66" spans="1:12" ht="15.75" customHeight="1" x14ac:dyDescent="0.35">
      <c r="A66" s="90" t="s">
        <v>63</v>
      </c>
      <c r="B66" s="105" t="s">
        <v>53</v>
      </c>
      <c r="C66" s="429" t="s">
        <v>236</v>
      </c>
      <c r="D66" s="221">
        <v>1</v>
      </c>
      <c r="E66" s="93" t="s">
        <v>43</v>
      </c>
      <c r="F66" s="64">
        <v>0</v>
      </c>
      <c r="G66" s="222">
        <v>1</v>
      </c>
      <c r="H66" s="95">
        <f t="shared" si="0"/>
        <v>0</v>
      </c>
      <c r="I66" s="223">
        <f t="shared" si="1"/>
        <v>0</v>
      </c>
    </row>
    <row r="67" spans="1:12" ht="15.75" customHeight="1" x14ac:dyDescent="0.35">
      <c r="A67" s="29" t="s">
        <v>63</v>
      </c>
      <c r="B67" s="30" t="s">
        <v>53</v>
      </c>
      <c r="C67" s="421"/>
      <c r="D67" s="181">
        <v>2</v>
      </c>
      <c r="E67" s="32" t="s">
        <v>43</v>
      </c>
      <c r="F67" s="65">
        <v>0</v>
      </c>
      <c r="G67" s="182">
        <v>2</v>
      </c>
      <c r="H67" s="35">
        <f t="shared" si="0"/>
        <v>0</v>
      </c>
      <c r="I67" s="183">
        <f t="shared" si="1"/>
        <v>0</v>
      </c>
    </row>
    <row r="68" spans="1:12" ht="15.75" customHeight="1" x14ac:dyDescent="0.35">
      <c r="A68" s="97" t="s">
        <v>63</v>
      </c>
      <c r="B68" s="224" t="s">
        <v>53</v>
      </c>
      <c r="C68" s="421"/>
      <c r="D68" s="225">
        <v>3</v>
      </c>
      <c r="E68" s="100" t="s">
        <v>43</v>
      </c>
      <c r="F68" s="65">
        <v>0</v>
      </c>
      <c r="G68" s="226">
        <v>3</v>
      </c>
      <c r="H68" s="102">
        <f t="shared" si="0"/>
        <v>0</v>
      </c>
      <c r="I68" s="227">
        <f t="shared" si="1"/>
        <v>0</v>
      </c>
    </row>
    <row r="69" spans="1:12" ht="15.75" customHeight="1" x14ac:dyDescent="0.35">
      <c r="A69" s="29" t="s">
        <v>63</v>
      </c>
      <c r="B69" s="30" t="s">
        <v>53</v>
      </c>
      <c r="C69" s="421"/>
      <c r="D69" s="181">
        <v>4</v>
      </c>
      <c r="E69" s="32" t="s">
        <v>43</v>
      </c>
      <c r="F69" s="65">
        <v>0</v>
      </c>
      <c r="G69" s="182">
        <v>4</v>
      </c>
      <c r="H69" s="35">
        <f t="shared" si="0"/>
        <v>0</v>
      </c>
      <c r="I69" s="183">
        <f t="shared" si="1"/>
        <v>0</v>
      </c>
    </row>
    <row r="70" spans="1:12" ht="15.75" customHeight="1" x14ac:dyDescent="0.35">
      <c r="A70" s="97" t="s">
        <v>63</v>
      </c>
      <c r="B70" s="224" t="s">
        <v>53</v>
      </c>
      <c r="C70" s="421"/>
      <c r="D70" s="225">
        <v>5</v>
      </c>
      <c r="E70" s="100" t="s">
        <v>43</v>
      </c>
      <c r="F70" s="65">
        <v>0</v>
      </c>
      <c r="G70" s="226">
        <v>5</v>
      </c>
      <c r="H70" s="102">
        <f t="shared" si="0"/>
        <v>0</v>
      </c>
      <c r="I70" s="227">
        <f t="shared" si="1"/>
        <v>0</v>
      </c>
    </row>
    <row r="71" spans="1:12" ht="15.75" customHeight="1" x14ac:dyDescent="0.35">
      <c r="A71" s="29" t="s">
        <v>63</v>
      </c>
      <c r="B71" s="30" t="s">
        <v>53</v>
      </c>
      <c r="C71" s="421"/>
      <c r="D71" s="191">
        <v>46180</v>
      </c>
      <c r="E71" s="32" t="s">
        <v>43</v>
      </c>
      <c r="F71" s="65">
        <v>0</v>
      </c>
      <c r="G71" s="182">
        <v>7</v>
      </c>
      <c r="H71" s="35">
        <f t="shared" si="0"/>
        <v>0</v>
      </c>
      <c r="I71" s="183">
        <f t="shared" si="1"/>
        <v>0</v>
      </c>
    </row>
    <row r="72" spans="1:12" ht="15.75" customHeight="1" x14ac:dyDescent="0.35">
      <c r="A72" s="97" t="s">
        <v>63</v>
      </c>
      <c r="B72" s="224" t="s">
        <v>53</v>
      </c>
      <c r="C72" s="421"/>
      <c r="D72" s="228">
        <v>46243</v>
      </c>
      <c r="E72" s="100" t="s">
        <v>43</v>
      </c>
      <c r="F72" s="65">
        <v>0</v>
      </c>
      <c r="G72" s="226">
        <v>9</v>
      </c>
      <c r="H72" s="102">
        <f t="shared" si="0"/>
        <v>0</v>
      </c>
      <c r="I72" s="227">
        <f t="shared" si="1"/>
        <v>0</v>
      </c>
    </row>
    <row r="73" spans="1:12" ht="15.75" customHeight="1" x14ac:dyDescent="0.35">
      <c r="A73" s="29" t="s">
        <v>63</v>
      </c>
      <c r="B73" s="30" t="s">
        <v>53</v>
      </c>
      <c r="C73" s="421"/>
      <c r="D73" s="191">
        <v>46309</v>
      </c>
      <c r="E73" s="32" t="s">
        <v>43</v>
      </c>
      <c r="F73" s="65">
        <v>0</v>
      </c>
      <c r="G73" s="182">
        <v>14</v>
      </c>
      <c r="H73" s="35">
        <f t="shared" si="0"/>
        <v>0</v>
      </c>
      <c r="I73" s="183">
        <f t="shared" si="1"/>
        <v>0</v>
      </c>
    </row>
    <row r="74" spans="1:12" ht="15.75" customHeight="1" x14ac:dyDescent="0.35">
      <c r="A74" s="97" t="s">
        <v>63</v>
      </c>
      <c r="B74" s="224" t="s">
        <v>53</v>
      </c>
      <c r="C74" s="421"/>
      <c r="D74" s="225" t="s">
        <v>187</v>
      </c>
      <c r="E74" s="100" t="s">
        <v>43</v>
      </c>
      <c r="F74" s="65">
        <v>0</v>
      </c>
      <c r="G74" s="226">
        <v>19</v>
      </c>
      <c r="H74" s="102">
        <f t="shared" si="0"/>
        <v>0</v>
      </c>
      <c r="I74" s="227">
        <f t="shared" si="1"/>
        <v>0</v>
      </c>
    </row>
    <row r="75" spans="1:12" ht="15.75" customHeight="1" x14ac:dyDescent="0.35">
      <c r="A75" s="47" t="s">
        <v>63</v>
      </c>
      <c r="B75" s="48" t="s">
        <v>53</v>
      </c>
      <c r="C75" s="422"/>
      <c r="D75" s="193" t="s">
        <v>188</v>
      </c>
      <c r="E75" s="50" t="s">
        <v>43</v>
      </c>
      <c r="F75" s="66">
        <v>0</v>
      </c>
      <c r="G75" s="194">
        <v>30</v>
      </c>
      <c r="H75" s="53">
        <f t="shared" si="0"/>
        <v>0</v>
      </c>
      <c r="I75" s="195">
        <f t="shared" si="1"/>
        <v>0</v>
      </c>
    </row>
    <row r="76" spans="1:12" ht="15.75" customHeight="1" x14ac:dyDescent="0.35">
      <c r="A76" s="229"/>
      <c r="B76" s="230"/>
      <c r="C76" s="231"/>
      <c r="D76" s="229"/>
      <c r="E76" s="229"/>
      <c r="F76" s="232"/>
      <c r="G76" s="233"/>
      <c r="H76" s="234"/>
      <c r="I76" s="234"/>
    </row>
    <row r="77" spans="1:12" ht="15.75" customHeight="1" x14ac:dyDescent="0.35">
      <c r="A77" s="235"/>
      <c r="B77" s="236"/>
      <c r="C77" s="237"/>
      <c r="D77" s="235"/>
      <c r="E77" s="235"/>
      <c r="F77" s="238"/>
      <c r="G77" s="239"/>
      <c r="H77" s="240"/>
      <c r="I77" s="240"/>
    </row>
    <row r="78" spans="1:12" ht="23.25" customHeight="1" x14ac:dyDescent="0.4">
      <c r="A78" s="11" t="s">
        <v>237</v>
      </c>
      <c r="B78" s="124"/>
      <c r="C78" s="124"/>
    </row>
    <row r="79" spans="1:12" ht="17.25" customHeight="1" x14ac:dyDescent="0.35">
      <c r="A79" s="424" t="s">
        <v>28</v>
      </c>
      <c r="B79" s="416"/>
      <c r="C79" s="416"/>
      <c r="D79" s="416"/>
      <c r="E79" s="416"/>
      <c r="F79" s="417"/>
      <c r="G79" s="425" t="s">
        <v>238</v>
      </c>
      <c r="H79" s="416"/>
      <c r="I79" s="419"/>
    </row>
    <row r="80" spans="1:12" ht="29" x14ac:dyDescent="0.35">
      <c r="A80" s="125" t="s">
        <v>225</v>
      </c>
      <c r="B80" s="69" t="s">
        <v>31</v>
      </c>
      <c r="C80" s="69" t="s">
        <v>32</v>
      </c>
      <c r="D80" s="127" t="s">
        <v>239</v>
      </c>
      <c r="E80" s="50" t="s">
        <v>34</v>
      </c>
      <c r="F80" s="127" t="s">
        <v>35</v>
      </c>
      <c r="G80" s="127" t="s">
        <v>240</v>
      </c>
      <c r="H80" s="127" t="s">
        <v>241</v>
      </c>
      <c r="I80" s="71" t="s">
        <v>38</v>
      </c>
      <c r="K80" s="18" t="s">
        <v>39</v>
      </c>
      <c r="L80" s="19" t="s">
        <v>242</v>
      </c>
    </row>
    <row r="81" spans="1:12" ht="15.75" customHeight="1" x14ac:dyDescent="0.35">
      <c r="A81" s="72" t="s">
        <v>69</v>
      </c>
      <c r="B81" s="89">
        <v>1</v>
      </c>
      <c r="C81" s="443" t="s">
        <v>243</v>
      </c>
      <c r="D81" s="241" t="s">
        <v>244</v>
      </c>
      <c r="E81" s="74" t="s">
        <v>245</v>
      </c>
      <c r="F81" s="64">
        <v>0</v>
      </c>
      <c r="G81" s="242">
        <v>100000</v>
      </c>
      <c r="H81" s="77">
        <f>F81*G81*2</f>
        <v>0</v>
      </c>
      <c r="I81" s="78">
        <f t="shared" ref="I81:I136" si="2">H81*365</f>
        <v>0</v>
      </c>
      <c r="K81" s="18">
        <v>1</v>
      </c>
      <c r="L81" s="28">
        <f>SUM(I81:I88)</f>
        <v>0</v>
      </c>
    </row>
    <row r="82" spans="1:12" ht="15.75" customHeight="1" x14ac:dyDescent="0.35">
      <c r="A82" s="29" t="s">
        <v>69</v>
      </c>
      <c r="B82" s="30">
        <v>1</v>
      </c>
      <c r="C82" s="421"/>
      <c r="D82" s="31" t="s">
        <v>246</v>
      </c>
      <c r="E82" s="135" t="s">
        <v>245</v>
      </c>
      <c r="F82" s="65">
        <v>0</v>
      </c>
      <c r="G82" s="243">
        <v>500000</v>
      </c>
      <c r="H82" s="35">
        <f t="shared" ref="H82:H136" si="3">F82*G82</f>
        <v>0</v>
      </c>
      <c r="I82" s="36">
        <f t="shared" si="2"/>
        <v>0</v>
      </c>
      <c r="K82" s="18">
        <v>2</v>
      </c>
      <c r="L82" s="28">
        <f>SUM(I89:I96)</f>
        <v>0</v>
      </c>
    </row>
    <row r="83" spans="1:12" ht="14.5" x14ac:dyDescent="0.35">
      <c r="A83" s="80" t="s">
        <v>69</v>
      </c>
      <c r="B83" s="244">
        <v>1</v>
      </c>
      <c r="C83" s="421"/>
      <c r="D83" s="82" t="s">
        <v>247</v>
      </c>
      <c r="E83" s="82" t="s">
        <v>245</v>
      </c>
      <c r="F83" s="65">
        <v>0</v>
      </c>
      <c r="G83" s="245">
        <v>1000000</v>
      </c>
      <c r="H83" s="85">
        <f t="shared" si="3"/>
        <v>0</v>
      </c>
      <c r="I83" s="86">
        <f t="shared" si="2"/>
        <v>0</v>
      </c>
      <c r="K83" s="18" t="s">
        <v>46</v>
      </c>
      <c r="L83" s="28">
        <f>SUM(I97:I104)</f>
        <v>0</v>
      </c>
    </row>
    <row r="84" spans="1:12" ht="14.5" x14ac:dyDescent="0.35">
      <c r="A84" s="29" t="s">
        <v>69</v>
      </c>
      <c r="B84" s="30">
        <v>1</v>
      </c>
      <c r="C84" s="421"/>
      <c r="D84" s="31" t="s">
        <v>248</v>
      </c>
      <c r="E84" s="135" t="s">
        <v>245</v>
      </c>
      <c r="F84" s="65">
        <v>0</v>
      </c>
      <c r="G84" s="243">
        <v>5000000</v>
      </c>
      <c r="H84" s="35">
        <f t="shared" si="3"/>
        <v>0</v>
      </c>
      <c r="I84" s="36">
        <f t="shared" si="2"/>
        <v>0</v>
      </c>
      <c r="K84" s="18">
        <v>3</v>
      </c>
      <c r="L84" s="28">
        <f>SUM(I105:I112)</f>
        <v>0</v>
      </c>
    </row>
    <row r="85" spans="1:12" ht="14.5" x14ac:dyDescent="0.35">
      <c r="A85" s="80" t="s">
        <v>69</v>
      </c>
      <c r="B85" s="244">
        <v>1</v>
      </c>
      <c r="C85" s="421"/>
      <c r="D85" s="87" t="s">
        <v>249</v>
      </c>
      <c r="E85" s="82" t="s">
        <v>245</v>
      </c>
      <c r="F85" s="65">
        <v>0</v>
      </c>
      <c r="G85" s="245">
        <v>10000000</v>
      </c>
      <c r="H85" s="85">
        <f t="shared" si="3"/>
        <v>0</v>
      </c>
      <c r="I85" s="86">
        <f t="shared" si="2"/>
        <v>0</v>
      </c>
      <c r="K85" s="18" t="s">
        <v>49</v>
      </c>
      <c r="L85" s="28">
        <f>SUM(I113:I120)</f>
        <v>0</v>
      </c>
    </row>
    <row r="86" spans="1:12" ht="14.5" x14ac:dyDescent="0.35">
      <c r="A86" s="29" t="s">
        <v>69</v>
      </c>
      <c r="B86" s="30">
        <v>1</v>
      </c>
      <c r="C86" s="421"/>
      <c r="D86" s="31" t="s">
        <v>250</v>
      </c>
      <c r="E86" s="135" t="s">
        <v>245</v>
      </c>
      <c r="F86" s="65">
        <v>0</v>
      </c>
      <c r="G86" s="243">
        <v>50000000</v>
      </c>
      <c r="H86" s="35">
        <f t="shared" si="3"/>
        <v>0</v>
      </c>
      <c r="I86" s="36">
        <f t="shared" si="2"/>
        <v>0</v>
      </c>
      <c r="K86" s="18">
        <v>4</v>
      </c>
      <c r="L86" s="46">
        <f>SUM(I121:I128)</f>
        <v>0</v>
      </c>
    </row>
    <row r="87" spans="1:12" ht="14.5" x14ac:dyDescent="0.35">
      <c r="A87" s="80" t="s">
        <v>69</v>
      </c>
      <c r="B87" s="244">
        <v>1</v>
      </c>
      <c r="C87" s="421"/>
      <c r="D87" s="87" t="s">
        <v>251</v>
      </c>
      <c r="E87" s="82" t="s">
        <v>245</v>
      </c>
      <c r="F87" s="65">
        <v>0</v>
      </c>
      <c r="G87" s="245">
        <v>100000000</v>
      </c>
      <c r="H87" s="85">
        <f t="shared" si="3"/>
        <v>0</v>
      </c>
      <c r="I87" s="86">
        <f t="shared" si="2"/>
        <v>0</v>
      </c>
      <c r="K87" s="18" t="s">
        <v>53</v>
      </c>
      <c r="L87" s="46">
        <f>SUM(I129:I136)</f>
        <v>0</v>
      </c>
    </row>
    <row r="88" spans="1:12" ht="14.5" x14ac:dyDescent="0.35">
      <c r="A88" s="47" t="s">
        <v>69</v>
      </c>
      <c r="B88" s="48">
        <v>1</v>
      </c>
      <c r="C88" s="444"/>
      <c r="D88" s="49" t="s">
        <v>252</v>
      </c>
      <c r="E88" s="246" t="s">
        <v>245</v>
      </c>
      <c r="F88" s="66">
        <v>0</v>
      </c>
      <c r="G88" s="247">
        <v>500000000</v>
      </c>
      <c r="H88" s="53">
        <f t="shared" si="3"/>
        <v>0</v>
      </c>
      <c r="I88" s="54">
        <f t="shared" si="2"/>
        <v>0</v>
      </c>
      <c r="K88" s="18" t="s">
        <v>253</v>
      </c>
      <c r="L88" s="28">
        <f>SUM(L81:L87)</f>
        <v>0</v>
      </c>
    </row>
    <row r="89" spans="1:12" ht="15.75" customHeight="1" x14ac:dyDescent="0.35">
      <c r="A89" s="72" t="s">
        <v>71</v>
      </c>
      <c r="B89" s="89">
        <v>2</v>
      </c>
      <c r="C89" s="443" t="s">
        <v>254</v>
      </c>
      <c r="D89" s="241" t="s">
        <v>244</v>
      </c>
      <c r="E89" s="74" t="s">
        <v>245</v>
      </c>
      <c r="F89" s="64">
        <v>0</v>
      </c>
      <c r="G89" s="242">
        <v>100000</v>
      </c>
      <c r="H89" s="77">
        <f t="shared" si="3"/>
        <v>0</v>
      </c>
      <c r="I89" s="78">
        <f t="shared" si="2"/>
        <v>0</v>
      </c>
    </row>
    <row r="90" spans="1:12" ht="15.75" customHeight="1" x14ac:dyDescent="0.35">
      <c r="A90" s="29" t="s">
        <v>71</v>
      </c>
      <c r="B90" s="30">
        <v>2</v>
      </c>
      <c r="C90" s="421"/>
      <c r="D90" s="31" t="s">
        <v>246</v>
      </c>
      <c r="E90" s="135" t="s">
        <v>245</v>
      </c>
      <c r="F90" s="65">
        <v>0</v>
      </c>
      <c r="G90" s="243">
        <v>500000</v>
      </c>
      <c r="H90" s="35">
        <f t="shared" si="3"/>
        <v>0</v>
      </c>
      <c r="I90" s="36">
        <f t="shared" si="2"/>
        <v>0</v>
      </c>
    </row>
    <row r="91" spans="1:12" ht="14.5" x14ac:dyDescent="0.35">
      <c r="A91" s="80" t="s">
        <v>71</v>
      </c>
      <c r="B91" s="244">
        <v>2</v>
      </c>
      <c r="C91" s="421"/>
      <c r="D91" s="82" t="s">
        <v>247</v>
      </c>
      <c r="E91" s="82" t="s">
        <v>245</v>
      </c>
      <c r="F91" s="65">
        <v>0</v>
      </c>
      <c r="G91" s="245">
        <v>1000000</v>
      </c>
      <c r="H91" s="85">
        <f t="shared" si="3"/>
        <v>0</v>
      </c>
      <c r="I91" s="86">
        <f t="shared" si="2"/>
        <v>0</v>
      </c>
    </row>
    <row r="92" spans="1:12" ht="14.5" x14ac:dyDescent="0.35">
      <c r="A92" s="29" t="s">
        <v>71</v>
      </c>
      <c r="B92" s="30">
        <v>2</v>
      </c>
      <c r="C92" s="421"/>
      <c r="D92" s="31" t="s">
        <v>248</v>
      </c>
      <c r="E92" s="135" t="s">
        <v>245</v>
      </c>
      <c r="F92" s="65">
        <v>0</v>
      </c>
      <c r="G92" s="243">
        <v>5000000</v>
      </c>
      <c r="H92" s="35">
        <f t="shared" si="3"/>
        <v>0</v>
      </c>
      <c r="I92" s="36">
        <f t="shared" si="2"/>
        <v>0</v>
      </c>
    </row>
    <row r="93" spans="1:12" ht="14.5" x14ac:dyDescent="0.35">
      <c r="A93" s="80" t="s">
        <v>71</v>
      </c>
      <c r="B93" s="244">
        <v>2</v>
      </c>
      <c r="C93" s="421"/>
      <c r="D93" s="87" t="s">
        <v>249</v>
      </c>
      <c r="E93" s="82" t="s">
        <v>245</v>
      </c>
      <c r="F93" s="65">
        <v>0</v>
      </c>
      <c r="G93" s="245">
        <v>10000000</v>
      </c>
      <c r="H93" s="85">
        <f t="shared" si="3"/>
        <v>0</v>
      </c>
      <c r="I93" s="86">
        <f t="shared" si="2"/>
        <v>0</v>
      </c>
    </row>
    <row r="94" spans="1:12" ht="14.5" x14ac:dyDescent="0.35">
      <c r="A94" s="29" t="s">
        <v>71</v>
      </c>
      <c r="B94" s="30">
        <v>2</v>
      </c>
      <c r="C94" s="421"/>
      <c r="D94" s="31" t="s">
        <v>250</v>
      </c>
      <c r="E94" s="135" t="s">
        <v>245</v>
      </c>
      <c r="F94" s="65">
        <v>0</v>
      </c>
      <c r="G94" s="243">
        <v>50000000</v>
      </c>
      <c r="H94" s="35">
        <f t="shared" si="3"/>
        <v>0</v>
      </c>
      <c r="I94" s="36">
        <f t="shared" si="2"/>
        <v>0</v>
      </c>
    </row>
    <row r="95" spans="1:12" ht="14.5" x14ac:dyDescent="0.35">
      <c r="A95" s="80" t="s">
        <v>71</v>
      </c>
      <c r="B95" s="244">
        <v>2</v>
      </c>
      <c r="C95" s="421"/>
      <c r="D95" s="87" t="s">
        <v>251</v>
      </c>
      <c r="E95" s="82" t="s">
        <v>245</v>
      </c>
      <c r="F95" s="65">
        <v>0</v>
      </c>
      <c r="G95" s="245">
        <v>100000000</v>
      </c>
      <c r="H95" s="85">
        <f t="shared" si="3"/>
        <v>0</v>
      </c>
      <c r="I95" s="86">
        <f t="shared" si="2"/>
        <v>0</v>
      </c>
    </row>
    <row r="96" spans="1:12" ht="14.5" x14ac:dyDescent="0.35">
      <c r="A96" s="47" t="s">
        <v>71</v>
      </c>
      <c r="B96" s="48">
        <v>2</v>
      </c>
      <c r="C96" s="444"/>
      <c r="D96" s="49" t="s">
        <v>252</v>
      </c>
      <c r="E96" s="246" t="s">
        <v>245</v>
      </c>
      <c r="F96" s="66">
        <v>0</v>
      </c>
      <c r="G96" s="247">
        <v>500000000</v>
      </c>
      <c r="H96" s="53">
        <f t="shared" si="3"/>
        <v>0</v>
      </c>
      <c r="I96" s="54">
        <f t="shared" si="2"/>
        <v>0</v>
      </c>
    </row>
    <row r="97" spans="1:9" ht="15.75" customHeight="1" x14ac:dyDescent="0.35">
      <c r="A97" s="72" t="s">
        <v>74</v>
      </c>
      <c r="B97" s="89" t="s">
        <v>46</v>
      </c>
      <c r="C97" s="443" t="s">
        <v>255</v>
      </c>
      <c r="D97" s="241" t="s">
        <v>244</v>
      </c>
      <c r="E97" s="74" t="s">
        <v>245</v>
      </c>
      <c r="F97" s="64">
        <v>0</v>
      </c>
      <c r="G97" s="242">
        <v>100000</v>
      </c>
      <c r="H97" s="77">
        <f t="shared" si="3"/>
        <v>0</v>
      </c>
      <c r="I97" s="78">
        <f t="shared" si="2"/>
        <v>0</v>
      </c>
    </row>
    <row r="98" spans="1:9" ht="15.75" customHeight="1" x14ac:dyDescent="0.35">
      <c r="A98" s="29" t="s">
        <v>74</v>
      </c>
      <c r="B98" s="30" t="s">
        <v>46</v>
      </c>
      <c r="C98" s="421"/>
      <c r="D98" s="31" t="s">
        <v>246</v>
      </c>
      <c r="E98" s="135" t="s">
        <v>245</v>
      </c>
      <c r="F98" s="65">
        <v>0</v>
      </c>
      <c r="G98" s="243">
        <v>500000</v>
      </c>
      <c r="H98" s="35">
        <f t="shared" si="3"/>
        <v>0</v>
      </c>
      <c r="I98" s="36">
        <f t="shared" si="2"/>
        <v>0</v>
      </c>
    </row>
    <row r="99" spans="1:9" ht="14.5" x14ac:dyDescent="0.35">
      <c r="A99" s="80" t="s">
        <v>74</v>
      </c>
      <c r="B99" s="244" t="s">
        <v>46</v>
      </c>
      <c r="C99" s="421"/>
      <c r="D99" s="82" t="s">
        <v>247</v>
      </c>
      <c r="E99" s="82" t="s">
        <v>245</v>
      </c>
      <c r="F99" s="65">
        <v>0</v>
      </c>
      <c r="G99" s="245">
        <v>1000000</v>
      </c>
      <c r="H99" s="85">
        <f t="shared" si="3"/>
        <v>0</v>
      </c>
      <c r="I99" s="86">
        <f t="shared" si="2"/>
        <v>0</v>
      </c>
    </row>
    <row r="100" spans="1:9" ht="14.5" x14ac:dyDescent="0.35">
      <c r="A100" s="29" t="s">
        <v>74</v>
      </c>
      <c r="B100" s="30" t="s">
        <v>46</v>
      </c>
      <c r="C100" s="421"/>
      <c r="D100" s="31" t="s">
        <v>248</v>
      </c>
      <c r="E100" s="135" t="s">
        <v>245</v>
      </c>
      <c r="F100" s="65">
        <v>0</v>
      </c>
      <c r="G100" s="243">
        <v>5000000</v>
      </c>
      <c r="H100" s="35">
        <f t="shared" si="3"/>
        <v>0</v>
      </c>
      <c r="I100" s="36">
        <f t="shared" si="2"/>
        <v>0</v>
      </c>
    </row>
    <row r="101" spans="1:9" ht="15.75" customHeight="1" x14ac:dyDescent="0.35">
      <c r="A101" s="80" t="s">
        <v>74</v>
      </c>
      <c r="B101" s="244" t="s">
        <v>46</v>
      </c>
      <c r="C101" s="421"/>
      <c r="D101" s="87" t="s">
        <v>249</v>
      </c>
      <c r="E101" s="82" t="s">
        <v>245</v>
      </c>
      <c r="F101" s="65">
        <v>0</v>
      </c>
      <c r="G101" s="245">
        <v>10000000</v>
      </c>
      <c r="H101" s="85">
        <f t="shared" si="3"/>
        <v>0</v>
      </c>
      <c r="I101" s="86">
        <f t="shared" si="2"/>
        <v>0</v>
      </c>
    </row>
    <row r="102" spans="1:9" ht="15.75" customHeight="1" x14ac:dyDescent="0.35">
      <c r="A102" s="29" t="s">
        <v>74</v>
      </c>
      <c r="B102" s="30" t="s">
        <v>46</v>
      </c>
      <c r="C102" s="421"/>
      <c r="D102" s="31" t="s">
        <v>250</v>
      </c>
      <c r="E102" s="135" t="s">
        <v>245</v>
      </c>
      <c r="F102" s="65">
        <v>0</v>
      </c>
      <c r="G102" s="243">
        <v>50000000</v>
      </c>
      <c r="H102" s="35">
        <f t="shared" si="3"/>
        <v>0</v>
      </c>
      <c r="I102" s="36">
        <f t="shared" si="2"/>
        <v>0</v>
      </c>
    </row>
    <row r="103" spans="1:9" ht="15.75" customHeight="1" x14ac:dyDescent="0.35">
      <c r="A103" s="80" t="s">
        <v>74</v>
      </c>
      <c r="B103" s="244" t="s">
        <v>46</v>
      </c>
      <c r="C103" s="421"/>
      <c r="D103" s="87" t="s">
        <v>251</v>
      </c>
      <c r="E103" s="82" t="s">
        <v>245</v>
      </c>
      <c r="F103" s="65">
        <v>0</v>
      </c>
      <c r="G103" s="245">
        <v>100000000</v>
      </c>
      <c r="H103" s="85">
        <f t="shared" si="3"/>
        <v>0</v>
      </c>
      <c r="I103" s="86">
        <f t="shared" si="2"/>
        <v>0</v>
      </c>
    </row>
    <row r="104" spans="1:9" ht="15.75" customHeight="1" x14ac:dyDescent="0.35">
      <c r="A104" s="47" t="s">
        <v>74</v>
      </c>
      <c r="B104" s="48" t="s">
        <v>46</v>
      </c>
      <c r="C104" s="444"/>
      <c r="D104" s="49" t="s">
        <v>256</v>
      </c>
      <c r="E104" s="246" t="s">
        <v>245</v>
      </c>
      <c r="F104" s="66">
        <v>0</v>
      </c>
      <c r="G104" s="247">
        <v>500000000</v>
      </c>
      <c r="H104" s="53">
        <f t="shared" si="3"/>
        <v>0</v>
      </c>
      <c r="I104" s="54">
        <f t="shared" si="2"/>
        <v>0</v>
      </c>
    </row>
    <row r="105" spans="1:9" ht="15.75" customHeight="1" x14ac:dyDescent="0.35">
      <c r="A105" s="72" t="s">
        <v>76</v>
      </c>
      <c r="B105" s="89">
        <v>3</v>
      </c>
      <c r="C105" s="443" t="s">
        <v>257</v>
      </c>
      <c r="D105" s="241" t="s">
        <v>244</v>
      </c>
      <c r="E105" s="74" t="s">
        <v>245</v>
      </c>
      <c r="F105" s="64">
        <v>0</v>
      </c>
      <c r="G105" s="242">
        <v>100000</v>
      </c>
      <c r="H105" s="77">
        <f t="shared" si="3"/>
        <v>0</v>
      </c>
      <c r="I105" s="78">
        <f t="shared" si="2"/>
        <v>0</v>
      </c>
    </row>
    <row r="106" spans="1:9" ht="15.75" customHeight="1" x14ac:dyDescent="0.35">
      <c r="A106" s="29" t="s">
        <v>76</v>
      </c>
      <c r="B106" s="30">
        <v>3</v>
      </c>
      <c r="C106" s="421"/>
      <c r="D106" s="31" t="s">
        <v>246</v>
      </c>
      <c r="E106" s="135" t="s">
        <v>245</v>
      </c>
      <c r="F106" s="65">
        <v>0</v>
      </c>
      <c r="G106" s="243">
        <v>500000</v>
      </c>
      <c r="H106" s="35">
        <f t="shared" si="3"/>
        <v>0</v>
      </c>
      <c r="I106" s="36">
        <f t="shared" si="2"/>
        <v>0</v>
      </c>
    </row>
    <row r="107" spans="1:9" ht="15.75" customHeight="1" x14ac:dyDescent="0.35">
      <c r="A107" s="80" t="s">
        <v>76</v>
      </c>
      <c r="B107" s="244">
        <v>3</v>
      </c>
      <c r="C107" s="421"/>
      <c r="D107" s="82" t="s">
        <v>247</v>
      </c>
      <c r="E107" s="82" t="s">
        <v>245</v>
      </c>
      <c r="F107" s="65">
        <v>0</v>
      </c>
      <c r="G107" s="245">
        <v>1000000</v>
      </c>
      <c r="H107" s="85">
        <f t="shared" si="3"/>
        <v>0</v>
      </c>
      <c r="I107" s="86">
        <f t="shared" si="2"/>
        <v>0</v>
      </c>
    </row>
    <row r="108" spans="1:9" ht="15.75" customHeight="1" x14ac:dyDescent="0.35">
      <c r="A108" s="29" t="s">
        <v>76</v>
      </c>
      <c r="B108" s="30">
        <v>3</v>
      </c>
      <c r="C108" s="421"/>
      <c r="D108" s="31" t="s">
        <v>248</v>
      </c>
      <c r="E108" s="135" t="s">
        <v>245</v>
      </c>
      <c r="F108" s="65">
        <v>0</v>
      </c>
      <c r="G108" s="243">
        <v>5000000</v>
      </c>
      <c r="H108" s="35">
        <f t="shared" si="3"/>
        <v>0</v>
      </c>
      <c r="I108" s="36">
        <f t="shared" si="2"/>
        <v>0</v>
      </c>
    </row>
    <row r="109" spans="1:9" ht="15.75" customHeight="1" x14ac:dyDescent="0.35">
      <c r="A109" s="80" t="s">
        <v>76</v>
      </c>
      <c r="B109" s="244">
        <v>3</v>
      </c>
      <c r="C109" s="421"/>
      <c r="D109" s="87" t="s">
        <v>249</v>
      </c>
      <c r="E109" s="82" t="s">
        <v>245</v>
      </c>
      <c r="F109" s="65">
        <v>0</v>
      </c>
      <c r="G109" s="245">
        <v>10000000</v>
      </c>
      <c r="H109" s="85">
        <f t="shared" si="3"/>
        <v>0</v>
      </c>
      <c r="I109" s="86">
        <f t="shared" si="2"/>
        <v>0</v>
      </c>
    </row>
    <row r="110" spans="1:9" ht="15.75" customHeight="1" x14ac:dyDescent="0.35">
      <c r="A110" s="29" t="s">
        <v>76</v>
      </c>
      <c r="B110" s="30">
        <v>3</v>
      </c>
      <c r="C110" s="421"/>
      <c r="D110" s="31" t="s">
        <v>250</v>
      </c>
      <c r="E110" s="135" t="s">
        <v>245</v>
      </c>
      <c r="F110" s="65">
        <v>0</v>
      </c>
      <c r="G110" s="243">
        <v>50000000</v>
      </c>
      <c r="H110" s="35">
        <f t="shared" si="3"/>
        <v>0</v>
      </c>
      <c r="I110" s="36">
        <f t="shared" si="2"/>
        <v>0</v>
      </c>
    </row>
    <row r="111" spans="1:9" ht="15.75" customHeight="1" x14ac:dyDescent="0.35">
      <c r="A111" s="80" t="s">
        <v>76</v>
      </c>
      <c r="B111" s="244">
        <v>3</v>
      </c>
      <c r="C111" s="421"/>
      <c r="D111" s="87" t="s">
        <v>251</v>
      </c>
      <c r="E111" s="82" t="s">
        <v>245</v>
      </c>
      <c r="F111" s="65">
        <v>0</v>
      </c>
      <c r="G111" s="245">
        <v>100000000</v>
      </c>
      <c r="H111" s="85">
        <f t="shared" si="3"/>
        <v>0</v>
      </c>
      <c r="I111" s="86">
        <f t="shared" si="2"/>
        <v>0</v>
      </c>
    </row>
    <row r="112" spans="1:9" ht="15.75" customHeight="1" x14ac:dyDescent="0.35">
      <c r="A112" s="47" t="s">
        <v>76</v>
      </c>
      <c r="B112" s="48">
        <v>3</v>
      </c>
      <c r="C112" s="444"/>
      <c r="D112" s="49" t="s">
        <v>252</v>
      </c>
      <c r="E112" s="246" t="s">
        <v>245</v>
      </c>
      <c r="F112" s="66">
        <v>0</v>
      </c>
      <c r="G112" s="247">
        <v>500000000</v>
      </c>
      <c r="H112" s="53">
        <f t="shared" si="3"/>
        <v>0</v>
      </c>
      <c r="I112" s="54">
        <f t="shared" si="2"/>
        <v>0</v>
      </c>
    </row>
    <row r="113" spans="1:9" ht="15.75" customHeight="1" x14ac:dyDescent="0.35">
      <c r="A113" s="72" t="s">
        <v>78</v>
      </c>
      <c r="B113" s="89" t="s">
        <v>49</v>
      </c>
      <c r="C113" s="443" t="s">
        <v>245</v>
      </c>
      <c r="D113" s="241" t="s">
        <v>244</v>
      </c>
      <c r="E113" s="74" t="s">
        <v>245</v>
      </c>
      <c r="F113" s="64">
        <v>0</v>
      </c>
      <c r="G113" s="242">
        <v>100000</v>
      </c>
      <c r="H113" s="77">
        <f t="shared" si="3"/>
        <v>0</v>
      </c>
      <c r="I113" s="78">
        <f t="shared" si="2"/>
        <v>0</v>
      </c>
    </row>
    <row r="114" spans="1:9" ht="15.75" customHeight="1" x14ac:dyDescent="0.35">
      <c r="A114" s="29" t="s">
        <v>78</v>
      </c>
      <c r="B114" s="30" t="s">
        <v>49</v>
      </c>
      <c r="C114" s="421"/>
      <c r="D114" s="31" t="s">
        <v>246</v>
      </c>
      <c r="E114" s="135" t="s">
        <v>245</v>
      </c>
      <c r="F114" s="65">
        <v>0</v>
      </c>
      <c r="G114" s="243">
        <v>500000</v>
      </c>
      <c r="H114" s="35">
        <f t="shared" si="3"/>
        <v>0</v>
      </c>
      <c r="I114" s="36">
        <f t="shared" si="2"/>
        <v>0</v>
      </c>
    </row>
    <row r="115" spans="1:9" ht="15.75" customHeight="1" x14ac:dyDescent="0.35">
      <c r="A115" s="80" t="s">
        <v>78</v>
      </c>
      <c r="B115" s="244" t="s">
        <v>49</v>
      </c>
      <c r="C115" s="421"/>
      <c r="D115" s="82" t="s">
        <v>247</v>
      </c>
      <c r="E115" s="82" t="s">
        <v>245</v>
      </c>
      <c r="F115" s="65">
        <v>0</v>
      </c>
      <c r="G115" s="245">
        <v>1000000</v>
      </c>
      <c r="H115" s="85">
        <f t="shared" si="3"/>
        <v>0</v>
      </c>
      <c r="I115" s="86">
        <f t="shared" si="2"/>
        <v>0</v>
      </c>
    </row>
    <row r="116" spans="1:9" ht="15.75" customHeight="1" x14ac:dyDescent="0.35">
      <c r="A116" s="29" t="s">
        <v>78</v>
      </c>
      <c r="B116" s="30" t="s">
        <v>49</v>
      </c>
      <c r="C116" s="421"/>
      <c r="D116" s="31" t="s">
        <v>248</v>
      </c>
      <c r="E116" s="135" t="s">
        <v>245</v>
      </c>
      <c r="F116" s="65">
        <v>0</v>
      </c>
      <c r="G116" s="243">
        <v>5000000</v>
      </c>
      <c r="H116" s="35">
        <f t="shared" si="3"/>
        <v>0</v>
      </c>
      <c r="I116" s="36">
        <f t="shared" si="2"/>
        <v>0</v>
      </c>
    </row>
    <row r="117" spans="1:9" ht="15.75" customHeight="1" x14ac:dyDescent="0.35">
      <c r="A117" s="80" t="s">
        <v>78</v>
      </c>
      <c r="B117" s="244" t="s">
        <v>49</v>
      </c>
      <c r="C117" s="421"/>
      <c r="D117" s="87" t="s">
        <v>249</v>
      </c>
      <c r="E117" s="82" t="s">
        <v>245</v>
      </c>
      <c r="F117" s="65">
        <v>0</v>
      </c>
      <c r="G117" s="245">
        <v>10000000</v>
      </c>
      <c r="H117" s="85">
        <f t="shared" si="3"/>
        <v>0</v>
      </c>
      <c r="I117" s="86">
        <f t="shared" si="2"/>
        <v>0</v>
      </c>
    </row>
    <row r="118" spans="1:9" ht="15.75" customHeight="1" x14ac:dyDescent="0.35">
      <c r="A118" s="29" t="s">
        <v>78</v>
      </c>
      <c r="B118" s="30" t="s">
        <v>49</v>
      </c>
      <c r="C118" s="421"/>
      <c r="D118" s="31" t="s">
        <v>250</v>
      </c>
      <c r="E118" s="135" t="s">
        <v>245</v>
      </c>
      <c r="F118" s="65">
        <v>0</v>
      </c>
      <c r="G118" s="243">
        <v>50000000</v>
      </c>
      <c r="H118" s="35">
        <f t="shared" si="3"/>
        <v>0</v>
      </c>
      <c r="I118" s="36">
        <f t="shared" si="2"/>
        <v>0</v>
      </c>
    </row>
    <row r="119" spans="1:9" ht="15.75" customHeight="1" x14ac:dyDescent="0.35">
      <c r="A119" s="80" t="s">
        <v>78</v>
      </c>
      <c r="B119" s="244" t="s">
        <v>49</v>
      </c>
      <c r="C119" s="421"/>
      <c r="D119" s="87" t="s">
        <v>251</v>
      </c>
      <c r="E119" s="82" t="s">
        <v>245</v>
      </c>
      <c r="F119" s="65">
        <v>0</v>
      </c>
      <c r="G119" s="245">
        <v>100000000</v>
      </c>
      <c r="H119" s="85">
        <f t="shared" si="3"/>
        <v>0</v>
      </c>
      <c r="I119" s="86">
        <f t="shared" si="2"/>
        <v>0</v>
      </c>
    </row>
    <row r="120" spans="1:9" ht="15.75" customHeight="1" x14ac:dyDescent="0.35">
      <c r="A120" s="47" t="s">
        <v>78</v>
      </c>
      <c r="B120" s="48" t="s">
        <v>49</v>
      </c>
      <c r="C120" s="444"/>
      <c r="D120" s="49" t="s">
        <v>252</v>
      </c>
      <c r="E120" s="246" t="s">
        <v>245</v>
      </c>
      <c r="F120" s="66">
        <v>0</v>
      </c>
      <c r="G120" s="247">
        <v>500000000</v>
      </c>
      <c r="H120" s="53">
        <f t="shared" si="3"/>
        <v>0</v>
      </c>
      <c r="I120" s="54">
        <f t="shared" si="2"/>
        <v>0</v>
      </c>
    </row>
    <row r="121" spans="1:9" ht="15.75" customHeight="1" x14ac:dyDescent="0.35">
      <c r="A121" s="72" t="s">
        <v>80</v>
      </c>
      <c r="B121" s="89">
        <v>4</v>
      </c>
      <c r="C121" s="443" t="s">
        <v>258</v>
      </c>
      <c r="D121" s="241" t="s">
        <v>244</v>
      </c>
      <c r="E121" s="74" t="s">
        <v>245</v>
      </c>
      <c r="F121" s="64">
        <v>0</v>
      </c>
      <c r="G121" s="242">
        <v>100000</v>
      </c>
      <c r="H121" s="77">
        <f t="shared" si="3"/>
        <v>0</v>
      </c>
      <c r="I121" s="78">
        <f t="shared" si="2"/>
        <v>0</v>
      </c>
    </row>
    <row r="122" spans="1:9" ht="15.75" customHeight="1" x14ac:dyDescent="0.35">
      <c r="A122" s="29" t="s">
        <v>80</v>
      </c>
      <c r="B122" s="30">
        <v>4</v>
      </c>
      <c r="C122" s="421"/>
      <c r="D122" s="31" t="s">
        <v>246</v>
      </c>
      <c r="E122" s="135" t="s">
        <v>245</v>
      </c>
      <c r="F122" s="65">
        <v>0</v>
      </c>
      <c r="G122" s="243">
        <v>500000</v>
      </c>
      <c r="H122" s="35">
        <f t="shared" si="3"/>
        <v>0</v>
      </c>
      <c r="I122" s="36">
        <f t="shared" si="2"/>
        <v>0</v>
      </c>
    </row>
    <row r="123" spans="1:9" ht="15.75" customHeight="1" x14ac:dyDescent="0.35">
      <c r="A123" s="80" t="s">
        <v>80</v>
      </c>
      <c r="B123" s="244">
        <v>4</v>
      </c>
      <c r="C123" s="421"/>
      <c r="D123" s="82" t="s">
        <v>247</v>
      </c>
      <c r="E123" s="82" t="s">
        <v>245</v>
      </c>
      <c r="F123" s="65">
        <v>0</v>
      </c>
      <c r="G123" s="245">
        <v>1000000</v>
      </c>
      <c r="H123" s="85">
        <f t="shared" si="3"/>
        <v>0</v>
      </c>
      <c r="I123" s="86">
        <f t="shared" si="2"/>
        <v>0</v>
      </c>
    </row>
    <row r="124" spans="1:9" ht="15.75" customHeight="1" x14ac:dyDescent="0.35">
      <c r="A124" s="29" t="s">
        <v>80</v>
      </c>
      <c r="B124" s="30">
        <v>4</v>
      </c>
      <c r="C124" s="421"/>
      <c r="D124" s="31" t="s">
        <v>248</v>
      </c>
      <c r="E124" s="135" t="s">
        <v>245</v>
      </c>
      <c r="F124" s="65">
        <v>0</v>
      </c>
      <c r="G124" s="243">
        <v>5000000</v>
      </c>
      <c r="H124" s="35">
        <f t="shared" si="3"/>
        <v>0</v>
      </c>
      <c r="I124" s="36">
        <f t="shared" si="2"/>
        <v>0</v>
      </c>
    </row>
    <row r="125" spans="1:9" ht="15.75" customHeight="1" x14ac:dyDescent="0.35">
      <c r="A125" s="80" t="s">
        <v>80</v>
      </c>
      <c r="B125" s="244">
        <v>4</v>
      </c>
      <c r="C125" s="421"/>
      <c r="D125" s="87" t="s">
        <v>249</v>
      </c>
      <c r="E125" s="82" t="s">
        <v>245</v>
      </c>
      <c r="F125" s="65">
        <v>0</v>
      </c>
      <c r="G125" s="245">
        <v>10000000</v>
      </c>
      <c r="H125" s="85">
        <f t="shared" si="3"/>
        <v>0</v>
      </c>
      <c r="I125" s="86">
        <f t="shared" si="2"/>
        <v>0</v>
      </c>
    </row>
    <row r="126" spans="1:9" ht="15.75" customHeight="1" x14ac:dyDescent="0.35">
      <c r="A126" s="29" t="s">
        <v>80</v>
      </c>
      <c r="B126" s="30">
        <v>4</v>
      </c>
      <c r="C126" s="421"/>
      <c r="D126" s="31" t="s">
        <v>250</v>
      </c>
      <c r="E126" s="135" t="s">
        <v>245</v>
      </c>
      <c r="F126" s="65">
        <v>0</v>
      </c>
      <c r="G126" s="243">
        <v>50000000</v>
      </c>
      <c r="H126" s="35">
        <f t="shared" si="3"/>
        <v>0</v>
      </c>
      <c r="I126" s="36">
        <f t="shared" si="2"/>
        <v>0</v>
      </c>
    </row>
    <row r="127" spans="1:9" ht="15.75" customHeight="1" x14ac:dyDescent="0.35">
      <c r="A127" s="80" t="s">
        <v>80</v>
      </c>
      <c r="B127" s="244">
        <v>4</v>
      </c>
      <c r="C127" s="421"/>
      <c r="D127" s="87" t="s">
        <v>251</v>
      </c>
      <c r="E127" s="82" t="s">
        <v>245</v>
      </c>
      <c r="F127" s="65">
        <v>0</v>
      </c>
      <c r="G127" s="245">
        <v>100000000</v>
      </c>
      <c r="H127" s="85">
        <f t="shared" si="3"/>
        <v>0</v>
      </c>
      <c r="I127" s="86">
        <f t="shared" si="2"/>
        <v>0</v>
      </c>
    </row>
    <row r="128" spans="1:9" ht="15.75" customHeight="1" x14ac:dyDescent="0.35">
      <c r="A128" s="47" t="s">
        <v>80</v>
      </c>
      <c r="B128" s="48">
        <v>4</v>
      </c>
      <c r="C128" s="444"/>
      <c r="D128" s="49" t="s">
        <v>252</v>
      </c>
      <c r="E128" s="246" t="s">
        <v>245</v>
      </c>
      <c r="F128" s="66">
        <v>0</v>
      </c>
      <c r="G128" s="247">
        <v>500000000</v>
      </c>
      <c r="H128" s="53">
        <f t="shared" si="3"/>
        <v>0</v>
      </c>
      <c r="I128" s="54">
        <f t="shared" si="2"/>
        <v>0</v>
      </c>
    </row>
    <row r="129" spans="1:9" ht="15.75" customHeight="1" x14ac:dyDescent="0.35">
      <c r="A129" s="72" t="s">
        <v>82</v>
      </c>
      <c r="B129" s="89" t="s">
        <v>53</v>
      </c>
      <c r="C129" s="443" t="s">
        <v>259</v>
      </c>
      <c r="D129" s="241" t="s">
        <v>244</v>
      </c>
      <c r="E129" s="74" t="s">
        <v>245</v>
      </c>
      <c r="F129" s="64">
        <v>0</v>
      </c>
      <c r="G129" s="242">
        <v>100000</v>
      </c>
      <c r="H129" s="77">
        <f t="shared" si="3"/>
        <v>0</v>
      </c>
      <c r="I129" s="78">
        <f t="shared" si="2"/>
        <v>0</v>
      </c>
    </row>
    <row r="130" spans="1:9" ht="15.75" customHeight="1" x14ac:dyDescent="0.35">
      <c r="A130" s="29" t="s">
        <v>82</v>
      </c>
      <c r="B130" s="30" t="s">
        <v>53</v>
      </c>
      <c r="C130" s="421"/>
      <c r="D130" s="31" t="s">
        <v>246</v>
      </c>
      <c r="E130" s="135" t="s">
        <v>245</v>
      </c>
      <c r="F130" s="65">
        <v>0</v>
      </c>
      <c r="G130" s="243">
        <v>500000</v>
      </c>
      <c r="H130" s="35">
        <f t="shared" si="3"/>
        <v>0</v>
      </c>
      <c r="I130" s="36">
        <f t="shared" si="2"/>
        <v>0</v>
      </c>
    </row>
    <row r="131" spans="1:9" ht="15.75" customHeight="1" x14ac:dyDescent="0.35">
      <c r="A131" s="80" t="s">
        <v>82</v>
      </c>
      <c r="B131" s="244" t="s">
        <v>53</v>
      </c>
      <c r="C131" s="421"/>
      <c r="D131" s="82" t="s">
        <v>247</v>
      </c>
      <c r="E131" s="82" t="s">
        <v>245</v>
      </c>
      <c r="F131" s="65">
        <v>0</v>
      </c>
      <c r="G131" s="245">
        <v>1000000</v>
      </c>
      <c r="H131" s="85">
        <f t="shared" si="3"/>
        <v>0</v>
      </c>
      <c r="I131" s="86">
        <f t="shared" si="2"/>
        <v>0</v>
      </c>
    </row>
    <row r="132" spans="1:9" ht="15.75" customHeight="1" x14ac:dyDescent="0.35">
      <c r="A132" s="29" t="s">
        <v>82</v>
      </c>
      <c r="B132" s="30" t="s">
        <v>53</v>
      </c>
      <c r="C132" s="421"/>
      <c r="D132" s="31" t="s">
        <v>248</v>
      </c>
      <c r="E132" s="135" t="s">
        <v>245</v>
      </c>
      <c r="F132" s="65">
        <v>0</v>
      </c>
      <c r="G132" s="243">
        <v>5000000</v>
      </c>
      <c r="H132" s="35">
        <f t="shared" si="3"/>
        <v>0</v>
      </c>
      <c r="I132" s="36">
        <f t="shared" si="2"/>
        <v>0</v>
      </c>
    </row>
    <row r="133" spans="1:9" ht="15.75" customHeight="1" x14ac:dyDescent="0.35">
      <c r="A133" s="80" t="s">
        <v>82</v>
      </c>
      <c r="B133" s="244" t="s">
        <v>53</v>
      </c>
      <c r="C133" s="421"/>
      <c r="D133" s="87" t="s">
        <v>249</v>
      </c>
      <c r="E133" s="82" t="s">
        <v>245</v>
      </c>
      <c r="F133" s="65">
        <v>0</v>
      </c>
      <c r="G133" s="245">
        <v>10000000</v>
      </c>
      <c r="H133" s="85">
        <f t="shared" si="3"/>
        <v>0</v>
      </c>
      <c r="I133" s="86">
        <f t="shared" si="2"/>
        <v>0</v>
      </c>
    </row>
    <row r="134" spans="1:9" ht="15.75" customHeight="1" x14ac:dyDescent="0.35">
      <c r="A134" s="29" t="s">
        <v>82</v>
      </c>
      <c r="B134" s="30" t="s">
        <v>53</v>
      </c>
      <c r="C134" s="421"/>
      <c r="D134" s="31" t="s">
        <v>250</v>
      </c>
      <c r="E134" s="135" t="s">
        <v>245</v>
      </c>
      <c r="F134" s="65">
        <v>0</v>
      </c>
      <c r="G134" s="243">
        <v>50000000</v>
      </c>
      <c r="H134" s="35">
        <f t="shared" si="3"/>
        <v>0</v>
      </c>
      <c r="I134" s="36">
        <f t="shared" si="2"/>
        <v>0</v>
      </c>
    </row>
    <row r="135" spans="1:9" ht="15.75" customHeight="1" x14ac:dyDescent="0.35">
      <c r="A135" s="80" t="s">
        <v>82</v>
      </c>
      <c r="B135" s="244" t="s">
        <v>53</v>
      </c>
      <c r="C135" s="421"/>
      <c r="D135" s="87" t="s">
        <v>251</v>
      </c>
      <c r="E135" s="82" t="s">
        <v>245</v>
      </c>
      <c r="F135" s="65">
        <v>0</v>
      </c>
      <c r="G135" s="245">
        <v>100000000</v>
      </c>
      <c r="H135" s="85">
        <f t="shared" si="3"/>
        <v>0</v>
      </c>
      <c r="I135" s="86">
        <f t="shared" si="2"/>
        <v>0</v>
      </c>
    </row>
    <row r="136" spans="1:9" ht="15.75" customHeight="1" x14ac:dyDescent="0.35">
      <c r="A136" s="47" t="s">
        <v>82</v>
      </c>
      <c r="B136" s="48" t="s">
        <v>53</v>
      </c>
      <c r="C136" s="422"/>
      <c r="D136" s="49" t="s">
        <v>252</v>
      </c>
      <c r="E136" s="246" t="s">
        <v>245</v>
      </c>
      <c r="F136" s="66">
        <v>0</v>
      </c>
      <c r="G136" s="247">
        <v>500000000</v>
      </c>
      <c r="H136" s="53">
        <f t="shared" si="3"/>
        <v>0</v>
      </c>
      <c r="I136" s="54">
        <f t="shared" si="2"/>
        <v>0</v>
      </c>
    </row>
    <row r="137" spans="1:9" ht="15.75" customHeight="1" x14ac:dyDescent="0.35"/>
    <row r="138" spans="1:9" ht="15.75" customHeight="1" x14ac:dyDescent="0.35"/>
    <row r="139" spans="1:9" ht="15.75" customHeight="1" x14ac:dyDescent="0.35"/>
    <row r="140" spans="1:9" ht="15.75" customHeight="1" x14ac:dyDescent="0.35"/>
    <row r="141" spans="1:9" ht="15.75" customHeight="1" x14ac:dyDescent="0.35"/>
    <row r="142" spans="1:9" ht="15.75" customHeight="1" x14ac:dyDescent="0.35"/>
    <row r="143" spans="1:9" ht="15.75" customHeight="1" x14ac:dyDescent="0.35"/>
    <row r="144" spans="1:9"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sheetData>
  <mergeCells count="18">
    <mergeCell ref="C129:C136"/>
    <mergeCell ref="C56:C65"/>
    <mergeCell ref="C66:C75"/>
    <mergeCell ref="A79:F79"/>
    <mergeCell ref="G79:I79"/>
    <mergeCell ref="C81:C88"/>
    <mergeCell ref="C89:C96"/>
    <mergeCell ref="C97:C104"/>
    <mergeCell ref="C36:C45"/>
    <mergeCell ref="C46:C55"/>
    <mergeCell ref="C105:C112"/>
    <mergeCell ref="C113:C120"/>
    <mergeCell ref="C121:C128"/>
    <mergeCell ref="A4:F4"/>
    <mergeCell ref="G4:I4"/>
    <mergeCell ref="C6:C15"/>
    <mergeCell ref="C16:C25"/>
    <mergeCell ref="C26:C35"/>
  </mergeCells>
  <pageMargins left="0.7" right="0.7" top="0.75" bottom="0.75" header="0" footer="0"/>
  <pageSetup orientation="landscape"/>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792"/>
  <sheetViews>
    <sheetView workbookViewId="0"/>
  </sheetViews>
  <sheetFormatPr defaultColWidth="12.6328125" defaultRowHeight="15" customHeight="1" x14ac:dyDescent="0.35"/>
  <cols>
    <col min="1" max="1" width="10.6328125" customWidth="1"/>
    <col min="2" max="2" width="13.08984375" customWidth="1"/>
    <col min="3" max="3" width="27.90625" customWidth="1"/>
    <col min="4" max="4" width="18.36328125" customWidth="1"/>
    <col min="5" max="6" width="8.6328125" customWidth="1"/>
    <col min="7" max="7" width="15.26953125" customWidth="1"/>
    <col min="8" max="8" width="19.7265625" customWidth="1"/>
    <col min="9" max="9" width="17.6328125" customWidth="1"/>
    <col min="10" max="10" width="8.6328125" customWidth="1"/>
    <col min="11" max="11" width="17.26953125" customWidth="1"/>
    <col min="12" max="12" width="57" customWidth="1"/>
    <col min="13" max="26" width="8.6328125" customWidth="1"/>
  </cols>
  <sheetData>
    <row r="1" spans="1:12" ht="18.5" x14ac:dyDescent="0.45">
      <c r="A1" s="10" t="s">
        <v>222</v>
      </c>
      <c r="B1" s="124"/>
      <c r="C1" s="124"/>
    </row>
    <row r="2" spans="1:12" ht="18" x14ac:dyDescent="0.4">
      <c r="A2" s="11" t="s">
        <v>120</v>
      </c>
      <c r="B2" s="124"/>
      <c r="C2" s="124"/>
    </row>
    <row r="3" spans="1:12" ht="24.75" customHeight="1" x14ac:dyDescent="0.4">
      <c r="A3" s="11" t="s">
        <v>223</v>
      </c>
      <c r="B3" s="124"/>
      <c r="C3" s="124"/>
    </row>
    <row r="4" spans="1:12" ht="15.75" customHeight="1" x14ac:dyDescent="0.35">
      <c r="A4" s="427" t="s">
        <v>28</v>
      </c>
      <c r="B4" s="416"/>
      <c r="C4" s="416"/>
      <c r="D4" s="416"/>
      <c r="E4" s="416"/>
      <c r="F4" s="417"/>
      <c r="G4" s="428" t="s">
        <v>224</v>
      </c>
      <c r="H4" s="416"/>
      <c r="I4" s="419"/>
    </row>
    <row r="5" spans="1:12" ht="29" x14ac:dyDescent="0.35">
      <c r="A5" s="125" t="s">
        <v>225</v>
      </c>
      <c r="B5" s="69" t="s">
        <v>31</v>
      </c>
      <c r="C5" s="69" t="s">
        <v>32</v>
      </c>
      <c r="D5" s="127" t="s">
        <v>226</v>
      </c>
      <c r="E5" s="50" t="s">
        <v>34</v>
      </c>
      <c r="F5" s="69" t="s">
        <v>35</v>
      </c>
      <c r="G5" s="127" t="s">
        <v>227</v>
      </c>
      <c r="H5" s="14" t="s">
        <v>37</v>
      </c>
      <c r="I5" s="128" t="s">
        <v>38</v>
      </c>
      <c r="K5" s="18" t="s">
        <v>39</v>
      </c>
      <c r="L5" s="19" t="s">
        <v>260</v>
      </c>
    </row>
    <row r="6" spans="1:12" ht="15.75" customHeight="1" x14ac:dyDescent="0.35">
      <c r="A6" s="90">
        <v>1001</v>
      </c>
      <c r="B6" s="105">
        <v>1</v>
      </c>
      <c r="C6" s="429" t="s">
        <v>261</v>
      </c>
      <c r="D6" s="221">
        <v>1</v>
      </c>
      <c r="E6" s="93" t="s">
        <v>43</v>
      </c>
      <c r="F6" s="64">
        <v>0</v>
      </c>
      <c r="G6" s="222">
        <v>1</v>
      </c>
      <c r="H6" s="95">
        <f t="shared" ref="H6:H75" si="0">F6*G6</f>
        <v>0</v>
      </c>
      <c r="I6" s="223">
        <f t="shared" ref="I6:I75" si="1">H6*365</f>
        <v>0</v>
      </c>
      <c r="K6" s="18">
        <v>1</v>
      </c>
      <c r="L6" s="28">
        <f>SUM(I6:I15)</f>
        <v>0</v>
      </c>
    </row>
    <row r="7" spans="1:12" ht="15.75" customHeight="1" x14ac:dyDescent="0.35">
      <c r="A7" s="29">
        <v>1001</v>
      </c>
      <c r="B7" s="30">
        <v>1</v>
      </c>
      <c r="C7" s="421"/>
      <c r="D7" s="181">
        <v>2</v>
      </c>
      <c r="E7" s="32" t="s">
        <v>43</v>
      </c>
      <c r="F7" s="65">
        <v>0</v>
      </c>
      <c r="G7" s="182">
        <v>2</v>
      </c>
      <c r="H7" s="35">
        <f t="shared" si="0"/>
        <v>0</v>
      </c>
      <c r="I7" s="183">
        <f t="shared" si="1"/>
        <v>0</v>
      </c>
      <c r="K7" s="18">
        <v>2</v>
      </c>
      <c r="L7" s="28">
        <f>SUM(I16:I25)</f>
        <v>0</v>
      </c>
    </row>
    <row r="8" spans="1:12" ht="15.75" customHeight="1" x14ac:dyDescent="0.35">
      <c r="A8" s="97">
        <v>1001</v>
      </c>
      <c r="B8" s="224">
        <v>1</v>
      </c>
      <c r="C8" s="421"/>
      <c r="D8" s="225">
        <v>3</v>
      </c>
      <c r="E8" s="100" t="s">
        <v>43</v>
      </c>
      <c r="F8" s="65">
        <v>0</v>
      </c>
      <c r="G8" s="226">
        <v>3</v>
      </c>
      <c r="H8" s="102">
        <f t="shared" si="0"/>
        <v>0</v>
      </c>
      <c r="I8" s="227">
        <f t="shared" si="1"/>
        <v>0</v>
      </c>
      <c r="K8" s="18" t="s">
        <v>46</v>
      </c>
      <c r="L8" s="28">
        <f>SUM(I26:I35)</f>
        <v>0</v>
      </c>
    </row>
    <row r="9" spans="1:12" ht="15.75" customHeight="1" x14ac:dyDescent="0.35">
      <c r="A9" s="29">
        <v>1001</v>
      </c>
      <c r="B9" s="30">
        <v>1</v>
      </c>
      <c r="C9" s="421"/>
      <c r="D9" s="181">
        <v>4</v>
      </c>
      <c r="E9" s="32" t="s">
        <v>43</v>
      </c>
      <c r="F9" s="65">
        <v>0</v>
      </c>
      <c r="G9" s="182">
        <v>4</v>
      </c>
      <c r="H9" s="35">
        <f t="shared" si="0"/>
        <v>0</v>
      </c>
      <c r="I9" s="183">
        <f t="shared" si="1"/>
        <v>0</v>
      </c>
      <c r="K9" s="18">
        <v>3</v>
      </c>
      <c r="L9" s="28">
        <f>SUM(I36:I45)</f>
        <v>0</v>
      </c>
    </row>
    <row r="10" spans="1:12" ht="15.75" customHeight="1" x14ac:dyDescent="0.35">
      <c r="A10" s="97">
        <v>1001</v>
      </c>
      <c r="B10" s="224">
        <v>1</v>
      </c>
      <c r="C10" s="421"/>
      <c r="D10" s="225">
        <v>5</v>
      </c>
      <c r="E10" s="100" t="s">
        <v>43</v>
      </c>
      <c r="F10" s="65">
        <v>0</v>
      </c>
      <c r="G10" s="226">
        <v>5</v>
      </c>
      <c r="H10" s="102">
        <f t="shared" si="0"/>
        <v>0</v>
      </c>
      <c r="I10" s="227">
        <f t="shared" si="1"/>
        <v>0</v>
      </c>
      <c r="K10" s="18" t="s">
        <v>49</v>
      </c>
      <c r="L10" s="28">
        <f>SUM(I46:I55)</f>
        <v>0</v>
      </c>
    </row>
    <row r="11" spans="1:12" ht="15.75" customHeight="1" x14ac:dyDescent="0.35">
      <c r="A11" s="29">
        <v>1001</v>
      </c>
      <c r="B11" s="30">
        <v>1</v>
      </c>
      <c r="C11" s="421"/>
      <c r="D11" s="191">
        <v>46180</v>
      </c>
      <c r="E11" s="32" t="s">
        <v>43</v>
      </c>
      <c r="F11" s="65">
        <v>0</v>
      </c>
      <c r="G11" s="182">
        <v>7</v>
      </c>
      <c r="H11" s="35">
        <f t="shared" si="0"/>
        <v>0</v>
      </c>
      <c r="I11" s="183">
        <f t="shared" si="1"/>
        <v>0</v>
      </c>
      <c r="K11" s="18">
        <v>4</v>
      </c>
      <c r="L11" s="46">
        <f>SUM(I56:I65)</f>
        <v>0</v>
      </c>
    </row>
    <row r="12" spans="1:12" ht="15.75" customHeight="1" x14ac:dyDescent="0.35">
      <c r="A12" s="97">
        <v>1001</v>
      </c>
      <c r="B12" s="224">
        <v>1</v>
      </c>
      <c r="C12" s="421"/>
      <c r="D12" s="228">
        <v>46243</v>
      </c>
      <c r="E12" s="100" t="s">
        <v>43</v>
      </c>
      <c r="F12" s="65">
        <v>0</v>
      </c>
      <c r="G12" s="226">
        <v>9</v>
      </c>
      <c r="H12" s="102">
        <f t="shared" si="0"/>
        <v>0</v>
      </c>
      <c r="I12" s="227">
        <f t="shared" si="1"/>
        <v>0</v>
      </c>
      <c r="K12" s="18" t="s">
        <v>53</v>
      </c>
      <c r="L12" s="46">
        <f>SUM(I66:I75)</f>
        <v>0</v>
      </c>
    </row>
    <row r="13" spans="1:12" ht="15.75" customHeight="1" x14ac:dyDescent="0.35">
      <c r="A13" s="29">
        <v>1001</v>
      </c>
      <c r="B13" s="30">
        <v>1</v>
      </c>
      <c r="C13" s="421"/>
      <c r="D13" s="191">
        <v>46309</v>
      </c>
      <c r="E13" s="32" t="s">
        <v>43</v>
      </c>
      <c r="F13" s="65">
        <v>0</v>
      </c>
      <c r="G13" s="182">
        <v>14</v>
      </c>
      <c r="H13" s="35">
        <f t="shared" si="0"/>
        <v>0</v>
      </c>
      <c r="I13" s="183">
        <f t="shared" si="1"/>
        <v>0</v>
      </c>
      <c r="K13" s="18" t="s">
        <v>230</v>
      </c>
      <c r="L13" s="28">
        <f>SUM(L6:L12)</f>
        <v>0</v>
      </c>
    </row>
    <row r="14" spans="1:12" ht="15.75" customHeight="1" x14ac:dyDescent="0.35">
      <c r="A14" s="97">
        <v>1001</v>
      </c>
      <c r="B14" s="224">
        <v>1</v>
      </c>
      <c r="C14" s="421"/>
      <c r="D14" s="225" t="s">
        <v>187</v>
      </c>
      <c r="E14" s="100" t="s">
        <v>43</v>
      </c>
      <c r="F14" s="65">
        <v>0</v>
      </c>
      <c r="G14" s="226">
        <v>19</v>
      </c>
      <c r="H14" s="102">
        <f t="shared" si="0"/>
        <v>0</v>
      </c>
      <c r="I14" s="227">
        <f t="shared" si="1"/>
        <v>0</v>
      </c>
    </row>
    <row r="15" spans="1:12" ht="15.75" customHeight="1" x14ac:dyDescent="0.35">
      <c r="A15" s="47">
        <v>1001</v>
      </c>
      <c r="B15" s="48">
        <v>1</v>
      </c>
      <c r="C15" s="422"/>
      <c r="D15" s="193" t="s">
        <v>188</v>
      </c>
      <c r="E15" s="50" t="s">
        <v>43</v>
      </c>
      <c r="F15" s="66">
        <v>0</v>
      </c>
      <c r="G15" s="194">
        <v>30</v>
      </c>
      <c r="H15" s="53">
        <f t="shared" si="0"/>
        <v>0</v>
      </c>
      <c r="I15" s="195">
        <f t="shared" si="1"/>
        <v>0</v>
      </c>
    </row>
    <row r="16" spans="1:12" ht="15.75" customHeight="1" x14ac:dyDescent="0.35">
      <c r="A16" s="90">
        <v>1002</v>
      </c>
      <c r="B16" s="105">
        <v>2</v>
      </c>
      <c r="C16" s="429" t="s">
        <v>262</v>
      </c>
      <c r="D16" s="221">
        <v>1</v>
      </c>
      <c r="E16" s="93" t="s">
        <v>43</v>
      </c>
      <c r="F16" s="64">
        <v>0</v>
      </c>
      <c r="G16" s="222">
        <v>1</v>
      </c>
      <c r="H16" s="95">
        <f t="shared" si="0"/>
        <v>0</v>
      </c>
      <c r="I16" s="223">
        <f t="shared" si="1"/>
        <v>0</v>
      </c>
    </row>
    <row r="17" spans="1:9" ht="15.75" customHeight="1" x14ac:dyDescent="0.35">
      <c r="A17" s="29">
        <v>1002</v>
      </c>
      <c r="B17" s="30">
        <v>2</v>
      </c>
      <c r="C17" s="421"/>
      <c r="D17" s="181">
        <v>2</v>
      </c>
      <c r="E17" s="32" t="s">
        <v>43</v>
      </c>
      <c r="F17" s="65">
        <v>0</v>
      </c>
      <c r="G17" s="182">
        <v>2</v>
      </c>
      <c r="H17" s="35">
        <f t="shared" si="0"/>
        <v>0</v>
      </c>
      <c r="I17" s="183">
        <f t="shared" si="1"/>
        <v>0</v>
      </c>
    </row>
    <row r="18" spans="1:9" ht="15.75" customHeight="1" x14ac:dyDescent="0.35">
      <c r="A18" s="97">
        <v>1002</v>
      </c>
      <c r="B18" s="224">
        <v>2</v>
      </c>
      <c r="C18" s="421"/>
      <c r="D18" s="225">
        <v>3</v>
      </c>
      <c r="E18" s="100" t="s">
        <v>43</v>
      </c>
      <c r="F18" s="65">
        <v>0</v>
      </c>
      <c r="G18" s="226">
        <v>3</v>
      </c>
      <c r="H18" s="102">
        <f t="shared" si="0"/>
        <v>0</v>
      </c>
      <c r="I18" s="227">
        <f t="shared" si="1"/>
        <v>0</v>
      </c>
    </row>
    <row r="19" spans="1:9" ht="15.75" customHeight="1" x14ac:dyDescent="0.35">
      <c r="A19" s="29">
        <v>1002</v>
      </c>
      <c r="B19" s="30">
        <v>2</v>
      </c>
      <c r="C19" s="421"/>
      <c r="D19" s="181">
        <v>4</v>
      </c>
      <c r="E19" s="32" t="s">
        <v>43</v>
      </c>
      <c r="F19" s="65">
        <v>0</v>
      </c>
      <c r="G19" s="182">
        <v>4</v>
      </c>
      <c r="H19" s="35">
        <f t="shared" si="0"/>
        <v>0</v>
      </c>
      <c r="I19" s="183">
        <f t="shared" si="1"/>
        <v>0</v>
      </c>
    </row>
    <row r="20" spans="1:9" ht="15.75" customHeight="1" x14ac:dyDescent="0.35">
      <c r="A20" s="97">
        <v>1002</v>
      </c>
      <c r="B20" s="224">
        <v>2</v>
      </c>
      <c r="C20" s="421"/>
      <c r="D20" s="225">
        <v>5</v>
      </c>
      <c r="E20" s="100" t="s">
        <v>43</v>
      </c>
      <c r="F20" s="65">
        <v>0</v>
      </c>
      <c r="G20" s="226">
        <v>5</v>
      </c>
      <c r="H20" s="102">
        <f t="shared" si="0"/>
        <v>0</v>
      </c>
      <c r="I20" s="227">
        <f t="shared" si="1"/>
        <v>0</v>
      </c>
    </row>
    <row r="21" spans="1:9" ht="15.75" customHeight="1" x14ac:dyDescent="0.35">
      <c r="A21" s="29">
        <v>1002</v>
      </c>
      <c r="B21" s="30">
        <v>2</v>
      </c>
      <c r="C21" s="421"/>
      <c r="D21" s="191">
        <v>46180</v>
      </c>
      <c r="E21" s="32" t="s">
        <v>43</v>
      </c>
      <c r="F21" s="65">
        <v>0</v>
      </c>
      <c r="G21" s="182">
        <v>7</v>
      </c>
      <c r="H21" s="35">
        <f t="shared" si="0"/>
        <v>0</v>
      </c>
      <c r="I21" s="183">
        <f t="shared" si="1"/>
        <v>0</v>
      </c>
    </row>
    <row r="22" spans="1:9" ht="15.75" customHeight="1" x14ac:dyDescent="0.35">
      <c r="A22" s="97">
        <v>1002</v>
      </c>
      <c r="B22" s="224">
        <v>2</v>
      </c>
      <c r="C22" s="421"/>
      <c r="D22" s="228">
        <v>46243</v>
      </c>
      <c r="E22" s="100" t="s">
        <v>43</v>
      </c>
      <c r="F22" s="65">
        <v>0</v>
      </c>
      <c r="G22" s="226">
        <v>9</v>
      </c>
      <c r="H22" s="102">
        <f t="shared" si="0"/>
        <v>0</v>
      </c>
      <c r="I22" s="227">
        <f t="shared" si="1"/>
        <v>0</v>
      </c>
    </row>
    <row r="23" spans="1:9" ht="15.75" customHeight="1" x14ac:dyDescent="0.35">
      <c r="A23" s="29">
        <v>1002</v>
      </c>
      <c r="B23" s="30">
        <v>2</v>
      </c>
      <c r="C23" s="421"/>
      <c r="D23" s="191">
        <v>46309</v>
      </c>
      <c r="E23" s="32" t="s">
        <v>43</v>
      </c>
      <c r="F23" s="65">
        <v>0</v>
      </c>
      <c r="G23" s="182">
        <v>14</v>
      </c>
      <c r="H23" s="35">
        <f t="shared" si="0"/>
        <v>0</v>
      </c>
      <c r="I23" s="183">
        <f t="shared" si="1"/>
        <v>0</v>
      </c>
    </row>
    <row r="24" spans="1:9" ht="15.75" customHeight="1" x14ac:dyDescent="0.35">
      <c r="A24" s="97">
        <v>1002</v>
      </c>
      <c r="B24" s="224">
        <v>2</v>
      </c>
      <c r="C24" s="421"/>
      <c r="D24" s="225" t="s">
        <v>187</v>
      </c>
      <c r="E24" s="100" t="s">
        <v>43</v>
      </c>
      <c r="F24" s="65">
        <v>0</v>
      </c>
      <c r="G24" s="226">
        <v>19</v>
      </c>
      <c r="H24" s="102">
        <f t="shared" si="0"/>
        <v>0</v>
      </c>
      <c r="I24" s="227">
        <f t="shared" si="1"/>
        <v>0</v>
      </c>
    </row>
    <row r="25" spans="1:9" ht="15.75" customHeight="1" x14ac:dyDescent="0.35">
      <c r="A25" s="47">
        <v>1002</v>
      </c>
      <c r="B25" s="48">
        <v>2</v>
      </c>
      <c r="C25" s="422"/>
      <c r="D25" s="193" t="s">
        <v>188</v>
      </c>
      <c r="E25" s="50" t="s">
        <v>43</v>
      </c>
      <c r="F25" s="66">
        <v>0</v>
      </c>
      <c r="G25" s="194">
        <v>30</v>
      </c>
      <c r="H25" s="53">
        <f t="shared" si="0"/>
        <v>0</v>
      </c>
      <c r="I25" s="195">
        <f t="shared" si="1"/>
        <v>0</v>
      </c>
    </row>
    <row r="26" spans="1:9" ht="15.75" customHeight="1" x14ac:dyDescent="0.35">
      <c r="A26" s="90">
        <v>1003</v>
      </c>
      <c r="B26" s="105" t="s">
        <v>46</v>
      </c>
      <c r="C26" s="429" t="s">
        <v>263</v>
      </c>
      <c r="D26" s="221">
        <v>1</v>
      </c>
      <c r="E26" s="93" t="s">
        <v>43</v>
      </c>
      <c r="F26" s="64">
        <v>0</v>
      </c>
      <c r="G26" s="222">
        <v>1</v>
      </c>
      <c r="H26" s="95">
        <f t="shared" si="0"/>
        <v>0</v>
      </c>
      <c r="I26" s="223">
        <f t="shared" si="1"/>
        <v>0</v>
      </c>
    </row>
    <row r="27" spans="1:9" ht="15.75" customHeight="1" x14ac:dyDescent="0.35">
      <c r="A27" s="29">
        <v>1003</v>
      </c>
      <c r="B27" s="30" t="s">
        <v>46</v>
      </c>
      <c r="C27" s="421"/>
      <c r="D27" s="181">
        <v>2</v>
      </c>
      <c r="E27" s="32" t="s">
        <v>43</v>
      </c>
      <c r="F27" s="65">
        <v>0</v>
      </c>
      <c r="G27" s="182">
        <v>2</v>
      </c>
      <c r="H27" s="35">
        <f t="shared" si="0"/>
        <v>0</v>
      </c>
      <c r="I27" s="183">
        <f t="shared" si="1"/>
        <v>0</v>
      </c>
    </row>
    <row r="28" spans="1:9" ht="15.75" customHeight="1" x14ac:dyDescent="0.35">
      <c r="A28" s="97">
        <v>1003</v>
      </c>
      <c r="B28" s="224" t="s">
        <v>46</v>
      </c>
      <c r="C28" s="421"/>
      <c r="D28" s="225">
        <v>3</v>
      </c>
      <c r="E28" s="100" t="s">
        <v>43</v>
      </c>
      <c r="F28" s="65">
        <v>0</v>
      </c>
      <c r="G28" s="226">
        <v>3</v>
      </c>
      <c r="H28" s="102">
        <f t="shared" si="0"/>
        <v>0</v>
      </c>
      <c r="I28" s="227">
        <f t="shared" si="1"/>
        <v>0</v>
      </c>
    </row>
    <row r="29" spans="1:9" ht="15.75" customHeight="1" x14ac:dyDescent="0.35">
      <c r="A29" s="29">
        <v>1003</v>
      </c>
      <c r="B29" s="30" t="s">
        <v>46</v>
      </c>
      <c r="C29" s="421"/>
      <c r="D29" s="181">
        <v>4</v>
      </c>
      <c r="E29" s="32" t="s">
        <v>43</v>
      </c>
      <c r="F29" s="65">
        <v>0</v>
      </c>
      <c r="G29" s="182">
        <v>4</v>
      </c>
      <c r="H29" s="35">
        <f t="shared" si="0"/>
        <v>0</v>
      </c>
      <c r="I29" s="183">
        <f t="shared" si="1"/>
        <v>0</v>
      </c>
    </row>
    <row r="30" spans="1:9" ht="15.75" customHeight="1" x14ac:dyDescent="0.35">
      <c r="A30" s="97">
        <v>1003</v>
      </c>
      <c r="B30" s="224" t="s">
        <v>46</v>
      </c>
      <c r="C30" s="421"/>
      <c r="D30" s="225">
        <v>5</v>
      </c>
      <c r="E30" s="100" t="s">
        <v>43</v>
      </c>
      <c r="F30" s="65">
        <v>0</v>
      </c>
      <c r="G30" s="226">
        <v>5</v>
      </c>
      <c r="H30" s="102">
        <f t="shared" si="0"/>
        <v>0</v>
      </c>
      <c r="I30" s="227">
        <f t="shared" si="1"/>
        <v>0</v>
      </c>
    </row>
    <row r="31" spans="1:9" ht="15.75" customHeight="1" x14ac:dyDescent="0.35">
      <c r="A31" s="29">
        <v>1003</v>
      </c>
      <c r="B31" s="30" t="s">
        <v>46</v>
      </c>
      <c r="C31" s="421"/>
      <c r="D31" s="191">
        <v>46180</v>
      </c>
      <c r="E31" s="32" t="s">
        <v>43</v>
      </c>
      <c r="F31" s="65">
        <v>0</v>
      </c>
      <c r="G31" s="182">
        <v>7</v>
      </c>
      <c r="H31" s="35">
        <f t="shared" si="0"/>
        <v>0</v>
      </c>
      <c r="I31" s="183">
        <f t="shared" si="1"/>
        <v>0</v>
      </c>
    </row>
    <row r="32" spans="1:9" ht="15.75" customHeight="1" x14ac:dyDescent="0.35">
      <c r="A32" s="97">
        <v>1003</v>
      </c>
      <c r="B32" s="224" t="s">
        <v>46</v>
      </c>
      <c r="C32" s="421"/>
      <c r="D32" s="228">
        <v>46243</v>
      </c>
      <c r="E32" s="100" t="s">
        <v>43</v>
      </c>
      <c r="F32" s="65">
        <v>0</v>
      </c>
      <c r="G32" s="226">
        <v>9</v>
      </c>
      <c r="H32" s="102">
        <f t="shared" si="0"/>
        <v>0</v>
      </c>
      <c r="I32" s="227">
        <f t="shared" si="1"/>
        <v>0</v>
      </c>
    </row>
    <row r="33" spans="1:9" ht="15.75" customHeight="1" x14ac:dyDescent="0.35">
      <c r="A33" s="29">
        <v>1003</v>
      </c>
      <c r="B33" s="30" t="s">
        <v>46</v>
      </c>
      <c r="C33" s="421"/>
      <c r="D33" s="191">
        <v>46309</v>
      </c>
      <c r="E33" s="32" t="s">
        <v>43</v>
      </c>
      <c r="F33" s="65">
        <v>0</v>
      </c>
      <c r="G33" s="182">
        <v>14</v>
      </c>
      <c r="H33" s="35">
        <f t="shared" si="0"/>
        <v>0</v>
      </c>
      <c r="I33" s="183">
        <f t="shared" si="1"/>
        <v>0</v>
      </c>
    </row>
    <row r="34" spans="1:9" ht="15.75" customHeight="1" x14ac:dyDescent="0.35">
      <c r="A34" s="97">
        <v>1003</v>
      </c>
      <c r="B34" s="224" t="s">
        <v>46</v>
      </c>
      <c r="C34" s="421"/>
      <c r="D34" s="225" t="s">
        <v>187</v>
      </c>
      <c r="E34" s="100" t="s">
        <v>43</v>
      </c>
      <c r="F34" s="65">
        <v>0</v>
      </c>
      <c r="G34" s="226">
        <v>19</v>
      </c>
      <c r="H34" s="102">
        <f t="shared" si="0"/>
        <v>0</v>
      </c>
      <c r="I34" s="227">
        <f t="shared" si="1"/>
        <v>0</v>
      </c>
    </row>
    <row r="35" spans="1:9" ht="15.75" customHeight="1" x14ac:dyDescent="0.35">
      <c r="A35" s="47">
        <v>1003</v>
      </c>
      <c r="B35" s="48" t="s">
        <v>46</v>
      </c>
      <c r="C35" s="422"/>
      <c r="D35" s="193" t="s">
        <v>188</v>
      </c>
      <c r="E35" s="50" t="s">
        <v>43</v>
      </c>
      <c r="F35" s="66">
        <v>0</v>
      </c>
      <c r="G35" s="194">
        <v>30</v>
      </c>
      <c r="H35" s="53">
        <f t="shared" si="0"/>
        <v>0</v>
      </c>
      <c r="I35" s="195">
        <f t="shared" si="1"/>
        <v>0</v>
      </c>
    </row>
    <row r="36" spans="1:9" ht="15.75" customHeight="1" x14ac:dyDescent="0.35">
      <c r="A36" s="90">
        <v>1004</v>
      </c>
      <c r="B36" s="105">
        <v>3</v>
      </c>
      <c r="C36" s="429" t="s">
        <v>264</v>
      </c>
      <c r="D36" s="221">
        <v>1</v>
      </c>
      <c r="E36" s="93" t="s">
        <v>43</v>
      </c>
      <c r="F36" s="64">
        <v>0</v>
      </c>
      <c r="G36" s="222">
        <v>1</v>
      </c>
      <c r="H36" s="95">
        <f t="shared" si="0"/>
        <v>0</v>
      </c>
      <c r="I36" s="223">
        <f t="shared" si="1"/>
        <v>0</v>
      </c>
    </row>
    <row r="37" spans="1:9" ht="15.75" customHeight="1" x14ac:dyDescent="0.35">
      <c r="A37" s="29">
        <v>1004</v>
      </c>
      <c r="B37" s="30">
        <v>3</v>
      </c>
      <c r="C37" s="421"/>
      <c r="D37" s="181">
        <v>2</v>
      </c>
      <c r="E37" s="32" t="s">
        <v>43</v>
      </c>
      <c r="F37" s="65">
        <v>0</v>
      </c>
      <c r="G37" s="182">
        <v>2</v>
      </c>
      <c r="H37" s="35">
        <f t="shared" si="0"/>
        <v>0</v>
      </c>
      <c r="I37" s="183">
        <f t="shared" si="1"/>
        <v>0</v>
      </c>
    </row>
    <row r="38" spans="1:9" ht="15.75" customHeight="1" x14ac:dyDescent="0.35">
      <c r="A38" s="97">
        <v>1004</v>
      </c>
      <c r="B38" s="224">
        <v>3</v>
      </c>
      <c r="C38" s="421"/>
      <c r="D38" s="225">
        <v>3</v>
      </c>
      <c r="E38" s="100" t="s">
        <v>43</v>
      </c>
      <c r="F38" s="65">
        <v>0</v>
      </c>
      <c r="G38" s="226">
        <v>3</v>
      </c>
      <c r="H38" s="102">
        <f t="shared" si="0"/>
        <v>0</v>
      </c>
      <c r="I38" s="227">
        <f t="shared" si="1"/>
        <v>0</v>
      </c>
    </row>
    <row r="39" spans="1:9" ht="15.75" customHeight="1" x14ac:dyDescent="0.35">
      <c r="A39" s="29">
        <v>1004</v>
      </c>
      <c r="B39" s="30">
        <v>3</v>
      </c>
      <c r="C39" s="421"/>
      <c r="D39" s="181">
        <v>4</v>
      </c>
      <c r="E39" s="32" t="s">
        <v>43</v>
      </c>
      <c r="F39" s="65">
        <v>0</v>
      </c>
      <c r="G39" s="182">
        <v>4</v>
      </c>
      <c r="H39" s="35">
        <f t="shared" si="0"/>
        <v>0</v>
      </c>
      <c r="I39" s="183">
        <f t="shared" si="1"/>
        <v>0</v>
      </c>
    </row>
    <row r="40" spans="1:9" ht="15.75" customHeight="1" x14ac:dyDescent="0.35">
      <c r="A40" s="97">
        <v>1004</v>
      </c>
      <c r="B40" s="224">
        <v>3</v>
      </c>
      <c r="C40" s="421"/>
      <c r="D40" s="225">
        <v>5</v>
      </c>
      <c r="E40" s="100" t="s">
        <v>43</v>
      </c>
      <c r="F40" s="65">
        <v>0</v>
      </c>
      <c r="G40" s="226">
        <v>5</v>
      </c>
      <c r="H40" s="102">
        <f t="shared" si="0"/>
        <v>0</v>
      </c>
      <c r="I40" s="227">
        <f t="shared" si="1"/>
        <v>0</v>
      </c>
    </row>
    <row r="41" spans="1:9" ht="15.75" customHeight="1" x14ac:dyDescent="0.35">
      <c r="A41" s="29">
        <v>1004</v>
      </c>
      <c r="B41" s="30">
        <v>3</v>
      </c>
      <c r="C41" s="421"/>
      <c r="D41" s="191">
        <v>46180</v>
      </c>
      <c r="E41" s="32" t="s">
        <v>43</v>
      </c>
      <c r="F41" s="65">
        <v>0</v>
      </c>
      <c r="G41" s="182">
        <v>7</v>
      </c>
      <c r="H41" s="35">
        <f t="shared" si="0"/>
        <v>0</v>
      </c>
      <c r="I41" s="183">
        <f t="shared" si="1"/>
        <v>0</v>
      </c>
    </row>
    <row r="42" spans="1:9" ht="15.75" customHeight="1" x14ac:dyDescent="0.35">
      <c r="A42" s="97">
        <v>1004</v>
      </c>
      <c r="B42" s="224">
        <v>3</v>
      </c>
      <c r="C42" s="421"/>
      <c r="D42" s="228">
        <v>46243</v>
      </c>
      <c r="E42" s="100" t="s">
        <v>43</v>
      </c>
      <c r="F42" s="65">
        <v>0</v>
      </c>
      <c r="G42" s="226">
        <v>9</v>
      </c>
      <c r="H42" s="102">
        <f t="shared" si="0"/>
        <v>0</v>
      </c>
      <c r="I42" s="227">
        <f t="shared" si="1"/>
        <v>0</v>
      </c>
    </row>
    <row r="43" spans="1:9" ht="15.75" customHeight="1" x14ac:dyDescent="0.35">
      <c r="A43" s="29">
        <v>1004</v>
      </c>
      <c r="B43" s="30">
        <v>3</v>
      </c>
      <c r="C43" s="421"/>
      <c r="D43" s="191">
        <v>46309</v>
      </c>
      <c r="E43" s="32" t="s">
        <v>43</v>
      </c>
      <c r="F43" s="65">
        <v>0</v>
      </c>
      <c r="G43" s="182">
        <v>14</v>
      </c>
      <c r="H43" s="35">
        <f t="shared" si="0"/>
        <v>0</v>
      </c>
      <c r="I43" s="183">
        <f t="shared" si="1"/>
        <v>0</v>
      </c>
    </row>
    <row r="44" spans="1:9" ht="15.75" customHeight="1" x14ac:dyDescent="0.35">
      <c r="A44" s="97">
        <v>1004</v>
      </c>
      <c r="B44" s="224">
        <v>3</v>
      </c>
      <c r="C44" s="421"/>
      <c r="D44" s="225" t="s">
        <v>187</v>
      </c>
      <c r="E44" s="100" t="s">
        <v>43</v>
      </c>
      <c r="F44" s="65">
        <v>0</v>
      </c>
      <c r="G44" s="226">
        <v>19</v>
      </c>
      <c r="H44" s="102">
        <f t="shared" si="0"/>
        <v>0</v>
      </c>
      <c r="I44" s="227">
        <f t="shared" si="1"/>
        <v>0</v>
      </c>
    </row>
    <row r="45" spans="1:9" ht="15.75" customHeight="1" x14ac:dyDescent="0.35">
      <c r="A45" s="47">
        <v>1004</v>
      </c>
      <c r="B45" s="48">
        <v>3</v>
      </c>
      <c r="C45" s="422"/>
      <c r="D45" s="193" t="s">
        <v>188</v>
      </c>
      <c r="E45" s="50" t="s">
        <v>43</v>
      </c>
      <c r="F45" s="66">
        <v>0</v>
      </c>
      <c r="G45" s="194">
        <v>30</v>
      </c>
      <c r="H45" s="53">
        <f t="shared" si="0"/>
        <v>0</v>
      </c>
      <c r="I45" s="195">
        <f t="shared" si="1"/>
        <v>0</v>
      </c>
    </row>
    <row r="46" spans="1:9" ht="15.75" customHeight="1" x14ac:dyDescent="0.35">
      <c r="A46" s="90">
        <v>1005</v>
      </c>
      <c r="B46" s="105" t="s">
        <v>49</v>
      </c>
      <c r="C46" s="429" t="s">
        <v>265</v>
      </c>
      <c r="D46" s="221">
        <v>1</v>
      </c>
      <c r="E46" s="93" t="s">
        <v>43</v>
      </c>
      <c r="F46" s="64">
        <v>0</v>
      </c>
      <c r="G46" s="222">
        <v>1</v>
      </c>
      <c r="H46" s="95">
        <f t="shared" si="0"/>
        <v>0</v>
      </c>
      <c r="I46" s="223">
        <f t="shared" si="1"/>
        <v>0</v>
      </c>
    </row>
    <row r="47" spans="1:9" ht="15.75" customHeight="1" x14ac:dyDescent="0.35">
      <c r="A47" s="29">
        <v>1005</v>
      </c>
      <c r="B47" s="30" t="s">
        <v>49</v>
      </c>
      <c r="C47" s="421"/>
      <c r="D47" s="181">
        <v>2</v>
      </c>
      <c r="E47" s="32" t="s">
        <v>43</v>
      </c>
      <c r="F47" s="65">
        <v>0</v>
      </c>
      <c r="G47" s="182">
        <v>2</v>
      </c>
      <c r="H47" s="35">
        <f t="shared" si="0"/>
        <v>0</v>
      </c>
      <c r="I47" s="183">
        <f t="shared" si="1"/>
        <v>0</v>
      </c>
    </row>
    <row r="48" spans="1:9" ht="15.75" customHeight="1" x14ac:dyDescent="0.35">
      <c r="A48" s="97">
        <v>1005</v>
      </c>
      <c r="B48" s="224" t="s">
        <v>49</v>
      </c>
      <c r="C48" s="421"/>
      <c r="D48" s="225">
        <v>3</v>
      </c>
      <c r="E48" s="100" t="s">
        <v>43</v>
      </c>
      <c r="F48" s="65">
        <v>0</v>
      </c>
      <c r="G48" s="226">
        <v>3</v>
      </c>
      <c r="H48" s="102">
        <f t="shared" si="0"/>
        <v>0</v>
      </c>
      <c r="I48" s="227">
        <f t="shared" si="1"/>
        <v>0</v>
      </c>
    </row>
    <row r="49" spans="1:9" ht="15.75" customHeight="1" x14ac:dyDescent="0.35">
      <c r="A49" s="29">
        <v>1005</v>
      </c>
      <c r="B49" s="30" t="s">
        <v>49</v>
      </c>
      <c r="C49" s="421"/>
      <c r="D49" s="181">
        <v>4</v>
      </c>
      <c r="E49" s="32" t="s">
        <v>43</v>
      </c>
      <c r="F49" s="65">
        <v>0</v>
      </c>
      <c r="G49" s="182">
        <v>4</v>
      </c>
      <c r="H49" s="35">
        <f t="shared" si="0"/>
        <v>0</v>
      </c>
      <c r="I49" s="183">
        <f t="shared" si="1"/>
        <v>0</v>
      </c>
    </row>
    <row r="50" spans="1:9" ht="15.75" customHeight="1" x14ac:dyDescent="0.35">
      <c r="A50" s="97">
        <v>1005</v>
      </c>
      <c r="B50" s="224" t="s">
        <v>49</v>
      </c>
      <c r="C50" s="421"/>
      <c r="D50" s="225">
        <v>5</v>
      </c>
      <c r="E50" s="100" t="s">
        <v>43</v>
      </c>
      <c r="F50" s="65">
        <v>0</v>
      </c>
      <c r="G50" s="226">
        <v>5</v>
      </c>
      <c r="H50" s="102">
        <f t="shared" si="0"/>
        <v>0</v>
      </c>
      <c r="I50" s="227">
        <f t="shared" si="1"/>
        <v>0</v>
      </c>
    </row>
    <row r="51" spans="1:9" ht="15.75" customHeight="1" x14ac:dyDescent="0.35">
      <c r="A51" s="29">
        <v>1005</v>
      </c>
      <c r="B51" s="30" t="s">
        <v>49</v>
      </c>
      <c r="C51" s="421"/>
      <c r="D51" s="191">
        <v>46180</v>
      </c>
      <c r="E51" s="32" t="s">
        <v>43</v>
      </c>
      <c r="F51" s="65">
        <v>0</v>
      </c>
      <c r="G51" s="182">
        <v>7</v>
      </c>
      <c r="H51" s="35">
        <f t="shared" si="0"/>
        <v>0</v>
      </c>
      <c r="I51" s="183">
        <f t="shared" si="1"/>
        <v>0</v>
      </c>
    </row>
    <row r="52" spans="1:9" ht="15.75" customHeight="1" x14ac:dyDescent="0.35">
      <c r="A52" s="97">
        <v>1005</v>
      </c>
      <c r="B52" s="224" t="s">
        <v>49</v>
      </c>
      <c r="C52" s="421"/>
      <c r="D52" s="228">
        <v>46243</v>
      </c>
      <c r="E52" s="100" t="s">
        <v>43</v>
      </c>
      <c r="F52" s="65">
        <v>0</v>
      </c>
      <c r="G52" s="226">
        <v>9</v>
      </c>
      <c r="H52" s="102">
        <f t="shared" si="0"/>
        <v>0</v>
      </c>
      <c r="I52" s="227">
        <f t="shared" si="1"/>
        <v>0</v>
      </c>
    </row>
    <row r="53" spans="1:9" ht="15.75" customHeight="1" x14ac:dyDescent="0.35">
      <c r="A53" s="29">
        <v>1005</v>
      </c>
      <c r="B53" s="30" t="s">
        <v>49</v>
      </c>
      <c r="C53" s="421"/>
      <c r="D53" s="191">
        <v>46309</v>
      </c>
      <c r="E53" s="32" t="s">
        <v>43</v>
      </c>
      <c r="F53" s="65">
        <v>0</v>
      </c>
      <c r="G53" s="182">
        <v>14</v>
      </c>
      <c r="H53" s="35">
        <f t="shared" si="0"/>
        <v>0</v>
      </c>
      <c r="I53" s="183">
        <f t="shared" si="1"/>
        <v>0</v>
      </c>
    </row>
    <row r="54" spans="1:9" ht="15.75" customHeight="1" x14ac:dyDescent="0.35">
      <c r="A54" s="97">
        <v>1005</v>
      </c>
      <c r="B54" s="224" t="s">
        <v>49</v>
      </c>
      <c r="C54" s="421"/>
      <c r="D54" s="225" t="s">
        <v>187</v>
      </c>
      <c r="E54" s="100" t="s">
        <v>43</v>
      </c>
      <c r="F54" s="65">
        <v>0</v>
      </c>
      <c r="G54" s="226">
        <v>19</v>
      </c>
      <c r="H54" s="102">
        <f t="shared" si="0"/>
        <v>0</v>
      </c>
      <c r="I54" s="227">
        <f t="shared" si="1"/>
        <v>0</v>
      </c>
    </row>
    <row r="55" spans="1:9" ht="15.75" customHeight="1" x14ac:dyDescent="0.35">
      <c r="A55" s="47">
        <v>1005</v>
      </c>
      <c r="B55" s="48" t="s">
        <v>49</v>
      </c>
      <c r="C55" s="422"/>
      <c r="D55" s="193" t="s">
        <v>188</v>
      </c>
      <c r="E55" s="50" t="s">
        <v>43</v>
      </c>
      <c r="F55" s="66">
        <v>0</v>
      </c>
      <c r="G55" s="194">
        <v>30</v>
      </c>
      <c r="H55" s="53">
        <f t="shared" si="0"/>
        <v>0</v>
      </c>
      <c r="I55" s="195">
        <f t="shared" si="1"/>
        <v>0</v>
      </c>
    </row>
    <row r="56" spans="1:9" ht="15.75" customHeight="1" x14ac:dyDescent="0.35">
      <c r="A56" s="90">
        <v>1006</v>
      </c>
      <c r="B56" s="105">
        <v>4</v>
      </c>
      <c r="C56" s="429" t="s">
        <v>266</v>
      </c>
      <c r="D56" s="221">
        <v>1</v>
      </c>
      <c r="E56" s="93" t="s">
        <v>43</v>
      </c>
      <c r="F56" s="64">
        <v>0</v>
      </c>
      <c r="G56" s="222">
        <v>1</v>
      </c>
      <c r="H56" s="95">
        <f t="shared" si="0"/>
        <v>0</v>
      </c>
      <c r="I56" s="223">
        <f t="shared" si="1"/>
        <v>0</v>
      </c>
    </row>
    <row r="57" spans="1:9" ht="15.75" customHeight="1" x14ac:dyDescent="0.35">
      <c r="A57" s="29">
        <v>1006</v>
      </c>
      <c r="B57" s="30">
        <v>4</v>
      </c>
      <c r="C57" s="421"/>
      <c r="D57" s="181">
        <v>2</v>
      </c>
      <c r="E57" s="32" t="s">
        <v>43</v>
      </c>
      <c r="F57" s="65">
        <v>0</v>
      </c>
      <c r="G57" s="182">
        <v>2</v>
      </c>
      <c r="H57" s="35">
        <f t="shared" si="0"/>
        <v>0</v>
      </c>
      <c r="I57" s="183">
        <f t="shared" si="1"/>
        <v>0</v>
      </c>
    </row>
    <row r="58" spans="1:9" ht="15.75" customHeight="1" x14ac:dyDescent="0.35">
      <c r="A58" s="97">
        <v>1006</v>
      </c>
      <c r="B58" s="224">
        <v>4</v>
      </c>
      <c r="C58" s="421"/>
      <c r="D58" s="225">
        <v>3</v>
      </c>
      <c r="E58" s="100" t="s">
        <v>43</v>
      </c>
      <c r="F58" s="65">
        <v>0</v>
      </c>
      <c r="G58" s="226">
        <v>3</v>
      </c>
      <c r="H58" s="102">
        <f t="shared" si="0"/>
        <v>0</v>
      </c>
      <c r="I58" s="227">
        <f t="shared" si="1"/>
        <v>0</v>
      </c>
    </row>
    <row r="59" spans="1:9" ht="15.75" customHeight="1" x14ac:dyDescent="0.35">
      <c r="A59" s="29">
        <v>1006</v>
      </c>
      <c r="B59" s="30">
        <v>4</v>
      </c>
      <c r="C59" s="421"/>
      <c r="D59" s="181">
        <v>4</v>
      </c>
      <c r="E59" s="32" t="s">
        <v>43</v>
      </c>
      <c r="F59" s="65">
        <v>0</v>
      </c>
      <c r="G59" s="182">
        <v>4</v>
      </c>
      <c r="H59" s="35">
        <f t="shared" si="0"/>
        <v>0</v>
      </c>
      <c r="I59" s="183">
        <f t="shared" si="1"/>
        <v>0</v>
      </c>
    </row>
    <row r="60" spans="1:9" ht="15.75" customHeight="1" x14ac:dyDescent="0.35">
      <c r="A60" s="97">
        <v>1006</v>
      </c>
      <c r="B60" s="224">
        <v>4</v>
      </c>
      <c r="C60" s="421"/>
      <c r="D60" s="225">
        <v>5</v>
      </c>
      <c r="E60" s="100" t="s">
        <v>43</v>
      </c>
      <c r="F60" s="65">
        <v>0</v>
      </c>
      <c r="G60" s="226">
        <v>5</v>
      </c>
      <c r="H60" s="102">
        <f t="shared" si="0"/>
        <v>0</v>
      </c>
      <c r="I60" s="227">
        <f t="shared" si="1"/>
        <v>0</v>
      </c>
    </row>
    <row r="61" spans="1:9" ht="15.75" customHeight="1" x14ac:dyDescent="0.35">
      <c r="A61" s="29">
        <v>1006</v>
      </c>
      <c r="B61" s="30">
        <v>4</v>
      </c>
      <c r="C61" s="421"/>
      <c r="D61" s="191">
        <v>46180</v>
      </c>
      <c r="E61" s="32" t="s">
        <v>43</v>
      </c>
      <c r="F61" s="65">
        <v>0</v>
      </c>
      <c r="G61" s="182">
        <v>7</v>
      </c>
      <c r="H61" s="35">
        <f t="shared" si="0"/>
        <v>0</v>
      </c>
      <c r="I61" s="183">
        <f t="shared" si="1"/>
        <v>0</v>
      </c>
    </row>
    <row r="62" spans="1:9" ht="15.75" customHeight="1" x14ac:dyDescent="0.35">
      <c r="A62" s="97">
        <v>1006</v>
      </c>
      <c r="B62" s="224">
        <v>4</v>
      </c>
      <c r="C62" s="421"/>
      <c r="D62" s="228">
        <v>46243</v>
      </c>
      <c r="E62" s="100" t="s">
        <v>43</v>
      </c>
      <c r="F62" s="65">
        <v>0</v>
      </c>
      <c r="G62" s="226">
        <v>9</v>
      </c>
      <c r="H62" s="102">
        <f t="shared" si="0"/>
        <v>0</v>
      </c>
      <c r="I62" s="227">
        <f t="shared" si="1"/>
        <v>0</v>
      </c>
    </row>
    <row r="63" spans="1:9" ht="15.75" customHeight="1" x14ac:dyDescent="0.35">
      <c r="A63" s="29">
        <v>1006</v>
      </c>
      <c r="B63" s="30">
        <v>4</v>
      </c>
      <c r="C63" s="421"/>
      <c r="D63" s="191">
        <v>46309</v>
      </c>
      <c r="E63" s="32" t="s">
        <v>43</v>
      </c>
      <c r="F63" s="65">
        <v>0</v>
      </c>
      <c r="G63" s="182">
        <v>14</v>
      </c>
      <c r="H63" s="35">
        <f t="shared" si="0"/>
        <v>0</v>
      </c>
      <c r="I63" s="183">
        <f t="shared" si="1"/>
        <v>0</v>
      </c>
    </row>
    <row r="64" spans="1:9" ht="15.75" customHeight="1" x14ac:dyDescent="0.35">
      <c r="A64" s="97">
        <v>1006</v>
      </c>
      <c r="B64" s="224">
        <v>4</v>
      </c>
      <c r="C64" s="421"/>
      <c r="D64" s="225" t="s">
        <v>187</v>
      </c>
      <c r="E64" s="100" t="s">
        <v>43</v>
      </c>
      <c r="F64" s="65">
        <v>0</v>
      </c>
      <c r="G64" s="226">
        <v>19</v>
      </c>
      <c r="H64" s="102">
        <f t="shared" si="0"/>
        <v>0</v>
      </c>
      <c r="I64" s="227">
        <f t="shared" si="1"/>
        <v>0</v>
      </c>
    </row>
    <row r="65" spans="1:12" ht="15.75" customHeight="1" x14ac:dyDescent="0.35">
      <c r="A65" s="47">
        <v>1006</v>
      </c>
      <c r="B65" s="48">
        <v>4</v>
      </c>
      <c r="C65" s="422"/>
      <c r="D65" s="193" t="s">
        <v>188</v>
      </c>
      <c r="E65" s="50" t="s">
        <v>43</v>
      </c>
      <c r="F65" s="66">
        <v>0</v>
      </c>
      <c r="G65" s="194">
        <v>30</v>
      </c>
      <c r="H65" s="53">
        <f t="shared" si="0"/>
        <v>0</v>
      </c>
      <c r="I65" s="195">
        <f t="shared" si="1"/>
        <v>0</v>
      </c>
    </row>
    <row r="66" spans="1:12" ht="15.75" customHeight="1" x14ac:dyDescent="0.35">
      <c r="A66" s="90">
        <v>1007</v>
      </c>
      <c r="B66" s="105" t="s">
        <v>53</v>
      </c>
      <c r="C66" s="429" t="s">
        <v>267</v>
      </c>
      <c r="D66" s="221">
        <v>1</v>
      </c>
      <c r="E66" s="93" t="s">
        <v>43</v>
      </c>
      <c r="F66" s="64">
        <v>0</v>
      </c>
      <c r="G66" s="222">
        <v>1</v>
      </c>
      <c r="H66" s="95">
        <f t="shared" si="0"/>
        <v>0</v>
      </c>
      <c r="I66" s="223">
        <f t="shared" si="1"/>
        <v>0</v>
      </c>
    </row>
    <row r="67" spans="1:12" ht="15.75" customHeight="1" x14ac:dyDescent="0.35">
      <c r="A67" s="29">
        <v>1007</v>
      </c>
      <c r="B67" s="30" t="s">
        <v>53</v>
      </c>
      <c r="C67" s="421"/>
      <c r="D67" s="181">
        <v>2</v>
      </c>
      <c r="E67" s="32" t="s">
        <v>43</v>
      </c>
      <c r="F67" s="65">
        <v>0</v>
      </c>
      <c r="G67" s="182">
        <v>2</v>
      </c>
      <c r="H67" s="35">
        <f t="shared" si="0"/>
        <v>0</v>
      </c>
      <c r="I67" s="183">
        <f t="shared" si="1"/>
        <v>0</v>
      </c>
    </row>
    <row r="68" spans="1:12" ht="15.75" customHeight="1" x14ac:dyDescent="0.35">
      <c r="A68" s="97">
        <v>1007</v>
      </c>
      <c r="B68" s="224" t="s">
        <v>53</v>
      </c>
      <c r="C68" s="421"/>
      <c r="D68" s="225">
        <v>3</v>
      </c>
      <c r="E68" s="100" t="s">
        <v>43</v>
      </c>
      <c r="F68" s="65">
        <v>0</v>
      </c>
      <c r="G68" s="226">
        <v>3</v>
      </c>
      <c r="H68" s="102">
        <f t="shared" si="0"/>
        <v>0</v>
      </c>
      <c r="I68" s="227">
        <f t="shared" si="1"/>
        <v>0</v>
      </c>
    </row>
    <row r="69" spans="1:12" ht="15.75" customHeight="1" x14ac:dyDescent="0.35">
      <c r="A69" s="29">
        <v>1007</v>
      </c>
      <c r="B69" s="30" t="s">
        <v>53</v>
      </c>
      <c r="C69" s="421"/>
      <c r="D69" s="181">
        <v>4</v>
      </c>
      <c r="E69" s="32" t="s">
        <v>43</v>
      </c>
      <c r="F69" s="65">
        <v>0</v>
      </c>
      <c r="G69" s="182">
        <v>4</v>
      </c>
      <c r="H69" s="35">
        <f t="shared" si="0"/>
        <v>0</v>
      </c>
      <c r="I69" s="183">
        <f t="shared" si="1"/>
        <v>0</v>
      </c>
    </row>
    <row r="70" spans="1:12" ht="15.75" customHeight="1" x14ac:dyDescent="0.35">
      <c r="A70" s="97">
        <v>1007</v>
      </c>
      <c r="B70" s="224" t="s">
        <v>53</v>
      </c>
      <c r="C70" s="421"/>
      <c r="D70" s="225">
        <v>5</v>
      </c>
      <c r="E70" s="100" t="s">
        <v>43</v>
      </c>
      <c r="F70" s="65">
        <v>0</v>
      </c>
      <c r="G70" s="226">
        <v>5</v>
      </c>
      <c r="H70" s="102">
        <f t="shared" si="0"/>
        <v>0</v>
      </c>
      <c r="I70" s="227">
        <f t="shared" si="1"/>
        <v>0</v>
      </c>
    </row>
    <row r="71" spans="1:12" ht="15.75" customHeight="1" x14ac:dyDescent="0.35">
      <c r="A71" s="29">
        <v>1007</v>
      </c>
      <c r="B71" s="30" t="s">
        <v>53</v>
      </c>
      <c r="C71" s="421"/>
      <c r="D71" s="191">
        <v>46180</v>
      </c>
      <c r="E71" s="32" t="s">
        <v>43</v>
      </c>
      <c r="F71" s="65">
        <v>0</v>
      </c>
      <c r="G71" s="182">
        <v>7</v>
      </c>
      <c r="H71" s="35">
        <f t="shared" si="0"/>
        <v>0</v>
      </c>
      <c r="I71" s="183">
        <f t="shared" si="1"/>
        <v>0</v>
      </c>
    </row>
    <row r="72" spans="1:12" ht="15.75" customHeight="1" x14ac:dyDescent="0.35">
      <c r="A72" s="97">
        <v>1007</v>
      </c>
      <c r="B72" s="224" t="s">
        <v>53</v>
      </c>
      <c r="C72" s="421"/>
      <c r="D72" s="228">
        <v>46243</v>
      </c>
      <c r="E72" s="100" t="s">
        <v>43</v>
      </c>
      <c r="F72" s="65">
        <v>0</v>
      </c>
      <c r="G72" s="226">
        <v>9</v>
      </c>
      <c r="H72" s="102">
        <f t="shared" si="0"/>
        <v>0</v>
      </c>
      <c r="I72" s="227">
        <f t="shared" si="1"/>
        <v>0</v>
      </c>
    </row>
    <row r="73" spans="1:12" ht="15.75" customHeight="1" x14ac:dyDescent="0.35">
      <c r="A73" s="29">
        <v>1007</v>
      </c>
      <c r="B73" s="30" t="s">
        <v>53</v>
      </c>
      <c r="C73" s="421"/>
      <c r="D73" s="191">
        <v>46309</v>
      </c>
      <c r="E73" s="32" t="s">
        <v>43</v>
      </c>
      <c r="F73" s="65">
        <v>0</v>
      </c>
      <c r="G73" s="182">
        <v>14</v>
      </c>
      <c r="H73" s="35">
        <f t="shared" si="0"/>
        <v>0</v>
      </c>
      <c r="I73" s="183">
        <f t="shared" si="1"/>
        <v>0</v>
      </c>
    </row>
    <row r="74" spans="1:12" ht="15.75" customHeight="1" x14ac:dyDescent="0.35">
      <c r="A74" s="97">
        <v>1007</v>
      </c>
      <c r="B74" s="224" t="s">
        <v>53</v>
      </c>
      <c r="C74" s="421"/>
      <c r="D74" s="225" t="s">
        <v>187</v>
      </c>
      <c r="E74" s="100" t="s">
        <v>43</v>
      </c>
      <c r="F74" s="65">
        <v>0</v>
      </c>
      <c r="G74" s="226">
        <v>19</v>
      </c>
      <c r="H74" s="102">
        <f t="shared" si="0"/>
        <v>0</v>
      </c>
      <c r="I74" s="227">
        <f t="shared" si="1"/>
        <v>0</v>
      </c>
    </row>
    <row r="75" spans="1:12" ht="15.75" customHeight="1" x14ac:dyDescent="0.35">
      <c r="A75" s="47">
        <v>1007</v>
      </c>
      <c r="B75" s="48" t="s">
        <v>53</v>
      </c>
      <c r="C75" s="422"/>
      <c r="D75" s="193" t="s">
        <v>188</v>
      </c>
      <c r="E75" s="50" t="s">
        <v>43</v>
      </c>
      <c r="F75" s="66">
        <v>0</v>
      </c>
      <c r="G75" s="194">
        <v>30</v>
      </c>
      <c r="H75" s="53">
        <f t="shared" si="0"/>
        <v>0</v>
      </c>
      <c r="I75" s="195">
        <f t="shared" si="1"/>
        <v>0</v>
      </c>
    </row>
    <row r="76" spans="1:12" ht="15.75" customHeight="1" x14ac:dyDescent="0.35">
      <c r="A76" s="229"/>
      <c r="B76" s="230"/>
      <c r="C76" s="231"/>
      <c r="D76" s="229"/>
      <c r="E76" s="229"/>
      <c r="F76" s="232"/>
      <c r="G76" s="233"/>
      <c r="H76" s="234"/>
      <c r="I76" s="234"/>
    </row>
    <row r="77" spans="1:12" ht="15.75" customHeight="1" x14ac:dyDescent="0.35">
      <c r="A77" s="235"/>
      <c r="B77" s="236"/>
      <c r="C77" s="237"/>
      <c r="D77" s="235"/>
      <c r="E77" s="235"/>
      <c r="F77" s="238"/>
      <c r="G77" s="239"/>
      <c r="H77" s="240"/>
      <c r="I77" s="240"/>
    </row>
    <row r="78" spans="1:12" ht="15.75" customHeight="1" x14ac:dyDescent="0.4">
      <c r="A78" s="11" t="s">
        <v>237</v>
      </c>
      <c r="B78" s="124"/>
      <c r="C78" s="124"/>
    </row>
    <row r="79" spans="1:12" ht="15.75" customHeight="1" x14ac:dyDescent="0.35">
      <c r="A79" s="424" t="s">
        <v>28</v>
      </c>
      <c r="B79" s="416"/>
      <c r="C79" s="416"/>
      <c r="D79" s="416"/>
      <c r="E79" s="416"/>
      <c r="F79" s="417"/>
      <c r="G79" s="425" t="s">
        <v>238</v>
      </c>
      <c r="H79" s="416"/>
      <c r="I79" s="419"/>
    </row>
    <row r="80" spans="1:12" ht="29" x14ac:dyDescent="0.35">
      <c r="A80" s="125" t="s">
        <v>225</v>
      </c>
      <c r="B80" s="69" t="s">
        <v>31</v>
      </c>
      <c r="C80" s="69" t="s">
        <v>32</v>
      </c>
      <c r="D80" s="127" t="s">
        <v>239</v>
      </c>
      <c r="E80" s="50" t="s">
        <v>34</v>
      </c>
      <c r="F80" s="127" t="s">
        <v>35</v>
      </c>
      <c r="G80" s="127" t="s">
        <v>240</v>
      </c>
      <c r="H80" s="127" t="s">
        <v>241</v>
      </c>
      <c r="I80" s="71" t="s">
        <v>38</v>
      </c>
      <c r="K80" s="18" t="s">
        <v>39</v>
      </c>
      <c r="L80" s="19" t="s">
        <v>268</v>
      </c>
    </row>
    <row r="81" spans="1:12" ht="15.75" customHeight="1" x14ac:dyDescent="0.35">
      <c r="A81" s="72">
        <v>1008</v>
      </c>
      <c r="B81" s="89">
        <v>1</v>
      </c>
      <c r="C81" s="443" t="s">
        <v>269</v>
      </c>
      <c r="D81" s="241" t="s">
        <v>244</v>
      </c>
      <c r="E81" s="74" t="s">
        <v>245</v>
      </c>
      <c r="F81" s="64">
        <v>0</v>
      </c>
      <c r="G81" s="242">
        <v>100000</v>
      </c>
      <c r="H81" s="77">
        <f>F81*G81*2</f>
        <v>0</v>
      </c>
      <c r="I81" s="78">
        <f t="shared" ref="I81:I136" si="2">H81*365</f>
        <v>0</v>
      </c>
      <c r="K81" s="18">
        <v>1</v>
      </c>
      <c r="L81" s="28">
        <f>SUM(I81:I88)</f>
        <v>0</v>
      </c>
    </row>
    <row r="82" spans="1:12" ht="15.75" customHeight="1" x14ac:dyDescent="0.35">
      <c r="A82" s="29">
        <v>1008</v>
      </c>
      <c r="B82" s="30">
        <v>1</v>
      </c>
      <c r="C82" s="421"/>
      <c r="D82" s="31" t="s">
        <v>246</v>
      </c>
      <c r="E82" s="135" t="s">
        <v>245</v>
      </c>
      <c r="F82" s="65">
        <v>0</v>
      </c>
      <c r="G82" s="243">
        <v>500000</v>
      </c>
      <c r="H82" s="35">
        <f t="shared" ref="H82:H136" si="3">F82*G82</f>
        <v>0</v>
      </c>
      <c r="I82" s="36">
        <f t="shared" si="2"/>
        <v>0</v>
      </c>
      <c r="K82" s="18">
        <v>2</v>
      </c>
      <c r="L82" s="28">
        <f>SUM(I89:I96)</f>
        <v>0</v>
      </c>
    </row>
    <row r="83" spans="1:12" ht="15.75" customHeight="1" x14ac:dyDescent="0.35">
      <c r="A83" s="80">
        <v>1008</v>
      </c>
      <c r="B83" s="244">
        <v>1</v>
      </c>
      <c r="C83" s="421"/>
      <c r="D83" s="82" t="s">
        <v>247</v>
      </c>
      <c r="E83" s="82" t="s">
        <v>245</v>
      </c>
      <c r="F83" s="65">
        <v>0</v>
      </c>
      <c r="G83" s="245">
        <v>1000000</v>
      </c>
      <c r="H83" s="85">
        <f t="shared" si="3"/>
        <v>0</v>
      </c>
      <c r="I83" s="86">
        <f t="shared" si="2"/>
        <v>0</v>
      </c>
      <c r="K83" s="18" t="s">
        <v>46</v>
      </c>
      <c r="L83" s="28">
        <f>SUM(I97:I104)</f>
        <v>0</v>
      </c>
    </row>
    <row r="84" spans="1:12" ht="15.75" customHeight="1" x14ac:dyDescent="0.35">
      <c r="A84" s="29">
        <v>1008</v>
      </c>
      <c r="B84" s="30">
        <v>1</v>
      </c>
      <c r="C84" s="421"/>
      <c r="D84" s="31" t="s">
        <v>248</v>
      </c>
      <c r="E84" s="135" t="s">
        <v>245</v>
      </c>
      <c r="F84" s="65">
        <v>0</v>
      </c>
      <c r="G84" s="243">
        <v>5000000</v>
      </c>
      <c r="H84" s="35">
        <f t="shared" si="3"/>
        <v>0</v>
      </c>
      <c r="I84" s="36">
        <f t="shared" si="2"/>
        <v>0</v>
      </c>
      <c r="K84" s="18">
        <v>3</v>
      </c>
      <c r="L84" s="28">
        <f>SUM(I105:I112)</f>
        <v>0</v>
      </c>
    </row>
    <row r="85" spans="1:12" ht="15.75" customHeight="1" x14ac:dyDescent="0.35">
      <c r="A85" s="80">
        <v>1008</v>
      </c>
      <c r="B85" s="244">
        <v>1</v>
      </c>
      <c r="C85" s="421"/>
      <c r="D85" s="87" t="s">
        <v>249</v>
      </c>
      <c r="E85" s="82" t="s">
        <v>245</v>
      </c>
      <c r="F85" s="65">
        <v>0</v>
      </c>
      <c r="G85" s="245">
        <v>10000000</v>
      </c>
      <c r="H85" s="85">
        <f t="shared" si="3"/>
        <v>0</v>
      </c>
      <c r="I85" s="86">
        <f t="shared" si="2"/>
        <v>0</v>
      </c>
      <c r="K85" s="18" t="s">
        <v>49</v>
      </c>
      <c r="L85" s="28">
        <f>SUM(I113:I120)</f>
        <v>0</v>
      </c>
    </row>
    <row r="86" spans="1:12" ht="15.75" customHeight="1" x14ac:dyDescent="0.35">
      <c r="A86" s="29">
        <v>1008</v>
      </c>
      <c r="B86" s="30">
        <v>1</v>
      </c>
      <c r="C86" s="421"/>
      <c r="D86" s="31" t="s">
        <v>250</v>
      </c>
      <c r="E86" s="135" t="s">
        <v>245</v>
      </c>
      <c r="F86" s="65">
        <v>0</v>
      </c>
      <c r="G86" s="243">
        <v>50000000</v>
      </c>
      <c r="H86" s="35">
        <f t="shared" si="3"/>
        <v>0</v>
      </c>
      <c r="I86" s="36">
        <f t="shared" si="2"/>
        <v>0</v>
      </c>
      <c r="K86" s="18">
        <v>4</v>
      </c>
      <c r="L86" s="46">
        <f>SUM(I121:I128)</f>
        <v>0</v>
      </c>
    </row>
    <row r="87" spans="1:12" ht="15.75" customHeight="1" x14ac:dyDescent="0.35">
      <c r="A87" s="80">
        <v>1008</v>
      </c>
      <c r="B87" s="244">
        <v>1</v>
      </c>
      <c r="C87" s="421"/>
      <c r="D87" s="87" t="s">
        <v>251</v>
      </c>
      <c r="E87" s="82" t="s">
        <v>245</v>
      </c>
      <c r="F87" s="65">
        <v>0</v>
      </c>
      <c r="G87" s="245">
        <v>100000000</v>
      </c>
      <c r="H87" s="85">
        <f t="shared" si="3"/>
        <v>0</v>
      </c>
      <c r="I87" s="86">
        <f t="shared" si="2"/>
        <v>0</v>
      </c>
      <c r="K87" s="18" t="s">
        <v>53</v>
      </c>
      <c r="L87" s="46">
        <f>SUM(I129:I136)</f>
        <v>0</v>
      </c>
    </row>
    <row r="88" spans="1:12" ht="15.75" customHeight="1" x14ac:dyDescent="0.35">
      <c r="A88" s="47">
        <v>1008</v>
      </c>
      <c r="B88" s="48">
        <v>1</v>
      </c>
      <c r="C88" s="444"/>
      <c r="D88" s="49" t="s">
        <v>252</v>
      </c>
      <c r="E88" s="246" t="s">
        <v>245</v>
      </c>
      <c r="F88" s="66">
        <v>0</v>
      </c>
      <c r="G88" s="247">
        <v>500000000</v>
      </c>
      <c r="H88" s="53">
        <f t="shared" si="3"/>
        <v>0</v>
      </c>
      <c r="I88" s="54">
        <f t="shared" si="2"/>
        <v>0</v>
      </c>
      <c r="K88" s="18" t="s">
        <v>253</v>
      </c>
      <c r="L88" s="28">
        <f>SUM(L81:L87)</f>
        <v>0</v>
      </c>
    </row>
    <row r="89" spans="1:12" ht="15.75" customHeight="1" x14ac:dyDescent="0.35">
      <c r="A89" s="72">
        <v>1009</v>
      </c>
      <c r="B89" s="89">
        <v>2</v>
      </c>
      <c r="C89" s="443" t="s">
        <v>270</v>
      </c>
      <c r="D89" s="241" t="s">
        <v>244</v>
      </c>
      <c r="E89" s="74" t="s">
        <v>245</v>
      </c>
      <c r="F89" s="64">
        <v>0</v>
      </c>
      <c r="G89" s="242">
        <v>100000</v>
      </c>
      <c r="H89" s="77">
        <f t="shared" si="3"/>
        <v>0</v>
      </c>
      <c r="I89" s="78">
        <f t="shared" si="2"/>
        <v>0</v>
      </c>
    </row>
    <row r="90" spans="1:12" ht="15.75" customHeight="1" x14ac:dyDescent="0.35">
      <c r="A90" s="29">
        <v>1009</v>
      </c>
      <c r="B90" s="30">
        <v>2</v>
      </c>
      <c r="C90" s="421"/>
      <c r="D90" s="31" t="s">
        <v>246</v>
      </c>
      <c r="E90" s="135" t="s">
        <v>245</v>
      </c>
      <c r="F90" s="65">
        <v>0</v>
      </c>
      <c r="G90" s="243">
        <v>500000</v>
      </c>
      <c r="H90" s="35">
        <f t="shared" si="3"/>
        <v>0</v>
      </c>
      <c r="I90" s="36">
        <f t="shared" si="2"/>
        <v>0</v>
      </c>
    </row>
    <row r="91" spans="1:12" ht="15.75" customHeight="1" x14ac:dyDescent="0.35">
      <c r="A91" s="80">
        <v>1009</v>
      </c>
      <c r="B91" s="244">
        <v>2</v>
      </c>
      <c r="C91" s="421"/>
      <c r="D91" s="82" t="s">
        <v>247</v>
      </c>
      <c r="E91" s="82" t="s">
        <v>245</v>
      </c>
      <c r="F91" s="65">
        <v>0</v>
      </c>
      <c r="G91" s="245">
        <v>1000000</v>
      </c>
      <c r="H91" s="85">
        <f t="shared" si="3"/>
        <v>0</v>
      </c>
      <c r="I91" s="86">
        <f t="shared" si="2"/>
        <v>0</v>
      </c>
    </row>
    <row r="92" spans="1:12" ht="15.75" customHeight="1" x14ac:dyDescent="0.35">
      <c r="A92" s="29">
        <v>1009</v>
      </c>
      <c r="B92" s="30">
        <v>2</v>
      </c>
      <c r="C92" s="421"/>
      <c r="D92" s="31" t="s">
        <v>248</v>
      </c>
      <c r="E92" s="135" t="s">
        <v>245</v>
      </c>
      <c r="F92" s="65">
        <v>0</v>
      </c>
      <c r="G92" s="243">
        <v>5000000</v>
      </c>
      <c r="H92" s="35">
        <f t="shared" si="3"/>
        <v>0</v>
      </c>
      <c r="I92" s="36">
        <f t="shared" si="2"/>
        <v>0</v>
      </c>
    </row>
    <row r="93" spans="1:12" ht="15.75" customHeight="1" x14ac:dyDescent="0.35">
      <c r="A93" s="80">
        <v>1009</v>
      </c>
      <c r="B93" s="244">
        <v>2</v>
      </c>
      <c r="C93" s="421"/>
      <c r="D93" s="87" t="s">
        <v>249</v>
      </c>
      <c r="E93" s="82" t="s">
        <v>245</v>
      </c>
      <c r="F93" s="65">
        <v>0</v>
      </c>
      <c r="G93" s="245">
        <v>10000000</v>
      </c>
      <c r="H93" s="85">
        <f t="shared" si="3"/>
        <v>0</v>
      </c>
      <c r="I93" s="86">
        <f t="shared" si="2"/>
        <v>0</v>
      </c>
    </row>
    <row r="94" spans="1:12" ht="15.75" customHeight="1" x14ac:dyDescent="0.35">
      <c r="A94" s="29">
        <v>1009</v>
      </c>
      <c r="B94" s="30">
        <v>2</v>
      </c>
      <c r="C94" s="421"/>
      <c r="D94" s="31" t="s">
        <v>250</v>
      </c>
      <c r="E94" s="135" t="s">
        <v>245</v>
      </c>
      <c r="F94" s="65">
        <v>0</v>
      </c>
      <c r="G94" s="243">
        <v>50000000</v>
      </c>
      <c r="H94" s="35">
        <f t="shared" si="3"/>
        <v>0</v>
      </c>
      <c r="I94" s="36">
        <f t="shared" si="2"/>
        <v>0</v>
      </c>
    </row>
    <row r="95" spans="1:12" ht="15.75" customHeight="1" x14ac:dyDescent="0.35">
      <c r="A95" s="80">
        <v>1009</v>
      </c>
      <c r="B95" s="244">
        <v>2</v>
      </c>
      <c r="C95" s="421"/>
      <c r="D95" s="87" t="s">
        <v>251</v>
      </c>
      <c r="E95" s="82" t="s">
        <v>245</v>
      </c>
      <c r="F95" s="65">
        <v>0</v>
      </c>
      <c r="G95" s="245">
        <v>100000000</v>
      </c>
      <c r="H95" s="85">
        <f t="shared" si="3"/>
        <v>0</v>
      </c>
      <c r="I95" s="86">
        <f t="shared" si="2"/>
        <v>0</v>
      </c>
    </row>
    <row r="96" spans="1:12" ht="15.75" customHeight="1" x14ac:dyDescent="0.35">
      <c r="A96" s="47">
        <v>1009</v>
      </c>
      <c r="B96" s="48">
        <v>2</v>
      </c>
      <c r="C96" s="444"/>
      <c r="D96" s="49" t="s">
        <v>252</v>
      </c>
      <c r="E96" s="246" t="s">
        <v>245</v>
      </c>
      <c r="F96" s="66">
        <v>0</v>
      </c>
      <c r="G96" s="247">
        <v>500000000</v>
      </c>
      <c r="H96" s="53">
        <f t="shared" si="3"/>
        <v>0</v>
      </c>
      <c r="I96" s="54">
        <f t="shared" si="2"/>
        <v>0</v>
      </c>
    </row>
    <row r="97" spans="1:9" ht="15.75" customHeight="1" x14ac:dyDescent="0.35">
      <c r="A97" s="72">
        <v>1010</v>
      </c>
      <c r="B97" s="89" t="s">
        <v>46</v>
      </c>
      <c r="C97" s="443" t="s">
        <v>271</v>
      </c>
      <c r="D97" s="241" t="s">
        <v>244</v>
      </c>
      <c r="E97" s="74" t="s">
        <v>245</v>
      </c>
      <c r="F97" s="64">
        <v>0</v>
      </c>
      <c r="G97" s="242">
        <v>100000</v>
      </c>
      <c r="H97" s="77">
        <f t="shared" si="3"/>
        <v>0</v>
      </c>
      <c r="I97" s="78">
        <f t="shared" si="2"/>
        <v>0</v>
      </c>
    </row>
    <row r="98" spans="1:9" ht="15.75" customHeight="1" x14ac:dyDescent="0.35">
      <c r="A98" s="29">
        <v>1010</v>
      </c>
      <c r="B98" s="30" t="s">
        <v>46</v>
      </c>
      <c r="C98" s="421"/>
      <c r="D98" s="31" t="s">
        <v>246</v>
      </c>
      <c r="E98" s="135" t="s">
        <v>245</v>
      </c>
      <c r="F98" s="65">
        <v>0</v>
      </c>
      <c r="G98" s="243">
        <v>500000</v>
      </c>
      <c r="H98" s="35">
        <f t="shared" si="3"/>
        <v>0</v>
      </c>
      <c r="I98" s="36">
        <f t="shared" si="2"/>
        <v>0</v>
      </c>
    </row>
    <row r="99" spans="1:9" ht="15.75" customHeight="1" x14ac:dyDescent="0.35">
      <c r="A99" s="80">
        <v>1010</v>
      </c>
      <c r="B99" s="244" t="s">
        <v>46</v>
      </c>
      <c r="C99" s="421"/>
      <c r="D99" s="82" t="s">
        <v>247</v>
      </c>
      <c r="E99" s="82" t="s">
        <v>245</v>
      </c>
      <c r="F99" s="65">
        <v>0</v>
      </c>
      <c r="G99" s="245">
        <v>1000000</v>
      </c>
      <c r="H99" s="85">
        <f t="shared" si="3"/>
        <v>0</v>
      </c>
      <c r="I99" s="86">
        <f t="shared" si="2"/>
        <v>0</v>
      </c>
    </row>
    <row r="100" spans="1:9" ht="15.75" customHeight="1" x14ac:dyDescent="0.35">
      <c r="A100" s="29">
        <v>1010</v>
      </c>
      <c r="B100" s="30" t="s">
        <v>46</v>
      </c>
      <c r="C100" s="421"/>
      <c r="D100" s="31" t="s">
        <v>248</v>
      </c>
      <c r="E100" s="135" t="s">
        <v>245</v>
      </c>
      <c r="F100" s="65">
        <v>0</v>
      </c>
      <c r="G100" s="243">
        <v>5000000</v>
      </c>
      <c r="H100" s="35">
        <f t="shared" si="3"/>
        <v>0</v>
      </c>
      <c r="I100" s="36">
        <f t="shared" si="2"/>
        <v>0</v>
      </c>
    </row>
    <row r="101" spans="1:9" ht="15.75" customHeight="1" x14ac:dyDescent="0.35">
      <c r="A101" s="80">
        <v>1010</v>
      </c>
      <c r="B101" s="244" t="s">
        <v>46</v>
      </c>
      <c r="C101" s="421"/>
      <c r="D101" s="87" t="s">
        <v>249</v>
      </c>
      <c r="E101" s="82" t="s">
        <v>245</v>
      </c>
      <c r="F101" s="65">
        <v>0</v>
      </c>
      <c r="G101" s="245">
        <v>10000000</v>
      </c>
      <c r="H101" s="85">
        <f t="shared" si="3"/>
        <v>0</v>
      </c>
      <c r="I101" s="86">
        <f t="shared" si="2"/>
        <v>0</v>
      </c>
    </row>
    <row r="102" spans="1:9" ht="15.75" customHeight="1" x14ac:dyDescent="0.35">
      <c r="A102" s="29">
        <v>1010</v>
      </c>
      <c r="B102" s="30" t="s">
        <v>46</v>
      </c>
      <c r="C102" s="421"/>
      <c r="D102" s="31" t="s">
        <v>250</v>
      </c>
      <c r="E102" s="135" t="s">
        <v>245</v>
      </c>
      <c r="F102" s="65">
        <v>0</v>
      </c>
      <c r="G102" s="243">
        <v>50000000</v>
      </c>
      <c r="H102" s="35">
        <f t="shared" si="3"/>
        <v>0</v>
      </c>
      <c r="I102" s="36">
        <f t="shared" si="2"/>
        <v>0</v>
      </c>
    </row>
    <row r="103" spans="1:9" ht="15.75" customHeight="1" x14ac:dyDescent="0.35">
      <c r="A103" s="80">
        <v>1010</v>
      </c>
      <c r="B103" s="244" t="s">
        <v>46</v>
      </c>
      <c r="C103" s="421"/>
      <c r="D103" s="87" t="s">
        <v>251</v>
      </c>
      <c r="E103" s="82" t="s">
        <v>245</v>
      </c>
      <c r="F103" s="65">
        <v>0</v>
      </c>
      <c r="G103" s="245">
        <v>100000000</v>
      </c>
      <c r="H103" s="85">
        <f t="shared" si="3"/>
        <v>0</v>
      </c>
      <c r="I103" s="86">
        <f t="shared" si="2"/>
        <v>0</v>
      </c>
    </row>
    <row r="104" spans="1:9" ht="15.75" customHeight="1" x14ac:dyDescent="0.35">
      <c r="A104" s="47">
        <v>1010</v>
      </c>
      <c r="B104" s="48" t="s">
        <v>46</v>
      </c>
      <c r="C104" s="444"/>
      <c r="D104" s="49" t="s">
        <v>256</v>
      </c>
      <c r="E104" s="246" t="s">
        <v>245</v>
      </c>
      <c r="F104" s="66">
        <v>0</v>
      </c>
      <c r="G104" s="247">
        <v>500000000</v>
      </c>
      <c r="H104" s="53">
        <f t="shared" si="3"/>
        <v>0</v>
      </c>
      <c r="I104" s="54">
        <f t="shared" si="2"/>
        <v>0</v>
      </c>
    </row>
    <row r="105" spans="1:9" ht="15.75" customHeight="1" x14ac:dyDescent="0.35">
      <c r="A105" s="72">
        <v>1011</v>
      </c>
      <c r="B105" s="89">
        <v>3</v>
      </c>
      <c r="C105" s="443" t="s">
        <v>272</v>
      </c>
      <c r="D105" s="241" t="s">
        <v>244</v>
      </c>
      <c r="E105" s="74" t="s">
        <v>245</v>
      </c>
      <c r="F105" s="64">
        <v>0</v>
      </c>
      <c r="G105" s="242">
        <v>100000</v>
      </c>
      <c r="H105" s="77">
        <f t="shared" si="3"/>
        <v>0</v>
      </c>
      <c r="I105" s="78">
        <f t="shared" si="2"/>
        <v>0</v>
      </c>
    </row>
    <row r="106" spans="1:9" ht="15.75" customHeight="1" x14ac:dyDescent="0.35">
      <c r="A106" s="29">
        <v>1011</v>
      </c>
      <c r="B106" s="30">
        <v>3</v>
      </c>
      <c r="C106" s="421"/>
      <c r="D106" s="31" t="s">
        <v>246</v>
      </c>
      <c r="E106" s="135" t="s">
        <v>245</v>
      </c>
      <c r="F106" s="65">
        <v>0</v>
      </c>
      <c r="G106" s="243">
        <v>500000</v>
      </c>
      <c r="H106" s="35">
        <f t="shared" si="3"/>
        <v>0</v>
      </c>
      <c r="I106" s="36">
        <f t="shared" si="2"/>
        <v>0</v>
      </c>
    </row>
    <row r="107" spans="1:9" ht="15.75" customHeight="1" x14ac:dyDescent="0.35">
      <c r="A107" s="80">
        <v>1011</v>
      </c>
      <c r="B107" s="244">
        <v>3</v>
      </c>
      <c r="C107" s="421"/>
      <c r="D107" s="82" t="s">
        <v>247</v>
      </c>
      <c r="E107" s="82" t="s">
        <v>245</v>
      </c>
      <c r="F107" s="65">
        <v>0</v>
      </c>
      <c r="G107" s="245">
        <v>1000000</v>
      </c>
      <c r="H107" s="85">
        <f t="shared" si="3"/>
        <v>0</v>
      </c>
      <c r="I107" s="86">
        <f t="shared" si="2"/>
        <v>0</v>
      </c>
    </row>
    <row r="108" spans="1:9" ht="15.75" customHeight="1" x14ac:dyDescent="0.35">
      <c r="A108" s="29">
        <v>1011</v>
      </c>
      <c r="B108" s="30">
        <v>3</v>
      </c>
      <c r="C108" s="421"/>
      <c r="D108" s="31" t="s">
        <v>248</v>
      </c>
      <c r="E108" s="135" t="s">
        <v>245</v>
      </c>
      <c r="F108" s="65">
        <v>0</v>
      </c>
      <c r="G108" s="243">
        <v>5000000</v>
      </c>
      <c r="H108" s="35">
        <f t="shared" si="3"/>
        <v>0</v>
      </c>
      <c r="I108" s="36">
        <f t="shared" si="2"/>
        <v>0</v>
      </c>
    </row>
    <row r="109" spans="1:9" ht="15.75" customHeight="1" x14ac:dyDescent="0.35">
      <c r="A109" s="80">
        <v>1011</v>
      </c>
      <c r="B109" s="244">
        <v>3</v>
      </c>
      <c r="C109" s="421"/>
      <c r="D109" s="87" t="s">
        <v>249</v>
      </c>
      <c r="E109" s="82" t="s">
        <v>245</v>
      </c>
      <c r="F109" s="65">
        <v>0</v>
      </c>
      <c r="G109" s="245">
        <v>10000000</v>
      </c>
      <c r="H109" s="85">
        <f t="shared" si="3"/>
        <v>0</v>
      </c>
      <c r="I109" s="86">
        <f t="shared" si="2"/>
        <v>0</v>
      </c>
    </row>
    <row r="110" spans="1:9" ht="15.75" customHeight="1" x14ac:dyDescent="0.35">
      <c r="A110" s="29">
        <v>1011</v>
      </c>
      <c r="B110" s="30">
        <v>3</v>
      </c>
      <c r="C110" s="421"/>
      <c r="D110" s="31" t="s">
        <v>250</v>
      </c>
      <c r="E110" s="135" t="s">
        <v>245</v>
      </c>
      <c r="F110" s="65">
        <v>0</v>
      </c>
      <c r="G110" s="243">
        <v>50000000</v>
      </c>
      <c r="H110" s="35">
        <f t="shared" si="3"/>
        <v>0</v>
      </c>
      <c r="I110" s="36">
        <f t="shared" si="2"/>
        <v>0</v>
      </c>
    </row>
    <row r="111" spans="1:9" ht="15.75" customHeight="1" x14ac:dyDescent="0.35">
      <c r="A111" s="80">
        <v>1011</v>
      </c>
      <c r="B111" s="244">
        <v>3</v>
      </c>
      <c r="C111" s="421"/>
      <c r="D111" s="87" t="s">
        <v>251</v>
      </c>
      <c r="E111" s="82" t="s">
        <v>245</v>
      </c>
      <c r="F111" s="65">
        <v>0</v>
      </c>
      <c r="G111" s="245">
        <v>100000000</v>
      </c>
      <c r="H111" s="85">
        <f t="shared" si="3"/>
        <v>0</v>
      </c>
      <c r="I111" s="86">
        <f t="shared" si="2"/>
        <v>0</v>
      </c>
    </row>
    <row r="112" spans="1:9" ht="15.75" customHeight="1" x14ac:dyDescent="0.35">
      <c r="A112" s="47">
        <v>1011</v>
      </c>
      <c r="B112" s="48">
        <v>3</v>
      </c>
      <c r="C112" s="444"/>
      <c r="D112" s="49" t="s">
        <v>252</v>
      </c>
      <c r="E112" s="246" t="s">
        <v>245</v>
      </c>
      <c r="F112" s="66">
        <v>0</v>
      </c>
      <c r="G112" s="247">
        <v>500000000</v>
      </c>
      <c r="H112" s="53">
        <f t="shared" si="3"/>
        <v>0</v>
      </c>
      <c r="I112" s="54">
        <f t="shared" si="2"/>
        <v>0</v>
      </c>
    </row>
    <row r="113" spans="1:9" ht="15.75" customHeight="1" x14ac:dyDescent="0.35">
      <c r="A113" s="72">
        <v>1012</v>
      </c>
      <c r="B113" s="89" t="s">
        <v>49</v>
      </c>
      <c r="C113" s="443" t="s">
        <v>245</v>
      </c>
      <c r="D113" s="241" t="s">
        <v>244</v>
      </c>
      <c r="E113" s="74" t="s">
        <v>245</v>
      </c>
      <c r="F113" s="64">
        <v>0</v>
      </c>
      <c r="G113" s="242">
        <v>100000</v>
      </c>
      <c r="H113" s="77">
        <f t="shared" si="3"/>
        <v>0</v>
      </c>
      <c r="I113" s="78">
        <f t="shared" si="2"/>
        <v>0</v>
      </c>
    </row>
    <row r="114" spans="1:9" ht="15.75" customHeight="1" x14ac:dyDescent="0.35">
      <c r="A114" s="29">
        <v>1012</v>
      </c>
      <c r="B114" s="30" t="s">
        <v>49</v>
      </c>
      <c r="C114" s="421"/>
      <c r="D114" s="31" t="s">
        <v>246</v>
      </c>
      <c r="E114" s="135" t="s">
        <v>245</v>
      </c>
      <c r="F114" s="65">
        <v>0</v>
      </c>
      <c r="G114" s="243">
        <v>500000</v>
      </c>
      <c r="H114" s="35">
        <f t="shared" si="3"/>
        <v>0</v>
      </c>
      <c r="I114" s="36">
        <f t="shared" si="2"/>
        <v>0</v>
      </c>
    </row>
    <row r="115" spans="1:9" ht="15.75" customHeight="1" x14ac:dyDescent="0.35">
      <c r="A115" s="80">
        <v>1012</v>
      </c>
      <c r="B115" s="244" t="s">
        <v>49</v>
      </c>
      <c r="C115" s="421"/>
      <c r="D115" s="82" t="s">
        <v>247</v>
      </c>
      <c r="E115" s="82" t="s">
        <v>245</v>
      </c>
      <c r="F115" s="65">
        <v>0</v>
      </c>
      <c r="G115" s="245">
        <v>1000000</v>
      </c>
      <c r="H115" s="85">
        <f t="shared" si="3"/>
        <v>0</v>
      </c>
      <c r="I115" s="86">
        <f t="shared" si="2"/>
        <v>0</v>
      </c>
    </row>
    <row r="116" spans="1:9" ht="15.75" customHeight="1" x14ac:dyDescent="0.35">
      <c r="A116" s="29">
        <v>1012</v>
      </c>
      <c r="B116" s="30" t="s">
        <v>49</v>
      </c>
      <c r="C116" s="421"/>
      <c r="D116" s="31" t="s">
        <v>248</v>
      </c>
      <c r="E116" s="135" t="s">
        <v>245</v>
      </c>
      <c r="F116" s="65">
        <v>0</v>
      </c>
      <c r="G116" s="243">
        <v>5000000</v>
      </c>
      <c r="H116" s="35">
        <f t="shared" si="3"/>
        <v>0</v>
      </c>
      <c r="I116" s="36">
        <f t="shared" si="2"/>
        <v>0</v>
      </c>
    </row>
    <row r="117" spans="1:9" ht="15.75" customHeight="1" x14ac:dyDescent="0.35">
      <c r="A117" s="80">
        <v>1012</v>
      </c>
      <c r="B117" s="244" t="s">
        <v>49</v>
      </c>
      <c r="C117" s="421"/>
      <c r="D117" s="87" t="s">
        <v>249</v>
      </c>
      <c r="E117" s="82" t="s">
        <v>245</v>
      </c>
      <c r="F117" s="65">
        <v>0</v>
      </c>
      <c r="G117" s="245">
        <v>10000000</v>
      </c>
      <c r="H117" s="85">
        <f t="shared" si="3"/>
        <v>0</v>
      </c>
      <c r="I117" s="86">
        <f t="shared" si="2"/>
        <v>0</v>
      </c>
    </row>
    <row r="118" spans="1:9" ht="15.75" customHeight="1" x14ac:dyDescent="0.35">
      <c r="A118" s="29">
        <v>1012</v>
      </c>
      <c r="B118" s="30" t="s">
        <v>49</v>
      </c>
      <c r="C118" s="421"/>
      <c r="D118" s="31" t="s">
        <v>250</v>
      </c>
      <c r="E118" s="135" t="s">
        <v>245</v>
      </c>
      <c r="F118" s="65">
        <v>0</v>
      </c>
      <c r="G118" s="243">
        <v>50000000</v>
      </c>
      <c r="H118" s="35">
        <f t="shared" si="3"/>
        <v>0</v>
      </c>
      <c r="I118" s="36">
        <f t="shared" si="2"/>
        <v>0</v>
      </c>
    </row>
    <row r="119" spans="1:9" ht="15.75" customHeight="1" x14ac:dyDescent="0.35">
      <c r="A119" s="80">
        <v>1012</v>
      </c>
      <c r="B119" s="244" t="s">
        <v>49</v>
      </c>
      <c r="C119" s="421"/>
      <c r="D119" s="87" t="s">
        <v>251</v>
      </c>
      <c r="E119" s="82" t="s">
        <v>245</v>
      </c>
      <c r="F119" s="65">
        <v>0</v>
      </c>
      <c r="G119" s="245">
        <v>100000000</v>
      </c>
      <c r="H119" s="85">
        <f t="shared" si="3"/>
        <v>0</v>
      </c>
      <c r="I119" s="86">
        <f t="shared" si="2"/>
        <v>0</v>
      </c>
    </row>
    <row r="120" spans="1:9" ht="15.75" customHeight="1" x14ac:dyDescent="0.35">
      <c r="A120" s="47">
        <v>1012</v>
      </c>
      <c r="B120" s="48" t="s">
        <v>49</v>
      </c>
      <c r="C120" s="444"/>
      <c r="D120" s="49" t="s">
        <v>252</v>
      </c>
      <c r="E120" s="246" t="s">
        <v>245</v>
      </c>
      <c r="F120" s="66">
        <v>0</v>
      </c>
      <c r="G120" s="247">
        <v>500000000</v>
      </c>
      <c r="H120" s="53">
        <f t="shared" si="3"/>
        <v>0</v>
      </c>
      <c r="I120" s="54">
        <f t="shared" si="2"/>
        <v>0</v>
      </c>
    </row>
    <row r="121" spans="1:9" ht="15.75" customHeight="1" x14ac:dyDescent="0.35">
      <c r="A121" s="72">
        <v>1013</v>
      </c>
      <c r="B121" s="89">
        <v>4</v>
      </c>
      <c r="C121" s="443" t="s">
        <v>273</v>
      </c>
      <c r="D121" s="241" t="s">
        <v>244</v>
      </c>
      <c r="E121" s="74" t="s">
        <v>245</v>
      </c>
      <c r="F121" s="64">
        <v>0</v>
      </c>
      <c r="G121" s="242">
        <v>100000</v>
      </c>
      <c r="H121" s="77">
        <f t="shared" si="3"/>
        <v>0</v>
      </c>
      <c r="I121" s="78">
        <f t="shared" si="2"/>
        <v>0</v>
      </c>
    </row>
    <row r="122" spans="1:9" ht="15.75" customHeight="1" x14ac:dyDescent="0.35">
      <c r="A122" s="29">
        <v>1013</v>
      </c>
      <c r="B122" s="30">
        <v>4</v>
      </c>
      <c r="C122" s="421"/>
      <c r="D122" s="31" t="s">
        <v>246</v>
      </c>
      <c r="E122" s="135" t="s">
        <v>245</v>
      </c>
      <c r="F122" s="65">
        <v>0</v>
      </c>
      <c r="G122" s="243">
        <v>500000</v>
      </c>
      <c r="H122" s="35">
        <f t="shared" si="3"/>
        <v>0</v>
      </c>
      <c r="I122" s="36">
        <f t="shared" si="2"/>
        <v>0</v>
      </c>
    </row>
    <row r="123" spans="1:9" ht="15.75" customHeight="1" x14ac:dyDescent="0.35">
      <c r="A123" s="80">
        <v>1013</v>
      </c>
      <c r="B123" s="244">
        <v>4</v>
      </c>
      <c r="C123" s="421"/>
      <c r="D123" s="82" t="s">
        <v>247</v>
      </c>
      <c r="E123" s="82" t="s">
        <v>245</v>
      </c>
      <c r="F123" s="65">
        <v>0</v>
      </c>
      <c r="G123" s="245">
        <v>1000000</v>
      </c>
      <c r="H123" s="85">
        <f t="shared" si="3"/>
        <v>0</v>
      </c>
      <c r="I123" s="86">
        <f t="shared" si="2"/>
        <v>0</v>
      </c>
    </row>
    <row r="124" spans="1:9" ht="15.75" customHeight="1" x14ac:dyDescent="0.35">
      <c r="A124" s="29">
        <v>1013</v>
      </c>
      <c r="B124" s="30">
        <v>4</v>
      </c>
      <c r="C124" s="421"/>
      <c r="D124" s="31" t="s">
        <v>248</v>
      </c>
      <c r="E124" s="135" t="s">
        <v>245</v>
      </c>
      <c r="F124" s="65">
        <v>0</v>
      </c>
      <c r="G124" s="243">
        <v>5000000</v>
      </c>
      <c r="H124" s="35">
        <f t="shared" si="3"/>
        <v>0</v>
      </c>
      <c r="I124" s="36">
        <f t="shared" si="2"/>
        <v>0</v>
      </c>
    </row>
    <row r="125" spans="1:9" ht="15.75" customHeight="1" x14ac:dyDescent="0.35">
      <c r="A125" s="80">
        <v>1013</v>
      </c>
      <c r="B125" s="244">
        <v>4</v>
      </c>
      <c r="C125" s="421"/>
      <c r="D125" s="87" t="s">
        <v>249</v>
      </c>
      <c r="E125" s="82" t="s">
        <v>245</v>
      </c>
      <c r="F125" s="65">
        <v>0</v>
      </c>
      <c r="G125" s="245">
        <v>10000000</v>
      </c>
      <c r="H125" s="85">
        <f t="shared" si="3"/>
        <v>0</v>
      </c>
      <c r="I125" s="86">
        <f t="shared" si="2"/>
        <v>0</v>
      </c>
    </row>
    <row r="126" spans="1:9" ht="15.75" customHeight="1" x14ac:dyDescent="0.35">
      <c r="A126" s="29">
        <v>1013</v>
      </c>
      <c r="B126" s="30">
        <v>4</v>
      </c>
      <c r="C126" s="421"/>
      <c r="D126" s="31" t="s">
        <v>250</v>
      </c>
      <c r="E126" s="135" t="s">
        <v>245</v>
      </c>
      <c r="F126" s="65">
        <v>0</v>
      </c>
      <c r="G126" s="243">
        <v>50000000</v>
      </c>
      <c r="H126" s="35">
        <f t="shared" si="3"/>
        <v>0</v>
      </c>
      <c r="I126" s="36">
        <f t="shared" si="2"/>
        <v>0</v>
      </c>
    </row>
    <row r="127" spans="1:9" ht="15.75" customHeight="1" x14ac:dyDescent="0.35">
      <c r="A127" s="80">
        <v>1013</v>
      </c>
      <c r="B127" s="244">
        <v>4</v>
      </c>
      <c r="C127" s="421"/>
      <c r="D127" s="87" t="s">
        <v>251</v>
      </c>
      <c r="E127" s="82" t="s">
        <v>245</v>
      </c>
      <c r="F127" s="65">
        <v>0</v>
      </c>
      <c r="G127" s="245">
        <v>100000000</v>
      </c>
      <c r="H127" s="85">
        <f t="shared" si="3"/>
        <v>0</v>
      </c>
      <c r="I127" s="86">
        <f t="shared" si="2"/>
        <v>0</v>
      </c>
    </row>
    <row r="128" spans="1:9" ht="15.75" customHeight="1" x14ac:dyDescent="0.35">
      <c r="A128" s="47">
        <v>1013</v>
      </c>
      <c r="B128" s="48">
        <v>4</v>
      </c>
      <c r="C128" s="444"/>
      <c r="D128" s="49" t="s">
        <v>252</v>
      </c>
      <c r="E128" s="246" t="s">
        <v>245</v>
      </c>
      <c r="F128" s="66">
        <v>0</v>
      </c>
      <c r="G128" s="247">
        <v>500000000</v>
      </c>
      <c r="H128" s="53">
        <f t="shared" si="3"/>
        <v>0</v>
      </c>
      <c r="I128" s="54">
        <f t="shared" si="2"/>
        <v>0</v>
      </c>
    </row>
    <row r="129" spans="1:9" ht="15.75" customHeight="1" x14ac:dyDescent="0.35">
      <c r="A129" s="72">
        <v>1014</v>
      </c>
      <c r="B129" s="89" t="s">
        <v>53</v>
      </c>
      <c r="C129" s="443" t="s">
        <v>274</v>
      </c>
      <c r="D129" s="241" t="s">
        <v>244</v>
      </c>
      <c r="E129" s="74" t="s">
        <v>245</v>
      </c>
      <c r="F129" s="64">
        <v>0</v>
      </c>
      <c r="G129" s="242">
        <v>100000</v>
      </c>
      <c r="H129" s="77">
        <f t="shared" si="3"/>
        <v>0</v>
      </c>
      <c r="I129" s="78">
        <f t="shared" si="2"/>
        <v>0</v>
      </c>
    </row>
    <row r="130" spans="1:9" ht="15.75" customHeight="1" x14ac:dyDescent="0.35">
      <c r="A130" s="29">
        <v>1014</v>
      </c>
      <c r="B130" s="30" t="s">
        <v>53</v>
      </c>
      <c r="C130" s="421"/>
      <c r="D130" s="31" t="s">
        <v>246</v>
      </c>
      <c r="E130" s="135" t="s">
        <v>245</v>
      </c>
      <c r="F130" s="65">
        <v>0</v>
      </c>
      <c r="G130" s="243">
        <v>500000</v>
      </c>
      <c r="H130" s="35">
        <f t="shared" si="3"/>
        <v>0</v>
      </c>
      <c r="I130" s="36">
        <f t="shared" si="2"/>
        <v>0</v>
      </c>
    </row>
    <row r="131" spans="1:9" ht="15.75" customHeight="1" x14ac:dyDescent="0.35">
      <c r="A131" s="80">
        <v>1014</v>
      </c>
      <c r="B131" s="244" t="s">
        <v>53</v>
      </c>
      <c r="C131" s="421"/>
      <c r="D131" s="82" t="s">
        <v>247</v>
      </c>
      <c r="E131" s="82" t="s">
        <v>245</v>
      </c>
      <c r="F131" s="65">
        <v>0</v>
      </c>
      <c r="G131" s="245">
        <v>1000000</v>
      </c>
      <c r="H131" s="85">
        <f t="shared" si="3"/>
        <v>0</v>
      </c>
      <c r="I131" s="86">
        <f t="shared" si="2"/>
        <v>0</v>
      </c>
    </row>
    <row r="132" spans="1:9" ht="15.75" customHeight="1" x14ac:dyDescent="0.35">
      <c r="A132" s="29">
        <v>1014</v>
      </c>
      <c r="B132" s="30" t="s">
        <v>53</v>
      </c>
      <c r="C132" s="421"/>
      <c r="D132" s="31" t="s">
        <v>248</v>
      </c>
      <c r="E132" s="135" t="s">
        <v>245</v>
      </c>
      <c r="F132" s="65">
        <v>0</v>
      </c>
      <c r="G132" s="243">
        <v>5000000</v>
      </c>
      <c r="H132" s="35">
        <f t="shared" si="3"/>
        <v>0</v>
      </c>
      <c r="I132" s="36">
        <f t="shared" si="2"/>
        <v>0</v>
      </c>
    </row>
    <row r="133" spans="1:9" ht="15.75" customHeight="1" x14ac:dyDescent="0.35">
      <c r="A133" s="80">
        <v>1014</v>
      </c>
      <c r="B133" s="244" t="s">
        <v>53</v>
      </c>
      <c r="C133" s="421"/>
      <c r="D133" s="87" t="s">
        <v>249</v>
      </c>
      <c r="E133" s="82" t="s">
        <v>245</v>
      </c>
      <c r="F133" s="65">
        <v>0</v>
      </c>
      <c r="G133" s="245">
        <v>10000000</v>
      </c>
      <c r="H133" s="85">
        <f t="shared" si="3"/>
        <v>0</v>
      </c>
      <c r="I133" s="86">
        <f t="shared" si="2"/>
        <v>0</v>
      </c>
    </row>
    <row r="134" spans="1:9" ht="15.75" customHeight="1" x14ac:dyDescent="0.35">
      <c r="A134" s="29">
        <v>1014</v>
      </c>
      <c r="B134" s="30" t="s">
        <v>53</v>
      </c>
      <c r="C134" s="421"/>
      <c r="D134" s="31" t="s">
        <v>250</v>
      </c>
      <c r="E134" s="135" t="s">
        <v>245</v>
      </c>
      <c r="F134" s="65">
        <v>0</v>
      </c>
      <c r="G134" s="243">
        <v>50000000</v>
      </c>
      <c r="H134" s="35">
        <f t="shared" si="3"/>
        <v>0</v>
      </c>
      <c r="I134" s="36">
        <f t="shared" si="2"/>
        <v>0</v>
      </c>
    </row>
    <row r="135" spans="1:9" ht="15.75" customHeight="1" x14ac:dyDescent="0.35">
      <c r="A135" s="80">
        <v>1014</v>
      </c>
      <c r="B135" s="244" t="s">
        <v>53</v>
      </c>
      <c r="C135" s="421"/>
      <c r="D135" s="87" t="s">
        <v>251</v>
      </c>
      <c r="E135" s="82" t="s">
        <v>245</v>
      </c>
      <c r="F135" s="65">
        <v>0</v>
      </c>
      <c r="G135" s="245">
        <v>100000000</v>
      </c>
      <c r="H135" s="85">
        <f t="shared" si="3"/>
        <v>0</v>
      </c>
      <c r="I135" s="86">
        <f t="shared" si="2"/>
        <v>0</v>
      </c>
    </row>
    <row r="136" spans="1:9" ht="15.75" customHeight="1" x14ac:dyDescent="0.35">
      <c r="A136" s="47">
        <v>1014</v>
      </c>
      <c r="B136" s="48" t="s">
        <v>53</v>
      </c>
      <c r="C136" s="422"/>
      <c r="D136" s="49" t="s">
        <v>252</v>
      </c>
      <c r="E136" s="246" t="s">
        <v>245</v>
      </c>
      <c r="F136" s="66">
        <v>0</v>
      </c>
      <c r="G136" s="247">
        <v>500000000</v>
      </c>
      <c r="H136" s="53">
        <f t="shared" si="3"/>
        <v>0</v>
      </c>
      <c r="I136" s="54">
        <f t="shared" si="2"/>
        <v>0</v>
      </c>
    </row>
    <row r="137" spans="1:9" ht="15.75" customHeight="1" x14ac:dyDescent="0.35"/>
    <row r="138" spans="1:9" ht="15.75" customHeight="1" x14ac:dyDescent="0.35"/>
    <row r="139" spans="1:9" ht="15.75" customHeight="1" x14ac:dyDescent="0.35"/>
    <row r="140" spans="1:9" ht="15.75" customHeight="1" x14ac:dyDescent="0.35"/>
    <row r="141" spans="1:9" ht="15.75" customHeight="1" x14ac:dyDescent="0.35"/>
    <row r="142" spans="1:9" ht="15.75" customHeight="1" x14ac:dyDescent="0.35"/>
    <row r="143" spans="1:9" ht="15.75" customHeight="1" x14ac:dyDescent="0.35"/>
    <row r="144" spans="1:9"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sheetData>
  <mergeCells count="18">
    <mergeCell ref="C129:C136"/>
    <mergeCell ref="C56:C65"/>
    <mergeCell ref="C66:C75"/>
    <mergeCell ref="A79:F79"/>
    <mergeCell ref="G79:I79"/>
    <mergeCell ref="C81:C88"/>
    <mergeCell ref="C89:C96"/>
    <mergeCell ref="C97:C104"/>
    <mergeCell ref="C36:C45"/>
    <mergeCell ref="C46:C55"/>
    <mergeCell ref="C105:C112"/>
    <mergeCell ref="C113:C120"/>
    <mergeCell ref="C121:C128"/>
    <mergeCell ref="A4:F4"/>
    <mergeCell ref="G4:I4"/>
    <mergeCell ref="C6:C15"/>
    <mergeCell ref="C16:C25"/>
    <mergeCell ref="C26:C35"/>
  </mergeCells>
  <pageMargins left="0.7" right="0.7" top="0.75" bottom="0.75" header="0" footer="0"/>
  <pageSetup orientation="landscape"/>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984"/>
  <sheetViews>
    <sheetView workbookViewId="0"/>
  </sheetViews>
  <sheetFormatPr defaultColWidth="12.6328125" defaultRowHeight="15" customHeight="1" x14ac:dyDescent="0.35"/>
  <cols>
    <col min="1" max="1" width="10.6328125" customWidth="1"/>
    <col min="2" max="2" width="13.36328125" customWidth="1"/>
    <col min="3" max="3" width="27.90625" customWidth="1"/>
    <col min="4" max="4" width="14.36328125" customWidth="1"/>
    <col min="5" max="6" width="8.6328125" customWidth="1"/>
    <col min="7" max="7" width="15" customWidth="1"/>
    <col min="8" max="8" width="17.26953125" customWidth="1"/>
    <col min="9" max="9" width="21.7265625" customWidth="1"/>
    <col min="10" max="10" width="8.6328125" customWidth="1"/>
    <col min="11" max="11" width="12.36328125" customWidth="1"/>
    <col min="12" max="12" width="39" customWidth="1"/>
    <col min="13" max="23" width="8.6328125" customWidth="1"/>
  </cols>
  <sheetData>
    <row r="1" spans="1:12" ht="18.5" x14ac:dyDescent="0.45">
      <c r="A1" s="10" t="s">
        <v>275</v>
      </c>
      <c r="B1" s="124"/>
      <c r="C1" s="124"/>
    </row>
    <row r="2" spans="1:12" ht="18" x14ac:dyDescent="0.4">
      <c r="A2" s="11" t="s">
        <v>26</v>
      </c>
      <c r="B2" s="124"/>
      <c r="C2" s="124"/>
    </row>
    <row r="3" spans="1:12" ht="18.5" x14ac:dyDescent="0.45">
      <c r="A3" s="10"/>
      <c r="B3" s="124"/>
      <c r="C3" s="124"/>
    </row>
    <row r="4" spans="1:12" ht="18" customHeight="1" x14ac:dyDescent="0.35">
      <c r="A4" s="415" t="s">
        <v>28</v>
      </c>
      <c r="B4" s="416"/>
      <c r="C4" s="416"/>
      <c r="D4" s="416"/>
      <c r="E4" s="416"/>
      <c r="F4" s="417"/>
      <c r="G4" s="248"/>
      <c r="H4" s="418" t="s">
        <v>276</v>
      </c>
      <c r="I4" s="419"/>
    </row>
    <row r="5" spans="1:12" ht="29" x14ac:dyDescent="0.35">
      <c r="A5" s="125" t="s">
        <v>277</v>
      </c>
      <c r="B5" s="69" t="s">
        <v>31</v>
      </c>
      <c r="C5" s="69" t="s">
        <v>32</v>
      </c>
      <c r="D5" s="127" t="s">
        <v>183</v>
      </c>
      <c r="E5" s="50" t="s">
        <v>34</v>
      </c>
      <c r="F5" s="69" t="s">
        <v>35</v>
      </c>
      <c r="G5" s="127" t="s">
        <v>278</v>
      </c>
      <c r="H5" s="14" t="s">
        <v>37</v>
      </c>
      <c r="I5" s="128" t="s">
        <v>38</v>
      </c>
      <c r="K5" s="18" t="s">
        <v>39</v>
      </c>
      <c r="L5" s="19" t="s">
        <v>279</v>
      </c>
    </row>
    <row r="6" spans="1:12" ht="15.75" customHeight="1" x14ac:dyDescent="0.35">
      <c r="A6" s="20" t="s">
        <v>41</v>
      </c>
      <c r="B6" s="249">
        <v>1</v>
      </c>
      <c r="C6" s="420" t="s">
        <v>280</v>
      </c>
      <c r="D6" s="250">
        <v>1</v>
      </c>
      <c r="E6" s="23" t="s">
        <v>43</v>
      </c>
      <c r="F6" s="64">
        <v>0</v>
      </c>
      <c r="G6" s="251">
        <v>1</v>
      </c>
      <c r="H6" s="26">
        <f t="shared" ref="H6:H68" si="0">F6*G6</f>
        <v>0</v>
      </c>
      <c r="I6" s="252">
        <f t="shared" ref="I6:I68" si="1">H6*365</f>
        <v>0</v>
      </c>
      <c r="K6" s="18">
        <v>1</v>
      </c>
      <c r="L6" s="28">
        <f>SUM(I6:I14)</f>
        <v>0</v>
      </c>
    </row>
    <row r="7" spans="1:12" ht="14.5" x14ac:dyDescent="0.35">
      <c r="A7" s="29" t="s">
        <v>41</v>
      </c>
      <c r="B7" s="79">
        <v>1</v>
      </c>
      <c r="C7" s="421"/>
      <c r="D7" s="181">
        <v>2</v>
      </c>
      <c r="E7" s="32" t="s">
        <v>43</v>
      </c>
      <c r="F7" s="65">
        <v>0</v>
      </c>
      <c r="G7" s="182">
        <v>2</v>
      </c>
      <c r="H7" s="35">
        <f t="shared" si="0"/>
        <v>0</v>
      </c>
      <c r="I7" s="183">
        <f t="shared" si="1"/>
        <v>0</v>
      </c>
      <c r="K7" s="18">
        <v>2</v>
      </c>
      <c r="L7" s="28">
        <f>SUM(I15:I23)</f>
        <v>0</v>
      </c>
    </row>
    <row r="8" spans="1:12" ht="14.5" x14ac:dyDescent="0.35">
      <c r="A8" s="37" t="s">
        <v>41</v>
      </c>
      <c r="B8" s="253">
        <v>1</v>
      </c>
      <c r="C8" s="421"/>
      <c r="D8" s="254">
        <v>3</v>
      </c>
      <c r="E8" s="40" t="s">
        <v>43</v>
      </c>
      <c r="F8" s="65">
        <v>0</v>
      </c>
      <c r="G8" s="255">
        <v>3</v>
      </c>
      <c r="H8" s="42">
        <f t="shared" si="0"/>
        <v>0</v>
      </c>
      <c r="I8" s="256">
        <f t="shared" si="1"/>
        <v>0</v>
      </c>
      <c r="K8" s="18" t="s">
        <v>46</v>
      </c>
      <c r="L8" s="28">
        <f>SUM(I24:I32)</f>
        <v>0</v>
      </c>
    </row>
    <row r="9" spans="1:12" ht="14.5" x14ac:dyDescent="0.35">
      <c r="A9" s="29" t="s">
        <v>41</v>
      </c>
      <c r="B9" s="79">
        <v>1</v>
      </c>
      <c r="C9" s="421"/>
      <c r="D9" s="181">
        <v>4</v>
      </c>
      <c r="E9" s="32" t="s">
        <v>43</v>
      </c>
      <c r="F9" s="65">
        <v>0</v>
      </c>
      <c r="G9" s="182">
        <v>4</v>
      </c>
      <c r="H9" s="35">
        <f t="shared" si="0"/>
        <v>0</v>
      </c>
      <c r="I9" s="183">
        <f t="shared" si="1"/>
        <v>0</v>
      </c>
      <c r="K9" s="18">
        <v>3</v>
      </c>
      <c r="L9" s="28">
        <f>SUM(I33:I41)</f>
        <v>0</v>
      </c>
    </row>
    <row r="10" spans="1:12" ht="14.5" x14ac:dyDescent="0.35">
      <c r="A10" s="37" t="s">
        <v>41</v>
      </c>
      <c r="B10" s="253">
        <v>1</v>
      </c>
      <c r="C10" s="421"/>
      <c r="D10" s="257">
        <v>5</v>
      </c>
      <c r="E10" s="40" t="s">
        <v>43</v>
      </c>
      <c r="F10" s="65">
        <v>0</v>
      </c>
      <c r="G10" s="255">
        <v>5</v>
      </c>
      <c r="H10" s="42">
        <f t="shared" si="0"/>
        <v>0</v>
      </c>
      <c r="I10" s="256">
        <f t="shared" si="1"/>
        <v>0</v>
      </c>
      <c r="K10" s="18" t="s">
        <v>49</v>
      </c>
      <c r="L10" s="28">
        <f>SUM(I42:I50)</f>
        <v>0</v>
      </c>
    </row>
    <row r="11" spans="1:12" ht="14.5" x14ac:dyDescent="0.35">
      <c r="A11" s="29" t="s">
        <v>41</v>
      </c>
      <c r="B11" s="79">
        <v>1</v>
      </c>
      <c r="C11" s="421"/>
      <c r="D11" s="258" t="s">
        <v>281</v>
      </c>
      <c r="E11" s="32" t="s">
        <v>43</v>
      </c>
      <c r="F11" s="65">
        <v>0</v>
      </c>
      <c r="G11" s="182">
        <v>7</v>
      </c>
      <c r="H11" s="35">
        <f t="shared" si="0"/>
        <v>0</v>
      </c>
      <c r="I11" s="183">
        <f t="shared" si="1"/>
        <v>0</v>
      </c>
      <c r="K11" s="18">
        <v>4</v>
      </c>
      <c r="L11" s="46">
        <f>SUM(I51:I59)</f>
        <v>0</v>
      </c>
    </row>
    <row r="12" spans="1:12" ht="14.5" x14ac:dyDescent="0.35">
      <c r="A12" s="37" t="s">
        <v>41</v>
      </c>
      <c r="B12" s="253">
        <v>1</v>
      </c>
      <c r="C12" s="421"/>
      <c r="D12" s="259" t="s">
        <v>282</v>
      </c>
      <c r="E12" s="40" t="s">
        <v>43</v>
      </c>
      <c r="F12" s="65">
        <v>0</v>
      </c>
      <c r="G12" s="255">
        <v>9</v>
      </c>
      <c r="H12" s="42">
        <f t="shared" si="0"/>
        <v>0</v>
      </c>
      <c r="I12" s="256">
        <f t="shared" si="1"/>
        <v>0</v>
      </c>
      <c r="K12" s="18" t="s">
        <v>53</v>
      </c>
      <c r="L12" s="46">
        <f>SUM(I60:I68)</f>
        <v>0</v>
      </c>
    </row>
    <row r="13" spans="1:12" ht="14.5" x14ac:dyDescent="0.35">
      <c r="A13" s="29" t="s">
        <v>41</v>
      </c>
      <c r="B13" s="79">
        <v>1</v>
      </c>
      <c r="C13" s="421"/>
      <c r="D13" s="258" t="s">
        <v>283</v>
      </c>
      <c r="E13" s="32" t="s">
        <v>43</v>
      </c>
      <c r="F13" s="33">
        <v>0</v>
      </c>
      <c r="G13" s="182">
        <v>14</v>
      </c>
      <c r="H13" s="35">
        <f t="shared" si="0"/>
        <v>0</v>
      </c>
      <c r="I13" s="183">
        <f t="shared" si="1"/>
        <v>0</v>
      </c>
      <c r="K13" s="18" t="s">
        <v>284</v>
      </c>
      <c r="L13" s="28">
        <f>SUM(L6:L12)</f>
        <v>0</v>
      </c>
    </row>
    <row r="14" spans="1:12" ht="14.5" x14ac:dyDescent="0.35">
      <c r="A14" s="260" t="s">
        <v>41</v>
      </c>
      <c r="B14" s="261">
        <v>1</v>
      </c>
      <c r="C14" s="422"/>
      <c r="D14" s="262" t="s">
        <v>285</v>
      </c>
      <c r="E14" s="263" t="s">
        <v>43</v>
      </c>
      <c r="F14" s="65">
        <v>0</v>
      </c>
      <c r="G14" s="255">
        <v>20</v>
      </c>
      <c r="H14" s="264">
        <f t="shared" si="0"/>
        <v>0</v>
      </c>
      <c r="I14" s="256">
        <f t="shared" si="1"/>
        <v>0</v>
      </c>
    </row>
    <row r="15" spans="1:12" ht="14.5" x14ac:dyDescent="0.35">
      <c r="A15" s="151" t="s">
        <v>51</v>
      </c>
      <c r="B15" s="265">
        <v>2</v>
      </c>
      <c r="C15" s="433" t="s">
        <v>286</v>
      </c>
      <c r="D15" s="266">
        <v>1</v>
      </c>
      <c r="E15" s="154" t="s">
        <v>43</v>
      </c>
      <c r="F15" s="64">
        <v>0</v>
      </c>
      <c r="G15" s="267">
        <v>1</v>
      </c>
      <c r="H15" s="156">
        <f t="shared" si="0"/>
        <v>0</v>
      </c>
      <c r="I15" s="268">
        <f t="shared" si="1"/>
        <v>0</v>
      </c>
    </row>
    <row r="16" spans="1:12" ht="15.75" customHeight="1" x14ac:dyDescent="0.35">
      <c r="A16" s="37" t="s">
        <v>51</v>
      </c>
      <c r="B16" s="253">
        <v>2</v>
      </c>
      <c r="C16" s="421"/>
      <c r="D16" s="254">
        <v>2</v>
      </c>
      <c r="E16" s="40" t="s">
        <v>43</v>
      </c>
      <c r="F16" s="65">
        <v>0</v>
      </c>
      <c r="G16" s="255">
        <v>2</v>
      </c>
      <c r="H16" s="42">
        <f t="shared" si="0"/>
        <v>0</v>
      </c>
      <c r="I16" s="256">
        <f t="shared" si="1"/>
        <v>0</v>
      </c>
    </row>
    <row r="17" spans="1:9" ht="15.75" customHeight="1" x14ac:dyDescent="0.35">
      <c r="A17" s="29" t="s">
        <v>41</v>
      </c>
      <c r="B17" s="79">
        <v>2</v>
      </c>
      <c r="C17" s="421"/>
      <c r="D17" s="181">
        <v>3</v>
      </c>
      <c r="E17" s="32" t="s">
        <v>43</v>
      </c>
      <c r="F17" s="65">
        <v>0</v>
      </c>
      <c r="G17" s="182">
        <v>3</v>
      </c>
      <c r="H17" s="35">
        <f t="shared" si="0"/>
        <v>0</v>
      </c>
      <c r="I17" s="183">
        <f t="shared" si="1"/>
        <v>0</v>
      </c>
    </row>
    <row r="18" spans="1:9" ht="15.75" customHeight="1" x14ac:dyDescent="0.35">
      <c r="A18" s="37" t="s">
        <v>287</v>
      </c>
      <c r="B18" s="253">
        <v>2</v>
      </c>
      <c r="C18" s="421"/>
      <c r="D18" s="254">
        <v>4</v>
      </c>
      <c r="E18" s="40" t="s">
        <v>43</v>
      </c>
      <c r="F18" s="65">
        <v>0</v>
      </c>
      <c r="G18" s="255">
        <v>4</v>
      </c>
      <c r="H18" s="42">
        <f t="shared" si="0"/>
        <v>0</v>
      </c>
      <c r="I18" s="256">
        <f t="shared" si="1"/>
        <v>0</v>
      </c>
    </row>
    <row r="19" spans="1:9" ht="15.75" customHeight="1" x14ac:dyDescent="0.35">
      <c r="A19" s="29" t="s">
        <v>41</v>
      </c>
      <c r="B19" s="79">
        <v>2</v>
      </c>
      <c r="C19" s="421"/>
      <c r="D19" s="269">
        <v>5</v>
      </c>
      <c r="E19" s="32" t="s">
        <v>43</v>
      </c>
      <c r="F19" s="65">
        <v>0</v>
      </c>
      <c r="G19" s="182">
        <v>5</v>
      </c>
      <c r="H19" s="35">
        <f t="shared" si="0"/>
        <v>0</v>
      </c>
      <c r="I19" s="183">
        <f t="shared" si="1"/>
        <v>0</v>
      </c>
    </row>
    <row r="20" spans="1:9" ht="15.75" customHeight="1" x14ac:dyDescent="0.35">
      <c r="A20" s="37" t="s">
        <v>51</v>
      </c>
      <c r="B20" s="253">
        <v>2</v>
      </c>
      <c r="C20" s="421"/>
      <c r="D20" s="259" t="s">
        <v>281</v>
      </c>
      <c r="E20" s="40" t="s">
        <v>43</v>
      </c>
      <c r="F20" s="65">
        <v>0</v>
      </c>
      <c r="G20" s="255">
        <v>7</v>
      </c>
      <c r="H20" s="42">
        <f t="shared" si="0"/>
        <v>0</v>
      </c>
      <c r="I20" s="256">
        <f t="shared" si="1"/>
        <v>0</v>
      </c>
    </row>
    <row r="21" spans="1:9" ht="14.5" x14ac:dyDescent="0.35">
      <c r="A21" s="29" t="s">
        <v>51</v>
      </c>
      <c r="B21" s="79">
        <v>2</v>
      </c>
      <c r="C21" s="421"/>
      <c r="D21" s="258" t="s">
        <v>282</v>
      </c>
      <c r="E21" s="32" t="s">
        <v>43</v>
      </c>
      <c r="F21" s="65">
        <v>0</v>
      </c>
      <c r="G21" s="182">
        <v>9</v>
      </c>
      <c r="H21" s="35">
        <f t="shared" si="0"/>
        <v>0</v>
      </c>
      <c r="I21" s="183">
        <f t="shared" si="1"/>
        <v>0</v>
      </c>
    </row>
    <row r="22" spans="1:9" ht="14.5" x14ac:dyDescent="0.35">
      <c r="A22" s="37" t="s">
        <v>51</v>
      </c>
      <c r="B22" s="253">
        <v>2</v>
      </c>
      <c r="C22" s="421"/>
      <c r="D22" s="259" t="s">
        <v>283</v>
      </c>
      <c r="E22" s="40" t="s">
        <v>43</v>
      </c>
      <c r="F22" s="33">
        <v>0</v>
      </c>
      <c r="G22" s="255">
        <v>14</v>
      </c>
      <c r="H22" s="42">
        <f t="shared" si="0"/>
        <v>0</v>
      </c>
      <c r="I22" s="256">
        <f t="shared" si="1"/>
        <v>0</v>
      </c>
    </row>
    <row r="23" spans="1:9" ht="15.75" customHeight="1" x14ac:dyDescent="0.35">
      <c r="A23" s="47" t="s">
        <v>51</v>
      </c>
      <c r="B23" s="88">
        <v>2</v>
      </c>
      <c r="C23" s="422"/>
      <c r="D23" s="270" t="s">
        <v>285</v>
      </c>
      <c r="E23" s="50" t="s">
        <v>43</v>
      </c>
      <c r="F23" s="65">
        <v>0</v>
      </c>
      <c r="G23" s="182">
        <v>20</v>
      </c>
      <c r="H23" s="53">
        <f t="shared" si="0"/>
        <v>0</v>
      </c>
      <c r="I23" s="183">
        <f t="shared" si="1"/>
        <v>0</v>
      </c>
    </row>
    <row r="24" spans="1:9" ht="15.75" customHeight="1" x14ac:dyDescent="0.35">
      <c r="A24" s="20" t="s">
        <v>55</v>
      </c>
      <c r="B24" s="249" t="s">
        <v>46</v>
      </c>
      <c r="C24" s="420" t="s">
        <v>288</v>
      </c>
      <c r="D24" s="250">
        <v>1</v>
      </c>
      <c r="E24" s="23" t="s">
        <v>43</v>
      </c>
      <c r="F24" s="64">
        <v>0</v>
      </c>
      <c r="G24" s="251">
        <v>1</v>
      </c>
      <c r="H24" s="26">
        <f t="shared" si="0"/>
        <v>0</v>
      </c>
      <c r="I24" s="252">
        <f t="shared" si="1"/>
        <v>0</v>
      </c>
    </row>
    <row r="25" spans="1:9" ht="15.75" customHeight="1" x14ac:dyDescent="0.35">
      <c r="A25" s="29" t="s">
        <v>41</v>
      </c>
      <c r="B25" s="79" t="s">
        <v>46</v>
      </c>
      <c r="C25" s="421"/>
      <c r="D25" s="181">
        <v>2</v>
      </c>
      <c r="E25" s="32" t="s">
        <v>43</v>
      </c>
      <c r="F25" s="65">
        <v>0</v>
      </c>
      <c r="G25" s="182">
        <v>2</v>
      </c>
      <c r="H25" s="35">
        <f t="shared" si="0"/>
        <v>0</v>
      </c>
      <c r="I25" s="183">
        <f t="shared" si="1"/>
        <v>0</v>
      </c>
    </row>
    <row r="26" spans="1:9" ht="15.75" customHeight="1" x14ac:dyDescent="0.35">
      <c r="A26" s="37" t="s">
        <v>287</v>
      </c>
      <c r="B26" s="253" t="s">
        <v>46</v>
      </c>
      <c r="C26" s="421"/>
      <c r="D26" s="254">
        <v>3</v>
      </c>
      <c r="E26" s="40" t="s">
        <v>43</v>
      </c>
      <c r="F26" s="65">
        <v>0</v>
      </c>
      <c r="G26" s="255">
        <v>3</v>
      </c>
      <c r="H26" s="42">
        <f t="shared" si="0"/>
        <v>0</v>
      </c>
      <c r="I26" s="256">
        <f t="shared" si="1"/>
        <v>0</v>
      </c>
    </row>
    <row r="27" spans="1:9" ht="15.75" customHeight="1" x14ac:dyDescent="0.35">
      <c r="A27" s="29" t="s">
        <v>41</v>
      </c>
      <c r="B27" s="79" t="s">
        <v>46</v>
      </c>
      <c r="C27" s="421"/>
      <c r="D27" s="181">
        <v>4</v>
      </c>
      <c r="E27" s="32" t="s">
        <v>43</v>
      </c>
      <c r="F27" s="65">
        <v>0</v>
      </c>
      <c r="G27" s="182">
        <v>4</v>
      </c>
      <c r="H27" s="35">
        <f t="shared" si="0"/>
        <v>0</v>
      </c>
      <c r="I27" s="183">
        <f t="shared" si="1"/>
        <v>0</v>
      </c>
    </row>
    <row r="28" spans="1:9" ht="15.75" customHeight="1" x14ac:dyDescent="0.35">
      <c r="A28" s="37" t="s">
        <v>51</v>
      </c>
      <c r="B28" s="253" t="s">
        <v>46</v>
      </c>
      <c r="C28" s="421"/>
      <c r="D28" s="257">
        <v>5</v>
      </c>
      <c r="E28" s="40" t="s">
        <v>43</v>
      </c>
      <c r="F28" s="65">
        <v>0</v>
      </c>
      <c r="G28" s="255">
        <v>5</v>
      </c>
      <c r="H28" s="42">
        <f t="shared" si="0"/>
        <v>0</v>
      </c>
      <c r="I28" s="256">
        <f t="shared" si="1"/>
        <v>0</v>
      </c>
    </row>
    <row r="29" spans="1:9" ht="15.75" customHeight="1" x14ac:dyDescent="0.35">
      <c r="A29" s="29" t="s">
        <v>55</v>
      </c>
      <c r="B29" s="79" t="s">
        <v>46</v>
      </c>
      <c r="C29" s="421"/>
      <c r="D29" s="258" t="s">
        <v>281</v>
      </c>
      <c r="E29" s="32" t="s">
        <v>43</v>
      </c>
      <c r="F29" s="65">
        <v>0</v>
      </c>
      <c r="G29" s="182">
        <v>7</v>
      </c>
      <c r="H29" s="35">
        <f t="shared" si="0"/>
        <v>0</v>
      </c>
      <c r="I29" s="183">
        <f t="shared" si="1"/>
        <v>0</v>
      </c>
    </row>
    <row r="30" spans="1:9" ht="15.75" customHeight="1" x14ac:dyDescent="0.35">
      <c r="A30" s="37" t="s">
        <v>55</v>
      </c>
      <c r="B30" s="253" t="s">
        <v>46</v>
      </c>
      <c r="C30" s="421"/>
      <c r="D30" s="259" t="s">
        <v>282</v>
      </c>
      <c r="E30" s="40" t="s">
        <v>43</v>
      </c>
      <c r="F30" s="65">
        <v>0</v>
      </c>
      <c r="G30" s="255">
        <v>9</v>
      </c>
      <c r="H30" s="42">
        <f t="shared" si="0"/>
        <v>0</v>
      </c>
      <c r="I30" s="256">
        <f t="shared" si="1"/>
        <v>0</v>
      </c>
    </row>
    <row r="31" spans="1:9" ht="15.75" customHeight="1" x14ac:dyDescent="0.35">
      <c r="A31" s="29" t="s">
        <v>55</v>
      </c>
      <c r="B31" s="79" t="s">
        <v>46</v>
      </c>
      <c r="C31" s="421"/>
      <c r="D31" s="258" t="s">
        <v>283</v>
      </c>
      <c r="E31" s="32" t="s">
        <v>43</v>
      </c>
      <c r="F31" s="33">
        <v>0</v>
      </c>
      <c r="G31" s="182">
        <v>14</v>
      </c>
      <c r="H31" s="35">
        <f t="shared" si="0"/>
        <v>0</v>
      </c>
      <c r="I31" s="183">
        <f t="shared" si="1"/>
        <v>0</v>
      </c>
    </row>
    <row r="32" spans="1:9" ht="15.75" customHeight="1" x14ac:dyDescent="0.35">
      <c r="A32" s="260" t="s">
        <v>55</v>
      </c>
      <c r="B32" s="261" t="s">
        <v>46</v>
      </c>
      <c r="C32" s="422"/>
      <c r="D32" s="262" t="s">
        <v>285</v>
      </c>
      <c r="E32" s="263" t="s">
        <v>43</v>
      </c>
      <c r="F32" s="65">
        <v>0</v>
      </c>
      <c r="G32" s="255">
        <v>20</v>
      </c>
      <c r="H32" s="264">
        <f t="shared" si="0"/>
        <v>0</v>
      </c>
      <c r="I32" s="256">
        <f t="shared" si="1"/>
        <v>0</v>
      </c>
    </row>
    <row r="33" spans="1:9" ht="15.75" customHeight="1" x14ac:dyDescent="0.35">
      <c r="A33" s="151" t="s">
        <v>57</v>
      </c>
      <c r="B33" s="154">
        <v>3</v>
      </c>
      <c r="C33" s="433" t="s">
        <v>289</v>
      </c>
      <c r="D33" s="266">
        <v>1</v>
      </c>
      <c r="E33" s="154" t="s">
        <v>43</v>
      </c>
      <c r="F33" s="64">
        <v>0</v>
      </c>
      <c r="G33" s="267">
        <v>1</v>
      </c>
      <c r="H33" s="156">
        <f t="shared" si="0"/>
        <v>0</v>
      </c>
      <c r="I33" s="268">
        <f t="shared" si="1"/>
        <v>0</v>
      </c>
    </row>
    <row r="34" spans="1:9" ht="15.75" customHeight="1" x14ac:dyDescent="0.35">
      <c r="A34" s="37" t="s">
        <v>287</v>
      </c>
      <c r="B34" s="40">
        <v>3</v>
      </c>
      <c r="C34" s="421"/>
      <c r="D34" s="254">
        <v>2</v>
      </c>
      <c r="E34" s="40" t="s">
        <v>43</v>
      </c>
      <c r="F34" s="65">
        <v>0</v>
      </c>
      <c r="G34" s="255">
        <v>2</v>
      </c>
      <c r="H34" s="42">
        <f t="shared" si="0"/>
        <v>0</v>
      </c>
      <c r="I34" s="256">
        <f t="shared" si="1"/>
        <v>0</v>
      </c>
    </row>
    <row r="35" spans="1:9" ht="15.75" customHeight="1" x14ac:dyDescent="0.35">
      <c r="A35" s="29" t="s">
        <v>41</v>
      </c>
      <c r="B35" s="32">
        <v>3</v>
      </c>
      <c r="C35" s="421"/>
      <c r="D35" s="181">
        <v>3</v>
      </c>
      <c r="E35" s="32" t="s">
        <v>43</v>
      </c>
      <c r="F35" s="65">
        <v>0</v>
      </c>
      <c r="G35" s="182">
        <v>3</v>
      </c>
      <c r="H35" s="35">
        <f t="shared" si="0"/>
        <v>0</v>
      </c>
      <c r="I35" s="183">
        <f t="shared" si="1"/>
        <v>0</v>
      </c>
    </row>
    <row r="36" spans="1:9" ht="15.75" customHeight="1" x14ac:dyDescent="0.35">
      <c r="A36" s="37" t="s">
        <v>51</v>
      </c>
      <c r="B36" s="40">
        <v>3</v>
      </c>
      <c r="C36" s="421"/>
      <c r="D36" s="254">
        <v>4</v>
      </c>
      <c r="E36" s="40" t="s">
        <v>43</v>
      </c>
      <c r="F36" s="65">
        <v>0</v>
      </c>
      <c r="G36" s="255">
        <v>4</v>
      </c>
      <c r="H36" s="42">
        <f t="shared" si="0"/>
        <v>0</v>
      </c>
      <c r="I36" s="256">
        <f t="shared" si="1"/>
        <v>0</v>
      </c>
    </row>
    <row r="37" spans="1:9" ht="15.75" customHeight="1" x14ac:dyDescent="0.35">
      <c r="A37" s="29" t="s">
        <v>55</v>
      </c>
      <c r="B37" s="32">
        <v>3</v>
      </c>
      <c r="C37" s="421"/>
      <c r="D37" s="269">
        <v>5</v>
      </c>
      <c r="E37" s="32" t="s">
        <v>43</v>
      </c>
      <c r="F37" s="65">
        <v>0</v>
      </c>
      <c r="G37" s="182">
        <v>5</v>
      </c>
      <c r="H37" s="35">
        <f t="shared" si="0"/>
        <v>0</v>
      </c>
      <c r="I37" s="183">
        <f t="shared" si="1"/>
        <v>0</v>
      </c>
    </row>
    <row r="38" spans="1:9" ht="15.75" customHeight="1" x14ac:dyDescent="0.35">
      <c r="A38" s="37" t="s">
        <v>57</v>
      </c>
      <c r="B38" s="40">
        <v>3</v>
      </c>
      <c r="C38" s="421"/>
      <c r="D38" s="259" t="s">
        <v>281</v>
      </c>
      <c r="E38" s="40" t="s">
        <v>43</v>
      </c>
      <c r="F38" s="65">
        <v>0</v>
      </c>
      <c r="G38" s="255">
        <v>7</v>
      </c>
      <c r="H38" s="42">
        <f t="shared" si="0"/>
        <v>0</v>
      </c>
      <c r="I38" s="256">
        <f t="shared" si="1"/>
        <v>0</v>
      </c>
    </row>
    <row r="39" spans="1:9" ht="15.75" customHeight="1" x14ac:dyDescent="0.35">
      <c r="A39" s="29" t="s">
        <v>57</v>
      </c>
      <c r="B39" s="32">
        <v>3</v>
      </c>
      <c r="C39" s="421"/>
      <c r="D39" s="258" t="s">
        <v>282</v>
      </c>
      <c r="E39" s="32" t="s">
        <v>43</v>
      </c>
      <c r="F39" s="65">
        <v>0</v>
      </c>
      <c r="G39" s="182">
        <v>9</v>
      </c>
      <c r="H39" s="35">
        <f t="shared" si="0"/>
        <v>0</v>
      </c>
      <c r="I39" s="183">
        <f t="shared" si="1"/>
        <v>0</v>
      </c>
    </row>
    <row r="40" spans="1:9" ht="15.75" customHeight="1" x14ac:dyDescent="0.35">
      <c r="A40" s="37" t="s">
        <v>57</v>
      </c>
      <c r="B40" s="40">
        <v>3</v>
      </c>
      <c r="C40" s="421"/>
      <c r="D40" s="259" t="s">
        <v>283</v>
      </c>
      <c r="E40" s="40" t="s">
        <v>43</v>
      </c>
      <c r="F40" s="33">
        <v>0</v>
      </c>
      <c r="G40" s="255">
        <v>14</v>
      </c>
      <c r="H40" s="42">
        <f t="shared" si="0"/>
        <v>0</v>
      </c>
      <c r="I40" s="256">
        <f t="shared" si="1"/>
        <v>0</v>
      </c>
    </row>
    <row r="41" spans="1:9" ht="15.75" customHeight="1" x14ac:dyDescent="0.35">
      <c r="A41" s="47" t="s">
        <v>57</v>
      </c>
      <c r="B41" s="50">
        <v>3</v>
      </c>
      <c r="C41" s="422"/>
      <c r="D41" s="270" t="s">
        <v>285</v>
      </c>
      <c r="E41" s="50" t="s">
        <v>43</v>
      </c>
      <c r="F41" s="65">
        <v>0</v>
      </c>
      <c r="G41" s="182">
        <v>20</v>
      </c>
      <c r="H41" s="53">
        <f t="shared" si="0"/>
        <v>0</v>
      </c>
      <c r="I41" s="183">
        <f t="shared" si="1"/>
        <v>0</v>
      </c>
    </row>
    <row r="42" spans="1:9" ht="15.75" customHeight="1" x14ac:dyDescent="0.35">
      <c r="A42" s="20" t="s">
        <v>59</v>
      </c>
      <c r="B42" s="23" t="s">
        <v>49</v>
      </c>
      <c r="C42" s="420" t="s">
        <v>290</v>
      </c>
      <c r="D42" s="250">
        <v>1</v>
      </c>
      <c r="E42" s="23" t="s">
        <v>43</v>
      </c>
      <c r="F42" s="64">
        <v>0</v>
      </c>
      <c r="G42" s="251">
        <v>1</v>
      </c>
      <c r="H42" s="26">
        <f t="shared" si="0"/>
        <v>0</v>
      </c>
      <c r="I42" s="252">
        <f t="shared" si="1"/>
        <v>0</v>
      </c>
    </row>
    <row r="43" spans="1:9" ht="15.75" customHeight="1" x14ac:dyDescent="0.35">
      <c r="A43" s="29" t="s">
        <v>41</v>
      </c>
      <c r="B43" s="32" t="s">
        <v>49</v>
      </c>
      <c r="C43" s="421"/>
      <c r="D43" s="181">
        <v>2</v>
      </c>
      <c r="E43" s="32" t="s">
        <v>43</v>
      </c>
      <c r="F43" s="65">
        <v>0</v>
      </c>
      <c r="G43" s="182">
        <v>2</v>
      </c>
      <c r="H43" s="35">
        <f t="shared" si="0"/>
        <v>0</v>
      </c>
      <c r="I43" s="183">
        <f t="shared" si="1"/>
        <v>0</v>
      </c>
    </row>
    <row r="44" spans="1:9" ht="15.75" customHeight="1" x14ac:dyDescent="0.35">
      <c r="A44" s="37" t="s">
        <v>51</v>
      </c>
      <c r="B44" s="40" t="s">
        <v>49</v>
      </c>
      <c r="C44" s="421"/>
      <c r="D44" s="254">
        <v>3</v>
      </c>
      <c r="E44" s="40" t="s">
        <v>43</v>
      </c>
      <c r="F44" s="65">
        <v>0</v>
      </c>
      <c r="G44" s="255">
        <v>3</v>
      </c>
      <c r="H44" s="42">
        <f t="shared" si="0"/>
        <v>0</v>
      </c>
      <c r="I44" s="256">
        <f t="shared" si="1"/>
        <v>0</v>
      </c>
    </row>
    <row r="45" spans="1:9" ht="15.75" customHeight="1" x14ac:dyDescent="0.35">
      <c r="A45" s="29" t="s">
        <v>55</v>
      </c>
      <c r="B45" s="32" t="s">
        <v>49</v>
      </c>
      <c r="C45" s="421"/>
      <c r="D45" s="181">
        <v>4</v>
      </c>
      <c r="E45" s="32" t="s">
        <v>43</v>
      </c>
      <c r="F45" s="65">
        <v>0</v>
      </c>
      <c r="G45" s="182">
        <v>4</v>
      </c>
      <c r="H45" s="35">
        <f t="shared" si="0"/>
        <v>0</v>
      </c>
      <c r="I45" s="183">
        <f t="shared" si="1"/>
        <v>0</v>
      </c>
    </row>
    <row r="46" spans="1:9" ht="15.75" customHeight="1" x14ac:dyDescent="0.35">
      <c r="A46" s="37" t="s">
        <v>57</v>
      </c>
      <c r="B46" s="40" t="s">
        <v>49</v>
      </c>
      <c r="C46" s="421"/>
      <c r="D46" s="257">
        <v>5</v>
      </c>
      <c r="E46" s="40" t="s">
        <v>43</v>
      </c>
      <c r="F46" s="65">
        <v>0</v>
      </c>
      <c r="G46" s="255">
        <v>5</v>
      </c>
      <c r="H46" s="42">
        <f t="shared" si="0"/>
        <v>0</v>
      </c>
      <c r="I46" s="256">
        <f t="shared" si="1"/>
        <v>0</v>
      </c>
    </row>
    <row r="47" spans="1:9" ht="15.75" customHeight="1" x14ac:dyDescent="0.35">
      <c r="A47" s="29" t="s">
        <v>59</v>
      </c>
      <c r="B47" s="32" t="s">
        <v>49</v>
      </c>
      <c r="C47" s="421"/>
      <c r="D47" s="258" t="s">
        <v>281</v>
      </c>
      <c r="E47" s="32" t="s">
        <v>43</v>
      </c>
      <c r="F47" s="65">
        <v>0</v>
      </c>
      <c r="G47" s="182">
        <v>7</v>
      </c>
      <c r="H47" s="35">
        <f t="shared" si="0"/>
        <v>0</v>
      </c>
      <c r="I47" s="183">
        <f t="shared" si="1"/>
        <v>0</v>
      </c>
    </row>
    <row r="48" spans="1:9" ht="15.75" customHeight="1" x14ac:dyDescent="0.35">
      <c r="A48" s="37" t="s">
        <v>59</v>
      </c>
      <c r="B48" s="40" t="s">
        <v>49</v>
      </c>
      <c r="C48" s="421"/>
      <c r="D48" s="259" t="s">
        <v>282</v>
      </c>
      <c r="E48" s="40" t="s">
        <v>43</v>
      </c>
      <c r="F48" s="65">
        <v>0</v>
      </c>
      <c r="G48" s="255">
        <v>9</v>
      </c>
      <c r="H48" s="42">
        <f t="shared" si="0"/>
        <v>0</v>
      </c>
      <c r="I48" s="256">
        <f t="shared" si="1"/>
        <v>0</v>
      </c>
    </row>
    <row r="49" spans="1:9" ht="15.75" customHeight="1" x14ac:dyDescent="0.35">
      <c r="A49" s="29" t="s">
        <v>59</v>
      </c>
      <c r="B49" s="32" t="s">
        <v>49</v>
      </c>
      <c r="C49" s="421"/>
      <c r="D49" s="258" t="s">
        <v>283</v>
      </c>
      <c r="E49" s="32" t="s">
        <v>43</v>
      </c>
      <c r="F49" s="33">
        <v>0</v>
      </c>
      <c r="G49" s="182">
        <v>14</v>
      </c>
      <c r="H49" s="35">
        <f t="shared" si="0"/>
        <v>0</v>
      </c>
      <c r="I49" s="183">
        <f t="shared" si="1"/>
        <v>0</v>
      </c>
    </row>
    <row r="50" spans="1:9" ht="15.75" customHeight="1" x14ac:dyDescent="0.35">
      <c r="A50" s="260" t="s">
        <v>59</v>
      </c>
      <c r="B50" s="263" t="s">
        <v>49</v>
      </c>
      <c r="C50" s="422"/>
      <c r="D50" s="262" t="s">
        <v>285</v>
      </c>
      <c r="E50" s="263" t="s">
        <v>43</v>
      </c>
      <c r="F50" s="65">
        <v>0</v>
      </c>
      <c r="G50" s="255">
        <v>20</v>
      </c>
      <c r="H50" s="264">
        <f t="shared" si="0"/>
        <v>0</v>
      </c>
      <c r="I50" s="256">
        <f t="shared" si="1"/>
        <v>0</v>
      </c>
    </row>
    <row r="51" spans="1:9" ht="15.75" customHeight="1" x14ac:dyDescent="0.35">
      <c r="A51" s="151" t="s">
        <v>61</v>
      </c>
      <c r="B51" s="271">
        <v>4</v>
      </c>
      <c r="C51" s="433" t="s">
        <v>291</v>
      </c>
      <c r="D51" s="266">
        <v>1</v>
      </c>
      <c r="E51" s="154" t="s">
        <v>43</v>
      </c>
      <c r="F51" s="64">
        <v>0</v>
      </c>
      <c r="G51" s="267">
        <v>1</v>
      </c>
      <c r="H51" s="156">
        <f t="shared" si="0"/>
        <v>0</v>
      </c>
      <c r="I51" s="268">
        <f t="shared" si="1"/>
        <v>0</v>
      </c>
    </row>
    <row r="52" spans="1:9" ht="15.75" customHeight="1" x14ac:dyDescent="0.35">
      <c r="A52" s="37" t="s">
        <v>51</v>
      </c>
      <c r="B52" s="40">
        <v>4</v>
      </c>
      <c r="C52" s="421"/>
      <c r="D52" s="254">
        <v>2</v>
      </c>
      <c r="E52" s="40" t="s">
        <v>43</v>
      </c>
      <c r="F52" s="65">
        <v>0</v>
      </c>
      <c r="G52" s="255">
        <v>2</v>
      </c>
      <c r="H52" s="42">
        <f t="shared" si="0"/>
        <v>0</v>
      </c>
      <c r="I52" s="256">
        <f t="shared" si="1"/>
        <v>0</v>
      </c>
    </row>
    <row r="53" spans="1:9" ht="15.75" customHeight="1" x14ac:dyDescent="0.35">
      <c r="A53" s="29" t="s">
        <v>55</v>
      </c>
      <c r="B53" s="32">
        <v>4</v>
      </c>
      <c r="C53" s="421"/>
      <c r="D53" s="181">
        <v>3</v>
      </c>
      <c r="E53" s="32" t="s">
        <v>43</v>
      </c>
      <c r="F53" s="65">
        <v>0</v>
      </c>
      <c r="G53" s="182">
        <v>3</v>
      </c>
      <c r="H53" s="35">
        <f t="shared" si="0"/>
        <v>0</v>
      </c>
      <c r="I53" s="183">
        <f t="shared" si="1"/>
        <v>0</v>
      </c>
    </row>
    <row r="54" spans="1:9" ht="15.75" customHeight="1" x14ac:dyDescent="0.35">
      <c r="A54" s="37" t="s">
        <v>57</v>
      </c>
      <c r="B54" s="40">
        <v>4</v>
      </c>
      <c r="C54" s="421"/>
      <c r="D54" s="254">
        <v>4</v>
      </c>
      <c r="E54" s="40" t="s">
        <v>43</v>
      </c>
      <c r="F54" s="65">
        <v>0</v>
      </c>
      <c r="G54" s="255">
        <v>4</v>
      </c>
      <c r="H54" s="42">
        <f t="shared" si="0"/>
        <v>0</v>
      </c>
      <c r="I54" s="256">
        <f t="shared" si="1"/>
        <v>0</v>
      </c>
    </row>
    <row r="55" spans="1:9" ht="15.75" customHeight="1" x14ac:dyDescent="0.35">
      <c r="A55" s="29" t="s">
        <v>59</v>
      </c>
      <c r="B55" s="32">
        <v>4</v>
      </c>
      <c r="C55" s="421"/>
      <c r="D55" s="269">
        <v>5</v>
      </c>
      <c r="E55" s="32" t="s">
        <v>43</v>
      </c>
      <c r="F55" s="65">
        <v>0</v>
      </c>
      <c r="G55" s="182">
        <v>5</v>
      </c>
      <c r="H55" s="35">
        <f t="shared" si="0"/>
        <v>0</v>
      </c>
      <c r="I55" s="183">
        <f t="shared" si="1"/>
        <v>0</v>
      </c>
    </row>
    <row r="56" spans="1:9" ht="15.75" customHeight="1" x14ac:dyDescent="0.35">
      <c r="A56" s="37" t="s">
        <v>61</v>
      </c>
      <c r="B56" s="40">
        <v>4</v>
      </c>
      <c r="C56" s="421"/>
      <c r="D56" s="259" t="s">
        <v>281</v>
      </c>
      <c r="E56" s="40" t="s">
        <v>43</v>
      </c>
      <c r="F56" s="65">
        <v>0</v>
      </c>
      <c r="G56" s="255">
        <v>7</v>
      </c>
      <c r="H56" s="42">
        <f t="shared" si="0"/>
        <v>0</v>
      </c>
      <c r="I56" s="256">
        <f t="shared" si="1"/>
        <v>0</v>
      </c>
    </row>
    <row r="57" spans="1:9" ht="15.75" customHeight="1" x14ac:dyDescent="0.35">
      <c r="A57" s="29" t="s">
        <v>61</v>
      </c>
      <c r="B57" s="32">
        <v>4</v>
      </c>
      <c r="C57" s="421"/>
      <c r="D57" s="258" t="s">
        <v>282</v>
      </c>
      <c r="E57" s="32" t="s">
        <v>43</v>
      </c>
      <c r="F57" s="65">
        <v>0</v>
      </c>
      <c r="G57" s="182">
        <v>9</v>
      </c>
      <c r="H57" s="35">
        <f t="shared" si="0"/>
        <v>0</v>
      </c>
      <c r="I57" s="183">
        <f t="shared" si="1"/>
        <v>0</v>
      </c>
    </row>
    <row r="58" spans="1:9" ht="15.75" customHeight="1" x14ac:dyDescent="0.35">
      <c r="A58" s="37" t="s">
        <v>61</v>
      </c>
      <c r="B58" s="40">
        <v>4</v>
      </c>
      <c r="C58" s="421"/>
      <c r="D58" s="259" t="s">
        <v>283</v>
      </c>
      <c r="E58" s="40" t="s">
        <v>43</v>
      </c>
      <c r="F58" s="33">
        <v>0</v>
      </c>
      <c r="G58" s="255">
        <v>14</v>
      </c>
      <c r="H58" s="42">
        <f t="shared" si="0"/>
        <v>0</v>
      </c>
      <c r="I58" s="256">
        <f t="shared" si="1"/>
        <v>0</v>
      </c>
    </row>
    <row r="59" spans="1:9" ht="15.75" customHeight="1" x14ac:dyDescent="0.35">
      <c r="A59" s="47" t="s">
        <v>61</v>
      </c>
      <c r="B59" s="50">
        <v>4</v>
      </c>
      <c r="C59" s="422"/>
      <c r="D59" s="270" t="s">
        <v>285</v>
      </c>
      <c r="E59" s="50" t="s">
        <v>43</v>
      </c>
      <c r="F59" s="65">
        <v>0</v>
      </c>
      <c r="G59" s="182">
        <v>20</v>
      </c>
      <c r="H59" s="53">
        <f t="shared" si="0"/>
        <v>0</v>
      </c>
      <c r="I59" s="183">
        <f t="shared" si="1"/>
        <v>0</v>
      </c>
    </row>
    <row r="60" spans="1:9" ht="15.75" customHeight="1" x14ac:dyDescent="0.35">
      <c r="A60" s="20" t="s">
        <v>63</v>
      </c>
      <c r="B60" s="22" t="s">
        <v>53</v>
      </c>
      <c r="C60" s="420" t="s">
        <v>292</v>
      </c>
      <c r="D60" s="250">
        <v>1</v>
      </c>
      <c r="E60" s="23" t="s">
        <v>43</v>
      </c>
      <c r="F60" s="64">
        <v>0</v>
      </c>
      <c r="G60" s="251">
        <v>1</v>
      </c>
      <c r="H60" s="26">
        <f t="shared" si="0"/>
        <v>0</v>
      </c>
      <c r="I60" s="252">
        <f t="shared" si="1"/>
        <v>0</v>
      </c>
    </row>
    <row r="61" spans="1:9" ht="15.75" customHeight="1" x14ac:dyDescent="0.35">
      <c r="A61" s="29" t="s">
        <v>55</v>
      </c>
      <c r="B61" s="32" t="s">
        <v>53</v>
      </c>
      <c r="C61" s="421"/>
      <c r="D61" s="181">
        <v>2</v>
      </c>
      <c r="E61" s="32" t="s">
        <v>43</v>
      </c>
      <c r="F61" s="65">
        <v>0</v>
      </c>
      <c r="G61" s="182">
        <v>2</v>
      </c>
      <c r="H61" s="35">
        <f t="shared" si="0"/>
        <v>0</v>
      </c>
      <c r="I61" s="183">
        <f t="shared" si="1"/>
        <v>0</v>
      </c>
    </row>
    <row r="62" spans="1:9" ht="15.75" customHeight="1" x14ac:dyDescent="0.35">
      <c r="A62" s="37" t="s">
        <v>57</v>
      </c>
      <c r="B62" s="40" t="s">
        <v>53</v>
      </c>
      <c r="C62" s="421"/>
      <c r="D62" s="254">
        <v>3</v>
      </c>
      <c r="E62" s="40" t="s">
        <v>43</v>
      </c>
      <c r="F62" s="65">
        <v>0</v>
      </c>
      <c r="G62" s="255">
        <v>3</v>
      </c>
      <c r="H62" s="42">
        <f t="shared" si="0"/>
        <v>0</v>
      </c>
      <c r="I62" s="256">
        <f t="shared" si="1"/>
        <v>0</v>
      </c>
    </row>
    <row r="63" spans="1:9" ht="15.75" customHeight="1" x14ac:dyDescent="0.35">
      <c r="A63" s="29" t="s">
        <v>59</v>
      </c>
      <c r="B63" s="32" t="s">
        <v>53</v>
      </c>
      <c r="C63" s="421"/>
      <c r="D63" s="181">
        <v>4</v>
      </c>
      <c r="E63" s="32" t="s">
        <v>43</v>
      </c>
      <c r="F63" s="65">
        <v>0</v>
      </c>
      <c r="G63" s="182">
        <v>4</v>
      </c>
      <c r="H63" s="35">
        <f t="shared" si="0"/>
        <v>0</v>
      </c>
      <c r="I63" s="183">
        <f t="shared" si="1"/>
        <v>0</v>
      </c>
    </row>
    <row r="64" spans="1:9" ht="15.75" customHeight="1" x14ac:dyDescent="0.35">
      <c r="A64" s="37" t="s">
        <v>61</v>
      </c>
      <c r="B64" s="40" t="s">
        <v>53</v>
      </c>
      <c r="C64" s="421"/>
      <c r="D64" s="257">
        <v>5</v>
      </c>
      <c r="E64" s="40" t="s">
        <v>43</v>
      </c>
      <c r="F64" s="65">
        <v>0</v>
      </c>
      <c r="G64" s="255">
        <v>5</v>
      </c>
      <c r="H64" s="42">
        <f t="shared" si="0"/>
        <v>0</v>
      </c>
      <c r="I64" s="256">
        <f t="shared" si="1"/>
        <v>0</v>
      </c>
    </row>
    <row r="65" spans="1:9" ht="15.75" customHeight="1" x14ac:dyDescent="0.35">
      <c r="A65" s="29" t="s">
        <v>63</v>
      </c>
      <c r="B65" s="32" t="s">
        <v>53</v>
      </c>
      <c r="C65" s="421"/>
      <c r="D65" s="258" t="s">
        <v>281</v>
      </c>
      <c r="E65" s="32" t="s">
        <v>43</v>
      </c>
      <c r="F65" s="65">
        <v>0</v>
      </c>
      <c r="G65" s="182">
        <v>7</v>
      </c>
      <c r="H65" s="35">
        <f t="shared" si="0"/>
        <v>0</v>
      </c>
      <c r="I65" s="183">
        <f t="shared" si="1"/>
        <v>0</v>
      </c>
    </row>
    <row r="66" spans="1:9" ht="15.75" customHeight="1" x14ac:dyDescent="0.35">
      <c r="A66" s="37" t="s">
        <v>63</v>
      </c>
      <c r="B66" s="40" t="s">
        <v>53</v>
      </c>
      <c r="C66" s="421"/>
      <c r="D66" s="259" t="s">
        <v>282</v>
      </c>
      <c r="E66" s="40" t="s">
        <v>43</v>
      </c>
      <c r="F66" s="65">
        <v>0</v>
      </c>
      <c r="G66" s="255">
        <v>9</v>
      </c>
      <c r="H66" s="42">
        <f t="shared" si="0"/>
        <v>0</v>
      </c>
      <c r="I66" s="256">
        <f t="shared" si="1"/>
        <v>0</v>
      </c>
    </row>
    <row r="67" spans="1:9" ht="15.75" customHeight="1" x14ac:dyDescent="0.35">
      <c r="A67" s="29" t="s">
        <v>63</v>
      </c>
      <c r="B67" s="32" t="s">
        <v>53</v>
      </c>
      <c r="C67" s="421"/>
      <c r="D67" s="258" t="s">
        <v>283</v>
      </c>
      <c r="E67" s="32" t="s">
        <v>43</v>
      </c>
      <c r="F67" s="33">
        <v>0</v>
      </c>
      <c r="G67" s="182">
        <v>14</v>
      </c>
      <c r="H67" s="35">
        <f t="shared" si="0"/>
        <v>0</v>
      </c>
      <c r="I67" s="183">
        <f t="shared" si="1"/>
        <v>0</v>
      </c>
    </row>
    <row r="68" spans="1:9" ht="15.75" customHeight="1" x14ac:dyDescent="0.35">
      <c r="A68" s="260" t="s">
        <v>63</v>
      </c>
      <c r="B68" s="263" t="s">
        <v>53</v>
      </c>
      <c r="C68" s="422"/>
      <c r="D68" s="262" t="s">
        <v>285</v>
      </c>
      <c r="E68" s="263" t="s">
        <v>43</v>
      </c>
      <c r="F68" s="66">
        <v>0</v>
      </c>
      <c r="G68" s="272">
        <v>20</v>
      </c>
      <c r="H68" s="264">
        <f t="shared" si="0"/>
        <v>0</v>
      </c>
      <c r="I68" s="273">
        <f t="shared" si="1"/>
        <v>0</v>
      </c>
    </row>
    <row r="69" spans="1:9" ht="15.75" customHeight="1" x14ac:dyDescent="0.35"/>
    <row r="70" spans="1:9" ht="15.75" customHeight="1" x14ac:dyDescent="0.35"/>
    <row r="71" spans="1:9" ht="15.75" customHeight="1" x14ac:dyDescent="0.35"/>
    <row r="72" spans="1:9" ht="15.75" customHeight="1" x14ac:dyDescent="0.35"/>
    <row r="73" spans="1:9" ht="15.75" customHeight="1" x14ac:dyDescent="0.35"/>
    <row r="74" spans="1:9" ht="15.75" customHeight="1" x14ac:dyDescent="0.35"/>
    <row r="75" spans="1:9" ht="15.75" customHeight="1" x14ac:dyDescent="0.35"/>
    <row r="76" spans="1:9" ht="15.75" customHeight="1" x14ac:dyDescent="0.35"/>
    <row r="77" spans="1:9" ht="15.75" customHeight="1" x14ac:dyDescent="0.35"/>
    <row r="78" spans="1:9" ht="15.75" customHeight="1" x14ac:dyDescent="0.35"/>
    <row r="79" spans="1:9" ht="15.75" customHeight="1" x14ac:dyDescent="0.35"/>
    <row r="80" spans="1:9"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sheetData>
  <mergeCells count="9">
    <mergeCell ref="C51:C59"/>
    <mergeCell ref="C60:C68"/>
    <mergeCell ref="A4:F4"/>
    <mergeCell ref="H4:I4"/>
    <mergeCell ref="C6:C14"/>
    <mergeCell ref="C15:C23"/>
    <mergeCell ref="C24:C32"/>
    <mergeCell ref="C33:C41"/>
    <mergeCell ref="C42:C50"/>
  </mergeCells>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92"/>
  <sheetViews>
    <sheetView workbookViewId="0"/>
  </sheetViews>
  <sheetFormatPr defaultColWidth="12.6328125" defaultRowHeight="15" customHeight="1" x14ac:dyDescent="0.35"/>
  <cols>
    <col min="1" max="1" width="10.6328125" customWidth="1"/>
    <col min="2" max="2" width="13.36328125" customWidth="1"/>
    <col min="3" max="3" width="27.90625" customWidth="1"/>
    <col min="4" max="4" width="14.36328125" customWidth="1"/>
    <col min="5" max="6" width="8.6328125" customWidth="1"/>
    <col min="7" max="7" width="15" customWidth="1"/>
    <col min="8" max="8" width="18.26953125" customWidth="1"/>
    <col min="9" max="9" width="22.08984375" customWidth="1"/>
    <col min="10" max="10" width="10.7265625" customWidth="1"/>
    <col min="11" max="11" width="15.7265625" customWidth="1"/>
    <col min="12" max="12" width="41.36328125" customWidth="1"/>
    <col min="13" max="13" width="22.7265625" customWidth="1"/>
    <col min="14" max="27" width="8.6328125" customWidth="1"/>
  </cols>
  <sheetData>
    <row r="1" spans="1:13" ht="18.5" x14ac:dyDescent="0.45">
      <c r="A1" s="10" t="s">
        <v>275</v>
      </c>
      <c r="B1" s="124"/>
      <c r="C1" s="124"/>
    </row>
    <row r="2" spans="1:13" ht="18" x14ac:dyDescent="0.4">
      <c r="A2" s="11" t="s">
        <v>120</v>
      </c>
      <c r="B2" s="124"/>
      <c r="C2" s="124"/>
    </row>
    <row r="3" spans="1:13" ht="18.5" x14ac:dyDescent="0.45">
      <c r="A3" s="10"/>
      <c r="B3" s="124"/>
      <c r="C3" s="124"/>
      <c r="L3" s="274"/>
      <c r="M3" s="274"/>
    </row>
    <row r="4" spans="1:13" ht="15.75" customHeight="1" x14ac:dyDescent="0.35">
      <c r="A4" s="415" t="s">
        <v>28</v>
      </c>
      <c r="B4" s="416"/>
      <c r="C4" s="416"/>
      <c r="D4" s="416"/>
      <c r="E4" s="416"/>
      <c r="F4" s="417"/>
      <c r="G4" s="248"/>
      <c r="H4" s="418" t="s">
        <v>276</v>
      </c>
      <c r="I4" s="419"/>
    </row>
    <row r="5" spans="1:13" ht="15.75" customHeight="1" x14ac:dyDescent="0.35">
      <c r="A5" s="125" t="s">
        <v>277</v>
      </c>
      <c r="B5" s="69" t="s">
        <v>31</v>
      </c>
      <c r="C5" s="69" t="s">
        <v>32</v>
      </c>
      <c r="D5" s="127" t="s">
        <v>183</v>
      </c>
      <c r="E5" s="50" t="s">
        <v>34</v>
      </c>
      <c r="F5" s="69" t="s">
        <v>35</v>
      </c>
      <c r="G5" s="127" t="s">
        <v>278</v>
      </c>
      <c r="H5" s="14" t="s">
        <v>37</v>
      </c>
      <c r="I5" s="128" t="s">
        <v>38</v>
      </c>
      <c r="K5" s="275" t="s">
        <v>39</v>
      </c>
      <c r="L5" s="276" t="s">
        <v>293</v>
      </c>
    </row>
    <row r="6" spans="1:13" ht="15.75" customHeight="1" x14ac:dyDescent="0.35">
      <c r="A6" s="20">
        <v>1001</v>
      </c>
      <c r="B6" s="249">
        <v>1</v>
      </c>
      <c r="C6" s="420" t="s">
        <v>294</v>
      </c>
      <c r="D6" s="250">
        <v>1</v>
      </c>
      <c r="E6" s="23" t="s">
        <v>43</v>
      </c>
      <c r="F6" s="64">
        <v>0</v>
      </c>
      <c r="G6" s="251">
        <v>1</v>
      </c>
      <c r="H6" s="26">
        <f t="shared" ref="H6:H68" si="0">F6*G6</f>
        <v>0</v>
      </c>
      <c r="I6" s="252">
        <f t="shared" ref="I6:I68" si="1">H6*365</f>
        <v>0</v>
      </c>
      <c r="K6" s="18">
        <v>1</v>
      </c>
      <c r="L6" s="28">
        <f>SUM(I6:I14)</f>
        <v>0</v>
      </c>
    </row>
    <row r="7" spans="1:13" ht="15.75" customHeight="1" x14ac:dyDescent="0.35">
      <c r="A7" s="29">
        <v>1001</v>
      </c>
      <c r="B7" s="79">
        <v>1</v>
      </c>
      <c r="C7" s="421"/>
      <c r="D7" s="181">
        <v>2</v>
      </c>
      <c r="E7" s="32" t="s">
        <v>43</v>
      </c>
      <c r="F7" s="65">
        <v>0</v>
      </c>
      <c r="G7" s="182">
        <v>2</v>
      </c>
      <c r="H7" s="35">
        <f t="shared" si="0"/>
        <v>0</v>
      </c>
      <c r="I7" s="183">
        <f t="shared" si="1"/>
        <v>0</v>
      </c>
      <c r="K7" s="277">
        <v>2</v>
      </c>
      <c r="L7" s="278">
        <f>SUM(I15:I23)</f>
        <v>0</v>
      </c>
    </row>
    <row r="8" spans="1:13" ht="15.75" customHeight="1" x14ac:dyDescent="0.35">
      <c r="A8" s="37">
        <v>1001</v>
      </c>
      <c r="B8" s="253">
        <v>1</v>
      </c>
      <c r="C8" s="421"/>
      <c r="D8" s="254">
        <v>3</v>
      </c>
      <c r="E8" s="40" t="s">
        <v>43</v>
      </c>
      <c r="F8" s="65">
        <v>0</v>
      </c>
      <c r="G8" s="255">
        <v>3</v>
      </c>
      <c r="H8" s="42">
        <f t="shared" si="0"/>
        <v>0</v>
      </c>
      <c r="I8" s="256">
        <f t="shared" si="1"/>
        <v>0</v>
      </c>
      <c r="K8" s="18" t="s">
        <v>46</v>
      </c>
      <c r="L8" s="28">
        <f>SUM(I24:I32)</f>
        <v>0</v>
      </c>
    </row>
    <row r="9" spans="1:13" ht="15.75" customHeight="1" x14ac:dyDescent="0.35">
      <c r="A9" s="29">
        <v>1001</v>
      </c>
      <c r="B9" s="79">
        <v>1</v>
      </c>
      <c r="C9" s="421"/>
      <c r="D9" s="181">
        <v>4</v>
      </c>
      <c r="E9" s="32" t="s">
        <v>43</v>
      </c>
      <c r="F9" s="65">
        <v>0</v>
      </c>
      <c r="G9" s="182">
        <v>4</v>
      </c>
      <c r="H9" s="35">
        <f t="shared" si="0"/>
        <v>0</v>
      </c>
      <c r="I9" s="183">
        <f t="shared" si="1"/>
        <v>0</v>
      </c>
      <c r="K9" s="277">
        <v>3</v>
      </c>
      <c r="L9" s="278">
        <f>SUM(I33:I41)</f>
        <v>0</v>
      </c>
    </row>
    <row r="10" spans="1:13" ht="15.75" customHeight="1" x14ac:dyDescent="0.35">
      <c r="A10" s="37">
        <v>1001</v>
      </c>
      <c r="B10" s="253">
        <v>1</v>
      </c>
      <c r="C10" s="421"/>
      <c r="D10" s="257">
        <v>5</v>
      </c>
      <c r="E10" s="40" t="s">
        <v>43</v>
      </c>
      <c r="F10" s="65">
        <v>0</v>
      </c>
      <c r="G10" s="255">
        <v>5</v>
      </c>
      <c r="H10" s="42">
        <f t="shared" si="0"/>
        <v>0</v>
      </c>
      <c r="I10" s="256">
        <f t="shared" si="1"/>
        <v>0</v>
      </c>
      <c r="K10" s="18" t="s">
        <v>49</v>
      </c>
      <c r="L10" s="28">
        <f>SUM(I42:I50)</f>
        <v>0</v>
      </c>
    </row>
    <row r="11" spans="1:13" ht="15.75" customHeight="1" x14ac:dyDescent="0.35">
      <c r="A11" s="29">
        <v>1001</v>
      </c>
      <c r="B11" s="79">
        <v>1</v>
      </c>
      <c r="C11" s="421"/>
      <c r="D11" s="258" t="s">
        <v>281</v>
      </c>
      <c r="E11" s="32" t="s">
        <v>43</v>
      </c>
      <c r="F11" s="65">
        <v>0</v>
      </c>
      <c r="G11" s="182">
        <v>7</v>
      </c>
      <c r="H11" s="35">
        <f t="shared" si="0"/>
        <v>0</v>
      </c>
      <c r="I11" s="183">
        <f t="shared" si="1"/>
        <v>0</v>
      </c>
      <c r="K11" s="277">
        <v>4</v>
      </c>
      <c r="L11" s="279">
        <f>SUM(I51:I59)</f>
        <v>0</v>
      </c>
    </row>
    <row r="12" spans="1:13" ht="15.75" customHeight="1" x14ac:dyDescent="0.35">
      <c r="A12" s="37">
        <v>1001</v>
      </c>
      <c r="B12" s="253">
        <v>1</v>
      </c>
      <c r="C12" s="421"/>
      <c r="D12" s="259" t="s">
        <v>282</v>
      </c>
      <c r="E12" s="40" t="s">
        <v>43</v>
      </c>
      <c r="F12" s="65">
        <v>0</v>
      </c>
      <c r="G12" s="255">
        <v>9</v>
      </c>
      <c r="H12" s="42">
        <f t="shared" si="0"/>
        <v>0</v>
      </c>
      <c r="I12" s="256">
        <f t="shared" si="1"/>
        <v>0</v>
      </c>
      <c r="K12" s="18" t="s">
        <v>53</v>
      </c>
      <c r="L12" s="46">
        <f>SUM(I60:I68)</f>
        <v>0</v>
      </c>
    </row>
    <row r="13" spans="1:13" ht="15.75" customHeight="1" x14ac:dyDescent="0.35">
      <c r="A13" s="29">
        <v>1001</v>
      </c>
      <c r="B13" s="79">
        <v>1</v>
      </c>
      <c r="C13" s="421"/>
      <c r="D13" s="258" t="s">
        <v>283</v>
      </c>
      <c r="E13" s="32" t="s">
        <v>43</v>
      </c>
      <c r="F13" s="33">
        <v>0</v>
      </c>
      <c r="G13" s="182">
        <v>14</v>
      </c>
      <c r="H13" s="35">
        <f t="shared" si="0"/>
        <v>0</v>
      </c>
      <c r="I13" s="183">
        <f t="shared" si="1"/>
        <v>0</v>
      </c>
      <c r="K13" s="280" t="s">
        <v>284</v>
      </c>
      <c r="L13" s="278">
        <f>SUM(L6:L12)</f>
        <v>0</v>
      </c>
    </row>
    <row r="14" spans="1:13" ht="15.75" customHeight="1" x14ac:dyDescent="0.35">
      <c r="A14" s="260">
        <v>1001</v>
      </c>
      <c r="B14" s="261">
        <v>1</v>
      </c>
      <c r="C14" s="422"/>
      <c r="D14" s="262" t="s">
        <v>285</v>
      </c>
      <c r="E14" s="263" t="s">
        <v>43</v>
      </c>
      <c r="F14" s="65">
        <v>0</v>
      </c>
      <c r="G14" s="255">
        <v>20</v>
      </c>
      <c r="H14" s="264">
        <f t="shared" si="0"/>
        <v>0</v>
      </c>
      <c r="I14" s="256">
        <f t="shared" si="1"/>
        <v>0</v>
      </c>
    </row>
    <row r="15" spans="1:13" ht="15.75" customHeight="1" x14ac:dyDescent="0.35">
      <c r="A15" s="151">
        <v>1002</v>
      </c>
      <c r="B15" s="265">
        <v>2</v>
      </c>
      <c r="C15" s="433" t="s">
        <v>295</v>
      </c>
      <c r="D15" s="266">
        <v>1</v>
      </c>
      <c r="E15" s="154" t="s">
        <v>43</v>
      </c>
      <c r="F15" s="64">
        <v>0</v>
      </c>
      <c r="G15" s="267">
        <v>1</v>
      </c>
      <c r="H15" s="156">
        <f t="shared" si="0"/>
        <v>0</v>
      </c>
      <c r="I15" s="268">
        <f t="shared" si="1"/>
        <v>0</v>
      </c>
    </row>
    <row r="16" spans="1:13" ht="15.75" customHeight="1" x14ac:dyDescent="0.35">
      <c r="A16" s="37">
        <v>1002</v>
      </c>
      <c r="B16" s="253">
        <v>2</v>
      </c>
      <c r="C16" s="421"/>
      <c r="D16" s="254">
        <v>2</v>
      </c>
      <c r="E16" s="40" t="s">
        <v>43</v>
      </c>
      <c r="F16" s="65">
        <v>0</v>
      </c>
      <c r="G16" s="255">
        <v>2</v>
      </c>
      <c r="H16" s="42">
        <f t="shared" si="0"/>
        <v>0</v>
      </c>
      <c r="I16" s="256">
        <f t="shared" si="1"/>
        <v>0</v>
      </c>
    </row>
    <row r="17" spans="1:9" ht="15.75" customHeight="1" x14ac:dyDescent="0.35">
      <c r="A17" s="29">
        <v>1001</v>
      </c>
      <c r="B17" s="79">
        <v>2</v>
      </c>
      <c r="C17" s="421"/>
      <c r="D17" s="181">
        <v>3</v>
      </c>
      <c r="E17" s="32" t="s">
        <v>43</v>
      </c>
      <c r="F17" s="65">
        <v>0</v>
      </c>
      <c r="G17" s="182">
        <v>3</v>
      </c>
      <c r="H17" s="35">
        <f t="shared" si="0"/>
        <v>0</v>
      </c>
      <c r="I17" s="183">
        <f t="shared" si="1"/>
        <v>0</v>
      </c>
    </row>
    <row r="18" spans="1:9" ht="15.75" customHeight="1" x14ac:dyDescent="0.35">
      <c r="A18" s="37">
        <v>1000</v>
      </c>
      <c r="B18" s="253">
        <v>2</v>
      </c>
      <c r="C18" s="421"/>
      <c r="D18" s="254">
        <v>4</v>
      </c>
      <c r="E18" s="40" t="s">
        <v>43</v>
      </c>
      <c r="F18" s="65">
        <v>0</v>
      </c>
      <c r="G18" s="255">
        <v>4</v>
      </c>
      <c r="H18" s="42">
        <f t="shared" si="0"/>
        <v>0</v>
      </c>
      <c r="I18" s="256">
        <f t="shared" si="1"/>
        <v>0</v>
      </c>
    </row>
    <row r="19" spans="1:9" ht="15.75" customHeight="1" x14ac:dyDescent="0.35">
      <c r="A19" s="29">
        <v>1001</v>
      </c>
      <c r="B19" s="79">
        <v>2</v>
      </c>
      <c r="C19" s="421"/>
      <c r="D19" s="269">
        <v>5</v>
      </c>
      <c r="E19" s="32" t="s">
        <v>43</v>
      </c>
      <c r="F19" s="65">
        <v>0</v>
      </c>
      <c r="G19" s="182">
        <v>5</v>
      </c>
      <c r="H19" s="35">
        <f t="shared" si="0"/>
        <v>0</v>
      </c>
      <c r="I19" s="183">
        <f t="shared" si="1"/>
        <v>0</v>
      </c>
    </row>
    <row r="20" spans="1:9" ht="15.75" customHeight="1" x14ac:dyDescent="0.35">
      <c r="A20" s="37">
        <v>1002</v>
      </c>
      <c r="B20" s="253">
        <v>2</v>
      </c>
      <c r="C20" s="421"/>
      <c r="D20" s="259" t="s">
        <v>281</v>
      </c>
      <c r="E20" s="40" t="s">
        <v>43</v>
      </c>
      <c r="F20" s="65">
        <v>0</v>
      </c>
      <c r="G20" s="255">
        <v>7</v>
      </c>
      <c r="H20" s="42">
        <f t="shared" si="0"/>
        <v>0</v>
      </c>
      <c r="I20" s="256">
        <f t="shared" si="1"/>
        <v>0</v>
      </c>
    </row>
    <row r="21" spans="1:9" ht="15.75" customHeight="1" x14ac:dyDescent="0.35">
      <c r="A21" s="29">
        <v>1002</v>
      </c>
      <c r="B21" s="79">
        <v>2</v>
      </c>
      <c r="C21" s="421"/>
      <c r="D21" s="258" t="s">
        <v>282</v>
      </c>
      <c r="E21" s="32" t="s">
        <v>43</v>
      </c>
      <c r="F21" s="65">
        <v>0</v>
      </c>
      <c r="G21" s="182">
        <v>9</v>
      </c>
      <c r="H21" s="35">
        <f t="shared" si="0"/>
        <v>0</v>
      </c>
      <c r="I21" s="183">
        <f t="shared" si="1"/>
        <v>0</v>
      </c>
    </row>
    <row r="22" spans="1:9" ht="15.75" customHeight="1" x14ac:dyDescent="0.35">
      <c r="A22" s="37">
        <v>1002</v>
      </c>
      <c r="B22" s="253">
        <v>2</v>
      </c>
      <c r="C22" s="421"/>
      <c r="D22" s="259" t="s">
        <v>283</v>
      </c>
      <c r="E22" s="40" t="s">
        <v>43</v>
      </c>
      <c r="F22" s="33">
        <v>0</v>
      </c>
      <c r="G22" s="255">
        <v>14</v>
      </c>
      <c r="H22" s="42">
        <f t="shared" si="0"/>
        <v>0</v>
      </c>
      <c r="I22" s="256">
        <f t="shared" si="1"/>
        <v>0</v>
      </c>
    </row>
    <row r="23" spans="1:9" ht="15.75" customHeight="1" x14ac:dyDescent="0.35">
      <c r="A23" s="47">
        <v>1002</v>
      </c>
      <c r="B23" s="88">
        <v>2</v>
      </c>
      <c r="C23" s="422"/>
      <c r="D23" s="270" t="s">
        <v>285</v>
      </c>
      <c r="E23" s="50" t="s">
        <v>43</v>
      </c>
      <c r="F23" s="65">
        <v>0</v>
      </c>
      <c r="G23" s="182">
        <v>20</v>
      </c>
      <c r="H23" s="53">
        <f t="shared" si="0"/>
        <v>0</v>
      </c>
      <c r="I23" s="183">
        <f t="shared" si="1"/>
        <v>0</v>
      </c>
    </row>
    <row r="24" spans="1:9" ht="15.75" customHeight="1" x14ac:dyDescent="0.35">
      <c r="A24" s="20">
        <v>1003</v>
      </c>
      <c r="B24" s="249" t="s">
        <v>46</v>
      </c>
      <c r="C24" s="420" t="s">
        <v>296</v>
      </c>
      <c r="D24" s="250">
        <v>1</v>
      </c>
      <c r="E24" s="23" t="s">
        <v>43</v>
      </c>
      <c r="F24" s="64">
        <v>0</v>
      </c>
      <c r="G24" s="251">
        <v>1</v>
      </c>
      <c r="H24" s="26">
        <f t="shared" si="0"/>
        <v>0</v>
      </c>
      <c r="I24" s="252">
        <f t="shared" si="1"/>
        <v>0</v>
      </c>
    </row>
    <row r="25" spans="1:9" ht="15.75" customHeight="1" x14ac:dyDescent="0.35">
      <c r="A25" s="29">
        <v>1001</v>
      </c>
      <c r="B25" s="79" t="s">
        <v>46</v>
      </c>
      <c r="C25" s="421"/>
      <c r="D25" s="181">
        <v>2</v>
      </c>
      <c r="E25" s="32" t="s">
        <v>43</v>
      </c>
      <c r="F25" s="65">
        <v>0</v>
      </c>
      <c r="G25" s="182">
        <v>2</v>
      </c>
      <c r="H25" s="35">
        <f t="shared" si="0"/>
        <v>0</v>
      </c>
      <c r="I25" s="183">
        <f t="shared" si="1"/>
        <v>0</v>
      </c>
    </row>
    <row r="26" spans="1:9" ht="15.75" customHeight="1" x14ac:dyDescent="0.35">
      <c r="A26" s="37">
        <v>1000</v>
      </c>
      <c r="B26" s="253" t="s">
        <v>46</v>
      </c>
      <c r="C26" s="421"/>
      <c r="D26" s="254">
        <v>3</v>
      </c>
      <c r="E26" s="40" t="s">
        <v>43</v>
      </c>
      <c r="F26" s="65">
        <v>0</v>
      </c>
      <c r="G26" s="255">
        <v>3</v>
      </c>
      <c r="H26" s="42">
        <f t="shared" si="0"/>
        <v>0</v>
      </c>
      <c r="I26" s="256">
        <f t="shared" si="1"/>
        <v>0</v>
      </c>
    </row>
    <row r="27" spans="1:9" ht="15.75" customHeight="1" x14ac:dyDescent="0.35">
      <c r="A27" s="29">
        <v>1001</v>
      </c>
      <c r="B27" s="79" t="s">
        <v>46</v>
      </c>
      <c r="C27" s="421"/>
      <c r="D27" s="181">
        <v>4</v>
      </c>
      <c r="E27" s="32" t="s">
        <v>43</v>
      </c>
      <c r="F27" s="65">
        <v>0</v>
      </c>
      <c r="G27" s="182">
        <v>4</v>
      </c>
      <c r="H27" s="35">
        <f t="shared" si="0"/>
        <v>0</v>
      </c>
      <c r="I27" s="183">
        <f t="shared" si="1"/>
        <v>0</v>
      </c>
    </row>
    <row r="28" spans="1:9" ht="15.75" customHeight="1" x14ac:dyDescent="0.35">
      <c r="A28" s="37">
        <v>1002</v>
      </c>
      <c r="B28" s="253" t="s">
        <v>46</v>
      </c>
      <c r="C28" s="421"/>
      <c r="D28" s="257">
        <v>5</v>
      </c>
      <c r="E28" s="40" t="s">
        <v>43</v>
      </c>
      <c r="F28" s="65">
        <v>0</v>
      </c>
      <c r="G28" s="255">
        <v>5</v>
      </c>
      <c r="H28" s="42">
        <f t="shared" si="0"/>
        <v>0</v>
      </c>
      <c r="I28" s="256">
        <f t="shared" si="1"/>
        <v>0</v>
      </c>
    </row>
    <row r="29" spans="1:9" ht="15.75" customHeight="1" x14ac:dyDescent="0.35">
      <c r="A29" s="29">
        <v>1003</v>
      </c>
      <c r="B29" s="79" t="s">
        <v>46</v>
      </c>
      <c r="C29" s="421"/>
      <c r="D29" s="258" t="s">
        <v>281</v>
      </c>
      <c r="E29" s="32" t="s">
        <v>43</v>
      </c>
      <c r="F29" s="65">
        <v>0</v>
      </c>
      <c r="G29" s="182">
        <v>7</v>
      </c>
      <c r="H29" s="35">
        <f t="shared" si="0"/>
        <v>0</v>
      </c>
      <c r="I29" s="183">
        <f t="shared" si="1"/>
        <v>0</v>
      </c>
    </row>
    <row r="30" spans="1:9" ht="15.75" customHeight="1" x14ac:dyDescent="0.35">
      <c r="A30" s="37">
        <v>1003</v>
      </c>
      <c r="B30" s="253" t="s">
        <v>46</v>
      </c>
      <c r="C30" s="421"/>
      <c r="D30" s="259" t="s">
        <v>282</v>
      </c>
      <c r="E30" s="40" t="s">
        <v>43</v>
      </c>
      <c r="F30" s="65">
        <v>0</v>
      </c>
      <c r="G30" s="255">
        <v>9</v>
      </c>
      <c r="H30" s="42">
        <f t="shared" si="0"/>
        <v>0</v>
      </c>
      <c r="I30" s="256">
        <f t="shared" si="1"/>
        <v>0</v>
      </c>
    </row>
    <row r="31" spans="1:9" ht="15.75" customHeight="1" x14ac:dyDescent="0.35">
      <c r="A31" s="29">
        <v>1003</v>
      </c>
      <c r="B31" s="79" t="s">
        <v>46</v>
      </c>
      <c r="C31" s="421"/>
      <c r="D31" s="258" t="s">
        <v>283</v>
      </c>
      <c r="E31" s="32" t="s">
        <v>43</v>
      </c>
      <c r="F31" s="33">
        <v>0</v>
      </c>
      <c r="G31" s="182">
        <v>14</v>
      </c>
      <c r="H31" s="35">
        <f t="shared" si="0"/>
        <v>0</v>
      </c>
      <c r="I31" s="183">
        <f t="shared" si="1"/>
        <v>0</v>
      </c>
    </row>
    <row r="32" spans="1:9" ht="15.75" customHeight="1" x14ac:dyDescent="0.35">
      <c r="A32" s="260">
        <v>1003</v>
      </c>
      <c r="B32" s="261" t="s">
        <v>46</v>
      </c>
      <c r="C32" s="422"/>
      <c r="D32" s="262" t="s">
        <v>285</v>
      </c>
      <c r="E32" s="263" t="s">
        <v>43</v>
      </c>
      <c r="F32" s="65">
        <v>0</v>
      </c>
      <c r="G32" s="255">
        <v>20</v>
      </c>
      <c r="H32" s="264">
        <f t="shared" si="0"/>
        <v>0</v>
      </c>
      <c r="I32" s="256">
        <f t="shared" si="1"/>
        <v>0</v>
      </c>
    </row>
    <row r="33" spans="1:9" ht="15.75" customHeight="1" x14ac:dyDescent="0.35">
      <c r="A33" s="151">
        <v>1004</v>
      </c>
      <c r="B33" s="154">
        <v>3</v>
      </c>
      <c r="C33" s="433" t="s">
        <v>297</v>
      </c>
      <c r="D33" s="266">
        <v>1</v>
      </c>
      <c r="E33" s="154" t="s">
        <v>43</v>
      </c>
      <c r="F33" s="64">
        <v>0</v>
      </c>
      <c r="G33" s="267">
        <v>1</v>
      </c>
      <c r="H33" s="156">
        <f t="shared" si="0"/>
        <v>0</v>
      </c>
      <c r="I33" s="268">
        <f t="shared" si="1"/>
        <v>0</v>
      </c>
    </row>
    <row r="34" spans="1:9" ht="15.75" customHeight="1" x14ac:dyDescent="0.35">
      <c r="A34" s="37">
        <v>1000</v>
      </c>
      <c r="B34" s="40">
        <v>3</v>
      </c>
      <c r="C34" s="421"/>
      <c r="D34" s="254">
        <v>2</v>
      </c>
      <c r="E34" s="40" t="s">
        <v>43</v>
      </c>
      <c r="F34" s="65">
        <v>0</v>
      </c>
      <c r="G34" s="255">
        <v>2</v>
      </c>
      <c r="H34" s="42">
        <f t="shared" si="0"/>
        <v>0</v>
      </c>
      <c r="I34" s="256">
        <f t="shared" si="1"/>
        <v>0</v>
      </c>
    </row>
    <row r="35" spans="1:9" ht="15.75" customHeight="1" x14ac:dyDescent="0.35">
      <c r="A35" s="29">
        <v>1001</v>
      </c>
      <c r="B35" s="32">
        <v>3</v>
      </c>
      <c r="C35" s="421"/>
      <c r="D35" s="181">
        <v>3</v>
      </c>
      <c r="E35" s="32" t="s">
        <v>43</v>
      </c>
      <c r="F35" s="65">
        <v>0</v>
      </c>
      <c r="G35" s="182">
        <v>3</v>
      </c>
      <c r="H35" s="35">
        <f t="shared" si="0"/>
        <v>0</v>
      </c>
      <c r="I35" s="183">
        <f t="shared" si="1"/>
        <v>0</v>
      </c>
    </row>
    <row r="36" spans="1:9" ht="15.75" customHeight="1" x14ac:dyDescent="0.35">
      <c r="A36" s="37">
        <v>1002</v>
      </c>
      <c r="B36" s="40">
        <v>3</v>
      </c>
      <c r="C36" s="421"/>
      <c r="D36" s="254">
        <v>4</v>
      </c>
      <c r="E36" s="40" t="s">
        <v>43</v>
      </c>
      <c r="F36" s="65">
        <v>0</v>
      </c>
      <c r="G36" s="255">
        <v>4</v>
      </c>
      <c r="H36" s="42">
        <f t="shared" si="0"/>
        <v>0</v>
      </c>
      <c r="I36" s="256">
        <f t="shared" si="1"/>
        <v>0</v>
      </c>
    </row>
    <row r="37" spans="1:9" ht="15.75" customHeight="1" x14ac:dyDescent="0.35">
      <c r="A37" s="29">
        <v>1003</v>
      </c>
      <c r="B37" s="32">
        <v>3</v>
      </c>
      <c r="C37" s="421"/>
      <c r="D37" s="269">
        <v>5</v>
      </c>
      <c r="E37" s="32" t="s">
        <v>43</v>
      </c>
      <c r="F37" s="65">
        <v>0</v>
      </c>
      <c r="G37" s="182">
        <v>5</v>
      </c>
      <c r="H37" s="35">
        <f t="shared" si="0"/>
        <v>0</v>
      </c>
      <c r="I37" s="183">
        <f t="shared" si="1"/>
        <v>0</v>
      </c>
    </row>
    <row r="38" spans="1:9" ht="15.75" customHeight="1" x14ac:dyDescent="0.35">
      <c r="A38" s="37">
        <v>1004</v>
      </c>
      <c r="B38" s="40">
        <v>3</v>
      </c>
      <c r="C38" s="421"/>
      <c r="D38" s="259" t="s">
        <v>281</v>
      </c>
      <c r="E38" s="40" t="s">
        <v>43</v>
      </c>
      <c r="F38" s="65">
        <v>0</v>
      </c>
      <c r="G38" s="255">
        <v>7</v>
      </c>
      <c r="H38" s="42">
        <f t="shared" si="0"/>
        <v>0</v>
      </c>
      <c r="I38" s="256">
        <f t="shared" si="1"/>
        <v>0</v>
      </c>
    </row>
    <row r="39" spans="1:9" ht="15.75" customHeight="1" x14ac:dyDescent="0.35">
      <c r="A39" s="29">
        <v>1004</v>
      </c>
      <c r="B39" s="32">
        <v>3</v>
      </c>
      <c r="C39" s="421"/>
      <c r="D39" s="258" t="s">
        <v>282</v>
      </c>
      <c r="E39" s="32" t="s">
        <v>43</v>
      </c>
      <c r="F39" s="65">
        <v>0</v>
      </c>
      <c r="G39" s="182">
        <v>9</v>
      </c>
      <c r="H39" s="35">
        <f t="shared" si="0"/>
        <v>0</v>
      </c>
      <c r="I39" s="183">
        <f t="shared" si="1"/>
        <v>0</v>
      </c>
    </row>
    <row r="40" spans="1:9" ht="15.75" customHeight="1" x14ac:dyDescent="0.35">
      <c r="A40" s="37">
        <v>1004</v>
      </c>
      <c r="B40" s="40">
        <v>3</v>
      </c>
      <c r="C40" s="421"/>
      <c r="D40" s="259" t="s">
        <v>283</v>
      </c>
      <c r="E40" s="40" t="s">
        <v>43</v>
      </c>
      <c r="F40" s="33">
        <v>0</v>
      </c>
      <c r="G40" s="255">
        <v>14</v>
      </c>
      <c r="H40" s="42">
        <f t="shared" si="0"/>
        <v>0</v>
      </c>
      <c r="I40" s="256">
        <f t="shared" si="1"/>
        <v>0</v>
      </c>
    </row>
    <row r="41" spans="1:9" ht="15.75" customHeight="1" x14ac:dyDescent="0.35">
      <c r="A41" s="47">
        <v>1004</v>
      </c>
      <c r="B41" s="50">
        <v>3</v>
      </c>
      <c r="C41" s="422"/>
      <c r="D41" s="270" t="s">
        <v>285</v>
      </c>
      <c r="E41" s="50" t="s">
        <v>43</v>
      </c>
      <c r="F41" s="65">
        <v>0</v>
      </c>
      <c r="G41" s="182">
        <v>20</v>
      </c>
      <c r="H41" s="53">
        <f t="shared" si="0"/>
        <v>0</v>
      </c>
      <c r="I41" s="183">
        <f t="shared" si="1"/>
        <v>0</v>
      </c>
    </row>
    <row r="42" spans="1:9" ht="15.75" customHeight="1" x14ac:dyDescent="0.35">
      <c r="A42" s="20">
        <v>1005</v>
      </c>
      <c r="B42" s="23" t="s">
        <v>49</v>
      </c>
      <c r="C42" s="420" t="s">
        <v>298</v>
      </c>
      <c r="D42" s="250">
        <v>1</v>
      </c>
      <c r="E42" s="23" t="s">
        <v>43</v>
      </c>
      <c r="F42" s="64">
        <v>0</v>
      </c>
      <c r="G42" s="251">
        <v>1</v>
      </c>
      <c r="H42" s="26">
        <f t="shared" si="0"/>
        <v>0</v>
      </c>
      <c r="I42" s="252">
        <f t="shared" si="1"/>
        <v>0</v>
      </c>
    </row>
    <row r="43" spans="1:9" ht="15.75" customHeight="1" x14ac:dyDescent="0.35">
      <c r="A43" s="29">
        <v>1001</v>
      </c>
      <c r="B43" s="32" t="s">
        <v>49</v>
      </c>
      <c r="C43" s="421"/>
      <c r="D43" s="181">
        <v>2</v>
      </c>
      <c r="E43" s="32" t="s">
        <v>43</v>
      </c>
      <c r="F43" s="65">
        <v>0</v>
      </c>
      <c r="G43" s="182">
        <v>2</v>
      </c>
      <c r="H43" s="35">
        <f t="shared" si="0"/>
        <v>0</v>
      </c>
      <c r="I43" s="183">
        <f t="shared" si="1"/>
        <v>0</v>
      </c>
    </row>
    <row r="44" spans="1:9" ht="15.75" customHeight="1" x14ac:dyDescent="0.35">
      <c r="A44" s="37">
        <v>1002</v>
      </c>
      <c r="B44" s="40" t="s">
        <v>49</v>
      </c>
      <c r="C44" s="421"/>
      <c r="D44" s="254">
        <v>3</v>
      </c>
      <c r="E44" s="40" t="s">
        <v>43</v>
      </c>
      <c r="F44" s="65">
        <v>0</v>
      </c>
      <c r="G44" s="255">
        <v>3</v>
      </c>
      <c r="H44" s="42">
        <f t="shared" si="0"/>
        <v>0</v>
      </c>
      <c r="I44" s="256">
        <f t="shared" si="1"/>
        <v>0</v>
      </c>
    </row>
    <row r="45" spans="1:9" ht="15.75" customHeight="1" x14ac:dyDescent="0.35">
      <c r="A45" s="29">
        <v>1003</v>
      </c>
      <c r="B45" s="32" t="s">
        <v>49</v>
      </c>
      <c r="C45" s="421"/>
      <c r="D45" s="181">
        <v>4</v>
      </c>
      <c r="E45" s="32" t="s">
        <v>43</v>
      </c>
      <c r="F45" s="65">
        <v>0</v>
      </c>
      <c r="G45" s="182">
        <v>4</v>
      </c>
      <c r="H45" s="35">
        <f t="shared" si="0"/>
        <v>0</v>
      </c>
      <c r="I45" s="183">
        <f t="shared" si="1"/>
        <v>0</v>
      </c>
    </row>
    <row r="46" spans="1:9" ht="15.75" customHeight="1" x14ac:dyDescent="0.35">
      <c r="A46" s="37">
        <v>1004</v>
      </c>
      <c r="B46" s="40" t="s">
        <v>49</v>
      </c>
      <c r="C46" s="421"/>
      <c r="D46" s="257">
        <v>5</v>
      </c>
      <c r="E46" s="40" t="s">
        <v>43</v>
      </c>
      <c r="F46" s="65">
        <v>0</v>
      </c>
      <c r="G46" s="255">
        <v>5</v>
      </c>
      <c r="H46" s="42">
        <f t="shared" si="0"/>
        <v>0</v>
      </c>
      <c r="I46" s="256">
        <f t="shared" si="1"/>
        <v>0</v>
      </c>
    </row>
    <row r="47" spans="1:9" ht="15.75" customHeight="1" x14ac:dyDescent="0.35">
      <c r="A47" s="29">
        <v>1005</v>
      </c>
      <c r="B47" s="32" t="s">
        <v>49</v>
      </c>
      <c r="C47" s="421"/>
      <c r="D47" s="258" t="s">
        <v>281</v>
      </c>
      <c r="E47" s="32" t="s">
        <v>43</v>
      </c>
      <c r="F47" s="65">
        <v>0</v>
      </c>
      <c r="G47" s="182">
        <v>7</v>
      </c>
      <c r="H47" s="35">
        <f t="shared" si="0"/>
        <v>0</v>
      </c>
      <c r="I47" s="183">
        <f t="shared" si="1"/>
        <v>0</v>
      </c>
    </row>
    <row r="48" spans="1:9" ht="15.75" customHeight="1" x14ac:dyDescent="0.35">
      <c r="A48" s="37">
        <v>1005</v>
      </c>
      <c r="B48" s="40" t="s">
        <v>49</v>
      </c>
      <c r="C48" s="421"/>
      <c r="D48" s="259" t="s">
        <v>282</v>
      </c>
      <c r="E48" s="40" t="s">
        <v>43</v>
      </c>
      <c r="F48" s="65">
        <v>0</v>
      </c>
      <c r="G48" s="255">
        <v>9</v>
      </c>
      <c r="H48" s="42">
        <f t="shared" si="0"/>
        <v>0</v>
      </c>
      <c r="I48" s="256">
        <f t="shared" si="1"/>
        <v>0</v>
      </c>
    </row>
    <row r="49" spans="1:9" ht="15.75" customHeight="1" x14ac:dyDescent="0.35">
      <c r="A49" s="29">
        <v>1005</v>
      </c>
      <c r="B49" s="32" t="s">
        <v>49</v>
      </c>
      <c r="C49" s="421"/>
      <c r="D49" s="258" t="s">
        <v>283</v>
      </c>
      <c r="E49" s="32" t="s">
        <v>43</v>
      </c>
      <c r="F49" s="33">
        <v>0</v>
      </c>
      <c r="G49" s="182">
        <v>14</v>
      </c>
      <c r="H49" s="35">
        <f t="shared" si="0"/>
        <v>0</v>
      </c>
      <c r="I49" s="183">
        <f t="shared" si="1"/>
        <v>0</v>
      </c>
    </row>
    <row r="50" spans="1:9" ht="15.75" customHeight="1" x14ac:dyDescent="0.35">
      <c r="A50" s="260">
        <v>1005</v>
      </c>
      <c r="B50" s="263" t="s">
        <v>49</v>
      </c>
      <c r="C50" s="422"/>
      <c r="D50" s="262" t="s">
        <v>285</v>
      </c>
      <c r="E50" s="263" t="s">
        <v>43</v>
      </c>
      <c r="F50" s="65">
        <v>0</v>
      </c>
      <c r="G50" s="255">
        <v>20</v>
      </c>
      <c r="H50" s="264">
        <f t="shared" si="0"/>
        <v>0</v>
      </c>
      <c r="I50" s="256">
        <f t="shared" si="1"/>
        <v>0</v>
      </c>
    </row>
    <row r="51" spans="1:9" ht="15.75" customHeight="1" x14ac:dyDescent="0.35">
      <c r="A51" s="151">
        <v>1006</v>
      </c>
      <c r="B51" s="271">
        <v>4</v>
      </c>
      <c r="C51" s="433" t="s">
        <v>299</v>
      </c>
      <c r="D51" s="266">
        <v>1</v>
      </c>
      <c r="E51" s="154" t="s">
        <v>43</v>
      </c>
      <c r="F51" s="64">
        <v>0</v>
      </c>
      <c r="G51" s="267">
        <v>1</v>
      </c>
      <c r="H51" s="156">
        <f t="shared" si="0"/>
        <v>0</v>
      </c>
      <c r="I51" s="268">
        <f t="shared" si="1"/>
        <v>0</v>
      </c>
    </row>
    <row r="52" spans="1:9" ht="15.75" customHeight="1" x14ac:dyDescent="0.35">
      <c r="A52" s="37">
        <v>1002</v>
      </c>
      <c r="B52" s="40">
        <v>4</v>
      </c>
      <c r="C52" s="421"/>
      <c r="D52" s="254">
        <v>2</v>
      </c>
      <c r="E52" s="40" t="s">
        <v>43</v>
      </c>
      <c r="F52" s="65">
        <v>0</v>
      </c>
      <c r="G52" s="255">
        <v>2</v>
      </c>
      <c r="H52" s="42">
        <f t="shared" si="0"/>
        <v>0</v>
      </c>
      <c r="I52" s="256">
        <f t="shared" si="1"/>
        <v>0</v>
      </c>
    </row>
    <row r="53" spans="1:9" ht="15.75" customHeight="1" x14ac:dyDescent="0.35">
      <c r="A53" s="29">
        <v>1003</v>
      </c>
      <c r="B53" s="32">
        <v>4</v>
      </c>
      <c r="C53" s="421"/>
      <c r="D53" s="181">
        <v>3</v>
      </c>
      <c r="E53" s="32" t="s">
        <v>43</v>
      </c>
      <c r="F53" s="65">
        <v>0</v>
      </c>
      <c r="G53" s="182">
        <v>3</v>
      </c>
      <c r="H53" s="35">
        <f t="shared" si="0"/>
        <v>0</v>
      </c>
      <c r="I53" s="183">
        <f t="shared" si="1"/>
        <v>0</v>
      </c>
    </row>
    <row r="54" spans="1:9" ht="15.75" customHeight="1" x14ac:dyDescent="0.35">
      <c r="A54" s="37">
        <v>1004</v>
      </c>
      <c r="B54" s="40">
        <v>4</v>
      </c>
      <c r="C54" s="421"/>
      <c r="D54" s="254">
        <v>4</v>
      </c>
      <c r="E54" s="40" t="s">
        <v>43</v>
      </c>
      <c r="F54" s="65">
        <v>0</v>
      </c>
      <c r="G54" s="255">
        <v>4</v>
      </c>
      <c r="H54" s="42">
        <f t="shared" si="0"/>
        <v>0</v>
      </c>
      <c r="I54" s="256">
        <f t="shared" si="1"/>
        <v>0</v>
      </c>
    </row>
    <row r="55" spans="1:9" ht="15.75" customHeight="1" x14ac:dyDescent="0.35">
      <c r="A55" s="29">
        <v>1005</v>
      </c>
      <c r="B55" s="32">
        <v>4</v>
      </c>
      <c r="C55" s="421"/>
      <c r="D55" s="269">
        <v>5</v>
      </c>
      <c r="E55" s="32" t="s">
        <v>43</v>
      </c>
      <c r="F55" s="65">
        <v>0</v>
      </c>
      <c r="G55" s="182">
        <v>5</v>
      </c>
      <c r="H55" s="35">
        <f t="shared" si="0"/>
        <v>0</v>
      </c>
      <c r="I55" s="183">
        <f t="shared" si="1"/>
        <v>0</v>
      </c>
    </row>
    <row r="56" spans="1:9" ht="15.75" customHeight="1" x14ac:dyDescent="0.35">
      <c r="A56" s="37">
        <v>1006</v>
      </c>
      <c r="B56" s="40">
        <v>4</v>
      </c>
      <c r="C56" s="421"/>
      <c r="D56" s="259" t="s">
        <v>281</v>
      </c>
      <c r="E56" s="40" t="s">
        <v>43</v>
      </c>
      <c r="F56" s="65">
        <v>0</v>
      </c>
      <c r="G56" s="255">
        <v>7</v>
      </c>
      <c r="H56" s="42">
        <f t="shared" si="0"/>
        <v>0</v>
      </c>
      <c r="I56" s="256">
        <f t="shared" si="1"/>
        <v>0</v>
      </c>
    </row>
    <row r="57" spans="1:9" ht="15.75" customHeight="1" x14ac:dyDescent="0.35">
      <c r="A57" s="29">
        <v>1006</v>
      </c>
      <c r="B57" s="32">
        <v>4</v>
      </c>
      <c r="C57" s="421"/>
      <c r="D57" s="258" t="s">
        <v>282</v>
      </c>
      <c r="E57" s="32" t="s">
        <v>43</v>
      </c>
      <c r="F57" s="65">
        <v>0</v>
      </c>
      <c r="G57" s="182">
        <v>9</v>
      </c>
      <c r="H57" s="35">
        <f t="shared" si="0"/>
        <v>0</v>
      </c>
      <c r="I57" s="183">
        <f t="shared" si="1"/>
        <v>0</v>
      </c>
    </row>
    <row r="58" spans="1:9" ht="15.75" customHeight="1" x14ac:dyDescent="0.35">
      <c r="A58" s="37">
        <v>1006</v>
      </c>
      <c r="B58" s="40">
        <v>4</v>
      </c>
      <c r="C58" s="421"/>
      <c r="D58" s="259" t="s">
        <v>283</v>
      </c>
      <c r="E58" s="40" t="s">
        <v>43</v>
      </c>
      <c r="F58" s="33">
        <v>0</v>
      </c>
      <c r="G58" s="255">
        <v>14</v>
      </c>
      <c r="H58" s="42">
        <f t="shared" si="0"/>
        <v>0</v>
      </c>
      <c r="I58" s="256">
        <f t="shared" si="1"/>
        <v>0</v>
      </c>
    </row>
    <row r="59" spans="1:9" ht="15.75" customHeight="1" x14ac:dyDescent="0.35">
      <c r="A59" s="47">
        <v>1006</v>
      </c>
      <c r="B59" s="50">
        <v>4</v>
      </c>
      <c r="C59" s="422"/>
      <c r="D59" s="270" t="s">
        <v>285</v>
      </c>
      <c r="E59" s="50" t="s">
        <v>43</v>
      </c>
      <c r="F59" s="65">
        <v>0</v>
      </c>
      <c r="G59" s="182">
        <v>20</v>
      </c>
      <c r="H59" s="53">
        <f t="shared" si="0"/>
        <v>0</v>
      </c>
      <c r="I59" s="183">
        <f t="shared" si="1"/>
        <v>0</v>
      </c>
    </row>
    <row r="60" spans="1:9" ht="15.75" customHeight="1" x14ac:dyDescent="0.35">
      <c r="A60" s="20">
        <v>1007</v>
      </c>
      <c r="B60" s="22" t="s">
        <v>53</v>
      </c>
      <c r="C60" s="420" t="s">
        <v>300</v>
      </c>
      <c r="D60" s="250">
        <v>1</v>
      </c>
      <c r="E60" s="23" t="s">
        <v>43</v>
      </c>
      <c r="F60" s="64">
        <v>0</v>
      </c>
      <c r="G60" s="251">
        <v>1</v>
      </c>
      <c r="H60" s="26">
        <f t="shared" si="0"/>
        <v>0</v>
      </c>
      <c r="I60" s="252">
        <f t="shared" si="1"/>
        <v>0</v>
      </c>
    </row>
    <row r="61" spans="1:9" ht="15.75" customHeight="1" x14ac:dyDescent="0.35">
      <c r="A61" s="29">
        <v>1003</v>
      </c>
      <c r="B61" s="32" t="s">
        <v>53</v>
      </c>
      <c r="C61" s="421"/>
      <c r="D61" s="181">
        <v>2</v>
      </c>
      <c r="E61" s="32" t="s">
        <v>43</v>
      </c>
      <c r="F61" s="65">
        <v>0</v>
      </c>
      <c r="G61" s="182">
        <v>2</v>
      </c>
      <c r="H61" s="35">
        <f t="shared" si="0"/>
        <v>0</v>
      </c>
      <c r="I61" s="183">
        <f t="shared" si="1"/>
        <v>0</v>
      </c>
    </row>
    <row r="62" spans="1:9" ht="15.75" customHeight="1" x14ac:dyDescent="0.35">
      <c r="A62" s="37">
        <v>1004</v>
      </c>
      <c r="B62" s="40" t="s">
        <v>53</v>
      </c>
      <c r="C62" s="421"/>
      <c r="D62" s="254">
        <v>3</v>
      </c>
      <c r="E62" s="40" t="s">
        <v>43</v>
      </c>
      <c r="F62" s="65">
        <v>0</v>
      </c>
      <c r="G62" s="255">
        <v>3</v>
      </c>
      <c r="H62" s="42">
        <f t="shared" si="0"/>
        <v>0</v>
      </c>
      <c r="I62" s="256">
        <f t="shared" si="1"/>
        <v>0</v>
      </c>
    </row>
    <row r="63" spans="1:9" ht="15.75" customHeight="1" x14ac:dyDescent="0.35">
      <c r="A63" s="29">
        <v>1005</v>
      </c>
      <c r="B63" s="32" t="s">
        <v>53</v>
      </c>
      <c r="C63" s="421"/>
      <c r="D63" s="181">
        <v>4</v>
      </c>
      <c r="E63" s="32" t="s">
        <v>43</v>
      </c>
      <c r="F63" s="65">
        <v>0</v>
      </c>
      <c r="G63" s="182">
        <v>4</v>
      </c>
      <c r="H63" s="35">
        <f t="shared" si="0"/>
        <v>0</v>
      </c>
      <c r="I63" s="183">
        <f t="shared" si="1"/>
        <v>0</v>
      </c>
    </row>
    <row r="64" spans="1:9" ht="15.75" customHeight="1" x14ac:dyDescent="0.35">
      <c r="A64" s="37">
        <v>1006</v>
      </c>
      <c r="B64" s="40" t="s">
        <v>53</v>
      </c>
      <c r="C64" s="421"/>
      <c r="D64" s="257">
        <v>5</v>
      </c>
      <c r="E64" s="40" t="s">
        <v>43</v>
      </c>
      <c r="F64" s="65">
        <v>0</v>
      </c>
      <c r="G64" s="255">
        <v>5</v>
      </c>
      <c r="H64" s="42">
        <f t="shared" si="0"/>
        <v>0</v>
      </c>
      <c r="I64" s="256">
        <f t="shared" si="1"/>
        <v>0</v>
      </c>
    </row>
    <row r="65" spans="1:9" ht="15.75" customHeight="1" x14ac:dyDescent="0.35">
      <c r="A65" s="29">
        <v>1007</v>
      </c>
      <c r="B65" s="32" t="s">
        <v>53</v>
      </c>
      <c r="C65" s="421"/>
      <c r="D65" s="258" t="s">
        <v>281</v>
      </c>
      <c r="E65" s="32" t="s">
        <v>43</v>
      </c>
      <c r="F65" s="65">
        <v>0</v>
      </c>
      <c r="G65" s="182">
        <v>7</v>
      </c>
      <c r="H65" s="35">
        <f t="shared" si="0"/>
        <v>0</v>
      </c>
      <c r="I65" s="183">
        <f t="shared" si="1"/>
        <v>0</v>
      </c>
    </row>
    <row r="66" spans="1:9" ht="15.75" customHeight="1" x14ac:dyDescent="0.35">
      <c r="A66" s="37">
        <v>1007</v>
      </c>
      <c r="B66" s="40" t="s">
        <v>53</v>
      </c>
      <c r="C66" s="421"/>
      <c r="D66" s="259" t="s">
        <v>282</v>
      </c>
      <c r="E66" s="40" t="s">
        <v>43</v>
      </c>
      <c r="F66" s="65">
        <v>0</v>
      </c>
      <c r="G66" s="255">
        <v>9</v>
      </c>
      <c r="H66" s="42">
        <f t="shared" si="0"/>
        <v>0</v>
      </c>
      <c r="I66" s="256">
        <f t="shared" si="1"/>
        <v>0</v>
      </c>
    </row>
    <row r="67" spans="1:9" ht="15.75" customHeight="1" x14ac:dyDescent="0.35">
      <c r="A67" s="29">
        <v>1007</v>
      </c>
      <c r="B67" s="32" t="s">
        <v>53</v>
      </c>
      <c r="C67" s="421"/>
      <c r="D67" s="258" t="s">
        <v>283</v>
      </c>
      <c r="E67" s="32" t="s">
        <v>43</v>
      </c>
      <c r="F67" s="33">
        <v>0</v>
      </c>
      <c r="G67" s="182">
        <v>14</v>
      </c>
      <c r="H67" s="35">
        <f t="shared" si="0"/>
        <v>0</v>
      </c>
      <c r="I67" s="183">
        <f t="shared" si="1"/>
        <v>0</v>
      </c>
    </row>
    <row r="68" spans="1:9" ht="15.75" customHeight="1" x14ac:dyDescent="0.35">
      <c r="A68" s="260">
        <v>1007</v>
      </c>
      <c r="B68" s="263" t="s">
        <v>53</v>
      </c>
      <c r="C68" s="422"/>
      <c r="D68" s="262" t="s">
        <v>285</v>
      </c>
      <c r="E68" s="263" t="s">
        <v>43</v>
      </c>
      <c r="F68" s="66">
        <v>0</v>
      </c>
      <c r="G68" s="272">
        <v>20</v>
      </c>
      <c r="H68" s="264">
        <f t="shared" si="0"/>
        <v>0</v>
      </c>
      <c r="I68" s="273">
        <f t="shared" si="1"/>
        <v>0</v>
      </c>
    </row>
    <row r="69" spans="1:9" ht="15.75" customHeight="1" x14ac:dyDescent="0.35"/>
    <row r="70" spans="1:9" ht="15.75" customHeight="1" x14ac:dyDescent="0.35"/>
    <row r="71" spans="1:9" ht="15.75" customHeight="1" x14ac:dyDescent="0.35"/>
    <row r="72" spans="1:9" ht="15.75" customHeight="1" x14ac:dyDescent="0.35"/>
    <row r="73" spans="1:9" ht="15.75" customHeight="1" x14ac:dyDescent="0.35"/>
    <row r="74" spans="1:9" ht="15.75" customHeight="1" x14ac:dyDescent="0.35"/>
    <row r="75" spans="1:9" ht="15.75" customHeight="1" x14ac:dyDescent="0.35"/>
    <row r="76" spans="1:9" ht="15.75" customHeight="1" x14ac:dyDescent="0.35"/>
    <row r="77" spans="1:9" ht="15.75" customHeight="1" x14ac:dyDescent="0.35"/>
    <row r="78" spans="1:9" ht="15.75" customHeight="1" x14ac:dyDescent="0.35"/>
    <row r="79" spans="1:9" ht="15.75" customHeight="1" x14ac:dyDescent="0.35"/>
    <row r="80" spans="1:9"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sheetData>
  <mergeCells count="9">
    <mergeCell ref="C51:C59"/>
    <mergeCell ref="C60:C68"/>
    <mergeCell ref="A4:F4"/>
    <mergeCell ref="H4:I4"/>
    <mergeCell ref="C6:C14"/>
    <mergeCell ref="C15:C23"/>
    <mergeCell ref="C24:C32"/>
    <mergeCell ref="C33:C41"/>
    <mergeCell ref="C42:C50"/>
  </mergeCells>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014"/>
  <sheetViews>
    <sheetView workbookViewId="0"/>
  </sheetViews>
  <sheetFormatPr defaultColWidth="12.6328125" defaultRowHeight="15" customHeight="1" x14ac:dyDescent="0.35"/>
  <cols>
    <col min="1" max="1" width="13.08984375" customWidth="1"/>
    <col min="2" max="2" width="13" customWidth="1"/>
    <col min="3" max="3" width="31.7265625" customWidth="1"/>
    <col min="4" max="4" width="14.36328125" customWidth="1"/>
    <col min="5" max="6" width="8.6328125" customWidth="1"/>
    <col min="7" max="7" width="13.6328125" customWidth="1"/>
    <col min="8" max="8" width="14.6328125" customWidth="1"/>
    <col min="9" max="9" width="18" customWidth="1"/>
    <col min="10" max="10" width="8.6328125" customWidth="1"/>
    <col min="11" max="11" width="12.26953125" customWidth="1"/>
    <col min="12" max="12" width="39" customWidth="1"/>
    <col min="13" max="22" width="8.6328125" customWidth="1"/>
  </cols>
  <sheetData>
    <row r="1" spans="1:12" ht="18.5" x14ac:dyDescent="0.45">
      <c r="A1" s="10" t="s">
        <v>301</v>
      </c>
      <c r="B1" s="124"/>
      <c r="C1" s="124"/>
    </row>
    <row r="2" spans="1:12" ht="18" x14ac:dyDescent="0.4">
      <c r="A2" s="11" t="s">
        <v>26</v>
      </c>
      <c r="B2" s="124"/>
      <c r="C2" s="124"/>
    </row>
    <row r="3" spans="1:12" ht="18.5" x14ac:dyDescent="0.45">
      <c r="A3" s="10"/>
      <c r="B3" s="124"/>
      <c r="C3" s="124"/>
    </row>
    <row r="4" spans="1:12" ht="19.5" customHeight="1" x14ac:dyDescent="0.35">
      <c r="A4" s="447" t="s">
        <v>28</v>
      </c>
      <c r="B4" s="416"/>
      <c r="C4" s="416"/>
      <c r="D4" s="416"/>
      <c r="E4" s="416"/>
      <c r="F4" s="417"/>
      <c r="G4" s="448" t="s">
        <v>302</v>
      </c>
      <c r="H4" s="416"/>
      <c r="I4" s="419"/>
    </row>
    <row r="5" spans="1:12" ht="29" x14ac:dyDescent="0.35">
      <c r="A5" s="125" t="s">
        <v>303</v>
      </c>
      <c r="B5" s="69" t="s">
        <v>31</v>
      </c>
      <c r="C5" s="69" t="s">
        <v>32</v>
      </c>
      <c r="D5" s="127" t="s">
        <v>183</v>
      </c>
      <c r="E5" s="50" t="s">
        <v>34</v>
      </c>
      <c r="F5" s="69" t="s">
        <v>35</v>
      </c>
      <c r="G5" s="127" t="s">
        <v>304</v>
      </c>
      <c r="H5" s="69" t="s">
        <v>37</v>
      </c>
      <c r="I5" s="128" t="s">
        <v>38</v>
      </c>
      <c r="K5" s="18" t="s">
        <v>39</v>
      </c>
      <c r="L5" s="18" t="s">
        <v>305</v>
      </c>
    </row>
    <row r="6" spans="1:12" ht="15.75" customHeight="1" x14ac:dyDescent="0.35">
      <c r="A6" s="281" t="s">
        <v>41</v>
      </c>
      <c r="B6" s="282">
        <v>1</v>
      </c>
      <c r="C6" s="445" t="s">
        <v>306</v>
      </c>
      <c r="D6" s="283">
        <v>46032</v>
      </c>
      <c r="E6" s="284" t="s">
        <v>43</v>
      </c>
      <c r="F6" s="64">
        <v>0</v>
      </c>
      <c r="G6" s="285">
        <v>10</v>
      </c>
      <c r="H6" s="286">
        <f t="shared" ref="H6:H68" si="0">F6*G6</f>
        <v>0</v>
      </c>
      <c r="I6" s="287">
        <f t="shared" ref="I6:I68" si="1">H6*365</f>
        <v>0</v>
      </c>
      <c r="K6" s="18">
        <v>1</v>
      </c>
      <c r="L6" s="28">
        <f>SUM(I6:I14)</f>
        <v>0</v>
      </c>
    </row>
    <row r="7" spans="1:12" ht="14.5" x14ac:dyDescent="0.35">
      <c r="A7" s="29" t="s">
        <v>41</v>
      </c>
      <c r="B7" s="79">
        <v>1</v>
      </c>
      <c r="C7" s="421"/>
      <c r="D7" s="191">
        <v>46346</v>
      </c>
      <c r="E7" s="32" t="s">
        <v>43</v>
      </c>
      <c r="F7" s="65">
        <v>0</v>
      </c>
      <c r="G7" s="34">
        <v>20</v>
      </c>
      <c r="H7" s="35">
        <f t="shared" si="0"/>
        <v>0</v>
      </c>
      <c r="I7" s="36">
        <f t="shared" si="1"/>
        <v>0</v>
      </c>
      <c r="K7" s="18">
        <v>2</v>
      </c>
      <c r="L7" s="28">
        <f>SUM(I15:I23)</f>
        <v>0</v>
      </c>
    </row>
    <row r="8" spans="1:12" ht="14.5" x14ac:dyDescent="0.35">
      <c r="A8" s="288" t="s">
        <v>41</v>
      </c>
      <c r="B8" s="289">
        <v>1</v>
      </c>
      <c r="C8" s="421"/>
      <c r="D8" s="290" t="s">
        <v>307</v>
      </c>
      <c r="E8" s="291" t="s">
        <v>43</v>
      </c>
      <c r="F8" s="65">
        <v>0</v>
      </c>
      <c r="G8" s="292">
        <v>30</v>
      </c>
      <c r="H8" s="293">
        <f t="shared" si="0"/>
        <v>0</v>
      </c>
      <c r="I8" s="294">
        <f t="shared" si="1"/>
        <v>0</v>
      </c>
      <c r="K8" s="18" t="s">
        <v>46</v>
      </c>
      <c r="L8" s="28">
        <f>SUM(I24:I32)</f>
        <v>0</v>
      </c>
    </row>
    <row r="9" spans="1:12" ht="14.5" x14ac:dyDescent="0.35">
      <c r="A9" s="29" t="s">
        <v>41</v>
      </c>
      <c r="B9" s="30">
        <v>1</v>
      </c>
      <c r="C9" s="421"/>
      <c r="D9" s="31" t="s">
        <v>308</v>
      </c>
      <c r="E9" s="32" t="s">
        <v>43</v>
      </c>
      <c r="F9" s="65">
        <v>0</v>
      </c>
      <c r="G9" s="34">
        <v>40</v>
      </c>
      <c r="H9" s="35">
        <f t="shared" si="0"/>
        <v>0</v>
      </c>
      <c r="I9" s="36">
        <f t="shared" si="1"/>
        <v>0</v>
      </c>
      <c r="K9" s="18">
        <v>3</v>
      </c>
      <c r="L9" s="28">
        <f>SUM(I33:I41)</f>
        <v>0</v>
      </c>
    </row>
    <row r="10" spans="1:12" ht="14.5" x14ac:dyDescent="0.35">
      <c r="A10" s="295" t="s">
        <v>41</v>
      </c>
      <c r="B10" s="296">
        <v>1</v>
      </c>
      <c r="C10" s="421"/>
      <c r="D10" s="297" t="s">
        <v>309</v>
      </c>
      <c r="E10" s="298" t="s">
        <v>43</v>
      </c>
      <c r="F10" s="299">
        <v>0</v>
      </c>
      <c r="G10" s="300">
        <v>50</v>
      </c>
      <c r="H10" s="301">
        <f t="shared" si="0"/>
        <v>0</v>
      </c>
      <c r="I10" s="302">
        <f t="shared" si="1"/>
        <v>0</v>
      </c>
      <c r="K10" s="18" t="s">
        <v>49</v>
      </c>
      <c r="L10" s="28">
        <f>SUM(I42:I50)</f>
        <v>0</v>
      </c>
    </row>
    <row r="11" spans="1:12" ht="15.75" customHeight="1" x14ac:dyDescent="0.35">
      <c r="A11" s="62" t="s">
        <v>41</v>
      </c>
      <c r="B11" s="30">
        <v>1</v>
      </c>
      <c r="C11" s="421"/>
      <c r="D11" s="31" t="s">
        <v>310</v>
      </c>
      <c r="E11" s="32" t="s">
        <v>43</v>
      </c>
      <c r="F11" s="65">
        <v>0</v>
      </c>
      <c r="G11" s="34">
        <v>100</v>
      </c>
      <c r="H11" s="35">
        <f t="shared" si="0"/>
        <v>0</v>
      </c>
      <c r="I11" s="36">
        <f t="shared" si="1"/>
        <v>0</v>
      </c>
      <c r="K11" s="18">
        <v>4</v>
      </c>
      <c r="L11" s="46">
        <f>SUM(I51:I59)</f>
        <v>0</v>
      </c>
    </row>
    <row r="12" spans="1:12" ht="15.75" customHeight="1" x14ac:dyDescent="0.35">
      <c r="A12" s="288" t="s">
        <v>41</v>
      </c>
      <c r="B12" s="303">
        <v>1</v>
      </c>
      <c r="C12" s="421"/>
      <c r="D12" s="304" t="s">
        <v>311</v>
      </c>
      <c r="E12" s="291" t="s">
        <v>43</v>
      </c>
      <c r="F12" s="65">
        <v>0</v>
      </c>
      <c r="G12" s="292">
        <v>500</v>
      </c>
      <c r="H12" s="293">
        <f t="shared" si="0"/>
        <v>0</v>
      </c>
      <c r="I12" s="294">
        <f t="shared" si="1"/>
        <v>0</v>
      </c>
      <c r="K12" s="18" t="s">
        <v>53</v>
      </c>
      <c r="L12" s="46">
        <f>SUM(I60:I68)</f>
        <v>0</v>
      </c>
    </row>
    <row r="13" spans="1:12" ht="15.75" customHeight="1" x14ac:dyDescent="0.35">
      <c r="A13" s="305" t="s">
        <v>41</v>
      </c>
      <c r="B13" s="306">
        <v>1</v>
      </c>
      <c r="C13" s="421"/>
      <c r="D13" s="31" t="s">
        <v>160</v>
      </c>
      <c r="E13" s="135" t="s">
        <v>43</v>
      </c>
      <c r="F13" s="65">
        <v>0</v>
      </c>
      <c r="G13" s="34">
        <v>1000</v>
      </c>
      <c r="H13" s="35">
        <f t="shared" si="0"/>
        <v>0</v>
      </c>
      <c r="I13" s="36">
        <f t="shared" si="1"/>
        <v>0</v>
      </c>
      <c r="K13" s="18" t="s">
        <v>312</v>
      </c>
      <c r="L13" s="28">
        <f>SUM(L6:L12)</f>
        <v>0</v>
      </c>
    </row>
    <row r="14" spans="1:12" ht="15.75" customHeight="1" x14ac:dyDescent="0.35">
      <c r="A14" s="307" t="s">
        <v>41</v>
      </c>
      <c r="B14" s="308">
        <v>1</v>
      </c>
      <c r="C14" s="422"/>
      <c r="D14" s="309" t="s">
        <v>313</v>
      </c>
      <c r="E14" s="310" t="s">
        <v>43</v>
      </c>
      <c r="F14" s="311">
        <v>0</v>
      </c>
      <c r="G14" s="312">
        <v>2000</v>
      </c>
      <c r="H14" s="313">
        <f t="shared" si="0"/>
        <v>0</v>
      </c>
      <c r="I14" s="314">
        <f t="shared" si="1"/>
        <v>0</v>
      </c>
      <c r="K14" s="315"/>
      <c r="L14" s="316"/>
    </row>
    <row r="15" spans="1:12" ht="15.75" customHeight="1" x14ac:dyDescent="0.35">
      <c r="A15" s="151" t="s">
        <v>51</v>
      </c>
      <c r="B15" s="152">
        <v>2</v>
      </c>
      <c r="C15" s="433" t="s">
        <v>314</v>
      </c>
      <c r="D15" s="317">
        <v>46032</v>
      </c>
      <c r="E15" s="154" t="s">
        <v>43</v>
      </c>
      <c r="F15" s="64">
        <v>0</v>
      </c>
      <c r="G15" s="318">
        <v>10</v>
      </c>
      <c r="H15" s="156">
        <f t="shared" si="0"/>
        <v>0</v>
      </c>
      <c r="I15" s="157">
        <f t="shared" si="1"/>
        <v>0</v>
      </c>
    </row>
    <row r="16" spans="1:12" ht="14.5" x14ac:dyDescent="0.35">
      <c r="A16" s="288" t="s">
        <v>51</v>
      </c>
      <c r="B16" s="303">
        <v>2</v>
      </c>
      <c r="C16" s="421"/>
      <c r="D16" s="319">
        <v>46346</v>
      </c>
      <c r="E16" s="291" t="s">
        <v>43</v>
      </c>
      <c r="F16" s="65">
        <v>0</v>
      </c>
      <c r="G16" s="292">
        <v>20</v>
      </c>
      <c r="H16" s="293">
        <f t="shared" si="0"/>
        <v>0</v>
      </c>
      <c r="I16" s="294">
        <f t="shared" si="1"/>
        <v>0</v>
      </c>
    </row>
    <row r="17" spans="1:9" ht="14.5" x14ac:dyDescent="0.35">
      <c r="A17" s="29" t="s">
        <v>51</v>
      </c>
      <c r="B17" s="30">
        <v>2</v>
      </c>
      <c r="C17" s="421"/>
      <c r="D17" s="135" t="s">
        <v>307</v>
      </c>
      <c r="E17" s="32" t="s">
        <v>43</v>
      </c>
      <c r="F17" s="65">
        <v>0</v>
      </c>
      <c r="G17" s="34">
        <v>30</v>
      </c>
      <c r="H17" s="35">
        <f t="shared" si="0"/>
        <v>0</v>
      </c>
      <c r="I17" s="36">
        <f t="shared" si="1"/>
        <v>0</v>
      </c>
    </row>
    <row r="18" spans="1:9" ht="14.5" x14ac:dyDescent="0.35">
      <c r="A18" s="288" t="s">
        <v>51</v>
      </c>
      <c r="B18" s="303">
        <v>2</v>
      </c>
      <c r="C18" s="421"/>
      <c r="D18" s="304" t="s">
        <v>308</v>
      </c>
      <c r="E18" s="291" t="s">
        <v>43</v>
      </c>
      <c r="F18" s="65">
        <v>0</v>
      </c>
      <c r="G18" s="292">
        <v>40</v>
      </c>
      <c r="H18" s="293">
        <f t="shared" si="0"/>
        <v>0</v>
      </c>
      <c r="I18" s="294">
        <f t="shared" si="1"/>
        <v>0</v>
      </c>
    </row>
    <row r="19" spans="1:9" ht="14.5" x14ac:dyDescent="0.35">
      <c r="A19" s="29" t="s">
        <v>51</v>
      </c>
      <c r="B19" s="320">
        <v>2</v>
      </c>
      <c r="C19" s="421"/>
      <c r="D19" s="321" t="s">
        <v>309</v>
      </c>
      <c r="E19" s="15" t="s">
        <v>43</v>
      </c>
      <c r="F19" s="299">
        <v>0</v>
      </c>
      <c r="G19" s="322">
        <v>50</v>
      </c>
      <c r="H19" s="323">
        <f t="shared" si="0"/>
        <v>0</v>
      </c>
      <c r="I19" s="324">
        <f t="shared" si="1"/>
        <v>0</v>
      </c>
    </row>
    <row r="20" spans="1:9" ht="15.75" customHeight="1" x14ac:dyDescent="0.35">
      <c r="A20" s="288" t="s">
        <v>51</v>
      </c>
      <c r="B20" s="303">
        <v>2</v>
      </c>
      <c r="C20" s="421"/>
      <c r="D20" s="304" t="s">
        <v>310</v>
      </c>
      <c r="E20" s="291" t="s">
        <v>43</v>
      </c>
      <c r="F20" s="65">
        <v>0</v>
      </c>
      <c r="G20" s="292">
        <v>100</v>
      </c>
      <c r="H20" s="293">
        <f t="shared" si="0"/>
        <v>0</v>
      </c>
      <c r="I20" s="294">
        <f t="shared" si="1"/>
        <v>0</v>
      </c>
    </row>
    <row r="21" spans="1:9" ht="15.75" customHeight="1" x14ac:dyDescent="0.35">
      <c r="A21" s="29" t="s">
        <v>51</v>
      </c>
      <c r="B21" s="30">
        <v>2</v>
      </c>
      <c r="C21" s="421"/>
      <c r="D21" s="31" t="s">
        <v>311</v>
      </c>
      <c r="E21" s="32" t="s">
        <v>43</v>
      </c>
      <c r="F21" s="65">
        <v>0</v>
      </c>
      <c r="G21" s="34">
        <v>500</v>
      </c>
      <c r="H21" s="35">
        <f t="shared" si="0"/>
        <v>0</v>
      </c>
      <c r="I21" s="36">
        <f t="shared" si="1"/>
        <v>0</v>
      </c>
    </row>
    <row r="22" spans="1:9" ht="15.75" customHeight="1" x14ac:dyDescent="0.35">
      <c r="A22" s="288" t="s">
        <v>51</v>
      </c>
      <c r="B22" s="303">
        <v>2</v>
      </c>
      <c r="C22" s="421"/>
      <c r="D22" s="304" t="s">
        <v>160</v>
      </c>
      <c r="E22" s="290" t="s">
        <v>43</v>
      </c>
      <c r="F22" s="65">
        <v>0</v>
      </c>
      <c r="G22" s="292">
        <v>1000</v>
      </c>
      <c r="H22" s="293">
        <f t="shared" si="0"/>
        <v>0</v>
      </c>
      <c r="I22" s="294">
        <f t="shared" si="1"/>
        <v>0</v>
      </c>
    </row>
    <row r="23" spans="1:9" ht="15.75" customHeight="1" x14ac:dyDescent="0.35">
      <c r="A23" s="325" t="s">
        <v>51</v>
      </c>
      <c r="B23" s="326">
        <v>2</v>
      </c>
      <c r="C23" s="422"/>
      <c r="D23" s="327" t="s">
        <v>313</v>
      </c>
      <c r="E23" s="328" t="s">
        <v>43</v>
      </c>
      <c r="F23" s="311">
        <v>0</v>
      </c>
      <c r="G23" s="329">
        <v>2000</v>
      </c>
      <c r="H23" s="330">
        <f t="shared" si="0"/>
        <v>0</v>
      </c>
      <c r="I23" s="331">
        <f t="shared" si="1"/>
        <v>0</v>
      </c>
    </row>
    <row r="24" spans="1:9" ht="15.75" customHeight="1" x14ac:dyDescent="0.35">
      <c r="A24" s="281" t="s">
        <v>55</v>
      </c>
      <c r="B24" s="332" t="s">
        <v>46</v>
      </c>
      <c r="C24" s="445" t="s">
        <v>315</v>
      </c>
      <c r="D24" s="283">
        <v>46032</v>
      </c>
      <c r="E24" s="284" t="s">
        <v>43</v>
      </c>
      <c r="F24" s="64">
        <v>0</v>
      </c>
      <c r="G24" s="285">
        <v>10</v>
      </c>
      <c r="H24" s="286">
        <f t="shared" si="0"/>
        <v>0</v>
      </c>
      <c r="I24" s="287">
        <f t="shared" si="1"/>
        <v>0</v>
      </c>
    </row>
    <row r="25" spans="1:9" ht="14.5" x14ac:dyDescent="0.35">
      <c r="A25" s="29" t="s">
        <v>55</v>
      </c>
      <c r="B25" s="30" t="s">
        <v>46</v>
      </c>
      <c r="C25" s="421"/>
      <c r="D25" s="191">
        <v>46346</v>
      </c>
      <c r="E25" s="32" t="s">
        <v>43</v>
      </c>
      <c r="F25" s="65">
        <v>0</v>
      </c>
      <c r="G25" s="34">
        <v>20</v>
      </c>
      <c r="H25" s="35">
        <f t="shared" si="0"/>
        <v>0</v>
      </c>
      <c r="I25" s="36">
        <f t="shared" si="1"/>
        <v>0</v>
      </c>
    </row>
    <row r="26" spans="1:9" ht="14.5" x14ac:dyDescent="0.35">
      <c r="A26" s="288" t="s">
        <v>55</v>
      </c>
      <c r="B26" s="303" t="s">
        <v>46</v>
      </c>
      <c r="C26" s="421"/>
      <c r="D26" s="290" t="s">
        <v>307</v>
      </c>
      <c r="E26" s="291" t="s">
        <v>43</v>
      </c>
      <c r="F26" s="65">
        <v>0</v>
      </c>
      <c r="G26" s="292">
        <v>30</v>
      </c>
      <c r="H26" s="293">
        <f t="shared" si="0"/>
        <v>0</v>
      </c>
      <c r="I26" s="294">
        <f t="shared" si="1"/>
        <v>0</v>
      </c>
    </row>
    <row r="27" spans="1:9" ht="14.5" x14ac:dyDescent="0.35">
      <c r="A27" s="29" t="s">
        <v>55</v>
      </c>
      <c r="B27" s="30" t="s">
        <v>46</v>
      </c>
      <c r="C27" s="421"/>
      <c r="D27" s="31" t="s">
        <v>308</v>
      </c>
      <c r="E27" s="32" t="s">
        <v>43</v>
      </c>
      <c r="F27" s="65">
        <v>0</v>
      </c>
      <c r="G27" s="34">
        <v>40</v>
      </c>
      <c r="H27" s="35">
        <f t="shared" si="0"/>
        <v>0</v>
      </c>
      <c r="I27" s="36">
        <f t="shared" si="1"/>
        <v>0</v>
      </c>
    </row>
    <row r="28" spans="1:9" ht="14.5" x14ac:dyDescent="0.35">
      <c r="A28" s="288" t="s">
        <v>55</v>
      </c>
      <c r="B28" s="303" t="s">
        <v>46</v>
      </c>
      <c r="C28" s="421"/>
      <c r="D28" s="297" t="s">
        <v>309</v>
      </c>
      <c r="E28" s="298" t="s">
        <v>43</v>
      </c>
      <c r="F28" s="299">
        <v>0</v>
      </c>
      <c r="G28" s="300">
        <v>50</v>
      </c>
      <c r="H28" s="301">
        <f t="shared" si="0"/>
        <v>0</v>
      </c>
      <c r="I28" s="302">
        <f t="shared" si="1"/>
        <v>0</v>
      </c>
    </row>
    <row r="29" spans="1:9" ht="15.75" customHeight="1" x14ac:dyDescent="0.35">
      <c r="A29" s="29" t="s">
        <v>55</v>
      </c>
      <c r="B29" s="30" t="s">
        <v>46</v>
      </c>
      <c r="C29" s="421"/>
      <c r="D29" s="31" t="s">
        <v>310</v>
      </c>
      <c r="E29" s="32" t="s">
        <v>43</v>
      </c>
      <c r="F29" s="65">
        <v>0</v>
      </c>
      <c r="G29" s="34">
        <v>100</v>
      </c>
      <c r="H29" s="35">
        <f t="shared" si="0"/>
        <v>0</v>
      </c>
      <c r="I29" s="36">
        <f t="shared" si="1"/>
        <v>0</v>
      </c>
    </row>
    <row r="30" spans="1:9" ht="15.75" customHeight="1" x14ac:dyDescent="0.35">
      <c r="A30" s="288" t="s">
        <v>55</v>
      </c>
      <c r="B30" s="303" t="s">
        <v>46</v>
      </c>
      <c r="C30" s="421"/>
      <c r="D30" s="304" t="s">
        <v>311</v>
      </c>
      <c r="E30" s="291" t="s">
        <v>43</v>
      </c>
      <c r="F30" s="65">
        <v>0</v>
      </c>
      <c r="G30" s="292">
        <v>500</v>
      </c>
      <c r="H30" s="293">
        <f t="shared" si="0"/>
        <v>0</v>
      </c>
      <c r="I30" s="294">
        <f t="shared" si="1"/>
        <v>0</v>
      </c>
    </row>
    <row r="31" spans="1:9" ht="15.75" customHeight="1" x14ac:dyDescent="0.35">
      <c r="A31" s="29" t="s">
        <v>55</v>
      </c>
      <c r="B31" s="30" t="s">
        <v>46</v>
      </c>
      <c r="C31" s="421"/>
      <c r="D31" s="31" t="s">
        <v>160</v>
      </c>
      <c r="E31" s="135" t="s">
        <v>43</v>
      </c>
      <c r="F31" s="65">
        <v>0</v>
      </c>
      <c r="G31" s="34">
        <v>1000</v>
      </c>
      <c r="H31" s="35">
        <f t="shared" si="0"/>
        <v>0</v>
      </c>
      <c r="I31" s="36">
        <f t="shared" si="1"/>
        <v>0</v>
      </c>
    </row>
    <row r="32" spans="1:9" ht="15.75" customHeight="1" x14ac:dyDescent="0.35">
      <c r="A32" s="307" t="s">
        <v>55</v>
      </c>
      <c r="B32" s="308" t="s">
        <v>46</v>
      </c>
      <c r="C32" s="422"/>
      <c r="D32" s="309" t="s">
        <v>313</v>
      </c>
      <c r="E32" s="310" t="s">
        <v>43</v>
      </c>
      <c r="F32" s="311">
        <v>0</v>
      </c>
      <c r="G32" s="312">
        <v>2000</v>
      </c>
      <c r="H32" s="313">
        <f t="shared" si="0"/>
        <v>0</v>
      </c>
      <c r="I32" s="314">
        <f t="shared" si="1"/>
        <v>0</v>
      </c>
    </row>
    <row r="33" spans="1:13" ht="15.75" customHeight="1" x14ac:dyDescent="0.35">
      <c r="A33" s="151" t="s">
        <v>57</v>
      </c>
      <c r="B33" s="152">
        <v>3</v>
      </c>
      <c r="C33" s="433" t="s">
        <v>316</v>
      </c>
      <c r="D33" s="317">
        <v>46032</v>
      </c>
      <c r="E33" s="154" t="s">
        <v>43</v>
      </c>
      <c r="F33" s="64">
        <v>0</v>
      </c>
      <c r="G33" s="318">
        <v>10</v>
      </c>
      <c r="H33" s="156">
        <f t="shared" si="0"/>
        <v>0</v>
      </c>
      <c r="I33" s="157">
        <f t="shared" si="1"/>
        <v>0</v>
      </c>
    </row>
    <row r="34" spans="1:13" ht="14.5" x14ac:dyDescent="0.35">
      <c r="A34" s="288" t="s">
        <v>57</v>
      </c>
      <c r="B34" s="303">
        <v>3</v>
      </c>
      <c r="C34" s="421"/>
      <c r="D34" s="319">
        <v>46346</v>
      </c>
      <c r="E34" s="291" t="s">
        <v>43</v>
      </c>
      <c r="F34" s="65">
        <v>0</v>
      </c>
      <c r="G34" s="292">
        <v>20</v>
      </c>
      <c r="H34" s="293">
        <f t="shared" si="0"/>
        <v>0</v>
      </c>
      <c r="I34" s="294">
        <f t="shared" si="1"/>
        <v>0</v>
      </c>
    </row>
    <row r="35" spans="1:13" ht="14.5" x14ac:dyDescent="0.35">
      <c r="A35" s="29" t="s">
        <v>57</v>
      </c>
      <c r="B35" s="30">
        <v>3</v>
      </c>
      <c r="C35" s="421"/>
      <c r="D35" s="135" t="s">
        <v>307</v>
      </c>
      <c r="E35" s="32" t="s">
        <v>43</v>
      </c>
      <c r="F35" s="65">
        <v>0</v>
      </c>
      <c r="G35" s="34">
        <v>30</v>
      </c>
      <c r="H35" s="35">
        <f t="shared" si="0"/>
        <v>0</v>
      </c>
      <c r="I35" s="36">
        <f t="shared" si="1"/>
        <v>0</v>
      </c>
    </row>
    <row r="36" spans="1:13" ht="14.5" x14ac:dyDescent="0.35">
      <c r="A36" s="288" t="s">
        <v>57</v>
      </c>
      <c r="B36" s="303">
        <v>3</v>
      </c>
      <c r="C36" s="421"/>
      <c r="D36" s="304" t="s">
        <v>308</v>
      </c>
      <c r="E36" s="291" t="s">
        <v>43</v>
      </c>
      <c r="F36" s="65">
        <v>0</v>
      </c>
      <c r="G36" s="292">
        <v>40</v>
      </c>
      <c r="H36" s="293">
        <f t="shared" si="0"/>
        <v>0</v>
      </c>
      <c r="I36" s="294">
        <f t="shared" si="1"/>
        <v>0</v>
      </c>
    </row>
    <row r="37" spans="1:13" ht="14.5" x14ac:dyDescent="0.35">
      <c r="A37" s="29" t="s">
        <v>57</v>
      </c>
      <c r="B37" s="30">
        <v>3</v>
      </c>
      <c r="C37" s="421"/>
      <c r="D37" s="321" t="s">
        <v>309</v>
      </c>
      <c r="E37" s="15" t="s">
        <v>43</v>
      </c>
      <c r="F37" s="299">
        <v>0</v>
      </c>
      <c r="G37" s="322">
        <v>50</v>
      </c>
      <c r="H37" s="323">
        <f t="shared" si="0"/>
        <v>0</v>
      </c>
      <c r="I37" s="324">
        <f t="shared" si="1"/>
        <v>0</v>
      </c>
    </row>
    <row r="38" spans="1:13" ht="15.75" customHeight="1" x14ac:dyDescent="0.35">
      <c r="A38" s="288" t="s">
        <v>57</v>
      </c>
      <c r="B38" s="303">
        <v>3</v>
      </c>
      <c r="C38" s="421"/>
      <c r="D38" s="304" t="s">
        <v>310</v>
      </c>
      <c r="E38" s="291" t="s">
        <v>43</v>
      </c>
      <c r="F38" s="65">
        <v>0</v>
      </c>
      <c r="G38" s="292">
        <v>100</v>
      </c>
      <c r="H38" s="293">
        <f t="shared" si="0"/>
        <v>0</v>
      </c>
      <c r="I38" s="294">
        <f t="shared" si="1"/>
        <v>0</v>
      </c>
    </row>
    <row r="39" spans="1:13" ht="15.75" customHeight="1" x14ac:dyDescent="0.35">
      <c r="A39" s="29" t="s">
        <v>57</v>
      </c>
      <c r="B39" s="30">
        <v>3</v>
      </c>
      <c r="C39" s="421"/>
      <c r="D39" s="31" t="s">
        <v>311</v>
      </c>
      <c r="E39" s="32" t="s">
        <v>43</v>
      </c>
      <c r="F39" s="65">
        <v>0</v>
      </c>
      <c r="G39" s="34">
        <v>500</v>
      </c>
      <c r="H39" s="35">
        <f t="shared" si="0"/>
        <v>0</v>
      </c>
      <c r="I39" s="36">
        <f t="shared" si="1"/>
        <v>0</v>
      </c>
    </row>
    <row r="40" spans="1:13" ht="15.75" customHeight="1" x14ac:dyDescent="0.35">
      <c r="A40" s="288" t="s">
        <v>57</v>
      </c>
      <c r="B40" s="303">
        <v>3</v>
      </c>
      <c r="C40" s="421"/>
      <c r="D40" s="304" t="s">
        <v>160</v>
      </c>
      <c r="E40" s="290" t="s">
        <v>43</v>
      </c>
      <c r="F40" s="65">
        <v>0</v>
      </c>
      <c r="G40" s="292">
        <v>1000</v>
      </c>
      <c r="H40" s="293">
        <f t="shared" si="0"/>
        <v>0</v>
      </c>
      <c r="I40" s="294">
        <f t="shared" si="1"/>
        <v>0</v>
      </c>
    </row>
    <row r="41" spans="1:13" ht="15.75" customHeight="1" x14ac:dyDescent="0.35">
      <c r="A41" s="325" t="s">
        <v>57</v>
      </c>
      <c r="B41" s="326">
        <v>3</v>
      </c>
      <c r="C41" s="422"/>
      <c r="D41" s="327" t="s">
        <v>313</v>
      </c>
      <c r="E41" s="328" t="s">
        <v>43</v>
      </c>
      <c r="F41" s="311">
        <v>0</v>
      </c>
      <c r="G41" s="329">
        <v>2000</v>
      </c>
      <c r="H41" s="330">
        <f t="shared" si="0"/>
        <v>0</v>
      </c>
      <c r="I41" s="331">
        <f t="shared" si="1"/>
        <v>0</v>
      </c>
    </row>
    <row r="42" spans="1:13" ht="15.75" customHeight="1" x14ac:dyDescent="0.35">
      <c r="A42" s="281" t="s">
        <v>59</v>
      </c>
      <c r="B42" s="332" t="s">
        <v>49</v>
      </c>
      <c r="C42" s="445" t="s">
        <v>317</v>
      </c>
      <c r="D42" s="283">
        <v>46032</v>
      </c>
      <c r="E42" s="284" t="s">
        <v>43</v>
      </c>
      <c r="F42" s="64">
        <v>0</v>
      </c>
      <c r="G42" s="285">
        <v>10</v>
      </c>
      <c r="H42" s="286">
        <f t="shared" si="0"/>
        <v>0</v>
      </c>
      <c r="I42" s="287">
        <f t="shared" si="1"/>
        <v>0</v>
      </c>
    </row>
    <row r="43" spans="1:13" ht="14.5" x14ac:dyDescent="0.35">
      <c r="A43" s="29" t="s">
        <v>59</v>
      </c>
      <c r="B43" s="30" t="s">
        <v>49</v>
      </c>
      <c r="C43" s="421"/>
      <c r="D43" s="191">
        <v>46346</v>
      </c>
      <c r="E43" s="32" t="s">
        <v>43</v>
      </c>
      <c r="F43" s="65">
        <v>0</v>
      </c>
      <c r="G43" s="34">
        <v>20</v>
      </c>
      <c r="H43" s="35">
        <f t="shared" si="0"/>
        <v>0</v>
      </c>
      <c r="I43" s="36">
        <f t="shared" si="1"/>
        <v>0</v>
      </c>
    </row>
    <row r="44" spans="1:13" ht="14.5" x14ac:dyDescent="0.35">
      <c r="A44" s="288" t="s">
        <v>59</v>
      </c>
      <c r="B44" s="303" t="s">
        <v>49</v>
      </c>
      <c r="C44" s="421"/>
      <c r="D44" s="290" t="s">
        <v>307</v>
      </c>
      <c r="E44" s="291" t="s">
        <v>43</v>
      </c>
      <c r="F44" s="65">
        <v>0</v>
      </c>
      <c r="G44" s="292">
        <v>30</v>
      </c>
      <c r="H44" s="293">
        <f t="shared" si="0"/>
        <v>0</v>
      </c>
      <c r="I44" s="294">
        <f t="shared" si="1"/>
        <v>0</v>
      </c>
      <c r="M44" s="2"/>
    </row>
    <row r="45" spans="1:13" ht="14.5" x14ac:dyDescent="0.35">
      <c r="A45" s="29" t="s">
        <v>59</v>
      </c>
      <c r="B45" s="30" t="s">
        <v>49</v>
      </c>
      <c r="C45" s="421"/>
      <c r="D45" s="31" t="s">
        <v>308</v>
      </c>
      <c r="E45" s="32" t="s">
        <v>43</v>
      </c>
      <c r="F45" s="65">
        <v>0</v>
      </c>
      <c r="G45" s="34">
        <v>40</v>
      </c>
      <c r="H45" s="35">
        <f t="shared" si="0"/>
        <v>0</v>
      </c>
      <c r="I45" s="36">
        <f t="shared" si="1"/>
        <v>0</v>
      </c>
    </row>
    <row r="46" spans="1:13" ht="14.5" x14ac:dyDescent="0.35">
      <c r="A46" s="288" t="s">
        <v>59</v>
      </c>
      <c r="B46" s="303" t="s">
        <v>49</v>
      </c>
      <c r="C46" s="421"/>
      <c r="D46" s="297" t="s">
        <v>309</v>
      </c>
      <c r="E46" s="298" t="s">
        <v>43</v>
      </c>
      <c r="F46" s="299">
        <v>0</v>
      </c>
      <c r="G46" s="300">
        <v>50</v>
      </c>
      <c r="H46" s="301">
        <f t="shared" si="0"/>
        <v>0</v>
      </c>
      <c r="I46" s="302">
        <f t="shared" si="1"/>
        <v>0</v>
      </c>
    </row>
    <row r="47" spans="1:13" ht="15.75" customHeight="1" x14ac:dyDescent="0.35">
      <c r="A47" s="29" t="s">
        <v>59</v>
      </c>
      <c r="B47" s="30" t="s">
        <v>49</v>
      </c>
      <c r="C47" s="421"/>
      <c r="D47" s="31" t="s">
        <v>310</v>
      </c>
      <c r="E47" s="32" t="s">
        <v>43</v>
      </c>
      <c r="F47" s="65">
        <v>0</v>
      </c>
      <c r="G47" s="34">
        <v>100</v>
      </c>
      <c r="H47" s="35">
        <f t="shared" si="0"/>
        <v>0</v>
      </c>
      <c r="I47" s="36">
        <f t="shared" si="1"/>
        <v>0</v>
      </c>
    </row>
    <row r="48" spans="1:13" ht="15.75" customHeight="1" x14ac:dyDescent="0.35">
      <c r="A48" s="288" t="s">
        <v>59</v>
      </c>
      <c r="B48" s="303" t="s">
        <v>49</v>
      </c>
      <c r="C48" s="421"/>
      <c r="D48" s="304" t="s">
        <v>311</v>
      </c>
      <c r="E48" s="291" t="s">
        <v>43</v>
      </c>
      <c r="F48" s="65">
        <v>0</v>
      </c>
      <c r="G48" s="292">
        <v>500</v>
      </c>
      <c r="H48" s="293">
        <f t="shared" si="0"/>
        <v>0</v>
      </c>
      <c r="I48" s="294">
        <f t="shared" si="1"/>
        <v>0</v>
      </c>
    </row>
    <row r="49" spans="1:9" ht="15.75" customHeight="1" x14ac:dyDescent="0.35">
      <c r="A49" s="29" t="s">
        <v>59</v>
      </c>
      <c r="B49" s="30" t="s">
        <v>49</v>
      </c>
      <c r="C49" s="421"/>
      <c r="D49" s="31" t="s">
        <v>160</v>
      </c>
      <c r="E49" s="135" t="s">
        <v>43</v>
      </c>
      <c r="F49" s="65">
        <v>0</v>
      </c>
      <c r="G49" s="34">
        <v>1000</v>
      </c>
      <c r="H49" s="35">
        <f t="shared" si="0"/>
        <v>0</v>
      </c>
      <c r="I49" s="36">
        <f t="shared" si="1"/>
        <v>0</v>
      </c>
    </row>
    <row r="50" spans="1:9" ht="15.75" customHeight="1" x14ac:dyDescent="0.35">
      <c r="A50" s="307" t="s">
        <v>59</v>
      </c>
      <c r="B50" s="308" t="s">
        <v>49</v>
      </c>
      <c r="C50" s="422"/>
      <c r="D50" s="309" t="s">
        <v>313</v>
      </c>
      <c r="E50" s="310" t="s">
        <v>43</v>
      </c>
      <c r="F50" s="311">
        <v>0</v>
      </c>
      <c r="G50" s="312">
        <v>2000</v>
      </c>
      <c r="H50" s="313">
        <f t="shared" si="0"/>
        <v>0</v>
      </c>
      <c r="I50" s="314">
        <f t="shared" si="1"/>
        <v>0</v>
      </c>
    </row>
    <row r="51" spans="1:9" ht="15.75" customHeight="1" x14ac:dyDescent="0.35">
      <c r="A51" s="151" t="s">
        <v>61</v>
      </c>
      <c r="B51" s="152">
        <v>4</v>
      </c>
      <c r="C51" s="433" t="s">
        <v>318</v>
      </c>
      <c r="D51" s="317">
        <v>46032</v>
      </c>
      <c r="E51" s="154" t="s">
        <v>43</v>
      </c>
      <c r="F51" s="64">
        <v>0</v>
      </c>
      <c r="G51" s="318">
        <v>10</v>
      </c>
      <c r="H51" s="156">
        <f t="shared" si="0"/>
        <v>0</v>
      </c>
      <c r="I51" s="157">
        <f t="shared" si="1"/>
        <v>0</v>
      </c>
    </row>
    <row r="52" spans="1:9" ht="15.75" customHeight="1" x14ac:dyDescent="0.35">
      <c r="A52" s="288" t="s">
        <v>61</v>
      </c>
      <c r="B52" s="303">
        <v>4</v>
      </c>
      <c r="C52" s="421"/>
      <c r="D52" s="319">
        <v>46346</v>
      </c>
      <c r="E52" s="291" t="s">
        <v>43</v>
      </c>
      <c r="F52" s="65">
        <v>0</v>
      </c>
      <c r="G52" s="292">
        <v>20</v>
      </c>
      <c r="H52" s="293">
        <f t="shared" si="0"/>
        <v>0</v>
      </c>
      <c r="I52" s="294">
        <f t="shared" si="1"/>
        <v>0</v>
      </c>
    </row>
    <row r="53" spans="1:9" ht="15.75" customHeight="1" x14ac:dyDescent="0.35">
      <c r="A53" s="29" t="s">
        <v>61</v>
      </c>
      <c r="B53" s="30">
        <v>4</v>
      </c>
      <c r="C53" s="421"/>
      <c r="D53" s="135" t="s">
        <v>307</v>
      </c>
      <c r="E53" s="32" t="s">
        <v>43</v>
      </c>
      <c r="F53" s="65">
        <v>0</v>
      </c>
      <c r="G53" s="34">
        <v>30</v>
      </c>
      <c r="H53" s="35">
        <f t="shared" si="0"/>
        <v>0</v>
      </c>
      <c r="I53" s="36">
        <f t="shared" si="1"/>
        <v>0</v>
      </c>
    </row>
    <row r="54" spans="1:9" ht="15.75" customHeight="1" x14ac:dyDescent="0.35">
      <c r="A54" s="288" t="s">
        <v>61</v>
      </c>
      <c r="B54" s="303">
        <v>4</v>
      </c>
      <c r="C54" s="421"/>
      <c r="D54" s="304" t="s">
        <v>308</v>
      </c>
      <c r="E54" s="291" t="s">
        <v>43</v>
      </c>
      <c r="F54" s="65">
        <v>0</v>
      </c>
      <c r="G54" s="292">
        <v>40</v>
      </c>
      <c r="H54" s="293">
        <f t="shared" si="0"/>
        <v>0</v>
      </c>
      <c r="I54" s="294">
        <f t="shared" si="1"/>
        <v>0</v>
      </c>
    </row>
    <row r="55" spans="1:9" ht="15.75" customHeight="1" x14ac:dyDescent="0.35">
      <c r="A55" s="29" t="s">
        <v>61</v>
      </c>
      <c r="B55" s="30">
        <v>4</v>
      </c>
      <c r="C55" s="421"/>
      <c r="D55" s="321" t="s">
        <v>309</v>
      </c>
      <c r="E55" s="15" t="s">
        <v>43</v>
      </c>
      <c r="F55" s="299">
        <v>0</v>
      </c>
      <c r="G55" s="322">
        <v>50</v>
      </c>
      <c r="H55" s="323">
        <f t="shared" si="0"/>
        <v>0</v>
      </c>
      <c r="I55" s="324">
        <f t="shared" si="1"/>
        <v>0</v>
      </c>
    </row>
    <row r="56" spans="1:9" ht="15.75" customHeight="1" x14ac:dyDescent="0.35">
      <c r="A56" s="288" t="s">
        <v>61</v>
      </c>
      <c r="B56" s="303">
        <v>4</v>
      </c>
      <c r="C56" s="421"/>
      <c r="D56" s="304" t="s">
        <v>310</v>
      </c>
      <c r="E56" s="291" t="s">
        <v>43</v>
      </c>
      <c r="F56" s="65">
        <v>0</v>
      </c>
      <c r="G56" s="292">
        <v>100</v>
      </c>
      <c r="H56" s="293">
        <f t="shared" si="0"/>
        <v>0</v>
      </c>
      <c r="I56" s="294">
        <f t="shared" si="1"/>
        <v>0</v>
      </c>
    </row>
    <row r="57" spans="1:9" ht="15.75" customHeight="1" x14ac:dyDescent="0.35">
      <c r="A57" s="29" t="s">
        <v>61</v>
      </c>
      <c r="B57" s="30">
        <v>4</v>
      </c>
      <c r="C57" s="421"/>
      <c r="D57" s="31" t="s">
        <v>311</v>
      </c>
      <c r="E57" s="32" t="s">
        <v>43</v>
      </c>
      <c r="F57" s="65">
        <v>0</v>
      </c>
      <c r="G57" s="34">
        <v>500</v>
      </c>
      <c r="H57" s="35">
        <f t="shared" si="0"/>
        <v>0</v>
      </c>
      <c r="I57" s="36">
        <f t="shared" si="1"/>
        <v>0</v>
      </c>
    </row>
    <row r="58" spans="1:9" ht="15.75" customHeight="1" x14ac:dyDescent="0.35">
      <c r="A58" s="288" t="s">
        <v>61</v>
      </c>
      <c r="B58" s="303">
        <v>4</v>
      </c>
      <c r="C58" s="421"/>
      <c r="D58" s="304" t="s">
        <v>160</v>
      </c>
      <c r="E58" s="290" t="s">
        <v>43</v>
      </c>
      <c r="F58" s="65">
        <v>0</v>
      </c>
      <c r="G58" s="292">
        <v>1000</v>
      </c>
      <c r="H58" s="293">
        <f t="shared" si="0"/>
        <v>0</v>
      </c>
      <c r="I58" s="294">
        <f t="shared" si="1"/>
        <v>0</v>
      </c>
    </row>
    <row r="59" spans="1:9" ht="15.75" customHeight="1" x14ac:dyDescent="0.35">
      <c r="A59" s="325" t="s">
        <v>61</v>
      </c>
      <c r="B59" s="326">
        <v>4</v>
      </c>
      <c r="C59" s="422"/>
      <c r="D59" s="327" t="s">
        <v>313</v>
      </c>
      <c r="E59" s="328" t="s">
        <v>43</v>
      </c>
      <c r="F59" s="311">
        <v>0</v>
      </c>
      <c r="G59" s="329">
        <v>2000</v>
      </c>
      <c r="H59" s="330">
        <f t="shared" si="0"/>
        <v>0</v>
      </c>
      <c r="I59" s="331">
        <f t="shared" si="1"/>
        <v>0</v>
      </c>
    </row>
    <row r="60" spans="1:9" ht="15.75" customHeight="1" x14ac:dyDescent="0.35">
      <c r="A60" s="281" t="s">
        <v>63</v>
      </c>
      <c r="B60" s="332" t="s">
        <v>53</v>
      </c>
      <c r="C60" s="445" t="s">
        <v>319</v>
      </c>
      <c r="D60" s="283">
        <v>46032</v>
      </c>
      <c r="E60" s="284" t="s">
        <v>43</v>
      </c>
      <c r="F60" s="64">
        <v>0</v>
      </c>
      <c r="G60" s="285">
        <v>10</v>
      </c>
      <c r="H60" s="286">
        <f t="shared" si="0"/>
        <v>0</v>
      </c>
      <c r="I60" s="287">
        <f t="shared" si="1"/>
        <v>0</v>
      </c>
    </row>
    <row r="61" spans="1:9" ht="15.75" customHeight="1" x14ac:dyDescent="0.35">
      <c r="A61" s="29" t="s">
        <v>63</v>
      </c>
      <c r="B61" s="79" t="s">
        <v>53</v>
      </c>
      <c r="C61" s="421"/>
      <c r="D61" s="191">
        <v>46346</v>
      </c>
      <c r="E61" s="32" t="s">
        <v>43</v>
      </c>
      <c r="F61" s="65">
        <v>0</v>
      </c>
      <c r="G61" s="34">
        <v>20</v>
      </c>
      <c r="H61" s="35">
        <f t="shared" si="0"/>
        <v>0</v>
      </c>
      <c r="I61" s="36">
        <f t="shared" si="1"/>
        <v>0</v>
      </c>
    </row>
    <row r="62" spans="1:9" ht="15.75" customHeight="1" x14ac:dyDescent="0.35">
      <c r="A62" s="288" t="s">
        <v>63</v>
      </c>
      <c r="B62" s="289" t="s">
        <v>53</v>
      </c>
      <c r="C62" s="421"/>
      <c r="D62" s="290" t="s">
        <v>307</v>
      </c>
      <c r="E62" s="291" t="s">
        <v>43</v>
      </c>
      <c r="F62" s="65">
        <v>0</v>
      </c>
      <c r="G62" s="292">
        <v>30</v>
      </c>
      <c r="H62" s="293">
        <f t="shared" si="0"/>
        <v>0</v>
      </c>
      <c r="I62" s="294">
        <f t="shared" si="1"/>
        <v>0</v>
      </c>
    </row>
    <row r="63" spans="1:9" ht="15.75" customHeight="1" x14ac:dyDescent="0.35">
      <c r="A63" s="29" t="s">
        <v>63</v>
      </c>
      <c r="B63" s="30" t="s">
        <v>53</v>
      </c>
      <c r="C63" s="421"/>
      <c r="D63" s="31" t="s">
        <v>308</v>
      </c>
      <c r="E63" s="32" t="s">
        <v>43</v>
      </c>
      <c r="F63" s="65">
        <v>0</v>
      </c>
      <c r="G63" s="34">
        <v>40</v>
      </c>
      <c r="H63" s="35">
        <f t="shared" si="0"/>
        <v>0</v>
      </c>
      <c r="I63" s="36">
        <f t="shared" si="1"/>
        <v>0</v>
      </c>
    </row>
    <row r="64" spans="1:9" ht="15.75" customHeight="1" x14ac:dyDescent="0.35">
      <c r="A64" s="295" t="s">
        <v>63</v>
      </c>
      <c r="B64" s="296" t="s">
        <v>53</v>
      </c>
      <c r="C64" s="421"/>
      <c r="D64" s="297" t="s">
        <v>309</v>
      </c>
      <c r="E64" s="298" t="s">
        <v>43</v>
      </c>
      <c r="F64" s="299">
        <v>0</v>
      </c>
      <c r="G64" s="300">
        <v>50</v>
      </c>
      <c r="H64" s="301">
        <f t="shared" si="0"/>
        <v>0</v>
      </c>
      <c r="I64" s="302">
        <f t="shared" si="1"/>
        <v>0</v>
      </c>
    </row>
    <row r="65" spans="1:9" ht="15.75" customHeight="1" x14ac:dyDescent="0.35">
      <c r="A65" s="62" t="s">
        <v>63</v>
      </c>
      <c r="B65" s="30" t="s">
        <v>53</v>
      </c>
      <c r="C65" s="421"/>
      <c r="D65" s="31" t="s">
        <v>310</v>
      </c>
      <c r="E65" s="32" t="s">
        <v>43</v>
      </c>
      <c r="F65" s="65">
        <v>0</v>
      </c>
      <c r="G65" s="34">
        <v>100</v>
      </c>
      <c r="H65" s="35">
        <f t="shared" si="0"/>
        <v>0</v>
      </c>
      <c r="I65" s="36">
        <f t="shared" si="1"/>
        <v>0</v>
      </c>
    </row>
    <row r="66" spans="1:9" ht="15.75" customHeight="1" x14ac:dyDescent="0.35">
      <c r="A66" s="288" t="s">
        <v>63</v>
      </c>
      <c r="B66" s="303" t="s">
        <v>53</v>
      </c>
      <c r="C66" s="421"/>
      <c r="D66" s="304" t="s">
        <v>311</v>
      </c>
      <c r="E66" s="291" t="s">
        <v>43</v>
      </c>
      <c r="F66" s="65">
        <v>0</v>
      </c>
      <c r="G66" s="292">
        <v>500</v>
      </c>
      <c r="H66" s="293">
        <f t="shared" si="0"/>
        <v>0</v>
      </c>
      <c r="I66" s="294">
        <f t="shared" si="1"/>
        <v>0</v>
      </c>
    </row>
    <row r="67" spans="1:9" ht="15.75" customHeight="1" x14ac:dyDescent="0.35">
      <c r="A67" s="29" t="s">
        <v>63</v>
      </c>
      <c r="B67" s="30" t="s">
        <v>53</v>
      </c>
      <c r="C67" s="421"/>
      <c r="D67" s="31" t="s">
        <v>160</v>
      </c>
      <c r="E67" s="135" t="s">
        <v>43</v>
      </c>
      <c r="F67" s="65">
        <v>0</v>
      </c>
      <c r="G67" s="34">
        <v>1000</v>
      </c>
      <c r="H67" s="35">
        <f t="shared" si="0"/>
        <v>0</v>
      </c>
      <c r="I67" s="36">
        <f t="shared" si="1"/>
        <v>0</v>
      </c>
    </row>
    <row r="68" spans="1:9" ht="15.75" customHeight="1" x14ac:dyDescent="0.35">
      <c r="A68" s="307" t="s">
        <v>63</v>
      </c>
      <c r="B68" s="308" t="s">
        <v>53</v>
      </c>
      <c r="C68" s="422"/>
      <c r="D68" s="309" t="s">
        <v>313</v>
      </c>
      <c r="E68" s="310" t="s">
        <v>43</v>
      </c>
      <c r="F68" s="311">
        <v>0</v>
      </c>
      <c r="G68" s="312">
        <v>2000</v>
      </c>
      <c r="H68" s="313">
        <f t="shared" si="0"/>
        <v>0</v>
      </c>
      <c r="I68" s="314">
        <f t="shared" si="1"/>
        <v>0</v>
      </c>
    </row>
    <row r="69" spans="1:9" ht="15.75" customHeight="1" x14ac:dyDescent="0.35">
      <c r="C69" s="446"/>
    </row>
    <row r="70" spans="1:9" ht="15.75" customHeight="1" x14ac:dyDescent="0.35">
      <c r="C70" s="413"/>
    </row>
    <row r="71" spans="1:9" ht="15.75" customHeight="1" x14ac:dyDescent="0.35">
      <c r="C71" s="413"/>
    </row>
    <row r="72" spans="1:9" ht="15.75" customHeight="1" x14ac:dyDescent="0.35">
      <c r="C72" s="413"/>
    </row>
    <row r="73" spans="1:9" ht="15.75" customHeight="1" x14ac:dyDescent="0.35">
      <c r="C73" s="413"/>
    </row>
    <row r="74" spans="1:9" ht="15.75" customHeight="1" x14ac:dyDescent="0.35">
      <c r="C74" s="413"/>
    </row>
    <row r="75" spans="1:9" ht="15.75" customHeight="1" x14ac:dyDescent="0.35">
      <c r="C75" s="413"/>
    </row>
    <row r="76" spans="1:9" ht="15.75" customHeight="1" x14ac:dyDescent="0.35">
      <c r="C76" s="446"/>
    </row>
    <row r="77" spans="1:9" ht="15.75" customHeight="1" x14ac:dyDescent="0.35">
      <c r="C77" s="413"/>
    </row>
    <row r="78" spans="1:9" ht="15.75" customHeight="1" x14ac:dyDescent="0.35">
      <c r="C78" s="413"/>
    </row>
    <row r="79" spans="1:9" ht="15.75" customHeight="1" x14ac:dyDescent="0.35">
      <c r="C79" s="413"/>
    </row>
    <row r="80" spans="1:9" ht="15.75" customHeight="1" x14ac:dyDescent="0.35">
      <c r="C80" s="413"/>
    </row>
    <row r="81" spans="3:3" ht="15.75" customHeight="1" x14ac:dyDescent="0.35">
      <c r="C81" s="413"/>
    </row>
    <row r="82" spans="3:3" ht="15.75" customHeight="1" x14ac:dyDescent="0.35">
      <c r="C82" s="413"/>
    </row>
    <row r="83" spans="3:3" ht="15.75" customHeight="1" x14ac:dyDescent="0.35">
      <c r="C83" s="446"/>
    </row>
    <row r="84" spans="3:3" ht="15.75" customHeight="1" x14ac:dyDescent="0.35">
      <c r="C84" s="413"/>
    </row>
    <row r="85" spans="3:3" ht="15.75" customHeight="1" x14ac:dyDescent="0.35">
      <c r="C85" s="413"/>
    </row>
    <row r="86" spans="3:3" ht="15.75" customHeight="1" x14ac:dyDescent="0.35">
      <c r="C86" s="413"/>
    </row>
    <row r="87" spans="3:3" ht="15.75" customHeight="1" x14ac:dyDescent="0.35">
      <c r="C87" s="413"/>
    </row>
    <row r="88" spans="3:3" ht="15.75" customHeight="1" x14ac:dyDescent="0.35">
      <c r="C88" s="413"/>
    </row>
    <row r="89" spans="3:3" ht="15.75" customHeight="1" x14ac:dyDescent="0.35">
      <c r="C89" s="413"/>
    </row>
    <row r="90" spans="3:3" ht="15.75" customHeight="1" x14ac:dyDescent="0.35"/>
    <row r="91" spans="3:3" ht="15.75" customHeight="1" x14ac:dyDescent="0.35"/>
    <row r="92" spans="3:3" ht="15.75" customHeight="1" x14ac:dyDescent="0.35"/>
    <row r="93" spans="3:3" ht="15.75" customHeight="1" x14ac:dyDescent="0.35"/>
    <row r="94" spans="3:3" ht="15.75" customHeight="1" x14ac:dyDescent="0.35"/>
    <row r="95" spans="3:3" ht="15.75" customHeight="1" x14ac:dyDescent="0.35"/>
    <row r="96" spans="3:3"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sheetData>
  <mergeCells count="12">
    <mergeCell ref="C33:C41"/>
    <mergeCell ref="C42:C50"/>
    <mergeCell ref="A4:F4"/>
    <mergeCell ref="G4:I4"/>
    <mergeCell ref="C6:C14"/>
    <mergeCell ref="C15:C23"/>
    <mergeCell ref="C24:C32"/>
    <mergeCell ref="C51:C59"/>
    <mergeCell ref="C60:C68"/>
    <mergeCell ref="C69:C75"/>
    <mergeCell ref="C76:C82"/>
    <mergeCell ref="C83:C89"/>
  </mergeCells>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956"/>
  <sheetViews>
    <sheetView workbookViewId="0"/>
  </sheetViews>
  <sheetFormatPr defaultColWidth="12.6328125" defaultRowHeight="15" customHeight="1" x14ac:dyDescent="0.35"/>
  <cols>
    <col min="1" max="1" width="10.6328125" customWidth="1"/>
    <col min="2" max="2" width="13" customWidth="1"/>
    <col min="3" max="3" width="31.7265625" customWidth="1"/>
    <col min="4" max="4" width="14.36328125" customWidth="1"/>
    <col min="5" max="6" width="8.6328125" customWidth="1"/>
    <col min="7" max="7" width="13.08984375" customWidth="1"/>
    <col min="8" max="8" width="14.6328125" customWidth="1"/>
    <col min="9" max="9" width="18" customWidth="1"/>
    <col min="10" max="10" width="8.6328125" customWidth="1"/>
    <col min="11" max="11" width="12.26953125" customWidth="1"/>
    <col min="12" max="12" width="41.36328125" customWidth="1"/>
    <col min="13" max="21" width="8.6328125" customWidth="1"/>
  </cols>
  <sheetData>
    <row r="1" spans="1:12" ht="18.5" x14ac:dyDescent="0.45">
      <c r="A1" s="10" t="s">
        <v>301</v>
      </c>
      <c r="B1" s="124"/>
      <c r="C1" s="124"/>
    </row>
    <row r="2" spans="1:12" ht="18" x14ac:dyDescent="0.4">
      <c r="A2" s="11" t="s">
        <v>120</v>
      </c>
      <c r="B2" s="124"/>
      <c r="C2" s="124"/>
    </row>
    <row r="3" spans="1:12" ht="18.5" x14ac:dyDescent="0.45">
      <c r="A3" s="10"/>
      <c r="B3" s="124"/>
      <c r="C3" s="124"/>
    </row>
    <row r="4" spans="1:12" ht="15.75" customHeight="1" x14ac:dyDescent="0.35">
      <c r="A4" s="447" t="s">
        <v>28</v>
      </c>
      <c r="B4" s="416"/>
      <c r="C4" s="416"/>
      <c r="D4" s="416"/>
      <c r="E4" s="416"/>
      <c r="F4" s="417"/>
      <c r="G4" s="448" t="s">
        <v>302</v>
      </c>
      <c r="H4" s="416"/>
      <c r="I4" s="419"/>
    </row>
    <row r="5" spans="1:12" ht="15.75" customHeight="1" x14ac:dyDescent="0.35">
      <c r="A5" s="125" t="s">
        <v>303</v>
      </c>
      <c r="B5" s="69" t="s">
        <v>31</v>
      </c>
      <c r="C5" s="69" t="s">
        <v>32</v>
      </c>
      <c r="D5" s="127" t="s">
        <v>183</v>
      </c>
      <c r="E5" s="50" t="s">
        <v>34</v>
      </c>
      <c r="F5" s="69" t="s">
        <v>35</v>
      </c>
      <c r="G5" s="127" t="s">
        <v>304</v>
      </c>
      <c r="H5" s="69" t="s">
        <v>37</v>
      </c>
      <c r="I5" s="128" t="s">
        <v>38</v>
      </c>
      <c r="K5" s="275" t="s">
        <v>39</v>
      </c>
      <c r="L5" s="275" t="s">
        <v>320</v>
      </c>
    </row>
    <row r="6" spans="1:12" ht="15.75" customHeight="1" x14ac:dyDescent="0.35">
      <c r="A6" s="281">
        <v>1001</v>
      </c>
      <c r="B6" s="282">
        <v>1</v>
      </c>
      <c r="C6" s="445" t="s">
        <v>321</v>
      </c>
      <c r="D6" s="283">
        <v>46032</v>
      </c>
      <c r="E6" s="284" t="s">
        <v>43</v>
      </c>
      <c r="F6" s="64">
        <v>0</v>
      </c>
      <c r="G6" s="285">
        <v>10</v>
      </c>
      <c r="H6" s="286">
        <f t="shared" ref="H6:H68" si="0">F6*G6</f>
        <v>0</v>
      </c>
      <c r="I6" s="287">
        <f t="shared" ref="I6:I68" si="1">H6*365</f>
        <v>0</v>
      </c>
      <c r="K6" s="18">
        <v>1</v>
      </c>
      <c r="L6" s="28">
        <f>SUM(I6:I14)</f>
        <v>0</v>
      </c>
    </row>
    <row r="7" spans="1:12" ht="15.75" customHeight="1" x14ac:dyDescent="0.35">
      <c r="A7" s="29">
        <v>1001</v>
      </c>
      <c r="B7" s="79">
        <v>1</v>
      </c>
      <c r="C7" s="421"/>
      <c r="D7" s="191">
        <v>46346</v>
      </c>
      <c r="E7" s="32" t="s">
        <v>43</v>
      </c>
      <c r="F7" s="65">
        <v>0</v>
      </c>
      <c r="G7" s="34">
        <v>20</v>
      </c>
      <c r="H7" s="35">
        <f t="shared" si="0"/>
        <v>0</v>
      </c>
      <c r="I7" s="36">
        <f t="shared" si="1"/>
        <v>0</v>
      </c>
      <c r="K7" s="277">
        <v>2</v>
      </c>
      <c r="L7" s="278">
        <f>SUM(I15:I23)</f>
        <v>0</v>
      </c>
    </row>
    <row r="8" spans="1:12" ht="15.75" customHeight="1" x14ac:dyDescent="0.35">
      <c r="A8" s="288">
        <v>1001</v>
      </c>
      <c r="B8" s="289">
        <v>1</v>
      </c>
      <c r="C8" s="421"/>
      <c r="D8" s="290" t="s">
        <v>307</v>
      </c>
      <c r="E8" s="291" t="s">
        <v>43</v>
      </c>
      <c r="F8" s="65">
        <v>0</v>
      </c>
      <c r="G8" s="292">
        <v>30</v>
      </c>
      <c r="H8" s="293">
        <f t="shared" si="0"/>
        <v>0</v>
      </c>
      <c r="I8" s="294">
        <f t="shared" si="1"/>
        <v>0</v>
      </c>
      <c r="K8" s="18" t="s">
        <v>46</v>
      </c>
      <c r="L8" s="28">
        <f>SUM(I24:I32)</f>
        <v>0</v>
      </c>
    </row>
    <row r="9" spans="1:12" ht="15.75" customHeight="1" x14ac:dyDescent="0.35">
      <c r="A9" s="29">
        <v>1001</v>
      </c>
      <c r="B9" s="30">
        <v>1</v>
      </c>
      <c r="C9" s="421"/>
      <c r="D9" s="31" t="s">
        <v>308</v>
      </c>
      <c r="E9" s="32" t="s">
        <v>43</v>
      </c>
      <c r="F9" s="65">
        <v>0</v>
      </c>
      <c r="G9" s="34">
        <v>40</v>
      </c>
      <c r="H9" s="35">
        <f t="shared" si="0"/>
        <v>0</v>
      </c>
      <c r="I9" s="36">
        <f t="shared" si="1"/>
        <v>0</v>
      </c>
      <c r="K9" s="277">
        <v>3</v>
      </c>
      <c r="L9" s="278">
        <f>SUM(I33:I41)</f>
        <v>0</v>
      </c>
    </row>
    <row r="10" spans="1:12" ht="15.75" customHeight="1" x14ac:dyDescent="0.35">
      <c r="A10" s="295">
        <v>1001</v>
      </c>
      <c r="B10" s="296">
        <v>1</v>
      </c>
      <c r="C10" s="421"/>
      <c r="D10" s="297" t="s">
        <v>309</v>
      </c>
      <c r="E10" s="298" t="s">
        <v>43</v>
      </c>
      <c r="F10" s="299">
        <v>0</v>
      </c>
      <c r="G10" s="300">
        <v>50</v>
      </c>
      <c r="H10" s="301">
        <f t="shared" si="0"/>
        <v>0</v>
      </c>
      <c r="I10" s="302">
        <f t="shared" si="1"/>
        <v>0</v>
      </c>
      <c r="K10" s="18" t="s">
        <v>49</v>
      </c>
      <c r="L10" s="28">
        <f>SUM(I42:I50)</f>
        <v>0</v>
      </c>
    </row>
    <row r="11" spans="1:12" ht="15.75" customHeight="1" x14ac:dyDescent="0.35">
      <c r="A11" s="62">
        <v>1001</v>
      </c>
      <c r="B11" s="30">
        <v>1</v>
      </c>
      <c r="C11" s="421"/>
      <c r="D11" s="31" t="s">
        <v>310</v>
      </c>
      <c r="E11" s="32" t="s">
        <v>43</v>
      </c>
      <c r="F11" s="65">
        <v>0</v>
      </c>
      <c r="G11" s="34">
        <v>100</v>
      </c>
      <c r="H11" s="35">
        <f t="shared" si="0"/>
        <v>0</v>
      </c>
      <c r="I11" s="36">
        <f t="shared" si="1"/>
        <v>0</v>
      </c>
      <c r="K11" s="277">
        <v>4</v>
      </c>
      <c r="L11" s="279">
        <f>SUM(I51:I59)</f>
        <v>0</v>
      </c>
    </row>
    <row r="12" spans="1:12" ht="15.75" customHeight="1" x14ac:dyDescent="0.35">
      <c r="A12" s="288">
        <v>1001</v>
      </c>
      <c r="B12" s="303">
        <v>1</v>
      </c>
      <c r="C12" s="421"/>
      <c r="D12" s="304" t="s">
        <v>311</v>
      </c>
      <c r="E12" s="291" t="s">
        <v>43</v>
      </c>
      <c r="F12" s="65">
        <v>0</v>
      </c>
      <c r="G12" s="292">
        <v>500</v>
      </c>
      <c r="H12" s="293">
        <f t="shared" si="0"/>
        <v>0</v>
      </c>
      <c r="I12" s="294">
        <f t="shared" si="1"/>
        <v>0</v>
      </c>
      <c r="K12" s="18" t="s">
        <v>53</v>
      </c>
      <c r="L12" s="46">
        <f>SUM(I60:I68)</f>
        <v>0</v>
      </c>
    </row>
    <row r="13" spans="1:12" ht="15.75" customHeight="1" x14ac:dyDescent="0.35">
      <c r="A13" s="29">
        <v>1001</v>
      </c>
      <c r="B13" s="30">
        <v>1</v>
      </c>
      <c r="C13" s="421"/>
      <c r="D13" s="31" t="s">
        <v>160</v>
      </c>
      <c r="E13" s="32" t="s">
        <v>43</v>
      </c>
      <c r="F13" s="65">
        <v>0</v>
      </c>
      <c r="G13" s="34">
        <v>1000</v>
      </c>
      <c r="H13" s="35">
        <f t="shared" si="0"/>
        <v>0</v>
      </c>
      <c r="I13" s="36">
        <f t="shared" si="1"/>
        <v>0</v>
      </c>
      <c r="K13" s="277" t="s">
        <v>312</v>
      </c>
      <c r="L13" s="278">
        <f>SUM(L6:L12)</f>
        <v>0</v>
      </c>
    </row>
    <row r="14" spans="1:12" ht="15.75" customHeight="1" x14ac:dyDescent="0.35">
      <c r="A14" s="307">
        <v>1001</v>
      </c>
      <c r="B14" s="308">
        <v>1</v>
      </c>
      <c r="C14" s="422"/>
      <c r="D14" s="309" t="s">
        <v>313</v>
      </c>
      <c r="E14" s="310" t="s">
        <v>43</v>
      </c>
      <c r="F14" s="311">
        <v>0</v>
      </c>
      <c r="G14" s="312">
        <v>2000</v>
      </c>
      <c r="H14" s="313">
        <f t="shared" si="0"/>
        <v>0</v>
      </c>
      <c r="I14" s="314">
        <f t="shared" si="1"/>
        <v>0</v>
      </c>
      <c r="K14" s="315"/>
      <c r="L14" s="316"/>
    </row>
    <row r="15" spans="1:12" ht="15.75" customHeight="1" x14ac:dyDescent="0.35">
      <c r="A15" s="151">
        <v>1002</v>
      </c>
      <c r="B15" s="152">
        <v>2</v>
      </c>
      <c r="C15" s="433" t="s">
        <v>322</v>
      </c>
      <c r="D15" s="317">
        <v>46032</v>
      </c>
      <c r="E15" s="154" t="s">
        <v>43</v>
      </c>
      <c r="F15" s="64">
        <v>0</v>
      </c>
      <c r="G15" s="318">
        <v>10</v>
      </c>
      <c r="H15" s="156">
        <f t="shared" si="0"/>
        <v>0</v>
      </c>
      <c r="I15" s="157">
        <f t="shared" si="1"/>
        <v>0</v>
      </c>
    </row>
    <row r="16" spans="1:12" ht="15.75" customHeight="1" x14ac:dyDescent="0.35">
      <c r="A16" s="288">
        <v>1002</v>
      </c>
      <c r="B16" s="303">
        <v>2</v>
      </c>
      <c r="C16" s="421"/>
      <c r="D16" s="319">
        <v>46346</v>
      </c>
      <c r="E16" s="291" t="s">
        <v>43</v>
      </c>
      <c r="F16" s="65">
        <v>0</v>
      </c>
      <c r="G16" s="292">
        <v>20</v>
      </c>
      <c r="H16" s="293">
        <f t="shared" si="0"/>
        <v>0</v>
      </c>
      <c r="I16" s="294">
        <f t="shared" si="1"/>
        <v>0</v>
      </c>
    </row>
    <row r="17" spans="1:9" ht="15.75" customHeight="1" x14ac:dyDescent="0.35">
      <c r="A17" s="29">
        <v>1002</v>
      </c>
      <c r="B17" s="30">
        <v>2</v>
      </c>
      <c r="C17" s="421"/>
      <c r="D17" s="135" t="s">
        <v>307</v>
      </c>
      <c r="E17" s="32" t="s">
        <v>43</v>
      </c>
      <c r="F17" s="65">
        <v>0</v>
      </c>
      <c r="G17" s="34">
        <v>30</v>
      </c>
      <c r="H17" s="35">
        <f t="shared" si="0"/>
        <v>0</v>
      </c>
      <c r="I17" s="36">
        <f t="shared" si="1"/>
        <v>0</v>
      </c>
    </row>
    <row r="18" spans="1:9" ht="15.75" customHeight="1" x14ac:dyDescent="0.35">
      <c r="A18" s="288">
        <v>1002</v>
      </c>
      <c r="B18" s="303">
        <v>2</v>
      </c>
      <c r="C18" s="421"/>
      <c r="D18" s="304" t="s">
        <v>308</v>
      </c>
      <c r="E18" s="291" t="s">
        <v>43</v>
      </c>
      <c r="F18" s="65">
        <v>0</v>
      </c>
      <c r="G18" s="292">
        <v>40</v>
      </c>
      <c r="H18" s="293">
        <f t="shared" si="0"/>
        <v>0</v>
      </c>
      <c r="I18" s="294">
        <f t="shared" si="1"/>
        <v>0</v>
      </c>
    </row>
    <row r="19" spans="1:9" ht="15.75" customHeight="1" x14ac:dyDescent="0.35">
      <c r="A19" s="29">
        <v>1002</v>
      </c>
      <c r="B19" s="320">
        <v>2</v>
      </c>
      <c r="C19" s="421"/>
      <c r="D19" s="321" t="s">
        <v>309</v>
      </c>
      <c r="E19" s="15" t="s">
        <v>43</v>
      </c>
      <c r="F19" s="299">
        <v>0</v>
      </c>
      <c r="G19" s="322">
        <v>50</v>
      </c>
      <c r="H19" s="323">
        <f t="shared" si="0"/>
        <v>0</v>
      </c>
      <c r="I19" s="324">
        <f t="shared" si="1"/>
        <v>0</v>
      </c>
    </row>
    <row r="20" spans="1:9" ht="15.75" customHeight="1" x14ac:dyDescent="0.35">
      <c r="A20" s="288">
        <v>1002</v>
      </c>
      <c r="B20" s="303">
        <v>2</v>
      </c>
      <c r="C20" s="421"/>
      <c r="D20" s="304" t="s">
        <v>310</v>
      </c>
      <c r="E20" s="291" t="s">
        <v>43</v>
      </c>
      <c r="F20" s="65">
        <v>0</v>
      </c>
      <c r="G20" s="292">
        <v>100</v>
      </c>
      <c r="H20" s="293">
        <f t="shared" si="0"/>
        <v>0</v>
      </c>
      <c r="I20" s="294">
        <f t="shared" si="1"/>
        <v>0</v>
      </c>
    </row>
    <row r="21" spans="1:9" ht="15.75" customHeight="1" x14ac:dyDescent="0.35">
      <c r="A21" s="29">
        <v>1002</v>
      </c>
      <c r="B21" s="30">
        <v>2</v>
      </c>
      <c r="C21" s="421"/>
      <c r="D21" s="31" t="s">
        <v>311</v>
      </c>
      <c r="E21" s="32" t="s">
        <v>43</v>
      </c>
      <c r="F21" s="65">
        <v>0</v>
      </c>
      <c r="G21" s="34">
        <v>500</v>
      </c>
      <c r="H21" s="35">
        <f t="shared" si="0"/>
        <v>0</v>
      </c>
      <c r="I21" s="36">
        <f t="shared" si="1"/>
        <v>0</v>
      </c>
    </row>
    <row r="22" spans="1:9" ht="15.75" customHeight="1" x14ac:dyDescent="0.35">
      <c r="A22" s="288">
        <v>1002</v>
      </c>
      <c r="B22" s="303">
        <v>2</v>
      </c>
      <c r="C22" s="421"/>
      <c r="D22" s="304" t="s">
        <v>160</v>
      </c>
      <c r="E22" s="291" t="s">
        <v>43</v>
      </c>
      <c r="F22" s="65">
        <v>0</v>
      </c>
      <c r="G22" s="292">
        <v>1000</v>
      </c>
      <c r="H22" s="293">
        <f t="shared" si="0"/>
        <v>0</v>
      </c>
      <c r="I22" s="294">
        <f t="shared" si="1"/>
        <v>0</v>
      </c>
    </row>
    <row r="23" spans="1:9" ht="15.75" customHeight="1" x14ac:dyDescent="0.35">
      <c r="A23" s="325">
        <v>1002</v>
      </c>
      <c r="B23" s="326">
        <v>2</v>
      </c>
      <c r="C23" s="422"/>
      <c r="D23" s="327" t="s">
        <v>313</v>
      </c>
      <c r="E23" s="328" t="s">
        <v>43</v>
      </c>
      <c r="F23" s="311">
        <v>0</v>
      </c>
      <c r="G23" s="329">
        <v>2000</v>
      </c>
      <c r="H23" s="330">
        <f t="shared" si="0"/>
        <v>0</v>
      </c>
      <c r="I23" s="331">
        <f t="shared" si="1"/>
        <v>0</v>
      </c>
    </row>
    <row r="24" spans="1:9" ht="15.75" customHeight="1" x14ac:dyDescent="0.35">
      <c r="A24" s="281">
        <v>1003</v>
      </c>
      <c r="B24" s="332" t="s">
        <v>46</v>
      </c>
      <c r="C24" s="445" t="s">
        <v>323</v>
      </c>
      <c r="D24" s="283">
        <v>46032</v>
      </c>
      <c r="E24" s="284" t="s">
        <v>43</v>
      </c>
      <c r="F24" s="64">
        <v>0</v>
      </c>
      <c r="G24" s="285">
        <v>10</v>
      </c>
      <c r="H24" s="286">
        <f t="shared" si="0"/>
        <v>0</v>
      </c>
      <c r="I24" s="287">
        <f t="shared" si="1"/>
        <v>0</v>
      </c>
    </row>
    <row r="25" spans="1:9" ht="15.75" customHeight="1" x14ac:dyDescent="0.35">
      <c r="A25" s="29">
        <v>1003</v>
      </c>
      <c r="B25" s="30" t="s">
        <v>46</v>
      </c>
      <c r="C25" s="421"/>
      <c r="D25" s="191">
        <v>46346</v>
      </c>
      <c r="E25" s="32" t="s">
        <v>43</v>
      </c>
      <c r="F25" s="65">
        <v>0</v>
      </c>
      <c r="G25" s="34">
        <v>20</v>
      </c>
      <c r="H25" s="35">
        <f t="shared" si="0"/>
        <v>0</v>
      </c>
      <c r="I25" s="36">
        <f t="shared" si="1"/>
        <v>0</v>
      </c>
    </row>
    <row r="26" spans="1:9" ht="15.75" customHeight="1" x14ac:dyDescent="0.35">
      <c r="A26" s="288">
        <v>1003</v>
      </c>
      <c r="B26" s="303" t="s">
        <v>46</v>
      </c>
      <c r="C26" s="421"/>
      <c r="D26" s="290" t="s">
        <v>307</v>
      </c>
      <c r="E26" s="291" t="s">
        <v>43</v>
      </c>
      <c r="F26" s="65">
        <v>0</v>
      </c>
      <c r="G26" s="292">
        <v>30</v>
      </c>
      <c r="H26" s="293">
        <f t="shared" si="0"/>
        <v>0</v>
      </c>
      <c r="I26" s="294">
        <f t="shared" si="1"/>
        <v>0</v>
      </c>
    </row>
    <row r="27" spans="1:9" ht="15.75" customHeight="1" x14ac:dyDescent="0.35">
      <c r="A27" s="29">
        <v>1003</v>
      </c>
      <c r="B27" s="30" t="s">
        <v>46</v>
      </c>
      <c r="C27" s="421"/>
      <c r="D27" s="31" t="s">
        <v>308</v>
      </c>
      <c r="E27" s="32" t="s">
        <v>43</v>
      </c>
      <c r="F27" s="65">
        <v>0</v>
      </c>
      <c r="G27" s="34">
        <v>40</v>
      </c>
      <c r="H27" s="35">
        <f t="shared" si="0"/>
        <v>0</v>
      </c>
      <c r="I27" s="36">
        <f t="shared" si="1"/>
        <v>0</v>
      </c>
    </row>
    <row r="28" spans="1:9" ht="15.75" customHeight="1" x14ac:dyDescent="0.35">
      <c r="A28" s="288">
        <v>1003</v>
      </c>
      <c r="B28" s="303" t="s">
        <v>46</v>
      </c>
      <c r="C28" s="421"/>
      <c r="D28" s="297" t="s">
        <v>309</v>
      </c>
      <c r="E28" s="298" t="s">
        <v>43</v>
      </c>
      <c r="F28" s="299">
        <v>0</v>
      </c>
      <c r="G28" s="300">
        <v>50</v>
      </c>
      <c r="H28" s="301">
        <f t="shared" si="0"/>
        <v>0</v>
      </c>
      <c r="I28" s="302">
        <f t="shared" si="1"/>
        <v>0</v>
      </c>
    </row>
    <row r="29" spans="1:9" ht="15.75" customHeight="1" x14ac:dyDescent="0.35">
      <c r="A29" s="29">
        <v>1003</v>
      </c>
      <c r="B29" s="30" t="s">
        <v>46</v>
      </c>
      <c r="C29" s="421"/>
      <c r="D29" s="31" t="s">
        <v>310</v>
      </c>
      <c r="E29" s="32" t="s">
        <v>43</v>
      </c>
      <c r="F29" s="65">
        <v>0</v>
      </c>
      <c r="G29" s="34">
        <v>100</v>
      </c>
      <c r="H29" s="35">
        <f t="shared" si="0"/>
        <v>0</v>
      </c>
      <c r="I29" s="36">
        <f t="shared" si="1"/>
        <v>0</v>
      </c>
    </row>
    <row r="30" spans="1:9" ht="15.75" customHeight="1" x14ac:dyDescent="0.35">
      <c r="A30" s="288">
        <v>1003</v>
      </c>
      <c r="B30" s="303" t="s">
        <v>46</v>
      </c>
      <c r="C30" s="421"/>
      <c r="D30" s="304" t="s">
        <v>311</v>
      </c>
      <c r="E30" s="291" t="s">
        <v>43</v>
      </c>
      <c r="F30" s="65">
        <v>0</v>
      </c>
      <c r="G30" s="292">
        <v>500</v>
      </c>
      <c r="H30" s="293">
        <f t="shared" si="0"/>
        <v>0</v>
      </c>
      <c r="I30" s="294">
        <f t="shared" si="1"/>
        <v>0</v>
      </c>
    </row>
    <row r="31" spans="1:9" ht="15.75" customHeight="1" x14ac:dyDescent="0.35">
      <c r="A31" s="29">
        <v>1003</v>
      </c>
      <c r="B31" s="30" t="s">
        <v>46</v>
      </c>
      <c r="C31" s="421"/>
      <c r="D31" s="31" t="s">
        <v>160</v>
      </c>
      <c r="E31" s="32" t="s">
        <v>43</v>
      </c>
      <c r="F31" s="65">
        <v>0</v>
      </c>
      <c r="G31" s="34">
        <v>1000</v>
      </c>
      <c r="H31" s="35">
        <f t="shared" si="0"/>
        <v>0</v>
      </c>
      <c r="I31" s="36">
        <f t="shared" si="1"/>
        <v>0</v>
      </c>
    </row>
    <row r="32" spans="1:9" ht="15.75" customHeight="1" x14ac:dyDescent="0.35">
      <c r="A32" s="307">
        <v>1003</v>
      </c>
      <c r="B32" s="308" t="s">
        <v>46</v>
      </c>
      <c r="C32" s="422"/>
      <c r="D32" s="309" t="s">
        <v>313</v>
      </c>
      <c r="E32" s="310" t="s">
        <v>43</v>
      </c>
      <c r="F32" s="311">
        <v>0</v>
      </c>
      <c r="G32" s="312">
        <v>2000</v>
      </c>
      <c r="H32" s="313">
        <f t="shared" si="0"/>
        <v>0</v>
      </c>
      <c r="I32" s="314">
        <f t="shared" si="1"/>
        <v>0</v>
      </c>
    </row>
    <row r="33" spans="1:9" ht="15.75" customHeight="1" x14ac:dyDescent="0.35">
      <c r="A33" s="151">
        <v>1004</v>
      </c>
      <c r="B33" s="152">
        <v>3</v>
      </c>
      <c r="C33" s="433" t="s">
        <v>324</v>
      </c>
      <c r="D33" s="317">
        <v>46032</v>
      </c>
      <c r="E33" s="154" t="s">
        <v>43</v>
      </c>
      <c r="F33" s="64">
        <v>0</v>
      </c>
      <c r="G33" s="318">
        <v>10</v>
      </c>
      <c r="H33" s="156">
        <f t="shared" si="0"/>
        <v>0</v>
      </c>
      <c r="I33" s="157">
        <f t="shared" si="1"/>
        <v>0</v>
      </c>
    </row>
    <row r="34" spans="1:9" ht="15.75" customHeight="1" x14ac:dyDescent="0.35">
      <c r="A34" s="288">
        <v>1004</v>
      </c>
      <c r="B34" s="303">
        <v>3</v>
      </c>
      <c r="C34" s="421"/>
      <c r="D34" s="319">
        <v>46346</v>
      </c>
      <c r="E34" s="291" t="s">
        <v>43</v>
      </c>
      <c r="F34" s="65">
        <v>0</v>
      </c>
      <c r="G34" s="292">
        <v>20</v>
      </c>
      <c r="H34" s="293">
        <f t="shared" si="0"/>
        <v>0</v>
      </c>
      <c r="I34" s="294">
        <f t="shared" si="1"/>
        <v>0</v>
      </c>
    </row>
    <row r="35" spans="1:9" ht="15.75" customHeight="1" x14ac:dyDescent="0.35">
      <c r="A35" s="29">
        <v>1004</v>
      </c>
      <c r="B35" s="30">
        <v>3</v>
      </c>
      <c r="C35" s="421"/>
      <c r="D35" s="135" t="s">
        <v>307</v>
      </c>
      <c r="E35" s="32" t="s">
        <v>43</v>
      </c>
      <c r="F35" s="65">
        <v>0</v>
      </c>
      <c r="G35" s="34">
        <v>30</v>
      </c>
      <c r="H35" s="35">
        <f t="shared" si="0"/>
        <v>0</v>
      </c>
      <c r="I35" s="36">
        <f t="shared" si="1"/>
        <v>0</v>
      </c>
    </row>
    <row r="36" spans="1:9" ht="15.75" customHeight="1" x14ac:dyDescent="0.35">
      <c r="A36" s="288">
        <v>1004</v>
      </c>
      <c r="B36" s="303">
        <v>3</v>
      </c>
      <c r="C36" s="421"/>
      <c r="D36" s="304" t="s">
        <v>308</v>
      </c>
      <c r="E36" s="291" t="s">
        <v>43</v>
      </c>
      <c r="F36" s="65">
        <v>0</v>
      </c>
      <c r="G36" s="292">
        <v>40</v>
      </c>
      <c r="H36" s="293">
        <f t="shared" si="0"/>
        <v>0</v>
      </c>
      <c r="I36" s="294">
        <f t="shared" si="1"/>
        <v>0</v>
      </c>
    </row>
    <row r="37" spans="1:9" ht="15.75" customHeight="1" x14ac:dyDescent="0.35">
      <c r="A37" s="29">
        <v>1004</v>
      </c>
      <c r="B37" s="30">
        <v>3</v>
      </c>
      <c r="C37" s="421"/>
      <c r="D37" s="321" t="s">
        <v>309</v>
      </c>
      <c r="E37" s="15" t="s">
        <v>43</v>
      </c>
      <c r="F37" s="299">
        <v>0</v>
      </c>
      <c r="G37" s="322">
        <v>50</v>
      </c>
      <c r="H37" s="323">
        <f t="shared" si="0"/>
        <v>0</v>
      </c>
      <c r="I37" s="324">
        <f t="shared" si="1"/>
        <v>0</v>
      </c>
    </row>
    <row r="38" spans="1:9" ht="15.75" customHeight="1" x14ac:dyDescent="0.35">
      <c r="A38" s="288">
        <v>1004</v>
      </c>
      <c r="B38" s="303">
        <v>3</v>
      </c>
      <c r="C38" s="421"/>
      <c r="D38" s="304" t="s">
        <v>310</v>
      </c>
      <c r="E38" s="291" t="s">
        <v>43</v>
      </c>
      <c r="F38" s="65">
        <v>0</v>
      </c>
      <c r="G38" s="292">
        <v>100</v>
      </c>
      <c r="H38" s="293">
        <f t="shared" si="0"/>
        <v>0</v>
      </c>
      <c r="I38" s="294">
        <f t="shared" si="1"/>
        <v>0</v>
      </c>
    </row>
    <row r="39" spans="1:9" ht="15.75" customHeight="1" x14ac:dyDescent="0.35">
      <c r="A39" s="29">
        <v>1004</v>
      </c>
      <c r="B39" s="30">
        <v>3</v>
      </c>
      <c r="C39" s="421"/>
      <c r="D39" s="31" t="s">
        <v>311</v>
      </c>
      <c r="E39" s="32" t="s">
        <v>43</v>
      </c>
      <c r="F39" s="65">
        <v>0</v>
      </c>
      <c r="G39" s="34">
        <v>500</v>
      </c>
      <c r="H39" s="35">
        <f t="shared" si="0"/>
        <v>0</v>
      </c>
      <c r="I39" s="36">
        <f t="shared" si="1"/>
        <v>0</v>
      </c>
    </row>
    <row r="40" spans="1:9" ht="15.75" customHeight="1" x14ac:dyDescent="0.35">
      <c r="A40" s="288">
        <v>1004</v>
      </c>
      <c r="B40" s="303">
        <v>3</v>
      </c>
      <c r="C40" s="421"/>
      <c r="D40" s="304" t="s">
        <v>160</v>
      </c>
      <c r="E40" s="291" t="s">
        <v>43</v>
      </c>
      <c r="F40" s="65">
        <v>0</v>
      </c>
      <c r="G40" s="292">
        <v>1000</v>
      </c>
      <c r="H40" s="293">
        <f t="shared" si="0"/>
        <v>0</v>
      </c>
      <c r="I40" s="294">
        <f t="shared" si="1"/>
        <v>0</v>
      </c>
    </row>
    <row r="41" spans="1:9" ht="15.75" customHeight="1" x14ac:dyDescent="0.35">
      <c r="A41" s="325">
        <v>1004</v>
      </c>
      <c r="B41" s="326">
        <v>3</v>
      </c>
      <c r="C41" s="422"/>
      <c r="D41" s="327" t="s">
        <v>313</v>
      </c>
      <c r="E41" s="328" t="s">
        <v>43</v>
      </c>
      <c r="F41" s="311">
        <v>0</v>
      </c>
      <c r="G41" s="329">
        <v>2000</v>
      </c>
      <c r="H41" s="330">
        <f t="shared" si="0"/>
        <v>0</v>
      </c>
      <c r="I41" s="331">
        <f t="shared" si="1"/>
        <v>0</v>
      </c>
    </row>
    <row r="42" spans="1:9" ht="15.75" customHeight="1" x14ac:dyDescent="0.35">
      <c r="A42" s="281">
        <v>1005</v>
      </c>
      <c r="B42" s="332" t="s">
        <v>49</v>
      </c>
      <c r="C42" s="445" t="s">
        <v>325</v>
      </c>
      <c r="D42" s="283">
        <v>46032</v>
      </c>
      <c r="E42" s="284" t="s">
        <v>43</v>
      </c>
      <c r="F42" s="64">
        <v>0</v>
      </c>
      <c r="G42" s="285">
        <v>10</v>
      </c>
      <c r="H42" s="286">
        <f t="shared" si="0"/>
        <v>0</v>
      </c>
      <c r="I42" s="287">
        <f t="shared" si="1"/>
        <v>0</v>
      </c>
    </row>
    <row r="43" spans="1:9" ht="15.75" customHeight="1" x14ac:dyDescent="0.35">
      <c r="A43" s="29">
        <v>1005</v>
      </c>
      <c r="B43" s="30" t="s">
        <v>49</v>
      </c>
      <c r="C43" s="421"/>
      <c r="D43" s="191">
        <v>46346</v>
      </c>
      <c r="E43" s="32" t="s">
        <v>43</v>
      </c>
      <c r="F43" s="65">
        <v>0</v>
      </c>
      <c r="G43" s="34">
        <v>20</v>
      </c>
      <c r="H43" s="35">
        <f t="shared" si="0"/>
        <v>0</v>
      </c>
      <c r="I43" s="36">
        <f t="shared" si="1"/>
        <v>0</v>
      </c>
    </row>
    <row r="44" spans="1:9" ht="15.75" customHeight="1" x14ac:dyDescent="0.35">
      <c r="A44" s="288">
        <v>1005</v>
      </c>
      <c r="B44" s="303" t="s">
        <v>49</v>
      </c>
      <c r="C44" s="421"/>
      <c r="D44" s="290" t="s">
        <v>307</v>
      </c>
      <c r="E44" s="291" t="s">
        <v>43</v>
      </c>
      <c r="F44" s="65">
        <v>0</v>
      </c>
      <c r="G44" s="292">
        <v>30</v>
      </c>
      <c r="H44" s="293">
        <f t="shared" si="0"/>
        <v>0</v>
      </c>
      <c r="I44" s="294">
        <f t="shared" si="1"/>
        <v>0</v>
      </c>
    </row>
    <row r="45" spans="1:9" ht="15.75" customHeight="1" x14ac:dyDescent="0.35">
      <c r="A45" s="29">
        <v>1005</v>
      </c>
      <c r="B45" s="30" t="s">
        <v>49</v>
      </c>
      <c r="C45" s="421"/>
      <c r="D45" s="31" t="s">
        <v>308</v>
      </c>
      <c r="E45" s="32" t="s">
        <v>43</v>
      </c>
      <c r="F45" s="65">
        <v>0</v>
      </c>
      <c r="G45" s="34">
        <v>40</v>
      </c>
      <c r="H45" s="35">
        <f t="shared" si="0"/>
        <v>0</v>
      </c>
      <c r="I45" s="36">
        <f t="shared" si="1"/>
        <v>0</v>
      </c>
    </row>
    <row r="46" spans="1:9" ht="15.75" customHeight="1" x14ac:dyDescent="0.35">
      <c r="A46" s="288">
        <v>1005</v>
      </c>
      <c r="B46" s="303" t="s">
        <v>49</v>
      </c>
      <c r="C46" s="421"/>
      <c r="D46" s="297" t="s">
        <v>309</v>
      </c>
      <c r="E46" s="298" t="s">
        <v>43</v>
      </c>
      <c r="F46" s="299">
        <v>0</v>
      </c>
      <c r="G46" s="300">
        <v>50</v>
      </c>
      <c r="H46" s="301">
        <f t="shared" si="0"/>
        <v>0</v>
      </c>
      <c r="I46" s="302">
        <f t="shared" si="1"/>
        <v>0</v>
      </c>
    </row>
    <row r="47" spans="1:9" ht="15.75" customHeight="1" x14ac:dyDescent="0.35">
      <c r="A47" s="29">
        <v>1005</v>
      </c>
      <c r="B47" s="30" t="s">
        <v>49</v>
      </c>
      <c r="C47" s="421"/>
      <c r="D47" s="31" t="s">
        <v>310</v>
      </c>
      <c r="E47" s="32" t="s">
        <v>43</v>
      </c>
      <c r="F47" s="65">
        <v>0</v>
      </c>
      <c r="G47" s="34">
        <v>100</v>
      </c>
      <c r="H47" s="35">
        <f t="shared" si="0"/>
        <v>0</v>
      </c>
      <c r="I47" s="36">
        <f t="shared" si="1"/>
        <v>0</v>
      </c>
    </row>
    <row r="48" spans="1:9" ht="15.75" customHeight="1" x14ac:dyDescent="0.35">
      <c r="A48" s="288">
        <v>1005</v>
      </c>
      <c r="B48" s="303" t="s">
        <v>49</v>
      </c>
      <c r="C48" s="421"/>
      <c r="D48" s="304" t="s">
        <v>311</v>
      </c>
      <c r="E48" s="291" t="s">
        <v>43</v>
      </c>
      <c r="F48" s="65">
        <v>0</v>
      </c>
      <c r="G48" s="292">
        <v>500</v>
      </c>
      <c r="H48" s="293">
        <f t="shared" si="0"/>
        <v>0</v>
      </c>
      <c r="I48" s="294">
        <f t="shared" si="1"/>
        <v>0</v>
      </c>
    </row>
    <row r="49" spans="1:9" ht="15.75" customHeight="1" x14ac:dyDescent="0.35">
      <c r="A49" s="29">
        <v>1005</v>
      </c>
      <c r="B49" s="30" t="s">
        <v>49</v>
      </c>
      <c r="C49" s="421"/>
      <c r="D49" s="31" t="s">
        <v>160</v>
      </c>
      <c r="E49" s="32" t="s">
        <v>43</v>
      </c>
      <c r="F49" s="65">
        <v>0</v>
      </c>
      <c r="G49" s="34">
        <v>1000</v>
      </c>
      <c r="H49" s="35">
        <f t="shared" si="0"/>
        <v>0</v>
      </c>
      <c r="I49" s="36">
        <f t="shared" si="1"/>
        <v>0</v>
      </c>
    </row>
    <row r="50" spans="1:9" ht="15.75" customHeight="1" x14ac:dyDescent="0.35">
      <c r="A50" s="307">
        <v>1005</v>
      </c>
      <c r="B50" s="308" t="s">
        <v>49</v>
      </c>
      <c r="C50" s="422"/>
      <c r="D50" s="309" t="s">
        <v>313</v>
      </c>
      <c r="E50" s="310" t="s">
        <v>43</v>
      </c>
      <c r="F50" s="311">
        <v>0</v>
      </c>
      <c r="G50" s="312">
        <v>2000</v>
      </c>
      <c r="H50" s="313">
        <f t="shared" si="0"/>
        <v>0</v>
      </c>
      <c r="I50" s="314">
        <f t="shared" si="1"/>
        <v>0</v>
      </c>
    </row>
    <row r="51" spans="1:9" ht="15.75" customHeight="1" x14ac:dyDescent="0.35">
      <c r="A51" s="151">
        <v>1006</v>
      </c>
      <c r="B51" s="152">
        <v>4</v>
      </c>
      <c r="C51" s="433" t="s">
        <v>326</v>
      </c>
      <c r="D51" s="317">
        <v>46032</v>
      </c>
      <c r="E51" s="154" t="s">
        <v>43</v>
      </c>
      <c r="F51" s="64">
        <v>0</v>
      </c>
      <c r="G51" s="318">
        <v>10</v>
      </c>
      <c r="H51" s="156">
        <f t="shared" si="0"/>
        <v>0</v>
      </c>
      <c r="I51" s="157">
        <f t="shared" si="1"/>
        <v>0</v>
      </c>
    </row>
    <row r="52" spans="1:9" ht="15.75" customHeight="1" x14ac:dyDescent="0.35">
      <c r="A52" s="288">
        <v>1006</v>
      </c>
      <c r="B52" s="289">
        <v>4</v>
      </c>
      <c r="C52" s="421"/>
      <c r="D52" s="319">
        <v>46346</v>
      </c>
      <c r="E52" s="291" t="s">
        <v>43</v>
      </c>
      <c r="F52" s="65">
        <v>0</v>
      </c>
      <c r="G52" s="292">
        <v>20</v>
      </c>
      <c r="H52" s="293">
        <f t="shared" si="0"/>
        <v>0</v>
      </c>
      <c r="I52" s="294">
        <f t="shared" si="1"/>
        <v>0</v>
      </c>
    </row>
    <row r="53" spans="1:9" ht="15.75" customHeight="1" x14ac:dyDescent="0.35">
      <c r="A53" s="29">
        <v>1006</v>
      </c>
      <c r="B53" s="79">
        <v>4</v>
      </c>
      <c r="C53" s="421"/>
      <c r="D53" s="135" t="s">
        <v>307</v>
      </c>
      <c r="E53" s="32" t="s">
        <v>43</v>
      </c>
      <c r="F53" s="65">
        <v>0</v>
      </c>
      <c r="G53" s="34">
        <v>30</v>
      </c>
      <c r="H53" s="35">
        <f t="shared" si="0"/>
        <v>0</v>
      </c>
      <c r="I53" s="36">
        <f t="shared" si="1"/>
        <v>0</v>
      </c>
    </row>
    <row r="54" spans="1:9" ht="15.75" customHeight="1" x14ac:dyDescent="0.35">
      <c r="A54" s="288">
        <v>1006</v>
      </c>
      <c r="B54" s="303">
        <v>4</v>
      </c>
      <c r="C54" s="421"/>
      <c r="D54" s="304" t="s">
        <v>308</v>
      </c>
      <c r="E54" s="291" t="s">
        <v>43</v>
      </c>
      <c r="F54" s="65">
        <v>0</v>
      </c>
      <c r="G54" s="292">
        <v>40</v>
      </c>
      <c r="H54" s="293">
        <f t="shared" si="0"/>
        <v>0</v>
      </c>
      <c r="I54" s="294">
        <f t="shared" si="1"/>
        <v>0</v>
      </c>
    </row>
    <row r="55" spans="1:9" ht="15.75" customHeight="1" x14ac:dyDescent="0.35">
      <c r="A55" s="333">
        <v>1006</v>
      </c>
      <c r="B55" s="334">
        <v>4</v>
      </c>
      <c r="C55" s="421"/>
      <c r="D55" s="321" t="s">
        <v>309</v>
      </c>
      <c r="E55" s="15" t="s">
        <v>43</v>
      </c>
      <c r="F55" s="299">
        <v>0</v>
      </c>
      <c r="G55" s="322">
        <v>50</v>
      </c>
      <c r="H55" s="323">
        <f t="shared" si="0"/>
        <v>0</v>
      </c>
      <c r="I55" s="324">
        <f t="shared" si="1"/>
        <v>0</v>
      </c>
    </row>
    <row r="56" spans="1:9" ht="15.75" customHeight="1" x14ac:dyDescent="0.35">
      <c r="A56" s="335">
        <v>1006</v>
      </c>
      <c r="B56" s="303">
        <v>4</v>
      </c>
      <c r="C56" s="421"/>
      <c r="D56" s="304" t="s">
        <v>310</v>
      </c>
      <c r="E56" s="291" t="s">
        <v>43</v>
      </c>
      <c r="F56" s="65">
        <v>0</v>
      </c>
      <c r="G56" s="292">
        <v>100</v>
      </c>
      <c r="H56" s="293">
        <f t="shared" si="0"/>
        <v>0</v>
      </c>
      <c r="I56" s="294">
        <f t="shared" si="1"/>
        <v>0</v>
      </c>
    </row>
    <row r="57" spans="1:9" ht="15.75" customHeight="1" x14ac:dyDescent="0.35">
      <c r="A57" s="29">
        <v>1006</v>
      </c>
      <c r="B57" s="30">
        <v>4</v>
      </c>
      <c r="C57" s="421"/>
      <c r="D57" s="31" t="s">
        <v>311</v>
      </c>
      <c r="E57" s="32" t="s">
        <v>43</v>
      </c>
      <c r="F57" s="65">
        <v>0</v>
      </c>
      <c r="G57" s="34">
        <v>500</v>
      </c>
      <c r="H57" s="35">
        <f t="shared" si="0"/>
        <v>0</v>
      </c>
      <c r="I57" s="36">
        <f t="shared" si="1"/>
        <v>0</v>
      </c>
    </row>
    <row r="58" spans="1:9" ht="15.75" customHeight="1" x14ac:dyDescent="0.35">
      <c r="A58" s="288">
        <v>1006</v>
      </c>
      <c r="B58" s="303">
        <v>4</v>
      </c>
      <c r="C58" s="421"/>
      <c r="D58" s="304" t="s">
        <v>160</v>
      </c>
      <c r="E58" s="291" t="s">
        <v>43</v>
      </c>
      <c r="F58" s="65">
        <v>0</v>
      </c>
      <c r="G58" s="292">
        <v>1000</v>
      </c>
      <c r="H58" s="293">
        <f t="shared" si="0"/>
        <v>0</v>
      </c>
      <c r="I58" s="294">
        <f t="shared" si="1"/>
        <v>0</v>
      </c>
    </row>
    <row r="59" spans="1:9" ht="15.75" customHeight="1" x14ac:dyDescent="0.35">
      <c r="A59" s="325">
        <v>1006</v>
      </c>
      <c r="B59" s="326">
        <v>4</v>
      </c>
      <c r="C59" s="422"/>
      <c r="D59" s="327" t="s">
        <v>313</v>
      </c>
      <c r="E59" s="328" t="s">
        <v>43</v>
      </c>
      <c r="F59" s="311">
        <v>0</v>
      </c>
      <c r="G59" s="329">
        <v>2000</v>
      </c>
      <c r="H59" s="330">
        <f t="shared" si="0"/>
        <v>0</v>
      </c>
      <c r="I59" s="331">
        <f t="shared" si="1"/>
        <v>0</v>
      </c>
    </row>
    <row r="60" spans="1:9" ht="15.75" customHeight="1" x14ac:dyDescent="0.35">
      <c r="A60" s="281" t="s">
        <v>327</v>
      </c>
      <c r="B60" s="332" t="s">
        <v>53</v>
      </c>
      <c r="C60" s="445" t="s">
        <v>328</v>
      </c>
      <c r="D60" s="283">
        <v>46032</v>
      </c>
      <c r="E60" s="284" t="s">
        <v>43</v>
      </c>
      <c r="F60" s="64">
        <v>0</v>
      </c>
      <c r="G60" s="285">
        <v>10</v>
      </c>
      <c r="H60" s="286">
        <f t="shared" si="0"/>
        <v>0</v>
      </c>
      <c r="I60" s="287">
        <f t="shared" si="1"/>
        <v>0</v>
      </c>
    </row>
    <row r="61" spans="1:9" ht="15.75" customHeight="1" x14ac:dyDescent="0.35">
      <c r="A61" s="29" t="s">
        <v>327</v>
      </c>
      <c r="B61" s="79" t="s">
        <v>53</v>
      </c>
      <c r="C61" s="421"/>
      <c r="D61" s="191">
        <v>46346</v>
      </c>
      <c r="E61" s="32" t="s">
        <v>43</v>
      </c>
      <c r="F61" s="65">
        <v>0</v>
      </c>
      <c r="G61" s="34">
        <v>20</v>
      </c>
      <c r="H61" s="35">
        <f t="shared" si="0"/>
        <v>0</v>
      </c>
      <c r="I61" s="36">
        <f t="shared" si="1"/>
        <v>0</v>
      </c>
    </row>
    <row r="62" spans="1:9" ht="15.75" customHeight="1" x14ac:dyDescent="0.35">
      <c r="A62" s="288" t="s">
        <v>327</v>
      </c>
      <c r="B62" s="289" t="s">
        <v>53</v>
      </c>
      <c r="C62" s="421"/>
      <c r="D62" s="290" t="s">
        <v>307</v>
      </c>
      <c r="E62" s="291" t="s">
        <v>43</v>
      </c>
      <c r="F62" s="65">
        <v>0</v>
      </c>
      <c r="G62" s="292">
        <v>30</v>
      </c>
      <c r="H62" s="293">
        <f t="shared" si="0"/>
        <v>0</v>
      </c>
      <c r="I62" s="294">
        <f t="shared" si="1"/>
        <v>0</v>
      </c>
    </row>
    <row r="63" spans="1:9" ht="15.75" customHeight="1" x14ac:dyDescent="0.35">
      <c r="A63" s="29" t="s">
        <v>327</v>
      </c>
      <c r="B63" s="30" t="s">
        <v>53</v>
      </c>
      <c r="C63" s="421"/>
      <c r="D63" s="31" t="s">
        <v>308</v>
      </c>
      <c r="E63" s="32" t="s">
        <v>43</v>
      </c>
      <c r="F63" s="65">
        <v>0</v>
      </c>
      <c r="G63" s="34">
        <v>40</v>
      </c>
      <c r="H63" s="35">
        <f t="shared" si="0"/>
        <v>0</v>
      </c>
      <c r="I63" s="36">
        <f t="shared" si="1"/>
        <v>0</v>
      </c>
    </row>
    <row r="64" spans="1:9" ht="15.75" customHeight="1" x14ac:dyDescent="0.35">
      <c r="A64" s="295" t="s">
        <v>327</v>
      </c>
      <c r="B64" s="296" t="s">
        <v>53</v>
      </c>
      <c r="C64" s="421"/>
      <c r="D64" s="297" t="s">
        <v>309</v>
      </c>
      <c r="E64" s="298" t="s">
        <v>43</v>
      </c>
      <c r="F64" s="299">
        <v>0</v>
      </c>
      <c r="G64" s="300">
        <v>50</v>
      </c>
      <c r="H64" s="301">
        <f t="shared" si="0"/>
        <v>0</v>
      </c>
      <c r="I64" s="302">
        <f t="shared" si="1"/>
        <v>0</v>
      </c>
    </row>
    <row r="65" spans="1:9" ht="15.75" customHeight="1" x14ac:dyDescent="0.35">
      <c r="A65" s="62" t="s">
        <v>327</v>
      </c>
      <c r="B65" s="30" t="s">
        <v>53</v>
      </c>
      <c r="C65" s="421"/>
      <c r="D65" s="31" t="s">
        <v>310</v>
      </c>
      <c r="E65" s="32" t="s">
        <v>43</v>
      </c>
      <c r="F65" s="65">
        <v>0</v>
      </c>
      <c r="G65" s="34">
        <v>100</v>
      </c>
      <c r="H65" s="35">
        <f t="shared" si="0"/>
        <v>0</v>
      </c>
      <c r="I65" s="36">
        <f t="shared" si="1"/>
        <v>0</v>
      </c>
    </row>
    <row r="66" spans="1:9" ht="15.75" customHeight="1" x14ac:dyDescent="0.35">
      <c r="A66" s="288" t="s">
        <v>327</v>
      </c>
      <c r="B66" s="303" t="s">
        <v>53</v>
      </c>
      <c r="C66" s="421"/>
      <c r="D66" s="304" t="s">
        <v>311</v>
      </c>
      <c r="E66" s="291" t="s">
        <v>43</v>
      </c>
      <c r="F66" s="65">
        <v>0</v>
      </c>
      <c r="G66" s="292">
        <v>500</v>
      </c>
      <c r="H66" s="293">
        <f t="shared" si="0"/>
        <v>0</v>
      </c>
      <c r="I66" s="294">
        <f t="shared" si="1"/>
        <v>0</v>
      </c>
    </row>
    <row r="67" spans="1:9" ht="15.75" customHeight="1" x14ac:dyDescent="0.35">
      <c r="A67" s="29" t="s">
        <v>327</v>
      </c>
      <c r="B67" s="30" t="s">
        <v>53</v>
      </c>
      <c r="C67" s="421"/>
      <c r="D67" s="31" t="s">
        <v>160</v>
      </c>
      <c r="E67" s="32" t="s">
        <v>43</v>
      </c>
      <c r="F67" s="65">
        <v>0</v>
      </c>
      <c r="G67" s="34">
        <v>1000</v>
      </c>
      <c r="H67" s="35">
        <f t="shared" si="0"/>
        <v>0</v>
      </c>
      <c r="I67" s="36">
        <f t="shared" si="1"/>
        <v>0</v>
      </c>
    </row>
    <row r="68" spans="1:9" ht="15.75" customHeight="1" x14ac:dyDescent="0.35">
      <c r="A68" s="307" t="s">
        <v>327</v>
      </c>
      <c r="B68" s="308" t="s">
        <v>53</v>
      </c>
      <c r="C68" s="422"/>
      <c r="D68" s="309" t="s">
        <v>313</v>
      </c>
      <c r="E68" s="310" t="s">
        <v>43</v>
      </c>
      <c r="F68" s="311">
        <v>0</v>
      </c>
      <c r="G68" s="312">
        <v>2000</v>
      </c>
      <c r="H68" s="313">
        <f t="shared" si="0"/>
        <v>0</v>
      </c>
      <c r="I68" s="314">
        <f t="shared" si="1"/>
        <v>0</v>
      </c>
    </row>
    <row r="69" spans="1:9" ht="15.75" customHeight="1" x14ac:dyDescent="0.35"/>
    <row r="70" spans="1:9" ht="15.75" customHeight="1" x14ac:dyDescent="0.35"/>
    <row r="71" spans="1:9" ht="15.75" customHeight="1" x14ac:dyDescent="0.35"/>
    <row r="72" spans="1:9" ht="15.75" customHeight="1" x14ac:dyDescent="0.35"/>
    <row r="73" spans="1:9" ht="15.75" customHeight="1" x14ac:dyDescent="0.35"/>
    <row r="74" spans="1:9" ht="15.75" customHeight="1" x14ac:dyDescent="0.35"/>
    <row r="75" spans="1:9" ht="15.75" customHeight="1" x14ac:dyDescent="0.35"/>
    <row r="76" spans="1:9" ht="15.75" customHeight="1" x14ac:dyDescent="0.35"/>
    <row r="77" spans="1:9" ht="15.75" customHeight="1" x14ac:dyDescent="0.35"/>
    <row r="78" spans="1:9" ht="15.75" customHeight="1" x14ac:dyDescent="0.35"/>
    <row r="79" spans="1:9" ht="15.75" customHeight="1" x14ac:dyDescent="0.35"/>
    <row r="80" spans="1:9"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sheetData>
  <mergeCells count="9">
    <mergeCell ref="C51:C59"/>
    <mergeCell ref="C60:C68"/>
    <mergeCell ref="A4:F4"/>
    <mergeCell ref="G4:I4"/>
    <mergeCell ref="C6:C14"/>
    <mergeCell ref="C15:C23"/>
    <mergeCell ref="C24:C32"/>
    <mergeCell ref="C33:C41"/>
    <mergeCell ref="C42:C50"/>
  </mergeCells>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39"/>
  <sheetViews>
    <sheetView workbookViewId="0">
      <selection activeCell="L11" sqref="L11"/>
    </sheetView>
  </sheetViews>
  <sheetFormatPr defaultColWidth="12.6328125" defaultRowHeight="15" customHeight="1" x14ac:dyDescent="0.35"/>
  <cols>
    <col min="1" max="1" width="10.6328125" customWidth="1"/>
    <col min="2" max="2" width="12.08984375" customWidth="1"/>
    <col min="3" max="3" width="24.36328125" customWidth="1"/>
    <col min="4" max="4" width="18.90625" customWidth="1"/>
    <col min="5" max="6" width="8.6328125" customWidth="1"/>
    <col min="7" max="7" width="13" customWidth="1"/>
    <col min="8" max="8" width="18.7265625" customWidth="1"/>
    <col min="9" max="9" width="17.26953125" customWidth="1"/>
    <col min="10" max="10" width="8.26953125" customWidth="1"/>
    <col min="11" max="11" width="17.26953125" customWidth="1"/>
    <col min="12" max="12" width="79.36328125" customWidth="1"/>
    <col min="13" max="13" width="41.36328125" customWidth="1"/>
  </cols>
  <sheetData>
    <row r="1" spans="1:13" ht="18.5" x14ac:dyDescent="0.45">
      <c r="A1" s="10" t="s">
        <v>329</v>
      </c>
      <c r="B1" s="124"/>
      <c r="C1" s="124"/>
    </row>
    <row r="2" spans="1:13" ht="18" x14ac:dyDescent="0.4">
      <c r="A2" s="11" t="s">
        <v>26</v>
      </c>
      <c r="B2" s="124"/>
      <c r="C2" s="124"/>
    </row>
    <row r="3" spans="1:13" ht="18" x14ac:dyDescent="0.4">
      <c r="A3" s="414" t="s">
        <v>330</v>
      </c>
      <c r="B3" s="413"/>
      <c r="C3" s="413"/>
      <c r="D3" s="413"/>
      <c r="E3" s="413"/>
      <c r="F3" s="413"/>
      <c r="G3" s="413"/>
      <c r="H3" s="413"/>
      <c r="I3" s="413"/>
    </row>
    <row r="4" spans="1:13" ht="19.5" customHeight="1" x14ac:dyDescent="0.35">
      <c r="A4" s="449" t="s">
        <v>331</v>
      </c>
      <c r="B4" s="416"/>
      <c r="C4" s="416"/>
      <c r="D4" s="416"/>
      <c r="E4" s="416"/>
      <c r="F4" s="417"/>
      <c r="G4" s="425" t="s">
        <v>332</v>
      </c>
      <c r="H4" s="416"/>
      <c r="I4" s="419"/>
      <c r="J4" s="336"/>
      <c r="K4" s="336"/>
      <c r="L4" s="336"/>
      <c r="M4" s="337"/>
    </row>
    <row r="5" spans="1:13" ht="29" x14ac:dyDescent="0.35">
      <c r="A5" s="125" t="s">
        <v>333</v>
      </c>
      <c r="B5" s="69" t="s">
        <v>31</v>
      </c>
      <c r="C5" s="69" t="s">
        <v>32</v>
      </c>
      <c r="D5" s="127" t="s">
        <v>239</v>
      </c>
      <c r="E5" s="50" t="s">
        <v>34</v>
      </c>
      <c r="F5" s="127" t="s">
        <v>35</v>
      </c>
      <c r="G5" s="127" t="s">
        <v>240</v>
      </c>
      <c r="H5" s="127" t="s">
        <v>334</v>
      </c>
      <c r="I5" s="128" t="s">
        <v>38</v>
      </c>
      <c r="J5" s="338"/>
      <c r="K5" s="454" t="s">
        <v>39</v>
      </c>
      <c r="L5" s="339" t="s">
        <v>335</v>
      </c>
      <c r="M5" s="337"/>
    </row>
    <row r="6" spans="1:13" ht="15.75" customHeight="1" x14ac:dyDescent="0.35">
      <c r="A6" s="72" t="s">
        <v>41</v>
      </c>
      <c r="B6" s="89">
        <v>1</v>
      </c>
      <c r="C6" s="443" t="s">
        <v>336</v>
      </c>
      <c r="D6" s="241" t="s">
        <v>337</v>
      </c>
      <c r="E6" s="74" t="s">
        <v>245</v>
      </c>
      <c r="F6" s="24">
        <v>0</v>
      </c>
      <c r="G6" s="242">
        <v>10000</v>
      </c>
      <c r="H6" s="340">
        <f t="shared" ref="H6:H47" si="0">F6*G6</f>
        <v>0</v>
      </c>
      <c r="I6" s="341">
        <f t="shared" ref="I6:I47" si="1">H6*365</f>
        <v>0</v>
      </c>
      <c r="J6" s="336"/>
      <c r="K6" s="18">
        <v>1</v>
      </c>
      <c r="L6" s="28">
        <f>SUM(I6:I11)</f>
        <v>0</v>
      </c>
      <c r="M6" s="337"/>
    </row>
    <row r="7" spans="1:13" ht="17.5" x14ac:dyDescent="0.35">
      <c r="A7" s="29" t="s">
        <v>41</v>
      </c>
      <c r="B7" s="30">
        <v>1</v>
      </c>
      <c r="C7" s="421"/>
      <c r="D7" s="135" t="s">
        <v>338</v>
      </c>
      <c r="E7" s="135" t="s">
        <v>245</v>
      </c>
      <c r="F7" s="33">
        <v>0</v>
      </c>
      <c r="G7" s="243">
        <v>50000</v>
      </c>
      <c r="H7" s="218">
        <f t="shared" si="0"/>
        <v>0</v>
      </c>
      <c r="I7" s="342">
        <f t="shared" si="1"/>
        <v>0</v>
      </c>
      <c r="J7" s="338"/>
      <c r="K7" s="18">
        <v>2</v>
      </c>
      <c r="L7" s="28">
        <f>SUM(I12:I17)</f>
        <v>0</v>
      </c>
      <c r="M7" s="337"/>
    </row>
    <row r="8" spans="1:13" ht="17.5" x14ac:dyDescent="0.35">
      <c r="A8" s="80" t="s">
        <v>41</v>
      </c>
      <c r="B8" s="244">
        <v>1</v>
      </c>
      <c r="C8" s="421"/>
      <c r="D8" s="87" t="s">
        <v>339</v>
      </c>
      <c r="E8" s="82" t="s">
        <v>245</v>
      </c>
      <c r="F8" s="33">
        <v>0</v>
      </c>
      <c r="G8" s="245">
        <v>100000</v>
      </c>
      <c r="H8" s="343">
        <f t="shared" si="0"/>
        <v>0</v>
      </c>
      <c r="I8" s="344">
        <f t="shared" si="1"/>
        <v>0</v>
      </c>
      <c r="J8" s="336"/>
      <c r="K8" s="18" t="s">
        <v>46</v>
      </c>
      <c r="L8" s="28">
        <f>SUM(I18:I23)</f>
        <v>0</v>
      </c>
      <c r="M8" s="337"/>
    </row>
    <row r="9" spans="1:13" ht="17.5" x14ac:dyDescent="0.35">
      <c r="A9" s="29" t="s">
        <v>41</v>
      </c>
      <c r="B9" s="30">
        <v>1</v>
      </c>
      <c r="C9" s="421"/>
      <c r="D9" s="31" t="s">
        <v>246</v>
      </c>
      <c r="E9" s="135" t="s">
        <v>245</v>
      </c>
      <c r="F9" s="33">
        <v>0</v>
      </c>
      <c r="G9" s="243">
        <v>500000</v>
      </c>
      <c r="H9" s="218">
        <f t="shared" si="0"/>
        <v>0</v>
      </c>
      <c r="I9" s="342">
        <f t="shared" si="1"/>
        <v>0</v>
      </c>
      <c r="J9" s="338"/>
      <c r="K9" s="18">
        <v>3</v>
      </c>
      <c r="L9" s="28">
        <f>SUM(I24:I29)</f>
        <v>0</v>
      </c>
      <c r="M9" s="337"/>
    </row>
    <row r="10" spans="1:13" ht="17.5" x14ac:dyDescent="0.35">
      <c r="A10" s="80" t="s">
        <v>41</v>
      </c>
      <c r="B10" s="244">
        <v>1</v>
      </c>
      <c r="C10" s="421"/>
      <c r="D10" s="87" t="s">
        <v>247</v>
      </c>
      <c r="E10" s="82" t="s">
        <v>245</v>
      </c>
      <c r="F10" s="33">
        <v>0</v>
      </c>
      <c r="G10" s="245">
        <v>1000000</v>
      </c>
      <c r="H10" s="343">
        <f t="shared" si="0"/>
        <v>0</v>
      </c>
      <c r="I10" s="344">
        <f t="shared" si="1"/>
        <v>0</v>
      </c>
      <c r="J10" s="338"/>
      <c r="K10" s="18" t="s">
        <v>49</v>
      </c>
      <c r="L10" s="28">
        <f>SUM(I30:I35)</f>
        <v>0</v>
      </c>
      <c r="M10" s="337"/>
    </row>
    <row r="11" spans="1:13" ht="17.5" x14ac:dyDescent="0.35">
      <c r="A11" s="47" t="s">
        <v>41</v>
      </c>
      <c r="B11" s="48">
        <v>1</v>
      </c>
      <c r="C11" s="444"/>
      <c r="D11" s="49" t="s">
        <v>248</v>
      </c>
      <c r="E11" s="246" t="s">
        <v>245</v>
      </c>
      <c r="F11" s="345">
        <v>0</v>
      </c>
      <c r="G11" s="247">
        <v>5000000</v>
      </c>
      <c r="H11" s="220">
        <f t="shared" si="0"/>
        <v>0</v>
      </c>
      <c r="I11" s="346">
        <f t="shared" si="1"/>
        <v>0</v>
      </c>
      <c r="J11" s="338"/>
      <c r="K11" s="18">
        <v>4</v>
      </c>
      <c r="L11" s="28">
        <f>SUM(I36:I41)</f>
        <v>0</v>
      </c>
      <c r="M11" s="337"/>
    </row>
    <row r="12" spans="1:13" ht="15.75" customHeight="1" x14ac:dyDescent="0.35">
      <c r="A12" s="72" t="s">
        <v>51</v>
      </c>
      <c r="B12" s="89">
        <v>2</v>
      </c>
      <c r="C12" s="443" t="s">
        <v>340</v>
      </c>
      <c r="D12" s="241" t="s">
        <v>337</v>
      </c>
      <c r="E12" s="74" t="s">
        <v>245</v>
      </c>
      <c r="F12" s="24">
        <v>0</v>
      </c>
      <c r="G12" s="242">
        <v>10000</v>
      </c>
      <c r="H12" s="340">
        <f t="shared" si="0"/>
        <v>0</v>
      </c>
      <c r="I12" s="341">
        <f t="shared" si="1"/>
        <v>0</v>
      </c>
      <c r="J12" s="338"/>
      <c r="K12" s="18" t="s">
        <v>53</v>
      </c>
      <c r="L12" s="28">
        <f>SUM(I42:I47)</f>
        <v>0</v>
      </c>
      <c r="M12" s="337"/>
    </row>
    <row r="13" spans="1:13" ht="17.5" x14ac:dyDescent="0.35">
      <c r="A13" s="29" t="s">
        <v>51</v>
      </c>
      <c r="B13" s="30">
        <v>2</v>
      </c>
      <c r="C13" s="421"/>
      <c r="D13" s="135" t="s">
        <v>338</v>
      </c>
      <c r="E13" s="135" t="s">
        <v>245</v>
      </c>
      <c r="F13" s="33">
        <v>0</v>
      </c>
      <c r="G13" s="243">
        <v>50000</v>
      </c>
      <c r="H13" s="218">
        <f t="shared" si="0"/>
        <v>0</v>
      </c>
      <c r="I13" s="342">
        <f t="shared" si="1"/>
        <v>0</v>
      </c>
      <c r="J13" s="338"/>
      <c r="K13" s="18" t="s">
        <v>341</v>
      </c>
      <c r="L13" s="28">
        <f>SUM(L6:L12)</f>
        <v>0</v>
      </c>
      <c r="M13" s="337"/>
    </row>
    <row r="14" spans="1:13" ht="17.5" x14ac:dyDescent="0.35">
      <c r="A14" s="80" t="s">
        <v>51</v>
      </c>
      <c r="B14" s="244">
        <v>2</v>
      </c>
      <c r="C14" s="421"/>
      <c r="D14" s="87" t="s">
        <v>339</v>
      </c>
      <c r="E14" s="82" t="s">
        <v>245</v>
      </c>
      <c r="F14" s="33">
        <v>0</v>
      </c>
      <c r="G14" s="245">
        <v>100000</v>
      </c>
      <c r="H14" s="343">
        <f t="shared" si="0"/>
        <v>0</v>
      </c>
      <c r="I14" s="344">
        <f t="shared" si="1"/>
        <v>0</v>
      </c>
      <c r="J14" s="336"/>
      <c r="K14" s="347"/>
      <c r="L14" s="347"/>
      <c r="M14" s="337"/>
    </row>
    <row r="15" spans="1:13" ht="17.5" x14ac:dyDescent="0.35">
      <c r="A15" s="29" t="s">
        <v>51</v>
      </c>
      <c r="B15" s="30">
        <v>2</v>
      </c>
      <c r="C15" s="421"/>
      <c r="D15" s="31" t="s">
        <v>246</v>
      </c>
      <c r="E15" s="135" t="s">
        <v>245</v>
      </c>
      <c r="F15" s="65">
        <v>0</v>
      </c>
      <c r="G15" s="243">
        <v>500000</v>
      </c>
      <c r="H15" s="218">
        <f t="shared" si="0"/>
        <v>0</v>
      </c>
      <c r="I15" s="342">
        <f t="shared" si="1"/>
        <v>0</v>
      </c>
      <c r="J15" s="336"/>
      <c r="K15" s="347"/>
      <c r="L15" s="347"/>
    </row>
    <row r="16" spans="1:13" ht="14.5" x14ac:dyDescent="0.35">
      <c r="A16" s="80" t="s">
        <v>51</v>
      </c>
      <c r="B16" s="244">
        <v>2</v>
      </c>
      <c r="C16" s="421"/>
      <c r="D16" s="87" t="s">
        <v>247</v>
      </c>
      <c r="E16" s="82" t="s">
        <v>245</v>
      </c>
      <c r="F16" s="65">
        <v>0</v>
      </c>
      <c r="G16" s="245">
        <v>1000000</v>
      </c>
      <c r="H16" s="343">
        <f t="shared" si="0"/>
        <v>0</v>
      </c>
      <c r="I16" s="344">
        <f t="shared" si="1"/>
        <v>0</v>
      </c>
      <c r="J16" s="347"/>
      <c r="K16" s="347"/>
      <c r="L16" s="347"/>
    </row>
    <row r="17" spans="1:13" ht="14.5" x14ac:dyDescent="0.35">
      <c r="A17" s="47" t="s">
        <v>51</v>
      </c>
      <c r="B17" s="48">
        <v>2</v>
      </c>
      <c r="C17" s="444"/>
      <c r="D17" s="49" t="s">
        <v>248</v>
      </c>
      <c r="E17" s="246" t="s">
        <v>245</v>
      </c>
      <c r="F17" s="66">
        <v>0</v>
      </c>
      <c r="G17" s="247">
        <v>5000000</v>
      </c>
      <c r="H17" s="220">
        <f t="shared" si="0"/>
        <v>0</v>
      </c>
      <c r="I17" s="346">
        <f t="shared" si="1"/>
        <v>0</v>
      </c>
      <c r="J17" s="348"/>
      <c r="K17" s="348"/>
      <c r="L17" s="348"/>
    </row>
    <row r="18" spans="1:13" ht="15.75" customHeight="1" x14ac:dyDescent="0.35">
      <c r="A18" s="72" t="s">
        <v>55</v>
      </c>
      <c r="B18" s="89" t="s">
        <v>46</v>
      </c>
      <c r="C18" s="443" t="s">
        <v>342</v>
      </c>
      <c r="D18" s="241" t="s">
        <v>337</v>
      </c>
      <c r="E18" s="74" t="s">
        <v>245</v>
      </c>
      <c r="F18" s="64">
        <v>0</v>
      </c>
      <c r="G18" s="242">
        <v>10000</v>
      </c>
      <c r="H18" s="340">
        <f t="shared" si="0"/>
        <v>0</v>
      </c>
      <c r="I18" s="341">
        <f t="shared" si="1"/>
        <v>0</v>
      </c>
      <c r="J18" s="347"/>
      <c r="K18" s="347"/>
      <c r="L18" s="347"/>
    </row>
    <row r="19" spans="1:13" ht="14.5" x14ac:dyDescent="0.35">
      <c r="A19" s="29" t="s">
        <v>55</v>
      </c>
      <c r="B19" s="30" t="s">
        <v>46</v>
      </c>
      <c r="C19" s="421"/>
      <c r="D19" s="135" t="s">
        <v>338</v>
      </c>
      <c r="E19" s="135" t="s">
        <v>245</v>
      </c>
      <c r="F19" s="65">
        <v>0</v>
      </c>
      <c r="G19" s="243">
        <v>50000</v>
      </c>
      <c r="H19" s="218">
        <f t="shared" si="0"/>
        <v>0</v>
      </c>
      <c r="I19" s="342">
        <f t="shared" si="1"/>
        <v>0</v>
      </c>
      <c r="J19" s="347"/>
      <c r="K19" s="347"/>
      <c r="L19" s="347"/>
    </row>
    <row r="20" spans="1:13" ht="14.5" x14ac:dyDescent="0.35">
      <c r="A20" s="80" t="s">
        <v>55</v>
      </c>
      <c r="B20" s="244" t="s">
        <v>46</v>
      </c>
      <c r="C20" s="421"/>
      <c r="D20" s="87" t="s">
        <v>339</v>
      </c>
      <c r="E20" s="82" t="s">
        <v>245</v>
      </c>
      <c r="F20" s="65">
        <v>0</v>
      </c>
      <c r="G20" s="245">
        <v>100000</v>
      </c>
      <c r="H20" s="343">
        <f t="shared" si="0"/>
        <v>0</v>
      </c>
      <c r="I20" s="344">
        <f t="shared" si="1"/>
        <v>0</v>
      </c>
      <c r="J20" s="347"/>
      <c r="K20" s="347"/>
      <c r="L20" s="347"/>
    </row>
    <row r="21" spans="1:13" ht="15.75" customHeight="1" x14ac:dyDescent="0.35">
      <c r="A21" s="29" t="s">
        <v>55</v>
      </c>
      <c r="B21" s="30" t="s">
        <v>46</v>
      </c>
      <c r="C21" s="421"/>
      <c r="D21" s="31" t="s">
        <v>246</v>
      </c>
      <c r="E21" s="135" t="s">
        <v>245</v>
      </c>
      <c r="F21" s="65">
        <v>0</v>
      </c>
      <c r="G21" s="243">
        <v>500000</v>
      </c>
      <c r="H21" s="218">
        <f t="shared" si="0"/>
        <v>0</v>
      </c>
      <c r="I21" s="342">
        <f t="shared" si="1"/>
        <v>0</v>
      </c>
      <c r="J21" s="347"/>
      <c r="K21" s="347"/>
      <c r="L21" s="347"/>
    </row>
    <row r="22" spans="1:13" ht="15.75" customHeight="1" x14ac:dyDescent="0.35">
      <c r="A22" s="80" t="s">
        <v>55</v>
      </c>
      <c r="B22" s="244" t="s">
        <v>46</v>
      </c>
      <c r="C22" s="421"/>
      <c r="D22" s="87" t="s">
        <v>247</v>
      </c>
      <c r="E22" s="82" t="s">
        <v>245</v>
      </c>
      <c r="F22" s="65">
        <v>0</v>
      </c>
      <c r="G22" s="245">
        <v>1000000</v>
      </c>
      <c r="H22" s="343">
        <f t="shared" si="0"/>
        <v>0</v>
      </c>
      <c r="I22" s="344">
        <f t="shared" si="1"/>
        <v>0</v>
      </c>
      <c r="J22" s="347"/>
      <c r="K22" s="347"/>
      <c r="L22" s="347"/>
    </row>
    <row r="23" spans="1:13" ht="15.75" customHeight="1" x14ac:dyDescent="0.35">
      <c r="A23" s="47" t="s">
        <v>55</v>
      </c>
      <c r="B23" s="48" t="s">
        <v>46</v>
      </c>
      <c r="C23" s="444"/>
      <c r="D23" s="49" t="s">
        <v>248</v>
      </c>
      <c r="E23" s="246" t="s">
        <v>245</v>
      </c>
      <c r="F23" s="66">
        <v>0</v>
      </c>
      <c r="G23" s="247">
        <v>5000000</v>
      </c>
      <c r="H23" s="220">
        <f t="shared" si="0"/>
        <v>0</v>
      </c>
      <c r="I23" s="346">
        <f t="shared" si="1"/>
        <v>0</v>
      </c>
      <c r="J23" s="348"/>
      <c r="K23" s="348"/>
      <c r="L23" s="348"/>
    </row>
    <row r="24" spans="1:13" ht="15.75" customHeight="1" x14ac:dyDescent="0.35">
      <c r="A24" s="72" t="s">
        <v>57</v>
      </c>
      <c r="B24" s="89">
        <v>3</v>
      </c>
      <c r="C24" s="443" t="s">
        <v>343</v>
      </c>
      <c r="D24" s="241" t="s">
        <v>337</v>
      </c>
      <c r="E24" s="74" t="s">
        <v>245</v>
      </c>
      <c r="F24" s="64">
        <v>0</v>
      </c>
      <c r="G24" s="242">
        <v>10000</v>
      </c>
      <c r="H24" s="340">
        <f t="shared" si="0"/>
        <v>0</v>
      </c>
      <c r="I24" s="341">
        <f t="shared" si="1"/>
        <v>0</v>
      </c>
      <c r="J24" s="347"/>
      <c r="K24" s="347"/>
      <c r="L24" s="347"/>
      <c r="M24" s="347"/>
    </row>
    <row r="25" spans="1:13" ht="15.75" customHeight="1" x14ac:dyDescent="0.35">
      <c r="A25" s="29" t="s">
        <v>57</v>
      </c>
      <c r="B25" s="30">
        <v>3</v>
      </c>
      <c r="C25" s="421"/>
      <c r="D25" s="135" t="s">
        <v>338</v>
      </c>
      <c r="E25" s="135" t="s">
        <v>245</v>
      </c>
      <c r="F25" s="65">
        <v>0</v>
      </c>
      <c r="G25" s="243">
        <v>50000</v>
      </c>
      <c r="H25" s="218">
        <f t="shared" si="0"/>
        <v>0</v>
      </c>
      <c r="I25" s="342">
        <f t="shared" si="1"/>
        <v>0</v>
      </c>
      <c r="J25" s="347"/>
      <c r="K25" s="347"/>
      <c r="L25" s="347"/>
      <c r="M25" s="347"/>
    </row>
    <row r="26" spans="1:13" ht="15.75" customHeight="1" x14ac:dyDescent="0.35">
      <c r="A26" s="80" t="s">
        <v>57</v>
      </c>
      <c r="B26" s="244">
        <v>3</v>
      </c>
      <c r="C26" s="421"/>
      <c r="D26" s="87" t="s">
        <v>339</v>
      </c>
      <c r="E26" s="82" t="s">
        <v>245</v>
      </c>
      <c r="F26" s="65">
        <v>0</v>
      </c>
      <c r="G26" s="245">
        <v>100000</v>
      </c>
      <c r="H26" s="343">
        <f t="shared" si="0"/>
        <v>0</v>
      </c>
      <c r="I26" s="344">
        <f t="shared" si="1"/>
        <v>0</v>
      </c>
      <c r="J26" s="347"/>
      <c r="K26" s="347"/>
      <c r="L26" s="347"/>
      <c r="M26" s="347"/>
    </row>
    <row r="27" spans="1:13" ht="15.75" customHeight="1" x14ac:dyDescent="0.35">
      <c r="A27" s="29" t="s">
        <v>57</v>
      </c>
      <c r="B27" s="30">
        <v>3</v>
      </c>
      <c r="C27" s="421"/>
      <c r="D27" s="31" t="s">
        <v>246</v>
      </c>
      <c r="E27" s="135" t="s">
        <v>245</v>
      </c>
      <c r="F27" s="65">
        <v>0</v>
      </c>
      <c r="G27" s="243">
        <v>500000</v>
      </c>
      <c r="H27" s="218">
        <f t="shared" si="0"/>
        <v>0</v>
      </c>
      <c r="I27" s="342">
        <f t="shared" si="1"/>
        <v>0</v>
      </c>
      <c r="J27" s="347"/>
      <c r="K27" s="347"/>
      <c r="L27" s="347"/>
      <c r="M27" s="347"/>
    </row>
    <row r="28" spans="1:13" ht="15.75" customHeight="1" x14ac:dyDescent="0.35">
      <c r="A28" s="80" t="s">
        <v>57</v>
      </c>
      <c r="B28" s="244">
        <v>3</v>
      </c>
      <c r="C28" s="421"/>
      <c r="D28" s="87" t="s">
        <v>247</v>
      </c>
      <c r="E28" s="82" t="s">
        <v>245</v>
      </c>
      <c r="F28" s="65">
        <v>0</v>
      </c>
      <c r="G28" s="245">
        <v>1000000</v>
      </c>
      <c r="H28" s="343">
        <f t="shared" si="0"/>
        <v>0</v>
      </c>
      <c r="I28" s="344">
        <f t="shared" si="1"/>
        <v>0</v>
      </c>
      <c r="J28" s="347"/>
      <c r="K28" s="347"/>
      <c r="L28" s="347"/>
      <c r="M28" s="347"/>
    </row>
    <row r="29" spans="1:13" ht="15.75" customHeight="1" x14ac:dyDescent="0.35">
      <c r="A29" s="122" t="s">
        <v>57</v>
      </c>
      <c r="B29" s="320">
        <v>3</v>
      </c>
      <c r="C29" s="444"/>
      <c r="D29" s="321" t="s">
        <v>248</v>
      </c>
      <c r="E29" s="349" t="s">
        <v>245</v>
      </c>
      <c r="F29" s="299">
        <v>0</v>
      </c>
      <c r="G29" s="350">
        <v>5000000</v>
      </c>
      <c r="H29" s="351">
        <f t="shared" si="0"/>
        <v>0</v>
      </c>
      <c r="I29" s="352">
        <f t="shared" si="1"/>
        <v>0</v>
      </c>
      <c r="J29" s="348"/>
      <c r="K29" s="348"/>
      <c r="L29" s="348"/>
      <c r="M29" s="348"/>
    </row>
    <row r="30" spans="1:13" ht="15.75" customHeight="1" x14ac:dyDescent="0.35">
      <c r="A30" s="72" t="s">
        <v>59</v>
      </c>
      <c r="B30" s="89" t="s">
        <v>49</v>
      </c>
      <c r="C30" s="443" t="s">
        <v>344</v>
      </c>
      <c r="D30" s="241" t="s">
        <v>337</v>
      </c>
      <c r="E30" s="74" t="s">
        <v>245</v>
      </c>
      <c r="F30" s="64">
        <v>0</v>
      </c>
      <c r="G30" s="353">
        <v>10000</v>
      </c>
      <c r="H30" s="340">
        <f t="shared" si="0"/>
        <v>0</v>
      </c>
      <c r="I30" s="341">
        <f t="shared" si="1"/>
        <v>0</v>
      </c>
      <c r="J30" s="347"/>
      <c r="K30" s="347"/>
      <c r="L30" s="347"/>
      <c r="M30" s="347"/>
    </row>
    <row r="31" spans="1:13" ht="15.75" customHeight="1" x14ac:dyDescent="0.35">
      <c r="A31" s="29" t="s">
        <v>59</v>
      </c>
      <c r="B31" s="30" t="s">
        <v>49</v>
      </c>
      <c r="C31" s="421"/>
      <c r="D31" s="135" t="s">
        <v>338</v>
      </c>
      <c r="E31" s="135" t="s">
        <v>245</v>
      </c>
      <c r="F31" s="65">
        <v>0</v>
      </c>
      <c r="G31" s="182">
        <v>50000</v>
      </c>
      <c r="H31" s="218">
        <f t="shared" si="0"/>
        <v>0</v>
      </c>
      <c r="I31" s="342">
        <f t="shared" si="1"/>
        <v>0</v>
      </c>
      <c r="J31" s="347"/>
      <c r="K31" s="347"/>
      <c r="L31" s="347"/>
      <c r="M31" s="347"/>
    </row>
    <row r="32" spans="1:13" ht="15.75" customHeight="1" x14ac:dyDescent="0.35">
      <c r="A32" s="80" t="s">
        <v>59</v>
      </c>
      <c r="B32" s="244" t="s">
        <v>49</v>
      </c>
      <c r="C32" s="421"/>
      <c r="D32" s="87" t="s">
        <v>339</v>
      </c>
      <c r="E32" s="82" t="s">
        <v>245</v>
      </c>
      <c r="F32" s="65">
        <v>0</v>
      </c>
      <c r="G32" s="354">
        <v>100000</v>
      </c>
      <c r="H32" s="343">
        <f t="shared" si="0"/>
        <v>0</v>
      </c>
      <c r="I32" s="344">
        <f t="shared" si="1"/>
        <v>0</v>
      </c>
      <c r="J32" s="347"/>
      <c r="K32" s="347"/>
      <c r="L32" s="347"/>
      <c r="M32" s="347"/>
    </row>
    <row r="33" spans="1:13" ht="15.75" customHeight="1" x14ac:dyDescent="0.35">
      <c r="A33" s="29" t="s">
        <v>59</v>
      </c>
      <c r="B33" s="30" t="s">
        <v>49</v>
      </c>
      <c r="C33" s="421"/>
      <c r="D33" s="31" t="s">
        <v>246</v>
      </c>
      <c r="E33" s="135" t="s">
        <v>245</v>
      </c>
      <c r="F33" s="65">
        <v>0</v>
      </c>
      <c r="G33" s="182">
        <v>500000</v>
      </c>
      <c r="H33" s="218">
        <f t="shared" si="0"/>
        <v>0</v>
      </c>
      <c r="I33" s="342">
        <f t="shared" si="1"/>
        <v>0</v>
      </c>
      <c r="J33" s="347"/>
      <c r="K33" s="347"/>
      <c r="L33" s="347"/>
      <c r="M33" s="347"/>
    </row>
    <row r="34" spans="1:13" ht="15.75" customHeight="1" x14ac:dyDescent="0.35">
      <c r="A34" s="80" t="s">
        <v>59</v>
      </c>
      <c r="B34" s="244" t="s">
        <v>49</v>
      </c>
      <c r="C34" s="421"/>
      <c r="D34" s="87" t="s">
        <v>247</v>
      </c>
      <c r="E34" s="82" t="s">
        <v>245</v>
      </c>
      <c r="F34" s="65">
        <v>0</v>
      </c>
      <c r="G34" s="354">
        <v>1000000</v>
      </c>
      <c r="H34" s="343">
        <f t="shared" si="0"/>
        <v>0</v>
      </c>
      <c r="I34" s="344">
        <f t="shared" si="1"/>
        <v>0</v>
      </c>
      <c r="J34" s="347"/>
      <c r="K34" s="347"/>
      <c r="L34" s="347"/>
      <c r="M34" s="347"/>
    </row>
    <row r="35" spans="1:13" ht="15.75" customHeight="1" x14ac:dyDescent="0.35">
      <c r="A35" s="47" t="s">
        <v>59</v>
      </c>
      <c r="B35" s="48" t="s">
        <v>49</v>
      </c>
      <c r="C35" s="444"/>
      <c r="D35" s="49" t="s">
        <v>248</v>
      </c>
      <c r="E35" s="246" t="s">
        <v>245</v>
      </c>
      <c r="F35" s="66">
        <v>0</v>
      </c>
      <c r="G35" s="194">
        <v>5000000</v>
      </c>
      <c r="H35" s="220">
        <f t="shared" si="0"/>
        <v>0</v>
      </c>
      <c r="I35" s="346">
        <f t="shared" si="1"/>
        <v>0</v>
      </c>
      <c r="J35" s="348"/>
      <c r="K35" s="348"/>
      <c r="L35" s="348"/>
      <c r="M35" s="348"/>
    </row>
    <row r="36" spans="1:13" ht="15.75" customHeight="1" x14ac:dyDescent="0.35">
      <c r="A36" s="72" t="s">
        <v>61</v>
      </c>
      <c r="B36" s="89">
        <v>4</v>
      </c>
      <c r="C36" s="443" t="s">
        <v>345</v>
      </c>
      <c r="D36" s="241" t="s">
        <v>337</v>
      </c>
      <c r="E36" s="74" t="s">
        <v>245</v>
      </c>
      <c r="F36" s="64">
        <v>0</v>
      </c>
      <c r="G36" s="353">
        <v>10000</v>
      </c>
      <c r="H36" s="340">
        <f t="shared" si="0"/>
        <v>0</v>
      </c>
      <c r="I36" s="341">
        <f t="shared" si="1"/>
        <v>0</v>
      </c>
      <c r="J36" s="348"/>
      <c r="K36" s="348"/>
      <c r="L36" s="348"/>
      <c r="M36" s="348"/>
    </row>
    <row r="37" spans="1:13" ht="15.75" customHeight="1" x14ac:dyDescent="0.35">
      <c r="A37" s="29" t="s">
        <v>61</v>
      </c>
      <c r="B37" s="30">
        <v>4</v>
      </c>
      <c r="C37" s="421"/>
      <c r="D37" s="135" t="s">
        <v>338</v>
      </c>
      <c r="E37" s="135" t="s">
        <v>245</v>
      </c>
      <c r="F37" s="65">
        <v>0</v>
      </c>
      <c r="G37" s="182">
        <v>50000</v>
      </c>
      <c r="H37" s="218">
        <f t="shared" si="0"/>
        <v>0</v>
      </c>
      <c r="I37" s="342">
        <f t="shared" si="1"/>
        <v>0</v>
      </c>
      <c r="J37" s="348"/>
      <c r="K37" s="348"/>
      <c r="L37" s="348"/>
      <c r="M37" s="348"/>
    </row>
    <row r="38" spans="1:13" ht="15.75" customHeight="1" x14ac:dyDescent="0.35">
      <c r="A38" s="80" t="s">
        <v>61</v>
      </c>
      <c r="B38" s="244">
        <v>4</v>
      </c>
      <c r="C38" s="421"/>
      <c r="D38" s="87" t="s">
        <v>339</v>
      </c>
      <c r="E38" s="82" t="s">
        <v>245</v>
      </c>
      <c r="F38" s="65">
        <v>0</v>
      </c>
      <c r="G38" s="354">
        <v>100000</v>
      </c>
      <c r="H38" s="343">
        <f t="shared" si="0"/>
        <v>0</v>
      </c>
      <c r="I38" s="344">
        <f t="shared" si="1"/>
        <v>0</v>
      </c>
      <c r="J38" s="348"/>
      <c r="K38" s="348"/>
      <c r="L38" s="348"/>
      <c r="M38" s="348"/>
    </row>
    <row r="39" spans="1:13" ht="15.75" customHeight="1" x14ac:dyDescent="0.35">
      <c r="A39" s="29" t="s">
        <v>61</v>
      </c>
      <c r="B39" s="30">
        <v>4</v>
      </c>
      <c r="C39" s="421"/>
      <c r="D39" s="31" t="s">
        <v>246</v>
      </c>
      <c r="E39" s="135" t="s">
        <v>245</v>
      </c>
      <c r="F39" s="65">
        <v>0</v>
      </c>
      <c r="G39" s="182">
        <v>500000</v>
      </c>
      <c r="H39" s="218">
        <f t="shared" si="0"/>
        <v>0</v>
      </c>
      <c r="I39" s="342">
        <f t="shared" si="1"/>
        <v>0</v>
      </c>
      <c r="J39" s="348"/>
      <c r="K39" s="348"/>
      <c r="L39" s="348"/>
      <c r="M39" s="348"/>
    </row>
    <row r="40" spans="1:13" ht="15.75" customHeight="1" x14ac:dyDescent="0.35">
      <c r="A40" s="80" t="s">
        <v>61</v>
      </c>
      <c r="B40" s="244">
        <v>4</v>
      </c>
      <c r="C40" s="421"/>
      <c r="D40" s="87" t="s">
        <v>247</v>
      </c>
      <c r="E40" s="82" t="s">
        <v>245</v>
      </c>
      <c r="F40" s="65">
        <v>0</v>
      </c>
      <c r="G40" s="354">
        <v>1000000</v>
      </c>
      <c r="H40" s="343">
        <f t="shared" si="0"/>
        <v>0</v>
      </c>
      <c r="I40" s="344">
        <f t="shared" si="1"/>
        <v>0</v>
      </c>
      <c r="J40" s="348"/>
      <c r="K40" s="348"/>
      <c r="L40" s="348"/>
      <c r="M40" s="348"/>
    </row>
    <row r="41" spans="1:13" ht="15.75" customHeight="1" x14ac:dyDescent="0.35">
      <c r="A41" s="47" t="s">
        <v>61</v>
      </c>
      <c r="B41" s="48">
        <v>4</v>
      </c>
      <c r="C41" s="444"/>
      <c r="D41" s="49" t="s">
        <v>248</v>
      </c>
      <c r="E41" s="246" t="s">
        <v>245</v>
      </c>
      <c r="F41" s="66">
        <v>0</v>
      </c>
      <c r="G41" s="194">
        <v>5000000</v>
      </c>
      <c r="H41" s="220">
        <f t="shared" si="0"/>
        <v>0</v>
      </c>
      <c r="I41" s="346">
        <f t="shared" si="1"/>
        <v>0</v>
      </c>
      <c r="J41" s="348"/>
      <c r="K41" s="348"/>
      <c r="L41" s="348"/>
      <c r="M41" s="348"/>
    </row>
    <row r="42" spans="1:13" ht="15.75" customHeight="1" x14ac:dyDescent="0.35">
      <c r="A42" s="72" t="s">
        <v>63</v>
      </c>
      <c r="B42" s="355" t="s">
        <v>53</v>
      </c>
      <c r="C42" s="443" t="s">
        <v>346</v>
      </c>
      <c r="D42" s="356" t="s">
        <v>337</v>
      </c>
      <c r="E42" s="74" t="s">
        <v>245</v>
      </c>
      <c r="F42" s="64">
        <v>0</v>
      </c>
      <c r="G42" s="353">
        <v>10000</v>
      </c>
      <c r="H42" s="340">
        <f t="shared" si="0"/>
        <v>0</v>
      </c>
      <c r="I42" s="341">
        <f t="shared" si="1"/>
        <v>0</v>
      </c>
      <c r="J42" s="348"/>
      <c r="K42" s="348"/>
      <c r="L42" s="348"/>
      <c r="M42" s="348"/>
    </row>
    <row r="43" spans="1:13" ht="15.75" customHeight="1" x14ac:dyDescent="0.35">
      <c r="A43" s="29" t="s">
        <v>63</v>
      </c>
      <c r="B43" s="357" t="s">
        <v>53</v>
      </c>
      <c r="C43" s="421"/>
      <c r="D43" s="358" t="s">
        <v>338</v>
      </c>
      <c r="E43" s="135" t="s">
        <v>245</v>
      </c>
      <c r="F43" s="65">
        <v>0</v>
      </c>
      <c r="G43" s="182">
        <v>50000</v>
      </c>
      <c r="H43" s="218">
        <f t="shared" si="0"/>
        <v>0</v>
      </c>
      <c r="I43" s="342">
        <f t="shared" si="1"/>
        <v>0</v>
      </c>
      <c r="J43" s="348"/>
      <c r="K43" s="348"/>
      <c r="L43" s="348"/>
      <c r="M43" s="348"/>
    </row>
    <row r="44" spans="1:13" ht="15.75" customHeight="1" x14ac:dyDescent="0.35">
      <c r="A44" s="80" t="s">
        <v>63</v>
      </c>
      <c r="B44" s="359" t="s">
        <v>53</v>
      </c>
      <c r="C44" s="421"/>
      <c r="D44" s="360" t="s">
        <v>339</v>
      </c>
      <c r="E44" s="82" t="s">
        <v>245</v>
      </c>
      <c r="F44" s="65">
        <v>0</v>
      </c>
      <c r="G44" s="354">
        <v>100000</v>
      </c>
      <c r="H44" s="343">
        <f t="shared" si="0"/>
        <v>0</v>
      </c>
      <c r="I44" s="344">
        <f t="shared" si="1"/>
        <v>0</v>
      </c>
      <c r="J44" s="348"/>
      <c r="K44" s="348"/>
      <c r="L44" s="348"/>
      <c r="M44" s="348"/>
    </row>
    <row r="45" spans="1:13" ht="15.75" customHeight="1" x14ac:dyDescent="0.35">
      <c r="A45" s="29" t="s">
        <v>63</v>
      </c>
      <c r="B45" s="357" t="s">
        <v>53</v>
      </c>
      <c r="C45" s="421"/>
      <c r="D45" s="361" t="s">
        <v>246</v>
      </c>
      <c r="E45" s="135" t="s">
        <v>245</v>
      </c>
      <c r="F45" s="65">
        <v>0</v>
      </c>
      <c r="G45" s="182">
        <v>500000</v>
      </c>
      <c r="H45" s="218">
        <f t="shared" si="0"/>
        <v>0</v>
      </c>
      <c r="I45" s="342">
        <f t="shared" si="1"/>
        <v>0</v>
      </c>
      <c r="J45" s="348"/>
      <c r="K45" s="348"/>
      <c r="L45" s="348"/>
      <c r="M45" s="348"/>
    </row>
    <row r="46" spans="1:13" ht="15.75" customHeight="1" x14ac:dyDescent="0.35">
      <c r="A46" s="80" t="s">
        <v>63</v>
      </c>
      <c r="B46" s="359" t="s">
        <v>53</v>
      </c>
      <c r="C46" s="421"/>
      <c r="D46" s="360" t="s">
        <v>247</v>
      </c>
      <c r="E46" s="82" t="s">
        <v>245</v>
      </c>
      <c r="F46" s="65">
        <v>0</v>
      </c>
      <c r="G46" s="354">
        <v>1000000</v>
      </c>
      <c r="H46" s="343">
        <f t="shared" si="0"/>
        <v>0</v>
      </c>
      <c r="I46" s="344">
        <f t="shared" si="1"/>
        <v>0</v>
      </c>
      <c r="J46" s="348"/>
      <c r="K46" s="348"/>
      <c r="L46" s="348"/>
      <c r="M46" s="348"/>
    </row>
    <row r="47" spans="1:13" ht="15.75" customHeight="1" x14ac:dyDescent="0.35">
      <c r="A47" s="47" t="s">
        <v>63</v>
      </c>
      <c r="B47" s="362" t="s">
        <v>53</v>
      </c>
      <c r="C47" s="422"/>
      <c r="D47" s="363" t="s">
        <v>248</v>
      </c>
      <c r="E47" s="246" t="s">
        <v>245</v>
      </c>
      <c r="F47" s="66">
        <v>0</v>
      </c>
      <c r="G47" s="194">
        <v>5000000</v>
      </c>
      <c r="H47" s="220">
        <f t="shared" si="0"/>
        <v>0</v>
      </c>
      <c r="I47" s="346">
        <f t="shared" si="1"/>
        <v>0</v>
      </c>
      <c r="J47" s="348"/>
      <c r="K47" s="348"/>
      <c r="L47" s="348"/>
      <c r="M47" s="348"/>
    </row>
    <row r="48" spans="1:13" ht="15.75" customHeight="1" x14ac:dyDescent="0.35"/>
    <row r="49" spans="1:13" ht="18.75" customHeight="1" x14ac:dyDescent="0.4">
      <c r="A49" s="450" t="s">
        <v>347</v>
      </c>
      <c r="B49" s="413"/>
      <c r="C49" s="413"/>
      <c r="D49" s="413"/>
      <c r="E49" s="413"/>
      <c r="F49" s="413"/>
      <c r="G49" s="413"/>
      <c r="H49" s="413"/>
    </row>
    <row r="50" spans="1:13" ht="15.75" customHeight="1" x14ac:dyDescent="0.35">
      <c r="A50" s="451" t="s">
        <v>348</v>
      </c>
      <c r="B50" s="416"/>
      <c r="C50" s="416"/>
      <c r="D50" s="416"/>
      <c r="E50" s="416"/>
      <c r="F50" s="417"/>
      <c r="G50" s="452" t="s">
        <v>349</v>
      </c>
      <c r="H50" s="416"/>
      <c r="I50" s="419"/>
      <c r="M50" s="337"/>
    </row>
    <row r="51" spans="1:13" ht="15.75" customHeight="1" x14ac:dyDescent="0.35">
      <c r="A51" s="125" t="s">
        <v>333</v>
      </c>
      <c r="B51" s="69" t="s">
        <v>31</v>
      </c>
      <c r="C51" s="69" t="s">
        <v>32</v>
      </c>
      <c r="D51" s="127" t="s">
        <v>226</v>
      </c>
      <c r="E51" s="50" t="s">
        <v>34</v>
      </c>
      <c r="F51" s="69" t="s">
        <v>35</v>
      </c>
      <c r="G51" s="16" t="s">
        <v>304</v>
      </c>
      <c r="H51" s="14" t="s">
        <v>37</v>
      </c>
      <c r="I51" s="128" t="s">
        <v>38</v>
      </c>
      <c r="K51" s="18" t="s">
        <v>39</v>
      </c>
      <c r="L51" s="339" t="s">
        <v>350</v>
      </c>
      <c r="M51" s="337"/>
    </row>
    <row r="52" spans="1:13" ht="15.75" customHeight="1" x14ac:dyDescent="0.35">
      <c r="A52" s="364" t="s">
        <v>69</v>
      </c>
      <c r="B52" s="365">
        <v>1</v>
      </c>
      <c r="C52" s="453" t="s">
        <v>351</v>
      </c>
      <c r="D52" s="366">
        <v>1</v>
      </c>
      <c r="E52" s="367" t="s">
        <v>43</v>
      </c>
      <c r="F52" s="368">
        <v>0</v>
      </c>
      <c r="G52" s="369">
        <v>1</v>
      </c>
      <c r="H52" s="206">
        <f t="shared" ref="H52:H114" si="2">F52*G52</f>
        <v>0</v>
      </c>
      <c r="I52" s="370">
        <f t="shared" ref="I52:I114" si="3">H52*365</f>
        <v>0</v>
      </c>
      <c r="K52" s="18">
        <v>1</v>
      </c>
      <c r="L52" s="28">
        <f>SUM(I52:I60)</f>
        <v>0</v>
      </c>
      <c r="M52" s="337"/>
    </row>
    <row r="53" spans="1:13" ht="15.75" customHeight="1" x14ac:dyDescent="0.35">
      <c r="A53" s="29" t="s">
        <v>69</v>
      </c>
      <c r="B53" s="79">
        <v>1</v>
      </c>
      <c r="C53" s="421"/>
      <c r="D53" s="181">
        <v>2</v>
      </c>
      <c r="E53" s="32" t="s">
        <v>43</v>
      </c>
      <c r="F53" s="371">
        <v>0</v>
      </c>
      <c r="G53" s="34">
        <v>2</v>
      </c>
      <c r="H53" s="35">
        <f t="shared" si="2"/>
        <v>0</v>
      </c>
      <c r="I53" s="183">
        <f t="shared" si="3"/>
        <v>0</v>
      </c>
      <c r="K53" s="18">
        <v>2</v>
      </c>
      <c r="L53" s="28">
        <f>SUM(I61:I69)</f>
        <v>0</v>
      </c>
      <c r="M53" s="337"/>
    </row>
    <row r="54" spans="1:13" ht="15.75" customHeight="1" x14ac:dyDescent="0.35">
      <c r="A54" s="208" t="s">
        <v>69</v>
      </c>
      <c r="B54" s="209">
        <v>1</v>
      </c>
      <c r="C54" s="421"/>
      <c r="D54" s="210">
        <v>3</v>
      </c>
      <c r="E54" s="211" t="s">
        <v>43</v>
      </c>
      <c r="F54" s="371">
        <v>0</v>
      </c>
      <c r="G54" s="372">
        <v>3</v>
      </c>
      <c r="H54" s="213">
        <f t="shared" si="2"/>
        <v>0</v>
      </c>
      <c r="I54" s="373">
        <f t="shared" si="3"/>
        <v>0</v>
      </c>
      <c r="K54" s="18" t="s">
        <v>46</v>
      </c>
      <c r="L54" s="28">
        <f>SUM(I70:I78)</f>
        <v>0</v>
      </c>
      <c r="M54" s="337"/>
    </row>
    <row r="55" spans="1:13" ht="15.75" customHeight="1" x14ac:dyDescent="0.35">
      <c r="A55" s="29" t="s">
        <v>69</v>
      </c>
      <c r="B55" s="79">
        <v>1</v>
      </c>
      <c r="C55" s="421"/>
      <c r="D55" s="181">
        <v>4</v>
      </c>
      <c r="E55" s="32" t="s">
        <v>43</v>
      </c>
      <c r="F55" s="371">
        <v>0</v>
      </c>
      <c r="G55" s="34">
        <v>4</v>
      </c>
      <c r="H55" s="35">
        <f t="shared" si="2"/>
        <v>0</v>
      </c>
      <c r="I55" s="183">
        <f t="shared" si="3"/>
        <v>0</v>
      </c>
      <c r="K55" s="18">
        <v>3</v>
      </c>
      <c r="L55" s="28">
        <f>SUM(I79:I87)</f>
        <v>0</v>
      </c>
      <c r="M55" s="337"/>
    </row>
    <row r="56" spans="1:13" ht="15.75" customHeight="1" x14ac:dyDescent="0.35">
      <c r="A56" s="208" t="s">
        <v>69</v>
      </c>
      <c r="B56" s="209">
        <v>1</v>
      </c>
      <c r="C56" s="421"/>
      <c r="D56" s="374">
        <v>5</v>
      </c>
      <c r="E56" s="211" t="s">
        <v>43</v>
      </c>
      <c r="F56" s="371">
        <v>0</v>
      </c>
      <c r="G56" s="372">
        <v>5</v>
      </c>
      <c r="H56" s="213">
        <f t="shared" si="2"/>
        <v>0</v>
      </c>
      <c r="I56" s="373">
        <f t="shared" si="3"/>
        <v>0</v>
      </c>
      <c r="K56" s="18" t="s">
        <v>49</v>
      </c>
      <c r="L56" s="28">
        <f>SUM(I88:I96)</f>
        <v>0</v>
      </c>
      <c r="M56" s="337"/>
    </row>
    <row r="57" spans="1:13" ht="15.75" customHeight="1" x14ac:dyDescent="0.35">
      <c r="A57" s="29" t="s">
        <v>69</v>
      </c>
      <c r="B57" s="79">
        <v>1</v>
      </c>
      <c r="C57" s="421"/>
      <c r="D57" s="375">
        <v>46180</v>
      </c>
      <c r="E57" s="32" t="s">
        <v>43</v>
      </c>
      <c r="F57" s="371">
        <v>0</v>
      </c>
      <c r="G57" s="34">
        <v>7</v>
      </c>
      <c r="H57" s="35">
        <f t="shared" si="2"/>
        <v>0</v>
      </c>
      <c r="I57" s="183">
        <f t="shared" si="3"/>
        <v>0</v>
      </c>
      <c r="K57" s="18">
        <v>4</v>
      </c>
      <c r="L57" s="28">
        <f>SUM(I97:I105)</f>
        <v>0</v>
      </c>
      <c r="M57" s="337"/>
    </row>
    <row r="58" spans="1:13" ht="15.75" customHeight="1" x14ac:dyDescent="0.35">
      <c r="A58" s="208" t="s">
        <v>69</v>
      </c>
      <c r="B58" s="209">
        <v>1</v>
      </c>
      <c r="C58" s="421"/>
      <c r="D58" s="376">
        <v>46243</v>
      </c>
      <c r="E58" s="211" t="s">
        <v>43</v>
      </c>
      <c r="F58" s="371">
        <v>0</v>
      </c>
      <c r="G58" s="372">
        <v>9</v>
      </c>
      <c r="H58" s="213">
        <f t="shared" si="2"/>
        <v>0</v>
      </c>
      <c r="I58" s="373">
        <f t="shared" si="3"/>
        <v>0</v>
      </c>
      <c r="K58" s="18" t="s">
        <v>53</v>
      </c>
      <c r="L58" s="28">
        <f>SUM(I106:I114)</f>
        <v>0</v>
      </c>
      <c r="M58" s="337"/>
    </row>
    <row r="59" spans="1:13" ht="15.75" customHeight="1" x14ac:dyDescent="0.35">
      <c r="A59" s="29" t="s">
        <v>69</v>
      </c>
      <c r="B59" s="79">
        <v>1</v>
      </c>
      <c r="C59" s="421"/>
      <c r="D59" s="375">
        <v>46309</v>
      </c>
      <c r="E59" s="32" t="s">
        <v>43</v>
      </c>
      <c r="F59" s="371">
        <v>0</v>
      </c>
      <c r="G59" s="34">
        <v>14</v>
      </c>
      <c r="H59" s="35">
        <f t="shared" si="2"/>
        <v>0</v>
      </c>
      <c r="I59" s="183">
        <f t="shared" si="3"/>
        <v>0</v>
      </c>
      <c r="K59" s="18" t="s">
        <v>352</v>
      </c>
      <c r="L59" s="28">
        <f>SUM(L52:L58)</f>
        <v>0</v>
      </c>
      <c r="M59" s="337"/>
    </row>
    <row r="60" spans="1:13" ht="15.75" customHeight="1" x14ac:dyDescent="0.35">
      <c r="A60" s="208" t="s">
        <v>69</v>
      </c>
      <c r="B60" s="377">
        <v>1</v>
      </c>
      <c r="C60" s="422"/>
      <c r="D60" s="378" t="s">
        <v>285</v>
      </c>
      <c r="E60" s="379" t="s">
        <v>43</v>
      </c>
      <c r="F60" s="380">
        <v>0</v>
      </c>
      <c r="G60" s="381">
        <v>20</v>
      </c>
      <c r="H60" s="382">
        <f t="shared" si="2"/>
        <v>0</v>
      </c>
      <c r="I60" s="383">
        <f t="shared" si="3"/>
        <v>0</v>
      </c>
      <c r="M60" s="337"/>
    </row>
    <row r="61" spans="1:13" ht="15.75" customHeight="1" x14ac:dyDescent="0.35">
      <c r="A61" s="151" t="s">
        <v>71</v>
      </c>
      <c r="B61" s="265">
        <v>2</v>
      </c>
      <c r="C61" s="433" t="s">
        <v>353</v>
      </c>
      <c r="D61" s="266">
        <v>1</v>
      </c>
      <c r="E61" s="154" t="s">
        <v>43</v>
      </c>
      <c r="F61" s="64">
        <v>0</v>
      </c>
      <c r="G61" s="318">
        <v>1</v>
      </c>
      <c r="H61" s="156">
        <f t="shared" si="2"/>
        <v>0</v>
      </c>
      <c r="I61" s="268">
        <f t="shared" si="3"/>
        <v>0</v>
      </c>
      <c r="K61" s="337"/>
      <c r="L61" s="337"/>
      <c r="M61" s="337"/>
    </row>
    <row r="62" spans="1:13" ht="15.75" customHeight="1" x14ac:dyDescent="0.35">
      <c r="A62" s="208" t="s">
        <v>71</v>
      </c>
      <c r="B62" s="209">
        <v>2</v>
      </c>
      <c r="C62" s="421"/>
      <c r="D62" s="210">
        <v>2</v>
      </c>
      <c r="E62" s="211" t="s">
        <v>43</v>
      </c>
      <c r="F62" s="371">
        <v>0</v>
      </c>
      <c r="G62" s="372">
        <v>2</v>
      </c>
      <c r="H62" s="213">
        <f t="shared" si="2"/>
        <v>0</v>
      </c>
      <c r="I62" s="373">
        <f t="shared" si="3"/>
        <v>0</v>
      </c>
      <c r="K62" s="337"/>
      <c r="L62" s="337"/>
      <c r="M62" s="337"/>
    </row>
    <row r="63" spans="1:13" ht="15.75" customHeight="1" x14ac:dyDescent="0.35">
      <c r="A63" s="29" t="s">
        <v>71</v>
      </c>
      <c r="B63" s="79">
        <v>2</v>
      </c>
      <c r="C63" s="421"/>
      <c r="D63" s="181">
        <v>3</v>
      </c>
      <c r="E63" s="32" t="s">
        <v>43</v>
      </c>
      <c r="F63" s="371">
        <v>0</v>
      </c>
      <c r="G63" s="34">
        <v>3</v>
      </c>
      <c r="H63" s="35">
        <f t="shared" si="2"/>
        <v>0</v>
      </c>
      <c r="I63" s="183">
        <f t="shared" si="3"/>
        <v>0</v>
      </c>
      <c r="K63" s="337"/>
      <c r="L63" s="337"/>
      <c r="M63" s="337"/>
    </row>
    <row r="64" spans="1:13" ht="15.75" customHeight="1" x14ac:dyDescent="0.35">
      <c r="A64" s="208" t="s">
        <v>71</v>
      </c>
      <c r="B64" s="209">
        <v>2</v>
      </c>
      <c r="C64" s="421"/>
      <c r="D64" s="210">
        <v>4</v>
      </c>
      <c r="E64" s="211" t="s">
        <v>43</v>
      </c>
      <c r="F64" s="371">
        <v>0</v>
      </c>
      <c r="G64" s="372">
        <v>4</v>
      </c>
      <c r="H64" s="213">
        <f t="shared" si="2"/>
        <v>0</v>
      </c>
      <c r="I64" s="373">
        <f t="shared" si="3"/>
        <v>0</v>
      </c>
      <c r="K64" s="337"/>
      <c r="L64" s="337"/>
      <c r="M64" s="337"/>
    </row>
    <row r="65" spans="1:13" ht="15.75" customHeight="1" x14ac:dyDescent="0.35">
      <c r="A65" s="29" t="s">
        <v>71</v>
      </c>
      <c r="B65" s="79">
        <v>2</v>
      </c>
      <c r="C65" s="421"/>
      <c r="D65" s="269">
        <v>5</v>
      </c>
      <c r="E65" s="32" t="s">
        <v>43</v>
      </c>
      <c r="F65" s="371">
        <v>0</v>
      </c>
      <c r="G65" s="34">
        <v>5</v>
      </c>
      <c r="H65" s="35">
        <f t="shared" si="2"/>
        <v>0</v>
      </c>
      <c r="I65" s="183">
        <f t="shared" si="3"/>
        <v>0</v>
      </c>
      <c r="K65" s="337"/>
      <c r="L65" s="337"/>
      <c r="M65" s="337"/>
    </row>
    <row r="66" spans="1:13" ht="15.75" customHeight="1" x14ac:dyDescent="0.35">
      <c r="A66" s="208" t="s">
        <v>71</v>
      </c>
      <c r="B66" s="209">
        <v>2</v>
      </c>
      <c r="C66" s="421"/>
      <c r="D66" s="376">
        <v>46180</v>
      </c>
      <c r="E66" s="211" t="s">
        <v>43</v>
      </c>
      <c r="F66" s="371">
        <v>0</v>
      </c>
      <c r="G66" s="372">
        <v>7</v>
      </c>
      <c r="H66" s="213">
        <f t="shared" si="2"/>
        <v>0</v>
      </c>
      <c r="I66" s="373">
        <f t="shared" si="3"/>
        <v>0</v>
      </c>
      <c r="K66" s="337"/>
      <c r="L66" s="337"/>
      <c r="M66" s="337"/>
    </row>
    <row r="67" spans="1:13" ht="15.75" customHeight="1" x14ac:dyDescent="0.35">
      <c r="A67" s="29" t="s">
        <v>71</v>
      </c>
      <c r="B67" s="79">
        <v>2</v>
      </c>
      <c r="C67" s="421"/>
      <c r="D67" s="375">
        <v>46243</v>
      </c>
      <c r="E67" s="32" t="s">
        <v>43</v>
      </c>
      <c r="F67" s="371">
        <v>0</v>
      </c>
      <c r="G67" s="34">
        <v>9</v>
      </c>
      <c r="H67" s="35">
        <f t="shared" si="2"/>
        <v>0</v>
      </c>
      <c r="I67" s="183">
        <f t="shared" si="3"/>
        <v>0</v>
      </c>
      <c r="K67" s="337"/>
      <c r="L67" s="337"/>
      <c r="M67" s="337"/>
    </row>
    <row r="68" spans="1:13" ht="15.75" customHeight="1" x14ac:dyDescent="0.35">
      <c r="A68" s="208" t="s">
        <v>71</v>
      </c>
      <c r="B68" s="209">
        <v>2</v>
      </c>
      <c r="C68" s="421"/>
      <c r="D68" s="376">
        <v>46309</v>
      </c>
      <c r="E68" s="211" t="s">
        <v>43</v>
      </c>
      <c r="F68" s="371">
        <v>0</v>
      </c>
      <c r="G68" s="372">
        <v>14</v>
      </c>
      <c r="H68" s="213">
        <f t="shared" si="2"/>
        <v>0</v>
      </c>
      <c r="I68" s="373">
        <f t="shared" si="3"/>
        <v>0</v>
      </c>
      <c r="K68" s="337"/>
      <c r="L68" s="337"/>
      <c r="M68" s="337"/>
    </row>
    <row r="69" spans="1:13" ht="15.75" customHeight="1" x14ac:dyDescent="0.35">
      <c r="A69" s="47" t="s">
        <v>71</v>
      </c>
      <c r="B69" s="88">
        <v>2</v>
      </c>
      <c r="C69" s="422"/>
      <c r="D69" s="193" t="s">
        <v>285</v>
      </c>
      <c r="E69" s="32" t="s">
        <v>43</v>
      </c>
      <c r="F69" s="371">
        <v>0</v>
      </c>
      <c r="G69" s="52">
        <v>20</v>
      </c>
      <c r="H69" s="53">
        <f t="shared" si="2"/>
        <v>0</v>
      </c>
      <c r="I69" s="183">
        <f t="shared" si="3"/>
        <v>0</v>
      </c>
      <c r="K69" s="337"/>
      <c r="L69" s="337"/>
      <c r="M69" s="337"/>
    </row>
    <row r="70" spans="1:13" ht="15.75" customHeight="1" x14ac:dyDescent="0.35">
      <c r="A70" s="208" t="s">
        <v>74</v>
      </c>
      <c r="B70" s="202" t="s">
        <v>46</v>
      </c>
      <c r="C70" s="440" t="s">
        <v>354</v>
      </c>
      <c r="D70" s="203">
        <v>1</v>
      </c>
      <c r="E70" s="204" t="s">
        <v>43</v>
      </c>
      <c r="F70" s="64">
        <v>0</v>
      </c>
      <c r="G70" s="369">
        <v>1</v>
      </c>
      <c r="H70" s="206">
        <f t="shared" si="2"/>
        <v>0</v>
      </c>
      <c r="I70" s="384">
        <f t="shared" si="3"/>
        <v>0</v>
      </c>
      <c r="M70" s="337"/>
    </row>
    <row r="71" spans="1:13" ht="15.75" customHeight="1" x14ac:dyDescent="0.35">
      <c r="A71" s="29" t="s">
        <v>74</v>
      </c>
      <c r="B71" s="79" t="s">
        <v>46</v>
      </c>
      <c r="C71" s="421"/>
      <c r="D71" s="181">
        <v>2</v>
      </c>
      <c r="E71" s="32" t="s">
        <v>43</v>
      </c>
      <c r="F71" s="371">
        <v>0</v>
      </c>
      <c r="G71" s="34">
        <v>2</v>
      </c>
      <c r="H71" s="35">
        <f t="shared" si="2"/>
        <v>0</v>
      </c>
      <c r="I71" s="183">
        <f t="shared" si="3"/>
        <v>0</v>
      </c>
    </row>
    <row r="72" spans="1:13" ht="15.75" customHeight="1" x14ac:dyDescent="0.35">
      <c r="A72" s="208" t="s">
        <v>74</v>
      </c>
      <c r="B72" s="209" t="s">
        <v>46</v>
      </c>
      <c r="C72" s="421"/>
      <c r="D72" s="210">
        <v>3</v>
      </c>
      <c r="E72" s="211" t="s">
        <v>43</v>
      </c>
      <c r="F72" s="371">
        <v>0</v>
      </c>
      <c r="G72" s="372">
        <v>3</v>
      </c>
      <c r="H72" s="213">
        <f t="shared" si="2"/>
        <v>0</v>
      </c>
      <c r="I72" s="373">
        <f t="shared" si="3"/>
        <v>0</v>
      </c>
    </row>
    <row r="73" spans="1:13" ht="15.75" customHeight="1" x14ac:dyDescent="0.35">
      <c r="A73" s="29" t="s">
        <v>74</v>
      </c>
      <c r="B73" s="79" t="s">
        <v>46</v>
      </c>
      <c r="C73" s="421"/>
      <c r="D73" s="181">
        <v>4</v>
      </c>
      <c r="E73" s="32" t="s">
        <v>43</v>
      </c>
      <c r="F73" s="371">
        <v>0</v>
      </c>
      <c r="G73" s="34">
        <v>4</v>
      </c>
      <c r="H73" s="35">
        <f t="shared" si="2"/>
        <v>0</v>
      </c>
      <c r="I73" s="183">
        <f t="shared" si="3"/>
        <v>0</v>
      </c>
    </row>
    <row r="74" spans="1:13" ht="15.75" customHeight="1" x14ac:dyDescent="0.35">
      <c r="A74" s="208" t="s">
        <v>74</v>
      </c>
      <c r="B74" s="209" t="s">
        <v>46</v>
      </c>
      <c r="C74" s="421"/>
      <c r="D74" s="374">
        <v>5</v>
      </c>
      <c r="E74" s="211" t="s">
        <v>43</v>
      </c>
      <c r="F74" s="371">
        <v>0</v>
      </c>
      <c r="G74" s="372">
        <v>5</v>
      </c>
      <c r="H74" s="213">
        <f t="shared" si="2"/>
        <v>0</v>
      </c>
      <c r="I74" s="373">
        <f t="shared" si="3"/>
        <v>0</v>
      </c>
    </row>
    <row r="75" spans="1:13" ht="15.75" customHeight="1" x14ac:dyDescent="0.35">
      <c r="A75" s="29" t="s">
        <v>74</v>
      </c>
      <c r="B75" s="79" t="s">
        <v>46</v>
      </c>
      <c r="C75" s="421"/>
      <c r="D75" s="375">
        <v>46180</v>
      </c>
      <c r="E75" s="32" t="s">
        <v>43</v>
      </c>
      <c r="F75" s="371">
        <v>0</v>
      </c>
      <c r="G75" s="34">
        <v>7</v>
      </c>
      <c r="H75" s="35">
        <f t="shared" si="2"/>
        <v>0</v>
      </c>
      <c r="I75" s="183">
        <f t="shared" si="3"/>
        <v>0</v>
      </c>
    </row>
    <row r="76" spans="1:13" ht="15.75" customHeight="1" x14ac:dyDescent="0.35">
      <c r="A76" s="208" t="s">
        <v>74</v>
      </c>
      <c r="B76" s="209" t="s">
        <v>46</v>
      </c>
      <c r="C76" s="421"/>
      <c r="D76" s="376">
        <v>46243</v>
      </c>
      <c r="E76" s="211" t="s">
        <v>43</v>
      </c>
      <c r="F76" s="371">
        <v>0</v>
      </c>
      <c r="G76" s="372">
        <v>9</v>
      </c>
      <c r="H76" s="213">
        <f t="shared" si="2"/>
        <v>0</v>
      </c>
      <c r="I76" s="373">
        <f t="shared" si="3"/>
        <v>0</v>
      </c>
    </row>
    <row r="77" spans="1:13" ht="15.75" customHeight="1" x14ac:dyDescent="0.35">
      <c r="A77" s="29" t="s">
        <v>74</v>
      </c>
      <c r="B77" s="79" t="s">
        <v>46</v>
      </c>
      <c r="C77" s="421"/>
      <c r="D77" s="375">
        <v>46309</v>
      </c>
      <c r="E77" s="32" t="s">
        <v>43</v>
      </c>
      <c r="F77" s="371">
        <v>0</v>
      </c>
      <c r="G77" s="34">
        <v>14</v>
      </c>
      <c r="H77" s="35">
        <f t="shared" si="2"/>
        <v>0</v>
      </c>
      <c r="I77" s="183">
        <f t="shared" si="3"/>
        <v>0</v>
      </c>
    </row>
    <row r="78" spans="1:13" ht="15.75" customHeight="1" x14ac:dyDescent="0.35">
      <c r="A78" s="385" t="s">
        <v>74</v>
      </c>
      <c r="B78" s="377" t="s">
        <v>46</v>
      </c>
      <c r="C78" s="422"/>
      <c r="D78" s="378" t="s">
        <v>285</v>
      </c>
      <c r="E78" s="211" t="s">
        <v>43</v>
      </c>
      <c r="F78" s="371">
        <v>0</v>
      </c>
      <c r="G78" s="381">
        <v>20</v>
      </c>
      <c r="H78" s="382">
        <f t="shared" si="2"/>
        <v>0</v>
      </c>
      <c r="I78" s="373">
        <f t="shared" si="3"/>
        <v>0</v>
      </c>
    </row>
    <row r="79" spans="1:13" ht="15.75" customHeight="1" x14ac:dyDescent="0.35">
      <c r="A79" s="151" t="s">
        <v>76</v>
      </c>
      <c r="B79" s="154">
        <v>3</v>
      </c>
      <c r="C79" s="433" t="s">
        <v>355</v>
      </c>
      <c r="D79" s="266">
        <v>1</v>
      </c>
      <c r="E79" s="154" t="s">
        <v>43</v>
      </c>
      <c r="F79" s="64">
        <v>0</v>
      </c>
      <c r="G79" s="318">
        <v>1</v>
      </c>
      <c r="H79" s="156">
        <f t="shared" si="2"/>
        <v>0</v>
      </c>
      <c r="I79" s="268">
        <f t="shared" si="3"/>
        <v>0</v>
      </c>
    </row>
    <row r="80" spans="1:13" ht="15.75" customHeight="1" x14ac:dyDescent="0.35">
      <c r="A80" s="208" t="s">
        <v>76</v>
      </c>
      <c r="B80" s="211">
        <v>3</v>
      </c>
      <c r="C80" s="421"/>
      <c r="D80" s="210">
        <v>2</v>
      </c>
      <c r="E80" s="211" t="s">
        <v>43</v>
      </c>
      <c r="F80" s="371">
        <v>0</v>
      </c>
      <c r="G80" s="372">
        <v>2</v>
      </c>
      <c r="H80" s="213">
        <f t="shared" si="2"/>
        <v>0</v>
      </c>
      <c r="I80" s="373">
        <f t="shared" si="3"/>
        <v>0</v>
      </c>
    </row>
    <row r="81" spans="1:9" ht="15.75" customHeight="1" x14ac:dyDescent="0.35">
      <c r="A81" s="29" t="s">
        <v>76</v>
      </c>
      <c r="B81" s="32">
        <v>3</v>
      </c>
      <c r="C81" s="421"/>
      <c r="D81" s="181">
        <v>3</v>
      </c>
      <c r="E81" s="32" t="s">
        <v>43</v>
      </c>
      <c r="F81" s="371">
        <v>0</v>
      </c>
      <c r="G81" s="34">
        <v>3</v>
      </c>
      <c r="H81" s="35">
        <f t="shared" si="2"/>
        <v>0</v>
      </c>
      <c r="I81" s="183">
        <f t="shared" si="3"/>
        <v>0</v>
      </c>
    </row>
    <row r="82" spans="1:9" ht="15.75" customHeight="1" x14ac:dyDescent="0.35">
      <c r="A82" s="208" t="s">
        <v>76</v>
      </c>
      <c r="B82" s="211">
        <v>3</v>
      </c>
      <c r="C82" s="421"/>
      <c r="D82" s="210">
        <v>4</v>
      </c>
      <c r="E82" s="211" t="s">
        <v>43</v>
      </c>
      <c r="F82" s="371">
        <v>0</v>
      </c>
      <c r="G82" s="372">
        <v>4</v>
      </c>
      <c r="H82" s="213">
        <f t="shared" si="2"/>
        <v>0</v>
      </c>
      <c r="I82" s="373">
        <f t="shared" si="3"/>
        <v>0</v>
      </c>
    </row>
    <row r="83" spans="1:9" ht="15.75" customHeight="1" x14ac:dyDescent="0.35">
      <c r="A83" s="29" t="s">
        <v>76</v>
      </c>
      <c r="B83" s="32">
        <v>3</v>
      </c>
      <c r="C83" s="421"/>
      <c r="D83" s="269">
        <v>5</v>
      </c>
      <c r="E83" s="32" t="s">
        <v>43</v>
      </c>
      <c r="F83" s="371">
        <v>0</v>
      </c>
      <c r="G83" s="34">
        <v>5</v>
      </c>
      <c r="H83" s="35">
        <f t="shared" si="2"/>
        <v>0</v>
      </c>
      <c r="I83" s="183">
        <f t="shared" si="3"/>
        <v>0</v>
      </c>
    </row>
    <row r="84" spans="1:9" ht="15.75" customHeight="1" x14ac:dyDescent="0.35">
      <c r="A84" s="208" t="s">
        <v>76</v>
      </c>
      <c r="B84" s="211">
        <v>3</v>
      </c>
      <c r="C84" s="421"/>
      <c r="D84" s="376">
        <v>46180</v>
      </c>
      <c r="E84" s="211" t="s">
        <v>43</v>
      </c>
      <c r="F84" s="371">
        <v>0</v>
      </c>
      <c r="G84" s="372">
        <v>7</v>
      </c>
      <c r="H84" s="213">
        <f t="shared" si="2"/>
        <v>0</v>
      </c>
      <c r="I84" s="373">
        <f t="shared" si="3"/>
        <v>0</v>
      </c>
    </row>
    <row r="85" spans="1:9" ht="15.75" customHeight="1" x14ac:dyDescent="0.35">
      <c r="A85" s="29" t="s">
        <v>76</v>
      </c>
      <c r="B85" s="32">
        <v>3</v>
      </c>
      <c r="C85" s="421"/>
      <c r="D85" s="375">
        <v>46243</v>
      </c>
      <c r="E85" s="32" t="s">
        <v>43</v>
      </c>
      <c r="F85" s="371">
        <v>0</v>
      </c>
      <c r="G85" s="34">
        <v>9</v>
      </c>
      <c r="H85" s="35">
        <f t="shared" si="2"/>
        <v>0</v>
      </c>
      <c r="I85" s="183">
        <f t="shared" si="3"/>
        <v>0</v>
      </c>
    </row>
    <row r="86" spans="1:9" ht="15.75" customHeight="1" x14ac:dyDescent="0.35">
      <c r="A86" s="208" t="s">
        <v>76</v>
      </c>
      <c r="B86" s="211">
        <v>3</v>
      </c>
      <c r="C86" s="421"/>
      <c r="D86" s="376">
        <v>46309</v>
      </c>
      <c r="E86" s="211" t="s">
        <v>43</v>
      </c>
      <c r="F86" s="371">
        <v>0</v>
      </c>
      <c r="G86" s="372">
        <v>14</v>
      </c>
      <c r="H86" s="213">
        <f t="shared" si="2"/>
        <v>0</v>
      </c>
      <c r="I86" s="373">
        <f t="shared" si="3"/>
        <v>0</v>
      </c>
    </row>
    <row r="87" spans="1:9" ht="15.75" customHeight="1" x14ac:dyDescent="0.35">
      <c r="A87" s="47" t="s">
        <v>76</v>
      </c>
      <c r="B87" s="50">
        <v>3</v>
      </c>
      <c r="C87" s="422"/>
      <c r="D87" s="193" t="s">
        <v>285</v>
      </c>
      <c r="E87" s="32" t="s">
        <v>43</v>
      </c>
      <c r="F87" s="371">
        <v>0</v>
      </c>
      <c r="G87" s="52">
        <v>20</v>
      </c>
      <c r="H87" s="53">
        <f t="shared" si="2"/>
        <v>0</v>
      </c>
      <c r="I87" s="183">
        <f t="shared" si="3"/>
        <v>0</v>
      </c>
    </row>
    <row r="88" spans="1:9" ht="15.75" customHeight="1" x14ac:dyDescent="0.35">
      <c r="A88" s="201" t="s">
        <v>78</v>
      </c>
      <c r="B88" s="204" t="s">
        <v>49</v>
      </c>
      <c r="C88" s="440" t="s">
        <v>356</v>
      </c>
      <c r="D88" s="203">
        <v>1</v>
      </c>
      <c r="E88" s="204" t="s">
        <v>43</v>
      </c>
      <c r="F88" s="64">
        <v>0</v>
      </c>
      <c r="G88" s="369">
        <v>1</v>
      </c>
      <c r="H88" s="206">
        <f t="shared" si="2"/>
        <v>0</v>
      </c>
      <c r="I88" s="384">
        <f t="shared" si="3"/>
        <v>0</v>
      </c>
    </row>
    <row r="89" spans="1:9" ht="15.75" customHeight="1" x14ac:dyDescent="0.35">
      <c r="A89" s="29" t="s">
        <v>78</v>
      </c>
      <c r="B89" s="32" t="s">
        <v>49</v>
      </c>
      <c r="C89" s="421"/>
      <c r="D89" s="181">
        <v>2</v>
      </c>
      <c r="E89" s="32" t="s">
        <v>43</v>
      </c>
      <c r="F89" s="371">
        <v>0</v>
      </c>
      <c r="G89" s="34">
        <v>2</v>
      </c>
      <c r="H89" s="35">
        <f t="shared" si="2"/>
        <v>0</v>
      </c>
      <c r="I89" s="183">
        <f t="shared" si="3"/>
        <v>0</v>
      </c>
    </row>
    <row r="90" spans="1:9" ht="15.75" customHeight="1" x14ac:dyDescent="0.35">
      <c r="A90" s="208" t="s">
        <v>78</v>
      </c>
      <c r="B90" s="211" t="s">
        <v>49</v>
      </c>
      <c r="C90" s="421"/>
      <c r="D90" s="210">
        <v>3</v>
      </c>
      <c r="E90" s="211" t="s">
        <v>43</v>
      </c>
      <c r="F90" s="371">
        <v>0</v>
      </c>
      <c r="G90" s="372">
        <v>3</v>
      </c>
      <c r="H90" s="213">
        <f t="shared" si="2"/>
        <v>0</v>
      </c>
      <c r="I90" s="373">
        <f t="shared" si="3"/>
        <v>0</v>
      </c>
    </row>
    <row r="91" spans="1:9" ht="15.75" customHeight="1" x14ac:dyDescent="0.35">
      <c r="A91" s="29" t="s">
        <v>78</v>
      </c>
      <c r="B91" s="32" t="s">
        <v>49</v>
      </c>
      <c r="C91" s="421"/>
      <c r="D91" s="181">
        <v>4</v>
      </c>
      <c r="E91" s="32" t="s">
        <v>43</v>
      </c>
      <c r="F91" s="371">
        <v>0</v>
      </c>
      <c r="G91" s="34">
        <v>4</v>
      </c>
      <c r="H91" s="35">
        <f t="shared" si="2"/>
        <v>0</v>
      </c>
      <c r="I91" s="183">
        <f t="shared" si="3"/>
        <v>0</v>
      </c>
    </row>
    <row r="92" spans="1:9" ht="15.75" customHeight="1" x14ac:dyDescent="0.35">
      <c r="A92" s="208" t="s">
        <v>78</v>
      </c>
      <c r="B92" s="211" t="s">
        <v>49</v>
      </c>
      <c r="C92" s="421"/>
      <c r="D92" s="374">
        <v>5</v>
      </c>
      <c r="E92" s="211" t="s">
        <v>43</v>
      </c>
      <c r="F92" s="371">
        <v>0</v>
      </c>
      <c r="G92" s="372">
        <v>5</v>
      </c>
      <c r="H92" s="213">
        <f t="shared" si="2"/>
        <v>0</v>
      </c>
      <c r="I92" s="373">
        <f t="shared" si="3"/>
        <v>0</v>
      </c>
    </row>
    <row r="93" spans="1:9" ht="15.75" customHeight="1" x14ac:dyDescent="0.35">
      <c r="A93" s="29" t="s">
        <v>78</v>
      </c>
      <c r="B93" s="32" t="s">
        <v>49</v>
      </c>
      <c r="C93" s="421"/>
      <c r="D93" s="375">
        <v>46180</v>
      </c>
      <c r="E93" s="32" t="s">
        <v>43</v>
      </c>
      <c r="F93" s="371">
        <v>0</v>
      </c>
      <c r="G93" s="34">
        <v>7</v>
      </c>
      <c r="H93" s="35">
        <f t="shared" si="2"/>
        <v>0</v>
      </c>
      <c r="I93" s="183">
        <f t="shared" si="3"/>
        <v>0</v>
      </c>
    </row>
    <row r="94" spans="1:9" ht="15.75" customHeight="1" x14ac:dyDescent="0.35">
      <c r="A94" s="208" t="s">
        <v>78</v>
      </c>
      <c r="B94" s="211" t="s">
        <v>49</v>
      </c>
      <c r="C94" s="421"/>
      <c r="D94" s="376">
        <v>46243</v>
      </c>
      <c r="E94" s="211" t="s">
        <v>43</v>
      </c>
      <c r="F94" s="371">
        <v>0</v>
      </c>
      <c r="G94" s="372">
        <v>9</v>
      </c>
      <c r="H94" s="213">
        <f t="shared" si="2"/>
        <v>0</v>
      </c>
      <c r="I94" s="373">
        <f t="shared" si="3"/>
        <v>0</v>
      </c>
    </row>
    <row r="95" spans="1:9" ht="15.75" customHeight="1" x14ac:dyDescent="0.35">
      <c r="A95" s="29" t="s">
        <v>78</v>
      </c>
      <c r="B95" s="32" t="s">
        <v>49</v>
      </c>
      <c r="C95" s="421"/>
      <c r="D95" s="375">
        <v>46309</v>
      </c>
      <c r="E95" s="32" t="s">
        <v>43</v>
      </c>
      <c r="F95" s="371">
        <v>0</v>
      </c>
      <c r="G95" s="34">
        <v>14</v>
      </c>
      <c r="H95" s="35">
        <f t="shared" si="2"/>
        <v>0</v>
      </c>
      <c r="I95" s="183">
        <f t="shared" si="3"/>
        <v>0</v>
      </c>
    </row>
    <row r="96" spans="1:9" ht="15.75" customHeight="1" x14ac:dyDescent="0.35">
      <c r="A96" s="385" t="s">
        <v>78</v>
      </c>
      <c r="B96" s="386" t="s">
        <v>49</v>
      </c>
      <c r="C96" s="422"/>
      <c r="D96" s="378" t="s">
        <v>285</v>
      </c>
      <c r="E96" s="211" t="s">
        <v>43</v>
      </c>
      <c r="F96" s="371">
        <v>0</v>
      </c>
      <c r="G96" s="381">
        <v>20</v>
      </c>
      <c r="H96" s="382">
        <f t="shared" si="2"/>
        <v>0</v>
      </c>
      <c r="I96" s="373">
        <f t="shared" si="3"/>
        <v>0</v>
      </c>
    </row>
    <row r="97" spans="1:9" ht="15.75" customHeight="1" x14ac:dyDescent="0.35">
      <c r="A97" s="151" t="s">
        <v>80</v>
      </c>
      <c r="B97" s="271">
        <v>4</v>
      </c>
      <c r="C97" s="433" t="s">
        <v>357</v>
      </c>
      <c r="D97" s="266">
        <v>1</v>
      </c>
      <c r="E97" s="154" t="s">
        <v>43</v>
      </c>
      <c r="F97" s="64">
        <v>0</v>
      </c>
      <c r="G97" s="318">
        <v>1</v>
      </c>
      <c r="H97" s="156">
        <f t="shared" si="2"/>
        <v>0</v>
      </c>
      <c r="I97" s="268">
        <f t="shared" si="3"/>
        <v>0</v>
      </c>
    </row>
    <row r="98" spans="1:9" ht="15.75" customHeight="1" x14ac:dyDescent="0.35">
      <c r="A98" s="208" t="s">
        <v>80</v>
      </c>
      <c r="B98" s="211">
        <v>4</v>
      </c>
      <c r="C98" s="421"/>
      <c r="D98" s="210">
        <v>2</v>
      </c>
      <c r="E98" s="211" t="s">
        <v>43</v>
      </c>
      <c r="F98" s="371">
        <v>0</v>
      </c>
      <c r="G98" s="372">
        <v>2</v>
      </c>
      <c r="H98" s="213">
        <f t="shared" si="2"/>
        <v>0</v>
      </c>
      <c r="I98" s="373">
        <f t="shared" si="3"/>
        <v>0</v>
      </c>
    </row>
    <row r="99" spans="1:9" ht="15.75" customHeight="1" x14ac:dyDescent="0.35">
      <c r="A99" s="29" t="s">
        <v>80</v>
      </c>
      <c r="B99" s="32">
        <v>4</v>
      </c>
      <c r="C99" s="421"/>
      <c r="D99" s="181">
        <v>3</v>
      </c>
      <c r="E99" s="32" t="s">
        <v>43</v>
      </c>
      <c r="F99" s="371">
        <v>0</v>
      </c>
      <c r="G99" s="34">
        <v>3</v>
      </c>
      <c r="H99" s="35">
        <f t="shared" si="2"/>
        <v>0</v>
      </c>
      <c r="I99" s="183">
        <f t="shared" si="3"/>
        <v>0</v>
      </c>
    </row>
    <row r="100" spans="1:9" ht="15.75" customHeight="1" x14ac:dyDescent="0.35">
      <c r="A100" s="208" t="s">
        <v>80</v>
      </c>
      <c r="B100" s="211">
        <v>4</v>
      </c>
      <c r="C100" s="421"/>
      <c r="D100" s="210">
        <v>4</v>
      </c>
      <c r="E100" s="211" t="s">
        <v>43</v>
      </c>
      <c r="F100" s="371">
        <v>0</v>
      </c>
      <c r="G100" s="372">
        <v>4</v>
      </c>
      <c r="H100" s="213">
        <f t="shared" si="2"/>
        <v>0</v>
      </c>
      <c r="I100" s="373">
        <f t="shared" si="3"/>
        <v>0</v>
      </c>
    </row>
    <row r="101" spans="1:9" ht="15.75" customHeight="1" x14ac:dyDescent="0.35">
      <c r="A101" s="29" t="s">
        <v>80</v>
      </c>
      <c r="B101" s="32">
        <v>4</v>
      </c>
      <c r="C101" s="421"/>
      <c r="D101" s="269">
        <v>5</v>
      </c>
      <c r="E101" s="32" t="s">
        <v>43</v>
      </c>
      <c r="F101" s="371">
        <v>0</v>
      </c>
      <c r="G101" s="34">
        <v>5</v>
      </c>
      <c r="H101" s="35">
        <f t="shared" si="2"/>
        <v>0</v>
      </c>
      <c r="I101" s="183">
        <f t="shared" si="3"/>
        <v>0</v>
      </c>
    </row>
    <row r="102" spans="1:9" ht="15.75" customHeight="1" x14ac:dyDescent="0.35">
      <c r="A102" s="208" t="s">
        <v>80</v>
      </c>
      <c r="B102" s="211">
        <v>4</v>
      </c>
      <c r="C102" s="421"/>
      <c r="D102" s="376">
        <v>46180</v>
      </c>
      <c r="E102" s="211" t="s">
        <v>43</v>
      </c>
      <c r="F102" s="371">
        <v>0</v>
      </c>
      <c r="G102" s="372">
        <v>7</v>
      </c>
      <c r="H102" s="213">
        <f t="shared" si="2"/>
        <v>0</v>
      </c>
      <c r="I102" s="373">
        <f t="shared" si="3"/>
        <v>0</v>
      </c>
    </row>
    <row r="103" spans="1:9" ht="15.75" customHeight="1" x14ac:dyDescent="0.35">
      <c r="A103" s="29" t="s">
        <v>80</v>
      </c>
      <c r="B103" s="32">
        <v>4</v>
      </c>
      <c r="C103" s="421"/>
      <c r="D103" s="375">
        <v>46243</v>
      </c>
      <c r="E103" s="32" t="s">
        <v>43</v>
      </c>
      <c r="F103" s="371">
        <v>0</v>
      </c>
      <c r="G103" s="34">
        <v>9</v>
      </c>
      <c r="H103" s="35">
        <f t="shared" si="2"/>
        <v>0</v>
      </c>
      <c r="I103" s="183">
        <f t="shared" si="3"/>
        <v>0</v>
      </c>
    </row>
    <row r="104" spans="1:9" ht="15.75" customHeight="1" x14ac:dyDescent="0.35">
      <c r="A104" s="208" t="s">
        <v>80</v>
      </c>
      <c r="B104" s="211">
        <v>4</v>
      </c>
      <c r="C104" s="421"/>
      <c r="D104" s="376">
        <v>46309</v>
      </c>
      <c r="E104" s="211" t="s">
        <v>43</v>
      </c>
      <c r="F104" s="371">
        <v>0</v>
      </c>
      <c r="G104" s="372">
        <v>14</v>
      </c>
      <c r="H104" s="213">
        <f t="shared" si="2"/>
        <v>0</v>
      </c>
      <c r="I104" s="373">
        <f t="shared" si="3"/>
        <v>0</v>
      </c>
    </row>
    <row r="105" spans="1:9" ht="15.75" customHeight="1" x14ac:dyDescent="0.35">
      <c r="A105" s="47" t="s">
        <v>80</v>
      </c>
      <c r="B105" s="50">
        <v>4</v>
      </c>
      <c r="C105" s="422"/>
      <c r="D105" s="193" t="s">
        <v>285</v>
      </c>
      <c r="E105" s="32" t="s">
        <v>43</v>
      </c>
      <c r="F105" s="371">
        <v>0</v>
      </c>
      <c r="G105" s="52">
        <v>20</v>
      </c>
      <c r="H105" s="53">
        <f t="shared" si="2"/>
        <v>0</v>
      </c>
      <c r="I105" s="183">
        <f t="shared" si="3"/>
        <v>0</v>
      </c>
    </row>
    <row r="106" spans="1:9" ht="15.75" customHeight="1" x14ac:dyDescent="0.35">
      <c r="A106" s="201" t="s">
        <v>82</v>
      </c>
      <c r="B106" s="387" t="s">
        <v>53</v>
      </c>
      <c r="C106" s="440" t="s">
        <v>358</v>
      </c>
      <c r="D106" s="203">
        <v>1</v>
      </c>
      <c r="E106" s="204" t="s">
        <v>43</v>
      </c>
      <c r="F106" s="64">
        <v>0</v>
      </c>
      <c r="G106" s="369">
        <v>1</v>
      </c>
      <c r="H106" s="206">
        <f t="shared" si="2"/>
        <v>0</v>
      </c>
      <c r="I106" s="384">
        <f t="shared" si="3"/>
        <v>0</v>
      </c>
    </row>
    <row r="107" spans="1:9" ht="15.75" customHeight="1" x14ac:dyDescent="0.35">
      <c r="A107" s="29" t="s">
        <v>82</v>
      </c>
      <c r="B107" s="32" t="s">
        <v>53</v>
      </c>
      <c r="C107" s="421"/>
      <c r="D107" s="181">
        <v>2</v>
      </c>
      <c r="E107" s="32" t="s">
        <v>43</v>
      </c>
      <c r="F107" s="371">
        <v>0</v>
      </c>
      <c r="G107" s="34">
        <v>2</v>
      </c>
      <c r="H107" s="35">
        <f t="shared" si="2"/>
        <v>0</v>
      </c>
      <c r="I107" s="183">
        <f t="shared" si="3"/>
        <v>0</v>
      </c>
    </row>
    <row r="108" spans="1:9" ht="15.75" customHeight="1" x14ac:dyDescent="0.35">
      <c r="A108" s="208" t="s">
        <v>82</v>
      </c>
      <c r="B108" s="211" t="s">
        <v>53</v>
      </c>
      <c r="C108" s="421"/>
      <c r="D108" s="210">
        <v>3</v>
      </c>
      <c r="E108" s="211" t="s">
        <v>43</v>
      </c>
      <c r="F108" s="371">
        <v>0</v>
      </c>
      <c r="G108" s="372">
        <v>3</v>
      </c>
      <c r="H108" s="213">
        <f t="shared" si="2"/>
        <v>0</v>
      </c>
      <c r="I108" s="373">
        <f t="shared" si="3"/>
        <v>0</v>
      </c>
    </row>
    <row r="109" spans="1:9" ht="15.75" customHeight="1" x14ac:dyDescent="0.35">
      <c r="A109" s="29" t="s">
        <v>82</v>
      </c>
      <c r="B109" s="32" t="s">
        <v>53</v>
      </c>
      <c r="C109" s="421"/>
      <c r="D109" s="181">
        <v>4</v>
      </c>
      <c r="E109" s="32" t="s">
        <v>43</v>
      </c>
      <c r="F109" s="371">
        <v>0</v>
      </c>
      <c r="G109" s="34">
        <v>4</v>
      </c>
      <c r="H109" s="35">
        <f t="shared" si="2"/>
        <v>0</v>
      </c>
      <c r="I109" s="183">
        <f t="shared" si="3"/>
        <v>0</v>
      </c>
    </row>
    <row r="110" spans="1:9" ht="15.75" customHeight="1" x14ac:dyDescent="0.35">
      <c r="A110" s="208" t="s">
        <v>82</v>
      </c>
      <c r="B110" s="211" t="s">
        <v>53</v>
      </c>
      <c r="C110" s="421"/>
      <c r="D110" s="374">
        <v>5</v>
      </c>
      <c r="E110" s="211" t="s">
        <v>43</v>
      </c>
      <c r="F110" s="371">
        <v>0</v>
      </c>
      <c r="G110" s="372">
        <v>5</v>
      </c>
      <c r="H110" s="213">
        <f t="shared" si="2"/>
        <v>0</v>
      </c>
      <c r="I110" s="373">
        <f t="shared" si="3"/>
        <v>0</v>
      </c>
    </row>
    <row r="111" spans="1:9" ht="15.75" customHeight="1" x14ac:dyDescent="0.35">
      <c r="A111" s="29" t="s">
        <v>82</v>
      </c>
      <c r="B111" s="32" t="s">
        <v>53</v>
      </c>
      <c r="C111" s="421"/>
      <c r="D111" s="375">
        <v>46180</v>
      </c>
      <c r="E111" s="32" t="s">
        <v>43</v>
      </c>
      <c r="F111" s="371">
        <v>0</v>
      </c>
      <c r="G111" s="34">
        <v>7</v>
      </c>
      <c r="H111" s="35">
        <f t="shared" si="2"/>
        <v>0</v>
      </c>
      <c r="I111" s="183">
        <f t="shared" si="3"/>
        <v>0</v>
      </c>
    </row>
    <row r="112" spans="1:9" ht="15.75" customHeight="1" x14ac:dyDescent="0.35">
      <c r="A112" s="208" t="s">
        <v>82</v>
      </c>
      <c r="B112" s="211" t="s">
        <v>53</v>
      </c>
      <c r="C112" s="421"/>
      <c r="D112" s="376">
        <v>46243</v>
      </c>
      <c r="E112" s="211" t="s">
        <v>43</v>
      </c>
      <c r="F112" s="371">
        <v>0</v>
      </c>
      <c r="G112" s="372">
        <v>9</v>
      </c>
      <c r="H112" s="213">
        <f t="shared" si="2"/>
        <v>0</v>
      </c>
      <c r="I112" s="373">
        <f t="shared" si="3"/>
        <v>0</v>
      </c>
    </row>
    <row r="113" spans="1:13" ht="15.75" customHeight="1" x14ac:dyDescent="0.35">
      <c r="A113" s="29" t="s">
        <v>82</v>
      </c>
      <c r="B113" s="32" t="s">
        <v>53</v>
      </c>
      <c r="C113" s="421"/>
      <c r="D113" s="375">
        <v>46309</v>
      </c>
      <c r="E113" s="32" t="s">
        <v>43</v>
      </c>
      <c r="F113" s="371">
        <v>0</v>
      </c>
      <c r="G113" s="34">
        <v>14</v>
      </c>
      <c r="H113" s="35">
        <f t="shared" si="2"/>
        <v>0</v>
      </c>
      <c r="I113" s="183">
        <f t="shared" si="3"/>
        <v>0</v>
      </c>
    </row>
    <row r="114" spans="1:13" ht="15.75" customHeight="1" x14ac:dyDescent="0.35">
      <c r="A114" s="385" t="s">
        <v>82</v>
      </c>
      <c r="B114" s="386" t="s">
        <v>53</v>
      </c>
      <c r="C114" s="422"/>
      <c r="D114" s="378" t="s">
        <v>285</v>
      </c>
      <c r="E114" s="386" t="s">
        <v>43</v>
      </c>
      <c r="F114" s="388">
        <v>0</v>
      </c>
      <c r="G114" s="381">
        <v>20</v>
      </c>
      <c r="H114" s="382">
        <f t="shared" si="2"/>
        <v>0</v>
      </c>
      <c r="I114" s="389">
        <f t="shared" si="3"/>
        <v>0</v>
      </c>
      <c r="M114" s="337"/>
    </row>
    <row r="115" spans="1:13" ht="15.75" customHeight="1" x14ac:dyDescent="0.35">
      <c r="M115" s="337"/>
    </row>
    <row r="116" spans="1:13" ht="18.75" customHeight="1" x14ac:dyDescent="0.4">
      <c r="A116" s="450" t="s">
        <v>359</v>
      </c>
      <c r="B116" s="413"/>
      <c r="C116" s="413"/>
      <c r="D116" s="413"/>
      <c r="E116" s="413"/>
      <c r="F116" s="413"/>
      <c r="G116" s="413"/>
      <c r="H116" s="413"/>
      <c r="M116" s="337"/>
    </row>
    <row r="117" spans="1:13" ht="15.75" customHeight="1" x14ac:dyDescent="0.35">
      <c r="A117" s="451" t="s">
        <v>360</v>
      </c>
      <c r="B117" s="416"/>
      <c r="C117" s="416"/>
      <c r="D117" s="416"/>
      <c r="E117" s="416"/>
      <c r="F117" s="417"/>
      <c r="G117" s="452" t="s">
        <v>361</v>
      </c>
      <c r="H117" s="416"/>
      <c r="I117" s="419"/>
      <c r="M117" s="337"/>
    </row>
    <row r="118" spans="1:13" ht="15.75" customHeight="1" x14ac:dyDescent="0.35">
      <c r="A118" s="125" t="s">
        <v>333</v>
      </c>
      <c r="B118" s="69" t="s">
        <v>31</v>
      </c>
      <c r="C118" s="69" t="s">
        <v>32</v>
      </c>
      <c r="D118" s="127" t="s">
        <v>226</v>
      </c>
      <c r="E118" s="50" t="s">
        <v>34</v>
      </c>
      <c r="F118" s="69" t="s">
        <v>35</v>
      </c>
      <c r="G118" s="16" t="s">
        <v>304</v>
      </c>
      <c r="H118" s="14" t="s">
        <v>37</v>
      </c>
      <c r="I118" s="128" t="s">
        <v>38</v>
      </c>
      <c r="K118" s="18" t="s">
        <v>39</v>
      </c>
      <c r="L118" s="339" t="s">
        <v>362</v>
      </c>
      <c r="M118" s="337"/>
    </row>
    <row r="119" spans="1:13" ht="15.75" customHeight="1" x14ac:dyDescent="0.35">
      <c r="A119" s="390" t="s">
        <v>87</v>
      </c>
      <c r="B119" s="365">
        <v>1</v>
      </c>
      <c r="C119" s="453" t="s">
        <v>363</v>
      </c>
      <c r="D119" s="366">
        <v>1</v>
      </c>
      <c r="E119" s="367" t="s">
        <v>43</v>
      </c>
      <c r="F119" s="368">
        <v>0</v>
      </c>
      <c r="G119" s="369">
        <v>1</v>
      </c>
      <c r="H119" s="206">
        <f t="shared" ref="H119:H181" si="4">F119*G119</f>
        <v>0</v>
      </c>
      <c r="I119" s="370">
        <f t="shared" ref="I119:I181" si="5">H119*365</f>
        <v>0</v>
      </c>
      <c r="K119" s="18">
        <v>1</v>
      </c>
      <c r="L119" s="28">
        <f>SUM(I119:I127)</f>
        <v>0</v>
      </c>
      <c r="M119" s="337"/>
    </row>
    <row r="120" spans="1:13" ht="15.75" customHeight="1" x14ac:dyDescent="0.35">
      <c r="A120" s="391" t="s">
        <v>87</v>
      </c>
      <c r="B120" s="79">
        <v>1</v>
      </c>
      <c r="C120" s="421"/>
      <c r="D120" s="181">
        <v>2</v>
      </c>
      <c r="E120" s="32" t="s">
        <v>43</v>
      </c>
      <c r="F120" s="371">
        <v>0</v>
      </c>
      <c r="G120" s="34">
        <v>2</v>
      </c>
      <c r="H120" s="35">
        <f t="shared" si="4"/>
        <v>0</v>
      </c>
      <c r="I120" s="183">
        <f t="shared" si="5"/>
        <v>0</v>
      </c>
      <c r="K120" s="18">
        <v>2</v>
      </c>
      <c r="L120" s="28">
        <f>SUM(I128:I136)</f>
        <v>0</v>
      </c>
      <c r="M120" s="337"/>
    </row>
    <row r="121" spans="1:13" ht="15.75" customHeight="1" x14ac:dyDescent="0.35">
      <c r="A121" s="392" t="s">
        <v>87</v>
      </c>
      <c r="B121" s="209">
        <v>1</v>
      </c>
      <c r="C121" s="421"/>
      <c r="D121" s="210">
        <v>3</v>
      </c>
      <c r="E121" s="211" t="s">
        <v>43</v>
      </c>
      <c r="F121" s="371">
        <v>0</v>
      </c>
      <c r="G121" s="372">
        <v>3</v>
      </c>
      <c r="H121" s="213">
        <f t="shared" si="4"/>
        <v>0</v>
      </c>
      <c r="I121" s="373">
        <f t="shared" si="5"/>
        <v>0</v>
      </c>
      <c r="K121" s="18" t="s">
        <v>46</v>
      </c>
      <c r="L121" s="28">
        <f>SUM(I137:I145)</f>
        <v>0</v>
      </c>
      <c r="M121" s="337"/>
    </row>
    <row r="122" spans="1:13" ht="15.75" customHeight="1" x14ac:dyDescent="0.35">
      <c r="A122" s="391" t="s">
        <v>87</v>
      </c>
      <c r="B122" s="79">
        <v>1</v>
      </c>
      <c r="C122" s="421"/>
      <c r="D122" s="181">
        <v>4</v>
      </c>
      <c r="E122" s="32" t="s">
        <v>43</v>
      </c>
      <c r="F122" s="371">
        <v>0</v>
      </c>
      <c r="G122" s="34">
        <v>4</v>
      </c>
      <c r="H122" s="35">
        <f t="shared" si="4"/>
        <v>0</v>
      </c>
      <c r="I122" s="183">
        <f t="shared" si="5"/>
        <v>0</v>
      </c>
      <c r="K122" s="18">
        <v>3</v>
      </c>
      <c r="L122" s="28">
        <f>SUM(I146:I154)</f>
        <v>0</v>
      </c>
      <c r="M122" s="337"/>
    </row>
    <row r="123" spans="1:13" ht="15.75" customHeight="1" x14ac:dyDescent="0.35">
      <c r="A123" s="392" t="s">
        <v>87</v>
      </c>
      <c r="B123" s="209">
        <v>1</v>
      </c>
      <c r="C123" s="421"/>
      <c r="D123" s="374">
        <v>5</v>
      </c>
      <c r="E123" s="211" t="s">
        <v>43</v>
      </c>
      <c r="F123" s="371">
        <v>0</v>
      </c>
      <c r="G123" s="372">
        <v>5</v>
      </c>
      <c r="H123" s="213">
        <f t="shared" si="4"/>
        <v>0</v>
      </c>
      <c r="I123" s="373">
        <f t="shared" si="5"/>
        <v>0</v>
      </c>
      <c r="K123" s="18" t="s">
        <v>49</v>
      </c>
      <c r="L123" s="28">
        <f>SUM(I155:I163)</f>
        <v>0</v>
      </c>
      <c r="M123" s="337"/>
    </row>
    <row r="124" spans="1:13" ht="15.75" customHeight="1" x14ac:dyDescent="0.35">
      <c r="A124" s="391" t="s">
        <v>87</v>
      </c>
      <c r="B124" s="79">
        <v>1</v>
      </c>
      <c r="C124" s="421"/>
      <c r="D124" s="375">
        <v>46180</v>
      </c>
      <c r="E124" s="32" t="s">
        <v>43</v>
      </c>
      <c r="F124" s="371">
        <v>0</v>
      </c>
      <c r="G124" s="34">
        <v>7</v>
      </c>
      <c r="H124" s="35">
        <f t="shared" si="4"/>
        <v>0</v>
      </c>
      <c r="I124" s="183">
        <f t="shared" si="5"/>
        <v>0</v>
      </c>
      <c r="K124" s="18">
        <v>4</v>
      </c>
      <c r="L124" s="28">
        <f>SUM(I164:I172)</f>
        <v>0</v>
      </c>
      <c r="M124" s="337"/>
    </row>
    <row r="125" spans="1:13" ht="15.75" customHeight="1" x14ac:dyDescent="0.35">
      <c r="A125" s="392" t="s">
        <v>87</v>
      </c>
      <c r="B125" s="209">
        <v>1</v>
      </c>
      <c r="C125" s="421"/>
      <c r="D125" s="376">
        <v>46243</v>
      </c>
      <c r="E125" s="211" t="s">
        <v>43</v>
      </c>
      <c r="F125" s="371">
        <v>0</v>
      </c>
      <c r="G125" s="372">
        <v>9</v>
      </c>
      <c r="H125" s="213">
        <f t="shared" si="4"/>
        <v>0</v>
      </c>
      <c r="I125" s="373">
        <f t="shared" si="5"/>
        <v>0</v>
      </c>
      <c r="K125" s="18" t="s">
        <v>53</v>
      </c>
      <c r="L125" s="28">
        <f>SUM(I173:I181)</f>
        <v>0</v>
      </c>
      <c r="M125" s="337"/>
    </row>
    <row r="126" spans="1:13" ht="15.75" customHeight="1" x14ac:dyDescent="0.35">
      <c r="A126" s="391" t="s">
        <v>87</v>
      </c>
      <c r="B126" s="79">
        <v>1</v>
      </c>
      <c r="C126" s="421"/>
      <c r="D126" s="375">
        <v>46309</v>
      </c>
      <c r="E126" s="32" t="s">
        <v>43</v>
      </c>
      <c r="F126" s="371">
        <v>0</v>
      </c>
      <c r="G126" s="34">
        <v>14</v>
      </c>
      <c r="H126" s="35">
        <f t="shared" si="4"/>
        <v>0</v>
      </c>
      <c r="I126" s="183">
        <f t="shared" si="5"/>
        <v>0</v>
      </c>
      <c r="K126" s="339" t="s">
        <v>364</v>
      </c>
      <c r="L126" s="28">
        <f>SUM(L119:L125)</f>
        <v>0</v>
      </c>
      <c r="M126" s="337"/>
    </row>
    <row r="127" spans="1:13" ht="15.75" customHeight="1" x14ac:dyDescent="0.35">
      <c r="A127" s="392" t="s">
        <v>87</v>
      </c>
      <c r="B127" s="377">
        <v>1</v>
      </c>
      <c r="C127" s="422"/>
      <c r="D127" s="378" t="s">
        <v>285</v>
      </c>
      <c r="E127" s="379" t="s">
        <v>43</v>
      </c>
      <c r="F127" s="380">
        <v>0</v>
      </c>
      <c r="G127" s="381">
        <v>20</v>
      </c>
      <c r="H127" s="382">
        <f t="shared" si="4"/>
        <v>0</v>
      </c>
      <c r="I127" s="383">
        <f t="shared" si="5"/>
        <v>0</v>
      </c>
      <c r="M127" s="337"/>
    </row>
    <row r="128" spans="1:13" ht="15.75" customHeight="1" x14ac:dyDescent="0.35">
      <c r="A128" s="393" t="s">
        <v>89</v>
      </c>
      <c r="B128" s="265">
        <v>2</v>
      </c>
      <c r="C128" s="433" t="s">
        <v>365</v>
      </c>
      <c r="D128" s="266">
        <v>1</v>
      </c>
      <c r="E128" s="154" t="s">
        <v>43</v>
      </c>
      <c r="F128" s="64">
        <v>0</v>
      </c>
      <c r="G128" s="318">
        <v>1</v>
      </c>
      <c r="H128" s="156">
        <f t="shared" si="4"/>
        <v>0</v>
      </c>
      <c r="I128" s="268">
        <f t="shared" si="5"/>
        <v>0</v>
      </c>
      <c r="K128" s="337"/>
      <c r="L128" s="337"/>
      <c r="M128" s="337"/>
    </row>
    <row r="129" spans="1:13" ht="15.75" customHeight="1" x14ac:dyDescent="0.35">
      <c r="A129" s="392" t="s">
        <v>89</v>
      </c>
      <c r="B129" s="209">
        <v>2</v>
      </c>
      <c r="C129" s="421"/>
      <c r="D129" s="210">
        <v>2</v>
      </c>
      <c r="E129" s="211" t="s">
        <v>43</v>
      </c>
      <c r="F129" s="371">
        <v>0</v>
      </c>
      <c r="G129" s="372">
        <v>2</v>
      </c>
      <c r="H129" s="213">
        <f t="shared" si="4"/>
        <v>0</v>
      </c>
      <c r="I129" s="373">
        <f t="shared" si="5"/>
        <v>0</v>
      </c>
      <c r="K129" s="337"/>
      <c r="L129" s="337"/>
      <c r="M129" s="337"/>
    </row>
    <row r="130" spans="1:13" ht="15.75" customHeight="1" x14ac:dyDescent="0.35">
      <c r="A130" s="391" t="s">
        <v>89</v>
      </c>
      <c r="B130" s="79">
        <v>2</v>
      </c>
      <c r="C130" s="421"/>
      <c r="D130" s="181">
        <v>3</v>
      </c>
      <c r="E130" s="32" t="s">
        <v>43</v>
      </c>
      <c r="F130" s="371">
        <v>0</v>
      </c>
      <c r="G130" s="34">
        <v>3</v>
      </c>
      <c r="H130" s="35">
        <f t="shared" si="4"/>
        <v>0</v>
      </c>
      <c r="I130" s="183">
        <f t="shared" si="5"/>
        <v>0</v>
      </c>
      <c r="K130" s="337"/>
      <c r="L130" s="337"/>
      <c r="M130" s="337"/>
    </row>
    <row r="131" spans="1:13" ht="15.75" customHeight="1" x14ac:dyDescent="0.35">
      <c r="A131" s="392" t="s">
        <v>89</v>
      </c>
      <c r="B131" s="209">
        <v>2</v>
      </c>
      <c r="C131" s="421"/>
      <c r="D131" s="210">
        <v>4</v>
      </c>
      <c r="E131" s="211" t="s">
        <v>43</v>
      </c>
      <c r="F131" s="371">
        <v>0</v>
      </c>
      <c r="G131" s="372">
        <v>4</v>
      </c>
      <c r="H131" s="213">
        <f t="shared" si="4"/>
        <v>0</v>
      </c>
      <c r="I131" s="373">
        <f t="shared" si="5"/>
        <v>0</v>
      </c>
      <c r="K131" s="337"/>
      <c r="L131" s="337"/>
      <c r="M131" s="337"/>
    </row>
    <row r="132" spans="1:13" ht="15.75" customHeight="1" x14ac:dyDescent="0.35">
      <c r="A132" s="391" t="s">
        <v>89</v>
      </c>
      <c r="B132" s="79">
        <v>2</v>
      </c>
      <c r="C132" s="421"/>
      <c r="D132" s="269">
        <v>5</v>
      </c>
      <c r="E132" s="32" t="s">
        <v>43</v>
      </c>
      <c r="F132" s="371">
        <v>0</v>
      </c>
      <c r="G132" s="34">
        <v>5</v>
      </c>
      <c r="H132" s="35">
        <f t="shared" si="4"/>
        <v>0</v>
      </c>
      <c r="I132" s="183">
        <f t="shared" si="5"/>
        <v>0</v>
      </c>
      <c r="K132" s="337"/>
      <c r="L132" s="337"/>
      <c r="M132" s="337"/>
    </row>
    <row r="133" spans="1:13" ht="15.75" customHeight="1" x14ac:dyDescent="0.35">
      <c r="A133" s="392" t="s">
        <v>89</v>
      </c>
      <c r="B133" s="209">
        <v>2</v>
      </c>
      <c r="C133" s="421"/>
      <c r="D133" s="376">
        <v>46180</v>
      </c>
      <c r="E133" s="211" t="s">
        <v>43</v>
      </c>
      <c r="F133" s="371">
        <v>0</v>
      </c>
      <c r="G133" s="372">
        <v>7</v>
      </c>
      <c r="H133" s="213">
        <f t="shared" si="4"/>
        <v>0</v>
      </c>
      <c r="I133" s="373">
        <f t="shared" si="5"/>
        <v>0</v>
      </c>
      <c r="K133" s="337"/>
      <c r="L133" s="337"/>
      <c r="M133" s="337"/>
    </row>
    <row r="134" spans="1:13" ht="15.75" customHeight="1" x14ac:dyDescent="0.35">
      <c r="A134" s="391" t="s">
        <v>89</v>
      </c>
      <c r="B134" s="79">
        <v>2</v>
      </c>
      <c r="C134" s="421"/>
      <c r="D134" s="375">
        <v>46243</v>
      </c>
      <c r="E134" s="32" t="s">
        <v>43</v>
      </c>
      <c r="F134" s="371">
        <v>0</v>
      </c>
      <c r="G134" s="34">
        <v>9</v>
      </c>
      <c r="H134" s="35">
        <f t="shared" si="4"/>
        <v>0</v>
      </c>
      <c r="I134" s="183">
        <f t="shared" si="5"/>
        <v>0</v>
      </c>
      <c r="K134" s="337"/>
      <c r="L134" s="337"/>
      <c r="M134" s="337"/>
    </row>
    <row r="135" spans="1:13" ht="15.75" customHeight="1" x14ac:dyDescent="0.35">
      <c r="A135" s="392" t="s">
        <v>89</v>
      </c>
      <c r="B135" s="209">
        <v>2</v>
      </c>
      <c r="C135" s="421"/>
      <c r="D135" s="376">
        <v>46309</v>
      </c>
      <c r="E135" s="211" t="s">
        <v>43</v>
      </c>
      <c r="F135" s="371">
        <v>0</v>
      </c>
      <c r="G135" s="372">
        <v>14</v>
      </c>
      <c r="H135" s="213">
        <f t="shared" si="4"/>
        <v>0</v>
      </c>
      <c r="I135" s="373">
        <f t="shared" si="5"/>
        <v>0</v>
      </c>
      <c r="K135" s="337"/>
      <c r="L135" s="337"/>
      <c r="M135" s="337"/>
    </row>
    <row r="136" spans="1:13" ht="15.75" customHeight="1" x14ac:dyDescent="0.35">
      <c r="A136" s="394" t="s">
        <v>89</v>
      </c>
      <c r="B136" s="88">
        <v>2</v>
      </c>
      <c r="C136" s="422"/>
      <c r="D136" s="193" t="s">
        <v>285</v>
      </c>
      <c r="E136" s="32" t="s">
        <v>43</v>
      </c>
      <c r="F136" s="371">
        <v>0</v>
      </c>
      <c r="G136" s="52">
        <v>20</v>
      </c>
      <c r="H136" s="53">
        <f t="shared" si="4"/>
        <v>0</v>
      </c>
      <c r="I136" s="183">
        <f t="shared" si="5"/>
        <v>0</v>
      </c>
      <c r="K136" s="337"/>
      <c r="L136" s="337"/>
      <c r="M136" s="337"/>
    </row>
    <row r="137" spans="1:13" ht="15.75" customHeight="1" x14ac:dyDescent="0.35">
      <c r="A137" s="392" t="s">
        <v>92</v>
      </c>
      <c r="B137" s="202" t="s">
        <v>46</v>
      </c>
      <c r="C137" s="440" t="s">
        <v>366</v>
      </c>
      <c r="D137" s="203">
        <v>1</v>
      </c>
      <c r="E137" s="204" t="s">
        <v>43</v>
      </c>
      <c r="F137" s="64">
        <v>0</v>
      </c>
      <c r="G137" s="369">
        <v>1</v>
      </c>
      <c r="H137" s="206">
        <f t="shared" si="4"/>
        <v>0</v>
      </c>
      <c r="I137" s="384">
        <f t="shared" si="5"/>
        <v>0</v>
      </c>
      <c r="M137" s="337"/>
    </row>
    <row r="138" spans="1:13" ht="15.75" customHeight="1" x14ac:dyDescent="0.35">
      <c r="A138" s="391" t="s">
        <v>92</v>
      </c>
      <c r="B138" s="79" t="s">
        <v>46</v>
      </c>
      <c r="C138" s="421"/>
      <c r="D138" s="181">
        <v>2</v>
      </c>
      <c r="E138" s="32" t="s">
        <v>43</v>
      </c>
      <c r="F138" s="371">
        <v>0</v>
      </c>
      <c r="G138" s="34">
        <v>2</v>
      </c>
      <c r="H138" s="35">
        <f t="shared" si="4"/>
        <v>0</v>
      </c>
      <c r="I138" s="183">
        <f t="shared" si="5"/>
        <v>0</v>
      </c>
    </row>
    <row r="139" spans="1:13" ht="15.75" customHeight="1" x14ac:dyDescent="0.35">
      <c r="A139" s="392" t="s">
        <v>92</v>
      </c>
      <c r="B139" s="209" t="s">
        <v>46</v>
      </c>
      <c r="C139" s="421"/>
      <c r="D139" s="210">
        <v>3</v>
      </c>
      <c r="E139" s="211" t="s">
        <v>43</v>
      </c>
      <c r="F139" s="371">
        <v>0</v>
      </c>
      <c r="G139" s="372">
        <v>3</v>
      </c>
      <c r="H139" s="213">
        <f t="shared" si="4"/>
        <v>0</v>
      </c>
      <c r="I139" s="373">
        <f t="shared" si="5"/>
        <v>0</v>
      </c>
    </row>
    <row r="140" spans="1:13" ht="15.75" customHeight="1" x14ac:dyDescent="0.35">
      <c r="A140" s="391" t="s">
        <v>92</v>
      </c>
      <c r="B140" s="79" t="s">
        <v>46</v>
      </c>
      <c r="C140" s="421"/>
      <c r="D140" s="181">
        <v>4</v>
      </c>
      <c r="E140" s="32" t="s">
        <v>43</v>
      </c>
      <c r="F140" s="371">
        <v>0</v>
      </c>
      <c r="G140" s="34">
        <v>4</v>
      </c>
      <c r="H140" s="35">
        <f t="shared" si="4"/>
        <v>0</v>
      </c>
      <c r="I140" s="183">
        <f t="shared" si="5"/>
        <v>0</v>
      </c>
    </row>
    <row r="141" spans="1:13" ht="15.75" customHeight="1" x14ac:dyDescent="0.35">
      <c r="A141" s="392" t="s">
        <v>92</v>
      </c>
      <c r="B141" s="209" t="s">
        <v>46</v>
      </c>
      <c r="C141" s="421"/>
      <c r="D141" s="374">
        <v>5</v>
      </c>
      <c r="E141" s="211" t="s">
        <v>43</v>
      </c>
      <c r="F141" s="371">
        <v>0</v>
      </c>
      <c r="G141" s="372">
        <v>5</v>
      </c>
      <c r="H141" s="213">
        <f t="shared" si="4"/>
        <v>0</v>
      </c>
      <c r="I141" s="373">
        <f t="shared" si="5"/>
        <v>0</v>
      </c>
    </row>
    <row r="142" spans="1:13" ht="15.75" customHeight="1" x14ac:dyDescent="0.35">
      <c r="A142" s="391" t="s">
        <v>92</v>
      </c>
      <c r="B142" s="79" t="s">
        <v>46</v>
      </c>
      <c r="C142" s="421"/>
      <c r="D142" s="375">
        <v>46180</v>
      </c>
      <c r="E142" s="32" t="s">
        <v>43</v>
      </c>
      <c r="F142" s="371">
        <v>0</v>
      </c>
      <c r="G142" s="34">
        <v>7</v>
      </c>
      <c r="H142" s="35">
        <f t="shared" si="4"/>
        <v>0</v>
      </c>
      <c r="I142" s="183">
        <f t="shared" si="5"/>
        <v>0</v>
      </c>
    </row>
    <row r="143" spans="1:13" ht="15.75" customHeight="1" x14ac:dyDescent="0.35">
      <c r="A143" s="392" t="s">
        <v>92</v>
      </c>
      <c r="B143" s="209" t="s">
        <v>46</v>
      </c>
      <c r="C143" s="421"/>
      <c r="D143" s="376">
        <v>46243</v>
      </c>
      <c r="E143" s="211" t="s">
        <v>43</v>
      </c>
      <c r="F143" s="371">
        <v>0</v>
      </c>
      <c r="G143" s="372">
        <v>9</v>
      </c>
      <c r="H143" s="213">
        <f t="shared" si="4"/>
        <v>0</v>
      </c>
      <c r="I143" s="373">
        <f t="shared" si="5"/>
        <v>0</v>
      </c>
    </row>
    <row r="144" spans="1:13" ht="15.75" customHeight="1" x14ac:dyDescent="0.35">
      <c r="A144" s="391" t="s">
        <v>92</v>
      </c>
      <c r="B144" s="79" t="s">
        <v>46</v>
      </c>
      <c r="C144" s="421"/>
      <c r="D144" s="375">
        <v>46309</v>
      </c>
      <c r="E144" s="32" t="s">
        <v>43</v>
      </c>
      <c r="F144" s="371">
        <v>0</v>
      </c>
      <c r="G144" s="34">
        <v>14</v>
      </c>
      <c r="H144" s="35">
        <f t="shared" si="4"/>
        <v>0</v>
      </c>
      <c r="I144" s="183">
        <f t="shared" si="5"/>
        <v>0</v>
      </c>
    </row>
    <row r="145" spans="1:9" ht="15.75" customHeight="1" x14ac:dyDescent="0.35">
      <c r="A145" s="395" t="s">
        <v>92</v>
      </c>
      <c r="B145" s="377" t="s">
        <v>46</v>
      </c>
      <c r="C145" s="422"/>
      <c r="D145" s="378" t="s">
        <v>285</v>
      </c>
      <c r="E145" s="211" t="s">
        <v>43</v>
      </c>
      <c r="F145" s="371">
        <v>0</v>
      </c>
      <c r="G145" s="381">
        <v>20</v>
      </c>
      <c r="H145" s="382">
        <f t="shared" si="4"/>
        <v>0</v>
      </c>
      <c r="I145" s="373">
        <f t="shared" si="5"/>
        <v>0</v>
      </c>
    </row>
    <row r="146" spans="1:9" ht="15.75" customHeight="1" x14ac:dyDescent="0.35">
      <c r="A146" s="393" t="s">
        <v>94</v>
      </c>
      <c r="B146" s="154">
        <v>3</v>
      </c>
      <c r="C146" s="433" t="s">
        <v>367</v>
      </c>
      <c r="D146" s="266">
        <v>1</v>
      </c>
      <c r="E146" s="154" t="s">
        <v>43</v>
      </c>
      <c r="F146" s="64">
        <v>0</v>
      </c>
      <c r="G146" s="318">
        <v>1</v>
      </c>
      <c r="H146" s="156">
        <f t="shared" si="4"/>
        <v>0</v>
      </c>
      <c r="I146" s="268">
        <f t="shared" si="5"/>
        <v>0</v>
      </c>
    </row>
    <row r="147" spans="1:9" ht="15.75" customHeight="1" x14ac:dyDescent="0.35">
      <c r="A147" s="392" t="s">
        <v>94</v>
      </c>
      <c r="B147" s="211">
        <v>3</v>
      </c>
      <c r="C147" s="421"/>
      <c r="D147" s="210">
        <v>2</v>
      </c>
      <c r="E147" s="211" t="s">
        <v>43</v>
      </c>
      <c r="F147" s="371">
        <v>0</v>
      </c>
      <c r="G147" s="372">
        <v>2</v>
      </c>
      <c r="H147" s="213">
        <f t="shared" si="4"/>
        <v>0</v>
      </c>
      <c r="I147" s="373">
        <f t="shared" si="5"/>
        <v>0</v>
      </c>
    </row>
    <row r="148" spans="1:9" ht="15.75" customHeight="1" x14ac:dyDescent="0.35">
      <c r="A148" s="391" t="s">
        <v>94</v>
      </c>
      <c r="B148" s="32">
        <v>3</v>
      </c>
      <c r="C148" s="421"/>
      <c r="D148" s="181">
        <v>3</v>
      </c>
      <c r="E148" s="32" t="s">
        <v>43</v>
      </c>
      <c r="F148" s="371">
        <v>0</v>
      </c>
      <c r="G148" s="34">
        <v>3</v>
      </c>
      <c r="H148" s="35">
        <f t="shared" si="4"/>
        <v>0</v>
      </c>
      <c r="I148" s="183">
        <f t="shared" si="5"/>
        <v>0</v>
      </c>
    </row>
    <row r="149" spans="1:9" ht="15.75" customHeight="1" x14ac:dyDescent="0.35">
      <c r="A149" s="392" t="s">
        <v>94</v>
      </c>
      <c r="B149" s="211">
        <v>3</v>
      </c>
      <c r="C149" s="421"/>
      <c r="D149" s="210">
        <v>4</v>
      </c>
      <c r="E149" s="211" t="s">
        <v>43</v>
      </c>
      <c r="F149" s="371">
        <v>0</v>
      </c>
      <c r="G149" s="372">
        <v>4</v>
      </c>
      <c r="H149" s="213">
        <f t="shared" si="4"/>
        <v>0</v>
      </c>
      <c r="I149" s="373">
        <f t="shared" si="5"/>
        <v>0</v>
      </c>
    </row>
    <row r="150" spans="1:9" ht="15.75" customHeight="1" x14ac:dyDescent="0.35">
      <c r="A150" s="391" t="s">
        <v>94</v>
      </c>
      <c r="B150" s="32">
        <v>3</v>
      </c>
      <c r="C150" s="421"/>
      <c r="D150" s="269">
        <v>5</v>
      </c>
      <c r="E150" s="32" t="s">
        <v>43</v>
      </c>
      <c r="F150" s="371">
        <v>0</v>
      </c>
      <c r="G150" s="34">
        <v>5</v>
      </c>
      <c r="H150" s="35">
        <f t="shared" si="4"/>
        <v>0</v>
      </c>
      <c r="I150" s="183">
        <f t="shared" si="5"/>
        <v>0</v>
      </c>
    </row>
    <row r="151" spans="1:9" ht="15.75" customHeight="1" x14ac:dyDescent="0.35">
      <c r="A151" s="392" t="s">
        <v>94</v>
      </c>
      <c r="B151" s="211">
        <v>3</v>
      </c>
      <c r="C151" s="421"/>
      <c r="D151" s="376">
        <v>46180</v>
      </c>
      <c r="E151" s="211" t="s">
        <v>43</v>
      </c>
      <c r="F151" s="371">
        <v>0</v>
      </c>
      <c r="G151" s="372">
        <v>7</v>
      </c>
      <c r="H151" s="213">
        <f t="shared" si="4"/>
        <v>0</v>
      </c>
      <c r="I151" s="373">
        <f t="shared" si="5"/>
        <v>0</v>
      </c>
    </row>
    <row r="152" spans="1:9" ht="15.75" customHeight="1" x14ac:dyDescent="0.35">
      <c r="A152" s="391" t="s">
        <v>94</v>
      </c>
      <c r="B152" s="32">
        <v>3</v>
      </c>
      <c r="C152" s="421"/>
      <c r="D152" s="375">
        <v>46243</v>
      </c>
      <c r="E152" s="32" t="s">
        <v>43</v>
      </c>
      <c r="F152" s="371">
        <v>0</v>
      </c>
      <c r="G152" s="34">
        <v>9</v>
      </c>
      <c r="H152" s="35">
        <f t="shared" si="4"/>
        <v>0</v>
      </c>
      <c r="I152" s="183">
        <f t="shared" si="5"/>
        <v>0</v>
      </c>
    </row>
    <row r="153" spans="1:9" ht="15.75" customHeight="1" x14ac:dyDescent="0.35">
      <c r="A153" s="392" t="s">
        <v>94</v>
      </c>
      <c r="B153" s="211">
        <v>3</v>
      </c>
      <c r="C153" s="421"/>
      <c r="D153" s="376">
        <v>46309</v>
      </c>
      <c r="E153" s="211" t="s">
        <v>43</v>
      </c>
      <c r="F153" s="371">
        <v>0</v>
      </c>
      <c r="G153" s="372">
        <v>14</v>
      </c>
      <c r="H153" s="213">
        <f t="shared" si="4"/>
        <v>0</v>
      </c>
      <c r="I153" s="373">
        <f t="shared" si="5"/>
        <v>0</v>
      </c>
    </row>
    <row r="154" spans="1:9" ht="15.75" customHeight="1" x14ac:dyDescent="0.35">
      <c r="A154" s="394" t="s">
        <v>94</v>
      </c>
      <c r="B154" s="50">
        <v>3</v>
      </c>
      <c r="C154" s="422"/>
      <c r="D154" s="193" t="s">
        <v>285</v>
      </c>
      <c r="E154" s="32" t="s">
        <v>43</v>
      </c>
      <c r="F154" s="371">
        <v>0</v>
      </c>
      <c r="G154" s="52">
        <v>20</v>
      </c>
      <c r="H154" s="53">
        <f t="shared" si="4"/>
        <v>0</v>
      </c>
      <c r="I154" s="183">
        <f t="shared" si="5"/>
        <v>0</v>
      </c>
    </row>
    <row r="155" spans="1:9" ht="15.75" customHeight="1" x14ac:dyDescent="0.35">
      <c r="A155" s="396" t="s">
        <v>96</v>
      </c>
      <c r="B155" s="204" t="s">
        <v>49</v>
      </c>
      <c r="C155" s="440" t="s">
        <v>368</v>
      </c>
      <c r="D155" s="203">
        <v>1</v>
      </c>
      <c r="E155" s="204" t="s">
        <v>43</v>
      </c>
      <c r="F155" s="64">
        <v>0</v>
      </c>
      <c r="G155" s="369">
        <v>1</v>
      </c>
      <c r="H155" s="206">
        <f t="shared" si="4"/>
        <v>0</v>
      </c>
      <c r="I155" s="384">
        <f t="shared" si="5"/>
        <v>0</v>
      </c>
    </row>
    <row r="156" spans="1:9" ht="15.75" customHeight="1" x14ac:dyDescent="0.35">
      <c r="A156" s="391" t="s">
        <v>96</v>
      </c>
      <c r="B156" s="32" t="s">
        <v>49</v>
      </c>
      <c r="C156" s="421"/>
      <c r="D156" s="181">
        <v>2</v>
      </c>
      <c r="E156" s="32" t="s">
        <v>43</v>
      </c>
      <c r="F156" s="371">
        <v>0</v>
      </c>
      <c r="G156" s="34">
        <v>2</v>
      </c>
      <c r="H156" s="35">
        <f t="shared" si="4"/>
        <v>0</v>
      </c>
      <c r="I156" s="183">
        <f t="shared" si="5"/>
        <v>0</v>
      </c>
    </row>
    <row r="157" spans="1:9" ht="15.75" customHeight="1" x14ac:dyDescent="0.35">
      <c r="A157" s="392" t="s">
        <v>96</v>
      </c>
      <c r="B157" s="211" t="s">
        <v>49</v>
      </c>
      <c r="C157" s="421"/>
      <c r="D157" s="210">
        <v>3</v>
      </c>
      <c r="E157" s="211" t="s">
        <v>43</v>
      </c>
      <c r="F157" s="371">
        <v>0</v>
      </c>
      <c r="G157" s="372">
        <v>3</v>
      </c>
      <c r="H157" s="213">
        <f t="shared" si="4"/>
        <v>0</v>
      </c>
      <c r="I157" s="373">
        <f t="shared" si="5"/>
        <v>0</v>
      </c>
    </row>
    <row r="158" spans="1:9" ht="15.75" customHeight="1" x14ac:dyDescent="0.35">
      <c r="A158" s="391" t="s">
        <v>96</v>
      </c>
      <c r="B158" s="32" t="s">
        <v>49</v>
      </c>
      <c r="C158" s="421"/>
      <c r="D158" s="181">
        <v>4</v>
      </c>
      <c r="E158" s="32" t="s">
        <v>43</v>
      </c>
      <c r="F158" s="371">
        <v>0</v>
      </c>
      <c r="G158" s="34">
        <v>4</v>
      </c>
      <c r="H158" s="35">
        <f t="shared" si="4"/>
        <v>0</v>
      </c>
      <c r="I158" s="183">
        <f t="shared" si="5"/>
        <v>0</v>
      </c>
    </row>
    <row r="159" spans="1:9" ht="15.75" customHeight="1" x14ac:dyDescent="0.35">
      <c r="A159" s="392" t="s">
        <v>96</v>
      </c>
      <c r="B159" s="211" t="s">
        <v>49</v>
      </c>
      <c r="C159" s="421"/>
      <c r="D159" s="374">
        <v>5</v>
      </c>
      <c r="E159" s="211" t="s">
        <v>43</v>
      </c>
      <c r="F159" s="371">
        <v>0</v>
      </c>
      <c r="G159" s="372">
        <v>5</v>
      </c>
      <c r="H159" s="213">
        <f t="shared" si="4"/>
        <v>0</v>
      </c>
      <c r="I159" s="373">
        <f t="shared" si="5"/>
        <v>0</v>
      </c>
    </row>
    <row r="160" spans="1:9" ht="15.75" customHeight="1" x14ac:dyDescent="0.35">
      <c r="A160" s="391" t="s">
        <v>96</v>
      </c>
      <c r="B160" s="32" t="s">
        <v>49</v>
      </c>
      <c r="C160" s="421"/>
      <c r="D160" s="375">
        <v>46180</v>
      </c>
      <c r="E160" s="32" t="s">
        <v>43</v>
      </c>
      <c r="F160" s="371">
        <v>0</v>
      </c>
      <c r="G160" s="34">
        <v>7</v>
      </c>
      <c r="H160" s="35">
        <f t="shared" si="4"/>
        <v>0</v>
      </c>
      <c r="I160" s="183">
        <f t="shared" si="5"/>
        <v>0</v>
      </c>
    </row>
    <row r="161" spans="1:9" ht="15.75" customHeight="1" x14ac:dyDescent="0.35">
      <c r="A161" s="392" t="s">
        <v>96</v>
      </c>
      <c r="B161" s="211" t="s">
        <v>49</v>
      </c>
      <c r="C161" s="421"/>
      <c r="D161" s="376">
        <v>46243</v>
      </c>
      <c r="E161" s="211" t="s">
        <v>43</v>
      </c>
      <c r="F161" s="371">
        <v>0</v>
      </c>
      <c r="G161" s="372">
        <v>9</v>
      </c>
      <c r="H161" s="213">
        <f t="shared" si="4"/>
        <v>0</v>
      </c>
      <c r="I161" s="373">
        <f t="shared" si="5"/>
        <v>0</v>
      </c>
    </row>
    <row r="162" spans="1:9" ht="15.75" customHeight="1" x14ac:dyDescent="0.35">
      <c r="A162" s="391" t="s">
        <v>96</v>
      </c>
      <c r="B162" s="32" t="s">
        <v>49</v>
      </c>
      <c r="C162" s="421"/>
      <c r="D162" s="375">
        <v>46309</v>
      </c>
      <c r="E162" s="32" t="s">
        <v>43</v>
      </c>
      <c r="F162" s="371">
        <v>0</v>
      </c>
      <c r="G162" s="34">
        <v>14</v>
      </c>
      <c r="H162" s="35">
        <f t="shared" si="4"/>
        <v>0</v>
      </c>
      <c r="I162" s="183">
        <f t="shared" si="5"/>
        <v>0</v>
      </c>
    </row>
    <row r="163" spans="1:9" ht="15.75" customHeight="1" x14ac:dyDescent="0.35">
      <c r="A163" s="392" t="s">
        <v>96</v>
      </c>
      <c r="B163" s="386" t="s">
        <v>49</v>
      </c>
      <c r="C163" s="422"/>
      <c r="D163" s="378" t="s">
        <v>285</v>
      </c>
      <c r="E163" s="211" t="s">
        <v>43</v>
      </c>
      <c r="F163" s="371">
        <v>0</v>
      </c>
      <c r="G163" s="381">
        <v>20</v>
      </c>
      <c r="H163" s="382">
        <f t="shared" si="4"/>
        <v>0</v>
      </c>
      <c r="I163" s="373">
        <f t="shared" si="5"/>
        <v>0</v>
      </c>
    </row>
    <row r="164" spans="1:9" ht="15.75" customHeight="1" x14ac:dyDescent="0.35">
      <c r="A164" s="393" t="s">
        <v>98</v>
      </c>
      <c r="B164" s="271">
        <v>4</v>
      </c>
      <c r="C164" s="433" t="s">
        <v>369</v>
      </c>
      <c r="D164" s="266">
        <v>1</v>
      </c>
      <c r="E164" s="154" t="s">
        <v>43</v>
      </c>
      <c r="F164" s="64">
        <v>0</v>
      </c>
      <c r="G164" s="318">
        <v>1</v>
      </c>
      <c r="H164" s="156">
        <f t="shared" si="4"/>
        <v>0</v>
      </c>
      <c r="I164" s="268">
        <f t="shared" si="5"/>
        <v>0</v>
      </c>
    </row>
    <row r="165" spans="1:9" ht="15.75" customHeight="1" x14ac:dyDescent="0.35">
      <c r="A165" s="392" t="s">
        <v>98</v>
      </c>
      <c r="B165" s="211">
        <v>4</v>
      </c>
      <c r="C165" s="421"/>
      <c r="D165" s="210">
        <v>2</v>
      </c>
      <c r="E165" s="211" t="s">
        <v>43</v>
      </c>
      <c r="F165" s="371">
        <v>0</v>
      </c>
      <c r="G165" s="372">
        <v>2</v>
      </c>
      <c r="H165" s="213">
        <f t="shared" si="4"/>
        <v>0</v>
      </c>
      <c r="I165" s="373">
        <f t="shared" si="5"/>
        <v>0</v>
      </c>
    </row>
    <row r="166" spans="1:9" ht="15.75" customHeight="1" x14ac:dyDescent="0.35">
      <c r="A166" s="391" t="s">
        <v>98</v>
      </c>
      <c r="B166" s="32">
        <v>4</v>
      </c>
      <c r="C166" s="421"/>
      <c r="D166" s="181">
        <v>3</v>
      </c>
      <c r="E166" s="32" t="s">
        <v>43</v>
      </c>
      <c r="F166" s="371">
        <v>0</v>
      </c>
      <c r="G166" s="34">
        <v>3</v>
      </c>
      <c r="H166" s="35">
        <f t="shared" si="4"/>
        <v>0</v>
      </c>
      <c r="I166" s="183">
        <f t="shared" si="5"/>
        <v>0</v>
      </c>
    </row>
    <row r="167" spans="1:9" ht="15.75" customHeight="1" x14ac:dyDescent="0.35">
      <c r="A167" s="392" t="s">
        <v>98</v>
      </c>
      <c r="B167" s="211">
        <v>4</v>
      </c>
      <c r="C167" s="421"/>
      <c r="D167" s="210">
        <v>4</v>
      </c>
      <c r="E167" s="211" t="s">
        <v>43</v>
      </c>
      <c r="F167" s="371">
        <v>0</v>
      </c>
      <c r="G167" s="372">
        <v>4</v>
      </c>
      <c r="H167" s="213">
        <f t="shared" si="4"/>
        <v>0</v>
      </c>
      <c r="I167" s="373">
        <f t="shared" si="5"/>
        <v>0</v>
      </c>
    </row>
    <row r="168" spans="1:9" ht="15.75" customHeight="1" x14ac:dyDescent="0.35">
      <c r="A168" s="391" t="s">
        <v>98</v>
      </c>
      <c r="B168" s="32">
        <v>4</v>
      </c>
      <c r="C168" s="421"/>
      <c r="D168" s="269">
        <v>5</v>
      </c>
      <c r="E168" s="32" t="s">
        <v>43</v>
      </c>
      <c r="F168" s="371">
        <v>0</v>
      </c>
      <c r="G168" s="34">
        <v>5</v>
      </c>
      <c r="H168" s="35">
        <f t="shared" si="4"/>
        <v>0</v>
      </c>
      <c r="I168" s="183">
        <f t="shared" si="5"/>
        <v>0</v>
      </c>
    </row>
    <row r="169" spans="1:9" ht="15.75" customHeight="1" x14ac:dyDescent="0.35">
      <c r="A169" s="392" t="s">
        <v>98</v>
      </c>
      <c r="B169" s="211">
        <v>4</v>
      </c>
      <c r="C169" s="421"/>
      <c r="D169" s="376">
        <v>46180</v>
      </c>
      <c r="E169" s="211" t="s">
        <v>43</v>
      </c>
      <c r="F169" s="371">
        <v>0</v>
      </c>
      <c r="G169" s="372">
        <v>7</v>
      </c>
      <c r="H169" s="213">
        <f t="shared" si="4"/>
        <v>0</v>
      </c>
      <c r="I169" s="373">
        <f t="shared" si="5"/>
        <v>0</v>
      </c>
    </row>
    <row r="170" spans="1:9" ht="15.75" customHeight="1" x14ac:dyDescent="0.35">
      <c r="A170" s="391" t="s">
        <v>98</v>
      </c>
      <c r="B170" s="32">
        <v>4</v>
      </c>
      <c r="C170" s="421"/>
      <c r="D170" s="375">
        <v>46243</v>
      </c>
      <c r="E170" s="32" t="s">
        <v>43</v>
      </c>
      <c r="F170" s="371">
        <v>0</v>
      </c>
      <c r="G170" s="34">
        <v>9</v>
      </c>
      <c r="H170" s="35">
        <f t="shared" si="4"/>
        <v>0</v>
      </c>
      <c r="I170" s="183">
        <f t="shared" si="5"/>
        <v>0</v>
      </c>
    </row>
    <row r="171" spans="1:9" ht="15.75" customHeight="1" x14ac:dyDescent="0.35">
      <c r="A171" s="392" t="s">
        <v>98</v>
      </c>
      <c r="B171" s="211">
        <v>4</v>
      </c>
      <c r="C171" s="421"/>
      <c r="D171" s="376">
        <v>46309</v>
      </c>
      <c r="E171" s="211" t="s">
        <v>43</v>
      </c>
      <c r="F171" s="371">
        <v>0</v>
      </c>
      <c r="G171" s="372">
        <v>14</v>
      </c>
      <c r="H171" s="213">
        <f t="shared" si="4"/>
        <v>0</v>
      </c>
      <c r="I171" s="373">
        <f t="shared" si="5"/>
        <v>0</v>
      </c>
    </row>
    <row r="172" spans="1:9" ht="15.75" customHeight="1" x14ac:dyDescent="0.35">
      <c r="A172" s="394" t="s">
        <v>98</v>
      </c>
      <c r="B172" s="50">
        <v>4</v>
      </c>
      <c r="C172" s="422"/>
      <c r="D172" s="193" t="s">
        <v>285</v>
      </c>
      <c r="E172" s="32" t="s">
        <v>43</v>
      </c>
      <c r="F172" s="371">
        <v>0</v>
      </c>
      <c r="G172" s="52">
        <v>20</v>
      </c>
      <c r="H172" s="53">
        <f t="shared" si="4"/>
        <v>0</v>
      </c>
      <c r="I172" s="183">
        <f t="shared" si="5"/>
        <v>0</v>
      </c>
    </row>
    <row r="173" spans="1:9" ht="15.75" customHeight="1" x14ac:dyDescent="0.35">
      <c r="A173" s="396" t="s">
        <v>100</v>
      </c>
      <c r="B173" s="387" t="s">
        <v>53</v>
      </c>
      <c r="C173" s="440" t="s">
        <v>370</v>
      </c>
      <c r="D173" s="203">
        <v>1</v>
      </c>
      <c r="E173" s="204" t="s">
        <v>43</v>
      </c>
      <c r="F173" s="64">
        <v>0</v>
      </c>
      <c r="G173" s="369">
        <v>1</v>
      </c>
      <c r="H173" s="206">
        <f t="shared" si="4"/>
        <v>0</v>
      </c>
      <c r="I173" s="384">
        <f t="shared" si="5"/>
        <v>0</v>
      </c>
    </row>
    <row r="174" spans="1:9" ht="15.75" customHeight="1" x14ac:dyDescent="0.35">
      <c r="A174" s="391" t="s">
        <v>100</v>
      </c>
      <c r="B174" s="32" t="s">
        <v>53</v>
      </c>
      <c r="C174" s="421"/>
      <c r="D174" s="181">
        <v>2</v>
      </c>
      <c r="E174" s="32" t="s">
        <v>43</v>
      </c>
      <c r="F174" s="371">
        <v>0</v>
      </c>
      <c r="G174" s="34">
        <v>2</v>
      </c>
      <c r="H174" s="35">
        <f t="shared" si="4"/>
        <v>0</v>
      </c>
      <c r="I174" s="183">
        <f t="shared" si="5"/>
        <v>0</v>
      </c>
    </row>
    <row r="175" spans="1:9" ht="15.75" customHeight="1" x14ac:dyDescent="0.35">
      <c r="A175" s="392" t="s">
        <v>100</v>
      </c>
      <c r="B175" s="211" t="s">
        <v>53</v>
      </c>
      <c r="C175" s="421"/>
      <c r="D175" s="210">
        <v>3</v>
      </c>
      <c r="E175" s="211" t="s">
        <v>43</v>
      </c>
      <c r="F175" s="371">
        <v>0</v>
      </c>
      <c r="G175" s="372">
        <v>3</v>
      </c>
      <c r="H175" s="213">
        <f t="shared" si="4"/>
        <v>0</v>
      </c>
      <c r="I175" s="373">
        <f t="shared" si="5"/>
        <v>0</v>
      </c>
    </row>
    <row r="176" spans="1:9" ht="15.75" customHeight="1" x14ac:dyDescent="0.35">
      <c r="A176" s="391" t="s">
        <v>100</v>
      </c>
      <c r="B176" s="32" t="s">
        <v>53</v>
      </c>
      <c r="C176" s="421"/>
      <c r="D176" s="181">
        <v>4</v>
      </c>
      <c r="E176" s="32" t="s">
        <v>43</v>
      </c>
      <c r="F176" s="371">
        <v>0</v>
      </c>
      <c r="G176" s="34">
        <v>4</v>
      </c>
      <c r="H176" s="35">
        <f t="shared" si="4"/>
        <v>0</v>
      </c>
      <c r="I176" s="183">
        <f t="shared" si="5"/>
        <v>0</v>
      </c>
    </row>
    <row r="177" spans="1:12" ht="15.75" customHeight="1" x14ac:dyDescent="0.35">
      <c r="A177" s="392" t="s">
        <v>100</v>
      </c>
      <c r="B177" s="211" t="s">
        <v>53</v>
      </c>
      <c r="C177" s="421"/>
      <c r="D177" s="374">
        <v>5</v>
      </c>
      <c r="E177" s="211" t="s">
        <v>43</v>
      </c>
      <c r="F177" s="371">
        <v>0</v>
      </c>
      <c r="G177" s="372">
        <v>5</v>
      </c>
      <c r="H177" s="213">
        <f t="shared" si="4"/>
        <v>0</v>
      </c>
      <c r="I177" s="373">
        <f t="shared" si="5"/>
        <v>0</v>
      </c>
    </row>
    <row r="178" spans="1:12" ht="15.75" customHeight="1" x14ac:dyDescent="0.35">
      <c r="A178" s="391" t="s">
        <v>100</v>
      </c>
      <c r="B178" s="32" t="s">
        <v>53</v>
      </c>
      <c r="C178" s="421"/>
      <c r="D178" s="375">
        <v>46180</v>
      </c>
      <c r="E178" s="32" t="s">
        <v>43</v>
      </c>
      <c r="F178" s="371">
        <v>0</v>
      </c>
      <c r="G178" s="34">
        <v>7</v>
      </c>
      <c r="H178" s="35">
        <f t="shared" si="4"/>
        <v>0</v>
      </c>
      <c r="I178" s="183">
        <f t="shared" si="5"/>
        <v>0</v>
      </c>
    </row>
    <row r="179" spans="1:12" ht="15.75" customHeight="1" x14ac:dyDescent="0.35">
      <c r="A179" s="392" t="s">
        <v>100</v>
      </c>
      <c r="B179" s="211" t="s">
        <v>53</v>
      </c>
      <c r="C179" s="421"/>
      <c r="D179" s="376">
        <v>46243</v>
      </c>
      <c r="E179" s="211" t="s">
        <v>43</v>
      </c>
      <c r="F179" s="371">
        <v>0</v>
      </c>
      <c r="G179" s="372">
        <v>9</v>
      </c>
      <c r="H179" s="213">
        <f t="shared" si="4"/>
        <v>0</v>
      </c>
      <c r="I179" s="373">
        <f t="shared" si="5"/>
        <v>0</v>
      </c>
    </row>
    <row r="180" spans="1:12" ht="15.75" customHeight="1" x14ac:dyDescent="0.35">
      <c r="A180" s="391" t="s">
        <v>100</v>
      </c>
      <c r="B180" s="32" t="s">
        <v>53</v>
      </c>
      <c r="C180" s="421"/>
      <c r="D180" s="375">
        <v>46309</v>
      </c>
      <c r="E180" s="32" t="s">
        <v>43</v>
      </c>
      <c r="F180" s="371">
        <v>0</v>
      </c>
      <c r="G180" s="34">
        <v>14</v>
      </c>
      <c r="H180" s="35">
        <f t="shared" si="4"/>
        <v>0</v>
      </c>
      <c r="I180" s="183">
        <f t="shared" si="5"/>
        <v>0</v>
      </c>
    </row>
    <row r="181" spans="1:12" ht="15.75" customHeight="1" x14ac:dyDescent="0.35">
      <c r="A181" s="395" t="s">
        <v>100</v>
      </c>
      <c r="B181" s="386" t="s">
        <v>53</v>
      </c>
      <c r="C181" s="422"/>
      <c r="D181" s="378" t="s">
        <v>285</v>
      </c>
      <c r="E181" s="386" t="s">
        <v>43</v>
      </c>
      <c r="F181" s="388">
        <v>0</v>
      </c>
      <c r="G181" s="381">
        <v>20</v>
      </c>
      <c r="H181" s="382">
        <f t="shared" si="4"/>
        <v>0</v>
      </c>
      <c r="I181" s="389">
        <f t="shared" si="5"/>
        <v>0</v>
      </c>
    </row>
    <row r="182" spans="1:12" ht="15.75" customHeight="1" x14ac:dyDescent="0.35"/>
    <row r="183" spans="1:12" ht="15.75" customHeight="1" x14ac:dyDescent="0.4">
      <c r="A183" s="450" t="s">
        <v>371</v>
      </c>
      <c r="B183" s="413"/>
      <c r="C183" s="413"/>
      <c r="D183" s="413"/>
      <c r="E183" s="413"/>
      <c r="F183" s="413"/>
      <c r="G183" s="413"/>
      <c r="H183" s="413"/>
    </row>
    <row r="184" spans="1:12" ht="15.75" customHeight="1" x14ac:dyDescent="0.35">
      <c r="A184" s="451" t="s">
        <v>372</v>
      </c>
      <c r="B184" s="416"/>
      <c r="C184" s="416"/>
      <c r="D184" s="416"/>
      <c r="E184" s="416"/>
      <c r="F184" s="417"/>
      <c r="G184" s="452" t="s">
        <v>373</v>
      </c>
      <c r="H184" s="416"/>
      <c r="I184" s="419"/>
    </row>
    <row r="185" spans="1:12" ht="15.75" customHeight="1" x14ac:dyDescent="0.35">
      <c r="A185" s="125" t="s">
        <v>333</v>
      </c>
      <c r="B185" s="69" t="s">
        <v>31</v>
      </c>
      <c r="C185" s="69" t="s">
        <v>32</v>
      </c>
      <c r="D185" s="127" t="s">
        <v>226</v>
      </c>
      <c r="E185" s="50" t="s">
        <v>34</v>
      </c>
      <c r="F185" s="69" t="s">
        <v>35</v>
      </c>
      <c r="G185" s="16" t="s">
        <v>304</v>
      </c>
      <c r="H185" s="14" t="s">
        <v>37</v>
      </c>
      <c r="I185" s="128" t="s">
        <v>38</v>
      </c>
      <c r="K185" s="18" t="s">
        <v>39</v>
      </c>
      <c r="L185" s="339" t="s">
        <v>374</v>
      </c>
    </row>
    <row r="186" spans="1:12" ht="15.75" customHeight="1" x14ac:dyDescent="0.35">
      <c r="A186" s="390" t="s">
        <v>105</v>
      </c>
      <c r="B186" s="365">
        <v>1</v>
      </c>
      <c r="C186" s="453" t="s">
        <v>375</v>
      </c>
      <c r="D186" s="366">
        <v>1</v>
      </c>
      <c r="E186" s="367" t="s">
        <v>43</v>
      </c>
      <c r="F186" s="368">
        <v>0</v>
      </c>
      <c r="G186" s="369">
        <v>1</v>
      </c>
      <c r="H186" s="206">
        <f t="shared" ref="H186:H248" si="6">F186*G186</f>
        <v>0</v>
      </c>
      <c r="I186" s="370">
        <f t="shared" ref="I186:I248" si="7">H186*365</f>
        <v>0</v>
      </c>
      <c r="K186" s="18">
        <v>1</v>
      </c>
      <c r="L186" s="28">
        <f>SUM(I186:I194)</f>
        <v>0</v>
      </c>
    </row>
    <row r="187" spans="1:12" ht="15.75" customHeight="1" x14ac:dyDescent="0.35">
      <c r="A187" s="391" t="s">
        <v>105</v>
      </c>
      <c r="B187" s="79">
        <v>1</v>
      </c>
      <c r="C187" s="421"/>
      <c r="D187" s="181">
        <v>2</v>
      </c>
      <c r="E187" s="32" t="s">
        <v>43</v>
      </c>
      <c r="F187" s="371">
        <v>0</v>
      </c>
      <c r="G187" s="34">
        <v>2</v>
      </c>
      <c r="H187" s="35">
        <f t="shared" si="6"/>
        <v>0</v>
      </c>
      <c r="I187" s="183">
        <f t="shared" si="7"/>
        <v>0</v>
      </c>
      <c r="K187" s="18">
        <v>2</v>
      </c>
      <c r="L187" s="28">
        <f>SUM(I195:I203)</f>
        <v>0</v>
      </c>
    </row>
    <row r="188" spans="1:12" ht="15.75" customHeight="1" x14ac:dyDescent="0.35">
      <c r="A188" s="392" t="s">
        <v>105</v>
      </c>
      <c r="B188" s="209">
        <v>1</v>
      </c>
      <c r="C188" s="421"/>
      <c r="D188" s="210">
        <v>3</v>
      </c>
      <c r="E188" s="211" t="s">
        <v>43</v>
      </c>
      <c r="F188" s="371">
        <v>0</v>
      </c>
      <c r="G188" s="372">
        <v>3</v>
      </c>
      <c r="H188" s="213">
        <f t="shared" si="6"/>
        <v>0</v>
      </c>
      <c r="I188" s="373">
        <f t="shared" si="7"/>
        <v>0</v>
      </c>
      <c r="K188" s="18" t="s">
        <v>46</v>
      </c>
      <c r="L188" s="28">
        <f>SUM(I204:I212)</f>
        <v>0</v>
      </c>
    </row>
    <row r="189" spans="1:12" ht="15.75" customHeight="1" x14ac:dyDescent="0.35">
      <c r="A189" s="391" t="s">
        <v>105</v>
      </c>
      <c r="B189" s="79">
        <v>1</v>
      </c>
      <c r="C189" s="421"/>
      <c r="D189" s="181">
        <v>4</v>
      </c>
      <c r="E189" s="32" t="s">
        <v>43</v>
      </c>
      <c r="F189" s="371">
        <v>0</v>
      </c>
      <c r="G189" s="34">
        <v>4</v>
      </c>
      <c r="H189" s="35">
        <f t="shared" si="6"/>
        <v>0</v>
      </c>
      <c r="I189" s="183">
        <f t="shared" si="7"/>
        <v>0</v>
      </c>
      <c r="K189" s="18">
        <v>3</v>
      </c>
      <c r="L189" s="28">
        <f>SUM(I213:I221)</f>
        <v>0</v>
      </c>
    </row>
    <row r="190" spans="1:12" ht="15.75" customHeight="1" x14ac:dyDescent="0.35">
      <c r="A190" s="392" t="s">
        <v>105</v>
      </c>
      <c r="B190" s="209">
        <v>1</v>
      </c>
      <c r="C190" s="421"/>
      <c r="D190" s="374">
        <v>5</v>
      </c>
      <c r="E190" s="211" t="s">
        <v>43</v>
      </c>
      <c r="F190" s="371">
        <v>0</v>
      </c>
      <c r="G190" s="372">
        <v>5</v>
      </c>
      <c r="H190" s="213">
        <f t="shared" si="6"/>
        <v>0</v>
      </c>
      <c r="I190" s="373">
        <f t="shared" si="7"/>
        <v>0</v>
      </c>
      <c r="K190" s="18" t="s">
        <v>49</v>
      </c>
      <c r="L190" s="28">
        <f>SUM(I222:I230)</f>
        <v>0</v>
      </c>
    </row>
    <row r="191" spans="1:12" ht="15.75" customHeight="1" x14ac:dyDescent="0.35">
      <c r="A191" s="391" t="s">
        <v>105</v>
      </c>
      <c r="B191" s="79">
        <v>1</v>
      </c>
      <c r="C191" s="421"/>
      <c r="D191" s="375">
        <v>46180</v>
      </c>
      <c r="E191" s="32" t="s">
        <v>43</v>
      </c>
      <c r="F191" s="371">
        <v>0</v>
      </c>
      <c r="G191" s="34">
        <v>7</v>
      </c>
      <c r="H191" s="35">
        <f t="shared" si="6"/>
        <v>0</v>
      </c>
      <c r="I191" s="183">
        <f t="shared" si="7"/>
        <v>0</v>
      </c>
      <c r="K191" s="18">
        <v>4</v>
      </c>
      <c r="L191" s="28">
        <f>SUM(I231:I239)</f>
        <v>0</v>
      </c>
    </row>
    <row r="192" spans="1:12" ht="15.75" customHeight="1" x14ac:dyDescent="0.35">
      <c r="A192" s="392" t="s">
        <v>105</v>
      </c>
      <c r="B192" s="209">
        <v>1</v>
      </c>
      <c r="C192" s="421"/>
      <c r="D192" s="376">
        <v>46243</v>
      </c>
      <c r="E192" s="211" t="s">
        <v>43</v>
      </c>
      <c r="F192" s="371">
        <v>0</v>
      </c>
      <c r="G192" s="372">
        <v>9</v>
      </c>
      <c r="H192" s="213">
        <f t="shared" si="6"/>
        <v>0</v>
      </c>
      <c r="I192" s="373">
        <f t="shared" si="7"/>
        <v>0</v>
      </c>
      <c r="K192" s="18" t="s">
        <v>53</v>
      </c>
      <c r="L192" s="28">
        <f>SUM(I240:I248)</f>
        <v>0</v>
      </c>
    </row>
    <row r="193" spans="1:12" ht="15.75" customHeight="1" x14ac:dyDescent="0.35">
      <c r="A193" s="391" t="s">
        <v>105</v>
      </c>
      <c r="B193" s="79">
        <v>1</v>
      </c>
      <c r="C193" s="421"/>
      <c r="D193" s="375">
        <v>46309</v>
      </c>
      <c r="E193" s="32" t="s">
        <v>43</v>
      </c>
      <c r="F193" s="371">
        <v>0</v>
      </c>
      <c r="G193" s="34">
        <v>14</v>
      </c>
      <c r="H193" s="35">
        <f t="shared" si="6"/>
        <v>0</v>
      </c>
      <c r="I193" s="183">
        <f t="shared" si="7"/>
        <v>0</v>
      </c>
      <c r="K193" s="339" t="s">
        <v>376</v>
      </c>
      <c r="L193" s="28">
        <f>SUM(L186:L192)</f>
        <v>0</v>
      </c>
    </row>
    <row r="194" spans="1:12" ht="15.75" customHeight="1" x14ac:dyDescent="0.35">
      <c r="A194" s="392" t="s">
        <v>105</v>
      </c>
      <c r="B194" s="377">
        <v>1</v>
      </c>
      <c r="C194" s="422"/>
      <c r="D194" s="378" t="s">
        <v>285</v>
      </c>
      <c r="E194" s="379" t="s">
        <v>43</v>
      </c>
      <c r="F194" s="380">
        <v>0</v>
      </c>
      <c r="G194" s="381">
        <v>20</v>
      </c>
      <c r="H194" s="382">
        <f t="shared" si="6"/>
        <v>0</v>
      </c>
      <c r="I194" s="383">
        <f t="shared" si="7"/>
        <v>0</v>
      </c>
    </row>
    <row r="195" spans="1:12" ht="15.75" customHeight="1" x14ac:dyDescent="0.35">
      <c r="A195" s="393" t="s">
        <v>107</v>
      </c>
      <c r="B195" s="265">
        <v>2</v>
      </c>
      <c r="C195" s="433" t="s">
        <v>377</v>
      </c>
      <c r="D195" s="266">
        <v>1</v>
      </c>
      <c r="E195" s="154" t="s">
        <v>43</v>
      </c>
      <c r="F195" s="64">
        <v>0</v>
      </c>
      <c r="G195" s="318">
        <v>1</v>
      </c>
      <c r="H195" s="156">
        <f t="shared" si="6"/>
        <v>0</v>
      </c>
      <c r="I195" s="268">
        <f t="shared" si="7"/>
        <v>0</v>
      </c>
      <c r="K195" s="337"/>
      <c r="L195" s="337"/>
    </row>
    <row r="196" spans="1:12" ht="15.75" customHeight="1" x14ac:dyDescent="0.35">
      <c r="A196" s="392" t="s">
        <v>107</v>
      </c>
      <c r="B196" s="209">
        <v>2</v>
      </c>
      <c r="C196" s="421"/>
      <c r="D196" s="210">
        <v>2</v>
      </c>
      <c r="E196" s="211" t="s">
        <v>43</v>
      </c>
      <c r="F196" s="371">
        <v>0</v>
      </c>
      <c r="G196" s="372">
        <v>2</v>
      </c>
      <c r="H196" s="213">
        <f t="shared" si="6"/>
        <v>0</v>
      </c>
      <c r="I196" s="373">
        <f t="shared" si="7"/>
        <v>0</v>
      </c>
      <c r="K196" s="337"/>
      <c r="L196" s="337"/>
    </row>
    <row r="197" spans="1:12" ht="15.75" customHeight="1" x14ac:dyDescent="0.35">
      <c r="A197" s="391" t="s">
        <v>107</v>
      </c>
      <c r="B197" s="79">
        <v>2</v>
      </c>
      <c r="C197" s="421"/>
      <c r="D197" s="181">
        <v>3</v>
      </c>
      <c r="E197" s="32" t="s">
        <v>43</v>
      </c>
      <c r="F197" s="371">
        <v>0</v>
      </c>
      <c r="G197" s="34">
        <v>3</v>
      </c>
      <c r="H197" s="35">
        <f t="shared" si="6"/>
        <v>0</v>
      </c>
      <c r="I197" s="183">
        <f t="shared" si="7"/>
        <v>0</v>
      </c>
      <c r="K197" s="337"/>
      <c r="L197" s="337"/>
    </row>
    <row r="198" spans="1:12" ht="15.75" customHeight="1" x14ac:dyDescent="0.35">
      <c r="A198" s="392" t="s">
        <v>107</v>
      </c>
      <c r="B198" s="209">
        <v>2</v>
      </c>
      <c r="C198" s="421"/>
      <c r="D198" s="210">
        <v>4</v>
      </c>
      <c r="E198" s="211" t="s">
        <v>43</v>
      </c>
      <c r="F198" s="371">
        <v>0</v>
      </c>
      <c r="G198" s="372">
        <v>4</v>
      </c>
      <c r="H198" s="213">
        <f t="shared" si="6"/>
        <v>0</v>
      </c>
      <c r="I198" s="373">
        <f t="shared" si="7"/>
        <v>0</v>
      </c>
      <c r="K198" s="337"/>
      <c r="L198" s="337"/>
    </row>
    <row r="199" spans="1:12" ht="15.75" customHeight="1" x14ac:dyDescent="0.35">
      <c r="A199" s="391" t="s">
        <v>107</v>
      </c>
      <c r="B199" s="79">
        <v>2</v>
      </c>
      <c r="C199" s="421"/>
      <c r="D199" s="269">
        <v>5</v>
      </c>
      <c r="E199" s="32" t="s">
        <v>43</v>
      </c>
      <c r="F199" s="371">
        <v>0</v>
      </c>
      <c r="G199" s="34">
        <v>5</v>
      </c>
      <c r="H199" s="35">
        <f t="shared" si="6"/>
        <v>0</v>
      </c>
      <c r="I199" s="183">
        <f t="shared" si="7"/>
        <v>0</v>
      </c>
      <c r="K199" s="337"/>
      <c r="L199" s="337"/>
    </row>
    <row r="200" spans="1:12" ht="15.75" customHeight="1" x14ac:dyDescent="0.35">
      <c r="A200" s="392" t="s">
        <v>107</v>
      </c>
      <c r="B200" s="209">
        <v>2</v>
      </c>
      <c r="C200" s="421"/>
      <c r="D200" s="376">
        <v>46180</v>
      </c>
      <c r="E200" s="211" t="s">
        <v>43</v>
      </c>
      <c r="F200" s="371">
        <v>0</v>
      </c>
      <c r="G200" s="372">
        <v>7</v>
      </c>
      <c r="H200" s="213">
        <f t="shared" si="6"/>
        <v>0</v>
      </c>
      <c r="I200" s="373">
        <f t="shared" si="7"/>
        <v>0</v>
      </c>
      <c r="K200" s="337"/>
      <c r="L200" s="337"/>
    </row>
    <row r="201" spans="1:12" ht="15.75" customHeight="1" x14ac:dyDescent="0.35">
      <c r="A201" s="391" t="s">
        <v>107</v>
      </c>
      <c r="B201" s="79">
        <v>2</v>
      </c>
      <c r="C201" s="421"/>
      <c r="D201" s="375">
        <v>46243</v>
      </c>
      <c r="E201" s="32" t="s">
        <v>43</v>
      </c>
      <c r="F201" s="371">
        <v>0</v>
      </c>
      <c r="G201" s="34">
        <v>9</v>
      </c>
      <c r="H201" s="35">
        <f t="shared" si="6"/>
        <v>0</v>
      </c>
      <c r="I201" s="183">
        <f t="shared" si="7"/>
        <v>0</v>
      </c>
      <c r="K201" s="337"/>
      <c r="L201" s="337"/>
    </row>
    <row r="202" spans="1:12" ht="15.75" customHeight="1" x14ac:dyDescent="0.35">
      <c r="A202" s="392" t="s">
        <v>107</v>
      </c>
      <c r="B202" s="209">
        <v>2</v>
      </c>
      <c r="C202" s="421"/>
      <c r="D202" s="376">
        <v>46309</v>
      </c>
      <c r="E202" s="211" t="s">
        <v>43</v>
      </c>
      <c r="F202" s="371">
        <v>0</v>
      </c>
      <c r="G202" s="372">
        <v>14</v>
      </c>
      <c r="H202" s="213">
        <f t="shared" si="6"/>
        <v>0</v>
      </c>
      <c r="I202" s="373">
        <f t="shared" si="7"/>
        <v>0</v>
      </c>
      <c r="K202" s="337"/>
      <c r="L202" s="337"/>
    </row>
    <row r="203" spans="1:12" ht="15.75" customHeight="1" x14ac:dyDescent="0.35">
      <c r="A203" s="394" t="s">
        <v>107</v>
      </c>
      <c r="B203" s="88">
        <v>2</v>
      </c>
      <c r="C203" s="422"/>
      <c r="D203" s="193" t="s">
        <v>285</v>
      </c>
      <c r="E203" s="32" t="s">
        <v>43</v>
      </c>
      <c r="F203" s="371">
        <v>0</v>
      </c>
      <c r="G203" s="52">
        <v>20</v>
      </c>
      <c r="H203" s="53">
        <f t="shared" si="6"/>
        <v>0</v>
      </c>
      <c r="I203" s="183">
        <f t="shared" si="7"/>
        <v>0</v>
      </c>
      <c r="K203" s="337"/>
      <c r="L203" s="337"/>
    </row>
    <row r="204" spans="1:12" ht="15.75" customHeight="1" x14ac:dyDescent="0.35">
      <c r="A204" s="392" t="s">
        <v>110</v>
      </c>
      <c r="B204" s="202" t="s">
        <v>46</v>
      </c>
      <c r="C204" s="440" t="s">
        <v>378</v>
      </c>
      <c r="D204" s="203">
        <v>1</v>
      </c>
      <c r="E204" s="204" t="s">
        <v>43</v>
      </c>
      <c r="F204" s="64">
        <v>0</v>
      </c>
      <c r="G204" s="369">
        <v>1</v>
      </c>
      <c r="H204" s="206">
        <f t="shared" si="6"/>
        <v>0</v>
      </c>
      <c r="I204" s="384">
        <f t="shared" si="7"/>
        <v>0</v>
      </c>
    </row>
    <row r="205" spans="1:12" ht="15.75" customHeight="1" x14ac:dyDescent="0.35">
      <c r="A205" s="391" t="s">
        <v>110</v>
      </c>
      <c r="B205" s="79" t="s">
        <v>46</v>
      </c>
      <c r="C205" s="421"/>
      <c r="D205" s="181">
        <v>2</v>
      </c>
      <c r="E205" s="32" t="s">
        <v>43</v>
      </c>
      <c r="F205" s="371">
        <v>0</v>
      </c>
      <c r="G205" s="34">
        <v>2</v>
      </c>
      <c r="H205" s="35">
        <f t="shared" si="6"/>
        <v>0</v>
      </c>
      <c r="I205" s="183">
        <f t="shared" si="7"/>
        <v>0</v>
      </c>
    </row>
    <row r="206" spans="1:12" ht="15.75" customHeight="1" x14ac:dyDescent="0.35">
      <c r="A206" s="392" t="s">
        <v>110</v>
      </c>
      <c r="B206" s="209" t="s">
        <v>46</v>
      </c>
      <c r="C206" s="421"/>
      <c r="D206" s="210">
        <v>3</v>
      </c>
      <c r="E206" s="211" t="s">
        <v>43</v>
      </c>
      <c r="F206" s="371">
        <v>0</v>
      </c>
      <c r="G206" s="372">
        <v>3</v>
      </c>
      <c r="H206" s="213">
        <f t="shared" si="6"/>
        <v>0</v>
      </c>
      <c r="I206" s="373">
        <f t="shared" si="7"/>
        <v>0</v>
      </c>
    </row>
    <row r="207" spans="1:12" ht="15.75" customHeight="1" x14ac:dyDescent="0.35">
      <c r="A207" s="391" t="s">
        <v>110</v>
      </c>
      <c r="B207" s="79" t="s">
        <v>46</v>
      </c>
      <c r="C207" s="421"/>
      <c r="D207" s="181">
        <v>4</v>
      </c>
      <c r="E207" s="32" t="s">
        <v>43</v>
      </c>
      <c r="F207" s="371">
        <v>0</v>
      </c>
      <c r="G207" s="34">
        <v>4</v>
      </c>
      <c r="H207" s="35">
        <f t="shared" si="6"/>
        <v>0</v>
      </c>
      <c r="I207" s="183">
        <f t="shared" si="7"/>
        <v>0</v>
      </c>
    </row>
    <row r="208" spans="1:12" ht="15.75" customHeight="1" x14ac:dyDescent="0.35">
      <c r="A208" s="392" t="s">
        <v>110</v>
      </c>
      <c r="B208" s="209" t="s">
        <v>46</v>
      </c>
      <c r="C208" s="421"/>
      <c r="D208" s="374">
        <v>5</v>
      </c>
      <c r="E208" s="211" t="s">
        <v>43</v>
      </c>
      <c r="F208" s="371">
        <v>0</v>
      </c>
      <c r="G208" s="372">
        <v>5</v>
      </c>
      <c r="H208" s="213">
        <f t="shared" si="6"/>
        <v>0</v>
      </c>
      <c r="I208" s="373">
        <f t="shared" si="7"/>
        <v>0</v>
      </c>
    </row>
    <row r="209" spans="1:9" ht="15.75" customHeight="1" x14ac:dyDescent="0.35">
      <c r="A209" s="391" t="s">
        <v>110</v>
      </c>
      <c r="B209" s="79" t="s">
        <v>46</v>
      </c>
      <c r="C209" s="421"/>
      <c r="D209" s="375">
        <v>46180</v>
      </c>
      <c r="E209" s="32" t="s">
        <v>43</v>
      </c>
      <c r="F209" s="371">
        <v>0</v>
      </c>
      <c r="G209" s="34">
        <v>7</v>
      </c>
      <c r="H209" s="35">
        <f t="shared" si="6"/>
        <v>0</v>
      </c>
      <c r="I209" s="183">
        <f t="shared" si="7"/>
        <v>0</v>
      </c>
    </row>
    <row r="210" spans="1:9" ht="15.75" customHeight="1" x14ac:dyDescent="0.35">
      <c r="A210" s="392" t="s">
        <v>110</v>
      </c>
      <c r="B210" s="209" t="s">
        <v>46</v>
      </c>
      <c r="C210" s="421"/>
      <c r="D210" s="376">
        <v>46243</v>
      </c>
      <c r="E210" s="211" t="s">
        <v>43</v>
      </c>
      <c r="F210" s="371">
        <v>0</v>
      </c>
      <c r="G210" s="372">
        <v>9</v>
      </c>
      <c r="H210" s="213">
        <f t="shared" si="6"/>
        <v>0</v>
      </c>
      <c r="I210" s="373">
        <f t="shared" si="7"/>
        <v>0</v>
      </c>
    </row>
    <row r="211" spans="1:9" ht="15.75" customHeight="1" x14ac:dyDescent="0.35">
      <c r="A211" s="391" t="s">
        <v>110</v>
      </c>
      <c r="B211" s="79" t="s">
        <v>46</v>
      </c>
      <c r="C211" s="421"/>
      <c r="D211" s="375">
        <v>46309</v>
      </c>
      <c r="E211" s="32" t="s">
        <v>43</v>
      </c>
      <c r="F211" s="371">
        <v>0</v>
      </c>
      <c r="G211" s="34">
        <v>14</v>
      </c>
      <c r="H211" s="35">
        <f t="shared" si="6"/>
        <v>0</v>
      </c>
      <c r="I211" s="183">
        <f t="shared" si="7"/>
        <v>0</v>
      </c>
    </row>
    <row r="212" spans="1:9" ht="15.75" customHeight="1" x14ac:dyDescent="0.35">
      <c r="A212" s="395" t="s">
        <v>110</v>
      </c>
      <c r="B212" s="377" t="s">
        <v>46</v>
      </c>
      <c r="C212" s="422"/>
      <c r="D212" s="378" t="s">
        <v>285</v>
      </c>
      <c r="E212" s="211" t="s">
        <v>43</v>
      </c>
      <c r="F212" s="371">
        <v>0</v>
      </c>
      <c r="G212" s="381">
        <v>20</v>
      </c>
      <c r="H212" s="382">
        <f t="shared" si="6"/>
        <v>0</v>
      </c>
      <c r="I212" s="373">
        <f t="shared" si="7"/>
        <v>0</v>
      </c>
    </row>
    <row r="213" spans="1:9" ht="15.75" customHeight="1" x14ac:dyDescent="0.35">
      <c r="A213" s="393" t="s">
        <v>112</v>
      </c>
      <c r="B213" s="154">
        <v>3</v>
      </c>
      <c r="C213" s="433" t="s">
        <v>379</v>
      </c>
      <c r="D213" s="266">
        <v>1</v>
      </c>
      <c r="E213" s="154" t="s">
        <v>43</v>
      </c>
      <c r="F213" s="64">
        <v>0</v>
      </c>
      <c r="G213" s="318">
        <v>1</v>
      </c>
      <c r="H213" s="156">
        <f t="shared" si="6"/>
        <v>0</v>
      </c>
      <c r="I213" s="268">
        <f t="shared" si="7"/>
        <v>0</v>
      </c>
    </row>
    <row r="214" spans="1:9" ht="15.75" customHeight="1" x14ac:dyDescent="0.35">
      <c r="A214" s="392" t="s">
        <v>112</v>
      </c>
      <c r="B214" s="211">
        <v>3</v>
      </c>
      <c r="C214" s="421"/>
      <c r="D214" s="210">
        <v>2</v>
      </c>
      <c r="E214" s="211" t="s">
        <v>43</v>
      </c>
      <c r="F214" s="371">
        <v>0</v>
      </c>
      <c r="G214" s="372">
        <v>2</v>
      </c>
      <c r="H214" s="213">
        <f t="shared" si="6"/>
        <v>0</v>
      </c>
      <c r="I214" s="373">
        <f t="shared" si="7"/>
        <v>0</v>
      </c>
    </row>
    <row r="215" spans="1:9" ht="15.75" customHeight="1" x14ac:dyDescent="0.35">
      <c r="A215" s="391" t="s">
        <v>112</v>
      </c>
      <c r="B215" s="32">
        <v>3</v>
      </c>
      <c r="C215" s="421"/>
      <c r="D215" s="181">
        <v>3</v>
      </c>
      <c r="E215" s="32" t="s">
        <v>43</v>
      </c>
      <c r="F215" s="371">
        <v>0</v>
      </c>
      <c r="G215" s="34">
        <v>3</v>
      </c>
      <c r="H215" s="35">
        <f t="shared" si="6"/>
        <v>0</v>
      </c>
      <c r="I215" s="183">
        <f t="shared" si="7"/>
        <v>0</v>
      </c>
    </row>
    <row r="216" spans="1:9" ht="15.75" customHeight="1" x14ac:dyDescent="0.35">
      <c r="A216" s="392" t="s">
        <v>112</v>
      </c>
      <c r="B216" s="211">
        <v>3</v>
      </c>
      <c r="C216" s="421"/>
      <c r="D216" s="210">
        <v>4</v>
      </c>
      <c r="E216" s="211" t="s">
        <v>43</v>
      </c>
      <c r="F216" s="371">
        <v>0</v>
      </c>
      <c r="G216" s="372">
        <v>4</v>
      </c>
      <c r="H216" s="213">
        <f t="shared" si="6"/>
        <v>0</v>
      </c>
      <c r="I216" s="373">
        <f t="shared" si="7"/>
        <v>0</v>
      </c>
    </row>
    <row r="217" spans="1:9" ht="15.75" customHeight="1" x14ac:dyDescent="0.35">
      <c r="A217" s="391" t="s">
        <v>112</v>
      </c>
      <c r="B217" s="32">
        <v>3</v>
      </c>
      <c r="C217" s="421"/>
      <c r="D217" s="269">
        <v>5</v>
      </c>
      <c r="E217" s="32" t="s">
        <v>43</v>
      </c>
      <c r="F217" s="371">
        <v>0</v>
      </c>
      <c r="G217" s="34">
        <v>5</v>
      </c>
      <c r="H217" s="35">
        <f t="shared" si="6"/>
        <v>0</v>
      </c>
      <c r="I217" s="183">
        <f t="shared" si="7"/>
        <v>0</v>
      </c>
    </row>
    <row r="218" spans="1:9" ht="15.75" customHeight="1" x14ac:dyDescent="0.35">
      <c r="A218" s="392" t="s">
        <v>112</v>
      </c>
      <c r="B218" s="211">
        <v>3</v>
      </c>
      <c r="C218" s="421"/>
      <c r="D218" s="376">
        <v>46180</v>
      </c>
      <c r="E218" s="211" t="s">
        <v>43</v>
      </c>
      <c r="F218" s="371">
        <v>0</v>
      </c>
      <c r="G218" s="372">
        <v>7</v>
      </c>
      <c r="H218" s="213">
        <f t="shared" si="6"/>
        <v>0</v>
      </c>
      <c r="I218" s="373">
        <f t="shared" si="7"/>
        <v>0</v>
      </c>
    </row>
    <row r="219" spans="1:9" ht="15.75" customHeight="1" x14ac:dyDescent="0.35">
      <c r="A219" s="391" t="s">
        <v>112</v>
      </c>
      <c r="B219" s="32">
        <v>3</v>
      </c>
      <c r="C219" s="421"/>
      <c r="D219" s="375">
        <v>46243</v>
      </c>
      <c r="E219" s="32" t="s">
        <v>43</v>
      </c>
      <c r="F219" s="371">
        <v>0</v>
      </c>
      <c r="G219" s="34">
        <v>9</v>
      </c>
      <c r="H219" s="35">
        <f t="shared" si="6"/>
        <v>0</v>
      </c>
      <c r="I219" s="183">
        <f t="shared" si="7"/>
        <v>0</v>
      </c>
    </row>
    <row r="220" spans="1:9" ht="15.75" customHeight="1" x14ac:dyDescent="0.35">
      <c r="A220" s="392" t="s">
        <v>112</v>
      </c>
      <c r="B220" s="211">
        <v>3</v>
      </c>
      <c r="C220" s="421"/>
      <c r="D220" s="376">
        <v>46309</v>
      </c>
      <c r="E220" s="211" t="s">
        <v>43</v>
      </c>
      <c r="F220" s="371">
        <v>0</v>
      </c>
      <c r="G220" s="372">
        <v>14</v>
      </c>
      <c r="H220" s="213">
        <f t="shared" si="6"/>
        <v>0</v>
      </c>
      <c r="I220" s="373">
        <f t="shared" si="7"/>
        <v>0</v>
      </c>
    </row>
    <row r="221" spans="1:9" ht="15.75" customHeight="1" x14ac:dyDescent="0.35">
      <c r="A221" s="394" t="s">
        <v>112</v>
      </c>
      <c r="B221" s="50">
        <v>3</v>
      </c>
      <c r="C221" s="422"/>
      <c r="D221" s="193" t="s">
        <v>285</v>
      </c>
      <c r="E221" s="32" t="s">
        <v>43</v>
      </c>
      <c r="F221" s="371">
        <v>0</v>
      </c>
      <c r="G221" s="52">
        <v>20</v>
      </c>
      <c r="H221" s="53">
        <f t="shared" si="6"/>
        <v>0</v>
      </c>
      <c r="I221" s="183">
        <f t="shared" si="7"/>
        <v>0</v>
      </c>
    </row>
    <row r="222" spans="1:9" ht="15.75" customHeight="1" x14ac:dyDescent="0.35">
      <c r="A222" s="396" t="s">
        <v>114</v>
      </c>
      <c r="B222" s="204" t="s">
        <v>49</v>
      </c>
      <c r="C222" s="440" t="s">
        <v>380</v>
      </c>
      <c r="D222" s="203">
        <v>1</v>
      </c>
      <c r="E222" s="204" t="s">
        <v>43</v>
      </c>
      <c r="F222" s="64">
        <v>0</v>
      </c>
      <c r="G222" s="369">
        <v>1</v>
      </c>
      <c r="H222" s="206">
        <f t="shared" si="6"/>
        <v>0</v>
      </c>
      <c r="I222" s="384">
        <f t="shared" si="7"/>
        <v>0</v>
      </c>
    </row>
    <row r="223" spans="1:9" ht="15.75" customHeight="1" x14ac:dyDescent="0.35">
      <c r="A223" s="391" t="s">
        <v>114</v>
      </c>
      <c r="B223" s="32" t="s">
        <v>49</v>
      </c>
      <c r="C223" s="421"/>
      <c r="D223" s="181">
        <v>2</v>
      </c>
      <c r="E223" s="32" t="s">
        <v>43</v>
      </c>
      <c r="F223" s="371">
        <v>0</v>
      </c>
      <c r="G223" s="34">
        <v>2</v>
      </c>
      <c r="H223" s="35">
        <f t="shared" si="6"/>
        <v>0</v>
      </c>
      <c r="I223" s="183">
        <f t="shared" si="7"/>
        <v>0</v>
      </c>
    </row>
    <row r="224" spans="1:9" ht="15.75" customHeight="1" x14ac:dyDescent="0.35">
      <c r="A224" s="392" t="s">
        <v>114</v>
      </c>
      <c r="B224" s="211" t="s">
        <v>49</v>
      </c>
      <c r="C224" s="421"/>
      <c r="D224" s="210">
        <v>3</v>
      </c>
      <c r="E224" s="211" t="s">
        <v>43</v>
      </c>
      <c r="F224" s="371">
        <v>0</v>
      </c>
      <c r="G224" s="372">
        <v>3</v>
      </c>
      <c r="H224" s="213">
        <f t="shared" si="6"/>
        <v>0</v>
      </c>
      <c r="I224" s="373">
        <f t="shared" si="7"/>
        <v>0</v>
      </c>
    </row>
    <row r="225" spans="1:9" ht="15.75" customHeight="1" x14ac:dyDescent="0.35">
      <c r="A225" s="391" t="s">
        <v>114</v>
      </c>
      <c r="B225" s="32" t="s">
        <v>49</v>
      </c>
      <c r="C225" s="421"/>
      <c r="D225" s="181">
        <v>4</v>
      </c>
      <c r="E225" s="32" t="s">
        <v>43</v>
      </c>
      <c r="F225" s="371">
        <v>0</v>
      </c>
      <c r="G225" s="34">
        <v>4</v>
      </c>
      <c r="H225" s="35">
        <f t="shared" si="6"/>
        <v>0</v>
      </c>
      <c r="I225" s="183">
        <f t="shared" si="7"/>
        <v>0</v>
      </c>
    </row>
    <row r="226" spans="1:9" ht="15.75" customHeight="1" x14ac:dyDescent="0.35">
      <c r="A226" s="392" t="s">
        <v>114</v>
      </c>
      <c r="B226" s="211" t="s">
        <v>49</v>
      </c>
      <c r="C226" s="421"/>
      <c r="D226" s="374">
        <v>5</v>
      </c>
      <c r="E226" s="211" t="s">
        <v>43</v>
      </c>
      <c r="F226" s="371">
        <v>0</v>
      </c>
      <c r="G226" s="372">
        <v>5</v>
      </c>
      <c r="H226" s="213">
        <f t="shared" si="6"/>
        <v>0</v>
      </c>
      <c r="I226" s="373">
        <f t="shared" si="7"/>
        <v>0</v>
      </c>
    </row>
    <row r="227" spans="1:9" ht="15.75" customHeight="1" x14ac:dyDescent="0.35">
      <c r="A227" s="391" t="s">
        <v>114</v>
      </c>
      <c r="B227" s="32" t="s">
        <v>49</v>
      </c>
      <c r="C227" s="421"/>
      <c r="D227" s="375">
        <v>46180</v>
      </c>
      <c r="E227" s="32" t="s">
        <v>43</v>
      </c>
      <c r="F227" s="371">
        <v>0</v>
      </c>
      <c r="G227" s="34">
        <v>7</v>
      </c>
      <c r="H227" s="35">
        <f t="shared" si="6"/>
        <v>0</v>
      </c>
      <c r="I227" s="183">
        <f t="shared" si="7"/>
        <v>0</v>
      </c>
    </row>
    <row r="228" spans="1:9" ht="15.75" customHeight="1" x14ac:dyDescent="0.35">
      <c r="A228" s="392" t="s">
        <v>114</v>
      </c>
      <c r="B228" s="211" t="s">
        <v>49</v>
      </c>
      <c r="C228" s="421"/>
      <c r="D228" s="376">
        <v>46243</v>
      </c>
      <c r="E228" s="211" t="s">
        <v>43</v>
      </c>
      <c r="F228" s="371">
        <v>0</v>
      </c>
      <c r="G228" s="372">
        <v>9</v>
      </c>
      <c r="H228" s="213">
        <f t="shared" si="6"/>
        <v>0</v>
      </c>
      <c r="I228" s="373">
        <f t="shared" si="7"/>
        <v>0</v>
      </c>
    </row>
    <row r="229" spans="1:9" ht="15.75" customHeight="1" x14ac:dyDescent="0.35">
      <c r="A229" s="391" t="s">
        <v>114</v>
      </c>
      <c r="B229" s="32" t="s">
        <v>49</v>
      </c>
      <c r="C229" s="421"/>
      <c r="D229" s="375">
        <v>46309</v>
      </c>
      <c r="E229" s="32" t="s">
        <v>43</v>
      </c>
      <c r="F229" s="371">
        <v>0</v>
      </c>
      <c r="G229" s="34">
        <v>14</v>
      </c>
      <c r="H229" s="35">
        <f t="shared" si="6"/>
        <v>0</v>
      </c>
      <c r="I229" s="183">
        <f t="shared" si="7"/>
        <v>0</v>
      </c>
    </row>
    <row r="230" spans="1:9" ht="15.75" customHeight="1" x14ac:dyDescent="0.35">
      <c r="A230" s="395" t="s">
        <v>114</v>
      </c>
      <c r="B230" s="386" t="s">
        <v>49</v>
      </c>
      <c r="C230" s="422"/>
      <c r="D230" s="378" t="s">
        <v>285</v>
      </c>
      <c r="E230" s="211" t="s">
        <v>43</v>
      </c>
      <c r="F230" s="371">
        <v>0</v>
      </c>
      <c r="G230" s="381">
        <v>20</v>
      </c>
      <c r="H230" s="382">
        <f t="shared" si="6"/>
        <v>0</v>
      </c>
      <c r="I230" s="373">
        <f t="shared" si="7"/>
        <v>0</v>
      </c>
    </row>
    <row r="231" spans="1:9" ht="15.75" customHeight="1" x14ac:dyDescent="0.35">
      <c r="A231" s="393" t="s">
        <v>116</v>
      </c>
      <c r="B231" s="271">
        <v>4</v>
      </c>
      <c r="C231" s="433" t="s">
        <v>381</v>
      </c>
      <c r="D231" s="266">
        <v>1</v>
      </c>
      <c r="E231" s="154" t="s">
        <v>43</v>
      </c>
      <c r="F231" s="64">
        <v>0</v>
      </c>
      <c r="G231" s="318">
        <v>1</v>
      </c>
      <c r="H231" s="156">
        <f t="shared" si="6"/>
        <v>0</v>
      </c>
      <c r="I231" s="268">
        <f t="shared" si="7"/>
        <v>0</v>
      </c>
    </row>
    <row r="232" spans="1:9" ht="15.75" customHeight="1" x14ac:dyDescent="0.35">
      <c r="A232" s="392" t="s">
        <v>116</v>
      </c>
      <c r="B232" s="211">
        <v>4</v>
      </c>
      <c r="C232" s="421"/>
      <c r="D232" s="210">
        <v>2</v>
      </c>
      <c r="E232" s="211" t="s">
        <v>43</v>
      </c>
      <c r="F232" s="371">
        <v>0</v>
      </c>
      <c r="G232" s="372">
        <v>2</v>
      </c>
      <c r="H232" s="213">
        <f t="shared" si="6"/>
        <v>0</v>
      </c>
      <c r="I232" s="373">
        <f t="shared" si="7"/>
        <v>0</v>
      </c>
    </row>
    <row r="233" spans="1:9" ht="15.75" customHeight="1" x14ac:dyDescent="0.35">
      <c r="A233" s="391" t="s">
        <v>116</v>
      </c>
      <c r="B233" s="32">
        <v>4</v>
      </c>
      <c r="C233" s="421"/>
      <c r="D233" s="181">
        <v>3</v>
      </c>
      <c r="E233" s="32" t="s">
        <v>43</v>
      </c>
      <c r="F233" s="371">
        <v>0</v>
      </c>
      <c r="G233" s="34">
        <v>3</v>
      </c>
      <c r="H233" s="35">
        <f t="shared" si="6"/>
        <v>0</v>
      </c>
      <c r="I233" s="183">
        <f t="shared" si="7"/>
        <v>0</v>
      </c>
    </row>
    <row r="234" spans="1:9" ht="15.75" customHeight="1" x14ac:dyDescent="0.35">
      <c r="A234" s="392" t="s">
        <v>116</v>
      </c>
      <c r="B234" s="211">
        <v>4</v>
      </c>
      <c r="C234" s="421"/>
      <c r="D234" s="210">
        <v>4</v>
      </c>
      <c r="E234" s="211" t="s">
        <v>43</v>
      </c>
      <c r="F234" s="371">
        <v>0</v>
      </c>
      <c r="G234" s="372">
        <v>4</v>
      </c>
      <c r="H234" s="213">
        <f t="shared" si="6"/>
        <v>0</v>
      </c>
      <c r="I234" s="373">
        <f t="shared" si="7"/>
        <v>0</v>
      </c>
    </row>
    <row r="235" spans="1:9" ht="15.75" customHeight="1" x14ac:dyDescent="0.35">
      <c r="A235" s="391" t="s">
        <v>116</v>
      </c>
      <c r="B235" s="32">
        <v>4</v>
      </c>
      <c r="C235" s="421"/>
      <c r="D235" s="269">
        <v>5</v>
      </c>
      <c r="E235" s="32" t="s">
        <v>43</v>
      </c>
      <c r="F235" s="371">
        <v>0</v>
      </c>
      <c r="G235" s="34">
        <v>5</v>
      </c>
      <c r="H235" s="35">
        <f t="shared" si="6"/>
        <v>0</v>
      </c>
      <c r="I235" s="183">
        <f t="shared" si="7"/>
        <v>0</v>
      </c>
    </row>
    <row r="236" spans="1:9" ht="15.75" customHeight="1" x14ac:dyDescent="0.35">
      <c r="A236" s="392" t="s">
        <v>116</v>
      </c>
      <c r="B236" s="211">
        <v>4</v>
      </c>
      <c r="C236" s="421"/>
      <c r="D236" s="376">
        <v>46180</v>
      </c>
      <c r="E236" s="211" t="s">
        <v>43</v>
      </c>
      <c r="F236" s="371">
        <v>0</v>
      </c>
      <c r="G236" s="372">
        <v>7</v>
      </c>
      <c r="H236" s="213">
        <f t="shared" si="6"/>
        <v>0</v>
      </c>
      <c r="I236" s="373">
        <f t="shared" si="7"/>
        <v>0</v>
      </c>
    </row>
    <row r="237" spans="1:9" ht="15.75" customHeight="1" x14ac:dyDescent="0.35">
      <c r="A237" s="391" t="s">
        <v>116</v>
      </c>
      <c r="B237" s="32">
        <v>4</v>
      </c>
      <c r="C237" s="421"/>
      <c r="D237" s="375">
        <v>46243</v>
      </c>
      <c r="E237" s="32" t="s">
        <v>43</v>
      </c>
      <c r="F237" s="371">
        <v>0</v>
      </c>
      <c r="G237" s="34">
        <v>9</v>
      </c>
      <c r="H237" s="35">
        <f t="shared" si="6"/>
        <v>0</v>
      </c>
      <c r="I237" s="183">
        <f t="shared" si="7"/>
        <v>0</v>
      </c>
    </row>
    <row r="238" spans="1:9" ht="15.75" customHeight="1" x14ac:dyDescent="0.35">
      <c r="A238" s="392" t="s">
        <v>116</v>
      </c>
      <c r="B238" s="211">
        <v>4</v>
      </c>
      <c r="C238" s="421"/>
      <c r="D238" s="376">
        <v>46309</v>
      </c>
      <c r="E238" s="211" t="s">
        <v>43</v>
      </c>
      <c r="F238" s="371">
        <v>0</v>
      </c>
      <c r="G238" s="372">
        <v>14</v>
      </c>
      <c r="H238" s="213">
        <f t="shared" si="6"/>
        <v>0</v>
      </c>
      <c r="I238" s="373">
        <f t="shared" si="7"/>
        <v>0</v>
      </c>
    </row>
    <row r="239" spans="1:9" ht="15.75" customHeight="1" x14ac:dyDescent="0.35">
      <c r="A239" s="394" t="s">
        <v>116</v>
      </c>
      <c r="B239" s="50">
        <v>4</v>
      </c>
      <c r="C239" s="422"/>
      <c r="D239" s="193" t="s">
        <v>285</v>
      </c>
      <c r="E239" s="32" t="s">
        <v>43</v>
      </c>
      <c r="F239" s="371">
        <v>0</v>
      </c>
      <c r="G239" s="52">
        <v>20</v>
      </c>
      <c r="H239" s="53">
        <f t="shared" si="6"/>
        <v>0</v>
      </c>
      <c r="I239" s="183">
        <f t="shared" si="7"/>
        <v>0</v>
      </c>
    </row>
    <row r="240" spans="1:9" ht="15.75" customHeight="1" x14ac:dyDescent="0.35">
      <c r="A240" s="396" t="s">
        <v>118</v>
      </c>
      <c r="B240" s="387" t="s">
        <v>53</v>
      </c>
      <c r="C240" s="440" t="s">
        <v>382</v>
      </c>
      <c r="D240" s="203">
        <v>1</v>
      </c>
      <c r="E240" s="204" t="s">
        <v>43</v>
      </c>
      <c r="F240" s="64">
        <v>0</v>
      </c>
      <c r="G240" s="369">
        <v>1</v>
      </c>
      <c r="H240" s="206">
        <f t="shared" si="6"/>
        <v>0</v>
      </c>
      <c r="I240" s="384">
        <f t="shared" si="7"/>
        <v>0</v>
      </c>
    </row>
    <row r="241" spans="1:9" ht="15.75" customHeight="1" x14ac:dyDescent="0.35">
      <c r="A241" s="391" t="s">
        <v>118</v>
      </c>
      <c r="B241" s="32" t="s">
        <v>53</v>
      </c>
      <c r="C241" s="421"/>
      <c r="D241" s="181">
        <v>2</v>
      </c>
      <c r="E241" s="32" t="s">
        <v>43</v>
      </c>
      <c r="F241" s="371">
        <v>0</v>
      </c>
      <c r="G241" s="34">
        <v>2</v>
      </c>
      <c r="H241" s="35">
        <f t="shared" si="6"/>
        <v>0</v>
      </c>
      <c r="I241" s="183">
        <f t="shared" si="7"/>
        <v>0</v>
      </c>
    </row>
    <row r="242" spans="1:9" ht="15.75" customHeight="1" x14ac:dyDescent="0.35">
      <c r="A242" s="392" t="s">
        <v>118</v>
      </c>
      <c r="B242" s="211" t="s">
        <v>53</v>
      </c>
      <c r="C242" s="421"/>
      <c r="D242" s="210">
        <v>3</v>
      </c>
      <c r="E242" s="211" t="s">
        <v>43</v>
      </c>
      <c r="F242" s="371">
        <v>0</v>
      </c>
      <c r="G242" s="372">
        <v>3</v>
      </c>
      <c r="H242" s="213">
        <f t="shared" si="6"/>
        <v>0</v>
      </c>
      <c r="I242" s="373">
        <f t="shared" si="7"/>
        <v>0</v>
      </c>
    </row>
    <row r="243" spans="1:9" ht="15.75" customHeight="1" x14ac:dyDescent="0.35">
      <c r="A243" s="391" t="s">
        <v>118</v>
      </c>
      <c r="B243" s="32" t="s">
        <v>53</v>
      </c>
      <c r="C243" s="421"/>
      <c r="D243" s="181">
        <v>4</v>
      </c>
      <c r="E243" s="32" t="s">
        <v>43</v>
      </c>
      <c r="F243" s="371">
        <v>0</v>
      </c>
      <c r="G243" s="34">
        <v>4</v>
      </c>
      <c r="H243" s="35">
        <f t="shared" si="6"/>
        <v>0</v>
      </c>
      <c r="I243" s="183">
        <f t="shared" si="7"/>
        <v>0</v>
      </c>
    </row>
    <row r="244" spans="1:9" ht="15.75" customHeight="1" x14ac:dyDescent="0.35">
      <c r="A244" s="392" t="s">
        <v>118</v>
      </c>
      <c r="B244" s="211" t="s">
        <v>53</v>
      </c>
      <c r="C244" s="421"/>
      <c r="D244" s="374">
        <v>5</v>
      </c>
      <c r="E244" s="211" t="s">
        <v>43</v>
      </c>
      <c r="F244" s="371">
        <v>0</v>
      </c>
      <c r="G244" s="372">
        <v>5</v>
      </c>
      <c r="H244" s="213">
        <f t="shared" si="6"/>
        <v>0</v>
      </c>
      <c r="I244" s="373">
        <f t="shared" si="7"/>
        <v>0</v>
      </c>
    </row>
    <row r="245" spans="1:9" ht="15.75" customHeight="1" x14ac:dyDescent="0.35">
      <c r="A245" s="391" t="s">
        <v>118</v>
      </c>
      <c r="B245" s="32" t="s">
        <v>53</v>
      </c>
      <c r="C245" s="421"/>
      <c r="D245" s="375">
        <v>46180</v>
      </c>
      <c r="E245" s="32" t="s">
        <v>43</v>
      </c>
      <c r="F245" s="371">
        <v>0</v>
      </c>
      <c r="G245" s="34">
        <v>7</v>
      </c>
      <c r="H245" s="35">
        <f t="shared" si="6"/>
        <v>0</v>
      </c>
      <c r="I245" s="183">
        <f t="shared" si="7"/>
        <v>0</v>
      </c>
    </row>
    <row r="246" spans="1:9" ht="15.75" customHeight="1" x14ac:dyDescent="0.35">
      <c r="A246" s="392" t="s">
        <v>118</v>
      </c>
      <c r="B246" s="211" t="s">
        <v>53</v>
      </c>
      <c r="C246" s="421"/>
      <c r="D246" s="376">
        <v>46243</v>
      </c>
      <c r="E246" s="211" t="s">
        <v>43</v>
      </c>
      <c r="F246" s="371">
        <v>0</v>
      </c>
      <c r="G246" s="372">
        <v>9</v>
      </c>
      <c r="H246" s="213">
        <f t="shared" si="6"/>
        <v>0</v>
      </c>
      <c r="I246" s="373">
        <f t="shared" si="7"/>
        <v>0</v>
      </c>
    </row>
    <row r="247" spans="1:9" ht="15.75" customHeight="1" x14ac:dyDescent="0.35">
      <c r="A247" s="391" t="s">
        <v>118</v>
      </c>
      <c r="B247" s="32" t="s">
        <v>53</v>
      </c>
      <c r="C247" s="421"/>
      <c r="D247" s="375">
        <v>46309</v>
      </c>
      <c r="E247" s="32" t="s">
        <v>43</v>
      </c>
      <c r="F247" s="371">
        <v>0</v>
      </c>
      <c r="G247" s="34">
        <v>14</v>
      </c>
      <c r="H247" s="35">
        <f t="shared" si="6"/>
        <v>0</v>
      </c>
      <c r="I247" s="183">
        <f t="shared" si="7"/>
        <v>0</v>
      </c>
    </row>
    <row r="248" spans="1:9" ht="15.75" customHeight="1" x14ac:dyDescent="0.35">
      <c r="A248" s="395" t="s">
        <v>118</v>
      </c>
      <c r="B248" s="386" t="s">
        <v>53</v>
      </c>
      <c r="C248" s="422"/>
      <c r="D248" s="378" t="s">
        <v>285</v>
      </c>
      <c r="E248" s="386" t="s">
        <v>43</v>
      </c>
      <c r="F248" s="388">
        <v>0</v>
      </c>
      <c r="G248" s="381">
        <v>20</v>
      </c>
      <c r="H248" s="382">
        <f t="shared" si="6"/>
        <v>0</v>
      </c>
      <c r="I248" s="389">
        <f t="shared" si="7"/>
        <v>0</v>
      </c>
    </row>
    <row r="249" spans="1:9" ht="15.75" customHeight="1" x14ac:dyDescent="0.35"/>
    <row r="250" spans="1:9" ht="15.75" customHeight="1" x14ac:dyDescent="0.35"/>
    <row r="251" spans="1:9" ht="15.75" customHeight="1" x14ac:dyDescent="0.35"/>
    <row r="252" spans="1:9" ht="15.75" customHeight="1" x14ac:dyDescent="0.35"/>
    <row r="253" spans="1:9" ht="15.75" customHeight="1" x14ac:dyDescent="0.35"/>
    <row r="254" spans="1:9" ht="15.75" customHeight="1" x14ac:dyDescent="0.35"/>
    <row r="255" spans="1:9" ht="15.75" customHeight="1" x14ac:dyDescent="0.35"/>
    <row r="256" spans="1:9"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sheetData>
  <mergeCells count="40">
    <mergeCell ref="C164:C172"/>
    <mergeCell ref="C173:C181"/>
    <mergeCell ref="C119:C127"/>
    <mergeCell ref="C128:C136"/>
    <mergeCell ref="C137:C145"/>
    <mergeCell ref="C146:C154"/>
    <mergeCell ref="C155:C163"/>
    <mergeCell ref="C204:C212"/>
    <mergeCell ref="C213:C221"/>
    <mergeCell ref="C222:C230"/>
    <mergeCell ref="C231:C239"/>
    <mergeCell ref="C240:C248"/>
    <mergeCell ref="A183:H183"/>
    <mergeCell ref="A184:F184"/>
    <mergeCell ref="G184:I184"/>
    <mergeCell ref="C186:C194"/>
    <mergeCell ref="C195:C203"/>
    <mergeCell ref="A49:H49"/>
    <mergeCell ref="A50:F50"/>
    <mergeCell ref="G50:I50"/>
    <mergeCell ref="C52:C60"/>
    <mergeCell ref="A117:F117"/>
    <mergeCell ref="G117:I117"/>
    <mergeCell ref="C61:C69"/>
    <mergeCell ref="C70:C78"/>
    <mergeCell ref="C79:C87"/>
    <mergeCell ref="C88:C96"/>
    <mergeCell ref="C97:C105"/>
    <mergeCell ref="C106:C114"/>
    <mergeCell ref="A116:H116"/>
    <mergeCell ref="C18:C23"/>
    <mergeCell ref="C24:C29"/>
    <mergeCell ref="C30:C35"/>
    <mergeCell ref="C36:C41"/>
    <mergeCell ref="C42:C47"/>
    <mergeCell ref="A3:I3"/>
    <mergeCell ref="A4:F4"/>
    <mergeCell ref="G4:I4"/>
    <mergeCell ref="C6:C11"/>
    <mergeCell ref="C12:C17"/>
  </mergeCells>
  <pageMargins left="0.7" right="0.7" top="0.75" bottom="0.75" header="0" footer="0"/>
  <pageSetup orientation="landscape"/>
  <tableParts count="4">
    <tablePart r:id="rId1"/>
    <tablePart r:id="rId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742"/>
  <sheetViews>
    <sheetView workbookViewId="0">
      <selection activeCell="L12" sqref="L12"/>
    </sheetView>
  </sheetViews>
  <sheetFormatPr defaultColWidth="12.6328125" defaultRowHeight="15" customHeight="1" x14ac:dyDescent="0.35"/>
  <cols>
    <col min="1" max="1" width="10.6328125" customWidth="1"/>
    <col min="2" max="2" width="12.08984375" customWidth="1"/>
    <col min="3" max="3" width="24.36328125" customWidth="1"/>
    <col min="4" max="4" width="18.26953125" customWidth="1"/>
    <col min="5" max="6" width="8.6328125" customWidth="1"/>
    <col min="7" max="7" width="13" customWidth="1"/>
    <col min="8" max="8" width="18.7265625" customWidth="1"/>
    <col min="9" max="9" width="17.26953125" customWidth="1"/>
    <col min="10" max="10" width="10.7265625" customWidth="1"/>
    <col min="11" max="11" width="17.7265625" customWidth="1"/>
    <col min="12" max="12" width="59" customWidth="1"/>
    <col min="13" max="13" width="24.36328125" customWidth="1"/>
  </cols>
  <sheetData>
    <row r="1" spans="1:13" ht="18.5" x14ac:dyDescent="0.45">
      <c r="A1" s="10" t="s">
        <v>329</v>
      </c>
      <c r="B1" s="124"/>
      <c r="C1" s="124"/>
    </row>
    <row r="2" spans="1:13" ht="18" x14ac:dyDescent="0.4">
      <c r="A2" s="11" t="s">
        <v>120</v>
      </c>
      <c r="B2" s="124"/>
      <c r="C2" s="124"/>
    </row>
    <row r="3" spans="1:13" ht="15.75" customHeight="1" x14ac:dyDescent="0.4">
      <c r="A3" s="414" t="s">
        <v>330</v>
      </c>
      <c r="B3" s="413"/>
      <c r="C3" s="413"/>
      <c r="D3" s="413"/>
      <c r="E3" s="413"/>
      <c r="F3" s="413"/>
      <c r="G3" s="413"/>
      <c r="H3" s="413"/>
      <c r="I3" s="413"/>
    </row>
    <row r="4" spans="1:13" ht="15.75" customHeight="1" x14ac:dyDescent="0.35">
      <c r="A4" s="449" t="s">
        <v>331</v>
      </c>
      <c r="B4" s="416"/>
      <c r="C4" s="416"/>
      <c r="D4" s="416"/>
      <c r="E4" s="416"/>
      <c r="F4" s="417"/>
      <c r="G4" s="425" t="s">
        <v>332</v>
      </c>
      <c r="H4" s="416"/>
      <c r="I4" s="419"/>
      <c r="K4" s="336"/>
      <c r="L4" s="336"/>
      <c r="M4" s="336"/>
    </row>
    <row r="5" spans="1:13" ht="15.75" customHeight="1" x14ac:dyDescent="0.35">
      <c r="A5" s="125" t="s">
        <v>333</v>
      </c>
      <c r="B5" s="69" t="s">
        <v>31</v>
      </c>
      <c r="C5" s="69" t="s">
        <v>32</v>
      </c>
      <c r="D5" s="127" t="s">
        <v>239</v>
      </c>
      <c r="E5" s="50" t="s">
        <v>34</v>
      </c>
      <c r="F5" s="127" t="s">
        <v>35</v>
      </c>
      <c r="G5" s="127" t="s">
        <v>240</v>
      </c>
      <c r="H5" s="127" t="s">
        <v>383</v>
      </c>
      <c r="I5" s="128" t="s">
        <v>38</v>
      </c>
      <c r="J5" s="337"/>
      <c r="K5" s="454" t="s">
        <v>39</v>
      </c>
      <c r="L5" s="397" t="s">
        <v>384</v>
      </c>
      <c r="M5" s="398"/>
    </row>
    <row r="6" spans="1:13" ht="15.75" customHeight="1" x14ac:dyDescent="0.35">
      <c r="A6" s="72">
        <v>1001</v>
      </c>
      <c r="B6" s="89">
        <v>1</v>
      </c>
      <c r="C6" s="443" t="s">
        <v>385</v>
      </c>
      <c r="D6" s="241" t="s">
        <v>337</v>
      </c>
      <c r="E6" s="74" t="s">
        <v>245</v>
      </c>
      <c r="F6" s="24">
        <v>0</v>
      </c>
      <c r="G6" s="242">
        <v>10000</v>
      </c>
      <c r="H6" s="340">
        <f t="shared" ref="H6:H47" si="0">F6*G6</f>
        <v>0</v>
      </c>
      <c r="I6" s="341">
        <f t="shared" ref="I6:I47" si="1">H6*365</f>
        <v>0</v>
      </c>
      <c r="J6" s="337"/>
      <c r="K6" s="18">
        <v>1</v>
      </c>
      <c r="L6" s="28">
        <f>SUM(I6:I11)</f>
        <v>0</v>
      </c>
      <c r="M6" s="399"/>
    </row>
    <row r="7" spans="1:13" ht="15.75" customHeight="1" x14ac:dyDescent="0.35">
      <c r="A7" s="29">
        <v>1001</v>
      </c>
      <c r="B7" s="30">
        <v>1</v>
      </c>
      <c r="C7" s="421"/>
      <c r="D7" s="135" t="s">
        <v>338</v>
      </c>
      <c r="E7" s="135" t="s">
        <v>245</v>
      </c>
      <c r="F7" s="33">
        <v>0</v>
      </c>
      <c r="G7" s="243">
        <v>50000</v>
      </c>
      <c r="H7" s="218">
        <f t="shared" si="0"/>
        <v>0</v>
      </c>
      <c r="I7" s="342">
        <f t="shared" si="1"/>
        <v>0</v>
      </c>
      <c r="J7" s="337"/>
      <c r="K7" s="18">
        <v>2</v>
      </c>
      <c r="L7" s="28">
        <f>SUM(I12:I17)</f>
        <v>0</v>
      </c>
      <c r="M7" s="399"/>
    </row>
    <row r="8" spans="1:13" ht="15.75" customHeight="1" x14ac:dyDescent="0.35">
      <c r="A8" s="80">
        <v>1001</v>
      </c>
      <c r="B8" s="244">
        <v>1</v>
      </c>
      <c r="C8" s="421"/>
      <c r="D8" s="87" t="s">
        <v>339</v>
      </c>
      <c r="E8" s="82" t="s">
        <v>245</v>
      </c>
      <c r="F8" s="33">
        <v>0</v>
      </c>
      <c r="G8" s="245">
        <v>100000</v>
      </c>
      <c r="H8" s="343">
        <f t="shared" si="0"/>
        <v>0</v>
      </c>
      <c r="I8" s="344">
        <f t="shared" si="1"/>
        <v>0</v>
      </c>
      <c r="J8" s="337"/>
      <c r="K8" s="18" t="s">
        <v>46</v>
      </c>
      <c r="L8" s="28">
        <f>SUM(I18:I23)</f>
        <v>0</v>
      </c>
      <c r="M8" s="399"/>
    </row>
    <row r="9" spans="1:13" ht="15.75" customHeight="1" x14ac:dyDescent="0.35">
      <c r="A9" s="29">
        <v>1001</v>
      </c>
      <c r="B9" s="30">
        <v>1</v>
      </c>
      <c r="C9" s="421"/>
      <c r="D9" s="31" t="s">
        <v>246</v>
      </c>
      <c r="E9" s="135" t="s">
        <v>245</v>
      </c>
      <c r="F9" s="33">
        <v>0</v>
      </c>
      <c r="G9" s="243">
        <v>500000</v>
      </c>
      <c r="H9" s="218">
        <f t="shared" si="0"/>
        <v>0</v>
      </c>
      <c r="I9" s="342">
        <f t="shared" si="1"/>
        <v>0</v>
      </c>
      <c r="J9" s="337"/>
      <c r="K9" s="18">
        <v>3</v>
      </c>
      <c r="L9" s="28">
        <f>SUM(I24:I29)</f>
        <v>0</v>
      </c>
      <c r="M9" s="399"/>
    </row>
    <row r="10" spans="1:13" ht="15.75" customHeight="1" x14ac:dyDescent="0.35">
      <c r="A10" s="80">
        <v>1001</v>
      </c>
      <c r="B10" s="244">
        <v>1</v>
      </c>
      <c r="C10" s="421"/>
      <c r="D10" s="87" t="s">
        <v>247</v>
      </c>
      <c r="E10" s="82" t="s">
        <v>245</v>
      </c>
      <c r="F10" s="33">
        <v>0</v>
      </c>
      <c r="G10" s="245">
        <v>1000000</v>
      </c>
      <c r="H10" s="343">
        <f t="shared" si="0"/>
        <v>0</v>
      </c>
      <c r="I10" s="344">
        <f t="shared" si="1"/>
        <v>0</v>
      </c>
      <c r="J10" s="337"/>
      <c r="K10" s="18" t="s">
        <v>49</v>
      </c>
      <c r="L10" s="28">
        <f>SUM(I30:I35)</f>
        <v>0</v>
      </c>
      <c r="M10" s="399"/>
    </row>
    <row r="11" spans="1:13" ht="15.75" customHeight="1" x14ac:dyDescent="0.35">
      <c r="A11" s="47">
        <v>1001</v>
      </c>
      <c r="B11" s="48">
        <v>1</v>
      </c>
      <c r="C11" s="444"/>
      <c r="D11" s="49" t="s">
        <v>248</v>
      </c>
      <c r="E11" s="246" t="s">
        <v>245</v>
      </c>
      <c r="F11" s="345">
        <v>0</v>
      </c>
      <c r="G11" s="247">
        <v>5000000</v>
      </c>
      <c r="H11" s="220">
        <f t="shared" si="0"/>
        <v>0</v>
      </c>
      <c r="I11" s="346">
        <f t="shared" si="1"/>
        <v>0</v>
      </c>
      <c r="J11" s="337"/>
      <c r="K11" s="18">
        <v>4</v>
      </c>
      <c r="L11" s="28">
        <f>SUM(I36:I41)</f>
        <v>0</v>
      </c>
      <c r="M11" s="399"/>
    </row>
    <row r="12" spans="1:13" ht="15.75" customHeight="1" x14ac:dyDescent="0.35">
      <c r="A12" s="72">
        <v>1002</v>
      </c>
      <c r="B12" s="89">
        <v>2</v>
      </c>
      <c r="C12" s="443" t="s">
        <v>386</v>
      </c>
      <c r="D12" s="241" t="s">
        <v>337</v>
      </c>
      <c r="E12" s="74" t="s">
        <v>245</v>
      </c>
      <c r="F12" s="24">
        <v>0</v>
      </c>
      <c r="G12" s="242">
        <v>10000</v>
      </c>
      <c r="H12" s="340">
        <f t="shared" si="0"/>
        <v>0</v>
      </c>
      <c r="I12" s="341">
        <f t="shared" si="1"/>
        <v>0</v>
      </c>
      <c r="J12" s="337"/>
      <c r="K12" s="18" t="s">
        <v>53</v>
      </c>
      <c r="L12" s="28">
        <f>SUM(I42:I47)</f>
        <v>0</v>
      </c>
      <c r="M12" s="399"/>
    </row>
    <row r="13" spans="1:13" ht="15.75" customHeight="1" x14ac:dyDescent="0.35">
      <c r="A13" s="29">
        <v>1002</v>
      </c>
      <c r="B13" s="30">
        <v>2</v>
      </c>
      <c r="C13" s="421"/>
      <c r="D13" s="135" t="s">
        <v>338</v>
      </c>
      <c r="E13" s="135" t="s">
        <v>245</v>
      </c>
      <c r="F13" s="33">
        <v>0</v>
      </c>
      <c r="G13" s="243">
        <v>50000</v>
      </c>
      <c r="H13" s="218">
        <f t="shared" si="0"/>
        <v>0</v>
      </c>
      <c r="I13" s="342">
        <f t="shared" si="1"/>
        <v>0</v>
      </c>
      <c r="J13" s="337"/>
      <c r="K13" s="18" t="s">
        <v>341</v>
      </c>
      <c r="L13" s="28">
        <f>SUM(L6:L12)</f>
        <v>0</v>
      </c>
      <c r="M13" s="399"/>
    </row>
    <row r="14" spans="1:13" ht="15.75" customHeight="1" x14ac:dyDescent="0.35">
      <c r="A14" s="80">
        <v>1002</v>
      </c>
      <c r="B14" s="244">
        <v>2</v>
      </c>
      <c r="C14" s="421"/>
      <c r="D14" s="87" t="s">
        <v>339</v>
      </c>
      <c r="E14" s="82" t="s">
        <v>245</v>
      </c>
      <c r="F14" s="33">
        <v>0</v>
      </c>
      <c r="G14" s="245">
        <v>100000</v>
      </c>
      <c r="H14" s="343">
        <f t="shared" si="0"/>
        <v>0</v>
      </c>
      <c r="I14" s="344">
        <f t="shared" si="1"/>
        <v>0</v>
      </c>
      <c r="K14" s="347"/>
      <c r="L14" s="347"/>
      <c r="M14" s="347"/>
    </row>
    <row r="15" spans="1:13" ht="15.75" customHeight="1" x14ac:dyDescent="0.35">
      <c r="A15" s="29">
        <v>1002</v>
      </c>
      <c r="B15" s="30">
        <v>2</v>
      </c>
      <c r="C15" s="421"/>
      <c r="D15" s="31" t="s">
        <v>246</v>
      </c>
      <c r="E15" s="135" t="s">
        <v>245</v>
      </c>
      <c r="F15" s="65">
        <v>0</v>
      </c>
      <c r="G15" s="243">
        <v>500000</v>
      </c>
      <c r="H15" s="218">
        <f t="shared" si="0"/>
        <v>0</v>
      </c>
      <c r="I15" s="342">
        <f t="shared" si="1"/>
        <v>0</v>
      </c>
      <c r="K15" s="347"/>
      <c r="L15" s="347"/>
      <c r="M15" s="347"/>
    </row>
    <row r="16" spans="1:13" ht="15.75" customHeight="1" x14ac:dyDescent="0.35">
      <c r="A16" s="80">
        <v>1002</v>
      </c>
      <c r="B16" s="244">
        <v>2</v>
      </c>
      <c r="C16" s="421"/>
      <c r="D16" s="87" t="s">
        <v>247</v>
      </c>
      <c r="E16" s="82" t="s">
        <v>245</v>
      </c>
      <c r="F16" s="65">
        <v>0</v>
      </c>
      <c r="G16" s="245">
        <v>1000000</v>
      </c>
      <c r="H16" s="343">
        <f t="shared" si="0"/>
        <v>0</v>
      </c>
      <c r="I16" s="344">
        <f t="shared" si="1"/>
        <v>0</v>
      </c>
      <c r="J16" s="347"/>
      <c r="K16" s="347"/>
      <c r="L16" s="347"/>
      <c r="M16" s="347"/>
    </row>
    <row r="17" spans="1:13" ht="15.75" customHeight="1" x14ac:dyDescent="0.35">
      <c r="A17" s="47">
        <v>1002</v>
      </c>
      <c r="B17" s="48">
        <v>2</v>
      </c>
      <c r="C17" s="444"/>
      <c r="D17" s="49" t="s">
        <v>248</v>
      </c>
      <c r="E17" s="246" t="s">
        <v>245</v>
      </c>
      <c r="F17" s="66">
        <v>0</v>
      </c>
      <c r="G17" s="247">
        <v>5000000</v>
      </c>
      <c r="H17" s="220">
        <f t="shared" si="0"/>
        <v>0</v>
      </c>
      <c r="I17" s="346">
        <f t="shared" si="1"/>
        <v>0</v>
      </c>
      <c r="J17" s="348"/>
      <c r="K17" s="348"/>
      <c r="L17" s="348"/>
      <c r="M17" s="348"/>
    </row>
    <row r="18" spans="1:13" ht="15.75" customHeight="1" x14ac:dyDescent="0.35">
      <c r="A18" s="72">
        <v>1003</v>
      </c>
      <c r="B18" s="89" t="s">
        <v>46</v>
      </c>
      <c r="C18" s="443" t="s">
        <v>387</v>
      </c>
      <c r="D18" s="241" t="s">
        <v>337</v>
      </c>
      <c r="E18" s="74" t="s">
        <v>245</v>
      </c>
      <c r="F18" s="64">
        <v>0</v>
      </c>
      <c r="G18" s="242">
        <v>10000</v>
      </c>
      <c r="H18" s="340">
        <f t="shared" si="0"/>
        <v>0</v>
      </c>
      <c r="I18" s="341">
        <f t="shared" si="1"/>
        <v>0</v>
      </c>
      <c r="J18" s="347"/>
      <c r="K18" s="347"/>
      <c r="L18" s="347"/>
      <c r="M18" s="347"/>
    </row>
    <row r="19" spans="1:13" ht="15.75" customHeight="1" x14ac:dyDescent="0.35">
      <c r="A19" s="29">
        <v>1003</v>
      </c>
      <c r="B19" s="30" t="s">
        <v>46</v>
      </c>
      <c r="C19" s="421"/>
      <c r="D19" s="135" t="s">
        <v>338</v>
      </c>
      <c r="E19" s="135" t="s">
        <v>245</v>
      </c>
      <c r="F19" s="65">
        <v>0</v>
      </c>
      <c r="G19" s="243">
        <v>50000</v>
      </c>
      <c r="H19" s="218">
        <f t="shared" si="0"/>
        <v>0</v>
      </c>
      <c r="I19" s="342">
        <f t="shared" si="1"/>
        <v>0</v>
      </c>
      <c r="J19" s="347"/>
      <c r="K19" s="347"/>
      <c r="L19" s="347"/>
      <c r="M19" s="347"/>
    </row>
    <row r="20" spans="1:13" ht="15.75" customHeight="1" x14ac:dyDescent="0.35">
      <c r="A20" s="80">
        <v>1003</v>
      </c>
      <c r="B20" s="244" t="s">
        <v>46</v>
      </c>
      <c r="C20" s="421"/>
      <c r="D20" s="87" t="s">
        <v>339</v>
      </c>
      <c r="E20" s="82" t="s">
        <v>245</v>
      </c>
      <c r="F20" s="65">
        <v>0</v>
      </c>
      <c r="G20" s="245">
        <v>100000</v>
      </c>
      <c r="H20" s="343">
        <f t="shared" si="0"/>
        <v>0</v>
      </c>
      <c r="I20" s="344">
        <f t="shared" si="1"/>
        <v>0</v>
      </c>
      <c r="J20" s="347"/>
      <c r="K20" s="347"/>
      <c r="L20" s="347"/>
      <c r="M20" s="347"/>
    </row>
    <row r="21" spans="1:13" ht="15.75" customHeight="1" x14ac:dyDescent="0.35">
      <c r="A21" s="29">
        <v>1003</v>
      </c>
      <c r="B21" s="30" t="s">
        <v>46</v>
      </c>
      <c r="C21" s="421"/>
      <c r="D21" s="31" t="s">
        <v>246</v>
      </c>
      <c r="E21" s="135" t="s">
        <v>245</v>
      </c>
      <c r="F21" s="65">
        <v>0</v>
      </c>
      <c r="G21" s="243">
        <v>500000</v>
      </c>
      <c r="H21" s="218">
        <f t="shared" si="0"/>
        <v>0</v>
      </c>
      <c r="I21" s="342">
        <f t="shared" si="1"/>
        <v>0</v>
      </c>
      <c r="J21" s="347"/>
      <c r="K21" s="347"/>
      <c r="L21" s="347"/>
      <c r="M21" s="347"/>
    </row>
    <row r="22" spans="1:13" ht="15.75" customHeight="1" x14ac:dyDescent="0.35">
      <c r="A22" s="80">
        <v>1003</v>
      </c>
      <c r="B22" s="244" t="s">
        <v>46</v>
      </c>
      <c r="C22" s="421"/>
      <c r="D22" s="87" t="s">
        <v>247</v>
      </c>
      <c r="E22" s="82" t="s">
        <v>245</v>
      </c>
      <c r="F22" s="65">
        <v>0</v>
      </c>
      <c r="G22" s="245">
        <v>1000000</v>
      </c>
      <c r="H22" s="343">
        <f t="shared" si="0"/>
        <v>0</v>
      </c>
      <c r="I22" s="344">
        <f t="shared" si="1"/>
        <v>0</v>
      </c>
      <c r="J22" s="347"/>
      <c r="K22" s="347"/>
      <c r="L22" s="347"/>
      <c r="M22" s="347"/>
    </row>
    <row r="23" spans="1:13" ht="15.75" customHeight="1" x14ac:dyDescent="0.35">
      <c r="A23" s="47">
        <v>1003</v>
      </c>
      <c r="B23" s="48" t="s">
        <v>46</v>
      </c>
      <c r="C23" s="444"/>
      <c r="D23" s="49" t="s">
        <v>248</v>
      </c>
      <c r="E23" s="246" t="s">
        <v>245</v>
      </c>
      <c r="F23" s="66">
        <v>0</v>
      </c>
      <c r="G23" s="247">
        <v>5000000</v>
      </c>
      <c r="H23" s="220">
        <f t="shared" si="0"/>
        <v>0</v>
      </c>
      <c r="I23" s="346">
        <f t="shared" si="1"/>
        <v>0</v>
      </c>
      <c r="J23" s="348"/>
      <c r="K23" s="348"/>
      <c r="L23" s="348"/>
      <c r="M23" s="348"/>
    </row>
    <row r="24" spans="1:13" ht="15.75" customHeight="1" x14ac:dyDescent="0.35">
      <c r="A24" s="72">
        <v>1004</v>
      </c>
      <c r="B24" s="89">
        <v>3</v>
      </c>
      <c r="C24" s="443" t="s">
        <v>388</v>
      </c>
      <c r="D24" s="241" t="s">
        <v>337</v>
      </c>
      <c r="E24" s="74" t="s">
        <v>245</v>
      </c>
      <c r="F24" s="64">
        <v>0</v>
      </c>
      <c r="G24" s="242">
        <v>10000</v>
      </c>
      <c r="H24" s="340">
        <f t="shared" si="0"/>
        <v>0</v>
      </c>
      <c r="I24" s="341">
        <f t="shared" si="1"/>
        <v>0</v>
      </c>
      <c r="J24" s="347"/>
      <c r="K24" s="347"/>
      <c r="L24" s="347"/>
      <c r="M24" s="347"/>
    </row>
    <row r="25" spans="1:13" ht="15.75" customHeight="1" x14ac:dyDescent="0.35">
      <c r="A25" s="29">
        <v>1004</v>
      </c>
      <c r="B25" s="30">
        <v>3</v>
      </c>
      <c r="C25" s="421"/>
      <c r="D25" s="135" t="s">
        <v>338</v>
      </c>
      <c r="E25" s="135" t="s">
        <v>245</v>
      </c>
      <c r="F25" s="65">
        <v>0</v>
      </c>
      <c r="G25" s="243">
        <v>50000</v>
      </c>
      <c r="H25" s="218">
        <f t="shared" si="0"/>
        <v>0</v>
      </c>
      <c r="I25" s="342">
        <f t="shared" si="1"/>
        <v>0</v>
      </c>
      <c r="J25" s="347"/>
      <c r="K25" s="347"/>
      <c r="L25" s="347"/>
      <c r="M25" s="347"/>
    </row>
    <row r="26" spans="1:13" ht="15.75" customHeight="1" x14ac:dyDescent="0.35">
      <c r="A26" s="80">
        <v>1004</v>
      </c>
      <c r="B26" s="244">
        <v>3</v>
      </c>
      <c r="C26" s="421"/>
      <c r="D26" s="87" t="s">
        <v>339</v>
      </c>
      <c r="E26" s="82" t="s">
        <v>245</v>
      </c>
      <c r="F26" s="65">
        <v>0</v>
      </c>
      <c r="G26" s="245">
        <v>100000</v>
      </c>
      <c r="H26" s="343">
        <f t="shared" si="0"/>
        <v>0</v>
      </c>
      <c r="I26" s="344">
        <f t="shared" si="1"/>
        <v>0</v>
      </c>
      <c r="J26" s="347"/>
      <c r="K26" s="347"/>
      <c r="L26" s="347"/>
      <c r="M26" s="347"/>
    </row>
    <row r="27" spans="1:13" ht="15.75" customHeight="1" x14ac:dyDescent="0.35">
      <c r="A27" s="29">
        <v>1004</v>
      </c>
      <c r="B27" s="30">
        <v>3</v>
      </c>
      <c r="C27" s="421"/>
      <c r="D27" s="31" t="s">
        <v>246</v>
      </c>
      <c r="E27" s="135" t="s">
        <v>245</v>
      </c>
      <c r="F27" s="65">
        <v>0</v>
      </c>
      <c r="G27" s="243">
        <v>500000</v>
      </c>
      <c r="H27" s="218">
        <f t="shared" si="0"/>
        <v>0</v>
      </c>
      <c r="I27" s="342">
        <f t="shared" si="1"/>
        <v>0</v>
      </c>
      <c r="J27" s="347"/>
      <c r="K27" s="347"/>
      <c r="L27" s="347"/>
      <c r="M27" s="347"/>
    </row>
    <row r="28" spans="1:13" ht="15.75" customHeight="1" x14ac:dyDescent="0.35">
      <c r="A28" s="80">
        <v>1004</v>
      </c>
      <c r="B28" s="244">
        <v>3</v>
      </c>
      <c r="C28" s="421"/>
      <c r="D28" s="87" t="s">
        <v>247</v>
      </c>
      <c r="E28" s="82" t="s">
        <v>245</v>
      </c>
      <c r="F28" s="65">
        <v>0</v>
      </c>
      <c r="G28" s="245">
        <v>1000000</v>
      </c>
      <c r="H28" s="343">
        <f t="shared" si="0"/>
        <v>0</v>
      </c>
      <c r="I28" s="344">
        <f t="shared" si="1"/>
        <v>0</v>
      </c>
      <c r="J28" s="347"/>
      <c r="K28" s="347"/>
      <c r="L28" s="347"/>
      <c r="M28" s="347"/>
    </row>
    <row r="29" spans="1:13" ht="15.75" customHeight="1" x14ac:dyDescent="0.35">
      <c r="A29" s="122">
        <v>1004</v>
      </c>
      <c r="B29" s="320">
        <v>3</v>
      </c>
      <c r="C29" s="444"/>
      <c r="D29" s="321" t="s">
        <v>248</v>
      </c>
      <c r="E29" s="349" t="s">
        <v>245</v>
      </c>
      <c r="F29" s="299">
        <v>0</v>
      </c>
      <c r="G29" s="350">
        <v>5000000</v>
      </c>
      <c r="H29" s="351">
        <f t="shared" si="0"/>
        <v>0</v>
      </c>
      <c r="I29" s="352">
        <f t="shared" si="1"/>
        <v>0</v>
      </c>
      <c r="J29" s="348"/>
      <c r="K29" s="348"/>
      <c r="L29" s="348"/>
      <c r="M29" s="348"/>
    </row>
    <row r="30" spans="1:13" ht="15.75" customHeight="1" x14ac:dyDescent="0.35">
      <c r="A30" s="72">
        <v>1005</v>
      </c>
      <c r="B30" s="89" t="s">
        <v>49</v>
      </c>
      <c r="C30" s="443" t="s">
        <v>389</v>
      </c>
      <c r="D30" s="241" t="s">
        <v>337</v>
      </c>
      <c r="E30" s="74" t="s">
        <v>245</v>
      </c>
      <c r="F30" s="64">
        <v>0</v>
      </c>
      <c r="G30" s="353">
        <v>10000</v>
      </c>
      <c r="H30" s="340">
        <f t="shared" si="0"/>
        <v>0</v>
      </c>
      <c r="I30" s="341">
        <f t="shared" si="1"/>
        <v>0</v>
      </c>
      <c r="J30" s="347"/>
      <c r="K30" s="347"/>
      <c r="L30" s="347"/>
      <c r="M30" s="347"/>
    </row>
    <row r="31" spans="1:13" ht="15.75" customHeight="1" x14ac:dyDescent="0.35">
      <c r="A31" s="29">
        <v>1005</v>
      </c>
      <c r="B31" s="30" t="s">
        <v>49</v>
      </c>
      <c r="C31" s="421"/>
      <c r="D31" s="135" t="s">
        <v>338</v>
      </c>
      <c r="E31" s="135" t="s">
        <v>245</v>
      </c>
      <c r="F31" s="65">
        <v>0</v>
      </c>
      <c r="G31" s="182">
        <v>50000</v>
      </c>
      <c r="H31" s="218">
        <f t="shared" si="0"/>
        <v>0</v>
      </c>
      <c r="I31" s="342">
        <f t="shared" si="1"/>
        <v>0</v>
      </c>
      <c r="J31" s="347"/>
      <c r="K31" s="347"/>
      <c r="L31" s="347"/>
      <c r="M31" s="347"/>
    </row>
    <row r="32" spans="1:13" ht="15.75" customHeight="1" x14ac:dyDescent="0.35">
      <c r="A32" s="80">
        <v>1005</v>
      </c>
      <c r="B32" s="244" t="s">
        <v>49</v>
      </c>
      <c r="C32" s="421"/>
      <c r="D32" s="87" t="s">
        <v>339</v>
      </c>
      <c r="E32" s="82" t="s">
        <v>245</v>
      </c>
      <c r="F32" s="65">
        <v>0</v>
      </c>
      <c r="G32" s="354">
        <v>100000</v>
      </c>
      <c r="H32" s="343">
        <f t="shared" si="0"/>
        <v>0</v>
      </c>
      <c r="I32" s="344">
        <f t="shared" si="1"/>
        <v>0</v>
      </c>
      <c r="J32" s="347"/>
      <c r="K32" s="347"/>
      <c r="L32" s="347"/>
      <c r="M32" s="347"/>
    </row>
    <row r="33" spans="1:13" ht="15.75" customHeight="1" x14ac:dyDescent="0.35">
      <c r="A33" s="29">
        <v>1005</v>
      </c>
      <c r="B33" s="30" t="s">
        <v>49</v>
      </c>
      <c r="C33" s="421"/>
      <c r="D33" s="31" t="s">
        <v>246</v>
      </c>
      <c r="E33" s="135" t="s">
        <v>245</v>
      </c>
      <c r="F33" s="65">
        <v>0</v>
      </c>
      <c r="G33" s="182">
        <v>500000</v>
      </c>
      <c r="H33" s="218">
        <f t="shared" si="0"/>
        <v>0</v>
      </c>
      <c r="I33" s="342">
        <f t="shared" si="1"/>
        <v>0</v>
      </c>
      <c r="J33" s="347"/>
      <c r="K33" s="347"/>
      <c r="L33" s="347"/>
      <c r="M33" s="347"/>
    </row>
    <row r="34" spans="1:13" ht="15.75" customHeight="1" x14ac:dyDescent="0.35">
      <c r="A34" s="80">
        <v>1005</v>
      </c>
      <c r="B34" s="244" t="s">
        <v>49</v>
      </c>
      <c r="C34" s="421"/>
      <c r="D34" s="87" t="s">
        <v>247</v>
      </c>
      <c r="E34" s="82" t="s">
        <v>245</v>
      </c>
      <c r="F34" s="65">
        <v>0</v>
      </c>
      <c r="G34" s="354">
        <v>1000000</v>
      </c>
      <c r="H34" s="343">
        <f t="shared" si="0"/>
        <v>0</v>
      </c>
      <c r="I34" s="344">
        <f t="shared" si="1"/>
        <v>0</v>
      </c>
      <c r="J34" s="347"/>
      <c r="K34" s="347"/>
      <c r="L34" s="347"/>
      <c r="M34" s="347"/>
    </row>
    <row r="35" spans="1:13" ht="15.75" customHeight="1" x14ac:dyDescent="0.35">
      <c r="A35" s="47">
        <v>1005</v>
      </c>
      <c r="B35" s="48" t="s">
        <v>49</v>
      </c>
      <c r="C35" s="444"/>
      <c r="D35" s="49" t="s">
        <v>248</v>
      </c>
      <c r="E35" s="246" t="s">
        <v>245</v>
      </c>
      <c r="F35" s="66">
        <v>0</v>
      </c>
      <c r="G35" s="194">
        <v>5000000</v>
      </c>
      <c r="H35" s="220">
        <f t="shared" si="0"/>
        <v>0</v>
      </c>
      <c r="I35" s="346">
        <f t="shared" si="1"/>
        <v>0</v>
      </c>
      <c r="J35" s="348"/>
      <c r="K35" s="348"/>
      <c r="L35" s="348"/>
      <c r="M35" s="348"/>
    </row>
    <row r="36" spans="1:13" ht="15.75" customHeight="1" x14ac:dyDescent="0.35">
      <c r="A36" s="72">
        <v>1006</v>
      </c>
      <c r="B36" s="89">
        <v>4</v>
      </c>
      <c r="C36" s="443" t="s">
        <v>390</v>
      </c>
      <c r="D36" s="241" t="s">
        <v>337</v>
      </c>
      <c r="E36" s="74" t="s">
        <v>245</v>
      </c>
      <c r="F36" s="64">
        <v>0</v>
      </c>
      <c r="G36" s="353">
        <v>10000</v>
      </c>
      <c r="H36" s="340">
        <f t="shared" si="0"/>
        <v>0</v>
      </c>
      <c r="I36" s="341">
        <f t="shared" si="1"/>
        <v>0</v>
      </c>
      <c r="J36" s="348"/>
      <c r="K36" s="348"/>
      <c r="L36" s="348"/>
      <c r="M36" s="348"/>
    </row>
    <row r="37" spans="1:13" ht="15.75" customHeight="1" x14ac:dyDescent="0.35">
      <c r="A37" s="29">
        <v>1006</v>
      </c>
      <c r="B37" s="30">
        <v>4</v>
      </c>
      <c r="C37" s="421"/>
      <c r="D37" s="135" t="s">
        <v>338</v>
      </c>
      <c r="E37" s="135" t="s">
        <v>245</v>
      </c>
      <c r="F37" s="65">
        <v>0</v>
      </c>
      <c r="G37" s="182">
        <v>50000</v>
      </c>
      <c r="H37" s="218">
        <f t="shared" si="0"/>
        <v>0</v>
      </c>
      <c r="I37" s="342">
        <f t="shared" si="1"/>
        <v>0</v>
      </c>
      <c r="J37" s="348"/>
      <c r="K37" s="348"/>
      <c r="L37" s="348"/>
      <c r="M37" s="348"/>
    </row>
    <row r="38" spans="1:13" ht="15.75" customHeight="1" x14ac:dyDescent="0.35">
      <c r="A38" s="80">
        <v>1006</v>
      </c>
      <c r="B38" s="244">
        <v>4</v>
      </c>
      <c r="C38" s="421"/>
      <c r="D38" s="87" t="s">
        <v>339</v>
      </c>
      <c r="E38" s="82" t="s">
        <v>245</v>
      </c>
      <c r="F38" s="65">
        <v>0</v>
      </c>
      <c r="G38" s="354">
        <v>100000</v>
      </c>
      <c r="H38" s="343">
        <f t="shared" si="0"/>
        <v>0</v>
      </c>
      <c r="I38" s="344">
        <f t="shared" si="1"/>
        <v>0</v>
      </c>
      <c r="J38" s="348"/>
      <c r="K38" s="348"/>
      <c r="L38" s="348"/>
      <c r="M38" s="348"/>
    </row>
    <row r="39" spans="1:13" ht="15.75" customHeight="1" x14ac:dyDescent="0.35">
      <c r="A39" s="29">
        <v>1006</v>
      </c>
      <c r="B39" s="30">
        <v>4</v>
      </c>
      <c r="C39" s="421"/>
      <c r="D39" s="31" t="s">
        <v>246</v>
      </c>
      <c r="E39" s="135" t="s">
        <v>245</v>
      </c>
      <c r="F39" s="65">
        <v>0</v>
      </c>
      <c r="G39" s="182">
        <v>500000</v>
      </c>
      <c r="H39" s="218">
        <f t="shared" si="0"/>
        <v>0</v>
      </c>
      <c r="I39" s="342">
        <f t="shared" si="1"/>
        <v>0</v>
      </c>
      <c r="J39" s="348"/>
      <c r="K39" s="348"/>
      <c r="L39" s="348"/>
      <c r="M39" s="348"/>
    </row>
    <row r="40" spans="1:13" ht="15.75" customHeight="1" x14ac:dyDescent="0.35">
      <c r="A40" s="80">
        <v>1006</v>
      </c>
      <c r="B40" s="244">
        <v>4</v>
      </c>
      <c r="C40" s="421"/>
      <c r="D40" s="87" t="s">
        <v>247</v>
      </c>
      <c r="E40" s="82" t="s">
        <v>245</v>
      </c>
      <c r="F40" s="65">
        <v>0</v>
      </c>
      <c r="G40" s="354">
        <v>1000000</v>
      </c>
      <c r="H40" s="343">
        <f t="shared" si="0"/>
        <v>0</v>
      </c>
      <c r="I40" s="344">
        <f t="shared" si="1"/>
        <v>0</v>
      </c>
      <c r="J40" s="348"/>
      <c r="K40" s="348"/>
      <c r="L40" s="348"/>
      <c r="M40" s="348"/>
    </row>
    <row r="41" spans="1:13" ht="15.75" customHeight="1" x14ac:dyDescent="0.35">
      <c r="A41" s="47">
        <v>1006</v>
      </c>
      <c r="B41" s="48">
        <v>4</v>
      </c>
      <c r="C41" s="444"/>
      <c r="D41" s="49" t="s">
        <v>248</v>
      </c>
      <c r="E41" s="246" t="s">
        <v>245</v>
      </c>
      <c r="F41" s="66">
        <v>0</v>
      </c>
      <c r="G41" s="194">
        <v>5000000</v>
      </c>
      <c r="H41" s="220">
        <f t="shared" si="0"/>
        <v>0</v>
      </c>
      <c r="I41" s="346">
        <f t="shared" si="1"/>
        <v>0</v>
      </c>
      <c r="J41" s="348"/>
      <c r="K41" s="348"/>
      <c r="L41" s="348"/>
      <c r="M41" s="348"/>
    </row>
    <row r="42" spans="1:13" ht="15.75" customHeight="1" x14ac:dyDescent="0.35">
      <c r="A42" s="72">
        <v>1007</v>
      </c>
      <c r="B42" s="355" t="s">
        <v>53</v>
      </c>
      <c r="C42" s="443" t="s">
        <v>391</v>
      </c>
      <c r="D42" s="356" t="s">
        <v>337</v>
      </c>
      <c r="E42" s="74" t="s">
        <v>245</v>
      </c>
      <c r="F42" s="64">
        <v>0</v>
      </c>
      <c r="G42" s="353">
        <v>10000</v>
      </c>
      <c r="H42" s="340">
        <f t="shared" si="0"/>
        <v>0</v>
      </c>
      <c r="I42" s="341">
        <f t="shared" si="1"/>
        <v>0</v>
      </c>
      <c r="J42" s="348"/>
      <c r="K42" s="348"/>
      <c r="L42" s="348"/>
      <c r="M42" s="348"/>
    </row>
    <row r="43" spans="1:13" ht="15.75" customHeight="1" x14ac:dyDescent="0.35">
      <c r="A43" s="29">
        <v>1007</v>
      </c>
      <c r="B43" s="357" t="s">
        <v>53</v>
      </c>
      <c r="C43" s="421"/>
      <c r="D43" s="358" t="s">
        <v>338</v>
      </c>
      <c r="E43" s="135" t="s">
        <v>245</v>
      </c>
      <c r="F43" s="65">
        <v>0</v>
      </c>
      <c r="G43" s="182">
        <v>50000</v>
      </c>
      <c r="H43" s="218">
        <f t="shared" si="0"/>
        <v>0</v>
      </c>
      <c r="I43" s="342">
        <f t="shared" si="1"/>
        <v>0</v>
      </c>
      <c r="J43" s="348"/>
      <c r="K43" s="348"/>
      <c r="L43" s="348"/>
      <c r="M43" s="348"/>
    </row>
    <row r="44" spans="1:13" ht="15.75" customHeight="1" x14ac:dyDescent="0.35">
      <c r="A44" s="80">
        <v>1007</v>
      </c>
      <c r="B44" s="359" t="s">
        <v>53</v>
      </c>
      <c r="C44" s="421"/>
      <c r="D44" s="360" t="s">
        <v>339</v>
      </c>
      <c r="E44" s="82" t="s">
        <v>245</v>
      </c>
      <c r="F44" s="65">
        <v>0</v>
      </c>
      <c r="G44" s="354">
        <v>100000</v>
      </c>
      <c r="H44" s="343">
        <f t="shared" si="0"/>
        <v>0</v>
      </c>
      <c r="I44" s="344">
        <f t="shared" si="1"/>
        <v>0</v>
      </c>
      <c r="J44" s="348"/>
      <c r="K44" s="348"/>
      <c r="L44" s="348"/>
      <c r="M44" s="348"/>
    </row>
    <row r="45" spans="1:13" ht="15.75" customHeight="1" x14ac:dyDescent="0.35">
      <c r="A45" s="29">
        <v>1007</v>
      </c>
      <c r="B45" s="357" t="s">
        <v>53</v>
      </c>
      <c r="C45" s="421"/>
      <c r="D45" s="361" t="s">
        <v>246</v>
      </c>
      <c r="E45" s="135" t="s">
        <v>245</v>
      </c>
      <c r="F45" s="65">
        <v>0</v>
      </c>
      <c r="G45" s="182">
        <v>500000</v>
      </c>
      <c r="H45" s="218">
        <f t="shared" si="0"/>
        <v>0</v>
      </c>
      <c r="I45" s="342">
        <f t="shared" si="1"/>
        <v>0</v>
      </c>
      <c r="J45" s="348"/>
      <c r="K45" s="348"/>
      <c r="L45" s="348"/>
      <c r="M45" s="348"/>
    </row>
    <row r="46" spans="1:13" ht="15.75" customHeight="1" x14ac:dyDescent="0.35">
      <c r="A46" s="80">
        <v>1007</v>
      </c>
      <c r="B46" s="359" t="s">
        <v>53</v>
      </c>
      <c r="C46" s="421"/>
      <c r="D46" s="360" t="s">
        <v>247</v>
      </c>
      <c r="E46" s="82" t="s">
        <v>245</v>
      </c>
      <c r="F46" s="65">
        <v>0</v>
      </c>
      <c r="G46" s="354">
        <v>1000000</v>
      </c>
      <c r="H46" s="343">
        <f t="shared" si="0"/>
        <v>0</v>
      </c>
      <c r="I46" s="344">
        <f t="shared" si="1"/>
        <v>0</v>
      </c>
      <c r="J46" s="348"/>
      <c r="K46" s="348"/>
      <c r="L46" s="348"/>
      <c r="M46" s="348"/>
    </row>
    <row r="47" spans="1:13" ht="15.75" customHeight="1" x14ac:dyDescent="0.35">
      <c r="A47" s="47">
        <v>1007</v>
      </c>
      <c r="B47" s="362" t="s">
        <v>53</v>
      </c>
      <c r="C47" s="422"/>
      <c r="D47" s="363" t="s">
        <v>248</v>
      </c>
      <c r="E47" s="246" t="s">
        <v>245</v>
      </c>
      <c r="F47" s="66">
        <v>0</v>
      </c>
      <c r="G47" s="194">
        <v>5000000</v>
      </c>
      <c r="H47" s="220">
        <f t="shared" si="0"/>
        <v>0</v>
      </c>
      <c r="I47" s="346">
        <f t="shared" si="1"/>
        <v>0</v>
      </c>
      <c r="J47" s="348"/>
      <c r="K47" s="348"/>
      <c r="L47" s="348"/>
      <c r="M47" s="348"/>
    </row>
    <row r="48" spans="1:13" ht="15.75" customHeight="1" x14ac:dyDescent="0.35"/>
    <row r="49" spans="1:13" ht="15.75" customHeight="1" x14ac:dyDescent="0.4">
      <c r="A49" s="450" t="s">
        <v>347</v>
      </c>
      <c r="B49" s="413"/>
      <c r="C49" s="413"/>
      <c r="D49" s="413"/>
      <c r="E49" s="413"/>
      <c r="F49" s="413"/>
      <c r="G49" s="413"/>
      <c r="H49" s="413"/>
    </row>
    <row r="50" spans="1:13" ht="15.75" customHeight="1" x14ac:dyDescent="0.35">
      <c r="A50" s="451" t="s">
        <v>392</v>
      </c>
      <c r="B50" s="416"/>
      <c r="C50" s="416"/>
      <c r="D50" s="416"/>
      <c r="E50" s="416"/>
      <c r="F50" s="417"/>
      <c r="G50" s="452" t="s">
        <v>349</v>
      </c>
      <c r="H50" s="416"/>
      <c r="I50" s="419"/>
    </row>
    <row r="51" spans="1:13" ht="15.75" customHeight="1" x14ac:dyDescent="0.35">
      <c r="A51" s="125" t="s">
        <v>333</v>
      </c>
      <c r="B51" s="69" t="s">
        <v>31</v>
      </c>
      <c r="C51" s="69" t="s">
        <v>32</v>
      </c>
      <c r="D51" s="127" t="s">
        <v>226</v>
      </c>
      <c r="E51" s="50" t="s">
        <v>34</v>
      </c>
      <c r="F51" s="69" t="s">
        <v>35</v>
      </c>
      <c r="G51" s="16" t="s">
        <v>304</v>
      </c>
      <c r="H51" s="14" t="s">
        <v>37</v>
      </c>
      <c r="I51" s="128" t="s">
        <v>38</v>
      </c>
      <c r="K51" s="275" t="s">
        <v>39</v>
      </c>
      <c r="L51" s="400" t="s">
        <v>393</v>
      </c>
      <c r="M51" s="398"/>
    </row>
    <row r="52" spans="1:13" ht="15.75" customHeight="1" x14ac:dyDescent="0.35">
      <c r="A52" s="364">
        <v>1008</v>
      </c>
      <c r="B52" s="365">
        <v>1</v>
      </c>
      <c r="C52" s="453" t="s">
        <v>394</v>
      </c>
      <c r="D52" s="366">
        <v>1</v>
      </c>
      <c r="E52" s="367" t="s">
        <v>43</v>
      </c>
      <c r="F52" s="368">
        <v>0</v>
      </c>
      <c r="G52" s="369">
        <v>1</v>
      </c>
      <c r="H52" s="206">
        <f t="shared" ref="H52:H114" si="2">F52*G52</f>
        <v>0</v>
      </c>
      <c r="I52" s="370">
        <f t="shared" ref="I52:I114" si="3">H52*365</f>
        <v>0</v>
      </c>
      <c r="K52" s="18">
        <v>1</v>
      </c>
      <c r="L52" s="28">
        <f>SUM(I52:I60)</f>
        <v>0</v>
      </c>
      <c r="M52" s="399"/>
    </row>
    <row r="53" spans="1:13" ht="15.75" customHeight="1" x14ac:dyDescent="0.35">
      <c r="A53" s="29">
        <v>1008</v>
      </c>
      <c r="B53" s="79">
        <v>1</v>
      </c>
      <c r="C53" s="421"/>
      <c r="D53" s="181">
        <v>2</v>
      </c>
      <c r="E53" s="32" t="s">
        <v>43</v>
      </c>
      <c r="F53" s="371">
        <v>0</v>
      </c>
      <c r="G53" s="34">
        <v>2</v>
      </c>
      <c r="H53" s="35">
        <f t="shared" si="2"/>
        <v>0</v>
      </c>
      <c r="I53" s="183">
        <f t="shared" si="3"/>
        <v>0</v>
      </c>
      <c r="K53" s="277">
        <v>2</v>
      </c>
      <c r="L53" s="278">
        <f>SUM(I61:I69)</f>
        <v>0</v>
      </c>
      <c r="M53" s="399"/>
    </row>
    <row r="54" spans="1:13" ht="15.75" customHeight="1" x14ac:dyDescent="0.35">
      <c r="A54" s="208">
        <v>1008</v>
      </c>
      <c r="B54" s="209">
        <v>1</v>
      </c>
      <c r="C54" s="421"/>
      <c r="D54" s="210">
        <v>3</v>
      </c>
      <c r="E54" s="211" t="s">
        <v>43</v>
      </c>
      <c r="F54" s="371">
        <v>0</v>
      </c>
      <c r="G54" s="372">
        <v>3</v>
      </c>
      <c r="H54" s="213">
        <f t="shared" si="2"/>
        <v>0</v>
      </c>
      <c r="I54" s="373">
        <f t="shared" si="3"/>
        <v>0</v>
      </c>
      <c r="K54" s="18" t="s">
        <v>46</v>
      </c>
      <c r="L54" s="28">
        <f>SUM(I70:I78)</f>
        <v>0</v>
      </c>
      <c r="M54" s="399"/>
    </row>
    <row r="55" spans="1:13" ht="15.75" customHeight="1" x14ac:dyDescent="0.35">
      <c r="A55" s="29">
        <v>1008</v>
      </c>
      <c r="B55" s="79">
        <v>1</v>
      </c>
      <c r="C55" s="421"/>
      <c r="D55" s="181">
        <v>4</v>
      </c>
      <c r="E55" s="32" t="s">
        <v>43</v>
      </c>
      <c r="F55" s="371">
        <v>0</v>
      </c>
      <c r="G55" s="34">
        <v>4</v>
      </c>
      <c r="H55" s="35">
        <f t="shared" si="2"/>
        <v>0</v>
      </c>
      <c r="I55" s="183">
        <f t="shared" si="3"/>
        <v>0</v>
      </c>
      <c r="K55" s="277">
        <v>3</v>
      </c>
      <c r="L55" s="278">
        <f>SUM(I79:I87)</f>
        <v>0</v>
      </c>
      <c r="M55" s="399"/>
    </row>
    <row r="56" spans="1:13" ht="15.75" customHeight="1" x14ac:dyDescent="0.35">
      <c r="A56" s="208">
        <v>1008</v>
      </c>
      <c r="B56" s="209">
        <v>1</v>
      </c>
      <c r="C56" s="421"/>
      <c r="D56" s="374">
        <v>5</v>
      </c>
      <c r="E56" s="211" t="s">
        <v>43</v>
      </c>
      <c r="F56" s="371">
        <v>0</v>
      </c>
      <c r="G56" s="372">
        <v>5</v>
      </c>
      <c r="H56" s="213">
        <f t="shared" si="2"/>
        <v>0</v>
      </c>
      <c r="I56" s="373">
        <f t="shared" si="3"/>
        <v>0</v>
      </c>
      <c r="K56" s="18" t="s">
        <v>49</v>
      </c>
      <c r="L56" s="28">
        <f>SUM(I88:I96)</f>
        <v>0</v>
      </c>
      <c r="M56" s="399"/>
    </row>
    <row r="57" spans="1:13" ht="15.75" customHeight="1" x14ac:dyDescent="0.35">
      <c r="A57" s="29">
        <v>1008</v>
      </c>
      <c r="B57" s="79">
        <v>1</v>
      </c>
      <c r="C57" s="421"/>
      <c r="D57" s="375">
        <v>46180</v>
      </c>
      <c r="E57" s="32" t="s">
        <v>43</v>
      </c>
      <c r="F57" s="371">
        <v>0</v>
      </c>
      <c r="G57" s="34">
        <v>7</v>
      </c>
      <c r="H57" s="35">
        <f t="shared" si="2"/>
        <v>0</v>
      </c>
      <c r="I57" s="183">
        <f t="shared" si="3"/>
        <v>0</v>
      </c>
      <c r="K57" s="277">
        <v>4</v>
      </c>
      <c r="L57" s="278">
        <f>SUM(I97:I105)</f>
        <v>0</v>
      </c>
      <c r="M57" s="399"/>
    </row>
    <row r="58" spans="1:13" ht="15.75" customHeight="1" x14ac:dyDescent="0.35">
      <c r="A58" s="208">
        <v>1008</v>
      </c>
      <c r="B58" s="209">
        <v>1</v>
      </c>
      <c r="C58" s="421"/>
      <c r="D58" s="376">
        <v>46243</v>
      </c>
      <c r="E58" s="211" t="s">
        <v>43</v>
      </c>
      <c r="F58" s="371">
        <v>0</v>
      </c>
      <c r="G58" s="372">
        <v>9</v>
      </c>
      <c r="H58" s="213">
        <f t="shared" si="2"/>
        <v>0</v>
      </c>
      <c r="I58" s="373">
        <f t="shared" si="3"/>
        <v>0</v>
      </c>
      <c r="K58" s="18" t="s">
        <v>53</v>
      </c>
      <c r="L58" s="28">
        <f>SUM(I106:I114)</f>
        <v>0</v>
      </c>
      <c r="M58" s="399"/>
    </row>
    <row r="59" spans="1:13" ht="15.75" customHeight="1" x14ac:dyDescent="0.35">
      <c r="A59" s="29">
        <v>1008</v>
      </c>
      <c r="B59" s="79">
        <v>1</v>
      </c>
      <c r="C59" s="421"/>
      <c r="D59" s="375">
        <v>46309</v>
      </c>
      <c r="E59" s="32" t="s">
        <v>43</v>
      </c>
      <c r="F59" s="371">
        <v>0</v>
      </c>
      <c r="G59" s="34">
        <v>14</v>
      </c>
      <c r="H59" s="35">
        <f t="shared" si="2"/>
        <v>0</v>
      </c>
      <c r="I59" s="183">
        <f t="shared" si="3"/>
        <v>0</v>
      </c>
      <c r="K59" s="277" t="s">
        <v>352</v>
      </c>
      <c r="L59" s="278">
        <f>SUM(L52:L58)</f>
        <v>0</v>
      </c>
    </row>
    <row r="60" spans="1:13" ht="15.75" customHeight="1" x14ac:dyDescent="0.35">
      <c r="A60" s="208">
        <v>1008</v>
      </c>
      <c r="B60" s="377">
        <v>1</v>
      </c>
      <c r="C60" s="422"/>
      <c r="D60" s="378" t="s">
        <v>285</v>
      </c>
      <c r="E60" s="379" t="s">
        <v>43</v>
      </c>
      <c r="F60" s="380">
        <v>0</v>
      </c>
      <c r="G60" s="381">
        <v>20</v>
      </c>
      <c r="H60" s="382">
        <f t="shared" si="2"/>
        <v>0</v>
      </c>
      <c r="I60" s="383">
        <f t="shared" si="3"/>
        <v>0</v>
      </c>
    </row>
    <row r="61" spans="1:13" ht="15.75" customHeight="1" x14ac:dyDescent="0.35">
      <c r="A61" s="151">
        <v>1009</v>
      </c>
      <c r="B61" s="265">
        <v>2</v>
      </c>
      <c r="C61" s="433" t="s">
        <v>395</v>
      </c>
      <c r="D61" s="266">
        <v>1</v>
      </c>
      <c r="E61" s="154" t="s">
        <v>43</v>
      </c>
      <c r="F61" s="64">
        <v>0</v>
      </c>
      <c r="G61" s="318">
        <v>1</v>
      </c>
      <c r="H61" s="156">
        <f t="shared" si="2"/>
        <v>0</v>
      </c>
      <c r="I61" s="268">
        <f t="shared" si="3"/>
        <v>0</v>
      </c>
      <c r="M61" s="401"/>
    </row>
    <row r="62" spans="1:13" ht="15.75" customHeight="1" x14ac:dyDescent="0.35">
      <c r="A62" s="208">
        <v>1009</v>
      </c>
      <c r="B62" s="209">
        <v>2</v>
      </c>
      <c r="C62" s="421"/>
      <c r="D62" s="210">
        <v>2</v>
      </c>
      <c r="E62" s="211" t="s">
        <v>43</v>
      </c>
      <c r="F62" s="371">
        <v>0</v>
      </c>
      <c r="G62" s="372">
        <v>2</v>
      </c>
      <c r="H62" s="213">
        <f t="shared" si="2"/>
        <v>0</v>
      </c>
      <c r="I62" s="373">
        <f t="shared" si="3"/>
        <v>0</v>
      </c>
      <c r="M62" s="401"/>
    </row>
    <row r="63" spans="1:13" ht="15.75" customHeight="1" x14ac:dyDescent="0.35">
      <c r="A63" s="29">
        <v>1009</v>
      </c>
      <c r="B63" s="79">
        <v>2</v>
      </c>
      <c r="C63" s="421"/>
      <c r="D63" s="181">
        <v>3</v>
      </c>
      <c r="E63" s="32" t="s">
        <v>43</v>
      </c>
      <c r="F63" s="371">
        <v>0</v>
      </c>
      <c r="G63" s="34">
        <v>3</v>
      </c>
      <c r="H63" s="35">
        <f t="shared" si="2"/>
        <v>0</v>
      </c>
      <c r="I63" s="183">
        <f t="shared" si="3"/>
        <v>0</v>
      </c>
    </row>
    <row r="64" spans="1:13" ht="15.75" customHeight="1" x14ac:dyDescent="0.35">
      <c r="A64" s="208">
        <v>1009</v>
      </c>
      <c r="B64" s="209">
        <v>2</v>
      </c>
      <c r="C64" s="421"/>
      <c r="D64" s="210">
        <v>4</v>
      </c>
      <c r="E64" s="211" t="s">
        <v>43</v>
      </c>
      <c r="F64" s="371">
        <v>0</v>
      </c>
      <c r="G64" s="372">
        <v>4</v>
      </c>
      <c r="H64" s="213">
        <f t="shared" si="2"/>
        <v>0</v>
      </c>
      <c r="I64" s="373">
        <f t="shared" si="3"/>
        <v>0</v>
      </c>
    </row>
    <row r="65" spans="1:9" ht="15.75" customHeight="1" x14ac:dyDescent="0.35">
      <c r="A65" s="29">
        <v>1009</v>
      </c>
      <c r="B65" s="79">
        <v>2</v>
      </c>
      <c r="C65" s="421"/>
      <c r="D65" s="269">
        <v>5</v>
      </c>
      <c r="E65" s="32" t="s">
        <v>43</v>
      </c>
      <c r="F65" s="371">
        <v>0</v>
      </c>
      <c r="G65" s="34">
        <v>5</v>
      </c>
      <c r="H65" s="35">
        <f t="shared" si="2"/>
        <v>0</v>
      </c>
      <c r="I65" s="183">
        <f t="shared" si="3"/>
        <v>0</v>
      </c>
    </row>
    <row r="66" spans="1:9" ht="15.75" customHeight="1" x14ac:dyDescent="0.35">
      <c r="A66" s="208">
        <v>1009</v>
      </c>
      <c r="B66" s="209">
        <v>2</v>
      </c>
      <c r="C66" s="421"/>
      <c r="D66" s="376">
        <v>46180</v>
      </c>
      <c r="E66" s="211" t="s">
        <v>43</v>
      </c>
      <c r="F66" s="371">
        <v>0</v>
      </c>
      <c r="G66" s="372">
        <v>7</v>
      </c>
      <c r="H66" s="213">
        <f t="shared" si="2"/>
        <v>0</v>
      </c>
      <c r="I66" s="373">
        <f t="shared" si="3"/>
        <v>0</v>
      </c>
    </row>
    <row r="67" spans="1:9" ht="15.75" customHeight="1" x14ac:dyDescent="0.35">
      <c r="A67" s="29">
        <v>1009</v>
      </c>
      <c r="B67" s="79">
        <v>2</v>
      </c>
      <c r="C67" s="421"/>
      <c r="D67" s="375">
        <v>46243</v>
      </c>
      <c r="E67" s="32" t="s">
        <v>43</v>
      </c>
      <c r="F67" s="371">
        <v>0</v>
      </c>
      <c r="G67" s="34">
        <v>9</v>
      </c>
      <c r="H67" s="35">
        <f t="shared" si="2"/>
        <v>0</v>
      </c>
      <c r="I67" s="183">
        <f t="shared" si="3"/>
        <v>0</v>
      </c>
    </row>
    <row r="68" spans="1:9" ht="15.75" customHeight="1" x14ac:dyDescent="0.35">
      <c r="A68" s="208">
        <v>1009</v>
      </c>
      <c r="B68" s="209">
        <v>2</v>
      </c>
      <c r="C68" s="421"/>
      <c r="D68" s="376">
        <v>46309</v>
      </c>
      <c r="E68" s="211" t="s">
        <v>43</v>
      </c>
      <c r="F68" s="371">
        <v>0</v>
      </c>
      <c r="G68" s="372">
        <v>14</v>
      </c>
      <c r="H68" s="213">
        <f t="shared" si="2"/>
        <v>0</v>
      </c>
      <c r="I68" s="373">
        <f t="shared" si="3"/>
        <v>0</v>
      </c>
    </row>
    <row r="69" spans="1:9" ht="15.75" customHeight="1" x14ac:dyDescent="0.35">
      <c r="A69" s="47">
        <v>1009</v>
      </c>
      <c r="B69" s="88">
        <v>2</v>
      </c>
      <c r="C69" s="422"/>
      <c r="D69" s="193" t="s">
        <v>285</v>
      </c>
      <c r="E69" s="32" t="s">
        <v>43</v>
      </c>
      <c r="F69" s="371">
        <v>0</v>
      </c>
      <c r="G69" s="52">
        <v>20</v>
      </c>
      <c r="H69" s="53">
        <f t="shared" si="2"/>
        <v>0</v>
      </c>
      <c r="I69" s="183">
        <f t="shared" si="3"/>
        <v>0</v>
      </c>
    </row>
    <row r="70" spans="1:9" ht="15.75" customHeight="1" x14ac:dyDescent="0.35">
      <c r="A70" s="208">
        <v>1010</v>
      </c>
      <c r="B70" s="202" t="s">
        <v>46</v>
      </c>
      <c r="C70" s="440" t="s">
        <v>396</v>
      </c>
      <c r="D70" s="203">
        <v>1</v>
      </c>
      <c r="E70" s="204" t="s">
        <v>43</v>
      </c>
      <c r="F70" s="64">
        <v>0</v>
      </c>
      <c r="G70" s="369">
        <v>1</v>
      </c>
      <c r="H70" s="206">
        <f t="shared" si="2"/>
        <v>0</v>
      </c>
      <c r="I70" s="384">
        <f t="shared" si="3"/>
        <v>0</v>
      </c>
    </row>
    <row r="71" spans="1:9" ht="15.75" customHeight="1" x14ac:dyDescent="0.35">
      <c r="A71" s="29">
        <v>1010</v>
      </c>
      <c r="B71" s="79" t="s">
        <v>46</v>
      </c>
      <c r="C71" s="421"/>
      <c r="D71" s="181">
        <v>2</v>
      </c>
      <c r="E71" s="32" t="s">
        <v>43</v>
      </c>
      <c r="F71" s="371">
        <v>0</v>
      </c>
      <c r="G71" s="34">
        <v>2</v>
      </c>
      <c r="H71" s="35">
        <f t="shared" si="2"/>
        <v>0</v>
      </c>
      <c r="I71" s="183">
        <f t="shared" si="3"/>
        <v>0</v>
      </c>
    </row>
    <row r="72" spans="1:9" ht="15.75" customHeight="1" x14ac:dyDescent="0.35">
      <c r="A72" s="208">
        <v>1010</v>
      </c>
      <c r="B72" s="209" t="s">
        <v>46</v>
      </c>
      <c r="C72" s="421"/>
      <c r="D72" s="210">
        <v>3</v>
      </c>
      <c r="E72" s="211" t="s">
        <v>43</v>
      </c>
      <c r="F72" s="371">
        <v>0</v>
      </c>
      <c r="G72" s="372">
        <v>3</v>
      </c>
      <c r="H72" s="213">
        <f t="shared" si="2"/>
        <v>0</v>
      </c>
      <c r="I72" s="373">
        <f t="shared" si="3"/>
        <v>0</v>
      </c>
    </row>
    <row r="73" spans="1:9" ht="15.75" customHeight="1" x14ac:dyDescent="0.35">
      <c r="A73" s="29">
        <v>1010</v>
      </c>
      <c r="B73" s="79" t="s">
        <v>46</v>
      </c>
      <c r="C73" s="421"/>
      <c r="D73" s="181">
        <v>4</v>
      </c>
      <c r="E73" s="32" t="s">
        <v>43</v>
      </c>
      <c r="F73" s="371">
        <v>0</v>
      </c>
      <c r="G73" s="34">
        <v>4</v>
      </c>
      <c r="H73" s="35">
        <f t="shared" si="2"/>
        <v>0</v>
      </c>
      <c r="I73" s="183">
        <f t="shared" si="3"/>
        <v>0</v>
      </c>
    </row>
    <row r="74" spans="1:9" ht="15.75" customHeight="1" x14ac:dyDescent="0.35">
      <c r="A74" s="208">
        <v>1010</v>
      </c>
      <c r="B74" s="209" t="s">
        <v>46</v>
      </c>
      <c r="C74" s="421"/>
      <c r="D74" s="374">
        <v>5</v>
      </c>
      <c r="E74" s="211" t="s">
        <v>43</v>
      </c>
      <c r="F74" s="371">
        <v>0</v>
      </c>
      <c r="G74" s="372">
        <v>5</v>
      </c>
      <c r="H74" s="213">
        <f t="shared" si="2"/>
        <v>0</v>
      </c>
      <c r="I74" s="373">
        <f t="shared" si="3"/>
        <v>0</v>
      </c>
    </row>
    <row r="75" spans="1:9" ht="15.75" customHeight="1" x14ac:dyDescent="0.35">
      <c r="A75" s="29">
        <v>1010</v>
      </c>
      <c r="B75" s="79" t="s">
        <v>46</v>
      </c>
      <c r="C75" s="421"/>
      <c r="D75" s="375">
        <v>46180</v>
      </c>
      <c r="E75" s="32" t="s">
        <v>43</v>
      </c>
      <c r="F75" s="371">
        <v>0</v>
      </c>
      <c r="G75" s="34">
        <v>7</v>
      </c>
      <c r="H75" s="35">
        <f t="shared" si="2"/>
        <v>0</v>
      </c>
      <c r="I75" s="183">
        <f t="shared" si="3"/>
        <v>0</v>
      </c>
    </row>
    <row r="76" spans="1:9" ht="15.75" customHeight="1" x14ac:dyDescent="0.35">
      <c r="A76" s="208">
        <v>1010</v>
      </c>
      <c r="B76" s="209" t="s">
        <v>46</v>
      </c>
      <c r="C76" s="421"/>
      <c r="D76" s="376">
        <v>46243</v>
      </c>
      <c r="E76" s="211" t="s">
        <v>43</v>
      </c>
      <c r="F76" s="371">
        <v>0</v>
      </c>
      <c r="G76" s="372">
        <v>9</v>
      </c>
      <c r="H76" s="213">
        <f t="shared" si="2"/>
        <v>0</v>
      </c>
      <c r="I76" s="373">
        <f t="shared" si="3"/>
        <v>0</v>
      </c>
    </row>
    <row r="77" spans="1:9" ht="15.75" customHeight="1" x14ac:dyDescent="0.35">
      <c r="A77" s="29">
        <v>1010</v>
      </c>
      <c r="B77" s="79" t="s">
        <v>46</v>
      </c>
      <c r="C77" s="421"/>
      <c r="D77" s="375">
        <v>46309</v>
      </c>
      <c r="E77" s="32" t="s">
        <v>43</v>
      </c>
      <c r="F77" s="371">
        <v>0</v>
      </c>
      <c r="G77" s="34">
        <v>14</v>
      </c>
      <c r="H77" s="35">
        <f t="shared" si="2"/>
        <v>0</v>
      </c>
      <c r="I77" s="183">
        <f t="shared" si="3"/>
        <v>0</v>
      </c>
    </row>
    <row r="78" spans="1:9" ht="15.75" customHeight="1" x14ac:dyDescent="0.35">
      <c r="A78" s="385">
        <v>1010</v>
      </c>
      <c r="B78" s="377" t="s">
        <v>46</v>
      </c>
      <c r="C78" s="422"/>
      <c r="D78" s="378" t="s">
        <v>285</v>
      </c>
      <c r="E78" s="211" t="s">
        <v>43</v>
      </c>
      <c r="F78" s="371">
        <v>0</v>
      </c>
      <c r="G78" s="381">
        <v>20</v>
      </c>
      <c r="H78" s="382">
        <f t="shared" si="2"/>
        <v>0</v>
      </c>
      <c r="I78" s="373">
        <f t="shared" si="3"/>
        <v>0</v>
      </c>
    </row>
    <row r="79" spans="1:9" ht="15.75" customHeight="1" x14ac:dyDescent="0.35">
      <c r="A79" s="151">
        <v>1011</v>
      </c>
      <c r="B79" s="154">
        <v>3</v>
      </c>
      <c r="C79" s="433" t="s">
        <v>397</v>
      </c>
      <c r="D79" s="266">
        <v>1</v>
      </c>
      <c r="E79" s="154" t="s">
        <v>43</v>
      </c>
      <c r="F79" s="64">
        <v>0</v>
      </c>
      <c r="G79" s="318">
        <v>1</v>
      </c>
      <c r="H79" s="156">
        <f t="shared" si="2"/>
        <v>0</v>
      </c>
      <c r="I79" s="268">
        <f t="shared" si="3"/>
        <v>0</v>
      </c>
    </row>
    <row r="80" spans="1:9" ht="15.75" customHeight="1" x14ac:dyDescent="0.35">
      <c r="A80" s="208">
        <v>1011</v>
      </c>
      <c r="B80" s="211">
        <v>3</v>
      </c>
      <c r="C80" s="421"/>
      <c r="D80" s="210">
        <v>2</v>
      </c>
      <c r="E80" s="211" t="s">
        <v>43</v>
      </c>
      <c r="F80" s="371">
        <v>0</v>
      </c>
      <c r="G80" s="372">
        <v>2</v>
      </c>
      <c r="H80" s="213">
        <f t="shared" si="2"/>
        <v>0</v>
      </c>
      <c r="I80" s="373">
        <f t="shared" si="3"/>
        <v>0</v>
      </c>
    </row>
    <row r="81" spans="1:9" ht="15.75" customHeight="1" x14ac:dyDescent="0.35">
      <c r="A81" s="29">
        <v>1011</v>
      </c>
      <c r="B81" s="32">
        <v>3</v>
      </c>
      <c r="C81" s="421"/>
      <c r="D81" s="181">
        <v>3</v>
      </c>
      <c r="E81" s="32" t="s">
        <v>43</v>
      </c>
      <c r="F81" s="371">
        <v>0</v>
      </c>
      <c r="G81" s="34">
        <v>3</v>
      </c>
      <c r="H81" s="35">
        <f t="shared" si="2"/>
        <v>0</v>
      </c>
      <c r="I81" s="183">
        <f t="shared" si="3"/>
        <v>0</v>
      </c>
    </row>
    <row r="82" spans="1:9" ht="15.75" customHeight="1" x14ac:dyDescent="0.35">
      <c r="A82" s="208">
        <v>1011</v>
      </c>
      <c r="B82" s="211">
        <v>3</v>
      </c>
      <c r="C82" s="421"/>
      <c r="D82" s="210">
        <v>4</v>
      </c>
      <c r="E82" s="211" t="s">
        <v>43</v>
      </c>
      <c r="F82" s="371">
        <v>0</v>
      </c>
      <c r="G82" s="372">
        <v>4</v>
      </c>
      <c r="H82" s="213">
        <f t="shared" si="2"/>
        <v>0</v>
      </c>
      <c r="I82" s="373">
        <f t="shared" si="3"/>
        <v>0</v>
      </c>
    </row>
    <row r="83" spans="1:9" ht="15.75" customHeight="1" x14ac:dyDescent="0.35">
      <c r="A83" s="29">
        <v>1011</v>
      </c>
      <c r="B83" s="32">
        <v>3</v>
      </c>
      <c r="C83" s="421"/>
      <c r="D83" s="269">
        <v>5</v>
      </c>
      <c r="E83" s="32" t="s">
        <v>43</v>
      </c>
      <c r="F83" s="371">
        <v>0</v>
      </c>
      <c r="G83" s="34">
        <v>5</v>
      </c>
      <c r="H83" s="35">
        <f t="shared" si="2"/>
        <v>0</v>
      </c>
      <c r="I83" s="183">
        <f t="shared" si="3"/>
        <v>0</v>
      </c>
    </row>
    <row r="84" spans="1:9" ht="15.75" customHeight="1" x14ac:dyDescent="0.35">
      <c r="A84" s="208">
        <v>1011</v>
      </c>
      <c r="B84" s="211">
        <v>3</v>
      </c>
      <c r="C84" s="421"/>
      <c r="D84" s="376">
        <v>46180</v>
      </c>
      <c r="E84" s="211" t="s">
        <v>43</v>
      </c>
      <c r="F84" s="371">
        <v>0</v>
      </c>
      <c r="G84" s="372">
        <v>7</v>
      </c>
      <c r="H84" s="213">
        <f t="shared" si="2"/>
        <v>0</v>
      </c>
      <c r="I84" s="373">
        <f t="shared" si="3"/>
        <v>0</v>
      </c>
    </row>
    <row r="85" spans="1:9" ht="15.75" customHeight="1" x14ac:dyDescent="0.35">
      <c r="A85" s="29">
        <v>1011</v>
      </c>
      <c r="B85" s="32">
        <v>3</v>
      </c>
      <c r="C85" s="421"/>
      <c r="D85" s="375">
        <v>46243</v>
      </c>
      <c r="E85" s="32" t="s">
        <v>43</v>
      </c>
      <c r="F85" s="371">
        <v>0</v>
      </c>
      <c r="G85" s="34">
        <v>9</v>
      </c>
      <c r="H85" s="35">
        <f t="shared" si="2"/>
        <v>0</v>
      </c>
      <c r="I85" s="183">
        <f t="shared" si="3"/>
        <v>0</v>
      </c>
    </row>
    <row r="86" spans="1:9" ht="15.75" customHeight="1" x14ac:dyDescent="0.35">
      <c r="A86" s="208">
        <v>1011</v>
      </c>
      <c r="B86" s="211">
        <v>3</v>
      </c>
      <c r="C86" s="421"/>
      <c r="D86" s="376">
        <v>46309</v>
      </c>
      <c r="E86" s="211" t="s">
        <v>43</v>
      </c>
      <c r="F86" s="371">
        <v>0</v>
      </c>
      <c r="G86" s="372">
        <v>14</v>
      </c>
      <c r="H86" s="213">
        <f t="shared" si="2"/>
        <v>0</v>
      </c>
      <c r="I86" s="373">
        <f t="shared" si="3"/>
        <v>0</v>
      </c>
    </row>
    <row r="87" spans="1:9" ht="15.75" customHeight="1" x14ac:dyDescent="0.35">
      <c r="A87" s="47">
        <v>1011</v>
      </c>
      <c r="B87" s="50">
        <v>3</v>
      </c>
      <c r="C87" s="422"/>
      <c r="D87" s="193" t="s">
        <v>285</v>
      </c>
      <c r="E87" s="32" t="s">
        <v>43</v>
      </c>
      <c r="F87" s="371">
        <v>0</v>
      </c>
      <c r="G87" s="52">
        <v>20</v>
      </c>
      <c r="H87" s="53">
        <f t="shared" si="2"/>
        <v>0</v>
      </c>
      <c r="I87" s="183">
        <f t="shared" si="3"/>
        <v>0</v>
      </c>
    </row>
    <row r="88" spans="1:9" ht="15.75" customHeight="1" x14ac:dyDescent="0.35">
      <c r="A88" s="201">
        <v>1012</v>
      </c>
      <c r="B88" s="204" t="s">
        <v>49</v>
      </c>
      <c r="C88" s="440" t="s">
        <v>398</v>
      </c>
      <c r="D88" s="203">
        <v>1</v>
      </c>
      <c r="E88" s="204" t="s">
        <v>43</v>
      </c>
      <c r="F88" s="64">
        <v>0</v>
      </c>
      <c r="G88" s="369">
        <v>1</v>
      </c>
      <c r="H88" s="206">
        <f t="shared" si="2"/>
        <v>0</v>
      </c>
      <c r="I88" s="384">
        <f t="shared" si="3"/>
        <v>0</v>
      </c>
    </row>
    <row r="89" spans="1:9" ht="15.75" customHeight="1" x14ac:dyDescent="0.35">
      <c r="A89" s="29">
        <v>1012</v>
      </c>
      <c r="B89" s="32" t="s">
        <v>49</v>
      </c>
      <c r="C89" s="421"/>
      <c r="D89" s="181">
        <v>2</v>
      </c>
      <c r="E89" s="32" t="s">
        <v>43</v>
      </c>
      <c r="F89" s="371">
        <v>0</v>
      </c>
      <c r="G89" s="34">
        <v>2</v>
      </c>
      <c r="H89" s="35">
        <f t="shared" si="2"/>
        <v>0</v>
      </c>
      <c r="I89" s="183">
        <f t="shared" si="3"/>
        <v>0</v>
      </c>
    </row>
    <row r="90" spans="1:9" ht="15.75" customHeight="1" x14ac:dyDescent="0.35">
      <c r="A90" s="208">
        <v>1012</v>
      </c>
      <c r="B90" s="211" t="s">
        <v>49</v>
      </c>
      <c r="C90" s="421"/>
      <c r="D90" s="210">
        <v>3</v>
      </c>
      <c r="E90" s="211" t="s">
        <v>43</v>
      </c>
      <c r="F90" s="371">
        <v>0</v>
      </c>
      <c r="G90" s="372">
        <v>3</v>
      </c>
      <c r="H90" s="213">
        <f t="shared" si="2"/>
        <v>0</v>
      </c>
      <c r="I90" s="373">
        <f t="shared" si="3"/>
        <v>0</v>
      </c>
    </row>
    <row r="91" spans="1:9" ht="15.75" customHeight="1" x14ac:dyDescent="0.35">
      <c r="A91" s="29">
        <v>1012</v>
      </c>
      <c r="B91" s="32" t="s">
        <v>49</v>
      </c>
      <c r="C91" s="421"/>
      <c r="D91" s="181">
        <v>4</v>
      </c>
      <c r="E91" s="32" t="s">
        <v>43</v>
      </c>
      <c r="F91" s="371">
        <v>0</v>
      </c>
      <c r="G91" s="34">
        <v>4</v>
      </c>
      <c r="H91" s="35">
        <f t="shared" si="2"/>
        <v>0</v>
      </c>
      <c r="I91" s="183">
        <f t="shared" si="3"/>
        <v>0</v>
      </c>
    </row>
    <row r="92" spans="1:9" ht="15.75" customHeight="1" x14ac:dyDescent="0.35">
      <c r="A92" s="208">
        <v>1012</v>
      </c>
      <c r="B92" s="211" t="s">
        <v>49</v>
      </c>
      <c r="C92" s="421"/>
      <c r="D92" s="374">
        <v>5</v>
      </c>
      <c r="E92" s="211" t="s">
        <v>43</v>
      </c>
      <c r="F92" s="371">
        <v>0</v>
      </c>
      <c r="G92" s="372">
        <v>5</v>
      </c>
      <c r="H92" s="213">
        <f t="shared" si="2"/>
        <v>0</v>
      </c>
      <c r="I92" s="373">
        <f t="shared" si="3"/>
        <v>0</v>
      </c>
    </row>
    <row r="93" spans="1:9" ht="15.75" customHeight="1" x14ac:dyDescent="0.35">
      <c r="A93" s="29">
        <v>1012</v>
      </c>
      <c r="B93" s="32" t="s">
        <v>49</v>
      </c>
      <c r="C93" s="421"/>
      <c r="D93" s="375">
        <v>46180</v>
      </c>
      <c r="E93" s="32" t="s">
        <v>43</v>
      </c>
      <c r="F93" s="371">
        <v>0</v>
      </c>
      <c r="G93" s="34">
        <v>7</v>
      </c>
      <c r="H93" s="35">
        <f t="shared" si="2"/>
        <v>0</v>
      </c>
      <c r="I93" s="183">
        <f t="shared" si="3"/>
        <v>0</v>
      </c>
    </row>
    <row r="94" spans="1:9" ht="15.75" customHeight="1" x14ac:dyDescent="0.35">
      <c r="A94" s="208">
        <v>1012</v>
      </c>
      <c r="B94" s="211" t="s">
        <v>49</v>
      </c>
      <c r="C94" s="421"/>
      <c r="D94" s="376">
        <v>46243</v>
      </c>
      <c r="E94" s="211" t="s">
        <v>43</v>
      </c>
      <c r="F94" s="371">
        <v>0</v>
      </c>
      <c r="G94" s="372">
        <v>9</v>
      </c>
      <c r="H94" s="213">
        <f t="shared" si="2"/>
        <v>0</v>
      </c>
      <c r="I94" s="373">
        <f t="shared" si="3"/>
        <v>0</v>
      </c>
    </row>
    <row r="95" spans="1:9" ht="15.75" customHeight="1" x14ac:dyDescent="0.35">
      <c r="A95" s="29">
        <v>1012</v>
      </c>
      <c r="B95" s="32" t="s">
        <v>49</v>
      </c>
      <c r="C95" s="421"/>
      <c r="D95" s="375">
        <v>46309</v>
      </c>
      <c r="E95" s="32" t="s">
        <v>43</v>
      </c>
      <c r="F95" s="371">
        <v>0</v>
      </c>
      <c r="G95" s="34">
        <v>14</v>
      </c>
      <c r="H95" s="35">
        <f t="shared" si="2"/>
        <v>0</v>
      </c>
      <c r="I95" s="183">
        <f t="shared" si="3"/>
        <v>0</v>
      </c>
    </row>
    <row r="96" spans="1:9" ht="15.75" customHeight="1" x14ac:dyDescent="0.35">
      <c r="A96" s="385">
        <v>1012</v>
      </c>
      <c r="B96" s="386" t="s">
        <v>49</v>
      </c>
      <c r="C96" s="422"/>
      <c r="D96" s="378" t="s">
        <v>285</v>
      </c>
      <c r="E96" s="211" t="s">
        <v>43</v>
      </c>
      <c r="F96" s="371">
        <v>0</v>
      </c>
      <c r="G96" s="381">
        <v>20</v>
      </c>
      <c r="H96" s="382">
        <f t="shared" si="2"/>
        <v>0</v>
      </c>
      <c r="I96" s="373">
        <f t="shared" si="3"/>
        <v>0</v>
      </c>
    </row>
    <row r="97" spans="1:9" ht="15.75" customHeight="1" x14ac:dyDescent="0.35">
      <c r="A97" s="151">
        <v>1013</v>
      </c>
      <c r="B97" s="271">
        <v>4</v>
      </c>
      <c r="C97" s="433" t="s">
        <v>399</v>
      </c>
      <c r="D97" s="266">
        <v>1</v>
      </c>
      <c r="E97" s="154" t="s">
        <v>43</v>
      </c>
      <c r="F97" s="64">
        <v>0</v>
      </c>
      <c r="G97" s="318">
        <v>1</v>
      </c>
      <c r="H97" s="156">
        <f t="shared" si="2"/>
        <v>0</v>
      </c>
      <c r="I97" s="268">
        <f t="shared" si="3"/>
        <v>0</v>
      </c>
    </row>
    <row r="98" spans="1:9" ht="15.75" customHeight="1" x14ac:dyDescent="0.35">
      <c r="A98" s="208">
        <v>1013</v>
      </c>
      <c r="B98" s="211">
        <v>4</v>
      </c>
      <c r="C98" s="421"/>
      <c r="D98" s="210">
        <v>2</v>
      </c>
      <c r="E98" s="211" t="s">
        <v>43</v>
      </c>
      <c r="F98" s="371">
        <v>0</v>
      </c>
      <c r="G98" s="372">
        <v>2</v>
      </c>
      <c r="H98" s="213">
        <f t="shared" si="2"/>
        <v>0</v>
      </c>
      <c r="I98" s="373">
        <f t="shared" si="3"/>
        <v>0</v>
      </c>
    </row>
    <row r="99" spans="1:9" ht="15.75" customHeight="1" x14ac:dyDescent="0.35">
      <c r="A99" s="29">
        <v>1013</v>
      </c>
      <c r="B99" s="32">
        <v>4</v>
      </c>
      <c r="C99" s="421"/>
      <c r="D99" s="181">
        <v>3</v>
      </c>
      <c r="E99" s="32" t="s">
        <v>43</v>
      </c>
      <c r="F99" s="371">
        <v>0</v>
      </c>
      <c r="G99" s="34">
        <v>3</v>
      </c>
      <c r="H99" s="35">
        <f t="shared" si="2"/>
        <v>0</v>
      </c>
      <c r="I99" s="183">
        <f t="shared" si="3"/>
        <v>0</v>
      </c>
    </row>
    <row r="100" spans="1:9" ht="15.75" customHeight="1" x14ac:dyDescent="0.35">
      <c r="A100" s="208">
        <v>1013</v>
      </c>
      <c r="B100" s="211">
        <v>4</v>
      </c>
      <c r="C100" s="421"/>
      <c r="D100" s="210">
        <v>4</v>
      </c>
      <c r="E100" s="211" t="s">
        <v>43</v>
      </c>
      <c r="F100" s="371">
        <v>0</v>
      </c>
      <c r="G100" s="372">
        <v>4</v>
      </c>
      <c r="H100" s="213">
        <f t="shared" si="2"/>
        <v>0</v>
      </c>
      <c r="I100" s="373">
        <f t="shared" si="3"/>
        <v>0</v>
      </c>
    </row>
    <row r="101" spans="1:9" ht="15.75" customHeight="1" x14ac:dyDescent="0.35">
      <c r="A101" s="29">
        <v>1013</v>
      </c>
      <c r="B101" s="32">
        <v>4</v>
      </c>
      <c r="C101" s="421"/>
      <c r="D101" s="269">
        <v>5</v>
      </c>
      <c r="E101" s="32" t="s">
        <v>43</v>
      </c>
      <c r="F101" s="371">
        <v>0</v>
      </c>
      <c r="G101" s="34">
        <v>5</v>
      </c>
      <c r="H101" s="35">
        <f t="shared" si="2"/>
        <v>0</v>
      </c>
      <c r="I101" s="183">
        <f t="shared" si="3"/>
        <v>0</v>
      </c>
    </row>
    <row r="102" spans="1:9" ht="15.75" customHeight="1" x14ac:dyDescent="0.35">
      <c r="A102" s="208">
        <v>1013</v>
      </c>
      <c r="B102" s="211">
        <v>4</v>
      </c>
      <c r="C102" s="421"/>
      <c r="D102" s="376">
        <v>46180</v>
      </c>
      <c r="E102" s="211" t="s">
        <v>43</v>
      </c>
      <c r="F102" s="371">
        <v>0</v>
      </c>
      <c r="G102" s="372">
        <v>7</v>
      </c>
      <c r="H102" s="213">
        <f t="shared" si="2"/>
        <v>0</v>
      </c>
      <c r="I102" s="373">
        <f t="shared" si="3"/>
        <v>0</v>
      </c>
    </row>
    <row r="103" spans="1:9" ht="15.75" customHeight="1" x14ac:dyDescent="0.35">
      <c r="A103" s="29">
        <v>1013</v>
      </c>
      <c r="B103" s="32">
        <v>4</v>
      </c>
      <c r="C103" s="421"/>
      <c r="D103" s="375">
        <v>46243</v>
      </c>
      <c r="E103" s="32" t="s">
        <v>43</v>
      </c>
      <c r="F103" s="371">
        <v>0</v>
      </c>
      <c r="G103" s="34">
        <v>9</v>
      </c>
      <c r="H103" s="35">
        <f t="shared" si="2"/>
        <v>0</v>
      </c>
      <c r="I103" s="183">
        <f t="shared" si="3"/>
        <v>0</v>
      </c>
    </row>
    <row r="104" spans="1:9" ht="15.75" customHeight="1" x14ac:dyDescent="0.35">
      <c r="A104" s="208">
        <v>1013</v>
      </c>
      <c r="B104" s="211">
        <v>4</v>
      </c>
      <c r="C104" s="421"/>
      <c r="D104" s="376">
        <v>46309</v>
      </c>
      <c r="E104" s="211" t="s">
        <v>43</v>
      </c>
      <c r="F104" s="371">
        <v>0</v>
      </c>
      <c r="G104" s="372">
        <v>14</v>
      </c>
      <c r="H104" s="213">
        <f t="shared" si="2"/>
        <v>0</v>
      </c>
      <c r="I104" s="373">
        <f t="shared" si="3"/>
        <v>0</v>
      </c>
    </row>
    <row r="105" spans="1:9" ht="15.75" customHeight="1" x14ac:dyDescent="0.35">
      <c r="A105" s="47">
        <v>1013</v>
      </c>
      <c r="B105" s="50">
        <v>4</v>
      </c>
      <c r="C105" s="422"/>
      <c r="D105" s="193" t="s">
        <v>285</v>
      </c>
      <c r="E105" s="32" t="s">
        <v>43</v>
      </c>
      <c r="F105" s="371">
        <v>0</v>
      </c>
      <c r="G105" s="52">
        <v>20</v>
      </c>
      <c r="H105" s="53">
        <f t="shared" si="2"/>
        <v>0</v>
      </c>
      <c r="I105" s="183">
        <f t="shared" si="3"/>
        <v>0</v>
      </c>
    </row>
    <row r="106" spans="1:9" ht="15.75" customHeight="1" x14ac:dyDescent="0.35">
      <c r="A106" s="201">
        <v>1014</v>
      </c>
      <c r="B106" s="387" t="s">
        <v>53</v>
      </c>
      <c r="C106" s="440" t="s">
        <v>400</v>
      </c>
      <c r="D106" s="203">
        <v>1</v>
      </c>
      <c r="E106" s="204" t="s">
        <v>43</v>
      </c>
      <c r="F106" s="64">
        <v>0</v>
      </c>
      <c r="G106" s="369">
        <v>1</v>
      </c>
      <c r="H106" s="206">
        <f t="shared" si="2"/>
        <v>0</v>
      </c>
      <c r="I106" s="384">
        <f t="shared" si="3"/>
        <v>0</v>
      </c>
    </row>
    <row r="107" spans="1:9" ht="15.75" customHeight="1" x14ac:dyDescent="0.35">
      <c r="A107" s="29">
        <v>1014</v>
      </c>
      <c r="B107" s="32" t="s">
        <v>53</v>
      </c>
      <c r="C107" s="421"/>
      <c r="D107" s="181">
        <v>2</v>
      </c>
      <c r="E107" s="32" t="s">
        <v>43</v>
      </c>
      <c r="F107" s="371">
        <v>0</v>
      </c>
      <c r="G107" s="34">
        <v>2</v>
      </c>
      <c r="H107" s="35">
        <f t="shared" si="2"/>
        <v>0</v>
      </c>
      <c r="I107" s="183">
        <f t="shared" si="3"/>
        <v>0</v>
      </c>
    </row>
    <row r="108" spans="1:9" ht="15.75" customHeight="1" x14ac:dyDescent="0.35">
      <c r="A108" s="208">
        <v>1014</v>
      </c>
      <c r="B108" s="211" t="s">
        <v>53</v>
      </c>
      <c r="C108" s="421"/>
      <c r="D108" s="210">
        <v>3</v>
      </c>
      <c r="E108" s="211" t="s">
        <v>43</v>
      </c>
      <c r="F108" s="371">
        <v>0</v>
      </c>
      <c r="G108" s="372">
        <v>3</v>
      </c>
      <c r="H108" s="213">
        <f t="shared" si="2"/>
        <v>0</v>
      </c>
      <c r="I108" s="373">
        <f t="shared" si="3"/>
        <v>0</v>
      </c>
    </row>
    <row r="109" spans="1:9" ht="15.75" customHeight="1" x14ac:dyDescent="0.35">
      <c r="A109" s="29">
        <v>1014</v>
      </c>
      <c r="B109" s="32" t="s">
        <v>53</v>
      </c>
      <c r="C109" s="421"/>
      <c r="D109" s="181">
        <v>4</v>
      </c>
      <c r="E109" s="32" t="s">
        <v>43</v>
      </c>
      <c r="F109" s="371">
        <v>0</v>
      </c>
      <c r="G109" s="34">
        <v>4</v>
      </c>
      <c r="H109" s="35">
        <f t="shared" si="2"/>
        <v>0</v>
      </c>
      <c r="I109" s="183">
        <f t="shared" si="3"/>
        <v>0</v>
      </c>
    </row>
    <row r="110" spans="1:9" ht="15.75" customHeight="1" x14ac:dyDescent="0.35">
      <c r="A110" s="208">
        <v>1014</v>
      </c>
      <c r="B110" s="211" t="s">
        <v>53</v>
      </c>
      <c r="C110" s="421"/>
      <c r="D110" s="374">
        <v>5</v>
      </c>
      <c r="E110" s="211" t="s">
        <v>43</v>
      </c>
      <c r="F110" s="371">
        <v>0</v>
      </c>
      <c r="G110" s="372">
        <v>5</v>
      </c>
      <c r="H110" s="213">
        <f t="shared" si="2"/>
        <v>0</v>
      </c>
      <c r="I110" s="373">
        <f t="shared" si="3"/>
        <v>0</v>
      </c>
    </row>
    <row r="111" spans="1:9" ht="15.75" customHeight="1" x14ac:dyDescent="0.35">
      <c r="A111" s="29">
        <v>1014</v>
      </c>
      <c r="B111" s="32" t="s">
        <v>53</v>
      </c>
      <c r="C111" s="421"/>
      <c r="D111" s="375">
        <v>46180</v>
      </c>
      <c r="E111" s="32" t="s">
        <v>43</v>
      </c>
      <c r="F111" s="371">
        <v>0</v>
      </c>
      <c r="G111" s="34">
        <v>7</v>
      </c>
      <c r="H111" s="35">
        <f t="shared" si="2"/>
        <v>0</v>
      </c>
      <c r="I111" s="183">
        <f t="shared" si="3"/>
        <v>0</v>
      </c>
    </row>
    <row r="112" spans="1:9" ht="15.75" customHeight="1" x14ac:dyDescent="0.35">
      <c r="A112" s="208">
        <v>1014</v>
      </c>
      <c r="B112" s="211" t="s">
        <v>53</v>
      </c>
      <c r="C112" s="421"/>
      <c r="D112" s="376">
        <v>46243</v>
      </c>
      <c r="E112" s="211" t="s">
        <v>43</v>
      </c>
      <c r="F112" s="371">
        <v>0</v>
      </c>
      <c r="G112" s="372">
        <v>9</v>
      </c>
      <c r="H112" s="213">
        <f t="shared" si="2"/>
        <v>0</v>
      </c>
      <c r="I112" s="373">
        <f t="shared" si="3"/>
        <v>0</v>
      </c>
    </row>
    <row r="113" spans="1:12" ht="15.75" customHeight="1" x14ac:dyDescent="0.35">
      <c r="A113" s="29">
        <v>1014</v>
      </c>
      <c r="B113" s="32" t="s">
        <v>53</v>
      </c>
      <c r="C113" s="421"/>
      <c r="D113" s="375">
        <v>46309</v>
      </c>
      <c r="E113" s="32" t="s">
        <v>43</v>
      </c>
      <c r="F113" s="371">
        <v>0</v>
      </c>
      <c r="G113" s="34">
        <v>14</v>
      </c>
      <c r="H113" s="35">
        <f t="shared" si="2"/>
        <v>0</v>
      </c>
      <c r="I113" s="183">
        <f t="shared" si="3"/>
        <v>0</v>
      </c>
    </row>
    <row r="114" spans="1:12" ht="15.75" customHeight="1" x14ac:dyDescent="0.35">
      <c r="A114" s="385">
        <v>1014</v>
      </c>
      <c r="B114" s="386" t="s">
        <v>53</v>
      </c>
      <c r="C114" s="422"/>
      <c r="D114" s="378" t="s">
        <v>285</v>
      </c>
      <c r="E114" s="386" t="s">
        <v>43</v>
      </c>
      <c r="F114" s="388">
        <v>0</v>
      </c>
      <c r="G114" s="381">
        <v>20</v>
      </c>
      <c r="H114" s="382">
        <f t="shared" si="2"/>
        <v>0</v>
      </c>
      <c r="I114" s="389">
        <f t="shared" si="3"/>
        <v>0</v>
      </c>
    </row>
    <row r="115" spans="1:12" ht="15.75" customHeight="1" x14ac:dyDescent="0.35"/>
    <row r="116" spans="1:12" ht="15.75" customHeight="1" x14ac:dyDescent="0.35"/>
    <row r="117" spans="1:12" ht="15.75" customHeight="1" x14ac:dyDescent="0.4">
      <c r="A117" s="450" t="s">
        <v>359</v>
      </c>
      <c r="B117" s="413"/>
      <c r="C117" s="413"/>
      <c r="D117" s="413"/>
      <c r="E117" s="413"/>
      <c r="F117" s="413"/>
      <c r="G117" s="413"/>
      <c r="H117" s="413"/>
    </row>
    <row r="118" spans="1:12" ht="15.75" customHeight="1" x14ac:dyDescent="0.35">
      <c r="A118" s="451" t="s">
        <v>360</v>
      </c>
      <c r="B118" s="416"/>
      <c r="C118" s="416"/>
      <c r="D118" s="416"/>
      <c r="E118" s="416"/>
      <c r="F118" s="417"/>
      <c r="G118" s="452" t="s">
        <v>361</v>
      </c>
      <c r="H118" s="416"/>
      <c r="I118" s="419"/>
    </row>
    <row r="119" spans="1:12" ht="15.75" customHeight="1" x14ac:dyDescent="0.35">
      <c r="A119" s="125" t="s">
        <v>333</v>
      </c>
      <c r="B119" s="69" t="s">
        <v>31</v>
      </c>
      <c r="C119" s="69" t="s">
        <v>32</v>
      </c>
      <c r="D119" s="127" t="s">
        <v>226</v>
      </c>
      <c r="E119" s="50" t="s">
        <v>34</v>
      </c>
      <c r="F119" s="69" t="s">
        <v>35</v>
      </c>
      <c r="G119" s="16" t="s">
        <v>304</v>
      </c>
      <c r="H119" s="14" t="s">
        <v>37</v>
      </c>
      <c r="I119" s="128" t="s">
        <v>38</v>
      </c>
      <c r="K119" s="275" t="s">
        <v>39</v>
      </c>
      <c r="L119" s="402" t="s">
        <v>401</v>
      </c>
    </row>
    <row r="120" spans="1:12" ht="15.75" customHeight="1" x14ac:dyDescent="0.35">
      <c r="A120" s="390" t="s">
        <v>402</v>
      </c>
      <c r="B120" s="365">
        <v>1</v>
      </c>
      <c r="C120" s="453" t="s">
        <v>403</v>
      </c>
      <c r="D120" s="366">
        <v>1</v>
      </c>
      <c r="E120" s="367" t="s">
        <v>43</v>
      </c>
      <c r="F120" s="368">
        <v>0</v>
      </c>
      <c r="G120" s="369">
        <v>1</v>
      </c>
      <c r="H120" s="206">
        <f t="shared" ref="H120:H182" si="4">F120*G120</f>
        <v>0</v>
      </c>
      <c r="I120" s="370">
        <f t="shared" ref="I120:I182" si="5">H120*365</f>
        <v>0</v>
      </c>
      <c r="K120" s="18">
        <v>1</v>
      </c>
      <c r="L120" s="28">
        <f>SUM(I120:I128)</f>
        <v>0</v>
      </c>
    </row>
    <row r="121" spans="1:12" ht="15.75" customHeight="1" x14ac:dyDescent="0.35">
      <c r="A121" s="391" t="s">
        <v>402</v>
      </c>
      <c r="B121" s="79">
        <v>1</v>
      </c>
      <c r="C121" s="421"/>
      <c r="D121" s="181">
        <v>2</v>
      </c>
      <c r="E121" s="32" t="s">
        <v>43</v>
      </c>
      <c r="F121" s="371">
        <v>0</v>
      </c>
      <c r="G121" s="34">
        <v>2</v>
      </c>
      <c r="H121" s="35">
        <f t="shared" si="4"/>
        <v>0</v>
      </c>
      <c r="I121" s="183">
        <f t="shared" si="5"/>
        <v>0</v>
      </c>
      <c r="K121" s="277">
        <v>2</v>
      </c>
      <c r="L121" s="278">
        <f>SUM(I129:I137)</f>
        <v>0</v>
      </c>
    </row>
    <row r="122" spans="1:12" ht="15.75" customHeight="1" x14ac:dyDescent="0.35">
      <c r="A122" s="392" t="s">
        <v>402</v>
      </c>
      <c r="B122" s="209">
        <v>1</v>
      </c>
      <c r="C122" s="421"/>
      <c r="D122" s="210">
        <v>3</v>
      </c>
      <c r="E122" s="211" t="s">
        <v>43</v>
      </c>
      <c r="F122" s="371">
        <v>0</v>
      </c>
      <c r="G122" s="372">
        <v>3</v>
      </c>
      <c r="H122" s="213">
        <f t="shared" si="4"/>
        <v>0</v>
      </c>
      <c r="I122" s="373">
        <f t="shared" si="5"/>
        <v>0</v>
      </c>
      <c r="K122" s="18" t="s">
        <v>46</v>
      </c>
      <c r="L122" s="28">
        <f>SUM(I138:I146)</f>
        <v>0</v>
      </c>
    </row>
    <row r="123" spans="1:12" ht="15.75" customHeight="1" x14ac:dyDescent="0.35">
      <c r="A123" s="391" t="s">
        <v>402</v>
      </c>
      <c r="B123" s="79">
        <v>1</v>
      </c>
      <c r="C123" s="421"/>
      <c r="D123" s="181">
        <v>4</v>
      </c>
      <c r="E123" s="32" t="s">
        <v>43</v>
      </c>
      <c r="F123" s="371">
        <v>0</v>
      </c>
      <c r="G123" s="34">
        <v>4</v>
      </c>
      <c r="H123" s="35">
        <f t="shared" si="4"/>
        <v>0</v>
      </c>
      <c r="I123" s="183">
        <f t="shared" si="5"/>
        <v>0</v>
      </c>
      <c r="K123" s="277">
        <v>3</v>
      </c>
      <c r="L123" s="278">
        <f>SUM(I147:I155)</f>
        <v>0</v>
      </c>
    </row>
    <row r="124" spans="1:12" ht="15.75" customHeight="1" x14ac:dyDescent="0.35">
      <c r="A124" s="392" t="s">
        <v>402</v>
      </c>
      <c r="B124" s="209">
        <v>1</v>
      </c>
      <c r="C124" s="421"/>
      <c r="D124" s="374">
        <v>5</v>
      </c>
      <c r="E124" s="211" t="s">
        <v>43</v>
      </c>
      <c r="F124" s="371">
        <v>0</v>
      </c>
      <c r="G124" s="372">
        <v>5</v>
      </c>
      <c r="H124" s="213">
        <f t="shared" si="4"/>
        <v>0</v>
      </c>
      <c r="I124" s="373">
        <f t="shared" si="5"/>
        <v>0</v>
      </c>
      <c r="K124" s="18" t="s">
        <v>49</v>
      </c>
      <c r="L124" s="28">
        <f>SUM(I156:I164)</f>
        <v>0</v>
      </c>
    </row>
    <row r="125" spans="1:12" ht="15.75" customHeight="1" x14ac:dyDescent="0.35">
      <c r="A125" s="391" t="s">
        <v>402</v>
      </c>
      <c r="B125" s="79">
        <v>1</v>
      </c>
      <c r="C125" s="421"/>
      <c r="D125" s="375">
        <v>46180</v>
      </c>
      <c r="E125" s="32" t="s">
        <v>43</v>
      </c>
      <c r="F125" s="371">
        <v>0</v>
      </c>
      <c r="G125" s="34">
        <v>7</v>
      </c>
      <c r="H125" s="35">
        <f t="shared" si="4"/>
        <v>0</v>
      </c>
      <c r="I125" s="183">
        <f t="shared" si="5"/>
        <v>0</v>
      </c>
      <c r="K125" s="277">
        <v>4</v>
      </c>
      <c r="L125" s="278">
        <f>SUM(I165:I173)</f>
        <v>0</v>
      </c>
    </row>
    <row r="126" spans="1:12" ht="15.75" customHeight="1" x14ac:dyDescent="0.35">
      <c r="A126" s="392" t="s">
        <v>402</v>
      </c>
      <c r="B126" s="209">
        <v>1</v>
      </c>
      <c r="C126" s="421"/>
      <c r="D126" s="376">
        <v>46243</v>
      </c>
      <c r="E126" s="211" t="s">
        <v>43</v>
      </c>
      <c r="F126" s="371">
        <v>0</v>
      </c>
      <c r="G126" s="372">
        <v>9</v>
      </c>
      <c r="H126" s="213">
        <f t="shared" si="4"/>
        <v>0</v>
      </c>
      <c r="I126" s="373">
        <f t="shared" si="5"/>
        <v>0</v>
      </c>
      <c r="K126" s="18" t="s">
        <v>53</v>
      </c>
      <c r="L126" s="28">
        <f>SUM(I174:I182)</f>
        <v>0</v>
      </c>
    </row>
    <row r="127" spans="1:12" ht="15.75" customHeight="1" x14ac:dyDescent="0.35">
      <c r="A127" s="391" t="s">
        <v>402</v>
      </c>
      <c r="B127" s="79">
        <v>1</v>
      </c>
      <c r="C127" s="421"/>
      <c r="D127" s="375">
        <v>46309</v>
      </c>
      <c r="E127" s="32" t="s">
        <v>43</v>
      </c>
      <c r="F127" s="371">
        <v>0</v>
      </c>
      <c r="G127" s="34">
        <v>14</v>
      </c>
      <c r="H127" s="35">
        <f t="shared" si="4"/>
        <v>0</v>
      </c>
      <c r="I127" s="183">
        <f t="shared" si="5"/>
        <v>0</v>
      </c>
      <c r="K127" s="403" t="s">
        <v>364</v>
      </c>
      <c r="L127" s="278">
        <f>SUM(L120:L126)</f>
        <v>0</v>
      </c>
    </row>
    <row r="128" spans="1:12" ht="15.75" customHeight="1" x14ac:dyDescent="0.35">
      <c r="A128" s="392" t="s">
        <v>402</v>
      </c>
      <c r="B128" s="377">
        <v>1</v>
      </c>
      <c r="C128" s="422"/>
      <c r="D128" s="378" t="s">
        <v>285</v>
      </c>
      <c r="E128" s="379" t="s">
        <v>43</v>
      </c>
      <c r="F128" s="380">
        <v>0</v>
      </c>
      <c r="G128" s="381">
        <v>20</v>
      </c>
      <c r="H128" s="382">
        <f t="shared" si="4"/>
        <v>0</v>
      </c>
      <c r="I128" s="383">
        <f t="shared" si="5"/>
        <v>0</v>
      </c>
    </row>
    <row r="129" spans="1:12" ht="15.75" customHeight="1" x14ac:dyDescent="0.35">
      <c r="A129" s="393" t="s">
        <v>404</v>
      </c>
      <c r="B129" s="265">
        <v>2</v>
      </c>
      <c r="C129" s="433" t="s">
        <v>405</v>
      </c>
      <c r="D129" s="266">
        <v>1</v>
      </c>
      <c r="E129" s="154" t="s">
        <v>43</v>
      </c>
      <c r="F129" s="64">
        <v>0</v>
      </c>
      <c r="G129" s="318">
        <v>1</v>
      </c>
      <c r="H129" s="156">
        <f t="shared" si="4"/>
        <v>0</v>
      </c>
      <c r="I129" s="268">
        <f t="shared" si="5"/>
        <v>0</v>
      </c>
      <c r="K129" s="337"/>
      <c r="L129" s="337"/>
    </row>
    <row r="130" spans="1:12" ht="15.75" customHeight="1" x14ac:dyDescent="0.35">
      <c r="A130" s="392" t="s">
        <v>404</v>
      </c>
      <c r="B130" s="209">
        <v>2</v>
      </c>
      <c r="C130" s="421"/>
      <c r="D130" s="210">
        <v>2</v>
      </c>
      <c r="E130" s="211" t="s">
        <v>43</v>
      </c>
      <c r="F130" s="371">
        <v>0</v>
      </c>
      <c r="G130" s="372">
        <v>2</v>
      </c>
      <c r="H130" s="213">
        <f t="shared" si="4"/>
        <v>0</v>
      </c>
      <c r="I130" s="373">
        <f t="shared" si="5"/>
        <v>0</v>
      </c>
      <c r="K130" s="337"/>
      <c r="L130" s="337"/>
    </row>
    <row r="131" spans="1:12" ht="15.75" customHeight="1" x14ac:dyDescent="0.35">
      <c r="A131" s="391" t="s">
        <v>404</v>
      </c>
      <c r="B131" s="79">
        <v>2</v>
      </c>
      <c r="C131" s="421"/>
      <c r="D131" s="181">
        <v>3</v>
      </c>
      <c r="E131" s="32" t="s">
        <v>43</v>
      </c>
      <c r="F131" s="371">
        <v>0</v>
      </c>
      <c r="G131" s="34">
        <v>3</v>
      </c>
      <c r="H131" s="35">
        <f t="shared" si="4"/>
        <v>0</v>
      </c>
      <c r="I131" s="183">
        <f t="shared" si="5"/>
        <v>0</v>
      </c>
      <c r="K131" s="337"/>
      <c r="L131" s="337"/>
    </row>
    <row r="132" spans="1:12" ht="15.75" customHeight="1" x14ac:dyDescent="0.35">
      <c r="A132" s="392" t="s">
        <v>404</v>
      </c>
      <c r="B132" s="209">
        <v>2</v>
      </c>
      <c r="C132" s="421"/>
      <c r="D132" s="210">
        <v>4</v>
      </c>
      <c r="E132" s="211" t="s">
        <v>43</v>
      </c>
      <c r="F132" s="371">
        <v>0</v>
      </c>
      <c r="G132" s="372">
        <v>4</v>
      </c>
      <c r="H132" s="213">
        <f t="shared" si="4"/>
        <v>0</v>
      </c>
      <c r="I132" s="373">
        <f t="shared" si="5"/>
        <v>0</v>
      </c>
      <c r="K132" s="337"/>
      <c r="L132" s="337"/>
    </row>
    <row r="133" spans="1:12" ht="15.75" customHeight="1" x14ac:dyDescent="0.35">
      <c r="A133" s="391" t="s">
        <v>404</v>
      </c>
      <c r="B133" s="79">
        <v>2</v>
      </c>
      <c r="C133" s="421"/>
      <c r="D133" s="269">
        <v>5</v>
      </c>
      <c r="E133" s="32" t="s">
        <v>43</v>
      </c>
      <c r="F133" s="371">
        <v>0</v>
      </c>
      <c r="G133" s="34">
        <v>5</v>
      </c>
      <c r="H133" s="35">
        <f t="shared" si="4"/>
        <v>0</v>
      </c>
      <c r="I133" s="183">
        <f t="shared" si="5"/>
        <v>0</v>
      </c>
      <c r="K133" s="337"/>
      <c r="L133" s="337"/>
    </row>
    <row r="134" spans="1:12" ht="15.75" customHeight="1" x14ac:dyDescent="0.35">
      <c r="A134" s="392" t="s">
        <v>404</v>
      </c>
      <c r="B134" s="209">
        <v>2</v>
      </c>
      <c r="C134" s="421"/>
      <c r="D134" s="376">
        <v>46180</v>
      </c>
      <c r="E134" s="211" t="s">
        <v>43</v>
      </c>
      <c r="F134" s="371">
        <v>0</v>
      </c>
      <c r="G134" s="372">
        <v>7</v>
      </c>
      <c r="H134" s="213">
        <f t="shared" si="4"/>
        <v>0</v>
      </c>
      <c r="I134" s="373">
        <f t="shared" si="5"/>
        <v>0</v>
      </c>
      <c r="K134" s="337"/>
      <c r="L134" s="337"/>
    </row>
    <row r="135" spans="1:12" ht="15.75" customHeight="1" x14ac:dyDescent="0.35">
      <c r="A135" s="391" t="s">
        <v>404</v>
      </c>
      <c r="B135" s="79">
        <v>2</v>
      </c>
      <c r="C135" s="421"/>
      <c r="D135" s="375">
        <v>46243</v>
      </c>
      <c r="E135" s="32" t="s">
        <v>43</v>
      </c>
      <c r="F135" s="371">
        <v>0</v>
      </c>
      <c r="G135" s="34">
        <v>9</v>
      </c>
      <c r="H135" s="35">
        <f t="shared" si="4"/>
        <v>0</v>
      </c>
      <c r="I135" s="183">
        <f t="shared" si="5"/>
        <v>0</v>
      </c>
      <c r="K135" s="337"/>
      <c r="L135" s="337"/>
    </row>
    <row r="136" spans="1:12" ht="15.75" customHeight="1" x14ac:dyDescent="0.35">
      <c r="A136" s="392" t="s">
        <v>404</v>
      </c>
      <c r="B136" s="209">
        <v>2</v>
      </c>
      <c r="C136" s="421"/>
      <c r="D136" s="376">
        <v>46309</v>
      </c>
      <c r="E136" s="211" t="s">
        <v>43</v>
      </c>
      <c r="F136" s="371">
        <v>0</v>
      </c>
      <c r="G136" s="372">
        <v>14</v>
      </c>
      <c r="H136" s="213">
        <f t="shared" si="4"/>
        <v>0</v>
      </c>
      <c r="I136" s="373">
        <f t="shared" si="5"/>
        <v>0</v>
      </c>
      <c r="K136" s="337"/>
      <c r="L136" s="337"/>
    </row>
    <row r="137" spans="1:12" ht="15.75" customHeight="1" x14ac:dyDescent="0.35">
      <c r="A137" s="394" t="s">
        <v>404</v>
      </c>
      <c r="B137" s="88">
        <v>2</v>
      </c>
      <c r="C137" s="422"/>
      <c r="D137" s="193" t="s">
        <v>285</v>
      </c>
      <c r="E137" s="32" t="s">
        <v>43</v>
      </c>
      <c r="F137" s="371">
        <v>0</v>
      </c>
      <c r="G137" s="52">
        <v>20</v>
      </c>
      <c r="H137" s="53">
        <f t="shared" si="4"/>
        <v>0</v>
      </c>
      <c r="I137" s="183">
        <f t="shared" si="5"/>
        <v>0</v>
      </c>
      <c r="K137" s="337"/>
      <c r="L137" s="337"/>
    </row>
    <row r="138" spans="1:12" ht="15.75" customHeight="1" x14ac:dyDescent="0.35">
      <c r="A138" s="392" t="s">
        <v>406</v>
      </c>
      <c r="B138" s="202" t="s">
        <v>46</v>
      </c>
      <c r="C138" s="440" t="s">
        <v>407</v>
      </c>
      <c r="D138" s="203">
        <v>1</v>
      </c>
      <c r="E138" s="204" t="s">
        <v>43</v>
      </c>
      <c r="F138" s="64">
        <v>0</v>
      </c>
      <c r="G138" s="369">
        <v>1</v>
      </c>
      <c r="H138" s="206">
        <f t="shared" si="4"/>
        <v>0</v>
      </c>
      <c r="I138" s="384">
        <f t="shared" si="5"/>
        <v>0</v>
      </c>
    </row>
    <row r="139" spans="1:12" ht="15.75" customHeight="1" x14ac:dyDescent="0.35">
      <c r="A139" s="391" t="s">
        <v>406</v>
      </c>
      <c r="B139" s="79" t="s">
        <v>46</v>
      </c>
      <c r="C139" s="421"/>
      <c r="D139" s="181">
        <v>2</v>
      </c>
      <c r="E139" s="32" t="s">
        <v>43</v>
      </c>
      <c r="F139" s="371">
        <v>0</v>
      </c>
      <c r="G139" s="34">
        <v>2</v>
      </c>
      <c r="H139" s="35">
        <f t="shared" si="4"/>
        <v>0</v>
      </c>
      <c r="I139" s="183">
        <f t="shared" si="5"/>
        <v>0</v>
      </c>
    </row>
    <row r="140" spans="1:12" ht="15.75" customHeight="1" x14ac:dyDescent="0.35">
      <c r="A140" s="392" t="s">
        <v>406</v>
      </c>
      <c r="B140" s="209" t="s">
        <v>46</v>
      </c>
      <c r="C140" s="421"/>
      <c r="D140" s="210">
        <v>3</v>
      </c>
      <c r="E140" s="211" t="s">
        <v>43</v>
      </c>
      <c r="F140" s="371">
        <v>0</v>
      </c>
      <c r="G140" s="372">
        <v>3</v>
      </c>
      <c r="H140" s="213">
        <f t="shared" si="4"/>
        <v>0</v>
      </c>
      <c r="I140" s="373">
        <f t="shared" si="5"/>
        <v>0</v>
      </c>
    </row>
    <row r="141" spans="1:12" ht="15.75" customHeight="1" x14ac:dyDescent="0.35">
      <c r="A141" s="391" t="s">
        <v>406</v>
      </c>
      <c r="B141" s="79" t="s">
        <v>46</v>
      </c>
      <c r="C141" s="421"/>
      <c r="D141" s="181">
        <v>4</v>
      </c>
      <c r="E141" s="32" t="s">
        <v>43</v>
      </c>
      <c r="F141" s="371">
        <v>0</v>
      </c>
      <c r="G141" s="34">
        <v>4</v>
      </c>
      <c r="H141" s="35">
        <f t="shared" si="4"/>
        <v>0</v>
      </c>
      <c r="I141" s="183">
        <f t="shared" si="5"/>
        <v>0</v>
      </c>
    </row>
    <row r="142" spans="1:12" ht="15.75" customHeight="1" x14ac:dyDescent="0.35">
      <c r="A142" s="392" t="s">
        <v>406</v>
      </c>
      <c r="B142" s="209" t="s">
        <v>46</v>
      </c>
      <c r="C142" s="421"/>
      <c r="D142" s="374">
        <v>5</v>
      </c>
      <c r="E142" s="211" t="s">
        <v>43</v>
      </c>
      <c r="F142" s="371">
        <v>0</v>
      </c>
      <c r="G142" s="372">
        <v>5</v>
      </c>
      <c r="H142" s="213">
        <f t="shared" si="4"/>
        <v>0</v>
      </c>
      <c r="I142" s="373">
        <f t="shared" si="5"/>
        <v>0</v>
      </c>
    </row>
    <row r="143" spans="1:12" ht="15.75" customHeight="1" x14ac:dyDescent="0.35">
      <c r="A143" s="391" t="s">
        <v>406</v>
      </c>
      <c r="B143" s="79" t="s">
        <v>46</v>
      </c>
      <c r="C143" s="421"/>
      <c r="D143" s="375">
        <v>46180</v>
      </c>
      <c r="E143" s="32" t="s">
        <v>43</v>
      </c>
      <c r="F143" s="371">
        <v>0</v>
      </c>
      <c r="G143" s="34">
        <v>7</v>
      </c>
      <c r="H143" s="35">
        <f t="shared" si="4"/>
        <v>0</v>
      </c>
      <c r="I143" s="183">
        <f t="shared" si="5"/>
        <v>0</v>
      </c>
    </row>
    <row r="144" spans="1:12" ht="15.75" customHeight="1" x14ac:dyDescent="0.35">
      <c r="A144" s="392" t="s">
        <v>406</v>
      </c>
      <c r="B144" s="209" t="s">
        <v>46</v>
      </c>
      <c r="C144" s="421"/>
      <c r="D144" s="376">
        <v>46243</v>
      </c>
      <c r="E144" s="211" t="s">
        <v>43</v>
      </c>
      <c r="F144" s="371">
        <v>0</v>
      </c>
      <c r="G144" s="372">
        <v>9</v>
      </c>
      <c r="H144" s="213">
        <f t="shared" si="4"/>
        <v>0</v>
      </c>
      <c r="I144" s="373">
        <f t="shared" si="5"/>
        <v>0</v>
      </c>
    </row>
    <row r="145" spans="1:9" ht="15.75" customHeight="1" x14ac:dyDescent="0.35">
      <c r="A145" s="391" t="s">
        <v>406</v>
      </c>
      <c r="B145" s="79" t="s">
        <v>46</v>
      </c>
      <c r="C145" s="421"/>
      <c r="D145" s="375">
        <v>46309</v>
      </c>
      <c r="E145" s="32" t="s">
        <v>43</v>
      </c>
      <c r="F145" s="371">
        <v>0</v>
      </c>
      <c r="G145" s="34">
        <v>14</v>
      </c>
      <c r="H145" s="35">
        <f t="shared" si="4"/>
        <v>0</v>
      </c>
      <c r="I145" s="183">
        <f t="shared" si="5"/>
        <v>0</v>
      </c>
    </row>
    <row r="146" spans="1:9" ht="15.75" customHeight="1" x14ac:dyDescent="0.35">
      <c r="A146" s="392" t="s">
        <v>406</v>
      </c>
      <c r="B146" s="377" t="s">
        <v>46</v>
      </c>
      <c r="C146" s="422"/>
      <c r="D146" s="378" t="s">
        <v>285</v>
      </c>
      <c r="E146" s="211" t="s">
        <v>43</v>
      </c>
      <c r="F146" s="371">
        <v>0</v>
      </c>
      <c r="G146" s="381">
        <v>20</v>
      </c>
      <c r="H146" s="382">
        <f t="shared" si="4"/>
        <v>0</v>
      </c>
      <c r="I146" s="373">
        <f t="shared" si="5"/>
        <v>0</v>
      </c>
    </row>
    <row r="147" spans="1:9" ht="15.75" customHeight="1" x14ac:dyDescent="0.35">
      <c r="A147" s="393" t="s">
        <v>408</v>
      </c>
      <c r="B147" s="154">
        <v>3</v>
      </c>
      <c r="C147" s="433" t="s">
        <v>409</v>
      </c>
      <c r="D147" s="266">
        <v>1</v>
      </c>
      <c r="E147" s="154" t="s">
        <v>43</v>
      </c>
      <c r="F147" s="64">
        <v>0</v>
      </c>
      <c r="G147" s="318">
        <v>1</v>
      </c>
      <c r="H147" s="156">
        <f t="shared" si="4"/>
        <v>0</v>
      </c>
      <c r="I147" s="268">
        <f t="shared" si="5"/>
        <v>0</v>
      </c>
    </row>
    <row r="148" spans="1:9" ht="15.75" customHeight="1" x14ac:dyDescent="0.35">
      <c r="A148" s="392" t="s">
        <v>408</v>
      </c>
      <c r="B148" s="211">
        <v>3</v>
      </c>
      <c r="C148" s="421"/>
      <c r="D148" s="210">
        <v>2</v>
      </c>
      <c r="E148" s="211" t="s">
        <v>43</v>
      </c>
      <c r="F148" s="371">
        <v>0</v>
      </c>
      <c r="G148" s="372">
        <v>2</v>
      </c>
      <c r="H148" s="213">
        <f t="shared" si="4"/>
        <v>0</v>
      </c>
      <c r="I148" s="373">
        <f t="shared" si="5"/>
        <v>0</v>
      </c>
    </row>
    <row r="149" spans="1:9" ht="15.75" customHeight="1" x14ac:dyDescent="0.35">
      <c r="A149" s="391" t="s">
        <v>408</v>
      </c>
      <c r="B149" s="32">
        <v>3</v>
      </c>
      <c r="C149" s="421"/>
      <c r="D149" s="181">
        <v>3</v>
      </c>
      <c r="E149" s="32" t="s">
        <v>43</v>
      </c>
      <c r="F149" s="371">
        <v>0</v>
      </c>
      <c r="G149" s="34">
        <v>3</v>
      </c>
      <c r="H149" s="35">
        <f t="shared" si="4"/>
        <v>0</v>
      </c>
      <c r="I149" s="183">
        <f t="shared" si="5"/>
        <v>0</v>
      </c>
    </row>
    <row r="150" spans="1:9" ht="15.75" customHeight="1" x14ac:dyDescent="0.35">
      <c r="A150" s="392" t="s">
        <v>408</v>
      </c>
      <c r="B150" s="211">
        <v>3</v>
      </c>
      <c r="C150" s="421"/>
      <c r="D150" s="210">
        <v>4</v>
      </c>
      <c r="E150" s="211" t="s">
        <v>43</v>
      </c>
      <c r="F150" s="371">
        <v>0</v>
      </c>
      <c r="G150" s="372">
        <v>4</v>
      </c>
      <c r="H150" s="213">
        <f t="shared" si="4"/>
        <v>0</v>
      </c>
      <c r="I150" s="373">
        <f t="shared" si="5"/>
        <v>0</v>
      </c>
    </row>
    <row r="151" spans="1:9" ht="15.75" customHeight="1" x14ac:dyDescent="0.35">
      <c r="A151" s="391" t="s">
        <v>408</v>
      </c>
      <c r="B151" s="32">
        <v>3</v>
      </c>
      <c r="C151" s="421"/>
      <c r="D151" s="269">
        <v>5</v>
      </c>
      <c r="E151" s="32" t="s">
        <v>43</v>
      </c>
      <c r="F151" s="371">
        <v>0</v>
      </c>
      <c r="G151" s="34">
        <v>5</v>
      </c>
      <c r="H151" s="35">
        <f t="shared" si="4"/>
        <v>0</v>
      </c>
      <c r="I151" s="183">
        <f t="shared" si="5"/>
        <v>0</v>
      </c>
    </row>
    <row r="152" spans="1:9" ht="15.75" customHeight="1" x14ac:dyDescent="0.35">
      <c r="A152" s="392" t="s">
        <v>408</v>
      </c>
      <c r="B152" s="211">
        <v>3</v>
      </c>
      <c r="C152" s="421"/>
      <c r="D152" s="376">
        <v>46180</v>
      </c>
      <c r="E152" s="211" t="s">
        <v>43</v>
      </c>
      <c r="F152" s="371">
        <v>0</v>
      </c>
      <c r="G152" s="372">
        <v>7</v>
      </c>
      <c r="H152" s="213">
        <f t="shared" si="4"/>
        <v>0</v>
      </c>
      <c r="I152" s="373">
        <f t="shared" si="5"/>
        <v>0</v>
      </c>
    </row>
    <row r="153" spans="1:9" ht="15.75" customHeight="1" x14ac:dyDescent="0.35">
      <c r="A153" s="391" t="s">
        <v>408</v>
      </c>
      <c r="B153" s="32">
        <v>3</v>
      </c>
      <c r="C153" s="421"/>
      <c r="D153" s="375">
        <v>46243</v>
      </c>
      <c r="E153" s="32" t="s">
        <v>43</v>
      </c>
      <c r="F153" s="371">
        <v>0</v>
      </c>
      <c r="G153" s="34">
        <v>9</v>
      </c>
      <c r="H153" s="35">
        <f t="shared" si="4"/>
        <v>0</v>
      </c>
      <c r="I153" s="183">
        <f t="shared" si="5"/>
        <v>0</v>
      </c>
    </row>
    <row r="154" spans="1:9" ht="15.75" customHeight="1" x14ac:dyDescent="0.35">
      <c r="A154" s="392" t="s">
        <v>408</v>
      </c>
      <c r="B154" s="211">
        <v>3</v>
      </c>
      <c r="C154" s="421"/>
      <c r="D154" s="376">
        <v>46309</v>
      </c>
      <c r="E154" s="211" t="s">
        <v>43</v>
      </c>
      <c r="F154" s="371">
        <v>0</v>
      </c>
      <c r="G154" s="372">
        <v>14</v>
      </c>
      <c r="H154" s="213">
        <f t="shared" si="4"/>
        <v>0</v>
      </c>
      <c r="I154" s="373">
        <f t="shared" si="5"/>
        <v>0</v>
      </c>
    </row>
    <row r="155" spans="1:9" ht="15.75" customHeight="1" x14ac:dyDescent="0.35">
      <c r="A155" s="394" t="s">
        <v>408</v>
      </c>
      <c r="B155" s="50">
        <v>3</v>
      </c>
      <c r="C155" s="422"/>
      <c r="D155" s="193" t="s">
        <v>285</v>
      </c>
      <c r="E155" s="32" t="s">
        <v>43</v>
      </c>
      <c r="F155" s="371">
        <v>0</v>
      </c>
      <c r="G155" s="52">
        <v>20</v>
      </c>
      <c r="H155" s="53">
        <f t="shared" si="4"/>
        <v>0</v>
      </c>
      <c r="I155" s="183">
        <f t="shared" si="5"/>
        <v>0</v>
      </c>
    </row>
    <row r="156" spans="1:9" ht="15.75" customHeight="1" x14ac:dyDescent="0.35">
      <c r="A156" s="396" t="s">
        <v>410</v>
      </c>
      <c r="B156" s="204" t="s">
        <v>49</v>
      </c>
      <c r="C156" s="440" t="s">
        <v>411</v>
      </c>
      <c r="D156" s="203">
        <v>1</v>
      </c>
      <c r="E156" s="204" t="s">
        <v>43</v>
      </c>
      <c r="F156" s="64">
        <v>0</v>
      </c>
      <c r="G156" s="369">
        <v>1</v>
      </c>
      <c r="H156" s="206">
        <f t="shared" si="4"/>
        <v>0</v>
      </c>
      <c r="I156" s="384">
        <f t="shared" si="5"/>
        <v>0</v>
      </c>
    </row>
    <row r="157" spans="1:9" ht="15.75" customHeight="1" x14ac:dyDescent="0.35">
      <c r="A157" s="391" t="s">
        <v>410</v>
      </c>
      <c r="B157" s="32" t="s">
        <v>49</v>
      </c>
      <c r="C157" s="421"/>
      <c r="D157" s="181">
        <v>2</v>
      </c>
      <c r="E157" s="32" t="s">
        <v>43</v>
      </c>
      <c r="F157" s="371">
        <v>0</v>
      </c>
      <c r="G157" s="34">
        <v>2</v>
      </c>
      <c r="H157" s="35">
        <f t="shared" si="4"/>
        <v>0</v>
      </c>
      <c r="I157" s="183">
        <f t="shared" si="5"/>
        <v>0</v>
      </c>
    </row>
    <row r="158" spans="1:9" ht="15.75" customHeight="1" x14ac:dyDescent="0.35">
      <c r="A158" s="392" t="s">
        <v>410</v>
      </c>
      <c r="B158" s="211" t="s">
        <v>49</v>
      </c>
      <c r="C158" s="421"/>
      <c r="D158" s="210">
        <v>3</v>
      </c>
      <c r="E158" s="211" t="s">
        <v>43</v>
      </c>
      <c r="F158" s="371">
        <v>0</v>
      </c>
      <c r="G158" s="372">
        <v>3</v>
      </c>
      <c r="H158" s="213">
        <f t="shared" si="4"/>
        <v>0</v>
      </c>
      <c r="I158" s="373">
        <f t="shared" si="5"/>
        <v>0</v>
      </c>
    </row>
    <row r="159" spans="1:9" ht="15.75" customHeight="1" x14ac:dyDescent="0.35">
      <c r="A159" s="391" t="s">
        <v>410</v>
      </c>
      <c r="B159" s="32" t="s">
        <v>49</v>
      </c>
      <c r="C159" s="421"/>
      <c r="D159" s="181">
        <v>4</v>
      </c>
      <c r="E159" s="32" t="s">
        <v>43</v>
      </c>
      <c r="F159" s="371">
        <v>0</v>
      </c>
      <c r="G159" s="34">
        <v>4</v>
      </c>
      <c r="H159" s="35">
        <f t="shared" si="4"/>
        <v>0</v>
      </c>
      <c r="I159" s="183">
        <f t="shared" si="5"/>
        <v>0</v>
      </c>
    </row>
    <row r="160" spans="1:9" ht="15.75" customHeight="1" x14ac:dyDescent="0.35">
      <c r="A160" s="392" t="s">
        <v>410</v>
      </c>
      <c r="B160" s="211" t="s">
        <v>49</v>
      </c>
      <c r="C160" s="421"/>
      <c r="D160" s="374">
        <v>5</v>
      </c>
      <c r="E160" s="211" t="s">
        <v>43</v>
      </c>
      <c r="F160" s="371">
        <v>0</v>
      </c>
      <c r="G160" s="372">
        <v>5</v>
      </c>
      <c r="H160" s="213">
        <f t="shared" si="4"/>
        <v>0</v>
      </c>
      <c r="I160" s="373">
        <f t="shared" si="5"/>
        <v>0</v>
      </c>
    </row>
    <row r="161" spans="1:9" ht="15.75" customHeight="1" x14ac:dyDescent="0.35">
      <c r="A161" s="391" t="s">
        <v>410</v>
      </c>
      <c r="B161" s="32" t="s">
        <v>49</v>
      </c>
      <c r="C161" s="421"/>
      <c r="D161" s="375">
        <v>46180</v>
      </c>
      <c r="E161" s="32" t="s">
        <v>43</v>
      </c>
      <c r="F161" s="371">
        <v>0</v>
      </c>
      <c r="G161" s="34">
        <v>7</v>
      </c>
      <c r="H161" s="35">
        <f t="shared" si="4"/>
        <v>0</v>
      </c>
      <c r="I161" s="183">
        <f t="shared" si="5"/>
        <v>0</v>
      </c>
    </row>
    <row r="162" spans="1:9" ht="15.75" customHeight="1" x14ac:dyDescent="0.35">
      <c r="A162" s="392" t="s">
        <v>410</v>
      </c>
      <c r="B162" s="211" t="s">
        <v>49</v>
      </c>
      <c r="C162" s="421"/>
      <c r="D162" s="376">
        <v>46243</v>
      </c>
      <c r="E162" s="211" t="s">
        <v>43</v>
      </c>
      <c r="F162" s="371">
        <v>0</v>
      </c>
      <c r="G162" s="372">
        <v>9</v>
      </c>
      <c r="H162" s="213">
        <f t="shared" si="4"/>
        <v>0</v>
      </c>
      <c r="I162" s="373">
        <f t="shared" si="5"/>
        <v>0</v>
      </c>
    </row>
    <row r="163" spans="1:9" ht="15.75" customHeight="1" x14ac:dyDescent="0.35">
      <c r="A163" s="391" t="s">
        <v>410</v>
      </c>
      <c r="B163" s="32" t="s">
        <v>49</v>
      </c>
      <c r="C163" s="421"/>
      <c r="D163" s="375">
        <v>46309</v>
      </c>
      <c r="E163" s="32" t="s">
        <v>43</v>
      </c>
      <c r="F163" s="371">
        <v>0</v>
      </c>
      <c r="G163" s="34">
        <v>14</v>
      </c>
      <c r="H163" s="35">
        <f t="shared" si="4"/>
        <v>0</v>
      </c>
      <c r="I163" s="183">
        <f t="shared" si="5"/>
        <v>0</v>
      </c>
    </row>
    <row r="164" spans="1:9" ht="15.75" customHeight="1" x14ac:dyDescent="0.35">
      <c r="A164" s="392" t="s">
        <v>410</v>
      </c>
      <c r="B164" s="386" t="s">
        <v>49</v>
      </c>
      <c r="C164" s="422"/>
      <c r="D164" s="378" t="s">
        <v>285</v>
      </c>
      <c r="E164" s="211" t="s">
        <v>43</v>
      </c>
      <c r="F164" s="371">
        <v>0</v>
      </c>
      <c r="G164" s="381">
        <v>20</v>
      </c>
      <c r="H164" s="382">
        <f t="shared" si="4"/>
        <v>0</v>
      </c>
      <c r="I164" s="373">
        <f t="shared" si="5"/>
        <v>0</v>
      </c>
    </row>
    <row r="165" spans="1:9" ht="15.75" customHeight="1" x14ac:dyDescent="0.35">
      <c r="A165" s="393" t="s">
        <v>412</v>
      </c>
      <c r="B165" s="271">
        <v>4</v>
      </c>
      <c r="C165" s="433" t="s">
        <v>413</v>
      </c>
      <c r="D165" s="266">
        <v>1</v>
      </c>
      <c r="E165" s="154" t="s">
        <v>43</v>
      </c>
      <c r="F165" s="64">
        <v>0</v>
      </c>
      <c r="G165" s="318">
        <v>1</v>
      </c>
      <c r="H165" s="156">
        <f t="shared" si="4"/>
        <v>0</v>
      </c>
      <c r="I165" s="268">
        <f t="shared" si="5"/>
        <v>0</v>
      </c>
    </row>
    <row r="166" spans="1:9" ht="15.75" customHeight="1" x14ac:dyDescent="0.35">
      <c r="A166" s="392" t="s">
        <v>412</v>
      </c>
      <c r="B166" s="211">
        <v>4</v>
      </c>
      <c r="C166" s="421"/>
      <c r="D166" s="210">
        <v>2</v>
      </c>
      <c r="E166" s="211" t="s">
        <v>43</v>
      </c>
      <c r="F166" s="371">
        <v>0</v>
      </c>
      <c r="G166" s="372">
        <v>2</v>
      </c>
      <c r="H166" s="213">
        <f t="shared" si="4"/>
        <v>0</v>
      </c>
      <c r="I166" s="373">
        <f t="shared" si="5"/>
        <v>0</v>
      </c>
    </row>
    <row r="167" spans="1:9" ht="15.75" customHeight="1" x14ac:dyDescent="0.35">
      <c r="A167" s="391" t="s">
        <v>412</v>
      </c>
      <c r="B167" s="32">
        <v>4</v>
      </c>
      <c r="C167" s="421"/>
      <c r="D167" s="181">
        <v>3</v>
      </c>
      <c r="E167" s="32" t="s">
        <v>43</v>
      </c>
      <c r="F167" s="371">
        <v>0</v>
      </c>
      <c r="G167" s="34">
        <v>3</v>
      </c>
      <c r="H167" s="35">
        <f t="shared" si="4"/>
        <v>0</v>
      </c>
      <c r="I167" s="183">
        <f t="shared" si="5"/>
        <v>0</v>
      </c>
    </row>
    <row r="168" spans="1:9" ht="15.75" customHeight="1" x14ac:dyDescent="0.35">
      <c r="A168" s="392" t="s">
        <v>412</v>
      </c>
      <c r="B168" s="211">
        <v>4</v>
      </c>
      <c r="C168" s="421"/>
      <c r="D168" s="210">
        <v>4</v>
      </c>
      <c r="E168" s="211" t="s">
        <v>43</v>
      </c>
      <c r="F168" s="371">
        <v>0</v>
      </c>
      <c r="G168" s="372">
        <v>4</v>
      </c>
      <c r="H168" s="213">
        <f t="shared" si="4"/>
        <v>0</v>
      </c>
      <c r="I168" s="373">
        <f t="shared" si="5"/>
        <v>0</v>
      </c>
    </row>
    <row r="169" spans="1:9" ht="15.75" customHeight="1" x14ac:dyDescent="0.35">
      <c r="A169" s="391" t="s">
        <v>412</v>
      </c>
      <c r="B169" s="32">
        <v>4</v>
      </c>
      <c r="C169" s="421"/>
      <c r="D169" s="269">
        <v>5</v>
      </c>
      <c r="E169" s="32" t="s">
        <v>43</v>
      </c>
      <c r="F169" s="371">
        <v>0</v>
      </c>
      <c r="G169" s="34">
        <v>5</v>
      </c>
      <c r="H169" s="35">
        <f t="shared" si="4"/>
        <v>0</v>
      </c>
      <c r="I169" s="183">
        <f t="shared" si="5"/>
        <v>0</v>
      </c>
    </row>
    <row r="170" spans="1:9" ht="15.75" customHeight="1" x14ac:dyDescent="0.35">
      <c r="A170" s="392" t="s">
        <v>412</v>
      </c>
      <c r="B170" s="211">
        <v>4</v>
      </c>
      <c r="C170" s="421"/>
      <c r="D170" s="376">
        <v>46180</v>
      </c>
      <c r="E170" s="211" t="s">
        <v>43</v>
      </c>
      <c r="F170" s="371">
        <v>0</v>
      </c>
      <c r="G170" s="372">
        <v>7</v>
      </c>
      <c r="H170" s="213">
        <f t="shared" si="4"/>
        <v>0</v>
      </c>
      <c r="I170" s="373">
        <f t="shared" si="5"/>
        <v>0</v>
      </c>
    </row>
    <row r="171" spans="1:9" ht="15.75" customHeight="1" x14ac:dyDescent="0.35">
      <c r="A171" s="391" t="s">
        <v>412</v>
      </c>
      <c r="B171" s="32">
        <v>4</v>
      </c>
      <c r="C171" s="421"/>
      <c r="D171" s="375">
        <v>46243</v>
      </c>
      <c r="E171" s="32" t="s">
        <v>43</v>
      </c>
      <c r="F171" s="371">
        <v>0</v>
      </c>
      <c r="G171" s="34">
        <v>9</v>
      </c>
      <c r="H171" s="35">
        <f t="shared" si="4"/>
        <v>0</v>
      </c>
      <c r="I171" s="183">
        <f t="shared" si="5"/>
        <v>0</v>
      </c>
    </row>
    <row r="172" spans="1:9" ht="15.75" customHeight="1" x14ac:dyDescent="0.35">
      <c r="A172" s="392" t="s">
        <v>412</v>
      </c>
      <c r="B172" s="211">
        <v>4</v>
      </c>
      <c r="C172" s="421"/>
      <c r="D172" s="376">
        <v>46309</v>
      </c>
      <c r="E172" s="211" t="s">
        <v>43</v>
      </c>
      <c r="F172" s="371">
        <v>0</v>
      </c>
      <c r="G172" s="372">
        <v>14</v>
      </c>
      <c r="H172" s="213">
        <f t="shared" si="4"/>
        <v>0</v>
      </c>
      <c r="I172" s="373">
        <f t="shared" si="5"/>
        <v>0</v>
      </c>
    </row>
    <row r="173" spans="1:9" ht="15.75" customHeight="1" x14ac:dyDescent="0.35">
      <c r="A173" s="394" t="s">
        <v>412</v>
      </c>
      <c r="B173" s="50">
        <v>4</v>
      </c>
      <c r="C173" s="422"/>
      <c r="D173" s="193" t="s">
        <v>285</v>
      </c>
      <c r="E173" s="32" t="s">
        <v>43</v>
      </c>
      <c r="F173" s="371">
        <v>0</v>
      </c>
      <c r="G173" s="52">
        <v>20</v>
      </c>
      <c r="H173" s="53">
        <f t="shared" si="4"/>
        <v>0</v>
      </c>
      <c r="I173" s="183">
        <f t="shared" si="5"/>
        <v>0</v>
      </c>
    </row>
    <row r="174" spans="1:9" ht="15.75" customHeight="1" x14ac:dyDescent="0.35">
      <c r="A174" s="396" t="s">
        <v>414</v>
      </c>
      <c r="B174" s="387" t="s">
        <v>53</v>
      </c>
      <c r="C174" s="440" t="s">
        <v>415</v>
      </c>
      <c r="D174" s="203">
        <v>1</v>
      </c>
      <c r="E174" s="204" t="s">
        <v>43</v>
      </c>
      <c r="F174" s="64">
        <v>0</v>
      </c>
      <c r="G174" s="369">
        <v>1</v>
      </c>
      <c r="H174" s="206">
        <f t="shared" si="4"/>
        <v>0</v>
      </c>
      <c r="I174" s="384">
        <f t="shared" si="5"/>
        <v>0</v>
      </c>
    </row>
    <row r="175" spans="1:9" ht="15.75" customHeight="1" x14ac:dyDescent="0.35">
      <c r="A175" s="391" t="s">
        <v>414</v>
      </c>
      <c r="B175" s="32" t="s">
        <v>53</v>
      </c>
      <c r="C175" s="421"/>
      <c r="D175" s="181">
        <v>2</v>
      </c>
      <c r="E175" s="32" t="s">
        <v>43</v>
      </c>
      <c r="F175" s="371">
        <v>0</v>
      </c>
      <c r="G175" s="34">
        <v>2</v>
      </c>
      <c r="H175" s="35">
        <f t="shared" si="4"/>
        <v>0</v>
      </c>
      <c r="I175" s="183">
        <f t="shared" si="5"/>
        <v>0</v>
      </c>
    </row>
    <row r="176" spans="1:9" ht="15.75" customHeight="1" x14ac:dyDescent="0.35">
      <c r="A176" s="392" t="s">
        <v>414</v>
      </c>
      <c r="B176" s="211" t="s">
        <v>53</v>
      </c>
      <c r="C176" s="421"/>
      <c r="D176" s="210">
        <v>3</v>
      </c>
      <c r="E176" s="211" t="s">
        <v>43</v>
      </c>
      <c r="F176" s="371">
        <v>0</v>
      </c>
      <c r="G176" s="372">
        <v>3</v>
      </c>
      <c r="H176" s="213">
        <f t="shared" si="4"/>
        <v>0</v>
      </c>
      <c r="I176" s="373">
        <f t="shared" si="5"/>
        <v>0</v>
      </c>
    </row>
    <row r="177" spans="1:12" ht="15.75" customHeight="1" x14ac:dyDescent="0.35">
      <c r="A177" s="391" t="s">
        <v>414</v>
      </c>
      <c r="B177" s="32" t="s">
        <v>53</v>
      </c>
      <c r="C177" s="421"/>
      <c r="D177" s="181">
        <v>4</v>
      </c>
      <c r="E177" s="32" t="s">
        <v>43</v>
      </c>
      <c r="F177" s="371">
        <v>0</v>
      </c>
      <c r="G177" s="34">
        <v>4</v>
      </c>
      <c r="H177" s="35">
        <f t="shared" si="4"/>
        <v>0</v>
      </c>
      <c r="I177" s="183">
        <f t="shared" si="5"/>
        <v>0</v>
      </c>
    </row>
    <row r="178" spans="1:12" ht="15.75" customHeight="1" x14ac:dyDescent="0.35">
      <c r="A178" s="392" t="s">
        <v>414</v>
      </c>
      <c r="B178" s="211" t="s">
        <v>53</v>
      </c>
      <c r="C178" s="421"/>
      <c r="D178" s="374">
        <v>5</v>
      </c>
      <c r="E178" s="211" t="s">
        <v>43</v>
      </c>
      <c r="F178" s="371">
        <v>0</v>
      </c>
      <c r="G178" s="372">
        <v>5</v>
      </c>
      <c r="H178" s="213">
        <f t="shared" si="4"/>
        <v>0</v>
      </c>
      <c r="I178" s="373">
        <f t="shared" si="5"/>
        <v>0</v>
      </c>
    </row>
    <row r="179" spans="1:12" ht="15.75" customHeight="1" x14ac:dyDescent="0.35">
      <c r="A179" s="391" t="s">
        <v>414</v>
      </c>
      <c r="B179" s="32" t="s">
        <v>53</v>
      </c>
      <c r="C179" s="421"/>
      <c r="D179" s="375">
        <v>46180</v>
      </c>
      <c r="E179" s="32" t="s">
        <v>43</v>
      </c>
      <c r="F179" s="371">
        <v>0</v>
      </c>
      <c r="G179" s="34">
        <v>7</v>
      </c>
      <c r="H179" s="35">
        <f t="shared" si="4"/>
        <v>0</v>
      </c>
      <c r="I179" s="183">
        <f t="shared" si="5"/>
        <v>0</v>
      </c>
    </row>
    <row r="180" spans="1:12" ht="15.75" customHeight="1" x14ac:dyDescent="0.35">
      <c r="A180" s="392" t="s">
        <v>414</v>
      </c>
      <c r="B180" s="211" t="s">
        <v>53</v>
      </c>
      <c r="C180" s="421"/>
      <c r="D180" s="376">
        <v>46243</v>
      </c>
      <c r="E180" s="211" t="s">
        <v>43</v>
      </c>
      <c r="F180" s="371">
        <v>0</v>
      </c>
      <c r="G180" s="372">
        <v>9</v>
      </c>
      <c r="H180" s="213">
        <f t="shared" si="4"/>
        <v>0</v>
      </c>
      <c r="I180" s="373">
        <f t="shared" si="5"/>
        <v>0</v>
      </c>
    </row>
    <row r="181" spans="1:12" ht="15.75" customHeight="1" x14ac:dyDescent="0.35">
      <c r="A181" s="391" t="s">
        <v>414</v>
      </c>
      <c r="B181" s="32" t="s">
        <v>53</v>
      </c>
      <c r="C181" s="421"/>
      <c r="D181" s="375">
        <v>46309</v>
      </c>
      <c r="E181" s="32" t="s">
        <v>43</v>
      </c>
      <c r="F181" s="371">
        <v>0</v>
      </c>
      <c r="G181" s="34">
        <v>14</v>
      </c>
      <c r="H181" s="35">
        <f t="shared" si="4"/>
        <v>0</v>
      </c>
      <c r="I181" s="183">
        <f t="shared" si="5"/>
        <v>0</v>
      </c>
    </row>
    <row r="182" spans="1:12" ht="15.75" customHeight="1" x14ac:dyDescent="0.35">
      <c r="A182" s="395" t="s">
        <v>414</v>
      </c>
      <c r="B182" s="386" t="s">
        <v>53</v>
      </c>
      <c r="C182" s="422"/>
      <c r="D182" s="378" t="s">
        <v>285</v>
      </c>
      <c r="E182" s="386" t="s">
        <v>43</v>
      </c>
      <c r="F182" s="388">
        <v>0</v>
      </c>
      <c r="G182" s="381">
        <v>20</v>
      </c>
      <c r="H182" s="382">
        <f t="shared" si="4"/>
        <v>0</v>
      </c>
      <c r="I182" s="389">
        <f t="shared" si="5"/>
        <v>0</v>
      </c>
    </row>
    <row r="183" spans="1:12" ht="15.75" customHeight="1" x14ac:dyDescent="0.35"/>
    <row r="184" spans="1:12" ht="15.75" customHeight="1" x14ac:dyDescent="0.4">
      <c r="A184" s="450" t="s">
        <v>371</v>
      </c>
      <c r="B184" s="413"/>
      <c r="C184" s="413"/>
      <c r="D184" s="413"/>
      <c r="E184" s="413"/>
      <c r="F184" s="413"/>
      <c r="G184" s="413"/>
      <c r="H184" s="413"/>
    </row>
    <row r="185" spans="1:12" ht="15.75" customHeight="1" x14ac:dyDescent="0.35">
      <c r="A185" s="451" t="s">
        <v>372</v>
      </c>
      <c r="B185" s="416"/>
      <c r="C185" s="416"/>
      <c r="D185" s="416"/>
      <c r="E185" s="416"/>
      <c r="F185" s="417"/>
      <c r="G185" s="452" t="s">
        <v>373</v>
      </c>
      <c r="H185" s="416"/>
      <c r="I185" s="419"/>
    </row>
    <row r="186" spans="1:12" ht="15.75" customHeight="1" x14ac:dyDescent="0.35">
      <c r="A186" s="125" t="s">
        <v>333</v>
      </c>
      <c r="B186" s="69" t="s">
        <v>31</v>
      </c>
      <c r="C186" s="69" t="s">
        <v>32</v>
      </c>
      <c r="D186" s="127" t="s">
        <v>226</v>
      </c>
      <c r="E186" s="50" t="s">
        <v>34</v>
      </c>
      <c r="F186" s="69" t="s">
        <v>35</v>
      </c>
      <c r="G186" s="16" t="s">
        <v>304</v>
      </c>
      <c r="H186" s="14" t="s">
        <v>37</v>
      </c>
      <c r="I186" s="128" t="s">
        <v>38</v>
      </c>
      <c r="K186" s="275" t="s">
        <v>39</v>
      </c>
      <c r="L186" s="402" t="s">
        <v>416</v>
      </c>
    </row>
    <row r="187" spans="1:12" ht="15.75" customHeight="1" x14ac:dyDescent="0.35">
      <c r="A187" s="390" t="s">
        <v>417</v>
      </c>
      <c r="B187" s="365">
        <v>1</v>
      </c>
      <c r="C187" s="453" t="s">
        <v>418</v>
      </c>
      <c r="D187" s="366">
        <v>1</v>
      </c>
      <c r="E187" s="367" t="s">
        <v>43</v>
      </c>
      <c r="F187" s="368">
        <v>0</v>
      </c>
      <c r="G187" s="369">
        <v>1</v>
      </c>
      <c r="H187" s="206">
        <f t="shared" ref="H187:H249" si="6">F187*G187</f>
        <v>0</v>
      </c>
      <c r="I187" s="370">
        <f t="shared" ref="I187:I249" si="7">H187*365</f>
        <v>0</v>
      </c>
      <c r="K187" s="18">
        <v>1</v>
      </c>
      <c r="L187" s="28">
        <f>SUM(I187:I195)</f>
        <v>0</v>
      </c>
    </row>
    <row r="188" spans="1:12" ht="15.75" customHeight="1" x14ac:dyDescent="0.35">
      <c r="A188" s="391" t="s">
        <v>417</v>
      </c>
      <c r="B188" s="79">
        <v>1</v>
      </c>
      <c r="C188" s="421"/>
      <c r="D188" s="181">
        <v>2</v>
      </c>
      <c r="E188" s="32" t="s">
        <v>43</v>
      </c>
      <c r="F188" s="371">
        <v>0</v>
      </c>
      <c r="G188" s="34">
        <v>2</v>
      </c>
      <c r="H188" s="35">
        <f t="shared" si="6"/>
        <v>0</v>
      </c>
      <c r="I188" s="183">
        <f t="shared" si="7"/>
        <v>0</v>
      </c>
      <c r="K188" s="277">
        <v>2</v>
      </c>
      <c r="L188" s="278">
        <f>SUM(I196:I204)</f>
        <v>0</v>
      </c>
    </row>
    <row r="189" spans="1:12" ht="15.75" customHeight="1" x14ac:dyDescent="0.35">
      <c r="A189" s="392" t="s">
        <v>417</v>
      </c>
      <c r="B189" s="209">
        <v>1</v>
      </c>
      <c r="C189" s="421"/>
      <c r="D189" s="210">
        <v>3</v>
      </c>
      <c r="E189" s="211" t="s">
        <v>43</v>
      </c>
      <c r="F189" s="371">
        <v>0</v>
      </c>
      <c r="G189" s="372">
        <v>3</v>
      </c>
      <c r="H189" s="213">
        <f t="shared" si="6"/>
        <v>0</v>
      </c>
      <c r="I189" s="373">
        <f t="shared" si="7"/>
        <v>0</v>
      </c>
      <c r="K189" s="18" t="s">
        <v>46</v>
      </c>
      <c r="L189" s="28">
        <f>SUM(I205:I213)</f>
        <v>0</v>
      </c>
    </row>
    <row r="190" spans="1:12" ht="15.75" customHeight="1" x14ac:dyDescent="0.35">
      <c r="A190" s="391" t="s">
        <v>417</v>
      </c>
      <c r="B190" s="79">
        <v>1</v>
      </c>
      <c r="C190" s="421"/>
      <c r="D190" s="181">
        <v>4</v>
      </c>
      <c r="E190" s="32" t="s">
        <v>43</v>
      </c>
      <c r="F190" s="371">
        <v>0</v>
      </c>
      <c r="G190" s="34">
        <v>4</v>
      </c>
      <c r="H190" s="35">
        <f t="shared" si="6"/>
        <v>0</v>
      </c>
      <c r="I190" s="183">
        <f t="shared" si="7"/>
        <v>0</v>
      </c>
      <c r="K190" s="277">
        <v>3</v>
      </c>
      <c r="L190" s="278">
        <f>SUM(I214:I222)</f>
        <v>0</v>
      </c>
    </row>
    <row r="191" spans="1:12" ht="15.75" customHeight="1" x14ac:dyDescent="0.35">
      <c r="A191" s="392" t="s">
        <v>417</v>
      </c>
      <c r="B191" s="209">
        <v>1</v>
      </c>
      <c r="C191" s="421"/>
      <c r="D191" s="374">
        <v>5</v>
      </c>
      <c r="E191" s="211" t="s">
        <v>43</v>
      </c>
      <c r="F191" s="371">
        <v>0</v>
      </c>
      <c r="G191" s="372">
        <v>5</v>
      </c>
      <c r="H191" s="213">
        <f t="shared" si="6"/>
        <v>0</v>
      </c>
      <c r="I191" s="373">
        <f t="shared" si="7"/>
        <v>0</v>
      </c>
      <c r="K191" s="18" t="s">
        <v>49</v>
      </c>
      <c r="L191" s="28">
        <f>SUM(I223:I231)</f>
        <v>0</v>
      </c>
    </row>
    <row r="192" spans="1:12" ht="15.75" customHeight="1" x14ac:dyDescent="0.35">
      <c r="A192" s="391" t="s">
        <v>417</v>
      </c>
      <c r="B192" s="79">
        <v>1</v>
      </c>
      <c r="C192" s="421"/>
      <c r="D192" s="375">
        <v>46180</v>
      </c>
      <c r="E192" s="32" t="s">
        <v>43</v>
      </c>
      <c r="F192" s="371">
        <v>0</v>
      </c>
      <c r="G192" s="34">
        <v>7</v>
      </c>
      <c r="H192" s="35">
        <f t="shared" si="6"/>
        <v>0</v>
      </c>
      <c r="I192" s="183">
        <f t="shared" si="7"/>
        <v>0</v>
      </c>
      <c r="K192" s="277">
        <v>4</v>
      </c>
      <c r="L192" s="278">
        <f>SUM(I232:I240)</f>
        <v>0</v>
      </c>
    </row>
    <row r="193" spans="1:12" ht="15.75" customHeight="1" x14ac:dyDescent="0.35">
      <c r="A193" s="392" t="s">
        <v>417</v>
      </c>
      <c r="B193" s="209">
        <v>1</v>
      </c>
      <c r="C193" s="421"/>
      <c r="D193" s="376">
        <v>46243</v>
      </c>
      <c r="E193" s="211" t="s">
        <v>43</v>
      </c>
      <c r="F193" s="371">
        <v>0</v>
      </c>
      <c r="G193" s="372">
        <v>9</v>
      </c>
      <c r="H193" s="213">
        <f t="shared" si="6"/>
        <v>0</v>
      </c>
      <c r="I193" s="373">
        <f t="shared" si="7"/>
        <v>0</v>
      </c>
      <c r="K193" s="18" t="s">
        <v>53</v>
      </c>
      <c r="L193" s="28">
        <f>SUM(I241:I249)</f>
        <v>0</v>
      </c>
    </row>
    <row r="194" spans="1:12" ht="15.75" customHeight="1" x14ac:dyDescent="0.35">
      <c r="A194" s="391" t="s">
        <v>417</v>
      </c>
      <c r="B194" s="79">
        <v>1</v>
      </c>
      <c r="C194" s="421"/>
      <c r="D194" s="375">
        <v>46309</v>
      </c>
      <c r="E194" s="32" t="s">
        <v>43</v>
      </c>
      <c r="F194" s="371">
        <v>0</v>
      </c>
      <c r="G194" s="34">
        <v>14</v>
      </c>
      <c r="H194" s="35">
        <f t="shared" si="6"/>
        <v>0</v>
      </c>
      <c r="I194" s="183">
        <f t="shared" si="7"/>
        <v>0</v>
      </c>
      <c r="K194" s="403" t="s">
        <v>376</v>
      </c>
      <c r="L194" s="278">
        <f>SUM(L187:L193)</f>
        <v>0</v>
      </c>
    </row>
    <row r="195" spans="1:12" ht="15.75" customHeight="1" x14ac:dyDescent="0.35">
      <c r="A195" s="392" t="s">
        <v>417</v>
      </c>
      <c r="B195" s="377">
        <v>1</v>
      </c>
      <c r="C195" s="422"/>
      <c r="D195" s="378" t="s">
        <v>285</v>
      </c>
      <c r="E195" s="379" t="s">
        <v>43</v>
      </c>
      <c r="F195" s="380">
        <v>0</v>
      </c>
      <c r="G195" s="381">
        <v>20</v>
      </c>
      <c r="H195" s="382">
        <f t="shared" si="6"/>
        <v>0</v>
      </c>
      <c r="I195" s="383">
        <f t="shared" si="7"/>
        <v>0</v>
      </c>
    </row>
    <row r="196" spans="1:12" ht="15.75" customHeight="1" x14ac:dyDescent="0.35">
      <c r="A196" s="393" t="s">
        <v>419</v>
      </c>
      <c r="B196" s="265">
        <v>2</v>
      </c>
      <c r="C196" s="433" t="s">
        <v>420</v>
      </c>
      <c r="D196" s="266">
        <v>1</v>
      </c>
      <c r="E196" s="154" t="s">
        <v>43</v>
      </c>
      <c r="F196" s="64">
        <v>0</v>
      </c>
      <c r="G196" s="318">
        <v>1</v>
      </c>
      <c r="H196" s="156">
        <f t="shared" si="6"/>
        <v>0</v>
      </c>
      <c r="I196" s="268">
        <f t="shared" si="7"/>
        <v>0</v>
      </c>
      <c r="K196" s="337"/>
      <c r="L196" s="337"/>
    </row>
    <row r="197" spans="1:12" ht="15.75" customHeight="1" x14ac:dyDescent="0.35">
      <c r="A197" s="392" t="s">
        <v>419</v>
      </c>
      <c r="B197" s="209">
        <v>2</v>
      </c>
      <c r="C197" s="421"/>
      <c r="D197" s="210">
        <v>2</v>
      </c>
      <c r="E197" s="211" t="s">
        <v>43</v>
      </c>
      <c r="F197" s="371">
        <v>0</v>
      </c>
      <c r="G197" s="372">
        <v>2</v>
      </c>
      <c r="H197" s="213">
        <f t="shared" si="6"/>
        <v>0</v>
      </c>
      <c r="I197" s="373">
        <f t="shared" si="7"/>
        <v>0</v>
      </c>
      <c r="K197" s="337"/>
      <c r="L197" s="337"/>
    </row>
    <row r="198" spans="1:12" ht="15.75" customHeight="1" x14ac:dyDescent="0.35">
      <c r="A198" s="391" t="s">
        <v>419</v>
      </c>
      <c r="B198" s="79">
        <v>2</v>
      </c>
      <c r="C198" s="421"/>
      <c r="D198" s="181">
        <v>3</v>
      </c>
      <c r="E198" s="32" t="s">
        <v>43</v>
      </c>
      <c r="F198" s="371">
        <v>0</v>
      </c>
      <c r="G198" s="34">
        <v>3</v>
      </c>
      <c r="H198" s="35">
        <f t="shared" si="6"/>
        <v>0</v>
      </c>
      <c r="I198" s="183">
        <f t="shared" si="7"/>
        <v>0</v>
      </c>
      <c r="K198" s="337"/>
      <c r="L198" s="337"/>
    </row>
    <row r="199" spans="1:12" ht="15.75" customHeight="1" x14ac:dyDescent="0.35">
      <c r="A199" s="392" t="s">
        <v>419</v>
      </c>
      <c r="B199" s="209">
        <v>2</v>
      </c>
      <c r="C199" s="421"/>
      <c r="D199" s="210">
        <v>4</v>
      </c>
      <c r="E199" s="211" t="s">
        <v>43</v>
      </c>
      <c r="F199" s="371">
        <v>0</v>
      </c>
      <c r="G199" s="372">
        <v>4</v>
      </c>
      <c r="H199" s="213">
        <f t="shared" si="6"/>
        <v>0</v>
      </c>
      <c r="I199" s="373">
        <f t="shared" si="7"/>
        <v>0</v>
      </c>
      <c r="K199" s="337"/>
      <c r="L199" s="337"/>
    </row>
    <row r="200" spans="1:12" ht="15.75" customHeight="1" x14ac:dyDescent="0.35">
      <c r="A200" s="391" t="s">
        <v>419</v>
      </c>
      <c r="B200" s="79">
        <v>2</v>
      </c>
      <c r="C200" s="421"/>
      <c r="D200" s="269">
        <v>5</v>
      </c>
      <c r="E200" s="32" t="s">
        <v>43</v>
      </c>
      <c r="F200" s="371">
        <v>0</v>
      </c>
      <c r="G200" s="34">
        <v>5</v>
      </c>
      <c r="H200" s="35">
        <f t="shared" si="6"/>
        <v>0</v>
      </c>
      <c r="I200" s="183">
        <f t="shared" si="7"/>
        <v>0</v>
      </c>
      <c r="K200" s="337"/>
      <c r="L200" s="337"/>
    </row>
    <row r="201" spans="1:12" ht="15.75" customHeight="1" x14ac:dyDescent="0.35">
      <c r="A201" s="392" t="s">
        <v>419</v>
      </c>
      <c r="B201" s="209">
        <v>2</v>
      </c>
      <c r="C201" s="421"/>
      <c r="D201" s="376">
        <v>46180</v>
      </c>
      <c r="E201" s="211" t="s">
        <v>43</v>
      </c>
      <c r="F201" s="371">
        <v>0</v>
      </c>
      <c r="G201" s="372">
        <v>7</v>
      </c>
      <c r="H201" s="213">
        <f t="shared" si="6"/>
        <v>0</v>
      </c>
      <c r="I201" s="373">
        <f t="shared" si="7"/>
        <v>0</v>
      </c>
      <c r="K201" s="337"/>
      <c r="L201" s="337"/>
    </row>
    <row r="202" spans="1:12" ht="15.75" customHeight="1" x14ac:dyDescent="0.35">
      <c r="A202" s="391" t="s">
        <v>419</v>
      </c>
      <c r="B202" s="79">
        <v>2</v>
      </c>
      <c r="C202" s="421"/>
      <c r="D202" s="375">
        <v>46243</v>
      </c>
      <c r="E202" s="32" t="s">
        <v>43</v>
      </c>
      <c r="F202" s="371">
        <v>0</v>
      </c>
      <c r="G202" s="34">
        <v>9</v>
      </c>
      <c r="H202" s="35">
        <f t="shared" si="6"/>
        <v>0</v>
      </c>
      <c r="I202" s="183">
        <f t="shared" si="7"/>
        <v>0</v>
      </c>
      <c r="K202" s="337"/>
      <c r="L202" s="337"/>
    </row>
    <row r="203" spans="1:12" ht="15.75" customHeight="1" x14ac:dyDescent="0.35">
      <c r="A203" s="392" t="s">
        <v>419</v>
      </c>
      <c r="B203" s="209">
        <v>2</v>
      </c>
      <c r="C203" s="421"/>
      <c r="D203" s="376">
        <v>46309</v>
      </c>
      <c r="E203" s="211" t="s">
        <v>43</v>
      </c>
      <c r="F203" s="371">
        <v>0</v>
      </c>
      <c r="G203" s="372">
        <v>14</v>
      </c>
      <c r="H203" s="213">
        <f t="shared" si="6"/>
        <v>0</v>
      </c>
      <c r="I203" s="373">
        <f t="shared" si="7"/>
        <v>0</v>
      </c>
      <c r="K203" s="337"/>
      <c r="L203" s="337"/>
    </row>
    <row r="204" spans="1:12" ht="15.75" customHeight="1" x14ac:dyDescent="0.35">
      <c r="A204" s="394" t="s">
        <v>419</v>
      </c>
      <c r="B204" s="88">
        <v>2</v>
      </c>
      <c r="C204" s="422"/>
      <c r="D204" s="193" t="s">
        <v>285</v>
      </c>
      <c r="E204" s="32" t="s">
        <v>43</v>
      </c>
      <c r="F204" s="371">
        <v>0</v>
      </c>
      <c r="G204" s="52">
        <v>20</v>
      </c>
      <c r="H204" s="53">
        <f t="shared" si="6"/>
        <v>0</v>
      </c>
      <c r="I204" s="183">
        <f t="shared" si="7"/>
        <v>0</v>
      </c>
      <c r="K204" s="337"/>
      <c r="L204" s="337"/>
    </row>
    <row r="205" spans="1:12" ht="15.75" customHeight="1" x14ac:dyDescent="0.35">
      <c r="A205" s="392" t="s">
        <v>421</v>
      </c>
      <c r="B205" s="202" t="s">
        <v>46</v>
      </c>
      <c r="C205" s="440" t="s">
        <v>422</v>
      </c>
      <c r="D205" s="203">
        <v>1</v>
      </c>
      <c r="E205" s="204" t="s">
        <v>43</v>
      </c>
      <c r="F205" s="64">
        <v>0</v>
      </c>
      <c r="G205" s="369">
        <v>1</v>
      </c>
      <c r="H205" s="206">
        <f t="shared" si="6"/>
        <v>0</v>
      </c>
      <c r="I205" s="384">
        <f t="shared" si="7"/>
        <v>0</v>
      </c>
    </row>
    <row r="206" spans="1:12" ht="15.75" customHeight="1" x14ac:dyDescent="0.35">
      <c r="A206" s="391" t="s">
        <v>421</v>
      </c>
      <c r="B206" s="79" t="s">
        <v>46</v>
      </c>
      <c r="C206" s="421"/>
      <c r="D206" s="181">
        <v>2</v>
      </c>
      <c r="E206" s="32" t="s">
        <v>43</v>
      </c>
      <c r="F206" s="371">
        <v>0</v>
      </c>
      <c r="G206" s="34">
        <v>2</v>
      </c>
      <c r="H206" s="35">
        <f t="shared" si="6"/>
        <v>0</v>
      </c>
      <c r="I206" s="183">
        <f t="shared" si="7"/>
        <v>0</v>
      </c>
    </row>
    <row r="207" spans="1:12" ht="15.75" customHeight="1" x14ac:dyDescent="0.35">
      <c r="A207" s="392" t="s">
        <v>421</v>
      </c>
      <c r="B207" s="209" t="s">
        <v>46</v>
      </c>
      <c r="C207" s="421"/>
      <c r="D207" s="210">
        <v>3</v>
      </c>
      <c r="E207" s="211" t="s">
        <v>43</v>
      </c>
      <c r="F207" s="371">
        <v>0</v>
      </c>
      <c r="G207" s="372">
        <v>3</v>
      </c>
      <c r="H207" s="213">
        <f t="shared" si="6"/>
        <v>0</v>
      </c>
      <c r="I207" s="373">
        <f t="shared" si="7"/>
        <v>0</v>
      </c>
    </row>
    <row r="208" spans="1:12" ht="15.75" customHeight="1" x14ac:dyDescent="0.35">
      <c r="A208" s="391" t="s">
        <v>421</v>
      </c>
      <c r="B208" s="79" t="s">
        <v>46</v>
      </c>
      <c r="C208" s="421"/>
      <c r="D208" s="181">
        <v>4</v>
      </c>
      <c r="E208" s="32" t="s">
        <v>43</v>
      </c>
      <c r="F208" s="371">
        <v>0</v>
      </c>
      <c r="G208" s="34">
        <v>4</v>
      </c>
      <c r="H208" s="35">
        <f t="shared" si="6"/>
        <v>0</v>
      </c>
      <c r="I208" s="183">
        <f t="shared" si="7"/>
        <v>0</v>
      </c>
    </row>
    <row r="209" spans="1:9" ht="15.75" customHeight="1" x14ac:dyDescent="0.35">
      <c r="A209" s="392" t="s">
        <v>421</v>
      </c>
      <c r="B209" s="209" t="s">
        <v>46</v>
      </c>
      <c r="C209" s="421"/>
      <c r="D209" s="374">
        <v>5</v>
      </c>
      <c r="E209" s="211" t="s">
        <v>43</v>
      </c>
      <c r="F209" s="371">
        <v>0</v>
      </c>
      <c r="G209" s="372">
        <v>5</v>
      </c>
      <c r="H209" s="213">
        <f t="shared" si="6"/>
        <v>0</v>
      </c>
      <c r="I209" s="373">
        <f t="shared" si="7"/>
        <v>0</v>
      </c>
    </row>
    <row r="210" spans="1:9" ht="15.75" customHeight="1" x14ac:dyDescent="0.35">
      <c r="A210" s="391" t="s">
        <v>421</v>
      </c>
      <c r="B210" s="79" t="s">
        <v>46</v>
      </c>
      <c r="C210" s="421"/>
      <c r="D210" s="375">
        <v>46180</v>
      </c>
      <c r="E210" s="32" t="s">
        <v>43</v>
      </c>
      <c r="F210" s="371">
        <v>0</v>
      </c>
      <c r="G210" s="34">
        <v>7</v>
      </c>
      <c r="H210" s="35">
        <f t="shared" si="6"/>
        <v>0</v>
      </c>
      <c r="I210" s="183">
        <f t="shared" si="7"/>
        <v>0</v>
      </c>
    </row>
    <row r="211" spans="1:9" ht="15.75" customHeight="1" x14ac:dyDescent="0.35">
      <c r="A211" s="392" t="s">
        <v>421</v>
      </c>
      <c r="B211" s="209" t="s">
        <v>46</v>
      </c>
      <c r="C211" s="421"/>
      <c r="D211" s="376">
        <v>46243</v>
      </c>
      <c r="E211" s="211" t="s">
        <v>43</v>
      </c>
      <c r="F211" s="371">
        <v>0</v>
      </c>
      <c r="G211" s="372">
        <v>9</v>
      </c>
      <c r="H211" s="213">
        <f t="shared" si="6"/>
        <v>0</v>
      </c>
      <c r="I211" s="373">
        <f t="shared" si="7"/>
        <v>0</v>
      </c>
    </row>
    <row r="212" spans="1:9" ht="15.75" customHeight="1" x14ac:dyDescent="0.35">
      <c r="A212" s="391" t="s">
        <v>421</v>
      </c>
      <c r="B212" s="79" t="s">
        <v>46</v>
      </c>
      <c r="C212" s="421"/>
      <c r="D212" s="375">
        <v>46309</v>
      </c>
      <c r="E212" s="32" t="s">
        <v>43</v>
      </c>
      <c r="F212" s="371">
        <v>0</v>
      </c>
      <c r="G212" s="34">
        <v>14</v>
      </c>
      <c r="H212" s="35">
        <f t="shared" si="6"/>
        <v>0</v>
      </c>
      <c r="I212" s="183">
        <f t="shared" si="7"/>
        <v>0</v>
      </c>
    </row>
    <row r="213" spans="1:9" ht="15.75" customHeight="1" x14ac:dyDescent="0.35">
      <c r="A213" s="395" t="s">
        <v>421</v>
      </c>
      <c r="B213" s="377" t="s">
        <v>46</v>
      </c>
      <c r="C213" s="422"/>
      <c r="D213" s="378" t="s">
        <v>285</v>
      </c>
      <c r="E213" s="211" t="s">
        <v>43</v>
      </c>
      <c r="F213" s="371">
        <v>0</v>
      </c>
      <c r="G213" s="381">
        <v>20</v>
      </c>
      <c r="H213" s="382">
        <f t="shared" si="6"/>
        <v>0</v>
      </c>
      <c r="I213" s="373">
        <f t="shared" si="7"/>
        <v>0</v>
      </c>
    </row>
    <row r="214" spans="1:9" ht="15.75" customHeight="1" x14ac:dyDescent="0.35">
      <c r="A214" s="393" t="s">
        <v>423</v>
      </c>
      <c r="B214" s="154">
        <v>3</v>
      </c>
      <c r="C214" s="433" t="s">
        <v>424</v>
      </c>
      <c r="D214" s="266">
        <v>1</v>
      </c>
      <c r="E214" s="154" t="s">
        <v>43</v>
      </c>
      <c r="F214" s="64">
        <v>0</v>
      </c>
      <c r="G214" s="318">
        <v>1</v>
      </c>
      <c r="H214" s="156">
        <f t="shared" si="6"/>
        <v>0</v>
      </c>
      <c r="I214" s="268">
        <f t="shared" si="7"/>
        <v>0</v>
      </c>
    </row>
    <row r="215" spans="1:9" ht="15.75" customHeight="1" x14ac:dyDescent="0.35">
      <c r="A215" s="392" t="s">
        <v>423</v>
      </c>
      <c r="B215" s="211">
        <v>3</v>
      </c>
      <c r="C215" s="421"/>
      <c r="D215" s="210">
        <v>2</v>
      </c>
      <c r="E215" s="211" t="s">
        <v>43</v>
      </c>
      <c r="F215" s="371">
        <v>0</v>
      </c>
      <c r="G215" s="372">
        <v>2</v>
      </c>
      <c r="H215" s="213">
        <f t="shared" si="6"/>
        <v>0</v>
      </c>
      <c r="I215" s="373">
        <f t="shared" si="7"/>
        <v>0</v>
      </c>
    </row>
    <row r="216" spans="1:9" ht="15.75" customHeight="1" x14ac:dyDescent="0.35">
      <c r="A216" s="391" t="s">
        <v>423</v>
      </c>
      <c r="B216" s="32">
        <v>3</v>
      </c>
      <c r="C216" s="421"/>
      <c r="D216" s="181">
        <v>3</v>
      </c>
      <c r="E216" s="32" t="s">
        <v>43</v>
      </c>
      <c r="F216" s="371">
        <v>0</v>
      </c>
      <c r="G216" s="34">
        <v>3</v>
      </c>
      <c r="H216" s="35">
        <f t="shared" si="6"/>
        <v>0</v>
      </c>
      <c r="I216" s="183">
        <f t="shared" si="7"/>
        <v>0</v>
      </c>
    </row>
    <row r="217" spans="1:9" ht="15.75" customHeight="1" x14ac:dyDescent="0.35">
      <c r="A217" s="392" t="s">
        <v>423</v>
      </c>
      <c r="B217" s="211">
        <v>3</v>
      </c>
      <c r="C217" s="421"/>
      <c r="D217" s="210">
        <v>4</v>
      </c>
      <c r="E217" s="211" t="s">
        <v>43</v>
      </c>
      <c r="F217" s="371">
        <v>0</v>
      </c>
      <c r="G217" s="372">
        <v>4</v>
      </c>
      <c r="H217" s="213">
        <f t="shared" si="6"/>
        <v>0</v>
      </c>
      <c r="I217" s="373">
        <f t="shared" si="7"/>
        <v>0</v>
      </c>
    </row>
    <row r="218" spans="1:9" ht="15.75" customHeight="1" x14ac:dyDescent="0.35">
      <c r="A218" s="391" t="s">
        <v>423</v>
      </c>
      <c r="B218" s="32">
        <v>3</v>
      </c>
      <c r="C218" s="421"/>
      <c r="D218" s="269">
        <v>5</v>
      </c>
      <c r="E218" s="32" t="s">
        <v>43</v>
      </c>
      <c r="F218" s="371">
        <v>0</v>
      </c>
      <c r="G218" s="34">
        <v>5</v>
      </c>
      <c r="H218" s="35">
        <f t="shared" si="6"/>
        <v>0</v>
      </c>
      <c r="I218" s="183">
        <f t="shared" si="7"/>
        <v>0</v>
      </c>
    </row>
    <row r="219" spans="1:9" ht="15.75" customHeight="1" x14ac:dyDescent="0.35">
      <c r="A219" s="392" t="s">
        <v>423</v>
      </c>
      <c r="B219" s="211">
        <v>3</v>
      </c>
      <c r="C219" s="421"/>
      <c r="D219" s="376">
        <v>46180</v>
      </c>
      <c r="E219" s="211" t="s">
        <v>43</v>
      </c>
      <c r="F219" s="371">
        <v>0</v>
      </c>
      <c r="G219" s="372">
        <v>7</v>
      </c>
      <c r="H219" s="213">
        <f t="shared" si="6"/>
        <v>0</v>
      </c>
      <c r="I219" s="373">
        <f t="shared" si="7"/>
        <v>0</v>
      </c>
    </row>
    <row r="220" spans="1:9" ht="15.75" customHeight="1" x14ac:dyDescent="0.35">
      <c r="A220" s="391" t="s">
        <v>423</v>
      </c>
      <c r="B220" s="32">
        <v>3</v>
      </c>
      <c r="C220" s="421"/>
      <c r="D220" s="375">
        <v>46243</v>
      </c>
      <c r="E220" s="32" t="s">
        <v>43</v>
      </c>
      <c r="F220" s="371">
        <v>0</v>
      </c>
      <c r="G220" s="34">
        <v>9</v>
      </c>
      <c r="H220" s="35">
        <f t="shared" si="6"/>
        <v>0</v>
      </c>
      <c r="I220" s="183">
        <f t="shared" si="7"/>
        <v>0</v>
      </c>
    </row>
    <row r="221" spans="1:9" ht="15.75" customHeight="1" x14ac:dyDescent="0.35">
      <c r="A221" s="392" t="s">
        <v>423</v>
      </c>
      <c r="B221" s="211">
        <v>3</v>
      </c>
      <c r="C221" s="421"/>
      <c r="D221" s="376">
        <v>46309</v>
      </c>
      <c r="E221" s="211" t="s">
        <v>43</v>
      </c>
      <c r="F221" s="371">
        <v>0</v>
      </c>
      <c r="G221" s="372">
        <v>14</v>
      </c>
      <c r="H221" s="213">
        <f t="shared" si="6"/>
        <v>0</v>
      </c>
      <c r="I221" s="373">
        <f t="shared" si="7"/>
        <v>0</v>
      </c>
    </row>
    <row r="222" spans="1:9" ht="15.75" customHeight="1" x14ac:dyDescent="0.35">
      <c r="A222" s="394" t="s">
        <v>423</v>
      </c>
      <c r="B222" s="50">
        <v>3</v>
      </c>
      <c r="C222" s="422"/>
      <c r="D222" s="193" t="s">
        <v>285</v>
      </c>
      <c r="E222" s="32" t="s">
        <v>43</v>
      </c>
      <c r="F222" s="371">
        <v>0</v>
      </c>
      <c r="G222" s="52">
        <v>20</v>
      </c>
      <c r="H222" s="53">
        <f t="shared" si="6"/>
        <v>0</v>
      </c>
      <c r="I222" s="183">
        <f t="shared" si="7"/>
        <v>0</v>
      </c>
    </row>
    <row r="223" spans="1:9" ht="15.75" customHeight="1" x14ac:dyDescent="0.35">
      <c r="A223" s="396" t="s">
        <v>425</v>
      </c>
      <c r="B223" s="204" t="s">
        <v>49</v>
      </c>
      <c r="C223" s="440" t="s">
        <v>426</v>
      </c>
      <c r="D223" s="203">
        <v>1</v>
      </c>
      <c r="E223" s="204" t="s">
        <v>43</v>
      </c>
      <c r="F223" s="64">
        <v>0</v>
      </c>
      <c r="G223" s="369">
        <v>1</v>
      </c>
      <c r="H223" s="206">
        <f t="shared" si="6"/>
        <v>0</v>
      </c>
      <c r="I223" s="384">
        <f t="shared" si="7"/>
        <v>0</v>
      </c>
    </row>
    <row r="224" spans="1:9" ht="15.75" customHeight="1" x14ac:dyDescent="0.35">
      <c r="A224" s="391" t="s">
        <v>425</v>
      </c>
      <c r="B224" s="32" t="s">
        <v>49</v>
      </c>
      <c r="C224" s="421"/>
      <c r="D224" s="181">
        <v>2</v>
      </c>
      <c r="E224" s="32" t="s">
        <v>43</v>
      </c>
      <c r="F224" s="371">
        <v>0</v>
      </c>
      <c r="G224" s="34">
        <v>2</v>
      </c>
      <c r="H224" s="35">
        <f t="shared" si="6"/>
        <v>0</v>
      </c>
      <c r="I224" s="183">
        <f t="shared" si="7"/>
        <v>0</v>
      </c>
    </row>
    <row r="225" spans="1:9" ht="15.75" customHeight="1" x14ac:dyDescent="0.35">
      <c r="A225" s="392" t="s">
        <v>425</v>
      </c>
      <c r="B225" s="211" t="s">
        <v>49</v>
      </c>
      <c r="C225" s="421"/>
      <c r="D225" s="210">
        <v>3</v>
      </c>
      <c r="E225" s="211" t="s">
        <v>43</v>
      </c>
      <c r="F225" s="371">
        <v>0</v>
      </c>
      <c r="G225" s="372">
        <v>3</v>
      </c>
      <c r="H225" s="213">
        <f t="shared" si="6"/>
        <v>0</v>
      </c>
      <c r="I225" s="373">
        <f t="shared" si="7"/>
        <v>0</v>
      </c>
    </row>
    <row r="226" spans="1:9" ht="15.75" customHeight="1" x14ac:dyDescent="0.35">
      <c r="A226" s="391" t="s">
        <v>425</v>
      </c>
      <c r="B226" s="32" t="s">
        <v>49</v>
      </c>
      <c r="C226" s="421"/>
      <c r="D226" s="181">
        <v>4</v>
      </c>
      <c r="E226" s="32" t="s">
        <v>43</v>
      </c>
      <c r="F226" s="371">
        <v>0</v>
      </c>
      <c r="G226" s="34">
        <v>4</v>
      </c>
      <c r="H226" s="35">
        <f t="shared" si="6"/>
        <v>0</v>
      </c>
      <c r="I226" s="183">
        <f t="shared" si="7"/>
        <v>0</v>
      </c>
    </row>
    <row r="227" spans="1:9" ht="15.75" customHeight="1" x14ac:dyDescent="0.35">
      <c r="A227" s="392" t="s">
        <v>425</v>
      </c>
      <c r="B227" s="211" t="s">
        <v>49</v>
      </c>
      <c r="C227" s="421"/>
      <c r="D227" s="374">
        <v>5</v>
      </c>
      <c r="E227" s="211" t="s">
        <v>43</v>
      </c>
      <c r="F227" s="371">
        <v>0</v>
      </c>
      <c r="G227" s="372">
        <v>5</v>
      </c>
      <c r="H227" s="213">
        <f t="shared" si="6"/>
        <v>0</v>
      </c>
      <c r="I227" s="373">
        <f t="shared" si="7"/>
        <v>0</v>
      </c>
    </row>
    <row r="228" spans="1:9" ht="15.75" customHeight="1" x14ac:dyDescent="0.35">
      <c r="A228" s="391" t="s">
        <v>425</v>
      </c>
      <c r="B228" s="32" t="s">
        <v>49</v>
      </c>
      <c r="C228" s="421"/>
      <c r="D228" s="375">
        <v>46180</v>
      </c>
      <c r="E228" s="32" t="s">
        <v>43</v>
      </c>
      <c r="F228" s="371">
        <v>0</v>
      </c>
      <c r="G228" s="34">
        <v>7</v>
      </c>
      <c r="H228" s="35">
        <f t="shared" si="6"/>
        <v>0</v>
      </c>
      <c r="I228" s="183">
        <f t="shared" si="7"/>
        <v>0</v>
      </c>
    </row>
    <row r="229" spans="1:9" ht="15.75" customHeight="1" x14ac:dyDescent="0.35">
      <c r="A229" s="392" t="s">
        <v>425</v>
      </c>
      <c r="B229" s="211" t="s">
        <v>49</v>
      </c>
      <c r="C229" s="421"/>
      <c r="D229" s="376">
        <v>46243</v>
      </c>
      <c r="E229" s="211" t="s">
        <v>43</v>
      </c>
      <c r="F229" s="371">
        <v>0</v>
      </c>
      <c r="G229" s="372">
        <v>9</v>
      </c>
      <c r="H229" s="213">
        <f t="shared" si="6"/>
        <v>0</v>
      </c>
      <c r="I229" s="373">
        <f t="shared" si="7"/>
        <v>0</v>
      </c>
    </row>
    <row r="230" spans="1:9" ht="15.75" customHeight="1" x14ac:dyDescent="0.35">
      <c r="A230" s="391" t="s">
        <v>425</v>
      </c>
      <c r="B230" s="32" t="s">
        <v>49</v>
      </c>
      <c r="C230" s="421"/>
      <c r="D230" s="375">
        <v>46309</v>
      </c>
      <c r="E230" s="32" t="s">
        <v>43</v>
      </c>
      <c r="F230" s="371">
        <v>0</v>
      </c>
      <c r="G230" s="34">
        <v>14</v>
      </c>
      <c r="H230" s="35">
        <f t="shared" si="6"/>
        <v>0</v>
      </c>
      <c r="I230" s="183">
        <f t="shared" si="7"/>
        <v>0</v>
      </c>
    </row>
    <row r="231" spans="1:9" ht="15.75" customHeight="1" x14ac:dyDescent="0.35">
      <c r="A231" s="395" t="s">
        <v>425</v>
      </c>
      <c r="B231" s="386" t="s">
        <v>49</v>
      </c>
      <c r="C231" s="422"/>
      <c r="D231" s="378" t="s">
        <v>285</v>
      </c>
      <c r="E231" s="211" t="s">
        <v>43</v>
      </c>
      <c r="F231" s="371">
        <v>0</v>
      </c>
      <c r="G231" s="381">
        <v>20</v>
      </c>
      <c r="H231" s="382">
        <f t="shared" si="6"/>
        <v>0</v>
      </c>
      <c r="I231" s="373">
        <f t="shared" si="7"/>
        <v>0</v>
      </c>
    </row>
    <row r="232" spans="1:9" ht="15.75" customHeight="1" x14ac:dyDescent="0.35">
      <c r="A232" s="393" t="s">
        <v>427</v>
      </c>
      <c r="B232" s="271">
        <v>4</v>
      </c>
      <c r="C232" s="433" t="s">
        <v>428</v>
      </c>
      <c r="D232" s="266">
        <v>1</v>
      </c>
      <c r="E232" s="154" t="s">
        <v>43</v>
      </c>
      <c r="F232" s="64">
        <v>0</v>
      </c>
      <c r="G232" s="318">
        <v>1</v>
      </c>
      <c r="H232" s="156">
        <f t="shared" si="6"/>
        <v>0</v>
      </c>
      <c r="I232" s="268">
        <f t="shared" si="7"/>
        <v>0</v>
      </c>
    </row>
    <row r="233" spans="1:9" ht="15.75" customHeight="1" x14ac:dyDescent="0.35">
      <c r="A233" s="392" t="s">
        <v>427</v>
      </c>
      <c r="B233" s="211">
        <v>4</v>
      </c>
      <c r="C233" s="421"/>
      <c r="D233" s="210">
        <v>2</v>
      </c>
      <c r="E233" s="211" t="s">
        <v>43</v>
      </c>
      <c r="F233" s="371">
        <v>0</v>
      </c>
      <c r="G233" s="372">
        <v>2</v>
      </c>
      <c r="H233" s="213">
        <f t="shared" si="6"/>
        <v>0</v>
      </c>
      <c r="I233" s="373">
        <f t="shared" si="7"/>
        <v>0</v>
      </c>
    </row>
    <row r="234" spans="1:9" ht="15.75" customHeight="1" x14ac:dyDescent="0.35">
      <c r="A234" s="391" t="s">
        <v>427</v>
      </c>
      <c r="B234" s="32">
        <v>4</v>
      </c>
      <c r="C234" s="421"/>
      <c r="D234" s="181">
        <v>3</v>
      </c>
      <c r="E234" s="32" t="s">
        <v>43</v>
      </c>
      <c r="F234" s="371">
        <v>0</v>
      </c>
      <c r="G234" s="34">
        <v>3</v>
      </c>
      <c r="H234" s="35">
        <f t="shared" si="6"/>
        <v>0</v>
      </c>
      <c r="I234" s="183">
        <f t="shared" si="7"/>
        <v>0</v>
      </c>
    </row>
    <row r="235" spans="1:9" ht="15.75" customHeight="1" x14ac:dyDescent="0.35">
      <c r="A235" s="392" t="s">
        <v>427</v>
      </c>
      <c r="B235" s="211">
        <v>4</v>
      </c>
      <c r="C235" s="421"/>
      <c r="D235" s="210">
        <v>4</v>
      </c>
      <c r="E235" s="211" t="s">
        <v>43</v>
      </c>
      <c r="F235" s="371">
        <v>0</v>
      </c>
      <c r="G235" s="372">
        <v>4</v>
      </c>
      <c r="H235" s="213">
        <f t="shared" si="6"/>
        <v>0</v>
      </c>
      <c r="I235" s="373">
        <f t="shared" si="7"/>
        <v>0</v>
      </c>
    </row>
    <row r="236" spans="1:9" ht="15.75" customHeight="1" x14ac:dyDescent="0.35">
      <c r="A236" s="391" t="s">
        <v>427</v>
      </c>
      <c r="B236" s="32">
        <v>4</v>
      </c>
      <c r="C236" s="421"/>
      <c r="D236" s="269">
        <v>5</v>
      </c>
      <c r="E236" s="32" t="s">
        <v>43</v>
      </c>
      <c r="F236" s="371">
        <v>0</v>
      </c>
      <c r="G236" s="34">
        <v>5</v>
      </c>
      <c r="H236" s="35">
        <f t="shared" si="6"/>
        <v>0</v>
      </c>
      <c r="I236" s="183">
        <f t="shared" si="7"/>
        <v>0</v>
      </c>
    </row>
    <row r="237" spans="1:9" ht="15.75" customHeight="1" x14ac:dyDescent="0.35">
      <c r="A237" s="392" t="s">
        <v>427</v>
      </c>
      <c r="B237" s="211">
        <v>4</v>
      </c>
      <c r="C237" s="421"/>
      <c r="D237" s="376">
        <v>46180</v>
      </c>
      <c r="E237" s="211" t="s">
        <v>43</v>
      </c>
      <c r="F237" s="371">
        <v>0</v>
      </c>
      <c r="G237" s="372">
        <v>7</v>
      </c>
      <c r="H237" s="213">
        <f t="shared" si="6"/>
        <v>0</v>
      </c>
      <c r="I237" s="373">
        <f t="shared" si="7"/>
        <v>0</v>
      </c>
    </row>
    <row r="238" spans="1:9" ht="15.75" customHeight="1" x14ac:dyDescent="0.35">
      <c r="A238" s="391" t="s">
        <v>427</v>
      </c>
      <c r="B238" s="32">
        <v>4</v>
      </c>
      <c r="C238" s="421"/>
      <c r="D238" s="375">
        <v>46243</v>
      </c>
      <c r="E238" s="32" t="s">
        <v>43</v>
      </c>
      <c r="F238" s="371">
        <v>0</v>
      </c>
      <c r="G238" s="34">
        <v>9</v>
      </c>
      <c r="H238" s="35">
        <f t="shared" si="6"/>
        <v>0</v>
      </c>
      <c r="I238" s="183">
        <f t="shared" si="7"/>
        <v>0</v>
      </c>
    </row>
    <row r="239" spans="1:9" ht="15.75" customHeight="1" x14ac:dyDescent="0.35">
      <c r="A239" s="392" t="s">
        <v>427</v>
      </c>
      <c r="B239" s="211">
        <v>4</v>
      </c>
      <c r="C239" s="421"/>
      <c r="D239" s="376">
        <v>46309</v>
      </c>
      <c r="E239" s="211" t="s">
        <v>43</v>
      </c>
      <c r="F239" s="371">
        <v>0</v>
      </c>
      <c r="G239" s="372">
        <v>14</v>
      </c>
      <c r="H239" s="213">
        <f t="shared" si="6"/>
        <v>0</v>
      </c>
      <c r="I239" s="373">
        <f t="shared" si="7"/>
        <v>0</v>
      </c>
    </row>
    <row r="240" spans="1:9" ht="15.75" customHeight="1" x14ac:dyDescent="0.35">
      <c r="A240" s="394" t="s">
        <v>427</v>
      </c>
      <c r="B240" s="50">
        <v>4</v>
      </c>
      <c r="C240" s="422"/>
      <c r="D240" s="193" t="s">
        <v>285</v>
      </c>
      <c r="E240" s="32" t="s">
        <v>43</v>
      </c>
      <c r="F240" s="371">
        <v>0</v>
      </c>
      <c r="G240" s="52">
        <v>20</v>
      </c>
      <c r="H240" s="53">
        <f t="shared" si="6"/>
        <v>0</v>
      </c>
      <c r="I240" s="183">
        <f t="shared" si="7"/>
        <v>0</v>
      </c>
    </row>
    <row r="241" spans="1:9" ht="15.75" customHeight="1" x14ac:dyDescent="0.35">
      <c r="A241" s="396" t="s">
        <v>429</v>
      </c>
      <c r="B241" s="387" t="s">
        <v>53</v>
      </c>
      <c r="C241" s="440" t="s">
        <v>430</v>
      </c>
      <c r="D241" s="203">
        <v>1</v>
      </c>
      <c r="E241" s="204" t="s">
        <v>43</v>
      </c>
      <c r="F241" s="64">
        <v>0</v>
      </c>
      <c r="G241" s="369">
        <v>1</v>
      </c>
      <c r="H241" s="206">
        <f t="shared" si="6"/>
        <v>0</v>
      </c>
      <c r="I241" s="384">
        <f t="shared" si="7"/>
        <v>0</v>
      </c>
    </row>
    <row r="242" spans="1:9" ht="15.75" customHeight="1" x14ac:dyDescent="0.35">
      <c r="A242" s="391" t="s">
        <v>429</v>
      </c>
      <c r="B242" s="32" t="s">
        <v>53</v>
      </c>
      <c r="C242" s="421"/>
      <c r="D242" s="181">
        <v>2</v>
      </c>
      <c r="E242" s="32" t="s">
        <v>43</v>
      </c>
      <c r="F242" s="371">
        <v>0</v>
      </c>
      <c r="G242" s="34">
        <v>2</v>
      </c>
      <c r="H242" s="35">
        <f t="shared" si="6"/>
        <v>0</v>
      </c>
      <c r="I242" s="183">
        <f t="shared" si="7"/>
        <v>0</v>
      </c>
    </row>
    <row r="243" spans="1:9" ht="15.75" customHeight="1" x14ac:dyDescent="0.35">
      <c r="A243" s="392" t="s">
        <v>429</v>
      </c>
      <c r="B243" s="211" t="s">
        <v>53</v>
      </c>
      <c r="C243" s="421"/>
      <c r="D243" s="210">
        <v>3</v>
      </c>
      <c r="E243" s="211" t="s">
        <v>43</v>
      </c>
      <c r="F243" s="371">
        <v>0</v>
      </c>
      <c r="G243" s="372">
        <v>3</v>
      </c>
      <c r="H243" s="213">
        <f t="shared" si="6"/>
        <v>0</v>
      </c>
      <c r="I243" s="373">
        <f t="shared" si="7"/>
        <v>0</v>
      </c>
    </row>
    <row r="244" spans="1:9" ht="15.75" customHeight="1" x14ac:dyDescent="0.35">
      <c r="A244" s="391" t="s">
        <v>429</v>
      </c>
      <c r="B244" s="32" t="s">
        <v>53</v>
      </c>
      <c r="C244" s="421"/>
      <c r="D244" s="181">
        <v>4</v>
      </c>
      <c r="E244" s="32" t="s">
        <v>43</v>
      </c>
      <c r="F244" s="371">
        <v>0</v>
      </c>
      <c r="G244" s="34">
        <v>4</v>
      </c>
      <c r="H244" s="35">
        <f t="shared" si="6"/>
        <v>0</v>
      </c>
      <c r="I244" s="183">
        <f t="shared" si="7"/>
        <v>0</v>
      </c>
    </row>
    <row r="245" spans="1:9" ht="15.75" customHeight="1" x14ac:dyDescent="0.35">
      <c r="A245" s="392" t="s">
        <v>429</v>
      </c>
      <c r="B245" s="211" t="s">
        <v>53</v>
      </c>
      <c r="C245" s="421"/>
      <c r="D245" s="374">
        <v>5</v>
      </c>
      <c r="E245" s="211" t="s">
        <v>43</v>
      </c>
      <c r="F245" s="371">
        <v>0</v>
      </c>
      <c r="G245" s="372">
        <v>5</v>
      </c>
      <c r="H245" s="213">
        <f t="shared" si="6"/>
        <v>0</v>
      </c>
      <c r="I245" s="373">
        <f t="shared" si="7"/>
        <v>0</v>
      </c>
    </row>
    <row r="246" spans="1:9" ht="15.75" customHeight="1" x14ac:dyDescent="0.35">
      <c r="A246" s="391" t="s">
        <v>429</v>
      </c>
      <c r="B246" s="32" t="s">
        <v>53</v>
      </c>
      <c r="C246" s="421"/>
      <c r="D246" s="375">
        <v>46180</v>
      </c>
      <c r="E246" s="32" t="s">
        <v>43</v>
      </c>
      <c r="F246" s="371">
        <v>0</v>
      </c>
      <c r="G246" s="34">
        <v>7</v>
      </c>
      <c r="H246" s="35">
        <f t="shared" si="6"/>
        <v>0</v>
      </c>
      <c r="I246" s="183">
        <f t="shared" si="7"/>
        <v>0</v>
      </c>
    </row>
    <row r="247" spans="1:9" ht="15.75" customHeight="1" x14ac:dyDescent="0.35">
      <c r="A247" s="392" t="s">
        <v>429</v>
      </c>
      <c r="B247" s="211" t="s">
        <v>53</v>
      </c>
      <c r="C247" s="421"/>
      <c r="D247" s="376">
        <v>46243</v>
      </c>
      <c r="E247" s="211" t="s">
        <v>43</v>
      </c>
      <c r="F247" s="371">
        <v>0</v>
      </c>
      <c r="G247" s="372">
        <v>9</v>
      </c>
      <c r="H247" s="213">
        <f t="shared" si="6"/>
        <v>0</v>
      </c>
      <c r="I247" s="373">
        <f t="shared" si="7"/>
        <v>0</v>
      </c>
    </row>
    <row r="248" spans="1:9" ht="15.75" customHeight="1" x14ac:dyDescent="0.35">
      <c r="A248" s="391" t="s">
        <v>429</v>
      </c>
      <c r="B248" s="32" t="s">
        <v>53</v>
      </c>
      <c r="C248" s="421"/>
      <c r="D248" s="375">
        <v>46309</v>
      </c>
      <c r="E248" s="32" t="s">
        <v>43</v>
      </c>
      <c r="F248" s="371">
        <v>0</v>
      </c>
      <c r="G248" s="34">
        <v>14</v>
      </c>
      <c r="H248" s="35">
        <f t="shared" si="6"/>
        <v>0</v>
      </c>
      <c r="I248" s="183">
        <f t="shared" si="7"/>
        <v>0</v>
      </c>
    </row>
    <row r="249" spans="1:9" ht="15.75" customHeight="1" x14ac:dyDescent="0.35">
      <c r="A249" s="395" t="s">
        <v>429</v>
      </c>
      <c r="B249" s="386" t="s">
        <v>53</v>
      </c>
      <c r="C249" s="422"/>
      <c r="D249" s="378" t="s">
        <v>285</v>
      </c>
      <c r="E249" s="386" t="s">
        <v>43</v>
      </c>
      <c r="F249" s="388">
        <v>0</v>
      </c>
      <c r="G249" s="381">
        <v>20</v>
      </c>
      <c r="H249" s="382">
        <f t="shared" si="6"/>
        <v>0</v>
      </c>
      <c r="I249" s="389">
        <f t="shared" si="7"/>
        <v>0</v>
      </c>
    </row>
    <row r="250" spans="1:9" ht="15.75" customHeight="1" x14ac:dyDescent="0.35"/>
    <row r="251" spans="1:9" ht="15.75" customHeight="1" x14ac:dyDescent="0.35"/>
    <row r="252" spans="1:9" ht="15.75" customHeight="1" x14ac:dyDescent="0.35"/>
    <row r="253" spans="1:9" ht="15.75" customHeight="1" x14ac:dyDescent="0.35"/>
    <row r="254" spans="1:9" ht="15.75" customHeight="1" x14ac:dyDescent="0.35"/>
    <row r="255" spans="1:9" ht="15.75" customHeight="1" x14ac:dyDescent="0.35"/>
    <row r="256" spans="1:9"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sheetData>
  <mergeCells count="40">
    <mergeCell ref="C165:C173"/>
    <mergeCell ref="C174:C182"/>
    <mergeCell ref="C120:C128"/>
    <mergeCell ref="C129:C137"/>
    <mergeCell ref="C138:C146"/>
    <mergeCell ref="C147:C155"/>
    <mergeCell ref="C156:C164"/>
    <mergeCell ref="C205:C213"/>
    <mergeCell ref="C214:C222"/>
    <mergeCell ref="C223:C231"/>
    <mergeCell ref="C232:C240"/>
    <mergeCell ref="C241:C249"/>
    <mergeCell ref="A184:H184"/>
    <mergeCell ref="A185:F185"/>
    <mergeCell ref="G185:I185"/>
    <mergeCell ref="C187:C195"/>
    <mergeCell ref="C196:C204"/>
    <mergeCell ref="A49:H49"/>
    <mergeCell ref="A50:F50"/>
    <mergeCell ref="G50:I50"/>
    <mergeCell ref="C52:C60"/>
    <mergeCell ref="A118:F118"/>
    <mergeCell ref="G118:I118"/>
    <mergeCell ref="C61:C69"/>
    <mergeCell ref="C70:C78"/>
    <mergeCell ref="C79:C87"/>
    <mergeCell ref="C88:C96"/>
    <mergeCell ref="C97:C105"/>
    <mergeCell ref="C106:C114"/>
    <mergeCell ref="A117:H117"/>
    <mergeCell ref="C18:C23"/>
    <mergeCell ref="C24:C29"/>
    <mergeCell ref="C30:C35"/>
    <mergeCell ref="C36:C41"/>
    <mergeCell ref="C42:C47"/>
    <mergeCell ref="A3:I3"/>
    <mergeCell ref="A4:F4"/>
    <mergeCell ref="G4:I4"/>
    <mergeCell ref="C6:C11"/>
    <mergeCell ref="C12:C17"/>
  </mergeCells>
  <pageMargins left="0.7" right="0.7" top="0.75" bottom="0.75" header="0" footer="0"/>
  <pageSetup orientation="landscape"/>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Data License Descriptions</vt:lpstr>
      <vt:lpstr>FC 1 - GNSS-RO (Base)</vt:lpstr>
      <vt:lpstr>FC 1 - GNSS-RO (Option)</vt:lpstr>
      <vt:lpstr>FC 2 - GNSS-R (Base)</vt:lpstr>
      <vt:lpstr>FC 2 - GNSS-R (Option)</vt:lpstr>
      <vt:lpstr>FC 3 - MWS (Base)</vt:lpstr>
      <vt:lpstr>FC 3 - MWS (Option)</vt:lpstr>
      <vt:lpstr>FC 4 - MSI (Base)</vt:lpstr>
      <vt:lpstr>FC 4 - MSI (Option)</vt:lpstr>
      <vt:lpstr>FC 5 - IRS (Base)</vt:lpstr>
      <vt:lpstr>FC 5 - IRS (Option)</vt:lpstr>
      <vt:lpstr>FC 6 - TND (Base)</vt:lpstr>
      <vt:lpstr>FC 6 - TND (Option)</vt:lpstr>
      <vt:lpstr>FC 7 - AS (Base)</vt:lpstr>
      <vt:lpstr>FC 7 - AS (Option)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Ok</dc:creator>
  <cp:lastModifiedBy>Daniel Ok</cp:lastModifiedBy>
  <dcterms:created xsi:type="dcterms:W3CDTF">2026-02-19T12:58:10Z</dcterms:created>
  <dcterms:modified xsi:type="dcterms:W3CDTF">2026-04-28T13:16:09Z</dcterms:modified>
</cp:coreProperties>
</file>