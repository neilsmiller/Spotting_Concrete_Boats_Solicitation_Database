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m-wg-02\700CONS_R$\LGCC\3. Services_Commodities\1. Working Folders\Aubreeana Taylor\FY26 REQUIREMENTS\F3NF036078A001 FY26 A636 EVRS CRFS Software Support (Base + 4 Options) - ($2.5M)\Solicitation\"/>
    </mc:Choice>
  </mc:AlternateContent>
  <xr:revisionPtr revIDLastSave="0" documentId="13_ncr:1_{00AE88DB-8A17-4767-8413-06FD52CF66F6}" xr6:coauthVersionLast="47" xr6:coauthVersionMax="47" xr10:uidLastSave="{00000000-0000-0000-0000-000000000000}"/>
  <bookViews>
    <workbookView xWindow="-57720" yWindow="90" windowWidth="57840" windowHeight="15510" xr2:uid="{FEFA784A-7906-4871-9134-1938911707D0}"/>
  </bookViews>
  <sheets>
    <sheet name="Offeror Overall Price Summary" sheetId="10" r:id="rId1"/>
    <sheet name="Base Period" sheetId="3" r:id="rId2"/>
    <sheet name="OY1" sheetId="4" r:id="rId3"/>
    <sheet name="OY2" sheetId="5" r:id="rId4"/>
    <sheet name="OY3" sheetId="8" r:id="rId5"/>
    <sheet name="OY4" sheetId="9" r:id="rId6"/>
    <sheet name="USAFE RFeye Nodes Asset List" sheetId="11" r:id="rId7"/>
  </sheets>
  <externalReferences>
    <externalReference r:id="rId8"/>
  </externalReferences>
  <definedNames>
    <definedName name="_xlnm._FilterDatabase" localSheetId="2" hidden="1">'OY1'!$A$5:$I$5</definedName>
    <definedName name="_xlnm._FilterDatabase" localSheetId="3" hidden="1">'OY2'!$A$5:$H$73</definedName>
    <definedName name="_xlnm._FilterDatabase" localSheetId="4" hidden="1">'OY3'!$A$5:$H$68</definedName>
    <definedName name="_xlnm._FilterDatabase" localSheetId="5" hidden="1">'OY4'!$A$5:$H$68</definedName>
  </definedNames>
  <calcPr calcId="191029"/>
  <pivotCaches>
    <pivotCache cacheId="1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0" l="1"/>
  <c r="F8" i="10"/>
  <c r="F6" i="10"/>
  <c r="D74" i="9"/>
  <c r="D74" i="8"/>
  <c r="D74" i="5"/>
  <c r="D69" i="4"/>
  <c r="D33" i="3"/>
  <c r="C73" i="11"/>
  <c r="I60" i="4"/>
  <c r="I62" i="4"/>
  <c r="I63" i="4"/>
  <c r="I7" i="4"/>
  <c r="H15" i="9"/>
  <c r="H13" i="9"/>
  <c r="H11" i="9"/>
  <c r="H9" i="9"/>
  <c r="H7" i="9"/>
  <c r="H7" i="8"/>
  <c r="H15" i="8"/>
  <c r="H13" i="8"/>
  <c r="H11" i="8"/>
  <c r="H9" i="8"/>
  <c r="H15" i="5"/>
  <c r="H13" i="5"/>
  <c r="H11" i="5"/>
  <c r="H9" i="5"/>
  <c r="J63" i="4"/>
  <c r="J62" i="4"/>
  <c r="J60" i="4"/>
  <c r="I58" i="4"/>
  <c r="J58" i="4"/>
  <c r="H7" i="5"/>
  <c r="I23" i="3"/>
  <c r="J23" i="3"/>
  <c r="J7" i="3"/>
  <c r="J8" i="3"/>
  <c r="J9" i="3"/>
  <c r="J10" i="3"/>
  <c r="J11" i="3"/>
  <c r="J12" i="3"/>
  <c r="J13" i="3"/>
  <c r="J14" i="3"/>
  <c r="J15" i="3"/>
  <c r="J16" i="3"/>
  <c r="J17" i="3"/>
  <c r="J18" i="3"/>
  <c r="J19" i="3"/>
  <c r="J20" i="3"/>
  <c r="J21" i="3"/>
  <c r="J22" i="3"/>
  <c r="J24" i="3"/>
  <c r="J25" i="3"/>
  <c r="J26" i="3"/>
  <c r="J27" i="3"/>
  <c r="J28" i="3"/>
  <c r="J29" i="3"/>
  <c r="J30" i="3"/>
  <c r="J31" i="3"/>
  <c r="J32" i="3"/>
  <c r="J6" i="3"/>
  <c r="I72" i="5"/>
  <c r="I70" i="5" l="1"/>
  <c r="I71" i="5"/>
  <c r="I73" i="5"/>
  <c r="I69" i="5"/>
  <c r="H73" i="5"/>
  <c r="H72" i="5"/>
  <c r="H71" i="5"/>
  <c r="H70" i="5"/>
  <c r="H69" i="5"/>
  <c r="J53" i="4" l="1"/>
  <c r="J54" i="4"/>
  <c r="J55" i="4"/>
  <c r="J56" i="4"/>
  <c r="J57" i="4"/>
  <c r="J59" i="4"/>
  <c r="J61" i="4"/>
  <c r="J64" i="4"/>
  <c r="J65" i="4"/>
  <c r="J66" i="4"/>
  <c r="J67" i="4"/>
  <c r="J68" i="4"/>
  <c r="I57" i="4"/>
  <c r="I59" i="4"/>
  <c r="I61" i="4"/>
  <c r="I64" i="4"/>
  <c r="I65" i="4"/>
  <c r="I66" i="4"/>
  <c r="I67" i="4"/>
  <c r="I68" i="4"/>
  <c r="I53" i="4"/>
  <c r="I54" i="4"/>
  <c r="I55" i="4"/>
  <c r="I56" i="4"/>
  <c r="I32" i="3"/>
  <c r="I31" i="3"/>
  <c r="I30" i="3"/>
  <c r="I29" i="3"/>
  <c r="I28" i="3"/>
  <c r="I27" i="3"/>
  <c r="I26" i="3"/>
  <c r="I25" i="3"/>
  <c r="I24" i="3"/>
  <c r="I22" i="3"/>
  <c r="I21" i="3"/>
  <c r="I20" i="3"/>
  <c r="I19" i="3"/>
  <c r="I18" i="3"/>
  <c r="I17" i="3"/>
  <c r="I16" i="3"/>
  <c r="I15" i="3"/>
  <c r="I14" i="3"/>
  <c r="I13" i="3"/>
  <c r="I12" i="3"/>
  <c r="I11" i="3"/>
  <c r="I10" i="3"/>
  <c r="I9" i="3"/>
  <c r="I8" i="3"/>
  <c r="I7" i="3"/>
  <c r="I6" i="3"/>
  <c r="D9" i="10"/>
  <c r="C9" i="10"/>
  <c r="D8" i="10"/>
  <c r="C8" i="10"/>
  <c r="D7" i="10"/>
  <c r="C7" i="10"/>
  <c r="D6" i="10"/>
  <c r="C6" i="10"/>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4" i="9"/>
  <c r="H12" i="9"/>
  <c r="H10" i="9"/>
  <c r="H8" i="9"/>
  <c r="H6" i="9"/>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4" i="8"/>
  <c r="H12" i="8"/>
  <c r="H10" i="8"/>
  <c r="H8" i="8"/>
  <c r="H6" i="8"/>
  <c r="H74" i="8" s="1"/>
  <c r="H60" i="5"/>
  <c r="H61" i="5"/>
  <c r="H62" i="5"/>
  <c r="H63" i="5"/>
  <c r="H45" i="5"/>
  <c r="H46" i="5"/>
  <c r="H47" i="5"/>
  <c r="H48" i="5"/>
  <c r="H8" i="5"/>
  <c r="H10" i="5"/>
  <c r="H12" i="5"/>
  <c r="H14" i="5"/>
  <c r="H68" i="5"/>
  <c r="H67" i="5"/>
  <c r="H66" i="5"/>
  <c r="H65" i="5"/>
  <c r="H64" i="5"/>
  <c r="H59" i="5"/>
  <c r="H58" i="5"/>
  <c r="H57" i="5"/>
  <c r="H56" i="5"/>
  <c r="H55" i="5"/>
  <c r="H54" i="5"/>
  <c r="H53" i="5"/>
  <c r="H52" i="5"/>
  <c r="H51" i="5"/>
  <c r="H50" i="5"/>
  <c r="H49"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6" i="5"/>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6" i="4"/>
  <c r="I8" i="4"/>
  <c r="E6" i="10" l="1"/>
  <c r="H74" i="9"/>
  <c r="E7" i="10"/>
  <c r="E9" i="10"/>
  <c r="H74" i="5"/>
  <c r="F7" i="10" s="1"/>
  <c r="E8" i="10"/>
  <c r="I69" i="4"/>
  <c r="I33" i="3"/>
  <c r="F5" i="10" s="1"/>
  <c r="F10" i="10" l="1"/>
</calcChain>
</file>

<file path=xl/sharedStrings.xml><?xml version="1.0" encoding="utf-8"?>
<sst xmlns="http://schemas.openxmlformats.org/spreadsheetml/2006/main" count="1583" uniqueCount="129">
  <si>
    <t>Asset Name</t>
  </si>
  <si>
    <t>Unit Price</t>
  </si>
  <si>
    <t>RFeye100312</t>
  </si>
  <si>
    <t>RFeye100313</t>
  </si>
  <si>
    <t>RFeye100321</t>
  </si>
  <si>
    <t>RFeye100314</t>
  </si>
  <si>
    <t>RFeye100315</t>
  </si>
  <si>
    <t>RFeye100316</t>
  </si>
  <si>
    <t>RFeye100317</t>
  </si>
  <si>
    <t>RFeye100323</t>
  </si>
  <si>
    <t>RFeye100303</t>
  </si>
  <si>
    <t>RFeye100300</t>
  </si>
  <si>
    <t>RFeye100305</t>
  </si>
  <si>
    <t>RFeye100304</t>
  </si>
  <si>
    <t>RFeye100310</t>
  </si>
  <si>
    <t>RFeye100778</t>
  </si>
  <si>
    <t>RFeye100307</t>
  </si>
  <si>
    <t>RFeye100306</t>
  </si>
  <si>
    <t>RFeye100210 (CAS000018)</t>
  </si>
  <si>
    <t>RFeye100322 (CAS000020)</t>
  </si>
  <si>
    <t>RFeye100330 (CAS000021)</t>
  </si>
  <si>
    <t>RFeye200491</t>
  </si>
  <si>
    <t>RFeye200523</t>
  </si>
  <si>
    <t>RFeye200524</t>
  </si>
  <si>
    <t>RFeye200525</t>
  </si>
  <si>
    <t>RFeye200526</t>
  </si>
  <si>
    <t>RFeye400061</t>
  </si>
  <si>
    <t>RFeye400062</t>
  </si>
  <si>
    <t>RFeye101136</t>
  </si>
  <si>
    <t>RFeye101131</t>
  </si>
  <si>
    <t>RFeye101135</t>
  </si>
  <si>
    <t>RFeye101154</t>
  </si>
  <si>
    <t>RFeye101155</t>
  </si>
  <si>
    <t>RFeye101156</t>
  </si>
  <si>
    <t>RFeye101157</t>
  </si>
  <si>
    <t>RFeye101160</t>
  </si>
  <si>
    <t>RFeye101167</t>
  </si>
  <si>
    <t>RFeye101168</t>
  </si>
  <si>
    <t>RFeye101158</t>
  </si>
  <si>
    <t>RFeye101132</t>
  </si>
  <si>
    <t>RFeye101159</t>
  </si>
  <si>
    <t>RFeye101317</t>
  </si>
  <si>
    <t>RFeye101318</t>
  </si>
  <si>
    <t>RFeye101319</t>
  </si>
  <si>
    <t>RFeye101322</t>
  </si>
  <si>
    <t>HQ USAFE-AFAF/A6</t>
  </si>
  <si>
    <t>CAS000034 - RFEye100484</t>
  </si>
  <si>
    <t>CAS000035 - RFeye100486</t>
  </si>
  <si>
    <t>CAS000036 - RFeye100487</t>
  </si>
  <si>
    <t>CAS000037 - RFeye100488</t>
  </si>
  <si>
    <t>CAS000038 - RFeye100489</t>
  </si>
  <si>
    <t>CAS000077 - Rfeye101026</t>
  </si>
  <si>
    <t>CAS000078 - RFeye101048</t>
  </si>
  <si>
    <t>CAS000080 - RFeye101051</t>
  </si>
  <si>
    <t>CAS000081 - Rfeye101052</t>
  </si>
  <si>
    <t>CAS000079 - RFeye101049</t>
  </si>
  <si>
    <t>RFeye101658</t>
  </si>
  <si>
    <t>RFeye101660</t>
  </si>
  <si>
    <t>RFeye101663</t>
  </si>
  <si>
    <t>RFeye101664</t>
  </si>
  <si>
    <t>1 Combat Communications Sq</t>
  </si>
  <si>
    <t>1 Engineering Installation Sq</t>
  </si>
  <si>
    <t>RFeye101270</t>
  </si>
  <si>
    <t>Part Number/Description</t>
  </si>
  <si>
    <t>Start</t>
  </si>
  <si>
    <t>End</t>
  </si>
  <si>
    <t>Qty</t>
  </si>
  <si>
    <t>Ext Amount</t>
  </si>
  <si>
    <t>Unit</t>
  </si>
  <si>
    <t>Period of Perfomance</t>
  </si>
  <si>
    <t>RFeye Node 100-18 SSUS</t>
  </si>
  <si>
    <t>RFeye Node 100-8 SSUS</t>
  </si>
  <si>
    <t>RFeye Stormcase 100-18 SSUS</t>
  </si>
  <si>
    <t>RFeye Node 100-40 Benchtop Kit SSUS</t>
  </si>
  <si>
    <t>SenS Portable R18 SSUS</t>
  </si>
  <si>
    <t>Option Year 1</t>
  </si>
  <si>
    <t>Option Year 2</t>
  </si>
  <si>
    <t>Option Year 3</t>
  </si>
  <si>
    <t>Option Year 4</t>
  </si>
  <si>
    <t>EVRS Hardware Warranty and Software Support Services Renewal</t>
  </si>
  <si>
    <t>Period</t>
  </si>
  <si>
    <t xml:space="preserve">Period of Performance Begin </t>
  </si>
  <si>
    <t>Period of Performance End</t>
  </si>
  <si>
    <t>Total Months</t>
  </si>
  <si>
    <t>Estimated Value</t>
  </si>
  <si>
    <t>Base Period</t>
  </si>
  <si>
    <t>Overall IGE Amount</t>
  </si>
  <si>
    <t xml:space="preserve">Period of Performance Description </t>
  </si>
  <si>
    <t xml:space="preserve">Base Period </t>
  </si>
  <si>
    <t>Option Period 1</t>
  </si>
  <si>
    <t xml:space="preserve"> TOTAL BASE PERIOD </t>
  </si>
  <si>
    <t xml:space="preserve"> TOTAL OPTION PERIOD 1 </t>
  </si>
  <si>
    <t>No.of Months</t>
  </si>
  <si>
    <t>OY1 TASK ORDER 1</t>
  </si>
  <si>
    <t>OY1 TASK ORDER 2</t>
  </si>
  <si>
    <t>OY1 TASK ORDER 3</t>
  </si>
  <si>
    <t>Task Order Rerference</t>
  </si>
  <si>
    <t>No. of Months</t>
  </si>
  <si>
    <t>OY2 TASK ORDER 1</t>
  </si>
  <si>
    <t>OY2 TASK ORDER 3</t>
  </si>
  <si>
    <t>OY3 Task Order 1</t>
  </si>
  <si>
    <t>OY4 Task Order 1</t>
  </si>
  <si>
    <t>Task Order Reference</t>
  </si>
  <si>
    <t>Base Period Taske Order 1</t>
  </si>
  <si>
    <t>DFA000116 - RFeye100329</t>
  </si>
  <si>
    <t>DFA000116 - RFeye100328</t>
  </si>
  <si>
    <t>DFA000266 - RFeye101300</t>
  </si>
  <si>
    <t>DFA000266 - RFeye101301</t>
  </si>
  <si>
    <t>DFA000263 - RFeye101274</t>
  </si>
  <si>
    <t>DFA000263 - RFeye101262</t>
  </si>
  <si>
    <t>DFA000264 - RFeye101295</t>
  </si>
  <si>
    <t>DFA000264 - RFeye101279</t>
  </si>
  <si>
    <t>DFA000265 - RFeye101298</t>
  </si>
  <si>
    <t>DFA000265 - RFeye101296</t>
  </si>
  <si>
    <t xml:space="preserve"> TOTAL OPTION PERIOD 2</t>
  </si>
  <si>
    <t>TOTAL ASSETS</t>
  </si>
  <si>
    <t>Grand Total</t>
  </si>
  <si>
    <t>Unit Name</t>
  </si>
  <si>
    <t>Qty of Assets Per Unit</t>
  </si>
  <si>
    <t>Attachment 1 – USAFE RFeye Nodes Asset List</t>
  </si>
  <si>
    <t>Summary of All Assets</t>
  </si>
  <si>
    <t>Offeror Price Proposal</t>
  </si>
  <si>
    <t>Overall Offeror Price Quote</t>
  </si>
  <si>
    <t xml:space="preserve">   TOTAL OPTION PERIOD 3 </t>
  </si>
  <si>
    <t xml:space="preserve">     TOTAL OPTION PERIOD 4 </t>
  </si>
  <si>
    <t xml:space="preserve">This is an Option Period exercise in accordance with FAR 52.217-9, Option to Extend the Term of the Contract. The Government intends to exercise this option, however, reserves its right to continue services based on required need and available funding. The Government will notify the intended awardee of its intenet to exercise each option no later than 60 days in advance of referenced period of performance start date. 
It is the Government's intent to issue various task orders under each period within this intended Indefinite Delivery, Indefinite Quantity contract action. Issuance of each task order is also based on the Government's required need and availability of funding. </t>
  </si>
  <si>
    <t>Instructions to Offerors: Offerors shall complete all highlighted cells under column H ("Unit Price"). Enter unit prices in U.S. dollars for each applicable line item. Once completed, the cells will change from yellow to green.</t>
  </si>
  <si>
    <t>TOTAL COUNT OF NODES</t>
  </si>
  <si>
    <t>Instructions to Offerors: This tab is locked. Offerors shall complete all pricing information within the "Base Period" through "OY 4" tabs where highlighted cells under column H ("Unit Price") only. 
Enter unit prices in U.S. dollars for each applicable line item. Once completed, the cells will change from yellow to 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</si>
</sst>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2"/>
      <color rgb="FF000000"/>
      <name val="Calibri"/>
      <family val="2"/>
    </font>
    <font>
      <sz val="8"/>
      <name val="Aptos Narrow"/>
      <family val="2"/>
      <scheme val="minor"/>
    </font>
    <font>
      <b/>
      <sz val="14"/>
      <color theme="1"/>
      <name val="Aptos Narrow"/>
      <family val="2"/>
      <scheme val="minor"/>
    </font>
    <font>
      <b/>
      <sz val="11"/>
      <color rgb="FFFF0000"/>
      <name val="Aptos Narrow"/>
      <family val="2"/>
      <scheme val="minor"/>
    </font>
    <font>
      <b/>
      <i/>
      <sz val="11"/>
      <color theme="1"/>
      <name val="Aptos Narrow"/>
      <family val="2"/>
      <scheme val="minor"/>
    </font>
    <font>
      <b/>
      <sz val="11"/>
      <color theme="0"/>
      <name val="Aptos Narrow"/>
      <family val="2"/>
      <scheme val="minor"/>
    </font>
    <font>
      <sz val="12"/>
      <name val="Calibri"/>
      <family val="2"/>
    </font>
    <font>
      <sz val="12"/>
      <color theme="0"/>
      <name val="Calibri"/>
      <family val="2"/>
    </font>
    <font>
      <b/>
      <sz val="12"/>
      <color theme="0"/>
      <name val="Calibri"/>
      <family val="2"/>
    </font>
    <font>
      <b/>
      <i/>
      <sz val="11"/>
      <color rgb="FFFF0000"/>
      <name val="Aptos Narrow"/>
      <family val="2"/>
      <scheme val="minor"/>
    </font>
    <font>
      <b/>
      <sz val="11"/>
      <name val="Aptos Narrow"/>
      <family val="2"/>
      <scheme val="minor"/>
    </font>
  </fonts>
  <fills count="10">
    <fill>
      <patternFill patternType="none"/>
    </fill>
    <fill>
      <patternFill patternType="gray125"/>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theme="4"/>
        <bgColor indexed="64"/>
      </patternFill>
    </fill>
  </fills>
  <borders count="19">
    <border>
      <left/>
      <right/>
      <top/>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bottom/>
      <diagonal/>
    </border>
    <border>
      <left style="thin">
        <color rgb="FFD5D3D1"/>
      </left>
      <right style="thin">
        <color rgb="FFD5D3D1"/>
      </right>
      <top style="thin">
        <color rgb="FFD5D3D1"/>
      </top>
      <bottom/>
      <diagonal/>
    </border>
    <border>
      <left style="thin">
        <color indexed="64"/>
      </left>
      <right style="thin">
        <color indexed="64"/>
      </right>
      <top style="thin">
        <color indexed="64"/>
      </top>
      <bottom style="thin">
        <color indexed="64"/>
      </bottom>
      <diagonal/>
    </border>
    <border>
      <left/>
      <right/>
      <top style="medium">
        <color theme="1"/>
      </top>
      <bottom style="medium">
        <color theme="1"/>
      </bottom>
      <diagonal/>
    </border>
    <border>
      <left style="thin">
        <color rgb="FFD5D3D1"/>
      </left>
      <right style="thin">
        <color rgb="FFD5D3D1"/>
      </right>
      <top style="thin">
        <color rgb="FFD5D3D1"/>
      </top>
      <bottom style="medium">
        <color theme="1"/>
      </bottom>
      <diagonal/>
    </border>
    <border>
      <left/>
      <right/>
      <top style="double">
        <color theme="1"/>
      </top>
      <bottom style="medium">
        <color theme="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83">
    <xf numFmtId="0" fontId="0" fillId="0" borderId="0" xfId="0"/>
    <xf numFmtId="0" fontId="4" fillId="2" borderId="1" xfId="0" applyFont="1" applyFill="1" applyBorder="1" applyAlignment="1">
      <alignment horizontal="left"/>
    </xf>
    <xf numFmtId="0" fontId="4" fillId="3" borderId="1" xfId="0" applyFont="1" applyFill="1" applyBorder="1" applyAlignment="1">
      <alignment horizontal="left"/>
    </xf>
    <xf numFmtId="0" fontId="6" fillId="0" borderId="0" xfId="0" applyFont="1"/>
    <xf numFmtId="0" fontId="7" fillId="0" borderId="0" xfId="0" applyFont="1"/>
    <xf numFmtId="1" fontId="0" fillId="0" borderId="0" xfId="0" applyNumberFormat="1" applyAlignment="1">
      <alignment horizontal="center"/>
    </xf>
    <xf numFmtId="0" fontId="3" fillId="0" borderId="0" xfId="0" applyFont="1"/>
    <xf numFmtId="0" fontId="4" fillId="0" borderId="3" xfId="0" applyFont="1" applyBorder="1" applyAlignment="1">
      <alignment horizontal="left"/>
    </xf>
    <xf numFmtId="0" fontId="0" fillId="0" borderId="0" xfId="0" applyAlignment="1">
      <alignment horizontal="center"/>
    </xf>
    <xf numFmtId="0" fontId="4" fillId="0" borderId="1" xfId="0" applyFont="1" applyBorder="1" applyAlignment="1">
      <alignment horizontal="left"/>
    </xf>
    <xf numFmtId="14" fontId="4" fillId="0" borderId="1" xfId="0" applyNumberFormat="1" applyFont="1" applyBorder="1" applyAlignment="1">
      <alignment horizontal="left"/>
    </xf>
    <xf numFmtId="0" fontId="4" fillId="0" borderId="2" xfId="0" applyFont="1" applyBorder="1" applyAlignment="1">
      <alignment horizontal="left"/>
    </xf>
    <xf numFmtId="0" fontId="4" fillId="4" borderId="1" xfId="0" applyFont="1" applyFill="1" applyBorder="1" applyAlignment="1">
      <alignment horizontal="left"/>
    </xf>
    <xf numFmtId="0" fontId="10" fillId="0" borderId="1" xfId="0" applyFont="1" applyBorder="1" applyAlignment="1">
      <alignment horizontal="left"/>
    </xf>
    <xf numFmtId="0" fontId="13" fillId="0" borderId="0" xfId="0" applyFont="1" applyAlignment="1">
      <alignment horizontal="left" vertical="center" wrapText="1"/>
    </xf>
    <xf numFmtId="0" fontId="13" fillId="0" borderId="0" xfId="0" applyFont="1" applyAlignment="1">
      <alignment horizontal="left" vertical="center"/>
    </xf>
    <xf numFmtId="0" fontId="3" fillId="0" borderId="0" xfId="0" applyFont="1" applyProtection="1">
      <protection locked="0"/>
    </xf>
    <xf numFmtId="14" fontId="4" fillId="0" borderId="3" xfId="0" applyNumberFormat="1" applyFont="1" applyBorder="1" applyAlignment="1">
      <alignment horizontal="left"/>
    </xf>
    <xf numFmtId="44" fontId="0" fillId="0" borderId="0" xfId="1" applyFont="1" applyFill="1" applyProtection="1">
      <protection locked="0"/>
    </xf>
    <xf numFmtId="0" fontId="9" fillId="0" borderId="5" xfId="0" applyFont="1" applyBorder="1" applyAlignment="1">
      <alignment horizontal="center"/>
    </xf>
    <xf numFmtId="0" fontId="9" fillId="0" borderId="5" xfId="0" applyFont="1" applyBorder="1"/>
    <xf numFmtId="44" fontId="0" fillId="0" borderId="0" xfId="1" applyFont="1" applyFill="1" applyProtection="1"/>
    <xf numFmtId="0" fontId="3" fillId="0" borderId="0" xfId="0" applyFont="1" applyAlignment="1">
      <alignment horizontal="center"/>
    </xf>
    <xf numFmtId="44" fontId="0" fillId="0" borderId="0" xfId="1" applyFont="1" applyFill="1" applyBorder="1" applyProtection="1"/>
    <xf numFmtId="0" fontId="4" fillId="3" borderId="3" xfId="0" applyFont="1" applyFill="1" applyBorder="1" applyAlignment="1">
      <alignment horizontal="left"/>
    </xf>
    <xf numFmtId="14" fontId="4" fillId="0" borderId="1" xfId="1" applyNumberFormat="1" applyFont="1" applyFill="1" applyBorder="1" applyAlignment="1" applyProtection="1">
      <alignment horizontal="left"/>
    </xf>
    <xf numFmtId="14" fontId="4" fillId="0" borderId="3" xfId="1" applyNumberFormat="1" applyFont="1" applyFill="1" applyBorder="1" applyAlignment="1" applyProtection="1">
      <alignment horizontal="left"/>
    </xf>
    <xf numFmtId="0" fontId="3" fillId="5" borderId="0" xfId="0" applyFont="1" applyFill="1"/>
    <xf numFmtId="0" fontId="2" fillId="6" borderId="17" xfId="0" applyFont="1" applyFill="1" applyBorder="1" applyAlignment="1">
      <alignment horizontal="center"/>
    </xf>
    <xf numFmtId="0" fontId="2" fillId="6" borderId="18" xfId="0" applyFont="1" applyFill="1" applyBorder="1" applyAlignment="1">
      <alignment horizontal="center"/>
    </xf>
    <xf numFmtId="0" fontId="2" fillId="7" borderId="17" xfId="0" applyFont="1" applyFill="1" applyBorder="1" applyAlignment="1">
      <alignment horizontal="center"/>
    </xf>
    <xf numFmtId="0" fontId="2" fillId="7" borderId="18" xfId="0" applyFont="1" applyFill="1" applyBorder="1" applyAlignment="1">
      <alignment horizontal="center"/>
    </xf>
    <xf numFmtId="0" fontId="13" fillId="8" borderId="0" xfId="0" applyFont="1" applyFill="1" applyAlignment="1">
      <alignment horizontal="center"/>
    </xf>
    <xf numFmtId="0" fontId="2" fillId="6" borderId="4" xfId="0" applyFont="1" applyFill="1" applyBorder="1" applyAlignment="1">
      <alignment horizontal="center"/>
    </xf>
    <xf numFmtId="0" fontId="13" fillId="8" borderId="0" xfId="0" applyFont="1" applyFill="1" applyAlignment="1">
      <alignment horizontal="center" vertical="center" wrapText="1"/>
    </xf>
    <xf numFmtId="0" fontId="13" fillId="8" borderId="0" xfId="0" applyFont="1" applyFill="1" applyAlignment="1">
      <alignment horizontal="center" vertical="center"/>
    </xf>
    <xf numFmtId="0" fontId="13" fillId="8" borderId="0" xfId="0" applyFont="1" applyFill="1" applyAlignment="1">
      <alignment horizontal="left" vertical="center" wrapText="1"/>
    </xf>
    <xf numFmtId="0" fontId="13" fillId="8" borderId="0" xfId="0" applyFont="1" applyFill="1" applyAlignment="1">
      <alignment horizontal="left" vertical="center"/>
    </xf>
    <xf numFmtId="44" fontId="2" fillId="9" borderId="0" xfId="0" applyNumberFormat="1" applyFont="1" applyFill="1"/>
    <xf numFmtId="0" fontId="11" fillId="9" borderId="3" xfId="0" applyFont="1" applyFill="1" applyBorder="1" applyAlignment="1">
      <alignment horizontal="left"/>
    </xf>
    <xf numFmtId="0" fontId="12" fillId="9" borderId="3" xfId="0" applyFont="1" applyFill="1" applyBorder="1" applyAlignment="1">
      <alignment horizontal="left"/>
    </xf>
    <xf numFmtId="0" fontId="12" fillId="9" borderId="3" xfId="0" applyFont="1" applyFill="1" applyBorder="1" applyAlignment="1">
      <alignment horizontal="center"/>
    </xf>
    <xf numFmtId="14" fontId="11" fillId="9" borderId="3" xfId="0" applyNumberFormat="1" applyFont="1" applyFill="1" applyBorder="1" applyAlignment="1">
      <alignment horizontal="left"/>
    </xf>
    <xf numFmtId="44" fontId="9" fillId="9" borderId="0" xfId="0" applyNumberFormat="1" applyFont="1" applyFill="1" applyProtection="1">
      <protection locked="0"/>
    </xf>
    <xf numFmtId="44" fontId="9" fillId="9" borderId="0" xfId="0" applyNumberFormat="1" applyFont="1" applyFill="1"/>
    <xf numFmtId="0" fontId="3" fillId="9" borderId="0" xfId="0" applyFont="1" applyFill="1"/>
    <xf numFmtId="44" fontId="14" fillId="9" borderId="0" xfId="0" applyNumberFormat="1" applyFont="1" applyFill="1"/>
    <xf numFmtId="0" fontId="3" fillId="9" borderId="0" xfId="0" applyFont="1" applyFill="1" applyAlignment="1">
      <alignment horizontal="center"/>
    </xf>
    <xf numFmtId="0" fontId="11" fillId="9" borderId="6" xfId="0" applyFont="1" applyFill="1" applyBorder="1" applyAlignment="1">
      <alignment horizontal="left"/>
    </xf>
    <xf numFmtId="14" fontId="11" fillId="9" borderId="6" xfId="0" applyNumberFormat="1" applyFont="1" applyFill="1" applyBorder="1" applyAlignment="1">
      <alignment horizontal="left"/>
    </xf>
    <xf numFmtId="44" fontId="9" fillId="9" borderId="7" xfId="0" applyNumberFormat="1" applyFont="1" applyFill="1" applyBorder="1"/>
    <xf numFmtId="0" fontId="3" fillId="9" borderId="7" xfId="0" applyFont="1" applyFill="1" applyBorder="1"/>
    <xf numFmtId="44" fontId="14" fillId="9" borderId="7" xfId="0" applyNumberFormat="1" applyFont="1" applyFill="1" applyBorder="1"/>
    <xf numFmtId="0" fontId="12" fillId="9" borderId="6" xfId="0" applyFont="1" applyFill="1" applyBorder="1" applyAlignment="1">
      <alignment horizontal="left"/>
    </xf>
    <xf numFmtId="0" fontId="12" fillId="9" borderId="6" xfId="0" applyFont="1" applyFill="1" applyBorder="1" applyAlignment="1">
      <alignment horizontal="center"/>
    </xf>
    <xf numFmtId="0" fontId="4" fillId="2" borderId="11" xfId="0" applyFont="1" applyFill="1" applyBorder="1" applyAlignment="1" applyProtection="1">
      <alignment horizontal="left"/>
    </xf>
    <xf numFmtId="0" fontId="4" fillId="0" borderId="4" xfId="0" applyFont="1" applyBorder="1" applyAlignment="1" applyProtection="1">
      <alignment horizontal="left"/>
    </xf>
    <xf numFmtId="0" fontId="4" fillId="0" borderId="12" xfId="0" applyFont="1" applyBorder="1" applyAlignment="1" applyProtection="1">
      <alignment horizontal="left"/>
    </xf>
    <xf numFmtId="0" fontId="10" fillId="0" borderId="12" xfId="0" applyFont="1" applyBorder="1" applyAlignment="1" applyProtection="1">
      <alignment horizontal="left"/>
    </xf>
    <xf numFmtId="0" fontId="4" fillId="4" borderId="11" xfId="0" applyFont="1" applyFill="1" applyBorder="1" applyAlignment="1" applyProtection="1">
      <alignment horizontal="left"/>
    </xf>
    <xf numFmtId="0" fontId="4" fillId="3" borderId="11" xfId="0" applyFont="1" applyFill="1" applyBorder="1" applyAlignment="1" applyProtection="1">
      <alignment horizontal="left"/>
    </xf>
    <xf numFmtId="0" fontId="2" fillId="0" borderId="0" xfId="0" applyFont="1" applyAlignment="1" applyProtection="1">
      <alignment horizontal="center"/>
    </xf>
    <xf numFmtId="0" fontId="0" fillId="0" borderId="0" xfId="0" applyProtection="1"/>
    <xf numFmtId="0" fontId="2" fillId="0" borderId="0" xfId="0" applyFont="1" applyAlignment="1" applyProtection="1">
      <alignment horizontal="center"/>
    </xf>
    <xf numFmtId="0" fontId="3" fillId="0" borderId="8" xfId="0" applyFont="1" applyBorder="1" applyProtection="1"/>
    <xf numFmtId="0" fontId="3" fillId="0" borderId="9" xfId="0" applyFont="1" applyBorder="1" applyProtection="1"/>
    <xf numFmtId="0" fontId="3" fillId="0" borderId="10" xfId="0" applyFont="1" applyBorder="1" applyProtection="1"/>
    <xf numFmtId="0" fontId="2" fillId="0" borderId="16" xfId="0" applyFont="1" applyBorder="1" applyAlignment="1" applyProtection="1">
      <alignment horizontal="center"/>
    </xf>
    <xf numFmtId="0" fontId="0" fillId="0" borderId="4" xfId="0" pivotButton="1" applyBorder="1" applyAlignment="1" applyProtection="1">
      <alignment horizontal="center"/>
    </xf>
    <xf numFmtId="0" fontId="0" fillId="0" borderId="4" xfId="0" applyBorder="1" applyProtection="1"/>
    <xf numFmtId="0" fontId="0" fillId="0" borderId="4" xfId="0" applyBorder="1" applyAlignment="1" applyProtection="1">
      <alignment horizontal="left"/>
    </xf>
    <xf numFmtId="0" fontId="3" fillId="9" borderId="4" xfId="0" applyFont="1" applyFill="1" applyBorder="1" applyAlignment="1" applyProtection="1">
      <alignment horizontal="right"/>
    </xf>
    <xf numFmtId="0" fontId="3" fillId="9" borderId="4" xfId="0" applyFont="1" applyFill="1" applyBorder="1" applyProtection="1"/>
    <xf numFmtId="0" fontId="11" fillId="9" borderId="13" xfId="0" applyFont="1" applyFill="1" applyBorder="1" applyAlignment="1" applyProtection="1">
      <alignment horizontal="left"/>
    </xf>
    <xf numFmtId="0" fontId="12" fillId="9" borderId="14" xfId="0" applyFont="1" applyFill="1" applyBorder="1" applyAlignment="1" applyProtection="1">
      <alignment horizontal="left"/>
    </xf>
    <xf numFmtId="0" fontId="11" fillId="9" borderId="15" xfId="0" applyFont="1" applyFill="1" applyBorder="1" applyAlignment="1" applyProtection="1">
      <alignment horizontal="left"/>
    </xf>
    <xf numFmtId="0" fontId="6" fillId="0" borderId="0" xfId="0" applyFont="1" applyProtection="1"/>
    <xf numFmtId="14" fontId="0" fillId="0" borderId="0" xfId="0" applyNumberFormat="1" applyProtection="1"/>
    <xf numFmtId="1" fontId="0" fillId="0" borderId="0" xfId="0" applyNumberFormat="1" applyAlignment="1" applyProtection="1">
      <alignment horizontal="center"/>
    </xf>
    <xf numFmtId="44" fontId="0" fillId="0" borderId="0" xfId="0" applyNumberFormat="1" applyProtection="1"/>
    <xf numFmtId="0" fontId="8" fillId="0" borderId="0" xfId="0" applyFont="1" applyProtection="1"/>
    <xf numFmtId="44" fontId="2" fillId="8" borderId="0" xfId="0" applyNumberFormat="1" applyFont="1" applyFill="1" applyProtection="1"/>
    <xf numFmtId="0" fontId="13" fillId="8" borderId="0" xfId="0" applyFont="1" applyFill="1" applyAlignment="1" applyProtection="1">
      <alignment horizontal="center" vertical="center" wrapText="1"/>
    </xf>
  </cellXfs>
  <cellStyles count="2">
    <cellStyle name="Currency" xfId="1" builtinId="4"/>
    <cellStyle name="Normal" xfId="0" builtinId="0"/>
  </cellStyles>
  <dxfs count="154">
    <dxf>
      <font>
        <b val="0"/>
        <i val="0"/>
        <strike val="0"/>
        <condense val="0"/>
        <extend val="0"/>
        <outline val="0"/>
        <shadow val="0"/>
        <u val="none"/>
        <vertAlign val="baseline"/>
        <sz val="11"/>
        <color theme="0"/>
        <name val="Aptos Narrow"/>
        <family val="2"/>
        <scheme val="minor"/>
      </font>
      <fill>
        <patternFill patternType="solid">
          <fgColor indexed="64"/>
          <bgColor theme="4"/>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dxf>
    <dxf>
      <font>
        <b/>
        <i val="0"/>
        <strike val="0"/>
        <condense val="0"/>
        <extend val="0"/>
        <outline val="0"/>
        <shadow val="0"/>
        <u val="none"/>
        <vertAlign val="baseline"/>
        <sz val="11"/>
        <color auto="1"/>
        <name val="Aptos Narrow"/>
        <family val="2"/>
        <scheme val="minor"/>
      </font>
      <numFmt numFmtId="34" formatCode="_(&quot;$&quot;* #,##0.00_);_(&quot;$&quot;* \(#,##0.00\);_(&quot;$&quot;* &quot;-&quot;??_);_(@_)"/>
      <fill>
        <patternFill patternType="solid">
          <fgColor indexed="64"/>
          <bgColor theme="4"/>
        </patternFill>
      </fill>
    </dxf>
    <dxf>
      <font>
        <b/>
        <i val="0"/>
        <strike val="0"/>
        <condense val="0"/>
        <extend val="0"/>
        <outline val="0"/>
        <shadow val="0"/>
        <u val="none"/>
        <vertAlign val="baseline"/>
        <sz val="11"/>
        <color theme="0"/>
        <name val="Aptos Narrow"/>
        <family val="2"/>
        <scheme val="minor"/>
      </font>
      <numFmt numFmtId="34" formatCode="_(&quot;$&quot;* #,##0.00_);_(&quot;$&quot;* \(#,##0.00\);_(&quot;$&quot;* &quot;-&quot;??_);_(@_)"/>
      <fill>
        <patternFill patternType="solid">
          <fgColor indexed="64"/>
          <bgColor theme="4"/>
        </patternFill>
      </fill>
      <protection locked="0" hidden="0"/>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center" vertical="bottom" textRotation="0" wrapText="0" indent="0" justifyLastLine="0" shrinkToFit="0" readingOrder="0"/>
      <border diagonalUp="0" diagonalDown="0" outline="0">
        <left style="thin">
          <color rgb="FFD5D3D1"/>
        </left>
        <right style="thin">
          <color rgb="FFD5D3D1"/>
        </right>
        <top style="thin">
          <color rgb="FFD5D3D1"/>
        </top>
        <bottom/>
      </border>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protection locked="1" hidden="0"/>
    </dxf>
    <dxf>
      <protection locked="1" hidden="0"/>
    </dxf>
    <dxf>
      <protection locked="1" hidden="0"/>
    </dxf>
    <dxf>
      <protection locked="1" hidden="0"/>
    </dxf>
    <dxf>
      <protection locked="1" hidden="0"/>
    </dxf>
    <dxf>
      <protection locked="1" hidden="0"/>
    </dxf>
    <dxf>
      <protection locked="1" hidden="0"/>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ont>
        <color theme="1"/>
      </font>
      <fill>
        <patternFill>
          <bgColor rgb="FF92D050"/>
        </patternFill>
      </fill>
    </dxf>
    <dxf>
      <fill>
        <patternFill>
          <bgColor rgb="FF92D050"/>
        </patternFill>
      </fill>
    </dxf>
    <dxf>
      <fill>
        <patternFill>
          <bgColor rgb="FFFFFF00"/>
        </patternFill>
      </fill>
    </dxf>
    <dxf>
      <fill>
        <patternFill>
          <bgColor rgb="FFFFFF00"/>
        </patternFill>
      </fill>
    </dxf>
    <dxf>
      <fill>
        <patternFill>
          <bgColor rgb="FF92D050"/>
        </patternFill>
      </fill>
    </dxf>
    <dxf>
      <protection locked="1"/>
    </dxf>
    <dxf>
      <protection locked="1"/>
    </dxf>
    <dxf>
      <protection locked="1"/>
    </dxf>
    <dxf>
      <protection locked="1"/>
    </dxf>
    <dxf>
      <protection locked="1"/>
    </dxf>
    <dxf>
      <protection locked="1"/>
    </dxf>
    <dxf>
      <protection locked="1" hidden="0"/>
    </dxf>
    <dxf>
      <font>
        <strike val="0"/>
        <outline val="0"/>
        <shadow val="0"/>
        <u val="none"/>
        <vertAlign val="baseline"/>
        <sz val="12"/>
        <color theme="0"/>
        <name val="Calibri"/>
        <family val="2"/>
        <scheme val="none"/>
      </font>
      <fill>
        <patternFill patternType="solid">
          <fgColor indexed="64"/>
          <bgColor theme="4"/>
        </patternFill>
      </fill>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left style="thin">
          <color indexed="64"/>
        </left>
        <right/>
        <top/>
        <bottom/>
        <vertical style="thin">
          <color indexed="64"/>
        </vertical>
        <horizontal style="thin">
          <color indexed="64"/>
        </horizontal>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left style="thin">
          <color indexed="64"/>
        </left>
        <right style="thin">
          <color indexed="64"/>
        </right>
        <top/>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2"/>
        <color rgb="FF000000"/>
        <name val="Calibri"/>
        <family val="2"/>
        <scheme val="none"/>
      </font>
      <fill>
        <patternFill patternType="solid">
          <fgColor indexed="64"/>
          <bgColor rgb="FF7030A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indexed="64"/>
          <bgColor theme="4"/>
        </patternFill>
      </fill>
    </dxf>
    <dxf>
      <font>
        <b/>
        <i val="0"/>
        <strike val="0"/>
        <condense val="0"/>
        <extend val="0"/>
        <outline val="0"/>
        <shadow val="0"/>
        <u val="none"/>
        <vertAlign val="baseline"/>
        <sz val="11"/>
        <color theme="0"/>
        <name val="Aptos Narrow"/>
        <family val="2"/>
        <scheme val="minor"/>
      </font>
      <numFmt numFmtId="34" formatCode="_(&quot;$&quot;* #,##0.00_);_(&quot;$&quot;* \(#,##0.00\);_(&quot;$&quot;* &quot;-&quot;??_);_(@_)"/>
      <fill>
        <patternFill patternType="solid">
          <fgColor indexed="64"/>
          <bgColor theme="4"/>
        </patternFill>
      </fill>
      <border diagonalUp="0" diagonalDown="0" outline="0">
        <left/>
        <right/>
        <top style="double">
          <color theme="1"/>
        </top>
        <bottom style="medium">
          <color theme="1"/>
        </bottom>
      </border>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center" vertical="bottom" textRotation="0" wrapText="0" indent="0" justifyLastLine="0" shrinkToFit="0" readingOrder="0"/>
      <border diagonalUp="0" diagonalDown="0" outline="0">
        <left style="thin">
          <color rgb="FFD5D3D1"/>
        </left>
        <right style="thin">
          <color rgb="FFD5D3D1"/>
        </right>
        <top style="thin">
          <color rgb="FFD5D3D1"/>
        </top>
        <bottom style="medium">
          <color theme="1"/>
        </bottom>
      </border>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style="medium">
          <color theme="1"/>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bottom/>
        <vertical/>
        <horizontal/>
      </border>
      <protection locked="1" hidden="0"/>
    </dxf>
    <dxf>
      <font>
        <strike val="0"/>
        <outline val="0"/>
        <shadow val="0"/>
        <u val="none"/>
        <vertAlign val="baseline"/>
        <color theme="0"/>
      </font>
      <fill>
        <patternFill patternType="solid">
          <fgColor indexed="64"/>
          <bgColor theme="4"/>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indexed="64"/>
          <bgColor theme="4"/>
        </patternFill>
      </fill>
    </dxf>
    <dxf>
      <font>
        <b/>
        <i val="0"/>
        <strike val="0"/>
        <condense val="0"/>
        <extend val="0"/>
        <outline val="0"/>
        <shadow val="0"/>
        <u val="none"/>
        <vertAlign val="baseline"/>
        <sz val="11"/>
        <color theme="0"/>
        <name val="Aptos Narrow"/>
        <family val="2"/>
        <scheme val="minor"/>
      </font>
      <numFmt numFmtId="34" formatCode="_(&quot;$&quot;* #,##0.00_);_(&quot;$&quot;* \(#,##0.00\);_(&quot;$&quot;* &quot;-&quot;??_);_(@_)"/>
      <fill>
        <patternFill patternType="solid">
          <fgColor indexed="64"/>
          <bgColor theme="4"/>
        </patternFill>
      </fill>
      <border diagonalUp="0" diagonalDown="0" outline="0">
        <left/>
        <right/>
        <top style="double">
          <color theme="1"/>
        </top>
        <bottom style="medium">
          <color theme="1"/>
        </bottom>
      </border>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center" vertical="bottom" textRotation="0" wrapText="0" indent="0" justifyLastLine="0" shrinkToFit="0" readingOrder="0"/>
      <border diagonalUp="0" diagonalDown="0" outline="0">
        <left style="thin">
          <color rgb="FFD5D3D1"/>
        </left>
        <right style="thin">
          <color rgb="FFD5D3D1"/>
        </right>
        <top style="thin">
          <color rgb="FFD5D3D1"/>
        </top>
        <bottom style="medium">
          <color theme="1"/>
        </bottom>
      </border>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style="medium">
          <color theme="1"/>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bottom/>
        <vertical/>
        <horizontal/>
      </border>
      <protection locked="1" hidden="0"/>
    </dxf>
    <dxf>
      <font>
        <strike val="0"/>
        <outline val="0"/>
        <shadow val="0"/>
        <u val="none"/>
        <vertAlign val="baseline"/>
        <color theme="0"/>
      </font>
      <fill>
        <patternFill patternType="solid">
          <fgColor indexed="64"/>
          <bgColor theme="4"/>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dxf>
    <dxf>
      <fill>
        <patternFill patternType="none">
          <fgColor indexed="64"/>
          <bgColor auto="1"/>
        </patternFill>
      </fill>
      <protection locked="1" hidden="0"/>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Aptos Narrow"/>
        <family val="2"/>
        <scheme val="minor"/>
      </font>
      <numFmt numFmtId="34" formatCode="_(&quot;$&quot;* #,##0.00_);_(&quot;$&quot;* \(#,##0.00\);_(&quot;$&quot;* &quot;-&quot;??_);_(@_)"/>
      <fill>
        <patternFill patternType="solid">
          <fgColor indexed="64"/>
          <bgColor theme="4"/>
        </patternFill>
      </fill>
    </dxf>
    <dxf>
      <fill>
        <patternFill patternType="none">
          <fgColor indexed="64"/>
          <bgColor auto="1"/>
        </patternFill>
      </fill>
      <protection locked="1" hidden="0"/>
    </dxf>
    <dxf>
      <font>
        <b/>
        <i val="0"/>
        <strike val="0"/>
        <condense val="0"/>
        <extend val="0"/>
        <outline val="0"/>
        <shadow val="0"/>
        <u val="none"/>
        <vertAlign val="baseline"/>
        <sz val="11"/>
        <color theme="0"/>
        <name val="Aptos Narrow"/>
        <family val="2"/>
        <scheme val="minor"/>
      </font>
      <numFmt numFmtId="34" formatCode="_(&quot;$&quot;* #,##0.00_);_(&quot;$&quot;* \(#,##0.00\);_(&quot;$&quot;* &quot;-&quot;??_);_(@_)"/>
      <fill>
        <patternFill patternType="solid">
          <fgColor indexed="64"/>
          <bgColor theme="4"/>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theme="0"/>
        <name val="Calibri"/>
        <family val="2"/>
        <scheme val="none"/>
      </font>
      <numFmt numFmtId="19" formatCode="m/d/yyyy"/>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center"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protection locked="1" hidden="0"/>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bottom/>
        <vertical/>
        <horizontal/>
      </border>
      <protection locked="1" hidden="0"/>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theme="0"/>
        <name val="Calibri"/>
        <family val="2"/>
        <scheme val="none"/>
      </font>
      <fill>
        <patternFill patternType="solid">
          <fgColor indexed="64"/>
          <bgColor theme="4"/>
        </patternFill>
      </fill>
      <alignment horizontal="left" vertical="bottom" textRotation="0" wrapText="0" indent="0" justifyLastLine="0" shrinkToFit="0" readingOrder="0"/>
      <border diagonalUp="0" diagonalDown="0" outline="0">
        <left style="thin">
          <color rgb="FFD5D3D1"/>
        </left>
        <right style="thin">
          <color rgb="FFD5D3D1"/>
        </right>
        <top style="thin">
          <color rgb="FFD5D3D1"/>
        </top>
        <bottom/>
      </border>
    </dxf>
    <dxf>
      <font>
        <b val="0"/>
        <i val="0"/>
        <strike val="0"/>
        <condense val="0"/>
        <extend val="0"/>
        <outline val="0"/>
        <shadow val="0"/>
        <u val="none"/>
        <vertAlign val="baseline"/>
        <sz val="12"/>
        <color rgb="FF000000"/>
        <name val="Calibri"/>
        <family val="2"/>
        <scheme val="none"/>
      </font>
      <fill>
        <patternFill patternType="solid">
          <fgColor indexed="64"/>
          <bgColor rgb="FF7030A0"/>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strike val="0"/>
        <outline val="0"/>
        <shadow val="0"/>
        <u val="none"/>
        <vertAlign val="baseline"/>
        <color theme="0"/>
      </font>
      <fill>
        <patternFill patternType="solid">
          <fgColor indexed="64"/>
          <bgColor theme="4"/>
        </patternFill>
      </fill>
    </dxf>
    <dxf>
      <protection locked="1" hidden="0"/>
    </dxf>
    <dxf>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solid">
          <fgColor indexed="64"/>
          <bgColor rgb="FF7030A0"/>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strike val="0"/>
        <outline val="0"/>
        <shadow val="0"/>
        <u val="none"/>
        <vertAlign val="baseline"/>
        <color theme="0"/>
      </font>
      <fill>
        <patternFill patternType="solid">
          <fgColor indexed="64"/>
          <bgColor theme="4"/>
        </patternFill>
      </fill>
    </dxf>
    <dxf>
      <fill>
        <patternFill patternType="none">
          <fgColor indexed="64"/>
          <bgColor auto="1"/>
        </patternFill>
      </fill>
      <protection locked="1" hidden="0"/>
    </dxf>
    <dxf>
      <fill>
        <patternFill patternType="none">
          <fgColor indexed="64"/>
          <bgColor auto="1"/>
        </patternFill>
      </fill>
      <alignment horizont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solid">
          <fgColor indexed="64"/>
          <bgColor rgb="FF7030A0"/>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protection locked="1" hidden="0"/>
    </dxf>
    <dxf>
      <font>
        <b val="0"/>
        <i val="0"/>
        <strike val="0"/>
        <condense val="0"/>
        <extend val="0"/>
        <outline val="0"/>
        <shadow val="0"/>
        <u val="none"/>
        <vertAlign val="baseline"/>
        <sz val="11"/>
        <color theme="0"/>
        <name val="Aptos Narrow"/>
        <family val="2"/>
        <scheme val="minor"/>
      </font>
      <fill>
        <patternFill patternType="none">
          <fgColor indexed="64"/>
          <bgColor auto="1"/>
        </patternFill>
      </fill>
    </dxf>
    <dxf>
      <fill>
        <patternFill patternType="none">
          <fgColor indexed="64"/>
          <bgColor auto="1"/>
        </patternFill>
      </fill>
      <protection locked="1" hidden="0"/>
    </dxf>
    <dxf>
      <fill>
        <patternFill patternType="none">
          <fgColor indexed="64"/>
          <bgColor auto="1"/>
        </patternFill>
      </fill>
      <alignment horizontal="center"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solid">
          <fgColor indexed="64"/>
          <bgColor rgb="FF7030A0"/>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protection locked="1" hidden="0"/>
    </dxf>
    <dxf>
      <font>
        <b val="0"/>
        <i val="0"/>
        <strike val="0"/>
        <condense val="0"/>
        <extend val="0"/>
        <outline val="0"/>
        <shadow val="0"/>
        <u val="none"/>
        <vertAlign val="baseline"/>
        <sz val="11"/>
        <color theme="0"/>
        <name val="Aptos Narrow"/>
        <family val="2"/>
        <scheme val="minor"/>
      </font>
      <fill>
        <patternFill patternType="none">
          <fgColor indexed="64"/>
          <bgColor auto="1"/>
        </patternFill>
      </fill>
    </dxf>
    <dxf>
      <protection locked="1" hidden="0"/>
    </dxf>
    <dxf>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numFmt numFmtId="19" formatCode="m/d/yyyy"/>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bottom/>
      </border>
      <protection locked="1" hidden="0"/>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border>
      <protection locked="1" hidden="0"/>
    </dxf>
    <dxf>
      <font>
        <b val="0"/>
        <i val="0"/>
        <strike val="0"/>
        <condense val="0"/>
        <extend val="0"/>
        <outline val="0"/>
        <shadow val="0"/>
        <u val="none"/>
        <vertAlign val="baseline"/>
        <sz val="12"/>
        <color rgb="FF000000"/>
        <name val="Calibri"/>
        <family val="2"/>
        <scheme val="none"/>
      </font>
      <fill>
        <patternFill patternType="solid">
          <fgColor indexed="64"/>
          <bgColor rgb="FF7030A0"/>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protection locked="1" hidden="0"/>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right"/>
    </dxf>
    <dxf>
      <font>
        <color theme="0"/>
      </font>
    </dxf>
    <dxf>
      <font>
        <color theme="0"/>
      </font>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257585227E\AppData\Local\Microsoft\Windows\INetCache\Content.Outlook\RC2XEL8M\IGE%20EVRS%20Hardware%20Warranty%20and%20Support%20(Draft).xlsx" TargetMode="External"/><Relationship Id="rId1" Type="http://schemas.openxmlformats.org/officeDocument/2006/relationships/externalLinkPath" Target="file:///C:\Users\1257585227E\AppData\Local\Microsoft\Windows\INetCache\Content.Outlook\RC2XEL8M\IGE%20EVRS%20Hardware%20Warranty%20and%20Support%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all IGE"/>
      <sheetName val="Base Period"/>
      <sheetName val="Option Year 1"/>
      <sheetName val="Option Year 2"/>
      <sheetName val="Option Year 3"/>
      <sheetName val="Option Year 4"/>
    </sheetNames>
    <sheetDataSet>
      <sheetData sheetId="0"/>
      <sheetData sheetId="1">
        <row r="5">
          <cell r="D5">
            <v>46089</v>
          </cell>
        </row>
      </sheetData>
      <sheetData sheetId="2">
        <row r="5">
          <cell r="D5">
            <v>46273</v>
          </cell>
          <cell r="E5">
            <v>46637</v>
          </cell>
        </row>
      </sheetData>
      <sheetData sheetId="3">
        <row r="6">
          <cell r="D6">
            <v>46638</v>
          </cell>
          <cell r="E6">
            <v>47003</v>
          </cell>
        </row>
      </sheetData>
      <sheetData sheetId="4">
        <row r="7">
          <cell r="D7">
            <v>47004</v>
          </cell>
          <cell r="E7">
            <v>47368</v>
          </cell>
        </row>
      </sheetData>
      <sheetData sheetId="5">
        <row r="8">
          <cell r="D8">
            <v>47369</v>
          </cell>
          <cell r="E8">
            <v>47733</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LOR, AUBREEANA J CIV USAF USAFE 700 CONS/PKC" refreshedDate="46106.392518749999" createdVersion="8" refreshedVersion="8" minRefreshableVersion="3" recordCount="68" xr:uid="{80EE583A-637C-434A-8895-BCB39D3B986C}">
  <cacheSource type="worksheet">
    <worksheetSource name="Table47"/>
  </cacheSource>
  <cacheFields count="4">
    <cacheField name="Unit" numFmtId="0">
      <sharedItems count="3">
        <s v="HQ USAFE-AFAF/A6"/>
        <s v="1 Engineering Installation Sq"/>
        <s v="1 Combat Communications Sq"/>
      </sharedItems>
    </cacheField>
    <cacheField name="Part Number/Description" numFmtId="0">
      <sharedItems/>
    </cacheField>
    <cacheField name="Qty" numFmtId="0">
      <sharedItems containsSemiMixedTypes="0" containsString="0" containsNumber="1" containsInteger="1" minValue="1" maxValue="1"/>
    </cacheField>
    <cacheField name="Asset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x v="0"/>
    <s v="RFeye Node 100-18 SSUS"/>
    <n v="1"/>
    <s v="DFA000116 - RFeye100328"/>
  </r>
  <r>
    <x v="0"/>
    <s v="RFeye Node 100-18 SSUS"/>
    <n v="1"/>
    <s v="DFA000116 - RFeye100329"/>
  </r>
  <r>
    <x v="0"/>
    <s v="RFeye Node 100-18 SSUS"/>
    <n v="1"/>
    <s v="DFA000266 - RFeye101300"/>
  </r>
  <r>
    <x v="0"/>
    <s v="RFeye Node 100-18 SSUS"/>
    <n v="1"/>
    <s v="DFA000266 - RFeye101301"/>
  </r>
  <r>
    <x v="0"/>
    <s v="RFeye Node 100-18 SSUS"/>
    <n v="1"/>
    <s v="DFA000263 - RFeye101274"/>
  </r>
  <r>
    <x v="0"/>
    <s v="RFeye Node 100-18 SSUS"/>
    <n v="1"/>
    <s v="DFA000263 - RFeye101262"/>
  </r>
  <r>
    <x v="0"/>
    <s v="RFeye Node 100-18 SSUS"/>
    <n v="1"/>
    <s v="DFA000264 - RFeye101295"/>
  </r>
  <r>
    <x v="0"/>
    <s v="RFeye Node 100-18 SSUS"/>
    <n v="1"/>
    <s v="DFA000264 - RFeye101279"/>
  </r>
  <r>
    <x v="0"/>
    <s v="RFeye Node 100-18 SSUS"/>
    <n v="1"/>
    <s v="DFA000265 - RFeye101296"/>
  </r>
  <r>
    <x v="0"/>
    <s v="RFeye Node 100-18 SSUS"/>
    <n v="1"/>
    <s v="DFA000265 - RFeye101298"/>
  </r>
  <r>
    <x v="0"/>
    <s v="RFeye Node 100-18 SSUS"/>
    <n v="1"/>
    <s v="RFeye100312"/>
  </r>
  <r>
    <x v="0"/>
    <s v="RFeye Node 100-18 SSUS"/>
    <n v="1"/>
    <s v="RFeye100313"/>
  </r>
  <r>
    <x v="0"/>
    <s v="RFeye Node 100-18 SSUS"/>
    <n v="1"/>
    <s v="RFeye100321"/>
  </r>
  <r>
    <x v="0"/>
    <s v="RFeye Node 100-18 SSUS"/>
    <n v="1"/>
    <s v="RFeye100314"/>
  </r>
  <r>
    <x v="0"/>
    <s v="RFeye Node 100-18 SSUS"/>
    <n v="1"/>
    <s v="RFeye100315"/>
  </r>
  <r>
    <x v="0"/>
    <s v="RFeye Node 100-18 SSUS"/>
    <n v="1"/>
    <s v="RFeye100316"/>
  </r>
  <r>
    <x v="0"/>
    <s v="RFeye Node 100-18 SSUS"/>
    <n v="1"/>
    <s v="RFeye100317"/>
  </r>
  <r>
    <x v="0"/>
    <s v="RFeye Node 100-18 SSUS"/>
    <n v="1"/>
    <s v="RFeye100323"/>
  </r>
  <r>
    <x v="0"/>
    <s v="RFeye Node 100-18 SSUS"/>
    <n v="1"/>
    <s v="RFeye100303"/>
  </r>
  <r>
    <x v="0"/>
    <s v="RFeye Node 100-18 SSUS"/>
    <n v="1"/>
    <s v="RFeye100300"/>
  </r>
  <r>
    <x v="0"/>
    <s v="RFeye Node 100-18 SSUS"/>
    <n v="1"/>
    <s v="RFeye100305"/>
  </r>
  <r>
    <x v="0"/>
    <s v="RFeye Node 100-18 SSUS"/>
    <n v="1"/>
    <s v="RFeye100304"/>
  </r>
  <r>
    <x v="0"/>
    <s v="RFeye Node 100-18 SSUS"/>
    <n v="1"/>
    <s v="RFeye100310"/>
  </r>
  <r>
    <x v="0"/>
    <s v="RFeye Node 100-18 SSUS"/>
    <n v="1"/>
    <s v="RFeye100778"/>
  </r>
  <r>
    <x v="0"/>
    <s v="RFeye Node 100-18 SSUS"/>
    <n v="1"/>
    <s v="RFeye100307"/>
  </r>
  <r>
    <x v="0"/>
    <s v="RFeye Node 100-18 SSUS"/>
    <n v="1"/>
    <s v="RFeye100306"/>
  </r>
  <r>
    <x v="0"/>
    <s v="RFeye Node 100-18 SSUS"/>
    <n v="1"/>
    <s v="RFeye101136"/>
  </r>
  <r>
    <x v="0"/>
    <s v="RFeye Node 100-18 SSUS"/>
    <n v="1"/>
    <s v="RFeye101131"/>
  </r>
  <r>
    <x v="0"/>
    <s v="RFeye Node 100-18 SSUS"/>
    <n v="1"/>
    <s v="RFeye101135"/>
  </r>
  <r>
    <x v="0"/>
    <s v="RFeye Node 100-18 SSUS"/>
    <n v="1"/>
    <s v="RFeye101154"/>
  </r>
  <r>
    <x v="0"/>
    <s v="RFeye Node 100-18 SSUS"/>
    <n v="1"/>
    <s v="RFeye101155"/>
  </r>
  <r>
    <x v="0"/>
    <s v="RFeye Node 100-18 SSUS"/>
    <n v="1"/>
    <s v="RFeye101156"/>
  </r>
  <r>
    <x v="0"/>
    <s v="RFeye Node 100-18 SSUS"/>
    <n v="1"/>
    <s v="RFeye101157"/>
  </r>
  <r>
    <x v="0"/>
    <s v="RFeye Node 100-18 SSUS"/>
    <n v="1"/>
    <s v="RFeye101160"/>
  </r>
  <r>
    <x v="0"/>
    <s v="RFeye Node 100-18 SSUS"/>
    <n v="1"/>
    <s v="RFeye101167"/>
  </r>
  <r>
    <x v="0"/>
    <s v="RFeye Node 100-18 SSUS"/>
    <n v="1"/>
    <s v="RFeye101168"/>
  </r>
  <r>
    <x v="0"/>
    <s v="RFeye Node 100-18 SSUS"/>
    <n v="1"/>
    <s v="RFeye101158"/>
  </r>
  <r>
    <x v="0"/>
    <s v="RFeye Node 100-18 SSUS"/>
    <n v="1"/>
    <s v="RFeye101132"/>
  </r>
  <r>
    <x v="0"/>
    <s v="RFeye Node 100-18 SSUS"/>
    <n v="1"/>
    <s v="RFeye101159"/>
  </r>
  <r>
    <x v="0"/>
    <s v="RFeye Node 100-18 SSUS"/>
    <n v="1"/>
    <s v="RFeye101317"/>
  </r>
  <r>
    <x v="0"/>
    <s v="RFeye Node 100-18 SSUS"/>
    <n v="1"/>
    <s v="RFeye101318"/>
  </r>
  <r>
    <x v="0"/>
    <s v="RFeye Node 100-18 SSUS"/>
    <n v="1"/>
    <s v="RFeye101319"/>
  </r>
  <r>
    <x v="0"/>
    <s v="RFeye Node 100-18 SSUS"/>
    <n v="1"/>
    <s v="RFeye101322"/>
  </r>
  <r>
    <x v="0"/>
    <s v="RFeye Node 100-40 Benchtop Kit SSUS"/>
    <n v="1"/>
    <s v="RFeye400061"/>
  </r>
  <r>
    <x v="0"/>
    <s v="RFeye Node 100-40 Benchtop Kit SSUS"/>
    <n v="1"/>
    <s v="RFeye400062"/>
  </r>
  <r>
    <x v="0"/>
    <s v="RFeye Node 100-8 SSUS"/>
    <n v="1"/>
    <s v="RFeye200491"/>
  </r>
  <r>
    <x v="0"/>
    <s v="RFeye Node 100-8 SSUS"/>
    <n v="1"/>
    <s v="RFeye200523"/>
  </r>
  <r>
    <x v="0"/>
    <s v="RFeye Node 100-8 SSUS"/>
    <n v="1"/>
    <s v="RFeye200524"/>
  </r>
  <r>
    <x v="0"/>
    <s v="RFeye Node 100-8 SSUS"/>
    <n v="1"/>
    <s v="RFeye200525"/>
  </r>
  <r>
    <x v="0"/>
    <s v="RFeye Node 100-8 SSUS"/>
    <n v="1"/>
    <s v="RFeye200526"/>
  </r>
  <r>
    <x v="0"/>
    <s v="RFeye Stormcase 100-18 SSUS"/>
    <n v="1"/>
    <s v="RFeye100210 (CAS000018)"/>
  </r>
  <r>
    <x v="0"/>
    <s v="RFeye Stormcase 100-18 SSUS"/>
    <n v="1"/>
    <s v="RFeye100322 (CAS000020)"/>
  </r>
  <r>
    <x v="0"/>
    <s v="RFeye Stormcase 100-18 SSUS"/>
    <n v="1"/>
    <s v="RFeye100330 (CAS000021)"/>
  </r>
  <r>
    <x v="0"/>
    <s v="SenS Portable R18 SSUS"/>
    <n v="1"/>
    <s v="RFeye101270"/>
  </r>
  <r>
    <x v="1"/>
    <s v="RFeye Node 100-18 SSUS"/>
    <n v="1"/>
    <s v="RFeye101658"/>
  </r>
  <r>
    <x v="1"/>
    <s v="RFeye Node 100-18 SSUS"/>
    <n v="1"/>
    <s v="RFeye101660"/>
  </r>
  <r>
    <x v="1"/>
    <s v="RFeye Node 100-18 SSUS"/>
    <n v="1"/>
    <s v="RFeye101663"/>
  </r>
  <r>
    <x v="1"/>
    <s v="RFeye Node 100-18 SSUS"/>
    <n v="1"/>
    <s v="RFeye101664"/>
  </r>
  <r>
    <x v="2"/>
    <s v="RFeye Stormcase 100-18 SSUS"/>
    <n v="1"/>
    <s v="CAS000034 - RFEye100484"/>
  </r>
  <r>
    <x v="2"/>
    <s v="RFeye Stormcase 100-18 SSUS"/>
    <n v="1"/>
    <s v="CAS000035 - RFeye100486"/>
  </r>
  <r>
    <x v="2"/>
    <s v="RFeye Stormcase 100-18 SSUS"/>
    <n v="1"/>
    <s v="CAS000036 - RFeye100487"/>
  </r>
  <r>
    <x v="2"/>
    <s v="RFeye Stormcase 100-18 SSUS"/>
    <n v="1"/>
    <s v="CAS000037 - RFeye100488"/>
  </r>
  <r>
    <x v="2"/>
    <s v="RFeye Stormcase 100-18 SSUS"/>
    <n v="1"/>
    <s v="CAS000038 - RFeye100489"/>
  </r>
  <r>
    <x v="2"/>
    <s v="RFeye Stormcase 100-18 SSUS"/>
    <n v="1"/>
    <s v="CAS000077 - Rfeye101026"/>
  </r>
  <r>
    <x v="2"/>
    <s v="RFeye Stormcase 100-18 SSUS"/>
    <n v="1"/>
    <s v="CAS000078 - RFeye101048"/>
  </r>
  <r>
    <x v="2"/>
    <s v="RFeye Stormcase 100-18 SSUS"/>
    <n v="1"/>
    <s v="CAS000080 - RFeye101051"/>
  </r>
  <r>
    <x v="2"/>
    <s v="RFeye Stormcase 100-18 SSUS"/>
    <n v="1"/>
    <s v="CAS000081 - Rfeye101052"/>
  </r>
  <r>
    <x v="2"/>
    <s v="RFeye Stormcase 100-18 SSUS"/>
    <n v="1"/>
    <s v="CAS000079 - RFeye1010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C78689-F708-4B23-9247-51666406284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nit Name">
  <location ref="F5:G9" firstHeaderRow="1" firstDataRow="1" firstDataCol="1"/>
  <pivotFields count="4">
    <pivotField axis="axisRow" showAll="0">
      <items count="4">
        <item x="2"/>
        <item x="1"/>
        <item x="0"/>
        <item t="default"/>
      </items>
    </pivotField>
    <pivotField showAll="0"/>
    <pivotField dataField="1" showAll="0"/>
    <pivotField showAll="0"/>
  </pivotFields>
  <rowFields count="1">
    <field x="0"/>
  </rowFields>
  <rowItems count="4">
    <i>
      <x/>
    </i>
    <i>
      <x v="1"/>
    </i>
    <i>
      <x v="2"/>
    </i>
    <i t="grand">
      <x/>
    </i>
  </rowItems>
  <colItems count="1">
    <i/>
  </colItems>
  <dataFields count="1">
    <dataField name="Qty of Assets Per Unit" fld="2" baseField="0" baseItem="0"/>
  </dataFields>
  <formats count="18">
    <format dxfId="153">
      <pivotArea field="0" type="button" dataOnly="0" labelOnly="1" outline="0" axis="axisRow" fieldPosition="0"/>
    </format>
    <format dxfId="152">
      <pivotArea type="all" dataOnly="0" outline="0" fieldPosition="0"/>
    </format>
    <format dxfId="151">
      <pivotArea outline="0" collapsedLevelsAreSubtotals="1"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grandRow="1" outline="0" fieldPosition="0"/>
    </format>
    <format dxfId="147">
      <pivotArea dataOnly="0" labelOnly="1" outline="0" axis="axisValues" fieldPosition="0"/>
    </format>
    <format dxfId="146">
      <pivotArea grandRow="1" outline="0" collapsedLevelsAreSubtotals="1" fieldPosition="0"/>
    </format>
    <format dxfId="145">
      <pivotArea dataOnly="0" labelOnly="1" grandRow="1" outline="0" fieldPosition="0"/>
    </format>
    <format dxfId="144">
      <pivotArea grandRow="1" outline="0" collapsedLevelsAreSubtotals="1" fieldPosition="0"/>
    </format>
    <format dxfId="143">
      <pivotArea dataOnly="0" labelOnly="1" grandRow="1" outline="0" fieldPosition="0"/>
    </format>
    <format dxfId="142">
      <pivotArea dataOnly="0" labelOnly="1" grandRow="1" outline="0"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5DFBBE-E6EB-4CD7-AE08-494B77D29841}" name="Table1" displayName="Table1" ref="B4:F10" totalsRowShown="0" headerRowDxfId="12" dataDxfId="11">
  <tableColumns count="5">
    <tableColumn id="1" xr3:uid="{E94536CB-5C0E-43BC-B95B-48135AE9DA10}" name="Period" dataDxfId="17"/>
    <tableColumn id="2" xr3:uid="{ABAF647C-53FD-408B-976E-803E5288F365}" name="Period of Performance Begin " dataDxfId="16"/>
    <tableColumn id="3" xr3:uid="{F27DB680-4842-40B6-B429-A6BB929967BC}" name="Period of Performance End" dataDxfId="15"/>
    <tableColumn id="4" xr3:uid="{309C6322-71E1-4FD2-A08B-1182EC5505A6}" name="Total Months" dataDxfId="14"/>
    <tableColumn id="5" xr3:uid="{DA1D596E-2744-4982-A35B-67EE2F3CDB40}" name="Estimated Value" dataDxfId="13"/>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30128E-69F0-4579-A0A1-5BC5460BC827}" name="Table2" displayName="Table2" ref="A5:K33" totalsRowCount="1" headerRowDxfId="138" totalsRowDxfId="107">
  <autoFilter ref="A5:K32" xr:uid="{6630128E-69F0-4579-A0A1-5BC5460BC827}"/>
  <tableColumns count="11">
    <tableColumn id="1" xr3:uid="{1E02CBE7-E94B-461B-A642-A1D92BD62B10}" name="Unit" dataDxfId="106" totalsRowDxfId="10"/>
    <tableColumn id="2" xr3:uid="{B86C69DD-A1F3-4C18-A0E9-DD3BEF41C775}" name="Part Number/Description" dataDxfId="105" totalsRowDxfId="9"/>
    <tableColumn id="3" xr3:uid="{29F2A246-44F4-4339-A1E7-49BBC3ECA64A}" name="Qty" totalsRowLabel="TOTAL COUNT OF NODES" dataDxfId="104" totalsRowDxfId="8"/>
    <tableColumn id="4" xr3:uid="{FA556691-A33D-4FB8-8804-B9BEC5A3F3E1}" name="Asset Name" totalsRowFunction="custom" dataDxfId="103" totalsRowDxfId="7">
      <totalsRowFormula>COUNTA(Table2[Asset Name])</totalsRowFormula>
    </tableColumn>
    <tableColumn id="9" xr3:uid="{7A35478B-38C6-4E1A-AB54-0ACBA0D9F1A7}" name="Period of Performance Description " dataDxfId="102" totalsRowDxfId="6"/>
    <tableColumn id="5" xr3:uid="{C0B6171A-35D2-4C5F-B634-2B6984A7A213}" name="Start" dataDxfId="101" totalsRowDxfId="5"/>
    <tableColumn id="6" xr3:uid="{FA11BDD6-9E29-4786-86C5-408FCF2C2D61}" name="End" dataDxfId="100" totalsRowDxfId="4"/>
    <tableColumn id="7" xr3:uid="{15C53D3D-D722-4178-99C1-3675A32F359C}" name="Unit Price" totalsRowLabel=" TOTAL BASE PERIOD " dataDxfId="99" totalsRowDxfId="3" dataCellStyle="Currency"/>
    <tableColumn id="8" xr3:uid="{1B5DD267-9DA8-480F-8E8B-1D6288783F25}" name="Ext Amount" totalsRowFunction="sum" dataDxfId="98" totalsRowDxfId="2" dataCellStyle="Currency">
      <calculatedColumnFormula>H6</calculatedColumnFormula>
    </tableColumn>
    <tableColumn id="10" xr3:uid="{07D48944-5EB4-40B5-A4DC-7364A50EAF76}" name="No. of Months" dataDxfId="97" totalsRowDxfId="1">
      <calculatedColumnFormula>DATEDIF(Table2[[#This Row],[Start]],Table2[[#This Row],[End]],"m")</calculatedColumnFormula>
    </tableColumn>
    <tableColumn id="11" xr3:uid="{50884A99-9323-42D0-BDB2-A5E094EDEA54}" name="Task Order Reference" dataDxfId="96" totalsRowDxfId="0"/>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418619-C1DE-4E06-9AA8-8565C4512119}" name="Table3" displayName="Table3" ref="A5:K69" totalsRowCount="1" headerRowDxfId="137" totalsRowDxfId="95">
  <autoFilter ref="A5:K68" xr:uid="{2E418619-C1DE-4E06-9AA8-8565C4512119}"/>
  <tableColumns count="11">
    <tableColumn id="1" xr3:uid="{0DB6A12A-5442-4F7A-BE0D-63C2871AB00D}" name="Unit" dataDxfId="94" totalsRowDxfId="93"/>
    <tableColumn id="2" xr3:uid="{751F822D-D642-4D3B-8FF1-394EE1313297}" name="Part Number/Description" dataDxfId="92" totalsRowDxfId="91"/>
    <tableColumn id="3" xr3:uid="{1F1C10F4-FEA2-491A-959D-B8541A0EACC5}" name="Qty" totalsRowLabel="TOTAL COUNT OF NODES" dataDxfId="90" totalsRowDxfId="89"/>
    <tableColumn id="4" xr3:uid="{1A7D3506-559C-4C5A-99BD-8047BB3CE589}" name="Asset Name" totalsRowFunction="custom" dataDxfId="88" totalsRowDxfId="87">
      <totalsRowFormula>COUNTA(Table3[Asset Name])</totalsRowFormula>
    </tableColumn>
    <tableColumn id="9" xr3:uid="{E20034D4-D7C9-458E-A753-DE3204E2E018}" name="Period of Performance Description " dataDxfId="86" totalsRowDxfId="85"/>
    <tableColumn id="5" xr3:uid="{7FBF0413-C7CE-400E-ABF8-88DC058DE4E5}" name="Start" dataDxfId="84" totalsRowDxfId="83"/>
    <tableColumn id="6" xr3:uid="{0A62F9AD-0065-4FF3-8444-AB04BB0C0508}" name="End" dataDxfId="82" totalsRowDxfId="81"/>
    <tableColumn id="7" xr3:uid="{21AB7744-FC86-4A25-B96F-50594D7F8464}" name="Unit Price" totalsRowLabel=" TOTAL OPTION PERIOD 1 " dataDxfId="80" totalsRowDxfId="79" dataCellStyle="Currency">
      <calculatedColumnFormula>_xlfn.LET(_xlpm.p,_xlfn.XLOOKUP(B6,#REF!,#REF!,0),_xlpm.s,F6,_xlpm.e,G6,_xlpm.termEnd, EDATE(_xlpm.s,12)-1, _xlpm.coveredDays, MAX(0,MIN(_xlpm.e, _xlpm.termEnd)-_xlpm.s+1), _xlpm.termDays, _xlpm.termEnd -_xlpm.s + 1, _xlpm.p*_xlpm.coveredDays/_xlpm.termDays)</calculatedColumnFormula>
    </tableColumn>
    <tableColumn id="8" xr3:uid="{58736CE1-B274-475E-BB86-AC3C69AC91E6}" name="Ext Amount" totalsRowFunction="sum" dataDxfId="78" totalsRowDxfId="77" dataCellStyle="Currency">
      <calculatedColumnFormula>Table3[[#This Row],[Unit Price]]*Table3[[#This Row],[Qty]]</calculatedColumnFormula>
    </tableColumn>
    <tableColumn id="10" xr3:uid="{9BE9ADBF-54E4-4669-AC0D-8AB38F27C22B}" name="No.of Months" dataDxfId="76" totalsRowDxfId="75">
      <calculatedColumnFormula>DATEDIF(Table3[[#This Row],[Start]],Table3[[#This Row],[End]],"m")</calculatedColumnFormula>
    </tableColumn>
    <tableColumn id="15" xr3:uid="{5C64CD91-B90B-4894-B52E-35F08088E043}" name="Task Order Rerference" dataDxfId="74" totalsRowDxfId="73"/>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B75679-09A5-4663-B641-D2D3C7775C3D}" name="Table4" displayName="Table4" ref="A5:J73" totalsRowShown="0" headerRowDxfId="136">
  <autoFilter ref="A5:J73" xr:uid="{2FB75679-09A5-4663-B641-D2D3C7775C3D}"/>
  <tableColumns count="10">
    <tableColumn id="1" xr3:uid="{232D8AFB-221E-4746-BF20-373B5315653D}" name="Unit" dataDxfId="135"/>
    <tableColumn id="2" xr3:uid="{441AA933-6E4B-4718-9701-1E8A4FE3FB9E}" name="Part Number/Description" dataDxfId="134"/>
    <tableColumn id="3" xr3:uid="{F219CC90-06F9-4412-8B7A-DBEF8699E5B5}" name="Qty" dataDxfId="133"/>
    <tableColumn id="4" xr3:uid="{DECD5950-D212-468E-B778-15CE649741ED}" name="Asset Name" dataDxfId="132"/>
    <tableColumn id="5" xr3:uid="{7674A547-C6F7-48C4-A700-381E4B498605}" name="Start" dataDxfId="131"/>
    <tableColumn id="6" xr3:uid="{0BB6CC95-D2FB-4F36-974E-75A09774A418}" name="End" dataDxfId="130"/>
    <tableColumn id="7" xr3:uid="{9292BB54-00BE-4C7D-814F-7F3A873DF054}" name="Unit Price" dataDxfId="129" dataCellStyle="Currency">
      <calculatedColumnFormula>_xlfn.LET(_xlpm.p,_xlfn.XLOOKUP(B6,#REF!,#REF!,0),_xlpm.s,E6,_xlpm.e,F6,_xlpm.termEnd, EDATE(_xlpm.s,12)-1, _xlpm.coveredDays, MAX(0,MIN(_xlpm.e, _xlpm.termEnd)-_xlpm.s+1), _xlpm.termDays, _xlpm.termEnd -_xlpm.s + 1, _xlpm.p*_xlpm.coveredDays/_xlpm.termDays)</calculatedColumnFormula>
    </tableColumn>
    <tableColumn id="8" xr3:uid="{6EC61285-0459-47B5-BE53-C4AFC79D6990}" name="Ext Amount" dataDxfId="128" dataCellStyle="Currency">
      <calculatedColumnFormula>G6</calculatedColumnFormula>
    </tableColumn>
    <tableColumn id="9" xr3:uid="{26846F02-1995-4538-A693-9AE1186053CB}" name="No. of Months" dataDxfId="127"/>
    <tableColumn id="10" xr3:uid="{4A1645FB-C402-4D6B-B353-8B9FA96CF7D9}" name="Task Order Rerference" dataDxfId="126"/>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CB1DF7-4843-4EE0-812F-ABA63FFB65D0}" name="Table5" displayName="Table5" ref="A5:J74" totalsRowCount="1" headerRowDxfId="125" totalsRowDxfId="72">
  <autoFilter ref="A5:J73" xr:uid="{64CB1DF7-4843-4EE0-812F-ABA63FFB65D0}"/>
  <tableColumns count="10">
    <tableColumn id="1" xr3:uid="{A32E9CFB-C0B3-4D35-94E6-68BC39F19DFC}" name="Unit" dataDxfId="124" totalsRowDxfId="69"/>
    <tableColumn id="2" xr3:uid="{A66C37A6-0739-4CBC-B213-238F5891E523}" name="Part Number/Description" dataDxfId="123" totalsRowDxfId="68"/>
    <tableColumn id="3" xr3:uid="{A6ACA012-5DB4-49E9-9D64-14DB27710C94}" name="Qty" totalsRowLabel="TOTAL COUNT OF NODES" dataDxfId="71" totalsRowDxfId="67"/>
    <tableColumn id="4" xr3:uid="{09E1F8EA-82B3-4A4E-8568-533D0F1E6606}" name="Asset Name" totalsRowFunction="custom" dataDxfId="70" totalsRowDxfId="66">
      <totalsRowFormula>COUNTA(Table5[Asset Name])</totalsRowFormula>
    </tableColumn>
    <tableColumn id="5" xr3:uid="{20BD67E7-4B60-44C9-B862-1C2DAD6CE8F3}" name="Start" dataDxfId="122" totalsRowDxfId="65"/>
    <tableColumn id="6" xr3:uid="{CD3A08A2-9D4D-433E-814B-4F28DA6A6DE8}" name="End" dataDxfId="121" totalsRowDxfId="64"/>
    <tableColumn id="7" xr3:uid="{C42487CD-DF18-4AAC-911A-A2FECB94150F}" name="Unit Price" totalsRowLabel="   TOTAL OPTION PERIOD 3 " dataDxfId="120" totalsRowDxfId="63" dataCellStyle="Currency">
      <calculatedColumnFormula>_xlfn.LET(_xlpm.p,_xlfn.XLOOKUP(B6,#REF!,#REF!,0),_xlpm.s,E6,_xlpm.e,F6,_xlpm.termEnd, EDATE(_xlpm.s,12)-1, _xlpm.coveredDays, MAX(0,MIN(_xlpm.e, _xlpm.termEnd)-_xlpm.s+1), _xlpm.termDays, _xlpm.termEnd -_xlpm.s + 1, _xlpm.p*_xlpm.coveredDays/_xlpm.termDays)</calculatedColumnFormula>
    </tableColumn>
    <tableColumn id="8" xr3:uid="{C6A653C0-2F25-48F6-BAA7-918175BB6206}" name="Ext Amount" totalsRowFunction="sum" dataDxfId="119" totalsRowDxfId="62" dataCellStyle="Currency">
      <calculatedColumnFormula>G6</calculatedColumnFormula>
    </tableColumn>
    <tableColumn id="9" xr3:uid="{8D53AA1C-EA45-456D-94B6-C41F18054BB6}" name="No. of Months" dataDxfId="118" totalsRowDxfId="61"/>
    <tableColumn id="10" xr3:uid="{B6E2D2FA-49B1-4548-B347-521CF1995FD0}" name="Task Order Rerference" dataDxfId="117" totalsRowDxfId="60"/>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A76C38-E892-45C8-A771-67A7C00BC4DF}" name="Table7" displayName="Table7" ref="A5:J74" totalsRowCount="1" headerRowDxfId="116" totalsRowDxfId="59">
  <autoFilter ref="A5:J73" xr:uid="{F1A76C38-E892-45C8-A771-67A7C00BC4DF}"/>
  <tableColumns count="10">
    <tableColumn id="1" xr3:uid="{6CBC5BBE-7D93-48B1-89C6-CD5F056CABAF}" name="Unit" dataDxfId="115" totalsRowDxfId="56"/>
    <tableColumn id="2" xr3:uid="{8A7D83F1-B756-446B-90D5-37D0DE621D15}" name="Part Number/Description" dataDxfId="114" totalsRowDxfId="55"/>
    <tableColumn id="3" xr3:uid="{BC9C8B50-F16C-4C95-B18C-FF10B5DFCBC3}" name="Qty" totalsRowLabel="TOTAL COUNT OF NODES" dataDxfId="58" totalsRowDxfId="54"/>
    <tableColumn id="4" xr3:uid="{C0955F79-20E8-4087-9D55-7A3AA5A66F08}" name="Asset Name" totalsRowFunction="custom" dataDxfId="57" totalsRowDxfId="53">
      <totalsRowFormula>COUNTA(Table7[Asset Name])</totalsRowFormula>
    </tableColumn>
    <tableColumn id="5" xr3:uid="{9D990C55-2C63-45ED-81CD-9DCA4C1506B5}" name="Start" dataDxfId="113" totalsRowDxfId="52"/>
    <tableColumn id="6" xr3:uid="{AE351898-AF99-479C-95AC-E824A69A06EB}" name="End" dataDxfId="112" totalsRowDxfId="51"/>
    <tableColumn id="7" xr3:uid="{A263144F-5AA9-49B6-9FF0-CB2D12DFE72C}" name="Unit Price" totalsRowLabel="     TOTAL OPTION PERIOD 4 " dataDxfId="111" totalsRowDxfId="50" dataCellStyle="Currency">
      <calculatedColumnFormula>_xlfn.LET(_xlpm.p,_xlfn.XLOOKUP(B6,#REF!,#REF!,0),_xlpm.s,E6,_xlpm.e,F6,_xlpm.termEnd, EDATE(_xlpm.s,12)-1, _xlpm.coveredDays, MAX(0,MIN(_xlpm.e, _xlpm.termEnd)-_xlpm.s+1), _xlpm.termDays, _xlpm.termEnd -_xlpm.s + 1, _xlpm.p*_xlpm.coveredDays/_xlpm.termDays)</calculatedColumnFormula>
    </tableColumn>
    <tableColumn id="8" xr3:uid="{245B5A2B-E69F-4AC5-BB96-A6FA8B50083B}" name="Ext Amount" totalsRowFunction="sum" dataDxfId="110" totalsRowDxfId="49" dataCellStyle="Currency">
      <calculatedColumnFormula>G6</calculatedColumnFormula>
    </tableColumn>
    <tableColumn id="9" xr3:uid="{87D71970-5B9C-4606-B4F8-84EF8956667E}" name="No. of Months" dataDxfId="109" totalsRowDxfId="48"/>
    <tableColumn id="10" xr3:uid="{F9B98479-6A14-46C5-9A02-1B090D3A340E}" name="Task Order Rerference" dataDxfId="108" totalsRowDxfId="47"/>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BD3710-A86D-4076-9D9E-15D1A11C7BDD}" name="Table47" displayName="Table47" ref="A4:D73" totalsRowCount="1" headerRowDxfId="38" dataDxfId="36" totalsRowDxfId="37" headerRowBorderDxfId="141" tableBorderDxfId="140" totalsRowBorderDxfId="139">
  <autoFilter ref="A4:D72" xr:uid="{5BBD3710-A86D-4076-9D9E-15D1A11C7BDD}"/>
  <tableColumns count="4">
    <tableColumn id="1" xr3:uid="{5362D1A9-B600-4833-96D6-51C9F831806E}" name="Unit" dataDxfId="46" totalsRowDxfId="45"/>
    <tableColumn id="2" xr3:uid="{A5B4E59A-C528-41F2-AFFF-CA915AFEB91B}" name="Part Number/Description" totalsRowLabel="TOTAL ASSETS" dataDxfId="44" totalsRowDxfId="43"/>
    <tableColumn id="3" xr3:uid="{691CB6B9-2954-4672-AF53-86DD45CEA29C}" name="Qty" totalsRowFunction="sum" dataDxfId="42" totalsRowDxfId="41"/>
    <tableColumn id="4" xr3:uid="{C94DA286-FDB4-484A-8A4B-EC58E05BC8E3}" name="Asset Name" dataDxfId="40" totalsRowDxfId="39"/>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2B92-3647-418B-B807-3EB6939BDC5F}">
  <dimension ref="A1:K13"/>
  <sheetViews>
    <sheetView tabSelected="1" zoomScale="130" zoomScaleNormal="130" workbookViewId="0">
      <selection activeCell="N8" sqref="N8"/>
    </sheetView>
  </sheetViews>
  <sheetFormatPr defaultRowHeight="14.4" x14ac:dyDescent="0.3"/>
  <cols>
    <col min="2" max="2" width="21.44140625" bestFit="1" customWidth="1"/>
    <col min="3" max="3" width="27.5546875" bestFit="1" customWidth="1"/>
    <col min="4" max="4" width="25.5546875" bestFit="1" customWidth="1"/>
    <col min="5" max="5" width="19.5546875" bestFit="1" customWidth="1"/>
    <col min="6" max="6" width="15.6640625" bestFit="1" customWidth="1"/>
    <col min="11" max="11" width="14.44140625" customWidth="1"/>
  </cols>
  <sheetData>
    <row r="1" spans="1:11" ht="18" x14ac:dyDescent="0.35">
      <c r="A1" s="76" t="s">
        <v>122</v>
      </c>
      <c r="B1" s="62"/>
      <c r="C1" s="62"/>
      <c r="D1" s="62"/>
      <c r="E1" s="62"/>
      <c r="F1" s="62"/>
      <c r="G1" s="62"/>
      <c r="H1" s="62"/>
      <c r="I1" s="62"/>
      <c r="J1" s="62"/>
      <c r="K1" s="62"/>
    </row>
    <row r="2" spans="1:11" ht="18" x14ac:dyDescent="0.35">
      <c r="A2" s="76" t="s">
        <v>79</v>
      </c>
      <c r="B2" s="62"/>
      <c r="C2" s="62"/>
      <c r="D2" s="62"/>
      <c r="E2" s="62"/>
      <c r="F2" s="62"/>
      <c r="G2" s="62"/>
      <c r="H2" s="62"/>
      <c r="I2" s="62"/>
      <c r="J2" s="62"/>
      <c r="K2" s="62"/>
    </row>
    <row r="3" spans="1:11" x14ac:dyDescent="0.3">
      <c r="A3" s="62"/>
      <c r="B3" s="62"/>
      <c r="C3" s="62"/>
      <c r="D3" s="62"/>
      <c r="E3" s="62"/>
      <c r="F3" s="62"/>
      <c r="G3" s="62"/>
      <c r="H3" s="62"/>
      <c r="I3" s="62"/>
      <c r="J3" s="62"/>
      <c r="K3" s="62"/>
    </row>
    <row r="4" spans="1:11" x14ac:dyDescent="0.3">
      <c r="A4" s="62"/>
      <c r="B4" s="62" t="s">
        <v>80</v>
      </c>
      <c r="C4" s="62" t="s">
        <v>81</v>
      </c>
      <c r="D4" s="62" t="s">
        <v>82</v>
      </c>
      <c r="E4" s="62" t="s">
        <v>83</v>
      </c>
      <c r="F4" s="62" t="s">
        <v>84</v>
      </c>
      <c r="G4" s="62"/>
      <c r="H4" s="62"/>
      <c r="I4" s="62"/>
      <c r="J4" s="62"/>
      <c r="K4" s="62"/>
    </row>
    <row r="5" spans="1:11" x14ac:dyDescent="0.3">
      <c r="A5" s="62"/>
      <c r="B5" s="62" t="s">
        <v>85</v>
      </c>
      <c r="C5" s="77">
        <v>46143</v>
      </c>
      <c r="D5" s="77">
        <v>46272</v>
      </c>
      <c r="E5" s="78">
        <v>4</v>
      </c>
      <c r="F5" s="79">
        <f>Table2[[#Totals],[Ext Amount]]</f>
        <v>0</v>
      </c>
      <c r="G5" s="62"/>
      <c r="H5" s="62"/>
      <c r="I5" s="62"/>
      <c r="J5" s="62"/>
      <c r="K5" s="62"/>
    </row>
    <row r="6" spans="1:11" x14ac:dyDescent="0.3">
      <c r="A6" s="62"/>
      <c r="B6" s="62" t="s">
        <v>75</v>
      </c>
      <c r="C6" s="77">
        <f>'[1]Option Year 1'!D5</f>
        <v>46273</v>
      </c>
      <c r="D6" s="77">
        <f>'[1]Option Year 1'!E5</f>
        <v>46637</v>
      </c>
      <c r="E6" s="78">
        <f>(Table1[[#This Row],[Period of Performance End]]-Table1[[#This Row],[Period of Performance Begin ]])/30</f>
        <v>12.133333333333333</v>
      </c>
      <c r="F6" s="79">
        <f>Table3[[#Totals],[Ext Amount]]</f>
        <v>0</v>
      </c>
      <c r="G6" s="62"/>
      <c r="H6" s="62"/>
      <c r="I6" s="62"/>
      <c r="J6" s="62"/>
      <c r="K6" s="62"/>
    </row>
    <row r="7" spans="1:11" x14ac:dyDescent="0.3">
      <c r="A7" s="62"/>
      <c r="B7" s="62" t="s">
        <v>76</v>
      </c>
      <c r="C7" s="77">
        <f>'[1]Option Year 2'!D6</f>
        <v>46638</v>
      </c>
      <c r="D7" s="77">
        <f>'[1]Option Year 2'!E6</f>
        <v>47003</v>
      </c>
      <c r="E7" s="78">
        <f>(Table1[[#This Row],[Period of Performance End]]-Table1[[#This Row],[Period of Performance Begin ]])/30</f>
        <v>12.166666666666666</v>
      </c>
      <c r="F7" s="79">
        <f>'OY2'!H74</f>
        <v>0</v>
      </c>
      <c r="G7" s="62"/>
      <c r="H7" s="62"/>
      <c r="I7" s="62"/>
      <c r="J7" s="62"/>
      <c r="K7" s="62"/>
    </row>
    <row r="8" spans="1:11" x14ac:dyDescent="0.3">
      <c r="A8" s="62"/>
      <c r="B8" s="62" t="s">
        <v>77</v>
      </c>
      <c r="C8" s="77">
        <f>'[1]Option Year 3'!D7</f>
        <v>47004</v>
      </c>
      <c r="D8" s="77">
        <f>'[1]Option Year 3'!E7</f>
        <v>47368</v>
      </c>
      <c r="E8" s="78">
        <f>(Table1[[#This Row],[Period of Performance End]]-Table1[[#This Row],[Period of Performance Begin ]])/30</f>
        <v>12.133333333333333</v>
      </c>
      <c r="F8" s="79">
        <f>Table5[[#Totals],[Ext Amount]]</f>
        <v>0</v>
      </c>
      <c r="G8" s="62"/>
      <c r="H8" s="62"/>
      <c r="I8" s="62"/>
      <c r="J8" s="62"/>
      <c r="K8" s="62"/>
    </row>
    <row r="9" spans="1:11" x14ac:dyDescent="0.3">
      <c r="A9" s="62"/>
      <c r="B9" s="62" t="s">
        <v>78</v>
      </c>
      <c r="C9" s="77">
        <f>'[1]Option Year 4'!D8</f>
        <v>47369</v>
      </c>
      <c r="D9" s="77">
        <f>'[1]Option Year 4'!E8</f>
        <v>47733</v>
      </c>
      <c r="E9" s="78">
        <f>(Table1[[#This Row],[Period of Performance End]]-Table1[[#This Row],[Period of Performance Begin ]])/30</f>
        <v>12.133333333333333</v>
      </c>
      <c r="F9" s="79">
        <f>Table7[[#Totals],[Ext Amount]]</f>
        <v>0</v>
      </c>
      <c r="G9" s="62"/>
      <c r="H9" s="62"/>
      <c r="I9" s="62"/>
      <c r="J9" s="62"/>
      <c r="K9" s="62"/>
    </row>
    <row r="10" spans="1:11" x14ac:dyDescent="0.3">
      <c r="A10" s="62"/>
      <c r="B10" s="62"/>
      <c r="C10" s="62"/>
      <c r="D10" s="62"/>
      <c r="E10" s="80" t="s">
        <v>86</v>
      </c>
      <c r="F10" s="81">
        <f>SUM(F5:F9)</f>
        <v>0</v>
      </c>
      <c r="G10" s="62"/>
      <c r="H10" s="62"/>
      <c r="I10" s="62"/>
      <c r="J10" s="62"/>
      <c r="K10" s="62"/>
    </row>
    <row r="11" spans="1:11" x14ac:dyDescent="0.3">
      <c r="A11" s="62"/>
      <c r="B11" s="62"/>
      <c r="C11" s="62"/>
      <c r="D11" s="62"/>
      <c r="E11" s="62"/>
      <c r="F11" s="62"/>
      <c r="G11" s="62"/>
      <c r="H11" s="62"/>
      <c r="I11" s="62"/>
      <c r="J11" s="62"/>
      <c r="K11" s="62"/>
    </row>
    <row r="12" spans="1:11" ht="49.2" customHeight="1" x14ac:dyDescent="0.3">
      <c r="A12" s="82" t="s">
        <v>128</v>
      </c>
      <c r="B12" s="82"/>
      <c r="C12" s="82"/>
      <c r="D12" s="82"/>
      <c r="E12" s="82"/>
      <c r="F12" s="82"/>
      <c r="G12" s="82"/>
      <c r="H12" s="82"/>
      <c r="I12" s="82"/>
      <c r="J12" s="82"/>
      <c r="K12" s="82"/>
    </row>
    <row r="13" spans="1:11" x14ac:dyDescent="0.3">
      <c r="A13" s="62"/>
      <c r="B13" s="62"/>
      <c r="C13" s="62"/>
      <c r="D13" s="62"/>
      <c r="E13" s="62"/>
      <c r="F13" s="62"/>
      <c r="G13" s="62"/>
      <c r="H13" s="62"/>
      <c r="I13" s="62"/>
      <c r="J13" s="62"/>
      <c r="K13" s="62"/>
    </row>
  </sheetData>
  <sheetProtection algorithmName="SHA-512" hashValue="SWppZo67lPn51zgRhfssiLupnFFRIZOd/4tZXzhgLK7YD+XYtaljb7HdYAkuEIyinwQXKv+kjxOZ7JNjffMqvw==" saltValue="/iQEryNUD01cDSSsHMGEcQ==" spinCount="100000" sheet="1" objects="1" scenarios="1"/>
  <mergeCells count="1">
    <mergeCell ref="A12:K12"/>
  </mergeCells>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CA3C-D10B-4FE3-87E0-8C6ED446AA5B}">
  <dimension ref="A1:K33"/>
  <sheetViews>
    <sheetView workbookViewId="0">
      <selection activeCell="H15" sqref="H15"/>
    </sheetView>
  </sheetViews>
  <sheetFormatPr defaultRowHeight="14.4" x14ac:dyDescent="0.3"/>
  <cols>
    <col min="1" max="1" width="29.109375" bestFit="1" customWidth="1"/>
    <col min="2" max="2" width="31.33203125" bestFit="1" customWidth="1"/>
    <col min="3" max="3" width="32.88671875" bestFit="1" customWidth="1"/>
    <col min="4" max="4" width="36.88671875" bestFit="1" customWidth="1"/>
    <col min="5" max="5" width="34.5546875" bestFit="1" customWidth="1"/>
    <col min="6" max="6" width="16.21875" bestFit="1" customWidth="1"/>
    <col min="7" max="7" width="36.88671875" bestFit="1" customWidth="1"/>
    <col min="8" max="8" width="19.6640625" bestFit="1" customWidth="1"/>
    <col min="9" max="9" width="22.88671875" customWidth="1"/>
    <col min="10" max="10" width="20" bestFit="1" customWidth="1"/>
    <col min="11" max="11" width="25.5546875" customWidth="1"/>
  </cols>
  <sheetData>
    <row r="1" spans="1:11" ht="18" x14ac:dyDescent="0.35">
      <c r="A1" s="3" t="s">
        <v>85</v>
      </c>
    </row>
    <row r="2" spans="1:11" ht="18" x14ac:dyDescent="0.35">
      <c r="A2" s="3"/>
      <c r="B2" s="32" t="s">
        <v>126</v>
      </c>
      <c r="C2" s="32"/>
      <c r="D2" s="32"/>
      <c r="E2" s="32"/>
      <c r="F2" s="32"/>
      <c r="G2" s="32"/>
      <c r="H2" s="32"/>
      <c r="I2" s="32"/>
      <c r="J2" s="32"/>
      <c r="K2" s="32"/>
    </row>
    <row r="3" spans="1:11" ht="15" thickBot="1" x14ac:dyDescent="0.35">
      <c r="A3" s="4"/>
    </row>
    <row r="4" spans="1:11" ht="15" thickBot="1" x14ac:dyDescent="0.35">
      <c r="F4" s="28" t="s">
        <v>69</v>
      </c>
      <c r="G4" s="29"/>
      <c r="H4" s="30" t="s">
        <v>121</v>
      </c>
      <c r="I4" s="31"/>
    </row>
    <row r="5" spans="1:11" x14ac:dyDescent="0.3">
      <c r="A5" s="6" t="s">
        <v>68</v>
      </c>
      <c r="B5" s="6" t="s">
        <v>63</v>
      </c>
      <c r="C5" s="6" t="s">
        <v>66</v>
      </c>
      <c r="D5" s="6" t="s">
        <v>0</v>
      </c>
      <c r="E5" s="6" t="s">
        <v>87</v>
      </c>
      <c r="F5" s="6" t="s">
        <v>64</v>
      </c>
      <c r="G5" s="6" t="s">
        <v>65</v>
      </c>
      <c r="H5" s="16" t="s">
        <v>1</v>
      </c>
      <c r="I5" s="27" t="s">
        <v>67</v>
      </c>
      <c r="J5" s="6" t="s">
        <v>97</v>
      </c>
      <c r="K5" s="6" t="s">
        <v>102</v>
      </c>
    </row>
    <row r="6" spans="1:11" ht="15.6" x14ac:dyDescent="0.3">
      <c r="A6" s="1" t="s">
        <v>45</v>
      </c>
      <c r="B6" s="9" t="s">
        <v>70</v>
      </c>
      <c r="C6" s="9">
        <v>1</v>
      </c>
      <c r="D6" s="9" t="s">
        <v>2</v>
      </c>
      <c r="E6" s="9" t="s">
        <v>88</v>
      </c>
      <c r="F6" s="10">
        <v>46143</v>
      </c>
      <c r="G6" s="10">
        <v>46272</v>
      </c>
      <c r="H6" s="18">
        <v>0</v>
      </c>
      <c r="I6" s="21">
        <f>H6</f>
        <v>0</v>
      </c>
      <c r="J6">
        <f>DATEDIF(Table2[[#This Row],[Start]],Table2[[#This Row],[End]],"m")</f>
        <v>4</v>
      </c>
      <c r="K6" t="s">
        <v>103</v>
      </c>
    </row>
    <row r="7" spans="1:11" ht="15.6" x14ac:dyDescent="0.3">
      <c r="A7" s="1" t="s">
        <v>45</v>
      </c>
      <c r="B7" s="9" t="s">
        <v>70</v>
      </c>
      <c r="C7" s="9">
        <v>1</v>
      </c>
      <c r="D7" s="9" t="s">
        <v>3</v>
      </c>
      <c r="E7" s="9" t="s">
        <v>88</v>
      </c>
      <c r="F7" s="10">
        <v>46143</v>
      </c>
      <c r="G7" s="10">
        <v>46272</v>
      </c>
      <c r="H7" s="18">
        <v>0</v>
      </c>
      <c r="I7" s="21">
        <f t="shared" ref="I7:I27" si="0">H7</f>
        <v>0</v>
      </c>
      <c r="J7">
        <f>DATEDIF(Table2[[#This Row],[Start]],Table2[[#This Row],[End]],"m")</f>
        <v>4</v>
      </c>
      <c r="K7" t="s">
        <v>103</v>
      </c>
    </row>
    <row r="8" spans="1:11" ht="15.6" x14ac:dyDescent="0.3">
      <c r="A8" s="1" t="s">
        <v>45</v>
      </c>
      <c r="B8" s="9" t="s">
        <v>70</v>
      </c>
      <c r="C8" s="9">
        <v>1</v>
      </c>
      <c r="D8" s="9" t="s">
        <v>4</v>
      </c>
      <c r="E8" s="9" t="s">
        <v>88</v>
      </c>
      <c r="F8" s="10">
        <v>46143</v>
      </c>
      <c r="G8" s="10">
        <v>46272</v>
      </c>
      <c r="H8" s="18">
        <v>0</v>
      </c>
      <c r="I8" s="21">
        <f>H8</f>
        <v>0</v>
      </c>
      <c r="J8">
        <f>DATEDIF(Table2[[#This Row],[Start]],Table2[[#This Row],[End]],"m")</f>
        <v>4</v>
      </c>
      <c r="K8" t="s">
        <v>103</v>
      </c>
    </row>
    <row r="9" spans="1:11" ht="15.6" x14ac:dyDescent="0.3">
      <c r="A9" s="1" t="s">
        <v>45</v>
      </c>
      <c r="B9" s="9" t="s">
        <v>70</v>
      </c>
      <c r="C9" s="9">
        <v>1</v>
      </c>
      <c r="D9" s="9" t="s">
        <v>5</v>
      </c>
      <c r="E9" s="9" t="s">
        <v>88</v>
      </c>
      <c r="F9" s="10">
        <v>46143</v>
      </c>
      <c r="G9" s="10">
        <v>46272</v>
      </c>
      <c r="H9" s="18">
        <v>0</v>
      </c>
      <c r="I9" s="21">
        <f t="shared" si="0"/>
        <v>0</v>
      </c>
      <c r="J9">
        <f>DATEDIF(Table2[[#This Row],[Start]],Table2[[#This Row],[End]],"m")</f>
        <v>4</v>
      </c>
      <c r="K9" t="s">
        <v>103</v>
      </c>
    </row>
    <row r="10" spans="1:11" ht="15.6" x14ac:dyDescent="0.3">
      <c r="A10" s="1" t="s">
        <v>45</v>
      </c>
      <c r="B10" s="9" t="s">
        <v>70</v>
      </c>
      <c r="C10" s="9">
        <v>1</v>
      </c>
      <c r="D10" s="9" t="s">
        <v>6</v>
      </c>
      <c r="E10" s="9" t="s">
        <v>88</v>
      </c>
      <c r="F10" s="10">
        <v>46143</v>
      </c>
      <c r="G10" s="10">
        <v>46272</v>
      </c>
      <c r="H10" s="18">
        <v>0</v>
      </c>
      <c r="I10" s="21">
        <f t="shared" si="0"/>
        <v>0</v>
      </c>
      <c r="J10">
        <f>DATEDIF(Table2[[#This Row],[Start]],Table2[[#This Row],[End]],"m")</f>
        <v>4</v>
      </c>
      <c r="K10" t="s">
        <v>103</v>
      </c>
    </row>
    <row r="11" spans="1:11" ht="15.6" x14ac:dyDescent="0.3">
      <c r="A11" s="1" t="s">
        <v>45</v>
      </c>
      <c r="B11" s="9" t="s">
        <v>70</v>
      </c>
      <c r="C11" s="9">
        <v>1</v>
      </c>
      <c r="D11" s="9" t="s">
        <v>7</v>
      </c>
      <c r="E11" s="9" t="s">
        <v>88</v>
      </c>
      <c r="F11" s="10">
        <v>46143</v>
      </c>
      <c r="G11" s="10">
        <v>46272</v>
      </c>
      <c r="H11" s="18">
        <v>0</v>
      </c>
      <c r="I11" s="21">
        <f t="shared" si="0"/>
        <v>0</v>
      </c>
      <c r="J11">
        <f>DATEDIF(Table2[[#This Row],[Start]],Table2[[#This Row],[End]],"m")</f>
        <v>4</v>
      </c>
      <c r="K11" t="s">
        <v>103</v>
      </c>
    </row>
    <row r="12" spans="1:11" ht="15.6" x14ac:dyDescent="0.3">
      <c r="A12" s="1" t="s">
        <v>45</v>
      </c>
      <c r="B12" s="9" t="s">
        <v>70</v>
      </c>
      <c r="C12" s="9">
        <v>1</v>
      </c>
      <c r="D12" s="9" t="s">
        <v>8</v>
      </c>
      <c r="E12" s="9" t="s">
        <v>88</v>
      </c>
      <c r="F12" s="10">
        <v>46143</v>
      </c>
      <c r="G12" s="10">
        <v>46272</v>
      </c>
      <c r="H12" s="18">
        <v>0</v>
      </c>
      <c r="I12" s="21">
        <f t="shared" si="0"/>
        <v>0</v>
      </c>
      <c r="J12">
        <f>DATEDIF(Table2[[#This Row],[Start]],Table2[[#This Row],[End]],"m")</f>
        <v>4</v>
      </c>
      <c r="K12" t="s">
        <v>103</v>
      </c>
    </row>
    <row r="13" spans="1:11" ht="15.6" x14ac:dyDescent="0.3">
      <c r="A13" s="1" t="s">
        <v>45</v>
      </c>
      <c r="B13" s="9" t="s">
        <v>70</v>
      </c>
      <c r="C13" s="9">
        <v>1</v>
      </c>
      <c r="D13" s="9" t="s">
        <v>9</v>
      </c>
      <c r="E13" s="9" t="s">
        <v>88</v>
      </c>
      <c r="F13" s="10">
        <v>46143</v>
      </c>
      <c r="G13" s="10">
        <v>46272</v>
      </c>
      <c r="H13" s="18">
        <v>0</v>
      </c>
      <c r="I13" s="21">
        <f t="shared" si="0"/>
        <v>0</v>
      </c>
      <c r="J13">
        <f>DATEDIF(Table2[[#This Row],[Start]],Table2[[#This Row],[End]],"m")</f>
        <v>4</v>
      </c>
      <c r="K13" t="s">
        <v>103</v>
      </c>
    </row>
    <row r="14" spans="1:11" ht="15.6" x14ac:dyDescent="0.3">
      <c r="A14" s="1" t="s">
        <v>45</v>
      </c>
      <c r="B14" s="9" t="s">
        <v>70</v>
      </c>
      <c r="C14" s="9">
        <v>1</v>
      </c>
      <c r="D14" s="9" t="s">
        <v>10</v>
      </c>
      <c r="E14" s="9" t="s">
        <v>88</v>
      </c>
      <c r="F14" s="10">
        <v>46143</v>
      </c>
      <c r="G14" s="10">
        <v>46272</v>
      </c>
      <c r="H14" s="18">
        <v>0</v>
      </c>
      <c r="I14" s="21">
        <f t="shared" si="0"/>
        <v>0</v>
      </c>
      <c r="J14">
        <f>DATEDIF(Table2[[#This Row],[Start]],Table2[[#This Row],[End]],"m")</f>
        <v>4</v>
      </c>
      <c r="K14" t="s">
        <v>103</v>
      </c>
    </row>
    <row r="15" spans="1:11" ht="15.6" x14ac:dyDescent="0.3">
      <c r="A15" s="1" t="s">
        <v>45</v>
      </c>
      <c r="B15" s="9" t="s">
        <v>70</v>
      </c>
      <c r="C15" s="9">
        <v>1</v>
      </c>
      <c r="D15" s="9" t="s">
        <v>11</v>
      </c>
      <c r="E15" s="9" t="s">
        <v>88</v>
      </c>
      <c r="F15" s="10">
        <v>46143</v>
      </c>
      <c r="G15" s="10">
        <v>46272</v>
      </c>
      <c r="H15" s="18">
        <v>0</v>
      </c>
      <c r="I15" s="21">
        <f t="shared" si="0"/>
        <v>0</v>
      </c>
      <c r="J15">
        <f>DATEDIF(Table2[[#This Row],[Start]],Table2[[#This Row],[End]],"m")</f>
        <v>4</v>
      </c>
      <c r="K15" t="s">
        <v>103</v>
      </c>
    </row>
    <row r="16" spans="1:11" ht="15.6" x14ac:dyDescent="0.3">
      <c r="A16" s="1" t="s">
        <v>45</v>
      </c>
      <c r="B16" s="9" t="s">
        <v>70</v>
      </c>
      <c r="C16" s="9">
        <v>1</v>
      </c>
      <c r="D16" s="9" t="s">
        <v>12</v>
      </c>
      <c r="E16" s="9" t="s">
        <v>88</v>
      </c>
      <c r="F16" s="10">
        <v>46143</v>
      </c>
      <c r="G16" s="10">
        <v>46272</v>
      </c>
      <c r="H16" s="18">
        <v>0</v>
      </c>
      <c r="I16" s="21">
        <f t="shared" si="0"/>
        <v>0</v>
      </c>
      <c r="J16">
        <f>DATEDIF(Table2[[#This Row],[Start]],Table2[[#This Row],[End]],"m")</f>
        <v>4</v>
      </c>
      <c r="K16" t="s">
        <v>103</v>
      </c>
    </row>
    <row r="17" spans="1:11" ht="15.6" x14ac:dyDescent="0.3">
      <c r="A17" s="1" t="s">
        <v>45</v>
      </c>
      <c r="B17" s="9" t="s">
        <v>70</v>
      </c>
      <c r="C17" s="9">
        <v>1</v>
      </c>
      <c r="D17" s="9" t="s">
        <v>13</v>
      </c>
      <c r="E17" s="9" t="s">
        <v>88</v>
      </c>
      <c r="F17" s="10">
        <v>46143</v>
      </c>
      <c r="G17" s="10">
        <v>46272</v>
      </c>
      <c r="H17" s="18">
        <v>0</v>
      </c>
      <c r="I17" s="21">
        <f t="shared" si="0"/>
        <v>0</v>
      </c>
      <c r="J17">
        <f>DATEDIF(Table2[[#This Row],[Start]],Table2[[#This Row],[End]],"m")</f>
        <v>4</v>
      </c>
      <c r="K17" t="s">
        <v>103</v>
      </c>
    </row>
    <row r="18" spans="1:11" ht="15.6" x14ac:dyDescent="0.3">
      <c r="A18" s="1" t="s">
        <v>45</v>
      </c>
      <c r="B18" s="9" t="s">
        <v>70</v>
      </c>
      <c r="C18" s="9">
        <v>1</v>
      </c>
      <c r="D18" s="9" t="s">
        <v>14</v>
      </c>
      <c r="E18" s="9" t="s">
        <v>88</v>
      </c>
      <c r="F18" s="10">
        <v>46143</v>
      </c>
      <c r="G18" s="10">
        <v>46272</v>
      </c>
      <c r="H18" s="18">
        <v>0</v>
      </c>
      <c r="I18" s="21">
        <f t="shared" si="0"/>
        <v>0</v>
      </c>
      <c r="J18">
        <f>DATEDIF(Table2[[#This Row],[Start]],Table2[[#This Row],[End]],"m")</f>
        <v>4</v>
      </c>
      <c r="K18" t="s">
        <v>103</v>
      </c>
    </row>
    <row r="19" spans="1:11" ht="15.6" x14ac:dyDescent="0.3">
      <c r="A19" s="1" t="s">
        <v>45</v>
      </c>
      <c r="B19" s="9" t="s">
        <v>70</v>
      </c>
      <c r="C19" s="9">
        <v>1</v>
      </c>
      <c r="D19" s="9" t="s">
        <v>15</v>
      </c>
      <c r="E19" s="9" t="s">
        <v>88</v>
      </c>
      <c r="F19" s="10">
        <v>46143</v>
      </c>
      <c r="G19" s="10">
        <v>46272</v>
      </c>
      <c r="H19" s="18">
        <v>0</v>
      </c>
      <c r="I19" s="21">
        <f t="shared" si="0"/>
        <v>0</v>
      </c>
      <c r="J19">
        <f>DATEDIF(Table2[[#This Row],[Start]],Table2[[#This Row],[End]],"m")</f>
        <v>4</v>
      </c>
      <c r="K19" t="s">
        <v>103</v>
      </c>
    </row>
    <row r="20" spans="1:11" ht="15.6" x14ac:dyDescent="0.3">
      <c r="A20" s="1" t="s">
        <v>45</v>
      </c>
      <c r="B20" s="9" t="s">
        <v>70</v>
      </c>
      <c r="C20" s="9">
        <v>1</v>
      </c>
      <c r="D20" s="9" t="s">
        <v>16</v>
      </c>
      <c r="E20" s="9" t="s">
        <v>88</v>
      </c>
      <c r="F20" s="10">
        <v>46143</v>
      </c>
      <c r="G20" s="10">
        <v>46272</v>
      </c>
      <c r="H20" s="18">
        <v>0</v>
      </c>
      <c r="I20" s="21">
        <f t="shared" si="0"/>
        <v>0</v>
      </c>
      <c r="J20">
        <f>DATEDIF(Table2[[#This Row],[Start]],Table2[[#This Row],[End]],"m")</f>
        <v>4</v>
      </c>
      <c r="K20" t="s">
        <v>103</v>
      </c>
    </row>
    <row r="21" spans="1:11" ht="15.6" x14ac:dyDescent="0.3">
      <c r="A21" s="1" t="s">
        <v>45</v>
      </c>
      <c r="B21" s="9" t="s">
        <v>70</v>
      </c>
      <c r="C21" s="9">
        <v>1</v>
      </c>
      <c r="D21" s="9" t="s">
        <v>17</v>
      </c>
      <c r="E21" s="9" t="s">
        <v>88</v>
      </c>
      <c r="F21" s="10">
        <v>46143</v>
      </c>
      <c r="G21" s="10">
        <v>46272</v>
      </c>
      <c r="H21" s="18">
        <v>0</v>
      </c>
      <c r="I21" s="21">
        <f t="shared" si="0"/>
        <v>0</v>
      </c>
      <c r="J21">
        <f>DATEDIF(Table2[[#This Row],[Start]],Table2[[#This Row],[End]],"m")</f>
        <v>4</v>
      </c>
      <c r="K21" t="s">
        <v>103</v>
      </c>
    </row>
    <row r="22" spans="1:11" ht="15.6" x14ac:dyDescent="0.3">
      <c r="A22" s="1" t="s">
        <v>45</v>
      </c>
      <c r="B22" s="9" t="s">
        <v>70</v>
      </c>
      <c r="C22" s="9">
        <v>1</v>
      </c>
      <c r="D22" s="9" t="s">
        <v>105</v>
      </c>
      <c r="E22" s="9" t="s">
        <v>88</v>
      </c>
      <c r="F22" s="10">
        <v>46143</v>
      </c>
      <c r="G22" s="10">
        <v>46272</v>
      </c>
      <c r="H22" s="18">
        <v>0</v>
      </c>
      <c r="I22" s="21">
        <f t="shared" si="0"/>
        <v>0</v>
      </c>
      <c r="J22">
        <f>DATEDIF(Table2[[#This Row],[Start]],Table2[[#This Row],[End]],"m")</f>
        <v>4</v>
      </c>
      <c r="K22" t="s">
        <v>103</v>
      </c>
    </row>
    <row r="23" spans="1:11" ht="15.6" x14ac:dyDescent="0.3">
      <c r="A23" s="1" t="s">
        <v>45</v>
      </c>
      <c r="B23" s="9" t="s">
        <v>70</v>
      </c>
      <c r="C23" s="9">
        <v>1</v>
      </c>
      <c r="D23" s="9" t="s">
        <v>104</v>
      </c>
      <c r="E23" s="9" t="s">
        <v>88</v>
      </c>
      <c r="F23" s="10">
        <v>46143</v>
      </c>
      <c r="G23" s="10">
        <v>46272</v>
      </c>
      <c r="H23" s="18">
        <v>0</v>
      </c>
      <c r="I23" s="21">
        <f>H23</f>
        <v>0</v>
      </c>
      <c r="J23">
        <f>DATEDIF(Table2[[#This Row],[Start]],Table2[[#This Row],[End]],"m")</f>
        <v>4</v>
      </c>
      <c r="K23" t="s">
        <v>103</v>
      </c>
    </row>
    <row r="24" spans="1:11" ht="15.6" x14ac:dyDescent="0.3">
      <c r="A24" s="1" t="s">
        <v>45</v>
      </c>
      <c r="B24" s="9" t="s">
        <v>72</v>
      </c>
      <c r="C24" s="9">
        <v>1</v>
      </c>
      <c r="D24" s="9" t="s">
        <v>18</v>
      </c>
      <c r="E24" s="9" t="s">
        <v>88</v>
      </c>
      <c r="F24" s="10">
        <v>46143</v>
      </c>
      <c r="G24" s="10">
        <v>46272</v>
      </c>
      <c r="H24" s="18">
        <v>0</v>
      </c>
      <c r="I24" s="21">
        <f t="shared" si="0"/>
        <v>0</v>
      </c>
      <c r="J24">
        <f>DATEDIF(Table2[[#This Row],[Start]],Table2[[#This Row],[End]],"m")</f>
        <v>4</v>
      </c>
      <c r="K24" t="s">
        <v>103</v>
      </c>
    </row>
    <row r="25" spans="1:11" ht="15.6" x14ac:dyDescent="0.3">
      <c r="A25" s="1" t="s">
        <v>45</v>
      </c>
      <c r="B25" s="9" t="s">
        <v>72</v>
      </c>
      <c r="C25" s="9">
        <v>1</v>
      </c>
      <c r="D25" s="9" t="s">
        <v>19</v>
      </c>
      <c r="E25" s="9" t="s">
        <v>88</v>
      </c>
      <c r="F25" s="10">
        <v>46143</v>
      </c>
      <c r="G25" s="10">
        <v>46272</v>
      </c>
      <c r="H25" s="18">
        <v>0</v>
      </c>
      <c r="I25" s="21">
        <f t="shared" si="0"/>
        <v>0</v>
      </c>
      <c r="J25">
        <f>DATEDIF(Table2[[#This Row],[Start]],Table2[[#This Row],[End]],"m")</f>
        <v>4</v>
      </c>
      <c r="K25" t="s">
        <v>103</v>
      </c>
    </row>
    <row r="26" spans="1:11" ht="15.6" x14ac:dyDescent="0.3">
      <c r="A26" s="1" t="s">
        <v>45</v>
      </c>
      <c r="B26" s="9" t="s">
        <v>72</v>
      </c>
      <c r="C26" s="9">
        <v>1</v>
      </c>
      <c r="D26" s="9" t="s">
        <v>20</v>
      </c>
      <c r="E26" s="9" t="s">
        <v>88</v>
      </c>
      <c r="F26" s="10">
        <v>46143</v>
      </c>
      <c r="G26" s="10">
        <v>46272</v>
      </c>
      <c r="H26" s="18">
        <v>0</v>
      </c>
      <c r="I26" s="21">
        <f t="shared" si="0"/>
        <v>0</v>
      </c>
      <c r="J26">
        <f>DATEDIF(Table2[[#This Row],[Start]],Table2[[#This Row],[End]],"m")</f>
        <v>4</v>
      </c>
      <c r="K26" t="s">
        <v>103</v>
      </c>
    </row>
    <row r="27" spans="1:11" ht="15.6" x14ac:dyDescent="0.3">
      <c r="A27" s="1" t="s">
        <v>45</v>
      </c>
      <c r="B27" s="9" t="s">
        <v>74</v>
      </c>
      <c r="C27" s="9">
        <v>1</v>
      </c>
      <c r="D27" s="9" t="s">
        <v>62</v>
      </c>
      <c r="E27" s="9" t="s">
        <v>88</v>
      </c>
      <c r="F27" s="10">
        <v>46143</v>
      </c>
      <c r="G27" s="10">
        <v>46272</v>
      </c>
      <c r="H27" s="18">
        <v>0</v>
      </c>
      <c r="I27" s="21">
        <f t="shared" si="0"/>
        <v>0</v>
      </c>
      <c r="J27">
        <f>DATEDIF(Table2[[#This Row],[Start]],Table2[[#This Row],[End]],"m")</f>
        <v>4</v>
      </c>
      <c r="K27" t="s">
        <v>103</v>
      </c>
    </row>
    <row r="28" spans="1:11" ht="15.6" x14ac:dyDescent="0.3">
      <c r="A28" s="2" t="s">
        <v>60</v>
      </c>
      <c r="B28" s="9" t="s">
        <v>72</v>
      </c>
      <c r="C28" s="9">
        <v>1</v>
      </c>
      <c r="D28" s="9" t="s">
        <v>46</v>
      </c>
      <c r="E28" s="9" t="s">
        <v>88</v>
      </c>
      <c r="F28" s="10">
        <v>46143</v>
      </c>
      <c r="G28" s="10">
        <v>46272</v>
      </c>
      <c r="H28" s="18">
        <v>0</v>
      </c>
      <c r="I28" s="21">
        <f t="shared" ref="I28:I32" si="1">H28</f>
        <v>0</v>
      </c>
      <c r="J28">
        <f>DATEDIF(Table2[[#This Row],[Start]],Table2[[#This Row],[End]],"m")</f>
        <v>4</v>
      </c>
      <c r="K28" t="s">
        <v>103</v>
      </c>
    </row>
    <row r="29" spans="1:11" ht="15.6" x14ac:dyDescent="0.3">
      <c r="A29" s="2" t="s">
        <v>60</v>
      </c>
      <c r="B29" s="9" t="s">
        <v>72</v>
      </c>
      <c r="C29" s="9">
        <v>1</v>
      </c>
      <c r="D29" s="9" t="s">
        <v>47</v>
      </c>
      <c r="E29" s="9" t="s">
        <v>88</v>
      </c>
      <c r="F29" s="10">
        <v>46143</v>
      </c>
      <c r="G29" s="10">
        <v>46272</v>
      </c>
      <c r="H29" s="18">
        <v>0</v>
      </c>
      <c r="I29" s="21">
        <f t="shared" si="1"/>
        <v>0</v>
      </c>
      <c r="J29">
        <f>DATEDIF(Table2[[#This Row],[Start]],Table2[[#This Row],[End]],"m")</f>
        <v>4</v>
      </c>
      <c r="K29" t="s">
        <v>103</v>
      </c>
    </row>
    <row r="30" spans="1:11" ht="15.6" x14ac:dyDescent="0.3">
      <c r="A30" s="2" t="s">
        <v>60</v>
      </c>
      <c r="B30" s="9" t="s">
        <v>72</v>
      </c>
      <c r="C30" s="9">
        <v>1</v>
      </c>
      <c r="D30" s="9" t="s">
        <v>48</v>
      </c>
      <c r="E30" s="9" t="s">
        <v>88</v>
      </c>
      <c r="F30" s="10">
        <v>46143</v>
      </c>
      <c r="G30" s="10">
        <v>46272</v>
      </c>
      <c r="H30" s="18">
        <v>0</v>
      </c>
      <c r="I30" s="21">
        <f t="shared" si="1"/>
        <v>0</v>
      </c>
      <c r="J30">
        <f>DATEDIF(Table2[[#This Row],[Start]],Table2[[#This Row],[End]],"m")</f>
        <v>4</v>
      </c>
      <c r="K30" t="s">
        <v>103</v>
      </c>
    </row>
    <row r="31" spans="1:11" ht="15.6" x14ac:dyDescent="0.3">
      <c r="A31" s="2" t="s">
        <v>60</v>
      </c>
      <c r="B31" s="9" t="s">
        <v>72</v>
      </c>
      <c r="C31" s="9">
        <v>1</v>
      </c>
      <c r="D31" s="9" t="s">
        <v>49</v>
      </c>
      <c r="E31" s="9" t="s">
        <v>88</v>
      </c>
      <c r="F31" s="10">
        <v>46143</v>
      </c>
      <c r="G31" s="10">
        <v>46272</v>
      </c>
      <c r="H31" s="18">
        <v>0</v>
      </c>
      <c r="I31" s="21">
        <f t="shared" si="1"/>
        <v>0</v>
      </c>
      <c r="J31">
        <f>DATEDIF(Table2[[#This Row],[Start]],Table2[[#This Row],[End]],"m")</f>
        <v>4</v>
      </c>
      <c r="K31" t="s">
        <v>103</v>
      </c>
    </row>
    <row r="32" spans="1:11" ht="15.6" x14ac:dyDescent="0.3">
      <c r="A32" s="2" t="s">
        <v>60</v>
      </c>
      <c r="B32" s="9" t="s">
        <v>72</v>
      </c>
      <c r="C32" s="9">
        <v>1</v>
      </c>
      <c r="D32" s="9" t="s">
        <v>50</v>
      </c>
      <c r="E32" s="9" t="s">
        <v>88</v>
      </c>
      <c r="F32" s="10">
        <v>46143</v>
      </c>
      <c r="G32" s="10">
        <v>46272</v>
      </c>
      <c r="H32" s="18">
        <v>0</v>
      </c>
      <c r="I32" s="21">
        <f t="shared" si="1"/>
        <v>0</v>
      </c>
      <c r="J32">
        <f>DATEDIF(Table2[[#This Row],[Start]],Table2[[#This Row],[End]],"m")</f>
        <v>4</v>
      </c>
      <c r="K32" t="s">
        <v>103</v>
      </c>
    </row>
    <row r="33" spans="1:11" ht="15.6" x14ac:dyDescent="0.3">
      <c r="A33" s="39"/>
      <c r="B33" s="39"/>
      <c r="C33" s="40" t="s">
        <v>127</v>
      </c>
      <c r="D33" s="41">
        <f>COUNTA(Table2[Asset Name])</f>
        <v>27</v>
      </c>
      <c r="E33" s="39"/>
      <c r="F33" s="42"/>
      <c r="G33" s="42"/>
      <c r="H33" s="43" t="s">
        <v>90</v>
      </c>
      <c r="I33" s="46">
        <f>SUBTOTAL(109,Table2[Ext Amount])</f>
        <v>0</v>
      </c>
      <c r="J33" s="45"/>
      <c r="K33" s="45"/>
    </row>
  </sheetData>
  <sheetProtection algorithmName="SHA-512" hashValue="3k7fHnploQuhFR2LS5PmYUwKpnS5VkZy/I6PONLhaILMTHYiRIfaSWzOc/9nFqQrjXMM58eAqTzIjXYgS8CV8g==" saltValue="1mcUUn6eqAyDkzftpYJIfw==" spinCount="100000" sheet="1" objects="1" scenarios="1"/>
  <mergeCells count="3">
    <mergeCell ref="F4:G4"/>
    <mergeCell ref="H4:I4"/>
    <mergeCell ref="B2:K2"/>
  </mergeCells>
  <phoneticPr fontId="5" type="noConversion"/>
  <conditionalFormatting sqref="H6:I32">
    <cfRule type="cellIs" dxfId="29" priority="3" operator="greaterThan">
      <formula>0</formula>
    </cfRule>
    <cfRule type="cellIs" dxfId="28" priority="4" operator="lessThan">
      <formula>1</formula>
    </cfRule>
  </conditionalFormatting>
  <conditionalFormatting sqref="I33">
    <cfRule type="cellIs" dxfId="27" priority="1" operator="lessThan">
      <formula>1</formula>
    </cfRule>
    <cfRule type="cellIs" dxfId="26" priority="2" operator="greaterThan">
      <formula>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2B48-3D5B-49B1-BD31-DB27016EC685}">
  <dimension ref="A1:K71"/>
  <sheetViews>
    <sheetView topLeftCell="A48" workbookViewId="0">
      <selection activeCell="E59" sqref="E59"/>
    </sheetView>
  </sheetViews>
  <sheetFormatPr defaultRowHeight="14.4" x14ac:dyDescent="0.3"/>
  <cols>
    <col min="1" max="1" width="29.109375" bestFit="1" customWidth="1"/>
    <col min="2" max="2" width="54.5546875" customWidth="1"/>
    <col min="3" max="3" width="31.109375" bestFit="1" customWidth="1"/>
    <col min="4" max="4" width="42.88671875" bestFit="1" customWidth="1"/>
    <col min="5" max="5" width="35.5546875" bestFit="1" customWidth="1"/>
    <col min="6" max="6" width="17.5546875" bestFit="1" customWidth="1"/>
    <col min="7" max="7" width="38" bestFit="1" customWidth="1"/>
    <col min="8" max="9" width="34.6640625" bestFit="1" customWidth="1"/>
    <col min="10" max="10" width="17.33203125" style="8" bestFit="1" customWidth="1"/>
    <col min="11" max="11" width="24.6640625" customWidth="1"/>
  </cols>
  <sheetData>
    <row r="1" spans="1:11" ht="18" x14ac:dyDescent="0.35">
      <c r="A1" s="3" t="s">
        <v>75</v>
      </c>
    </row>
    <row r="2" spans="1:11" ht="20.399999999999999" customHeight="1" x14ac:dyDescent="0.3">
      <c r="A2" s="4"/>
      <c r="B2" s="34" t="s">
        <v>126</v>
      </c>
      <c r="C2" s="35"/>
      <c r="D2" s="35"/>
      <c r="E2" s="35"/>
      <c r="F2" s="35"/>
      <c r="G2" s="35"/>
      <c r="H2" s="35"/>
      <c r="I2" s="35"/>
      <c r="J2" s="35"/>
      <c r="K2" s="35"/>
    </row>
    <row r="3" spans="1:11" ht="37.200000000000003" customHeight="1" thickBot="1" x14ac:dyDescent="0.35">
      <c r="A3" s="4"/>
      <c r="B3" s="14"/>
      <c r="C3" s="15"/>
      <c r="D3" s="15"/>
      <c r="E3" s="15"/>
      <c r="F3" s="15"/>
      <c r="G3" s="15"/>
      <c r="H3" s="15"/>
      <c r="I3" s="15"/>
      <c r="J3" s="15"/>
      <c r="K3" s="15"/>
    </row>
    <row r="4" spans="1:11" ht="15" thickBot="1" x14ac:dyDescent="0.35">
      <c r="F4" s="33" t="s">
        <v>69</v>
      </c>
      <c r="G4" s="33"/>
      <c r="H4" s="30" t="s">
        <v>121</v>
      </c>
      <c r="I4" s="31"/>
    </row>
    <row r="5" spans="1:11" x14ac:dyDescent="0.3">
      <c r="A5" s="6" t="s">
        <v>68</v>
      </c>
      <c r="B5" s="6" t="s">
        <v>63</v>
      </c>
      <c r="C5" s="6" t="s">
        <v>66</v>
      </c>
      <c r="D5" s="6" t="s">
        <v>0</v>
      </c>
      <c r="E5" s="6" t="s">
        <v>87</v>
      </c>
      <c r="F5" s="6" t="s">
        <v>64</v>
      </c>
      <c r="G5" s="6" t="s">
        <v>65</v>
      </c>
      <c r="H5" s="16" t="s">
        <v>1</v>
      </c>
      <c r="I5" s="6" t="s">
        <v>67</v>
      </c>
      <c r="J5" s="22" t="s">
        <v>92</v>
      </c>
      <c r="K5" s="6" t="s">
        <v>96</v>
      </c>
    </row>
    <row r="6" spans="1:11" ht="15.6" x14ac:dyDescent="0.3">
      <c r="A6" s="1" t="s">
        <v>45</v>
      </c>
      <c r="B6" s="9" t="s">
        <v>70</v>
      </c>
      <c r="C6" s="9">
        <v>1</v>
      </c>
      <c r="D6" s="9" t="s">
        <v>105</v>
      </c>
      <c r="E6" s="9" t="s">
        <v>89</v>
      </c>
      <c r="F6" s="10">
        <v>46273</v>
      </c>
      <c r="G6" s="10">
        <v>46637</v>
      </c>
      <c r="H6" s="18">
        <v>0</v>
      </c>
      <c r="I6" s="21">
        <f>Table3[[#This Row],[Unit Price]]*Table3[[#This Row],[Qty]]</f>
        <v>0</v>
      </c>
      <c r="J6" s="5">
        <v>12</v>
      </c>
      <c r="K6" t="s">
        <v>93</v>
      </c>
    </row>
    <row r="7" spans="1:11" ht="15.6" x14ac:dyDescent="0.3">
      <c r="A7" s="1" t="s">
        <v>45</v>
      </c>
      <c r="B7" s="9" t="s">
        <v>70</v>
      </c>
      <c r="C7" s="9">
        <v>1</v>
      </c>
      <c r="D7" s="9" t="s">
        <v>104</v>
      </c>
      <c r="E7" s="9" t="s">
        <v>89</v>
      </c>
      <c r="F7" s="10">
        <v>46273</v>
      </c>
      <c r="G7" s="10">
        <v>46637</v>
      </c>
      <c r="H7" s="18">
        <v>0</v>
      </c>
      <c r="I7" s="21">
        <f>Table3[[#This Row],[Unit Price]]*Table3[[#This Row],[Qty]]</f>
        <v>0</v>
      </c>
      <c r="J7" s="5">
        <v>12</v>
      </c>
      <c r="K7" t="s">
        <v>93</v>
      </c>
    </row>
    <row r="8" spans="1:11" ht="15.6" x14ac:dyDescent="0.3">
      <c r="A8" s="1" t="s">
        <v>45</v>
      </c>
      <c r="B8" s="9" t="s">
        <v>70</v>
      </c>
      <c r="C8" s="9">
        <v>1</v>
      </c>
      <c r="D8" s="9" t="s">
        <v>2</v>
      </c>
      <c r="E8" s="9" t="s">
        <v>89</v>
      </c>
      <c r="F8" s="10">
        <v>46273</v>
      </c>
      <c r="G8" s="10">
        <v>46637</v>
      </c>
      <c r="H8" s="18">
        <v>0</v>
      </c>
      <c r="I8" s="21">
        <f>Table3[[#This Row],[Unit Price]]*Table3[[#This Row],[Qty]]</f>
        <v>0</v>
      </c>
      <c r="J8" s="5">
        <v>12</v>
      </c>
      <c r="K8" t="s">
        <v>93</v>
      </c>
    </row>
    <row r="9" spans="1:11" ht="15.6" x14ac:dyDescent="0.3">
      <c r="A9" s="1" t="s">
        <v>45</v>
      </c>
      <c r="B9" s="9" t="s">
        <v>70</v>
      </c>
      <c r="C9" s="9">
        <v>1</v>
      </c>
      <c r="D9" s="9" t="s">
        <v>3</v>
      </c>
      <c r="E9" s="9" t="s">
        <v>89</v>
      </c>
      <c r="F9" s="10">
        <v>46273</v>
      </c>
      <c r="G9" s="10">
        <v>46637</v>
      </c>
      <c r="H9" s="18">
        <v>0</v>
      </c>
      <c r="I9" s="21">
        <f>Table3[[#This Row],[Unit Price]]*Table3[[#This Row],[Qty]]</f>
        <v>0</v>
      </c>
      <c r="J9" s="5">
        <v>12</v>
      </c>
      <c r="K9" t="s">
        <v>93</v>
      </c>
    </row>
    <row r="10" spans="1:11" ht="15.6" x14ac:dyDescent="0.3">
      <c r="A10" s="1" t="s">
        <v>45</v>
      </c>
      <c r="B10" s="9" t="s">
        <v>70</v>
      </c>
      <c r="C10" s="9">
        <v>1</v>
      </c>
      <c r="D10" s="9" t="s">
        <v>4</v>
      </c>
      <c r="E10" s="9" t="s">
        <v>89</v>
      </c>
      <c r="F10" s="10">
        <v>46273</v>
      </c>
      <c r="G10" s="10">
        <v>46637</v>
      </c>
      <c r="H10" s="18">
        <v>0</v>
      </c>
      <c r="I10" s="21">
        <f>Table3[[#This Row],[Unit Price]]*Table3[[#This Row],[Qty]]</f>
        <v>0</v>
      </c>
      <c r="J10" s="5">
        <v>12</v>
      </c>
      <c r="K10" t="s">
        <v>93</v>
      </c>
    </row>
    <row r="11" spans="1:11" ht="15.6" x14ac:dyDescent="0.3">
      <c r="A11" s="1" t="s">
        <v>45</v>
      </c>
      <c r="B11" s="9" t="s">
        <v>70</v>
      </c>
      <c r="C11" s="9">
        <v>1</v>
      </c>
      <c r="D11" s="9" t="s">
        <v>5</v>
      </c>
      <c r="E11" s="9" t="s">
        <v>89</v>
      </c>
      <c r="F11" s="10">
        <v>46273</v>
      </c>
      <c r="G11" s="10">
        <v>46637</v>
      </c>
      <c r="H11" s="18">
        <v>0</v>
      </c>
      <c r="I11" s="21">
        <f>Table3[[#This Row],[Unit Price]]*Table3[[#This Row],[Qty]]</f>
        <v>0</v>
      </c>
      <c r="J11" s="5">
        <v>12</v>
      </c>
      <c r="K11" t="s">
        <v>93</v>
      </c>
    </row>
    <row r="12" spans="1:11" ht="15.6" x14ac:dyDescent="0.3">
      <c r="A12" s="1" t="s">
        <v>45</v>
      </c>
      <c r="B12" s="9" t="s">
        <v>70</v>
      </c>
      <c r="C12" s="9">
        <v>1</v>
      </c>
      <c r="D12" s="9" t="s">
        <v>6</v>
      </c>
      <c r="E12" s="9" t="s">
        <v>89</v>
      </c>
      <c r="F12" s="10">
        <v>46273</v>
      </c>
      <c r="G12" s="10">
        <v>46637</v>
      </c>
      <c r="H12" s="18">
        <v>0</v>
      </c>
      <c r="I12" s="21">
        <f>Table3[[#This Row],[Unit Price]]*Table3[[#This Row],[Qty]]</f>
        <v>0</v>
      </c>
      <c r="J12" s="5">
        <v>12</v>
      </c>
      <c r="K12" t="s">
        <v>93</v>
      </c>
    </row>
    <row r="13" spans="1:11" ht="15.6" x14ac:dyDescent="0.3">
      <c r="A13" s="1" t="s">
        <v>45</v>
      </c>
      <c r="B13" s="9" t="s">
        <v>70</v>
      </c>
      <c r="C13" s="9">
        <v>1</v>
      </c>
      <c r="D13" s="9" t="s">
        <v>7</v>
      </c>
      <c r="E13" s="9" t="s">
        <v>89</v>
      </c>
      <c r="F13" s="10">
        <v>46273</v>
      </c>
      <c r="G13" s="10">
        <v>46637</v>
      </c>
      <c r="H13" s="18">
        <v>0</v>
      </c>
      <c r="I13" s="21">
        <f>Table3[[#This Row],[Unit Price]]*Table3[[#This Row],[Qty]]</f>
        <v>0</v>
      </c>
      <c r="J13" s="5">
        <v>12</v>
      </c>
      <c r="K13" t="s">
        <v>93</v>
      </c>
    </row>
    <row r="14" spans="1:11" ht="15.6" x14ac:dyDescent="0.3">
      <c r="A14" s="1" t="s">
        <v>45</v>
      </c>
      <c r="B14" s="9" t="s">
        <v>70</v>
      </c>
      <c r="C14" s="9">
        <v>1</v>
      </c>
      <c r="D14" s="9" t="s">
        <v>8</v>
      </c>
      <c r="E14" s="9" t="s">
        <v>89</v>
      </c>
      <c r="F14" s="10">
        <v>46273</v>
      </c>
      <c r="G14" s="10">
        <v>46637</v>
      </c>
      <c r="H14" s="18">
        <v>0</v>
      </c>
      <c r="I14" s="21">
        <f>Table3[[#This Row],[Unit Price]]*Table3[[#This Row],[Qty]]</f>
        <v>0</v>
      </c>
      <c r="J14" s="5">
        <v>12</v>
      </c>
      <c r="K14" t="s">
        <v>93</v>
      </c>
    </row>
    <row r="15" spans="1:11" ht="15.6" x14ac:dyDescent="0.3">
      <c r="A15" s="1" t="s">
        <v>45</v>
      </c>
      <c r="B15" s="9" t="s">
        <v>70</v>
      </c>
      <c r="C15" s="9">
        <v>1</v>
      </c>
      <c r="D15" s="9" t="s">
        <v>9</v>
      </c>
      <c r="E15" s="9" t="s">
        <v>89</v>
      </c>
      <c r="F15" s="10">
        <v>46273</v>
      </c>
      <c r="G15" s="10">
        <v>46637</v>
      </c>
      <c r="H15" s="18">
        <v>0</v>
      </c>
      <c r="I15" s="21">
        <f>Table3[[#This Row],[Unit Price]]*Table3[[#This Row],[Qty]]</f>
        <v>0</v>
      </c>
      <c r="J15" s="5">
        <v>12</v>
      </c>
      <c r="K15" t="s">
        <v>93</v>
      </c>
    </row>
    <row r="16" spans="1:11" ht="15.6" x14ac:dyDescent="0.3">
      <c r="A16" s="1" t="s">
        <v>45</v>
      </c>
      <c r="B16" s="9" t="s">
        <v>70</v>
      </c>
      <c r="C16" s="9">
        <v>1</v>
      </c>
      <c r="D16" s="9" t="s">
        <v>10</v>
      </c>
      <c r="E16" s="9" t="s">
        <v>89</v>
      </c>
      <c r="F16" s="10">
        <v>46273</v>
      </c>
      <c r="G16" s="10">
        <v>46637</v>
      </c>
      <c r="H16" s="18">
        <v>0</v>
      </c>
      <c r="I16" s="21">
        <f>Table3[[#This Row],[Unit Price]]*Table3[[#This Row],[Qty]]</f>
        <v>0</v>
      </c>
      <c r="J16" s="5">
        <v>12</v>
      </c>
      <c r="K16" t="s">
        <v>93</v>
      </c>
    </row>
    <row r="17" spans="1:11" ht="15.6" x14ac:dyDescent="0.3">
      <c r="A17" s="1" t="s">
        <v>45</v>
      </c>
      <c r="B17" s="9" t="s">
        <v>70</v>
      </c>
      <c r="C17" s="9">
        <v>1</v>
      </c>
      <c r="D17" s="9" t="s">
        <v>11</v>
      </c>
      <c r="E17" s="9" t="s">
        <v>89</v>
      </c>
      <c r="F17" s="10">
        <v>46273</v>
      </c>
      <c r="G17" s="10">
        <v>46637</v>
      </c>
      <c r="H17" s="18">
        <v>0</v>
      </c>
      <c r="I17" s="21">
        <f>Table3[[#This Row],[Unit Price]]*Table3[[#This Row],[Qty]]</f>
        <v>0</v>
      </c>
      <c r="J17" s="5">
        <v>12</v>
      </c>
      <c r="K17" t="s">
        <v>93</v>
      </c>
    </row>
    <row r="18" spans="1:11" ht="15.6" x14ac:dyDescent="0.3">
      <c r="A18" s="1" t="s">
        <v>45</v>
      </c>
      <c r="B18" s="9" t="s">
        <v>70</v>
      </c>
      <c r="C18" s="9">
        <v>1</v>
      </c>
      <c r="D18" s="9" t="s">
        <v>12</v>
      </c>
      <c r="E18" s="9" t="s">
        <v>89</v>
      </c>
      <c r="F18" s="10">
        <v>46273</v>
      </c>
      <c r="G18" s="10">
        <v>46637</v>
      </c>
      <c r="H18" s="18">
        <v>0</v>
      </c>
      <c r="I18" s="21">
        <f>Table3[[#This Row],[Unit Price]]*Table3[[#This Row],[Qty]]</f>
        <v>0</v>
      </c>
      <c r="J18" s="5">
        <v>12</v>
      </c>
      <c r="K18" t="s">
        <v>93</v>
      </c>
    </row>
    <row r="19" spans="1:11" ht="15.6" x14ac:dyDescent="0.3">
      <c r="A19" s="1" t="s">
        <v>45</v>
      </c>
      <c r="B19" s="9" t="s">
        <v>70</v>
      </c>
      <c r="C19" s="9">
        <v>1</v>
      </c>
      <c r="D19" s="9" t="s">
        <v>13</v>
      </c>
      <c r="E19" s="9" t="s">
        <v>89</v>
      </c>
      <c r="F19" s="10">
        <v>46273</v>
      </c>
      <c r="G19" s="10">
        <v>46637</v>
      </c>
      <c r="H19" s="18">
        <v>0</v>
      </c>
      <c r="I19" s="21">
        <f>Table3[[#This Row],[Unit Price]]*Table3[[#This Row],[Qty]]</f>
        <v>0</v>
      </c>
      <c r="J19" s="5">
        <v>12</v>
      </c>
      <c r="K19" t="s">
        <v>93</v>
      </c>
    </row>
    <row r="20" spans="1:11" ht="15.6" x14ac:dyDescent="0.3">
      <c r="A20" s="1" t="s">
        <v>45</v>
      </c>
      <c r="B20" s="9" t="s">
        <v>70</v>
      </c>
      <c r="C20" s="9">
        <v>1</v>
      </c>
      <c r="D20" s="9" t="s">
        <v>14</v>
      </c>
      <c r="E20" s="9" t="s">
        <v>89</v>
      </c>
      <c r="F20" s="10">
        <v>46273</v>
      </c>
      <c r="G20" s="10">
        <v>46637</v>
      </c>
      <c r="H20" s="18">
        <v>0</v>
      </c>
      <c r="I20" s="21">
        <f>Table3[[#This Row],[Unit Price]]*Table3[[#This Row],[Qty]]</f>
        <v>0</v>
      </c>
      <c r="J20" s="5">
        <v>12</v>
      </c>
      <c r="K20" t="s">
        <v>93</v>
      </c>
    </row>
    <row r="21" spans="1:11" ht="15.6" x14ac:dyDescent="0.3">
      <c r="A21" s="1" t="s">
        <v>45</v>
      </c>
      <c r="B21" s="9" t="s">
        <v>70</v>
      </c>
      <c r="C21" s="9">
        <v>1</v>
      </c>
      <c r="D21" s="9" t="s">
        <v>15</v>
      </c>
      <c r="E21" s="9" t="s">
        <v>89</v>
      </c>
      <c r="F21" s="10">
        <v>46273</v>
      </c>
      <c r="G21" s="10">
        <v>46637</v>
      </c>
      <c r="H21" s="18">
        <v>0</v>
      </c>
      <c r="I21" s="21">
        <f>Table3[[#This Row],[Unit Price]]*Table3[[#This Row],[Qty]]</f>
        <v>0</v>
      </c>
      <c r="J21" s="5">
        <v>12</v>
      </c>
      <c r="K21" t="s">
        <v>93</v>
      </c>
    </row>
    <row r="22" spans="1:11" ht="15.6" x14ac:dyDescent="0.3">
      <c r="A22" s="1" t="s">
        <v>45</v>
      </c>
      <c r="B22" s="9" t="s">
        <v>70</v>
      </c>
      <c r="C22" s="9">
        <v>1</v>
      </c>
      <c r="D22" s="9" t="s">
        <v>16</v>
      </c>
      <c r="E22" s="9" t="s">
        <v>89</v>
      </c>
      <c r="F22" s="10">
        <v>46273</v>
      </c>
      <c r="G22" s="10">
        <v>46637</v>
      </c>
      <c r="H22" s="18">
        <v>0</v>
      </c>
      <c r="I22" s="21">
        <f>Table3[[#This Row],[Unit Price]]*Table3[[#This Row],[Qty]]</f>
        <v>0</v>
      </c>
      <c r="J22" s="5">
        <v>12</v>
      </c>
      <c r="K22" t="s">
        <v>93</v>
      </c>
    </row>
    <row r="23" spans="1:11" ht="15.6" x14ac:dyDescent="0.3">
      <c r="A23" s="1" t="s">
        <v>45</v>
      </c>
      <c r="B23" s="9" t="s">
        <v>70</v>
      </c>
      <c r="C23" s="9">
        <v>1</v>
      </c>
      <c r="D23" s="9" t="s">
        <v>17</v>
      </c>
      <c r="E23" s="9" t="s">
        <v>89</v>
      </c>
      <c r="F23" s="10">
        <v>46273</v>
      </c>
      <c r="G23" s="10">
        <v>46637</v>
      </c>
      <c r="H23" s="18">
        <v>0</v>
      </c>
      <c r="I23" s="21">
        <f>Table3[[#This Row],[Unit Price]]*Table3[[#This Row],[Qty]]</f>
        <v>0</v>
      </c>
      <c r="J23" s="5">
        <v>12</v>
      </c>
      <c r="K23" t="s">
        <v>93</v>
      </c>
    </row>
    <row r="24" spans="1:11" ht="15.6" x14ac:dyDescent="0.3">
      <c r="A24" s="1" t="s">
        <v>45</v>
      </c>
      <c r="B24" s="9" t="s">
        <v>70</v>
      </c>
      <c r="C24" s="9">
        <v>1</v>
      </c>
      <c r="D24" s="9" t="s">
        <v>28</v>
      </c>
      <c r="E24" s="9" t="s">
        <v>89</v>
      </c>
      <c r="F24" s="10">
        <v>46273</v>
      </c>
      <c r="G24" s="10">
        <v>46637</v>
      </c>
      <c r="H24" s="18">
        <v>0</v>
      </c>
      <c r="I24" s="21">
        <f>Table3[[#This Row],[Unit Price]]*Table3[[#This Row],[Qty]]</f>
        <v>0</v>
      </c>
      <c r="J24" s="5">
        <v>12</v>
      </c>
      <c r="K24" t="s">
        <v>93</v>
      </c>
    </row>
    <row r="25" spans="1:11" ht="15.6" x14ac:dyDescent="0.3">
      <c r="A25" s="1" t="s">
        <v>45</v>
      </c>
      <c r="B25" s="9" t="s">
        <v>70</v>
      </c>
      <c r="C25" s="9">
        <v>1</v>
      </c>
      <c r="D25" s="9" t="s">
        <v>29</v>
      </c>
      <c r="E25" s="9" t="s">
        <v>89</v>
      </c>
      <c r="F25" s="10">
        <v>46273</v>
      </c>
      <c r="G25" s="10">
        <v>46637</v>
      </c>
      <c r="H25" s="18">
        <v>0</v>
      </c>
      <c r="I25" s="21">
        <f>Table3[[#This Row],[Unit Price]]*Table3[[#This Row],[Qty]]</f>
        <v>0</v>
      </c>
      <c r="J25" s="5">
        <v>12</v>
      </c>
      <c r="K25" t="s">
        <v>93</v>
      </c>
    </row>
    <row r="26" spans="1:11" ht="15.6" x14ac:dyDescent="0.3">
      <c r="A26" s="1" t="s">
        <v>45</v>
      </c>
      <c r="B26" s="9" t="s">
        <v>70</v>
      </c>
      <c r="C26" s="9">
        <v>1</v>
      </c>
      <c r="D26" s="9" t="s">
        <v>30</v>
      </c>
      <c r="E26" s="9" t="s">
        <v>89</v>
      </c>
      <c r="F26" s="10">
        <v>46273</v>
      </c>
      <c r="G26" s="10">
        <v>46637</v>
      </c>
      <c r="H26" s="18">
        <v>0</v>
      </c>
      <c r="I26" s="21">
        <f>Table3[[#This Row],[Unit Price]]*Table3[[#This Row],[Qty]]</f>
        <v>0</v>
      </c>
      <c r="J26" s="5">
        <v>12</v>
      </c>
      <c r="K26" t="s">
        <v>93</v>
      </c>
    </row>
    <row r="27" spans="1:11" ht="15.6" x14ac:dyDescent="0.3">
      <c r="A27" s="1" t="s">
        <v>45</v>
      </c>
      <c r="B27" s="9" t="s">
        <v>70</v>
      </c>
      <c r="C27" s="9">
        <v>1</v>
      </c>
      <c r="D27" s="9" t="s">
        <v>31</v>
      </c>
      <c r="E27" s="9" t="s">
        <v>89</v>
      </c>
      <c r="F27" s="10">
        <v>46273</v>
      </c>
      <c r="G27" s="10">
        <v>46637</v>
      </c>
      <c r="H27" s="18">
        <v>0</v>
      </c>
      <c r="I27" s="21">
        <f>Table3[[#This Row],[Unit Price]]*Table3[[#This Row],[Qty]]</f>
        <v>0</v>
      </c>
      <c r="J27" s="5">
        <v>12</v>
      </c>
      <c r="K27" t="s">
        <v>93</v>
      </c>
    </row>
    <row r="28" spans="1:11" ht="15.6" x14ac:dyDescent="0.3">
      <c r="A28" s="1" t="s">
        <v>45</v>
      </c>
      <c r="B28" s="9" t="s">
        <v>70</v>
      </c>
      <c r="C28" s="9">
        <v>1</v>
      </c>
      <c r="D28" s="9" t="s">
        <v>32</v>
      </c>
      <c r="E28" s="9" t="s">
        <v>89</v>
      </c>
      <c r="F28" s="10">
        <v>46273</v>
      </c>
      <c r="G28" s="10">
        <v>46637</v>
      </c>
      <c r="H28" s="18">
        <v>0</v>
      </c>
      <c r="I28" s="21">
        <f>Table3[[#This Row],[Unit Price]]*Table3[[#This Row],[Qty]]</f>
        <v>0</v>
      </c>
      <c r="J28" s="5">
        <v>12</v>
      </c>
      <c r="K28" t="s">
        <v>93</v>
      </c>
    </row>
    <row r="29" spans="1:11" ht="15.6" x14ac:dyDescent="0.3">
      <c r="A29" s="1" t="s">
        <v>45</v>
      </c>
      <c r="B29" s="9" t="s">
        <v>70</v>
      </c>
      <c r="C29" s="9">
        <v>1</v>
      </c>
      <c r="D29" s="9" t="s">
        <v>33</v>
      </c>
      <c r="E29" s="9" t="s">
        <v>89</v>
      </c>
      <c r="F29" s="10">
        <v>46273</v>
      </c>
      <c r="G29" s="10">
        <v>46637</v>
      </c>
      <c r="H29" s="18">
        <v>0</v>
      </c>
      <c r="I29" s="21">
        <f>Table3[[#This Row],[Unit Price]]*Table3[[#This Row],[Qty]]</f>
        <v>0</v>
      </c>
      <c r="J29" s="5">
        <v>12</v>
      </c>
      <c r="K29" t="s">
        <v>93</v>
      </c>
    </row>
    <row r="30" spans="1:11" ht="15.6" x14ac:dyDescent="0.3">
      <c r="A30" s="1" t="s">
        <v>45</v>
      </c>
      <c r="B30" s="9" t="s">
        <v>70</v>
      </c>
      <c r="C30" s="9">
        <v>1</v>
      </c>
      <c r="D30" s="9" t="s">
        <v>34</v>
      </c>
      <c r="E30" s="9" t="s">
        <v>89</v>
      </c>
      <c r="F30" s="10">
        <v>46273</v>
      </c>
      <c r="G30" s="10">
        <v>46637</v>
      </c>
      <c r="H30" s="18">
        <v>0</v>
      </c>
      <c r="I30" s="21">
        <f>Table3[[#This Row],[Unit Price]]*Table3[[#This Row],[Qty]]</f>
        <v>0</v>
      </c>
      <c r="J30" s="5">
        <v>12</v>
      </c>
      <c r="K30" t="s">
        <v>93</v>
      </c>
    </row>
    <row r="31" spans="1:11" ht="15.6" x14ac:dyDescent="0.3">
      <c r="A31" s="1" t="s">
        <v>45</v>
      </c>
      <c r="B31" s="9" t="s">
        <v>70</v>
      </c>
      <c r="C31" s="9">
        <v>1</v>
      </c>
      <c r="D31" s="9" t="s">
        <v>35</v>
      </c>
      <c r="E31" s="9" t="s">
        <v>89</v>
      </c>
      <c r="F31" s="10">
        <v>46273</v>
      </c>
      <c r="G31" s="10">
        <v>46637</v>
      </c>
      <c r="H31" s="18">
        <v>0</v>
      </c>
      <c r="I31" s="21">
        <f>Table3[[#This Row],[Unit Price]]*Table3[[#This Row],[Qty]]</f>
        <v>0</v>
      </c>
      <c r="J31" s="5">
        <v>12</v>
      </c>
      <c r="K31" t="s">
        <v>93</v>
      </c>
    </row>
    <row r="32" spans="1:11" ht="15.6" x14ac:dyDescent="0.3">
      <c r="A32" s="1" t="s">
        <v>45</v>
      </c>
      <c r="B32" s="9" t="s">
        <v>70</v>
      </c>
      <c r="C32" s="9">
        <v>1</v>
      </c>
      <c r="D32" s="9" t="s">
        <v>36</v>
      </c>
      <c r="E32" s="9" t="s">
        <v>89</v>
      </c>
      <c r="F32" s="10">
        <v>46273</v>
      </c>
      <c r="G32" s="10">
        <v>46637</v>
      </c>
      <c r="H32" s="18">
        <v>0</v>
      </c>
      <c r="I32" s="21">
        <f>Table3[[#This Row],[Unit Price]]*Table3[[#This Row],[Qty]]</f>
        <v>0</v>
      </c>
      <c r="J32" s="5">
        <v>12</v>
      </c>
      <c r="K32" t="s">
        <v>93</v>
      </c>
    </row>
    <row r="33" spans="1:11" ht="15.6" x14ac:dyDescent="0.3">
      <c r="A33" s="1" t="s">
        <v>45</v>
      </c>
      <c r="B33" s="9" t="s">
        <v>70</v>
      </c>
      <c r="C33" s="11">
        <v>1</v>
      </c>
      <c r="D33" s="9" t="s">
        <v>37</v>
      </c>
      <c r="E33" s="9" t="s">
        <v>89</v>
      </c>
      <c r="F33" s="10">
        <v>46273</v>
      </c>
      <c r="G33" s="10">
        <v>46637</v>
      </c>
      <c r="H33" s="18">
        <v>0</v>
      </c>
      <c r="I33" s="21">
        <f>Table3[[#This Row],[Unit Price]]*Table3[[#This Row],[Qty]]</f>
        <v>0</v>
      </c>
      <c r="J33" s="5">
        <v>12</v>
      </c>
      <c r="K33" t="s">
        <v>93</v>
      </c>
    </row>
    <row r="34" spans="1:11" ht="15.6" x14ac:dyDescent="0.3">
      <c r="A34" s="1" t="s">
        <v>45</v>
      </c>
      <c r="B34" s="9" t="s">
        <v>70</v>
      </c>
      <c r="C34" s="11">
        <v>1</v>
      </c>
      <c r="D34" s="9" t="s">
        <v>38</v>
      </c>
      <c r="E34" s="9" t="s">
        <v>89</v>
      </c>
      <c r="F34" s="10">
        <v>46273</v>
      </c>
      <c r="G34" s="10">
        <v>46637</v>
      </c>
      <c r="H34" s="18">
        <v>0</v>
      </c>
      <c r="I34" s="21">
        <f>Table3[[#This Row],[Unit Price]]*Table3[[#This Row],[Qty]]</f>
        <v>0</v>
      </c>
      <c r="J34" s="5">
        <v>12</v>
      </c>
      <c r="K34" t="s">
        <v>93</v>
      </c>
    </row>
    <row r="35" spans="1:11" ht="15.6" x14ac:dyDescent="0.3">
      <c r="A35" s="1" t="s">
        <v>45</v>
      </c>
      <c r="B35" s="9" t="s">
        <v>70</v>
      </c>
      <c r="C35" s="11">
        <v>1</v>
      </c>
      <c r="D35" s="9" t="s">
        <v>39</v>
      </c>
      <c r="E35" s="9" t="s">
        <v>89</v>
      </c>
      <c r="F35" s="10">
        <v>46273</v>
      </c>
      <c r="G35" s="10">
        <v>46637</v>
      </c>
      <c r="H35" s="18">
        <v>0</v>
      </c>
      <c r="I35" s="21">
        <f>Table3[[#This Row],[Unit Price]]*Table3[[#This Row],[Qty]]</f>
        <v>0</v>
      </c>
      <c r="J35" s="5">
        <v>12</v>
      </c>
      <c r="K35" t="s">
        <v>93</v>
      </c>
    </row>
    <row r="36" spans="1:11" ht="15.6" x14ac:dyDescent="0.3">
      <c r="A36" s="1" t="s">
        <v>45</v>
      </c>
      <c r="B36" s="9" t="s">
        <v>70</v>
      </c>
      <c r="C36" s="11">
        <v>1</v>
      </c>
      <c r="D36" s="9" t="s">
        <v>40</v>
      </c>
      <c r="E36" s="9" t="s">
        <v>89</v>
      </c>
      <c r="F36" s="10">
        <v>46273</v>
      </c>
      <c r="G36" s="10">
        <v>46637</v>
      </c>
      <c r="H36" s="18">
        <v>0</v>
      </c>
      <c r="I36" s="21">
        <f>Table3[[#This Row],[Unit Price]]*Table3[[#This Row],[Qty]]</f>
        <v>0</v>
      </c>
      <c r="J36" s="5">
        <v>12</v>
      </c>
      <c r="K36" t="s">
        <v>93</v>
      </c>
    </row>
    <row r="37" spans="1:11" ht="15.6" x14ac:dyDescent="0.3">
      <c r="A37" s="1" t="s">
        <v>45</v>
      </c>
      <c r="B37" s="9" t="s">
        <v>73</v>
      </c>
      <c r="C37" s="11">
        <v>1</v>
      </c>
      <c r="D37" s="9" t="s">
        <v>26</v>
      </c>
      <c r="E37" s="9" t="s">
        <v>89</v>
      </c>
      <c r="F37" s="10">
        <v>46273</v>
      </c>
      <c r="G37" s="10">
        <v>46637</v>
      </c>
      <c r="H37" s="18">
        <v>0</v>
      </c>
      <c r="I37" s="21">
        <f>Table3[[#This Row],[Unit Price]]*Table3[[#This Row],[Qty]]</f>
        <v>0</v>
      </c>
      <c r="J37" s="5">
        <v>12</v>
      </c>
      <c r="K37" t="s">
        <v>93</v>
      </c>
    </row>
    <row r="38" spans="1:11" ht="15.6" x14ac:dyDescent="0.3">
      <c r="A38" s="1" t="s">
        <v>45</v>
      </c>
      <c r="B38" s="9" t="s">
        <v>73</v>
      </c>
      <c r="C38" s="11">
        <v>1</v>
      </c>
      <c r="D38" s="9" t="s">
        <v>27</v>
      </c>
      <c r="E38" s="9" t="s">
        <v>89</v>
      </c>
      <c r="F38" s="10">
        <v>46273</v>
      </c>
      <c r="G38" s="10">
        <v>46637</v>
      </c>
      <c r="H38" s="18">
        <v>0</v>
      </c>
      <c r="I38" s="21">
        <f>Table3[[#This Row],[Unit Price]]*Table3[[#This Row],[Qty]]</f>
        <v>0</v>
      </c>
      <c r="J38" s="5">
        <v>12</v>
      </c>
      <c r="K38" t="s">
        <v>93</v>
      </c>
    </row>
    <row r="39" spans="1:11" ht="15.6" x14ac:dyDescent="0.3">
      <c r="A39" s="1" t="s">
        <v>45</v>
      </c>
      <c r="B39" s="9" t="s">
        <v>71</v>
      </c>
      <c r="C39" s="11">
        <v>1</v>
      </c>
      <c r="D39" s="9" t="s">
        <v>21</v>
      </c>
      <c r="E39" s="9" t="s">
        <v>89</v>
      </c>
      <c r="F39" s="10">
        <v>46273</v>
      </c>
      <c r="G39" s="10">
        <v>46637</v>
      </c>
      <c r="H39" s="18">
        <v>0</v>
      </c>
      <c r="I39" s="21">
        <f>Table3[[#This Row],[Unit Price]]*Table3[[#This Row],[Qty]]</f>
        <v>0</v>
      </c>
      <c r="J39" s="5">
        <v>12</v>
      </c>
      <c r="K39" t="s">
        <v>93</v>
      </c>
    </row>
    <row r="40" spans="1:11" ht="15.6" x14ac:dyDescent="0.3">
      <c r="A40" s="1" t="s">
        <v>45</v>
      </c>
      <c r="B40" s="9" t="s">
        <v>71</v>
      </c>
      <c r="C40" s="11">
        <v>1</v>
      </c>
      <c r="D40" s="9" t="s">
        <v>22</v>
      </c>
      <c r="E40" s="9" t="s">
        <v>89</v>
      </c>
      <c r="F40" s="10">
        <v>46273</v>
      </c>
      <c r="G40" s="10">
        <v>46637</v>
      </c>
      <c r="H40" s="18">
        <v>0</v>
      </c>
      <c r="I40" s="21">
        <f>Table3[[#This Row],[Unit Price]]*Table3[[#This Row],[Qty]]</f>
        <v>0</v>
      </c>
      <c r="J40" s="5">
        <v>12</v>
      </c>
      <c r="K40" t="s">
        <v>93</v>
      </c>
    </row>
    <row r="41" spans="1:11" ht="15.6" x14ac:dyDescent="0.3">
      <c r="A41" s="1" t="s">
        <v>45</v>
      </c>
      <c r="B41" s="9" t="s">
        <v>71</v>
      </c>
      <c r="C41" s="11">
        <v>1</v>
      </c>
      <c r="D41" s="9" t="s">
        <v>23</v>
      </c>
      <c r="E41" s="9" t="s">
        <v>89</v>
      </c>
      <c r="F41" s="10">
        <v>46273</v>
      </c>
      <c r="G41" s="10">
        <v>46637</v>
      </c>
      <c r="H41" s="18">
        <v>0</v>
      </c>
      <c r="I41" s="21">
        <f>Table3[[#This Row],[Unit Price]]*Table3[[#This Row],[Qty]]</f>
        <v>0</v>
      </c>
      <c r="J41" s="5">
        <v>12</v>
      </c>
      <c r="K41" t="s">
        <v>93</v>
      </c>
    </row>
    <row r="42" spans="1:11" ht="15.6" x14ac:dyDescent="0.3">
      <c r="A42" s="1" t="s">
        <v>45</v>
      </c>
      <c r="B42" s="9" t="s">
        <v>71</v>
      </c>
      <c r="C42" s="11">
        <v>1</v>
      </c>
      <c r="D42" s="9" t="s">
        <v>24</v>
      </c>
      <c r="E42" s="9" t="s">
        <v>89</v>
      </c>
      <c r="F42" s="10">
        <v>46273</v>
      </c>
      <c r="G42" s="10">
        <v>46637</v>
      </c>
      <c r="H42" s="18">
        <v>0</v>
      </c>
      <c r="I42" s="21">
        <f>Table3[[#This Row],[Unit Price]]*Table3[[#This Row],[Qty]]</f>
        <v>0</v>
      </c>
      <c r="J42" s="5">
        <v>12</v>
      </c>
      <c r="K42" t="s">
        <v>93</v>
      </c>
    </row>
    <row r="43" spans="1:11" ht="15.6" x14ac:dyDescent="0.3">
      <c r="A43" s="1" t="s">
        <v>45</v>
      </c>
      <c r="B43" s="9" t="s">
        <v>71</v>
      </c>
      <c r="C43" s="11">
        <v>1</v>
      </c>
      <c r="D43" s="9" t="s">
        <v>25</v>
      </c>
      <c r="E43" s="9" t="s">
        <v>89</v>
      </c>
      <c r="F43" s="10">
        <v>46273</v>
      </c>
      <c r="G43" s="10">
        <v>46637</v>
      </c>
      <c r="H43" s="18">
        <v>0</v>
      </c>
      <c r="I43" s="21">
        <f>Table3[[#This Row],[Unit Price]]*Table3[[#This Row],[Qty]]</f>
        <v>0</v>
      </c>
      <c r="J43" s="5">
        <v>12</v>
      </c>
      <c r="K43" t="s">
        <v>93</v>
      </c>
    </row>
    <row r="44" spans="1:11" ht="15.6" x14ac:dyDescent="0.3">
      <c r="A44" s="1" t="s">
        <v>45</v>
      </c>
      <c r="B44" s="9" t="s">
        <v>72</v>
      </c>
      <c r="C44" s="11">
        <v>1</v>
      </c>
      <c r="D44" s="9" t="s">
        <v>18</v>
      </c>
      <c r="E44" s="9" t="s">
        <v>89</v>
      </c>
      <c r="F44" s="10">
        <v>46273</v>
      </c>
      <c r="G44" s="10">
        <v>46637</v>
      </c>
      <c r="H44" s="18">
        <v>0</v>
      </c>
      <c r="I44" s="21">
        <f>Table3[[#This Row],[Unit Price]]*Table3[[#This Row],[Qty]]</f>
        <v>0</v>
      </c>
      <c r="J44" s="5">
        <v>12</v>
      </c>
      <c r="K44" t="s">
        <v>93</v>
      </c>
    </row>
    <row r="45" spans="1:11" ht="15.6" x14ac:dyDescent="0.3">
      <c r="A45" s="1" t="s">
        <v>45</v>
      </c>
      <c r="B45" s="9" t="s">
        <v>72</v>
      </c>
      <c r="C45" s="11">
        <v>1</v>
      </c>
      <c r="D45" s="9" t="s">
        <v>19</v>
      </c>
      <c r="E45" s="9" t="s">
        <v>89</v>
      </c>
      <c r="F45" s="10">
        <v>46273</v>
      </c>
      <c r="G45" s="10">
        <v>46637</v>
      </c>
      <c r="H45" s="18">
        <v>0</v>
      </c>
      <c r="I45" s="21">
        <f>Table3[[#This Row],[Unit Price]]*Table3[[#This Row],[Qty]]</f>
        <v>0</v>
      </c>
      <c r="J45" s="5">
        <v>12</v>
      </c>
      <c r="K45" t="s">
        <v>93</v>
      </c>
    </row>
    <row r="46" spans="1:11" ht="15.6" x14ac:dyDescent="0.3">
      <c r="A46" s="1" t="s">
        <v>45</v>
      </c>
      <c r="B46" s="9" t="s">
        <v>72</v>
      </c>
      <c r="C46" s="11">
        <v>1</v>
      </c>
      <c r="D46" s="9" t="s">
        <v>20</v>
      </c>
      <c r="E46" s="9" t="s">
        <v>89</v>
      </c>
      <c r="F46" s="10">
        <v>46273</v>
      </c>
      <c r="G46" s="10">
        <v>46637</v>
      </c>
      <c r="H46" s="18">
        <v>0</v>
      </c>
      <c r="I46" s="21">
        <f>Table3[[#This Row],[Unit Price]]*Table3[[#This Row],[Qty]]</f>
        <v>0</v>
      </c>
      <c r="J46" s="5">
        <v>12</v>
      </c>
      <c r="K46" t="s">
        <v>93</v>
      </c>
    </row>
    <row r="47" spans="1:11" ht="15.6" x14ac:dyDescent="0.3">
      <c r="A47" s="1" t="s">
        <v>45</v>
      </c>
      <c r="B47" s="9" t="s">
        <v>74</v>
      </c>
      <c r="C47" s="11">
        <v>1</v>
      </c>
      <c r="D47" s="9" t="s">
        <v>62</v>
      </c>
      <c r="E47" s="9" t="s">
        <v>89</v>
      </c>
      <c r="F47" s="10">
        <v>46273</v>
      </c>
      <c r="G47" s="10">
        <v>46637</v>
      </c>
      <c r="H47" s="18">
        <v>0</v>
      </c>
      <c r="I47" s="21">
        <f>Table3[[#This Row],[Unit Price]]*Table3[[#This Row],[Qty]]</f>
        <v>0</v>
      </c>
      <c r="J47" s="5">
        <v>12</v>
      </c>
      <c r="K47" t="s">
        <v>93</v>
      </c>
    </row>
    <row r="48" spans="1:11" ht="15.6" x14ac:dyDescent="0.3">
      <c r="A48" s="2" t="s">
        <v>60</v>
      </c>
      <c r="B48" s="9" t="s">
        <v>72</v>
      </c>
      <c r="C48" s="11">
        <v>1</v>
      </c>
      <c r="D48" s="9" t="s">
        <v>46</v>
      </c>
      <c r="E48" s="9" t="s">
        <v>89</v>
      </c>
      <c r="F48" s="10">
        <v>46273</v>
      </c>
      <c r="G48" s="10">
        <v>46637</v>
      </c>
      <c r="H48" s="18">
        <v>0</v>
      </c>
      <c r="I48" s="21">
        <f>Table3[[#This Row],[Unit Price]]*Table3[[#This Row],[Qty]]</f>
        <v>0</v>
      </c>
      <c r="J48" s="5">
        <v>12</v>
      </c>
      <c r="K48" t="s">
        <v>93</v>
      </c>
    </row>
    <row r="49" spans="1:11" ht="15.6" x14ac:dyDescent="0.3">
      <c r="A49" s="2" t="s">
        <v>60</v>
      </c>
      <c r="B49" s="9" t="s">
        <v>72</v>
      </c>
      <c r="C49" s="11">
        <v>1</v>
      </c>
      <c r="D49" s="9" t="s">
        <v>47</v>
      </c>
      <c r="E49" s="9" t="s">
        <v>89</v>
      </c>
      <c r="F49" s="10">
        <v>46273</v>
      </c>
      <c r="G49" s="10">
        <v>46637</v>
      </c>
      <c r="H49" s="18">
        <v>0</v>
      </c>
      <c r="I49" s="21">
        <f>Table3[[#This Row],[Unit Price]]*Table3[[#This Row],[Qty]]</f>
        <v>0</v>
      </c>
      <c r="J49" s="5">
        <v>12</v>
      </c>
      <c r="K49" t="s">
        <v>93</v>
      </c>
    </row>
    <row r="50" spans="1:11" ht="15.6" x14ac:dyDescent="0.3">
      <c r="A50" s="2" t="s">
        <v>60</v>
      </c>
      <c r="B50" s="9" t="s">
        <v>72</v>
      </c>
      <c r="C50" s="11">
        <v>1</v>
      </c>
      <c r="D50" s="9" t="s">
        <v>48</v>
      </c>
      <c r="E50" s="9" t="s">
        <v>89</v>
      </c>
      <c r="F50" s="10">
        <v>46273</v>
      </c>
      <c r="G50" s="10">
        <v>46637</v>
      </c>
      <c r="H50" s="18">
        <v>0</v>
      </c>
      <c r="I50" s="21">
        <f>Table3[[#This Row],[Unit Price]]*Table3[[#This Row],[Qty]]</f>
        <v>0</v>
      </c>
      <c r="J50" s="5">
        <v>12</v>
      </c>
      <c r="K50" t="s">
        <v>93</v>
      </c>
    </row>
    <row r="51" spans="1:11" ht="15.6" x14ac:dyDescent="0.3">
      <c r="A51" s="2" t="s">
        <v>60</v>
      </c>
      <c r="B51" s="9" t="s">
        <v>72</v>
      </c>
      <c r="C51" s="11">
        <v>1</v>
      </c>
      <c r="D51" s="9" t="s">
        <v>49</v>
      </c>
      <c r="E51" s="9" t="s">
        <v>89</v>
      </c>
      <c r="F51" s="10">
        <v>46273</v>
      </c>
      <c r="G51" s="10">
        <v>46637</v>
      </c>
      <c r="H51" s="18">
        <v>0</v>
      </c>
      <c r="I51" s="21">
        <f>Table3[[#This Row],[Unit Price]]*Table3[[#This Row],[Qty]]</f>
        <v>0</v>
      </c>
      <c r="J51" s="5">
        <v>12</v>
      </c>
      <c r="K51" t="s">
        <v>93</v>
      </c>
    </row>
    <row r="52" spans="1:11" ht="15.6" x14ac:dyDescent="0.3">
      <c r="A52" s="2" t="s">
        <v>60</v>
      </c>
      <c r="B52" s="9" t="s">
        <v>72</v>
      </c>
      <c r="C52" s="11">
        <v>1</v>
      </c>
      <c r="D52" s="9" t="s">
        <v>50</v>
      </c>
      <c r="E52" s="9" t="s">
        <v>89</v>
      </c>
      <c r="F52" s="10">
        <v>46273</v>
      </c>
      <c r="G52" s="10">
        <v>46637</v>
      </c>
      <c r="H52" s="18">
        <v>0</v>
      </c>
      <c r="I52" s="21">
        <f>Table3[[#This Row],[Unit Price]]*Table3[[#This Row],[Qty]]</f>
        <v>0</v>
      </c>
      <c r="J52" s="5">
        <v>12</v>
      </c>
      <c r="K52" t="s">
        <v>93</v>
      </c>
    </row>
    <row r="53" spans="1:11" ht="15.6" x14ac:dyDescent="0.3">
      <c r="A53" s="12" t="s">
        <v>61</v>
      </c>
      <c r="B53" s="9" t="s">
        <v>70</v>
      </c>
      <c r="C53" s="11">
        <v>1</v>
      </c>
      <c r="D53" s="9" t="s">
        <v>56</v>
      </c>
      <c r="E53" s="9" t="s">
        <v>89</v>
      </c>
      <c r="F53" s="10">
        <v>46356</v>
      </c>
      <c r="G53" s="25">
        <v>46637</v>
      </c>
      <c r="H53" s="18">
        <v>0</v>
      </c>
      <c r="I53" s="21">
        <f>Table3[[#This Row],[Unit Price]]*Table3[[#This Row],[Qty]]</f>
        <v>0</v>
      </c>
      <c r="J53" s="8">
        <f>DATEDIF(Table3[[#This Row],[Start]],Table3[[#This Row],[End]],"m")</f>
        <v>9</v>
      </c>
      <c r="K53" t="s">
        <v>94</v>
      </c>
    </row>
    <row r="54" spans="1:11" ht="15.6" x14ac:dyDescent="0.3">
      <c r="A54" s="12" t="s">
        <v>61</v>
      </c>
      <c r="B54" s="9" t="s">
        <v>70</v>
      </c>
      <c r="C54" s="11">
        <v>1</v>
      </c>
      <c r="D54" s="9" t="s">
        <v>57</v>
      </c>
      <c r="E54" s="9" t="s">
        <v>89</v>
      </c>
      <c r="F54" s="10">
        <v>46356</v>
      </c>
      <c r="G54" s="25">
        <v>46637</v>
      </c>
      <c r="H54" s="18">
        <v>0</v>
      </c>
      <c r="I54" s="21">
        <f>Table3[[#This Row],[Unit Price]]*Table3[[#This Row],[Qty]]</f>
        <v>0</v>
      </c>
      <c r="J54" s="8">
        <f>DATEDIF(Table3[[#This Row],[Start]],Table3[[#This Row],[End]],"m")</f>
        <v>9</v>
      </c>
      <c r="K54" t="s">
        <v>94</v>
      </c>
    </row>
    <row r="55" spans="1:11" ht="15.6" x14ac:dyDescent="0.3">
      <c r="A55" s="12" t="s">
        <v>61</v>
      </c>
      <c r="B55" s="9" t="s">
        <v>70</v>
      </c>
      <c r="C55" s="11">
        <v>1</v>
      </c>
      <c r="D55" s="9" t="s">
        <v>58</v>
      </c>
      <c r="E55" s="9" t="s">
        <v>89</v>
      </c>
      <c r="F55" s="10">
        <v>46356</v>
      </c>
      <c r="G55" s="25">
        <v>46637</v>
      </c>
      <c r="H55" s="18">
        <v>0</v>
      </c>
      <c r="I55" s="21">
        <f>Table3[[#This Row],[Unit Price]]*Table3[[#This Row],[Qty]]</f>
        <v>0</v>
      </c>
      <c r="J55" s="8">
        <f>DATEDIF(Table3[[#This Row],[Start]],Table3[[#This Row],[End]],"m")</f>
        <v>9</v>
      </c>
      <c r="K55" t="s">
        <v>94</v>
      </c>
    </row>
    <row r="56" spans="1:11" ht="15.6" x14ac:dyDescent="0.3">
      <c r="A56" s="12" t="s">
        <v>61</v>
      </c>
      <c r="B56" s="7" t="s">
        <v>70</v>
      </c>
      <c r="C56" s="11">
        <v>1</v>
      </c>
      <c r="D56" s="7" t="s">
        <v>59</v>
      </c>
      <c r="E56" s="9" t="s">
        <v>89</v>
      </c>
      <c r="F56" s="17">
        <v>46356</v>
      </c>
      <c r="G56" s="26">
        <v>46637</v>
      </c>
      <c r="H56" s="18">
        <v>0</v>
      </c>
      <c r="I56" s="21">
        <f>Table3[[#This Row],[Unit Price]]*Table3[[#This Row],[Qty]]</f>
        <v>0</v>
      </c>
      <c r="J56" s="8">
        <f>DATEDIF(Table3[[#This Row],[Start]],Table3[[#This Row],[End]],"m")</f>
        <v>9</v>
      </c>
      <c r="K56" t="s">
        <v>94</v>
      </c>
    </row>
    <row r="57" spans="1:11" ht="15.6" x14ac:dyDescent="0.3">
      <c r="A57" s="1" t="s">
        <v>45</v>
      </c>
      <c r="B57" s="9" t="s">
        <v>70</v>
      </c>
      <c r="C57" s="11">
        <v>1</v>
      </c>
      <c r="D57" s="9" t="s">
        <v>106</v>
      </c>
      <c r="E57" s="9" t="s">
        <v>89</v>
      </c>
      <c r="F57" s="10">
        <v>46418</v>
      </c>
      <c r="G57" s="10">
        <v>46637</v>
      </c>
      <c r="H57" s="18">
        <v>0</v>
      </c>
      <c r="I57" s="21">
        <f>Table3[[#This Row],[Unit Price]]*Table3[[#This Row],[Qty]]</f>
        <v>0</v>
      </c>
      <c r="J57" s="8">
        <f>DATEDIF(Table3[[#This Row],[Start]],Table3[[#This Row],[End]],"m")</f>
        <v>7</v>
      </c>
      <c r="K57" t="s">
        <v>95</v>
      </c>
    </row>
    <row r="58" spans="1:11" ht="15.6" x14ac:dyDescent="0.3">
      <c r="A58" s="1" t="s">
        <v>45</v>
      </c>
      <c r="B58" s="9" t="s">
        <v>70</v>
      </c>
      <c r="C58" s="11">
        <v>1</v>
      </c>
      <c r="D58" s="9" t="s">
        <v>107</v>
      </c>
      <c r="E58" s="9" t="s">
        <v>89</v>
      </c>
      <c r="F58" s="10">
        <v>46418</v>
      </c>
      <c r="G58" s="10">
        <v>46637</v>
      </c>
      <c r="H58" s="18">
        <v>0</v>
      </c>
      <c r="I58" s="21">
        <f>Table3[[#This Row],[Unit Price]]*Table3[[#This Row],[Qty]]</f>
        <v>0</v>
      </c>
      <c r="J58" s="8">
        <f>DATEDIF(Table3[[#This Row],[Start]],Table3[[#This Row],[End]],"m")</f>
        <v>7</v>
      </c>
      <c r="K58" t="s">
        <v>95</v>
      </c>
    </row>
    <row r="59" spans="1:11" ht="15.6" x14ac:dyDescent="0.3">
      <c r="A59" s="1" t="s">
        <v>45</v>
      </c>
      <c r="B59" s="9" t="s">
        <v>70</v>
      </c>
      <c r="C59" s="11">
        <v>1</v>
      </c>
      <c r="D59" s="9" t="s">
        <v>108</v>
      </c>
      <c r="E59" s="9" t="s">
        <v>89</v>
      </c>
      <c r="F59" s="10">
        <v>46418</v>
      </c>
      <c r="G59" s="10">
        <v>46637</v>
      </c>
      <c r="H59" s="18">
        <v>0</v>
      </c>
      <c r="I59" s="21">
        <f>Table3[[#This Row],[Unit Price]]*Table3[[#This Row],[Qty]]</f>
        <v>0</v>
      </c>
      <c r="J59" s="8">
        <f>DATEDIF(Table3[[#This Row],[Start]],Table3[[#This Row],[End]],"m")</f>
        <v>7</v>
      </c>
      <c r="K59" t="s">
        <v>95</v>
      </c>
    </row>
    <row r="60" spans="1:11" ht="15.6" x14ac:dyDescent="0.3">
      <c r="A60" s="1" t="s">
        <v>45</v>
      </c>
      <c r="B60" s="9" t="s">
        <v>70</v>
      </c>
      <c r="C60" s="11">
        <v>1</v>
      </c>
      <c r="D60" s="9" t="s">
        <v>109</v>
      </c>
      <c r="E60" s="9" t="s">
        <v>89</v>
      </c>
      <c r="F60" s="10">
        <v>46418</v>
      </c>
      <c r="G60" s="10">
        <v>46637</v>
      </c>
      <c r="H60" s="18">
        <v>0</v>
      </c>
      <c r="I60" s="21">
        <f>Table3[[#This Row],[Unit Price]]*Table3[[#This Row],[Qty]]</f>
        <v>0</v>
      </c>
      <c r="J60" s="8">
        <f>DATEDIF(Table3[[#This Row],[Start]],Table3[[#This Row],[End]],"m")</f>
        <v>7</v>
      </c>
      <c r="K60" t="s">
        <v>95</v>
      </c>
    </row>
    <row r="61" spans="1:11" ht="15.6" x14ac:dyDescent="0.3">
      <c r="A61" s="1" t="s">
        <v>45</v>
      </c>
      <c r="B61" s="9" t="s">
        <v>70</v>
      </c>
      <c r="C61" s="11">
        <v>1</v>
      </c>
      <c r="D61" s="9" t="s">
        <v>110</v>
      </c>
      <c r="E61" s="9" t="s">
        <v>89</v>
      </c>
      <c r="F61" s="10">
        <v>46418</v>
      </c>
      <c r="G61" s="10">
        <v>46637</v>
      </c>
      <c r="H61" s="18">
        <v>0</v>
      </c>
      <c r="I61" s="21">
        <f>Table3[[#This Row],[Unit Price]]*Table3[[#This Row],[Qty]]</f>
        <v>0</v>
      </c>
      <c r="J61" s="8">
        <f>DATEDIF(Table3[[#This Row],[Start]],Table3[[#This Row],[End]],"m")</f>
        <v>7</v>
      </c>
      <c r="K61" t="s">
        <v>95</v>
      </c>
    </row>
    <row r="62" spans="1:11" ht="15.6" x14ac:dyDescent="0.3">
      <c r="A62" s="1" t="s">
        <v>45</v>
      </c>
      <c r="B62" s="9" t="s">
        <v>70</v>
      </c>
      <c r="C62" s="11">
        <v>1</v>
      </c>
      <c r="D62" s="9" t="s">
        <v>111</v>
      </c>
      <c r="E62" s="9" t="s">
        <v>89</v>
      </c>
      <c r="F62" s="10">
        <v>46418</v>
      </c>
      <c r="G62" s="10">
        <v>46637</v>
      </c>
      <c r="H62" s="18">
        <v>0</v>
      </c>
      <c r="I62" s="21">
        <f>Table3[[#This Row],[Unit Price]]*Table3[[#This Row],[Qty]]</f>
        <v>0</v>
      </c>
      <c r="J62" s="8">
        <f>DATEDIF(Table3[[#This Row],[Start]],Table3[[#This Row],[End]],"m")</f>
        <v>7</v>
      </c>
      <c r="K62" t="s">
        <v>95</v>
      </c>
    </row>
    <row r="63" spans="1:11" ht="15.6" x14ac:dyDescent="0.3">
      <c r="A63" s="1" t="s">
        <v>45</v>
      </c>
      <c r="B63" s="9" t="s">
        <v>70</v>
      </c>
      <c r="C63" s="11">
        <v>1</v>
      </c>
      <c r="D63" s="9" t="s">
        <v>113</v>
      </c>
      <c r="E63" s="9" t="s">
        <v>89</v>
      </c>
      <c r="F63" s="10">
        <v>46418</v>
      </c>
      <c r="G63" s="10">
        <v>46637</v>
      </c>
      <c r="H63" s="18">
        <v>0</v>
      </c>
      <c r="I63" s="21">
        <f>Table3[[#This Row],[Unit Price]]*Table3[[#This Row],[Qty]]</f>
        <v>0</v>
      </c>
      <c r="J63" s="8">
        <f>DATEDIF(Table3[[#This Row],[Start]],Table3[[#This Row],[End]],"m")</f>
        <v>7</v>
      </c>
      <c r="K63" t="s">
        <v>95</v>
      </c>
    </row>
    <row r="64" spans="1:11" ht="15.6" x14ac:dyDescent="0.3">
      <c r="A64" s="1" t="s">
        <v>45</v>
      </c>
      <c r="B64" s="9" t="s">
        <v>70</v>
      </c>
      <c r="C64" s="11">
        <v>1</v>
      </c>
      <c r="D64" s="9" t="s">
        <v>112</v>
      </c>
      <c r="E64" s="9" t="s">
        <v>89</v>
      </c>
      <c r="F64" s="10">
        <v>46418</v>
      </c>
      <c r="G64" s="10">
        <v>46637</v>
      </c>
      <c r="H64" s="18">
        <v>0</v>
      </c>
      <c r="I64" s="21">
        <f>Table3[[#This Row],[Unit Price]]*Table3[[#This Row],[Qty]]</f>
        <v>0</v>
      </c>
      <c r="J64" s="8">
        <f>DATEDIF(Table3[[#This Row],[Start]],Table3[[#This Row],[End]],"m")</f>
        <v>7</v>
      </c>
      <c r="K64" t="s">
        <v>95</v>
      </c>
    </row>
    <row r="65" spans="1:11" ht="15.6" x14ac:dyDescent="0.3">
      <c r="A65" s="1" t="s">
        <v>45</v>
      </c>
      <c r="B65" s="9" t="s">
        <v>70</v>
      </c>
      <c r="C65" s="11">
        <v>1</v>
      </c>
      <c r="D65" s="9" t="s">
        <v>41</v>
      </c>
      <c r="E65" s="9" t="s">
        <v>89</v>
      </c>
      <c r="F65" s="10">
        <v>46418</v>
      </c>
      <c r="G65" s="10">
        <v>46637</v>
      </c>
      <c r="H65" s="18">
        <v>0</v>
      </c>
      <c r="I65" s="21">
        <f>Table3[[#This Row],[Unit Price]]*Table3[[#This Row],[Qty]]</f>
        <v>0</v>
      </c>
      <c r="J65" s="8">
        <f>DATEDIF(Table3[[#This Row],[Start]],Table3[[#This Row],[End]],"m")</f>
        <v>7</v>
      </c>
      <c r="K65" t="s">
        <v>95</v>
      </c>
    </row>
    <row r="66" spans="1:11" ht="15.6" x14ac:dyDescent="0.3">
      <c r="A66" s="1" t="s">
        <v>45</v>
      </c>
      <c r="B66" s="9" t="s">
        <v>70</v>
      </c>
      <c r="C66" s="11">
        <v>1</v>
      </c>
      <c r="D66" s="9" t="s">
        <v>42</v>
      </c>
      <c r="E66" s="9" t="s">
        <v>89</v>
      </c>
      <c r="F66" s="10">
        <v>46418</v>
      </c>
      <c r="G66" s="10">
        <v>46637</v>
      </c>
      <c r="H66" s="18">
        <v>0</v>
      </c>
      <c r="I66" s="21">
        <f>Table3[[#This Row],[Unit Price]]*Table3[[#This Row],[Qty]]</f>
        <v>0</v>
      </c>
      <c r="J66" s="8">
        <f>DATEDIF(Table3[[#This Row],[Start]],Table3[[#This Row],[End]],"m")</f>
        <v>7</v>
      </c>
      <c r="K66" t="s">
        <v>95</v>
      </c>
    </row>
    <row r="67" spans="1:11" ht="15.6" x14ac:dyDescent="0.3">
      <c r="A67" s="1" t="s">
        <v>45</v>
      </c>
      <c r="B67" s="9" t="s">
        <v>70</v>
      </c>
      <c r="C67" s="11">
        <v>1</v>
      </c>
      <c r="D67" s="9" t="s">
        <v>43</v>
      </c>
      <c r="E67" s="9" t="s">
        <v>89</v>
      </c>
      <c r="F67" s="10">
        <v>46418</v>
      </c>
      <c r="G67" s="10">
        <v>46637</v>
      </c>
      <c r="H67" s="18">
        <v>0</v>
      </c>
      <c r="I67" s="21">
        <f>Table3[[#This Row],[Unit Price]]*Table3[[#This Row],[Qty]]</f>
        <v>0</v>
      </c>
      <c r="J67" s="8">
        <f>DATEDIF(Table3[[#This Row],[Start]],Table3[[#This Row],[End]],"m")</f>
        <v>7</v>
      </c>
      <c r="K67" t="s">
        <v>95</v>
      </c>
    </row>
    <row r="68" spans="1:11" ht="15.6" x14ac:dyDescent="0.3">
      <c r="A68" s="1" t="s">
        <v>45</v>
      </c>
      <c r="B68" s="7" t="s">
        <v>70</v>
      </c>
      <c r="C68" s="11">
        <v>1</v>
      </c>
      <c r="D68" s="7" t="s">
        <v>44</v>
      </c>
      <c r="E68" s="9" t="s">
        <v>89</v>
      </c>
      <c r="F68" s="17">
        <v>46418</v>
      </c>
      <c r="G68" s="17">
        <v>46637</v>
      </c>
      <c r="H68" s="18">
        <v>0</v>
      </c>
      <c r="I68" s="21">
        <f>Table3[[#This Row],[Unit Price]]*Table3[[#This Row],[Qty]]</f>
        <v>0</v>
      </c>
      <c r="J68" s="8">
        <f>DATEDIF(Table3[[#This Row],[Start]],Table3[[#This Row],[End]],"m")</f>
        <v>7</v>
      </c>
      <c r="K68" t="s">
        <v>95</v>
      </c>
    </row>
    <row r="69" spans="1:11" ht="15.6" x14ac:dyDescent="0.3">
      <c r="A69" s="39"/>
      <c r="B69" s="39"/>
      <c r="C69" s="40" t="s">
        <v>127</v>
      </c>
      <c r="D69" s="41">
        <f>COUNTA(Table3[Asset Name])</f>
        <v>63</v>
      </c>
      <c r="E69" s="39"/>
      <c r="F69" s="42"/>
      <c r="G69" s="42"/>
      <c r="H69" s="44" t="s">
        <v>91</v>
      </c>
      <c r="I69" s="46">
        <f>SUBTOTAL(109,Table3[Ext Amount])</f>
        <v>0</v>
      </c>
      <c r="J69" s="47"/>
      <c r="K69" s="45"/>
    </row>
    <row r="71" spans="1:11" ht="41.4" customHeight="1" x14ac:dyDescent="0.3">
      <c r="B71" s="36" t="s">
        <v>125</v>
      </c>
      <c r="C71" s="37"/>
      <c r="D71" s="37"/>
      <c r="E71" s="37"/>
      <c r="F71" s="37"/>
      <c r="G71" s="37"/>
      <c r="H71" s="37"/>
      <c r="I71" s="37"/>
      <c r="J71" s="37"/>
      <c r="K71" s="37"/>
    </row>
  </sheetData>
  <sheetProtection algorithmName="SHA-512" hashValue="1wUQ1P0edjv9wCQFFunug1SbX4bn7dG5259uQ/88TAJbMEI+/iJ0dHDp+8/Nb5cO0/AgIo8mEawxYBMtwWCxKw==" saltValue="QT+wS/i4aUGAJlQYSw65Sg==" spinCount="100000" sheet="1" objects="1" scenarios="1"/>
  <mergeCells count="4">
    <mergeCell ref="F4:G4"/>
    <mergeCell ref="H4:I4"/>
    <mergeCell ref="B2:K2"/>
    <mergeCell ref="B71:K71"/>
  </mergeCells>
  <phoneticPr fontId="5" type="noConversion"/>
  <conditionalFormatting sqref="H6:I68 I69">
    <cfRule type="cellIs" dxfId="25" priority="1" operator="greaterThan">
      <formula>0</formula>
    </cfRule>
    <cfRule type="cellIs" dxfId="24" priority="2" operator="lessThan">
      <formula>1</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4228-E433-4A6A-8EBB-358673340D97}">
  <dimension ref="A1:K77"/>
  <sheetViews>
    <sheetView workbookViewId="0">
      <selection activeCell="G60" sqref="G60"/>
    </sheetView>
  </sheetViews>
  <sheetFormatPr defaultRowHeight="14.4" x14ac:dyDescent="0.3"/>
  <cols>
    <col min="1" max="1" width="29.109375" bestFit="1" customWidth="1"/>
    <col min="2" max="2" width="47.33203125" bestFit="1" customWidth="1"/>
    <col min="3" max="3" width="33.33203125" customWidth="1"/>
    <col min="4" max="4" width="42.88671875" bestFit="1" customWidth="1"/>
    <col min="5" max="5" width="9.5546875" bestFit="1" customWidth="1"/>
    <col min="6" max="6" width="17.5546875" bestFit="1" customWidth="1"/>
    <col min="7" max="7" width="27.5546875" customWidth="1"/>
    <col min="8" max="8" width="18" customWidth="1"/>
    <col min="9" max="9" width="15.5546875" style="8" bestFit="1" customWidth="1"/>
    <col min="10" max="10" width="23.33203125" bestFit="1" customWidth="1"/>
  </cols>
  <sheetData>
    <row r="1" spans="1:11" ht="18" x14ac:dyDescent="0.35">
      <c r="A1" s="3" t="s">
        <v>76</v>
      </c>
    </row>
    <row r="2" spans="1:11" ht="18" x14ac:dyDescent="0.35">
      <c r="A2" s="3"/>
      <c r="B2" s="34" t="s">
        <v>126</v>
      </c>
      <c r="C2" s="35"/>
      <c r="D2" s="35"/>
      <c r="E2" s="35"/>
      <c r="F2" s="35"/>
      <c r="G2" s="35"/>
      <c r="H2" s="35"/>
      <c r="I2" s="35"/>
      <c r="J2" s="35"/>
      <c r="K2" s="35"/>
    </row>
    <row r="3" spans="1:11" ht="15" customHeight="1" thickBot="1" x14ac:dyDescent="0.35">
      <c r="A3" s="4"/>
    </row>
    <row r="4" spans="1:11" ht="15" thickBot="1" x14ac:dyDescent="0.35">
      <c r="E4" s="28" t="s">
        <v>69</v>
      </c>
      <c r="F4" s="29"/>
      <c r="G4" s="30" t="s">
        <v>121</v>
      </c>
      <c r="H4" s="31"/>
    </row>
    <row r="5" spans="1:11" x14ac:dyDescent="0.3">
      <c r="A5" s="6" t="s">
        <v>68</v>
      </c>
      <c r="B5" s="6" t="s">
        <v>63</v>
      </c>
      <c r="C5" s="6" t="s">
        <v>66</v>
      </c>
      <c r="D5" s="6" t="s">
        <v>0</v>
      </c>
      <c r="E5" s="6" t="s">
        <v>64</v>
      </c>
      <c r="F5" s="6" t="s">
        <v>65</v>
      </c>
      <c r="G5" s="16" t="s">
        <v>1</v>
      </c>
      <c r="H5" s="6" t="s">
        <v>67</v>
      </c>
      <c r="I5" s="22" t="s">
        <v>97</v>
      </c>
      <c r="J5" s="6" t="s">
        <v>96</v>
      </c>
    </row>
    <row r="6" spans="1:11" ht="15.6" x14ac:dyDescent="0.3">
      <c r="A6" s="1" t="s">
        <v>45</v>
      </c>
      <c r="B6" s="9" t="s">
        <v>70</v>
      </c>
      <c r="C6" s="9">
        <v>1</v>
      </c>
      <c r="D6" s="9" t="s">
        <v>105</v>
      </c>
      <c r="E6" s="10">
        <v>46638</v>
      </c>
      <c r="F6" s="10">
        <v>47003</v>
      </c>
      <c r="G6" s="18">
        <v>0</v>
      </c>
      <c r="H6" s="21">
        <f t="shared" ref="H6:H42" si="0">G6</f>
        <v>0</v>
      </c>
      <c r="I6" s="8">
        <v>12</v>
      </c>
      <c r="J6" t="s">
        <v>98</v>
      </c>
    </row>
    <row r="7" spans="1:11" ht="15.6" x14ac:dyDescent="0.3">
      <c r="A7" s="1" t="s">
        <v>45</v>
      </c>
      <c r="B7" s="9" t="s">
        <v>70</v>
      </c>
      <c r="C7" s="9">
        <v>1</v>
      </c>
      <c r="D7" s="9" t="s">
        <v>104</v>
      </c>
      <c r="E7" s="10">
        <v>46638</v>
      </c>
      <c r="F7" s="10">
        <v>47003</v>
      </c>
      <c r="G7" s="18">
        <v>0</v>
      </c>
      <c r="H7" s="21">
        <f>G7</f>
        <v>0</v>
      </c>
      <c r="I7" s="8">
        <v>12</v>
      </c>
      <c r="J7" t="s">
        <v>98</v>
      </c>
    </row>
    <row r="8" spans="1:11" ht="15.6" x14ac:dyDescent="0.3">
      <c r="A8" s="1" t="s">
        <v>45</v>
      </c>
      <c r="B8" s="9" t="s">
        <v>70</v>
      </c>
      <c r="C8" s="9">
        <v>1</v>
      </c>
      <c r="D8" s="9" t="s">
        <v>106</v>
      </c>
      <c r="E8" s="10">
        <v>46638</v>
      </c>
      <c r="F8" s="10">
        <v>47003</v>
      </c>
      <c r="G8" s="18">
        <v>0</v>
      </c>
      <c r="H8" s="21">
        <f t="shared" si="0"/>
        <v>0</v>
      </c>
      <c r="I8" s="8">
        <v>12</v>
      </c>
      <c r="J8" t="s">
        <v>98</v>
      </c>
    </row>
    <row r="9" spans="1:11" ht="15.6" x14ac:dyDescent="0.3">
      <c r="A9" s="1" t="s">
        <v>45</v>
      </c>
      <c r="B9" s="9" t="s">
        <v>70</v>
      </c>
      <c r="C9" s="9">
        <v>1</v>
      </c>
      <c r="D9" s="9" t="s">
        <v>107</v>
      </c>
      <c r="E9" s="10">
        <v>46638</v>
      </c>
      <c r="F9" s="10">
        <v>47003</v>
      </c>
      <c r="G9" s="18">
        <v>0</v>
      </c>
      <c r="H9" s="21">
        <f>G9</f>
        <v>0</v>
      </c>
      <c r="I9" s="8">
        <v>12</v>
      </c>
      <c r="J9" t="s">
        <v>98</v>
      </c>
    </row>
    <row r="10" spans="1:11" ht="15.6" x14ac:dyDescent="0.3">
      <c r="A10" s="1" t="s">
        <v>45</v>
      </c>
      <c r="B10" s="9" t="s">
        <v>70</v>
      </c>
      <c r="C10" s="9">
        <v>1</v>
      </c>
      <c r="D10" s="9" t="s">
        <v>108</v>
      </c>
      <c r="E10" s="10">
        <v>46638</v>
      </c>
      <c r="F10" s="10">
        <v>47003</v>
      </c>
      <c r="G10" s="18">
        <v>0</v>
      </c>
      <c r="H10" s="21">
        <f t="shared" si="0"/>
        <v>0</v>
      </c>
      <c r="I10" s="8">
        <v>12</v>
      </c>
      <c r="J10" t="s">
        <v>98</v>
      </c>
    </row>
    <row r="11" spans="1:11" ht="15.6" x14ac:dyDescent="0.3">
      <c r="A11" s="1" t="s">
        <v>45</v>
      </c>
      <c r="B11" s="9" t="s">
        <v>70</v>
      </c>
      <c r="C11" s="9">
        <v>1</v>
      </c>
      <c r="D11" s="9" t="s">
        <v>109</v>
      </c>
      <c r="E11" s="10">
        <v>46638</v>
      </c>
      <c r="F11" s="10">
        <v>47003</v>
      </c>
      <c r="G11" s="18">
        <v>0</v>
      </c>
      <c r="H11" s="21">
        <f>G11</f>
        <v>0</v>
      </c>
      <c r="I11" s="8">
        <v>12</v>
      </c>
      <c r="J11" t="s">
        <v>98</v>
      </c>
    </row>
    <row r="12" spans="1:11" ht="15.6" x14ac:dyDescent="0.3">
      <c r="A12" s="1" t="s">
        <v>45</v>
      </c>
      <c r="B12" s="9" t="s">
        <v>70</v>
      </c>
      <c r="C12" s="9">
        <v>1</v>
      </c>
      <c r="D12" s="9" t="s">
        <v>110</v>
      </c>
      <c r="E12" s="10">
        <v>46638</v>
      </c>
      <c r="F12" s="10">
        <v>47003</v>
      </c>
      <c r="G12" s="18">
        <v>0</v>
      </c>
      <c r="H12" s="21">
        <f t="shared" si="0"/>
        <v>0</v>
      </c>
      <c r="I12" s="8">
        <v>12</v>
      </c>
      <c r="J12" t="s">
        <v>98</v>
      </c>
    </row>
    <row r="13" spans="1:11" ht="15.6" x14ac:dyDescent="0.3">
      <c r="A13" s="1" t="s">
        <v>45</v>
      </c>
      <c r="B13" s="9" t="s">
        <v>70</v>
      </c>
      <c r="C13" s="9">
        <v>1</v>
      </c>
      <c r="D13" s="9" t="s">
        <v>111</v>
      </c>
      <c r="E13" s="10">
        <v>46638</v>
      </c>
      <c r="F13" s="10">
        <v>47003</v>
      </c>
      <c r="G13" s="18">
        <v>0</v>
      </c>
      <c r="H13" s="21">
        <f>G13</f>
        <v>0</v>
      </c>
      <c r="I13" s="8">
        <v>12</v>
      </c>
      <c r="J13" t="s">
        <v>98</v>
      </c>
    </row>
    <row r="14" spans="1:11" ht="15.6" x14ac:dyDescent="0.3">
      <c r="A14" s="1" t="s">
        <v>45</v>
      </c>
      <c r="B14" s="9" t="s">
        <v>70</v>
      </c>
      <c r="C14" s="9">
        <v>1</v>
      </c>
      <c r="D14" s="9" t="s">
        <v>113</v>
      </c>
      <c r="E14" s="10">
        <v>46638</v>
      </c>
      <c r="F14" s="10">
        <v>47003</v>
      </c>
      <c r="G14" s="18">
        <v>0</v>
      </c>
      <c r="H14" s="21">
        <f t="shared" si="0"/>
        <v>0</v>
      </c>
      <c r="I14" s="8">
        <v>12</v>
      </c>
      <c r="J14" t="s">
        <v>98</v>
      </c>
    </row>
    <row r="15" spans="1:11" ht="15.6" x14ac:dyDescent="0.3">
      <c r="A15" s="1" t="s">
        <v>45</v>
      </c>
      <c r="B15" s="9" t="s">
        <v>70</v>
      </c>
      <c r="C15" s="9">
        <v>1</v>
      </c>
      <c r="D15" s="9" t="s">
        <v>112</v>
      </c>
      <c r="E15" s="10">
        <v>46638</v>
      </c>
      <c r="F15" s="10">
        <v>47003</v>
      </c>
      <c r="G15" s="18">
        <v>0</v>
      </c>
      <c r="H15" s="21">
        <f>G15</f>
        <v>0</v>
      </c>
      <c r="I15" s="8">
        <v>12</v>
      </c>
      <c r="J15" t="s">
        <v>98</v>
      </c>
    </row>
    <row r="16" spans="1:11" ht="15.6" x14ac:dyDescent="0.3">
      <c r="A16" s="1" t="s">
        <v>45</v>
      </c>
      <c r="B16" s="9" t="s">
        <v>70</v>
      </c>
      <c r="C16" s="9">
        <v>1</v>
      </c>
      <c r="D16" s="9" t="s">
        <v>2</v>
      </c>
      <c r="E16" s="10">
        <v>46638</v>
      </c>
      <c r="F16" s="10">
        <v>47003</v>
      </c>
      <c r="G16" s="18">
        <v>0</v>
      </c>
      <c r="H16" s="21">
        <f t="shared" si="0"/>
        <v>0</v>
      </c>
      <c r="I16" s="8">
        <v>12</v>
      </c>
      <c r="J16" t="s">
        <v>98</v>
      </c>
    </row>
    <row r="17" spans="1:10" ht="15.6" x14ac:dyDescent="0.3">
      <c r="A17" s="1" t="s">
        <v>45</v>
      </c>
      <c r="B17" s="9" t="s">
        <v>70</v>
      </c>
      <c r="C17" s="9">
        <v>1</v>
      </c>
      <c r="D17" s="9" t="s">
        <v>3</v>
      </c>
      <c r="E17" s="10">
        <v>46638</v>
      </c>
      <c r="F17" s="10">
        <v>47003</v>
      </c>
      <c r="G17" s="18">
        <v>0</v>
      </c>
      <c r="H17" s="21">
        <f t="shared" si="0"/>
        <v>0</v>
      </c>
      <c r="I17" s="8">
        <v>12</v>
      </c>
      <c r="J17" t="s">
        <v>98</v>
      </c>
    </row>
    <row r="18" spans="1:10" ht="15.6" x14ac:dyDescent="0.3">
      <c r="A18" s="1" t="s">
        <v>45</v>
      </c>
      <c r="B18" s="9" t="s">
        <v>70</v>
      </c>
      <c r="C18" s="9">
        <v>1</v>
      </c>
      <c r="D18" s="9" t="s">
        <v>4</v>
      </c>
      <c r="E18" s="10">
        <v>46638</v>
      </c>
      <c r="F18" s="10">
        <v>47003</v>
      </c>
      <c r="G18" s="18">
        <v>0</v>
      </c>
      <c r="H18" s="21">
        <f t="shared" si="0"/>
        <v>0</v>
      </c>
      <c r="I18" s="8">
        <v>12</v>
      </c>
      <c r="J18" t="s">
        <v>98</v>
      </c>
    </row>
    <row r="19" spans="1:10" ht="15.6" x14ac:dyDescent="0.3">
      <c r="A19" s="1" t="s">
        <v>45</v>
      </c>
      <c r="B19" s="9" t="s">
        <v>70</v>
      </c>
      <c r="C19" s="9">
        <v>1</v>
      </c>
      <c r="D19" s="9" t="s">
        <v>5</v>
      </c>
      <c r="E19" s="10">
        <v>46638</v>
      </c>
      <c r="F19" s="10">
        <v>47003</v>
      </c>
      <c r="G19" s="18">
        <v>0</v>
      </c>
      <c r="H19" s="21">
        <f t="shared" si="0"/>
        <v>0</v>
      </c>
      <c r="I19" s="8">
        <v>12</v>
      </c>
      <c r="J19" t="s">
        <v>98</v>
      </c>
    </row>
    <row r="20" spans="1:10" ht="15.6" x14ac:dyDescent="0.3">
      <c r="A20" s="1" t="s">
        <v>45</v>
      </c>
      <c r="B20" s="9" t="s">
        <v>70</v>
      </c>
      <c r="C20" s="9">
        <v>1</v>
      </c>
      <c r="D20" s="9" t="s">
        <v>6</v>
      </c>
      <c r="E20" s="10">
        <v>46638</v>
      </c>
      <c r="F20" s="10">
        <v>47003</v>
      </c>
      <c r="G20" s="18">
        <v>0</v>
      </c>
      <c r="H20" s="21">
        <f t="shared" si="0"/>
        <v>0</v>
      </c>
      <c r="I20" s="8">
        <v>12</v>
      </c>
      <c r="J20" t="s">
        <v>98</v>
      </c>
    </row>
    <row r="21" spans="1:10" ht="15.6" x14ac:dyDescent="0.3">
      <c r="A21" s="1" t="s">
        <v>45</v>
      </c>
      <c r="B21" s="9" t="s">
        <v>70</v>
      </c>
      <c r="C21" s="9">
        <v>1</v>
      </c>
      <c r="D21" s="9" t="s">
        <v>7</v>
      </c>
      <c r="E21" s="10">
        <v>46638</v>
      </c>
      <c r="F21" s="10">
        <v>47003</v>
      </c>
      <c r="G21" s="18">
        <v>0</v>
      </c>
      <c r="H21" s="21">
        <f t="shared" si="0"/>
        <v>0</v>
      </c>
      <c r="I21" s="8">
        <v>12</v>
      </c>
      <c r="J21" t="s">
        <v>98</v>
      </c>
    </row>
    <row r="22" spans="1:10" ht="15.6" x14ac:dyDescent="0.3">
      <c r="A22" s="1" t="s">
        <v>45</v>
      </c>
      <c r="B22" s="9" t="s">
        <v>70</v>
      </c>
      <c r="C22" s="9">
        <v>1</v>
      </c>
      <c r="D22" s="9" t="s">
        <v>8</v>
      </c>
      <c r="E22" s="10">
        <v>46638</v>
      </c>
      <c r="F22" s="10">
        <v>47003</v>
      </c>
      <c r="G22" s="18">
        <v>0</v>
      </c>
      <c r="H22" s="21">
        <f t="shared" si="0"/>
        <v>0</v>
      </c>
      <c r="I22" s="8">
        <v>12</v>
      </c>
      <c r="J22" t="s">
        <v>98</v>
      </c>
    </row>
    <row r="23" spans="1:10" ht="15.6" x14ac:dyDescent="0.3">
      <c r="A23" s="1" t="s">
        <v>45</v>
      </c>
      <c r="B23" s="9" t="s">
        <v>70</v>
      </c>
      <c r="C23" s="9">
        <v>1</v>
      </c>
      <c r="D23" s="9" t="s">
        <v>9</v>
      </c>
      <c r="E23" s="10">
        <v>46638</v>
      </c>
      <c r="F23" s="10">
        <v>47003</v>
      </c>
      <c r="G23" s="18">
        <v>0</v>
      </c>
      <c r="H23" s="21">
        <f t="shared" si="0"/>
        <v>0</v>
      </c>
      <c r="I23" s="8">
        <v>12</v>
      </c>
      <c r="J23" t="s">
        <v>98</v>
      </c>
    </row>
    <row r="24" spans="1:10" ht="15.6" x14ac:dyDescent="0.3">
      <c r="A24" s="1" t="s">
        <v>45</v>
      </c>
      <c r="B24" s="9" t="s">
        <v>70</v>
      </c>
      <c r="C24" s="9">
        <v>1</v>
      </c>
      <c r="D24" s="9" t="s">
        <v>10</v>
      </c>
      <c r="E24" s="10">
        <v>46638</v>
      </c>
      <c r="F24" s="10">
        <v>47003</v>
      </c>
      <c r="G24" s="18">
        <v>0</v>
      </c>
      <c r="H24" s="21">
        <f t="shared" si="0"/>
        <v>0</v>
      </c>
      <c r="I24" s="8">
        <v>12</v>
      </c>
      <c r="J24" t="s">
        <v>98</v>
      </c>
    </row>
    <row r="25" spans="1:10" ht="15.6" x14ac:dyDescent="0.3">
      <c r="A25" s="1" t="s">
        <v>45</v>
      </c>
      <c r="B25" s="9" t="s">
        <v>70</v>
      </c>
      <c r="C25" s="9">
        <v>1</v>
      </c>
      <c r="D25" s="9" t="s">
        <v>11</v>
      </c>
      <c r="E25" s="10">
        <v>46638</v>
      </c>
      <c r="F25" s="10">
        <v>47003</v>
      </c>
      <c r="G25" s="18">
        <v>0</v>
      </c>
      <c r="H25" s="21">
        <f t="shared" si="0"/>
        <v>0</v>
      </c>
      <c r="I25" s="8">
        <v>12</v>
      </c>
      <c r="J25" t="s">
        <v>98</v>
      </c>
    </row>
    <row r="26" spans="1:10" ht="15.6" x14ac:dyDescent="0.3">
      <c r="A26" s="1" t="s">
        <v>45</v>
      </c>
      <c r="B26" s="9" t="s">
        <v>70</v>
      </c>
      <c r="C26" s="9">
        <v>1</v>
      </c>
      <c r="D26" s="9" t="s">
        <v>12</v>
      </c>
      <c r="E26" s="10">
        <v>46638</v>
      </c>
      <c r="F26" s="10">
        <v>47003</v>
      </c>
      <c r="G26" s="18">
        <v>0</v>
      </c>
      <c r="H26" s="21">
        <f t="shared" si="0"/>
        <v>0</v>
      </c>
      <c r="I26" s="8">
        <v>12</v>
      </c>
      <c r="J26" t="s">
        <v>98</v>
      </c>
    </row>
    <row r="27" spans="1:10" ht="15.6" x14ac:dyDescent="0.3">
      <c r="A27" s="1" t="s">
        <v>45</v>
      </c>
      <c r="B27" s="9" t="s">
        <v>70</v>
      </c>
      <c r="C27" s="9">
        <v>1</v>
      </c>
      <c r="D27" s="9" t="s">
        <v>13</v>
      </c>
      <c r="E27" s="10">
        <v>46638</v>
      </c>
      <c r="F27" s="10">
        <v>47003</v>
      </c>
      <c r="G27" s="18">
        <v>0</v>
      </c>
      <c r="H27" s="21">
        <f t="shared" si="0"/>
        <v>0</v>
      </c>
      <c r="I27" s="8">
        <v>12</v>
      </c>
      <c r="J27" t="s">
        <v>98</v>
      </c>
    </row>
    <row r="28" spans="1:10" ht="15.6" x14ac:dyDescent="0.3">
      <c r="A28" s="1" t="s">
        <v>45</v>
      </c>
      <c r="B28" s="9" t="s">
        <v>70</v>
      </c>
      <c r="C28" s="9">
        <v>1</v>
      </c>
      <c r="D28" s="9" t="s">
        <v>14</v>
      </c>
      <c r="E28" s="10">
        <v>46638</v>
      </c>
      <c r="F28" s="10">
        <v>47003</v>
      </c>
      <c r="G28" s="18">
        <v>0</v>
      </c>
      <c r="H28" s="21">
        <f t="shared" si="0"/>
        <v>0</v>
      </c>
      <c r="I28" s="8">
        <v>12</v>
      </c>
      <c r="J28" t="s">
        <v>98</v>
      </c>
    </row>
    <row r="29" spans="1:10" ht="15.6" x14ac:dyDescent="0.3">
      <c r="A29" s="1" t="s">
        <v>45</v>
      </c>
      <c r="B29" s="9" t="s">
        <v>70</v>
      </c>
      <c r="C29" s="9">
        <v>1</v>
      </c>
      <c r="D29" s="9" t="s">
        <v>15</v>
      </c>
      <c r="E29" s="10">
        <v>46638</v>
      </c>
      <c r="F29" s="10">
        <v>47003</v>
      </c>
      <c r="G29" s="18">
        <v>0</v>
      </c>
      <c r="H29" s="21">
        <f t="shared" si="0"/>
        <v>0</v>
      </c>
      <c r="I29" s="8">
        <v>12</v>
      </c>
      <c r="J29" t="s">
        <v>98</v>
      </c>
    </row>
    <row r="30" spans="1:10" ht="15.6" x14ac:dyDescent="0.3">
      <c r="A30" s="1" t="s">
        <v>45</v>
      </c>
      <c r="B30" s="9" t="s">
        <v>70</v>
      </c>
      <c r="C30" s="9">
        <v>1</v>
      </c>
      <c r="D30" s="9" t="s">
        <v>16</v>
      </c>
      <c r="E30" s="10">
        <v>46638</v>
      </c>
      <c r="F30" s="10">
        <v>47003</v>
      </c>
      <c r="G30" s="18">
        <v>0</v>
      </c>
      <c r="H30" s="21">
        <f t="shared" si="0"/>
        <v>0</v>
      </c>
      <c r="I30" s="8">
        <v>12</v>
      </c>
      <c r="J30" t="s">
        <v>98</v>
      </c>
    </row>
    <row r="31" spans="1:10" ht="15.6" x14ac:dyDescent="0.3">
      <c r="A31" s="1" t="s">
        <v>45</v>
      </c>
      <c r="B31" s="9" t="s">
        <v>70</v>
      </c>
      <c r="C31" s="9">
        <v>1</v>
      </c>
      <c r="D31" s="9" t="s">
        <v>17</v>
      </c>
      <c r="E31" s="10">
        <v>46638</v>
      </c>
      <c r="F31" s="10">
        <v>47003</v>
      </c>
      <c r="G31" s="18">
        <v>0</v>
      </c>
      <c r="H31" s="21">
        <f t="shared" si="0"/>
        <v>0</v>
      </c>
      <c r="I31" s="8">
        <v>12</v>
      </c>
      <c r="J31" t="s">
        <v>98</v>
      </c>
    </row>
    <row r="32" spans="1:10" ht="15.6" x14ac:dyDescent="0.3">
      <c r="A32" s="1" t="s">
        <v>45</v>
      </c>
      <c r="B32" s="9" t="s">
        <v>70</v>
      </c>
      <c r="C32" s="9">
        <v>1</v>
      </c>
      <c r="D32" s="9" t="s">
        <v>28</v>
      </c>
      <c r="E32" s="10">
        <v>46638</v>
      </c>
      <c r="F32" s="10">
        <v>47003</v>
      </c>
      <c r="G32" s="18">
        <v>0</v>
      </c>
      <c r="H32" s="21">
        <f t="shared" si="0"/>
        <v>0</v>
      </c>
      <c r="I32" s="8">
        <v>12</v>
      </c>
      <c r="J32" t="s">
        <v>98</v>
      </c>
    </row>
    <row r="33" spans="1:10" ht="15.6" x14ac:dyDescent="0.3">
      <c r="A33" s="1" t="s">
        <v>45</v>
      </c>
      <c r="B33" s="9" t="s">
        <v>70</v>
      </c>
      <c r="C33" s="11">
        <v>1</v>
      </c>
      <c r="D33" s="9" t="s">
        <v>29</v>
      </c>
      <c r="E33" s="10">
        <v>46638</v>
      </c>
      <c r="F33" s="10">
        <v>47003</v>
      </c>
      <c r="G33" s="18">
        <v>0</v>
      </c>
      <c r="H33" s="21">
        <f t="shared" si="0"/>
        <v>0</v>
      </c>
      <c r="I33" s="8">
        <v>12</v>
      </c>
      <c r="J33" t="s">
        <v>98</v>
      </c>
    </row>
    <row r="34" spans="1:10" ht="15.6" x14ac:dyDescent="0.3">
      <c r="A34" s="1" t="s">
        <v>45</v>
      </c>
      <c r="B34" s="9" t="s">
        <v>70</v>
      </c>
      <c r="C34" s="11">
        <v>1</v>
      </c>
      <c r="D34" s="9" t="s">
        <v>30</v>
      </c>
      <c r="E34" s="10">
        <v>46638</v>
      </c>
      <c r="F34" s="10">
        <v>47003</v>
      </c>
      <c r="G34" s="18">
        <v>0</v>
      </c>
      <c r="H34" s="21">
        <f t="shared" si="0"/>
        <v>0</v>
      </c>
      <c r="I34" s="8">
        <v>12</v>
      </c>
      <c r="J34" t="s">
        <v>98</v>
      </c>
    </row>
    <row r="35" spans="1:10" ht="15.6" x14ac:dyDescent="0.3">
      <c r="A35" s="1" t="s">
        <v>45</v>
      </c>
      <c r="B35" s="9" t="s">
        <v>70</v>
      </c>
      <c r="C35" s="11">
        <v>1</v>
      </c>
      <c r="D35" s="9" t="s">
        <v>31</v>
      </c>
      <c r="E35" s="10">
        <v>46638</v>
      </c>
      <c r="F35" s="10">
        <v>47003</v>
      </c>
      <c r="G35" s="18">
        <v>0</v>
      </c>
      <c r="H35" s="21">
        <f t="shared" si="0"/>
        <v>0</v>
      </c>
      <c r="I35" s="8">
        <v>12</v>
      </c>
      <c r="J35" t="s">
        <v>98</v>
      </c>
    </row>
    <row r="36" spans="1:10" ht="15.6" x14ac:dyDescent="0.3">
      <c r="A36" s="1" t="s">
        <v>45</v>
      </c>
      <c r="B36" s="9" t="s">
        <v>70</v>
      </c>
      <c r="C36" s="11">
        <v>1</v>
      </c>
      <c r="D36" s="9" t="s">
        <v>32</v>
      </c>
      <c r="E36" s="10">
        <v>46638</v>
      </c>
      <c r="F36" s="10">
        <v>47003</v>
      </c>
      <c r="G36" s="18">
        <v>0</v>
      </c>
      <c r="H36" s="21">
        <f t="shared" si="0"/>
        <v>0</v>
      </c>
      <c r="I36" s="8">
        <v>12</v>
      </c>
      <c r="J36" t="s">
        <v>98</v>
      </c>
    </row>
    <row r="37" spans="1:10" ht="15.6" x14ac:dyDescent="0.3">
      <c r="A37" s="1" t="s">
        <v>45</v>
      </c>
      <c r="B37" s="9" t="s">
        <v>70</v>
      </c>
      <c r="C37" s="11">
        <v>1</v>
      </c>
      <c r="D37" s="9" t="s">
        <v>33</v>
      </c>
      <c r="E37" s="10">
        <v>46638</v>
      </c>
      <c r="F37" s="10">
        <v>47003</v>
      </c>
      <c r="G37" s="18">
        <v>0</v>
      </c>
      <c r="H37" s="21">
        <f t="shared" si="0"/>
        <v>0</v>
      </c>
      <c r="I37" s="8">
        <v>12</v>
      </c>
      <c r="J37" t="s">
        <v>98</v>
      </c>
    </row>
    <row r="38" spans="1:10" ht="15.6" x14ac:dyDescent="0.3">
      <c r="A38" s="1" t="s">
        <v>45</v>
      </c>
      <c r="B38" s="9" t="s">
        <v>70</v>
      </c>
      <c r="C38" s="11">
        <v>1</v>
      </c>
      <c r="D38" s="9" t="s">
        <v>34</v>
      </c>
      <c r="E38" s="10">
        <v>46638</v>
      </c>
      <c r="F38" s="10">
        <v>47003</v>
      </c>
      <c r="G38" s="18">
        <v>0</v>
      </c>
      <c r="H38" s="21">
        <f t="shared" si="0"/>
        <v>0</v>
      </c>
      <c r="I38" s="8">
        <v>12</v>
      </c>
      <c r="J38" t="s">
        <v>98</v>
      </c>
    </row>
    <row r="39" spans="1:10" ht="15.6" x14ac:dyDescent="0.3">
      <c r="A39" s="1" t="s">
        <v>45</v>
      </c>
      <c r="B39" s="9" t="s">
        <v>70</v>
      </c>
      <c r="C39" s="11">
        <v>1</v>
      </c>
      <c r="D39" s="9" t="s">
        <v>35</v>
      </c>
      <c r="E39" s="10">
        <v>46638</v>
      </c>
      <c r="F39" s="10">
        <v>47003</v>
      </c>
      <c r="G39" s="18">
        <v>0</v>
      </c>
      <c r="H39" s="21">
        <f t="shared" si="0"/>
        <v>0</v>
      </c>
      <c r="I39" s="8">
        <v>12</v>
      </c>
      <c r="J39" t="s">
        <v>98</v>
      </c>
    </row>
    <row r="40" spans="1:10" ht="15.6" x14ac:dyDescent="0.3">
      <c r="A40" s="1" t="s">
        <v>45</v>
      </c>
      <c r="B40" s="9" t="s">
        <v>70</v>
      </c>
      <c r="C40" s="11">
        <v>1</v>
      </c>
      <c r="D40" s="9" t="s">
        <v>36</v>
      </c>
      <c r="E40" s="10">
        <v>46638</v>
      </c>
      <c r="F40" s="10">
        <v>47003</v>
      </c>
      <c r="G40" s="18">
        <v>0</v>
      </c>
      <c r="H40" s="21">
        <f t="shared" si="0"/>
        <v>0</v>
      </c>
      <c r="I40" s="8">
        <v>12</v>
      </c>
      <c r="J40" t="s">
        <v>98</v>
      </c>
    </row>
    <row r="41" spans="1:10" ht="15.6" x14ac:dyDescent="0.3">
      <c r="A41" s="1" t="s">
        <v>45</v>
      </c>
      <c r="B41" s="9" t="s">
        <v>70</v>
      </c>
      <c r="C41" s="11">
        <v>1</v>
      </c>
      <c r="D41" s="9" t="s">
        <v>37</v>
      </c>
      <c r="E41" s="10">
        <v>46638</v>
      </c>
      <c r="F41" s="10">
        <v>47003</v>
      </c>
      <c r="G41" s="18">
        <v>0</v>
      </c>
      <c r="H41" s="21">
        <f t="shared" si="0"/>
        <v>0</v>
      </c>
      <c r="I41" s="8">
        <v>12</v>
      </c>
      <c r="J41" t="s">
        <v>98</v>
      </c>
    </row>
    <row r="42" spans="1:10" ht="15.6" x14ac:dyDescent="0.3">
      <c r="A42" s="1" t="s">
        <v>45</v>
      </c>
      <c r="B42" s="9" t="s">
        <v>70</v>
      </c>
      <c r="C42" s="11">
        <v>1</v>
      </c>
      <c r="D42" s="9" t="s">
        <v>38</v>
      </c>
      <c r="E42" s="10">
        <v>46638</v>
      </c>
      <c r="F42" s="10">
        <v>47003</v>
      </c>
      <c r="G42" s="18">
        <v>0</v>
      </c>
      <c r="H42" s="21">
        <f t="shared" si="0"/>
        <v>0</v>
      </c>
      <c r="I42" s="8">
        <v>12</v>
      </c>
      <c r="J42" t="s">
        <v>98</v>
      </c>
    </row>
    <row r="43" spans="1:10" ht="15.6" x14ac:dyDescent="0.3">
      <c r="A43" s="1" t="s">
        <v>45</v>
      </c>
      <c r="B43" s="9" t="s">
        <v>70</v>
      </c>
      <c r="C43" s="11">
        <v>1</v>
      </c>
      <c r="D43" s="9" t="s">
        <v>39</v>
      </c>
      <c r="E43" s="10">
        <v>46638</v>
      </c>
      <c r="F43" s="10">
        <v>47003</v>
      </c>
      <c r="G43" s="18">
        <v>0</v>
      </c>
      <c r="H43" s="21">
        <f t="shared" ref="H43:H59" si="1">G43</f>
        <v>0</v>
      </c>
      <c r="I43" s="8">
        <v>12</v>
      </c>
      <c r="J43" t="s">
        <v>98</v>
      </c>
    </row>
    <row r="44" spans="1:10" ht="15.6" x14ac:dyDescent="0.3">
      <c r="A44" s="1" t="s">
        <v>45</v>
      </c>
      <c r="B44" s="9" t="s">
        <v>70</v>
      </c>
      <c r="C44" s="11">
        <v>1</v>
      </c>
      <c r="D44" s="13" t="s">
        <v>40</v>
      </c>
      <c r="E44" s="10">
        <v>46638</v>
      </c>
      <c r="F44" s="10">
        <v>47003</v>
      </c>
      <c r="G44" s="18">
        <v>0</v>
      </c>
      <c r="H44" s="21">
        <f t="shared" si="1"/>
        <v>0</v>
      </c>
      <c r="I44" s="8">
        <v>12</v>
      </c>
      <c r="J44" t="s">
        <v>98</v>
      </c>
    </row>
    <row r="45" spans="1:10" ht="15.6" x14ac:dyDescent="0.3">
      <c r="A45" s="1" t="s">
        <v>45</v>
      </c>
      <c r="B45" s="9" t="s">
        <v>70</v>
      </c>
      <c r="C45" s="11">
        <v>1</v>
      </c>
      <c r="D45" s="13" t="s">
        <v>41</v>
      </c>
      <c r="E45" s="10">
        <v>46638</v>
      </c>
      <c r="F45" s="10">
        <v>47003</v>
      </c>
      <c r="G45" s="18">
        <v>0</v>
      </c>
      <c r="H45" s="21">
        <f t="shared" si="1"/>
        <v>0</v>
      </c>
      <c r="I45" s="8">
        <v>12</v>
      </c>
      <c r="J45" t="s">
        <v>98</v>
      </c>
    </row>
    <row r="46" spans="1:10" ht="15.6" x14ac:dyDescent="0.3">
      <c r="A46" s="1" t="s">
        <v>45</v>
      </c>
      <c r="B46" s="9" t="s">
        <v>70</v>
      </c>
      <c r="C46" s="11">
        <v>1</v>
      </c>
      <c r="D46" s="13" t="s">
        <v>42</v>
      </c>
      <c r="E46" s="10">
        <v>46638</v>
      </c>
      <c r="F46" s="10">
        <v>47003</v>
      </c>
      <c r="G46" s="18">
        <v>0</v>
      </c>
      <c r="H46" s="21">
        <f t="shared" si="1"/>
        <v>0</v>
      </c>
      <c r="I46" s="8">
        <v>12</v>
      </c>
      <c r="J46" t="s">
        <v>98</v>
      </c>
    </row>
    <row r="47" spans="1:10" ht="15.6" x14ac:dyDescent="0.3">
      <c r="A47" s="1" t="s">
        <v>45</v>
      </c>
      <c r="B47" s="9" t="s">
        <v>70</v>
      </c>
      <c r="C47" s="11">
        <v>1</v>
      </c>
      <c r="D47" s="13" t="s">
        <v>43</v>
      </c>
      <c r="E47" s="10">
        <v>46638</v>
      </c>
      <c r="F47" s="10">
        <v>47003</v>
      </c>
      <c r="G47" s="18">
        <v>0</v>
      </c>
      <c r="H47" s="21">
        <f t="shared" si="1"/>
        <v>0</v>
      </c>
      <c r="I47" s="8">
        <v>12</v>
      </c>
      <c r="J47" t="s">
        <v>98</v>
      </c>
    </row>
    <row r="48" spans="1:10" ht="15.6" x14ac:dyDescent="0.3">
      <c r="A48" s="1" t="s">
        <v>45</v>
      </c>
      <c r="B48" s="9" t="s">
        <v>70</v>
      </c>
      <c r="C48" s="11">
        <v>1</v>
      </c>
      <c r="D48" s="13" t="s">
        <v>44</v>
      </c>
      <c r="E48" s="10">
        <v>46638</v>
      </c>
      <c r="F48" s="10">
        <v>47003</v>
      </c>
      <c r="G48" s="18">
        <v>0</v>
      </c>
      <c r="H48" s="21">
        <f t="shared" si="1"/>
        <v>0</v>
      </c>
      <c r="I48" s="8">
        <v>12</v>
      </c>
      <c r="J48" t="s">
        <v>98</v>
      </c>
    </row>
    <row r="49" spans="1:10" ht="15.6" x14ac:dyDescent="0.3">
      <c r="A49" s="1" t="s">
        <v>45</v>
      </c>
      <c r="B49" s="9" t="s">
        <v>73</v>
      </c>
      <c r="C49" s="11">
        <v>1</v>
      </c>
      <c r="D49" s="13" t="s">
        <v>26</v>
      </c>
      <c r="E49" s="10">
        <v>46638</v>
      </c>
      <c r="F49" s="10">
        <v>47003</v>
      </c>
      <c r="G49" s="18">
        <v>0</v>
      </c>
      <c r="H49" s="21">
        <f t="shared" si="1"/>
        <v>0</v>
      </c>
      <c r="I49" s="8">
        <v>12</v>
      </c>
      <c r="J49" t="s">
        <v>98</v>
      </c>
    </row>
    <row r="50" spans="1:10" ht="15.6" x14ac:dyDescent="0.3">
      <c r="A50" s="1" t="s">
        <v>45</v>
      </c>
      <c r="B50" s="9" t="s">
        <v>73</v>
      </c>
      <c r="C50" s="11">
        <v>1</v>
      </c>
      <c r="D50" s="9" t="s">
        <v>27</v>
      </c>
      <c r="E50" s="10">
        <v>46638</v>
      </c>
      <c r="F50" s="10">
        <v>47003</v>
      </c>
      <c r="G50" s="18">
        <v>0</v>
      </c>
      <c r="H50" s="21">
        <f t="shared" si="1"/>
        <v>0</v>
      </c>
      <c r="I50" s="8">
        <v>12</v>
      </c>
      <c r="J50" t="s">
        <v>98</v>
      </c>
    </row>
    <row r="51" spans="1:10" ht="15.6" x14ac:dyDescent="0.3">
      <c r="A51" s="1" t="s">
        <v>45</v>
      </c>
      <c r="B51" s="9" t="s">
        <v>71</v>
      </c>
      <c r="C51" s="11">
        <v>1</v>
      </c>
      <c r="D51" s="9" t="s">
        <v>21</v>
      </c>
      <c r="E51" s="10">
        <v>46638</v>
      </c>
      <c r="F51" s="10">
        <v>47003</v>
      </c>
      <c r="G51" s="18">
        <v>0</v>
      </c>
      <c r="H51" s="21">
        <f t="shared" si="1"/>
        <v>0</v>
      </c>
      <c r="I51" s="8">
        <v>12</v>
      </c>
      <c r="J51" t="s">
        <v>98</v>
      </c>
    </row>
    <row r="52" spans="1:10" ht="15.6" x14ac:dyDescent="0.3">
      <c r="A52" s="1" t="s">
        <v>45</v>
      </c>
      <c r="B52" s="9" t="s">
        <v>71</v>
      </c>
      <c r="C52" s="11">
        <v>1</v>
      </c>
      <c r="D52" s="9" t="s">
        <v>22</v>
      </c>
      <c r="E52" s="10">
        <v>46638</v>
      </c>
      <c r="F52" s="10">
        <v>47003</v>
      </c>
      <c r="G52" s="18">
        <v>0</v>
      </c>
      <c r="H52" s="21">
        <f t="shared" si="1"/>
        <v>0</v>
      </c>
      <c r="I52" s="8">
        <v>12</v>
      </c>
      <c r="J52" t="s">
        <v>98</v>
      </c>
    </row>
    <row r="53" spans="1:10" ht="15.6" x14ac:dyDescent="0.3">
      <c r="A53" s="1" t="s">
        <v>45</v>
      </c>
      <c r="B53" s="9" t="s">
        <v>71</v>
      </c>
      <c r="C53" s="11">
        <v>1</v>
      </c>
      <c r="D53" s="9" t="s">
        <v>23</v>
      </c>
      <c r="E53" s="10">
        <v>46638</v>
      </c>
      <c r="F53" s="10">
        <v>47003</v>
      </c>
      <c r="G53" s="18">
        <v>0</v>
      </c>
      <c r="H53" s="21">
        <f t="shared" si="1"/>
        <v>0</v>
      </c>
      <c r="I53" s="8">
        <v>12</v>
      </c>
      <c r="J53" t="s">
        <v>98</v>
      </c>
    </row>
    <row r="54" spans="1:10" ht="15.6" x14ac:dyDescent="0.3">
      <c r="A54" s="1" t="s">
        <v>45</v>
      </c>
      <c r="B54" s="9" t="s">
        <v>71</v>
      </c>
      <c r="C54" s="11">
        <v>1</v>
      </c>
      <c r="D54" s="9" t="s">
        <v>24</v>
      </c>
      <c r="E54" s="10">
        <v>46638</v>
      </c>
      <c r="F54" s="10">
        <v>47003</v>
      </c>
      <c r="G54" s="18">
        <v>0</v>
      </c>
      <c r="H54" s="21">
        <f t="shared" si="1"/>
        <v>0</v>
      </c>
      <c r="I54" s="8">
        <v>12</v>
      </c>
      <c r="J54" t="s">
        <v>98</v>
      </c>
    </row>
    <row r="55" spans="1:10" ht="15.6" x14ac:dyDescent="0.3">
      <c r="A55" s="1" t="s">
        <v>45</v>
      </c>
      <c r="B55" s="9" t="s">
        <v>71</v>
      </c>
      <c r="C55" s="11">
        <v>1</v>
      </c>
      <c r="D55" s="9" t="s">
        <v>25</v>
      </c>
      <c r="E55" s="10">
        <v>46638</v>
      </c>
      <c r="F55" s="10">
        <v>47003</v>
      </c>
      <c r="G55" s="18">
        <v>0</v>
      </c>
      <c r="H55" s="21">
        <f t="shared" si="1"/>
        <v>0</v>
      </c>
      <c r="I55" s="8">
        <v>12</v>
      </c>
      <c r="J55" t="s">
        <v>98</v>
      </c>
    </row>
    <row r="56" spans="1:10" ht="15.6" x14ac:dyDescent="0.3">
      <c r="A56" s="1" t="s">
        <v>45</v>
      </c>
      <c r="B56" s="9" t="s">
        <v>72</v>
      </c>
      <c r="C56" s="11">
        <v>1</v>
      </c>
      <c r="D56" s="9" t="s">
        <v>18</v>
      </c>
      <c r="E56" s="10">
        <v>46638</v>
      </c>
      <c r="F56" s="10">
        <v>47003</v>
      </c>
      <c r="G56" s="18">
        <v>0</v>
      </c>
      <c r="H56" s="21">
        <f t="shared" si="1"/>
        <v>0</v>
      </c>
      <c r="I56" s="8">
        <v>12</v>
      </c>
      <c r="J56" t="s">
        <v>98</v>
      </c>
    </row>
    <row r="57" spans="1:10" ht="15.6" x14ac:dyDescent="0.3">
      <c r="A57" s="1" t="s">
        <v>45</v>
      </c>
      <c r="B57" s="9" t="s">
        <v>72</v>
      </c>
      <c r="C57" s="11">
        <v>1</v>
      </c>
      <c r="D57" s="9" t="s">
        <v>19</v>
      </c>
      <c r="E57" s="10">
        <v>46638</v>
      </c>
      <c r="F57" s="10">
        <v>47003</v>
      </c>
      <c r="G57" s="18">
        <v>0</v>
      </c>
      <c r="H57" s="21">
        <f t="shared" si="1"/>
        <v>0</v>
      </c>
      <c r="I57" s="8">
        <v>12</v>
      </c>
      <c r="J57" t="s">
        <v>98</v>
      </c>
    </row>
    <row r="58" spans="1:10" ht="15.6" x14ac:dyDescent="0.3">
      <c r="A58" s="1" t="s">
        <v>45</v>
      </c>
      <c r="B58" s="9" t="s">
        <v>72</v>
      </c>
      <c r="C58" s="11">
        <v>1</v>
      </c>
      <c r="D58" s="9" t="s">
        <v>20</v>
      </c>
      <c r="E58" s="10">
        <v>46638</v>
      </c>
      <c r="F58" s="10">
        <v>47003</v>
      </c>
      <c r="G58" s="18">
        <v>0</v>
      </c>
      <c r="H58" s="21">
        <f t="shared" si="1"/>
        <v>0</v>
      </c>
      <c r="I58" s="8">
        <v>12</v>
      </c>
      <c r="J58" t="s">
        <v>98</v>
      </c>
    </row>
    <row r="59" spans="1:10" ht="15.6" x14ac:dyDescent="0.3">
      <c r="A59" s="1" t="s">
        <v>45</v>
      </c>
      <c r="B59" s="9" t="s">
        <v>74</v>
      </c>
      <c r="C59" s="11">
        <v>1</v>
      </c>
      <c r="D59" s="9" t="s">
        <v>62</v>
      </c>
      <c r="E59" s="10">
        <v>46638</v>
      </c>
      <c r="F59" s="10">
        <v>47003</v>
      </c>
      <c r="G59" s="18">
        <v>0</v>
      </c>
      <c r="H59" s="21">
        <f t="shared" si="1"/>
        <v>0</v>
      </c>
      <c r="I59" s="8">
        <v>12</v>
      </c>
      <c r="J59" t="s">
        <v>98</v>
      </c>
    </row>
    <row r="60" spans="1:10" ht="15.6" x14ac:dyDescent="0.3">
      <c r="A60" s="12" t="s">
        <v>61</v>
      </c>
      <c r="B60" s="9" t="s">
        <v>70</v>
      </c>
      <c r="C60" s="11">
        <v>1</v>
      </c>
      <c r="D60" s="9" t="s">
        <v>56</v>
      </c>
      <c r="E60" s="10">
        <v>46638</v>
      </c>
      <c r="F60" s="10">
        <v>47003</v>
      </c>
      <c r="G60" s="18">
        <v>0</v>
      </c>
      <c r="H60" s="21">
        <f t="shared" ref="H60:H68" si="2">G60</f>
        <v>0</v>
      </c>
      <c r="I60" s="8">
        <v>12</v>
      </c>
      <c r="J60" t="s">
        <v>98</v>
      </c>
    </row>
    <row r="61" spans="1:10" ht="15.6" x14ac:dyDescent="0.3">
      <c r="A61" s="12" t="s">
        <v>61</v>
      </c>
      <c r="B61" s="9" t="s">
        <v>70</v>
      </c>
      <c r="C61" s="11">
        <v>1</v>
      </c>
      <c r="D61" s="9" t="s">
        <v>57</v>
      </c>
      <c r="E61" s="10">
        <v>46638</v>
      </c>
      <c r="F61" s="10">
        <v>47003</v>
      </c>
      <c r="G61" s="18">
        <v>0</v>
      </c>
      <c r="H61" s="21">
        <f t="shared" si="2"/>
        <v>0</v>
      </c>
      <c r="I61" s="8">
        <v>12</v>
      </c>
      <c r="J61" t="s">
        <v>98</v>
      </c>
    </row>
    <row r="62" spans="1:10" ht="15.6" x14ac:dyDescent="0.3">
      <c r="A62" s="12" t="s">
        <v>61</v>
      </c>
      <c r="B62" s="9" t="s">
        <v>70</v>
      </c>
      <c r="C62" s="11">
        <v>1</v>
      </c>
      <c r="D62" s="9" t="s">
        <v>58</v>
      </c>
      <c r="E62" s="10">
        <v>46638</v>
      </c>
      <c r="F62" s="10">
        <v>47003</v>
      </c>
      <c r="G62" s="18">
        <v>0</v>
      </c>
      <c r="H62" s="21">
        <f t="shared" si="2"/>
        <v>0</v>
      </c>
      <c r="I62" s="8">
        <v>12</v>
      </c>
      <c r="J62" t="s">
        <v>98</v>
      </c>
    </row>
    <row r="63" spans="1:10" ht="15.6" x14ac:dyDescent="0.3">
      <c r="A63" s="12" t="s">
        <v>61</v>
      </c>
      <c r="B63" s="9" t="s">
        <v>70</v>
      </c>
      <c r="C63" s="11">
        <v>1</v>
      </c>
      <c r="D63" s="9" t="s">
        <v>59</v>
      </c>
      <c r="E63" s="10">
        <v>46638</v>
      </c>
      <c r="F63" s="10">
        <v>47003</v>
      </c>
      <c r="G63" s="18">
        <v>0</v>
      </c>
      <c r="H63" s="21">
        <f t="shared" si="2"/>
        <v>0</v>
      </c>
      <c r="I63" s="8">
        <v>12</v>
      </c>
      <c r="J63" t="s">
        <v>98</v>
      </c>
    </row>
    <row r="64" spans="1:10" ht="15.6" x14ac:dyDescent="0.3">
      <c r="A64" s="2" t="s">
        <v>60</v>
      </c>
      <c r="B64" s="9" t="s">
        <v>72</v>
      </c>
      <c r="C64" s="11">
        <v>1</v>
      </c>
      <c r="D64" s="9" t="s">
        <v>46</v>
      </c>
      <c r="E64" s="10">
        <v>46638</v>
      </c>
      <c r="F64" s="10">
        <v>47003</v>
      </c>
      <c r="G64" s="18">
        <v>0</v>
      </c>
      <c r="H64" s="21">
        <f t="shared" si="2"/>
        <v>0</v>
      </c>
      <c r="I64" s="8">
        <v>12</v>
      </c>
      <c r="J64" t="s">
        <v>98</v>
      </c>
    </row>
    <row r="65" spans="1:11" ht="15.6" x14ac:dyDescent="0.3">
      <c r="A65" s="2" t="s">
        <v>60</v>
      </c>
      <c r="B65" s="9" t="s">
        <v>72</v>
      </c>
      <c r="C65" s="11">
        <v>1</v>
      </c>
      <c r="D65" s="9" t="s">
        <v>47</v>
      </c>
      <c r="E65" s="10">
        <v>46638</v>
      </c>
      <c r="F65" s="10">
        <v>47003</v>
      </c>
      <c r="G65" s="18">
        <v>0</v>
      </c>
      <c r="H65" s="21">
        <f t="shared" si="2"/>
        <v>0</v>
      </c>
      <c r="I65" s="8">
        <v>12</v>
      </c>
      <c r="J65" t="s">
        <v>98</v>
      </c>
    </row>
    <row r="66" spans="1:11" ht="15.6" x14ac:dyDescent="0.3">
      <c r="A66" s="2" t="s">
        <v>60</v>
      </c>
      <c r="B66" s="9" t="s">
        <v>72</v>
      </c>
      <c r="C66" s="11">
        <v>1</v>
      </c>
      <c r="D66" s="9" t="s">
        <v>48</v>
      </c>
      <c r="E66" s="10">
        <v>46638</v>
      </c>
      <c r="F66" s="10">
        <v>47003</v>
      </c>
      <c r="G66" s="18">
        <v>0</v>
      </c>
      <c r="H66" s="21">
        <f t="shared" si="2"/>
        <v>0</v>
      </c>
      <c r="I66" s="8">
        <v>12</v>
      </c>
      <c r="J66" t="s">
        <v>98</v>
      </c>
    </row>
    <row r="67" spans="1:11" ht="15.6" x14ac:dyDescent="0.3">
      <c r="A67" s="2" t="s">
        <v>60</v>
      </c>
      <c r="B67" s="9" t="s">
        <v>72</v>
      </c>
      <c r="C67" s="11">
        <v>1</v>
      </c>
      <c r="D67" s="9" t="s">
        <v>49</v>
      </c>
      <c r="E67" s="10">
        <v>46638</v>
      </c>
      <c r="F67" s="10">
        <v>47003</v>
      </c>
      <c r="G67" s="18">
        <v>0</v>
      </c>
      <c r="H67" s="21">
        <f t="shared" si="2"/>
        <v>0</v>
      </c>
      <c r="I67" s="8">
        <v>12</v>
      </c>
      <c r="J67" t="s">
        <v>98</v>
      </c>
    </row>
    <row r="68" spans="1:11" ht="15.6" x14ac:dyDescent="0.3">
      <c r="A68" s="2" t="s">
        <v>60</v>
      </c>
      <c r="B68" s="9" t="s">
        <v>72</v>
      </c>
      <c r="C68" s="11">
        <v>1</v>
      </c>
      <c r="D68" s="9" t="s">
        <v>50</v>
      </c>
      <c r="E68" s="10">
        <v>46638</v>
      </c>
      <c r="F68" s="10">
        <v>47003</v>
      </c>
      <c r="G68" s="18">
        <v>0</v>
      </c>
      <c r="H68" s="21">
        <f t="shared" si="2"/>
        <v>0</v>
      </c>
      <c r="I68" s="8">
        <v>12</v>
      </c>
      <c r="J68" t="s">
        <v>98</v>
      </c>
    </row>
    <row r="69" spans="1:11" ht="15.6" x14ac:dyDescent="0.3">
      <c r="A69" s="2" t="s">
        <v>60</v>
      </c>
      <c r="B69" s="9" t="s">
        <v>72</v>
      </c>
      <c r="C69" s="11">
        <v>1</v>
      </c>
      <c r="D69" s="9" t="s">
        <v>51</v>
      </c>
      <c r="E69" s="10">
        <v>46784</v>
      </c>
      <c r="F69" s="10">
        <v>47003</v>
      </c>
      <c r="G69" s="18">
        <v>0</v>
      </c>
      <c r="H69" s="21">
        <f t="shared" ref="H69:H73" si="3">G69</f>
        <v>0</v>
      </c>
      <c r="I69" s="8">
        <f>DATEDIF(Table4[[#This Row],[Start]],Table4[[#This Row],[End]],"M")</f>
        <v>7</v>
      </c>
      <c r="J69" t="s">
        <v>99</v>
      </c>
    </row>
    <row r="70" spans="1:11" ht="15.6" x14ac:dyDescent="0.3">
      <c r="A70" s="2" t="s">
        <v>60</v>
      </c>
      <c r="B70" s="9" t="s">
        <v>72</v>
      </c>
      <c r="C70" s="11">
        <v>1</v>
      </c>
      <c r="D70" s="9" t="s">
        <v>52</v>
      </c>
      <c r="E70" s="10">
        <v>46784</v>
      </c>
      <c r="F70" s="10">
        <v>47003</v>
      </c>
      <c r="G70" s="18">
        <v>0</v>
      </c>
      <c r="H70" s="21">
        <f t="shared" si="3"/>
        <v>0</v>
      </c>
      <c r="I70" s="8">
        <f>DATEDIF(Table4[[#This Row],[Start]],Table4[[#This Row],[End]],"M")</f>
        <v>7</v>
      </c>
      <c r="J70" t="s">
        <v>99</v>
      </c>
    </row>
    <row r="71" spans="1:11" ht="15.6" x14ac:dyDescent="0.3">
      <c r="A71" s="2" t="s">
        <v>60</v>
      </c>
      <c r="B71" s="9" t="s">
        <v>72</v>
      </c>
      <c r="C71" s="11">
        <v>1</v>
      </c>
      <c r="D71" s="9" t="s">
        <v>53</v>
      </c>
      <c r="E71" s="10">
        <v>46784</v>
      </c>
      <c r="F71" s="10">
        <v>47003</v>
      </c>
      <c r="G71" s="18">
        <v>0</v>
      </c>
      <c r="H71" s="21">
        <f t="shared" si="3"/>
        <v>0</v>
      </c>
      <c r="I71" s="8">
        <f>DATEDIF(Table4[[#This Row],[Start]],Table4[[#This Row],[End]],"M")</f>
        <v>7</v>
      </c>
      <c r="J71" t="s">
        <v>99</v>
      </c>
    </row>
    <row r="72" spans="1:11" ht="15.6" x14ac:dyDescent="0.3">
      <c r="A72" s="2" t="s">
        <v>60</v>
      </c>
      <c r="B72" s="9" t="s">
        <v>72</v>
      </c>
      <c r="C72" s="11">
        <v>1</v>
      </c>
      <c r="D72" s="9" t="s">
        <v>54</v>
      </c>
      <c r="E72" s="10">
        <v>46784</v>
      </c>
      <c r="F72" s="10">
        <v>47003</v>
      </c>
      <c r="G72" s="18">
        <v>0</v>
      </c>
      <c r="H72" s="21">
        <f t="shared" si="3"/>
        <v>0</v>
      </c>
      <c r="I72" s="8">
        <f>DATEDIF(Table4[[#This Row],[Start]],Table4[[#This Row],[End]],"M")</f>
        <v>7</v>
      </c>
      <c r="J72" t="s">
        <v>99</v>
      </c>
    </row>
    <row r="73" spans="1:11" ht="16.2" thickBot="1" x14ac:dyDescent="0.35">
      <c r="A73" s="24" t="s">
        <v>60</v>
      </c>
      <c r="B73" s="7" t="s">
        <v>72</v>
      </c>
      <c r="C73" s="11">
        <v>1</v>
      </c>
      <c r="D73" s="7" t="s">
        <v>55</v>
      </c>
      <c r="E73" s="17">
        <v>46784</v>
      </c>
      <c r="F73" s="17">
        <v>47003</v>
      </c>
      <c r="G73" s="18">
        <v>0</v>
      </c>
      <c r="H73" s="23">
        <f t="shared" si="3"/>
        <v>0</v>
      </c>
      <c r="I73" s="8">
        <f>DATEDIF(Table4[[#This Row],[Start]],Table4[[#This Row],[End]],"M")</f>
        <v>7</v>
      </c>
      <c r="J73" t="s">
        <v>99</v>
      </c>
    </row>
    <row r="74" spans="1:11" ht="16.8" thickTop="1" thickBot="1" x14ac:dyDescent="0.35">
      <c r="A74" s="48"/>
      <c r="B74" s="48"/>
      <c r="C74" s="53" t="s">
        <v>127</v>
      </c>
      <c r="D74" s="54">
        <f>COUNTA(Table4[Asset Name])</f>
        <v>68</v>
      </c>
      <c r="E74" s="48"/>
      <c r="F74" s="49"/>
      <c r="G74" s="50" t="s">
        <v>114</v>
      </c>
      <c r="H74" s="52">
        <f>SUBTOTAL(109,Table4[Ext Amount])</f>
        <v>0</v>
      </c>
      <c r="I74" s="50"/>
      <c r="J74" s="51"/>
    </row>
    <row r="77" spans="1:11" ht="44.4" customHeight="1" x14ac:dyDescent="0.3">
      <c r="B77" s="36" t="s">
        <v>125</v>
      </c>
      <c r="C77" s="37"/>
      <c r="D77" s="37"/>
      <c r="E77" s="37"/>
      <c r="F77" s="37"/>
      <c r="G77" s="37"/>
      <c r="H77" s="37"/>
      <c r="I77" s="37"/>
      <c r="J77" s="37"/>
      <c r="K77" s="37"/>
    </row>
  </sheetData>
  <sheetProtection algorithmName="SHA-512" hashValue="+I7yM0IaOqSr+ZHNzE/2hM17MQHkVLLyEvHBzFxX7qNTomxyFgTvhmwDMTIHs2n0KO8awpZ+PJQqXX4YcKPgbg==" saltValue="HrH5EbdVB1Y0qyCVhwa3Qg==" spinCount="100000" sheet="1" objects="1" scenarios="1"/>
  <mergeCells count="4">
    <mergeCell ref="B2:K2"/>
    <mergeCell ref="B77:K77"/>
    <mergeCell ref="E4:F4"/>
    <mergeCell ref="G4:H4"/>
  </mergeCells>
  <phoneticPr fontId="5" type="noConversion"/>
  <conditionalFormatting sqref="G6:H73 H74">
    <cfRule type="cellIs" dxfId="23" priority="1" operator="greaterThan">
      <formula>0</formula>
    </cfRule>
    <cfRule type="cellIs" dxfId="22" priority="2" operator="lessThan">
      <formula>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D5F61-E058-4B75-AF3B-911C3C26F71F}">
  <dimension ref="A1:L77"/>
  <sheetViews>
    <sheetView topLeftCell="A53" workbookViewId="0">
      <selection activeCell="C74" sqref="C74:D74"/>
    </sheetView>
  </sheetViews>
  <sheetFormatPr defaultRowHeight="14.4" x14ac:dyDescent="0.3"/>
  <cols>
    <col min="1" max="1" width="29.109375" bestFit="1" customWidth="1"/>
    <col min="2" max="2" width="47.33203125" bestFit="1" customWidth="1"/>
    <col min="3" max="3" width="30.5546875" bestFit="1" customWidth="1"/>
    <col min="4" max="4" width="44" bestFit="1" customWidth="1"/>
    <col min="5" max="5" width="9.5546875" bestFit="1" customWidth="1"/>
    <col min="6" max="6" width="17.5546875" bestFit="1" customWidth="1"/>
    <col min="7" max="7" width="29.109375" customWidth="1"/>
    <col min="8" max="8" width="20.77734375" customWidth="1"/>
    <col min="9" max="9" width="15.109375" style="8" customWidth="1"/>
    <col min="10" max="10" width="22.5546875" customWidth="1"/>
  </cols>
  <sheetData>
    <row r="1" spans="1:12" ht="18" x14ac:dyDescent="0.35">
      <c r="A1" s="3" t="s">
        <v>77</v>
      </c>
    </row>
    <row r="2" spans="1:12" ht="18" x14ac:dyDescent="0.35">
      <c r="A2" s="3"/>
      <c r="B2" s="34" t="s">
        <v>126</v>
      </c>
      <c r="C2" s="35"/>
      <c r="D2" s="35"/>
      <c r="E2" s="35"/>
      <c r="F2" s="35"/>
      <c r="G2" s="35"/>
      <c r="H2" s="35"/>
      <c r="I2" s="35"/>
      <c r="J2" s="35"/>
      <c r="K2" s="35"/>
      <c r="L2" s="35"/>
    </row>
    <row r="3" spans="1:12" ht="15" thickBot="1" x14ac:dyDescent="0.35">
      <c r="A3" s="4"/>
    </row>
    <row r="4" spans="1:12" ht="15" thickBot="1" x14ac:dyDescent="0.35">
      <c r="E4" s="28" t="s">
        <v>69</v>
      </c>
      <c r="F4" s="29"/>
      <c r="G4" s="30" t="s">
        <v>121</v>
      </c>
      <c r="H4" s="31"/>
    </row>
    <row r="5" spans="1:12" ht="15" thickBot="1" x14ac:dyDescent="0.35">
      <c r="A5" s="6" t="s">
        <v>68</v>
      </c>
      <c r="B5" s="6" t="s">
        <v>63</v>
      </c>
      <c r="C5" s="6" t="s">
        <v>66</v>
      </c>
      <c r="D5" s="6" t="s">
        <v>0</v>
      </c>
      <c r="E5" s="6" t="s">
        <v>64</v>
      </c>
      <c r="F5" s="6" t="s">
        <v>65</v>
      </c>
      <c r="G5" s="6" t="s">
        <v>1</v>
      </c>
      <c r="H5" s="6" t="s">
        <v>67</v>
      </c>
      <c r="I5" s="19" t="s">
        <v>97</v>
      </c>
      <c r="J5" s="20" t="s">
        <v>96</v>
      </c>
    </row>
    <row r="6" spans="1:12" ht="15.6" x14ac:dyDescent="0.3">
      <c r="A6" s="1" t="s">
        <v>45</v>
      </c>
      <c r="B6" s="9" t="s">
        <v>70</v>
      </c>
      <c r="C6" s="9">
        <v>1</v>
      </c>
      <c r="D6" s="9" t="s">
        <v>105</v>
      </c>
      <c r="E6" s="10">
        <v>47004</v>
      </c>
      <c r="F6" s="10">
        <v>47368</v>
      </c>
      <c r="G6" s="18">
        <v>0</v>
      </c>
      <c r="H6" s="21">
        <f t="shared" ref="H6:H42" si="0">G6</f>
        <v>0</v>
      </c>
      <c r="I6" s="8">
        <v>12</v>
      </c>
      <c r="J6" t="s">
        <v>100</v>
      </c>
    </row>
    <row r="7" spans="1:12" ht="15.6" x14ac:dyDescent="0.3">
      <c r="A7" s="1" t="s">
        <v>45</v>
      </c>
      <c r="B7" s="9" t="s">
        <v>70</v>
      </c>
      <c r="C7" s="9">
        <v>1</v>
      </c>
      <c r="D7" s="9" t="s">
        <v>104</v>
      </c>
      <c r="E7" s="10">
        <v>47004</v>
      </c>
      <c r="F7" s="10">
        <v>47368</v>
      </c>
      <c r="G7" s="18">
        <v>0</v>
      </c>
      <c r="H7" s="21">
        <f>G7</f>
        <v>0</v>
      </c>
      <c r="I7" s="8">
        <v>12</v>
      </c>
      <c r="J7" t="s">
        <v>100</v>
      </c>
    </row>
    <row r="8" spans="1:12" ht="15.6" x14ac:dyDescent="0.3">
      <c r="A8" s="1" t="s">
        <v>45</v>
      </c>
      <c r="B8" s="9" t="s">
        <v>70</v>
      </c>
      <c r="C8" s="9">
        <v>1</v>
      </c>
      <c r="D8" s="9" t="s">
        <v>106</v>
      </c>
      <c r="E8" s="10">
        <v>47004</v>
      </c>
      <c r="F8" s="10">
        <v>47368</v>
      </c>
      <c r="G8" s="18">
        <v>0</v>
      </c>
      <c r="H8" s="21">
        <f t="shared" si="0"/>
        <v>0</v>
      </c>
      <c r="I8" s="8">
        <v>12</v>
      </c>
      <c r="J8" t="s">
        <v>100</v>
      </c>
    </row>
    <row r="9" spans="1:12" ht="15.6" x14ac:dyDescent="0.3">
      <c r="A9" s="1" t="s">
        <v>45</v>
      </c>
      <c r="B9" s="9" t="s">
        <v>70</v>
      </c>
      <c r="C9" s="9">
        <v>1</v>
      </c>
      <c r="D9" s="9" t="s">
        <v>107</v>
      </c>
      <c r="E9" s="10">
        <v>47004</v>
      </c>
      <c r="F9" s="10">
        <v>47368</v>
      </c>
      <c r="G9" s="18">
        <v>0</v>
      </c>
      <c r="H9" s="21">
        <f>G9</f>
        <v>0</v>
      </c>
      <c r="I9" s="8">
        <v>12</v>
      </c>
      <c r="J9" t="s">
        <v>100</v>
      </c>
    </row>
    <row r="10" spans="1:12" ht="15.6" x14ac:dyDescent="0.3">
      <c r="A10" s="1" t="s">
        <v>45</v>
      </c>
      <c r="B10" s="9" t="s">
        <v>70</v>
      </c>
      <c r="C10" s="9">
        <v>1</v>
      </c>
      <c r="D10" s="9" t="s">
        <v>108</v>
      </c>
      <c r="E10" s="10">
        <v>47004</v>
      </c>
      <c r="F10" s="10">
        <v>47368</v>
      </c>
      <c r="G10" s="18">
        <v>0</v>
      </c>
      <c r="H10" s="21">
        <f t="shared" si="0"/>
        <v>0</v>
      </c>
      <c r="I10" s="8">
        <v>12</v>
      </c>
      <c r="J10" t="s">
        <v>100</v>
      </c>
    </row>
    <row r="11" spans="1:12" ht="15.6" x14ac:dyDescent="0.3">
      <c r="A11" s="1" t="s">
        <v>45</v>
      </c>
      <c r="B11" s="9" t="s">
        <v>70</v>
      </c>
      <c r="C11" s="9">
        <v>1</v>
      </c>
      <c r="D11" s="9" t="s">
        <v>109</v>
      </c>
      <c r="E11" s="10">
        <v>47004</v>
      </c>
      <c r="F11" s="10">
        <v>47368</v>
      </c>
      <c r="G11" s="18">
        <v>0</v>
      </c>
      <c r="H11" s="21">
        <f>G11</f>
        <v>0</v>
      </c>
      <c r="I11" s="8">
        <v>12</v>
      </c>
      <c r="J11" t="s">
        <v>100</v>
      </c>
    </row>
    <row r="12" spans="1:12" ht="15.6" x14ac:dyDescent="0.3">
      <c r="A12" s="1" t="s">
        <v>45</v>
      </c>
      <c r="B12" s="9" t="s">
        <v>70</v>
      </c>
      <c r="C12" s="9">
        <v>1</v>
      </c>
      <c r="D12" s="9" t="s">
        <v>110</v>
      </c>
      <c r="E12" s="10">
        <v>47004</v>
      </c>
      <c r="F12" s="10">
        <v>47368</v>
      </c>
      <c r="G12" s="18">
        <v>0</v>
      </c>
      <c r="H12" s="21">
        <f t="shared" si="0"/>
        <v>0</v>
      </c>
      <c r="I12" s="8">
        <v>12</v>
      </c>
      <c r="J12" t="s">
        <v>100</v>
      </c>
    </row>
    <row r="13" spans="1:12" ht="15.6" x14ac:dyDescent="0.3">
      <c r="A13" s="1" t="s">
        <v>45</v>
      </c>
      <c r="B13" s="9" t="s">
        <v>70</v>
      </c>
      <c r="C13" s="9">
        <v>1</v>
      </c>
      <c r="D13" s="9" t="s">
        <v>111</v>
      </c>
      <c r="E13" s="10">
        <v>47004</v>
      </c>
      <c r="F13" s="10">
        <v>47368</v>
      </c>
      <c r="G13" s="18">
        <v>0</v>
      </c>
      <c r="H13" s="21">
        <f>G13</f>
        <v>0</v>
      </c>
      <c r="I13" s="8">
        <v>12</v>
      </c>
      <c r="J13" t="s">
        <v>100</v>
      </c>
    </row>
    <row r="14" spans="1:12" ht="15.6" x14ac:dyDescent="0.3">
      <c r="A14" s="1" t="s">
        <v>45</v>
      </c>
      <c r="B14" s="9" t="s">
        <v>70</v>
      </c>
      <c r="C14" s="9">
        <v>1</v>
      </c>
      <c r="D14" s="9" t="s">
        <v>113</v>
      </c>
      <c r="E14" s="10">
        <v>47004</v>
      </c>
      <c r="F14" s="10">
        <v>47368</v>
      </c>
      <c r="G14" s="18">
        <v>0</v>
      </c>
      <c r="H14" s="21">
        <f t="shared" si="0"/>
        <v>0</v>
      </c>
      <c r="I14" s="8">
        <v>12</v>
      </c>
      <c r="J14" t="s">
        <v>100</v>
      </c>
    </row>
    <row r="15" spans="1:12" ht="15.6" x14ac:dyDescent="0.3">
      <c r="A15" s="1" t="s">
        <v>45</v>
      </c>
      <c r="B15" s="9" t="s">
        <v>70</v>
      </c>
      <c r="C15" s="9">
        <v>1</v>
      </c>
      <c r="D15" s="9" t="s">
        <v>112</v>
      </c>
      <c r="E15" s="10">
        <v>47004</v>
      </c>
      <c r="F15" s="10">
        <v>47368</v>
      </c>
      <c r="G15" s="18">
        <v>0</v>
      </c>
      <c r="H15" s="21">
        <f>G15</f>
        <v>0</v>
      </c>
      <c r="I15" s="8">
        <v>12</v>
      </c>
      <c r="J15" t="s">
        <v>100</v>
      </c>
    </row>
    <row r="16" spans="1:12" ht="15.6" x14ac:dyDescent="0.3">
      <c r="A16" s="1" t="s">
        <v>45</v>
      </c>
      <c r="B16" s="9" t="s">
        <v>70</v>
      </c>
      <c r="C16" s="9">
        <v>1</v>
      </c>
      <c r="D16" s="9" t="s">
        <v>2</v>
      </c>
      <c r="E16" s="10">
        <v>47004</v>
      </c>
      <c r="F16" s="10">
        <v>47368</v>
      </c>
      <c r="G16" s="18">
        <v>0</v>
      </c>
      <c r="H16" s="21">
        <f t="shared" si="0"/>
        <v>0</v>
      </c>
      <c r="I16" s="8">
        <v>12</v>
      </c>
      <c r="J16" t="s">
        <v>100</v>
      </c>
    </row>
    <row r="17" spans="1:10" ht="15.6" x14ac:dyDescent="0.3">
      <c r="A17" s="1" t="s">
        <v>45</v>
      </c>
      <c r="B17" s="9" t="s">
        <v>70</v>
      </c>
      <c r="C17" s="9">
        <v>1</v>
      </c>
      <c r="D17" s="9" t="s">
        <v>3</v>
      </c>
      <c r="E17" s="10">
        <v>47004</v>
      </c>
      <c r="F17" s="10">
        <v>47368</v>
      </c>
      <c r="G17" s="18">
        <v>0</v>
      </c>
      <c r="H17" s="21">
        <f t="shared" si="0"/>
        <v>0</v>
      </c>
      <c r="I17" s="8">
        <v>12</v>
      </c>
      <c r="J17" t="s">
        <v>100</v>
      </c>
    </row>
    <row r="18" spans="1:10" ht="15.6" x14ac:dyDescent="0.3">
      <c r="A18" s="1" t="s">
        <v>45</v>
      </c>
      <c r="B18" s="9" t="s">
        <v>70</v>
      </c>
      <c r="C18" s="9">
        <v>1</v>
      </c>
      <c r="D18" s="9" t="s">
        <v>4</v>
      </c>
      <c r="E18" s="10">
        <v>47004</v>
      </c>
      <c r="F18" s="10">
        <v>47368</v>
      </c>
      <c r="G18" s="18">
        <v>0</v>
      </c>
      <c r="H18" s="21">
        <f t="shared" si="0"/>
        <v>0</v>
      </c>
      <c r="I18" s="8">
        <v>12</v>
      </c>
      <c r="J18" t="s">
        <v>100</v>
      </c>
    </row>
    <row r="19" spans="1:10" ht="15.6" x14ac:dyDescent="0.3">
      <c r="A19" s="1" t="s">
        <v>45</v>
      </c>
      <c r="B19" s="9" t="s">
        <v>70</v>
      </c>
      <c r="C19" s="9">
        <v>1</v>
      </c>
      <c r="D19" s="9" t="s">
        <v>5</v>
      </c>
      <c r="E19" s="10">
        <v>47004</v>
      </c>
      <c r="F19" s="10">
        <v>47368</v>
      </c>
      <c r="G19" s="18">
        <v>0</v>
      </c>
      <c r="H19" s="21">
        <f t="shared" si="0"/>
        <v>0</v>
      </c>
      <c r="I19" s="8">
        <v>12</v>
      </c>
      <c r="J19" t="s">
        <v>100</v>
      </c>
    </row>
    <row r="20" spans="1:10" ht="15.6" x14ac:dyDescent="0.3">
      <c r="A20" s="1" t="s">
        <v>45</v>
      </c>
      <c r="B20" s="9" t="s">
        <v>70</v>
      </c>
      <c r="C20" s="9">
        <v>1</v>
      </c>
      <c r="D20" s="9" t="s">
        <v>6</v>
      </c>
      <c r="E20" s="10">
        <v>47004</v>
      </c>
      <c r="F20" s="10">
        <v>47368</v>
      </c>
      <c r="G20" s="18">
        <v>0</v>
      </c>
      <c r="H20" s="21">
        <f t="shared" si="0"/>
        <v>0</v>
      </c>
      <c r="I20" s="8">
        <v>12</v>
      </c>
      <c r="J20" t="s">
        <v>100</v>
      </c>
    </row>
    <row r="21" spans="1:10" ht="15.6" x14ac:dyDescent="0.3">
      <c r="A21" s="1" t="s">
        <v>45</v>
      </c>
      <c r="B21" s="9" t="s">
        <v>70</v>
      </c>
      <c r="C21" s="9">
        <v>1</v>
      </c>
      <c r="D21" s="9" t="s">
        <v>7</v>
      </c>
      <c r="E21" s="10">
        <v>47004</v>
      </c>
      <c r="F21" s="10">
        <v>47368</v>
      </c>
      <c r="G21" s="18">
        <v>0</v>
      </c>
      <c r="H21" s="21">
        <f t="shared" si="0"/>
        <v>0</v>
      </c>
      <c r="I21" s="8">
        <v>12</v>
      </c>
      <c r="J21" t="s">
        <v>100</v>
      </c>
    </row>
    <row r="22" spans="1:10" ht="15.6" x14ac:dyDescent="0.3">
      <c r="A22" s="1" t="s">
        <v>45</v>
      </c>
      <c r="B22" s="9" t="s">
        <v>70</v>
      </c>
      <c r="C22" s="9">
        <v>1</v>
      </c>
      <c r="D22" s="9" t="s">
        <v>8</v>
      </c>
      <c r="E22" s="10">
        <v>47004</v>
      </c>
      <c r="F22" s="10">
        <v>47368</v>
      </c>
      <c r="G22" s="18">
        <v>0</v>
      </c>
      <c r="H22" s="21">
        <f t="shared" si="0"/>
        <v>0</v>
      </c>
      <c r="I22" s="8">
        <v>12</v>
      </c>
      <c r="J22" t="s">
        <v>100</v>
      </c>
    </row>
    <row r="23" spans="1:10" ht="15.6" x14ac:dyDescent="0.3">
      <c r="A23" s="1" t="s">
        <v>45</v>
      </c>
      <c r="B23" s="9" t="s">
        <v>70</v>
      </c>
      <c r="C23" s="9">
        <v>1</v>
      </c>
      <c r="D23" s="9" t="s">
        <v>9</v>
      </c>
      <c r="E23" s="10">
        <v>47004</v>
      </c>
      <c r="F23" s="10">
        <v>47368</v>
      </c>
      <c r="G23" s="18">
        <v>0</v>
      </c>
      <c r="H23" s="21">
        <f t="shared" si="0"/>
        <v>0</v>
      </c>
      <c r="I23" s="8">
        <v>12</v>
      </c>
      <c r="J23" t="s">
        <v>100</v>
      </c>
    </row>
    <row r="24" spans="1:10" ht="15.6" x14ac:dyDescent="0.3">
      <c r="A24" s="1" t="s">
        <v>45</v>
      </c>
      <c r="B24" s="9" t="s">
        <v>70</v>
      </c>
      <c r="C24" s="9">
        <v>1</v>
      </c>
      <c r="D24" s="9" t="s">
        <v>10</v>
      </c>
      <c r="E24" s="10">
        <v>47004</v>
      </c>
      <c r="F24" s="10">
        <v>47368</v>
      </c>
      <c r="G24" s="18">
        <v>0</v>
      </c>
      <c r="H24" s="21">
        <f t="shared" si="0"/>
        <v>0</v>
      </c>
      <c r="I24" s="8">
        <v>12</v>
      </c>
      <c r="J24" t="s">
        <v>100</v>
      </c>
    </row>
    <row r="25" spans="1:10" ht="15.6" x14ac:dyDescent="0.3">
      <c r="A25" s="1" t="s">
        <v>45</v>
      </c>
      <c r="B25" s="9" t="s">
        <v>70</v>
      </c>
      <c r="C25" s="9">
        <v>1</v>
      </c>
      <c r="D25" s="9" t="s">
        <v>11</v>
      </c>
      <c r="E25" s="10">
        <v>47004</v>
      </c>
      <c r="F25" s="10">
        <v>47368</v>
      </c>
      <c r="G25" s="18">
        <v>0</v>
      </c>
      <c r="H25" s="21">
        <f t="shared" si="0"/>
        <v>0</v>
      </c>
      <c r="I25" s="8">
        <v>12</v>
      </c>
      <c r="J25" t="s">
        <v>100</v>
      </c>
    </row>
    <row r="26" spans="1:10" ht="15.6" x14ac:dyDescent="0.3">
      <c r="A26" s="1" t="s">
        <v>45</v>
      </c>
      <c r="B26" s="9" t="s">
        <v>70</v>
      </c>
      <c r="C26" s="9">
        <v>1</v>
      </c>
      <c r="D26" s="9" t="s">
        <v>12</v>
      </c>
      <c r="E26" s="10">
        <v>47004</v>
      </c>
      <c r="F26" s="10">
        <v>47368</v>
      </c>
      <c r="G26" s="18">
        <v>0</v>
      </c>
      <c r="H26" s="21">
        <f t="shared" si="0"/>
        <v>0</v>
      </c>
      <c r="I26" s="8">
        <v>12</v>
      </c>
      <c r="J26" t="s">
        <v>100</v>
      </c>
    </row>
    <row r="27" spans="1:10" ht="15.6" x14ac:dyDescent="0.3">
      <c r="A27" s="1" t="s">
        <v>45</v>
      </c>
      <c r="B27" s="9" t="s">
        <v>70</v>
      </c>
      <c r="C27" s="9">
        <v>1</v>
      </c>
      <c r="D27" s="9" t="s">
        <v>13</v>
      </c>
      <c r="E27" s="10">
        <v>47004</v>
      </c>
      <c r="F27" s="10">
        <v>47368</v>
      </c>
      <c r="G27" s="18">
        <v>0</v>
      </c>
      <c r="H27" s="21">
        <f t="shared" si="0"/>
        <v>0</v>
      </c>
      <c r="I27" s="8">
        <v>12</v>
      </c>
      <c r="J27" t="s">
        <v>100</v>
      </c>
    </row>
    <row r="28" spans="1:10" ht="15.6" x14ac:dyDescent="0.3">
      <c r="A28" s="1" t="s">
        <v>45</v>
      </c>
      <c r="B28" s="9" t="s">
        <v>70</v>
      </c>
      <c r="C28" s="9">
        <v>1</v>
      </c>
      <c r="D28" s="9" t="s">
        <v>14</v>
      </c>
      <c r="E28" s="10">
        <v>47004</v>
      </c>
      <c r="F28" s="10">
        <v>47368</v>
      </c>
      <c r="G28" s="18">
        <v>0</v>
      </c>
      <c r="H28" s="21">
        <f t="shared" si="0"/>
        <v>0</v>
      </c>
      <c r="I28" s="8">
        <v>12</v>
      </c>
      <c r="J28" t="s">
        <v>100</v>
      </c>
    </row>
    <row r="29" spans="1:10" ht="15.6" x14ac:dyDescent="0.3">
      <c r="A29" s="1" t="s">
        <v>45</v>
      </c>
      <c r="B29" s="9" t="s">
        <v>70</v>
      </c>
      <c r="C29" s="9">
        <v>1</v>
      </c>
      <c r="D29" s="9" t="s">
        <v>15</v>
      </c>
      <c r="E29" s="10">
        <v>47004</v>
      </c>
      <c r="F29" s="10">
        <v>47368</v>
      </c>
      <c r="G29" s="18">
        <v>0</v>
      </c>
      <c r="H29" s="21">
        <f t="shared" si="0"/>
        <v>0</v>
      </c>
      <c r="I29" s="8">
        <v>12</v>
      </c>
      <c r="J29" t="s">
        <v>100</v>
      </c>
    </row>
    <row r="30" spans="1:10" ht="15.6" x14ac:dyDescent="0.3">
      <c r="A30" s="1" t="s">
        <v>45</v>
      </c>
      <c r="B30" s="9" t="s">
        <v>70</v>
      </c>
      <c r="C30" s="9">
        <v>1</v>
      </c>
      <c r="D30" s="9" t="s">
        <v>16</v>
      </c>
      <c r="E30" s="10">
        <v>47004</v>
      </c>
      <c r="F30" s="10">
        <v>47368</v>
      </c>
      <c r="G30" s="18">
        <v>0</v>
      </c>
      <c r="H30" s="21">
        <f t="shared" si="0"/>
        <v>0</v>
      </c>
      <c r="I30" s="8">
        <v>12</v>
      </c>
      <c r="J30" t="s">
        <v>100</v>
      </c>
    </row>
    <row r="31" spans="1:10" ht="15.6" x14ac:dyDescent="0.3">
      <c r="A31" s="1" t="s">
        <v>45</v>
      </c>
      <c r="B31" s="9" t="s">
        <v>70</v>
      </c>
      <c r="C31" s="9">
        <v>1</v>
      </c>
      <c r="D31" s="9" t="s">
        <v>17</v>
      </c>
      <c r="E31" s="10">
        <v>47004</v>
      </c>
      <c r="F31" s="10">
        <v>47368</v>
      </c>
      <c r="G31" s="18">
        <v>0</v>
      </c>
      <c r="H31" s="21">
        <f t="shared" si="0"/>
        <v>0</v>
      </c>
      <c r="I31" s="8">
        <v>12</v>
      </c>
      <c r="J31" t="s">
        <v>100</v>
      </c>
    </row>
    <row r="32" spans="1:10" ht="15.6" x14ac:dyDescent="0.3">
      <c r="A32" s="1" t="s">
        <v>45</v>
      </c>
      <c r="B32" s="9" t="s">
        <v>70</v>
      </c>
      <c r="C32" s="9">
        <v>1</v>
      </c>
      <c r="D32" s="9" t="s">
        <v>28</v>
      </c>
      <c r="E32" s="10">
        <v>47004</v>
      </c>
      <c r="F32" s="10">
        <v>47368</v>
      </c>
      <c r="G32" s="18">
        <v>0</v>
      </c>
      <c r="H32" s="21">
        <f t="shared" si="0"/>
        <v>0</v>
      </c>
      <c r="I32" s="8">
        <v>12</v>
      </c>
      <c r="J32" t="s">
        <v>100</v>
      </c>
    </row>
    <row r="33" spans="1:10" ht="15.6" x14ac:dyDescent="0.3">
      <c r="A33" s="1" t="s">
        <v>45</v>
      </c>
      <c r="B33" s="9" t="s">
        <v>70</v>
      </c>
      <c r="C33" s="11">
        <v>1</v>
      </c>
      <c r="D33" s="9" t="s">
        <v>29</v>
      </c>
      <c r="E33" s="10">
        <v>47004</v>
      </c>
      <c r="F33" s="10">
        <v>47368</v>
      </c>
      <c r="G33" s="18">
        <v>0</v>
      </c>
      <c r="H33" s="21">
        <f t="shared" si="0"/>
        <v>0</v>
      </c>
      <c r="I33" s="8">
        <v>12</v>
      </c>
      <c r="J33" t="s">
        <v>100</v>
      </c>
    </row>
    <row r="34" spans="1:10" ht="15.6" x14ac:dyDescent="0.3">
      <c r="A34" s="1" t="s">
        <v>45</v>
      </c>
      <c r="B34" s="9" t="s">
        <v>70</v>
      </c>
      <c r="C34" s="11">
        <v>1</v>
      </c>
      <c r="D34" s="9" t="s">
        <v>30</v>
      </c>
      <c r="E34" s="10">
        <v>47004</v>
      </c>
      <c r="F34" s="10">
        <v>47368</v>
      </c>
      <c r="G34" s="18">
        <v>0</v>
      </c>
      <c r="H34" s="21">
        <f t="shared" si="0"/>
        <v>0</v>
      </c>
      <c r="I34" s="8">
        <v>12</v>
      </c>
      <c r="J34" t="s">
        <v>100</v>
      </c>
    </row>
    <row r="35" spans="1:10" ht="15.6" x14ac:dyDescent="0.3">
      <c r="A35" s="1" t="s">
        <v>45</v>
      </c>
      <c r="B35" s="9" t="s">
        <v>70</v>
      </c>
      <c r="C35" s="11">
        <v>1</v>
      </c>
      <c r="D35" s="9" t="s">
        <v>31</v>
      </c>
      <c r="E35" s="10">
        <v>47004</v>
      </c>
      <c r="F35" s="10">
        <v>47368</v>
      </c>
      <c r="G35" s="18">
        <v>0</v>
      </c>
      <c r="H35" s="21">
        <f t="shared" si="0"/>
        <v>0</v>
      </c>
      <c r="I35" s="8">
        <v>12</v>
      </c>
      <c r="J35" t="s">
        <v>100</v>
      </c>
    </row>
    <row r="36" spans="1:10" ht="15.6" x14ac:dyDescent="0.3">
      <c r="A36" s="1" t="s">
        <v>45</v>
      </c>
      <c r="B36" s="9" t="s">
        <v>70</v>
      </c>
      <c r="C36" s="11">
        <v>1</v>
      </c>
      <c r="D36" s="9" t="s">
        <v>32</v>
      </c>
      <c r="E36" s="10">
        <v>47004</v>
      </c>
      <c r="F36" s="10">
        <v>47368</v>
      </c>
      <c r="G36" s="18">
        <v>0</v>
      </c>
      <c r="H36" s="21">
        <f t="shared" si="0"/>
        <v>0</v>
      </c>
      <c r="I36" s="8">
        <v>12</v>
      </c>
      <c r="J36" t="s">
        <v>100</v>
      </c>
    </row>
    <row r="37" spans="1:10" ht="15.6" x14ac:dyDescent="0.3">
      <c r="A37" s="1" t="s">
        <v>45</v>
      </c>
      <c r="B37" s="9" t="s">
        <v>70</v>
      </c>
      <c r="C37" s="11">
        <v>1</v>
      </c>
      <c r="D37" s="9" t="s">
        <v>33</v>
      </c>
      <c r="E37" s="10">
        <v>47004</v>
      </c>
      <c r="F37" s="10">
        <v>47368</v>
      </c>
      <c r="G37" s="18">
        <v>0</v>
      </c>
      <c r="H37" s="21">
        <f t="shared" si="0"/>
        <v>0</v>
      </c>
      <c r="I37" s="8">
        <v>12</v>
      </c>
      <c r="J37" t="s">
        <v>100</v>
      </c>
    </row>
    <row r="38" spans="1:10" ht="15.6" x14ac:dyDescent="0.3">
      <c r="A38" s="1" t="s">
        <v>45</v>
      </c>
      <c r="B38" s="9" t="s">
        <v>70</v>
      </c>
      <c r="C38" s="11">
        <v>1</v>
      </c>
      <c r="D38" s="9" t="s">
        <v>34</v>
      </c>
      <c r="E38" s="10">
        <v>47004</v>
      </c>
      <c r="F38" s="10">
        <v>47368</v>
      </c>
      <c r="G38" s="18">
        <v>0</v>
      </c>
      <c r="H38" s="21">
        <f t="shared" si="0"/>
        <v>0</v>
      </c>
      <c r="I38" s="8">
        <v>12</v>
      </c>
      <c r="J38" t="s">
        <v>100</v>
      </c>
    </row>
    <row r="39" spans="1:10" ht="15.6" x14ac:dyDescent="0.3">
      <c r="A39" s="1" t="s">
        <v>45</v>
      </c>
      <c r="B39" s="9" t="s">
        <v>70</v>
      </c>
      <c r="C39" s="11">
        <v>1</v>
      </c>
      <c r="D39" s="9" t="s">
        <v>35</v>
      </c>
      <c r="E39" s="10">
        <v>47004</v>
      </c>
      <c r="F39" s="10">
        <v>47368</v>
      </c>
      <c r="G39" s="18">
        <v>0</v>
      </c>
      <c r="H39" s="21">
        <f t="shared" si="0"/>
        <v>0</v>
      </c>
      <c r="I39" s="8">
        <v>12</v>
      </c>
      <c r="J39" t="s">
        <v>100</v>
      </c>
    </row>
    <row r="40" spans="1:10" ht="15.6" x14ac:dyDescent="0.3">
      <c r="A40" s="1" t="s">
        <v>45</v>
      </c>
      <c r="B40" s="9" t="s">
        <v>70</v>
      </c>
      <c r="C40" s="11">
        <v>1</v>
      </c>
      <c r="D40" s="9" t="s">
        <v>36</v>
      </c>
      <c r="E40" s="10">
        <v>47004</v>
      </c>
      <c r="F40" s="10">
        <v>47368</v>
      </c>
      <c r="G40" s="18">
        <v>0</v>
      </c>
      <c r="H40" s="21">
        <f t="shared" si="0"/>
        <v>0</v>
      </c>
      <c r="I40" s="8">
        <v>12</v>
      </c>
      <c r="J40" t="s">
        <v>100</v>
      </c>
    </row>
    <row r="41" spans="1:10" ht="15.6" x14ac:dyDescent="0.3">
      <c r="A41" s="1" t="s">
        <v>45</v>
      </c>
      <c r="B41" s="9" t="s">
        <v>70</v>
      </c>
      <c r="C41" s="11">
        <v>1</v>
      </c>
      <c r="D41" s="9" t="s">
        <v>37</v>
      </c>
      <c r="E41" s="10">
        <v>47004</v>
      </c>
      <c r="F41" s="10">
        <v>47368</v>
      </c>
      <c r="G41" s="18">
        <v>0</v>
      </c>
      <c r="H41" s="21">
        <f t="shared" si="0"/>
        <v>0</v>
      </c>
      <c r="I41" s="8">
        <v>12</v>
      </c>
      <c r="J41" t="s">
        <v>100</v>
      </c>
    </row>
    <row r="42" spans="1:10" ht="15.6" x14ac:dyDescent="0.3">
      <c r="A42" s="1" t="s">
        <v>45</v>
      </c>
      <c r="B42" s="9" t="s">
        <v>70</v>
      </c>
      <c r="C42" s="11">
        <v>1</v>
      </c>
      <c r="D42" s="9" t="s">
        <v>38</v>
      </c>
      <c r="E42" s="10">
        <v>47004</v>
      </c>
      <c r="F42" s="10">
        <v>47368</v>
      </c>
      <c r="G42" s="18">
        <v>0</v>
      </c>
      <c r="H42" s="21">
        <f t="shared" si="0"/>
        <v>0</v>
      </c>
      <c r="I42" s="8">
        <v>12</v>
      </c>
      <c r="J42" t="s">
        <v>100</v>
      </c>
    </row>
    <row r="43" spans="1:10" ht="15.6" x14ac:dyDescent="0.3">
      <c r="A43" s="1" t="s">
        <v>45</v>
      </c>
      <c r="B43" s="9" t="s">
        <v>70</v>
      </c>
      <c r="C43" s="11">
        <v>1</v>
      </c>
      <c r="D43" s="9" t="s">
        <v>39</v>
      </c>
      <c r="E43" s="10">
        <v>47004</v>
      </c>
      <c r="F43" s="10">
        <v>47368</v>
      </c>
      <c r="G43" s="18">
        <v>0</v>
      </c>
      <c r="H43" s="21">
        <f t="shared" ref="H43:H59" si="1">G43</f>
        <v>0</v>
      </c>
      <c r="I43" s="8">
        <v>12</v>
      </c>
      <c r="J43" t="s">
        <v>100</v>
      </c>
    </row>
    <row r="44" spans="1:10" ht="15.6" x14ac:dyDescent="0.3">
      <c r="A44" s="1" t="s">
        <v>45</v>
      </c>
      <c r="B44" s="9" t="s">
        <v>70</v>
      </c>
      <c r="C44" s="11">
        <v>1</v>
      </c>
      <c r="D44" s="9" t="s">
        <v>40</v>
      </c>
      <c r="E44" s="10">
        <v>47004</v>
      </c>
      <c r="F44" s="10">
        <v>47368</v>
      </c>
      <c r="G44" s="18">
        <v>0</v>
      </c>
      <c r="H44" s="21">
        <f t="shared" si="1"/>
        <v>0</v>
      </c>
      <c r="I44" s="8">
        <v>12</v>
      </c>
      <c r="J44" t="s">
        <v>100</v>
      </c>
    </row>
    <row r="45" spans="1:10" ht="15.6" x14ac:dyDescent="0.3">
      <c r="A45" s="1" t="s">
        <v>45</v>
      </c>
      <c r="B45" s="9" t="s">
        <v>70</v>
      </c>
      <c r="C45" s="11">
        <v>1</v>
      </c>
      <c r="D45" s="9" t="s">
        <v>41</v>
      </c>
      <c r="E45" s="10">
        <v>47004</v>
      </c>
      <c r="F45" s="10">
        <v>47368</v>
      </c>
      <c r="G45" s="18">
        <v>0</v>
      </c>
      <c r="H45" s="21">
        <f t="shared" si="1"/>
        <v>0</v>
      </c>
      <c r="I45" s="8">
        <v>12</v>
      </c>
      <c r="J45" t="s">
        <v>100</v>
      </c>
    </row>
    <row r="46" spans="1:10" ht="15.6" x14ac:dyDescent="0.3">
      <c r="A46" s="1" t="s">
        <v>45</v>
      </c>
      <c r="B46" s="9" t="s">
        <v>70</v>
      </c>
      <c r="C46" s="11">
        <v>1</v>
      </c>
      <c r="D46" s="9" t="s">
        <v>42</v>
      </c>
      <c r="E46" s="10">
        <v>47004</v>
      </c>
      <c r="F46" s="10">
        <v>47368</v>
      </c>
      <c r="G46" s="18">
        <v>0</v>
      </c>
      <c r="H46" s="21">
        <f t="shared" si="1"/>
        <v>0</v>
      </c>
      <c r="I46" s="8">
        <v>12</v>
      </c>
      <c r="J46" t="s">
        <v>100</v>
      </c>
    </row>
    <row r="47" spans="1:10" ht="15.6" x14ac:dyDescent="0.3">
      <c r="A47" s="1" t="s">
        <v>45</v>
      </c>
      <c r="B47" s="9" t="s">
        <v>70</v>
      </c>
      <c r="C47" s="11">
        <v>1</v>
      </c>
      <c r="D47" s="9" t="s">
        <v>43</v>
      </c>
      <c r="E47" s="10">
        <v>47004</v>
      </c>
      <c r="F47" s="10">
        <v>47368</v>
      </c>
      <c r="G47" s="18">
        <v>0</v>
      </c>
      <c r="H47" s="21">
        <f t="shared" si="1"/>
        <v>0</v>
      </c>
      <c r="I47" s="8">
        <v>12</v>
      </c>
      <c r="J47" t="s">
        <v>100</v>
      </c>
    </row>
    <row r="48" spans="1:10" ht="15.6" x14ac:dyDescent="0.3">
      <c r="A48" s="1" t="s">
        <v>45</v>
      </c>
      <c r="B48" s="9" t="s">
        <v>70</v>
      </c>
      <c r="C48" s="11">
        <v>1</v>
      </c>
      <c r="D48" s="9" t="s">
        <v>44</v>
      </c>
      <c r="E48" s="10">
        <v>47004</v>
      </c>
      <c r="F48" s="10">
        <v>47368</v>
      </c>
      <c r="G48" s="18">
        <v>0</v>
      </c>
      <c r="H48" s="21">
        <f t="shared" si="1"/>
        <v>0</v>
      </c>
      <c r="I48" s="8">
        <v>12</v>
      </c>
      <c r="J48" t="s">
        <v>100</v>
      </c>
    </row>
    <row r="49" spans="1:10" ht="15.6" x14ac:dyDescent="0.3">
      <c r="A49" s="1" t="s">
        <v>45</v>
      </c>
      <c r="B49" s="9" t="s">
        <v>73</v>
      </c>
      <c r="C49" s="11">
        <v>1</v>
      </c>
      <c r="D49" s="9" t="s">
        <v>26</v>
      </c>
      <c r="E49" s="10">
        <v>47004</v>
      </c>
      <c r="F49" s="10">
        <v>47368</v>
      </c>
      <c r="G49" s="18">
        <v>0</v>
      </c>
      <c r="H49" s="21">
        <f t="shared" si="1"/>
        <v>0</v>
      </c>
      <c r="I49" s="8">
        <v>12</v>
      </c>
      <c r="J49" t="s">
        <v>100</v>
      </c>
    </row>
    <row r="50" spans="1:10" ht="15.6" x14ac:dyDescent="0.3">
      <c r="A50" s="1" t="s">
        <v>45</v>
      </c>
      <c r="B50" s="9" t="s">
        <v>73</v>
      </c>
      <c r="C50" s="11">
        <v>1</v>
      </c>
      <c r="D50" s="9" t="s">
        <v>27</v>
      </c>
      <c r="E50" s="10">
        <v>47004</v>
      </c>
      <c r="F50" s="10">
        <v>47368</v>
      </c>
      <c r="G50" s="18">
        <v>0</v>
      </c>
      <c r="H50" s="21">
        <f t="shared" si="1"/>
        <v>0</v>
      </c>
      <c r="I50" s="8">
        <v>12</v>
      </c>
      <c r="J50" t="s">
        <v>100</v>
      </c>
    </row>
    <row r="51" spans="1:10" ht="15.6" x14ac:dyDescent="0.3">
      <c r="A51" s="1" t="s">
        <v>45</v>
      </c>
      <c r="B51" s="9" t="s">
        <v>71</v>
      </c>
      <c r="C51" s="11">
        <v>1</v>
      </c>
      <c r="D51" s="9" t="s">
        <v>21</v>
      </c>
      <c r="E51" s="10">
        <v>47004</v>
      </c>
      <c r="F51" s="10">
        <v>47368</v>
      </c>
      <c r="G51" s="18">
        <v>0</v>
      </c>
      <c r="H51" s="21">
        <f t="shared" si="1"/>
        <v>0</v>
      </c>
      <c r="I51" s="8">
        <v>12</v>
      </c>
      <c r="J51" t="s">
        <v>100</v>
      </c>
    </row>
    <row r="52" spans="1:10" ht="15.6" x14ac:dyDescent="0.3">
      <c r="A52" s="1" t="s">
        <v>45</v>
      </c>
      <c r="B52" s="9" t="s">
        <v>71</v>
      </c>
      <c r="C52" s="11">
        <v>1</v>
      </c>
      <c r="D52" s="9" t="s">
        <v>22</v>
      </c>
      <c r="E52" s="10">
        <v>47004</v>
      </c>
      <c r="F52" s="10">
        <v>47368</v>
      </c>
      <c r="G52" s="18">
        <v>0</v>
      </c>
      <c r="H52" s="21">
        <f t="shared" si="1"/>
        <v>0</v>
      </c>
      <c r="I52" s="8">
        <v>12</v>
      </c>
      <c r="J52" t="s">
        <v>100</v>
      </c>
    </row>
    <row r="53" spans="1:10" ht="15.6" x14ac:dyDescent="0.3">
      <c r="A53" s="1" t="s">
        <v>45</v>
      </c>
      <c r="B53" s="9" t="s">
        <v>71</v>
      </c>
      <c r="C53" s="11">
        <v>1</v>
      </c>
      <c r="D53" s="9" t="s">
        <v>23</v>
      </c>
      <c r="E53" s="10">
        <v>47004</v>
      </c>
      <c r="F53" s="10">
        <v>47368</v>
      </c>
      <c r="G53" s="18">
        <v>0</v>
      </c>
      <c r="H53" s="21">
        <f t="shared" si="1"/>
        <v>0</v>
      </c>
      <c r="I53" s="8">
        <v>12</v>
      </c>
      <c r="J53" t="s">
        <v>100</v>
      </c>
    </row>
    <row r="54" spans="1:10" ht="15.6" x14ac:dyDescent="0.3">
      <c r="A54" s="1" t="s">
        <v>45</v>
      </c>
      <c r="B54" s="9" t="s">
        <v>71</v>
      </c>
      <c r="C54" s="11">
        <v>1</v>
      </c>
      <c r="D54" s="9" t="s">
        <v>24</v>
      </c>
      <c r="E54" s="10">
        <v>47004</v>
      </c>
      <c r="F54" s="10">
        <v>47368</v>
      </c>
      <c r="G54" s="18">
        <v>0</v>
      </c>
      <c r="H54" s="21">
        <f t="shared" si="1"/>
        <v>0</v>
      </c>
      <c r="I54" s="8">
        <v>12</v>
      </c>
      <c r="J54" t="s">
        <v>100</v>
      </c>
    </row>
    <row r="55" spans="1:10" ht="15.6" x14ac:dyDescent="0.3">
      <c r="A55" s="1" t="s">
        <v>45</v>
      </c>
      <c r="B55" s="9" t="s">
        <v>71</v>
      </c>
      <c r="C55" s="11">
        <v>1</v>
      </c>
      <c r="D55" s="9" t="s">
        <v>25</v>
      </c>
      <c r="E55" s="10">
        <v>47004</v>
      </c>
      <c r="F55" s="10">
        <v>47368</v>
      </c>
      <c r="G55" s="18">
        <v>0</v>
      </c>
      <c r="H55" s="21">
        <f t="shared" si="1"/>
        <v>0</v>
      </c>
      <c r="I55" s="8">
        <v>12</v>
      </c>
      <c r="J55" t="s">
        <v>100</v>
      </c>
    </row>
    <row r="56" spans="1:10" ht="15.6" x14ac:dyDescent="0.3">
      <c r="A56" s="1" t="s">
        <v>45</v>
      </c>
      <c r="B56" s="9" t="s">
        <v>72</v>
      </c>
      <c r="C56" s="11">
        <v>1</v>
      </c>
      <c r="D56" s="9" t="s">
        <v>18</v>
      </c>
      <c r="E56" s="10">
        <v>47004</v>
      </c>
      <c r="F56" s="10">
        <v>47368</v>
      </c>
      <c r="G56" s="18">
        <v>0</v>
      </c>
      <c r="H56" s="21">
        <f t="shared" si="1"/>
        <v>0</v>
      </c>
      <c r="I56" s="8">
        <v>12</v>
      </c>
      <c r="J56" t="s">
        <v>100</v>
      </c>
    </row>
    <row r="57" spans="1:10" ht="15.6" x14ac:dyDescent="0.3">
      <c r="A57" s="1" t="s">
        <v>45</v>
      </c>
      <c r="B57" s="9" t="s">
        <v>72</v>
      </c>
      <c r="C57" s="11">
        <v>1</v>
      </c>
      <c r="D57" s="9" t="s">
        <v>19</v>
      </c>
      <c r="E57" s="10">
        <v>47004</v>
      </c>
      <c r="F57" s="10">
        <v>47368</v>
      </c>
      <c r="G57" s="18">
        <v>0</v>
      </c>
      <c r="H57" s="21">
        <f t="shared" si="1"/>
        <v>0</v>
      </c>
      <c r="I57" s="8">
        <v>12</v>
      </c>
      <c r="J57" t="s">
        <v>100</v>
      </c>
    </row>
    <row r="58" spans="1:10" ht="15.6" x14ac:dyDescent="0.3">
      <c r="A58" s="1" t="s">
        <v>45</v>
      </c>
      <c r="B58" s="9" t="s">
        <v>72</v>
      </c>
      <c r="C58" s="11">
        <v>1</v>
      </c>
      <c r="D58" s="9" t="s">
        <v>20</v>
      </c>
      <c r="E58" s="10">
        <v>47004</v>
      </c>
      <c r="F58" s="10">
        <v>47368</v>
      </c>
      <c r="G58" s="18">
        <v>0</v>
      </c>
      <c r="H58" s="21">
        <f t="shared" si="1"/>
        <v>0</v>
      </c>
      <c r="I58" s="8">
        <v>12</v>
      </c>
      <c r="J58" t="s">
        <v>100</v>
      </c>
    </row>
    <row r="59" spans="1:10" ht="15.6" x14ac:dyDescent="0.3">
      <c r="A59" s="1" t="s">
        <v>45</v>
      </c>
      <c r="B59" s="9" t="s">
        <v>74</v>
      </c>
      <c r="C59" s="11">
        <v>1</v>
      </c>
      <c r="D59" s="9" t="s">
        <v>62</v>
      </c>
      <c r="E59" s="10">
        <v>47004</v>
      </c>
      <c r="F59" s="10">
        <v>47368</v>
      </c>
      <c r="G59" s="18">
        <v>0</v>
      </c>
      <c r="H59" s="21">
        <f t="shared" si="1"/>
        <v>0</v>
      </c>
      <c r="I59" s="8">
        <v>12</v>
      </c>
      <c r="J59" t="s">
        <v>100</v>
      </c>
    </row>
    <row r="60" spans="1:10" ht="15.6" x14ac:dyDescent="0.3">
      <c r="A60" s="12" t="s">
        <v>61</v>
      </c>
      <c r="B60" s="9" t="s">
        <v>70</v>
      </c>
      <c r="C60" s="11">
        <v>1</v>
      </c>
      <c r="D60" s="9" t="s">
        <v>56</v>
      </c>
      <c r="E60" s="10">
        <v>47004</v>
      </c>
      <c r="F60" s="10">
        <v>47368</v>
      </c>
      <c r="G60" s="18">
        <v>0</v>
      </c>
      <c r="H60" s="21">
        <f t="shared" ref="H60:H68" si="2">G60</f>
        <v>0</v>
      </c>
      <c r="I60" s="8">
        <v>12</v>
      </c>
      <c r="J60" t="s">
        <v>100</v>
      </c>
    </row>
    <row r="61" spans="1:10" ht="15.6" x14ac:dyDescent="0.3">
      <c r="A61" s="12" t="s">
        <v>61</v>
      </c>
      <c r="B61" s="9" t="s">
        <v>70</v>
      </c>
      <c r="C61" s="11">
        <v>1</v>
      </c>
      <c r="D61" s="9" t="s">
        <v>57</v>
      </c>
      <c r="E61" s="10">
        <v>47004</v>
      </c>
      <c r="F61" s="10">
        <v>47368</v>
      </c>
      <c r="G61" s="18">
        <v>0</v>
      </c>
      <c r="H61" s="21">
        <f t="shared" si="2"/>
        <v>0</v>
      </c>
      <c r="I61" s="8">
        <v>12</v>
      </c>
      <c r="J61" t="s">
        <v>100</v>
      </c>
    </row>
    <row r="62" spans="1:10" ht="15.6" x14ac:dyDescent="0.3">
      <c r="A62" s="12" t="s">
        <v>61</v>
      </c>
      <c r="B62" s="9" t="s">
        <v>70</v>
      </c>
      <c r="C62" s="11">
        <v>1</v>
      </c>
      <c r="D62" s="9" t="s">
        <v>58</v>
      </c>
      <c r="E62" s="10">
        <v>47004</v>
      </c>
      <c r="F62" s="10">
        <v>47368</v>
      </c>
      <c r="G62" s="18">
        <v>0</v>
      </c>
      <c r="H62" s="21">
        <f t="shared" si="2"/>
        <v>0</v>
      </c>
      <c r="I62" s="8">
        <v>12</v>
      </c>
      <c r="J62" t="s">
        <v>100</v>
      </c>
    </row>
    <row r="63" spans="1:10" ht="15.6" x14ac:dyDescent="0.3">
      <c r="A63" s="12" t="s">
        <v>61</v>
      </c>
      <c r="B63" s="9" t="s">
        <v>70</v>
      </c>
      <c r="C63" s="11">
        <v>1</v>
      </c>
      <c r="D63" s="9" t="s">
        <v>59</v>
      </c>
      <c r="E63" s="10">
        <v>47004</v>
      </c>
      <c r="F63" s="10">
        <v>47368</v>
      </c>
      <c r="G63" s="18">
        <v>0</v>
      </c>
      <c r="H63" s="21">
        <f t="shared" si="2"/>
        <v>0</v>
      </c>
      <c r="I63" s="8">
        <v>12</v>
      </c>
      <c r="J63" t="s">
        <v>100</v>
      </c>
    </row>
    <row r="64" spans="1:10" ht="15.6" x14ac:dyDescent="0.3">
      <c r="A64" s="2" t="s">
        <v>60</v>
      </c>
      <c r="B64" s="9" t="s">
        <v>72</v>
      </c>
      <c r="C64" s="11">
        <v>1</v>
      </c>
      <c r="D64" s="9" t="s">
        <v>46</v>
      </c>
      <c r="E64" s="10">
        <v>47004</v>
      </c>
      <c r="F64" s="10">
        <v>47368</v>
      </c>
      <c r="G64" s="18">
        <v>0</v>
      </c>
      <c r="H64" s="21">
        <f t="shared" si="2"/>
        <v>0</v>
      </c>
      <c r="I64" s="8">
        <v>12</v>
      </c>
      <c r="J64" t="s">
        <v>100</v>
      </c>
    </row>
    <row r="65" spans="1:12" ht="15.6" x14ac:dyDescent="0.3">
      <c r="A65" s="2" t="s">
        <v>60</v>
      </c>
      <c r="B65" s="9" t="s">
        <v>72</v>
      </c>
      <c r="C65" s="11">
        <v>1</v>
      </c>
      <c r="D65" s="9" t="s">
        <v>47</v>
      </c>
      <c r="E65" s="10">
        <v>47004</v>
      </c>
      <c r="F65" s="10">
        <v>47368</v>
      </c>
      <c r="G65" s="18">
        <v>0</v>
      </c>
      <c r="H65" s="21">
        <f t="shared" si="2"/>
        <v>0</v>
      </c>
      <c r="I65" s="8">
        <v>12</v>
      </c>
      <c r="J65" t="s">
        <v>100</v>
      </c>
    </row>
    <row r="66" spans="1:12" ht="15.6" x14ac:dyDescent="0.3">
      <c r="A66" s="2" t="s">
        <v>60</v>
      </c>
      <c r="B66" s="9" t="s">
        <v>72</v>
      </c>
      <c r="C66" s="11">
        <v>1</v>
      </c>
      <c r="D66" s="9" t="s">
        <v>48</v>
      </c>
      <c r="E66" s="10">
        <v>47004</v>
      </c>
      <c r="F66" s="10">
        <v>47368</v>
      </c>
      <c r="G66" s="18">
        <v>0</v>
      </c>
      <c r="H66" s="21">
        <f t="shared" si="2"/>
        <v>0</v>
      </c>
      <c r="I66" s="8">
        <v>12</v>
      </c>
      <c r="J66" t="s">
        <v>100</v>
      </c>
    </row>
    <row r="67" spans="1:12" ht="15.6" x14ac:dyDescent="0.3">
      <c r="A67" s="2" t="s">
        <v>60</v>
      </c>
      <c r="B67" s="9" t="s">
        <v>72</v>
      </c>
      <c r="C67" s="11">
        <v>1</v>
      </c>
      <c r="D67" s="9" t="s">
        <v>49</v>
      </c>
      <c r="E67" s="10">
        <v>47004</v>
      </c>
      <c r="F67" s="10">
        <v>47368</v>
      </c>
      <c r="G67" s="18">
        <v>0</v>
      </c>
      <c r="H67" s="21">
        <f t="shared" si="2"/>
        <v>0</v>
      </c>
      <c r="I67" s="8">
        <v>12</v>
      </c>
      <c r="J67" t="s">
        <v>100</v>
      </c>
    </row>
    <row r="68" spans="1:12" ht="15.6" x14ac:dyDescent="0.3">
      <c r="A68" s="2" t="s">
        <v>60</v>
      </c>
      <c r="B68" s="9" t="s">
        <v>72</v>
      </c>
      <c r="C68" s="11">
        <v>1</v>
      </c>
      <c r="D68" s="9" t="s">
        <v>50</v>
      </c>
      <c r="E68" s="10">
        <v>47004</v>
      </c>
      <c r="F68" s="10">
        <v>47368</v>
      </c>
      <c r="G68" s="18">
        <v>0</v>
      </c>
      <c r="H68" s="21">
        <f t="shared" si="2"/>
        <v>0</v>
      </c>
      <c r="I68" s="8">
        <v>12</v>
      </c>
      <c r="J68" t="s">
        <v>100</v>
      </c>
    </row>
    <row r="69" spans="1:12" ht="15.6" x14ac:dyDescent="0.3">
      <c r="A69" s="2" t="s">
        <v>60</v>
      </c>
      <c r="B69" s="9" t="s">
        <v>72</v>
      </c>
      <c r="C69" s="11">
        <v>1</v>
      </c>
      <c r="D69" s="9" t="s">
        <v>51</v>
      </c>
      <c r="E69" s="10">
        <v>47004</v>
      </c>
      <c r="F69" s="10">
        <v>47368</v>
      </c>
      <c r="G69" s="18">
        <v>0</v>
      </c>
      <c r="H69" s="21">
        <f t="shared" ref="H69:H73" si="3">G69</f>
        <v>0</v>
      </c>
      <c r="I69" s="8">
        <v>12</v>
      </c>
      <c r="J69" t="s">
        <v>100</v>
      </c>
    </row>
    <row r="70" spans="1:12" ht="15.6" x14ac:dyDescent="0.3">
      <c r="A70" s="2" t="s">
        <v>60</v>
      </c>
      <c r="B70" s="9" t="s">
        <v>72</v>
      </c>
      <c r="C70" s="11">
        <v>1</v>
      </c>
      <c r="D70" s="9" t="s">
        <v>52</v>
      </c>
      <c r="E70" s="10">
        <v>47004</v>
      </c>
      <c r="F70" s="10">
        <v>47368</v>
      </c>
      <c r="G70" s="18">
        <v>0</v>
      </c>
      <c r="H70" s="21">
        <f t="shared" si="3"/>
        <v>0</v>
      </c>
      <c r="I70" s="8">
        <v>12</v>
      </c>
      <c r="J70" t="s">
        <v>100</v>
      </c>
    </row>
    <row r="71" spans="1:12" ht="15.6" x14ac:dyDescent="0.3">
      <c r="A71" s="2" t="s">
        <v>60</v>
      </c>
      <c r="B71" s="9" t="s">
        <v>72</v>
      </c>
      <c r="C71" s="11">
        <v>1</v>
      </c>
      <c r="D71" s="9" t="s">
        <v>53</v>
      </c>
      <c r="E71" s="10">
        <v>47004</v>
      </c>
      <c r="F71" s="10">
        <v>47368</v>
      </c>
      <c r="G71" s="18">
        <v>0</v>
      </c>
      <c r="H71" s="21">
        <f t="shared" si="3"/>
        <v>0</v>
      </c>
      <c r="I71" s="8">
        <v>12</v>
      </c>
      <c r="J71" t="s">
        <v>100</v>
      </c>
    </row>
    <row r="72" spans="1:12" ht="15.6" x14ac:dyDescent="0.3">
      <c r="A72" s="2" t="s">
        <v>60</v>
      </c>
      <c r="B72" s="9" t="s">
        <v>72</v>
      </c>
      <c r="C72" s="11">
        <v>1</v>
      </c>
      <c r="D72" s="9" t="s">
        <v>54</v>
      </c>
      <c r="E72" s="10">
        <v>47004</v>
      </c>
      <c r="F72" s="10">
        <v>47368</v>
      </c>
      <c r="G72" s="18">
        <v>0</v>
      </c>
      <c r="H72" s="21">
        <f t="shared" si="3"/>
        <v>0</v>
      </c>
      <c r="I72" s="8">
        <v>12</v>
      </c>
      <c r="J72" t="s">
        <v>100</v>
      </c>
    </row>
    <row r="73" spans="1:12" ht="16.2" thickBot="1" x14ac:dyDescent="0.35">
      <c r="A73" s="2" t="s">
        <v>60</v>
      </c>
      <c r="B73" s="9" t="s">
        <v>72</v>
      </c>
      <c r="C73" s="11">
        <v>1</v>
      </c>
      <c r="D73" s="9" t="s">
        <v>55</v>
      </c>
      <c r="E73" s="10">
        <v>47004</v>
      </c>
      <c r="F73" s="10">
        <v>47368</v>
      </c>
      <c r="G73" s="18">
        <v>0</v>
      </c>
      <c r="H73" s="21">
        <f t="shared" si="3"/>
        <v>0</v>
      </c>
      <c r="I73" s="8">
        <v>12</v>
      </c>
      <c r="J73" t="s">
        <v>100</v>
      </c>
    </row>
    <row r="74" spans="1:12" ht="16.8" thickTop="1" thickBot="1" x14ac:dyDescent="0.35">
      <c r="A74" s="39"/>
      <c r="B74" s="39"/>
      <c r="C74" s="53" t="s">
        <v>127</v>
      </c>
      <c r="D74" s="54">
        <f>COUNTA(Table5[Asset Name])</f>
        <v>68</v>
      </c>
      <c r="E74" s="42"/>
      <c r="F74" s="42"/>
      <c r="G74" s="50" t="s">
        <v>123</v>
      </c>
      <c r="H74" s="38">
        <f>SUBTOTAL(109,Table5[Ext Amount])</f>
        <v>0</v>
      </c>
      <c r="I74" s="47"/>
      <c r="J74" s="45"/>
    </row>
    <row r="77" spans="1:12" ht="50.4" customHeight="1" x14ac:dyDescent="0.3">
      <c r="B77" s="36" t="s">
        <v>125</v>
      </c>
      <c r="C77" s="37"/>
      <c r="D77" s="37"/>
      <c r="E77" s="37"/>
      <c r="F77" s="37"/>
      <c r="G77" s="37"/>
      <c r="H77" s="37"/>
      <c r="I77" s="37"/>
      <c r="J77" s="37"/>
      <c r="K77" s="37"/>
      <c r="L77" s="37"/>
    </row>
  </sheetData>
  <sheetProtection algorithmName="SHA-512" hashValue="ZqbZhuHBceegnZyLe+zjn4hqp8M0Z1g+HfaZuvltckx5KlYGnlvvKn8HF8g6sV2fqM0SM2gJ1q58du1QxIzY6g==" saltValue="ueFLu4Ud1enSrdvDBlkJMw==" spinCount="100000" sheet="1" objects="1" scenarios="1"/>
  <mergeCells count="4">
    <mergeCell ref="E4:F4"/>
    <mergeCell ref="G4:H4"/>
    <mergeCell ref="B2:L2"/>
    <mergeCell ref="B77:L77"/>
  </mergeCells>
  <phoneticPr fontId="5" type="noConversion"/>
  <conditionalFormatting sqref="G6:H73 H74">
    <cfRule type="cellIs" dxfId="21" priority="1" operator="greaterThan">
      <formula>0</formula>
    </cfRule>
    <cfRule type="cellIs" dxfId="20" priority="2" operator="lessThan">
      <formula>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07B5E-E296-408A-B97D-ABACE492FE8F}">
  <dimension ref="A1:L77"/>
  <sheetViews>
    <sheetView topLeftCell="A45" workbookViewId="0">
      <selection activeCell="D75" sqref="D75"/>
    </sheetView>
  </sheetViews>
  <sheetFormatPr defaultRowHeight="14.4" x14ac:dyDescent="0.3"/>
  <cols>
    <col min="1" max="1" width="29.109375" bestFit="1" customWidth="1"/>
    <col min="2" max="2" width="47.33203125" bestFit="1" customWidth="1"/>
    <col min="3" max="3" width="29.33203125" bestFit="1" customWidth="1"/>
    <col min="4" max="4" width="44" bestFit="1" customWidth="1"/>
    <col min="5" max="5" width="10.5546875" customWidth="1"/>
    <col min="6" max="6" width="17.5546875" bestFit="1" customWidth="1"/>
    <col min="7" max="7" width="26.109375" customWidth="1"/>
    <col min="8" max="8" width="23.88671875" customWidth="1"/>
    <col min="9" max="9" width="15.109375" style="8" customWidth="1"/>
    <col min="10" max="10" width="22.5546875" customWidth="1"/>
  </cols>
  <sheetData>
    <row r="1" spans="1:12" ht="18" x14ac:dyDescent="0.35">
      <c r="A1" s="3" t="s">
        <v>78</v>
      </c>
    </row>
    <row r="2" spans="1:12" ht="18" x14ac:dyDescent="0.35">
      <c r="A2" s="3"/>
      <c r="B2" s="34" t="s">
        <v>126</v>
      </c>
      <c r="C2" s="35"/>
      <c r="D2" s="35"/>
      <c r="E2" s="35"/>
      <c r="F2" s="35"/>
      <c r="G2" s="35"/>
      <c r="H2" s="35"/>
      <c r="I2" s="35"/>
      <c r="J2" s="35"/>
      <c r="K2" s="35"/>
      <c r="L2" s="35"/>
    </row>
    <row r="3" spans="1:12" ht="15" thickBot="1" x14ac:dyDescent="0.35">
      <c r="A3" s="4"/>
    </row>
    <row r="4" spans="1:12" ht="15" thickBot="1" x14ac:dyDescent="0.35">
      <c r="E4" s="28" t="s">
        <v>69</v>
      </c>
      <c r="F4" s="29"/>
      <c r="G4" s="30" t="s">
        <v>121</v>
      </c>
      <c r="H4" s="31"/>
    </row>
    <row r="5" spans="1:12" ht="15" thickBot="1" x14ac:dyDescent="0.35">
      <c r="A5" s="6" t="s">
        <v>68</v>
      </c>
      <c r="B5" s="6" t="s">
        <v>63</v>
      </c>
      <c r="C5" s="6" t="s">
        <v>66</v>
      </c>
      <c r="D5" s="6" t="s">
        <v>0</v>
      </c>
      <c r="E5" s="6" t="s">
        <v>64</v>
      </c>
      <c r="F5" s="6" t="s">
        <v>65</v>
      </c>
      <c r="G5" s="6" t="s">
        <v>1</v>
      </c>
      <c r="H5" s="6" t="s">
        <v>67</v>
      </c>
      <c r="I5" s="19" t="s">
        <v>97</v>
      </c>
      <c r="J5" s="20" t="s">
        <v>96</v>
      </c>
    </row>
    <row r="6" spans="1:12" ht="15.6" x14ac:dyDescent="0.3">
      <c r="A6" s="1" t="s">
        <v>45</v>
      </c>
      <c r="B6" s="9" t="s">
        <v>70</v>
      </c>
      <c r="C6" s="9">
        <v>1</v>
      </c>
      <c r="D6" s="9" t="s">
        <v>105</v>
      </c>
      <c r="E6" s="10">
        <v>47369</v>
      </c>
      <c r="F6" s="10">
        <v>47733</v>
      </c>
      <c r="G6" s="18">
        <v>0</v>
      </c>
      <c r="H6" s="21">
        <f t="shared" ref="H6:H42" si="0">G6</f>
        <v>0</v>
      </c>
      <c r="I6" s="8">
        <v>12</v>
      </c>
      <c r="J6" t="s">
        <v>101</v>
      </c>
    </row>
    <row r="7" spans="1:12" ht="15.6" x14ac:dyDescent="0.3">
      <c r="A7" s="1" t="s">
        <v>45</v>
      </c>
      <c r="B7" s="9" t="s">
        <v>70</v>
      </c>
      <c r="C7" s="9">
        <v>1</v>
      </c>
      <c r="D7" s="9" t="s">
        <v>104</v>
      </c>
      <c r="E7" s="10">
        <v>47369</v>
      </c>
      <c r="F7" s="10">
        <v>47733</v>
      </c>
      <c r="G7" s="18">
        <v>0</v>
      </c>
      <c r="H7" s="21">
        <f>G7</f>
        <v>0</v>
      </c>
      <c r="I7" s="8">
        <v>12</v>
      </c>
      <c r="J7" t="s">
        <v>101</v>
      </c>
    </row>
    <row r="8" spans="1:12" ht="15.6" x14ac:dyDescent="0.3">
      <c r="A8" s="1" t="s">
        <v>45</v>
      </c>
      <c r="B8" s="9" t="s">
        <v>70</v>
      </c>
      <c r="C8" s="9">
        <v>1</v>
      </c>
      <c r="D8" s="9" t="s">
        <v>106</v>
      </c>
      <c r="E8" s="10">
        <v>47369</v>
      </c>
      <c r="F8" s="10">
        <v>47733</v>
      </c>
      <c r="G8" s="18">
        <v>0</v>
      </c>
      <c r="H8" s="21">
        <f t="shared" si="0"/>
        <v>0</v>
      </c>
      <c r="I8" s="8">
        <v>12</v>
      </c>
      <c r="J8" t="s">
        <v>101</v>
      </c>
    </row>
    <row r="9" spans="1:12" ht="15.6" x14ac:dyDescent="0.3">
      <c r="A9" s="1" t="s">
        <v>45</v>
      </c>
      <c r="B9" s="9" t="s">
        <v>70</v>
      </c>
      <c r="C9" s="9">
        <v>1</v>
      </c>
      <c r="D9" s="9" t="s">
        <v>107</v>
      </c>
      <c r="E9" s="10">
        <v>47369</v>
      </c>
      <c r="F9" s="10">
        <v>47733</v>
      </c>
      <c r="G9" s="18">
        <v>0</v>
      </c>
      <c r="H9" s="21">
        <f>G9</f>
        <v>0</v>
      </c>
      <c r="I9" s="8">
        <v>12</v>
      </c>
      <c r="J9" t="s">
        <v>101</v>
      </c>
    </row>
    <row r="10" spans="1:12" ht="15.6" x14ac:dyDescent="0.3">
      <c r="A10" s="1" t="s">
        <v>45</v>
      </c>
      <c r="B10" s="9" t="s">
        <v>70</v>
      </c>
      <c r="C10" s="9">
        <v>1</v>
      </c>
      <c r="D10" s="9" t="s">
        <v>108</v>
      </c>
      <c r="E10" s="10">
        <v>47369</v>
      </c>
      <c r="F10" s="10">
        <v>47733</v>
      </c>
      <c r="G10" s="18">
        <v>0</v>
      </c>
      <c r="H10" s="21">
        <f t="shared" si="0"/>
        <v>0</v>
      </c>
      <c r="I10" s="8">
        <v>12</v>
      </c>
      <c r="J10" t="s">
        <v>101</v>
      </c>
    </row>
    <row r="11" spans="1:12" ht="15.6" x14ac:dyDescent="0.3">
      <c r="A11" s="1" t="s">
        <v>45</v>
      </c>
      <c r="B11" s="9" t="s">
        <v>70</v>
      </c>
      <c r="C11" s="9">
        <v>1</v>
      </c>
      <c r="D11" s="9" t="s">
        <v>109</v>
      </c>
      <c r="E11" s="10">
        <v>47369</v>
      </c>
      <c r="F11" s="10">
        <v>47733</v>
      </c>
      <c r="G11" s="18">
        <v>0</v>
      </c>
      <c r="H11" s="21">
        <f>G11</f>
        <v>0</v>
      </c>
      <c r="I11" s="8">
        <v>12</v>
      </c>
      <c r="J11" t="s">
        <v>101</v>
      </c>
    </row>
    <row r="12" spans="1:12" ht="15.6" x14ac:dyDescent="0.3">
      <c r="A12" s="1" t="s">
        <v>45</v>
      </c>
      <c r="B12" s="9" t="s">
        <v>70</v>
      </c>
      <c r="C12" s="9">
        <v>1</v>
      </c>
      <c r="D12" s="9" t="s">
        <v>110</v>
      </c>
      <c r="E12" s="10">
        <v>47369</v>
      </c>
      <c r="F12" s="10">
        <v>47733</v>
      </c>
      <c r="G12" s="18">
        <v>0</v>
      </c>
      <c r="H12" s="21">
        <f t="shared" si="0"/>
        <v>0</v>
      </c>
      <c r="I12" s="8">
        <v>12</v>
      </c>
      <c r="J12" t="s">
        <v>101</v>
      </c>
    </row>
    <row r="13" spans="1:12" ht="15.6" x14ac:dyDescent="0.3">
      <c r="A13" s="1" t="s">
        <v>45</v>
      </c>
      <c r="B13" s="9" t="s">
        <v>70</v>
      </c>
      <c r="C13" s="9">
        <v>1</v>
      </c>
      <c r="D13" s="9" t="s">
        <v>111</v>
      </c>
      <c r="E13" s="10">
        <v>47369</v>
      </c>
      <c r="F13" s="10">
        <v>47733</v>
      </c>
      <c r="G13" s="18">
        <v>0</v>
      </c>
      <c r="H13" s="21">
        <f>G13</f>
        <v>0</v>
      </c>
      <c r="I13" s="8">
        <v>12</v>
      </c>
      <c r="J13" t="s">
        <v>101</v>
      </c>
    </row>
    <row r="14" spans="1:12" ht="15.6" x14ac:dyDescent="0.3">
      <c r="A14" s="1" t="s">
        <v>45</v>
      </c>
      <c r="B14" s="9" t="s">
        <v>70</v>
      </c>
      <c r="C14" s="9">
        <v>1</v>
      </c>
      <c r="D14" s="9" t="s">
        <v>113</v>
      </c>
      <c r="E14" s="10">
        <v>47369</v>
      </c>
      <c r="F14" s="10">
        <v>47733</v>
      </c>
      <c r="G14" s="18">
        <v>0</v>
      </c>
      <c r="H14" s="21">
        <f t="shared" si="0"/>
        <v>0</v>
      </c>
      <c r="I14" s="8">
        <v>12</v>
      </c>
      <c r="J14" t="s">
        <v>101</v>
      </c>
    </row>
    <row r="15" spans="1:12" ht="15.6" x14ac:dyDescent="0.3">
      <c r="A15" s="1" t="s">
        <v>45</v>
      </c>
      <c r="B15" s="9" t="s">
        <v>70</v>
      </c>
      <c r="C15" s="9">
        <v>1</v>
      </c>
      <c r="D15" s="9" t="s">
        <v>112</v>
      </c>
      <c r="E15" s="10">
        <v>47369</v>
      </c>
      <c r="F15" s="10">
        <v>47733</v>
      </c>
      <c r="G15" s="18">
        <v>0</v>
      </c>
      <c r="H15" s="21">
        <f>G15</f>
        <v>0</v>
      </c>
      <c r="I15" s="8">
        <v>12</v>
      </c>
      <c r="J15" t="s">
        <v>101</v>
      </c>
    </row>
    <row r="16" spans="1:12" ht="15.6" x14ac:dyDescent="0.3">
      <c r="A16" s="1" t="s">
        <v>45</v>
      </c>
      <c r="B16" s="9" t="s">
        <v>70</v>
      </c>
      <c r="C16" s="9">
        <v>1</v>
      </c>
      <c r="D16" s="9" t="s">
        <v>2</v>
      </c>
      <c r="E16" s="10">
        <v>47369</v>
      </c>
      <c r="F16" s="10">
        <v>47733</v>
      </c>
      <c r="G16" s="18">
        <v>0</v>
      </c>
      <c r="H16" s="21">
        <f t="shared" si="0"/>
        <v>0</v>
      </c>
      <c r="I16" s="8">
        <v>12</v>
      </c>
      <c r="J16" t="s">
        <v>101</v>
      </c>
    </row>
    <row r="17" spans="1:10" ht="15.6" x14ac:dyDescent="0.3">
      <c r="A17" s="1" t="s">
        <v>45</v>
      </c>
      <c r="B17" s="9" t="s">
        <v>70</v>
      </c>
      <c r="C17" s="9">
        <v>1</v>
      </c>
      <c r="D17" s="9" t="s">
        <v>3</v>
      </c>
      <c r="E17" s="10">
        <v>47369</v>
      </c>
      <c r="F17" s="10">
        <v>47733</v>
      </c>
      <c r="G17" s="18">
        <v>0</v>
      </c>
      <c r="H17" s="21">
        <f t="shared" si="0"/>
        <v>0</v>
      </c>
      <c r="I17" s="8">
        <v>12</v>
      </c>
      <c r="J17" t="s">
        <v>101</v>
      </c>
    </row>
    <row r="18" spans="1:10" ht="15.6" x14ac:dyDescent="0.3">
      <c r="A18" s="1" t="s">
        <v>45</v>
      </c>
      <c r="B18" s="9" t="s">
        <v>70</v>
      </c>
      <c r="C18" s="9">
        <v>1</v>
      </c>
      <c r="D18" s="9" t="s">
        <v>4</v>
      </c>
      <c r="E18" s="10">
        <v>47369</v>
      </c>
      <c r="F18" s="10">
        <v>47733</v>
      </c>
      <c r="G18" s="18">
        <v>0</v>
      </c>
      <c r="H18" s="21">
        <f t="shared" si="0"/>
        <v>0</v>
      </c>
      <c r="I18" s="8">
        <v>12</v>
      </c>
      <c r="J18" t="s">
        <v>101</v>
      </c>
    </row>
    <row r="19" spans="1:10" ht="15.6" x14ac:dyDescent="0.3">
      <c r="A19" s="1" t="s">
        <v>45</v>
      </c>
      <c r="B19" s="9" t="s">
        <v>70</v>
      </c>
      <c r="C19" s="9">
        <v>1</v>
      </c>
      <c r="D19" s="9" t="s">
        <v>5</v>
      </c>
      <c r="E19" s="10">
        <v>47369</v>
      </c>
      <c r="F19" s="10">
        <v>47733</v>
      </c>
      <c r="G19" s="18">
        <v>0</v>
      </c>
      <c r="H19" s="21">
        <f t="shared" si="0"/>
        <v>0</v>
      </c>
      <c r="I19" s="8">
        <v>12</v>
      </c>
      <c r="J19" t="s">
        <v>101</v>
      </c>
    </row>
    <row r="20" spans="1:10" ht="15.6" x14ac:dyDescent="0.3">
      <c r="A20" s="1" t="s">
        <v>45</v>
      </c>
      <c r="B20" s="9" t="s">
        <v>70</v>
      </c>
      <c r="C20" s="9">
        <v>1</v>
      </c>
      <c r="D20" s="9" t="s">
        <v>6</v>
      </c>
      <c r="E20" s="10">
        <v>47369</v>
      </c>
      <c r="F20" s="10">
        <v>47733</v>
      </c>
      <c r="G20" s="18">
        <v>0</v>
      </c>
      <c r="H20" s="21">
        <f t="shared" si="0"/>
        <v>0</v>
      </c>
      <c r="I20" s="8">
        <v>12</v>
      </c>
      <c r="J20" t="s">
        <v>101</v>
      </c>
    </row>
    <row r="21" spans="1:10" ht="15.6" x14ac:dyDescent="0.3">
      <c r="A21" s="1" t="s">
        <v>45</v>
      </c>
      <c r="B21" s="9" t="s">
        <v>70</v>
      </c>
      <c r="C21" s="9">
        <v>1</v>
      </c>
      <c r="D21" s="9" t="s">
        <v>7</v>
      </c>
      <c r="E21" s="10">
        <v>47369</v>
      </c>
      <c r="F21" s="10">
        <v>47733</v>
      </c>
      <c r="G21" s="18">
        <v>0</v>
      </c>
      <c r="H21" s="21">
        <f t="shared" si="0"/>
        <v>0</v>
      </c>
      <c r="I21" s="8">
        <v>12</v>
      </c>
      <c r="J21" t="s">
        <v>101</v>
      </c>
    </row>
    <row r="22" spans="1:10" ht="15.6" x14ac:dyDescent="0.3">
      <c r="A22" s="1" t="s">
        <v>45</v>
      </c>
      <c r="B22" s="9" t="s">
        <v>70</v>
      </c>
      <c r="C22" s="9">
        <v>1</v>
      </c>
      <c r="D22" s="9" t="s">
        <v>8</v>
      </c>
      <c r="E22" s="10">
        <v>47369</v>
      </c>
      <c r="F22" s="10">
        <v>47733</v>
      </c>
      <c r="G22" s="18">
        <v>0</v>
      </c>
      <c r="H22" s="21">
        <f t="shared" si="0"/>
        <v>0</v>
      </c>
      <c r="I22" s="8">
        <v>12</v>
      </c>
      <c r="J22" t="s">
        <v>101</v>
      </c>
    </row>
    <row r="23" spans="1:10" ht="15.6" x14ac:dyDescent="0.3">
      <c r="A23" s="1" t="s">
        <v>45</v>
      </c>
      <c r="B23" s="9" t="s">
        <v>70</v>
      </c>
      <c r="C23" s="9">
        <v>1</v>
      </c>
      <c r="D23" s="9" t="s">
        <v>9</v>
      </c>
      <c r="E23" s="10">
        <v>47369</v>
      </c>
      <c r="F23" s="10">
        <v>47733</v>
      </c>
      <c r="G23" s="18">
        <v>0</v>
      </c>
      <c r="H23" s="21">
        <f t="shared" si="0"/>
        <v>0</v>
      </c>
      <c r="I23" s="8">
        <v>12</v>
      </c>
      <c r="J23" t="s">
        <v>101</v>
      </c>
    </row>
    <row r="24" spans="1:10" ht="15.6" x14ac:dyDescent="0.3">
      <c r="A24" s="1" t="s">
        <v>45</v>
      </c>
      <c r="B24" s="9" t="s">
        <v>70</v>
      </c>
      <c r="C24" s="9">
        <v>1</v>
      </c>
      <c r="D24" s="9" t="s">
        <v>10</v>
      </c>
      <c r="E24" s="10">
        <v>47369</v>
      </c>
      <c r="F24" s="10">
        <v>47733</v>
      </c>
      <c r="G24" s="18">
        <v>0</v>
      </c>
      <c r="H24" s="21">
        <f t="shared" si="0"/>
        <v>0</v>
      </c>
      <c r="I24" s="8">
        <v>12</v>
      </c>
      <c r="J24" t="s">
        <v>101</v>
      </c>
    </row>
    <row r="25" spans="1:10" ht="15.6" x14ac:dyDescent="0.3">
      <c r="A25" s="1" t="s">
        <v>45</v>
      </c>
      <c r="B25" s="9" t="s">
        <v>70</v>
      </c>
      <c r="C25" s="9">
        <v>1</v>
      </c>
      <c r="D25" s="9" t="s">
        <v>11</v>
      </c>
      <c r="E25" s="10">
        <v>47369</v>
      </c>
      <c r="F25" s="10">
        <v>47733</v>
      </c>
      <c r="G25" s="18">
        <v>0</v>
      </c>
      <c r="H25" s="21">
        <f t="shared" si="0"/>
        <v>0</v>
      </c>
      <c r="I25" s="8">
        <v>12</v>
      </c>
      <c r="J25" t="s">
        <v>101</v>
      </c>
    </row>
    <row r="26" spans="1:10" ht="15.6" x14ac:dyDescent="0.3">
      <c r="A26" s="1" t="s">
        <v>45</v>
      </c>
      <c r="B26" s="9" t="s">
        <v>70</v>
      </c>
      <c r="C26" s="9">
        <v>1</v>
      </c>
      <c r="D26" s="9" t="s">
        <v>12</v>
      </c>
      <c r="E26" s="10">
        <v>47369</v>
      </c>
      <c r="F26" s="10">
        <v>47733</v>
      </c>
      <c r="G26" s="18">
        <v>0</v>
      </c>
      <c r="H26" s="21">
        <f t="shared" si="0"/>
        <v>0</v>
      </c>
      <c r="I26" s="8">
        <v>12</v>
      </c>
      <c r="J26" t="s">
        <v>101</v>
      </c>
    </row>
    <row r="27" spans="1:10" ht="15.6" x14ac:dyDescent="0.3">
      <c r="A27" s="1" t="s">
        <v>45</v>
      </c>
      <c r="B27" s="9" t="s">
        <v>70</v>
      </c>
      <c r="C27" s="9">
        <v>1</v>
      </c>
      <c r="D27" s="9" t="s">
        <v>13</v>
      </c>
      <c r="E27" s="10">
        <v>47369</v>
      </c>
      <c r="F27" s="10">
        <v>47733</v>
      </c>
      <c r="G27" s="18">
        <v>0</v>
      </c>
      <c r="H27" s="21">
        <f t="shared" si="0"/>
        <v>0</v>
      </c>
      <c r="I27" s="8">
        <v>12</v>
      </c>
      <c r="J27" t="s">
        <v>101</v>
      </c>
    </row>
    <row r="28" spans="1:10" ht="15.6" x14ac:dyDescent="0.3">
      <c r="A28" s="1" t="s">
        <v>45</v>
      </c>
      <c r="B28" s="9" t="s">
        <v>70</v>
      </c>
      <c r="C28" s="9">
        <v>1</v>
      </c>
      <c r="D28" s="9" t="s">
        <v>14</v>
      </c>
      <c r="E28" s="10">
        <v>47369</v>
      </c>
      <c r="F28" s="10">
        <v>47733</v>
      </c>
      <c r="G28" s="18">
        <v>0</v>
      </c>
      <c r="H28" s="21">
        <f t="shared" si="0"/>
        <v>0</v>
      </c>
      <c r="I28" s="8">
        <v>12</v>
      </c>
      <c r="J28" t="s">
        <v>101</v>
      </c>
    </row>
    <row r="29" spans="1:10" ht="15.6" x14ac:dyDescent="0.3">
      <c r="A29" s="1" t="s">
        <v>45</v>
      </c>
      <c r="B29" s="9" t="s">
        <v>70</v>
      </c>
      <c r="C29" s="9">
        <v>1</v>
      </c>
      <c r="D29" s="9" t="s">
        <v>15</v>
      </c>
      <c r="E29" s="10">
        <v>47369</v>
      </c>
      <c r="F29" s="10">
        <v>47733</v>
      </c>
      <c r="G29" s="18">
        <v>0</v>
      </c>
      <c r="H29" s="21">
        <f t="shared" si="0"/>
        <v>0</v>
      </c>
      <c r="I29" s="8">
        <v>12</v>
      </c>
      <c r="J29" t="s">
        <v>101</v>
      </c>
    </row>
    <row r="30" spans="1:10" ht="15.6" x14ac:dyDescent="0.3">
      <c r="A30" s="1" t="s">
        <v>45</v>
      </c>
      <c r="B30" s="9" t="s">
        <v>70</v>
      </c>
      <c r="C30" s="9">
        <v>1</v>
      </c>
      <c r="D30" s="9" t="s">
        <v>16</v>
      </c>
      <c r="E30" s="10">
        <v>47369</v>
      </c>
      <c r="F30" s="10">
        <v>47733</v>
      </c>
      <c r="G30" s="18">
        <v>0</v>
      </c>
      <c r="H30" s="21">
        <f t="shared" si="0"/>
        <v>0</v>
      </c>
      <c r="I30" s="8">
        <v>12</v>
      </c>
      <c r="J30" t="s">
        <v>101</v>
      </c>
    </row>
    <row r="31" spans="1:10" ht="15.6" x14ac:dyDescent="0.3">
      <c r="A31" s="1" t="s">
        <v>45</v>
      </c>
      <c r="B31" s="9" t="s">
        <v>70</v>
      </c>
      <c r="C31" s="9">
        <v>1</v>
      </c>
      <c r="D31" s="9" t="s">
        <v>17</v>
      </c>
      <c r="E31" s="10">
        <v>47369</v>
      </c>
      <c r="F31" s="10">
        <v>47733</v>
      </c>
      <c r="G31" s="18">
        <v>0</v>
      </c>
      <c r="H31" s="21">
        <f t="shared" si="0"/>
        <v>0</v>
      </c>
      <c r="I31" s="8">
        <v>12</v>
      </c>
      <c r="J31" t="s">
        <v>101</v>
      </c>
    </row>
    <row r="32" spans="1:10" ht="15.6" x14ac:dyDescent="0.3">
      <c r="A32" s="1" t="s">
        <v>45</v>
      </c>
      <c r="B32" s="9" t="s">
        <v>70</v>
      </c>
      <c r="C32" s="9">
        <v>1</v>
      </c>
      <c r="D32" s="9" t="s">
        <v>28</v>
      </c>
      <c r="E32" s="10">
        <v>47369</v>
      </c>
      <c r="F32" s="10">
        <v>47733</v>
      </c>
      <c r="G32" s="18">
        <v>0</v>
      </c>
      <c r="H32" s="21">
        <f t="shared" si="0"/>
        <v>0</v>
      </c>
      <c r="I32" s="8">
        <v>12</v>
      </c>
      <c r="J32" t="s">
        <v>101</v>
      </c>
    </row>
    <row r="33" spans="1:10" ht="15.6" x14ac:dyDescent="0.3">
      <c r="A33" s="1" t="s">
        <v>45</v>
      </c>
      <c r="B33" s="9" t="s">
        <v>70</v>
      </c>
      <c r="C33" s="11">
        <v>1</v>
      </c>
      <c r="D33" s="9" t="s">
        <v>29</v>
      </c>
      <c r="E33" s="10">
        <v>47369</v>
      </c>
      <c r="F33" s="10">
        <v>47733</v>
      </c>
      <c r="G33" s="18">
        <v>0</v>
      </c>
      <c r="H33" s="21">
        <f t="shared" si="0"/>
        <v>0</v>
      </c>
      <c r="I33" s="8">
        <v>12</v>
      </c>
      <c r="J33" t="s">
        <v>101</v>
      </c>
    </row>
    <row r="34" spans="1:10" ht="15.6" x14ac:dyDescent="0.3">
      <c r="A34" s="1" t="s">
        <v>45</v>
      </c>
      <c r="B34" s="9" t="s">
        <v>70</v>
      </c>
      <c r="C34" s="11">
        <v>1</v>
      </c>
      <c r="D34" s="9" t="s">
        <v>30</v>
      </c>
      <c r="E34" s="10">
        <v>47369</v>
      </c>
      <c r="F34" s="10">
        <v>47733</v>
      </c>
      <c r="G34" s="18">
        <v>0</v>
      </c>
      <c r="H34" s="21">
        <f t="shared" si="0"/>
        <v>0</v>
      </c>
      <c r="I34" s="8">
        <v>12</v>
      </c>
      <c r="J34" t="s">
        <v>101</v>
      </c>
    </row>
    <row r="35" spans="1:10" ht="15.6" x14ac:dyDescent="0.3">
      <c r="A35" s="1" t="s">
        <v>45</v>
      </c>
      <c r="B35" s="9" t="s">
        <v>70</v>
      </c>
      <c r="C35" s="11">
        <v>1</v>
      </c>
      <c r="D35" s="9" t="s">
        <v>31</v>
      </c>
      <c r="E35" s="10">
        <v>47369</v>
      </c>
      <c r="F35" s="10">
        <v>47733</v>
      </c>
      <c r="G35" s="18">
        <v>0</v>
      </c>
      <c r="H35" s="21">
        <f t="shared" si="0"/>
        <v>0</v>
      </c>
      <c r="I35" s="8">
        <v>12</v>
      </c>
      <c r="J35" t="s">
        <v>101</v>
      </c>
    </row>
    <row r="36" spans="1:10" ht="15.6" x14ac:dyDescent="0.3">
      <c r="A36" s="1" t="s">
        <v>45</v>
      </c>
      <c r="B36" s="9" t="s">
        <v>70</v>
      </c>
      <c r="C36" s="11">
        <v>1</v>
      </c>
      <c r="D36" s="9" t="s">
        <v>32</v>
      </c>
      <c r="E36" s="10">
        <v>47369</v>
      </c>
      <c r="F36" s="10">
        <v>47733</v>
      </c>
      <c r="G36" s="18">
        <v>0</v>
      </c>
      <c r="H36" s="21">
        <f t="shared" si="0"/>
        <v>0</v>
      </c>
      <c r="I36" s="8">
        <v>12</v>
      </c>
      <c r="J36" t="s">
        <v>101</v>
      </c>
    </row>
    <row r="37" spans="1:10" ht="15.6" x14ac:dyDescent="0.3">
      <c r="A37" s="1" t="s">
        <v>45</v>
      </c>
      <c r="B37" s="9" t="s">
        <v>70</v>
      </c>
      <c r="C37" s="11">
        <v>1</v>
      </c>
      <c r="D37" s="9" t="s">
        <v>33</v>
      </c>
      <c r="E37" s="10">
        <v>47369</v>
      </c>
      <c r="F37" s="10">
        <v>47733</v>
      </c>
      <c r="G37" s="18">
        <v>0</v>
      </c>
      <c r="H37" s="21">
        <f t="shared" si="0"/>
        <v>0</v>
      </c>
      <c r="I37" s="8">
        <v>12</v>
      </c>
      <c r="J37" t="s">
        <v>101</v>
      </c>
    </row>
    <row r="38" spans="1:10" ht="15.6" x14ac:dyDescent="0.3">
      <c r="A38" s="1" t="s">
        <v>45</v>
      </c>
      <c r="B38" s="9" t="s">
        <v>70</v>
      </c>
      <c r="C38" s="11">
        <v>1</v>
      </c>
      <c r="D38" s="9" t="s">
        <v>34</v>
      </c>
      <c r="E38" s="10">
        <v>47369</v>
      </c>
      <c r="F38" s="10">
        <v>47733</v>
      </c>
      <c r="G38" s="18">
        <v>0</v>
      </c>
      <c r="H38" s="21">
        <f t="shared" si="0"/>
        <v>0</v>
      </c>
      <c r="I38" s="8">
        <v>12</v>
      </c>
      <c r="J38" t="s">
        <v>101</v>
      </c>
    </row>
    <row r="39" spans="1:10" ht="15.6" x14ac:dyDescent="0.3">
      <c r="A39" s="1" t="s">
        <v>45</v>
      </c>
      <c r="B39" s="9" t="s">
        <v>70</v>
      </c>
      <c r="C39" s="11">
        <v>1</v>
      </c>
      <c r="D39" s="9" t="s">
        <v>35</v>
      </c>
      <c r="E39" s="10">
        <v>47369</v>
      </c>
      <c r="F39" s="10">
        <v>47733</v>
      </c>
      <c r="G39" s="18">
        <v>0</v>
      </c>
      <c r="H39" s="21">
        <f t="shared" si="0"/>
        <v>0</v>
      </c>
      <c r="I39" s="8">
        <v>12</v>
      </c>
      <c r="J39" t="s">
        <v>101</v>
      </c>
    </row>
    <row r="40" spans="1:10" ht="15.6" x14ac:dyDescent="0.3">
      <c r="A40" s="1" t="s">
        <v>45</v>
      </c>
      <c r="B40" s="9" t="s">
        <v>70</v>
      </c>
      <c r="C40" s="11">
        <v>1</v>
      </c>
      <c r="D40" s="9" t="s">
        <v>36</v>
      </c>
      <c r="E40" s="10">
        <v>47369</v>
      </c>
      <c r="F40" s="10">
        <v>47733</v>
      </c>
      <c r="G40" s="18">
        <v>0</v>
      </c>
      <c r="H40" s="21">
        <f t="shared" si="0"/>
        <v>0</v>
      </c>
      <c r="I40" s="8">
        <v>12</v>
      </c>
      <c r="J40" t="s">
        <v>101</v>
      </c>
    </row>
    <row r="41" spans="1:10" ht="15.6" x14ac:dyDescent="0.3">
      <c r="A41" s="1" t="s">
        <v>45</v>
      </c>
      <c r="B41" s="9" t="s">
        <v>70</v>
      </c>
      <c r="C41" s="11">
        <v>1</v>
      </c>
      <c r="D41" s="9" t="s">
        <v>37</v>
      </c>
      <c r="E41" s="10">
        <v>47369</v>
      </c>
      <c r="F41" s="10">
        <v>47733</v>
      </c>
      <c r="G41" s="18">
        <v>0</v>
      </c>
      <c r="H41" s="21">
        <f t="shared" si="0"/>
        <v>0</v>
      </c>
      <c r="I41" s="8">
        <v>12</v>
      </c>
      <c r="J41" t="s">
        <v>101</v>
      </c>
    </row>
    <row r="42" spans="1:10" ht="15.6" x14ac:dyDescent="0.3">
      <c r="A42" s="1" t="s">
        <v>45</v>
      </c>
      <c r="B42" s="9" t="s">
        <v>70</v>
      </c>
      <c r="C42" s="11">
        <v>1</v>
      </c>
      <c r="D42" s="9" t="s">
        <v>38</v>
      </c>
      <c r="E42" s="10">
        <v>47369</v>
      </c>
      <c r="F42" s="10">
        <v>47733</v>
      </c>
      <c r="G42" s="18">
        <v>0</v>
      </c>
      <c r="H42" s="21">
        <f t="shared" si="0"/>
        <v>0</v>
      </c>
      <c r="I42" s="8">
        <v>12</v>
      </c>
      <c r="J42" t="s">
        <v>101</v>
      </c>
    </row>
    <row r="43" spans="1:10" ht="15.6" x14ac:dyDescent="0.3">
      <c r="A43" s="1" t="s">
        <v>45</v>
      </c>
      <c r="B43" s="9" t="s">
        <v>70</v>
      </c>
      <c r="C43" s="11">
        <v>1</v>
      </c>
      <c r="D43" s="9" t="s">
        <v>39</v>
      </c>
      <c r="E43" s="10">
        <v>47369</v>
      </c>
      <c r="F43" s="10">
        <v>47733</v>
      </c>
      <c r="G43" s="18">
        <v>0</v>
      </c>
      <c r="H43" s="21">
        <f t="shared" ref="H43:H59" si="1">G43</f>
        <v>0</v>
      </c>
      <c r="I43" s="8">
        <v>12</v>
      </c>
      <c r="J43" t="s">
        <v>101</v>
      </c>
    </row>
    <row r="44" spans="1:10" ht="15.6" x14ac:dyDescent="0.3">
      <c r="A44" s="1" t="s">
        <v>45</v>
      </c>
      <c r="B44" s="9" t="s">
        <v>70</v>
      </c>
      <c r="C44" s="11">
        <v>1</v>
      </c>
      <c r="D44" s="9" t="s">
        <v>40</v>
      </c>
      <c r="E44" s="10">
        <v>47369</v>
      </c>
      <c r="F44" s="10">
        <v>47733</v>
      </c>
      <c r="G44" s="18">
        <v>0</v>
      </c>
      <c r="H44" s="21">
        <f t="shared" si="1"/>
        <v>0</v>
      </c>
      <c r="I44" s="8">
        <v>12</v>
      </c>
      <c r="J44" t="s">
        <v>101</v>
      </c>
    </row>
    <row r="45" spans="1:10" ht="15.6" x14ac:dyDescent="0.3">
      <c r="A45" s="1" t="s">
        <v>45</v>
      </c>
      <c r="B45" s="9" t="s">
        <v>70</v>
      </c>
      <c r="C45" s="11">
        <v>1</v>
      </c>
      <c r="D45" s="9" t="s">
        <v>41</v>
      </c>
      <c r="E45" s="10">
        <v>47369</v>
      </c>
      <c r="F45" s="10">
        <v>47733</v>
      </c>
      <c r="G45" s="18">
        <v>0</v>
      </c>
      <c r="H45" s="21">
        <f t="shared" si="1"/>
        <v>0</v>
      </c>
      <c r="I45" s="8">
        <v>12</v>
      </c>
      <c r="J45" t="s">
        <v>101</v>
      </c>
    </row>
    <row r="46" spans="1:10" ht="15.6" x14ac:dyDescent="0.3">
      <c r="A46" s="1" t="s">
        <v>45</v>
      </c>
      <c r="B46" s="9" t="s">
        <v>70</v>
      </c>
      <c r="C46" s="11">
        <v>1</v>
      </c>
      <c r="D46" s="9" t="s">
        <v>42</v>
      </c>
      <c r="E46" s="10">
        <v>47369</v>
      </c>
      <c r="F46" s="10">
        <v>47733</v>
      </c>
      <c r="G46" s="18">
        <v>0</v>
      </c>
      <c r="H46" s="21">
        <f t="shared" si="1"/>
        <v>0</v>
      </c>
      <c r="I46" s="8">
        <v>12</v>
      </c>
      <c r="J46" t="s">
        <v>101</v>
      </c>
    </row>
    <row r="47" spans="1:10" ht="15.6" x14ac:dyDescent="0.3">
      <c r="A47" s="1" t="s">
        <v>45</v>
      </c>
      <c r="B47" s="9" t="s">
        <v>70</v>
      </c>
      <c r="C47" s="11">
        <v>1</v>
      </c>
      <c r="D47" s="9" t="s">
        <v>43</v>
      </c>
      <c r="E47" s="10">
        <v>47369</v>
      </c>
      <c r="F47" s="10">
        <v>47733</v>
      </c>
      <c r="G47" s="18">
        <v>0</v>
      </c>
      <c r="H47" s="21">
        <f t="shared" si="1"/>
        <v>0</v>
      </c>
      <c r="I47" s="8">
        <v>12</v>
      </c>
      <c r="J47" t="s">
        <v>101</v>
      </c>
    </row>
    <row r="48" spans="1:10" ht="15.6" x14ac:dyDescent="0.3">
      <c r="A48" s="1" t="s">
        <v>45</v>
      </c>
      <c r="B48" s="9" t="s">
        <v>70</v>
      </c>
      <c r="C48" s="11">
        <v>1</v>
      </c>
      <c r="D48" s="9" t="s">
        <v>44</v>
      </c>
      <c r="E48" s="10">
        <v>47369</v>
      </c>
      <c r="F48" s="10">
        <v>47733</v>
      </c>
      <c r="G48" s="18">
        <v>0</v>
      </c>
      <c r="H48" s="21">
        <f t="shared" si="1"/>
        <v>0</v>
      </c>
      <c r="I48" s="8">
        <v>12</v>
      </c>
      <c r="J48" t="s">
        <v>101</v>
      </c>
    </row>
    <row r="49" spans="1:10" ht="15.6" x14ac:dyDescent="0.3">
      <c r="A49" s="1" t="s">
        <v>45</v>
      </c>
      <c r="B49" s="9" t="s">
        <v>73</v>
      </c>
      <c r="C49" s="11">
        <v>1</v>
      </c>
      <c r="D49" s="9" t="s">
        <v>26</v>
      </c>
      <c r="E49" s="10">
        <v>47369</v>
      </c>
      <c r="F49" s="10">
        <v>47733</v>
      </c>
      <c r="G49" s="18">
        <v>0</v>
      </c>
      <c r="H49" s="21">
        <f t="shared" si="1"/>
        <v>0</v>
      </c>
      <c r="I49" s="8">
        <v>12</v>
      </c>
      <c r="J49" t="s">
        <v>101</v>
      </c>
    </row>
    <row r="50" spans="1:10" ht="15.6" x14ac:dyDescent="0.3">
      <c r="A50" s="1" t="s">
        <v>45</v>
      </c>
      <c r="B50" s="9" t="s">
        <v>73</v>
      </c>
      <c r="C50" s="11">
        <v>1</v>
      </c>
      <c r="D50" s="9" t="s">
        <v>27</v>
      </c>
      <c r="E50" s="10">
        <v>47369</v>
      </c>
      <c r="F50" s="10">
        <v>47733</v>
      </c>
      <c r="G50" s="18">
        <v>0</v>
      </c>
      <c r="H50" s="21">
        <f t="shared" si="1"/>
        <v>0</v>
      </c>
      <c r="I50" s="8">
        <v>12</v>
      </c>
      <c r="J50" t="s">
        <v>101</v>
      </c>
    </row>
    <row r="51" spans="1:10" ht="15.6" x14ac:dyDescent="0.3">
      <c r="A51" s="1" t="s">
        <v>45</v>
      </c>
      <c r="B51" s="9" t="s">
        <v>71</v>
      </c>
      <c r="C51" s="11">
        <v>1</v>
      </c>
      <c r="D51" s="9" t="s">
        <v>21</v>
      </c>
      <c r="E51" s="10">
        <v>47369</v>
      </c>
      <c r="F51" s="10">
        <v>47733</v>
      </c>
      <c r="G51" s="18">
        <v>0</v>
      </c>
      <c r="H51" s="21">
        <f t="shared" si="1"/>
        <v>0</v>
      </c>
      <c r="I51" s="8">
        <v>12</v>
      </c>
      <c r="J51" t="s">
        <v>101</v>
      </c>
    </row>
    <row r="52" spans="1:10" ht="15.6" x14ac:dyDescent="0.3">
      <c r="A52" s="1" t="s">
        <v>45</v>
      </c>
      <c r="B52" s="9" t="s">
        <v>71</v>
      </c>
      <c r="C52" s="11">
        <v>1</v>
      </c>
      <c r="D52" s="9" t="s">
        <v>22</v>
      </c>
      <c r="E52" s="10">
        <v>47369</v>
      </c>
      <c r="F52" s="10">
        <v>47733</v>
      </c>
      <c r="G52" s="18">
        <v>0</v>
      </c>
      <c r="H52" s="21">
        <f t="shared" si="1"/>
        <v>0</v>
      </c>
      <c r="I52" s="8">
        <v>12</v>
      </c>
      <c r="J52" t="s">
        <v>101</v>
      </c>
    </row>
    <row r="53" spans="1:10" ht="15.6" x14ac:dyDescent="0.3">
      <c r="A53" s="1" t="s">
        <v>45</v>
      </c>
      <c r="B53" s="9" t="s">
        <v>71</v>
      </c>
      <c r="C53" s="11">
        <v>1</v>
      </c>
      <c r="D53" s="9" t="s">
        <v>23</v>
      </c>
      <c r="E53" s="10">
        <v>47369</v>
      </c>
      <c r="F53" s="10">
        <v>47733</v>
      </c>
      <c r="G53" s="18">
        <v>0</v>
      </c>
      <c r="H53" s="21">
        <f t="shared" si="1"/>
        <v>0</v>
      </c>
      <c r="I53" s="8">
        <v>12</v>
      </c>
      <c r="J53" t="s">
        <v>101</v>
      </c>
    </row>
    <row r="54" spans="1:10" ht="15.6" x14ac:dyDescent="0.3">
      <c r="A54" s="1" t="s">
        <v>45</v>
      </c>
      <c r="B54" s="9" t="s">
        <v>71</v>
      </c>
      <c r="C54" s="11">
        <v>1</v>
      </c>
      <c r="D54" s="9" t="s">
        <v>24</v>
      </c>
      <c r="E54" s="10">
        <v>47369</v>
      </c>
      <c r="F54" s="10">
        <v>47733</v>
      </c>
      <c r="G54" s="18">
        <v>0</v>
      </c>
      <c r="H54" s="21">
        <f t="shared" si="1"/>
        <v>0</v>
      </c>
      <c r="I54" s="8">
        <v>12</v>
      </c>
      <c r="J54" t="s">
        <v>101</v>
      </c>
    </row>
    <row r="55" spans="1:10" ht="15.6" x14ac:dyDescent="0.3">
      <c r="A55" s="1" t="s">
        <v>45</v>
      </c>
      <c r="B55" s="9" t="s">
        <v>71</v>
      </c>
      <c r="C55" s="11">
        <v>1</v>
      </c>
      <c r="D55" s="9" t="s">
        <v>25</v>
      </c>
      <c r="E55" s="10">
        <v>47369</v>
      </c>
      <c r="F55" s="10">
        <v>47733</v>
      </c>
      <c r="G55" s="18">
        <v>0</v>
      </c>
      <c r="H55" s="21">
        <f t="shared" si="1"/>
        <v>0</v>
      </c>
      <c r="I55" s="8">
        <v>12</v>
      </c>
      <c r="J55" t="s">
        <v>101</v>
      </c>
    </row>
    <row r="56" spans="1:10" ht="15.6" x14ac:dyDescent="0.3">
      <c r="A56" s="1" t="s">
        <v>45</v>
      </c>
      <c r="B56" s="9" t="s">
        <v>72</v>
      </c>
      <c r="C56" s="11">
        <v>1</v>
      </c>
      <c r="D56" s="9" t="s">
        <v>18</v>
      </c>
      <c r="E56" s="10">
        <v>47369</v>
      </c>
      <c r="F56" s="10">
        <v>47733</v>
      </c>
      <c r="G56" s="18">
        <v>0</v>
      </c>
      <c r="H56" s="21">
        <f t="shared" si="1"/>
        <v>0</v>
      </c>
      <c r="I56" s="8">
        <v>12</v>
      </c>
      <c r="J56" t="s">
        <v>101</v>
      </c>
    </row>
    <row r="57" spans="1:10" ht="15.6" x14ac:dyDescent="0.3">
      <c r="A57" s="1" t="s">
        <v>45</v>
      </c>
      <c r="B57" s="9" t="s">
        <v>72</v>
      </c>
      <c r="C57" s="11">
        <v>1</v>
      </c>
      <c r="D57" s="9" t="s">
        <v>19</v>
      </c>
      <c r="E57" s="10">
        <v>47369</v>
      </c>
      <c r="F57" s="10">
        <v>47733</v>
      </c>
      <c r="G57" s="18">
        <v>0</v>
      </c>
      <c r="H57" s="21">
        <f t="shared" si="1"/>
        <v>0</v>
      </c>
      <c r="I57" s="8">
        <v>12</v>
      </c>
      <c r="J57" t="s">
        <v>101</v>
      </c>
    </row>
    <row r="58" spans="1:10" ht="15.6" x14ac:dyDescent="0.3">
      <c r="A58" s="1" t="s">
        <v>45</v>
      </c>
      <c r="B58" s="9" t="s">
        <v>72</v>
      </c>
      <c r="C58" s="11">
        <v>1</v>
      </c>
      <c r="D58" s="9" t="s">
        <v>20</v>
      </c>
      <c r="E58" s="10">
        <v>47369</v>
      </c>
      <c r="F58" s="10">
        <v>47733</v>
      </c>
      <c r="G58" s="18">
        <v>0</v>
      </c>
      <c r="H58" s="21">
        <f t="shared" si="1"/>
        <v>0</v>
      </c>
      <c r="I58" s="8">
        <v>12</v>
      </c>
      <c r="J58" t="s">
        <v>101</v>
      </c>
    </row>
    <row r="59" spans="1:10" ht="15.6" x14ac:dyDescent="0.3">
      <c r="A59" s="1" t="s">
        <v>45</v>
      </c>
      <c r="B59" s="9" t="s">
        <v>74</v>
      </c>
      <c r="C59" s="11">
        <v>1</v>
      </c>
      <c r="D59" s="9" t="s">
        <v>62</v>
      </c>
      <c r="E59" s="10">
        <v>47369</v>
      </c>
      <c r="F59" s="10">
        <v>47733</v>
      </c>
      <c r="G59" s="18">
        <v>0</v>
      </c>
      <c r="H59" s="21">
        <f t="shared" si="1"/>
        <v>0</v>
      </c>
      <c r="I59" s="8">
        <v>12</v>
      </c>
      <c r="J59" t="s">
        <v>101</v>
      </c>
    </row>
    <row r="60" spans="1:10" ht="15.6" x14ac:dyDescent="0.3">
      <c r="A60" s="12" t="s">
        <v>61</v>
      </c>
      <c r="B60" s="9" t="s">
        <v>70</v>
      </c>
      <c r="C60" s="11">
        <v>1</v>
      </c>
      <c r="D60" s="9" t="s">
        <v>56</v>
      </c>
      <c r="E60" s="10">
        <v>47369</v>
      </c>
      <c r="F60" s="10">
        <v>47733</v>
      </c>
      <c r="G60" s="18">
        <v>0</v>
      </c>
      <c r="H60" s="21">
        <f t="shared" ref="H60:H68" si="2">G60</f>
        <v>0</v>
      </c>
      <c r="I60" s="8">
        <v>12</v>
      </c>
      <c r="J60" t="s">
        <v>101</v>
      </c>
    </row>
    <row r="61" spans="1:10" ht="15.6" x14ac:dyDescent="0.3">
      <c r="A61" s="12" t="s">
        <v>61</v>
      </c>
      <c r="B61" s="9" t="s">
        <v>70</v>
      </c>
      <c r="C61" s="11">
        <v>1</v>
      </c>
      <c r="D61" s="9" t="s">
        <v>57</v>
      </c>
      <c r="E61" s="10">
        <v>47369</v>
      </c>
      <c r="F61" s="10">
        <v>47733</v>
      </c>
      <c r="G61" s="18">
        <v>0</v>
      </c>
      <c r="H61" s="21">
        <f t="shared" si="2"/>
        <v>0</v>
      </c>
      <c r="I61" s="8">
        <v>12</v>
      </c>
      <c r="J61" t="s">
        <v>101</v>
      </c>
    </row>
    <row r="62" spans="1:10" ht="15.6" x14ac:dyDescent="0.3">
      <c r="A62" s="12" t="s">
        <v>61</v>
      </c>
      <c r="B62" s="9" t="s">
        <v>70</v>
      </c>
      <c r="C62" s="11">
        <v>1</v>
      </c>
      <c r="D62" s="9" t="s">
        <v>58</v>
      </c>
      <c r="E62" s="10">
        <v>47369</v>
      </c>
      <c r="F62" s="10">
        <v>47733</v>
      </c>
      <c r="G62" s="18">
        <v>0</v>
      </c>
      <c r="H62" s="21">
        <f t="shared" si="2"/>
        <v>0</v>
      </c>
      <c r="I62" s="8">
        <v>12</v>
      </c>
      <c r="J62" t="s">
        <v>101</v>
      </c>
    </row>
    <row r="63" spans="1:10" ht="15.6" x14ac:dyDescent="0.3">
      <c r="A63" s="12" t="s">
        <v>61</v>
      </c>
      <c r="B63" s="9" t="s">
        <v>70</v>
      </c>
      <c r="C63" s="11">
        <v>1</v>
      </c>
      <c r="D63" s="9" t="s">
        <v>59</v>
      </c>
      <c r="E63" s="10">
        <v>47369</v>
      </c>
      <c r="F63" s="10">
        <v>47733</v>
      </c>
      <c r="G63" s="18">
        <v>0</v>
      </c>
      <c r="H63" s="21">
        <f t="shared" si="2"/>
        <v>0</v>
      </c>
      <c r="I63" s="8">
        <v>12</v>
      </c>
      <c r="J63" t="s">
        <v>101</v>
      </c>
    </row>
    <row r="64" spans="1:10" ht="15.6" x14ac:dyDescent="0.3">
      <c r="A64" s="2" t="s">
        <v>60</v>
      </c>
      <c r="B64" s="9" t="s">
        <v>72</v>
      </c>
      <c r="C64" s="11">
        <v>1</v>
      </c>
      <c r="D64" s="9" t="s">
        <v>46</v>
      </c>
      <c r="E64" s="10">
        <v>47369</v>
      </c>
      <c r="F64" s="10">
        <v>47733</v>
      </c>
      <c r="G64" s="18">
        <v>0</v>
      </c>
      <c r="H64" s="21">
        <f t="shared" si="2"/>
        <v>0</v>
      </c>
      <c r="I64" s="8">
        <v>12</v>
      </c>
      <c r="J64" t="s">
        <v>101</v>
      </c>
    </row>
    <row r="65" spans="1:12" ht="15.6" x14ac:dyDescent="0.3">
      <c r="A65" s="2" t="s">
        <v>60</v>
      </c>
      <c r="B65" s="9" t="s">
        <v>72</v>
      </c>
      <c r="C65" s="11">
        <v>1</v>
      </c>
      <c r="D65" s="9" t="s">
        <v>47</v>
      </c>
      <c r="E65" s="10">
        <v>47369</v>
      </c>
      <c r="F65" s="10">
        <v>47733</v>
      </c>
      <c r="G65" s="18">
        <v>0</v>
      </c>
      <c r="H65" s="21">
        <f t="shared" si="2"/>
        <v>0</v>
      </c>
      <c r="I65" s="8">
        <v>12</v>
      </c>
      <c r="J65" t="s">
        <v>101</v>
      </c>
    </row>
    <row r="66" spans="1:12" ht="15.6" x14ac:dyDescent="0.3">
      <c r="A66" s="2" t="s">
        <v>60</v>
      </c>
      <c r="B66" s="9" t="s">
        <v>72</v>
      </c>
      <c r="C66" s="11">
        <v>1</v>
      </c>
      <c r="D66" s="9" t="s">
        <v>48</v>
      </c>
      <c r="E66" s="10">
        <v>47369</v>
      </c>
      <c r="F66" s="10">
        <v>47733</v>
      </c>
      <c r="G66" s="18">
        <v>0</v>
      </c>
      <c r="H66" s="21">
        <f t="shared" si="2"/>
        <v>0</v>
      </c>
      <c r="I66" s="8">
        <v>12</v>
      </c>
      <c r="J66" t="s">
        <v>101</v>
      </c>
    </row>
    <row r="67" spans="1:12" ht="15.6" x14ac:dyDescent="0.3">
      <c r="A67" s="2" t="s">
        <v>60</v>
      </c>
      <c r="B67" s="9" t="s">
        <v>72</v>
      </c>
      <c r="C67" s="11">
        <v>1</v>
      </c>
      <c r="D67" s="9" t="s">
        <v>49</v>
      </c>
      <c r="E67" s="10">
        <v>47369</v>
      </c>
      <c r="F67" s="10">
        <v>47733</v>
      </c>
      <c r="G67" s="18">
        <v>0</v>
      </c>
      <c r="H67" s="21">
        <f t="shared" si="2"/>
        <v>0</v>
      </c>
      <c r="I67" s="8">
        <v>12</v>
      </c>
      <c r="J67" t="s">
        <v>101</v>
      </c>
    </row>
    <row r="68" spans="1:12" ht="15.6" x14ac:dyDescent="0.3">
      <c r="A68" s="2" t="s">
        <v>60</v>
      </c>
      <c r="B68" s="9" t="s">
        <v>72</v>
      </c>
      <c r="C68" s="11">
        <v>1</v>
      </c>
      <c r="D68" s="9" t="s">
        <v>50</v>
      </c>
      <c r="E68" s="10">
        <v>47369</v>
      </c>
      <c r="F68" s="10">
        <v>47733</v>
      </c>
      <c r="G68" s="18">
        <v>0</v>
      </c>
      <c r="H68" s="21">
        <f t="shared" si="2"/>
        <v>0</v>
      </c>
      <c r="I68" s="8">
        <v>12</v>
      </c>
      <c r="J68" t="s">
        <v>101</v>
      </c>
    </row>
    <row r="69" spans="1:12" ht="15.6" x14ac:dyDescent="0.3">
      <c r="A69" s="2" t="s">
        <v>60</v>
      </c>
      <c r="B69" s="9" t="s">
        <v>72</v>
      </c>
      <c r="C69" s="11">
        <v>1</v>
      </c>
      <c r="D69" s="9" t="s">
        <v>51</v>
      </c>
      <c r="E69" s="10">
        <v>47369</v>
      </c>
      <c r="F69" s="10">
        <v>47733</v>
      </c>
      <c r="G69" s="18">
        <v>0</v>
      </c>
      <c r="H69" s="21">
        <f t="shared" ref="H69:H73" si="3">G69</f>
        <v>0</v>
      </c>
      <c r="I69" s="8">
        <v>12</v>
      </c>
      <c r="J69" t="s">
        <v>101</v>
      </c>
    </row>
    <row r="70" spans="1:12" ht="15.6" x14ac:dyDescent="0.3">
      <c r="A70" s="2" t="s">
        <v>60</v>
      </c>
      <c r="B70" s="9" t="s">
        <v>72</v>
      </c>
      <c r="C70" s="11">
        <v>1</v>
      </c>
      <c r="D70" s="9" t="s">
        <v>52</v>
      </c>
      <c r="E70" s="10">
        <v>47369</v>
      </c>
      <c r="F70" s="10">
        <v>47733</v>
      </c>
      <c r="G70" s="18">
        <v>0</v>
      </c>
      <c r="H70" s="21">
        <f t="shared" si="3"/>
        <v>0</v>
      </c>
      <c r="I70" s="8">
        <v>12</v>
      </c>
      <c r="J70" t="s">
        <v>101</v>
      </c>
    </row>
    <row r="71" spans="1:12" ht="15.6" x14ac:dyDescent="0.3">
      <c r="A71" s="2" t="s">
        <v>60</v>
      </c>
      <c r="B71" s="9" t="s">
        <v>72</v>
      </c>
      <c r="C71" s="11">
        <v>1</v>
      </c>
      <c r="D71" s="9" t="s">
        <v>53</v>
      </c>
      <c r="E71" s="10">
        <v>47369</v>
      </c>
      <c r="F71" s="10">
        <v>47733</v>
      </c>
      <c r="G71" s="18">
        <v>0</v>
      </c>
      <c r="H71" s="21">
        <f t="shared" si="3"/>
        <v>0</v>
      </c>
      <c r="I71" s="8">
        <v>12</v>
      </c>
      <c r="J71" t="s">
        <v>101</v>
      </c>
    </row>
    <row r="72" spans="1:12" ht="15.6" x14ac:dyDescent="0.3">
      <c r="A72" s="2" t="s">
        <v>60</v>
      </c>
      <c r="B72" s="9" t="s">
        <v>72</v>
      </c>
      <c r="C72" s="11">
        <v>1</v>
      </c>
      <c r="D72" s="9" t="s">
        <v>54</v>
      </c>
      <c r="E72" s="10">
        <v>47369</v>
      </c>
      <c r="F72" s="10">
        <v>47733</v>
      </c>
      <c r="G72" s="18">
        <v>0</v>
      </c>
      <c r="H72" s="21">
        <f t="shared" si="3"/>
        <v>0</v>
      </c>
      <c r="I72" s="8">
        <v>12</v>
      </c>
      <c r="J72" t="s">
        <v>101</v>
      </c>
    </row>
    <row r="73" spans="1:12" ht="16.2" thickBot="1" x14ac:dyDescent="0.35">
      <c r="A73" s="2" t="s">
        <v>60</v>
      </c>
      <c r="B73" s="9" t="s">
        <v>72</v>
      </c>
      <c r="C73" s="11">
        <v>1</v>
      </c>
      <c r="D73" s="9" t="s">
        <v>55</v>
      </c>
      <c r="E73" s="10">
        <v>47369</v>
      </c>
      <c r="F73" s="10">
        <v>47733</v>
      </c>
      <c r="G73" s="18">
        <v>0</v>
      </c>
      <c r="H73" s="21">
        <f t="shared" si="3"/>
        <v>0</v>
      </c>
      <c r="I73" s="8">
        <v>12</v>
      </c>
      <c r="J73" t="s">
        <v>101</v>
      </c>
    </row>
    <row r="74" spans="1:12" ht="16.8" thickTop="1" thickBot="1" x14ac:dyDescent="0.35">
      <c r="A74" s="39"/>
      <c r="B74" s="39"/>
      <c r="C74" s="53" t="s">
        <v>127</v>
      </c>
      <c r="D74" s="54">
        <f>COUNTA(Table7[Asset Name])</f>
        <v>68</v>
      </c>
      <c r="E74" s="42"/>
      <c r="F74" s="42"/>
      <c r="G74" s="50" t="s">
        <v>124</v>
      </c>
      <c r="H74" s="38">
        <f>SUBTOTAL(109,Table7[Ext Amount])</f>
        <v>0</v>
      </c>
      <c r="I74" s="47"/>
      <c r="J74" s="45"/>
    </row>
    <row r="77" spans="1:12" ht="53.4" customHeight="1" x14ac:dyDescent="0.3">
      <c r="B77" s="36" t="s">
        <v>125</v>
      </c>
      <c r="C77" s="37"/>
      <c r="D77" s="37"/>
      <c r="E77" s="37"/>
      <c r="F77" s="37"/>
      <c r="G77" s="37"/>
      <c r="H77" s="37"/>
      <c r="I77" s="37"/>
      <c r="J77" s="37"/>
      <c r="K77" s="37"/>
      <c r="L77" s="37"/>
    </row>
  </sheetData>
  <sheetProtection algorithmName="SHA-512" hashValue="1IRso9hLxDIihZvlgBFSraw8HC4lx4A9Rk0/tqR7zT4erbJF5PFbUHQDWyJefPy/EksagBlabyu6e/iEp0kIkw==" saltValue="nshF0jn++wZjDzr0X6q67w==" spinCount="100000" sheet="1" objects="1" scenarios="1"/>
  <mergeCells count="4">
    <mergeCell ref="E4:F4"/>
    <mergeCell ref="G4:H4"/>
    <mergeCell ref="B2:L2"/>
    <mergeCell ref="B77:L77"/>
  </mergeCells>
  <phoneticPr fontId="5" type="noConversion"/>
  <conditionalFormatting sqref="G6:H73 H74">
    <cfRule type="cellIs" dxfId="19" priority="1" operator="greaterThan">
      <formula>0</formula>
    </cfRule>
    <cfRule type="cellIs" dxfId="18" priority="2" operator="lessThan">
      <formula>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C29D-55BA-4BE8-98C3-29B65BF28B2D}">
  <sheetPr>
    <pageSetUpPr fitToPage="1"/>
  </sheetPr>
  <dimension ref="A2:G73"/>
  <sheetViews>
    <sheetView workbookViewId="0">
      <selection sqref="A1:XFD1048576"/>
    </sheetView>
  </sheetViews>
  <sheetFormatPr defaultRowHeight="14.4" x14ac:dyDescent="0.3"/>
  <cols>
    <col min="1" max="1" width="29.5546875" style="62" bestFit="1" customWidth="1"/>
    <col min="2" max="2" width="41.6640625" style="62" customWidth="1"/>
    <col min="3" max="3" width="10.77734375" style="62" customWidth="1"/>
    <col min="4" max="4" width="35.5546875" style="62" customWidth="1"/>
    <col min="5" max="5" width="8.88671875" style="62"/>
    <col min="6" max="6" width="27.21875" style="62" bestFit="1" customWidth="1"/>
    <col min="7" max="7" width="20.6640625" style="62" customWidth="1"/>
    <col min="8" max="16384" width="8.88671875" style="62"/>
  </cols>
  <sheetData>
    <row r="2" spans="1:7" x14ac:dyDescent="0.3">
      <c r="A2" s="61" t="s">
        <v>119</v>
      </c>
      <c r="B2" s="61"/>
      <c r="C2" s="61"/>
      <c r="D2" s="61"/>
      <c r="E2" s="61"/>
      <c r="F2" s="61"/>
      <c r="G2" s="61"/>
    </row>
    <row r="3" spans="1:7" x14ac:dyDescent="0.3">
      <c r="A3" s="63"/>
      <c r="B3" s="63"/>
      <c r="C3" s="63"/>
      <c r="D3" s="63"/>
      <c r="E3" s="63"/>
      <c r="F3" s="63"/>
      <c r="G3" s="63"/>
    </row>
    <row r="4" spans="1:7" x14ac:dyDescent="0.3">
      <c r="A4" s="64" t="s">
        <v>68</v>
      </c>
      <c r="B4" s="65" t="s">
        <v>63</v>
      </c>
      <c r="C4" s="65" t="s">
        <v>66</v>
      </c>
      <c r="D4" s="66" t="s">
        <v>0</v>
      </c>
      <c r="F4" s="67" t="s">
        <v>120</v>
      </c>
      <c r="G4" s="67"/>
    </row>
    <row r="5" spans="1:7" ht="15.6" x14ac:dyDescent="0.3">
      <c r="A5" s="55" t="s">
        <v>45</v>
      </c>
      <c r="B5" s="56" t="s">
        <v>70</v>
      </c>
      <c r="C5" s="56">
        <v>1</v>
      </c>
      <c r="D5" s="57" t="s">
        <v>105</v>
      </c>
      <c r="F5" s="68" t="s">
        <v>117</v>
      </c>
      <c r="G5" s="69" t="s">
        <v>118</v>
      </c>
    </row>
    <row r="6" spans="1:7" ht="15.6" x14ac:dyDescent="0.3">
      <c r="A6" s="55" t="s">
        <v>45</v>
      </c>
      <c r="B6" s="56" t="s">
        <v>70</v>
      </c>
      <c r="C6" s="56">
        <v>1</v>
      </c>
      <c r="D6" s="57" t="s">
        <v>104</v>
      </c>
      <c r="F6" s="70" t="s">
        <v>60</v>
      </c>
      <c r="G6" s="69">
        <v>10</v>
      </c>
    </row>
    <row r="7" spans="1:7" ht="15.6" x14ac:dyDescent="0.3">
      <c r="A7" s="55" t="s">
        <v>45</v>
      </c>
      <c r="B7" s="56" t="s">
        <v>70</v>
      </c>
      <c r="C7" s="56">
        <v>1</v>
      </c>
      <c r="D7" s="57" t="s">
        <v>106</v>
      </c>
      <c r="F7" s="70" t="s">
        <v>61</v>
      </c>
      <c r="G7" s="69">
        <v>4</v>
      </c>
    </row>
    <row r="8" spans="1:7" ht="15.6" x14ac:dyDescent="0.3">
      <c r="A8" s="55" t="s">
        <v>45</v>
      </c>
      <c r="B8" s="56" t="s">
        <v>70</v>
      </c>
      <c r="C8" s="56">
        <v>1</v>
      </c>
      <c r="D8" s="57" t="s">
        <v>107</v>
      </c>
      <c r="F8" s="70" t="s">
        <v>45</v>
      </c>
      <c r="G8" s="69">
        <v>54</v>
      </c>
    </row>
    <row r="9" spans="1:7" ht="15.6" x14ac:dyDescent="0.3">
      <c r="A9" s="55" t="s">
        <v>45</v>
      </c>
      <c r="B9" s="56" t="s">
        <v>70</v>
      </c>
      <c r="C9" s="56">
        <v>1</v>
      </c>
      <c r="D9" s="57" t="s">
        <v>108</v>
      </c>
      <c r="F9" s="71" t="s">
        <v>116</v>
      </c>
      <c r="G9" s="72">
        <v>68</v>
      </c>
    </row>
    <row r="10" spans="1:7" ht="15.6" x14ac:dyDescent="0.3">
      <c r="A10" s="55" t="s">
        <v>45</v>
      </c>
      <c r="B10" s="56" t="s">
        <v>70</v>
      </c>
      <c r="C10" s="56">
        <v>1</v>
      </c>
      <c r="D10" s="57" t="s">
        <v>109</v>
      </c>
    </row>
    <row r="11" spans="1:7" ht="15.6" x14ac:dyDescent="0.3">
      <c r="A11" s="55" t="s">
        <v>45</v>
      </c>
      <c r="B11" s="56" t="s">
        <v>70</v>
      </c>
      <c r="C11" s="56">
        <v>1</v>
      </c>
      <c r="D11" s="57" t="s">
        <v>110</v>
      </c>
    </row>
    <row r="12" spans="1:7" ht="15.6" x14ac:dyDescent="0.3">
      <c r="A12" s="55" t="s">
        <v>45</v>
      </c>
      <c r="B12" s="56" t="s">
        <v>70</v>
      </c>
      <c r="C12" s="56">
        <v>1</v>
      </c>
      <c r="D12" s="57" t="s">
        <v>111</v>
      </c>
    </row>
    <row r="13" spans="1:7" ht="15.6" x14ac:dyDescent="0.3">
      <c r="A13" s="55" t="s">
        <v>45</v>
      </c>
      <c r="B13" s="56" t="s">
        <v>70</v>
      </c>
      <c r="C13" s="56">
        <v>1</v>
      </c>
      <c r="D13" s="57" t="s">
        <v>113</v>
      </c>
    </row>
    <row r="14" spans="1:7" ht="15.6" x14ac:dyDescent="0.3">
      <c r="A14" s="55" t="s">
        <v>45</v>
      </c>
      <c r="B14" s="56" t="s">
        <v>70</v>
      </c>
      <c r="C14" s="56">
        <v>1</v>
      </c>
      <c r="D14" s="57" t="s">
        <v>112</v>
      </c>
    </row>
    <row r="15" spans="1:7" ht="15.6" x14ac:dyDescent="0.3">
      <c r="A15" s="55" t="s">
        <v>45</v>
      </c>
      <c r="B15" s="56" t="s">
        <v>70</v>
      </c>
      <c r="C15" s="56">
        <v>1</v>
      </c>
      <c r="D15" s="57" t="s">
        <v>2</v>
      </c>
    </row>
    <row r="16" spans="1:7" ht="15.6" x14ac:dyDescent="0.3">
      <c r="A16" s="55" t="s">
        <v>45</v>
      </c>
      <c r="B16" s="56" t="s">
        <v>70</v>
      </c>
      <c r="C16" s="56">
        <v>1</v>
      </c>
      <c r="D16" s="57" t="s">
        <v>3</v>
      </c>
    </row>
    <row r="17" spans="1:4" ht="15.6" x14ac:dyDescent="0.3">
      <c r="A17" s="55" t="s">
        <v>45</v>
      </c>
      <c r="B17" s="56" t="s">
        <v>70</v>
      </c>
      <c r="C17" s="56">
        <v>1</v>
      </c>
      <c r="D17" s="57" t="s">
        <v>4</v>
      </c>
    </row>
    <row r="18" spans="1:4" ht="15.6" x14ac:dyDescent="0.3">
      <c r="A18" s="55" t="s">
        <v>45</v>
      </c>
      <c r="B18" s="56" t="s">
        <v>70</v>
      </c>
      <c r="C18" s="56">
        <v>1</v>
      </c>
      <c r="D18" s="57" t="s">
        <v>5</v>
      </c>
    </row>
    <row r="19" spans="1:4" ht="15.6" x14ac:dyDescent="0.3">
      <c r="A19" s="55" t="s">
        <v>45</v>
      </c>
      <c r="B19" s="56" t="s">
        <v>70</v>
      </c>
      <c r="C19" s="56">
        <v>1</v>
      </c>
      <c r="D19" s="57" t="s">
        <v>6</v>
      </c>
    </row>
    <row r="20" spans="1:4" ht="15.6" x14ac:dyDescent="0.3">
      <c r="A20" s="55" t="s">
        <v>45</v>
      </c>
      <c r="B20" s="56" t="s">
        <v>70</v>
      </c>
      <c r="C20" s="56">
        <v>1</v>
      </c>
      <c r="D20" s="57" t="s">
        <v>7</v>
      </c>
    </row>
    <row r="21" spans="1:4" ht="15.6" x14ac:dyDescent="0.3">
      <c r="A21" s="55" t="s">
        <v>45</v>
      </c>
      <c r="B21" s="56" t="s">
        <v>70</v>
      </c>
      <c r="C21" s="56">
        <v>1</v>
      </c>
      <c r="D21" s="57" t="s">
        <v>8</v>
      </c>
    </row>
    <row r="22" spans="1:4" ht="15.6" x14ac:dyDescent="0.3">
      <c r="A22" s="55" t="s">
        <v>45</v>
      </c>
      <c r="B22" s="56" t="s">
        <v>70</v>
      </c>
      <c r="C22" s="56">
        <v>1</v>
      </c>
      <c r="D22" s="57" t="s">
        <v>9</v>
      </c>
    </row>
    <row r="23" spans="1:4" ht="15.6" x14ac:dyDescent="0.3">
      <c r="A23" s="55" t="s">
        <v>45</v>
      </c>
      <c r="B23" s="56" t="s">
        <v>70</v>
      </c>
      <c r="C23" s="56">
        <v>1</v>
      </c>
      <c r="D23" s="57" t="s">
        <v>10</v>
      </c>
    </row>
    <row r="24" spans="1:4" ht="15.6" x14ac:dyDescent="0.3">
      <c r="A24" s="55" t="s">
        <v>45</v>
      </c>
      <c r="B24" s="56" t="s">
        <v>70</v>
      </c>
      <c r="C24" s="56">
        <v>1</v>
      </c>
      <c r="D24" s="57" t="s">
        <v>11</v>
      </c>
    </row>
    <row r="25" spans="1:4" ht="15.6" x14ac:dyDescent="0.3">
      <c r="A25" s="55" t="s">
        <v>45</v>
      </c>
      <c r="B25" s="56" t="s">
        <v>70</v>
      </c>
      <c r="C25" s="56">
        <v>1</v>
      </c>
      <c r="D25" s="57" t="s">
        <v>12</v>
      </c>
    </row>
    <row r="26" spans="1:4" ht="15.6" x14ac:dyDescent="0.3">
      <c r="A26" s="55" t="s">
        <v>45</v>
      </c>
      <c r="B26" s="56" t="s">
        <v>70</v>
      </c>
      <c r="C26" s="56">
        <v>1</v>
      </c>
      <c r="D26" s="57" t="s">
        <v>13</v>
      </c>
    </row>
    <row r="27" spans="1:4" ht="15.6" x14ac:dyDescent="0.3">
      <c r="A27" s="55" t="s">
        <v>45</v>
      </c>
      <c r="B27" s="56" t="s">
        <v>70</v>
      </c>
      <c r="C27" s="56">
        <v>1</v>
      </c>
      <c r="D27" s="57" t="s">
        <v>14</v>
      </c>
    </row>
    <row r="28" spans="1:4" ht="15.6" x14ac:dyDescent="0.3">
      <c r="A28" s="55" t="s">
        <v>45</v>
      </c>
      <c r="B28" s="56" t="s">
        <v>70</v>
      </c>
      <c r="C28" s="56">
        <v>1</v>
      </c>
      <c r="D28" s="57" t="s">
        <v>15</v>
      </c>
    </row>
    <row r="29" spans="1:4" ht="15.6" x14ac:dyDescent="0.3">
      <c r="A29" s="55" t="s">
        <v>45</v>
      </c>
      <c r="B29" s="56" t="s">
        <v>70</v>
      </c>
      <c r="C29" s="56">
        <v>1</v>
      </c>
      <c r="D29" s="57" t="s">
        <v>16</v>
      </c>
    </row>
    <row r="30" spans="1:4" ht="15.6" x14ac:dyDescent="0.3">
      <c r="A30" s="55" t="s">
        <v>45</v>
      </c>
      <c r="B30" s="56" t="s">
        <v>70</v>
      </c>
      <c r="C30" s="56">
        <v>1</v>
      </c>
      <c r="D30" s="57" t="s">
        <v>17</v>
      </c>
    </row>
    <row r="31" spans="1:4" ht="15.6" x14ac:dyDescent="0.3">
      <c r="A31" s="55" t="s">
        <v>45</v>
      </c>
      <c r="B31" s="56" t="s">
        <v>70</v>
      </c>
      <c r="C31" s="56">
        <v>1</v>
      </c>
      <c r="D31" s="57" t="s">
        <v>28</v>
      </c>
    </row>
    <row r="32" spans="1:4" ht="15.6" x14ac:dyDescent="0.3">
      <c r="A32" s="55" t="s">
        <v>45</v>
      </c>
      <c r="B32" s="56" t="s">
        <v>70</v>
      </c>
      <c r="C32" s="56">
        <v>1</v>
      </c>
      <c r="D32" s="57" t="s">
        <v>29</v>
      </c>
    </row>
    <row r="33" spans="1:4" ht="15.6" x14ac:dyDescent="0.3">
      <c r="A33" s="55" t="s">
        <v>45</v>
      </c>
      <c r="B33" s="56" t="s">
        <v>70</v>
      </c>
      <c r="C33" s="56">
        <v>1</v>
      </c>
      <c r="D33" s="57" t="s">
        <v>30</v>
      </c>
    </row>
    <row r="34" spans="1:4" ht="15.6" x14ac:dyDescent="0.3">
      <c r="A34" s="55" t="s">
        <v>45</v>
      </c>
      <c r="B34" s="56" t="s">
        <v>70</v>
      </c>
      <c r="C34" s="56">
        <v>1</v>
      </c>
      <c r="D34" s="57" t="s">
        <v>31</v>
      </c>
    </row>
    <row r="35" spans="1:4" ht="15.6" x14ac:dyDescent="0.3">
      <c r="A35" s="55" t="s">
        <v>45</v>
      </c>
      <c r="B35" s="56" t="s">
        <v>70</v>
      </c>
      <c r="C35" s="56">
        <v>1</v>
      </c>
      <c r="D35" s="57" t="s">
        <v>32</v>
      </c>
    </row>
    <row r="36" spans="1:4" ht="15.6" x14ac:dyDescent="0.3">
      <c r="A36" s="55" t="s">
        <v>45</v>
      </c>
      <c r="B36" s="56" t="s">
        <v>70</v>
      </c>
      <c r="C36" s="56">
        <v>1</v>
      </c>
      <c r="D36" s="57" t="s">
        <v>33</v>
      </c>
    </row>
    <row r="37" spans="1:4" ht="15.6" x14ac:dyDescent="0.3">
      <c r="A37" s="55" t="s">
        <v>45</v>
      </c>
      <c r="B37" s="56" t="s">
        <v>70</v>
      </c>
      <c r="C37" s="56">
        <v>1</v>
      </c>
      <c r="D37" s="57" t="s">
        <v>34</v>
      </c>
    </row>
    <row r="38" spans="1:4" ht="15.6" x14ac:dyDescent="0.3">
      <c r="A38" s="55" t="s">
        <v>45</v>
      </c>
      <c r="B38" s="56" t="s">
        <v>70</v>
      </c>
      <c r="C38" s="56">
        <v>1</v>
      </c>
      <c r="D38" s="57" t="s">
        <v>35</v>
      </c>
    </row>
    <row r="39" spans="1:4" ht="15.6" x14ac:dyDescent="0.3">
      <c r="A39" s="55" t="s">
        <v>45</v>
      </c>
      <c r="B39" s="56" t="s">
        <v>70</v>
      </c>
      <c r="C39" s="56">
        <v>1</v>
      </c>
      <c r="D39" s="57" t="s">
        <v>36</v>
      </c>
    </row>
    <row r="40" spans="1:4" ht="15.6" x14ac:dyDescent="0.3">
      <c r="A40" s="55" t="s">
        <v>45</v>
      </c>
      <c r="B40" s="56" t="s">
        <v>70</v>
      </c>
      <c r="C40" s="56">
        <v>1</v>
      </c>
      <c r="D40" s="57" t="s">
        <v>37</v>
      </c>
    </row>
    <row r="41" spans="1:4" ht="15.6" x14ac:dyDescent="0.3">
      <c r="A41" s="55" t="s">
        <v>45</v>
      </c>
      <c r="B41" s="56" t="s">
        <v>70</v>
      </c>
      <c r="C41" s="56">
        <v>1</v>
      </c>
      <c r="D41" s="57" t="s">
        <v>38</v>
      </c>
    </row>
    <row r="42" spans="1:4" ht="15.6" x14ac:dyDescent="0.3">
      <c r="A42" s="55" t="s">
        <v>45</v>
      </c>
      <c r="B42" s="56" t="s">
        <v>70</v>
      </c>
      <c r="C42" s="56">
        <v>1</v>
      </c>
      <c r="D42" s="57" t="s">
        <v>39</v>
      </c>
    </row>
    <row r="43" spans="1:4" ht="15.6" x14ac:dyDescent="0.3">
      <c r="A43" s="55" t="s">
        <v>45</v>
      </c>
      <c r="B43" s="56" t="s">
        <v>70</v>
      </c>
      <c r="C43" s="56">
        <v>1</v>
      </c>
      <c r="D43" s="58" t="s">
        <v>40</v>
      </c>
    </row>
    <row r="44" spans="1:4" ht="15.6" x14ac:dyDescent="0.3">
      <c r="A44" s="55" t="s">
        <v>45</v>
      </c>
      <c r="B44" s="56" t="s">
        <v>70</v>
      </c>
      <c r="C44" s="56">
        <v>1</v>
      </c>
      <c r="D44" s="58" t="s">
        <v>41</v>
      </c>
    </row>
    <row r="45" spans="1:4" ht="15.6" x14ac:dyDescent="0.3">
      <c r="A45" s="55" t="s">
        <v>45</v>
      </c>
      <c r="B45" s="56" t="s">
        <v>70</v>
      </c>
      <c r="C45" s="56">
        <v>1</v>
      </c>
      <c r="D45" s="58" t="s">
        <v>42</v>
      </c>
    </row>
    <row r="46" spans="1:4" ht="15.6" x14ac:dyDescent="0.3">
      <c r="A46" s="55" t="s">
        <v>45</v>
      </c>
      <c r="B46" s="56" t="s">
        <v>70</v>
      </c>
      <c r="C46" s="56">
        <v>1</v>
      </c>
      <c r="D46" s="58" t="s">
        <v>43</v>
      </c>
    </row>
    <row r="47" spans="1:4" ht="15.6" x14ac:dyDescent="0.3">
      <c r="A47" s="55" t="s">
        <v>45</v>
      </c>
      <c r="B47" s="56" t="s">
        <v>70</v>
      </c>
      <c r="C47" s="56">
        <v>1</v>
      </c>
      <c r="D47" s="58" t="s">
        <v>44</v>
      </c>
    </row>
    <row r="48" spans="1:4" ht="15.6" x14ac:dyDescent="0.3">
      <c r="A48" s="55" t="s">
        <v>45</v>
      </c>
      <c r="B48" s="56" t="s">
        <v>73</v>
      </c>
      <c r="C48" s="56">
        <v>1</v>
      </c>
      <c r="D48" s="58" t="s">
        <v>26</v>
      </c>
    </row>
    <row r="49" spans="1:4" ht="15.6" x14ac:dyDescent="0.3">
      <c r="A49" s="55" t="s">
        <v>45</v>
      </c>
      <c r="B49" s="56" t="s">
        <v>73</v>
      </c>
      <c r="C49" s="56">
        <v>1</v>
      </c>
      <c r="D49" s="57" t="s">
        <v>27</v>
      </c>
    </row>
    <row r="50" spans="1:4" ht="15.6" x14ac:dyDescent="0.3">
      <c r="A50" s="55" t="s">
        <v>45</v>
      </c>
      <c r="B50" s="56" t="s">
        <v>71</v>
      </c>
      <c r="C50" s="56">
        <v>1</v>
      </c>
      <c r="D50" s="57" t="s">
        <v>21</v>
      </c>
    </row>
    <row r="51" spans="1:4" ht="15.6" x14ac:dyDescent="0.3">
      <c r="A51" s="55" t="s">
        <v>45</v>
      </c>
      <c r="B51" s="56" t="s">
        <v>71</v>
      </c>
      <c r="C51" s="56">
        <v>1</v>
      </c>
      <c r="D51" s="57" t="s">
        <v>22</v>
      </c>
    </row>
    <row r="52" spans="1:4" ht="15.6" x14ac:dyDescent="0.3">
      <c r="A52" s="55" t="s">
        <v>45</v>
      </c>
      <c r="B52" s="56" t="s">
        <v>71</v>
      </c>
      <c r="C52" s="56">
        <v>1</v>
      </c>
      <c r="D52" s="57" t="s">
        <v>23</v>
      </c>
    </row>
    <row r="53" spans="1:4" ht="15.6" x14ac:dyDescent="0.3">
      <c r="A53" s="55" t="s">
        <v>45</v>
      </c>
      <c r="B53" s="56" t="s">
        <v>71</v>
      </c>
      <c r="C53" s="56">
        <v>1</v>
      </c>
      <c r="D53" s="57" t="s">
        <v>24</v>
      </c>
    </row>
    <row r="54" spans="1:4" ht="15.6" x14ac:dyDescent="0.3">
      <c r="A54" s="55" t="s">
        <v>45</v>
      </c>
      <c r="B54" s="56" t="s">
        <v>71</v>
      </c>
      <c r="C54" s="56">
        <v>1</v>
      </c>
      <c r="D54" s="57" t="s">
        <v>25</v>
      </c>
    </row>
    <row r="55" spans="1:4" ht="15.6" x14ac:dyDescent="0.3">
      <c r="A55" s="55" t="s">
        <v>45</v>
      </c>
      <c r="B55" s="56" t="s">
        <v>72</v>
      </c>
      <c r="C55" s="56">
        <v>1</v>
      </c>
      <c r="D55" s="57" t="s">
        <v>18</v>
      </c>
    </row>
    <row r="56" spans="1:4" ht="15.6" x14ac:dyDescent="0.3">
      <c r="A56" s="55" t="s">
        <v>45</v>
      </c>
      <c r="B56" s="56" t="s">
        <v>72</v>
      </c>
      <c r="C56" s="56">
        <v>1</v>
      </c>
      <c r="D56" s="57" t="s">
        <v>19</v>
      </c>
    </row>
    <row r="57" spans="1:4" ht="15.6" x14ac:dyDescent="0.3">
      <c r="A57" s="55" t="s">
        <v>45</v>
      </c>
      <c r="B57" s="56" t="s">
        <v>72</v>
      </c>
      <c r="C57" s="56">
        <v>1</v>
      </c>
      <c r="D57" s="57" t="s">
        <v>20</v>
      </c>
    </row>
    <row r="58" spans="1:4" ht="15.6" x14ac:dyDescent="0.3">
      <c r="A58" s="55" t="s">
        <v>45</v>
      </c>
      <c r="B58" s="56" t="s">
        <v>74</v>
      </c>
      <c r="C58" s="56">
        <v>1</v>
      </c>
      <c r="D58" s="57" t="s">
        <v>62</v>
      </c>
    </row>
    <row r="59" spans="1:4" ht="15.6" x14ac:dyDescent="0.3">
      <c r="A59" s="59" t="s">
        <v>61</v>
      </c>
      <c r="B59" s="56" t="s">
        <v>70</v>
      </c>
      <c r="C59" s="56">
        <v>1</v>
      </c>
      <c r="D59" s="57" t="s">
        <v>56</v>
      </c>
    </row>
    <row r="60" spans="1:4" ht="15.6" x14ac:dyDescent="0.3">
      <c r="A60" s="59" t="s">
        <v>61</v>
      </c>
      <c r="B60" s="56" t="s">
        <v>70</v>
      </c>
      <c r="C60" s="56">
        <v>1</v>
      </c>
      <c r="D60" s="57" t="s">
        <v>57</v>
      </c>
    </row>
    <row r="61" spans="1:4" ht="15.6" x14ac:dyDescent="0.3">
      <c r="A61" s="59" t="s">
        <v>61</v>
      </c>
      <c r="B61" s="56" t="s">
        <v>70</v>
      </c>
      <c r="C61" s="56">
        <v>1</v>
      </c>
      <c r="D61" s="57" t="s">
        <v>58</v>
      </c>
    </row>
    <row r="62" spans="1:4" ht="15.6" x14ac:dyDescent="0.3">
      <c r="A62" s="59" t="s">
        <v>61</v>
      </c>
      <c r="B62" s="56" t="s">
        <v>70</v>
      </c>
      <c r="C62" s="56">
        <v>1</v>
      </c>
      <c r="D62" s="57" t="s">
        <v>59</v>
      </c>
    </row>
    <row r="63" spans="1:4" ht="15.6" x14ac:dyDescent="0.3">
      <c r="A63" s="60" t="s">
        <v>60</v>
      </c>
      <c r="B63" s="56" t="s">
        <v>72</v>
      </c>
      <c r="C63" s="56">
        <v>1</v>
      </c>
      <c r="D63" s="57" t="s">
        <v>46</v>
      </c>
    </row>
    <row r="64" spans="1:4" ht="15.6" x14ac:dyDescent="0.3">
      <c r="A64" s="60" t="s">
        <v>60</v>
      </c>
      <c r="B64" s="56" t="s">
        <v>72</v>
      </c>
      <c r="C64" s="56">
        <v>1</v>
      </c>
      <c r="D64" s="57" t="s">
        <v>47</v>
      </c>
    </row>
    <row r="65" spans="1:4" ht="15.6" x14ac:dyDescent="0.3">
      <c r="A65" s="60" t="s">
        <v>60</v>
      </c>
      <c r="B65" s="56" t="s">
        <v>72</v>
      </c>
      <c r="C65" s="56">
        <v>1</v>
      </c>
      <c r="D65" s="57" t="s">
        <v>48</v>
      </c>
    </row>
    <row r="66" spans="1:4" ht="15.6" x14ac:dyDescent="0.3">
      <c r="A66" s="60" t="s">
        <v>60</v>
      </c>
      <c r="B66" s="56" t="s">
        <v>72</v>
      </c>
      <c r="C66" s="56">
        <v>1</v>
      </c>
      <c r="D66" s="57" t="s">
        <v>49</v>
      </c>
    </row>
    <row r="67" spans="1:4" ht="15.6" x14ac:dyDescent="0.3">
      <c r="A67" s="60" t="s">
        <v>60</v>
      </c>
      <c r="B67" s="56" t="s">
        <v>72</v>
      </c>
      <c r="C67" s="56">
        <v>1</v>
      </c>
      <c r="D67" s="57" t="s">
        <v>50</v>
      </c>
    </row>
    <row r="68" spans="1:4" ht="15.6" x14ac:dyDescent="0.3">
      <c r="A68" s="60" t="s">
        <v>60</v>
      </c>
      <c r="B68" s="56" t="s">
        <v>72</v>
      </c>
      <c r="C68" s="56">
        <v>1</v>
      </c>
      <c r="D68" s="57" t="s">
        <v>51</v>
      </c>
    </row>
    <row r="69" spans="1:4" ht="15.6" x14ac:dyDescent="0.3">
      <c r="A69" s="60" t="s">
        <v>60</v>
      </c>
      <c r="B69" s="56" t="s">
        <v>72</v>
      </c>
      <c r="C69" s="56">
        <v>1</v>
      </c>
      <c r="D69" s="57" t="s">
        <v>52</v>
      </c>
    </row>
    <row r="70" spans="1:4" ht="15.6" x14ac:dyDescent="0.3">
      <c r="A70" s="60" t="s">
        <v>60</v>
      </c>
      <c r="B70" s="56" t="s">
        <v>72</v>
      </c>
      <c r="C70" s="56">
        <v>1</v>
      </c>
      <c r="D70" s="57" t="s">
        <v>53</v>
      </c>
    </row>
    <row r="71" spans="1:4" ht="15.6" x14ac:dyDescent="0.3">
      <c r="A71" s="60" t="s">
        <v>60</v>
      </c>
      <c r="B71" s="56" t="s">
        <v>72</v>
      </c>
      <c r="C71" s="56">
        <v>1</v>
      </c>
      <c r="D71" s="57" t="s">
        <v>54</v>
      </c>
    </row>
    <row r="72" spans="1:4" ht="15.6" x14ac:dyDescent="0.3">
      <c r="A72" s="60" t="s">
        <v>60</v>
      </c>
      <c r="B72" s="56" t="s">
        <v>72</v>
      </c>
      <c r="C72" s="56">
        <v>1</v>
      </c>
      <c r="D72" s="57" t="s">
        <v>55</v>
      </c>
    </row>
    <row r="73" spans="1:4" ht="15" customHeight="1" x14ac:dyDescent="0.3">
      <c r="A73" s="73"/>
      <c r="B73" s="74" t="s">
        <v>115</v>
      </c>
      <c r="C73" s="74">
        <f>SUBTOTAL(109,Table47[Qty])</f>
        <v>68</v>
      </c>
      <c r="D73" s="75"/>
    </row>
  </sheetData>
  <sheetProtection algorithmName="SHA-512" hashValue="c2f7uiiqamFdJGvTV1hrNyccASj0i+XfvzF3nX2lF1MLm/MkwZ7RsdsSeOUrDVMkHYFndXoLeeeFr8AvardT5A==" saltValue="rnmY3e2jDaOetEmOk/CgxA==" spinCount="100000" sheet="1" objects="1" scenarios="1"/>
  <mergeCells count="2">
    <mergeCell ref="A2:G2"/>
    <mergeCell ref="F4:G4"/>
  </mergeCells>
  <pageMargins left="0.25" right="0.25" top="0.75" bottom="0.75" header="0.3" footer="0.3"/>
  <pageSetup scale="57" orientation="portrait" r:id="rId2"/>
  <tableParts count="1">
    <tablePart r:id="rId3"/>
  </tableParts>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Offeror Overall Price Summary</vt:lpstr>
      <vt:lpstr>Base Period</vt:lpstr>
      <vt:lpstr>OY1</vt:lpstr>
      <vt:lpstr>OY2</vt:lpstr>
      <vt:lpstr>OY3</vt:lpstr>
      <vt:lpstr>OY4</vt:lpstr>
      <vt:lpstr>USAFE RFeye Nodes Asset List</vt:lpstr>
    </vt:vector>
  </TitlesOfParts>
  <Company>United States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PAYTON, DARRYL JR CTR USAF USAFE HQ USAFE-AFAFRICA/A667</dc:creator>
  <cp:lastModifiedBy>TAYLOR, AUBREEANA J CIV USAF USAFE 700 CONS/PKC</cp:lastModifiedBy>
  <cp:lastPrinted>2026-03-25T08:30:30Z</cp:lastPrinted>
  <dcterms:created xsi:type="dcterms:W3CDTF">2026-02-09T08:34:07Z</dcterms:created>
  <dcterms:modified xsi:type="dcterms:W3CDTF">2026-04-16T09:56:56Z</dcterms:modified>
</cp:coreProperties>
</file>