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. PKA - AFDW NCR Enterprise Suprt Div\01 PKAA\Workload - PKAA- AFOSI requirements\FY 26\01 - DC3 SETA Follow-on\03 Solicitation\Santee's Solicitation Attachment Folder\"/>
    </mc:Choice>
  </mc:AlternateContent>
  <xr:revisionPtr revIDLastSave="0" documentId="13_ncr:1_{6D261867-7769-4AB9-9A34-AA0BB9463265}" xr6:coauthVersionLast="47" xr6:coauthVersionMax="47" xr10:uidLastSave="{00000000-0000-0000-0000-000000000000}"/>
  <bookViews>
    <workbookView xWindow="-108" yWindow="60" windowWidth="41496" windowHeight="16608" tabRatio="938" activeTab="3" xr2:uid="{00000000-000D-0000-FFFF-FFFF00000000}"/>
  </bookViews>
  <sheets>
    <sheet name="Base Year" sheetId="1" r:id="rId1"/>
    <sheet name="Option Year 1" sheetId="68" r:id="rId2"/>
    <sheet name="Option Year 2" sheetId="69" r:id="rId3"/>
    <sheet name="RFO 52.217-8 - 6 Month Ext" sheetId="71" r:id="rId4"/>
    <sheet name="Total Evaluated Price" sheetId="19" r:id="rId5"/>
  </sheets>
  <definedNames>
    <definedName name="_xlnm.Print_Area" localSheetId="0">'Base Year'!$A$1:$I$28</definedName>
    <definedName name="_xlnm.Print_Area" localSheetId="1">'Option Year 1'!$A$1:$I$23</definedName>
    <definedName name="_xlnm.Print_Area" localSheetId="2">'Option Year 2'!$A$1:$I$23</definedName>
    <definedName name="_xlnm.Print_Area" localSheetId="3">'RFO 52.217-8 - 6 Month Ext'!$A$1:$I$21</definedName>
    <definedName name="_xlnm.Print_Area" localSheetId="4">'Total Evaluated Price'!$A$1:$E$9</definedName>
    <definedName name="_xlnm.Print_Titles" localSheetId="0">'Base Year'!$A:$C,'Base Year'!$2:$2</definedName>
    <definedName name="_xlnm.Print_Titles" localSheetId="1">'Option Year 1'!$A:$C,'Option Year 1'!$2:$2</definedName>
    <definedName name="_xlnm.Print_Titles" localSheetId="2">'Option Year 2'!$A:$C,'Option Year 2'!$2:$2</definedName>
    <definedName name="_xlnm.Print_Titles" localSheetId="3">'RFO 52.217-8 - 6 Month Ext'!$A:$C,'RFO 52.217-8 - 6 Month Ext'!$2:$2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71" l="1"/>
  <c r="G8" i="19"/>
  <c r="D7" i="19"/>
  <c r="D6" i="19"/>
  <c r="C7" i="19"/>
  <c r="C6" i="19"/>
  <c r="B7" i="19"/>
  <c r="B6" i="19"/>
  <c r="E6" i="19" s="1"/>
  <c r="G6" i="19" s="1"/>
  <c r="E7" i="19" l="1"/>
  <c r="G7" i="19" s="1"/>
  <c r="G19" i="71"/>
  <c r="H19" i="71" s="1"/>
  <c r="G18" i="71"/>
  <c r="H18" i="71" s="1"/>
  <c r="G17" i="71"/>
  <c r="H17" i="71" s="1"/>
  <c r="G16" i="71"/>
  <c r="H16" i="71" s="1"/>
  <c r="G15" i="71"/>
  <c r="H15" i="71" s="1"/>
  <c r="G14" i="71"/>
  <c r="H14" i="71" s="1"/>
  <c r="G13" i="71"/>
  <c r="H13" i="71" s="1"/>
  <c r="D12" i="71"/>
  <c r="D21" i="71" s="1"/>
  <c r="G11" i="71"/>
  <c r="H11" i="71" s="1"/>
  <c r="G10" i="71"/>
  <c r="H10" i="71" s="1"/>
  <c r="G9" i="71"/>
  <c r="H9" i="71" s="1"/>
  <c r="G8" i="71"/>
  <c r="H8" i="71" s="1"/>
  <c r="G7" i="71"/>
  <c r="H7" i="71" s="1"/>
  <c r="G6" i="71"/>
  <c r="H6" i="71" s="1"/>
  <c r="D20" i="69"/>
  <c r="G19" i="69"/>
  <c r="H19" i="69" s="1"/>
  <c r="G18" i="69"/>
  <c r="H18" i="69" s="1"/>
  <c r="G17" i="69"/>
  <c r="H17" i="69" s="1"/>
  <c r="G16" i="69"/>
  <c r="H16" i="69" s="1"/>
  <c r="G15" i="69"/>
  <c r="H15" i="69" s="1"/>
  <c r="G14" i="69"/>
  <c r="H14" i="69" s="1"/>
  <c r="G13" i="69"/>
  <c r="H13" i="69" s="1"/>
  <c r="D12" i="69"/>
  <c r="D23" i="69" s="1"/>
  <c r="G11" i="69"/>
  <c r="H11" i="69" s="1"/>
  <c r="G10" i="69"/>
  <c r="H10" i="69" s="1"/>
  <c r="G9" i="69"/>
  <c r="H9" i="69" s="1"/>
  <c r="G8" i="69"/>
  <c r="H8" i="69" s="1"/>
  <c r="G7" i="69"/>
  <c r="H7" i="69" s="1"/>
  <c r="G6" i="69"/>
  <c r="H6" i="69" s="1"/>
  <c r="D20" i="68"/>
  <c r="G19" i="68"/>
  <c r="H19" i="68" s="1"/>
  <c r="G18" i="68"/>
  <c r="H18" i="68" s="1"/>
  <c r="G17" i="68"/>
  <c r="H17" i="68" s="1"/>
  <c r="G16" i="68"/>
  <c r="H16" i="68" s="1"/>
  <c r="G15" i="68"/>
  <c r="H15" i="68" s="1"/>
  <c r="G14" i="68"/>
  <c r="H14" i="68" s="1"/>
  <c r="G13" i="68"/>
  <c r="H13" i="68" s="1"/>
  <c r="D12" i="68"/>
  <c r="G11" i="68"/>
  <c r="H11" i="68" s="1"/>
  <c r="G10" i="68"/>
  <c r="H10" i="68" s="1"/>
  <c r="G9" i="68"/>
  <c r="H9" i="68" s="1"/>
  <c r="G8" i="68"/>
  <c r="H8" i="68" s="1"/>
  <c r="G7" i="68"/>
  <c r="H7" i="68" s="1"/>
  <c r="G6" i="68"/>
  <c r="H6" i="68" s="1"/>
  <c r="D25" i="1"/>
  <c r="G24" i="1"/>
  <c r="H24" i="1" s="1"/>
  <c r="G23" i="1"/>
  <c r="H23" i="1" s="1"/>
  <c r="G22" i="1"/>
  <c r="H22" i="1" s="1"/>
  <c r="H25" i="1" s="1"/>
  <c r="B5" i="19" s="1"/>
  <c r="E5" i="19" s="1"/>
  <c r="G5" i="19" s="1"/>
  <c r="G21" i="1"/>
  <c r="H21" i="1" s="1"/>
  <c r="D20" i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H20" i="71" l="1"/>
  <c r="F4" i="19" s="1"/>
  <c r="D23" i="68"/>
  <c r="H12" i="71"/>
  <c r="H20" i="69"/>
  <c r="D4" i="19" s="1"/>
  <c r="H12" i="69"/>
  <c r="H20" i="68"/>
  <c r="C4" i="19" s="1"/>
  <c r="H12" i="68"/>
  <c r="H20" i="1"/>
  <c r="B4" i="19" s="1"/>
  <c r="G6" i="1"/>
  <c r="H6" i="1" s="1"/>
  <c r="F3" i="19" l="1"/>
  <c r="F9" i="19" s="1"/>
  <c r="H21" i="71"/>
  <c r="D3" i="19"/>
  <c r="H23" i="69"/>
  <c r="C3" i="19"/>
  <c r="H23" i="68"/>
  <c r="D12" i="1"/>
  <c r="D28" i="1" s="1"/>
  <c r="G5" i="71"/>
  <c r="H5" i="71" s="1"/>
  <c r="G5" i="69"/>
  <c r="H5" i="69" s="1"/>
  <c r="G5" i="68"/>
  <c r="H5" i="68" s="1"/>
  <c r="E4" i="19" l="1"/>
  <c r="G4" i="19" s="1"/>
  <c r="C9" i="19" l="1"/>
  <c r="G11" i="1"/>
  <c r="H11" i="1" s="1"/>
  <c r="G10" i="1"/>
  <c r="H10" i="1" s="1"/>
  <c r="G9" i="1"/>
  <c r="H9" i="1" s="1"/>
  <c r="G8" i="1"/>
  <c r="H8" i="1" s="1"/>
  <c r="G7" i="1"/>
  <c r="H7" i="1" s="1"/>
  <c r="G5" i="1"/>
  <c r="D9" i="19" l="1"/>
  <c r="H12" i="1"/>
  <c r="H5" i="1"/>
  <c r="B3" i="19" l="1"/>
  <c r="B9" i="19" s="1"/>
  <c r="H28" i="1"/>
  <c r="E3" i="19" l="1"/>
  <c r="G3" i="19" s="1"/>
  <c r="G9" i="19" s="1"/>
  <c r="E9" i="19" l="1"/>
</calcChain>
</file>

<file path=xl/sharedStrings.xml><?xml version="1.0" encoding="utf-8"?>
<sst xmlns="http://schemas.openxmlformats.org/spreadsheetml/2006/main" count="101" uniqueCount="52">
  <si>
    <t>LABOR CATEGORY (Proposed Labor Category)</t>
  </si>
  <si>
    <t>Est. Hrs</t>
  </si>
  <si>
    <t>Unburdened Labor Rate (Labor Price)</t>
  </si>
  <si>
    <t>Additonal Costs (Fringe, OH, G&amp;A, Profit)</t>
  </si>
  <si>
    <t>Proposed Rate</t>
  </si>
  <si>
    <t xml:space="preserve">Total Proposed </t>
  </si>
  <si>
    <t xml:space="preserve">EXAMPLE: Subject Matter Expert II </t>
  </si>
  <si>
    <t>CLIN</t>
  </si>
  <si>
    <t>SUBTOTAL</t>
  </si>
  <si>
    <t>TOTAL</t>
  </si>
  <si>
    <t>(12 MONTHS) EXTENDED PRICE</t>
  </si>
  <si>
    <t>(6 MONTHS)</t>
  </si>
  <si>
    <t>Total Evaluated Price (TEP)</t>
  </si>
  <si>
    <t>Base /Year1</t>
  </si>
  <si>
    <t>OY1/Year 2</t>
  </si>
  <si>
    <t>OY2/Year 3</t>
  </si>
  <si>
    <t>Not to Exceed (NTE)</t>
  </si>
  <si>
    <t>DC3 SETA Follow-On CLIN STRUCTURE AND TOTALS</t>
  </si>
  <si>
    <t>06 September 2026 - 5 September 2027    Base Year (Year 1)</t>
  </si>
  <si>
    <t xml:space="preserve">Base Year  (Year 1)  Total: </t>
  </si>
  <si>
    <t>TOTAL CLIN 0001- (Senior Cybersecurity Engineer)  – FFP</t>
  </si>
  <si>
    <t>TOTAL CLIN 0002 – (Mid Cybersecurity Engineer) - FFP</t>
  </si>
  <si>
    <t>TOTAL CLIN 0003 - (Senior Portfolio Manager) - FFP</t>
  </si>
  <si>
    <t>DC3 SETA  Follow-On CLIN STRUCTURE AND TOTALS</t>
  </si>
  <si>
    <t>06 September 2027 - 05 September 2028  Option Year 1 (Year 2)</t>
  </si>
  <si>
    <t>06 September 2028 - 05 September 2029   Option Year 2 (Year 3)</t>
  </si>
  <si>
    <t>06 September 2029 - 05 March 2030  (6-Month Extension)</t>
  </si>
  <si>
    <t>6-Month Extension Total:</t>
  </si>
  <si>
    <t>Option Year 2 (Year 3) Total:</t>
  </si>
  <si>
    <t xml:space="preserve">Option Year 1 (Year 2) Total: </t>
  </si>
  <si>
    <t>N/A</t>
  </si>
  <si>
    <t>NTE - TOTAL CLIN 0004 - (Tools)- T&amp;M</t>
  </si>
  <si>
    <t>NTE - TOTAL CLIN 0005 - (Travel) - T&amp;M</t>
  </si>
  <si>
    <t>BLS SOC Codes</t>
  </si>
  <si>
    <t>Labor Categories</t>
  </si>
  <si>
    <t xml:space="preserve">TOTAL CLIN 0001- (Senior Cybersecurity Engineer) </t>
  </si>
  <si>
    <t>TOTAL CLIN 0002 – (Mid Cybersecurity Engineer)</t>
  </si>
  <si>
    <t xml:space="preserve">TOTAL CLIN 0003 - (Senior Portfolio Manager) </t>
  </si>
  <si>
    <t>TOTAL CLIN 0004 - (Tools)</t>
  </si>
  <si>
    <t xml:space="preserve">TOTAL CLIN 0005 - (Travel) </t>
  </si>
  <si>
    <t xml:space="preserve">TOTAL CLIN 1001- (Senior Cybersecurity Engineer)  </t>
  </si>
  <si>
    <t xml:space="preserve">TOTAL CLIN 1002 – (Mid Cybersecurity Engineer) </t>
  </si>
  <si>
    <t>TOTAL CLIN 1003 - (Tools)</t>
  </si>
  <si>
    <t xml:space="preserve">TOTAL CLIN 1004 - (Travel) </t>
  </si>
  <si>
    <t xml:space="preserve">TOTAL CLIN 2001- (Senior Cybersecurity Engineer) </t>
  </si>
  <si>
    <t xml:space="preserve">TOTAL CLIN 2002 – (Mid Cybersecurity Engineer) </t>
  </si>
  <si>
    <t>TOTAL CLIN 2003 - (Tools)</t>
  </si>
  <si>
    <t>TOTAL CLIN 2004 - (Travel)</t>
  </si>
  <si>
    <t xml:space="preserve">TOTAL CLIN 3001- (Senior Cybersecurity Engineer)  </t>
  </si>
  <si>
    <t xml:space="preserve">TOTAL CLIN 3002 – (Mid Cybersecurity Engineer) </t>
  </si>
  <si>
    <t>SOW Task Area or tasks associated with this LCAT</t>
  </si>
  <si>
    <t>RFO 52.217-8 (6 -MO Extension)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</si>
</sst>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"/>
    <numFmt numFmtId="165" formatCode="#,##0.0_);\(#,##0.0\)"/>
    <numFmt numFmtId="166" formatCode="&quot;$&quot;#,##0.00"/>
  </numFmts>
  <fonts count="1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1.5"/>
      <name val="Arial"/>
      <family val="2"/>
    </font>
    <font>
      <b/>
      <sz val="11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1E4FF"/>
        <bgColor indexed="64"/>
      </patternFill>
    </fill>
    <fill>
      <patternFill patternType="solid">
        <fgColor rgb="FF21A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2" fillId="0" borderId="2" xfId="0" applyFont="1" applyBorder="1" applyAlignment="1">
      <alignment horizontal="center"/>
    </xf>
    <xf numFmtId="0" fontId="0" fillId="2" borderId="15" xfId="0" applyFill="1" applyBorder="1"/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1" fillId="2" borderId="17" xfId="0" applyFont="1" applyFill="1" applyBorder="1"/>
    <xf numFmtId="44" fontId="4" fillId="4" borderId="11" xfId="0" applyNumberFormat="1" applyFont="1" applyFill="1" applyBorder="1" applyAlignment="1">
      <alignment horizontal="right"/>
    </xf>
    <xf numFmtId="44" fontId="4" fillId="4" borderId="1" xfId="0" applyNumberFormat="1" applyFont="1" applyFill="1" applyBorder="1" applyAlignment="1">
      <alignment horizontal="right"/>
    </xf>
    <xf numFmtId="44" fontId="0" fillId="4" borderId="11" xfId="0" applyNumberFormat="1" applyFill="1" applyBorder="1" applyAlignment="1" applyProtection="1">
      <alignment horizontal="right"/>
      <protection locked="0"/>
    </xf>
    <xf numFmtId="44" fontId="0" fillId="4" borderId="1" xfId="0" applyNumberFormat="1" applyFill="1" applyBorder="1" applyAlignment="1" applyProtection="1">
      <alignment horizontal="right"/>
      <protection locked="0"/>
    </xf>
    <xf numFmtId="164" fontId="4" fillId="5" borderId="13" xfId="0" applyNumberFormat="1" applyFont="1" applyFill="1" applyBorder="1" applyAlignment="1">
      <alignment horizontal="right"/>
    </xf>
    <xf numFmtId="164" fontId="0" fillId="5" borderId="13" xfId="0" applyNumberFormat="1" applyFill="1" applyBorder="1" applyAlignment="1" applyProtection="1">
      <alignment horizontal="right"/>
      <protection locked="0"/>
    </xf>
    <xf numFmtId="0" fontId="2" fillId="0" borderId="14" xfId="0" applyFont="1" applyBorder="1" applyAlignment="1">
      <alignment wrapText="1"/>
    </xf>
    <xf numFmtId="0" fontId="8" fillId="6" borderId="8" xfId="0" applyFont="1" applyFill="1" applyBorder="1" applyAlignment="1" applyProtection="1">
      <alignment horizontal="left" vertical="top" wrapText="1"/>
      <protection locked="0"/>
    </xf>
    <xf numFmtId="164" fontId="4" fillId="6" borderId="12" xfId="0" applyNumberFormat="1" applyFont="1" applyFill="1" applyBorder="1" applyAlignment="1">
      <alignment horizontal="right"/>
    </xf>
    <xf numFmtId="44" fontId="4" fillId="6" borderId="10" xfId="0" applyNumberFormat="1" applyFont="1" applyFill="1" applyBorder="1" applyAlignment="1">
      <alignment horizontal="right"/>
    </xf>
    <xf numFmtId="44" fontId="4" fillId="6" borderId="20" xfId="0" applyNumberFormat="1" applyFont="1" applyFill="1" applyBorder="1" applyAlignment="1">
      <alignment horizontal="right"/>
    </xf>
    <xf numFmtId="44" fontId="1" fillId="6" borderId="19" xfId="1" applyFont="1" applyFill="1" applyBorder="1"/>
    <xf numFmtId="44" fontId="4" fillId="6" borderId="21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 wrapText="1"/>
    </xf>
    <xf numFmtId="0" fontId="11" fillId="8" borderId="23" xfId="0" applyFont="1" applyFill="1" applyBorder="1" applyAlignment="1">
      <alignment horizontal="center" vertical="top" wrapText="1"/>
    </xf>
    <xf numFmtId="0" fontId="8" fillId="0" borderId="9" xfId="0" applyFont="1" applyBorder="1" applyAlignment="1" applyProtection="1">
      <alignment horizontal="left" vertical="top" wrapText="1"/>
      <protection locked="0"/>
    </xf>
    <xf numFmtId="0" fontId="11" fillId="8" borderId="22" xfId="0" applyFont="1" applyFill="1" applyBorder="1" applyAlignment="1">
      <alignment horizontal="center" vertical="top" wrapText="1"/>
    </xf>
    <xf numFmtId="44" fontId="0" fillId="0" borderId="0" xfId="0" applyNumberFormat="1"/>
    <xf numFmtId="44" fontId="5" fillId="9" borderId="25" xfId="1" applyFont="1" applyFill="1" applyBorder="1" applyAlignment="1">
      <alignment vertical="top" wrapText="1"/>
    </xf>
    <xf numFmtId="166" fontId="5" fillId="9" borderId="25" xfId="1" applyNumberFormat="1" applyFont="1" applyFill="1" applyBorder="1" applyAlignment="1">
      <alignment vertical="top"/>
    </xf>
    <xf numFmtId="0" fontId="12" fillId="0" borderId="27" xfId="0" applyFont="1" applyBorder="1" applyAlignment="1">
      <alignment vertical="top" wrapText="1"/>
    </xf>
    <xf numFmtId="44" fontId="5" fillId="8" borderId="27" xfId="1" applyFont="1" applyFill="1" applyBorder="1" applyAlignment="1">
      <alignment vertical="top" wrapText="1"/>
    </xf>
    <xf numFmtId="44" fontId="5" fillId="9" borderId="27" xfId="1" applyFont="1" applyFill="1" applyBorder="1" applyAlignment="1">
      <alignment vertical="top" wrapText="1"/>
    </xf>
    <xf numFmtId="44" fontId="5" fillId="8" borderId="1" xfId="1" applyFont="1" applyFill="1" applyBorder="1" applyAlignment="1">
      <alignment vertical="top" wrapText="1"/>
    </xf>
    <xf numFmtId="44" fontId="5" fillId="8" borderId="21" xfId="1" applyFont="1" applyFill="1" applyBorder="1" applyAlignment="1">
      <alignment vertical="top" wrapText="1"/>
    </xf>
    <xf numFmtId="0" fontId="11" fillId="8" borderId="28" xfId="0" applyFont="1" applyFill="1" applyBorder="1" applyAlignment="1">
      <alignment horizontal="center" vertical="top" wrapText="1"/>
    </xf>
    <xf numFmtId="44" fontId="5" fillId="8" borderId="29" xfId="1" applyFont="1" applyFill="1" applyBorder="1" applyAlignment="1">
      <alignment vertical="top" wrapText="1"/>
    </xf>
    <xf numFmtId="44" fontId="5" fillId="8" borderId="11" xfId="1" applyFont="1" applyFill="1" applyBorder="1" applyAlignment="1">
      <alignment vertical="top" wrapText="1"/>
    </xf>
    <xf numFmtId="0" fontId="2" fillId="0" borderId="16" xfId="0" applyFont="1" applyBorder="1" applyAlignment="1">
      <alignment horizontal="center" wrapText="1"/>
    </xf>
    <xf numFmtId="0" fontId="11" fillId="9" borderId="24" xfId="0" applyFont="1" applyFill="1" applyBorder="1" applyAlignment="1">
      <alignment vertical="top" wrapText="1"/>
    </xf>
    <xf numFmtId="0" fontId="11" fillId="8" borderId="24" xfId="0" applyFont="1" applyFill="1" applyBorder="1" applyAlignment="1">
      <alignment horizontal="center" vertical="top" wrapText="1"/>
    </xf>
    <xf numFmtId="44" fontId="5" fillId="8" borderId="25" xfId="1" applyFont="1" applyFill="1" applyBorder="1" applyAlignment="1">
      <alignment vertical="top" wrapText="1"/>
    </xf>
    <xf numFmtId="44" fontId="5" fillId="10" borderId="2" xfId="1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11" fillId="9" borderId="22" xfId="0" applyFont="1" applyFill="1" applyBorder="1" applyAlignment="1">
      <alignment horizontal="center" vertical="top" wrapText="1"/>
    </xf>
    <xf numFmtId="0" fontId="11" fillId="10" borderId="18" xfId="0" applyFont="1" applyFill="1" applyBorder="1"/>
    <xf numFmtId="44" fontId="5" fillId="0" borderId="0" xfId="1" applyFont="1" applyFill="1" applyBorder="1"/>
    <xf numFmtId="166" fontId="0" fillId="0" borderId="0" xfId="0" applyNumberFormat="1"/>
    <xf numFmtId="0" fontId="0" fillId="2" borderId="26" xfId="0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right"/>
    </xf>
    <xf numFmtId="0" fontId="3" fillId="6" borderId="1" xfId="0" applyFont="1" applyFill="1" applyBorder="1"/>
    <xf numFmtId="165" fontId="3" fillId="6" borderId="1" xfId="0" applyNumberFormat="1" applyFont="1" applyFill="1" applyBorder="1"/>
    <xf numFmtId="44" fontId="3" fillId="6" borderId="1" xfId="1" applyFont="1" applyFill="1" applyBorder="1" applyAlignment="1"/>
    <xf numFmtId="0" fontId="3" fillId="3" borderId="1" xfId="0" applyFont="1" applyFill="1" applyBorder="1" applyAlignment="1">
      <alignment wrapText="1"/>
    </xf>
    <xf numFmtId="165" fontId="9" fillId="5" borderId="1" xfId="0" applyNumberFormat="1" applyFont="1" applyFill="1" applyBorder="1"/>
    <xf numFmtId="0" fontId="3" fillId="6" borderId="21" xfId="0" applyFont="1" applyFill="1" applyBorder="1"/>
    <xf numFmtId="165" fontId="3" fillId="6" borderId="21" xfId="0" applyNumberFormat="1" applyFont="1" applyFill="1" applyBorder="1"/>
    <xf numFmtId="44" fontId="3" fillId="6" borderId="21" xfId="1" applyFont="1" applyFill="1" applyBorder="1" applyAlignment="1"/>
    <xf numFmtId="0" fontId="0" fillId="2" borderId="30" xfId="0" applyFill="1" applyBorder="1"/>
    <xf numFmtId="166" fontId="5" fillId="9" borderId="25" xfId="1" applyNumberFormat="1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10" fillId="7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1" fillId="9" borderId="22" xfId="0" applyFont="1" applyFill="1" applyBorder="1" applyAlignment="1">
      <alignment horizontal="center" vertical="top" wrapText="1"/>
    </xf>
    <xf numFmtId="0" fontId="11" fillId="9" borderId="24" xfId="0" applyFont="1" applyFill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C1E4FF"/>
      <color rgb="FFFFFFCC"/>
      <color rgb="FF21A0FF"/>
      <color rgb="FF0594FF"/>
      <color rgb="FFF2F2F2"/>
      <color rgb="FF0086EA"/>
      <color rgb="FFCCE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38"/>
  <sheetViews>
    <sheetView topLeftCell="A6" zoomScale="110" zoomScaleNormal="110" zoomScaleSheetLayoutView="100" workbookViewId="0">
      <selection activeCell="A13" sqref="A13"/>
    </sheetView>
  </sheetViews>
  <sheetFormatPr defaultColWidth="11.44140625" defaultRowHeight="13.2" x14ac:dyDescent="0.25"/>
  <cols>
    <col min="1" max="1" width="42.5546875" customWidth="1"/>
    <col min="2" max="2" width="17.109375" customWidth="1"/>
    <col min="3" max="3" width="29" customWidth="1"/>
    <col min="4" max="4" width="10.44140625" customWidth="1"/>
    <col min="5" max="5" width="24.44140625" customWidth="1"/>
    <col min="6" max="6" width="21" customWidth="1"/>
    <col min="7" max="7" width="11.44140625" customWidth="1"/>
    <col min="8" max="8" width="23.44140625" customWidth="1"/>
    <col min="9" max="9" width="1" customWidth="1"/>
    <col min="10" max="10" width="18" bestFit="1" customWidth="1"/>
  </cols>
  <sheetData>
    <row r="1" spans="1:9" ht="18" thickBot="1" x14ac:dyDescent="0.35">
      <c r="A1" s="59"/>
      <c r="B1" s="59"/>
      <c r="C1" s="59"/>
      <c r="D1" s="59"/>
      <c r="E1" s="59"/>
      <c r="F1" s="59"/>
      <c r="G1" s="59"/>
      <c r="H1" s="59"/>
    </row>
    <row r="2" spans="1:9" ht="15" thickBot="1" x14ac:dyDescent="0.3">
      <c r="A2" s="60" t="s">
        <v>17</v>
      </c>
      <c r="B2" s="61"/>
      <c r="C2" s="61"/>
      <c r="D2" s="61"/>
      <c r="E2" s="61"/>
      <c r="F2" s="61"/>
      <c r="G2" s="61"/>
      <c r="H2" s="61"/>
      <c r="I2" s="62"/>
    </row>
    <row r="3" spans="1:9" ht="51" customHeight="1" thickBot="1" x14ac:dyDescent="0.3">
      <c r="A3" s="36" t="s">
        <v>34</v>
      </c>
      <c r="B3" s="36"/>
      <c r="C3" s="5"/>
      <c r="D3" s="63" t="s">
        <v>18</v>
      </c>
      <c r="E3" s="64"/>
      <c r="F3" s="64"/>
      <c r="G3" s="64"/>
      <c r="H3" s="65"/>
      <c r="I3" s="7"/>
    </row>
    <row r="4" spans="1:9" ht="48" customHeight="1" x14ac:dyDescent="0.25">
      <c r="A4" s="14" t="s">
        <v>0</v>
      </c>
      <c r="B4" s="14" t="s">
        <v>33</v>
      </c>
      <c r="C4" s="14" t="s">
        <v>50</v>
      </c>
      <c r="D4" s="6" t="s">
        <v>1</v>
      </c>
      <c r="E4" s="21" t="s">
        <v>2</v>
      </c>
      <c r="F4" s="21" t="s">
        <v>3</v>
      </c>
      <c r="G4" s="21" t="s">
        <v>4</v>
      </c>
      <c r="H4" s="2" t="s">
        <v>5</v>
      </c>
      <c r="I4" s="3"/>
    </row>
    <row r="5" spans="1:9" ht="13.8" thickBot="1" x14ac:dyDescent="0.3">
      <c r="A5" s="15" t="s">
        <v>6</v>
      </c>
      <c r="B5" s="15"/>
      <c r="C5" s="15"/>
      <c r="D5" s="16"/>
      <c r="E5" s="17">
        <v>50</v>
      </c>
      <c r="F5" s="18">
        <v>78</v>
      </c>
      <c r="G5" s="20">
        <f>E5+F5</f>
        <v>128</v>
      </c>
      <c r="H5" s="19">
        <f>D5*G5</f>
        <v>0</v>
      </c>
      <c r="I5" s="3"/>
    </row>
    <row r="6" spans="1:9" ht="13.8" thickBot="1" x14ac:dyDescent="0.3">
      <c r="A6" s="23"/>
      <c r="B6" s="23"/>
      <c r="C6" s="23"/>
      <c r="D6" s="12"/>
      <c r="E6" s="8"/>
      <c r="F6" s="9"/>
      <c r="G6" s="20">
        <f t="shared" ref="G6:G11" si="0">E6+F6</f>
        <v>0</v>
      </c>
      <c r="H6" s="19">
        <f t="shared" ref="H6:H11" si="1">D6*G6</f>
        <v>0</v>
      </c>
      <c r="I6" s="3"/>
    </row>
    <row r="7" spans="1:9" ht="13.8" thickBot="1" x14ac:dyDescent="0.3">
      <c r="A7" s="23"/>
      <c r="B7" s="23"/>
      <c r="C7" s="23"/>
      <c r="D7" s="13"/>
      <c r="E7" s="10"/>
      <c r="F7" s="11"/>
      <c r="G7" s="20">
        <f t="shared" si="0"/>
        <v>0</v>
      </c>
      <c r="H7" s="19">
        <f t="shared" si="1"/>
        <v>0</v>
      </c>
      <c r="I7" s="3"/>
    </row>
    <row r="8" spans="1:9" ht="13.8" thickBot="1" x14ac:dyDescent="0.3">
      <c r="A8" s="23"/>
      <c r="B8" s="23"/>
      <c r="C8" s="23"/>
      <c r="D8" s="13"/>
      <c r="E8" s="10"/>
      <c r="F8" s="11"/>
      <c r="G8" s="20">
        <f t="shared" si="0"/>
        <v>0</v>
      </c>
      <c r="H8" s="19">
        <f t="shared" si="1"/>
        <v>0</v>
      </c>
      <c r="I8" s="3"/>
    </row>
    <row r="9" spans="1:9" ht="13.8" thickBot="1" x14ac:dyDescent="0.3">
      <c r="A9" s="23"/>
      <c r="B9" s="23"/>
      <c r="C9" s="23"/>
      <c r="D9" s="13"/>
      <c r="E9" s="10"/>
      <c r="F9" s="11"/>
      <c r="G9" s="20">
        <f t="shared" si="0"/>
        <v>0</v>
      </c>
      <c r="H9" s="19">
        <f t="shared" si="1"/>
        <v>0</v>
      </c>
      <c r="I9" s="3"/>
    </row>
    <row r="10" spans="1:9" ht="13.8" thickBot="1" x14ac:dyDescent="0.3">
      <c r="A10" s="23"/>
      <c r="B10" s="23"/>
      <c r="C10" s="23"/>
      <c r="D10" s="13"/>
      <c r="E10" s="10"/>
      <c r="F10" s="11"/>
      <c r="G10" s="20">
        <f t="shared" si="0"/>
        <v>0</v>
      </c>
      <c r="H10" s="19">
        <f t="shared" si="1"/>
        <v>0</v>
      </c>
      <c r="I10" s="3"/>
    </row>
    <row r="11" spans="1:9" x14ac:dyDescent="0.25">
      <c r="A11" s="23"/>
      <c r="B11" s="23"/>
      <c r="C11" s="23"/>
      <c r="D11" s="13"/>
      <c r="E11" s="10"/>
      <c r="F11" s="11"/>
      <c r="G11" s="20">
        <f t="shared" si="0"/>
        <v>0</v>
      </c>
      <c r="H11" s="19">
        <f t="shared" si="1"/>
        <v>0</v>
      </c>
      <c r="I11" s="3"/>
    </row>
    <row r="12" spans="1:9" s="4" customFormat="1" ht="45" customHeight="1" thickBot="1" x14ac:dyDescent="0.35">
      <c r="A12" s="51" t="s">
        <v>35</v>
      </c>
      <c r="B12" s="51"/>
      <c r="C12" s="51"/>
      <c r="D12" s="52">
        <f>SUM(D6:D11)</f>
        <v>0</v>
      </c>
      <c r="E12" s="47"/>
      <c r="F12" s="47"/>
      <c r="G12" s="47"/>
      <c r="H12" s="47">
        <f>SUM(H6:H11)</f>
        <v>0</v>
      </c>
      <c r="I12" s="46"/>
    </row>
    <row r="13" spans="1:9" ht="13.8" thickBot="1" x14ac:dyDescent="0.3">
      <c r="A13" s="15" t="s">
        <v>6</v>
      </c>
      <c r="B13" s="15"/>
      <c r="C13" s="15"/>
      <c r="D13" s="16"/>
      <c r="E13" s="17">
        <v>50</v>
      </c>
      <c r="F13" s="18">
        <v>78</v>
      </c>
      <c r="G13" s="20">
        <f>E13+F13</f>
        <v>128</v>
      </c>
      <c r="H13" s="19">
        <f>D13*G13</f>
        <v>0</v>
      </c>
      <c r="I13" s="56"/>
    </row>
    <row r="14" spans="1:9" ht="13.8" thickBot="1" x14ac:dyDescent="0.3">
      <c r="A14" s="23"/>
      <c r="B14" s="23"/>
      <c r="C14" s="23"/>
      <c r="D14" s="12"/>
      <c r="E14" s="8"/>
      <c r="F14" s="9"/>
      <c r="G14" s="20">
        <f t="shared" ref="G14:G19" si="2">E14+F14</f>
        <v>0</v>
      </c>
      <c r="H14" s="19">
        <f t="shared" ref="H14:H19" si="3">D14*G14</f>
        <v>0</v>
      </c>
      <c r="I14" s="56"/>
    </row>
    <row r="15" spans="1:9" ht="13.8" thickBot="1" x14ac:dyDescent="0.3">
      <c r="A15" s="23"/>
      <c r="B15" s="23"/>
      <c r="C15" s="23"/>
      <c r="D15" s="13"/>
      <c r="E15" s="10"/>
      <c r="F15" s="11"/>
      <c r="G15" s="20">
        <f t="shared" si="2"/>
        <v>0</v>
      </c>
      <c r="H15" s="19">
        <f t="shared" si="3"/>
        <v>0</v>
      </c>
      <c r="I15" s="56"/>
    </row>
    <row r="16" spans="1:9" ht="13.8" thickBot="1" x14ac:dyDescent="0.3">
      <c r="A16" s="23"/>
      <c r="B16" s="23"/>
      <c r="C16" s="23"/>
      <c r="D16" s="13"/>
      <c r="E16" s="10"/>
      <c r="F16" s="11"/>
      <c r="G16" s="20">
        <f t="shared" si="2"/>
        <v>0</v>
      </c>
      <c r="H16" s="19">
        <f t="shared" si="3"/>
        <v>0</v>
      </c>
      <c r="I16" s="56"/>
    </row>
    <row r="17" spans="1:10" ht="13.8" thickBot="1" x14ac:dyDescent="0.3">
      <c r="A17" s="23"/>
      <c r="B17" s="23"/>
      <c r="C17" s="23"/>
      <c r="D17" s="13"/>
      <c r="E17" s="10"/>
      <c r="F17" s="11"/>
      <c r="G17" s="20">
        <f t="shared" si="2"/>
        <v>0</v>
      </c>
      <c r="H17" s="19">
        <f t="shared" si="3"/>
        <v>0</v>
      </c>
      <c r="I17" s="56"/>
    </row>
    <row r="18" spans="1:10" ht="13.8" thickBot="1" x14ac:dyDescent="0.3">
      <c r="A18" s="23"/>
      <c r="B18" s="23"/>
      <c r="C18" s="23"/>
      <c r="D18" s="13"/>
      <c r="E18" s="10"/>
      <c r="F18" s="11"/>
      <c r="G18" s="20">
        <f t="shared" si="2"/>
        <v>0</v>
      </c>
      <c r="H18" s="19">
        <f t="shared" si="3"/>
        <v>0</v>
      </c>
      <c r="I18" s="56"/>
    </row>
    <row r="19" spans="1:10" x14ac:dyDescent="0.25">
      <c r="A19" s="23"/>
      <c r="B19" s="23"/>
      <c r="C19" s="23"/>
      <c r="D19" s="13"/>
      <c r="E19" s="10"/>
      <c r="F19" s="11"/>
      <c r="G19" s="20">
        <f t="shared" si="2"/>
        <v>0</v>
      </c>
      <c r="H19" s="19">
        <f t="shared" si="3"/>
        <v>0</v>
      </c>
      <c r="I19" s="56"/>
    </row>
    <row r="20" spans="1:10" s="4" customFormat="1" ht="45" customHeight="1" thickBot="1" x14ac:dyDescent="0.35">
      <c r="A20" s="51" t="s">
        <v>36</v>
      </c>
      <c r="B20" s="51"/>
      <c r="C20" s="51"/>
      <c r="D20" s="52">
        <f>SUM(D14:D19)</f>
        <v>0</v>
      </c>
      <c r="E20" s="47"/>
      <c r="F20" s="47"/>
      <c r="G20" s="47"/>
      <c r="H20" s="47">
        <f>SUM(H14:H19)</f>
        <v>0</v>
      </c>
      <c r="I20" s="46"/>
      <c r="J20" s="44"/>
    </row>
    <row r="21" spans="1:10" s="4" customFormat="1" ht="15.6" thickBot="1" x14ac:dyDescent="0.3">
      <c r="A21" s="15" t="s">
        <v>6</v>
      </c>
      <c r="B21" s="15"/>
      <c r="C21" s="15"/>
      <c r="D21" s="16"/>
      <c r="E21" s="17">
        <v>50</v>
      </c>
      <c r="F21" s="18">
        <v>78</v>
      </c>
      <c r="G21" s="20">
        <f>E21+F21</f>
        <v>128</v>
      </c>
      <c r="H21" s="19">
        <f>D21*G21</f>
        <v>0</v>
      </c>
      <c r="I21" s="46"/>
      <c r="J21" s="44"/>
    </row>
    <row r="22" spans="1:10" s="4" customFormat="1" ht="15.6" thickBot="1" x14ac:dyDescent="0.3">
      <c r="A22" s="23"/>
      <c r="B22" s="23"/>
      <c r="C22" s="23"/>
      <c r="D22" s="12"/>
      <c r="E22" s="8"/>
      <c r="F22" s="9"/>
      <c r="G22" s="20">
        <f t="shared" ref="G22:G24" si="4">E22+F22</f>
        <v>0</v>
      </c>
      <c r="H22" s="19">
        <f t="shared" ref="H22:H24" si="5">D22*G22</f>
        <v>0</v>
      </c>
      <c r="I22" s="46"/>
      <c r="J22" s="44"/>
    </row>
    <row r="23" spans="1:10" s="4" customFormat="1" ht="15.6" thickBot="1" x14ac:dyDescent="0.3">
      <c r="A23" s="23"/>
      <c r="B23" s="23"/>
      <c r="C23" s="23"/>
      <c r="D23" s="13"/>
      <c r="E23" s="10"/>
      <c r="F23" s="11"/>
      <c r="G23" s="20">
        <f t="shared" si="4"/>
        <v>0</v>
      </c>
      <c r="H23" s="19">
        <f t="shared" si="5"/>
        <v>0</v>
      </c>
      <c r="I23" s="46"/>
      <c r="J23" s="44"/>
    </row>
    <row r="24" spans="1:10" s="4" customFormat="1" ht="15.6" thickBot="1" x14ac:dyDescent="0.3">
      <c r="A24" s="23"/>
      <c r="B24" s="23"/>
      <c r="C24" s="23"/>
      <c r="D24" s="13"/>
      <c r="E24" s="10"/>
      <c r="F24" s="11"/>
      <c r="G24" s="20">
        <f t="shared" si="4"/>
        <v>0</v>
      </c>
      <c r="H24" s="19">
        <f t="shared" si="5"/>
        <v>0</v>
      </c>
      <c r="I24" s="46"/>
      <c r="J24" s="44"/>
    </row>
    <row r="25" spans="1:10" s="4" customFormat="1" ht="45" customHeight="1" thickBot="1" x14ac:dyDescent="0.35">
      <c r="A25" s="51" t="s">
        <v>37</v>
      </c>
      <c r="B25" s="51"/>
      <c r="C25" s="51"/>
      <c r="D25" s="52">
        <f>SUM(D22:D24)</f>
        <v>0</v>
      </c>
      <c r="E25" s="47"/>
      <c r="F25" s="47"/>
      <c r="G25" s="47"/>
      <c r="H25" s="47">
        <f>SUM(H22:H24)</f>
        <v>0</v>
      </c>
      <c r="I25" s="46"/>
    </row>
    <row r="26" spans="1:10" s="4" customFormat="1" ht="45" customHeight="1" thickBot="1" x14ac:dyDescent="0.35">
      <c r="A26" s="51" t="s">
        <v>38</v>
      </c>
      <c r="B26" s="51"/>
      <c r="C26" s="51"/>
      <c r="D26" s="52"/>
      <c r="E26" s="47" t="s">
        <v>16</v>
      </c>
      <c r="F26" s="47"/>
      <c r="G26" s="47"/>
      <c r="H26" s="47">
        <v>15000</v>
      </c>
      <c r="I26" s="46"/>
    </row>
    <row r="27" spans="1:10" s="4" customFormat="1" ht="45" customHeight="1" thickBot="1" x14ac:dyDescent="0.35">
      <c r="A27" s="51" t="s">
        <v>39</v>
      </c>
      <c r="B27" s="51"/>
      <c r="C27" s="51"/>
      <c r="D27" s="52"/>
      <c r="E27" s="47" t="s">
        <v>16</v>
      </c>
      <c r="F27" s="47"/>
      <c r="G27" s="47"/>
      <c r="H27" s="47">
        <v>25000</v>
      </c>
      <c r="I27" s="46"/>
    </row>
    <row r="28" spans="1:10" s="4" customFormat="1" ht="25.35" customHeight="1" thickBot="1" x14ac:dyDescent="0.35">
      <c r="A28" s="48" t="s">
        <v>19</v>
      </c>
      <c r="B28" s="53"/>
      <c r="C28" s="53"/>
      <c r="D28" s="54">
        <f>D12+D20+D25</f>
        <v>0</v>
      </c>
      <c r="E28" s="55"/>
      <c r="F28" s="55"/>
      <c r="G28" s="55"/>
      <c r="H28" s="55">
        <f>SUM(H12,H20,H25,H26,H27)</f>
        <v>40000</v>
      </c>
      <c r="I28" s="46"/>
    </row>
    <row r="29" spans="1:10" x14ac:dyDescent="0.25">
      <c r="A29" s="1"/>
      <c r="B29" s="1"/>
      <c r="C29" s="1"/>
    </row>
    <row r="30" spans="1:10" x14ac:dyDescent="0.25">
      <c r="A30" s="41"/>
      <c r="B30" s="41"/>
      <c r="C30" s="41"/>
      <c r="F30" s="58"/>
      <c r="G30" s="58"/>
      <c r="H30" s="58"/>
    </row>
    <row r="31" spans="1:10" x14ac:dyDescent="0.25">
      <c r="A31" s="41"/>
      <c r="B31" s="41"/>
      <c r="C31" s="41"/>
      <c r="F31" s="58"/>
      <c r="G31" s="58"/>
      <c r="H31" s="58"/>
    </row>
    <row r="32" spans="1:10" x14ac:dyDescent="0.25">
      <c r="A32" s="41"/>
      <c r="B32" s="41"/>
      <c r="C32" s="41"/>
      <c r="F32" s="58"/>
      <c r="G32" s="58"/>
      <c r="H32" s="58"/>
    </row>
    <row r="33" spans="1:8" x14ac:dyDescent="0.25">
      <c r="A33" s="41"/>
      <c r="B33" s="41"/>
      <c r="C33" s="41"/>
      <c r="F33" s="58"/>
      <c r="G33" s="58"/>
      <c r="H33" s="58"/>
    </row>
    <row r="34" spans="1:8" x14ac:dyDescent="0.25">
      <c r="A34" s="41"/>
      <c r="B34" s="41"/>
      <c r="C34" s="41"/>
      <c r="H34" s="25"/>
    </row>
    <row r="35" spans="1:8" x14ac:dyDescent="0.25">
      <c r="A35" s="41"/>
      <c r="B35" s="41"/>
      <c r="C35" s="41"/>
      <c r="F35" s="58"/>
      <c r="G35" s="58"/>
      <c r="H35" s="58"/>
    </row>
    <row r="36" spans="1:8" x14ac:dyDescent="0.25">
      <c r="A36" s="41"/>
      <c r="B36" s="41"/>
      <c r="C36" s="41"/>
      <c r="F36" s="58"/>
      <c r="G36" s="58"/>
      <c r="H36" s="58"/>
    </row>
    <row r="37" spans="1:8" x14ac:dyDescent="0.25">
      <c r="A37" s="41"/>
      <c r="B37" s="41"/>
      <c r="C37" s="41"/>
      <c r="F37" s="58"/>
      <c r="G37" s="58"/>
      <c r="H37" s="58"/>
    </row>
    <row r="38" spans="1:8" x14ac:dyDescent="0.25">
      <c r="A38" s="41"/>
      <c r="B38" s="41"/>
      <c r="C38" s="41"/>
    </row>
  </sheetData>
  <protectedRanges>
    <protectedRange sqref="D7:F11 D15:F19 D23:F24" name="Range3_1"/>
  </protectedRanges>
  <mergeCells count="10">
    <mergeCell ref="F35:H35"/>
    <mergeCell ref="F36:H36"/>
    <mergeCell ref="F37:H37"/>
    <mergeCell ref="F32:H32"/>
    <mergeCell ref="F33:H33"/>
    <mergeCell ref="F31:H31"/>
    <mergeCell ref="F30:H30"/>
    <mergeCell ref="A1:H1"/>
    <mergeCell ref="A2:I2"/>
    <mergeCell ref="D3:H3"/>
  </mergeCells>
  <printOptions horizontalCentered="1"/>
  <pageMargins left="0.25" right="0.25" top="0.75" bottom="0.75" header="0.3" footer="0.3"/>
  <pageSetup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7C02-2C06-4EAD-B047-9561E5362543}">
  <sheetPr>
    <tabColor theme="3"/>
    <pageSetUpPr fitToPage="1"/>
  </sheetPr>
  <dimension ref="A1:I33"/>
  <sheetViews>
    <sheetView zoomScaleNormal="100" zoomScaleSheetLayoutView="100" workbookViewId="0">
      <selection activeCell="H22" sqref="H22"/>
    </sheetView>
  </sheetViews>
  <sheetFormatPr defaultColWidth="11.44140625" defaultRowHeight="13.2" x14ac:dyDescent="0.25"/>
  <cols>
    <col min="1" max="1" width="42.5546875" customWidth="1"/>
    <col min="2" max="2" width="19.44140625" customWidth="1"/>
    <col min="3" max="3" width="29" customWidth="1"/>
    <col min="4" max="4" width="10.44140625" customWidth="1"/>
    <col min="5" max="5" width="24.44140625" customWidth="1"/>
    <col min="6" max="6" width="21" customWidth="1"/>
    <col min="7" max="7" width="11.44140625" customWidth="1"/>
    <col min="8" max="8" width="23.44140625" customWidth="1"/>
    <col min="9" max="9" width="1" customWidth="1"/>
  </cols>
  <sheetData>
    <row r="1" spans="1:9" ht="18" thickBot="1" x14ac:dyDescent="0.35">
      <c r="A1" s="59"/>
      <c r="B1" s="59"/>
      <c r="C1" s="59"/>
      <c r="D1" s="59"/>
      <c r="E1" s="59"/>
      <c r="F1" s="59"/>
      <c r="G1" s="59"/>
      <c r="H1" s="59"/>
    </row>
    <row r="2" spans="1:9" ht="15" thickBot="1" x14ac:dyDescent="0.3">
      <c r="A2" s="60" t="s">
        <v>23</v>
      </c>
      <c r="B2" s="61"/>
      <c r="C2" s="61"/>
      <c r="D2" s="61"/>
      <c r="E2" s="61"/>
      <c r="F2" s="61"/>
      <c r="G2" s="61"/>
      <c r="H2" s="61"/>
      <c r="I2" s="62"/>
    </row>
    <row r="3" spans="1:9" ht="51" customHeight="1" thickBot="1" x14ac:dyDescent="0.3">
      <c r="A3" s="36" t="s">
        <v>34</v>
      </c>
      <c r="B3" s="36"/>
      <c r="C3" s="5"/>
      <c r="D3" s="63" t="s">
        <v>24</v>
      </c>
      <c r="E3" s="64"/>
      <c r="F3" s="64"/>
      <c r="G3" s="64"/>
      <c r="H3" s="65"/>
      <c r="I3" s="7"/>
    </row>
    <row r="4" spans="1:9" ht="48" customHeight="1" x14ac:dyDescent="0.25">
      <c r="A4" s="14" t="s">
        <v>0</v>
      </c>
      <c r="B4" s="14" t="s">
        <v>33</v>
      </c>
      <c r="C4" s="14" t="s">
        <v>50</v>
      </c>
      <c r="D4" s="6" t="s">
        <v>1</v>
      </c>
      <c r="E4" s="21" t="s">
        <v>2</v>
      </c>
      <c r="F4" s="21" t="s">
        <v>3</v>
      </c>
      <c r="G4" s="21" t="s">
        <v>4</v>
      </c>
      <c r="H4" s="2" t="s">
        <v>5</v>
      </c>
      <c r="I4" s="3"/>
    </row>
    <row r="5" spans="1:9" ht="13.8" thickBot="1" x14ac:dyDescent="0.3">
      <c r="A5" s="15" t="s">
        <v>6</v>
      </c>
      <c r="B5" s="15"/>
      <c r="C5" s="15"/>
      <c r="D5" s="16"/>
      <c r="E5" s="17">
        <v>50</v>
      </c>
      <c r="F5" s="18">
        <v>78</v>
      </c>
      <c r="G5" s="20">
        <f>E5+F5</f>
        <v>128</v>
      </c>
      <c r="H5" s="19">
        <f>D5*G5</f>
        <v>0</v>
      </c>
      <c r="I5" s="3"/>
    </row>
    <row r="6" spans="1:9" ht="13.8" thickBot="1" x14ac:dyDescent="0.3">
      <c r="A6" s="23"/>
      <c r="B6" s="23"/>
      <c r="C6" s="23"/>
      <c r="D6" s="12"/>
      <c r="E6" s="8"/>
      <c r="F6" s="9"/>
      <c r="G6" s="20">
        <f t="shared" ref="G6:G11" si="0">E6+F6</f>
        <v>0</v>
      </c>
      <c r="H6" s="19">
        <f t="shared" ref="H6:H11" si="1">D6*G6</f>
        <v>0</v>
      </c>
      <c r="I6" s="3"/>
    </row>
    <row r="7" spans="1:9" ht="13.8" thickBot="1" x14ac:dyDescent="0.3">
      <c r="A7" s="23"/>
      <c r="B7" s="23"/>
      <c r="C7" s="23"/>
      <c r="D7" s="13"/>
      <c r="E7" s="10"/>
      <c r="F7" s="11"/>
      <c r="G7" s="20">
        <f t="shared" si="0"/>
        <v>0</v>
      </c>
      <c r="H7" s="19">
        <f t="shared" si="1"/>
        <v>0</v>
      </c>
      <c r="I7" s="3"/>
    </row>
    <row r="8" spans="1:9" ht="13.8" thickBot="1" x14ac:dyDescent="0.3">
      <c r="A8" s="23"/>
      <c r="B8" s="23"/>
      <c r="C8" s="23"/>
      <c r="D8" s="13"/>
      <c r="E8" s="10"/>
      <c r="F8" s="11"/>
      <c r="G8" s="20">
        <f t="shared" si="0"/>
        <v>0</v>
      </c>
      <c r="H8" s="19">
        <f t="shared" si="1"/>
        <v>0</v>
      </c>
      <c r="I8" s="3"/>
    </row>
    <row r="9" spans="1:9" ht="13.8" thickBot="1" x14ac:dyDescent="0.3">
      <c r="A9" s="23"/>
      <c r="B9" s="23"/>
      <c r="C9" s="23"/>
      <c r="D9" s="13"/>
      <c r="E9" s="10"/>
      <c r="F9" s="11"/>
      <c r="G9" s="20">
        <f t="shared" si="0"/>
        <v>0</v>
      </c>
      <c r="H9" s="19">
        <f t="shared" si="1"/>
        <v>0</v>
      </c>
      <c r="I9" s="3"/>
    </row>
    <row r="10" spans="1:9" ht="13.8" thickBot="1" x14ac:dyDescent="0.3">
      <c r="A10" s="23"/>
      <c r="B10" s="23"/>
      <c r="C10" s="23"/>
      <c r="D10" s="13"/>
      <c r="E10" s="10"/>
      <c r="F10" s="11"/>
      <c r="G10" s="20">
        <f t="shared" si="0"/>
        <v>0</v>
      </c>
      <c r="H10" s="19">
        <f t="shared" si="1"/>
        <v>0</v>
      </c>
      <c r="I10" s="3"/>
    </row>
    <row r="11" spans="1:9" x14ac:dyDescent="0.25">
      <c r="A11" s="23"/>
      <c r="B11" s="23"/>
      <c r="C11" s="23"/>
      <c r="D11" s="13"/>
      <c r="E11" s="10"/>
      <c r="F11" s="11"/>
      <c r="G11" s="20">
        <f t="shared" si="0"/>
        <v>0</v>
      </c>
      <c r="H11" s="19">
        <f t="shared" si="1"/>
        <v>0</v>
      </c>
      <c r="I11" s="3"/>
    </row>
    <row r="12" spans="1:9" ht="31.8" thickBot="1" x14ac:dyDescent="0.35">
      <c r="A12" s="51" t="s">
        <v>40</v>
      </c>
      <c r="B12" s="51"/>
      <c r="C12" s="51"/>
      <c r="D12" s="52">
        <f>SUM(D6:D11)</f>
        <v>0</v>
      </c>
      <c r="E12" s="47"/>
      <c r="F12" s="47"/>
      <c r="G12" s="47"/>
      <c r="H12" s="47">
        <f>SUM(H6:H11)</f>
        <v>0</v>
      </c>
      <c r="I12" s="3"/>
    </row>
    <row r="13" spans="1:9" ht="13.8" thickBot="1" x14ac:dyDescent="0.3">
      <c r="A13" s="15" t="s">
        <v>6</v>
      </c>
      <c r="B13" s="15"/>
      <c r="C13" s="15"/>
      <c r="D13" s="16"/>
      <c r="E13" s="17">
        <v>50</v>
      </c>
      <c r="F13" s="18">
        <v>78</v>
      </c>
      <c r="G13" s="20">
        <f>E13+F13</f>
        <v>128</v>
      </c>
      <c r="H13" s="19">
        <f>D13*G13</f>
        <v>0</v>
      </c>
      <c r="I13" s="3"/>
    </row>
    <row r="14" spans="1:9" ht="13.8" thickBot="1" x14ac:dyDescent="0.3">
      <c r="A14" s="23"/>
      <c r="B14" s="23"/>
      <c r="C14" s="23"/>
      <c r="D14" s="12"/>
      <c r="E14" s="8"/>
      <c r="F14" s="9"/>
      <c r="G14" s="20">
        <f t="shared" ref="G14:G19" si="2">E14+F14</f>
        <v>0</v>
      </c>
      <c r="H14" s="19">
        <f t="shared" ref="H14:H19" si="3">D14*G14</f>
        <v>0</v>
      </c>
      <c r="I14" s="3"/>
    </row>
    <row r="15" spans="1:9" ht="13.8" thickBot="1" x14ac:dyDescent="0.3">
      <c r="A15" s="23"/>
      <c r="B15" s="23"/>
      <c r="C15" s="23"/>
      <c r="D15" s="13"/>
      <c r="E15" s="10"/>
      <c r="F15" s="11"/>
      <c r="G15" s="20">
        <f t="shared" si="2"/>
        <v>0</v>
      </c>
      <c r="H15" s="19">
        <f t="shared" si="3"/>
        <v>0</v>
      </c>
      <c r="I15" s="3"/>
    </row>
    <row r="16" spans="1:9" ht="13.8" thickBot="1" x14ac:dyDescent="0.3">
      <c r="A16" s="23"/>
      <c r="B16" s="23"/>
      <c r="C16" s="23"/>
      <c r="D16" s="13"/>
      <c r="E16" s="10"/>
      <c r="F16" s="11"/>
      <c r="G16" s="20">
        <f t="shared" si="2"/>
        <v>0</v>
      </c>
      <c r="H16" s="19">
        <f t="shared" si="3"/>
        <v>0</v>
      </c>
      <c r="I16" s="3"/>
    </row>
    <row r="17" spans="1:9" ht="13.8" thickBot="1" x14ac:dyDescent="0.3">
      <c r="A17" s="23"/>
      <c r="B17" s="23"/>
      <c r="C17" s="23"/>
      <c r="D17" s="13"/>
      <c r="E17" s="10"/>
      <c r="F17" s="11"/>
      <c r="G17" s="20">
        <f t="shared" si="2"/>
        <v>0</v>
      </c>
      <c r="H17" s="19">
        <f t="shared" si="3"/>
        <v>0</v>
      </c>
      <c r="I17" s="3"/>
    </row>
    <row r="18" spans="1:9" ht="13.8" thickBot="1" x14ac:dyDescent="0.3">
      <c r="A18" s="23"/>
      <c r="B18" s="23"/>
      <c r="C18" s="23"/>
      <c r="D18" s="13"/>
      <c r="E18" s="10"/>
      <c r="F18" s="11"/>
      <c r="G18" s="20">
        <f t="shared" si="2"/>
        <v>0</v>
      </c>
      <c r="H18" s="19">
        <f t="shared" si="3"/>
        <v>0</v>
      </c>
      <c r="I18" s="3"/>
    </row>
    <row r="19" spans="1:9" x14ac:dyDescent="0.25">
      <c r="A19" s="23"/>
      <c r="B19" s="23"/>
      <c r="C19" s="23"/>
      <c r="D19" s="13"/>
      <c r="E19" s="10"/>
      <c r="F19" s="11"/>
      <c r="G19" s="20">
        <f t="shared" si="2"/>
        <v>0</v>
      </c>
      <c r="H19" s="19">
        <f t="shared" si="3"/>
        <v>0</v>
      </c>
      <c r="I19" s="3"/>
    </row>
    <row r="20" spans="1:9" ht="31.2" x14ac:dyDescent="0.3">
      <c r="A20" s="51" t="s">
        <v>41</v>
      </c>
      <c r="B20" s="51"/>
      <c r="C20" s="51"/>
      <c r="D20" s="52">
        <f>SUM(D14:D19)</f>
        <v>0</v>
      </c>
      <c r="E20" s="47"/>
      <c r="F20" s="47"/>
      <c r="G20" s="47"/>
      <c r="H20" s="47">
        <f>SUM(H14:H19)</f>
        <v>0</v>
      </c>
      <c r="I20" s="3"/>
    </row>
    <row r="21" spans="1:9" s="4" customFormat="1" ht="45" customHeight="1" thickBot="1" x14ac:dyDescent="0.35">
      <c r="A21" s="51" t="s">
        <v>42</v>
      </c>
      <c r="B21" s="51"/>
      <c r="C21" s="51"/>
      <c r="D21" s="52"/>
      <c r="E21" s="47" t="s">
        <v>16</v>
      </c>
      <c r="F21" s="47"/>
      <c r="G21" s="47"/>
      <c r="H21" s="47">
        <v>15000</v>
      </c>
      <c r="I21" s="46"/>
    </row>
    <row r="22" spans="1:9" s="4" customFormat="1" ht="45" customHeight="1" thickBot="1" x14ac:dyDescent="0.35">
      <c r="A22" s="51" t="s">
        <v>43</v>
      </c>
      <c r="B22" s="51"/>
      <c r="C22" s="51"/>
      <c r="D22" s="52"/>
      <c r="E22" s="47" t="s">
        <v>16</v>
      </c>
      <c r="F22" s="47"/>
      <c r="G22" s="47"/>
      <c r="H22" s="47">
        <v>15625</v>
      </c>
      <c r="I22" s="46"/>
    </row>
    <row r="23" spans="1:9" s="4" customFormat="1" ht="25.35" customHeight="1" thickBot="1" x14ac:dyDescent="0.35">
      <c r="A23" s="48" t="s">
        <v>29</v>
      </c>
      <c r="B23" s="48"/>
      <c r="C23" s="48"/>
      <c r="D23" s="49">
        <f>D12+D20</f>
        <v>0</v>
      </c>
      <c r="E23" s="50"/>
      <c r="F23" s="50"/>
      <c r="G23" s="50"/>
      <c r="H23" s="50">
        <f>H12+H20+H21+H22</f>
        <v>30625</v>
      </c>
      <c r="I23" s="46"/>
    </row>
    <row r="24" spans="1:9" x14ac:dyDescent="0.25">
      <c r="A24" s="1"/>
      <c r="B24" s="1"/>
      <c r="C24" s="1"/>
    </row>
    <row r="25" spans="1:9" x14ac:dyDescent="0.25">
      <c r="A25" s="41"/>
      <c r="B25" s="41"/>
      <c r="C25" s="41"/>
      <c r="F25" s="58"/>
      <c r="G25" s="58"/>
      <c r="H25" s="58"/>
    </row>
    <row r="26" spans="1:9" x14ac:dyDescent="0.25">
      <c r="A26" s="41"/>
      <c r="B26" s="41"/>
      <c r="C26" s="41"/>
      <c r="F26" s="58"/>
      <c r="G26" s="58"/>
      <c r="H26" s="58"/>
    </row>
    <row r="27" spans="1:9" x14ac:dyDescent="0.25">
      <c r="A27" s="41"/>
      <c r="B27" s="41"/>
      <c r="C27" s="41"/>
      <c r="F27" s="58"/>
      <c r="G27" s="58"/>
      <c r="H27" s="58"/>
    </row>
    <row r="28" spans="1:9" x14ac:dyDescent="0.25">
      <c r="A28" s="41"/>
      <c r="B28" s="41"/>
      <c r="C28" s="41"/>
      <c r="F28" s="58"/>
      <c r="G28" s="58"/>
      <c r="H28" s="58"/>
    </row>
    <row r="29" spans="1:9" x14ac:dyDescent="0.25">
      <c r="A29" s="41"/>
      <c r="B29" s="41"/>
      <c r="C29" s="41"/>
      <c r="H29" s="25"/>
    </row>
    <row r="30" spans="1:9" x14ac:dyDescent="0.25">
      <c r="A30" s="41"/>
      <c r="B30" s="41"/>
      <c r="C30" s="41"/>
      <c r="F30" s="58"/>
      <c r="G30" s="58"/>
      <c r="H30" s="58"/>
    </row>
    <row r="31" spans="1:9" x14ac:dyDescent="0.25">
      <c r="A31" s="41"/>
      <c r="B31" s="41"/>
      <c r="C31" s="41"/>
      <c r="F31" s="58"/>
      <c r="G31" s="58"/>
      <c r="H31" s="58"/>
    </row>
    <row r="32" spans="1:9" x14ac:dyDescent="0.25">
      <c r="A32" s="41"/>
      <c r="B32" s="41"/>
      <c r="C32" s="41"/>
      <c r="F32" s="58"/>
      <c r="G32" s="58"/>
      <c r="H32" s="58"/>
    </row>
    <row r="33" spans="1:3" x14ac:dyDescent="0.25">
      <c r="A33" s="41"/>
      <c r="B33" s="41"/>
      <c r="C33" s="41"/>
    </row>
  </sheetData>
  <protectedRanges>
    <protectedRange sqref="D7:F11 D15:F19" name="Range3_1_2"/>
  </protectedRanges>
  <mergeCells count="10">
    <mergeCell ref="F28:H28"/>
    <mergeCell ref="F30:H30"/>
    <mergeCell ref="F31:H31"/>
    <mergeCell ref="F32:H32"/>
    <mergeCell ref="A1:H1"/>
    <mergeCell ref="A2:I2"/>
    <mergeCell ref="D3:H3"/>
    <mergeCell ref="F25:H25"/>
    <mergeCell ref="F26:H26"/>
    <mergeCell ref="F27:H27"/>
  </mergeCells>
  <printOptions horizontalCentered="1"/>
  <pageMargins left="0.25" right="0.25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CBDE-B4FC-481A-A96D-4F291530B494}">
  <sheetPr>
    <tabColor theme="3"/>
    <pageSetUpPr fitToPage="1"/>
  </sheetPr>
  <dimension ref="A1:I33"/>
  <sheetViews>
    <sheetView zoomScaleNormal="100" zoomScaleSheetLayoutView="100" workbookViewId="0">
      <selection activeCell="H23" sqref="H23"/>
    </sheetView>
  </sheetViews>
  <sheetFormatPr defaultColWidth="11.44140625" defaultRowHeight="13.2" x14ac:dyDescent="0.25"/>
  <cols>
    <col min="1" max="1" width="42.5546875" customWidth="1"/>
    <col min="2" max="2" width="17.44140625" customWidth="1"/>
    <col min="3" max="3" width="29" customWidth="1"/>
    <col min="4" max="4" width="10.44140625" customWidth="1"/>
    <col min="5" max="5" width="24.44140625" customWidth="1"/>
    <col min="6" max="6" width="21" customWidth="1"/>
    <col min="7" max="7" width="11.44140625" customWidth="1"/>
    <col min="8" max="8" width="23.44140625" customWidth="1"/>
    <col min="9" max="9" width="1" customWidth="1"/>
  </cols>
  <sheetData>
    <row r="1" spans="1:9" ht="18" thickBot="1" x14ac:dyDescent="0.35">
      <c r="A1" s="59"/>
      <c r="B1" s="59"/>
      <c r="C1" s="59"/>
      <c r="D1" s="59"/>
      <c r="E1" s="59"/>
      <c r="F1" s="59"/>
      <c r="G1" s="59"/>
      <c r="H1" s="59"/>
    </row>
    <row r="2" spans="1:9" ht="15" thickBot="1" x14ac:dyDescent="0.3">
      <c r="A2" s="60" t="s">
        <v>23</v>
      </c>
      <c r="B2" s="61"/>
      <c r="C2" s="61"/>
      <c r="D2" s="61"/>
      <c r="E2" s="61"/>
      <c r="F2" s="61"/>
      <c r="G2" s="61"/>
      <c r="H2" s="61"/>
      <c r="I2" s="62"/>
    </row>
    <row r="3" spans="1:9" ht="51" customHeight="1" thickBot="1" x14ac:dyDescent="0.3">
      <c r="A3" s="36" t="s">
        <v>34</v>
      </c>
      <c r="B3" s="36"/>
      <c r="C3" s="5"/>
      <c r="D3" s="63" t="s">
        <v>25</v>
      </c>
      <c r="E3" s="64"/>
      <c r="F3" s="64"/>
      <c r="G3" s="64"/>
      <c r="H3" s="65"/>
      <c r="I3" s="7"/>
    </row>
    <row r="4" spans="1:9" ht="48" customHeight="1" x14ac:dyDescent="0.25">
      <c r="A4" s="14" t="s">
        <v>0</v>
      </c>
      <c r="B4" s="14" t="s">
        <v>33</v>
      </c>
      <c r="C4" s="14" t="s">
        <v>50</v>
      </c>
      <c r="D4" s="6" t="s">
        <v>1</v>
      </c>
      <c r="E4" s="21" t="s">
        <v>2</v>
      </c>
      <c r="F4" s="21" t="s">
        <v>3</v>
      </c>
      <c r="G4" s="21" t="s">
        <v>4</v>
      </c>
      <c r="H4" s="2" t="s">
        <v>5</v>
      </c>
      <c r="I4" s="3"/>
    </row>
    <row r="5" spans="1:9" ht="13.8" thickBot="1" x14ac:dyDescent="0.3">
      <c r="A5" s="15" t="s">
        <v>6</v>
      </c>
      <c r="B5" s="15"/>
      <c r="C5" s="15"/>
      <c r="D5" s="16"/>
      <c r="E5" s="17">
        <v>50</v>
      </c>
      <c r="F5" s="18">
        <v>78</v>
      </c>
      <c r="G5" s="20">
        <f>E5+F5</f>
        <v>128</v>
      </c>
      <c r="H5" s="19">
        <f>D5*G5</f>
        <v>0</v>
      </c>
      <c r="I5" s="3"/>
    </row>
    <row r="6" spans="1:9" ht="13.8" thickBot="1" x14ac:dyDescent="0.3">
      <c r="A6" s="23"/>
      <c r="B6" s="23"/>
      <c r="C6" s="23"/>
      <c r="D6" s="12"/>
      <c r="E6" s="8"/>
      <c r="F6" s="9"/>
      <c r="G6" s="20">
        <f t="shared" ref="G6:G11" si="0">E6+F6</f>
        <v>0</v>
      </c>
      <c r="H6" s="19">
        <f t="shared" ref="H6:H11" si="1">D6*G6</f>
        <v>0</v>
      </c>
      <c r="I6" s="3"/>
    </row>
    <row r="7" spans="1:9" ht="13.8" thickBot="1" x14ac:dyDescent="0.3">
      <c r="A7" s="23"/>
      <c r="B7" s="23"/>
      <c r="C7" s="23"/>
      <c r="D7" s="13"/>
      <c r="E7" s="10"/>
      <c r="F7" s="11"/>
      <c r="G7" s="20">
        <f t="shared" si="0"/>
        <v>0</v>
      </c>
      <c r="H7" s="19">
        <f t="shared" si="1"/>
        <v>0</v>
      </c>
      <c r="I7" s="3"/>
    </row>
    <row r="8" spans="1:9" ht="13.8" thickBot="1" x14ac:dyDescent="0.3">
      <c r="A8" s="23"/>
      <c r="B8" s="23"/>
      <c r="C8" s="23"/>
      <c r="D8" s="13"/>
      <c r="E8" s="10"/>
      <c r="F8" s="11"/>
      <c r="G8" s="20">
        <f t="shared" si="0"/>
        <v>0</v>
      </c>
      <c r="H8" s="19">
        <f t="shared" si="1"/>
        <v>0</v>
      </c>
      <c r="I8" s="3"/>
    </row>
    <row r="9" spans="1:9" ht="13.8" thickBot="1" x14ac:dyDescent="0.3">
      <c r="A9" s="23"/>
      <c r="B9" s="23"/>
      <c r="C9" s="23"/>
      <c r="D9" s="13"/>
      <c r="E9" s="10"/>
      <c r="F9" s="11"/>
      <c r="G9" s="20">
        <f t="shared" si="0"/>
        <v>0</v>
      </c>
      <c r="H9" s="19">
        <f t="shared" si="1"/>
        <v>0</v>
      </c>
      <c r="I9" s="3"/>
    </row>
    <row r="10" spans="1:9" ht="13.8" thickBot="1" x14ac:dyDescent="0.3">
      <c r="A10" s="23"/>
      <c r="B10" s="23"/>
      <c r="C10" s="23"/>
      <c r="D10" s="13"/>
      <c r="E10" s="10"/>
      <c r="F10" s="11"/>
      <c r="G10" s="20">
        <f t="shared" si="0"/>
        <v>0</v>
      </c>
      <c r="H10" s="19">
        <f t="shared" si="1"/>
        <v>0</v>
      </c>
      <c r="I10" s="3"/>
    </row>
    <row r="11" spans="1:9" x14ac:dyDescent="0.25">
      <c r="A11" s="23"/>
      <c r="B11" s="23"/>
      <c r="C11" s="23"/>
      <c r="D11" s="13"/>
      <c r="E11" s="10"/>
      <c r="F11" s="11"/>
      <c r="G11" s="20">
        <f t="shared" si="0"/>
        <v>0</v>
      </c>
      <c r="H11" s="19">
        <f t="shared" si="1"/>
        <v>0</v>
      </c>
      <c r="I11" s="3"/>
    </row>
    <row r="12" spans="1:9" ht="31.8" thickBot="1" x14ac:dyDescent="0.35">
      <c r="A12" s="51" t="s">
        <v>44</v>
      </c>
      <c r="B12" s="51"/>
      <c r="C12" s="51"/>
      <c r="D12" s="52">
        <f>SUM(D6:D11)</f>
        <v>0</v>
      </c>
      <c r="E12" s="47"/>
      <c r="F12" s="47"/>
      <c r="G12" s="47"/>
      <c r="H12" s="47">
        <f>SUM(H6:H11)</f>
        <v>0</v>
      </c>
      <c r="I12" s="3"/>
    </row>
    <row r="13" spans="1:9" ht="13.8" thickBot="1" x14ac:dyDescent="0.3">
      <c r="A13" s="15" t="s">
        <v>6</v>
      </c>
      <c r="B13" s="15"/>
      <c r="C13" s="15"/>
      <c r="D13" s="16"/>
      <c r="E13" s="17">
        <v>50</v>
      </c>
      <c r="F13" s="18">
        <v>78</v>
      </c>
      <c r="G13" s="20">
        <f>E13+F13</f>
        <v>128</v>
      </c>
      <c r="H13" s="19">
        <f>D13*G13</f>
        <v>0</v>
      </c>
      <c r="I13" s="3"/>
    </row>
    <row r="14" spans="1:9" ht="13.8" thickBot="1" x14ac:dyDescent="0.3">
      <c r="A14" s="23"/>
      <c r="B14" s="23"/>
      <c r="C14" s="23"/>
      <c r="D14" s="12"/>
      <c r="E14" s="8"/>
      <c r="F14" s="9"/>
      <c r="G14" s="20">
        <f t="shared" ref="G14:G19" si="2">E14+F14</f>
        <v>0</v>
      </c>
      <c r="H14" s="19">
        <f t="shared" ref="H14:H19" si="3">D14*G14</f>
        <v>0</v>
      </c>
      <c r="I14" s="3"/>
    </row>
    <row r="15" spans="1:9" ht="13.8" thickBot="1" x14ac:dyDescent="0.3">
      <c r="A15" s="23"/>
      <c r="B15" s="23"/>
      <c r="C15" s="23"/>
      <c r="D15" s="13"/>
      <c r="E15" s="10"/>
      <c r="F15" s="11"/>
      <c r="G15" s="20">
        <f t="shared" si="2"/>
        <v>0</v>
      </c>
      <c r="H15" s="19">
        <f t="shared" si="3"/>
        <v>0</v>
      </c>
      <c r="I15" s="3"/>
    </row>
    <row r="16" spans="1:9" ht="13.8" thickBot="1" x14ac:dyDescent="0.3">
      <c r="A16" s="23"/>
      <c r="B16" s="23"/>
      <c r="C16" s="23"/>
      <c r="D16" s="13"/>
      <c r="E16" s="10"/>
      <c r="F16" s="11"/>
      <c r="G16" s="20">
        <f t="shared" si="2"/>
        <v>0</v>
      </c>
      <c r="H16" s="19">
        <f t="shared" si="3"/>
        <v>0</v>
      </c>
      <c r="I16" s="3"/>
    </row>
    <row r="17" spans="1:9" ht="13.8" thickBot="1" x14ac:dyDescent="0.3">
      <c r="A17" s="23"/>
      <c r="B17" s="23"/>
      <c r="C17" s="23"/>
      <c r="D17" s="13"/>
      <c r="E17" s="10"/>
      <c r="F17" s="11"/>
      <c r="G17" s="20">
        <f t="shared" si="2"/>
        <v>0</v>
      </c>
      <c r="H17" s="19">
        <f t="shared" si="3"/>
        <v>0</v>
      </c>
      <c r="I17" s="3"/>
    </row>
    <row r="18" spans="1:9" ht="13.8" thickBot="1" x14ac:dyDescent="0.3">
      <c r="A18" s="23"/>
      <c r="B18" s="23"/>
      <c r="C18" s="23"/>
      <c r="D18" s="13"/>
      <c r="E18" s="10"/>
      <c r="F18" s="11"/>
      <c r="G18" s="20">
        <f t="shared" si="2"/>
        <v>0</v>
      </c>
      <c r="H18" s="19">
        <f t="shared" si="3"/>
        <v>0</v>
      </c>
      <c r="I18" s="3"/>
    </row>
    <row r="19" spans="1:9" x14ac:dyDescent="0.25">
      <c r="A19" s="23"/>
      <c r="B19" s="23"/>
      <c r="C19" s="23"/>
      <c r="D19" s="13"/>
      <c r="E19" s="10"/>
      <c r="F19" s="11"/>
      <c r="G19" s="20">
        <f t="shared" si="2"/>
        <v>0</v>
      </c>
      <c r="H19" s="19">
        <f t="shared" si="3"/>
        <v>0</v>
      </c>
      <c r="I19" s="3"/>
    </row>
    <row r="20" spans="1:9" ht="31.2" x14ac:dyDescent="0.3">
      <c r="A20" s="51" t="s">
        <v>45</v>
      </c>
      <c r="B20" s="51"/>
      <c r="C20" s="51"/>
      <c r="D20" s="52">
        <f>SUM(D14:D19)</f>
        <v>0</v>
      </c>
      <c r="E20" s="47"/>
      <c r="F20" s="47"/>
      <c r="G20" s="47"/>
      <c r="H20" s="47">
        <f>SUM(H14:H19)</f>
        <v>0</v>
      </c>
      <c r="I20" s="3"/>
    </row>
    <row r="21" spans="1:9" s="4" customFormat="1" ht="45" customHeight="1" thickBot="1" x14ac:dyDescent="0.35">
      <c r="A21" s="51" t="s">
        <v>46</v>
      </c>
      <c r="B21" s="51"/>
      <c r="C21" s="51"/>
      <c r="D21" s="52"/>
      <c r="E21" s="47" t="s">
        <v>16</v>
      </c>
      <c r="F21" s="47"/>
      <c r="G21" s="47"/>
      <c r="H21" s="47">
        <v>15000</v>
      </c>
      <c r="I21" s="46"/>
    </row>
    <row r="22" spans="1:9" s="4" customFormat="1" ht="45" customHeight="1" thickBot="1" x14ac:dyDescent="0.35">
      <c r="A22" s="51" t="s">
        <v>47</v>
      </c>
      <c r="B22" s="51"/>
      <c r="C22" s="51"/>
      <c r="D22" s="52"/>
      <c r="E22" s="47" t="s">
        <v>16</v>
      </c>
      <c r="F22" s="47"/>
      <c r="G22" s="47"/>
      <c r="H22" s="47">
        <v>15625</v>
      </c>
      <c r="I22" s="46"/>
    </row>
    <row r="23" spans="1:9" s="4" customFormat="1" ht="25.35" customHeight="1" thickBot="1" x14ac:dyDescent="0.35">
      <c r="A23" s="48" t="s">
        <v>28</v>
      </c>
      <c r="B23" s="48"/>
      <c r="C23" s="48"/>
      <c r="D23" s="49">
        <f>D12+D20</f>
        <v>0</v>
      </c>
      <c r="E23" s="50"/>
      <c r="F23" s="50"/>
      <c r="G23" s="50"/>
      <c r="H23" s="50">
        <f>H12+H20+H21+H22</f>
        <v>30625</v>
      </c>
      <c r="I23" s="46"/>
    </row>
    <row r="24" spans="1:9" x14ac:dyDescent="0.25">
      <c r="A24" s="1"/>
      <c r="B24" s="1"/>
      <c r="C24" s="1"/>
    </row>
    <row r="25" spans="1:9" x14ac:dyDescent="0.25">
      <c r="A25" s="41"/>
      <c r="B25" s="41"/>
      <c r="C25" s="41"/>
      <c r="F25" s="58"/>
      <c r="G25" s="58"/>
      <c r="H25" s="58"/>
    </row>
    <row r="26" spans="1:9" x14ac:dyDescent="0.25">
      <c r="A26" s="41"/>
      <c r="B26" s="41"/>
      <c r="C26" s="41"/>
      <c r="F26" s="58"/>
      <c r="G26" s="58"/>
      <c r="H26" s="58"/>
    </row>
    <row r="27" spans="1:9" x14ac:dyDescent="0.25">
      <c r="A27" s="41"/>
      <c r="B27" s="41"/>
      <c r="C27" s="41"/>
      <c r="F27" s="58"/>
      <c r="G27" s="58"/>
      <c r="H27" s="58"/>
    </row>
    <row r="28" spans="1:9" x14ac:dyDescent="0.25">
      <c r="A28" s="41"/>
      <c r="B28" s="41"/>
      <c r="C28" s="41"/>
      <c r="F28" s="58"/>
      <c r="G28" s="58"/>
      <c r="H28" s="58"/>
    </row>
    <row r="29" spans="1:9" x14ac:dyDescent="0.25">
      <c r="A29" s="41"/>
      <c r="B29" s="41"/>
      <c r="C29" s="41"/>
      <c r="H29" s="25"/>
    </row>
    <row r="30" spans="1:9" x14ac:dyDescent="0.25">
      <c r="A30" s="41"/>
      <c r="B30" s="41"/>
      <c r="C30" s="41"/>
      <c r="F30" s="58"/>
      <c r="G30" s="58"/>
      <c r="H30" s="58"/>
    </row>
    <row r="31" spans="1:9" x14ac:dyDescent="0.25">
      <c r="A31" s="41"/>
      <c r="B31" s="41"/>
      <c r="C31" s="41"/>
      <c r="F31" s="58"/>
      <c r="G31" s="58"/>
      <c r="H31" s="58"/>
    </row>
    <row r="32" spans="1:9" x14ac:dyDescent="0.25">
      <c r="A32" s="41"/>
      <c r="B32" s="41"/>
      <c r="C32" s="41"/>
      <c r="F32" s="58"/>
      <c r="G32" s="58"/>
      <c r="H32" s="58"/>
    </row>
    <row r="33" spans="1:3" x14ac:dyDescent="0.25">
      <c r="A33" s="41"/>
      <c r="B33" s="41"/>
      <c r="C33" s="41"/>
    </row>
  </sheetData>
  <protectedRanges>
    <protectedRange sqref="D7:F11 D15:F19" name="Range3_1_2_1"/>
  </protectedRanges>
  <mergeCells count="10">
    <mergeCell ref="F28:H28"/>
    <mergeCell ref="F30:H30"/>
    <mergeCell ref="F31:H31"/>
    <mergeCell ref="F32:H32"/>
    <mergeCell ref="A1:H1"/>
    <mergeCell ref="A2:I2"/>
    <mergeCell ref="D3:H3"/>
    <mergeCell ref="F25:H25"/>
    <mergeCell ref="F26:H26"/>
    <mergeCell ref="F27:H27"/>
  </mergeCells>
  <printOptions horizontalCentered="1"/>
  <pageMargins left="0.25" right="0.25" top="0.75" bottom="0.75" header="0.3" footer="0.3"/>
  <pageSetup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D23E-2710-444F-ACD9-311A7FE659D3}">
  <sheetPr>
    <tabColor theme="3"/>
    <pageSetUpPr fitToPage="1"/>
  </sheetPr>
  <dimension ref="A1:I31"/>
  <sheetViews>
    <sheetView tabSelected="1" zoomScaleNormal="100" zoomScaleSheetLayoutView="100" workbookViewId="0">
      <selection activeCell="F14" sqref="F14"/>
    </sheetView>
  </sheetViews>
  <sheetFormatPr defaultColWidth="11.44140625" defaultRowHeight="13.2" x14ac:dyDescent="0.25"/>
  <cols>
    <col min="1" max="1" width="34.88671875" customWidth="1"/>
    <col min="2" max="2" width="15.44140625" customWidth="1"/>
    <col min="3" max="3" width="29" customWidth="1"/>
    <col min="4" max="4" width="10.44140625" customWidth="1"/>
    <col min="5" max="5" width="24.44140625" customWidth="1"/>
    <col min="6" max="6" width="21" customWidth="1"/>
    <col min="7" max="7" width="11.44140625" customWidth="1"/>
    <col min="8" max="8" width="23.44140625" customWidth="1"/>
    <col min="9" max="9" width="1" customWidth="1"/>
  </cols>
  <sheetData>
    <row r="1" spans="1:9" ht="18" thickBot="1" x14ac:dyDescent="0.35">
      <c r="A1" s="59"/>
      <c r="B1" s="59"/>
      <c r="C1" s="59"/>
      <c r="D1" s="59"/>
      <c r="E1" s="59"/>
      <c r="F1" s="59"/>
      <c r="G1" s="59"/>
      <c r="H1" s="59"/>
    </row>
    <row r="2" spans="1:9" ht="15" thickBot="1" x14ac:dyDescent="0.3">
      <c r="A2" s="60" t="s">
        <v>23</v>
      </c>
      <c r="B2" s="61"/>
      <c r="C2" s="61"/>
      <c r="D2" s="61"/>
      <c r="E2" s="61"/>
      <c r="F2" s="61"/>
      <c r="G2" s="61"/>
      <c r="H2" s="61"/>
      <c r="I2" s="62"/>
    </row>
    <row r="3" spans="1:9" ht="51" customHeight="1" thickBot="1" x14ac:dyDescent="0.3">
      <c r="A3" s="36" t="s">
        <v>34</v>
      </c>
      <c r="B3" s="36" t="s">
        <v>33</v>
      </c>
      <c r="C3" s="5"/>
      <c r="D3" s="63" t="s">
        <v>26</v>
      </c>
      <c r="E3" s="64"/>
      <c r="F3" s="64"/>
      <c r="G3" s="64"/>
      <c r="H3" s="65"/>
      <c r="I3" s="7"/>
    </row>
    <row r="4" spans="1:9" ht="48" customHeight="1" x14ac:dyDescent="0.25">
      <c r="A4" s="14" t="s">
        <v>0</v>
      </c>
      <c r="B4" s="14"/>
      <c r="C4" s="14" t="s">
        <v>50</v>
      </c>
      <c r="D4" s="6" t="s">
        <v>1</v>
      </c>
      <c r="E4" s="21" t="s">
        <v>2</v>
      </c>
      <c r="F4" s="21" t="s">
        <v>3</v>
      </c>
      <c r="G4" s="21" t="s">
        <v>4</v>
      </c>
      <c r="H4" s="2" t="s">
        <v>5</v>
      </c>
      <c r="I4" s="3"/>
    </row>
    <row r="5" spans="1:9" ht="13.8" thickBot="1" x14ac:dyDescent="0.3">
      <c r="A5" s="15" t="s">
        <v>6</v>
      </c>
      <c r="B5" s="15"/>
      <c r="C5" s="15"/>
      <c r="D5" s="16"/>
      <c r="E5" s="17">
        <v>50</v>
      </c>
      <c r="F5" s="18">
        <v>78</v>
      </c>
      <c r="G5" s="20">
        <f>E5+F5</f>
        <v>128</v>
      </c>
      <c r="H5" s="19">
        <f>D5*G5</f>
        <v>0</v>
      </c>
      <c r="I5" s="3"/>
    </row>
    <row r="6" spans="1:9" ht="13.8" thickBot="1" x14ac:dyDescent="0.3">
      <c r="A6" s="23"/>
      <c r="B6" s="23"/>
      <c r="C6" s="23"/>
      <c r="D6" s="12"/>
      <c r="E6" s="8"/>
      <c r="F6" s="9"/>
      <c r="G6" s="20">
        <f t="shared" ref="G6:G11" si="0">E6+F6</f>
        <v>0</v>
      </c>
      <c r="H6" s="19">
        <f t="shared" ref="H6:H11" si="1">D6*G6</f>
        <v>0</v>
      </c>
      <c r="I6" s="3"/>
    </row>
    <row r="7" spans="1:9" ht="13.8" thickBot="1" x14ac:dyDescent="0.3">
      <c r="A7" s="23"/>
      <c r="B7" s="23"/>
      <c r="C7" s="23"/>
      <c r="D7" s="13"/>
      <c r="E7" s="10"/>
      <c r="F7" s="11"/>
      <c r="G7" s="20">
        <f t="shared" si="0"/>
        <v>0</v>
      </c>
      <c r="H7" s="19">
        <f t="shared" si="1"/>
        <v>0</v>
      </c>
      <c r="I7" s="3"/>
    </row>
    <row r="8" spans="1:9" ht="13.8" thickBot="1" x14ac:dyDescent="0.3">
      <c r="A8" s="23"/>
      <c r="B8" s="23"/>
      <c r="C8" s="23"/>
      <c r="D8" s="13"/>
      <c r="E8" s="10"/>
      <c r="F8" s="11"/>
      <c r="G8" s="20">
        <f t="shared" si="0"/>
        <v>0</v>
      </c>
      <c r="H8" s="19">
        <f t="shared" si="1"/>
        <v>0</v>
      </c>
      <c r="I8" s="3"/>
    </row>
    <row r="9" spans="1:9" ht="13.8" thickBot="1" x14ac:dyDescent="0.3">
      <c r="A9" s="23"/>
      <c r="B9" s="23"/>
      <c r="C9" s="23"/>
      <c r="D9" s="13"/>
      <c r="E9" s="10"/>
      <c r="F9" s="11"/>
      <c r="G9" s="20">
        <f t="shared" si="0"/>
        <v>0</v>
      </c>
      <c r="H9" s="19">
        <f t="shared" si="1"/>
        <v>0</v>
      </c>
      <c r="I9" s="3"/>
    </row>
    <row r="10" spans="1:9" ht="13.8" thickBot="1" x14ac:dyDescent="0.3">
      <c r="A10" s="23"/>
      <c r="B10" s="23"/>
      <c r="C10" s="23"/>
      <c r="D10" s="13"/>
      <c r="E10" s="10"/>
      <c r="F10" s="11"/>
      <c r="G10" s="20">
        <f t="shared" si="0"/>
        <v>0</v>
      </c>
      <c r="H10" s="19">
        <f t="shared" si="1"/>
        <v>0</v>
      </c>
      <c r="I10" s="3"/>
    </row>
    <row r="11" spans="1:9" x14ac:dyDescent="0.25">
      <c r="A11" s="23"/>
      <c r="B11" s="23"/>
      <c r="C11" s="23"/>
      <c r="D11" s="13"/>
      <c r="E11" s="10"/>
      <c r="F11" s="11"/>
      <c r="G11" s="20">
        <f t="shared" si="0"/>
        <v>0</v>
      </c>
      <c r="H11" s="19">
        <f t="shared" si="1"/>
        <v>0</v>
      </c>
      <c r="I11" s="3"/>
    </row>
    <row r="12" spans="1:9" ht="31.8" thickBot="1" x14ac:dyDescent="0.35">
      <c r="A12" s="51" t="s">
        <v>48</v>
      </c>
      <c r="B12" s="51"/>
      <c r="C12" s="51"/>
      <c r="D12" s="52">
        <f>SUM(D6:D11)</f>
        <v>0</v>
      </c>
      <c r="E12" s="47"/>
      <c r="F12" s="47"/>
      <c r="G12" s="47"/>
      <c r="H12" s="47">
        <f>SUM(H6:H11)</f>
        <v>0</v>
      </c>
      <c r="I12" s="3"/>
    </row>
    <row r="13" spans="1:9" ht="13.8" thickBot="1" x14ac:dyDescent="0.3">
      <c r="A13" s="15" t="s">
        <v>6</v>
      </c>
      <c r="B13" s="15"/>
      <c r="C13" s="15"/>
      <c r="D13" s="16"/>
      <c r="E13" s="17">
        <v>50</v>
      </c>
      <c r="F13" s="18">
        <v>78</v>
      </c>
      <c r="G13" s="20">
        <f>E13+F13</f>
        <v>128</v>
      </c>
      <c r="H13" s="19">
        <f>D13*G13</f>
        <v>0</v>
      </c>
      <c r="I13" s="3"/>
    </row>
    <row r="14" spans="1:9" ht="13.8" thickBot="1" x14ac:dyDescent="0.3">
      <c r="A14" s="23"/>
      <c r="B14" s="23"/>
      <c r="C14" s="23"/>
      <c r="D14" s="12"/>
      <c r="E14" s="8"/>
      <c r="F14" s="9"/>
      <c r="G14" s="20">
        <f t="shared" ref="G14:G19" si="2">E14+F14</f>
        <v>0</v>
      </c>
      <c r="H14" s="19">
        <f t="shared" ref="H14:H19" si="3">D14*G14</f>
        <v>0</v>
      </c>
      <c r="I14" s="3"/>
    </row>
    <row r="15" spans="1:9" ht="13.8" thickBot="1" x14ac:dyDescent="0.3">
      <c r="A15" s="23"/>
      <c r="B15" s="23"/>
      <c r="C15" s="23"/>
      <c r="D15" s="13"/>
      <c r="E15" s="10"/>
      <c r="F15" s="11"/>
      <c r="G15" s="20">
        <f t="shared" si="2"/>
        <v>0</v>
      </c>
      <c r="H15" s="19">
        <f t="shared" si="3"/>
        <v>0</v>
      </c>
      <c r="I15" s="3"/>
    </row>
    <row r="16" spans="1:9" ht="13.8" thickBot="1" x14ac:dyDescent="0.3">
      <c r="A16" s="23"/>
      <c r="B16" s="23"/>
      <c r="C16" s="23"/>
      <c r="D16" s="13"/>
      <c r="E16" s="10"/>
      <c r="F16" s="11"/>
      <c r="G16" s="20">
        <f t="shared" si="2"/>
        <v>0</v>
      </c>
      <c r="H16" s="19">
        <f t="shared" si="3"/>
        <v>0</v>
      </c>
      <c r="I16" s="3"/>
    </row>
    <row r="17" spans="1:9" ht="13.8" thickBot="1" x14ac:dyDescent="0.3">
      <c r="A17" s="23"/>
      <c r="B17" s="23"/>
      <c r="C17" s="23"/>
      <c r="D17" s="13"/>
      <c r="E17" s="10"/>
      <c r="F17" s="11"/>
      <c r="G17" s="20">
        <f t="shared" si="2"/>
        <v>0</v>
      </c>
      <c r="H17" s="19">
        <f t="shared" si="3"/>
        <v>0</v>
      </c>
      <c r="I17" s="3"/>
    </row>
    <row r="18" spans="1:9" ht="13.8" thickBot="1" x14ac:dyDescent="0.3">
      <c r="A18" s="23"/>
      <c r="B18" s="23"/>
      <c r="C18" s="23"/>
      <c r="D18" s="13"/>
      <c r="E18" s="10"/>
      <c r="F18" s="11"/>
      <c r="G18" s="20">
        <f t="shared" si="2"/>
        <v>0</v>
      </c>
      <c r="H18" s="19">
        <f t="shared" si="3"/>
        <v>0</v>
      </c>
      <c r="I18" s="3"/>
    </row>
    <row r="19" spans="1:9" x14ac:dyDescent="0.25">
      <c r="A19" s="23"/>
      <c r="B19" s="23"/>
      <c r="C19" s="23"/>
      <c r="D19" s="13"/>
      <c r="E19" s="10"/>
      <c r="F19" s="11"/>
      <c r="G19" s="20">
        <f t="shared" si="2"/>
        <v>0</v>
      </c>
      <c r="H19" s="19">
        <f t="shared" si="3"/>
        <v>0</v>
      </c>
      <c r="I19" s="3"/>
    </row>
    <row r="20" spans="1:9" ht="31.2" x14ac:dyDescent="0.3">
      <c r="A20" s="51" t="s">
        <v>49</v>
      </c>
      <c r="B20" s="51"/>
      <c r="C20" s="51"/>
      <c r="D20" s="52">
        <f>SUM(D14:D19)</f>
        <v>0</v>
      </c>
      <c r="E20" s="47"/>
      <c r="F20" s="47"/>
      <c r="G20" s="47"/>
      <c r="H20" s="47">
        <f>SUM(H14:H19)</f>
        <v>0</v>
      </c>
      <c r="I20" s="3"/>
    </row>
    <row r="21" spans="1:9" s="4" customFormat="1" ht="25.35" customHeight="1" thickBot="1" x14ac:dyDescent="0.35">
      <c r="A21" s="48" t="s">
        <v>27</v>
      </c>
      <c r="B21" s="48"/>
      <c r="C21" s="48"/>
      <c r="D21" s="49">
        <f>D12+D20</f>
        <v>0</v>
      </c>
      <c r="E21" s="50"/>
      <c r="F21" s="50"/>
      <c r="G21" s="50"/>
      <c r="H21" s="50">
        <f>H12+H20</f>
        <v>0</v>
      </c>
      <c r="I21" s="46"/>
    </row>
    <row r="22" spans="1:9" x14ac:dyDescent="0.25">
      <c r="A22" s="1"/>
      <c r="B22" s="1"/>
      <c r="C22" s="1"/>
    </row>
    <row r="23" spans="1:9" x14ac:dyDescent="0.25">
      <c r="A23" s="41"/>
      <c r="B23" s="41"/>
      <c r="C23" s="41"/>
      <c r="F23" s="58"/>
      <c r="G23" s="58"/>
      <c r="H23" s="58"/>
    </row>
    <row r="24" spans="1:9" x14ac:dyDescent="0.25">
      <c r="A24" s="41"/>
      <c r="B24" s="41"/>
      <c r="C24" s="41"/>
      <c r="F24" s="58"/>
      <c r="G24" s="58"/>
      <c r="H24" s="58"/>
    </row>
    <row r="25" spans="1:9" x14ac:dyDescent="0.25">
      <c r="A25" s="41"/>
      <c r="B25" s="41"/>
      <c r="C25" s="41"/>
      <c r="F25" s="58"/>
      <c r="G25" s="58"/>
      <c r="H25" s="58"/>
    </row>
    <row r="26" spans="1:9" x14ac:dyDescent="0.25">
      <c r="A26" s="41"/>
      <c r="B26" s="41"/>
      <c r="C26" s="41"/>
      <c r="F26" s="58"/>
      <c r="G26" s="58"/>
      <c r="H26" s="58"/>
    </row>
    <row r="27" spans="1:9" x14ac:dyDescent="0.25">
      <c r="A27" s="41"/>
      <c r="B27" s="41"/>
      <c r="C27" s="41"/>
      <c r="H27" s="25"/>
    </row>
    <row r="28" spans="1:9" x14ac:dyDescent="0.25">
      <c r="A28" s="41"/>
      <c r="B28" s="41"/>
      <c r="C28" s="41"/>
      <c r="F28" s="58"/>
      <c r="G28" s="58"/>
      <c r="H28" s="58"/>
    </row>
    <row r="29" spans="1:9" x14ac:dyDescent="0.25">
      <c r="A29" s="41"/>
      <c r="B29" s="41"/>
      <c r="C29" s="41"/>
      <c r="F29" s="58"/>
      <c r="G29" s="58"/>
      <c r="H29" s="58"/>
    </row>
    <row r="30" spans="1:9" x14ac:dyDescent="0.25">
      <c r="A30" s="41"/>
      <c r="B30" s="41"/>
      <c r="C30" s="41"/>
      <c r="F30" s="58"/>
      <c r="G30" s="58"/>
      <c r="H30" s="58"/>
    </row>
    <row r="31" spans="1:9" x14ac:dyDescent="0.25">
      <c r="A31" s="41"/>
      <c r="B31" s="41"/>
      <c r="C31" s="41"/>
    </row>
  </sheetData>
  <protectedRanges>
    <protectedRange sqref="D7:F11 D15:F19" name="Range3_1_2_1_1"/>
  </protectedRanges>
  <mergeCells count="10">
    <mergeCell ref="F26:H26"/>
    <mergeCell ref="F28:H28"/>
    <mergeCell ref="F29:H29"/>
    <mergeCell ref="F30:H30"/>
    <mergeCell ref="A1:H1"/>
    <mergeCell ref="A2:I2"/>
    <mergeCell ref="D3:H3"/>
    <mergeCell ref="F23:H23"/>
    <mergeCell ref="F24:H24"/>
    <mergeCell ref="F25:H25"/>
  </mergeCells>
  <printOptions horizontalCentered="1"/>
  <pageMargins left="0.25" right="0.25" top="0.75" bottom="0.75" header="0.3" footer="0.3"/>
  <pageSetup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10"/>
  <sheetViews>
    <sheetView zoomScale="110" zoomScaleNormal="110" workbookViewId="0">
      <selection activeCell="F1" sqref="F1"/>
    </sheetView>
  </sheetViews>
  <sheetFormatPr defaultRowHeight="13.2" x14ac:dyDescent="0.25"/>
  <cols>
    <col min="1" max="1" width="34.109375" bestFit="1" customWidth="1"/>
    <col min="2" max="2" width="21.44140625" customWidth="1"/>
    <col min="3" max="3" width="22.44140625" customWidth="1"/>
    <col min="4" max="4" width="18.5546875" customWidth="1"/>
    <col min="5" max="5" width="18.44140625" customWidth="1"/>
    <col min="6" max="6" width="24.5546875" customWidth="1"/>
    <col min="7" max="7" width="26.44140625" bestFit="1" customWidth="1"/>
    <col min="8" max="8" width="19.44140625" customWidth="1"/>
    <col min="9" max="9" width="8.5546875" customWidth="1"/>
  </cols>
  <sheetData>
    <row r="1" spans="1:8" ht="13.35" customHeight="1" x14ac:dyDescent="0.25">
      <c r="A1" s="66" t="s">
        <v>7</v>
      </c>
      <c r="B1" s="22" t="s">
        <v>13</v>
      </c>
      <c r="C1" s="22" t="s">
        <v>14</v>
      </c>
      <c r="D1" s="22" t="s">
        <v>15</v>
      </c>
      <c r="E1" s="42" t="s">
        <v>8</v>
      </c>
      <c r="F1" s="24" t="s">
        <v>51</v>
      </c>
      <c r="G1" s="68" t="s">
        <v>9</v>
      </c>
    </row>
    <row r="2" spans="1:8" ht="38.25" customHeight="1" thickBot="1" x14ac:dyDescent="0.3">
      <c r="A2" s="67"/>
      <c r="B2" s="33" t="s">
        <v>10</v>
      </c>
      <c r="C2" s="33" t="s">
        <v>10</v>
      </c>
      <c r="D2" s="33" t="s">
        <v>10</v>
      </c>
      <c r="E2" s="37"/>
      <c r="F2" s="38" t="s">
        <v>11</v>
      </c>
      <c r="G2" s="69"/>
    </row>
    <row r="3" spans="1:8" ht="47.4" thickBot="1" x14ac:dyDescent="0.35">
      <c r="A3" s="51" t="s">
        <v>20</v>
      </c>
      <c r="B3" s="34">
        <f>'Base Year'!H12</f>
        <v>0</v>
      </c>
      <c r="C3" s="32">
        <f>'Option Year 1'!H12</f>
        <v>0</v>
      </c>
      <c r="D3" s="32">
        <f>'Option Year 2'!H12</f>
        <v>0</v>
      </c>
      <c r="E3" s="26">
        <f>SUM(B3:D3)</f>
        <v>0</v>
      </c>
      <c r="F3" s="39">
        <f>'RFO 52.217-8 - 6 Month Ext'!H12</f>
        <v>0</v>
      </c>
      <c r="G3" s="26">
        <f>E3+F3</f>
        <v>0</v>
      </c>
    </row>
    <row r="4" spans="1:8" ht="31.8" thickBot="1" x14ac:dyDescent="0.35">
      <c r="A4" s="51" t="s">
        <v>21</v>
      </c>
      <c r="B4" s="34">
        <f>'Base Year'!H20</f>
        <v>0</v>
      </c>
      <c r="C4" s="31">
        <f>'Option Year 1'!H20</f>
        <v>0</v>
      </c>
      <c r="D4" s="31">
        <f>'Option Year 2'!H20</f>
        <v>0</v>
      </c>
      <c r="E4" s="27">
        <f>SUM(B4:D4)</f>
        <v>0</v>
      </c>
      <c r="F4" s="39">
        <f>'RFO 52.217-8 - 6 Month Ext'!H20</f>
        <v>0</v>
      </c>
      <c r="G4" s="57">
        <f>E4+F4</f>
        <v>0</v>
      </c>
      <c r="H4" s="45"/>
    </row>
    <row r="5" spans="1:8" ht="31.8" thickBot="1" x14ac:dyDescent="0.35">
      <c r="A5" s="51" t="s">
        <v>22</v>
      </c>
      <c r="B5" s="34">
        <f>'Base Year'!H25</f>
        <v>0</v>
      </c>
      <c r="C5" s="31" t="s">
        <v>30</v>
      </c>
      <c r="D5" s="31" t="s">
        <v>30</v>
      </c>
      <c r="E5" s="27">
        <f>B5</f>
        <v>0</v>
      </c>
      <c r="F5" s="39" t="s">
        <v>30</v>
      </c>
      <c r="G5" s="57">
        <f>E5</f>
        <v>0</v>
      </c>
      <c r="H5" s="45"/>
    </row>
    <row r="6" spans="1:8" ht="31.8" thickBot="1" x14ac:dyDescent="0.35">
      <c r="A6" s="51" t="s">
        <v>31</v>
      </c>
      <c r="B6" s="35">
        <f>'Base Year'!H26</f>
        <v>15000</v>
      </c>
      <c r="C6" s="31">
        <f>'Option Year 1'!H21</f>
        <v>15000</v>
      </c>
      <c r="D6" s="31">
        <f>'Option Year 2'!H21</f>
        <v>15000</v>
      </c>
      <c r="E6" s="27">
        <f>B6+C6+D6</f>
        <v>45000</v>
      </c>
      <c r="F6" s="39" t="s">
        <v>30</v>
      </c>
      <c r="G6" s="57">
        <f>E6</f>
        <v>45000</v>
      </c>
      <c r="H6" s="45"/>
    </row>
    <row r="7" spans="1:8" ht="31.8" thickBot="1" x14ac:dyDescent="0.35">
      <c r="A7" s="51" t="s">
        <v>32</v>
      </c>
      <c r="B7" s="35">
        <f>'Base Year'!H27</f>
        <v>25000</v>
      </c>
      <c r="C7" s="31">
        <f>'Option Year 1'!H22</f>
        <v>15625</v>
      </c>
      <c r="D7" s="31">
        <f>'Option Year 2'!H22</f>
        <v>15625</v>
      </c>
      <c r="E7" s="27">
        <f>B7+C7+D7</f>
        <v>56250</v>
      </c>
      <c r="F7" s="39" t="s">
        <v>30</v>
      </c>
      <c r="G7" s="57">
        <f>E7</f>
        <v>56250</v>
      </c>
      <c r="H7" s="45"/>
    </row>
    <row r="8" spans="1:8" ht="16.2" thickBot="1" x14ac:dyDescent="0.35">
      <c r="A8" s="51"/>
      <c r="B8" s="35"/>
      <c r="C8" s="31"/>
      <c r="D8" s="31"/>
      <c r="E8" s="27"/>
      <c r="F8" s="39"/>
      <c r="G8" s="26">
        <f t="shared" ref="G8" si="0">E8+F8</f>
        <v>0</v>
      </c>
      <c r="H8" s="45"/>
    </row>
    <row r="9" spans="1:8" ht="35.1" customHeight="1" thickBot="1" x14ac:dyDescent="0.3">
      <c r="A9" s="28" t="s">
        <v>9</v>
      </c>
      <c r="B9" s="29">
        <f t="shared" ref="B9:G9" si="1">SUM(B3:B8)</f>
        <v>40000</v>
      </c>
      <c r="C9" s="29">
        <f t="shared" si="1"/>
        <v>30625</v>
      </c>
      <c r="D9" s="29">
        <f t="shared" si="1"/>
        <v>30625</v>
      </c>
      <c r="E9" s="30">
        <f t="shared" si="1"/>
        <v>101250</v>
      </c>
      <c r="F9" s="39">
        <f t="shared" si="1"/>
        <v>0</v>
      </c>
      <c r="G9" s="40">
        <f t="shared" si="1"/>
        <v>101250</v>
      </c>
      <c r="H9" s="25"/>
    </row>
    <row r="10" spans="1:8" ht="13.8" thickBot="1" x14ac:dyDescent="0.3">
      <c r="B10" s="25"/>
      <c r="G10" s="43" t="s">
        <v>12</v>
      </c>
    </row>
  </sheetData>
  <mergeCells count="2">
    <mergeCell ref="A1:A2"/>
    <mergeCell ref="G1:G2"/>
  </mergeCells>
  <pageMargins left="0.7" right="0.7" top="0.75" bottom="0.75" header="0.3" footer="0.3"/>
  <pageSetup scale="4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98EE2613C5C4F8734A08A6A3F278F" ma:contentTypeVersion="5" ma:contentTypeDescription="Create a new document." ma:contentTypeScope="" ma:versionID="1fcb417593f37995e9190540961cbaa6">
  <xsd:schema xmlns:xsd="http://www.w3.org/2001/XMLSchema" xmlns:xs="http://www.w3.org/2001/XMLSchema" xmlns:p="http://schemas.microsoft.com/office/2006/metadata/properties" xmlns:ns2="30163f9f-10a5-4a50-b7c8-40265975db96" xmlns:ns3="1d109159-f0cf-4448-ba49-62e6d8370c4e" targetNamespace="http://schemas.microsoft.com/office/2006/metadata/properties" ma:root="true" ma:fieldsID="ab5401928f9b813334e146f16120d68c" ns2:_="" ns3:_="">
    <xsd:import namespace="30163f9f-10a5-4a50-b7c8-40265975db96"/>
    <xsd:import namespace="1d109159-f0cf-4448-ba49-62e6d8370c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63f9f-10a5-4a50-b7c8-40265975d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09159-f0cf-4448-ba49-62e6d8370c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5B5925-3342-4158-AB4C-940628EC4C57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F37A007-5740-4396-9166-377F8E8C7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63f9f-10a5-4a50-b7c8-40265975db96"/>
    <ds:schemaRef ds:uri="1d109159-f0cf-4448-ba49-62e6d8370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9CA941-6290-4A11-A97C-10075F8F801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Base Year</vt:lpstr>
      <vt:lpstr>Option Year 1</vt:lpstr>
      <vt:lpstr>Option Year 2</vt:lpstr>
      <vt:lpstr>RFO 52.217-8 - 6 Month Ext</vt:lpstr>
      <vt:lpstr>Total Evaluated Price</vt:lpstr>
      <vt:lpstr>'Base Year'!Print_Area</vt:lpstr>
      <vt:lpstr>'Option Year 1'!Print_Area</vt:lpstr>
      <vt:lpstr>'Option Year 2'!Print_Area</vt:lpstr>
      <vt:lpstr>'RFO 52.217-8 - 6 Month Ext'!Print_Area</vt:lpstr>
      <vt:lpstr>'Total Evaluated Price'!Print_Area</vt:lpstr>
      <vt:lpstr>'Base Year'!Print_Titles</vt:lpstr>
      <vt:lpstr>'Option Year 1'!Print_Titles</vt:lpstr>
      <vt:lpstr>'Option Year 2'!Print_Titles</vt:lpstr>
      <vt:lpstr>'RFO 52.217-8 - 6 Month Ext'!Print_Titles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Contractor Cost Price Proposal</dc:subject>
  <dc:creator>Chuck Eckman</dc:creator>
  <cp:keywords/>
  <dc:description>Ver. 2.0 - 17 Sep 13</dc:description>
  <cp:lastModifiedBy>ROUX, JOYCELYN M CIV USAF AFMC AFRL/RQKPC</cp:lastModifiedBy>
  <cp:revision/>
  <dcterms:created xsi:type="dcterms:W3CDTF">2010-02-01T22:50:43Z</dcterms:created>
  <dcterms:modified xsi:type="dcterms:W3CDTF">2026-04-21T16:58:30Z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0x01010052498EE2613C5C4F8734A08A6A3F278F</vt:lpwstr>
  </property>
  <property fmtid="{D5CDD505-2E9C-101B-9397-08002B2CF9AE}" pid="3" name="POC">
    <vt:lpwstr>ECKMAN, CHARLES H GS-12 USAF ACC ACC AMIC/DRA344</vt:lpwstr>
  </property>
  <property fmtid="{D5CDD505-2E9C-101B-9397-08002B2CF9AE}" pid="4" name="Version Date">
    <vt:lpwstr>2013-09-17T05:00:00+00:00</vt:lpwstr>
  </property>
  <property fmtid="{D5CDD505-2E9C-101B-9397-08002B2CF9AE}" pid="5" name="_dlc_DocIdItemGuid">
    <vt:lpwstr>01015bf0-ee58-445b-b817-28e4c0eeb113</vt:lpwstr>
  </property>
</Properties>
</file>