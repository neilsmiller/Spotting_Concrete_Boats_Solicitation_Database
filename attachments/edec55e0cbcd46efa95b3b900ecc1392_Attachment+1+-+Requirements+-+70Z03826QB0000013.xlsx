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cg-my.sharepoint-mil.us/personal/charles_b_colson2_uscg_mil/Documents/PRE AWARDS/WORKING/Small Business Set-Aside Various Spares Follow-On 2525294-MC01/Tab 12/"/>
    </mc:Choice>
  </mc:AlternateContent>
  <xr:revisionPtr revIDLastSave="299" documentId="8_{9803D725-9082-4C77-8487-C4B143651619}" xr6:coauthVersionLast="47" xr6:coauthVersionMax="47" xr10:uidLastSave="{E5A94626-A3B2-4664-A45B-0BCECF6C5177}"/>
  <bookViews>
    <workbookView xWindow="25695" yWindow="0" windowWidth="26010" windowHeight="20985" xr2:uid="{00000000-000D-0000-FFFF-FFFF00000000}"/>
  </bookViews>
  <sheets>
    <sheet name="Base" sheetId="1" r:id="rId1"/>
    <sheet name="Opt Yr 1" sheetId="10" r:id="rId2"/>
    <sheet name="Opt Yr 2" sheetId="12" r:id="rId3"/>
    <sheet name="Opt Yr 3" sheetId="13" r:id="rId4"/>
    <sheet name="Opt Yr 4" sheetId="14" r:id="rId5"/>
  </sheets>
  <definedNames>
    <definedName name="_xlnm._FilterDatabase" localSheetId="0" hidden="1">Base!$A$3:$R$3</definedName>
    <definedName name="_xlnm.Print_Area" localSheetId="0">Base!$A$1:$R$120</definedName>
    <definedName name="_xlnm.Print_Titles" localSheetId="0">Base!$1:$3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9" i="14" l="1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7" i="1" l="1"/>
  <c r="K4" i="1"/>
  <c r="K120" i="10" l="1"/>
  <c r="K120" i="14"/>
  <c r="K120" i="13"/>
  <c r="K120" i="12"/>
  <c r="K121" i="14" l="1"/>
  <c r="K5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 l="1"/>
</calcChain>
</file>

<file path=xl/sharedStrings.xml><?xml version="1.0" encoding="utf-8"?>
<sst xmlns="http://schemas.openxmlformats.org/spreadsheetml/2006/main" count="4991" uniqueCount="351">
  <si>
    <t>FSC</t>
  </si>
  <si>
    <t>Part Number</t>
  </si>
  <si>
    <t>Nomenclature</t>
  </si>
  <si>
    <t>U/I</t>
  </si>
  <si>
    <t>Unit Price</t>
  </si>
  <si>
    <t>Ext. Cost</t>
  </si>
  <si>
    <t>Manf. Code</t>
  </si>
  <si>
    <t>NIIN</t>
  </si>
  <si>
    <t>CLIN</t>
  </si>
  <si>
    <t>Delivery ARO</t>
  </si>
  <si>
    <t>Inspection and Acceptance</t>
  </si>
  <si>
    <t>Base Period</t>
  </si>
  <si>
    <t>EA</t>
  </si>
  <si>
    <t>5365</t>
  </si>
  <si>
    <t>5315</t>
  </si>
  <si>
    <t>5306</t>
  </si>
  <si>
    <t>5325</t>
  </si>
  <si>
    <t>4720</t>
  </si>
  <si>
    <t>5310</t>
  </si>
  <si>
    <t>3110</t>
  </si>
  <si>
    <t>5305</t>
  </si>
  <si>
    <t>5331</t>
  </si>
  <si>
    <t>5935</t>
  </si>
  <si>
    <t>BOLT</t>
  </si>
  <si>
    <t>WASHER</t>
  </si>
  <si>
    <t>CUP</t>
  </si>
  <si>
    <t>SEAL</t>
  </si>
  <si>
    <t>NUT</t>
  </si>
  <si>
    <t>GROMMET</t>
  </si>
  <si>
    <t>WASHER, FLAT</t>
  </si>
  <si>
    <t>SCREW</t>
  </si>
  <si>
    <t>CLAMP</t>
  </si>
  <si>
    <t>Est. Maximum Qty</t>
  </si>
  <si>
    <t>REC/REC</t>
  </si>
  <si>
    <t>COC</t>
  </si>
  <si>
    <t>Option Period One</t>
  </si>
  <si>
    <t>Attachment 1</t>
  </si>
  <si>
    <t>Option Period Two</t>
  </si>
  <si>
    <t>Option Period Three</t>
  </si>
  <si>
    <t>Option Period Four</t>
  </si>
  <si>
    <t>5035</t>
  </si>
  <si>
    <t>142961636</t>
  </si>
  <si>
    <t>144128998</t>
  </si>
  <si>
    <t>145868952</t>
  </si>
  <si>
    <t>143097504</t>
  </si>
  <si>
    <t>143810819</t>
  </si>
  <si>
    <t>142650635</t>
  </si>
  <si>
    <t>143798548</t>
  </si>
  <si>
    <t>143345326</t>
  </si>
  <si>
    <t>143436453</t>
  </si>
  <si>
    <t>143526129</t>
  </si>
  <si>
    <t>142563116</t>
  </si>
  <si>
    <t>142904238</t>
  </si>
  <si>
    <t>143497466</t>
  </si>
  <si>
    <t>144454314</t>
  </si>
  <si>
    <t>143395084</t>
  </si>
  <si>
    <t>143653665</t>
  </si>
  <si>
    <t>143054114</t>
  </si>
  <si>
    <t>143024441</t>
  </si>
  <si>
    <t>01HS14997</t>
  </si>
  <si>
    <t>144866335</t>
  </si>
  <si>
    <t>01HR23779</t>
  </si>
  <si>
    <t>010840152</t>
  </si>
  <si>
    <t>143937226</t>
  </si>
  <si>
    <t>143436454</t>
  </si>
  <si>
    <t>143365269</t>
  </si>
  <si>
    <t>143469187</t>
  </si>
  <si>
    <t>145368837</t>
  </si>
  <si>
    <t>143938395</t>
  </si>
  <si>
    <t>013359631</t>
  </si>
  <si>
    <t>143024435</t>
  </si>
  <si>
    <t>143024464</t>
  </si>
  <si>
    <t>143258421</t>
  </si>
  <si>
    <t>142967959</t>
  </si>
  <si>
    <t>143653741</t>
  </si>
  <si>
    <t>143345331</t>
  </si>
  <si>
    <t>144129001</t>
  </si>
  <si>
    <t>142041490</t>
  </si>
  <si>
    <t>142941638</t>
  </si>
  <si>
    <t>143423655</t>
  </si>
  <si>
    <t>143130367</t>
  </si>
  <si>
    <t>140415585</t>
  </si>
  <si>
    <t>143179601</t>
  </si>
  <si>
    <t>143266746</t>
  </si>
  <si>
    <t>143345328</t>
  </si>
  <si>
    <t>143653703</t>
  </si>
  <si>
    <t>143024572</t>
  </si>
  <si>
    <t>143709060</t>
  </si>
  <si>
    <t>145370808</t>
  </si>
  <si>
    <t>142044231</t>
  </si>
  <si>
    <t>142044232</t>
  </si>
  <si>
    <t>143760622</t>
  </si>
  <si>
    <t>143861666</t>
  </si>
  <si>
    <t>142653829</t>
  </si>
  <si>
    <t>144112570</t>
  </si>
  <si>
    <t>143908237</t>
  </si>
  <si>
    <t>144129047</t>
  </si>
  <si>
    <t>142962692</t>
  </si>
  <si>
    <t>143376008</t>
  </si>
  <si>
    <t>145370669</t>
  </si>
  <si>
    <t>142961637</t>
  </si>
  <si>
    <t>143338274</t>
  </si>
  <si>
    <t>143060993</t>
  </si>
  <si>
    <t>142879335</t>
  </si>
  <si>
    <t>143024430</t>
  </si>
  <si>
    <t>142744210</t>
  </si>
  <si>
    <t>143302955</t>
  </si>
  <si>
    <t>143024436</t>
  </si>
  <si>
    <t>143024429</t>
  </si>
  <si>
    <t>143497104</t>
  </si>
  <si>
    <t>01HS17298</t>
  </si>
  <si>
    <t>143079034</t>
  </si>
  <si>
    <t>143653715</t>
  </si>
  <si>
    <t>144046810</t>
  </si>
  <si>
    <t>143403045</t>
  </si>
  <si>
    <t>144023770</t>
  </si>
  <si>
    <t>145368846</t>
  </si>
  <si>
    <t>142924908</t>
  </si>
  <si>
    <t>143240318</t>
  </si>
  <si>
    <t>144454313</t>
  </si>
  <si>
    <t>142352973</t>
  </si>
  <si>
    <t>145370687</t>
  </si>
  <si>
    <t>143266619</t>
  </si>
  <si>
    <t>140100709</t>
  </si>
  <si>
    <t>143826569</t>
  </si>
  <si>
    <t>142887584</t>
  </si>
  <si>
    <t>143207387</t>
  </si>
  <si>
    <t>142578472</t>
  </si>
  <si>
    <t>143024569</t>
  </si>
  <si>
    <t>143872571</t>
  </si>
  <si>
    <t>014364627</t>
  </si>
  <si>
    <t>143876677</t>
  </si>
  <si>
    <t>143697898</t>
  </si>
  <si>
    <t>143798208</t>
  </si>
  <si>
    <t>144137676</t>
  </si>
  <si>
    <t>142904235</t>
  </si>
  <si>
    <t>143338215</t>
  </si>
  <si>
    <t>143591221</t>
  </si>
  <si>
    <t>145370705</t>
  </si>
  <si>
    <t>145667240</t>
  </si>
  <si>
    <t>01HS15884</t>
  </si>
  <si>
    <t>01HS10159</t>
  </si>
  <si>
    <t>143097500</t>
  </si>
  <si>
    <t>143097501</t>
  </si>
  <si>
    <t>144125420</t>
  </si>
  <si>
    <t>143343515</t>
  </si>
  <si>
    <t>01HS10383</t>
  </si>
  <si>
    <t>01HS10384</t>
  </si>
  <si>
    <t>01HS10380</t>
  </si>
  <si>
    <t>01HS10382</t>
  </si>
  <si>
    <t>01HS10381</t>
  </si>
  <si>
    <t>142360063</t>
  </si>
  <si>
    <t>994283336</t>
  </si>
  <si>
    <t>145370667</t>
  </si>
  <si>
    <t>144007578</t>
  </si>
  <si>
    <t>144501250</t>
  </si>
  <si>
    <t>144015736</t>
  </si>
  <si>
    <t>22125TK060036X</t>
  </si>
  <si>
    <t>22129BE100124L</t>
  </si>
  <si>
    <t>B317050L</t>
  </si>
  <si>
    <t>22125BC060022L</t>
  </si>
  <si>
    <t>22129BE080048L</t>
  </si>
  <si>
    <t>23112CA060</t>
  </si>
  <si>
    <t>23116AG100LE</t>
  </si>
  <si>
    <t>22125TK050012X</t>
  </si>
  <si>
    <t>23111AG030LE</t>
  </si>
  <si>
    <t>23111AG080LE</t>
  </si>
  <si>
    <t>23111CA030</t>
  </si>
  <si>
    <t>23112CA080</t>
  </si>
  <si>
    <t>23116AG040LE</t>
  </si>
  <si>
    <t>JT 8.00X2.00-31B3</t>
  </si>
  <si>
    <t>23111AG060LE</t>
  </si>
  <si>
    <t>22125BC060046L</t>
  </si>
  <si>
    <t>22125TK060034X</t>
  </si>
  <si>
    <t>22125BC050056L</t>
  </si>
  <si>
    <t>KD-59-202-M06</t>
  </si>
  <si>
    <t>EN4201-040</t>
  </si>
  <si>
    <t>AE708612-13</t>
  </si>
  <si>
    <t>SL854-M4F4C</t>
  </si>
  <si>
    <t>23119AG060LE</t>
  </si>
  <si>
    <t>23111AG050LE</t>
  </si>
  <si>
    <t>23112AG050LE</t>
  </si>
  <si>
    <t>23112AG060LE</t>
  </si>
  <si>
    <t>52350CBD040N</t>
  </si>
  <si>
    <t>22252TK050027X</t>
  </si>
  <si>
    <t>200029-2</t>
  </si>
  <si>
    <t>22125BC040016L</t>
  </si>
  <si>
    <t>22201BC080012L</t>
  </si>
  <si>
    <t>22125BC060036L</t>
  </si>
  <si>
    <t>22256BC040010L</t>
  </si>
  <si>
    <t>23112AG100LE</t>
  </si>
  <si>
    <t>22125TK050030X</t>
  </si>
  <si>
    <t>22202BE060018L</t>
  </si>
  <si>
    <t>23201AM0220T</t>
  </si>
  <si>
    <t>22719BC060027L</t>
  </si>
  <si>
    <t>22271BC050048L</t>
  </si>
  <si>
    <t>22208BC040022L</t>
  </si>
  <si>
    <t>22208BC080022L</t>
  </si>
  <si>
    <t>22431BC040LE</t>
  </si>
  <si>
    <t>55G06</t>
  </si>
  <si>
    <t>22125TK050020X</t>
  </si>
  <si>
    <t>22252BC060026L</t>
  </si>
  <si>
    <t>1,78X3,68-20B8</t>
  </si>
  <si>
    <t>JT 42.52X2.62-21B6</t>
  </si>
  <si>
    <t>ASNA0033-028</t>
  </si>
  <si>
    <t>15-203</t>
  </si>
  <si>
    <t>15-204</t>
  </si>
  <si>
    <t>22256BC040020L</t>
  </si>
  <si>
    <t>2X10-23B7</t>
  </si>
  <si>
    <t>81810-360-21B6</t>
  </si>
  <si>
    <t>DHS613-261.16</t>
  </si>
  <si>
    <t>DHS621-100.04</t>
  </si>
  <si>
    <t>E27160-050M026QLUL</t>
  </si>
  <si>
    <t>22208BC040010L</t>
  </si>
  <si>
    <t>52350CBD050N</t>
  </si>
  <si>
    <t>52351CBD050N</t>
  </si>
  <si>
    <t>22125BC060042L</t>
  </si>
  <si>
    <t>22251BC050016L</t>
  </si>
  <si>
    <t>22125BC040014L</t>
  </si>
  <si>
    <t>22125BC040028L</t>
  </si>
  <si>
    <t>22125BC050028L</t>
  </si>
  <si>
    <t>ASNA0021-25P18</t>
  </si>
  <si>
    <t>22542K050</t>
  </si>
  <si>
    <t>22125BC040018L</t>
  </si>
  <si>
    <t>22125BC050026L</t>
  </si>
  <si>
    <t>22125BC060024L</t>
  </si>
  <si>
    <t>22208CM040012E</t>
  </si>
  <si>
    <t>22256BC050022L</t>
  </si>
  <si>
    <t>22272BC040030L</t>
  </si>
  <si>
    <t>11148AG</t>
  </si>
  <si>
    <t>22125BC040022L</t>
  </si>
  <si>
    <t>SR22-20B7</t>
  </si>
  <si>
    <t>52351CBD040N</t>
  </si>
  <si>
    <t>22125BC060018L</t>
  </si>
  <si>
    <t>133800B</t>
  </si>
  <si>
    <t>5X10-24B7</t>
  </si>
  <si>
    <t>113-9X3-53PC851</t>
  </si>
  <si>
    <t>51453C6R30N-W</t>
  </si>
  <si>
    <t>BF10X100</t>
  </si>
  <si>
    <t>57303-400</t>
  </si>
  <si>
    <t>57303-500</t>
  </si>
  <si>
    <t>22208BC040016L</t>
  </si>
  <si>
    <t>22209BC050008L</t>
  </si>
  <si>
    <t>22451BC080L</t>
  </si>
  <si>
    <t>23340CD2050</t>
  </si>
  <si>
    <t>15-00X2-50-23B7</t>
  </si>
  <si>
    <t>HCTE-0500-0-SP</t>
  </si>
  <si>
    <t>9-752-10-018-0</t>
  </si>
  <si>
    <t>3-53X98-02-61D6</t>
  </si>
  <si>
    <t>ASNA0021-31G10</t>
  </si>
  <si>
    <t>099-031-00</t>
  </si>
  <si>
    <t>23310CA020025</t>
  </si>
  <si>
    <t>22208BC060016L</t>
  </si>
  <si>
    <t>22201BC050021L</t>
  </si>
  <si>
    <t>ASNA0045-100BCL</t>
  </si>
  <si>
    <t>81811-050</t>
  </si>
  <si>
    <t>950-147</t>
  </si>
  <si>
    <t>22125BC040020L</t>
  </si>
  <si>
    <t>22125BC050042L</t>
  </si>
  <si>
    <t>22271BC050014T</t>
  </si>
  <si>
    <t>22271BC050034L</t>
  </si>
  <si>
    <t>950-146-1</t>
  </si>
  <si>
    <t>950-146-2</t>
  </si>
  <si>
    <t>950-146-5</t>
  </si>
  <si>
    <t>950-146-3</t>
  </si>
  <si>
    <t>950-146-4</t>
  </si>
  <si>
    <t>12570BMSHUNTKL</t>
  </si>
  <si>
    <t>2-21SS</t>
  </si>
  <si>
    <t>ASN52320BH030N</t>
  </si>
  <si>
    <t>870UN01S4BA5AC</t>
  </si>
  <si>
    <t xml:space="preserve">SCREW </t>
  </si>
  <si>
    <t xml:space="preserve">BOLT, MACHINE </t>
  </si>
  <si>
    <t>BEARING</t>
  </si>
  <si>
    <t xml:space="preserve">WASHER, FLAT </t>
  </si>
  <si>
    <t xml:space="preserve">WASHER </t>
  </si>
  <si>
    <t xml:space="preserve">WASHER, A1/B2, FLAT </t>
  </si>
  <si>
    <t>WASHER, RECESSED</t>
  </si>
  <si>
    <t>O-RING</t>
  </si>
  <si>
    <t>SCREW M5X54</t>
  </si>
  <si>
    <t>CONNECTOR, COAXIAL</t>
  </si>
  <si>
    <t xml:space="preserve">HOSE ASSY, NONMETALLIC </t>
  </si>
  <si>
    <t xml:space="preserve">INSERT </t>
  </si>
  <si>
    <t xml:space="preserve">SPACER, SLEEVE </t>
  </si>
  <si>
    <t xml:space="preserve">WASHER, RECESSED </t>
  </si>
  <si>
    <t xml:space="preserve">NUT, ANCHOR </t>
  </si>
  <si>
    <t>SCREW, CLOSE TOLERANC</t>
  </si>
  <si>
    <t>HOSE ASSY, METALLIC</t>
  </si>
  <si>
    <t xml:space="preserve">BOLT </t>
  </si>
  <si>
    <t>BOLT, CLOSE TOLERANC</t>
  </si>
  <si>
    <t xml:space="preserve">RING, RETAINING </t>
  </si>
  <si>
    <t xml:space="preserve">PIN, SHEAR </t>
  </si>
  <si>
    <t>NUT,PLAIN</t>
  </si>
  <si>
    <t>SCREW,CLOSE TOLERANCE</t>
  </si>
  <si>
    <t>SCREW,CAP,SOCKET</t>
  </si>
  <si>
    <t>NUT,SELF-LOCKING</t>
  </si>
  <si>
    <t>SCREW B2</t>
  </si>
  <si>
    <t>TOGGLE SWITCH</t>
  </si>
  <si>
    <t>FASTENER,SPRING</t>
  </si>
  <si>
    <t>PIN,PIP</t>
  </si>
  <si>
    <t>CAP,PROTECTIVE,DUST</t>
  </si>
  <si>
    <t>FIBER ROPE ASSEMBLY</t>
  </si>
  <si>
    <t>PIN LOCK</t>
  </si>
  <si>
    <t xml:space="preserve">O-RING </t>
  </si>
  <si>
    <t>CONDUIT,NONMETALLIC</t>
  </si>
  <si>
    <t>SWITCH ROTORY</t>
  </si>
  <si>
    <t>PIN,COTTER</t>
  </si>
  <si>
    <t>PACKING,W/ RETAINER</t>
  </si>
  <si>
    <t>RUBBER SEAL .82X.76</t>
  </si>
  <si>
    <t>RUBBER SLEEVE</t>
  </si>
  <si>
    <t>SLEEVE,SEAL</t>
  </si>
  <si>
    <t>SLEEVE,SEAL,COUPLER</t>
  </si>
  <si>
    <t>SWITCH,THREE PHASE</t>
  </si>
  <si>
    <t>DISCHARGER,ELECTOS</t>
  </si>
  <si>
    <t>SPACER,SLEEVE</t>
  </si>
  <si>
    <t>LENS,LIGHT</t>
  </si>
  <si>
    <t>SWITCH,TOGGLE</t>
  </si>
  <si>
    <t>2,500</t>
  </si>
  <si>
    <t>5,000</t>
  </si>
  <si>
    <t>3,000</t>
  </si>
  <si>
    <t>4,000</t>
  </si>
  <si>
    <t>2,000</t>
  </si>
  <si>
    <t>1,500</t>
  </si>
  <si>
    <t>10,000</t>
  </si>
  <si>
    <t>15,000</t>
  </si>
  <si>
    <t>40,000</t>
  </si>
  <si>
    <t>100,000</t>
  </si>
  <si>
    <t>12,000</t>
  </si>
  <si>
    <t>Required Documentation</t>
  </si>
  <si>
    <t>Flight Critical Y or N</t>
  </si>
  <si>
    <t>IM</t>
  </si>
  <si>
    <t>N</t>
  </si>
  <si>
    <t>DE</t>
  </si>
  <si>
    <t>DN</t>
  </si>
  <si>
    <t>DD</t>
  </si>
  <si>
    <t>DC</t>
  </si>
  <si>
    <t>DF</t>
  </si>
  <si>
    <t>DB</t>
  </si>
  <si>
    <t>DO</t>
  </si>
  <si>
    <t>DK</t>
  </si>
  <si>
    <t>DJ</t>
  </si>
  <si>
    <t>DI</t>
  </si>
  <si>
    <t xml:space="preserve">DN </t>
  </si>
  <si>
    <t>Minimum Order QTY</t>
  </si>
  <si>
    <t>Multi-Buy QTY</t>
  </si>
  <si>
    <t>Shelf Life</t>
  </si>
  <si>
    <t>Base Period Total</t>
  </si>
  <si>
    <t>Option Period 1 Total</t>
  </si>
  <si>
    <t>Option Period 2 Total</t>
  </si>
  <si>
    <t>Option Period 3</t>
  </si>
  <si>
    <t xml:space="preserve">Option Period 4 </t>
  </si>
  <si>
    <t>Estimated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</si>
</sst>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0\-000\-0000"/>
    <numFmt numFmtId="166" formatCode="_(* #,##0_);_(* \(#,##0\);_(* &quot;-&quot;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MS Sans Serif"/>
      <family val="2"/>
    </font>
    <font>
      <sz val="12"/>
      <name val="Book Antiqua"/>
      <family val="1"/>
    </font>
    <font>
      <b/>
      <sz val="12"/>
      <name val="Book Antiqua"/>
      <family val="1"/>
    </font>
    <font>
      <u/>
      <sz val="12"/>
      <color indexed="12"/>
      <name val="Book Antiqua"/>
      <family val="1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Times New Roman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2"/>
      <color indexed="12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59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23" fillId="0" borderId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51" borderId="0" applyNumberFormat="0" applyBorder="0" applyAlignment="0" applyProtection="0"/>
    <xf numFmtId="0" fontId="26" fillId="35" borderId="0" applyNumberFormat="0" applyBorder="0" applyAlignment="0" applyProtection="0"/>
    <xf numFmtId="0" fontId="27" fillId="52" borderId="10" applyNumberFormat="0" applyAlignment="0" applyProtection="0"/>
    <xf numFmtId="0" fontId="28" fillId="53" borderId="11" applyNumberFormat="0" applyAlignment="0" applyProtection="0"/>
    <xf numFmtId="0" fontId="30" fillId="0" borderId="0" applyNumberFormat="0" applyFill="0" applyBorder="0" applyAlignment="0" applyProtection="0"/>
    <xf numFmtId="0" fontId="31" fillId="36" borderId="0" applyNumberFormat="0" applyBorder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5" fillId="39" borderId="10" applyNumberFormat="0" applyAlignment="0" applyProtection="0"/>
    <xf numFmtId="0" fontId="36" fillId="0" borderId="15" applyNumberFormat="0" applyFill="0" applyAlignment="0" applyProtection="0"/>
    <xf numFmtId="0" fontId="37" fillId="54" borderId="0" applyNumberFormat="0" applyBorder="0" applyAlignment="0" applyProtection="0"/>
    <xf numFmtId="0" fontId="29" fillId="55" borderId="16" applyNumberFormat="0" applyFont="0" applyAlignment="0" applyProtection="0"/>
    <xf numFmtId="0" fontId="38" fillId="52" borderId="17" applyNumberFormat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0" fontId="29" fillId="0" borderId="0"/>
    <xf numFmtId="44" fontId="29" fillId="0" borderId="0" applyFont="0" applyFill="0" applyBorder="0" applyAlignment="0" applyProtection="0"/>
    <xf numFmtId="0" fontId="42" fillId="0" borderId="0"/>
    <xf numFmtId="0" fontId="1" fillId="0" borderId="0"/>
    <xf numFmtId="44" fontId="42" fillId="0" borderId="0" applyFont="0" applyFill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9" fillId="0" borderId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29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94">
    <xf numFmtId="0" fontId="0" fillId="0" borderId="0" xfId="0"/>
    <xf numFmtId="4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/>
    <xf numFmtId="165" fontId="3" fillId="0" borderId="0" xfId="0" applyNumberFormat="1" applyFont="1"/>
    <xf numFmtId="165" fontId="5" fillId="0" borderId="0" xfId="2" applyNumberFormat="1" applyFont="1" applyAlignment="1"/>
    <xf numFmtId="0" fontId="43" fillId="0" borderId="0" xfId="0" applyFont="1" applyAlignment="1">
      <alignment horizontal="center"/>
    </xf>
    <xf numFmtId="164" fontId="44" fillId="0" borderId="0" xfId="0" applyNumberFormat="1" applyFont="1" applyAlignment="1">
      <alignment horizontal="left"/>
    </xf>
    <xf numFmtId="3" fontId="43" fillId="0" borderId="0" xfId="0" applyNumberFormat="1" applyFont="1" applyAlignment="1">
      <alignment horizontal="center"/>
    </xf>
    <xf numFmtId="0" fontId="43" fillId="0" borderId="0" xfId="0" applyFont="1"/>
    <xf numFmtId="44" fontId="43" fillId="0" borderId="0" xfId="0" applyNumberFormat="1" applyFont="1" applyAlignment="1">
      <alignment horizontal="center"/>
    </xf>
    <xf numFmtId="164" fontId="44" fillId="2" borderId="19" xfId="0" applyNumberFormat="1" applyFont="1" applyFill="1" applyBorder="1" applyAlignment="1">
      <alignment horizontal="center" wrapText="1"/>
    </xf>
    <xf numFmtId="0" fontId="44" fillId="2" borderId="19" xfId="0" quotePrefix="1" applyFont="1" applyFill="1" applyBorder="1" applyAlignment="1">
      <alignment horizontal="center" wrapText="1"/>
    </xf>
    <xf numFmtId="3" fontId="44" fillId="2" borderId="19" xfId="0" applyNumberFormat="1" applyFont="1" applyFill="1" applyBorder="1" applyAlignment="1">
      <alignment horizontal="center" wrapText="1"/>
    </xf>
    <xf numFmtId="0" fontId="44" fillId="2" borderId="19" xfId="0" applyFont="1" applyFill="1" applyBorder="1" applyAlignment="1">
      <alignment horizontal="center" wrapText="1"/>
    </xf>
    <xf numFmtId="164" fontId="43" fillId="0" borderId="19" xfId="0" quotePrefix="1" applyNumberFormat="1" applyFont="1" applyBorder="1" applyAlignment="1">
      <alignment horizontal="center"/>
    </xf>
    <xf numFmtId="166" fontId="47" fillId="0" borderId="19" xfId="181" applyNumberFormat="1" applyFont="1" applyFill="1" applyBorder="1" applyAlignment="1" applyProtection="1">
      <alignment horizontal="center" vertical="center" wrapText="1"/>
    </xf>
    <xf numFmtId="0" fontId="43" fillId="0" borderId="19" xfId="0" applyFont="1" applyBorder="1" applyAlignment="1">
      <alignment horizontal="center"/>
    </xf>
    <xf numFmtId="0" fontId="47" fillId="0" borderId="19" xfId="183" applyNumberFormat="1" applyFont="1" applyFill="1" applyBorder="1" applyAlignment="1" applyProtection="1">
      <alignment horizontal="center" vertical="center" wrapText="1"/>
    </xf>
    <xf numFmtId="0" fontId="48" fillId="0" borderId="19" xfId="0" applyFont="1" applyBorder="1" applyAlignment="1">
      <alignment horizontal="center"/>
    </xf>
    <xf numFmtId="49" fontId="48" fillId="0" borderId="19" xfId="0" applyNumberFormat="1" applyFont="1" applyBorder="1" applyAlignment="1" applyProtection="1">
      <alignment horizontal="center"/>
      <protection locked="0"/>
    </xf>
    <xf numFmtId="164" fontId="43" fillId="0" borderId="19" xfId="0" quotePrefix="1" applyNumberFormat="1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164" fontId="43" fillId="2" borderId="20" xfId="0" applyNumberFormat="1" applyFont="1" applyFill="1" applyBorder="1"/>
    <xf numFmtId="164" fontId="43" fillId="2" borderId="21" xfId="0" applyNumberFormat="1" applyFont="1" applyFill="1" applyBorder="1"/>
    <xf numFmtId="44" fontId="44" fillId="2" borderId="20" xfId="0" applyNumberFormat="1" applyFont="1" applyFill="1" applyBorder="1" applyAlignment="1">
      <alignment horizontal="right"/>
    </xf>
    <xf numFmtId="44" fontId="43" fillId="2" borderId="20" xfId="0" applyNumberFormat="1" applyFont="1" applyFill="1" applyBorder="1"/>
    <xf numFmtId="44" fontId="43" fillId="2" borderId="21" xfId="0" applyNumberFormat="1" applyFont="1" applyFill="1" applyBorder="1"/>
    <xf numFmtId="44" fontId="43" fillId="2" borderId="22" xfId="0" applyNumberFormat="1" applyFont="1" applyFill="1" applyBorder="1"/>
    <xf numFmtId="164" fontId="43" fillId="0" borderId="0" xfId="0" applyNumberFormat="1" applyFont="1" applyAlignment="1">
      <alignment horizontal="center"/>
    </xf>
    <xf numFmtId="44" fontId="43" fillId="0" borderId="0" xfId="0" applyNumberFormat="1" applyFont="1" applyAlignment="1">
      <alignment horizontal="right"/>
    </xf>
    <xf numFmtId="0" fontId="48" fillId="0" borderId="0" xfId="0" applyFont="1" applyAlignment="1">
      <alignment horizontal="center"/>
    </xf>
    <xf numFmtId="49" fontId="43" fillId="2" borderId="21" xfId="0" applyNumberFormat="1" applyFont="1" applyFill="1" applyBorder="1"/>
    <xf numFmtId="49" fontId="44" fillId="2" borderId="19" xfId="0" applyNumberFormat="1" applyFont="1" applyFill="1" applyBorder="1" applyAlignment="1">
      <alignment horizontal="center" wrapText="1"/>
    </xf>
    <xf numFmtId="1" fontId="44" fillId="2" borderId="19" xfId="0" applyNumberFormat="1" applyFont="1" applyFill="1" applyBorder="1" applyAlignment="1">
      <alignment horizontal="center" wrapText="1"/>
    </xf>
    <xf numFmtId="44" fontId="46" fillId="56" borderId="23" xfId="0" applyNumberFormat="1" applyFont="1" applyFill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right"/>
    </xf>
    <xf numFmtId="44" fontId="44" fillId="0" borderId="0" xfId="0" applyNumberFormat="1" applyFont="1" applyAlignment="1">
      <alignment horizontal="right"/>
    </xf>
    <xf numFmtId="9" fontId="43" fillId="0" borderId="0" xfId="0" applyNumberFormat="1" applyFont="1" applyAlignment="1">
      <alignment horizontal="center"/>
    </xf>
    <xf numFmtId="44" fontId="0" fillId="0" borderId="19" xfId="1" applyFont="1" applyFill="1" applyBorder="1" applyAlignment="1">
      <alignment horizontal="center"/>
    </xf>
    <xf numFmtId="44" fontId="43" fillId="0" borderId="19" xfId="0" applyNumberFormat="1" applyFont="1" applyBorder="1" applyAlignment="1">
      <alignment horizontal="right"/>
    </xf>
    <xf numFmtId="44" fontId="43" fillId="0" borderId="19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49" fontId="50" fillId="0" borderId="19" xfId="181" applyNumberFormat="1" applyFont="1" applyFill="1" applyBorder="1" applyAlignment="1" applyProtection="1">
      <alignment horizontal="center" vertical="center" wrapText="1"/>
    </xf>
    <xf numFmtId="164" fontId="43" fillId="2" borderId="21" xfId="0" applyNumberFormat="1" applyFont="1" applyFill="1" applyBorder="1" applyAlignment="1">
      <alignment horizontal="center"/>
    </xf>
    <xf numFmtId="1" fontId="43" fillId="0" borderId="0" xfId="0" applyNumberFormat="1" applyFont="1" applyAlignment="1">
      <alignment horizontal="center"/>
    </xf>
    <xf numFmtId="49" fontId="51" fillId="0" borderId="19" xfId="0" applyNumberFormat="1" applyFont="1" applyBorder="1" applyAlignment="1">
      <alignment horizontal="center"/>
    </xf>
    <xf numFmtId="1" fontId="50" fillId="0" borderId="19" xfId="181" applyNumberFormat="1" applyFont="1" applyFill="1" applyBorder="1" applyAlignment="1" applyProtection="1">
      <alignment horizontal="center" vertical="center" wrapText="1"/>
    </xf>
    <xf numFmtId="1" fontId="3" fillId="0" borderId="0" xfId="0" applyNumberFormat="1" applyFont="1" applyAlignment="1">
      <alignment horizontal="center"/>
    </xf>
    <xf numFmtId="49" fontId="43" fillId="2" borderId="21" xfId="0" applyNumberFormat="1" applyFont="1" applyFill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49" fontId="51" fillId="0" borderId="19" xfId="0" applyNumberFormat="1" applyFont="1" applyBorder="1" applyAlignment="1" applyProtection="1">
      <alignment horizontal="center"/>
      <protection locked="0"/>
    </xf>
    <xf numFmtId="165" fontId="3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/>
    </xf>
    <xf numFmtId="49" fontId="45" fillId="0" borderId="0" xfId="2" applyNumberFormat="1" applyFont="1" applyAlignment="1">
      <alignment horizontal="center"/>
    </xf>
    <xf numFmtId="0" fontId="51" fillId="0" borderId="19" xfId="0" applyFont="1" applyBorder="1" applyAlignment="1" applyProtection="1">
      <alignment horizontal="center"/>
      <protection locked="0"/>
    </xf>
    <xf numFmtId="166" fontId="50" fillId="0" borderId="19" xfId="181" applyNumberFormat="1" applyFont="1" applyFill="1" applyBorder="1" applyAlignment="1" applyProtection="1">
      <alignment horizontal="center" vertical="center" wrapText="1"/>
    </xf>
    <xf numFmtId="0" fontId="52" fillId="0" borderId="19" xfId="0" applyFont="1" applyBorder="1" applyAlignment="1">
      <alignment horizontal="center"/>
    </xf>
    <xf numFmtId="49" fontId="50" fillId="0" borderId="19" xfId="181" applyNumberFormat="1" applyFont="1" applyFill="1" applyBorder="1" applyAlignment="1" applyProtection="1">
      <alignment horizontal="center" wrapText="1"/>
    </xf>
    <xf numFmtId="49" fontId="51" fillId="0" borderId="19" xfId="0" applyNumberFormat="1" applyFont="1" applyBorder="1" applyAlignment="1">
      <alignment horizontal="center" vertical="center"/>
    </xf>
    <xf numFmtId="0" fontId="51" fillId="0" borderId="19" xfId="0" applyFont="1" applyBorder="1" applyAlignment="1" applyProtection="1">
      <alignment horizontal="center" vertical="center"/>
      <protection locked="0"/>
    </xf>
    <xf numFmtId="44" fontId="0" fillId="0" borderId="19" xfId="1" applyFont="1" applyFill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49" fontId="48" fillId="0" borderId="19" xfId="0" applyNumberFormat="1" applyFont="1" applyBorder="1" applyAlignment="1" applyProtection="1">
      <alignment horizontal="center" vertical="center"/>
      <protection locked="0"/>
    </xf>
    <xf numFmtId="49" fontId="50" fillId="0" borderId="19" xfId="181" applyNumberFormat="1" applyFont="1" applyFill="1" applyBorder="1" applyAlignment="1" applyProtection="1">
      <alignment horizontal="center" vertical="center"/>
    </xf>
    <xf numFmtId="44" fontId="46" fillId="56" borderId="24" xfId="0" applyNumberFormat="1" applyFont="1" applyFill="1" applyBorder="1" applyAlignment="1">
      <alignment horizontal="center" wrapText="1"/>
    </xf>
    <xf numFmtId="164" fontId="44" fillId="2" borderId="21" xfId="0" applyNumberFormat="1" applyFont="1" applyFill="1" applyBorder="1"/>
    <xf numFmtId="3" fontId="44" fillId="0" borderId="0" xfId="0" applyNumberFormat="1" applyFont="1" applyAlignment="1">
      <alignment horizontal="center"/>
    </xf>
    <xf numFmtId="164" fontId="44" fillId="2" borderId="20" xfId="0" applyNumberFormat="1" applyFont="1" applyFill="1" applyBorder="1"/>
    <xf numFmtId="0" fontId="43" fillId="2" borderId="20" xfId="0" applyFont="1" applyFill="1" applyBorder="1" applyAlignment="1">
      <alignment horizontal="center"/>
    </xf>
    <xf numFmtId="44" fontId="44" fillId="2" borderId="21" xfId="0" applyNumberFormat="1" applyFont="1" applyFill="1" applyBorder="1" applyAlignment="1">
      <alignment horizontal="right"/>
    </xf>
    <xf numFmtId="44" fontId="0" fillId="0" borderId="25" xfId="1" applyFont="1" applyFill="1" applyBorder="1" applyAlignment="1">
      <alignment horizontal="center"/>
    </xf>
    <xf numFmtId="166" fontId="47" fillId="0" borderId="25" xfId="181" applyNumberFormat="1" applyFont="1" applyFill="1" applyBorder="1" applyAlignment="1" applyProtection="1">
      <alignment horizontal="center" vertical="center" wrapText="1"/>
    </xf>
    <xf numFmtId="44" fontId="43" fillId="0" borderId="25" xfId="0" applyNumberFormat="1" applyFont="1" applyBorder="1" applyAlignment="1">
      <alignment horizontal="right"/>
    </xf>
    <xf numFmtId="0" fontId="43" fillId="2" borderId="21" xfId="0" applyFont="1" applyFill="1" applyBorder="1" applyAlignment="1">
      <alignment horizontal="center"/>
    </xf>
    <xf numFmtId="0" fontId="48" fillId="0" borderId="25" xfId="0" applyFont="1" applyBorder="1" applyAlignment="1">
      <alignment horizontal="center"/>
    </xf>
    <xf numFmtId="0" fontId="47" fillId="0" borderId="25" xfId="183" applyNumberFormat="1" applyFont="1" applyFill="1" applyBorder="1" applyAlignment="1" applyProtection="1">
      <alignment horizontal="center" vertical="center" wrapText="1"/>
    </xf>
    <xf numFmtId="44" fontId="43" fillId="2" borderId="26" xfId="0" applyNumberFormat="1" applyFont="1" applyFill="1" applyBorder="1"/>
    <xf numFmtId="49" fontId="48" fillId="0" borderId="25" xfId="0" applyNumberFormat="1" applyFont="1" applyBorder="1" applyAlignment="1" applyProtection="1">
      <alignment horizontal="center"/>
      <protection locked="0"/>
    </xf>
    <xf numFmtId="44" fontId="43" fillId="2" borderId="27" xfId="0" applyNumberFormat="1" applyFont="1" applyFill="1" applyBorder="1"/>
    <xf numFmtId="49" fontId="50" fillId="0" borderId="25" xfId="181" applyNumberFormat="1" applyFont="1" applyFill="1" applyBorder="1" applyAlignment="1" applyProtection="1">
      <alignment horizontal="center" vertical="center" wrapText="1"/>
    </xf>
    <xf numFmtId="164" fontId="43" fillId="2" borderId="26" xfId="0" applyNumberFormat="1" applyFont="1" applyFill="1" applyBorder="1"/>
    <xf numFmtId="164" fontId="44" fillId="2" borderId="19" xfId="0" applyNumberFormat="1" applyFont="1" applyFill="1" applyBorder="1"/>
    <xf numFmtId="44" fontId="44" fillId="2" borderId="22" xfId="0" applyNumberFormat="1" applyFont="1" applyFill="1" applyBorder="1" applyAlignment="1">
      <alignment horizontal="right"/>
    </xf>
    <xf numFmtId="0" fontId="43" fillId="2" borderId="19" xfId="0" applyFont="1" applyFill="1" applyBorder="1" applyAlignment="1">
      <alignment horizontal="right"/>
    </xf>
    <xf numFmtId="0" fontId="43" fillId="0" borderId="25" xfId="0" applyFont="1" applyBorder="1" applyAlignment="1">
      <alignment horizontal="center"/>
    </xf>
  </cellXfs>
  <cellStyles count="359">
    <cellStyle name="20% - Accent1" xfId="20" builtinId="30" customBuiltin="1"/>
    <cellStyle name="20% - Accent1 2" xfId="44" xr:uid="{00000000-0005-0000-0000-000001000000}"/>
    <cellStyle name="20% - Accent1 2 2" xfId="98" xr:uid="{00000000-0005-0000-0000-000002000000}"/>
    <cellStyle name="20% - Accent1 2 2 2" xfId="189" xr:uid="{00000000-0005-0000-0000-000003000000}"/>
    <cellStyle name="20% - Accent1 2 2 2 2" xfId="311" xr:uid="{00000000-0005-0000-0000-000004000000}"/>
    <cellStyle name="20% - Accent1 2 2 3" xfId="250" xr:uid="{00000000-0005-0000-0000-000005000000}"/>
    <cellStyle name="20% - Accent1 3" xfId="125" xr:uid="{00000000-0005-0000-0000-000006000000}"/>
    <cellStyle name="20% - Accent1 3 2" xfId="202" xr:uid="{00000000-0005-0000-0000-000007000000}"/>
    <cellStyle name="20% - Accent1 3 2 2" xfId="324" xr:uid="{00000000-0005-0000-0000-000008000000}"/>
    <cellStyle name="20% - Accent1 3 3" xfId="263" xr:uid="{00000000-0005-0000-0000-000009000000}"/>
    <cellStyle name="20% - Accent1 4" xfId="150" xr:uid="{00000000-0005-0000-0000-00000A000000}"/>
    <cellStyle name="20% - Accent1 4 2" xfId="216" xr:uid="{00000000-0005-0000-0000-00000B000000}"/>
    <cellStyle name="20% - Accent1 4 2 2" xfId="338" xr:uid="{00000000-0005-0000-0000-00000C000000}"/>
    <cellStyle name="20% - Accent1 4 3" xfId="277" xr:uid="{00000000-0005-0000-0000-00000D000000}"/>
    <cellStyle name="20% - Accent1 5" xfId="168" xr:uid="{00000000-0005-0000-0000-00000E000000}"/>
    <cellStyle name="20% - Accent1 5 2" xfId="293" xr:uid="{00000000-0005-0000-0000-00000F000000}"/>
    <cellStyle name="20% - Accent1 6" xfId="233" xr:uid="{00000000-0005-0000-0000-000010000000}"/>
    <cellStyle name="20% - Accent2" xfId="24" builtinId="34" customBuiltin="1"/>
    <cellStyle name="20% - Accent2 2" xfId="45" xr:uid="{00000000-0005-0000-0000-000012000000}"/>
    <cellStyle name="20% - Accent2 2 2" xfId="100" xr:uid="{00000000-0005-0000-0000-000013000000}"/>
    <cellStyle name="20% - Accent2 2 2 2" xfId="191" xr:uid="{00000000-0005-0000-0000-000014000000}"/>
    <cellStyle name="20% - Accent2 2 2 2 2" xfId="313" xr:uid="{00000000-0005-0000-0000-000015000000}"/>
    <cellStyle name="20% - Accent2 2 2 3" xfId="252" xr:uid="{00000000-0005-0000-0000-000016000000}"/>
    <cellStyle name="20% - Accent2 3" xfId="129" xr:uid="{00000000-0005-0000-0000-000017000000}"/>
    <cellStyle name="20% - Accent2 3 2" xfId="204" xr:uid="{00000000-0005-0000-0000-000018000000}"/>
    <cellStyle name="20% - Accent2 3 2 2" xfId="326" xr:uid="{00000000-0005-0000-0000-000019000000}"/>
    <cellStyle name="20% - Accent2 3 3" xfId="265" xr:uid="{00000000-0005-0000-0000-00001A000000}"/>
    <cellStyle name="20% - Accent2 4" xfId="152" xr:uid="{00000000-0005-0000-0000-00001B000000}"/>
    <cellStyle name="20% - Accent2 4 2" xfId="218" xr:uid="{00000000-0005-0000-0000-00001C000000}"/>
    <cellStyle name="20% - Accent2 4 2 2" xfId="340" xr:uid="{00000000-0005-0000-0000-00001D000000}"/>
    <cellStyle name="20% - Accent2 4 3" xfId="279" xr:uid="{00000000-0005-0000-0000-00001E000000}"/>
    <cellStyle name="20% - Accent2 5" xfId="170" xr:uid="{00000000-0005-0000-0000-00001F000000}"/>
    <cellStyle name="20% - Accent2 5 2" xfId="295" xr:uid="{00000000-0005-0000-0000-000020000000}"/>
    <cellStyle name="20% - Accent2 6" xfId="235" xr:uid="{00000000-0005-0000-0000-000021000000}"/>
    <cellStyle name="20% - Accent3" xfId="28" builtinId="38" customBuiltin="1"/>
    <cellStyle name="20% - Accent3 2" xfId="46" xr:uid="{00000000-0005-0000-0000-000023000000}"/>
    <cellStyle name="20% - Accent3 2 2" xfId="102" xr:uid="{00000000-0005-0000-0000-000024000000}"/>
    <cellStyle name="20% - Accent3 2 2 2" xfId="193" xr:uid="{00000000-0005-0000-0000-000025000000}"/>
    <cellStyle name="20% - Accent3 2 2 2 2" xfId="315" xr:uid="{00000000-0005-0000-0000-000026000000}"/>
    <cellStyle name="20% - Accent3 2 2 3" xfId="254" xr:uid="{00000000-0005-0000-0000-000027000000}"/>
    <cellStyle name="20% - Accent3 3" xfId="133" xr:uid="{00000000-0005-0000-0000-000028000000}"/>
    <cellStyle name="20% - Accent3 3 2" xfId="206" xr:uid="{00000000-0005-0000-0000-000029000000}"/>
    <cellStyle name="20% - Accent3 3 2 2" xfId="328" xr:uid="{00000000-0005-0000-0000-00002A000000}"/>
    <cellStyle name="20% - Accent3 3 3" xfId="267" xr:uid="{00000000-0005-0000-0000-00002B000000}"/>
    <cellStyle name="20% - Accent3 4" xfId="154" xr:uid="{00000000-0005-0000-0000-00002C000000}"/>
    <cellStyle name="20% - Accent3 4 2" xfId="220" xr:uid="{00000000-0005-0000-0000-00002D000000}"/>
    <cellStyle name="20% - Accent3 4 2 2" xfId="342" xr:uid="{00000000-0005-0000-0000-00002E000000}"/>
    <cellStyle name="20% - Accent3 4 3" xfId="281" xr:uid="{00000000-0005-0000-0000-00002F000000}"/>
    <cellStyle name="20% - Accent3 5" xfId="172" xr:uid="{00000000-0005-0000-0000-000030000000}"/>
    <cellStyle name="20% - Accent3 5 2" xfId="297" xr:uid="{00000000-0005-0000-0000-000031000000}"/>
    <cellStyle name="20% - Accent3 6" xfId="237" xr:uid="{00000000-0005-0000-0000-000032000000}"/>
    <cellStyle name="20% - Accent4" xfId="32" builtinId="42" customBuiltin="1"/>
    <cellStyle name="20% - Accent4 2" xfId="47" xr:uid="{00000000-0005-0000-0000-000034000000}"/>
    <cellStyle name="20% - Accent4 2 2" xfId="104" xr:uid="{00000000-0005-0000-0000-000035000000}"/>
    <cellStyle name="20% - Accent4 2 2 2" xfId="195" xr:uid="{00000000-0005-0000-0000-000036000000}"/>
    <cellStyle name="20% - Accent4 2 2 2 2" xfId="317" xr:uid="{00000000-0005-0000-0000-000037000000}"/>
    <cellStyle name="20% - Accent4 2 2 3" xfId="256" xr:uid="{00000000-0005-0000-0000-000038000000}"/>
    <cellStyle name="20% - Accent4 3" xfId="137" xr:uid="{00000000-0005-0000-0000-000039000000}"/>
    <cellStyle name="20% - Accent4 3 2" xfId="208" xr:uid="{00000000-0005-0000-0000-00003A000000}"/>
    <cellStyle name="20% - Accent4 3 2 2" xfId="330" xr:uid="{00000000-0005-0000-0000-00003B000000}"/>
    <cellStyle name="20% - Accent4 3 3" xfId="269" xr:uid="{00000000-0005-0000-0000-00003C000000}"/>
    <cellStyle name="20% - Accent4 4" xfId="156" xr:uid="{00000000-0005-0000-0000-00003D000000}"/>
    <cellStyle name="20% - Accent4 4 2" xfId="222" xr:uid="{00000000-0005-0000-0000-00003E000000}"/>
    <cellStyle name="20% - Accent4 4 2 2" xfId="344" xr:uid="{00000000-0005-0000-0000-00003F000000}"/>
    <cellStyle name="20% - Accent4 4 3" xfId="283" xr:uid="{00000000-0005-0000-0000-000040000000}"/>
    <cellStyle name="20% - Accent4 5" xfId="174" xr:uid="{00000000-0005-0000-0000-000041000000}"/>
    <cellStyle name="20% - Accent4 5 2" xfId="299" xr:uid="{00000000-0005-0000-0000-000042000000}"/>
    <cellStyle name="20% - Accent4 6" xfId="239" xr:uid="{00000000-0005-0000-0000-000043000000}"/>
    <cellStyle name="20% - Accent5" xfId="36" builtinId="46" customBuiltin="1"/>
    <cellStyle name="20% - Accent5 2" xfId="48" xr:uid="{00000000-0005-0000-0000-000045000000}"/>
    <cellStyle name="20% - Accent5 2 2" xfId="106" xr:uid="{00000000-0005-0000-0000-000046000000}"/>
    <cellStyle name="20% - Accent5 2 2 2" xfId="197" xr:uid="{00000000-0005-0000-0000-000047000000}"/>
    <cellStyle name="20% - Accent5 2 2 2 2" xfId="319" xr:uid="{00000000-0005-0000-0000-000048000000}"/>
    <cellStyle name="20% - Accent5 2 2 3" xfId="258" xr:uid="{00000000-0005-0000-0000-000049000000}"/>
    <cellStyle name="20% - Accent5 3" xfId="141" xr:uid="{00000000-0005-0000-0000-00004A000000}"/>
    <cellStyle name="20% - Accent5 3 2" xfId="210" xr:uid="{00000000-0005-0000-0000-00004B000000}"/>
    <cellStyle name="20% - Accent5 3 2 2" xfId="332" xr:uid="{00000000-0005-0000-0000-00004C000000}"/>
    <cellStyle name="20% - Accent5 3 3" xfId="271" xr:uid="{00000000-0005-0000-0000-00004D000000}"/>
    <cellStyle name="20% - Accent5 4" xfId="158" xr:uid="{00000000-0005-0000-0000-00004E000000}"/>
    <cellStyle name="20% - Accent5 4 2" xfId="224" xr:uid="{00000000-0005-0000-0000-00004F000000}"/>
    <cellStyle name="20% - Accent5 4 2 2" xfId="346" xr:uid="{00000000-0005-0000-0000-000050000000}"/>
    <cellStyle name="20% - Accent5 4 3" xfId="285" xr:uid="{00000000-0005-0000-0000-000051000000}"/>
    <cellStyle name="20% - Accent5 5" xfId="176" xr:uid="{00000000-0005-0000-0000-000052000000}"/>
    <cellStyle name="20% - Accent5 5 2" xfId="301" xr:uid="{00000000-0005-0000-0000-000053000000}"/>
    <cellStyle name="20% - Accent5 6" xfId="241" xr:uid="{00000000-0005-0000-0000-000054000000}"/>
    <cellStyle name="20% - Accent6" xfId="40" builtinId="50" customBuiltin="1"/>
    <cellStyle name="20% - Accent6 2" xfId="49" xr:uid="{00000000-0005-0000-0000-000056000000}"/>
    <cellStyle name="20% - Accent6 2 2" xfId="108" xr:uid="{00000000-0005-0000-0000-000057000000}"/>
    <cellStyle name="20% - Accent6 2 2 2" xfId="199" xr:uid="{00000000-0005-0000-0000-000058000000}"/>
    <cellStyle name="20% - Accent6 2 2 2 2" xfId="321" xr:uid="{00000000-0005-0000-0000-000059000000}"/>
    <cellStyle name="20% - Accent6 2 2 3" xfId="260" xr:uid="{00000000-0005-0000-0000-00005A000000}"/>
    <cellStyle name="20% - Accent6 3" xfId="145" xr:uid="{00000000-0005-0000-0000-00005B000000}"/>
    <cellStyle name="20% - Accent6 3 2" xfId="212" xr:uid="{00000000-0005-0000-0000-00005C000000}"/>
    <cellStyle name="20% - Accent6 3 2 2" xfId="334" xr:uid="{00000000-0005-0000-0000-00005D000000}"/>
    <cellStyle name="20% - Accent6 3 3" xfId="273" xr:uid="{00000000-0005-0000-0000-00005E000000}"/>
    <cellStyle name="20% - Accent6 4" xfId="160" xr:uid="{00000000-0005-0000-0000-00005F000000}"/>
    <cellStyle name="20% - Accent6 4 2" xfId="226" xr:uid="{00000000-0005-0000-0000-000060000000}"/>
    <cellStyle name="20% - Accent6 4 2 2" xfId="348" xr:uid="{00000000-0005-0000-0000-000061000000}"/>
    <cellStyle name="20% - Accent6 4 3" xfId="287" xr:uid="{00000000-0005-0000-0000-000062000000}"/>
    <cellStyle name="20% - Accent6 5" xfId="178" xr:uid="{00000000-0005-0000-0000-000063000000}"/>
    <cellStyle name="20% - Accent6 5 2" xfId="303" xr:uid="{00000000-0005-0000-0000-000064000000}"/>
    <cellStyle name="20% - Accent6 6" xfId="243" xr:uid="{00000000-0005-0000-0000-000065000000}"/>
    <cellStyle name="40% - Accent1" xfId="21" builtinId="31" customBuiltin="1"/>
    <cellStyle name="40% - Accent1 2" xfId="50" xr:uid="{00000000-0005-0000-0000-000067000000}"/>
    <cellStyle name="40% - Accent1 2 2" xfId="99" xr:uid="{00000000-0005-0000-0000-000068000000}"/>
    <cellStyle name="40% - Accent1 2 2 2" xfId="190" xr:uid="{00000000-0005-0000-0000-000069000000}"/>
    <cellStyle name="40% - Accent1 2 2 2 2" xfId="312" xr:uid="{00000000-0005-0000-0000-00006A000000}"/>
    <cellStyle name="40% - Accent1 2 2 3" xfId="251" xr:uid="{00000000-0005-0000-0000-00006B000000}"/>
    <cellStyle name="40% - Accent1 3" xfId="126" xr:uid="{00000000-0005-0000-0000-00006C000000}"/>
    <cellStyle name="40% - Accent1 3 2" xfId="203" xr:uid="{00000000-0005-0000-0000-00006D000000}"/>
    <cellStyle name="40% - Accent1 3 2 2" xfId="325" xr:uid="{00000000-0005-0000-0000-00006E000000}"/>
    <cellStyle name="40% - Accent1 3 3" xfId="264" xr:uid="{00000000-0005-0000-0000-00006F000000}"/>
    <cellStyle name="40% - Accent1 4" xfId="151" xr:uid="{00000000-0005-0000-0000-000070000000}"/>
    <cellStyle name="40% - Accent1 4 2" xfId="217" xr:uid="{00000000-0005-0000-0000-000071000000}"/>
    <cellStyle name="40% - Accent1 4 2 2" xfId="339" xr:uid="{00000000-0005-0000-0000-000072000000}"/>
    <cellStyle name="40% - Accent1 4 3" xfId="278" xr:uid="{00000000-0005-0000-0000-000073000000}"/>
    <cellStyle name="40% - Accent1 5" xfId="169" xr:uid="{00000000-0005-0000-0000-000074000000}"/>
    <cellStyle name="40% - Accent1 5 2" xfId="294" xr:uid="{00000000-0005-0000-0000-000075000000}"/>
    <cellStyle name="40% - Accent1 6" xfId="234" xr:uid="{00000000-0005-0000-0000-000076000000}"/>
    <cellStyle name="40% - Accent2" xfId="25" builtinId="35" customBuiltin="1"/>
    <cellStyle name="40% - Accent2 2" xfId="51" xr:uid="{00000000-0005-0000-0000-000078000000}"/>
    <cellStyle name="40% - Accent2 2 2" xfId="101" xr:uid="{00000000-0005-0000-0000-000079000000}"/>
    <cellStyle name="40% - Accent2 2 2 2" xfId="192" xr:uid="{00000000-0005-0000-0000-00007A000000}"/>
    <cellStyle name="40% - Accent2 2 2 2 2" xfId="314" xr:uid="{00000000-0005-0000-0000-00007B000000}"/>
    <cellStyle name="40% - Accent2 2 2 3" xfId="253" xr:uid="{00000000-0005-0000-0000-00007C000000}"/>
    <cellStyle name="40% - Accent2 3" xfId="130" xr:uid="{00000000-0005-0000-0000-00007D000000}"/>
    <cellStyle name="40% - Accent2 3 2" xfId="205" xr:uid="{00000000-0005-0000-0000-00007E000000}"/>
    <cellStyle name="40% - Accent2 3 2 2" xfId="327" xr:uid="{00000000-0005-0000-0000-00007F000000}"/>
    <cellStyle name="40% - Accent2 3 3" xfId="266" xr:uid="{00000000-0005-0000-0000-000080000000}"/>
    <cellStyle name="40% - Accent2 4" xfId="153" xr:uid="{00000000-0005-0000-0000-000081000000}"/>
    <cellStyle name="40% - Accent2 4 2" xfId="219" xr:uid="{00000000-0005-0000-0000-000082000000}"/>
    <cellStyle name="40% - Accent2 4 2 2" xfId="341" xr:uid="{00000000-0005-0000-0000-000083000000}"/>
    <cellStyle name="40% - Accent2 4 3" xfId="280" xr:uid="{00000000-0005-0000-0000-000084000000}"/>
    <cellStyle name="40% - Accent2 5" xfId="171" xr:uid="{00000000-0005-0000-0000-000085000000}"/>
    <cellStyle name="40% - Accent2 5 2" xfId="296" xr:uid="{00000000-0005-0000-0000-000086000000}"/>
    <cellStyle name="40% - Accent2 6" xfId="236" xr:uid="{00000000-0005-0000-0000-000087000000}"/>
    <cellStyle name="40% - Accent3" xfId="29" builtinId="39" customBuiltin="1"/>
    <cellStyle name="40% - Accent3 2" xfId="52" xr:uid="{00000000-0005-0000-0000-000089000000}"/>
    <cellStyle name="40% - Accent3 2 2" xfId="103" xr:uid="{00000000-0005-0000-0000-00008A000000}"/>
    <cellStyle name="40% - Accent3 2 2 2" xfId="194" xr:uid="{00000000-0005-0000-0000-00008B000000}"/>
    <cellStyle name="40% - Accent3 2 2 2 2" xfId="316" xr:uid="{00000000-0005-0000-0000-00008C000000}"/>
    <cellStyle name="40% - Accent3 2 2 3" xfId="255" xr:uid="{00000000-0005-0000-0000-00008D000000}"/>
    <cellStyle name="40% - Accent3 3" xfId="134" xr:uid="{00000000-0005-0000-0000-00008E000000}"/>
    <cellStyle name="40% - Accent3 3 2" xfId="207" xr:uid="{00000000-0005-0000-0000-00008F000000}"/>
    <cellStyle name="40% - Accent3 3 2 2" xfId="329" xr:uid="{00000000-0005-0000-0000-000090000000}"/>
    <cellStyle name="40% - Accent3 3 3" xfId="268" xr:uid="{00000000-0005-0000-0000-000091000000}"/>
    <cellStyle name="40% - Accent3 4" xfId="155" xr:uid="{00000000-0005-0000-0000-000092000000}"/>
    <cellStyle name="40% - Accent3 4 2" xfId="221" xr:uid="{00000000-0005-0000-0000-000093000000}"/>
    <cellStyle name="40% - Accent3 4 2 2" xfId="343" xr:uid="{00000000-0005-0000-0000-000094000000}"/>
    <cellStyle name="40% - Accent3 4 3" xfId="282" xr:uid="{00000000-0005-0000-0000-000095000000}"/>
    <cellStyle name="40% - Accent3 5" xfId="173" xr:uid="{00000000-0005-0000-0000-000096000000}"/>
    <cellStyle name="40% - Accent3 5 2" xfId="298" xr:uid="{00000000-0005-0000-0000-000097000000}"/>
    <cellStyle name="40% - Accent3 6" xfId="238" xr:uid="{00000000-0005-0000-0000-000098000000}"/>
    <cellStyle name="40% - Accent4" xfId="33" builtinId="43" customBuiltin="1"/>
    <cellStyle name="40% - Accent4 2" xfId="53" xr:uid="{00000000-0005-0000-0000-00009A000000}"/>
    <cellStyle name="40% - Accent4 2 2" xfId="105" xr:uid="{00000000-0005-0000-0000-00009B000000}"/>
    <cellStyle name="40% - Accent4 2 2 2" xfId="196" xr:uid="{00000000-0005-0000-0000-00009C000000}"/>
    <cellStyle name="40% - Accent4 2 2 2 2" xfId="318" xr:uid="{00000000-0005-0000-0000-00009D000000}"/>
    <cellStyle name="40% - Accent4 2 2 3" xfId="257" xr:uid="{00000000-0005-0000-0000-00009E000000}"/>
    <cellStyle name="40% - Accent4 3" xfId="138" xr:uid="{00000000-0005-0000-0000-00009F000000}"/>
    <cellStyle name="40% - Accent4 3 2" xfId="209" xr:uid="{00000000-0005-0000-0000-0000A0000000}"/>
    <cellStyle name="40% - Accent4 3 2 2" xfId="331" xr:uid="{00000000-0005-0000-0000-0000A1000000}"/>
    <cellStyle name="40% - Accent4 3 3" xfId="270" xr:uid="{00000000-0005-0000-0000-0000A2000000}"/>
    <cellStyle name="40% - Accent4 4" xfId="157" xr:uid="{00000000-0005-0000-0000-0000A3000000}"/>
    <cellStyle name="40% - Accent4 4 2" xfId="223" xr:uid="{00000000-0005-0000-0000-0000A4000000}"/>
    <cellStyle name="40% - Accent4 4 2 2" xfId="345" xr:uid="{00000000-0005-0000-0000-0000A5000000}"/>
    <cellStyle name="40% - Accent4 4 3" xfId="284" xr:uid="{00000000-0005-0000-0000-0000A6000000}"/>
    <cellStyle name="40% - Accent4 5" xfId="175" xr:uid="{00000000-0005-0000-0000-0000A7000000}"/>
    <cellStyle name="40% - Accent4 5 2" xfId="300" xr:uid="{00000000-0005-0000-0000-0000A8000000}"/>
    <cellStyle name="40% - Accent4 6" xfId="240" xr:uid="{00000000-0005-0000-0000-0000A9000000}"/>
    <cellStyle name="40% - Accent5" xfId="37" builtinId="47" customBuiltin="1"/>
    <cellStyle name="40% - Accent5 2" xfId="54" xr:uid="{00000000-0005-0000-0000-0000AB000000}"/>
    <cellStyle name="40% - Accent5 2 2" xfId="107" xr:uid="{00000000-0005-0000-0000-0000AC000000}"/>
    <cellStyle name="40% - Accent5 2 2 2" xfId="198" xr:uid="{00000000-0005-0000-0000-0000AD000000}"/>
    <cellStyle name="40% - Accent5 2 2 2 2" xfId="320" xr:uid="{00000000-0005-0000-0000-0000AE000000}"/>
    <cellStyle name="40% - Accent5 2 2 3" xfId="259" xr:uid="{00000000-0005-0000-0000-0000AF000000}"/>
    <cellStyle name="40% - Accent5 3" xfId="142" xr:uid="{00000000-0005-0000-0000-0000B0000000}"/>
    <cellStyle name="40% - Accent5 3 2" xfId="211" xr:uid="{00000000-0005-0000-0000-0000B1000000}"/>
    <cellStyle name="40% - Accent5 3 2 2" xfId="333" xr:uid="{00000000-0005-0000-0000-0000B2000000}"/>
    <cellStyle name="40% - Accent5 3 3" xfId="272" xr:uid="{00000000-0005-0000-0000-0000B3000000}"/>
    <cellStyle name="40% - Accent5 4" xfId="159" xr:uid="{00000000-0005-0000-0000-0000B4000000}"/>
    <cellStyle name="40% - Accent5 4 2" xfId="225" xr:uid="{00000000-0005-0000-0000-0000B5000000}"/>
    <cellStyle name="40% - Accent5 4 2 2" xfId="347" xr:uid="{00000000-0005-0000-0000-0000B6000000}"/>
    <cellStyle name="40% - Accent5 4 3" xfId="286" xr:uid="{00000000-0005-0000-0000-0000B7000000}"/>
    <cellStyle name="40% - Accent5 5" xfId="177" xr:uid="{00000000-0005-0000-0000-0000B8000000}"/>
    <cellStyle name="40% - Accent5 5 2" xfId="302" xr:uid="{00000000-0005-0000-0000-0000B9000000}"/>
    <cellStyle name="40% - Accent5 6" xfId="242" xr:uid="{00000000-0005-0000-0000-0000BA000000}"/>
    <cellStyle name="40% - Accent6" xfId="41" builtinId="51" customBuiltin="1"/>
    <cellStyle name="40% - Accent6 2" xfId="55" xr:uid="{00000000-0005-0000-0000-0000BC000000}"/>
    <cellStyle name="40% - Accent6 2 2" xfId="109" xr:uid="{00000000-0005-0000-0000-0000BD000000}"/>
    <cellStyle name="40% - Accent6 2 2 2" xfId="200" xr:uid="{00000000-0005-0000-0000-0000BE000000}"/>
    <cellStyle name="40% - Accent6 2 2 2 2" xfId="322" xr:uid="{00000000-0005-0000-0000-0000BF000000}"/>
    <cellStyle name="40% - Accent6 2 2 3" xfId="261" xr:uid="{00000000-0005-0000-0000-0000C0000000}"/>
    <cellStyle name="40% - Accent6 3" xfId="146" xr:uid="{00000000-0005-0000-0000-0000C1000000}"/>
    <cellStyle name="40% - Accent6 3 2" xfId="213" xr:uid="{00000000-0005-0000-0000-0000C2000000}"/>
    <cellStyle name="40% - Accent6 3 2 2" xfId="335" xr:uid="{00000000-0005-0000-0000-0000C3000000}"/>
    <cellStyle name="40% - Accent6 3 3" xfId="274" xr:uid="{00000000-0005-0000-0000-0000C4000000}"/>
    <cellStyle name="40% - Accent6 4" xfId="161" xr:uid="{00000000-0005-0000-0000-0000C5000000}"/>
    <cellStyle name="40% - Accent6 4 2" xfId="227" xr:uid="{00000000-0005-0000-0000-0000C6000000}"/>
    <cellStyle name="40% - Accent6 4 2 2" xfId="349" xr:uid="{00000000-0005-0000-0000-0000C7000000}"/>
    <cellStyle name="40% - Accent6 4 3" xfId="288" xr:uid="{00000000-0005-0000-0000-0000C8000000}"/>
    <cellStyle name="40% - Accent6 5" xfId="179" xr:uid="{00000000-0005-0000-0000-0000C9000000}"/>
    <cellStyle name="40% - Accent6 5 2" xfId="304" xr:uid="{00000000-0005-0000-0000-0000CA000000}"/>
    <cellStyle name="40% - Accent6 6" xfId="244" xr:uid="{00000000-0005-0000-0000-0000CB000000}"/>
    <cellStyle name="60% - Accent1" xfId="22" builtinId="32" customBuiltin="1"/>
    <cellStyle name="60% - Accent1 2" xfId="56" xr:uid="{00000000-0005-0000-0000-0000CD000000}"/>
    <cellStyle name="60% - Accent1 2 2" xfId="127" xr:uid="{00000000-0005-0000-0000-0000CE000000}"/>
    <cellStyle name="60% - Accent2" xfId="26" builtinId="36" customBuiltin="1"/>
    <cellStyle name="60% - Accent2 2" xfId="57" xr:uid="{00000000-0005-0000-0000-0000D0000000}"/>
    <cellStyle name="60% - Accent2 2 2" xfId="131" xr:uid="{00000000-0005-0000-0000-0000D1000000}"/>
    <cellStyle name="60% - Accent3" xfId="30" builtinId="40" customBuiltin="1"/>
    <cellStyle name="60% - Accent3 2" xfId="58" xr:uid="{00000000-0005-0000-0000-0000D3000000}"/>
    <cellStyle name="60% - Accent3 2 2" xfId="135" xr:uid="{00000000-0005-0000-0000-0000D4000000}"/>
    <cellStyle name="60% - Accent4" xfId="34" builtinId="44" customBuiltin="1"/>
    <cellStyle name="60% - Accent4 2" xfId="59" xr:uid="{00000000-0005-0000-0000-0000D6000000}"/>
    <cellStyle name="60% - Accent4 2 2" xfId="139" xr:uid="{00000000-0005-0000-0000-0000D7000000}"/>
    <cellStyle name="60% - Accent5" xfId="38" builtinId="48" customBuiltin="1"/>
    <cellStyle name="60% - Accent5 2" xfId="60" xr:uid="{00000000-0005-0000-0000-0000D9000000}"/>
    <cellStyle name="60% - Accent5 2 2" xfId="143" xr:uid="{00000000-0005-0000-0000-0000DA000000}"/>
    <cellStyle name="60% - Accent6" xfId="42" builtinId="52" customBuiltin="1"/>
    <cellStyle name="60% - Accent6 2" xfId="61" xr:uid="{00000000-0005-0000-0000-0000DC000000}"/>
    <cellStyle name="60% - Accent6 2 2" xfId="147" xr:uid="{00000000-0005-0000-0000-0000DD000000}"/>
    <cellStyle name="Accent1" xfId="19" builtinId="29" customBuiltin="1"/>
    <cellStyle name="Accent1 2" xfId="62" xr:uid="{00000000-0005-0000-0000-0000DF000000}"/>
    <cellStyle name="Accent1 2 2" xfId="124" xr:uid="{00000000-0005-0000-0000-0000E0000000}"/>
    <cellStyle name="Accent2" xfId="23" builtinId="33" customBuiltin="1"/>
    <cellStyle name="Accent2 2" xfId="63" xr:uid="{00000000-0005-0000-0000-0000E2000000}"/>
    <cellStyle name="Accent2 2 2" xfId="128" xr:uid="{00000000-0005-0000-0000-0000E3000000}"/>
    <cellStyle name="Accent3" xfId="27" builtinId="37" customBuiltin="1"/>
    <cellStyle name="Accent3 2" xfId="64" xr:uid="{00000000-0005-0000-0000-0000E5000000}"/>
    <cellStyle name="Accent3 2 2" xfId="132" xr:uid="{00000000-0005-0000-0000-0000E6000000}"/>
    <cellStyle name="Accent4" xfId="31" builtinId="41" customBuiltin="1"/>
    <cellStyle name="Accent4 2" xfId="65" xr:uid="{00000000-0005-0000-0000-0000E8000000}"/>
    <cellStyle name="Accent4 2 2" xfId="136" xr:uid="{00000000-0005-0000-0000-0000E9000000}"/>
    <cellStyle name="Accent5" xfId="35" builtinId="45" customBuiltin="1"/>
    <cellStyle name="Accent5 2" xfId="66" xr:uid="{00000000-0005-0000-0000-0000EB000000}"/>
    <cellStyle name="Accent5 2 2" xfId="140" xr:uid="{00000000-0005-0000-0000-0000EC000000}"/>
    <cellStyle name="Accent6" xfId="39" builtinId="49" customBuiltin="1"/>
    <cellStyle name="Accent6 2" xfId="67" xr:uid="{00000000-0005-0000-0000-0000EE000000}"/>
    <cellStyle name="Accent6 2 2" xfId="144" xr:uid="{00000000-0005-0000-0000-0000EF000000}"/>
    <cellStyle name="Bad" xfId="9" builtinId="27" customBuiltin="1"/>
    <cellStyle name="Bad 2" xfId="68" xr:uid="{00000000-0005-0000-0000-0000F1000000}"/>
    <cellStyle name="Bad 2 2" xfId="113" xr:uid="{00000000-0005-0000-0000-0000F2000000}"/>
    <cellStyle name="Calculation" xfId="13" builtinId="22" customBuiltin="1"/>
    <cellStyle name="Calculation 2" xfId="69" xr:uid="{00000000-0005-0000-0000-0000F4000000}"/>
    <cellStyle name="Calculation 2 2" xfId="117" xr:uid="{00000000-0005-0000-0000-0000F5000000}"/>
    <cellStyle name="Check Cell" xfId="15" builtinId="23" customBuiltin="1"/>
    <cellStyle name="Check Cell 2" xfId="70" xr:uid="{00000000-0005-0000-0000-0000F7000000}"/>
    <cellStyle name="Check Cell 2 2" xfId="119" xr:uid="{00000000-0005-0000-0000-0000F8000000}"/>
    <cellStyle name="Comma 2" xfId="181" xr:uid="{00000000-0005-0000-0000-0000F9000000}"/>
    <cellStyle name="Comma 3" xfId="86" xr:uid="{00000000-0005-0000-0000-0000FA000000}"/>
    <cellStyle name="Currency" xfId="1" builtinId="4"/>
    <cellStyle name="Currency 2" xfId="94" xr:uid="{00000000-0005-0000-0000-0000FC000000}"/>
    <cellStyle name="Currency 3" xfId="163" xr:uid="{00000000-0005-0000-0000-0000FD000000}"/>
    <cellStyle name="Currency 4" xfId="162" xr:uid="{00000000-0005-0000-0000-0000FE000000}"/>
    <cellStyle name="Currency 4 2" xfId="228" xr:uid="{00000000-0005-0000-0000-0000FF000000}"/>
    <cellStyle name="Currency 4 2 2" xfId="350" xr:uid="{00000000-0005-0000-0000-000000010000}"/>
    <cellStyle name="Currency 4 3" xfId="289" xr:uid="{00000000-0005-0000-0000-000001010000}"/>
    <cellStyle name="Currency 5" xfId="91" xr:uid="{00000000-0005-0000-0000-000002010000}"/>
    <cellStyle name="Currency 6" xfId="165" xr:uid="{00000000-0005-0000-0000-000003010000}"/>
    <cellStyle name="Currency 6 2" xfId="229" xr:uid="{00000000-0005-0000-0000-000004010000}"/>
    <cellStyle name="Currency 6 2 2" xfId="351" xr:uid="{00000000-0005-0000-0000-000005010000}"/>
    <cellStyle name="Currency 6 3" xfId="290" xr:uid="{00000000-0005-0000-0000-000006010000}"/>
    <cellStyle name="Currency 7" xfId="183" xr:uid="{00000000-0005-0000-0000-000007010000}"/>
    <cellStyle name="Currency 7 2" xfId="356" xr:uid="{00000000-0005-0000-0000-000008010000}"/>
    <cellStyle name="Currency 8" xfId="167" xr:uid="{00000000-0005-0000-0000-000009010000}"/>
    <cellStyle name="Currency 8 2" xfId="292" xr:uid="{00000000-0005-0000-0000-00000A010000}"/>
    <cellStyle name="Currency 9" xfId="88" xr:uid="{00000000-0005-0000-0000-00000B010000}"/>
    <cellStyle name="Currency 9 2" xfId="354" xr:uid="{00000000-0005-0000-0000-00000C010000}"/>
    <cellStyle name="Explanatory Text" xfId="17" builtinId="53" customBuiltin="1"/>
    <cellStyle name="Explanatory Text 2" xfId="71" xr:uid="{00000000-0005-0000-0000-00000E010000}"/>
    <cellStyle name="Explanatory Text 2 2" xfId="122" xr:uid="{00000000-0005-0000-0000-00000F010000}"/>
    <cellStyle name="Good" xfId="8" builtinId="26" customBuiltin="1"/>
    <cellStyle name="Good 2" xfId="72" xr:uid="{00000000-0005-0000-0000-000011010000}"/>
    <cellStyle name="Good 2 2" xfId="112" xr:uid="{00000000-0005-0000-0000-000012010000}"/>
    <cellStyle name="Heading 1" xfId="4" builtinId="16" customBuiltin="1"/>
    <cellStyle name="Heading 1 2" xfId="73" xr:uid="{00000000-0005-0000-0000-000014010000}"/>
    <cellStyle name="Heading 2" xfId="5" builtinId="17" customBuiltin="1"/>
    <cellStyle name="Heading 2 2" xfId="74" xr:uid="{00000000-0005-0000-0000-000016010000}"/>
    <cellStyle name="Heading 3" xfId="6" builtinId="18" customBuiltin="1"/>
    <cellStyle name="Heading 3 2" xfId="75" xr:uid="{00000000-0005-0000-0000-000018010000}"/>
    <cellStyle name="Heading 4" xfId="7" builtinId="19" customBuiltin="1"/>
    <cellStyle name="Heading 4 2" xfId="76" xr:uid="{00000000-0005-0000-0000-00001A010000}"/>
    <cellStyle name="Hyperlink" xfId="2" builtinId="8"/>
    <cellStyle name="Input" xfId="11" builtinId="20" customBuiltin="1"/>
    <cellStyle name="Input 2" xfId="77" xr:uid="{00000000-0005-0000-0000-00001D010000}"/>
    <cellStyle name="Input 2 2" xfId="115" xr:uid="{00000000-0005-0000-0000-00001E010000}"/>
    <cellStyle name="Linked Cell" xfId="14" builtinId="24" customBuiltin="1"/>
    <cellStyle name="Linked Cell 2" xfId="78" xr:uid="{00000000-0005-0000-0000-000020010000}"/>
    <cellStyle name="Linked Cell 2 2" xfId="118" xr:uid="{00000000-0005-0000-0000-000021010000}"/>
    <cellStyle name="Neutral" xfId="10" builtinId="28" customBuiltin="1"/>
    <cellStyle name="Neutral 2" xfId="79" xr:uid="{00000000-0005-0000-0000-000023010000}"/>
    <cellStyle name="Neutral 2 2" xfId="114" xr:uid="{00000000-0005-0000-0000-000024010000}"/>
    <cellStyle name="Normal" xfId="0" builtinId="0"/>
    <cellStyle name="Normal 10" xfId="85" xr:uid="{00000000-0005-0000-0000-000026010000}"/>
    <cellStyle name="Normal 10 2" xfId="353" xr:uid="{00000000-0005-0000-0000-000027010000}"/>
    <cellStyle name="Normal 13" xfId="358" xr:uid="{00000000-0005-0000-0000-000028010000}"/>
    <cellStyle name="Normal 2" xfId="43" xr:uid="{00000000-0005-0000-0000-000029010000}"/>
    <cellStyle name="Normal 2 2" xfId="93" xr:uid="{00000000-0005-0000-0000-00002A010000}"/>
    <cellStyle name="Normal 2 2 2" xfId="185" xr:uid="{00000000-0005-0000-0000-00002B010000}"/>
    <cellStyle name="Normal 2 2 2 2" xfId="307" xr:uid="{00000000-0005-0000-0000-00002C010000}"/>
    <cellStyle name="Normal 2 2 3" xfId="246" xr:uid="{00000000-0005-0000-0000-00002D010000}"/>
    <cellStyle name="Normal 2 3" xfId="111" xr:uid="{00000000-0005-0000-0000-00002E010000}"/>
    <cellStyle name="Normal 3" xfId="87" xr:uid="{00000000-0005-0000-0000-00002F010000}"/>
    <cellStyle name="Normal 3 2" xfId="92" xr:uid="{00000000-0005-0000-0000-000030010000}"/>
    <cellStyle name="Normal 3 3" xfId="110" xr:uid="{00000000-0005-0000-0000-000031010000}"/>
    <cellStyle name="Normal 3 4" xfId="95" xr:uid="{00000000-0005-0000-0000-000032010000}"/>
    <cellStyle name="Normal 3 4 2" xfId="186" xr:uid="{00000000-0005-0000-0000-000033010000}"/>
    <cellStyle name="Normal 3 4 2 2" xfId="308" xr:uid="{00000000-0005-0000-0000-000034010000}"/>
    <cellStyle name="Normal 3 4 3" xfId="247" xr:uid="{00000000-0005-0000-0000-000035010000}"/>
    <cellStyle name="Normal 3 5" xfId="182" xr:uid="{00000000-0005-0000-0000-000036010000}"/>
    <cellStyle name="Normal 3 5 2" xfId="305" xr:uid="{00000000-0005-0000-0000-000037010000}"/>
    <cellStyle name="Normal 3 6" xfId="232" xr:uid="{00000000-0005-0000-0000-000038010000}"/>
    <cellStyle name="Normal 4" xfId="164" xr:uid="{00000000-0005-0000-0000-000039010000}"/>
    <cellStyle name="Normal 5" xfId="148" xr:uid="{00000000-0005-0000-0000-00003A010000}"/>
    <cellStyle name="Normal 5 2" xfId="214" xr:uid="{00000000-0005-0000-0000-00003B010000}"/>
    <cellStyle name="Normal 5 2 2" xfId="336" xr:uid="{00000000-0005-0000-0000-00003C010000}"/>
    <cellStyle name="Normal 5 3" xfId="275" xr:uid="{00000000-0005-0000-0000-00003D010000}"/>
    <cellStyle name="Normal 6" xfId="90" xr:uid="{00000000-0005-0000-0000-00003E010000}"/>
    <cellStyle name="Normal 7" xfId="89" xr:uid="{00000000-0005-0000-0000-00003F010000}"/>
    <cellStyle name="Normal 7 2" xfId="184" xr:uid="{00000000-0005-0000-0000-000040010000}"/>
    <cellStyle name="Normal 7 2 2" xfId="306" xr:uid="{00000000-0005-0000-0000-000041010000}"/>
    <cellStyle name="Normal 7 3" xfId="245" xr:uid="{00000000-0005-0000-0000-000042010000}"/>
    <cellStyle name="Normal 8" xfId="180" xr:uid="{00000000-0005-0000-0000-000043010000}"/>
    <cellStyle name="Normal 8 2" xfId="355" xr:uid="{00000000-0005-0000-0000-000044010000}"/>
    <cellStyle name="Normal 9" xfId="166" xr:uid="{00000000-0005-0000-0000-000045010000}"/>
    <cellStyle name="Normal 9 2" xfId="291" xr:uid="{00000000-0005-0000-0000-000046010000}"/>
    <cellStyle name="Note 2" xfId="80" xr:uid="{00000000-0005-0000-0000-000047010000}"/>
    <cellStyle name="Note 2 2" xfId="97" xr:uid="{00000000-0005-0000-0000-000048010000}"/>
    <cellStyle name="Note 2 2 2" xfId="188" xr:uid="{00000000-0005-0000-0000-000049010000}"/>
    <cellStyle name="Note 2 2 2 2" xfId="310" xr:uid="{00000000-0005-0000-0000-00004A010000}"/>
    <cellStyle name="Note 2 2 3" xfId="249" xr:uid="{00000000-0005-0000-0000-00004B010000}"/>
    <cellStyle name="Note 3" xfId="121" xr:uid="{00000000-0005-0000-0000-00004C010000}"/>
    <cellStyle name="Note 3 2" xfId="201" xr:uid="{00000000-0005-0000-0000-00004D010000}"/>
    <cellStyle name="Note 3 2 2" xfId="323" xr:uid="{00000000-0005-0000-0000-00004E010000}"/>
    <cellStyle name="Note 3 3" xfId="262" xr:uid="{00000000-0005-0000-0000-00004F010000}"/>
    <cellStyle name="Note 4" xfId="149" xr:uid="{00000000-0005-0000-0000-000050010000}"/>
    <cellStyle name="Note 4 2" xfId="215" xr:uid="{00000000-0005-0000-0000-000051010000}"/>
    <cellStyle name="Note 4 2 2" xfId="337" xr:uid="{00000000-0005-0000-0000-000052010000}"/>
    <cellStyle name="Note 4 3" xfId="276" xr:uid="{00000000-0005-0000-0000-000053010000}"/>
    <cellStyle name="Note 5" xfId="96" xr:uid="{00000000-0005-0000-0000-000054010000}"/>
    <cellStyle name="Note 5 2" xfId="187" xr:uid="{00000000-0005-0000-0000-000055010000}"/>
    <cellStyle name="Note 5 2 2" xfId="309" xr:uid="{00000000-0005-0000-0000-000056010000}"/>
    <cellStyle name="Note 5 3" xfId="248" xr:uid="{00000000-0005-0000-0000-000057010000}"/>
    <cellStyle name="Output" xfId="12" builtinId="21" customBuiltin="1"/>
    <cellStyle name="Output 2" xfId="81" xr:uid="{00000000-0005-0000-0000-000059010000}"/>
    <cellStyle name="Output 2 2" xfId="116" xr:uid="{00000000-0005-0000-0000-00005A010000}"/>
    <cellStyle name="Percent 2" xfId="230" xr:uid="{00000000-0005-0000-0000-00005C010000}"/>
    <cellStyle name="Percent 2 2" xfId="357" xr:uid="{00000000-0005-0000-0000-00005D010000}"/>
    <cellStyle name="Percent 5" xfId="231" xr:uid="{00000000-0005-0000-0000-00005E010000}"/>
    <cellStyle name="Percent 5 2" xfId="352" xr:uid="{00000000-0005-0000-0000-00005F010000}"/>
    <cellStyle name="Title" xfId="3" builtinId="15" customBuiltin="1"/>
    <cellStyle name="Title 2" xfId="82" xr:uid="{00000000-0005-0000-0000-000061010000}"/>
    <cellStyle name="Total" xfId="18" builtinId="25" customBuiltin="1"/>
    <cellStyle name="Total 2" xfId="83" xr:uid="{00000000-0005-0000-0000-000063010000}"/>
    <cellStyle name="Total 2 2" xfId="123" xr:uid="{00000000-0005-0000-0000-000064010000}"/>
    <cellStyle name="Warning Text" xfId="16" builtinId="11" customBuiltin="1"/>
    <cellStyle name="Warning Text 2" xfId="84" xr:uid="{00000000-0005-0000-0000-000066010000}"/>
    <cellStyle name="Warning Text 2 2" xfId="120" xr:uid="{00000000-0005-0000-0000-000067010000}"/>
  </cellStyles>
  <dxfs count="5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D1D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B9B"/>
      <color rgb="FFFFD1D1"/>
      <color rgb="FFA7A7FF"/>
      <color rgb="FFCCCCFF"/>
      <color rgb="FFD3A7FF"/>
      <color rgb="FFCC99FF"/>
      <color rgb="FF9797FF"/>
      <color rgb="FF9999FF"/>
      <color rgb="FFE7E7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pageSetUpPr fitToPage="1"/>
  </sheetPr>
  <dimension ref="A1:R122"/>
  <sheetViews>
    <sheetView tabSelected="1" view="pageLayout" zoomScaleNormal="90" workbookViewId="0">
      <selection activeCell="J74" sqref="J74"/>
    </sheetView>
  </sheetViews>
  <sheetFormatPr defaultRowHeight="15.75"/>
  <cols>
    <col min="1" max="1" width="14.42578125" style="36" customWidth="1"/>
    <col min="2" max="2" width="8.85546875" style="61" bestFit="1" customWidth="1"/>
    <col min="3" max="3" width="11.7109375" style="61" bestFit="1" customWidth="1"/>
    <col min="4" max="4" width="22.7109375" style="53" bestFit="1" customWidth="1"/>
    <col min="5" max="5" width="33.42578125" style="12" bestFit="1" customWidth="1"/>
    <col min="6" max="6" width="14" style="12" customWidth="1"/>
    <col min="7" max="7" width="7" style="12" customWidth="1"/>
    <col min="8" max="8" width="10.42578125" style="14" customWidth="1"/>
    <col min="9" max="9" width="5.7109375" style="12" customWidth="1"/>
    <col min="10" max="10" width="15.7109375" style="37" customWidth="1"/>
    <col min="11" max="11" width="16.85546875" style="37" bestFit="1" customWidth="1"/>
    <col min="12" max="12" width="12.5703125" style="16" customWidth="1"/>
    <col min="13" max="16" width="13.140625" style="12" customWidth="1"/>
    <col min="17" max="17" width="13.85546875" style="38" customWidth="1"/>
    <col min="18" max="18" width="16.85546875" style="38" customWidth="1"/>
    <col min="19" max="16384" width="9.140625" style="15"/>
  </cols>
  <sheetData>
    <row r="1" spans="1:18">
      <c r="A1" s="13" t="s">
        <v>11</v>
      </c>
      <c r="C1" s="62"/>
      <c r="J1" s="44"/>
      <c r="K1" s="45"/>
      <c r="M1" s="38"/>
      <c r="N1" s="38"/>
      <c r="O1" s="38"/>
      <c r="P1" s="38"/>
    </row>
    <row r="2" spans="1:18" ht="17.25" customHeight="1">
      <c r="A2" s="13" t="s">
        <v>36</v>
      </c>
      <c r="C2" s="62"/>
      <c r="J2" s="44"/>
      <c r="K2" s="46"/>
      <c r="Q2" s="15"/>
      <c r="R2" s="15"/>
    </row>
    <row r="3" spans="1:18" s="43" customFormat="1" ht="57.75" customHeight="1">
      <c r="A3" s="17" t="s">
        <v>8</v>
      </c>
      <c r="B3" s="40" t="s">
        <v>0</v>
      </c>
      <c r="C3" s="40" t="s">
        <v>7</v>
      </c>
      <c r="D3" s="41" t="s">
        <v>1</v>
      </c>
      <c r="E3" s="18" t="s">
        <v>2</v>
      </c>
      <c r="F3" s="18" t="s">
        <v>328</v>
      </c>
      <c r="G3" s="18" t="s">
        <v>329</v>
      </c>
      <c r="H3" s="19" t="s">
        <v>32</v>
      </c>
      <c r="I3" s="18" t="s">
        <v>3</v>
      </c>
      <c r="J3" s="42" t="s">
        <v>4</v>
      </c>
      <c r="K3" s="73" t="s">
        <v>5</v>
      </c>
      <c r="L3" s="20" t="s">
        <v>6</v>
      </c>
      <c r="M3" s="20" t="s">
        <v>9</v>
      </c>
      <c r="N3" s="20" t="s">
        <v>342</v>
      </c>
      <c r="O3" s="20" t="s">
        <v>343</v>
      </c>
      <c r="P3" s="20" t="s">
        <v>344</v>
      </c>
      <c r="Q3" s="20" t="s">
        <v>10</v>
      </c>
      <c r="R3" s="20" t="s">
        <v>327</v>
      </c>
    </row>
    <row r="4" spans="1:18">
      <c r="A4" s="21">
        <v>1</v>
      </c>
      <c r="B4" s="51">
        <v>5305</v>
      </c>
      <c r="C4" s="59" t="s">
        <v>41</v>
      </c>
      <c r="D4" s="51" t="s">
        <v>157</v>
      </c>
      <c r="E4" s="51" t="s">
        <v>270</v>
      </c>
      <c r="F4" s="63" t="s">
        <v>330</v>
      </c>
      <c r="G4" s="64" t="s">
        <v>331</v>
      </c>
      <c r="H4" s="51">
        <v>500</v>
      </c>
      <c r="I4" s="22" t="s">
        <v>12</v>
      </c>
      <c r="J4" s="47">
        <v>0</v>
      </c>
      <c r="K4" s="48">
        <f>SUM(J4*H4)</f>
        <v>0</v>
      </c>
      <c r="L4" s="24"/>
      <c r="M4" s="23"/>
      <c r="N4" s="23"/>
      <c r="O4" s="23"/>
      <c r="P4" s="23"/>
      <c r="Q4" s="25" t="s">
        <v>33</v>
      </c>
      <c r="R4" s="26" t="s">
        <v>34</v>
      </c>
    </row>
    <row r="5" spans="1:18" ht="15.75" customHeight="1">
      <c r="A5" s="21">
        <v>2</v>
      </c>
      <c r="B5" s="51">
        <v>5305</v>
      </c>
      <c r="C5" s="59" t="s">
        <v>42</v>
      </c>
      <c r="D5" s="51" t="s">
        <v>158</v>
      </c>
      <c r="E5" s="51" t="s">
        <v>271</v>
      </c>
      <c r="F5" s="63" t="s">
        <v>330</v>
      </c>
      <c r="G5" s="65" t="s">
        <v>332</v>
      </c>
      <c r="H5" s="54">
        <v>150</v>
      </c>
      <c r="I5" s="22" t="s">
        <v>12</v>
      </c>
      <c r="J5" s="47">
        <v>0</v>
      </c>
      <c r="K5" s="48">
        <f t="shared" ref="K5:K67" si="0">SUM(J5*H5)</f>
        <v>0</v>
      </c>
      <c r="L5" s="24"/>
      <c r="M5" s="23"/>
      <c r="N5" s="23"/>
      <c r="O5" s="23"/>
      <c r="P5" s="23"/>
      <c r="Q5" s="25" t="s">
        <v>33</v>
      </c>
      <c r="R5" s="26" t="s">
        <v>34</v>
      </c>
    </row>
    <row r="6" spans="1:18" ht="15.75" customHeight="1">
      <c r="A6" s="21">
        <v>3</v>
      </c>
      <c r="B6" s="51" t="s">
        <v>19</v>
      </c>
      <c r="C6" s="54" t="s">
        <v>43</v>
      </c>
      <c r="D6" s="51" t="s">
        <v>159</v>
      </c>
      <c r="E6" s="51" t="s">
        <v>272</v>
      </c>
      <c r="F6" s="63" t="s">
        <v>330</v>
      </c>
      <c r="G6" s="64" t="s">
        <v>333</v>
      </c>
      <c r="H6" s="51">
        <v>75</v>
      </c>
      <c r="I6" s="22" t="s">
        <v>12</v>
      </c>
      <c r="J6" s="47">
        <v>0</v>
      </c>
      <c r="K6" s="48">
        <f t="shared" si="0"/>
        <v>0</v>
      </c>
      <c r="L6" s="24"/>
      <c r="M6" s="23"/>
      <c r="N6" s="23"/>
      <c r="O6" s="23"/>
      <c r="P6" s="23"/>
      <c r="Q6" s="25" t="s">
        <v>33</v>
      </c>
      <c r="R6" s="26" t="s">
        <v>34</v>
      </c>
    </row>
    <row r="7" spans="1:18" ht="15.75" customHeight="1">
      <c r="A7" s="21">
        <v>4</v>
      </c>
      <c r="B7" s="51" t="s">
        <v>20</v>
      </c>
      <c r="C7" s="54" t="s">
        <v>44</v>
      </c>
      <c r="D7" s="51" t="s">
        <v>160</v>
      </c>
      <c r="E7" s="51" t="s">
        <v>270</v>
      </c>
      <c r="F7" s="63" t="s">
        <v>330</v>
      </c>
      <c r="G7" s="64" t="s">
        <v>332</v>
      </c>
      <c r="H7" s="51">
        <v>600</v>
      </c>
      <c r="I7" s="22" t="s">
        <v>12</v>
      </c>
      <c r="J7" s="47">
        <v>0</v>
      </c>
      <c r="K7" s="48">
        <f>SUM(J7*H7)</f>
        <v>0</v>
      </c>
      <c r="L7" s="24"/>
      <c r="M7" s="23"/>
      <c r="N7" s="23"/>
      <c r="O7" s="23"/>
      <c r="P7" s="23"/>
      <c r="Q7" s="25" t="s">
        <v>33</v>
      </c>
      <c r="R7" s="26" t="s">
        <v>34</v>
      </c>
    </row>
    <row r="8" spans="1:18" ht="15.75" customHeight="1">
      <c r="A8" s="21">
        <v>5</v>
      </c>
      <c r="B8" s="51" t="s">
        <v>20</v>
      </c>
      <c r="C8" s="54" t="s">
        <v>45</v>
      </c>
      <c r="D8" s="51" t="s">
        <v>161</v>
      </c>
      <c r="E8" s="51" t="s">
        <v>270</v>
      </c>
      <c r="F8" s="63" t="s">
        <v>330</v>
      </c>
      <c r="G8" s="64" t="s">
        <v>334</v>
      </c>
      <c r="H8" s="51">
        <v>550</v>
      </c>
      <c r="I8" s="22" t="s">
        <v>12</v>
      </c>
      <c r="J8" s="47">
        <v>0</v>
      </c>
      <c r="K8" s="48">
        <f t="shared" si="0"/>
        <v>0</v>
      </c>
      <c r="L8" s="24"/>
      <c r="M8" s="23"/>
      <c r="N8" s="23"/>
      <c r="O8" s="23"/>
      <c r="P8" s="23"/>
      <c r="Q8" s="25" t="s">
        <v>33</v>
      </c>
      <c r="R8" s="26" t="s">
        <v>34</v>
      </c>
    </row>
    <row r="9" spans="1:18" ht="15.75" customHeight="1">
      <c r="A9" s="21">
        <v>6</v>
      </c>
      <c r="B9" s="51" t="s">
        <v>18</v>
      </c>
      <c r="C9" s="54" t="s">
        <v>46</v>
      </c>
      <c r="D9" s="51" t="s">
        <v>162</v>
      </c>
      <c r="E9" s="51" t="s">
        <v>273</v>
      </c>
      <c r="F9" s="63" t="s">
        <v>330</v>
      </c>
      <c r="G9" s="64" t="s">
        <v>334</v>
      </c>
      <c r="H9" s="51" t="s">
        <v>316</v>
      </c>
      <c r="I9" s="22" t="s">
        <v>12</v>
      </c>
      <c r="J9" s="47">
        <v>0</v>
      </c>
      <c r="K9" s="48">
        <f t="shared" si="0"/>
        <v>0</v>
      </c>
      <c r="L9" s="24"/>
      <c r="M9" s="23"/>
      <c r="N9" s="23"/>
      <c r="O9" s="23"/>
      <c r="P9" s="23"/>
      <c r="Q9" s="25" t="s">
        <v>33</v>
      </c>
      <c r="R9" s="26" t="s">
        <v>34</v>
      </c>
    </row>
    <row r="10" spans="1:18" ht="15.75" customHeight="1">
      <c r="A10" s="21">
        <v>7</v>
      </c>
      <c r="B10" s="51" t="s">
        <v>18</v>
      </c>
      <c r="C10" s="54" t="s">
        <v>47</v>
      </c>
      <c r="D10" s="51" t="s">
        <v>163</v>
      </c>
      <c r="E10" s="51" t="s">
        <v>274</v>
      </c>
      <c r="F10" s="63" t="s">
        <v>330</v>
      </c>
      <c r="G10" s="64" t="s">
        <v>332</v>
      </c>
      <c r="H10" s="51">
        <v>200</v>
      </c>
      <c r="I10" s="22" t="s">
        <v>12</v>
      </c>
      <c r="J10" s="47">
        <v>0</v>
      </c>
      <c r="K10" s="48">
        <f t="shared" si="0"/>
        <v>0</v>
      </c>
      <c r="L10" s="24"/>
      <c r="M10" s="23"/>
      <c r="N10" s="23"/>
      <c r="O10" s="23"/>
      <c r="P10" s="23"/>
      <c r="Q10" s="25" t="s">
        <v>33</v>
      </c>
      <c r="R10" s="26" t="s">
        <v>34</v>
      </c>
    </row>
    <row r="11" spans="1:18" ht="15.75" customHeight="1">
      <c r="A11" s="21">
        <v>8</v>
      </c>
      <c r="B11" s="51" t="s">
        <v>20</v>
      </c>
      <c r="C11" s="54" t="s">
        <v>48</v>
      </c>
      <c r="D11" s="51" t="s">
        <v>164</v>
      </c>
      <c r="E11" s="51" t="s">
        <v>270</v>
      </c>
      <c r="F11" s="63" t="s">
        <v>330</v>
      </c>
      <c r="G11" s="64" t="s">
        <v>332</v>
      </c>
      <c r="H11" s="51" t="s">
        <v>317</v>
      </c>
      <c r="I11" s="22" t="s">
        <v>12</v>
      </c>
      <c r="J11" s="47">
        <v>0</v>
      </c>
      <c r="K11" s="48">
        <f t="shared" si="0"/>
        <v>0</v>
      </c>
      <c r="L11" s="24"/>
      <c r="M11" s="23"/>
      <c r="N11" s="23"/>
      <c r="O11" s="23"/>
      <c r="P11" s="23"/>
      <c r="Q11" s="25" t="s">
        <v>33</v>
      </c>
      <c r="R11" s="26" t="s">
        <v>34</v>
      </c>
    </row>
    <row r="12" spans="1:18" ht="15.75" customHeight="1">
      <c r="A12" s="21">
        <v>9</v>
      </c>
      <c r="B12" s="51" t="s">
        <v>18</v>
      </c>
      <c r="C12" s="54" t="s">
        <v>49</v>
      </c>
      <c r="D12" s="51" t="s">
        <v>165</v>
      </c>
      <c r="E12" s="51" t="s">
        <v>275</v>
      </c>
      <c r="F12" s="63" t="s">
        <v>330</v>
      </c>
      <c r="G12" s="64" t="s">
        <v>332</v>
      </c>
      <c r="H12" s="51" t="s">
        <v>318</v>
      </c>
      <c r="I12" s="22" t="s">
        <v>12</v>
      </c>
      <c r="J12" s="47">
        <v>0</v>
      </c>
      <c r="K12" s="48">
        <f t="shared" si="0"/>
        <v>0</v>
      </c>
      <c r="L12" s="24"/>
      <c r="M12" s="23"/>
      <c r="N12" s="23"/>
      <c r="O12" s="23"/>
      <c r="P12" s="23"/>
      <c r="Q12" s="25" t="s">
        <v>33</v>
      </c>
      <c r="R12" s="26" t="s">
        <v>34</v>
      </c>
    </row>
    <row r="13" spans="1:18" ht="15.75" customHeight="1">
      <c r="A13" s="21">
        <v>10</v>
      </c>
      <c r="B13" s="51" t="s">
        <v>18</v>
      </c>
      <c r="C13" s="54" t="s">
        <v>50</v>
      </c>
      <c r="D13" s="51" t="s">
        <v>166</v>
      </c>
      <c r="E13" s="51" t="s">
        <v>29</v>
      </c>
      <c r="F13" s="63" t="s">
        <v>330</v>
      </c>
      <c r="G13" s="64" t="s">
        <v>331</v>
      </c>
      <c r="H13" s="51" t="s">
        <v>319</v>
      </c>
      <c r="I13" s="22" t="s">
        <v>12</v>
      </c>
      <c r="J13" s="47">
        <v>0</v>
      </c>
      <c r="K13" s="48">
        <f t="shared" si="0"/>
        <v>0</v>
      </c>
      <c r="L13" s="24"/>
      <c r="M13" s="23"/>
      <c r="N13" s="23"/>
      <c r="O13" s="23"/>
      <c r="P13" s="23"/>
      <c r="Q13" s="25" t="s">
        <v>33</v>
      </c>
      <c r="R13" s="26" t="s">
        <v>34</v>
      </c>
    </row>
    <row r="14" spans="1:18" ht="15.75" customHeight="1">
      <c r="A14" s="21">
        <v>11</v>
      </c>
      <c r="B14" s="51" t="s">
        <v>18</v>
      </c>
      <c r="C14" s="54" t="s">
        <v>51</v>
      </c>
      <c r="D14" s="51" t="s">
        <v>167</v>
      </c>
      <c r="E14" s="51" t="s">
        <v>276</v>
      </c>
      <c r="F14" s="63" t="s">
        <v>330</v>
      </c>
      <c r="G14" s="64" t="s">
        <v>333</v>
      </c>
      <c r="H14" s="51" t="s">
        <v>320</v>
      </c>
      <c r="I14" s="22" t="s">
        <v>12</v>
      </c>
      <c r="J14" s="47">
        <v>0</v>
      </c>
      <c r="K14" s="48">
        <f t="shared" si="0"/>
        <v>0</v>
      </c>
      <c r="L14" s="24"/>
      <c r="M14" s="23"/>
      <c r="N14" s="23"/>
      <c r="O14" s="23"/>
      <c r="P14" s="23"/>
      <c r="Q14" s="25" t="s">
        <v>33</v>
      </c>
      <c r="R14" s="26" t="s">
        <v>34</v>
      </c>
    </row>
    <row r="15" spans="1:18" ht="15.75" customHeight="1">
      <c r="A15" s="21">
        <v>12</v>
      </c>
      <c r="B15" s="51" t="s">
        <v>18</v>
      </c>
      <c r="C15" s="54" t="s">
        <v>52</v>
      </c>
      <c r="D15" s="51" t="s">
        <v>168</v>
      </c>
      <c r="E15" s="51" t="s">
        <v>276</v>
      </c>
      <c r="F15" s="63" t="s">
        <v>330</v>
      </c>
      <c r="G15" s="64" t="s">
        <v>334</v>
      </c>
      <c r="H15" s="51" t="s">
        <v>321</v>
      </c>
      <c r="I15" s="22" t="s">
        <v>12</v>
      </c>
      <c r="J15" s="47">
        <v>0</v>
      </c>
      <c r="K15" s="48">
        <f t="shared" si="0"/>
        <v>0</v>
      </c>
      <c r="L15" s="24"/>
      <c r="M15" s="23"/>
      <c r="N15" s="23"/>
      <c r="O15" s="23"/>
      <c r="P15" s="23"/>
      <c r="Q15" s="25" t="s">
        <v>33</v>
      </c>
      <c r="R15" s="26" t="s">
        <v>34</v>
      </c>
    </row>
    <row r="16" spans="1:18" ht="15.75" customHeight="1">
      <c r="A16" s="21">
        <v>13</v>
      </c>
      <c r="B16" s="51" t="s">
        <v>18</v>
      </c>
      <c r="C16" s="54" t="s">
        <v>53</v>
      </c>
      <c r="D16" s="51" t="s">
        <v>169</v>
      </c>
      <c r="E16" s="51" t="s">
        <v>273</v>
      </c>
      <c r="F16" s="63" t="s">
        <v>330</v>
      </c>
      <c r="G16" s="64" t="s">
        <v>334</v>
      </c>
      <c r="H16" s="51" t="s">
        <v>322</v>
      </c>
      <c r="I16" s="22" t="s">
        <v>12</v>
      </c>
      <c r="J16" s="47">
        <v>0</v>
      </c>
      <c r="K16" s="48">
        <f t="shared" si="0"/>
        <v>0</v>
      </c>
      <c r="L16" s="24"/>
      <c r="M16" s="23"/>
      <c r="N16" s="23"/>
      <c r="O16" s="23"/>
      <c r="P16" s="23"/>
      <c r="Q16" s="25" t="s">
        <v>33</v>
      </c>
      <c r="R16" s="26" t="s">
        <v>34</v>
      </c>
    </row>
    <row r="17" spans="1:18" ht="15.75" customHeight="1">
      <c r="A17" s="21">
        <v>14</v>
      </c>
      <c r="B17" s="51" t="s">
        <v>21</v>
      </c>
      <c r="C17" s="54" t="s">
        <v>54</v>
      </c>
      <c r="D17" s="51" t="s">
        <v>170</v>
      </c>
      <c r="E17" s="51" t="s">
        <v>277</v>
      </c>
      <c r="F17" s="63" t="s">
        <v>330</v>
      </c>
      <c r="G17" s="64" t="s">
        <v>332</v>
      </c>
      <c r="H17" s="51">
        <v>100</v>
      </c>
      <c r="I17" s="22" t="s">
        <v>12</v>
      </c>
      <c r="J17" s="47">
        <v>0</v>
      </c>
      <c r="K17" s="48">
        <f t="shared" si="0"/>
        <v>0</v>
      </c>
      <c r="L17" s="24"/>
      <c r="M17" s="23"/>
      <c r="N17" s="23"/>
      <c r="O17" s="23"/>
      <c r="P17" s="23"/>
      <c r="Q17" s="25" t="s">
        <v>33</v>
      </c>
      <c r="R17" s="26" t="s">
        <v>34</v>
      </c>
    </row>
    <row r="18" spans="1:18" ht="15.75" customHeight="1">
      <c r="A18" s="21">
        <v>15</v>
      </c>
      <c r="B18" s="51" t="s">
        <v>18</v>
      </c>
      <c r="C18" s="54" t="s">
        <v>55</v>
      </c>
      <c r="D18" s="51" t="s">
        <v>171</v>
      </c>
      <c r="E18" s="51" t="s">
        <v>273</v>
      </c>
      <c r="F18" s="63" t="s">
        <v>330</v>
      </c>
      <c r="G18" s="64" t="s">
        <v>332</v>
      </c>
      <c r="H18" s="51" t="s">
        <v>323</v>
      </c>
      <c r="I18" s="22" t="s">
        <v>12</v>
      </c>
      <c r="J18" s="47">
        <v>0</v>
      </c>
      <c r="K18" s="48">
        <f t="shared" si="0"/>
        <v>0</v>
      </c>
      <c r="L18" s="24"/>
      <c r="M18" s="23"/>
      <c r="N18" s="23"/>
      <c r="O18" s="23"/>
      <c r="P18" s="23"/>
      <c r="Q18" s="25" t="s">
        <v>33</v>
      </c>
      <c r="R18" s="26" t="s">
        <v>34</v>
      </c>
    </row>
    <row r="19" spans="1:18" ht="15.75" customHeight="1">
      <c r="A19" s="21">
        <v>16</v>
      </c>
      <c r="B19" s="51" t="s">
        <v>20</v>
      </c>
      <c r="C19" s="54" t="s">
        <v>56</v>
      </c>
      <c r="D19" s="51" t="s">
        <v>172</v>
      </c>
      <c r="E19" s="51" t="s">
        <v>270</v>
      </c>
      <c r="F19" s="63" t="s">
        <v>330</v>
      </c>
      <c r="G19" s="64" t="s">
        <v>335</v>
      </c>
      <c r="H19" s="51">
        <v>50</v>
      </c>
      <c r="I19" s="22" t="s">
        <v>12</v>
      </c>
      <c r="J19" s="47">
        <v>0</v>
      </c>
      <c r="K19" s="48">
        <f t="shared" si="0"/>
        <v>0</v>
      </c>
      <c r="L19" s="24"/>
      <c r="M19" s="23"/>
      <c r="N19" s="23"/>
      <c r="O19" s="23"/>
      <c r="P19" s="23"/>
      <c r="Q19" s="25" t="s">
        <v>33</v>
      </c>
      <c r="R19" s="26" t="s">
        <v>34</v>
      </c>
    </row>
    <row r="20" spans="1:18" ht="15.75" customHeight="1">
      <c r="A20" s="21">
        <v>17</v>
      </c>
      <c r="B20" s="51" t="s">
        <v>20</v>
      </c>
      <c r="C20" s="54" t="s">
        <v>57</v>
      </c>
      <c r="D20" s="51" t="s">
        <v>173</v>
      </c>
      <c r="E20" s="51" t="s">
        <v>270</v>
      </c>
      <c r="F20" s="63" t="s">
        <v>330</v>
      </c>
      <c r="G20" s="64" t="s">
        <v>336</v>
      </c>
      <c r="H20" s="51">
        <v>150</v>
      </c>
      <c r="I20" s="22" t="s">
        <v>12</v>
      </c>
      <c r="J20" s="47">
        <v>0</v>
      </c>
      <c r="K20" s="48">
        <f t="shared" si="0"/>
        <v>0</v>
      </c>
      <c r="L20" s="24"/>
      <c r="M20" s="23"/>
      <c r="N20" s="23"/>
      <c r="O20" s="23"/>
      <c r="P20" s="23"/>
      <c r="Q20" s="25" t="s">
        <v>33</v>
      </c>
      <c r="R20" s="26" t="s">
        <v>34</v>
      </c>
    </row>
    <row r="21" spans="1:18" ht="15.75" customHeight="1">
      <c r="A21" s="21">
        <v>18</v>
      </c>
      <c r="B21" s="51" t="s">
        <v>20</v>
      </c>
      <c r="C21" s="54" t="s">
        <v>58</v>
      </c>
      <c r="D21" s="51" t="s">
        <v>174</v>
      </c>
      <c r="E21" s="51" t="s">
        <v>278</v>
      </c>
      <c r="F21" s="63" t="s">
        <v>330</v>
      </c>
      <c r="G21" s="64" t="s">
        <v>335</v>
      </c>
      <c r="H21" s="51">
        <v>50</v>
      </c>
      <c r="I21" s="22" t="s">
        <v>12</v>
      </c>
      <c r="J21" s="47">
        <v>0</v>
      </c>
      <c r="K21" s="48">
        <f t="shared" si="0"/>
        <v>0</v>
      </c>
      <c r="L21" s="24"/>
      <c r="M21" s="23"/>
      <c r="N21" s="23"/>
      <c r="O21" s="23"/>
      <c r="P21" s="23"/>
      <c r="Q21" s="25" t="s">
        <v>33</v>
      </c>
      <c r="R21" s="26" t="s">
        <v>34</v>
      </c>
    </row>
    <row r="22" spans="1:18" ht="15.75" customHeight="1">
      <c r="A22" s="21">
        <v>19</v>
      </c>
      <c r="B22" s="51" t="s">
        <v>22</v>
      </c>
      <c r="C22" s="54" t="s">
        <v>59</v>
      </c>
      <c r="D22" s="51" t="s">
        <v>175</v>
      </c>
      <c r="E22" s="51" t="s">
        <v>279</v>
      </c>
      <c r="F22" s="63" t="s">
        <v>330</v>
      </c>
      <c r="G22" s="64" t="s">
        <v>332</v>
      </c>
      <c r="H22" s="51">
        <v>5</v>
      </c>
      <c r="I22" s="22" t="s">
        <v>12</v>
      </c>
      <c r="J22" s="47">
        <v>0</v>
      </c>
      <c r="K22" s="48">
        <f t="shared" si="0"/>
        <v>0</v>
      </c>
      <c r="L22" s="24"/>
      <c r="M22" s="23"/>
      <c r="N22" s="23"/>
      <c r="O22" s="23"/>
      <c r="P22" s="23"/>
      <c r="Q22" s="25" t="s">
        <v>33</v>
      </c>
      <c r="R22" s="26" t="s">
        <v>34</v>
      </c>
    </row>
    <row r="23" spans="1:18" ht="15.75" customHeight="1">
      <c r="A23" s="21">
        <v>20</v>
      </c>
      <c r="B23" s="51" t="s">
        <v>18</v>
      </c>
      <c r="C23" s="54" t="s">
        <v>60</v>
      </c>
      <c r="D23" s="51" t="s">
        <v>176</v>
      </c>
      <c r="E23" s="51" t="s">
        <v>25</v>
      </c>
      <c r="F23" s="63" t="s">
        <v>330</v>
      </c>
      <c r="G23" s="64" t="s">
        <v>334</v>
      </c>
      <c r="H23" s="51" t="s">
        <v>324</v>
      </c>
      <c r="I23" s="22" t="s">
        <v>12</v>
      </c>
      <c r="J23" s="47">
        <v>0</v>
      </c>
      <c r="K23" s="48">
        <f t="shared" si="0"/>
        <v>0</v>
      </c>
      <c r="L23" s="24"/>
      <c r="M23" s="23"/>
      <c r="N23" s="23"/>
      <c r="O23" s="23"/>
      <c r="P23" s="23"/>
      <c r="Q23" s="25" t="s">
        <v>33</v>
      </c>
      <c r="R23" s="26" t="s">
        <v>34</v>
      </c>
    </row>
    <row r="24" spans="1:18" ht="15.75" customHeight="1">
      <c r="A24" s="21">
        <v>21</v>
      </c>
      <c r="B24" s="51" t="s">
        <v>17</v>
      </c>
      <c r="C24" s="54" t="s">
        <v>61</v>
      </c>
      <c r="D24" s="51" t="s">
        <v>177</v>
      </c>
      <c r="E24" s="51" t="s">
        <v>280</v>
      </c>
      <c r="F24" s="63" t="s">
        <v>330</v>
      </c>
      <c r="G24" s="64" t="s">
        <v>337</v>
      </c>
      <c r="H24" s="51">
        <v>2</v>
      </c>
      <c r="I24" s="22" t="s">
        <v>12</v>
      </c>
      <c r="J24" s="47">
        <v>0</v>
      </c>
      <c r="K24" s="48">
        <f t="shared" si="0"/>
        <v>0</v>
      </c>
      <c r="L24" s="24"/>
      <c r="M24" s="23"/>
      <c r="N24" s="23"/>
      <c r="O24" s="23"/>
      <c r="P24" s="23"/>
      <c r="Q24" s="25" t="s">
        <v>33</v>
      </c>
      <c r="R24" s="26" t="s">
        <v>34</v>
      </c>
    </row>
    <row r="25" spans="1:18" ht="15.75" customHeight="1">
      <c r="A25" s="21">
        <v>22</v>
      </c>
      <c r="B25" s="51" t="s">
        <v>16</v>
      </c>
      <c r="C25" s="54" t="s">
        <v>62</v>
      </c>
      <c r="D25" s="51" t="s">
        <v>178</v>
      </c>
      <c r="E25" s="51" t="s">
        <v>281</v>
      </c>
      <c r="F25" s="63" t="s">
        <v>330</v>
      </c>
      <c r="G25" s="64" t="s">
        <v>332</v>
      </c>
      <c r="H25" s="51">
        <v>200</v>
      </c>
      <c r="I25" s="22" t="s">
        <v>12</v>
      </c>
      <c r="J25" s="47">
        <v>0</v>
      </c>
      <c r="K25" s="48">
        <f t="shared" si="0"/>
        <v>0</v>
      </c>
      <c r="L25" s="24"/>
      <c r="M25" s="23"/>
      <c r="N25" s="23"/>
      <c r="O25" s="23"/>
      <c r="P25" s="23"/>
      <c r="Q25" s="25" t="s">
        <v>33</v>
      </c>
      <c r="R25" s="26" t="s">
        <v>34</v>
      </c>
    </row>
    <row r="26" spans="1:18" ht="15.75" customHeight="1">
      <c r="A26" s="21">
        <v>23</v>
      </c>
      <c r="B26" s="51" t="s">
        <v>13</v>
      </c>
      <c r="C26" s="54" t="s">
        <v>63</v>
      </c>
      <c r="D26" s="51" t="s">
        <v>179</v>
      </c>
      <c r="E26" s="51" t="s">
        <v>282</v>
      </c>
      <c r="F26" s="63" t="s">
        <v>330</v>
      </c>
      <c r="G26" s="64" t="s">
        <v>332</v>
      </c>
      <c r="H26" s="51">
        <v>500</v>
      </c>
      <c r="I26" s="22" t="s">
        <v>12</v>
      </c>
      <c r="J26" s="47">
        <v>0</v>
      </c>
      <c r="K26" s="48">
        <f t="shared" si="0"/>
        <v>0</v>
      </c>
      <c r="L26" s="24"/>
      <c r="M26" s="23"/>
      <c r="N26" s="23"/>
      <c r="O26" s="23"/>
      <c r="P26" s="23"/>
      <c r="Q26" s="25" t="s">
        <v>33</v>
      </c>
      <c r="R26" s="26" t="s">
        <v>34</v>
      </c>
    </row>
    <row r="27" spans="1:18" ht="15.75" customHeight="1">
      <c r="A27" s="21">
        <v>24</v>
      </c>
      <c r="B27" s="51" t="s">
        <v>18</v>
      </c>
      <c r="C27" s="54" t="s">
        <v>64</v>
      </c>
      <c r="D27" s="51" t="s">
        <v>180</v>
      </c>
      <c r="E27" s="51" t="s">
        <v>24</v>
      </c>
      <c r="F27" s="63" t="s">
        <v>330</v>
      </c>
      <c r="G27" s="64" t="s">
        <v>332</v>
      </c>
      <c r="H27" s="51" t="s">
        <v>325</v>
      </c>
      <c r="I27" s="22" t="s">
        <v>12</v>
      </c>
      <c r="J27" s="47">
        <v>0</v>
      </c>
      <c r="K27" s="48">
        <f t="shared" si="0"/>
        <v>0</v>
      </c>
      <c r="L27" s="24"/>
      <c r="M27" s="23"/>
      <c r="N27" s="23"/>
      <c r="O27" s="23"/>
      <c r="P27" s="23"/>
      <c r="Q27" s="25" t="s">
        <v>33</v>
      </c>
      <c r="R27" s="26" t="s">
        <v>34</v>
      </c>
    </row>
    <row r="28" spans="1:18" ht="15.75" customHeight="1">
      <c r="A28" s="21">
        <v>25</v>
      </c>
      <c r="B28" s="51" t="s">
        <v>18</v>
      </c>
      <c r="C28" s="54" t="s">
        <v>65</v>
      </c>
      <c r="D28" s="51" t="s">
        <v>181</v>
      </c>
      <c r="E28" s="51" t="s">
        <v>276</v>
      </c>
      <c r="F28" s="63" t="s">
        <v>330</v>
      </c>
      <c r="G28" s="64" t="s">
        <v>332</v>
      </c>
      <c r="H28" s="51" t="s">
        <v>326</v>
      </c>
      <c r="I28" s="22" t="s">
        <v>12</v>
      </c>
      <c r="J28" s="47">
        <v>0</v>
      </c>
      <c r="K28" s="48">
        <f t="shared" si="0"/>
        <v>0</v>
      </c>
      <c r="L28" s="24"/>
      <c r="M28" s="23"/>
      <c r="N28" s="23"/>
      <c r="O28" s="23"/>
      <c r="P28" s="23"/>
      <c r="Q28" s="25" t="s">
        <v>33</v>
      </c>
      <c r="R28" s="26" t="s">
        <v>34</v>
      </c>
    </row>
    <row r="29" spans="1:18" ht="15.75" customHeight="1">
      <c r="A29" s="21">
        <v>26</v>
      </c>
      <c r="B29" s="51" t="s">
        <v>18</v>
      </c>
      <c r="C29" s="54" t="s">
        <v>66</v>
      </c>
      <c r="D29" s="51" t="s">
        <v>182</v>
      </c>
      <c r="E29" s="51" t="s">
        <v>283</v>
      </c>
      <c r="F29" s="63" t="s">
        <v>330</v>
      </c>
      <c r="G29" s="64" t="s">
        <v>332</v>
      </c>
      <c r="H29" s="51" t="s">
        <v>320</v>
      </c>
      <c r="I29" s="22" t="s">
        <v>12</v>
      </c>
      <c r="J29" s="47">
        <v>0</v>
      </c>
      <c r="K29" s="48">
        <f t="shared" si="0"/>
        <v>0</v>
      </c>
      <c r="L29" s="24"/>
      <c r="M29" s="23"/>
      <c r="N29" s="23"/>
      <c r="O29" s="23"/>
      <c r="P29" s="23"/>
      <c r="Q29" s="25" t="s">
        <v>33</v>
      </c>
      <c r="R29" s="26" t="s">
        <v>34</v>
      </c>
    </row>
    <row r="30" spans="1:18" ht="15.75" customHeight="1">
      <c r="A30" s="21">
        <v>27</v>
      </c>
      <c r="B30" s="51" t="s">
        <v>18</v>
      </c>
      <c r="C30" s="54" t="s">
        <v>67</v>
      </c>
      <c r="D30" s="51" t="s">
        <v>183</v>
      </c>
      <c r="E30" s="51" t="s">
        <v>284</v>
      </c>
      <c r="F30" s="63" t="s">
        <v>330</v>
      </c>
      <c r="G30" s="64" t="s">
        <v>334</v>
      </c>
      <c r="H30" s="51">
        <v>400</v>
      </c>
      <c r="I30" s="22" t="s">
        <v>12</v>
      </c>
      <c r="J30" s="47">
        <v>0</v>
      </c>
      <c r="K30" s="48">
        <f t="shared" si="0"/>
        <v>0</v>
      </c>
      <c r="L30" s="24"/>
      <c r="M30" s="23"/>
      <c r="N30" s="23"/>
      <c r="O30" s="23"/>
      <c r="P30" s="23"/>
      <c r="Q30" s="25" t="s">
        <v>33</v>
      </c>
      <c r="R30" s="26" t="s">
        <v>34</v>
      </c>
    </row>
    <row r="31" spans="1:18" ht="15.75" customHeight="1">
      <c r="A31" s="21">
        <v>28</v>
      </c>
      <c r="B31" s="51" t="s">
        <v>20</v>
      </c>
      <c r="C31" s="54" t="s">
        <v>68</v>
      </c>
      <c r="D31" s="51" t="s">
        <v>184</v>
      </c>
      <c r="E31" s="51" t="s">
        <v>285</v>
      </c>
      <c r="F31" s="63" t="s">
        <v>330</v>
      </c>
      <c r="G31" s="64" t="s">
        <v>331</v>
      </c>
      <c r="H31" s="51">
        <v>100</v>
      </c>
      <c r="I31" s="22" t="s">
        <v>12</v>
      </c>
      <c r="J31" s="47">
        <v>0</v>
      </c>
      <c r="K31" s="48">
        <f t="shared" si="0"/>
        <v>0</v>
      </c>
      <c r="L31" s="24"/>
      <c r="M31" s="23"/>
      <c r="N31" s="23"/>
      <c r="O31" s="23"/>
      <c r="P31" s="23"/>
      <c r="Q31" s="25" t="s">
        <v>33</v>
      </c>
      <c r="R31" s="26" t="s">
        <v>34</v>
      </c>
    </row>
    <row r="32" spans="1:18" ht="15.75" customHeight="1">
      <c r="A32" s="21">
        <v>29</v>
      </c>
      <c r="B32" s="51" t="s">
        <v>17</v>
      </c>
      <c r="C32" s="54" t="s">
        <v>69</v>
      </c>
      <c r="D32" s="51" t="s">
        <v>185</v>
      </c>
      <c r="E32" s="51" t="s">
        <v>286</v>
      </c>
      <c r="F32" s="63" t="s">
        <v>330</v>
      </c>
      <c r="G32" s="64" t="s">
        <v>332</v>
      </c>
      <c r="H32" s="51">
        <v>100</v>
      </c>
      <c r="I32" s="22" t="s">
        <v>12</v>
      </c>
      <c r="J32" s="47">
        <v>0</v>
      </c>
      <c r="K32" s="48">
        <f t="shared" si="0"/>
        <v>0</v>
      </c>
      <c r="L32" s="24"/>
      <c r="M32" s="23"/>
      <c r="N32" s="23"/>
      <c r="O32" s="23"/>
      <c r="P32" s="23"/>
      <c r="Q32" s="25" t="s">
        <v>33</v>
      </c>
      <c r="R32" s="26" t="s">
        <v>34</v>
      </c>
    </row>
    <row r="33" spans="1:18" ht="15.75" customHeight="1">
      <c r="A33" s="21">
        <v>30</v>
      </c>
      <c r="B33" s="51" t="s">
        <v>20</v>
      </c>
      <c r="C33" s="54" t="s">
        <v>70</v>
      </c>
      <c r="D33" s="51" t="s">
        <v>186</v>
      </c>
      <c r="E33" s="51" t="s">
        <v>287</v>
      </c>
      <c r="F33" s="63" t="s">
        <v>330</v>
      </c>
      <c r="G33" s="64" t="s">
        <v>334</v>
      </c>
      <c r="H33" s="51" t="s">
        <v>320</v>
      </c>
      <c r="I33" s="22" t="s">
        <v>12</v>
      </c>
      <c r="J33" s="47">
        <v>0</v>
      </c>
      <c r="K33" s="48">
        <f t="shared" si="0"/>
        <v>0</v>
      </c>
      <c r="L33" s="24"/>
      <c r="M33" s="23"/>
      <c r="N33" s="23"/>
      <c r="O33" s="23"/>
      <c r="P33" s="23"/>
      <c r="Q33" s="25" t="s">
        <v>33</v>
      </c>
      <c r="R33" s="26" t="s">
        <v>34</v>
      </c>
    </row>
    <row r="34" spans="1:18" ht="15.75" customHeight="1">
      <c r="A34" s="21">
        <v>31</v>
      </c>
      <c r="B34" s="51" t="s">
        <v>15</v>
      </c>
      <c r="C34" s="54" t="s">
        <v>71</v>
      </c>
      <c r="D34" s="51" t="s">
        <v>187</v>
      </c>
      <c r="E34" s="51" t="s">
        <v>288</v>
      </c>
      <c r="F34" s="63" t="s">
        <v>330</v>
      </c>
      <c r="G34" s="64" t="s">
        <v>332</v>
      </c>
      <c r="H34" s="51">
        <v>300</v>
      </c>
      <c r="I34" s="22" t="s">
        <v>12</v>
      </c>
      <c r="J34" s="47">
        <v>0</v>
      </c>
      <c r="K34" s="48">
        <f t="shared" si="0"/>
        <v>0</v>
      </c>
      <c r="L34" s="24"/>
      <c r="M34" s="23"/>
      <c r="N34" s="23"/>
      <c r="O34" s="23"/>
      <c r="P34" s="23"/>
      <c r="Q34" s="25" t="s">
        <v>33</v>
      </c>
      <c r="R34" s="26" t="s">
        <v>34</v>
      </c>
    </row>
    <row r="35" spans="1:18" ht="15.75" customHeight="1">
      <c r="A35" s="21">
        <v>32</v>
      </c>
      <c r="B35" s="51" t="s">
        <v>20</v>
      </c>
      <c r="C35" s="54" t="s">
        <v>72</v>
      </c>
      <c r="D35" s="51" t="s">
        <v>188</v>
      </c>
      <c r="E35" s="51" t="s">
        <v>270</v>
      </c>
      <c r="F35" s="63" t="s">
        <v>330</v>
      </c>
      <c r="G35" s="64" t="s">
        <v>332</v>
      </c>
      <c r="H35" s="51">
        <v>400</v>
      </c>
      <c r="I35" s="22" t="s">
        <v>12</v>
      </c>
      <c r="J35" s="47">
        <v>0</v>
      </c>
      <c r="K35" s="48">
        <f t="shared" si="0"/>
        <v>0</v>
      </c>
      <c r="L35" s="24"/>
      <c r="M35" s="23"/>
      <c r="N35" s="23"/>
      <c r="O35" s="23"/>
      <c r="P35" s="23"/>
      <c r="Q35" s="25" t="s">
        <v>33</v>
      </c>
      <c r="R35" s="26" t="s">
        <v>34</v>
      </c>
    </row>
    <row r="36" spans="1:18" ht="15.75" customHeight="1">
      <c r="A36" s="21">
        <v>33</v>
      </c>
      <c r="B36" s="51" t="s">
        <v>20</v>
      </c>
      <c r="C36" s="54" t="s">
        <v>73</v>
      </c>
      <c r="D36" s="51" t="s">
        <v>189</v>
      </c>
      <c r="E36" s="51" t="s">
        <v>270</v>
      </c>
      <c r="F36" s="63" t="s">
        <v>330</v>
      </c>
      <c r="G36" s="64" t="s">
        <v>332</v>
      </c>
      <c r="H36" s="51" t="s">
        <v>318</v>
      </c>
      <c r="I36" s="22" t="s">
        <v>12</v>
      </c>
      <c r="J36" s="47">
        <v>0</v>
      </c>
      <c r="K36" s="48">
        <f t="shared" si="0"/>
        <v>0</v>
      </c>
      <c r="L36" s="24"/>
      <c r="M36" s="23"/>
      <c r="N36" s="23"/>
      <c r="O36" s="23"/>
      <c r="P36" s="23"/>
      <c r="Q36" s="25" t="s">
        <v>33</v>
      </c>
      <c r="R36" s="26" t="s">
        <v>34</v>
      </c>
    </row>
    <row r="37" spans="1:18" ht="15.75" customHeight="1">
      <c r="A37" s="21">
        <v>34</v>
      </c>
      <c r="B37" s="51" t="s">
        <v>18</v>
      </c>
      <c r="C37" s="54" t="s">
        <v>74</v>
      </c>
      <c r="D37" s="51" t="s">
        <v>190</v>
      </c>
      <c r="E37" s="51" t="s">
        <v>276</v>
      </c>
      <c r="F37" s="63" t="s">
        <v>330</v>
      </c>
      <c r="G37" s="64" t="s">
        <v>332</v>
      </c>
      <c r="H37" s="51">
        <v>800</v>
      </c>
      <c r="I37" s="22" t="s">
        <v>12</v>
      </c>
      <c r="J37" s="47">
        <v>0</v>
      </c>
      <c r="K37" s="48">
        <f t="shared" si="0"/>
        <v>0</v>
      </c>
      <c r="L37" s="24"/>
      <c r="M37" s="23"/>
      <c r="N37" s="23"/>
      <c r="O37" s="23"/>
      <c r="P37" s="23"/>
      <c r="Q37" s="25" t="s">
        <v>33</v>
      </c>
      <c r="R37" s="26" t="s">
        <v>34</v>
      </c>
    </row>
    <row r="38" spans="1:18" ht="15.75" customHeight="1">
      <c r="A38" s="21">
        <v>35</v>
      </c>
      <c r="B38" s="51" t="s">
        <v>20</v>
      </c>
      <c r="C38" s="54" t="s">
        <v>75</v>
      </c>
      <c r="D38" s="51" t="s">
        <v>191</v>
      </c>
      <c r="E38" s="51" t="s">
        <v>30</v>
      </c>
      <c r="F38" s="63" t="s">
        <v>330</v>
      </c>
      <c r="G38" s="64" t="s">
        <v>337</v>
      </c>
      <c r="H38" s="51">
        <v>100</v>
      </c>
      <c r="I38" s="22" t="s">
        <v>12</v>
      </c>
      <c r="J38" s="47">
        <v>0</v>
      </c>
      <c r="K38" s="48">
        <f t="shared" si="0"/>
        <v>0</v>
      </c>
      <c r="L38" s="24"/>
      <c r="M38" s="23"/>
      <c r="N38" s="23"/>
      <c r="O38" s="23"/>
      <c r="P38" s="23"/>
      <c r="Q38" s="25" t="s">
        <v>33</v>
      </c>
      <c r="R38" s="26" t="s">
        <v>34</v>
      </c>
    </row>
    <row r="39" spans="1:18" ht="15.75" customHeight="1">
      <c r="A39" s="21">
        <v>36</v>
      </c>
      <c r="B39" s="51" t="s">
        <v>15</v>
      </c>
      <c r="C39" s="54" t="s">
        <v>76</v>
      </c>
      <c r="D39" s="51" t="s">
        <v>192</v>
      </c>
      <c r="E39" s="51" t="s">
        <v>288</v>
      </c>
      <c r="F39" s="63" t="s">
        <v>330</v>
      </c>
      <c r="G39" s="64" t="s">
        <v>338</v>
      </c>
      <c r="H39" s="51">
        <v>60</v>
      </c>
      <c r="I39" s="22" t="s">
        <v>12</v>
      </c>
      <c r="J39" s="47">
        <v>0</v>
      </c>
      <c r="K39" s="48">
        <f t="shared" si="0"/>
        <v>0</v>
      </c>
      <c r="L39" s="24"/>
      <c r="M39" s="23"/>
      <c r="N39" s="23"/>
      <c r="O39" s="23"/>
      <c r="P39" s="23"/>
      <c r="Q39" s="25" t="s">
        <v>33</v>
      </c>
      <c r="R39" s="26" t="s">
        <v>34</v>
      </c>
    </row>
    <row r="40" spans="1:18" ht="15.75" customHeight="1">
      <c r="A40" s="21">
        <v>37</v>
      </c>
      <c r="B40" s="51" t="s">
        <v>16</v>
      </c>
      <c r="C40" s="54" t="s">
        <v>77</v>
      </c>
      <c r="D40" s="51" t="s">
        <v>193</v>
      </c>
      <c r="E40" s="51" t="s">
        <v>289</v>
      </c>
      <c r="F40" s="63" t="s">
        <v>330</v>
      </c>
      <c r="G40" s="64" t="s">
        <v>338</v>
      </c>
      <c r="H40" s="51">
        <v>400</v>
      </c>
      <c r="I40" s="22" t="s">
        <v>12</v>
      </c>
      <c r="J40" s="47">
        <v>0</v>
      </c>
      <c r="K40" s="48">
        <f t="shared" si="0"/>
        <v>0</v>
      </c>
      <c r="L40" s="24"/>
      <c r="M40" s="23"/>
      <c r="N40" s="23"/>
      <c r="O40" s="23"/>
      <c r="P40" s="23"/>
      <c r="Q40" s="25" t="s">
        <v>33</v>
      </c>
      <c r="R40" s="26" t="s">
        <v>34</v>
      </c>
    </row>
    <row r="41" spans="1:18" ht="15.75" customHeight="1">
      <c r="A41" s="21">
        <v>38</v>
      </c>
      <c r="B41" s="51" t="s">
        <v>14</v>
      </c>
      <c r="C41" s="54" t="s">
        <v>78</v>
      </c>
      <c r="D41" s="51" t="s">
        <v>194</v>
      </c>
      <c r="E41" s="51" t="s">
        <v>290</v>
      </c>
      <c r="F41" s="63" t="s">
        <v>330</v>
      </c>
      <c r="G41" s="64" t="s">
        <v>337</v>
      </c>
      <c r="H41" s="51">
        <v>120</v>
      </c>
      <c r="I41" s="22" t="s">
        <v>12</v>
      </c>
      <c r="J41" s="47">
        <v>0</v>
      </c>
      <c r="K41" s="48">
        <f t="shared" si="0"/>
        <v>0</v>
      </c>
      <c r="L41" s="24"/>
      <c r="M41" s="23"/>
      <c r="N41" s="23"/>
      <c r="O41" s="23"/>
      <c r="P41" s="23"/>
      <c r="Q41" s="25" t="s">
        <v>33</v>
      </c>
      <c r="R41" s="26" t="s">
        <v>34</v>
      </c>
    </row>
    <row r="42" spans="1:18" ht="15.75" customHeight="1">
      <c r="A42" s="21">
        <v>39</v>
      </c>
      <c r="B42" s="51" t="s">
        <v>40</v>
      </c>
      <c r="C42" s="54" t="s">
        <v>79</v>
      </c>
      <c r="D42" s="51" t="s">
        <v>195</v>
      </c>
      <c r="E42" s="51" t="s">
        <v>270</v>
      </c>
      <c r="F42" s="63" t="s">
        <v>330</v>
      </c>
      <c r="G42" s="64" t="s">
        <v>337</v>
      </c>
      <c r="H42" s="51">
        <v>100</v>
      </c>
      <c r="I42" s="22" t="s">
        <v>12</v>
      </c>
      <c r="J42" s="47">
        <v>0</v>
      </c>
      <c r="K42" s="48">
        <f t="shared" si="0"/>
        <v>0</v>
      </c>
      <c r="L42" s="24"/>
      <c r="M42" s="23"/>
      <c r="N42" s="23"/>
      <c r="O42" s="23"/>
      <c r="P42" s="23"/>
      <c r="Q42" s="25" t="s">
        <v>33</v>
      </c>
      <c r="R42" s="26" t="s">
        <v>34</v>
      </c>
    </row>
    <row r="43" spans="1:18" ht="15.75" customHeight="1">
      <c r="A43" s="21">
        <v>40</v>
      </c>
      <c r="B43" s="51">
        <v>5305</v>
      </c>
      <c r="C43" s="54" t="s">
        <v>80</v>
      </c>
      <c r="D43" s="51" t="s">
        <v>196</v>
      </c>
      <c r="E43" s="51" t="s">
        <v>30</v>
      </c>
      <c r="F43" s="63" t="s">
        <v>330</v>
      </c>
      <c r="G43" s="64" t="s">
        <v>339</v>
      </c>
      <c r="H43" s="55">
        <v>80</v>
      </c>
      <c r="I43" s="22" t="s">
        <v>12</v>
      </c>
      <c r="J43" s="47">
        <v>0</v>
      </c>
      <c r="K43" s="48">
        <f t="shared" si="0"/>
        <v>0</v>
      </c>
      <c r="L43" s="24"/>
      <c r="M43" s="23"/>
      <c r="N43" s="23"/>
      <c r="O43" s="23"/>
      <c r="P43" s="23"/>
      <c r="Q43" s="25" t="s">
        <v>33</v>
      </c>
      <c r="R43" s="26" t="s">
        <v>34</v>
      </c>
    </row>
    <row r="44" spans="1:18" ht="15.75" customHeight="1">
      <c r="A44" s="21">
        <v>41</v>
      </c>
      <c r="B44" s="51">
        <v>5305</v>
      </c>
      <c r="C44" s="54" t="s">
        <v>81</v>
      </c>
      <c r="D44" s="51" t="s">
        <v>197</v>
      </c>
      <c r="E44" s="51" t="s">
        <v>30</v>
      </c>
      <c r="F44" s="63" t="s">
        <v>330</v>
      </c>
      <c r="G44" s="64" t="s">
        <v>333</v>
      </c>
      <c r="H44" s="55">
        <v>75</v>
      </c>
      <c r="I44" s="22" t="s">
        <v>12</v>
      </c>
      <c r="J44" s="47">
        <v>0</v>
      </c>
      <c r="K44" s="48">
        <f t="shared" si="0"/>
        <v>0</v>
      </c>
      <c r="L44" s="24"/>
      <c r="M44" s="25"/>
      <c r="N44" s="25"/>
      <c r="O44" s="25"/>
      <c r="P44" s="25"/>
      <c r="Q44" s="25" t="s">
        <v>33</v>
      </c>
      <c r="R44" s="26" t="s">
        <v>34</v>
      </c>
    </row>
    <row r="45" spans="1:18" ht="15.75" customHeight="1">
      <c r="A45" s="21">
        <v>42</v>
      </c>
      <c r="B45" s="51">
        <v>5310</v>
      </c>
      <c r="C45" s="54" t="s">
        <v>82</v>
      </c>
      <c r="D45" s="51" t="s">
        <v>198</v>
      </c>
      <c r="E45" s="51" t="s">
        <v>291</v>
      </c>
      <c r="F45" s="63" t="s">
        <v>330</v>
      </c>
      <c r="G45" s="64" t="s">
        <v>340</v>
      </c>
      <c r="H45" s="55">
        <v>500</v>
      </c>
      <c r="I45" s="22" t="s">
        <v>12</v>
      </c>
      <c r="J45" s="47">
        <v>0</v>
      </c>
      <c r="K45" s="48">
        <f t="shared" si="0"/>
        <v>0</v>
      </c>
      <c r="L45" s="24"/>
      <c r="M45" s="23"/>
      <c r="N45" s="23"/>
      <c r="O45" s="23"/>
      <c r="P45" s="23"/>
      <c r="Q45" s="25" t="s">
        <v>33</v>
      </c>
      <c r="R45" s="26" t="s">
        <v>34</v>
      </c>
    </row>
    <row r="46" spans="1:18" ht="15.75" customHeight="1">
      <c r="A46" s="21">
        <v>43</v>
      </c>
      <c r="B46" s="51">
        <v>5340</v>
      </c>
      <c r="C46" s="54" t="s">
        <v>83</v>
      </c>
      <c r="D46" s="51" t="s">
        <v>199</v>
      </c>
      <c r="E46" s="51" t="s">
        <v>31</v>
      </c>
      <c r="F46" s="63" t="s">
        <v>330</v>
      </c>
      <c r="G46" s="64" t="s">
        <v>336</v>
      </c>
      <c r="H46" s="55">
        <v>100</v>
      </c>
      <c r="I46" s="22" t="s">
        <v>12</v>
      </c>
      <c r="J46" s="47">
        <v>0</v>
      </c>
      <c r="K46" s="48">
        <f t="shared" si="0"/>
        <v>0</v>
      </c>
      <c r="L46" s="24"/>
      <c r="M46" s="23"/>
      <c r="N46" s="23"/>
      <c r="O46" s="23"/>
      <c r="P46" s="23"/>
      <c r="Q46" s="25" t="s">
        <v>33</v>
      </c>
      <c r="R46" s="26" t="s">
        <v>34</v>
      </c>
    </row>
    <row r="47" spans="1:18" ht="15.75" customHeight="1">
      <c r="A47" s="21">
        <v>44</v>
      </c>
      <c r="B47" s="51">
        <v>5305</v>
      </c>
      <c r="C47" s="54" t="s">
        <v>84</v>
      </c>
      <c r="D47" s="51" t="s">
        <v>200</v>
      </c>
      <c r="E47" s="51" t="s">
        <v>23</v>
      </c>
      <c r="F47" s="63" t="s">
        <v>330</v>
      </c>
      <c r="G47" s="64" t="s">
        <v>338</v>
      </c>
      <c r="H47" s="55">
        <v>50</v>
      </c>
      <c r="I47" s="22" t="s">
        <v>12</v>
      </c>
      <c r="J47" s="47">
        <v>0</v>
      </c>
      <c r="K47" s="48">
        <f t="shared" si="0"/>
        <v>0</v>
      </c>
      <c r="L47" s="24"/>
      <c r="M47" s="23"/>
      <c r="N47" s="23"/>
      <c r="O47" s="23"/>
      <c r="P47" s="23"/>
      <c r="Q47" s="25" t="s">
        <v>33</v>
      </c>
      <c r="R47" s="26" t="s">
        <v>34</v>
      </c>
    </row>
    <row r="48" spans="1:18" ht="15.75" customHeight="1">
      <c r="A48" s="21">
        <v>45</v>
      </c>
      <c r="B48" s="51">
        <v>5305</v>
      </c>
      <c r="C48" s="54" t="s">
        <v>85</v>
      </c>
      <c r="D48" s="51" t="s">
        <v>201</v>
      </c>
      <c r="E48" s="51" t="s">
        <v>292</v>
      </c>
      <c r="F48" s="63" t="s">
        <v>330</v>
      </c>
      <c r="G48" s="64" t="s">
        <v>335</v>
      </c>
      <c r="H48" s="55">
        <v>150</v>
      </c>
      <c r="I48" s="22" t="s">
        <v>12</v>
      </c>
      <c r="J48" s="47">
        <v>0</v>
      </c>
      <c r="K48" s="48">
        <f t="shared" si="0"/>
        <v>0</v>
      </c>
      <c r="L48" s="24"/>
      <c r="M48" s="23"/>
      <c r="N48" s="23"/>
      <c r="O48" s="23"/>
      <c r="P48" s="23"/>
      <c r="Q48" s="25" t="s">
        <v>33</v>
      </c>
      <c r="R48" s="26" t="s">
        <v>34</v>
      </c>
    </row>
    <row r="49" spans="1:18" ht="15.75" customHeight="1">
      <c r="A49" s="21">
        <v>46</v>
      </c>
      <c r="B49" s="51">
        <v>5331</v>
      </c>
      <c r="C49" s="54" t="s">
        <v>86</v>
      </c>
      <c r="D49" s="51" t="s">
        <v>202</v>
      </c>
      <c r="E49" s="51" t="s">
        <v>277</v>
      </c>
      <c r="F49" s="63" t="s">
        <v>330</v>
      </c>
      <c r="G49" s="64" t="s">
        <v>331</v>
      </c>
      <c r="H49" s="55">
        <v>800</v>
      </c>
      <c r="I49" s="22" t="s">
        <v>12</v>
      </c>
      <c r="J49" s="47">
        <v>0</v>
      </c>
      <c r="K49" s="48">
        <f t="shared" si="0"/>
        <v>0</v>
      </c>
      <c r="L49" s="24"/>
      <c r="M49" s="23"/>
      <c r="N49" s="23"/>
      <c r="O49" s="23"/>
      <c r="P49" s="23"/>
      <c r="Q49" s="25" t="s">
        <v>33</v>
      </c>
      <c r="R49" s="26" t="s">
        <v>34</v>
      </c>
    </row>
    <row r="50" spans="1:18" s="29" customFormat="1" ht="15.75" customHeight="1">
      <c r="A50" s="27">
        <v>47</v>
      </c>
      <c r="B50" s="51">
        <v>5331</v>
      </c>
      <c r="C50" s="67" t="s">
        <v>87</v>
      </c>
      <c r="D50" s="72" t="s">
        <v>203</v>
      </c>
      <c r="E50" s="51" t="s">
        <v>277</v>
      </c>
      <c r="F50" s="68" t="s">
        <v>330</v>
      </c>
      <c r="G50" s="64" t="s">
        <v>340</v>
      </c>
      <c r="H50" s="55">
        <v>50</v>
      </c>
      <c r="I50" s="22" t="s">
        <v>12</v>
      </c>
      <c r="J50" s="69">
        <v>0</v>
      </c>
      <c r="K50" s="49">
        <f t="shared" si="0"/>
        <v>0</v>
      </c>
      <c r="L50" s="24"/>
      <c r="M50" s="28"/>
      <c r="N50" s="28"/>
      <c r="O50" s="28"/>
      <c r="P50" s="28"/>
      <c r="Q50" s="70" t="s">
        <v>33</v>
      </c>
      <c r="R50" s="71" t="s">
        <v>34</v>
      </c>
    </row>
    <row r="51" spans="1:18">
      <c r="A51" s="21">
        <v>48</v>
      </c>
      <c r="B51" s="51">
        <v>4730</v>
      </c>
      <c r="C51" s="54" t="s">
        <v>88</v>
      </c>
      <c r="D51" s="51" t="s">
        <v>204</v>
      </c>
      <c r="E51" s="51" t="s">
        <v>31</v>
      </c>
      <c r="F51" s="63" t="s">
        <v>330</v>
      </c>
      <c r="G51" s="64" t="s">
        <v>331</v>
      </c>
      <c r="H51" s="55">
        <v>500</v>
      </c>
      <c r="I51" s="22" t="s">
        <v>12</v>
      </c>
      <c r="J51" s="47">
        <v>0</v>
      </c>
      <c r="K51" s="48">
        <f t="shared" si="0"/>
        <v>0</v>
      </c>
      <c r="L51" s="24"/>
      <c r="M51" s="23"/>
      <c r="N51" s="23"/>
      <c r="O51" s="23"/>
      <c r="P51" s="23"/>
      <c r="Q51" s="25" t="s">
        <v>33</v>
      </c>
      <c r="R51" s="26" t="s">
        <v>34</v>
      </c>
    </row>
    <row r="52" spans="1:18">
      <c r="A52" s="21">
        <v>49</v>
      </c>
      <c r="B52" s="51">
        <v>5325</v>
      </c>
      <c r="C52" s="54" t="s">
        <v>89</v>
      </c>
      <c r="D52" s="51" t="s">
        <v>205</v>
      </c>
      <c r="E52" s="51" t="s">
        <v>28</v>
      </c>
      <c r="F52" s="63" t="s">
        <v>330</v>
      </c>
      <c r="G52" s="64" t="s">
        <v>340</v>
      </c>
      <c r="H52" s="55">
        <v>150</v>
      </c>
      <c r="I52" s="22" t="s">
        <v>12</v>
      </c>
      <c r="J52" s="47">
        <v>0</v>
      </c>
      <c r="K52" s="48">
        <f t="shared" si="0"/>
        <v>0</v>
      </c>
      <c r="L52" s="24"/>
      <c r="M52" s="23"/>
      <c r="N52" s="23"/>
      <c r="O52" s="23"/>
      <c r="P52" s="23"/>
      <c r="Q52" s="25" t="s">
        <v>33</v>
      </c>
      <c r="R52" s="26" t="s">
        <v>34</v>
      </c>
    </row>
    <row r="53" spans="1:18">
      <c r="A53" s="21">
        <v>50</v>
      </c>
      <c r="B53" s="51">
        <v>5325</v>
      </c>
      <c r="C53" s="54" t="s">
        <v>90</v>
      </c>
      <c r="D53" s="51" t="s">
        <v>206</v>
      </c>
      <c r="E53" s="51" t="s">
        <v>28</v>
      </c>
      <c r="F53" s="63" t="s">
        <v>330</v>
      </c>
      <c r="G53" s="64" t="s">
        <v>340</v>
      </c>
      <c r="H53" s="55">
        <v>400</v>
      </c>
      <c r="I53" s="22" t="s">
        <v>12</v>
      </c>
      <c r="J53" s="47">
        <v>0</v>
      </c>
      <c r="K53" s="48">
        <f t="shared" si="0"/>
        <v>0</v>
      </c>
      <c r="L53" s="24"/>
      <c r="M53" s="23"/>
      <c r="N53" s="23"/>
      <c r="O53" s="23"/>
      <c r="P53" s="23"/>
      <c r="Q53" s="25" t="s">
        <v>33</v>
      </c>
      <c r="R53" s="26" t="s">
        <v>34</v>
      </c>
    </row>
    <row r="54" spans="1:18">
      <c r="A54" s="21">
        <v>51</v>
      </c>
      <c r="B54" s="51">
        <v>5305</v>
      </c>
      <c r="C54" s="54" t="s">
        <v>91</v>
      </c>
      <c r="D54" s="51" t="s">
        <v>207</v>
      </c>
      <c r="E54" s="51" t="s">
        <v>30</v>
      </c>
      <c r="F54" s="63" t="s">
        <v>330</v>
      </c>
      <c r="G54" s="64" t="s">
        <v>340</v>
      </c>
      <c r="H54" s="55">
        <v>800</v>
      </c>
      <c r="I54" s="22" t="s">
        <v>12</v>
      </c>
      <c r="J54" s="47">
        <v>0</v>
      </c>
      <c r="K54" s="48">
        <f t="shared" si="0"/>
        <v>0</v>
      </c>
      <c r="L54" s="24"/>
      <c r="M54" s="23"/>
      <c r="N54" s="23"/>
      <c r="O54" s="23"/>
      <c r="P54" s="23"/>
      <c r="Q54" s="25" t="s">
        <v>33</v>
      </c>
      <c r="R54" s="26" t="s">
        <v>34</v>
      </c>
    </row>
    <row r="55" spans="1:18">
      <c r="A55" s="21">
        <v>52</v>
      </c>
      <c r="B55" s="51">
        <v>5331</v>
      </c>
      <c r="C55" s="54" t="s">
        <v>92</v>
      </c>
      <c r="D55" s="51" t="s">
        <v>208</v>
      </c>
      <c r="E55" s="51" t="s">
        <v>277</v>
      </c>
      <c r="F55" s="63" t="s">
        <v>330</v>
      </c>
      <c r="G55" s="64" t="s">
        <v>340</v>
      </c>
      <c r="H55" s="55">
        <v>200</v>
      </c>
      <c r="I55" s="22" t="s">
        <v>12</v>
      </c>
      <c r="J55" s="47">
        <v>0</v>
      </c>
      <c r="K55" s="48">
        <f t="shared" si="0"/>
        <v>0</v>
      </c>
      <c r="L55" s="24"/>
      <c r="M55" s="23"/>
      <c r="N55" s="23"/>
      <c r="O55" s="23"/>
      <c r="P55" s="23"/>
      <c r="Q55" s="25" t="s">
        <v>33</v>
      </c>
      <c r="R55" s="26" t="s">
        <v>34</v>
      </c>
    </row>
    <row r="56" spans="1:18">
      <c r="A56" s="21">
        <v>53</v>
      </c>
      <c r="B56" s="51">
        <v>5331</v>
      </c>
      <c r="C56" s="54" t="s">
        <v>93</v>
      </c>
      <c r="D56" s="51" t="s">
        <v>209</v>
      </c>
      <c r="E56" s="51" t="s">
        <v>277</v>
      </c>
      <c r="F56" s="63" t="s">
        <v>330</v>
      </c>
      <c r="G56" s="64" t="s">
        <v>340</v>
      </c>
      <c r="H56" s="55">
        <v>50</v>
      </c>
      <c r="I56" s="22" t="s">
        <v>12</v>
      </c>
      <c r="J56" s="47">
        <v>0</v>
      </c>
      <c r="K56" s="48">
        <f t="shared" si="0"/>
        <v>0</v>
      </c>
      <c r="L56" s="24"/>
      <c r="M56" s="23"/>
      <c r="N56" s="23"/>
      <c r="O56" s="23"/>
      <c r="P56" s="23"/>
      <c r="Q56" s="25" t="s">
        <v>33</v>
      </c>
      <c r="R56" s="26" t="s">
        <v>34</v>
      </c>
    </row>
    <row r="57" spans="1:18">
      <c r="A57" s="21">
        <v>54</v>
      </c>
      <c r="B57" s="51">
        <v>5331</v>
      </c>
      <c r="C57" s="54" t="s">
        <v>94</v>
      </c>
      <c r="D57" s="51" t="s">
        <v>210</v>
      </c>
      <c r="E57" s="51" t="s">
        <v>277</v>
      </c>
      <c r="F57" s="63" t="s">
        <v>330</v>
      </c>
      <c r="G57" s="64" t="s">
        <v>340</v>
      </c>
      <c r="H57" s="55">
        <v>150</v>
      </c>
      <c r="I57" s="22" t="s">
        <v>12</v>
      </c>
      <c r="J57" s="47">
        <v>0</v>
      </c>
      <c r="K57" s="48">
        <f t="shared" si="0"/>
        <v>0</v>
      </c>
      <c r="L57" s="24"/>
      <c r="M57" s="23"/>
      <c r="N57" s="23"/>
      <c r="O57" s="23"/>
      <c r="P57" s="23"/>
      <c r="Q57" s="25" t="s">
        <v>33</v>
      </c>
      <c r="R57" s="26" t="s">
        <v>34</v>
      </c>
    </row>
    <row r="58" spans="1:18">
      <c r="A58" s="21">
        <v>55</v>
      </c>
      <c r="B58" s="51">
        <v>5331</v>
      </c>
      <c r="C58" s="54" t="s">
        <v>95</v>
      </c>
      <c r="D58" s="51" t="s">
        <v>211</v>
      </c>
      <c r="E58" s="51" t="s">
        <v>277</v>
      </c>
      <c r="F58" s="63" t="s">
        <v>330</v>
      </c>
      <c r="G58" s="64" t="s">
        <v>335</v>
      </c>
      <c r="H58" s="55">
        <v>200</v>
      </c>
      <c r="I58" s="22" t="s">
        <v>12</v>
      </c>
      <c r="J58" s="47">
        <v>0</v>
      </c>
      <c r="K58" s="48">
        <f t="shared" si="0"/>
        <v>0</v>
      </c>
      <c r="L58" s="24"/>
      <c r="M58" s="23"/>
      <c r="N58" s="23"/>
      <c r="O58" s="23"/>
      <c r="P58" s="23"/>
      <c r="Q58" s="25" t="s">
        <v>33</v>
      </c>
      <c r="R58" s="26" t="s">
        <v>34</v>
      </c>
    </row>
    <row r="59" spans="1:18">
      <c r="A59" s="27">
        <v>56</v>
      </c>
      <c r="B59" s="51">
        <v>5305</v>
      </c>
      <c r="C59" s="67" t="s">
        <v>96</v>
      </c>
      <c r="D59" s="72" t="s">
        <v>212</v>
      </c>
      <c r="E59" s="51" t="s">
        <v>293</v>
      </c>
      <c r="F59" s="68" t="s">
        <v>330</v>
      </c>
      <c r="G59" s="64" t="s">
        <v>340</v>
      </c>
      <c r="H59" s="55">
        <v>4500</v>
      </c>
      <c r="I59" s="22" t="s">
        <v>12</v>
      </c>
      <c r="J59" s="69">
        <v>0</v>
      </c>
      <c r="K59" s="49">
        <f t="shared" si="0"/>
        <v>0</v>
      </c>
      <c r="L59" s="24"/>
      <c r="M59" s="23"/>
      <c r="N59" s="23"/>
      <c r="O59" s="23"/>
      <c r="P59" s="23"/>
      <c r="Q59" s="70" t="s">
        <v>33</v>
      </c>
      <c r="R59" s="71" t="s">
        <v>34</v>
      </c>
    </row>
    <row r="60" spans="1:18">
      <c r="A60" s="21">
        <v>57</v>
      </c>
      <c r="B60" s="51">
        <v>5305</v>
      </c>
      <c r="C60" s="54" t="s">
        <v>97</v>
      </c>
      <c r="D60" s="51" t="s">
        <v>213</v>
      </c>
      <c r="E60" s="51" t="s">
        <v>30</v>
      </c>
      <c r="F60" s="63" t="s">
        <v>330</v>
      </c>
      <c r="G60" s="64" t="s">
        <v>338</v>
      </c>
      <c r="H60" s="55">
        <v>2000</v>
      </c>
      <c r="I60" s="22" t="s">
        <v>12</v>
      </c>
      <c r="J60" s="47">
        <v>0</v>
      </c>
      <c r="K60" s="48">
        <f t="shared" si="0"/>
        <v>0</v>
      </c>
      <c r="L60" s="24"/>
      <c r="M60" s="23"/>
      <c r="N60" s="23"/>
      <c r="O60" s="23"/>
      <c r="P60" s="23"/>
      <c r="Q60" s="25" t="s">
        <v>33</v>
      </c>
      <c r="R60" s="26" t="s">
        <v>34</v>
      </c>
    </row>
    <row r="61" spans="1:18">
      <c r="A61" s="21">
        <v>58</v>
      </c>
      <c r="B61" s="51">
        <v>5310</v>
      </c>
      <c r="C61" s="54" t="s">
        <v>98</v>
      </c>
      <c r="D61" s="51" t="s">
        <v>214</v>
      </c>
      <c r="E61" s="51" t="s">
        <v>294</v>
      </c>
      <c r="F61" s="63" t="s">
        <v>330</v>
      </c>
      <c r="G61" s="64" t="s">
        <v>335</v>
      </c>
      <c r="H61" s="55">
        <v>600</v>
      </c>
      <c r="I61" s="22" t="s">
        <v>12</v>
      </c>
      <c r="J61" s="47">
        <v>0</v>
      </c>
      <c r="K61" s="48">
        <f t="shared" si="0"/>
        <v>0</v>
      </c>
      <c r="L61" s="24"/>
      <c r="M61" s="23"/>
      <c r="N61" s="23"/>
      <c r="O61" s="23"/>
      <c r="P61" s="23"/>
      <c r="Q61" s="25" t="s">
        <v>33</v>
      </c>
      <c r="R61" s="26" t="s">
        <v>34</v>
      </c>
    </row>
    <row r="62" spans="1:18">
      <c r="A62" s="21">
        <v>59</v>
      </c>
      <c r="B62" s="51">
        <v>5310</v>
      </c>
      <c r="C62" s="54" t="s">
        <v>99</v>
      </c>
      <c r="D62" s="51" t="s">
        <v>215</v>
      </c>
      <c r="E62" s="51" t="s">
        <v>294</v>
      </c>
      <c r="F62" s="63" t="s">
        <v>330</v>
      </c>
      <c r="G62" s="64" t="s">
        <v>335</v>
      </c>
      <c r="H62" s="55">
        <v>1200</v>
      </c>
      <c r="I62" s="22" t="s">
        <v>12</v>
      </c>
      <c r="J62" s="47">
        <v>0</v>
      </c>
      <c r="K62" s="48">
        <f t="shared" si="0"/>
        <v>0</v>
      </c>
      <c r="L62" s="24"/>
      <c r="M62" s="23"/>
      <c r="N62" s="23"/>
      <c r="O62" s="23"/>
      <c r="P62" s="23"/>
      <c r="Q62" s="25" t="s">
        <v>33</v>
      </c>
      <c r="R62" s="26" t="s">
        <v>34</v>
      </c>
    </row>
    <row r="63" spans="1:18">
      <c r="A63" s="21">
        <v>60</v>
      </c>
      <c r="B63" s="51">
        <v>5305</v>
      </c>
      <c r="C63" s="54" t="s">
        <v>100</v>
      </c>
      <c r="D63" s="51" t="s">
        <v>216</v>
      </c>
      <c r="E63" s="51" t="s">
        <v>30</v>
      </c>
      <c r="F63" s="63" t="s">
        <v>330</v>
      </c>
      <c r="G63" s="64" t="s">
        <v>339</v>
      </c>
      <c r="H63" s="55">
        <v>400</v>
      </c>
      <c r="I63" s="22" t="s">
        <v>12</v>
      </c>
      <c r="J63" s="47">
        <v>0</v>
      </c>
      <c r="K63" s="48">
        <f t="shared" si="0"/>
        <v>0</v>
      </c>
      <c r="L63" s="24"/>
      <c r="M63" s="23"/>
      <c r="N63" s="23"/>
      <c r="O63" s="23"/>
      <c r="P63" s="23"/>
      <c r="Q63" s="25" t="s">
        <v>33</v>
      </c>
      <c r="R63" s="26" t="s">
        <v>34</v>
      </c>
    </row>
    <row r="64" spans="1:18">
      <c r="A64" s="21">
        <v>61</v>
      </c>
      <c r="B64" s="51">
        <v>5305</v>
      </c>
      <c r="C64" s="54" t="s">
        <v>101</v>
      </c>
      <c r="D64" s="51" t="s">
        <v>217</v>
      </c>
      <c r="E64" s="51" t="s">
        <v>30</v>
      </c>
      <c r="F64" s="63" t="s">
        <v>330</v>
      </c>
      <c r="G64" s="64" t="s">
        <v>339</v>
      </c>
      <c r="H64" s="55">
        <v>800</v>
      </c>
      <c r="I64" s="22" t="s">
        <v>12</v>
      </c>
      <c r="J64" s="47">
        <v>0</v>
      </c>
      <c r="K64" s="48">
        <f t="shared" si="0"/>
        <v>0</v>
      </c>
      <c r="L64" s="24"/>
      <c r="M64" s="23"/>
      <c r="N64" s="23"/>
      <c r="O64" s="23"/>
      <c r="P64" s="23"/>
      <c r="Q64" s="25" t="s">
        <v>33</v>
      </c>
      <c r="R64" s="26" t="s">
        <v>34</v>
      </c>
    </row>
    <row r="65" spans="1:18">
      <c r="A65" s="21">
        <v>62</v>
      </c>
      <c r="B65" s="51">
        <v>5305</v>
      </c>
      <c r="C65" s="54" t="s">
        <v>102</v>
      </c>
      <c r="D65" s="51" t="s">
        <v>218</v>
      </c>
      <c r="E65" s="51" t="s">
        <v>23</v>
      </c>
      <c r="F65" s="63" t="s">
        <v>330</v>
      </c>
      <c r="G65" s="64" t="s">
        <v>340</v>
      </c>
      <c r="H65" s="55">
        <v>4000</v>
      </c>
      <c r="I65" s="22" t="s">
        <v>12</v>
      </c>
      <c r="J65" s="47">
        <v>0</v>
      </c>
      <c r="K65" s="48">
        <f t="shared" si="0"/>
        <v>0</v>
      </c>
      <c r="L65" s="24"/>
      <c r="M65" s="23"/>
      <c r="N65" s="23"/>
      <c r="O65" s="23"/>
      <c r="P65" s="23"/>
      <c r="Q65" s="25" t="s">
        <v>33</v>
      </c>
      <c r="R65" s="26" t="s">
        <v>34</v>
      </c>
    </row>
    <row r="66" spans="1:18">
      <c r="A66" s="21">
        <v>63</v>
      </c>
      <c r="B66" s="51">
        <v>5305</v>
      </c>
      <c r="C66" s="54" t="s">
        <v>103</v>
      </c>
      <c r="D66" s="51" t="s">
        <v>219</v>
      </c>
      <c r="E66" s="51" t="s">
        <v>23</v>
      </c>
      <c r="F66" s="63" t="s">
        <v>330</v>
      </c>
      <c r="G66" s="64" t="s">
        <v>340</v>
      </c>
      <c r="H66" s="55">
        <v>500</v>
      </c>
      <c r="I66" s="22" t="s">
        <v>12</v>
      </c>
      <c r="J66" s="47">
        <v>0</v>
      </c>
      <c r="K66" s="48">
        <f t="shared" si="0"/>
        <v>0</v>
      </c>
      <c r="L66" s="24"/>
      <c r="M66" s="23"/>
      <c r="N66" s="23"/>
      <c r="O66" s="23"/>
      <c r="P66" s="23"/>
      <c r="Q66" s="25" t="s">
        <v>33</v>
      </c>
      <c r="R66" s="26" t="s">
        <v>34</v>
      </c>
    </row>
    <row r="67" spans="1:18">
      <c r="A67" s="21">
        <v>64</v>
      </c>
      <c r="B67" s="51">
        <v>5305</v>
      </c>
      <c r="C67" s="54" t="s">
        <v>104</v>
      </c>
      <c r="D67" s="51" t="s">
        <v>220</v>
      </c>
      <c r="E67" s="51" t="s">
        <v>23</v>
      </c>
      <c r="F67" s="63" t="s">
        <v>330</v>
      </c>
      <c r="G67" s="64" t="s">
        <v>340</v>
      </c>
      <c r="H67" s="55">
        <v>1500</v>
      </c>
      <c r="I67" s="22" t="s">
        <v>12</v>
      </c>
      <c r="J67" s="47">
        <v>0</v>
      </c>
      <c r="K67" s="48">
        <f t="shared" si="0"/>
        <v>0</v>
      </c>
      <c r="L67" s="24"/>
      <c r="M67" s="23"/>
      <c r="N67" s="23"/>
      <c r="O67" s="23"/>
      <c r="P67" s="23"/>
      <c r="Q67" s="25" t="s">
        <v>33</v>
      </c>
      <c r="R67" s="26" t="s">
        <v>34</v>
      </c>
    </row>
    <row r="68" spans="1:18">
      <c r="A68" s="21">
        <v>65</v>
      </c>
      <c r="B68" s="51">
        <v>5340</v>
      </c>
      <c r="C68" s="54" t="s">
        <v>105</v>
      </c>
      <c r="D68" s="51" t="s">
        <v>221</v>
      </c>
      <c r="E68" s="51" t="s">
        <v>31</v>
      </c>
      <c r="F68" s="63" t="s">
        <v>330</v>
      </c>
      <c r="G68" s="64" t="s">
        <v>340</v>
      </c>
      <c r="H68" s="55">
        <v>160</v>
      </c>
      <c r="I68" s="22" t="s">
        <v>12</v>
      </c>
      <c r="J68" s="47">
        <v>0</v>
      </c>
      <c r="K68" s="48">
        <f t="shared" ref="K68:K119" si="1">SUM(J68*H68)</f>
        <v>0</v>
      </c>
      <c r="L68" s="24"/>
      <c r="M68" s="23"/>
      <c r="N68" s="23"/>
      <c r="O68" s="23"/>
      <c r="P68" s="23"/>
      <c r="Q68" s="25" t="s">
        <v>33</v>
      </c>
      <c r="R68" s="26" t="s">
        <v>34</v>
      </c>
    </row>
    <row r="69" spans="1:18">
      <c r="A69" s="21">
        <v>66</v>
      </c>
      <c r="B69" s="51">
        <v>5310</v>
      </c>
      <c r="C69" s="54" t="s">
        <v>106</v>
      </c>
      <c r="D69" s="51" t="s">
        <v>222</v>
      </c>
      <c r="E69" s="51" t="s">
        <v>294</v>
      </c>
      <c r="F69" s="63" t="s">
        <v>330</v>
      </c>
      <c r="G69" s="64" t="s">
        <v>333</v>
      </c>
      <c r="H69" s="55">
        <v>2000</v>
      </c>
      <c r="I69" s="22" t="s">
        <v>12</v>
      </c>
      <c r="J69" s="47">
        <v>0</v>
      </c>
      <c r="K69" s="48">
        <f t="shared" si="1"/>
        <v>0</v>
      </c>
      <c r="L69" s="24"/>
      <c r="M69" s="23"/>
      <c r="N69" s="23"/>
      <c r="O69" s="23"/>
      <c r="P69" s="23"/>
      <c r="Q69" s="25" t="s">
        <v>33</v>
      </c>
      <c r="R69" s="26" t="s">
        <v>34</v>
      </c>
    </row>
    <row r="70" spans="1:18">
      <c r="A70" s="21">
        <v>67</v>
      </c>
      <c r="B70" s="51">
        <v>5305</v>
      </c>
      <c r="C70" s="54" t="s">
        <v>107</v>
      </c>
      <c r="D70" s="51" t="s">
        <v>223</v>
      </c>
      <c r="E70" s="51" t="s">
        <v>30</v>
      </c>
      <c r="F70" s="63" t="s">
        <v>330</v>
      </c>
      <c r="G70" s="64" t="s">
        <v>331</v>
      </c>
      <c r="H70" s="55">
        <v>400</v>
      </c>
      <c r="I70" s="22" t="s">
        <v>12</v>
      </c>
      <c r="J70" s="47">
        <v>0</v>
      </c>
      <c r="K70" s="48">
        <f t="shared" si="1"/>
        <v>0</v>
      </c>
      <c r="L70" s="24"/>
      <c r="M70" s="23"/>
      <c r="N70" s="23"/>
      <c r="O70" s="23"/>
      <c r="P70" s="23"/>
      <c r="Q70" s="25" t="s">
        <v>33</v>
      </c>
      <c r="R70" s="26" t="s">
        <v>34</v>
      </c>
    </row>
    <row r="71" spans="1:18">
      <c r="A71" s="21">
        <v>68</v>
      </c>
      <c r="B71" s="51">
        <v>5305</v>
      </c>
      <c r="C71" s="54" t="s">
        <v>108</v>
      </c>
      <c r="D71" s="51" t="s">
        <v>224</v>
      </c>
      <c r="E71" s="51" t="s">
        <v>30</v>
      </c>
      <c r="F71" s="63" t="s">
        <v>330</v>
      </c>
      <c r="G71" s="64" t="s">
        <v>340</v>
      </c>
      <c r="H71" s="55">
        <v>1200</v>
      </c>
      <c r="I71" s="22" t="s">
        <v>12</v>
      </c>
      <c r="J71" s="47">
        <v>0</v>
      </c>
      <c r="K71" s="48">
        <f t="shared" si="1"/>
        <v>0</v>
      </c>
      <c r="L71" s="24"/>
      <c r="M71" s="23"/>
      <c r="N71" s="23"/>
      <c r="O71" s="23"/>
      <c r="P71" s="23"/>
      <c r="Q71" s="25" t="s">
        <v>33</v>
      </c>
      <c r="R71" s="26" t="s">
        <v>34</v>
      </c>
    </row>
    <row r="72" spans="1:18">
      <c r="A72" s="21">
        <v>69</v>
      </c>
      <c r="B72" s="51">
        <v>5305</v>
      </c>
      <c r="C72" s="54" t="s">
        <v>109</v>
      </c>
      <c r="D72" s="51" t="s">
        <v>225</v>
      </c>
      <c r="E72" s="51" t="s">
        <v>30</v>
      </c>
      <c r="F72" s="63" t="s">
        <v>330</v>
      </c>
      <c r="G72" s="64" t="s">
        <v>339</v>
      </c>
      <c r="H72" s="55">
        <v>250</v>
      </c>
      <c r="I72" s="22" t="s">
        <v>12</v>
      </c>
      <c r="J72" s="47">
        <v>0</v>
      </c>
      <c r="K72" s="48">
        <f t="shared" si="1"/>
        <v>0</v>
      </c>
      <c r="L72" s="24"/>
      <c r="M72" s="23"/>
      <c r="N72" s="23"/>
      <c r="O72" s="23"/>
      <c r="P72" s="23"/>
      <c r="Q72" s="25" t="s">
        <v>33</v>
      </c>
      <c r="R72" s="26" t="s">
        <v>34</v>
      </c>
    </row>
    <row r="73" spans="1:18">
      <c r="A73" s="21">
        <v>70</v>
      </c>
      <c r="B73" s="51">
        <v>5305</v>
      </c>
      <c r="C73" s="54" t="s">
        <v>110</v>
      </c>
      <c r="D73" s="51" t="s">
        <v>226</v>
      </c>
      <c r="E73" s="51" t="s">
        <v>30</v>
      </c>
      <c r="F73" s="63" t="s">
        <v>330</v>
      </c>
      <c r="G73" s="64" t="s">
        <v>333</v>
      </c>
      <c r="H73" s="55">
        <v>50</v>
      </c>
      <c r="I73" s="22" t="s">
        <v>12</v>
      </c>
      <c r="J73" s="47">
        <v>0</v>
      </c>
      <c r="K73" s="48">
        <f t="shared" si="1"/>
        <v>0</v>
      </c>
      <c r="L73" s="24"/>
      <c r="M73" s="23"/>
      <c r="N73" s="23"/>
      <c r="O73" s="23"/>
      <c r="P73" s="23"/>
      <c r="Q73" s="25" t="s">
        <v>33</v>
      </c>
      <c r="R73" s="26" t="s">
        <v>34</v>
      </c>
    </row>
    <row r="74" spans="1:18">
      <c r="A74" s="21">
        <v>71</v>
      </c>
      <c r="B74" s="51">
        <v>5305</v>
      </c>
      <c r="C74" s="54" t="s">
        <v>111</v>
      </c>
      <c r="D74" s="51" t="s">
        <v>227</v>
      </c>
      <c r="E74" s="51" t="s">
        <v>30</v>
      </c>
      <c r="F74" s="63" t="s">
        <v>330</v>
      </c>
      <c r="G74" s="64" t="s">
        <v>331</v>
      </c>
      <c r="H74" s="55">
        <v>500</v>
      </c>
      <c r="I74" s="22" t="s">
        <v>12</v>
      </c>
      <c r="J74" s="47">
        <v>0</v>
      </c>
      <c r="K74" s="48">
        <f t="shared" si="1"/>
        <v>0</v>
      </c>
      <c r="L74" s="24"/>
      <c r="M74" s="23"/>
      <c r="N74" s="23"/>
      <c r="O74" s="23"/>
      <c r="P74" s="23"/>
      <c r="Q74" s="25" t="s">
        <v>33</v>
      </c>
      <c r="R74" s="26" t="s">
        <v>34</v>
      </c>
    </row>
    <row r="75" spans="1:18">
      <c r="A75" s="21">
        <v>72</v>
      </c>
      <c r="B75" s="51">
        <v>5305</v>
      </c>
      <c r="C75" s="54" t="s">
        <v>112</v>
      </c>
      <c r="D75" s="51" t="s">
        <v>228</v>
      </c>
      <c r="E75" s="51" t="s">
        <v>295</v>
      </c>
      <c r="F75" s="63" t="s">
        <v>330</v>
      </c>
      <c r="G75" s="64" t="s">
        <v>340</v>
      </c>
      <c r="H75" s="55">
        <v>200</v>
      </c>
      <c r="I75" s="22" t="s">
        <v>12</v>
      </c>
      <c r="J75" s="47">
        <v>0</v>
      </c>
      <c r="K75" s="48">
        <f t="shared" si="1"/>
        <v>0</v>
      </c>
      <c r="L75" s="24"/>
      <c r="M75" s="23"/>
      <c r="N75" s="23"/>
      <c r="O75" s="23"/>
      <c r="P75" s="23"/>
      <c r="Q75" s="25" t="s">
        <v>33</v>
      </c>
      <c r="R75" s="26" t="s">
        <v>34</v>
      </c>
    </row>
    <row r="76" spans="1:18">
      <c r="A76" s="21">
        <v>73</v>
      </c>
      <c r="B76" s="51">
        <v>5930</v>
      </c>
      <c r="C76" s="54" t="s">
        <v>113</v>
      </c>
      <c r="D76" s="51" t="s">
        <v>229</v>
      </c>
      <c r="E76" s="51" t="s">
        <v>296</v>
      </c>
      <c r="F76" s="63" t="s">
        <v>330</v>
      </c>
      <c r="G76" s="64" t="s">
        <v>339</v>
      </c>
      <c r="H76" s="55">
        <v>8</v>
      </c>
      <c r="I76" s="22" t="s">
        <v>12</v>
      </c>
      <c r="J76" s="47">
        <v>0</v>
      </c>
      <c r="K76" s="48">
        <f t="shared" si="1"/>
        <v>0</v>
      </c>
      <c r="L76" s="24"/>
      <c r="M76" s="23"/>
      <c r="N76" s="23"/>
      <c r="O76" s="23"/>
      <c r="P76" s="23"/>
      <c r="Q76" s="25" t="s">
        <v>33</v>
      </c>
      <c r="R76" s="26" t="s">
        <v>34</v>
      </c>
    </row>
    <row r="77" spans="1:18">
      <c r="A77" s="21">
        <v>74</v>
      </c>
      <c r="B77" s="51">
        <v>5305</v>
      </c>
      <c r="C77" s="54" t="s">
        <v>114</v>
      </c>
      <c r="D77" s="51" t="s">
        <v>230</v>
      </c>
      <c r="E77" s="51" t="s">
        <v>23</v>
      </c>
      <c r="F77" s="63" t="s">
        <v>330</v>
      </c>
      <c r="G77" s="64" t="s">
        <v>340</v>
      </c>
      <c r="H77" s="55">
        <v>200</v>
      </c>
      <c r="I77" s="22" t="s">
        <v>12</v>
      </c>
      <c r="J77" s="47">
        <v>0</v>
      </c>
      <c r="K77" s="48">
        <f t="shared" si="1"/>
        <v>0</v>
      </c>
      <c r="L77" s="24"/>
      <c r="M77" s="23"/>
      <c r="N77" s="23"/>
      <c r="O77" s="23"/>
      <c r="P77" s="23"/>
      <c r="Q77" s="25" t="s">
        <v>33</v>
      </c>
      <c r="R77" s="26" t="s">
        <v>34</v>
      </c>
    </row>
    <row r="78" spans="1:18">
      <c r="A78" s="21">
        <v>75</v>
      </c>
      <c r="B78" s="51">
        <v>5331</v>
      </c>
      <c r="C78" s="54" t="s">
        <v>115</v>
      </c>
      <c r="D78" s="51" t="s">
        <v>231</v>
      </c>
      <c r="E78" s="51" t="s">
        <v>277</v>
      </c>
      <c r="F78" s="63" t="s">
        <v>330</v>
      </c>
      <c r="G78" s="64" t="s">
        <v>333</v>
      </c>
      <c r="H78" s="55">
        <v>25</v>
      </c>
      <c r="I78" s="22" t="s">
        <v>12</v>
      </c>
      <c r="J78" s="47">
        <v>0</v>
      </c>
      <c r="K78" s="48">
        <f t="shared" si="1"/>
        <v>0</v>
      </c>
      <c r="L78" s="24"/>
      <c r="M78" s="23"/>
      <c r="N78" s="23"/>
      <c r="O78" s="23"/>
      <c r="P78" s="23"/>
      <c r="Q78" s="25" t="s">
        <v>33</v>
      </c>
      <c r="R78" s="26" t="s">
        <v>34</v>
      </c>
    </row>
    <row r="79" spans="1:18">
      <c r="A79" s="21">
        <v>76</v>
      </c>
      <c r="B79" s="51">
        <v>5310</v>
      </c>
      <c r="C79" s="54" t="s">
        <v>116</v>
      </c>
      <c r="D79" s="51" t="s">
        <v>232</v>
      </c>
      <c r="E79" s="51" t="s">
        <v>294</v>
      </c>
      <c r="F79" s="63" t="s">
        <v>330</v>
      </c>
      <c r="G79" s="64" t="s">
        <v>335</v>
      </c>
      <c r="H79" s="55">
        <v>2000</v>
      </c>
      <c r="I79" s="22" t="s">
        <v>12</v>
      </c>
      <c r="J79" s="47">
        <v>0</v>
      </c>
      <c r="K79" s="48">
        <f t="shared" si="1"/>
        <v>0</v>
      </c>
      <c r="L79" s="24"/>
      <c r="M79" s="23"/>
      <c r="N79" s="23"/>
      <c r="O79" s="23"/>
      <c r="P79" s="23"/>
      <c r="Q79" s="25" t="s">
        <v>33</v>
      </c>
      <c r="R79" s="26" t="s">
        <v>34</v>
      </c>
    </row>
    <row r="80" spans="1:18">
      <c r="A80" s="21">
        <v>77</v>
      </c>
      <c r="B80" s="51">
        <v>5305</v>
      </c>
      <c r="C80" s="54" t="s">
        <v>117</v>
      </c>
      <c r="D80" s="51" t="s">
        <v>233</v>
      </c>
      <c r="E80" s="51" t="s">
        <v>30</v>
      </c>
      <c r="F80" s="63" t="s">
        <v>330</v>
      </c>
      <c r="G80" s="64" t="s">
        <v>339</v>
      </c>
      <c r="H80" s="55">
        <v>400</v>
      </c>
      <c r="I80" s="22" t="s">
        <v>12</v>
      </c>
      <c r="J80" s="47">
        <v>0</v>
      </c>
      <c r="K80" s="48">
        <f t="shared" si="1"/>
        <v>0</v>
      </c>
      <c r="L80" s="24"/>
      <c r="M80" s="23"/>
      <c r="N80" s="23"/>
      <c r="O80" s="23"/>
      <c r="P80" s="23"/>
      <c r="Q80" s="25" t="s">
        <v>33</v>
      </c>
      <c r="R80" s="26" t="s">
        <v>34</v>
      </c>
    </row>
    <row r="81" spans="1:18">
      <c r="A81" s="21">
        <v>78</v>
      </c>
      <c r="B81" s="51">
        <v>5325</v>
      </c>
      <c r="C81" s="54" t="s">
        <v>118</v>
      </c>
      <c r="D81" s="51" t="s">
        <v>234</v>
      </c>
      <c r="E81" s="51" t="s">
        <v>297</v>
      </c>
      <c r="F81" s="63" t="s">
        <v>330</v>
      </c>
      <c r="G81" s="64" t="s">
        <v>340</v>
      </c>
      <c r="H81" s="55">
        <v>1600</v>
      </c>
      <c r="I81" s="22" t="s">
        <v>12</v>
      </c>
      <c r="J81" s="47">
        <v>0</v>
      </c>
      <c r="K81" s="48">
        <f t="shared" si="1"/>
        <v>0</v>
      </c>
      <c r="L81" s="24"/>
      <c r="M81" s="23"/>
      <c r="N81" s="23"/>
      <c r="O81" s="23"/>
      <c r="P81" s="23"/>
      <c r="Q81" s="25" t="s">
        <v>33</v>
      </c>
      <c r="R81" s="26" t="s">
        <v>34</v>
      </c>
    </row>
    <row r="82" spans="1:18">
      <c r="A82" s="21">
        <v>79</v>
      </c>
      <c r="B82" s="51">
        <v>5331</v>
      </c>
      <c r="C82" s="54" t="s">
        <v>119</v>
      </c>
      <c r="D82" s="51" t="s">
        <v>235</v>
      </c>
      <c r="E82" s="51" t="s">
        <v>277</v>
      </c>
      <c r="F82" s="63" t="s">
        <v>330</v>
      </c>
      <c r="G82" s="64" t="s">
        <v>339</v>
      </c>
      <c r="H82" s="55">
        <v>50</v>
      </c>
      <c r="I82" s="22" t="s">
        <v>12</v>
      </c>
      <c r="J82" s="47">
        <v>0</v>
      </c>
      <c r="K82" s="48">
        <f t="shared" si="1"/>
        <v>0</v>
      </c>
      <c r="L82" s="24"/>
      <c r="M82" s="23"/>
      <c r="N82" s="23"/>
      <c r="O82" s="23"/>
      <c r="P82" s="23"/>
      <c r="Q82" s="25" t="s">
        <v>33</v>
      </c>
      <c r="R82" s="26" t="s">
        <v>34</v>
      </c>
    </row>
    <row r="83" spans="1:18" s="29" customFormat="1">
      <c r="A83" s="27">
        <v>80</v>
      </c>
      <c r="B83" s="51">
        <v>5331</v>
      </c>
      <c r="C83" s="54" t="s">
        <v>120</v>
      </c>
      <c r="D83" s="51" t="s">
        <v>236</v>
      </c>
      <c r="E83" s="51" t="s">
        <v>277</v>
      </c>
      <c r="F83" s="63" t="s">
        <v>330</v>
      </c>
      <c r="G83" s="64" t="s">
        <v>335</v>
      </c>
      <c r="H83" s="55">
        <v>80</v>
      </c>
      <c r="I83" s="22" t="s">
        <v>12</v>
      </c>
      <c r="J83" s="47">
        <v>0</v>
      </c>
      <c r="K83" s="49">
        <f t="shared" si="1"/>
        <v>0</v>
      </c>
      <c r="L83" s="24"/>
      <c r="M83" s="28"/>
      <c r="N83" s="28"/>
      <c r="O83" s="28"/>
      <c r="P83" s="28"/>
      <c r="Q83" s="25" t="s">
        <v>33</v>
      </c>
      <c r="R83" s="26" t="s">
        <v>34</v>
      </c>
    </row>
    <row r="84" spans="1:18">
      <c r="A84" s="21">
        <v>81</v>
      </c>
      <c r="B84" s="51">
        <v>5315</v>
      </c>
      <c r="C84" s="54" t="s">
        <v>121</v>
      </c>
      <c r="D84" s="51" t="s">
        <v>237</v>
      </c>
      <c r="E84" s="51" t="s">
        <v>298</v>
      </c>
      <c r="F84" s="63" t="s">
        <v>330</v>
      </c>
      <c r="G84" s="64" t="s">
        <v>339</v>
      </c>
      <c r="H84" s="55">
        <v>100</v>
      </c>
      <c r="I84" s="22" t="s">
        <v>12</v>
      </c>
      <c r="J84" s="47">
        <v>0</v>
      </c>
      <c r="K84" s="48">
        <f t="shared" si="1"/>
        <v>0</v>
      </c>
      <c r="L84" s="24"/>
      <c r="M84" s="23"/>
      <c r="N84" s="23"/>
      <c r="O84" s="23"/>
      <c r="P84" s="23"/>
      <c r="Q84" s="25" t="s">
        <v>33</v>
      </c>
      <c r="R84" s="26" t="s">
        <v>34</v>
      </c>
    </row>
    <row r="85" spans="1:18">
      <c r="A85" s="21">
        <v>82</v>
      </c>
      <c r="B85" s="51">
        <v>5340</v>
      </c>
      <c r="C85" s="54" t="s">
        <v>122</v>
      </c>
      <c r="D85" s="51" t="s">
        <v>238</v>
      </c>
      <c r="E85" s="51" t="s">
        <v>299</v>
      </c>
      <c r="F85" s="63" t="s">
        <v>330</v>
      </c>
      <c r="G85" s="64" t="s">
        <v>338</v>
      </c>
      <c r="H85" s="55">
        <v>100</v>
      </c>
      <c r="I85" s="22" t="s">
        <v>12</v>
      </c>
      <c r="J85" s="47">
        <v>0</v>
      </c>
      <c r="K85" s="48">
        <f t="shared" si="1"/>
        <v>0</v>
      </c>
      <c r="L85" s="24"/>
      <c r="M85" s="23"/>
      <c r="N85" s="23"/>
      <c r="O85" s="23"/>
      <c r="P85" s="23"/>
      <c r="Q85" s="25" t="s">
        <v>33</v>
      </c>
      <c r="R85" s="26" t="s">
        <v>34</v>
      </c>
    </row>
    <row r="86" spans="1:18">
      <c r="A86" s="21">
        <v>83</v>
      </c>
      <c r="B86" s="51">
        <v>4020</v>
      </c>
      <c r="C86" s="54" t="s">
        <v>123</v>
      </c>
      <c r="D86" s="51" t="s">
        <v>239</v>
      </c>
      <c r="E86" s="51" t="s">
        <v>300</v>
      </c>
      <c r="F86" s="63" t="s">
        <v>330</v>
      </c>
      <c r="G86" s="64" t="s">
        <v>340</v>
      </c>
      <c r="H86" s="55">
        <v>150</v>
      </c>
      <c r="I86" s="22" t="s">
        <v>12</v>
      </c>
      <c r="J86" s="47">
        <v>0</v>
      </c>
      <c r="K86" s="48">
        <f t="shared" si="1"/>
        <v>0</v>
      </c>
      <c r="L86" s="24"/>
      <c r="M86" s="23"/>
      <c r="N86" s="23"/>
      <c r="O86" s="23"/>
      <c r="P86" s="23"/>
      <c r="Q86" s="25" t="s">
        <v>33</v>
      </c>
      <c r="R86" s="26" t="s">
        <v>34</v>
      </c>
    </row>
    <row r="87" spans="1:18">
      <c r="A87" s="21">
        <v>84</v>
      </c>
      <c r="B87" s="51">
        <v>4020</v>
      </c>
      <c r="C87" s="54" t="s">
        <v>124</v>
      </c>
      <c r="D87" s="51" t="s">
        <v>240</v>
      </c>
      <c r="E87" s="51" t="s">
        <v>300</v>
      </c>
      <c r="F87" s="63" t="s">
        <v>330</v>
      </c>
      <c r="G87" s="64" t="s">
        <v>340</v>
      </c>
      <c r="H87" s="55">
        <v>300</v>
      </c>
      <c r="I87" s="22" t="s">
        <v>12</v>
      </c>
      <c r="J87" s="47">
        <v>0</v>
      </c>
      <c r="K87" s="48">
        <f t="shared" si="1"/>
        <v>0</v>
      </c>
      <c r="L87" s="24"/>
      <c r="M87" s="23"/>
      <c r="N87" s="23"/>
      <c r="O87" s="23"/>
      <c r="P87" s="23"/>
      <c r="Q87" s="25" t="s">
        <v>33</v>
      </c>
      <c r="R87" s="26" t="s">
        <v>34</v>
      </c>
    </row>
    <row r="88" spans="1:18">
      <c r="A88" s="21">
        <v>85</v>
      </c>
      <c r="B88" s="51">
        <v>5305</v>
      </c>
      <c r="C88" s="54" t="s">
        <v>125</v>
      </c>
      <c r="D88" s="51" t="s">
        <v>241</v>
      </c>
      <c r="E88" s="51" t="s">
        <v>30</v>
      </c>
      <c r="F88" s="63" t="s">
        <v>330</v>
      </c>
      <c r="G88" s="64" t="s">
        <v>338</v>
      </c>
      <c r="H88" s="55">
        <v>400</v>
      </c>
      <c r="I88" s="22" t="s">
        <v>12</v>
      </c>
      <c r="J88" s="47">
        <v>0</v>
      </c>
      <c r="K88" s="48">
        <f t="shared" si="1"/>
        <v>0</v>
      </c>
      <c r="L88" s="24"/>
      <c r="M88" s="23"/>
      <c r="N88" s="23"/>
      <c r="O88" s="23"/>
      <c r="P88" s="23"/>
      <c r="Q88" s="25" t="s">
        <v>33</v>
      </c>
      <c r="R88" s="26" t="s">
        <v>34</v>
      </c>
    </row>
    <row r="89" spans="1:18">
      <c r="A89" s="21">
        <v>86</v>
      </c>
      <c r="B89" s="51">
        <v>5305</v>
      </c>
      <c r="C89" s="54" t="s">
        <v>126</v>
      </c>
      <c r="D89" s="51" t="s">
        <v>242</v>
      </c>
      <c r="E89" s="51" t="s">
        <v>30</v>
      </c>
      <c r="F89" s="63" t="s">
        <v>330</v>
      </c>
      <c r="G89" s="64" t="s">
        <v>338</v>
      </c>
      <c r="H89" s="55">
        <v>200</v>
      </c>
      <c r="I89" s="22" t="s">
        <v>12</v>
      </c>
      <c r="J89" s="47">
        <v>0</v>
      </c>
      <c r="K89" s="48">
        <f t="shared" si="1"/>
        <v>0</v>
      </c>
      <c r="L89" s="24"/>
      <c r="M89" s="23"/>
      <c r="N89" s="23"/>
      <c r="O89" s="23"/>
      <c r="P89" s="23"/>
      <c r="Q89" s="25" t="s">
        <v>33</v>
      </c>
      <c r="R89" s="26" t="s">
        <v>34</v>
      </c>
    </row>
    <row r="90" spans="1:18">
      <c r="A90" s="21">
        <v>87</v>
      </c>
      <c r="B90" s="51">
        <v>5310</v>
      </c>
      <c r="C90" s="54" t="s">
        <v>127</v>
      </c>
      <c r="D90" s="51" t="s">
        <v>243</v>
      </c>
      <c r="E90" s="51" t="s">
        <v>27</v>
      </c>
      <c r="F90" s="63" t="s">
        <v>330</v>
      </c>
      <c r="G90" s="64" t="s">
        <v>339</v>
      </c>
      <c r="H90" s="55">
        <v>100</v>
      </c>
      <c r="I90" s="22" t="s">
        <v>12</v>
      </c>
      <c r="J90" s="47">
        <v>0</v>
      </c>
      <c r="K90" s="48">
        <f t="shared" si="1"/>
        <v>0</v>
      </c>
      <c r="L90" s="24"/>
      <c r="M90" s="23"/>
      <c r="N90" s="23"/>
      <c r="O90" s="23"/>
      <c r="P90" s="23"/>
      <c r="Q90" s="25" t="s">
        <v>33</v>
      </c>
      <c r="R90" s="26" t="s">
        <v>34</v>
      </c>
    </row>
    <row r="91" spans="1:18">
      <c r="A91" s="21">
        <v>88</v>
      </c>
      <c r="B91" s="51">
        <v>5315</v>
      </c>
      <c r="C91" s="54" t="s">
        <v>128</v>
      </c>
      <c r="D91" s="51" t="s">
        <v>244</v>
      </c>
      <c r="E91" s="51" t="s">
        <v>301</v>
      </c>
      <c r="F91" s="63" t="s">
        <v>330</v>
      </c>
      <c r="G91" s="64" t="s">
        <v>339</v>
      </c>
      <c r="H91" s="55">
        <v>20</v>
      </c>
      <c r="I91" s="22" t="s">
        <v>12</v>
      </c>
      <c r="J91" s="47">
        <v>0</v>
      </c>
      <c r="K91" s="48">
        <f t="shared" si="1"/>
        <v>0</v>
      </c>
      <c r="L91" s="24"/>
      <c r="M91" s="23"/>
      <c r="N91" s="23"/>
      <c r="O91" s="23"/>
      <c r="P91" s="23"/>
      <c r="Q91" s="25" t="s">
        <v>33</v>
      </c>
      <c r="R91" s="26" t="s">
        <v>34</v>
      </c>
    </row>
    <row r="92" spans="1:18">
      <c r="A92" s="21">
        <v>89</v>
      </c>
      <c r="B92" s="51" t="s">
        <v>21</v>
      </c>
      <c r="C92" s="54" t="s">
        <v>129</v>
      </c>
      <c r="D92" s="51" t="s">
        <v>245</v>
      </c>
      <c r="E92" s="51" t="s">
        <v>302</v>
      </c>
      <c r="F92" s="63" t="s">
        <v>330</v>
      </c>
      <c r="G92" s="64" t="s">
        <v>341</v>
      </c>
      <c r="H92" s="55">
        <v>50</v>
      </c>
      <c r="I92" s="22" t="s">
        <v>12</v>
      </c>
      <c r="J92" s="47">
        <v>0</v>
      </c>
      <c r="K92" s="48">
        <f t="shared" si="1"/>
        <v>0</v>
      </c>
      <c r="L92" s="24"/>
      <c r="M92" s="23"/>
      <c r="N92" s="23"/>
      <c r="O92" s="23"/>
      <c r="P92" s="23"/>
      <c r="Q92" s="25" t="s">
        <v>33</v>
      </c>
      <c r="R92" s="26" t="s">
        <v>34</v>
      </c>
    </row>
    <row r="93" spans="1:18">
      <c r="A93" s="21">
        <v>90</v>
      </c>
      <c r="B93" s="51">
        <v>5975</v>
      </c>
      <c r="C93" s="54" t="s">
        <v>130</v>
      </c>
      <c r="D93" s="51" t="s">
        <v>246</v>
      </c>
      <c r="E93" s="51" t="s">
        <v>303</v>
      </c>
      <c r="F93" s="63" t="s">
        <v>330</v>
      </c>
      <c r="G93" s="64" t="s">
        <v>339</v>
      </c>
      <c r="H93" s="55">
        <v>2000</v>
      </c>
      <c r="I93" s="22" t="s">
        <v>12</v>
      </c>
      <c r="J93" s="47">
        <v>0</v>
      </c>
      <c r="K93" s="48">
        <f t="shared" si="1"/>
        <v>0</v>
      </c>
      <c r="L93" s="24"/>
      <c r="M93" s="23"/>
      <c r="N93" s="23"/>
      <c r="O93" s="23"/>
      <c r="P93" s="23"/>
      <c r="Q93" s="25" t="s">
        <v>33</v>
      </c>
      <c r="R93" s="26" t="s">
        <v>34</v>
      </c>
    </row>
    <row r="94" spans="1:18">
      <c r="A94" s="21">
        <v>91</v>
      </c>
      <c r="B94" s="51">
        <v>5330</v>
      </c>
      <c r="C94" s="54" t="s">
        <v>131</v>
      </c>
      <c r="D94" s="51" t="s">
        <v>247</v>
      </c>
      <c r="E94" s="51" t="s">
        <v>26</v>
      </c>
      <c r="F94" s="63" t="s">
        <v>330</v>
      </c>
      <c r="G94" s="64" t="s">
        <v>339</v>
      </c>
      <c r="H94" s="55">
        <v>80</v>
      </c>
      <c r="I94" s="22" t="s">
        <v>12</v>
      </c>
      <c r="J94" s="47">
        <v>0</v>
      </c>
      <c r="K94" s="48">
        <f t="shared" si="1"/>
        <v>0</v>
      </c>
      <c r="L94" s="24"/>
      <c r="M94" s="23"/>
      <c r="N94" s="23"/>
      <c r="O94" s="23"/>
      <c r="P94" s="23"/>
      <c r="Q94" s="25" t="s">
        <v>33</v>
      </c>
      <c r="R94" s="26" t="s">
        <v>34</v>
      </c>
    </row>
    <row r="95" spans="1:18">
      <c r="A95" s="21">
        <v>92</v>
      </c>
      <c r="B95" s="51">
        <v>5331</v>
      </c>
      <c r="C95" s="54" t="s">
        <v>132</v>
      </c>
      <c r="D95" s="51" t="s">
        <v>248</v>
      </c>
      <c r="E95" s="51" t="s">
        <v>277</v>
      </c>
      <c r="F95" s="63" t="s">
        <v>330</v>
      </c>
      <c r="G95" s="64" t="s">
        <v>340</v>
      </c>
      <c r="H95" s="55">
        <v>50</v>
      </c>
      <c r="I95" s="22" t="s">
        <v>12</v>
      </c>
      <c r="J95" s="47">
        <v>0</v>
      </c>
      <c r="K95" s="48">
        <f t="shared" si="1"/>
        <v>0</v>
      </c>
      <c r="L95" s="24"/>
      <c r="M95" s="23"/>
      <c r="N95" s="23"/>
      <c r="O95" s="23"/>
      <c r="P95" s="23"/>
      <c r="Q95" s="25" t="s">
        <v>33</v>
      </c>
      <c r="R95" s="26" t="s">
        <v>34</v>
      </c>
    </row>
    <row r="96" spans="1:18">
      <c r="A96" s="21">
        <v>93</v>
      </c>
      <c r="B96" s="51">
        <v>5340</v>
      </c>
      <c r="C96" s="54" t="s">
        <v>133</v>
      </c>
      <c r="D96" s="51" t="s">
        <v>249</v>
      </c>
      <c r="E96" s="51" t="s">
        <v>31</v>
      </c>
      <c r="F96" s="63" t="s">
        <v>330</v>
      </c>
      <c r="G96" s="64" t="s">
        <v>339</v>
      </c>
      <c r="H96" s="55">
        <v>150</v>
      </c>
      <c r="I96" s="22" t="s">
        <v>12</v>
      </c>
      <c r="J96" s="47">
        <v>0</v>
      </c>
      <c r="K96" s="48">
        <f t="shared" si="1"/>
        <v>0</v>
      </c>
      <c r="L96" s="24"/>
      <c r="M96" s="23"/>
      <c r="N96" s="23"/>
      <c r="O96" s="23"/>
      <c r="P96" s="23"/>
      <c r="Q96" s="25" t="s">
        <v>33</v>
      </c>
      <c r="R96" s="26" t="s">
        <v>34</v>
      </c>
    </row>
    <row r="97" spans="1:18">
      <c r="A97" s="21">
        <v>94</v>
      </c>
      <c r="B97" s="51">
        <v>5930</v>
      </c>
      <c r="C97" s="54" t="s">
        <v>134</v>
      </c>
      <c r="D97" s="51" t="s">
        <v>250</v>
      </c>
      <c r="E97" s="51" t="s">
        <v>304</v>
      </c>
      <c r="F97" s="63" t="s">
        <v>330</v>
      </c>
      <c r="G97" s="64" t="s">
        <v>340</v>
      </c>
      <c r="H97" s="55">
        <v>10</v>
      </c>
      <c r="I97" s="22" t="s">
        <v>12</v>
      </c>
      <c r="J97" s="47">
        <v>0</v>
      </c>
      <c r="K97" s="48">
        <f t="shared" si="1"/>
        <v>0</v>
      </c>
      <c r="L97" s="24"/>
      <c r="M97" s="23"/>
      <c r="N97" s="23"/>
      <c r="O97" s="23"/>
      <c r="P97" s="23"/>
      <c r="Q97" s="25" t="s">
        <v>33</v>
      </c>
      <c r="R97" s="26" t="s">
        <v>34</v>
      </c>
    </row>
    <row r="98" spans="1:18">
      <c r="A98" s="21">
        <v>95</v>
      </c>
      <c r="B98" s="51">
        <v>5315</v>
      </c>
      <c r="C98" s="54" t="s">
        <v>135</v>
      </c>
      <c r="D98" s="51" t="s">
        <v>251</v>
      </c>
      <c r="E98" s="51" t="s">
        <v>305</v>
      </c>
      <c r="F98" s="63" t="s">
        <v>330</v>
      </c>
      <c r="G98" s="64" t="s">
        <v>340</v>
      </c>
      <c r="H98" s="55">
        <v>8000</v>
      </c>
      <c r="I98" s="22" t="s">
        <v>12</v>
      </c>
      <c r="J98" s="47">
        <v>0</v>
      </c>
      <c r="K98" s="48">
        <f t="shared" si="1"/>
        <v>0</v>
      </c>
      <c r="L98" s="24"/>
      <c r="M98" s="23"/>
      <c r="N98" s="23"/>
      <c r="O98" s="23"/>
      <c r="P98" s="23"/>
      <c r="Q98" s="25" t="s">
        <v>33</v>
      </c>
      <c r="R98" s="26" t="s">
        <v>34</v>
      </c>
    </row>
    <row r="99" spans="1:18">
      <c r="A99" s="21">
        <v>96</v>
      </c>
      <c r="B99" s="51">
        <v>5305</v>
      </c>
      <c r="C99" s="54" t="s">
        <v>136</v>
      </c>
      <c r="D99" s="51" t="s">
        <v>252</v>
      </c>
      <c r="E99" s="51" t="s">
        <v>30</v>
      </c>
      <c r="F99" s="63" t="s">
        <v>330</v>
      </c>
      <c r="G99" s="64" t="s">
        <v>339</v>
      </c>
      <c r="H99" s="55">
        <v>300</v>
      </c>
      <c r="I99" s="22" t="s">
        <v>12</v>
      </c>
      <c r="J99" s="47">
        <v>0</v>
      </c>
      <c r="K99" s="48">
        <f t="shared" si="1"/>
        <v>0</v>
      </c>
      <c r="L99" s="24"/>
      <c r="M99" s="23"/>
      <c r="N99" s="23"/>
      <c r="O99" s="23"/>
      <c r="P99" s="23"/>
      <c r="Q99" s="25" t="s">
        <v>33</v>
      </c>
      <c r="R99" s="26" t="s">
        <v>34</v>
      </c>
    </row>
    <row r="100" spans="1:18">
      <c r="A100" s="21">
        <v>97</v>
      </c>
      <c r="B100" s="51">
        <v>5306</v>
      </c>
      <c r="C100" s="54" t="s">
        <v>137</v>
      </c>
      <c r="D100" s="51" t="s">
        <v>253</v>
      </c>
      <c r="E100" s="51" t="s">
        <v>23</v>
      </c>
      <c r="F100" s="63" t="s">
        <v>330</v>
      </c>
      <c r="G100" s="64" t="s">
        <v>339</v>
      </c>
      <c r="H100" s="55">
        <v>50</v>
      </c>
      <c r="I100" s="22" t="s">
        <v>12</v>
      </c>
      <c r="J100" s="47">
        <v>0</v>
      </c>
      <c r="K100" s="48">
        <f t="shared" si="1"/>
        <v>0</v>
      </c>
      <c r="L100" s="24"/>
      <c r="M100" s="23"/>
      <c r="N100" s="23"/>
      <c r="O100" s="23"/>
      <c r="P100" s="23"/>
      <c r="Q100" s="25" t="s">
        <v>33</v>
      </c>
      <c r="R100" s="26" t="s">
        <v>34</v>
      </c>
    </row>
    <row r="101" spans="1:18" ht="16.5" customHeight="1">
      <c r="A101" s="21">
        <v>98</v>
      </c>
      <c r="B101" s="51">
        <v>5310</v>
      </c>
      <c r="C101" s="54" t="s">
        <v>138</v>
      </c>
      <c r="D101" s="51" t="s">
        <v>254</v>
      </c>
      <c r="E101" s="51" t="s">
        <v>294</v>
      </c>
      <c r="F101" s="63" t="s">
        <v>330</v>
      </c>
      <c r="G101" s="64" t="s">
        <v>340</v>
      </c>
      <c r="H101" s="55">
        <v>3000</v>
      </c>
      <c r="I101" s="22" t="s">
        <v>12</v>
      </c>
      <c r="J101" s="47">
        <v>0</v>
      </c>
      <c r="K101" s="48">
        <f t="shared" si="1"/>
        <v>0</v>
      </c>
      <c r="L101" s="24"/>
      <c r="M101" s="23"/>
      <c r="N101" s="23"/>
      <c r="O101" s="23"/>
      <c r="P101" s="23"/>
      <c r="Q101" s="25" t="s">
        <v>33</v>
      </c>
      <c r="R101" s="26" t="s">
        <v>34</v>
      </c>
    </row>
    <row r="102" spans="1:18">
      <c r="A102" s="21">
        <v>99</v>
      </c>
      <c r="B102" s="51">
        <v>5330</v>
      </c>
      <c r="C102" s="54" t="s">
        <v>139</v>
      </c>
      <c r="D102" s="51" t="s">
        <v>255</v>
      </c>
      <c r="E102" s="51" t="s">
        <v>306</v>
      </c>
      <c r="F102" s="63" t="s">
        <v>330</v>
      </c>
      <c r="G102" s="64" t="s">
        <v>331</v>
      </c>
      <c r="H102" s="55">
        <v>30000</v>
      </c>
      <c r="I102" s="22" t="s">
        <v>12</v>
      </c>
      <c r="J102" s="47">
        <v>0</v>
      </c>
      <c r="K102" s="48">
        <f t="shared" si="1"/>
        <v>0</v>
      </c>
      <c r="L102" s="24"/>
      <c r="M102" s="23"/>
      <c r="N102" s="23"/>
      <c r="O102" s="23"/>
      <c r="P102" s="23"/>
      <c r="Q102" s="25" t="s">
        <v>33</v>
      </c>
      <c r="R102" s="26" t="s">
        <v>34</v>
      </c>
    </row>
    <row r="103" spans="1:18">
      <c r="A103" s="21">
        <v>100</v>
      </c>
      <c r="B103" s="51">
        <v>5330</v>
      </c>
      <c r="C103" s="54" t="s">
        <v>140</v>
      </c>
      <c r="D103" s="51">
        <v>1750</v>
      </c>
      <c r="E103" s="51" t="s">
        <v>307</v>
      </c>
      <c r="F103" s="63" t="s">
        <v>330</v>
      </c>
      <c r="G103" s="64" t="s">
        <v>340</v>
      </c>
      <c r="H103" s="55">
        <v>300</v>
      </c>
      <c r="I103" s="22" t="s">
        <v>12</v>
      </c>
      <c r="J103" s="47">
        <v>0</v>
      </c>
      <c r="K103" s="48">
        <f t="shared" si="1"/>
        <v>0</v>
      </c>
      <c r="L103" s="24"/>
      <c r="M103" s="23"/>
      <c r="N103" s="23"/>
      <c r="O103" s="23"/>
      <c r="P103" s="23"/>
      <c r="Q103" s="25" t="s">
        <v>33</v>
      </c>
      <c r="R103" s="26" t="s">
        <v>34</v>
      </c>
    </row>
    <row r="104" spans="1:18">
      <c r="A104" s="21">
        <v>101</v>
      </c>
      <c r="B104" s="51">
        <v>4730</v>
      </c>
      <c r="C104" s="54" t="s">
        <v>141</v>
      </c>
      <c r="D104" s="51" t="s">
        <v>256</v>
      </c>
      <c r="E104" s="51" t="s">
        <v>308</v>
      </c>
      <c r="F104" s="63" t="s">
        <v>330</v>
      </c>
      <c r="G104" s="64" t="s">
        <v>337</v>
      </c>
      <c r="H104" s="55">
        <v>30</v>
      </c>
      <c r="I104" s="22" t="s">
        <v>12</v>
      </c>
      <c r="J104" s="47">
        <v>0</v>
      </c>
      <c r="K104" s="48">
        <f t="shared" si="1"/>
        <v>0</v>
      </c>
      <c r="L104" s="24"/>
      <c r="M104" s="23"/>
      <c r="N104" s="23"/>
      <c r="O104" s="23"/>
      <c r="P104" s="23"/>
      <c r="Q104" s="25" t="s">
        <v>33</v>
      </c>
      <c r="R104" s="26" t="s">
        <v>34</v>
      </c>
    </row>
    <row r="105" spans="1:18">
      <c r="A105" s="21">
        <v>102</v>
      </c>
      <c r="B105" s="51">
        <v>5305</v>
      </c>
      <c r="C105" s="54" t="s">
        <v>142</v>
      </c>
      <c r="D105" s="51" t="s">
        <v>257</v>
      </c>
      <c r="E105" s="51" t="s">
        <v>30</v>
      </c>
      <c r="F105" s="63" t="s">
        <v>330</v>
      </c>
      <c r="G105" s="64" t="s">
        <v>340</v>
      </c>
      <c r="H105" s="55">
        <v>350</v>
      </c>
      <c r="I105" s="22" t="s">
        <v>12</v>
      </c>
      <c r="J105" s="47">
        <v>0</v>
      </c>
      <c r="K105" s="48">
        <f t="shared" si="1"/>
        <v>0</v>
      </c>
      <c r="L105" s="24"/>
      <c r="M105" s="23"/>
      <c r="N105" s="23"/>
      <c r="O105" s="23"/>
      <c r="P105" s="23"/>
      <c r="Q105" s="25" t="s">
        <v>33</v>
      </c>
      <c r="R105" s="26" t="s">
        <v>34</v>
      </c>
    </row>
    <row r="106" spans="1:18">
      <c r="A106" s="21">
        <v>103</v>
      </c>
      <c r="B106" s="51">
        <v>5305</v>
      </c>
      <c r="C106" s="54" t="s">
        <v>143</v>
      </c>
      <c r="D106" s="51" t="s">
        <v>258</v>
      </c>
      <c r="E106" s="51" t="s">
        <v>30</v>
      </c>
      <c r="F106" s="63" t="s">
        <v>330</v>
      </c>
      <c r="G106" s="64" t="s">
        <v>340</v>
      </c>
      <c r="H106" s="55">
        <v>600</v>
      </c>
      <c r="I106" s="22" t="s">
        <v>12</v>
      </c>
      <c r="J106" s="47">
        <v>0</v>
      </c>
      <c r="K106" s="48">
        <f t="shared" si="1"/>
        <v>0</v>
      </c>
      <c r="L106" s="24"/>
      <c r="M106" s="23"/>
      <c r="N106" s="23"/>
      <c r="O106" s="23"/>
      <c r="P106" s="23"/>
      <c r="Q106" s="25" t="s">
        <v>33</v>
      </c>
      <c r="R106" s="26" t="s">
        <v>34</v>
      </c>
    </row>
    <row r="107" spans="1:18">
      <c r="A107" s="21">
        <v>104</v>
      </c>
      <c r="B107" s="51">
        <v>5305</v>
      </c>
      <c r="C107" s="54" t="s">
        <v>144</v>
      </c>
      <c r="D107" s="51" t="s">
        <v>259</v>
      </c>
      <c r="E107" s="51" t="s">
        <v>30</v>
      </c>
      <c r="F107" s="63" t="s">
        <v>330</v>
      </c>
      <c r="G107" s="64" t="s">
        <v>340</v>
      </c>
      <c r="H107" s="55">
        <v>150</v>
      </c>
      <c r="I107" s="22" t="s">
        <v>12</v>
      </c>
      <c r="J107" s="47">
        <v>0</v>
      </c>
      <c r="K107" s="48">
        <f t="shared" si="1"/>
        <v>0</v>
      </c>
      <c r="L107" s="24"/>
      <c r="M107" s="23"/>
      <c r="N107" s="23"/>
      <c r="O107" s="23"/>
      <c r="P107" s="23"/>
      <c r="Q107" s="25" t="s">
        <v>33</v>
      </c>
      <c r="R107" s="26" t="s">
        <v>34</v>
      </c>
    </row>
    <row r="108" spans="1:18">
      <c r="A108" s="21">
        <v>105</v>
      </c>
      <c r="B108" s="51">
        <v>5305</v>
      </c>
      <c r="C108" s="54" t="s">
        <v>145</v>
      </c>
      <c r="D108" s="51" t="s">
        <v>260</v>
      </c>
      <c r="E108" s="51" t="s">
        <v>30</v>
      </c>
      <c r="F108" s="63" t="s">
        <v>330</v>
      </c>
      <c r="G108" s="64" t="s">
        <v>340</v>
      </c>
      <c r="H108" s="55">
        <v>40</v>
      </c>
      <c r="I108" s="22" t="s">
        <v>12</v>
      </c>
      <c r="J108" s="47">
        <v>0</v>
      </c>
      <c r="K108" s="48">
        <f t="shared" si="1"/>
        <v>0</v>
      </c>
      <c r="L108" s="24"/>
      <c r="M108" s="23"/>
      <c r="N108" s="23"/>
      <c r="O108" s="23"/>
      <c r="P108" s="23"/>
      <c r="Q108" s="25" t="s">
        <v>33</v>
      </c>
      <c r="R108" s="26" t="s">
        <v>34</v>
      </c>
    </row>
    <row r="109" spans="1:18">
      <c r="A109" s="21">
        <v>106</v>
      </c>
      <c r="B109" s="51">
        <v>5330</v>
      </c>
      <c r="C109" s="54" t="s">
        <v>146</v>
      </c>
      <c r="D109" s="51" t="s">
        <v>261</v>
      </c>
      <c r="E109" s="51" t="s">
        <v>309</v>
      </c>
      <c r="F109" s="63" t="s">
        <v>330</v>
      </c>
      <c r="G109" s="64" t="s">
        <v>338</v>
      </c>
      <c r="H109" s="55">
        <v>100</v>
      </c>
      <c r="I109" s="22" t="s">
        <v>12</v>
      </c>
      <c r="J109" s="47">
        <v>0</v>
      </c>
      <c r="K109" s="48">
        <f t="shared" si="1"/>
        <v>0</v>
      </c>
      <c r="L109" s="24"/>
      <c r="M109" s="23"/>
      <c r="N109" s="23"/>
      <c r="O109" s="23"/>
      <c r="P109" s="23"/>
      <c r="Q109" s="25" t="s">
        <v>33</v>
      </c>
      <c r="R109" s="26" t="s">
        <v>34</v>
      </c>
    </row>
    <row r="110" spans="1:18">
      <c r="A110" s="21">
        <v>107</v>
      </c>
      <c r="B110" s="51">
        <v>5330</v>
      </c>
      <c r="C110" s="54" t="s">
        <v>147</v>
      </c>
      <c r="D110" s="51" t="s">
        <v>262</v>
      </c>
      <c r="E110" s="51" t="s">
        <v>309</v>
      </c>
      <c r="F110" s="63" t="s">
        <v>330</v>
      </c>
      <c r="G110" s="64" t="s">
        <v>337</v>
      </c>
      <c r="H110" s="55">
        <v>40</v>
      </c>
      <c r="I110" s="22" t="s">
        <v>12</v>
      </c>
      <c r="J110" s="47">
        <v>0</v>
      </c>
      <c r="K110" s="48">
        <f t="shared" si="1"/>
        <v>0</v>
      </c>
      <c r="L110" s="24"/>
      <c r="M110" s="23"/>
      <c r="N110" s="23"/>
      <c r="O110" s="23"/>
      <c r="P110" s="23"/>
      <c r="Q110" s="25" t="s">
        <v>33</v>
      </c>
      <c r="R110" s="26" t="s">
        <v>34</v>
      </c>
    </row>
    <row r="111" spans="1:18">
      <c r="A111" s="21">
        <v>108</v>
      </c>
      <c r="B111" s="51">
        <v>5330</v>
      </c>
      <c r="C111" s="54" t="s">
        <v>148</v>
      </c>
      <c r="D111" s="51" t="s">
        <v>263</v>
      </c>
      <c r="E111" s="51" t="s">
        <v>309</v>
      </c>
      <c r="F111" s="63" t="s">
        <v>330</v>
      </c>
      <c r="G111" s="64" t="s">
        <v>338</v>
      </c>
      <c r="H111" s="55">
        <v>300</v>
      </c>
      <c r="I111" s="22" t="s">
        <v>12</v>
      </c>
      <c r="J111" s="47">
        <v>0</v>
      </c>
      <c r="K111" s="48">
        <f t="shared" si="1"/>
        <v>0</v>
      </c>
      <c r="L111" s="24"/>
      <c r="M111" s="23"/>
      <c r="N111" s="23"/>
      <c r="O111" s="23"/>
      <c r="P111" s="23"/>
      <c r="Q111" s="25" t="s">
        <v>33</v>
      </c>
      <c r="R111" s="26" t="s">
        <v>34</v>
      </c>
    </row>
    <row r="112" spans="1:18">
      <c r="A112" s="21">
        <v>109</v>
      </c>
      <c r="B112" s="51">
        <v>5330</v>
      </c>
      <c r="C112" s="54" t="s">
        <v>149</v>
      </c>
      <c r="D112" s="51" t="s">
        <v>264</v>
      </c>
      <c r="E112" s="51" t="s">
        <v>310</v>
      </c>
      <c r="F112" s="63" t="s">
        <v>330</v>
      </c>
      <c r="G112" s="64" t="s">
        <v>337</v>
      </c>
      <c r="H112" s="55">
        <v>60</v>
      </c>
      <c r="I112" s="22" t="s">
        <v>12</v>
      </c>
      <c r="J112" s="47">
        <v>0</v>
      </c>
      <c r="K112" s="48">
        <f t="shared" si="1"/>
        <v>0</v>
      </c>
      <c r="L112" s="24"/>
      <c r="M112" s="23"/>
      <c r="N112" s="23"/>
      <c r="O112" s="23"/>
      <c r="P112" s="23"/>
      <c r="Q112" s="25" t="s">
        <v>33</v>
      </c>
      <c r="R112" s="26" t="s">
        <v>34</v>
      </c>
    </row>
    <row r="113" spans="1:18">
      <c r="A113" s="21">
        <v>110</v>
      </c>
      <c r="B113" s="51">
        <v>5330</v>
      </c>
      <c r="C113" s="54" t="s">
        <v>150</v>
      </c>
      <c r="D113" s="51" t="s">
        <v>265</v>
      </c>
      <c r="E113" s="51" t="s">
        <v>310</v>
      </c>
      <c r="F113" s="63" t="s">
        <v>330</v>
      </c>
      <c r="G113" s="64" t="s">
        <v>337</v>
      </c>
      <c r="H113" s="55">
        <v>300</v>
      </c>
      <c r="I113" s="22" t="s">
        <v>12</v>
      </c>
      <c r="J113" s="47">
        <v>0</v>
      </c>
      <c r="K113" s="48">
        <f t="shared" si="1"/>
        <v>0</v>
      </c>
      <c r="L113" s="24"/>
      <c r="M113" s="23"/>
      <c r="N113" s="23"/>
      <c r="O113" s="23"/>
      <c r="P113" s="23"/>
      <c r="Q113" s="25" t="s">
        <v>33</v>
      </c>
      <c r="R113" s="26" t="s">
        <v>34</v>
      </c>
    </row>
    <row r="114" spans="1:18" ht="17.25" customHeight="1">
      <c r="A114" s="21">
        <v>111</v>
      </c>
      <c r="B114" s="66">
        <v>5945</v>
      </c>
      <c r="C114" s="54" t="s">
        <v>151</v>
      </c>
      <c r="D114" s="66" t="s">
        <v>266</v>
      </c>
      <c r="E114" s="51" t="s">
        <v>311</v>
      </c>
      <c r="F114" s="63" t="s">
        <v>330</v>
      </c>
      <c r="G114" s="64" t="s">
        <v>331</v>
      </c>
      <c r="H114" s="55">
        <v>100</v>
      </c>
      <c r="I114" s="22" t="s">
        <v>12</v>
      </c>
      <c r="J114" s="47">
        <v>0</v>
      </c>
      <c r="K114" s="48">
        <f t="shared" si="1"/>
        <v>0</v>
      </c>
      <c r="L114" s="24"/>
      <c r="M114" s="23"/>
      <c r="N114" s="23"/>
      <c r="O114" s="23"/>
      <c r="P114" s="23"/>
      <c r="Q114" s="25" t="s">
        <v>33</v>
      </c>
      <c r="R114" s="26" t="s">
        <v>34</v>
      </c>
    </row>
    <row r="115" spans="1:18">
      <c r="A115" s="21">
        <v>112</v>
      </c>
      <c r="B115" s="51">
        <v>5920</v>
      </c>
      <c r="C115" s="54" t="s">
        <v>152</v>
      </c>
      <c r="D115" s="51" t="s">
        <v>267</v>
      </c>
      <c r="E115" s="51" t="s">
        <v>312</v>
      </c>
      <c r="F115" s="63" t="s">
        <v>330</v>
      </c>
      <c r="G115" s="64" t="s">
        <v>338</v>
      </c>
      <c r="H115" s="55">
        <v>100</v>
      </c>
      <c r="I115" s="22" t="s">
        <v>12</v>
      </c>
      <c r="J115" s="47">
        <v>0</v>
      </c>
      <c r="K115" s="48">
        <f t="shared" si="1"/>
        <v>0</v>
      </c>
      <c r="L115" s="24"/>
      <c r="M115" s="23"/>
      <c r="N115" s="23"/>
      <c r="O115" s="23"/>
      <c r="P115" s="23"/>
      <c r="Q115" s="25" t="s">
        <v>33</v>
      </c>
      <c r="R115" s="26" t="s">
        <v>34</v>
      </c>
    </row>
    <row r="116" spans="1:18">
      <c r="A116" s="21">
        <v>113</v>
      </c>
      <c r="B116" s="51">
        <v>5310</v>
      </c>
      <c r="C116" s="54" t="s">
        <v>153</v>
      </c>
      <c r="D116" s="51" t="s">
        <v>268</v>
      </c>
      <c r="E116" s="51" t="s">
        <v>294</v>
      </c>
      <c r="F116" s="63" t="s">
        <v>330</v>
      </c>
      <c r="G116" s="64" t="s">
        <v>335</v>
      </c>
      <c r="H116" s="55">
        <v>1500</v>
      </c>
      <c r="I116" s="22" t="s">
        <v>12</v>
      </c>
      <c r="J116" s="47">
        <v>0</v>
      </c>
      <c r="K116" s="48">
        <f t="shared" si="1"/>
        <v>0</v>
      </c>
      <c r="L116" s="24"/>
      <c r="M116" s="23"/>
      <c r="N116" s="23"/>
      <c r="O116" s="23"/>
      <c r="P116" s="23"/>
      <c r="Q116" s="25" t="s">
        <v>33</v>
      </c>
      <c r="R116" s="26" t="s">
        <v>34</v>
      </c>
    </row>
    <row r="117" spans="1:18">
      <c r="A117" s="21">
        <v>114</v>
      </c>
      <c r="B117" s="51">
        <v>5365</v>
      </c>
      <c r="C117" s="54" t="s">
        <v>154</v>
      </c>
      <c r="D117" s="51">
        <v>4191553</v>
      </c>
      <c r="E117" s="51" t="s">
        <v>313</v>
      </c>
      <c r="F117" s="63" t="s">
        <v>330</v>
      </c>
      <c r="G117" s="64" t="s">
        <v>337</v>
      </c>
      <c r="H117" s="55">
        <v>25</v>
      </c>
      <c r="I117" s="22" t="s">
        <v>12</v>
      </c>
      <c r="J117" s="47">
        <v>0</v>
      </c>
      <c r="K117" s="48">
        <f t="shared" si="1"/>
        <v>0</v>
      </c>
      <c r="L117" s="24"/>
      <c r="M117" s="23"/>
      <c r="N117" s="23"/>
      <c r="O117" s="23"/>
      <c r="P117" s="23"/>
      <c r="Q117" s="25" t="s">
        <v>33</v>
      </c>
      <c r="R117" s="26" t="s">
        <v>34</v>
      </c>
    </row>
    <row r="118" spans="1:18">
      <c r="A118" s="21">
        <v>115</v>
      </c>
      <c r="B118" s="51">
        <v>6220</v>
      </c>
      <c r="C118" s="54" t="s">
        <v>155</v>
      </c>
      <c r="D118" s="51">
        <v>4700770280</v>
      </c>
      <c r="E118" s="51" t="s">
        <v>314</v>
      </c>
      <c r="F118" s="63" t="s">
        <v>330</v>
      </c>
      <c r="G118" s="64" t="s">
        <v>340</v>
      </c>
      <c r="H118" s="55">
        <v>8</v>
      </c>
      <c r="I118" s="22" t="s">
        <v>12</v>
      </c>
      <c r="J118" s="47">
        <v>0</v>
      </c>
      <c r="K118" s="48">
        <f t="shared" si="1"/>
        <v>0</v>
      </c>
      <c r="L118" s="24"/>
      <c r="M118" s="23"/>
      <c r="N118" s="23"/>
      <c r="O118" s="23"/>
      <c r="P118" s="23"/>
      <c r="Q118" s="25" t="s">
        <v>33</v>
      </c>
      <c r="R118" s="26" t="s">
        <v>34</v>
      </c>
    </row>
    <row r="119" spans="1:18">
      <c r="A119" s="21">
        <v>116</v>
      </c>
      <c r="B119" s="51">
        <v>5930</v>
      </c>
      <c r="C119" s="54" t="s">
        <v>156</v>
      </c>
      <c r="D119" s="51" t="s">
        <v>269</v>
      </c>
      <c r="E119" s="51" t="s">
        <v>315</v>
      </c>
      <c r="F119" s="63" t="s">
        <v>330</v>
      </c>
      <c r="G119" s="64" t="s">
        <v>340</v>
      </c>
      <c r="H119" s="55">
        <v>25</v>
      </c>
      <c r="I119" s="22" t="s">
        <v>12</v>
      </c>
      <c r="J119" s="47">
        <v>0</v>
      </c>
      <c r="K119" s="48">
        <f t="shared" si="1"/>
        <v>0</v>
      </c>
      <c r="L119" s="24"/>
      <c r="M119" s="23"/>
      <c r="N119" s="23"/>
      <c r="O119" s="23"/>
      <c r="P119" s="23"/>
      <c r="Q119" s="25" t="s">
        <v>33</v>
      </c>
      <c r="R119" s="26" t="s">
        <v>34</v>
      </c>
    </row>
    <row r="120" spans="1:18">
      <c r="A120" s="30"/>
      <c r="B120" s="57"/>
      <c r="C120" s="57"/>
      <c r="D120" s="52"/>
      <c r="E120" s="52"/>
      <c r="F120" s="52"/>
      <c r="G120" s="52"/>
      <c r="H120" s="90" t="s">
        <v>345</v>
      </c>
      <c r="I120" s="92"/>
      <c r="J120" s="32"/>
      <c r="K120" s="32">
        <f>SUM(K4:K119)</f>
        <v>0</v>
      </c>
      <c r="L120" s="33"/>
      <c r="M120" s="34"/>
      <c r="N120" s="34"/>
      <c r="O120" s="34"/>
      <c r="P120" s="34"/>
      <c r="Q120" s="35"/>
      <c r="R120" s="34"/>
    </row>
    <row r="121" spans="1:18">
      <c r="H121" s="75"/>
    </row>
    <row r="122" spans="1:18">
      <c r="H122" s="75"/>
    </row>
  </sheetData>
  <phoneticPr fontId="49" type="noConversion"/>
  <conditionalFormatting sqref="F4:F119">
    <cfRule type="containsText" dxfId="58" priority="1" operator="containsText" text="Y">
      <formula>NOT(ISERROR(SEARCH("Y",F4)))</formula>
    </cfRule>
  </conditionalFormatting>
  <conditionalFormatting sqref="I4:I119">
    <cfRule type="expression" dxfId="57" priority="94">
      <formula>MATCH("C",I4:M4,0)</formula>
    </cfRule>
  </conditionalFormatting>
  <conditionalFormatting sqref="J4:J119">
    <cfRule type="expression" dxfId="56" priority="116">
      <formula>MATCH("C",J4:M4,0)</formula>
    </cfRule>
  </conditionalFormatting>
  <conditionalFormatting sqref="L4:L119">
    <cfRule type="expression" dxfId="55" priority="117">
      <formula>MATCH("C",L4:R4,0)</formula>
    </cfRule>
  </conditionalFormatting>
  <conditionalFormatting sqref="M1:R1 Q3:R3 Q4:Q119 Q120:R1048576">
    <cfRule type="containsText" dxfId="54" priority="57" operator="containsText" text="rcv/rcv">
      <formula>NOT(ISERROR(SEARCH("rcv/rcv",M1)))</formula>
    </cfRule>
    <cfRule type="containsText" dxfId="53" priority="58" operator="containsText" text="rcv/QA">
      <formula>NOT(ISERROR(SEARCH("rcv/QA",M1)))</formula>
    </cfRule>
    <cfRule type="containsText" dxfId="52" priority="59" operator="containsText" text="QA/QA">
      <formula>NOT(ISERROR(SEARCH("QA/QA",M1)))</formula>
    </cfRule>
  </conditionalFormatting>
  <pageMargins left="0.25" right="0.25" top="1" bottom="0.25" header="0.3" footer="0.3"/>
  <pageSetup scale="52" firstPageNumber="3" fitToHeight="0" orientation="landscape" useFirstPageNumber="1" r:id="rId1"/>
  <headerFooter>
    <oddHeader xml:space="preserve">&amp;L&amp;"Book Antiqua,Bold"&amp;14Schedule of Supplies
Contract Line Items
&amp;R&amp;"Book Antiqua,Bold"&amp;14Solicitation 70Z03826QB0000013
Period of Performance: TBD
      </oddHeader>
    <oddFooter>&amp;C&amp;"Book Antiqua,Regular"&amp;14&amp;P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0"/>
  <sheetViews>
    <sheetView view="pageLayout" topLeftCell="D1" zoomScaleNormal="90" workbookViewId="0">
      <selection activeCell="J25" sqref="J25"/>
    </sheetView>
  </sheetViews>
  <sheetFormatPr defaultRowHeight="15.75"/>
  <cols>
    <col min="1" max="1" width="14.42578125" style="8" customWidth="1"/>
    <col min="2" max="2" width="9.42578125" style="56" customWidth="1"/>
    <col min="3" max="3" width="14.5703125" style="60" customWidth="1"/>
    <col min="4" max="4" width="25" style="9" customWidth="1"/>
    <col min="5" max="5" width="32.28515625" style="6" customWidth="1"/>
    <col min="6" max="6" width="13.5703125" style="6" customWidth="1"/>
    <col min="7" max="7" width="6.7109375" style="6" customWidth="1"/>
    <col min="8" max="8" width="8.7109375" style="2" bestFit="1" customWidth="1"/>
    <col min="9" max="9" width="13.7109375" style="4" bestFit="1" customWidth="1"/>
    <col min="10" max="10" width="8.85546875" style="2" bestFit="1" customWidth="1"/>
    <col min="11" max="11" width="20.7109375" style="5" customWidth="1"/>
    <col min="12" max="12" width="13.7109375" style="4" customWidth="1"/>
    <col min="13" max="13" width="14.28515625" style="6" bestFit="1" customWidth="1"/>
    <col min="14" max="16" width="14.28515625" style="6" customWidth="1"/>
    <col min="17" max="17" width="13.5703125" style="6" customWidth="1"/>
    <col min="18" max="18" width="16.85546875" style="1" customWidth="1"/>
    <col min="19" max="16384" width="9.140625" style="6"/>
  </cols>
  <sheetData>
    <row r="1" spans="1:18" ht="16.5">
      <c r="A1" s="7" t="s">
        <v>35</v>
      </c>
      <c r="C1" s="58"/>
      <c r="K1" s="50"/>
    </row>
    <row r="2" spans="1:18" ht="16.5">
      <c r="A2" s="7" t="s">
        <v>36</v>
      </c>
      <c r="C2" s="58"/>
      <c r="K2" s="50"/>
    </row>
    <row r="3" spans="1:18" ht="52.5" customHeight="1">
      <c r="A3" s="17" t="s">
        <v>8</v>
      </c>
      <c r="B3" s="40" t="s">
        <v>0</v>
      </c>
      <c r="C3" s="40" t="s">
        <v>7</v>
      </c>
      <c r="D3" s="41" t="s">
        <v>1</v>
      </c>
      <c r="E3" s="18" t="s">
        <v>2</v>
      </c>
      <c r="F3" s="18" t="s">
        <v>328</v>
      </c>
      <c r="G3" s="18" t="s">
        <v>329</v>
      </c>
      <c r="H3" s="19" t="s">
        <v>32</v>
      </c>
      <c r="I3" s="18" t="s">
        <v>3</v>
      </c>
      <c r="J3" s="42" t="s">
        <v>4</v>
      </c>
      <c r="K3" s="73" t="s">
        <v>5</v>
      </c>
      <c r="L3" s="20" t="s">
        <v>6</v>
      </c>
      <c r="M3" s="20" t="s">
        <v>9</v>
      </c>
      <c r="N3" s="20" t="s">
        <v>342</v>
      </c>
      <c r="O3" s="20" t="s">
        <v>343</v>
      </c>
      <c r="P3" s="20" t="s">
        <v>344</v>
      </c>
      <c r="Q3" s="20" t="s">
        <v>10</v>
      </c>
      <c r="R3" s="20" t="s">
        <v>327</v>
      </c>
    </row>
    <row r="4" spans="1:18">
      <c r="A4" s="21">
        <v>1001</v>
      </c>
      <c r="B4" s="51">
        <v>5305</v>
      </c>
      <c r="C4" s="59" t="s">
        <v>41</v>
      </c>
      <c r="D4" s="51" t="s">
        <v>157</v>
      </c>
      <c r="E4" s="51" t="s">
        <v>270</v>
      </c>
      <c r="F4" s="63" t="s">
        <v>330</v>
      </c>
      <c r="G4" s="64" t="s">
        <v>331</v>
      </c>
      <c r="H4" s="51">
        <v>500</v>
      </c>
      <c r="I4" s="22" t="s">
        <v>12</v>
      </c>
      <c r="J4" s="47">
        <v>0</v>
      </c>
      <c r="K4" s="48">
        <f>SUM(J4*H4)</f>
        <v>0</v>
      </c>
      <c r="L4" s="24"/>
      <c r="M4" s="23"/>
      <c r="N4" s="23"/>
      <c r="O4" s="23"/>
      <c r="P4" s="23"/>
      <c r="Q4" s="25" t="s">
        <v>33</v>
      </c>
      <c r="R4" s="26" t="s">
        <v>34</v>
      </c>
    </row>
    <row r="5" spans="1:18" ht="15.75" customHeight="1">
      <c r="A5" s="21">
        <v>1002</v>
      </c>
      <c r="B5" s="51">
        <v>5305</v>
      </c>
      <c r="C5" s="59" t="s">
        <v>42</v>
      </c>
      <c r="D5" s="51" t="s">
        <v>158</v>
      </c>
      <c r="E5" s="51" t="s">
        <v>271</v>
      </c>
      <c r="F5" s="63" t="s">
        <v>330</v>
      </c>
      <c r="G5" s="65" t="s">
        <v>332</v>
      </c>
      <c r="H5" s="54">
        <v>150</v>
      </c>
      <c r="I5" s="22" t="s">
        <v>12</v>
      </c>
      <c r="J5" s="47">
        <v>0</v>
      </c>
      <c r="K5" s="48">
        <f t="shared" ref="K5:K68" si="0">SUM(J5*H5)</f>
        <v>0</v>
      </c>
      <c r="L5" s="24"/>
      <c r="M5" s="23"/>
      <c r="N5" s="23"/>
      <c r="O5" s="23"/>
      <c r="P5" s="23"/>
      <c r="Q5" s="25" t="s">
        <v>33</v>
      </c>
      <c r="R5" s="26" t="s">
        <v>34</v>
      </c>
    </row>
    <row r="6" spans="1:18" ht="15.75" customHeight="1">
      <c r="A6" s="21">
        <v>1003</v>
      </c>
      <c r="B6" s="51" t="s">
        <v>19</v>
      </c>
      <c r="C6" s="54" t="s">
        <v>43</v>
      </c>
      <c r="D6" s="51" t="s">
        <v>159</v>
      </c>
      <c r="E6" s="51" t="s">
        <v>272</v>
      </c>
      <c r="F6" s="63" t="s">
        <v>330</v>
      </c>
      <c r="G6" s="64" t="s">
        <v>333</v>
      </c>
      <c r="H6" s="51">
        <v>75</v>
      </c>
      <c r="I6" s="22" t="s">
        <v>12</v>
      </c>
      <c r="J6" s="47">
        <v>0</v>
      </c>
      <c r="K6" s="48">
        <f t="shared" si="0"/>
        <v>0</v>
      </c>
      <c r="L6" s="24"/>
      <c r="M6" s="23"/>
      <c r="N6" s="23"/>
      <c r="O6" s="23"/>
      <c r="P6" s="23"/>
      <c r="Q6" s="25" t="s">
        <v>33</v>
      </c>
      <c r="R6" s="26" t="s">
        <v>34</v>
      </c>
    </row>
    <row r="7" spans="1:18" ht="15.75" customHeight="1">
      <c r="A7" s="21">
        <v>1004</v>
      </c>
      <c r="B7" s="51" t="s">
        <v>20</v>
      </c>
      <c r="C7" s="54" t="s">
        <v>44</v>
      </c>
      <c r="D7" s="51" t="s">
        <v>160</v>
      </c>
      <c r="E7" s="51" t="s">
        <v>270</v>
      </c>
      <c r="F7" s="63" t="s">
        <v>330</v>
      </c>
      <c r="G7" s="64" t="s">
        <v>332</v>
      </c>
      <c r="H7" s="51">
        <v>600</v>
      </c>
      <c r="I7" s="22" t="s">
        <v>12</v>
      </c>
      <c r="J7" s="47">
        <v>0</v>
      </c>
      <c r="K7" s="48">
        <f>SUM(J7*H7)</f>
        <v>0</v>
      </c>
      <c r="L7" s="24"/>
      <c r="M7" s="23"/>
      <c r="N7" s="23"/>
      <c r="O7" s="23"/>
      <c r="P7" s="23"/>
      <c r="Q7" s="25" t="s">
        <v>33</v>
      </c>
      <c r="R7" s="26" t="s">
        <v>34</v>
      </c>
    </row>
    <row r="8" spans="1:18" ht="15.75" customHeight="1">
      <c r="A8" s="21">
        <v>1005</v>
      </c>
      <c r="B8" s="51" t="s">
        <v>20</v>
      </c>
      <c r="C8" s="54" t="s">
        <v>45</v>
      </c>
      <c r="D8" s="51" t="s">
        <v>161</v>
      </c>
      <c r="E8" s="51" t="s">
        <v>270</v>
      </c>
      <c r="F8" s="63" t="s">
        <v>330</v>
      </c>
      <c r="G8" s="64" t="s">
        <v>334</v>
      </c>
      <c r="H8" s="51">
        <v>550</v>
      </c>
      <c r="I8" s="22" t="s">
        <v>12</v>
      </c>
      <c r="J8" s="47">
        <v>0</v>
      </c>
      <c r="K8" s="48">
        <f t="shared" si="0"/>
        <v>0</v>
      </c>
      <c r="L8" s="24"/>
      <c r="M8" s="23"/>
      <c r="N8" s="23"/>
      <c r="O8" s="23"/>
      <c r="P8" s="23"/>
      <c r="Q8" s="25" t="s">
        <v>33</v>
      </c>
      <c r="R8" s="26" t="s">
        <v>34</v>
      </c>
    </row>
    <row r="9" spans="1:18" ht="15.75" customHeight="1">
      <c r="A9" s="21">
        <v>1006</v>
      </c>
      <c r="B9" s="51" t="s">
        <v>18</v>
      </c>
      <c r="C9" s="54" t="s">
        <v>46</v>
      </c>
      <c r="D9" s="51" t="s">
        <v>162</v>
      </c>
      <c r="E9" s="51" t="s">
        <v>273</v>
      </c>
      <c r="F9" s="63" t="s">
        <v>330</v>
      </c>
      <c r="G9" s="64" t="s">
        <v>334</v>
      </c>
      <c r="H9" s="51" t="s">
        <v>316</v>
      </c>
      <c r="I9" s="22" t="s">
        <v>12</v>
      </c>
      <c r="J9" s="47">
        <v>0</v>
      </c>
      <c r="K9" s="48">
        <f t="shared" si="0"/>
        <v>0</v>
      </c>
      <c r="L9" s="24"/>
      <c r="M9" s="23"/>
      <c r="N9" s="23"/>
      <c r="O9" s="23"/>
      <c r="P9" s="23"/>
      <c r="Q9" s="25" t="s">
        <v>33</v>
      </c>
      <c r="R9" s="26" t="s">
        <v>34</v>
      </c>
    </row>
    <row r="10" spans="1:18" ht="15.75" customHeight="1">
      <c r="A10" s="21">
        <v>1007</v>
      </c>
      <c r="B10" s="51" t="s">
        <v>18</v>
      </c>
      <c r="C10" s="54" t="s">
        <v>47</v>
      </c>
      <c r="D10" s="51" t="s">
        <v>163</v>
      </c>
      <c r="E10" s="51" t="s">
        <v>274</v>
      </c>
      <c r="F10" s="63" t="s">
        <v>330</v>
      </c>
      <c r="G10" s="64" t="s">
        <v>332</v>
      </c>
      <c r="H10" s="51">
        <v>200</v>
      </c>
      <c r="I10" s="22" t="s">
        <v>12</v>
      </c>
      <c r="J10" s="47">
        <v>0</v>
      </c>
      <c r="K10" s="48">
        <f t="shared" si="0"/>
        <v>0</v>
      </c>
      <c r="L10" s="24"/>
      <c r="M10" s="23"/>
      <c r="N10" s="23"/>
      <c r="O10" s="23"/>
      <c r="P10" s="23"/>
      <c r="Q10" s="25" t="s">
        <v>33</v>
      </c>
      <c r="R10" s="26" t="s">
        <v>34</v>
      </c>
    </row>
    <row r="11" spans="1:18" ht="15.75" customHeight="1">
      <c r="A11" s="21">
        <v>1008</v>
      </c>
      <c r="B11" s="51" t="s">
        <v>20</v>
      </c>
      <c r="C11" s="54" t="s">
        <v>48</v>
      </c>
      <c r="D11" s="51" t="s">
        <v>164</v>
      </c>
      <c r="E11" s="51" t="s">
        <v>270</v>
      </c>
      <c r="F11" s="63" t="s">
        <v>330</v>
      </c>
      <c r="G11" s="64" t="s">
        <v>332</v>
      </c>
      <c r="H11" s="51" t="s">
        <v>317</v>
      </c>
      <c r="I11" s="22" t="s">
        <v>12</v>
      </c>
      <c r="J11" s="47">
        <v>0</v>
      </c>
      <c r="K11" s="48">
        <f t="shared" si="0"/>
        <v>0</v>
      </c>
      <c r="L11" s="24"/>
      <c r="M11" s="23"/>
      <c r="N11" s="23"/>
      <c r="O11" s="23"/>
      <c r="P11" s="23"/>
      <c r="Q11" s="25" t="s">
        <v>33</v>
      </c>
      <c r="R11" s="26" t="s">
        <v>34</v>
      </c>
    </row>
    <row r="12" spans="1:18" ht="15.75" customHeight="1">
      <c r="A12" s="21">
        <v>1009</v>
      </c>
      <c r="B12" s="51" t="s">
        <v>18</v>
      </c>
      <c r="C12" s="54" t="s">
        <v>49</v>
      </c>
      <c r="D12" s="51" t="s">
        <v>165</v>
      </c>
      <c r="E12" s="51" t="s">
        <v>275</v>
      </c>
      <c r="F12" s="63" t="s">
        <v>330</v>
      </c>
      <c r="G12" s="64" t="s">
        <v>332</v>
      </c>
      <c r="H12" s="51" t="s">
        <v>318</v>
      </c>
      <c r="I12" s="22" t="s">
        <v>12</v>
      </c>
      <c r="J12" s="47">
        <v>0</v>
      </c>
      <c r="K12" s="48">
        <f t="shared" si="0"/>
        <v>0</v>
      </c>
      <c r="L12" s="24"/>
      <c r="M12" s="23"/>
      <c r="N12" s="23"/>
      <c r="O12" s="23"/>
      <c r="P12" s="23"/>
      <c r="Q12" s="25" t="s">
        <v>33</v>
      </c>
      <c r="R12" s="26" t="s">
        <v>34</v>
      </c>
    </row>
    <row r="13" spans="1:18" ht="15.75" customHeight="1">
      <c r="A13" s="21">
        <v>1010</v>
      </c>
      <c r="B13" s="51" t="s">
        <v>18</v>
      </c>
      <c r="C13" s="54" t="s">
        <v>50</v>
      </c>
      <c r="D13" s="51" t="s">
        <v>166</v>
      </c>
      <c r="E13" s="51" t="s">
        <v>29</v>
      </c>
      <c r="F13" s="63" t="s">
        <v>330</v>
      </c>
      <c r="G13" s="64" t="s">
        <v>331</v>
      </c>
      <c r="H13" s="51" t="s">
        <v>319</v>
      </c>
      <c r="I13" s="22" t="s">
        <v>12</v>
      </c>
      <c r="J13" s="47">
        <v>0</v>
      </c>
      <c r="K13" s="48">
        <f t="shared" si="0"/>
        <v>0</v>
      </c>
      <c r="L13" s="24"/>
      <c r="M13" s="23"/>
      <c r="N13" s="23"/>
      <c r="O13" s="23"/>
      <c r="P13" s="23"/>
      <c r="Q13" s="25" t="s">
        <v>33</v>
      </c>
      <c r="R13" s="26" t="s">
        <v>34</v>
      </c>
    </row>
    <row r="14" spans="1:18" ht="15.75" customHeight="1">
      <c r="A14" s="21">
        <v>1011</v>
      </c>
      <c r="B14" s="51" t="s">
        <v>18</v>
      </c>
      <c r="C14" s="54" t="s">
        <v>51</v>
      </c>
      <c r="D14" s="51" t="s">
        <v>167</v>
      </c>
      <c r="E14" s="51" t="s">
        <v>276</v>
      </c>
      <c r="F14" s="63" t="s">
        <v>330</v>
      </c>
      <c r="G14" s="64" t="s">
        <v>333</v>
      </c>
      <c r="H14" s="51" t="s">
        <v>320</v>
      </c>
      <c r="I14" s="22" t="s">
        <v>12</v>
      </c>
      <c r="J14" s="47">
        <v>0</v>
      </c>
      <c r="K14" s="48">
        <f t="shared" si="0"/>
        <v>0</v>
      </c>
      <c r="L14" s="24"/>
      <c r="M14" s="23"/>
      <c r="N14" s="23"/>
      <c r="O14" s="23"/>
      <c r="P14" s="23"/>
      <c r="Q14" s="25" t="s">
        <v>33</v>
      </c>
      <c r="R14" s="26" t="s">
        <v>34</v>
      </c>
    </row>
    <row r="15" spans="1:18" ht="15.75" customHeight="1">
      <c r="A15" s="21">
        <v>1012</v>
      </c>
      <c r="B15" s="51" t="s">
        <v>18</v>
      </c>
      <c r="C15" s="54" t="s">
        <v>52</v>
      </c>
      <c r="D15" s="51" t="s">
        <v>168</v>
      </c>
      <c r="E15" s="51" t="s">
        <v>276</v>
      </c>
      <c r="F15" s="63" t="s">
        <v>330</v>
      </c>
      <c r="G15" s="64" t="s">
        <v>334</v>
      </c>
      <c r="H15" s="51" t="s">
        <v>321</v>
      </c>
      <c r="I15" s="22" t="s">
        <v>12</v>
      </c>
      <c r="J15" s="47">
        <v>0</v>
      </c>
      <c r="K15" s="48">
        <f t="shared" si="0"/>
        <v>0</v>
      </c>
      <c r="L15" s="24"/>
      <c r="M15" s="23"/>
      <c r="N15" s="23"/>
      <c r="O15" s="23"/>
      <c r="P15" s="23"/>
      <c r="Q15" s="25" t="s">
        <v>33</v>
      </c>
      <c r="R15" s="26" t="s">
        <v>34</v>
      </c>
    </row>
    <row r="16" spans="1:18" ht="15.75" customHeight="1">
      <c r="A16" s="21">
        <v>1013</v>
      </c>
      <c r="B16" s="51" t="s">
        <v>18</v>
      </c>
      <c r="C16" s="54" t="s">
        <v>53</v>
      </c>
      <c r="D16" s="51" t="s">
        <v>169</v>
      </c>
      <c r="E16" s="51" t="s">
        <v>273</v>
      </c>
      <c r="F16" s="63" t="s">
        <v>330</v>
      </c>
      <c r="G16" s="64" t="s">
        <v>334</v>
      </c>
      <c r="H16" s="51" t="s">
        <v>322</v>
      </c>
      <c r="I16" s="22" t="s">
        <v>12</v>
      </c>
      <c r="J16" s="47">
        <v>0</v>
      </c>
      <c r="K16" s="48">
        <f t="shared" si="0"/>
        <v>0</v>
      </c>
      <c r="L16" s="24"/>
      <c r="M16" s="23"/>
      <c r="N16" s="23"/>
      <c r="O16" s="23"/>
      <c r="P16" s="23"/>
      <c r="Q16" s="25" t="s">
        <v>33</v>
      </c>
      <c r="R16" s="26" t="s">
        <v>34</v>
      </c>
    </row>
    <row r="17" spans="1:18" ht="15.75" customHeight="1">
      <c r="A17" s="21">
        <v>1014</v>
      </c>
      <c r="B17" s="51" t="s">
        <v>21</v>
      </c>
      <c r="C17" s="54" t="s">
        <v>54</v>
      </c>
      <c r="D17" s="51" t="s">
        <v>170</v>
      </c>
      <c r="E17" s="51" t="s">
        <v>277</v>
      </c>
      <c r="F17" s="63" t="s">
        <v>330</v>
      </c>
      <c r="G17" s="64" t="s">
        <v>332</v>
      </c>
      <c r="H17" s="51">
        <v>100</v>
      </c>
      <c r="I17" s="22" t="s">
        <v>12</v>
      </c>
      <c r="J17" s="47">
        <v>0</v>
      </c>
      <c r="K17" s="48">
        <f t="shared" si="0"/>
        <v>0</v>
      </c>
      <c r="L17" s="24"/>
      <c r="M17" s="23"/>
      <c r="N17" s="23"/>
      <c r="O17" s="23"/>
      <c r="P17" s="23"/>
      <c r="Q17" s="25" t="s">
        <v>33</v>
      </c>
      <c r="R17" s="26" t="s">
        <v>34</v>
      </c>
    </row>
    <row r="18" spans="1:18" ht="15.75" customHeight="1">
      <c r="A18" s="21">
        <v>1015</v>
      </c>
      <c r="B18" s="51" t="s">
        <v>18</v>
      </c>
      <c r="C18" s="54" t="s">
        <v>55</v>
      </c>
      <c r="D18" s="51" t="s">
        <v>171</v>
      </c>
      <c r="E18" s="51" t="s">
        <v>273</v>
      </c>
      <c r="F18" s="63" t="s">
        <v>330</v>
      </c>
      <c r="G18" s="64" t="s">
        <v>332</v>
      </c>
      <c r="H18" s="51" t="s">
        <v>323</v>
      </c>
      <c r="I18" s="22" t="s">
        <v>12</v>
      </c>
      <c r="J18" s="47">
        <v>0</v>
      </c>
      <c r="K18" s="48">
        <f t="shared" si="0"/>
        <v>0</v>
      </c>
      <c r="L18" s="24"/>
      <c r="M18" s="23"/>
      <c r="N18" s="23"/>
      <c r="O18" s="23"/>
      <c r="P18" s="23"/>
      <c r="Q18" s="25" t="s">
        <v>33</v>
      </c>
      <c r="R18" s="26" t="s">
        <v>34</v>
      </c>
    </row>
    <row r="19" spans="1:18" ht="15.75" customHeight="1">
      <c r="A19" s="21">
        <v>1016</v>
      </c>
      <c r="B19" s="51" t="s">
        <v>20</v>
      </c>
      <c r="C19" s="54" t="s">
        <v>56</v>
      </c>
      <c r="D19" s="51" t="s">
        <v>172</v>
      </c>
      <c r="E19" s="51" t="s">
        <v>270</v>
      </c>
      <c r="F19" s="63" t="s">
        <v>330</v>
      </c>
      <c r="G19" s="64" t="s">
        <v>335</v>
      </c>
      <c r="H19" s="51">
        <v>50</v>
      </c>
      <c r="I19" s="22" t="s">
        <v>12</v>
      </c>
      <c r="J19" s="47">
        <v>0</v>
      </c>
      <c r="K19" s="48">
        <f t="shared" si="0"/>
        <v>0</v>
      </c>
      <c r="L19" s="24"/>
      <c r="M19" s="23"/>
      <c r="N19" s="23"/>
      <c r="O19" s="23"/>
      <c r="P19" s="23"/>
      <c r="Q19" s="25" t="s">
        <v>33</v>
      </c>
      <c r="R19" s="26" t="s">
        <v>34</v>
      </c>
    </row>
    <row r="20" spans="1:18" ht="15.75" customHeight="1">
      <c r="A20" s="21">
        <v>1017</v>
      </c>
      <c r="B20" s="51" t="s">
        <v>20</v>
      </c>
      <c r="C20" s="54" t="s">
        <v>57</v>
      </c>
      <c r="D20" s="51" t="s">
        <v>173</v>
      </c>
      <c r="E20" s="51" t="s">
        <v>270</v>
      </c>
      <c r="F20" s="63" t="s">
        <v>330</v>
      </c>
      <c r="G20" s="64" t="s">
        <v>336</v>
      </c>
      <c r="H20" s="51">
        <v>150</v>
      </c>
      <c r="I20" s="22" t="s">
        <v>12</v>
      </c>
      <c r="J20" s="47">
        <v>0</v>
      </c>
      <c r="K20" s="48">
        <f t="shared" si="0"/>
        <v>0</v>
      </c>
      <c r="L20" s="24"/>
      <c r="M20" s="23"/>
      <c r="N20" s="23"/>
      <c r="O20" s="23"/>
      <c r="P20" s="23"/>
      <c r="Q20" s="25" t="s">
        <v>33</v>
      </c>
      <c r="R20" s="26" t="s">
        <v>34</v>
      </c>
    </row>
    <row r="21" spans="1:18" ht="15.75" customHeight="1">
      <c r="A21" s="21">
        <v>1018</v>
      </c>
      <c r="B21" s="51" t="s">
        <v>20</v>
      </c>
      <c r="C21" s="54" t="s">
        <v>58</v>
      </c>
      <c r="D21" s="51" t="s">
        <v>174</v>
      </c>
      <c r="E21" s="51" t="s">
        <v>278</v>
      </c>
      <c r="F21" s="63" t="s">
        <v>330</v>
      </c>
      <c r="G21" s="64" t="s">
        <v>335</v>
      </c>
      <c r="H21" s="51">
        <v>50</v>
      </c>
      <c r="I21" s="22" t="s">
        <v>12</v>
      </c>
      <c r="J21" s="47">
        <v>0</v>
      </c>
      <c r="K21" s="48">
        <f t="shared" si="0"/>
        <v>0</v>
      </c>
      <c r="L21" s="24"/>
      <c r="M21" s="23"/>
      <c r="N21" s="23"/>
      <c r="O21" s="23"/>
      <c r="P21" s="23"/>
      <c r="Q21" s="25" t="s">
        <v>33</v>
      </c>
      <c r="R21" s="26" t="s">
        <v>34</v>
      </c>
    </row>
    <row r="22" spans="1:18" ht="15.75" customHeight="1">
      <c r="A22" s="21">
        <v>1019</v>
      </c>
      <c r="B22" s="51" t="s">
        <v>22</v>
      </c>
      <c r="C22" s="54" t="s">
        <v>59</v>
      </c>
      <c r="D22" s="51" t="s">
        <v>175</v>
      </c>
      <c r="E22" s="51" t="s">
        <v>279</v>
      </c>
      <c r="F22" s="63" t="s">
        <v>330</v>
      </c>
      <c r="G22" s="64" t="s">
        <v>332</v>
      </c>
      <c r="H22" s="51">
        <v>5</v>
      </c>
      <c r="I22" s="22" t="s">
        <v>12</v>
      </c>
      <c r="J22" s="47">
        <v>0</v>
      </c>
      <c r="K22" s="48">
        <f t="shared" si="0"/>
        <v>0</v>
      </c>
      <c r="L22" s="24"/>
      <c r="M22" s="23"/>
      <c r="N22" s="23"/>
      <c r="O22" s="23"/>
      <c r="P22" s="23"/>
      <c r="Q22" s="25" t="s">
        <v>33</v>
      </c>
      <c r="R22" s="26" t="s">
        <v>34</v>
      </c>
    </row>
    <row r="23" spans="1:18" ht="15.75" customHeight="1">
      <c r="A23" s="21">
        <v>1020</v>
      </c>
      <c r="B23" s="51" t="s">
        <v>18</v>
      </c>
      <c r="C23" s="54" t="s">
        <v>60</v>
      </c>
      <c r="D23" s="51" t="s">
        <v>176</v>
      </c>
      <c r="E23" s="51" t="s">
        <v>25</v>
      </c>
      <c r="F23" s="63" t="s">
        <v>330</v>
      </c>
      <c r="G23" s="64" t="s">
        <v>334</v>
      </c>
      <c r="H23" s="51" t="s">
        <v>324</v>
      </c>
      <c r="I23" s="22" t="s">
        <v>12</v>
      </c>
      <c r="J23" s="47">
        <v>0</v>
      </c>
      <c r="K23" s="48">
        <f t="shared" si="0"/>
        <v>0</v>
      </c>
      <c r="L23" s="24"/>
      <c r="M23" s="23"/>
      <c r="N23" s="23"/>
      <c r="O23" s="23"/>
      <c r="P23" s="23"/>
      <c r="Q23" s="25" t="s">
        <v>33</v>
      </c>
      <c r="R23" s="26" t="s">
        <v>34</v>
      </c>
    </row>
    <row r="24" spans="1:18" ht="15.75" customHeight="1">
      <c r="A24" s="21">
        <v>1021</v>
      </c>
      <c r="B24" s="51" t="s">
        <v>17</v>
      </c>
      <c r="C24" s="54" t="s">
        <v>61</v>
      </c>
      <c r="D24" s="51" t="s">
        <v>177</v>
      </c>
      <c r="E24" s="51" t="s">
        <v>280</v>
      </c>
      <c r="F24" s="63" t="s">
        <v>330</v>
      </c>
      <c r="G24" s="64" t="s">
        <v>337</v>
      </c>
      <c r="H24" s="51">
        <v>2</v>
      </c>
      <c r="I24" s="22" t="s">
        <v>12</v>
      </c>
      <c r="J24" s="47">
        <v>0</v>
      </c>
      <c r="K24" s="48">
        <f t="shared" si="0"/>
        <v>0</v>
      </c>
      <c r="L24" s="24"/>
      <c r="M24" s="23"/>
      <c r="N24" s="23"/>
      <c r="O24" s="23"/>
      <c r="P24" s="23"/>
      <c r="Q24" s="25" t="s">
        <v>33</v>
      </c>
      <c r="R24" s="26" t="s">
        <v>34</v>
      </c>
    </row>
    <row r="25" spans="1:18" ht="15.75" customHeight="1">
      <c r="A25" s="21">
        <v>1022</v>
      </c>
      <c r="B25" s="51" t="s">
        <v>16</v>
      </c>
      <c r="C25" s="54" t="s">
        <v>62</v>
      </c>
      <c r="D25" s="51" t="s">
        <v>178</v>
      </c>
      <c r="E25" s="51" t="s">
        <v>281</v>
      </c>
      <c r="F25" s="63" t="s">
        <v>330</v>
      </c>
      <c r="G25" s="64" t="s">
        <v>332</v>
      </c>
      <c r="H25" s="51">
        <v>200</v>
      </c>
      <c r="I25" s="22" t="s">
        <v>12</v>
      </c>
      <c r="J25" s="47">
        <v>0</v>
      </c>
      <c r="K25" s="48">
        <f t="shared" si="0"/>
        <v>0</v>
      </c>
      <c r="L25" s="24"/>
      <c r="M25" s="23"/>
      <c r="N25" s="23"/>
      <c r="O25" s="23"/>
      <c r="P25" s="23"/>
      <c r="Q25" s="25" t="s">
        <v>33</v>
      </c>
      <c r="R25" s="26" t="s">
        <v>34</v>
      </c>
    </row>
    <row r="26" spans="1:18" ht="15.75" customHeight="1">
      <c r="A26" s="21">
        <v>1023</v>
      </c>
      <c r="B26" s="51" t="s">
        <v>13</v>
      </c>
      <c r="C26" s="54" t="s">
        <v>63</v>
      </c>
      <c r="D26" s="51" t="s">
        <v>179</v>
      </c>
      <c r="E26" s="51" t="s">
        <v>282</v>
      </c>
      <c r="F26" s="63" t="s">
        <v>330</v>
      </c>
      <c r="G26" s="64" t="s">
        <v>332</v>
      </c>
      <c r="H26" s="51">
        <v>500</v>
      </c>
      <c r="I26" s="22" t="s">
        <v>12</v>
      </c>
      <c r="J26" s="47">
        <v>0</v>
      </c>
      <c r="K26" s="48">
        <f t="shared" si="0"/>
        <v>0</v>
      </c>
      <c r="L26" s="24"/>
      <c r="M26" s="23"/>
      <c r="N26" s="23"/>
      <c r="O26" s="23"/>
      <c r="P26" s="23"/>
      <c r="Q26" s="25" t="s">
        <v>33</v>
      </c>
      <c r="R26" s="26" t="s">
        <v>34</v>
      </c>
    </row>
    <row r="27" spans="1:18" ht="15.75" customHeight="1">
      <c r="A27" s="21">
        <v>1024</v>
      </c>
      <c r="B27" s="51" t="s">
        <v>18</v>
      </c>
      <c r="C27" s="54" t="s">
        <v>64</v>
      </c>
      <c r="D27" s="51" t="s">
        <v>180</v>
      </c>
      <c r="E27" s="51" t="s">
        <v>24</v>
      </c>
      <c r="F27" s="63" t="s">
        <v>330</v>
      </c>
      <c r="G27" s="64" t="s">
        <v>332</v>
      </c>
      <c r="H27" s="51" t="s">
        <v>325</v>
      </c>
      <c r="I27" s="22" t="s">
        <v>12</v>
      </c>
      <c r="J27" s="47">
        <v>0</v>
      </c>
      <c r="K27" s="48">
        <f t="shared" si="0"/>
        <v>0</v>
      </c>
      <c r="L27" s="24"/>
      <c r="M27" s="23"/>
      <c r="N27" s="23"/>
      <c r="O27" s="23"/>
      <c r="P27" s="23"/>
      <c r="Q27" s="25" t="s">
        <v>33</v>
      </c>
      <c r="R27" s="26" t="s">
        <v>34</v>
      </c>
    </row>
    <row r="28" spans="1:18" ht="15.75" customHeight="1">
      <c r="A28" s="21">
        <v>1025</v>
      </c>
      <c r="B28" s="51" t="s">
        <v>18</v>
      </c>
      <c r="C28" s="54" t="s">
        <v>65</v>
      </c>
      <c r="D28" s="51" t="s">
        <v>181</v>
      </c>
      <c r="E28" s="51" t="s">
        <v>276</v>
      </c>
      <c r="F28" s="63" t="s">
        <v>330</v>
      </c>
      <c r="G28" s="64" t="s">
        <v>332</v>
      </c>
      <c r="H28" s="51" t="s">
        <v>326</v>
      </c>
      <c r="I28" s="22" t="s">
        <v>12</v>
      </c>
      <c r="J28" s="47">
        <v>0</v>
      </c>
      <c r="K28" s="48">
        <f t="shared" si="0"/>
        <v>0</v>
      </c>
      <c r="L28" s="24"/>
      <c r="M28" s="23"/>
      <c r="N28" s="23"/>
      <c r="O28" s="23"/>
      <c r="P28" s="23"/>
      <c r="Q28" s="25" t="s">
        <v>33</v>
      </c>
      <c r="R28" s="26" t="s">
        <v>34</v>
      </c>
    </row>
    <row r="29" spans="1:18" ht="15.75" customHeight="1">
      <c r="A29" s="21">
        <v>1026</v>
      </c>
      <c r="B29" s="51" t="s">
        <v>18</v>
      </c>
      <c r="C29" s="54" t="s">
        <v>66</v>
      </c>
      <c r="D29" s="51" t="s">
        <v>182</v>
      </c>
      <c r="E29" s="51" t="s">
        <v>283</v>
      </c>
      <c r="F29" s="63" t="s">
        <v>330</v>
      </c>
      <c r="G29" s="64" t="s">
        <v>332</v>
      </c>
      <c r="H29" s="51" t="s">
        <v>320</v>
      </c>
      <c r="I29" s="22" t="s">
        <v>12</v>
      </c>
      <c r="J29" s="47">
        <v>0</v>
      </c>
      <c r="K29" s="48">
        <f t="shared" si="0"/>
        <v>0</v>
      </c>
      <c r="L29" s="24"/>
      <c r="M29" s="23"/>
      <c r="N29" s="23"/>
      <c r="O29" s="23"/>
      <c r="P29" s="23"/>
      <c r="Q29" s="25" t="s">
        <v>33</v>
      </c>
      <c r="R29" s="26" t="s">
        <v>34</v>
      </c>
    </row>
    <row r="30" spans="1:18" ht="15.75" customHeight="1">
      <c r="A30" s="21">
        <v>1027</v>
      </c>
      <c r="B30" s="51" t="s">
        <v>18</v>
      </c>
      <c r="C30" s="54" t="s">
        <v>67</v>
      </c>
      <c r="D30" s="51" t="s">
        <v>183</v>
      </c>
      <c r="E30" s="51" t="s">
        <v>284</v>
      </c>
      <c r="F30" s="63" t="s">
        <v>330</v>
      </c>
      <c r="G30" s="64" t="s">
        <v>334</v>
      </c>
      <c r="H30" s="51">
        <v>400</v>
      </c>
      <c r="I30" s="22" t="s">
        <v>12</v>
      </c>
      <c r="J30" s="47">
        <v>0</v>
      </c>
      <c r="K30" s="48">
        <f t="shared" si="0"/>
        <v>0</v>
      </c>
      <c r="L30" s="24"/>
      <c r="M30" s="23"/>
      <c r="N30" s="23"/>
      <c r="O30" s="23"/>
      <c r="P30" s="23"/>
      <c r="Q30" s="25" t="s">
        <v>33</v>
      </c>
      <c r="R30" s="26" t="s">
        <v>34</v>
      </c>
    </row>
    <row r="31" spans="1:18" ht="15.75" customHeight="1">
      <c r="A31" s="21">
        <v>1028</v>
      </c>
      <c r="B31" s="51" t="s">
        <v>20</v>
      </c>
      <c r="C31" s="54" t="s">
        <v>68</v>
      </c>
      <c r="D31" s="51" t="s">
        <v>184</v>
      </c>
      <c r="E31" s="51" t="s">
        <v>285</v>
      </c>
      <c r="F31" s="63" t="s">
        <v>330</v>
      </c>
      <c r="G31" s="64" t="s">
        <v>331</v>
      </c>
      <c r="H31" s="51">
        <v>100</v>
      </c>
      <c r="I31" s="22" t="s">
        <v>12</v>
      </c>
      <c r="J31" s="47">
        <v>0</v>
      </c>
      <c r="K31" s="48">
        <f t="shared" si="0"/>
        <v>0</v>
      </c>
      <c r="L31" s="24"/>
      <c r="M31" s="23"/>
      <c r="N31" s="23"/>
      <c r="O31" s="23"/>
      <c r="P31" s="23"/>
      <c r="Q31" s="25" t="s">
        <v>33</v>
      </c>
      <c r="R31" s="26" t="s">
        <v>34</v>
      </c>
    </row>
    <row r="32" spans="1:18" ht="15.75" customHeight="1">
      <c r="A32" s="21">
        <v>1029</v>
      </c>
      <c r="B32" s="51" t="s">
        <v>17</v>
      </c>
      <c r="C32" s="54" t="s">
        <v>69</v>
      </c>
      <c r="D32" s="51" t="s">
        <v>185</v>
      </c>
      <c r="E32" s="51" t="s">
        <v>286</v>
      </c>
      <c r="F32" s="63" t="s">
        <v>330</v>
      </c>
      <c r="G32" s="64" t="s">
        <v>332</v>
      </c>
      <c r="H32" s="51">
        <v>100</v>
      </c>
      <c r="I32" s="22" t="s">
        <v>12</v>
      </c>
      <c r="J32" s="47">
        <v>0</v>
      </c>
      <c r="K32" s="48">
        <f t="shared" si="0"/>
        <v>0</v>
      </c>
      <c r="L32" s="24"/>
      <c r="M32" s="23"/>
      <c r="N32" s="23"/>
      <c r="O32" s="23"/>
      <c r="P32" s="23"/>
      <c r="Q32" s="25" t="s">
        <v>33</v>
      </c>
      <c r="R32" s="26" t="s">
        <v>34</v>
      </c>
    </row>
    <row r="33" spans="1:18" ht="15.75" customHeight="1">
      <c r="A33" s="21">
        <v>1030</v>
      </c>
      <c r="B33" s="51" t="s">
        <v>20</v>
      </c>
      <c r="C33" s="54" t="s">
        <v>70</v>
      </c>
      <c r="D33" s="51" t="s">
        <v>186</v>
      </c>
      <c r="E33" s="51" t="s">
        <v>287</v>
      </c>
      <c r="F33" s="63" t="s">
        <v>330</v>
      </c>
      <c r="G33" s="64" t="s">
        <v>334</v>
      </c>
      <c r="H33" s="51" t="s">
        <v>320</v>
      </c>
      <c r="I33" s="22" t="s">
        <v>12</v>
      </c>
      <c r="J33" s="47">
        <v>0</v>
      </c>
      <c r="K33" s="48">
        <f t="shared" si="0"/>
        <v>0</v>
      </c>
      <c r="L33" s="24"/>
      <c r="M33" s="23"/>
      <c r="N33" s="23"/>
      <c r="O33" s="23"/>
      <c r="P33" s="23"/>
      <c r="Q33" s="25" t="s">
        <v>33</v>
      </c>
      <c r="R33" s="26" t="s">
        <v>34</v>
      </c>
    </row>
    <row r="34" spans="1:18" ht="15.75" customHeight="1">
      <c r="A34" s="21">
        <v>1031</v>
      </c>
      <c r="B34" s="51" t="s">
        <v>15</v>
      </c>
      <c r="C34" s="54" t="s">
        <v>71</v>
      </c>
      <c r="D34" s="51" t="s">
        <v>187</v>
      </c>
      <c r="E34" s="51" t="s">
        <v>288</v>
      </c>
      <c r="F34" s="63" t="s">
        <v>330</v>
      </c>
      <c r="G34" s="64" t="s">
        <v>332</v>
      </c>
      <c r="H34" s="51">
        <v>300</v>
      </c>
      <c r="I34" s="22" t="s">
        <v>12</v>
      </c>
      <c r="J34" s="47">
        <v>0</v>
      </c>
      <c r="K34" s="48">
        <f t="shared" si="0"/>
        <v>0</v>
      </c>
      <c r="L34" s="24"/>
      <c r="M34" s="23"/>
      <c r="N34" s="23"/>
      <c r="O34" s="23"/>
      <c r="P34" s="23"/>
      <c r="Q34" s="25" t="s">
        <v>33</v>
      </c>
      <c r="R34" s="26" t="s">
        <v>34</v>
      </c>
    </row>
    <row r="35" spans="1:18" ht="15.75" customHeight="1">
      <c r="A35" s="21">
        <v>1032</v>
      </c>
      <c r="B35" s="51" t="s">
        <v>20</v>
      </c>
      <c r="C35" s="54" t="s">
        <v>72</v>
      </c>
      <c r="D35" s="51" t="s">
        <v>188</v>
      </c>
      <c r="E35" s="51" t="s">
        <v>270</v>
      </c>
      <c r="F35" s="63" t="s">
        <v>330</v>
      </c>
      <c r="G35" s="64" t="s">
        <v>332</v>
      </c>
      <c r="H35" s="51">
        <v>400</v>
      </c>
      <c r="I35" s="22" t="s">
        <v>12</v>
      </c>
      <c r="J35" s="47">
        <v>0</v>
      </c>
      <c r="K35" s="48">
        <f t="shared" si="0"/>
        <v>0</v>
      </c>
      <c r="L35" s="24"/>
      <c r="M35" s="23"/>
      <c r="N35" s="23"/>
      <c r="O35" s="23"/>
      <c r="P35" s="23"/>
      <c r="Q35" s="25" t="s">
        <v>33</v>
      </c>
      <c r="R35" s="26" t="s">
        <v>34</v>
      </c>
    </row>
    <row r="36" spans="1:18" ht="15.75" customHeight="1">
      <c r="A36" s="21">
        <v>1033</v>
      </c>
      <c r="B36" s="51" t="s">
        <v>20</v>
      </c>
      <c r="C36" s="54" t="s">
        <v>73</v>
      </c>
      <c r="D36" s="51" t="s">
        <v>189</v>
      </c>
      <c r="E36" s="51" t="s">
        <v>270</v>
      </c>
      <c r="F36" s="63" t="s">
        <v>330</v>
      </c>
      <c r="G36" s="64" t="s">
        <v>332</v>
      </c>
      <c r="H36" s="51" t="s">
        <v>318</v>
      </c>
      <c r="I36" s="22" t="s">
        <v>12</v>
      </c>
      <c r="J36" s="47">
        <v>0</v>
      </c>
      <c r="K36" s="48">
        <f t="shared" si="0"/>
        <v>0</v>
      </c>
      <c r="L36" s="24"/>
      <c r="M36" s="23"/>
      <c r="N36" s="23"/>
      <c r="O36" s="23"/>
      <c r="P36" s="23"/>
      <c r="Q36" s="25" t="s">
        <v>33</v>
      </c>
      <c r="R36" s="26" t="s">
        <v>34</v>
      </c>
    </row>
    <row r="37" spans="1:18" ht="15.75" customHeight="1">
      <c r="A37" s="21">
        <v>1034</v>
      </c>
      <c r="B37" s="51" t="s">
        <v>18</v>
      </c>
      <c r="C37" s="54" t="s">
        <v>74</v>
      </c>
      <c r="D37" s="51" t="s">
        <v>190</v>
      </c>
      <c r="E37" s="51" t="s">
        <v>276</v>
      </c>
      <c r="F37" s="63" t="s">
        <v>330</v>
      </c>
      <c r="G37" s="64" t="s">
        <v>332</v>
      </c>
      <c r="H37" s="51">
        <v>800</v>
      </c>
      <c r="I37" s="22" t="s">
        <v>12</v>
      </c>
      <c r="J37" s="47">
        <v>0</v>
      </c>
      <c r="K37" s="48">
        <f t="shared" si="0"/>
        <v>0</v>
      </c>
      <c r="L37" s="24"/>
      <c r="M37" s="23"/>
      <c r="N37" s="23"/>
      <c r="O37" s="23"/>
      <c r="P37" s="23"/>
      <c r="Q37" s="25" t="s">
        <v>33</v>
      </c>
      <c r="R37" s="26" t="s">
        <v>34</v>
      </c>
    </row>
    <row r="38" spans="1:18" ht="15.75" customHeight="1">
      <c r="A38" s="21">
        <v>1035</v>
      </c>
      <c r="B38" s="51" t="s">
        <v>20</v>
      </c>
      <c r="C38" s="54" t="s">
        <v>75</v>
      </c>
      <c r="D38" s="51" t="s">
        <v>191</v>
      </c>
      <c r="E38" s="51" t="s">
        <v>30</v>
      </c>
      <c r="F38" s="63" t="s">
        <v>330</v>
      </c>
      <c r="G38" s="64" t="s">
        <v>337</v>
      </c>
      <c r="H38" s="51">
        <v>100</v>
      </c>
      <c r="I38" s="22" t="s">
        <v>12</v>
      </c>
      <c r="J38" s="47">
        <v>0</v>
      </c>
      <c r="K38" s="48">
        <f t="shared" si="0"/>
        <v>0</v>
      </c>
      <c r="L38" s="24"/>
      <c r="M38" s="23"/>
      <c r="N38" s="23"/>
      <c r="O38" s="23"/>
      <c r="P38" s="23"/>
      <c r="Q38" s="25" t="s">
        <v>33</v>
      </c>
      <c r="R38" s="26" t="s">
        <v>34</v>
      </c>
    </row>
    <row r="39" spans="1:18" ht="15.75" customHeight="1">
      <c r="A39" s="21">
        <v>1036</v>
      </c>
      <c r="B39" s="51" t="s">
        <v>15</v>
      </c>
      <c r="C39" s="54" t="s">
        <v>76</v>
      </c>
      <c r="D39" s="51" t="s">
        <v>192</v>
      </c>
      <c r="E39" s="51" t="s">
        <v>288</v>
      </c>
      <c r="F39" s="63" t="s">
        <v>330</v>
      </c>
      <c r="G39" s="64" t="s">
        <v>338</v>
      </c>
      <c r="H39" s="51">
        <v>60</v>
      </c>
      <c r="I39" s="22" t="s">
        <v>12</v>
      </c>
      <c r="J39" s="47">
        <v>0</v>
      </c>
      <c r="K39" s="48">
        <f t="shared" si="0"/>
        <v>0</v>
      </c>
      <c r="L39" s="24"/>
      <c r="M39" s="23"/>
      <c r="N39" s="23"/>
      <c r="O39" s="23"/>
      <c r="P39" s="23"/>
      <c r="Q39" s="25" t="s">
        <v>33</v>
      </c>
      <c r="R39" s="26" t="s">
        <v>34</v>
      </c>
    </row>
    <row r="40" spans="1:18" ht="15.75" customHeight="1">
      <c r="A40" s="21">
        <v>1037</v>
      </c>
      <c r="B40" s="51" t="s">
        <v>16</v>
      </c>
      <c r="C40" s="54" t="s">
        <v>77</v>
      </c>
      <c r="D40" s="51" t="s">
        <v>193</v>
      </c>
      <c r="E40" s="51" t="s">
        <v>289</v>
      </c>
      <c r="F40" s="63" t="s">
        <v>330</v>
      </c>
      <c r="G40" s="64" t="s">
        <v>338</v>
      </c>
      <c r="H40" s="51">
        <v>400</v>
      </c>
      <c r="I40" s="22" t="s">
        <v>12</v>
      </c>
      <c r="J40" s="47">
        <v>0</v>
      </c>
      <c r="K40" s="48">
        <f t="shared" si="0"/>
        <v>0</v>
      </c>
      <c r="L40" s="24"/>
      <c r="M40" s="23"/>
      <c r="N40" s="23"/>
      <c r="O40" s="23"/>
      <c r="P40" s="23"/>
      <c r="Q40" s="25" t="s">
        <v>33</v>
      </c>
      <c r="R40" s="26" t="s">
        <v>34</v>
      </c>
    </row>
    <row r="41" spans="1:18" ht="15.75" customHeight="1">
      <c r="A41" s="21">
        <v>1038</v>
      </c>
      <c r="B41" s="51" t="s">
        <v>14</v>
      </c>
      <c r="C41" s="54" t="s">
        <v>78</v>
      </c>
      <c r="D41" s="51" t="s">
        <v>194</v>
      </c>
      <c r="E41" s="51" t="s">
        <v>290</v>
      </c>
      <c r="F41" s="63" t="s">
        <v>330</v>
      </c>
      <c r="G41" s="64" t="s">
        <v>337</v>
      </c>
      <c r="H41" s="51">
        <v>120</v>
      </c>
      <c r="I41" s="22" t="s">
        <v>12</v>
      </c>
      <c r="J41" s="47">
        <v>0</v>
      </c>
      <c r="K41" s="48">
        <f t="shared" si="0"/>
        <v>0</v>
      </c>
      <c r="L41" s="24"/>
      <c r="M41" s="23"/>
      <c r="N41" s="23"/>
      <c r="O41" s="23"/>
      <c r="P41" s="23"/>
      <c r="Q41" s="25" t="s">
        <v>33</v>
      </c>
      <c r="R41" s="26" t="s">
        <v>34</v>
      </c>
    </row>
    <row r="42" spans="1:18" ht="15.75" customHeight="1">
      <c r="A42" s="21">
        <v>1039</v>
      </c>
      <c r="B42" s="51" t="s">
        <v>40</v>
      </c>
      <c r="C42" s="54" t="s">
        <v>79</v>
      </c>
      <c r="D42" s="51" t="s">
        <v>195</v>
      </c>
      <c r="E42" s="51" t="s">
        <v>270</v>
      </c>
      <c r="F42" s="63" t="s">
        <v>330</v>
      </c>
      <c r="G42" s="64" t="s">
        <v>337</v>
      </c>
      <c r="H42" s="51">
        <v>100</v>
      </c>
      <c r="I42" s="22" t="s">
        <v>12</v>
      </c>
      <c r="J42" s="47">
        <v>0</v>
      </c>
      <c r="K42" s="48">
        <f t="shared" si="0"/>
        <v>0</v>
      </c>
      <c r="L42" s="24"/>
      <c r="M42" s="23"/>
      <c r="N42" s="23"/>
      <c r="O42" s="23"/>
      <c r="P42" s="23"/>
      <c r="Q42" s="25" t="s">
        <v>33</v>
      </c>
      <c r="R42" s="26" t="s">
        <v>34</v>
      </c>
    </row>
    <row r="43" spans="1:18" ht="15.75" customHeight="1">
      <c r="A43" s="21">
        <v>1040</v>
      </c>
      <c r="B43" s="51">
        <v>5305</v>
      </c>
      <c r="C43" s="54" t="s">
        <v>80</v>
      </c>
      <c r="D43" s="51" t="s">
        <v>196</v>
      </c>
      <c r="E43" s="51" t="s">
        <v>30</v>
      </c>
      <c r="F43" s="63" t="s">
        <v>330</v>
      </c>
      <c r="G43" s="64" t="s">
        <v>339</v>
      </c>
      <c r="H43" s="55">
        <v>80</v>
      </c>
      <c r="I43" s="22" t="s">
        <v>12</v>
      </c>
      <c r="J43" s="47">
        <v>0</v>
      </c>
      <c r="K43" s="48">
        <f t="shared" si="0"/>
        <v>0</v>
      </c>
      <c r="L43" s="24"/>
      <c r="M43" s="23"/>
      <c r="N43" s="23"/>
      <c r="O43" s="23"/>
      <c r="P43" s="23"/>
      <c r="Q43" s="25" t="s">
        <v>33</v>
      </c>
      <c r="R43" s="26" t="s">
        <v>34</v>
      </c>
    </row>
    <row r="44" spans="1:18" ht="15.75" customHeight="1">
      <c r="A44" s="21">
        <v>1041</v>
      </c>
      <c r="B44" s="51">
        <v>5305</v>
      </c>
      <c r="C44" s="54" t="s">
        <v>81</v>
      </c>
      <c r="D44" s="51" t="s">
        <v>197</v>
      </c>
      <c r="E44" s="51" t="s">
        <v>30</v>
      </c>
      <c r="F44" s="63" t="s">
        <v>330</v>
      </c>
      <c r="G44" s="64" t="s">
        <v>333</v>
      </c>
      <c r="H44" s="55">
        <v>75</v>
      </c>
      <c r="I44" s="22" t="s">
        <v>12</v>
      </c>
      <c r="J44" s="47">
        <v>0</v>
      </c>
      <c r="K44" s="48">
        <f t="shared" si="0"/>
        <v>0</v>
      </c>
      <c r="L44" s="24"/>
      <c r="M44" s="25"/>
      <c r="N44" s="25"/>
      <c r="O44" s="25"/>
      <c r="P44" s="25"/>
      <c r="Q44" s="25" t="s">
        <v>33</v>
      </c>
      <c r="R44" s="26" t="s">
        <v>34</v>
      </c>
    </row>
    <row r="45" spans="1:18" ht="15.75" customHeight="1">
      <c r="A45" s="21">
        <v>1042</v>
      </c>
      <c r="B45" s="51">
        <v>5310</v>
      </c>
      <c r="C45" s="54" t="s">
        <v>82</v>
      </c>
      <c r="D45" s="51" t="s">
        <v>198</v>
      </c>
      <c r="E45" s="51" t="s">
        <v>291</v>
      </c>
      <c r="F45" s="63" t="s">
        <v>330</v>
      </c>
      <c r="G45" s="64" t="s">
        <v>340</v>
      </c>
      <c r="H45" s="55">
        <v>500</v>
      </c>
      <c r="I45" s="22" t="s">
        <v>12</v>
      </c>
      <c r="J45" s="47">
        <v>0</v>
      </c>
      <c r="K45" s="48">
        <f t="shared" si="0"/>
        <v>0</v>
      </c>
      <c r="L45" s="24"/>
      <c r="M45" s="23"/>
      <c r="N45" s="23"/>
      <c r="O45" s="23"/>
      <c r="P45" s="23"/>
      <c r="Q45" s="25" t="s">
        <v>33</v>
      </c>
      <c r="R45" s="26" t="s">
        <v>34</v>
      </c>
    </row>
    <row r="46" spans="1:18" ht="15.75" customHeight="1">
      <c r="A46" s="21">
        <v>1043</v>
      </c>
      <c r="B46" s="51">
        <v>5340</v>
      </c>
      <c r="C46" s="54" t="s">
        <v>83</v>
      </c>
      <c r="D46" s="51" t="s">
        <v>199</v>
      </c>
      <c r="E46" s="51" t="s">
        <v>31</v>
      </c>
      <c r="F46" s="63" t="s">
        <v>330</v>
      </c>
      <c r="G46" s="64" t="s">
        <v>336</v>
      </c>
      <c r="H46" s="55">
        <v>100</v>
      </c>
      <c r="I46" s="22" t="s">
        <v>12</v>
      </c>
      <c r="J46" s="47">
        <v>0</v>
      </c>
      <c r="K46" s="48">
        <f t="shared" si="0"/>
        <v>0</v>
      </c>
      <c r="L46" s="24"/>
      <c r="M46" s="23"/>
      <c r="N46" s="23"/>
      <c r="O46" s="23"/>
      <c r="P46" s="23"/>
      <c r="Q46" s="25" t="s">
        <v>33</v>
      </c>
      <c r="R46" s="26" t="s">
        <v>34</v>
      </c>
    </row>
    <row r="47" spans="1:18" ht="15.75" customHeight="1">
      <c r="A47" s="21">
        <v>1044</v>
      </c>
      <c r="B47" s="51">
        <v>5305</v>
      </c>
      <c r="C47" s="54" t="s">
        <v>84</v>
      </c>
      <c r="D47" s="51" t="s">
        <v>200</v>
      </c>
      <c r="E47" s="51" t="s">
        <v>23</v>
      </c>
      <c r="F47" s="63" t="s">
        <v>330</v>
      </c>
      <c r="G47" s="64" t="s">
        <v>338</v>
      </c>
      <c r="H47" s="55">
        <v>50</v>
      </c>
      <c r="I47" s="22" t="s">
        <v>12</v>
      </c>
      <c r="J47" s="47">
        <v>0</v>
      </c>
      <c r="K47" s="48">
        <f t="shared" si="0"/>
        <v>0</v>
      </c>
      <c r="L47" s="24"/>
      <c r="M47" s="23"/>
      <c r="N47" s="23"/>
      <c r="O47" s="23"/>
      <c r="P47" s="23"/>
      <c r="Q47" s="25" t="s">
        <v>33</v>
      </c>
      <c r="R47" s="26" t="s">
        <v>34</v>
      </c>
    </row>
    <row r="48" spans="1:18" ht="15.75" customHeight="1">
      <c r="A48" s="21">
        <v>1045</v>
      </c>
      <c r="B48" s="51">
        <v>5305</v>
      </c>
      <c r="C48" s="54" t="s">
        <v>85</v>
      </c>
      <c r="D48" s="51" t="s">
        <v>201</v>
      </c>
      <c r="E48" s="51" t="s">
        <v>292</v>
      </c>
      <c r="F48" s="63" t="s">
        <v>330</v>
      </c>
      <c r="G48" s="64" t="s">
        <v>335</v>
      </c>
      <c r="H48" s="55">
        <v>150</v>
      </c>
      <c r="I48" s="22" t="s">
        <v>12</v>
      </c>
      <c r="J48" s="47">
        <v>0</v>
      </c>
      <c r="K48" s="48">
        <f t="shared" si="0"/>
        <v>0</v>
      </c>
      <c r="L48" s="24"/>
      <c r="M48" s="23"/>
      <c r="N48" s="23"/>
      <c r="O48" s="23"/>
      <c r="P48" s="23"/>
      <c r="Q48" s="25" t="s">
        <v>33</v>
      </c>
      <c r="R48" s="26" t="s">
        <v>34</v>
      </c>
    </row>
    <row r="49" spans="1:18" ht="15.75" customHeight="1">
      <c r="A49" s="21">
        <v>1046</v>
      </c>
      <c r="B49" s="51">
        <v>5331</v>
      </c>
      <c r="C49" s="54" t="s">
        <v>86</v>
      </c>
      <c r="D49" s="51" t="s">
        <v>202</v>
      </c>
      <c r="E49" s="51" t="s">
        <v>277</v>
      </c>
      <c r="F49" s="63" t="s">
        <v>330</v>
      </c>
      <c r="G49" s="64" t="s">
        <v>331</v>
      </c>
      <c r="H49" s="55">
        <v>800</v>
      </c>
      <c r="I49" s="22" t="s">
        <v>12</v>
      </c>
      <c r="J49" s="47">
        <v>0</v>
      </c>
      <c r="K49" s="48">
        <f t="shared" si="0"/>
        <v>0</v>
      </c>
      <c r="L49" s="24"/>
      <c r="M49" s="23"/>
      <c r="N49" s="23"/>
      <c r="O49" s="23"/>
      <c r="P49" s="23"/>
      <c r="Q49" s="25" t="s">
        <v>33</v>
      </c>
      <c r="R49" s="26" t="s">
        <v>34</v>
      </c>
    </row>
    <row r="50" spans="1:18">
      <c r="A50" s="21">
        <v>1047</v>
      </c>
      <c r="B50" s="51">
        <v>5331</v>
      </c>
      <c r="C50" s="54" t="s">
        <v>87</v>
      </c>
      <c r="D50" s="51" t="s">
        <v>203</v>
      </c>
      <c r="E50" s="51" t="s">
        <v>277</v>
      </c>
      <c r="F50" s="68" t="s">
        <v>330</v>
      </c>
      <c r="G50" s="64" t="s">
        <v>340</v>
      </c>
      <c r="H50" s="55">
        <v>50</v>
      </c>
      <c r="I50" s="22" t="s">
        <v>12</v>
      </c>
      <c r="J50" s="47">
        <v>0</v>
      </c>
      <c r="K50" s="48">
        <f t="shared" si="0"/>
        <v>0</v>
      </c>
      <c r="L50" s="24"/>
      <c r="M50" s="23"/>
      <c r="N50" s="23"/>
      <c r="O50" s="23"/>
      <c r="P50" s="23"/>
      <c r="Q50" s="25" t="s">
        <v>33</v>
      </c>
      <c r="R50" s="26" t="s">
        <v>34</v>
      </c>
    </row>
    <row r="51" spans="1:18">
      <c r="A51" s="21">
        <v>1048</v>
      </c>
      <c r="B51" s="51">
        <v>4730</v>
      </c>
      <c r="C51" s="54" t="s">
        <v>88</v>
      </c>
      <c r="D51" s="51" t="s">
        <v>204</v>
      </c>
      <c r="E51" s="51" t="s">
        <v>31</v>
      </c>
      <c r="F51" s="63" t="s">
        <v>330</v>
      </c>
      <c r="G51" s="64" t="s">
        <v>331</v>
      </c>
      <c r="H51" s="55">
        <v>500</v>
      </c>
      <c r="I51" s="22" t="s">
        <v>12</v>
      </c>
      <c r="J51" s="47">
        <v>0</v>
      </c>
      <c r="K51" s="48">
        <f t="shared" si="0"/>
        <v>0</v>
      </c>
      <c r="L51" s="24"/>
      <c r="M51" s="23"/>
      <c r="N51" s="23"/>
      <c r="O51" s="23"/>
      <c r="P51" s="23"/>
      <c r="Q51" s="25" t="s">
        <v>33</v>
      </c>
      <c r="R51" s="26" t="s">
        <v>34</v>
      </c>
    </row>
    <row r="52" spans="1:18">
      <c r="A52" s="21">
        <v>1049</v>
      </c>
      <c r="B52" s="51">
        <v>5325</v>
      </c>
      <c r="C52" s="54" t="s">
        <v>89</v>
      </c>
      <c r="D52" s="51" t="s">
        <v>205</v>
      </c>
      <c r="E52" s="51" t="s">
        <v>28</v>
      </c>
      <c r="F52" s="63" t="s">
        <v>330</v>
      </c>
      <c r="G52" s="64" t="s">
        <v>340</v>
      </c>
      <c r="H52" s="55">
        <v>150</v>
      </c>
      <c r="I52" s="22" t="s">
        <v>12</v>
      </c>
      <c r="J52" s="47">
        <v>0</v>
      </c>
      <c r="K52" s="48">
        <f t="shared" si="0"/>
        <v>0</v>
      </c>
      <c r="L52" s="24"/>
      <c r="M52" s="23"/>
      <c r="N52" s="23"/>
      <c r="O52" s="23"/>
      <c r="P52" s="23"/>
      <c r="Q52" s="25" t="s">
        <v>33</v>
      </c>
      <c r="R52" s="26" t="s">
        <v>34</v>
      </c>
    </row>
    <row r="53" spans="1:18">
      <c r="A53" s="21">
        <v>1050</v>
      </c>
      <c r="B53" s="51">
        <v>5325</v>
      </c>
      <c r="C53" s="54" t="s">
        <v>90</v>
      </c>
      <c r="D53" s="51" t="s">
        <v>206</v>
      </c>
      <c r="E53" s="51" t="s">
        <v>28</v>
      </c>
      <c r="F53" s="63" t="s">
        <v>330</v>
      </c>
      <c r="G53" s="64" t="s">
        <v>340</v>
      </c>
      <c r="H53" s="55">
        <v>400</v>
      </c>
      <c r="I53" s="22" t="s">
        <v>12</v>
      </c>
      <c r="J53" s="47">
        <v>0</v>
      </c>
      <c r="K53" s="48">
        <f t="shared" si="0"/>
        <v>0</v>
      </c>
      <c r="L53" s="24"/>
      <c r="M53" s="23"/>
      <c r="N53" s="23"/>
      <c r="O53" s="23"/>
      <c r="P53" s="23"/>
      <c r="Q53" s="25" t="s">
        <v>33</v>
      </c>
      <c r="R53" s="26" t="s">
        <v>34</v>
      </c>
    </row>
    <row r="54" spans="1:18">
      <c r="A54" s="21">
        <v>1051</v>
      </c>
      <c r="B54" s="51">
        <v>5305</v>
      </c>
      <c r="C54" s="54" t="s">
        <v>91</v>
      </c>
      <c r="D54" s="51" t="s">
        <v>207</v>
      </c>
      <c r="E54" s="51" t="s">
        <v>30</v>
      </c>
      <c r="F54" s="63" t="s">
        <v>330</v>
      </c>
      <c r="G54" s="64" t="s">
        <v>340</v>
      </c>
      <c r="H54" s="55">
        <v>800</v>
      </c>
      <c r="I54" s="22" t="s">
        <v>12</v>
      </c>
      <c r="J54" s="47">
        <v>0</v>
      </c>
      <c r="K54" s="48">
        <f t="shared" si="0"/>
        <v>0</v>
      </c>
      <c r="L54" s="24"/>
      <c r="M54" s="23"/>
      <c r="N54" s="23"/>
      <c r="O54" s="23"/>
      <c r="P54" s="23"/>
      <c r="Q54" s="25" t="s">
        <v>33</v>
      </c>
      <c r="R54" s="26" t="s">
        <v>34</v>
      </c>
    </row>
    <row r="55" spans="1:18">
      <c r="A55" s="21">
        <v>1052</v>
      </c>
      <c r="B55" s="51">
        <v>5331</v>
      </c>
      <c r="C55" s="54" t="s">
        <v>92</v>
      </c>
      <c r="D55" s="51" t="s">
        <v>208</v>
      </c>
      <c r="E55" s="51" t="s">
        <v>277</v>
      </c>
      <c r="F55" s="63" t="s">
        <v>330</v>
      </c>
      <c r="G55" s="64" t="s">
        <v>340</v>
      </c>
      <c r="H55" s="55">
        <v>200</v>
      </c>
      <c r="I55" s="22" t="s">
        <v>12</v>
      </c>
      <c r="J55" s="47">
        <v>0</v>
      </c>
      <c r="K55" s="48">
        <f t="shared" si="0"/>
        <v>0</v>
      </c>
      <c r="L55" s="24"/>
      <c r="M55" s="23"/>
      <c r="N55" s="23"/>
      <c r="O55" s="23"/>
      <c r="P55" s="23"/>
      <c r="Q55" s="25" t="s">
        <v>33</v>
      </c>
      <c r="R55" s="26" t="s">
        <v>34</v>
      </c>
    </row>
    <row r="56" spans="1:18">
      <c r="A56" s="21">
        <v>1053</v>
      </c>
      <c r="B56" s="51">
        <v>5331</v>
      </c>
      <c r="C56" s="54" t="s">
        <v>93</v>
      </c>
      <c r="D56" s="51" t="s">
        <v>209</v>
      </c>
      <c r="E56" s="51" t="s">
        <v>277</v>
      </c>
      <c r="F56" s="63" t="s">
        <v>330</v>
      </c>
      <c r="G56" s="64" t="s">
        <v>340</v>
      </c>
      <c r="H56" s="55">
        <v>50</v>
      </c>
      <c r="I56" s="22" t="s">
        <v>12</v>
      </c>
      <c r="J56" s="47">
        <v>0</v>
      </c>
      <c r="K56" s="48">
        <f t="shared" si="0"/>
        <v>0</v>
      </c>
      <c r="L56" s="24"/>
      <c r="M56" s="23"/>
      <c r="N56" s="23"/>
      <c r="O56" s="23"/>
      <c r="P56" s="23"/>
      <c r="Q56" s="25" t="s">
        <v>33</v>
      </c>
      <c r="R56" s="26" t="s">
        <v>34</v>
      </c>
    </row>
    <row r="57" spans="1:18">
      <c r="A57" s="21">
        <v>1054</v>
      </c>
      <c r="B57" s="51">
        <v>5331</v>
      </c>
      <c r="C57" s="54" t="s">
        <v>94</v>
      </c>
      <c r="D57" s="51" t="s">
        <v>210</v>
      </c>
      <c r="E57" s="51" t="s">
        <v>277</v>
      </c>
      <c r="F57" s="63" t="s">
        <v>330</v>
      </c>
      <c r="G57" s="64" t="s">
        <v>340</v>
      </c>
      <c r="H57" s="55">
        <v>150</v>
      </c>
      <c r="I57" s="22" t="s">
        <v>12</v>
      </c>
      <c r="J57" s="47">
        <v>0</v>
      </c>
      <c r="K57" s="48">
        <f t="shared" si="0"/>
        <v>0</v>
      </c>
      <c r="L57" s="24"/>
      <c r="M57" s="23"/>
      <c r="N57" s="23"/>
      <c r="O57" s="23"/>
      <c r="P57" s="23"/>
      <c r="Q57" s="25" t="s">
        <v>33</v>
      </c>
      <c r="R57" s="26" t="s">
        <v>34</v>
      </c>
    </row>
    <row r="58" spans="1:18">
      <c r="A58" s="21">
        <v>1055</v>
      </c>
      <c r="B58" s="51">
        <v>5331</v>
      </c>
      <c r="C58" s="54" t="s">
        <v>95</v>
      </c>
      <c r="D58" s="51" t="s">
        <v>211</v>
      </c>
      <c r="E58" s="51" t="s">
        <v>277</v>
      </c>
      <c r="F58" s="63" t="s">
        <v>330</v>
      </c>
      <c r="G58" s="64" t="s">
        <v>335</v>
      </c>
      <c r="H58" s="55">
        <v>200</v>
      </c>
      <c r="I58" s="22" t="s">
        <v>12</v>
      </c>
      <c r="J58" s="47">
        <v>0</v>
      </c>
      <c r="K58" s="48">
        <f t="shared" si="0"/>
        <v>0</v>
      </c>
      <c r="L58" s="24"/>
      <c r="M58" s="23"/>
      <c r="N58" s="23"/>
      <c r="O58" s="23"/>
      <c r="P58" s="23"/>
      <c r="Q58" s="25" t="s">
        <v>33</v>
      </c>
      <c r="R58" s="26" t="s">
        <v>34</v>
      </c>
    </row>
    <row r="59" spans="1:18">
      <c r="A59" s="21">
        <v>1056</v>
      </c>
      <c r="B59" s="51">
        <v>5305</v>
      </c>
      <c r="C59" s="54" t="s">
        <v>96</v>
      </c>
      <c r="D59" s="51" t="s">
        <v>212</v>
      </c>
      <c r="E59" s="51" t="s">
        <v>293</v>
      </c>
      <c r="F59" s="68" t="s">
        <v>330</v>
      </c>
      <c r="G59" s="64" t="s">
        <v>340</v>
      </c>
      <c r="H59" s="55">
        <v>4500</v>
      </c>
      <c r="I59" s="22" t="s">
        <v>12</v>
      </c>
      <c r="J59" s="47">
        <v>0</v>
      </c>
      <c r="K59" s="48">
        <f t="shared" si="0"/>
        <v>0</v>
      </c>
      <c r="L59" s="24"/>
      <c r="M59" s="23"/>
      <c r="N59" s="23"/>
      <c r="O59" s="23"/>
      <c r="P59" s="23"/>
      <c r="Q59" s="25" t="s">
        <v>33</v>
      </c>
      <c r="R59" s="26" t="s">
        <v>34</v>
      </c>
    </row>
    <row r="60" spans="1:18">
      <c r="A60" s="21">
        <v>1057</v>
      </c>
      <c r="B60" s="51">
        <v>5305</v>
      </c>
      <c r="C60" s="54" t="s">
        <v>97</v>
      </c>
      <c r="D60" s="51" t="s">
        <v>213</v>
      </c>
      <c r="E60" s="51" t="s">
        <v>30</v>
      </c>
      <c r="F60" s="63" t="s">
        <v>330</v>
      </c>
      <c r="G60" s="64" t="s">
        <v>338</v>
      </c>
      <c r="H60" s="55">
        <v>2000</v>
      </c>
      <c r="I60" s="22" t="s">
        <v>12</v>
      </c>
      <c r="J60" s="47">
        <v>0</v>
      </c>
      <c r="K60" s="48">
        <f t="shared" si="0"/>
        <v>0</v>
      </c>
      <c r="L60" s="24"/>
      <c r="M60" s="23"/>
      <c r="N60" s="23"/>
      <c r="O60" s="23"/>
      <c r="P60" s="23"/>
      <c r="Q60" s="25" t="s">
        <v>33</v>
      </c>
      <c r="R60" s="26" t="s">
        <v>34</v>
      </c>
    </row>
    <row r="61" spans="1:18">
      <c r="A61" s="21">
        <v>1058</v>
      </c>
      <c r="B61" s="51">
        <v>5310</v>
      </c>
      <c r="C61" s="54" t="s">
        <v>98</v>
      </c>
      <c r="D61" s="51" t="s">
        <v>214</v>
      </c>
      <c r="E61" s="51" t="s">
        <v>294</v>
      </c>
      <c r="F61" s="63" t="s">
        <v>330</v>
      </c>
      <c r="G61" s="64" t="s">
        <v>335</v>
      </c>
      <c r="H61" s="55">
        <v>600</v>
      </c>
      <c r="I61" s="22" t="s">
        <v>12</v>
      </c>
      <c r="J61" s="47">
        <v>0</v>
      </c>
      <c r="K61" s="48">
        <f t="shared" si="0"/>
        <v>0</v>
      </c>
      <c r="L61" s="24"/>
      <c r="M61" s="23"/>
      <c r="N61" s="23"/>
      <c r="O61" s="23"/>
      <c r="P61" s="23"/>
      <c r="Q61" s="25" t="s">
        <v>33</v>
      </c>
      <c r="R61" s="26" t="s">
        <v>34</v>
      </c>
    </row>
    <row r="62" spans="1:18">
      <c r="A62" s="21">
        <v>1059</v>
      </c>
      <c r="B62" s="51">
        <v>5310</v>
      </c>
      <c r="C62" s="54" t="s">
        <v>99</v>
      </c>
      <c r="D62" s="51" t="s">
        <v>215</v>
      </c>
      <c r="E62" s="51" t="s">
        <v>294</v>
      </c>
      <c r="F62" s="63" t="s">
        <v>330</v>
      </c>
      <c r="G62" s="64" t="s">
        <v>335</v>
      </c>
      <c r="H62" s="55">
        <v>1200</v>
      </c>
      <c r="I62" s="22" t="s">
        <v>12</v>
      </c>
      <c r="J62" s="47">
        <v>0</v>
      </c>
      <c r="K62" s="48">
        <f t="shared" si="0"/>
        <v>0</v>
      </c>
      <c r="L62" s="24"/>
      <c r="M62" s="23"/>
      <c r="N62" s="23"/>
      <c r="O62" s="23"/>
      <c r="P62" s="23"/>
      <c r="Q62" s="25" t="s">
        <v>33</v>
      </c>
      <c r="R62" s="26" t="s">
        <v>34</v>
      </c>
    </row>
    <row r="63" spans="1:18">
      <c r="A63" s="21">
        <v>1060</v>
      </c>
      <c r="B63" s="51">
        <v>5305</v>
      </c>
      <c r="C63" s="54" t="s">
        <v>100</v>
      </c>
      <c r="D63" s="51" t="s">
        <v>216</v>
      </c>
      <c r="E63" s="51" t="s">
        <v>30</v>
      </c>
      <c r="F63" s="63" t="s">
        <v>330</v>
      </c>
      <c r="G63" s="64" t="s">
        <v>339</v>
      </c>
      <c r="H63" s="55">
        <v>400</v>
      </c>
      <c r="I63" s="22" t="s">
        <v>12</v>
      </c>
      <c r="J63" s="47">
        <v>0</v>
      </c>
      <c r="K63" s="48">
        <f t="shared" si="0"/>
        <v>0</v>
      </c>
      <c r="L63" s="24"/>
      <c r="M63" s="23"/>
      <c r="N63" s="23"/>
      <c r="O63" s="23"/>
      <c r="P63" s="23"/>
      <c r="Q63" s="25" t="s">
        <v>33</v>
      </c>
      <c r="R63" s="26" t="s">
        <v>34</v>
      </c>
    </row>
    <row r="64" spans="1:18">
      <c r="A64" s="21">
        <v>1061</v>
      </c>
      <c r="B64" s="51">
        <v>5305</v>
      </c>
      <c r="C64" s="54" t="s">
        <v>101</v>
      </c>
      <c r="D64" s="51" t="s">
        <v>217</v>
      </c>
      <c r="E64" s="51" t="s">
        <v>30</v>
      </c>
      <c r="F64" s="63" t="s">
        <v>330</v>
      </c>
      <c r="G64" s="64" t="s">
        <v>339</v>
      </c>
      <c r="H64" s="55">
        <v>800</v>
      </c>
      <c r="I64" s="22" t="s">
        <v>12</v>
      </c>
      <c r="J64" s="47">
        <v>0</v>
      </c>
      <c r="K64" s="48">
        <f t="shared" si="0"/>
        <v>0</v>
      </c>
      <c r="L64" s="24"/>
      <c r="M64" s="23"/>
      <c r="N64" s="23"/>
      <c r="O64" s="23"/>
      <c r="P64" s="23"/>
      <c r="Q64" s="25" t="s">
        <v>33</v>
      </c>
      <c r="R64" s="26" t="s">
        <v>34</v>
      </c>
    </row>
    <row r="65" spans="1:18">
      <c r="A65" s="21">
        <v>1062</v>
      </c>
      <c r="B65" s="51">
        <v>5305</v>
      </c>
      <c r="C65" s="54" t="s">
        <v>102</v>
      </c>
      <c r="D65" s="51" t="s">
        <v>218</v>
      </c>
      <c r="E65" s="51" t="s">
        <v>23</v>
      </c>
      <c r="F65" s="63" t="s">
        <v>330</v>
      </c>
      <c r="G65" s="64" t="s">
        <v>340</v>
      </c>
      <c r="H65" s="55">
        <v>4000</v>
      </c>
      <c r="I65" s="22" t="s">
        <v>12</v>
      </c>
      <c r="J65" s="47">
        <v>0</v>
      </c>
      <c r="K65" s="48">
        <f t="shared" si="0"/>
        <v>0</v>
      </c>
      <c r="L65" s="24"/>
      <c r="M65" s="23"/>
      <c r="N65" s="23"/>
      <c r="O65" s="23"/>
      <c r="P65" s="23"/>
      <c r="Q65" s="25" t="s">
        <v>33</v>
      </c>
      <c r="R65" s="26" t="s">
        <v>34</v>
      </c>
    </row>
    <row r="66" spans="1:18">
      <c r="A66" s="21">
        <v>1063</v>
      </c>
      <c r="B66" s="51">
        <v>5305</v>
      </c>
      <c r="C66" s="54" t="s">
        <v>103</v>
      </c>
      <c r="D66" s="51" t="s">
        <v>219</v>
      </c>
      <c r="E66" s="51" t="s">
        <v>23</v>
      </c>
      <c r="F66" s="63" t="s">
        <v>330</v>
      </c>
      <c r="G66" s="64" t="s">
        <v>340</v>
      </c>
      <c r="H66" s="55">
        <v>500</v>
      </c>
      <c r="I66" s="22" t="s">
        <v>12</v>
      </c>
      <c r="J66" s="47">
        <v>0</v>
      </c>
      <c r="K66" s="48">
        <f t="shared" si="0"/>
        <v>0</v>
      </c>
      <c r="L66" s="24"/>
      <c r="M66" s="23"/>
      <c r="N66" s="23"/>
      <c r="O66" s="23"/>
      <c r="P66" s="23"/>
      <c r="Q66" s="25" t="s">
        <v>33</v>
      </c>
      <c r="R66" s="26" t="s">
        <v>34</v>
      </c>
    </row>
    <row r="67" spans="1:18">
      <c r="A67" s="21">
        <v>1064</v>
      </c>
      <c r="B67" s="51">
        <v>5305</v>
      </c>
      <c r="C67" s="54" t="s">
        <v>104</v>
      </c>
      <c r="D67" s="51" t="s">
        <v>220</v>
      </c>
      <c r="E67" s="51" t="s">
        <v>23</v>
      </c>
      <c r="F67" s="63" t="s">
        <v>330</v>
      </c>
      <c r="G67" s="64" t="s">
        <v>340</v>
      </c>
      <c r="H67" s="55">
        <v>1500</v>
      </c>
      <c r="I67" s="22" t="s">
        <v>12</v>
      </c>
      <c r="J67" s="47">
        <v>0</v>
      </c>
      <c r="K67" s="48">
        <f t="shared" si="0"/>
        <v>0</v>
      </c>
      <c r="L67" s="24"/>
      <c r="M67" s="23"/>
      <c r="N67" s="23"/>
      <c r="O67" s="23"/>
      <c r="P67" s="23"/>
      <c r="Q67" s="25" t="s">
        <v>33</v>
      </c>
      <c r="R67" s="26" t="s">
        <v>34</v>
      </c>
    </row>
    <row r="68" spans="1:18">
      <c r="A68" s="21">
        <v>1065</v>
      </c>
      <c r="B68" s="51">
        <v>5340</v>
      </c>
      <c r="C68" s="54" t="s">
        <v>105</v>
      </c>
      <c r="D68" s="51" t="s">
        <v>221</v>
      </c>
      <c r="E68" s="51" t="s">
        <v>31</v>
      </c>
      <c r="F68" s="63" t="s">
        <v>330</v>
      </c>
      <c r="G68" s="64" t="s">
        <v>340</v>
      </c>
      <c r="H68" s="55">
        <v>160</v>
      </c>
      <c r="I68" s="22" t="s">
        <v>12</v>
      </c>
      <c r="J68" s="47">
        <v>0</v>
      </c>
      <c r="K68" s="48">
        <f t="shared" si="0"/>
        <v>0</v>
      </c>
      <c r="L68" s="24"/>
      <c r="M68" s="23"/>
      <c r="N68" s="23"/>
      <c r="O68" s="23"/>
      <c r="P68" s="23"/>
      <c r="Q68" s="25" t="s">
        <v>33</v>
      </c>
      <c r="R68" s="26" t="s">
        <v>34</v>
      </c>
    </row>
    <row r="69" spans="1:18">
      <c r="A69" s="21">
        <v>1066</v>
      </c>
      <c r="B69" s="51">
        <v>5310</v>
      </c>
      <c r="C69" s="54" t="s">
        <v>106</v>
      </c>
      <c r="D69" s="51" t="s">
        <v>222</v>
      </c>
      <c r="E69" s="51" t="s">
        <v>294</v>
      </c>
      <c r="F69" s="63" t="s">
        <v>330</v>
      </c>
      <c r="G69" s="64" t="s">
        <v>333</v>
      </c>
      <c r="H69" s="55">
        <v>2000</v>
      </c>
      <c r="I69" s="22" t="s">
        <v>12</v>
      </c>
      <c r="J69" s="47">
        <v>0</v>
      </c>
      <c r="K69" s="48">
        <f t="shared" ref="K69:K119" si="1">SUM(J69*H69)</f>
        <v>0</v>
      </c>
      <c r="L69" s="24"/>
      <c r="M69" s="23"/>
      <c r="N69" s="23"/>
      <c r="O69" s="23"/>
      <c r="P69" s="23"/>
      <c r="Q69" s="25" t="s">
        <v>33</v>
      </c>
      <c r="R69" s="26" t="s">
        <v>34</v>
      </c>
    </row>
    <row r="70" spans="1:18">
      <c r="A70" s="21">
        <v>1067</v>
      </c>
      <c r="B70" s="51">
        <v>5305</v>
      </c>
      <c r="C70" s="54" t="s">
        <v>107</v>
      </c>
      <c r="D70" s="51" t="s">
        <v>223</v>
      </c>
      <c r="E70" s="51" t="s">
        <v>30</v>
      </c>
      <c r="F70" s="63" t="s">
        <v>330</v>
      </c>
      <c r="G70" s="64" t="s">
        <v>331</v>
      </c>
      <c r="H70" s="55">
        <v>400</v>
      </c>
      <c r="I70" s="22" t="s">
        <v>12</v>
      </c>
      <c r="J70" s="47">
        <v>0</v>
      </c>
      <c r="K70" s="48">
        <f t="shared" si="1"/>
        <v>0</v>
      </c>
      <c r="L70" s="24"/>
      <c r="M70" s="23"/>
      <c r="N70" s="23"/>
      <c r="O70" s="23"/>
      <c r="P70" s="23"/>
      <c r="Q70" s="25" t="s">
        <v>33</v>
      </c>
      <c r="R70" s="26" t="s">
        <v>34</v>
      </c>
    </row>
    <row r="71" spans="1:18">
      <c r="A71" s="21">
        <v>1068</v>
      </c>
      <c r="B71" s="51">
        <v>5305</v>
      </c>
      <c r="C71" s="54" t="s">
        <v>108</v>
      </c>
      <c r="D71" s="51" t="s">
        <v>224</v>
      </c>
      <c r="E71" s="51" t="s">
        <v>30</v>
      </c>
      <c r="F71" s="63" t="s">
        <v>330</v>
      </c>
      <c r="G71" s="64" t="s">
        <v>340</v>
      </c>
      <c r="H71" s="55">
        <v>1200</v>
      </c>
      <c r="I71" s="22" t="s">
        <v>12</v>
      </c>
      <c r="J71" s="47">
        <v>0</v>
      </c>
      <c r="K71" s="48">
        <f t="shared" si="1"/>
        <v>0</v>
      </c>
      <c r="L71" s="24"/>
      <c r="M71" s="23"/>
      <c r="N71" s="23"/>
      <c r="O71" s="23"/>
      <c r="P71" s="23"/>
      <c r="Q71" s="25" t="s">
        <v>33</v>
      </c>
      <c r="R71" s="26" t="s">
        <v>34</v>
      </c>
    </row>
    <row r="72" spans="1:18">
      <c r="A72" s="21">
        <v>1069</v>
      </c>
      <c r="B72" s="51">
        <v>5305</v>
      </c>
      <c r="C72" s="54" t="s">
        <v>109</v>
      </c>
      <c r="D72" s="51" t="s">
        <v>225</v>
      </c>
      <c r="E72" s="51" t="s">
        <v>30</v>
      </c>
      <c r="F72" s="63" t="s">
        <v>330</v>
      </c>
      <c r="G72" s="64" t="s">
        <v>339</v>
      </c>
      <c r="H72" s="55">
        <v>250</v>
      </c>
      <c r="I72" s="22" t="s">
        <v>12</v>
      </c>
      <c r="J72" s="47">
        <v>0</v>
      </c>
      <c r="K72" s="48">
        <f t="shared" si="1"/>
        <v>0</v>
      </c>
      <c r="L72" s="24"/>
      <c r="M72" s="23"/>
      <c r="N72" s="23"/>
      <c r="O72" s="23"/>
      <c r="P72" s="23"/>
      <c r="Q72" s="25" t="s">
        <v>33</v>
      </c>
      <c r="R72" s="26" t="s">
        <v>34</v>
      </c>
    </row>
    <row r="73" spans="1:18">
      <c r="A73" s="21">
        <v>1070</v>
      </c>
      <c r="B73" s="51">
        <v>5305</v>
      </c>
      <c r="C73" s="54" t="s">
        <v>110</v>
      </c>
      <c r="D73" s="51" t="s">
        <v>226</v>
      </c>
      <c r="E73" s="51" t="s">
        <v>30</v>
      </c>
      <c r="F73" s="63" t="s">
        <v>330</v>
      </c>
      <c r="G73" s="64" t="s">
        <v>333</v>
      </c>
      <c r="H73" s="55">
        <v>50</v>
      </c>
      <c r="I73" s="22" t="s">
        <v>12</v>
      </c>
      <c r="J73" s="47">
        <v>0</v>
      </c>
      <c r="K73" s="48">
        <f t="shared" si="1"/>
        <v>0</v>
      </c>
      <c r="L73" s="24"/>
      <c r="M73" s="23"/>
      <c r="N73" s="23"/>
      <c r="O73" s="23"/>
      <c r="P73" s="23"/>
      <c r="Q73" s="25" t="s">
        <v>33</v>
      </c>
      <c r="R73" s="26" t="s">
        <v>34</v>
      </c>
    </row>
    <row r="74" spans="1:18">
      <c r="A74" s="21">
        <v>1071</v>
      </c>
      <c r="B74" s="51">
        <v>5305</v>
      </c>
      <c r="C74" s="54" t="s">
        <v>111</v>
      </c>
      <c r="D74" s="51" t="s">
        <v>227</v>
      </c>
      <c r="E74" s="51" t="s">
        <v>30</v>
      </c>
      <c r="F74" s="63" t="s">
        <v>330</v>
      </c>
      <c r="G74" s="64" t="s">
        <v>331</v>
      </c>
      <c r="H74" s="55">
        <v>500</v>
      </c>
      <c r="I74" s="22" t="s">
        <v>12</v>
      </c>
      <c r="J74" s="47">
        <v>0</v>
      </c>
      <c r="K74" s="48">
        <f t="shared" si="1"/>
        <v>0</v>
      </c>
      <c r="L74" s="24"/>
      <c r="M74" s="23"/>
      <c r="N74" s="23"/>
      <c r="O74" s="23"/>
      <c r="P74" s="23"/>
      <c r="Q74" s="25" t="s">
        <v>33</v>
      </c>
      <c r="R74" s="26" t="s">
        <v>34</v>
      </c>
    </row>
    <row r="75" spans="1:18">
      <c r="A75" s="21">
        <v>1072</v>
      </c>
      <c r="B75" s="51">
        <v>5305</v>
      </c>
      <c r="C75" s="54" t="s">
        <v>112</v>
      </c>
      <c r="D75" s="51" t="s">
        <v>228</v>
      </c>
      <c r="E75" s="51" t="s">
        <v>295</v>
      </c>
      <c r="F75" s="63" t="s">
        <v>330</v>
      </c>
      <c r="G75" s="64" t="s">
        <v>340</v>
      </c>
      <c r="H75" s="55">
        <v>200</v>
      </c>
      <c r="I75" s="22" t="s">
        <v>12</v>
      </c>
      <c r="J75" s="47">
        <v>0</v>
      </c>
      <c r="K75" s="48">
        <f t="shared" si="1"/>
        <v>0</v>
      </c>
      <c r="L75" s="24"/>
      <c r="M75" s="23"/>
      <c r="N75" s="23"/>
      <c r="O75" s="23"/>
      <c r="P75" s="23"/>
      <c r="Q75" s="25" t="s">
        <v>33</v>
      </c>
      <c r="R75" s="26" t="s">
        <v>34</v>
      </c>
    </row>
    <row r="76" spans="1:18">
      <c r="A76" s="21">
        <v>1073</v>
      </c>
      <c r="B76" s="51">
        <v>5930</v>
      </c>
      <c r="C76" s="54" t="s">
        <v>113</v>
      </c>
      <c r="D76" s="51" t="s">
        <v>229</v>
      </c>
      <c r="E76" s="51" t="s">
        <v>296</v>
      </c>
      <c r="F76" s="63" t="s">
        <v>330</v>
      </c>
      <c r="G76" s="64" t="s">
        <v>339</v>
      </c>
      <c r="H76" s="55">
        <v>8</v>
      </c>
      <c r="I76" s="22" t="s">
        <v>12</v>
      </c>
      <c r="J76" s="47">
        <v>0</v>
      </c>
      <c r="K76" s="48">
        <f t="shared" si="1"/>
        <v>0</v>
      </c>
      <c r="L76" s="24"/>
      <c r="M76" s="23"/>
      <c r="N76" s="23"/>
      <c r="O76" s="23"/>
      <c r="P76" s="23"/>
      <c r="Q76" s="25" t="s">
        <v>33</v>
      </c>
      <c r="R76" s="26" t="s">
        <v>34</v>
      </c>
    </row>
    <row r="77" spans="1:18">
      <c r="A77" s="21">
        <v>1074</v>
      </c>
      <c r="B77" s="51">
        <v>5305</v>
      </c>
      <c r="C77" s="54" t="s">
        <v>114</v>
      </c>
      <c r="D77" s="51" t="s">
        <v>230</v>
      </c>
      <c r="E77" s="51" t="s">
        <v>23</v>
      </c>
      <c r="F77" s="63" t="s">
        <v>330</v>
      </c>
      <c r="G77" s="64" t="s">
        <v>340</v>
      </c>
      <c r="H77" s="55">
        <v>200</v>
      </c>
      <c r="I77" s="22" t="s">
        <v>12</v>
      </c>
      <c r="J77" s="47">
        <v>0</v>
      </c>
      <c r="K77" s="48">
        <f t="shared" si="1"/>
        <v>0</v>
      </c>
      <c r="L77" s="24"/>
      <c r="M77" s="23"/>
      <c r="N77" s="23"/>
      <c r="O77" s="23"/>
      <c r="P77" s="23"/>
      <c r="Q77" s="25" t="s">
        <v>33</v>
      </c>
      <c r="R77" s="26" t="s">
        <v>34</v>
      </c>
    </row>
    <row r="78" spans="1:18">
      <c r="A78" s="21">
        <v>1075</v>
      </c>
      <c r="B78" s="51">
        <v>5331</v>
      </c>
      <c r="C78" s="54" t="s">
        <v>115</v>
      </c>
      <c r="D78" s="51" t="s">
        <v>231</v>
      </c>
      <c r="E78" s="51" t="s">
        <v>277</v>
      </c>
      <c r="F78" s="63" t="s">
        <v>330</v>
      </c>
      <c r="G78" s="64" t="s">
        <v>333</v>
      </c>
      <c r="H78" s="55">
        <v>25</v>
      </c>
      <c r="I78" s="22" t="s">
        <v>12</v>
      </c>
      <c r="J78" s="47">
        <v>0</v>
      </c>
      <c r="K78" s="48">
        <f t="shared" si="1"/>
        <v>0</v>
      </c>
      <c r="L78" s="24"/>
      <c r="M78" s="23"/>
      <c r="N78" s="23"/>
      <c r="O78" s="23"/>
      <c r="P78" s="23"/>
      <c r="Q78" s="25" t="s">
        <v>33</v>
      </c>
      <c r="R78" s="26" t="s">
        <v>34</v>
      </c>
    </row>
    <row r="79" spans="1:18">
      <c r="A79" s="21">
        <v>1076</v>
      </c>
      <c r="B79" s="51">
        <v>5310</v>
      </c>
      <c r="C79" s="54" t="s">
        <v>116</v>
      </c>
      <c r="D79" s="51" t="s">
        <v>232</v>
      </c>
      <c r="E79" s="51" t="s">
        <v>294</v>
      </c>
      <c r="F79" s="63" t="s">
        <v>330</v>
      </c>
      <c r="G79" s="64" t="s">
        <v>335</v>
      </c>
      <c r="H79" s="55">
        <v>2000</v>
      </c>
      <c r="I79" s="22" t="s">
        <v>12</v>
      </c>
      <c r="J79" s="47">
        <v>0</v>
      </c>
      <c r="K79" s="48">
        <f t="shared" si="1"/>
        <v>0</v>
      </c>
      <c r="L79" s="24"/>
      <c r="M79" s="23"/>
      <c r="N79" s="23"/>
      <c r="O79" s="23"/>
      <c r="P79" s="23"/>
      <c r="Q79" s="25" t="s">
        <v>33</v>
      </c>
      <c r="R79" s="26" t="s">
        <v>34</v>
      </c>
    </row>
    <row r="80" spans="1:18">
      <c r="A80" s="21">
        <v>1077</v>
      </c>
      <c r="B80" s="51">
        <v>5305</v>
      </c>
      <c r="C80" s="54" t="s">
        <v>117</v>
      </c>
      <c r="D80" s="51" t="s">
        <v>233</v>
      </c>
      <c r="E80" s="51" t="s">
        <v>30</v>
      </c>
      <c r="F80" s="63" t="s">
        <v>330</v>
      </c>
      <c r="G80" s="64" t="s">
        <v>339</v>
      </c>
      <c r="H80" s="55">
        <v>400</v>
      </c>
      <c r="I80" s="22" t="s">
        <v>12</v>
      </c>
      <c r="J80" s="47">
        <v>0</v>
      </c>
      <c r="K80" s="48">
        <f t="shared" si="1"/>
        <v>0</v>
      </c>
      <c r="L80" s="24"/>
      <c r="M80" s="23"/>
      <c r="N80" s="23"/>
      <c r="O80" s="23"/>
      <c r="P80" s="23"/>
      <c r="Q80" s="25" t="s">
        <v>33</v>
      </c>
      <c r="R80" s="26" t="s">
        <v>34</v>
      </c>
    </row>
    <row r="81" spans="1:18">
      <c r="A81" s="21">
        <v>1078</v>
      </c>
      <c r="B81" s="51">
        <v>5325</v>
      </c>
      <c r="C81" s="54" t="s">
        <v>118</v>
      </c>
      <c r="D81" s="51" t="s">
        <v>234</v>
      </c>
      <c r="E81" s="51" t="s">
        <v>297</v>
      </c>
      <c r="F81" s="63" t="s">
        <v>330</v>
      </c>
      <c r="G81" s="64" t="s">
        <v>340</v>
      </c>
      <c r="H81" s="55">
        <v>1600</v>
      </c>
      <c r="I81" s="22" t="s">
        <v>12</v>
      </c>
      <c r="J81" s="47">
        <v>0</v>
      </c>
      <c r="K81" s="48">
        <f t="shared" si="1"/>
        <v>0</v>
      </c>
      <c r="L81" s="24"/>
      <c r="M81" s="23"/>
      <c r="N81" s="23"/>
      <c r="O81" s="23"/>
      <c r="P81" s="23"/>
      <c r="Q81" s="25" t="s">
        <v>33</v>
      </c>
      <c r="R81" s="26" t="s">
        <v>34</v>
      </c>
    </row>
    <row r="82" spans="1:18">
      <c r="A82" s="21">
        <v>1079</v>
      </c>
      <c r="B82" s="51">
        <v>5331</v>
      </c>
      <c r="C82" s="54" t="s">
        <v>119</v>
      </c>
      <c r="D82" s="51" t="s">
        <v>235</v>
      </c>
      <c r="E82" s="51" t="s">
        <v>277</v>
      </c>
      <c r="F82" s="63" t="s">
        <v>330</v>
      </c>
      <c r="G82" s="64" t="s">
        <v>339</v>
      </c>
      <c r="H82" s="55">
        <v>50</v>
      </c>
      <c r="I82" s="22" t="s">
        <v>12</v>
      </c>
      <c r="J82" s="47">
        <v>0</v>
      </c>
      <c r="K82" s="48">
        <f t="shared" si="1"/>
        <v>0</v>
      </c>
      <c r="L82" s="24"/>
      <c r="M82" s="23"/>
      <c r="N82" s="23"/>
      <c r="O82" s="23"/>
      <c r="P82" s="23"/>
      <c r="Q82" s="25" t="s">
        <v>33</v>
      </c>
      <c r="R82" s="26" t="s">
        <v>34</v>
      </c>
    </row>
    <row r="83" spans="1:18">
      <c r="A83" s="21">
        <v>1080</v>
      </c>
      <c r="B83" s="51">
        <v>5331</v>
      </c>
      <c r="C83" s="54" t="s">
        <v>120</v>
      </c>
      <c r="D83" s="51" t="s">
        <v>236</v>
      </c>
      <c r="E83" s="51" t="s">
        <v>277</v>
      </c>
      <c r="F83" s="63" t="s">
        <v>330</v>
      </c>
      <c r="G83" s="64" t="s">
        <v>335</v>
      </c>
      <c r="H83" s="55">
        <v>80</v>
      </c>
      <c r="I83" s="22" t="s">
        <v>12</v>
      </c>
      <c r="J83" s="47">
        <v>0</v>
      </c>
      <c r="K83" s="49">
        <f t="shared" si="1"/>
        <v>0</v>
      </c>
      <c r="L83" s="24"/>
      <c r="M83" s="28"/>
      <c r="N83" s="28"/>
      <c r="O83" s="28"/>
      <c r="P83" s="28"/>
      <c r="Q83" s="25" t="s">
        <v>33</v>
      </c>
      <c r="R83" s="26" t="s">
        <v>34</v>
      </c>
    </row>
    <row r="84" spans="1:18">
      <c r="A84" s="21">
        <v>1081</v>
      </c>
      <c r="B84" s="51">
        <v>5315</v>
      </c>
      <c r="C84" s="54" t="s">
        <v>121</v>
      </c>
      <c r="D84" s="51" t="s">
        <v>237</v>
      </c>
      <c r="E84" s="51" t="s">
        <v>298</v>
      </c>
      <c r="F84" s="63" t="s">
        <v>330</v>
      </c>
      <c r="G84" s="64" t="s">
        <v>339</v>
      </c>
      <c r="H84" s="55">
        <v>100</v>
      </c>
      <c r="I84" s="22" t="s">
        <v>12</v>
      </c>
      <c r="J84" s="47">
        <v>0</v>
      </c>
      <c r="K84" s="48">
        <f t="shared" si="1"/>
        <v>0</v>
      </c>
      <c r="L84" s="24"/>
      <c r="M84" s="23"/>
      <c r="N84" s="23"/>
      <c r="O84" s="23"/>
      <c r="P84" s="23"/>
      <c r="Q84" s="25" t="s">
        <v>33</v>
      </c>
      <c r="R84" s="26" t="s">
        <v>34</v>
      </c>
    </row>
    <row r="85" spans="1:18">
      <c r="A85" s="21">
        <v>1082</v>
      </c>
      <c r="B85" s="51">
        <v>5340</v>
      </c>
      <c r="C85" s="54" t="s">
        <v>122</v>
      </c>
      <c r="D85" s="51" t="s">
        <v>238</v>
      </c>
      <c r="E85" s="51" t="s">
        <v>299</v>
      </c>
      <c r="F85" s="63" t="s">
        <v>330</v>
      </c>
      <c r="G85" s="64" t="s">
        <v>338</v>
      </c>
      <c r="H85" s="55">
        <v>100</v>
      </c>
      <c r="I85" s="22" t="s">
        <v>12</v>
      </c>
      <c r="J85" s="47">
        <v>0</v>
      </c>
      <c r="K85" s="48">
        <f t="shared" si="1"/>
        <v>0</v>
      </c>
      <c r="L85" s="24"/>
      <c r="M85" s="23"/>
      <c r="N85" s="23"/>
      <c r="O85" s="23"/>
      <c r="P85" s="23"/>
      <c r="Q85" s="25" t="s">
        <v>33</v>
      </c>
      <c r="R85" s="26" t="s">
        <v>34</v>
      </c>
    </row>
    <row r="86" spans="1:18">
      <c r="A86" s="21">
        <v>1083</v>
      </c>
      <c r="B86" s="51">
        <v>4020</v>
      </c>
      <c r="C86" s="54" t="s">
        <v>123</v>
      </c>
      <c r="D86" s="51" t="s">
        <v>239</v>
      </c>
      <c r="E86" s="51" t="s">
        <v>300</v>
      </c>
      <c r="F86" s="63" t="s">
        <v>330</v>
      </c>
      <c r="G86" s="64" t="s">
        <v>340</v>
      </c>
      <c r="H86" s="55">
        <v>150</v>
      </c>
      <c r="I86" s="22" t="s">
        <v>12</v>
      </c>
      <c r="J86" s="47">
        <v>0</v>
      </c>
      <c r="K86" s="48">
        <f t="shared" si="1"/>
        <v>0</v>
      </c>
      <c r="L86" s="24"/>
      <c r="M86" s="23"/>
      <c r="N86" s="23"/>
      <c r="O86" s="23"/>
      <c r="P86" s="23"/>
      <c r="Q86" s="25" t="s">
        <v>33</v>
      </c>
      <c r="R86" s="26" t="s">
        <v>34</v>
      </c>
    </row>
    <row r="87" spans="1:18">
      <c r="A87" s="21">
        <v>1084</v>
      </c>
      <c r="B87" s="51">
        <v>4020</v>
      </c>
      <c r="C87" s="54" t="s">
        <v>124</v>
      </c>
      <c r="D87" s="51" t="s">
        <v>240</v>
      </c>
      <c r="E87" s="51" t="s">
        <v>300</v>
      </c>
      <c r="F87" s="63" t="s">
        <v>330</v>
      </c>
      <c r="G87" s="64" t="s">
        <v>340</v>
      </c>
      <c r="H87" s="55">
        <v>300</v>
      </c>
      <c r="I87" s="22" t="s">
        <v>12</v>
      </c>
      <c r="J87" s="47">
        <v>0</v>
      </c>
      <c r="K87" s="48">
        <f t="shared" si="1"/>
        <v>0</v>
      </c>
      <c r="L87" s="24"/>
      <c r="M87" s="23"/>
      <c r="N87" s="23"/>
      <c r="O87" s="23"/>
      <c r="P87" s="23"/>
      <c r="Q87" s="25" t="s">
        <v>33</v>
      </c>
      <c r="R87" s="26" t="s">
        <v>34</v>
      </c>
    </row>
    <row r="88" spans="1:18">
      <c r="A88" s="21">
        <v>1085</v>
      </c>
      <c r="B88" s="51">
        <v>5305</v>
      </c>
      <c r="C88" s="54" t="s">
        <v>125</v>
      </c>
      <c r="D88" s="51" t="s">
        <v>241</v>
      </c>
      <c r="E88" s="51" t="s">
        <v>30</v>
      </c>
      <c r="F88" s="63" t="s">
        <v>330</v>
      </c>
      <c r="G88" s="64" t="s">
        <v>338</v>
      </c>
      <c r="H88" s="55">
        <v>400</v>
      </c>
      <c r="I88" s="22" t="s">
        <v>12</v>
      </c>
      <c r="J88" s="47">
        <v>0</v>
      </c>
      <c r="K88" s="48">
        <f t="shared" si="1"/>
        <v>0</v>
      </c>
      <c r="L88" s="24"/>
      <c r="M88" s="23"/>
      <c r="N88" s="23"/>
      <c r="O88" s="23"/>
      <c r="P88" s="23"/>
      <c r="Q88" s="25" t="s">
        <v>33</v>
      </c>
      <c r="R88" s="26" t="s">
        <v>34</v>
      </c>
    </row>
    <row r="89" spans="1:18">
      <c r="A89" s="21">
        <v>1086</v>
      </c>
      <c r="B89" s="51">
        <v>5305</v>
      </c>
      <c r="C89" s="54" t="s">
        <v>126</v>
      </c>
      <c r="D89" s="51" t="s">
        <v>242</v>
      </c>
      <c r="E89" s="51" t="s">
        <v>30</v>
      </c>
      <c r="F89" s="63" t="s">
        <v>330</v>
      </c>
      <c r="G89" s="64" t="s">
        <v>338</v>
      </c>
      <c r="H89" s="55">
        <v>200</v>
      </c>
      <c r="I89" s="22" t="s">
        <v>12</v>
      </c>
      <c r="J89" s="47">
        <v>0</v>
      </c>
      <c r="K89" s="48">
        <f t="shared" si="1"/>
        <v>0</v>
      </c>
      <c r="L89" s="24"/>
      <c r="M89" s="23"/>
      <c r="N89" s="23"/>
      <c r="O89" s="23"/>
      <c r="P89" s="23"/>
      <c r="Q89" s="25" t="s">
        <v>33</v>
      </c>
      <c r="R89" s="26" t="s">
        <v>34</v>
      </c>
    </row>
    <row r="90" spans="1:18">
      <c r="A90" s="21">
        <v>1087</v>
      </c>
      <c r="B90" s="51">
        <v>5310</v>
      </c>
      <c r="C90" s="54" t="s">
        <v>127</v>
      </c>
      <c r="D90" s="51" t="s">
        <v>243</v>
      </c>
      <c r="E90" s="51" t="s">
        <v>27</v>
      </c>
      <c r="F90" s="63" t="s">
        <v>330</v>
      </c>
      <c r="G90" s="64" t="s">
        <v>339</v>
      </c>
      <c r="H90" s="55">
        <v>100</v>
      </c>
      <c r="I90" s="22" t="s">
        <v>12</v>
      </c>
      <c r="J90" s="47">
        <v>0</v>
      </c>
      <c r="K90" s="48">
        <f t="shared" si="1"/>
        <v>0</v>
      </c>
      <c r="L90" s="24"/>
      <c r="M90" s="23"/>
      <c r="N90" s="23"/>
      <c r="O90" s="23"/>
      <c r="P90" s="23"/>
      <c r="Q90" s="25" t="s">
        <v>33</v>
      </c>
      <c r="R90" s="26" t="s">
        <v>34</v>
      </c>
    </row>
    <row r="91" spans="1:18">
      <c r="A91" s="21">
        <v>1088</v>
      </c>
      <c r="B91" s="51">
        <v>5315</v>
      </c>
      <c r="C91" s="54" t="s">
        <v>128</v>
      </c>
      <c r="D91" s="51" t="s">
        <v>244</v>
      </c>
      <c r="E91" s="51" t="s">
        <v>301</v>
      </c>
      <c r="F91" s="63" t="s">
        <v>330</v>
      </c>
      <c r="G91" s="64" t="s">
        <v>339</v>
      </c>
      <c r="H91" s="55">
        <v>20</v>
      </c>
      <c r="I91" s="22" t="s">
        <v>12</v>
      </c>
      <c r="J91" s="47">
        <v>0</v>
      </c>
      <c r="K91" s="48">
        <f t="shared" si="1"/>
        <v>0</v>
      </c>
      <c r="L91" s="24"/>
      <c r="M91" s="23"/>
      <c r="N91" s="23"/>
      <c r="O91" s="23"/>
      <c r="P91" s="23"/>
      <c r="Q91" s="25" t="s">
        <v>33</v>
      </c>
      <c r="R91" s="26" t="s">
        <v>34</v>
      </c>
    </row>
    <row r="92" spans="1:18">
      <c r="A92" s="21">
        <v>1089</v>
      </c>
      <c r="B92" s="51" t="s">
        <v>21</v>
      </c>
      <c r="C92" s="54" t="s">
        <v>129</v>
      </c>
      <c r="D92" s="51" t="s">
        <v>245</v>
      </c>
      <c r="E92" s="51" t="s">
        <v>302</v>
      </c>
      <c r="F92" s="63" t="s">
        <v>330</v>
      </c>
      <c r="G92" s="64" t="s">
        <v>341</v>
      </c>
      <c r="H92" s="55">
        <v>50</v>
      </c>
      <c r="I92" s="22" t="s">
        <v>12</v>
      </c>
      <c r="J92" s="47">
        <v>0</v>
      </c>
      <c r="K92" s="48">
        <f t="shared" si="1"/>
        <v>0</v>
      </c>
      <c r="L92" s="24"/>
      <c r="M92" s="23"/>
      <c r="N92" s="23"/>
      <c r="O92" s="23"/>
      <c r="P92" s="23"/>
      <c r="Q92" s="25" t="s">
        <v>33</v>
      </c>
      <c r="R92" s="26" t="s">
        <v>34</v>
      </c>
    </row>
    <row r="93" spans="1:18">
      <c r="A93" s="21">
        <v>1090</v>
      </c>
      <c r="B93" s="51">
        <v>5975</v>
      </c>
      <c r="C93" s="54" t="s">
        <v>130</v>
      </c>
      <c r="D93" s="51" t="s">
        <v>246</v>
      </c>
      <c r="E93" s="51" t="s">
        <v>303</v>
      </c>
      <c r="F93" s="63" t="s">
        <v>330</v>
      </c>
      <c r="G93" s="64" t="s">
        <v>339</v>
      </c>
      <c r="H93" s="55">
        <v>2000</v>
      </c>
      <c r="I93" s="22" t="s">
        <v>12</v>
      </c>
      <c r="J93" s="47">
        <v>0</v>
      </c>
      <c r="K93" s="48">
        <f t="shared" si="1"/>
        <v>0</v>
      </c>
      <c r="L93" s="24"/>
      <c r="M93" s="23"/>
      <c r="N93" s="23"/>
      <c r="O93" s="23"/>
      <c r="P93" s="23"/>
      <c r="Q93" s="25" t="s">
        <v>33</v>
      </c>
      <c r="R93" s="26" t="s">
        <v>34</v>
      </c>
    </row>
    <row r="94" spans="1:18">
      <c r="A94" s="21">
        <v>1091</v>
      </c>
      <c r="B94" s="51">
        <v>5330</v>
      </c>
      <c r="C94" s="54" t="s">
        <v>131</v>
      </c>
      <c r="D94" s="51" t="s">
        <v>247</v>
      </c>
      <c r="E94" s="51" t="s">
        <v>26</v>
      </c>
      <c r="F94" s="63" t="s">
        <v>330</v>
      </c>
      <c r="G94" s="64" t="s">
        <v>339</v>
      </c>
      <c r="H94" s="55">
        <v>80</v>
      </c>
      <c r="I94" s="22" t="s">
        <v>12</v>
      </c>
      <c r="J94" s="47">
        <v>0</v>
      </c>
      <c r="K94" s="48">
        <f t="shared" si="1"/>
        <v>0</v>
      </c>
      <c r="L94" s="24"/>
      <c r="M94" s="23"/>
      <c r="N94" s="23"/>
      <c r="O94" s="23"/>
      <c r="P94" s="23"/>
      <c r="Q94" s="25" t="s">
        <v>33</v>
      </c>
      <c r="R94" s="26" t="s">
        <v>34</v>
      </c>
    </row>
    <row r="95" spans="1:18">
      <c r="A95" s="21">
        <v>1092</v>
      </c>
      <c r="B95" s="51">
        <v>5331</v>
      </c>
      <c r="C95" s="54" t="s">
        <v>132</v>
      </c>
      <c r="D95" s="51" t="s">
        <v>248</v>
      </c>
      <c r="E95" s="51" t="s">
        <v>277</v>
      </c>
      <c r="F95" s="63" t="s">
        <v>330</v>
      </c>
      <c r="G95" s="64" t="s">
        <v>340</v>
      </c>
      <c r="H95" s="55">
        <v>50</v>
      </c>
      <c r="I95" s="22" t="s">
        <v>12</v>
      </c>
      <c r="J95" s="47">
        <v>0</v>
      </c>
      <c r="K95" s="48">
        <f t="shared" si="1"/>
        <v>0</v>
      </c>
      <c r="L95" s="24"/>
      <c r="M95" s="23"/>
      <c r="N95" s="23"/>
      <c r="O95" s="23"/>
      <c r="P95" s="23"/>
      <c r="Q95" s="25" t="s">
        <v>33</v>
      </c>
      <c r="R95" s="26" t="s">
        <v>34</v>
      </c>
    </row>
    <row r="96" spans="1:18">
      <c r="A96" s="21">
        <v>1093</v>
      </c>
      <c r="B96" s="51">
        <v>5340</v>
      </c>
      <c r="C96" s="54" t="s">
        <v>133</v>
      </c>
      <c r="D96" s="51" t="s">
        <v>249</v>
      </c>
      <c r="E96" s="51" t="s">
        <v>31</v>
      </c>
      <c r="F96" s="63" t="s">
        <v>330</v>
      </c>
      <c r="G96" s="64" t="s">
        <v>339</v>
      </c>
      <c r="H96" s="55">
        <v>150</v>
      </c>
      <c r="I96" s="22" t="s">
        <v>12</v>
      </c>
      <c r="J96" s="47">
        <v>0</v>
      </c>
      <c r="K96" s="48">
        <f t="shared" si="1"/>
        <v>0</v>
      </c>
      <c r="L96" s="24"/>
      <c r="M96" s="23"/>
      <c r="N96" s="23"/>
      <c r="O96" s="23"/>
      <c r="P96" s="23"/>
      <c r="Q96" s="25" t="s">
        <v>33</v>
      </c>
      <c r="R96" s="26" t="s">
        <v>34</v>
      </c>
    </row>
    <row r="97" spans="1:18">
      <c r="A97" s="21">
        <v>1094</v>
      </c>
      <c r="B97" s="51">
        <v>5930</v>
      </c>
      <c r="C97" s="54" t="s">
        <v>134</v>
      </c>
      <c r="D97" s="51" t="s">
        <v>250</v>
      </c>
      <c r="E97" s="51" t="s">
        <v>304</v>
      </c>
      <c r="F97" s="63" t="s">
        <v>330</v>
      </c>
      <c r="G97" s="64" t="s">
        <v>340</v>
      </c>
      <c r="H97" s="55">
        <v>10</v>
      </c>
      <c r="I97" s="22" t="s">
        <v>12</v>
      </c>
      <c r="J97" s="47">
        <v>0</v>
      </c>
      <c r="K97" s="48">
        <f t="shared" si="1"/>
        <v>0</v>
      </c>
      <c r="L97" s="24"/>
      <c r="M97" s="23"/>
      <c r="N97" s="23"/>
      <c r="O97" s="23"/>
      <c r="P97" s="23"/>
      <c r="Q97" s="25" t="s">
        <v>33</v>
      </c>
      <c r="R97" s="26" t="s">
        <v>34</v>
      </c>
    </row>
    <row r="98" spans="1:18">
      <c r="A98" s="21">
        <v>1095</v>
      </c>
      <c r="B98" s="51">
        <v>5315</v>
      </c>
      <c r="C98" s="54" t="s">
        <v>135</v>
      </c>
      <c r="D98" s="51" t="s">
        <v>251</v>
      </c>
      <c r="E98" s="51" t="s">
        <v>305</v>
      </c>
      <c r="F98" s="63" t="s">
        <v>330</v>
      </c>
      <c r="G98" s="64" t="s">
        <v>340</v>
      </c>
      <c r="H98" s="55">
        <v>8000</v>
      </c>
      <c r="I98" s="22" t="s">
        <v>12</v>
      </c>
      <c r="J98" s="47">
        <v>0</v>
      </c>
      <c r="K98" s="48">
        <f t="shared" si="1"/>
        <v>0</v>
      </c>
      <c r="L98" s="24"/>
      <c r="M98" s="23"/>
      <c r="N98" s="23"/>
      <c r="O98" s="23"/>
      <c r="P98" s="23"/>
      <c r="Q98" s="25" t="s">
        <v>33</v>
      </c>
      <c r="R98" s="26" t="s">
        <v>34</v>
      </c>
    </row>
    <row r="99" spans="1:18">
      <c r="A99" s="21">
        <v>1096</v>
      </c>
      <c r="B99" s="51">
        <v>5305</v>
      </c>
      <c r="C99" s="54" t="s">
        <v>136</v>
      </c>
      <c r="D99" s="51" t="s">
        <v>252</v>
      </c>
      <c r="E99" s="51" t="s">
        <v>30</v>
      </c>
      <c r="F99" s="63" t="s">
        <v>330</v>
      </c>
      <c r="G99" s="64" t="s">
        <v>339</v>
      </c>
      <c r="H99" s="55">
        <v>300</v>
      </c>
      <c r="I99" s="22" t="s">
        <v>12</v>
      </c>
      <c r="J99" s="47">
        <v>0</v>
      </c>
      <c r="K99" s="48">
        <f t="shared" si="1"/>
        <v>0</v>
      </c>
      <c r="L99" s="24"/>
      <c r="M99" s="23"/>
      <c r="N99" s="23"/>
      <c r="O99" s="23"/>
      <c r="P99" s="23"/>
      <c r="Q99" s="25" t="s">
        <v>33</v>
      </c>
      <c r="R99" s="26" t="s">
        <v>34</v>
      </c>
    </row>
    <row r="100" spans="1:18">
      <c r="A100" s="21">
        <v>1097</v>
      </c>
      <c r="B100" s="51">
        <v>5306</v>
      </c>
      <c r="C100" s="54" t="s">
        <v>137</v>
      </c>
      <c r="D100" s="51" t="s">
        <v>253</v>
      </c>
      <c r="E100" s="51" t="s">
        <v>23</v>
      </c>
      <c r="F100" s="63" t="s">
        <v>330</v>
      </c>
      <c r="G100" s="64" t="s">
        <v>339</v>
      </c>
      <c r="H100" s="55">
        <v>50</v>
      </c>
      <c r="I100" s="22" t="s">
        <v>12</v>
      </c>
      <c r="J100" s="47">
        <v>0</v>
      </c>
      <c r="K100" s="48">
        <f t="shared" si="1"/>
        <v>0</v>
      </c>
      <c r="L100" s="24"/>
      <c r="M100" s="23"/>
      <c r="N100" s="23"/>
      <c r="O100" s="23"/>
      <c r="P100" s="23"/>
      <c r="Q100" s="25" t="s">
        <v>33</v>
      </c>
      <c r="R100" s="26" t="s">
        <v>34</v>
      </c>
    </row>
    <row r="101" spans="1:18">
      <c r="A101" s="21">
        <v>1098</v>
      </c>
      <c r="B101" s="51">
        <v>5310</v>
      </c>
      <c r="C101" s="54" t="s">
        <v>138</v>
      </c>
      <c r="D101" s="51" t="s">
        <v>254</v>
      </c>
      <c r="E101" s="51" t="s">
        <v>294</v>
      </c>
      <c r="F101" s="63" t="s">
        <v>330</v>
      </c>
      <c r="G101" s="64" t="s">
        <v>340</v>
      </c>
      <c r="H101" s="55">
        <v>3000</v>
      </c>
      <c r="I101" s="22" t="s">
        <v>12</v>
      </c>
      <c r="J101" s="47">
        <v>0</v>
      </c>
      <c r="K101" s="48">
        <f t="shared" si="1"/>
        <v>0</v>
      </c>
      <c r="L101" s="24"/>
      <c r="M101" s="23"/>
      <c r="N101" s="23"/>
      <c r="O101" s="23"/>
      <c r="P101" s="23"/>
      <c r="Q101" s="25" t="s">
        <v>33</v>
      </c>
      <c r="R101" s="26" t="s">
        <v>34</v>
      </c>
    </row>
    <row r="102" spans="1:18">
      <c r="A102" s="21">
        <v>1099</v>
      </c>
      <c r="B102" s="51">
        <v>5330</v>
      </c>
      <c r="C102" s="54" t="s">
        <v>139</v>
      </c>
      <c r="D102" s="51" t="s">
        <v>255</v>
      </c>
      <c r="E102" s="51" t="s">
        <v>306</v>
      </c>
      <c r="F102" s="63" t="s">
        <v>330</v>
      </c>
      <c r="G102" s="64" t="s">
        <v>331</v>
      </c>
      <c r="H102" s="55">
        <v>30000</v>
      </c>
      <c r="I102" s="22" t="s">
        <v>12</v>
      </c>
      <c r="J102" s="47">
        <v>0</v>
      </c>
      <c r="K102" s="48">
        <f t="shared" si="1"/>
        <v>0</v>
      </c>
      <c r="L102" s="24"/>
      <c r="M102" s="23"/>
      <c r="N102" s="23"/>
      <c r="O102" s="23"/>
      <c r="P102" s="23"/>
      <c r="Q102" s="25" t="s">
        <v>33</v>
      </c>
      <c r="R102" s="26" t="s">
        <v>34</v>
      </c>
    </row>
    <row r="103" spans="1:18">
      <c r="A103" s="21">
        <v>1100</v>
      </c>
      <c r="B103" s="51">
        <v>5330</v>
      </c>
      <c r="C103" s="54" t="s">
        <v>140</v>
      </c>
      <c r="D103" s="51">
        <v>1750</v>
      </c>
      <c r="E103" s="51" t="s">
        <v>307</v>
      </c>
      <c r="F103" s="63" t="s">
        <v>330</v>
      </c>
      <c r="G103" s="64" t="s">
        <v>340</v>
      </c>
      <c r="H103" s="55">
        <v>300</v>
      </c>
      <c r="I103" s="22" t="s">
        <v>12</v>
      </c>
      <c r="J103" s="47">
        <v>0</v>
      </c>
      <c r="K103" s="48">
        <f t="shared" si="1"/>
        <v>0</v>
      </c>
      <c r="L103" s="24"/>
      <c r="M103" s="23"/>
      <c r="N103" s="23"/>
      <c r="O103" s="23"/>
      <c r="P103" s="23"/>
      <c r="Q103" s="25" t="s">
        <v>33</v>
      </c>
      <c r="R103" s="26" t="s">
        <v>34</v>
      </c>
    </row>
    <row r="104" spans="1:18">
      <c r="A104" s="21">
        <v>1101</v>
      </c>
      <c r="B104" s="51">
        <v>4730</v>
      </c>
      <c r="C104" s="54" t="s">
        <v>141</v>
      </c>
      <c r="D104" s="51" t="s">
        <v>256</v>
      </c>
      <c r="E104" s="51" t="s">
        <v>308</v>
      </c>
      <c r="F104" s="63" t="s">
        <v>330</v>
      </c>
      <c r="G104" s="64" t="s">
        <v>337</v>
      </c>
      <c r="H104" s="55">
        <v>30</v>
      </c>
      <c r="I104" s="22" t="s">
        <v>12</v>
      </c>
      <c r="J104" s="47">
        <v>0</v>
      </c>
      <c r="K104" s="48">
        <f t="shared" si="1"/>
        <v>0</v>
      </c>
      <c r="L104" s="24"/>
      <c r="M104" s="23"/>
      <c r="N104" s="23"/>
      <c r="O104" s="23"/>
      <c r="P104" s="23"/>
      <c r="Q104" s="25" t="s">
        <v>33</v>
      </c>
      <c r="R104" s="26" t="s">
        <v>34</v>
      </c>
    </row>
    <row r="105" spans="1:18">
      <c r="A105" s="21">
        <v>1102</v>
      </c>
      <c r="B105" s="51">
        <v>5305</v>
      </c>
      <c r="C105" s="54" t="s">
        <v>142</v>
      </c>
      <c r="D105" s="51" t="s">
        <v>257</v>
      </c>
      <c r="E105" s="51" t="s">
        <v>30</v>
      </c>
      <c r="F105" s="63" t="s">
        <v>330</v>
      </c>
      <c r="G105" s="64" t="s">
        <v>340</v>
      </c>
      <c r="H105" s="55">
        <v>350</v>
      </c>
      <c r="I105" s="22" t="s">
        <v>12</v>
      </c>
      <c r="J105" s="47">
        <v>0</v>
      </c>
      <c r="K105" s="48">
        <f t="shared" si="1"/>
        <v>0</v>
      </c>
      <c r="L105" s="24"/>
      <c r="M105" s="23"/>
      <c r="N105" s="23"/>
      <c r="O105" s="23"/>
      <c r="P105" s="23"/>
      <c r="Q105" s="25" t="s">
        <v>33</v>
      </c>
      <c r="R105" s="26" t="s">
        <v>34</v>
      </c>
    </row>
    <row r="106" spans="1:18">
      <c r="A106" s="21">
        <v>1103</v>
      </c>
      <c r="B106" s="51">
        <v>5305</v>
      </c>
      <c r="C106" s="54" t="s">
        <v>143</v>
      </c>
      <c r="D106" s="51" t="s">
        <v>258</v>
      </c>
      <c r="E106" s="51" t="s">
        <v>30</v>
      </c>
      <c r="F106" s="63" t="s">
        <v>330</v>
      </c>
      <c r="G106" s="64" t="s">
        <v>340</v>
      </c>
      <c r="H106" s="55">
        <v>600</v>
      </c>
      <c r="I106" s="22" t="s">
        <v>12</v>
      </c>
      <c r="J106" s="47">
        <v>0</v>
      </c>
      <c r="K106" s="48">
        <f t="shared" si="1"/>
        <v>0</v>
      </c>
      <c r="L106" s="24"/>
      <c r="M106" s="23"/>
      <c r="N106" s="23"/>
      <c r="O106" s="23"/>
      <c r="P106" s="23"/>
      <c r="Q106" s="25" t="s">
        <v>33</v>
      </c>
      <c r="R106" s="26" t="s">
        <v>34</v>
      </c>
    </row>
    <row r="107" spans="1:18">
      <c r="A107" s="21">
        <v>1104</v>
      </c>
      <c r="B107" s="51">
        <v>5305</v>
      </c>
      <c r="C107" s="54" t="s">
        <v>144</v>
      </c>
      <c r="D107" s="51" t="s">
        <v>259</v>
      </c>
      <c r="E107" s="51" t="s">
        <v>30</v>
      </c>
      <c r="F107" s="63" t="s">
        <v>330</v>
      </c>
      <c r="G107" s="64" t="s">
        <v>340</v>
      </c>
      <c r="H107" s="55">
        <v>150</v>
      </c>
      <c r="I107" s="22" t="s">
        <v>12</v>
      </c>
      <c r="J107" s="47">
        <v>0</v>
      </c>
      <c r="K107" s="48">
        <f t="shared" si="1"/>
        <v>0</v>
      </c>
      <c r="L107" s="24"/>
      <c r="M107" s="23"/>
      <c r="N107" s="23"/>
      <c r="O107" s="23"/>
      <c r="P107" s="23"/>
      <c r="Q107" s="25" t="s">
        <v>33</v>
      </c>
      <c r="R107" s="26" t="s">
        <v>34</v>
      </c>
    </row>
    <row r="108" spans="1:18">
      <c r="A108" s="21">
        <v>1105</v>
      </c>
      <c r="B108" s="51">
        <v>5305</v>
      </c>
      <c r="C108" s="54" t="s">
        <v>145</v>
      </c>
      <c r="D108" s="51" t="s">
        <v>260</v>
      </c>
      <c r="E108" s="51" t="s">
        <v>30</v>
      </c>
      <c r="F108" s="63" t="s">
        <v>330</v>
      </c>
      <c r="G108" s="64" t="s">
        <v>340</v>
      </c>
      <c r="H108" s="55">
        <v>40</v>
      </c>
      <c r="I108" s="22" t="s">
        <v>12</v>
      </c>
      <c r="J108" s="47">
        <v>0</v>
      </c>
      <c r="K108" s="48">
        <f t="shared" si="1"/>
        <v>0</v>
      </c>
      <c r="L108" s="24"/>
      <c r="M108" s="23"/>
      <c r="N108" s="23"/>
      <c r="O108" s="23"/>
      <c r="P108" s="23"/>
      <c r="Q108" s="25" t="s">
        <v>33</v>
      </c>
      <c r="R108" s="26" t="s">
        <v>34</v>
      </c>
    </row>
    <row r="109" spans="1:18">
      <c r="A109" s="21">
        <v>1106</v>
      </c>
      <c r="B109" s="51">
        <v>5330</v>
      </c>
      <c r="C109" s="54" t="s">
        <v>146</v>
      </c>
      <c r="D109" s="51" t="s">
        <v>261</v>
      </c>
      <c r="E109" s="51" t="s">
        <v>309</v>
      </c>
      <c r="F109" s="63" t="s">
        <v>330</v>
      </c>
      <c r="G109" s="64" t="s">
        <v>338</v>
      </c>
      <c r="H109" s="55">
        <v>100</v>
      </c>
      <c r="I109" s="22" t="s">
        <v>12</v>
      </c>
      <c r="J109" s="47">
        <v>0</v>
      </c>
      <c r="K109" s="48">
        <f t="shared" si="1"/>
        <v>0</v>
      </c>
      <c r="L109" s="24"/>
      <c r="M109" s="23"/>
      <c r="N109" s="23"/>
      <c r="O109" s="23"/>
      <c r="P109" s="23"/>
      <c r="Q109" s="25" t="s">
        <v>33</v>
      </c>
      <c r="R109" s="26" t="s">
        <v>34</v>
      </c>
    </row>
    <row r="110" spans="1:18">
      <c r="A110" s="21">
        <v>1107</v>
      </c>
      <c r="B110" s="51">
        <v>5330</v>
      </c>
      <c r="C110" s="54" t="s">
        <v>147</v>
      </c>
      <c r="D110" s="51" t="s">
        <v>262</v>
      </c>
      <c r="E110" s="51" t="s">
        <v>309</v>
      </c>
      <c r="F110" s="63" t="s">
        <v>330</v>
      </c>
      <c r="G110" s="64" t="s">
        <v>337</v>
      </c>
      <c r="H110" s="55">
        <v>40</v>
      </c>
      <c r="I110" s="22" t="s">
        <v>12</v>
      </c>
      <c r="J110" s="47">
        <v>0</v>
      </c>
      <c r="K110" s="48">
        <f t="shared" si="1"/>
        <v>0</v>
      </c>
      <c r="L110" s="24"/>
      <c r="M110" s="23"/>
      <c r="N110" s="23"/>
      <c r="O110" s="23"/>
      <c r="P110" s="23"/>
      <c r="Q110" s="25" t="s">
        <v>33</v>
      </c>
      <c r="R110" s="26" t="s">
        <v>34</v>
      </c>
    </row>
    <row r="111" spans="1:18">
      <c r="A111" s="21">
        <v>1108</v>
      </c>
      <c r="B111" s="51">
        <v>5330</v>
      </c>
      <c r="C111" s="54" t="s">
        <v>148</v>
      </c>
      <c r="D111" s="51" t="s">
        <v>263</v>
      </c>
      <c r="E111" s="51" t="s">
        <v>309</v>
      </c>
      <c r="F111" s="63" t="s">
        <v>330</v>
      </c>
      <c r="G111" s="64" t="s">
        <v>338</v>
      </c>
      <c r="H111" s="55">
        <v>300</v>
      </c>
      <c r="I111" s="22" t="s">
        <v>12</v>
      </c>
      <c r="J111" s="47">
        <v>0</v>
      </c>
      <c r="K111" s="48">
        <f t="shared" si="1"/>
        <v>0</v>
      </c>
      <c r="L111" s="24"/>
      <c r="M111" s="23"/>
      <c r="N111" s="23"/>
      <c r="O111" s="23"/>
      <c r="P111" s="23"/>
      <c r="Q111" s="25" t="s">
        <v>33</v>
      </c>
      <c r="R111" s="26" t="s">
        <v>34</v>
      </c>
    </row>
    <row r="112" spans="1:18">
      <c r="A112" s="21">
        <v>1109</v>
      </c>
      <c r="B112" s="51">
        <v>5330</v>
      </c>
      <c r="C112" s="54" t="s">
        <v>149</v>
      </c>
      <c r="D112" s="51" t="s">
        <v>264</v>
      </c>
      <c r="E112" s="51" t="s">
        <v>310</v>
      </c>
      <c r="F112" s="63" t="s">
        <v>330</v>
      </c>
      <c r="G112" s="64" t="s">
        <v>337</v>
      </c>
      <c r="H112" s="55">
        <v>60</v>
      </c>
      <c r="I112" s="22" t="s">
        <v>12</v>
      </c>
      <c r="J112" s="47">
        <v>0</v>
      </c>
      <c r="K112" s="48">
        <f t="shared" si="1"/>
        <v>0</v>
      </c>
      <c r="L112" s="24"/>
      <c r="M112" s="23"/>
      <c r="N112" s="23"/>
      <c r="O112" s="23"/>
      <c r="P112" s="23"/>
      <c r="Q112" s="25" t="s">
        <v>33</v>
      </c>
      <c r="R112" s="26" t="s">
        <v>34</v>
      </c>
    </row>
    <row r="113" spans="1:18">
      <c r="A113" s="21">
        <v>1110</v>
      </c>
      <c r="B113" s="51">
        <v>5330</v>
      </c>
      <c r="C113" s="54" t="s">
        <v>150</v>
      </c>
      <c r="D113" s="51" t="s">
        <v>265</v>
      </c>
      <c r="E113" s="51" t="s">
        <v>310</v>
      </c>
      <c r="F113" s="63" t="s">
        <v>330</v>
      </c>
      <c r="G113" s="64" t="s">
        <v>337</v>
      </c>
      <c r="H113" s="55">
        <v>300</v>
      </c>
      <c r="I113" s="22" t="s">
        <v>12</v>
      </c>
      <c r="J113" s="47">
        <v>0</v>
      </c>
      <c r="K113" s="48">
        <f t="shared" si="1"/>
        <v>0</v>
      </c>
      <c r="L113" s="24"/>
      <c r="M113" s="23"/>
      <c r="N113" s="23"/>
      <c r="O113" s="23"/>
      <c r="P113" s="23"/>
      <c r="Q113" s="25" t="s">
        <v>33</v>
      </c>
      <c r="R113" s="26" t="s">
        <v>34</v>
      </c>
    </row>
    <row r="114" spans="1:18">
      <c r="A114" s="21">
        <v>1111</v>
      </c>
      <c r="B114" s="51">
        <v>5945</v>
      </c>
      <c r="C114" s="54" t="s">
        <v>151</v>
      </c>
      <c r="D114" s="51" t="s">
        <v>266</v>
      </c>
      <c r="E114" s="51" t="s">
        <v>311</v>
      </c>
      <c r="F114" s="63" t="s">
        <v>330</v>
      </c>
      <c r="G114" s="64" t="s">
        <v>331</v>
      </c>
      <c r="H114" s="55">
        <v>100</v>
      </c>
      <c r="I114" s="22" t="s">
        <v>12</v>
      </c>
      <c r="J114" s="47">
        <v>0</v>
      </c>
      <c r="K114" s="48">
        <f t="shared" si="1"/>
        <v>0</v>
      </c>
      <c r="L114" s="24"/>
      <c r="M114" s="23"/>
      <c r="N114" s="23"/>
      <c r="O114" s="23"/>
      <c r="P114" s="23"/>
      <c r="Q114" s="25" t="s">
        <v>33</v>
      </c>
      <c r="R114" s="26" t="s">
        <v>34</v>
      </c>
    </row>
    <row r="115" spans="1:18">
      <c r="A115" s="21">
        <v>1112</v>
      </c>
      <c r="B115" s="51">
        <v>5920</v>
      </c>
      <c r="C115" s="54" t="s">
        <v>152</v>
      </c>
      <c r="D115" s="51" t="s">
        <v>267</v>
      </c>
      <c r="E115" s="51" t="s">
        <v>312</v>
      </c>
      <c r="F115" s="63" t="s">
        <v>330</v>
      </c>
      <c r="G115" s="64" t="s">
        <v>338</v>
      </c>
      <c r="H115" s="55">
        <v>100</v>
      </c>
      <c r="I115" s="22" t="s">
        <v>12</v>
      </c>
      <c r="J115" s="47">
        <v>0</v>
      </c>
      <c r="K115" s="48">
        <f t="shared" si="1"/>
        <v>0</v>
      </c>
      <c r="L115" s="24"/>
      <c r="M115" s="23"/>
      <c r="N115" s="23"/>
      <c r="O115" s="23"/>
      <c r="P115" s="23"/>
      <c r="Q115" s="25" t="s">
        <v>33</v>
      </c>
      <c r="R115" s="26" t="s">
        <v>34</v>
      </c>
    </row>
    <row r="116" spans="1:18">
      <c r="A116" s="21">
        <v>1113</v>
      </c>
      <c r="B116" s="51">
        <v>5310</v>
      </c>
      <c r="C116" s="54" t="s">
        <v>153</v>
      </c>
      <c r="D116" s="51" t="s">
        <v>268</v>
      </c>
      <c r="E116" s="51" t="s">
        <v>294</v>
      </c>
      <c r="F116" s="63" t="s">
        <v>330</v>
      </c>
      <c r="G116" s="64" t="s">
        <v>335</v>
      </c>
      <c r="H116" s="55">
        <v>1500</v>
      </c>
      <c r="I116" s="22" t="s">
        <v>12</v>
      </c>
      <c r="J116" s="47">
        <v>0</v>
      </c>
      <c r="K116" s="48">
        <f t="shared" si="1"/>
        <v>0</v>
      </c>
      <c r="L116" s="24"/>
      <c r="M116" s="23"/>
      <c r="N116" s="23"/>
      <c r="O116" s="23"/>
      <c r="P116" s="23"/>
      <c r="Q116" s="25" t="s">
        <v>33</v>
      </c>
      <c r="R116" s="26" t="s">
        <v>34</v>
      </c>
    </row>
    <row r="117" spans="1:18">
      <c r="A117" s="21">
        <v>1114</v>
      </c>
      <c r="B117" s="51">
        <v>5365</v>
      </c>
      <c r="C117" s="54" t="s">
        <v>154</v>
      </c>
      <c r="D117" s="51">
        <v>4191553</v>
      </c>
      <c r="E117" s="51" t="s">
        <v>313</v>
      </c>
      <c r="F117" s="63" t="s">
        <v>330</v>
      </c>
      <c r="G117" s="64" t="s">
        <v>337</v>
      </c>
      <c r="H117" s="55">
        <v>25</v>
      </c>
      <c r="I117" s="22" t="s">
        <v>12</v>
      </c>
      <c r="J117" s="47">
        <v>0</v>
      </c>
      <c r="K117" s="48">
        <f t="shared" si="1"/>
        <v>0</v>
      </c>
      <c r="L117" s="24"/>
      <c r="M117" s="23"/>
      <c r="N117" s="23"/>
      <c r="O117" s="23"/>
      <c r="P117" s="23"/>
      <c r="Q117" s="25" t="s">
        <v>33</v>
      </c>
      <c r="R117" s="26" t="s">
        <v>34</v>
      </c>
    </row>
    <row r="118" spans="1:18">
      <c r="A118" s="21">
        <v>1115</v>
      </c>
      <c r="B118" s="51">
        <v>6220</v>
      </c>
      <c r="C118" s="54" t="s">
        <v>155</v>
      </c>
      <c r="D118" s="51">
        <v>4700770280</v>
      </c>
      <c r="E118" s="51" t="s">
        <v>314</v>
      </c>
      <c r="F118" s="63" t="s">
        <v>330</v>
      </c>
      <c r="G118" s="64" t="s">
        <v>340</v>
      </c>
      <c r="H118" s="55">
        <v>8</v>
      </c>
      <c r="I118" s="22" t="s">
        <v>12</v>
      </c>
      <c r="J118" s="47">
        <v>0</v>
      </c>
      <c r="K118" s="48">
        <f t="shared" si="1"/>
        <v>0</v>
      </c>
      <c r="L118" s="24"/>
      <c r="M118" s="23"/>
      <c r="N118" s="23"/>
      <c r="O118" s="23"/>
      <c r="P118" s="23"/>
      <c r="Q118" s="25" t="s">
        <v>33</v>
      </c>
      <c r="R118" s="26" t="s">
        <v>34</v>
      </c>
    </row>
    <row r="119" spans="1:18">
      <c r="A119" s="21">
        <v>1116</v>
      </c>
      <c r="B119" s="51">
        <v>5930</v>
      </c>
      <c r="C119" s="54" t="s">
        <v>156</v>
      </c>
      <c r="D119" s="51" t="s">
        <v>269</v>
      </c>
      <c r="E119" s="51" t="s">
        <v>315</v>
      </c>
      <c r="F119" s="63" t="s">
        <v>330</v>
      </c>
      <c r="G119" s="64" t="s">
        <v>340</v>
      </c>
      <c r="H119" s="55">
        <v>25</v>
      </c>
      <c r="I119" s="80" t="s">
        <v>12</v>
      </c>
      <c r="J119" s="79">
        <v>0</v>
      </c>
      <c r="K119" s="81">
        <f t="shared" si="1"/>
        <v>0</v>
      </c>
      <c r="L119" s="24"/>
      <c r="M119" s="23"/>
      <c r="N119" s="23"/>
      <c r="O119" s="23"/>
      <c r="P119" s="23"/>
      <c r="Q119" s="25" t="s">
        <v>33</v>
      </c>
      <c r="R119" s="26" t="s">
        <v>34</v>
      </c>
    </row>
    <row r="120" spans="1:18">
      <c r="A120" s="30"/>
      <c r="B120" s="57"/>
      <c r="C120" s="57"/>
      <c r="D120" s="31"/>
      <c r="E120" s="31"/>
      <c r="F120" s="31"/>
      <c r="G120" s="31"/>
      <c r="H120" s="76" t="s">
        <v>346</v>
      </c>
      <c r="I120" s="82"/>
      <c r="J120" s="78"/>
      <c r="K120" s="78">
        <f>SUM(K4:K119)</f>
        <v>0</v>
      </c>
      <c r="L120" s="34"/>
      <c r="M120" s="34"/>
      <c r="N120" s="34"/>
      <c r="O120" s="34"/>
      <c r="P120" s="34"/>
      <c r="Q120" s="35"/>
      <c r="R120" s="34"/>
    </row>
  </sheetData>
  <conditionalFormatting sqref="I4:I119">
    <cfRule type="expression" dxfId="51" priority="8">
      <formula>MATCH("C",I4:M4,0)</formula>
    </cfRule>
  </conditionalFormatting>
  <conditionalFormatting sqref="J4:J119">
    <cfRule type="expression" dxfId="50" priority="9">
      <formula>MATCH("C",J4:M4,0)</formula>
    </cfRule>
  </conditionalFormatting>
  <conditionalFormatting sqref="Q3:Q119">
    <cfRule type="containsText" dxfId="49" priority="5" operator="containsText" text="rcv/rcv">
      <formula>NOT(ISERROR(SEARCH("rcv/rcv",Q3)))</formula>
    </cfRule>
    <cfRule type="containsText" dxfId="48" priority="6" operator="containsText" text="rcv/QA">
      <formula>NOT(ISERROR(SEARCH("rcv/QA",Q3)))</formula>
    </cfRule>
    <cfRule type="containsText" dxfId="47" priority="7" operator="containsText" text="QA/QA">
      <formula>NOT(ISERROR(SEARCH("QA/QA",Q3)))</formula>
    </cfRule>
  </conditionalFormatting>
  <conditionalFormatting sqref="Q120:R120">
    <cfRule type="containsText" dxfId="46" priority="32" operator="containsText" text="rcv/rcv">
      <formula>NOT(ISERROR(SEARCH("rcv/rcv",Q120)))</formula>
    </cfRule>
    <cfRule type="containsText" dxfId="45" priority="33" operator="containsText" text="rcv/QA">
      <formula>NOT(ISERROR(SEARCH("rcv/QA",Q120)))</formula>
    </cfRule>
    <cfRule type="containsText" dxfId="44" priority="34" operator="containsText" text="QA/QA">
      <formula>NOT(ISERROR(SEARCH("QA/QA",Q120)))</formula>
    </cfRule>
  </conditionalFormatting>
  <conditionalFormatting sqref="R3">
    <cfRule type="containsText" dxfId="43" priority="2" operator="containsText" text="rcv/rcv">
      <formula>NOT(ISERROR(SEARCH("rcv/rcv",R3)))</formula>
    </cfRule>
    <cfRule type="containsText" dxfId="42" priority="3" operator="containsText" text="rcv/QA">
      <formula>NOT(ISERROR(SEARCH("rcv/QA",R3)))</formula>
    </cfRule>
    <cfRule type="containsText" dxfId="41" priority="4" operator="containsText" text="QA/QA">
      <formula>NOT(ISERROR(SEARCH("QA/QA",R3)))</formula>
    </cfRule>
  </conditionalFormatting>
  <conditionalFormatting sqref="L4:L119">
    <cfRule type="expression" dxfId="40" priority="119">
      <formula>MATCH("C",L4:R4,0)</formula>
    </cfRule>
  </conditionalFormatting>
  <conditionalFormatting sqref="F4:F119">
    <cfRule type="containsText" dxfId="3" priority="1" operator="containsText" text="Y">
      <formula>NOT(ISERROR(SEARCH("Y",F4)))</formula>
    </cfRule>
  </conditionalFormatting>
  <pageMargins left="0.25" right="0.25" top="1" bottom="0.25" header="0.3" footer="0.3"/>
  <pageSetup scale="49" fitToHeight="0" orientation="landscape" r:id="rId1"/>
  <headerFooter>
    <oddHeader>&amp;L&amp;"Book Antiqua,Bold"&amp;14Schedule of Supplies
Contract Line Items&amp;R&amp;"Book Antiqua,Bold"&amp;14Solicitation 70Z03826QB0000013
Period of Performance: TBD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0"/>
  <sheetViews>
    <sheetView view="pageLayout" topLeftCell="E1" zoomScaleNormal="90" workbookViewId="0">
      <selection activeCell="K29" sqref="K29"/>
    </sheetView>
  </sheetViews>
  <sheetFormatPr defaultRowHeight="15.75"/>
  <cols>
    <col min="1" max="1" width="14.42578125" style="8" customWidth="1"/>
    <col min="2" max="2" width="9.42578125" style="3" customWidth="1"/>
    <col min="3" max="3" width="14.5703125" style="10" customWidth="1"/>
    <col min="4" max="4" width="25" style="9" customWidth="1"/>
    <col min="5" max="5" width="32.28515625" style="6" customWidth="1"/>
    <col min="6" max="6" width="14" style="6" customWidth="1"/>
    <col min="7" max="7" width="6.85546875" style="6" customWidth="1"/>
    <col min="8" max="8" width="8.7109375" style="2" bestFit="1" customWidth="1"/>
    <col min="9" max="9" width="13.7109375" style="4" bestFit="1" customWidth="1"/>
    <col min="10" max="10" width="8.85546875" style="2" bestFit="1" customWidth="1"/>
    <col min="11" max="11" width="20.7109375" style="5" customWidth="1"/>
    <col min="12" max="12" width="13.7109375" style="4" customWidth="1"/>
    <col min="13" max="13" width="14.28515625" style="6" bestFit="1" customWidth="1"/>
    <col min="14" max="16" width="14.28515625" style="6" customWidth="1"/>
    <col min="17" max="17" width="12.85546875" style="6" customWidth="1"/>
    <col min="18" max="18" width="16.140625" style="1" customWidth="1"/>
    <col min="19" max="16384" width="9.140625" style="6"/>
  </cols>
  <sheetData>
    <row r="1" spans="1:18" ht="16.5">
      <c r="A1" s="7" t="s">
        <v>37</v>
      </c>
      <c r="C1" s="11"/>
      <c r="K1" s="50"/>
    </row>
    <row r="2" spans="1:18" ht="16.5">
      <c r="A2" s="7" t="s">
        <v>36</v>
      </c>
      <c r="C2" s="11"/>
      <c r="K2" s="50"/>
    </row>
    <row r="3" spans="1:18" ht="52.5" customHeight="1">
      <c r="A3" s="17" t="s">
        <v>8</v>
      </c>
      <c r="B3" s="40" t="s">
        <v>0</v>
      </c>
      <c r="C3" s="40" t="s">
        <v>7</v>
      </c>
      <c r="D3" s="41" t="s">
        <v>1</v>
      </c>
      <c r="E3" s="18" t="s">
        <v>2</v>
      </c>
      <c r="F3" s="18" t="s">
        <v>328</v>
      </c>
      <c r="G3" s="18" t="s">
        <v>329</v>
      </c>
      <c r="H3" s="19" t="s">
        <v>32</v>
      </c>
      <c r="I3" s="18" t="s">
        <v>3</v>
      </c>
      <c r="J3" s="42" t="s">
        <v>4</v>
      </c>
      <c r="K3" s="73" t="s">
        <v>5</v>
      </c>
      <c r="L3" s="20" t="s">
        <v>6</v>
      </c>
      <c r="M3" s="20" t="s">
        <v>9</v>
      </c>
      <c r="N3" s="20" t="s">
        <v>342</v>
      </c>
      <c r="O3" s="20" t="s">
        <v>343</v>
      </c>
      <c r="P3" s="20" t="s">
        <v>344</v>
      </c>
      <c r="Q3" s="20" t="s">
        <v>10</v>
      </c>
      <c r="R3" s="20" t="s">
        <v>327</v>
      </c>
    </row>
    <row r="4" spans="1:18">
      <c r="A4" s="21">
        <v>2001</v>
      </c>
      <c r="B4" s="51">
        <v>5305</v>
      </c>
      <c r="C4" s="59" t="s">
        <v>41</v>
      </c>
      <c r="D4" s="51" t="s">
        <v>157</v>
      </c>
      <c r="E4" s="51" t="s">
        <v>270</v>
      </c>
      <c r="F4" s="63" t="s">
        <v>330</v>
      </c>
      <c r="G4" s="64" t="s">
        <v>331</v>
      </c>
      <c r="H4" s="51">
        <v>500</v>
      </c>
      <c r="I4" s="22" t="s">
        <v>12</v>
      </c>
      <c r="J4" s="47">
        <v>0</v>
      </c>
      <c r="K4" s="48">
        <f>SUM(J4*H4)</f>
        <v>0</v>
      </c>
      <c r="L4" s="24"/>
      <c r="M4" s="23"/>
      <c r="N4" s="23"/>
      <c r="O4" s="23"/>
      <c r="P4" s="23"/>
      <c r="Q4" s="25" t="s">
        <v>33</v>
      </c>
      <c r="R4" s="26" t="s">
        <v>34</v>
      </c>
    </row>
    <row r="5" spans="1:18" ht="15.75" customHeight="1">
      <c r="A5" s="21">
        <v>2002</v>
      </c>
      <c r="B5" s="51">
        <v>5305</v>
      </c>
      <c r="C5" s="59" t="s">
        <v>42</v>
      </c>
      <c r="D5" s="51" t="s">
        <v>158</v>
      </c>
      <c r="E5" s="51" t="s">
        <v>271</v>
      </c>
      <c r="F5" s="63" t="s">
        <v>330</v>
      </c>
      <c r="G5" s="65" t="s">
        <v>332</v>
      </c>
      <c r="H5" s="54">
        <v>150</v>
      </c>
      <c r="I5" s="22" t="s">
        <v>12</v>
      </c>
      <c r="J5" s="47">
        <v>0</v>
      </c>
      <c r="K5" s="48">
        <f t="shared" ref="K5:K68" si="0">SUM(J5*H5)</f>
        <v>0</v>
      </c>
      <c r="L5" s="24"/>
      <c r="M5" s="23"/>
      <c r="N5" s="23"/>
      <c r="O5" s="23"/>
      <c r="P5" s="23"/>
      <c r="Q5" s="25" t="s">
        <v>33</v>
      </c>
      <c r="R5" s="26" t="s">
        <v>34</v>
      </c>
    </row>
    <row r="6" spans="1:18" ht="15.75" customHeight="1">
      <c r="A6" s="21">
        <v>2003</v>
      </c>
      <c r="B6" s="51" t="s">
        <v>19</v>
      </c>
      <c r="C6" s="54" t="s">
        <v>43</v>
      </c>
      <c r="D6" s="51" t="s">
        <v>159</v>
      </c>
      <c r="E6" s="51" t="s">
        <v>272</v>
      </c>
      <c r="F6" s="63" t="s">
        <v>330</v>
      </c>
      <c r="G6" s="64" t="s">
        <v>333</v>
      </c>
      <c r="H6" s="51">
        <v>75</v>
      </c>
      <c r="I6" s="22" t="s">
        <v>12</v>
      </c>
      <c r="J6" s="47">
        <v>0</v>
      </c>
      <c r="K6" s="48">
        <f t="shared" si="0"/>
        <v>0</v>
      </c>
      <c r="L6" s="24"/>
      <c r="M6" s="23"/>
      <c r="N6" s="23"/>
      <c r="O6" s="23"/>
      <c r="P6" s="23"/>
      <c r="Q6" s="25" t="s">
        <v>33</v>
      </c>
      <c r="R6" s="26" t="s">
        <v>34</v>
      </c>
    </row>
    <row r="7" spans="1:18" ht="15.75" customHeight="1">
      <c r="A7" s="21">
        <v>2004</v>
      </c>
      <c r="B7" s="51" t="s">
        <v>20</v>
      </c>
      <c r="C7" s="54" t="s">
        <v>44</v>
      </c>
      <c r="D7" s="51" t="s">
        <v>160</v>
      </c>
      <c r="E7" s="51" t="s">
        <v>270</v>
      </c>
      <c r="F7" s="63" t="s">
        <v>330</v>
      </c>
      <c r="G7" s="64" t="s">
        <v>332</v>
      </c>
      <c r="H7" s="51">
        <v>600</v>
      </c>
      <c r="I7" s="22" t="s">
        <v>12</v>
      </c>
      <c r="J7" s="47">
        <v>0</v>
      </c>
      <c r="K7" s="48">
        <f>SUM(J7*H7)</f>
        <v>0</v>
      </c>
      <c r="L7" s="24"/>
      <c r="M7" s="23"/>
      <c r="N7" s="23"/>
      <c r="O7" s="23"/>
      <c r="P7" s="23"/>
      <c r="Q7" s="25" t="s">
        <v>33</v>
      </c>
      <c r="R7" s="26" t="s">
        <v>34</v>
      </c>
    </row>
    <row r="8" spans="1:18" ht="15.75" customHeight="1">
      <c r="A8" s="21">
        <v>2005</v>
      </c>
      <c r="B8" s="51" t="s">
        <v>20</v>
      </c>
      <c r="C8" s="54" t="s">
        <v>45</v>
      </c>
      <c r="D8" s="51" t="s">
        <v>161</v>
      </c>
      <c r="E8" s="51" t="s">
        <v>270</v>
      </c>
      <c r="F8" s="63" t="s">
        <v>330</v>
      </c>
      <c r="G8" s="64" t="s">
        <v>334</v>
      </c>
      <c r="H8" s="51">
        <v>550</v>
      </c>
      <c r="I8" s="22" t="s">
        <v>12</v>
      </c>
      <c r="J8" s="47">
        <v>0</v>
      </c>
      <c r="K8" s="48">
        <f t="shared" si="0"/>
        <v>0</v>
      </c>
      <c r="L8" s="24"/>
      <c r="M8" s="23"/>
      <c r="N8" s="23"/>
      <c r="O8" s="23"/>
      <c r="P8" s="23"/>
      <c r="Q8" s="25" t="s">
        <v>33</v>
      </c>
      <c r="R8" s="26" t="s">
        <v>34</v>
      </c>
    </row>
    <row r="9" spans="1:18" ht="15.75" customHeight="1">
      <c r="A9" s="21">
        <v>2006</v>
      </c>
      <c r="B9" s="51" t="s">
        <v>18</v>
      </c>
      <c r="C9" s="54" t="s">
        <v>46</v>
      </c>
      <c r="D9" s="51" t="s">
        <v>162</v>
      </c>
      <c r="E9" s="51" t="s">
        <v>273</v>
      </c>
      <c r="F9" s="63" t="s">
        <v>330</v>
      </c>
      <c r="G9" s="64" t="s">
        <v>334</v>
      </c>
      <c r="H9" s="51" t="s">
        <v>316</v>
      </c>
      <c r="I9" s="22" t="s">
        <v>12</v>
      </c>
      <c r="J9" s="47">
        <v>0</v>
      </c>
      <c r="K9" s="48">
        <f t="shared" si="0"/>
        <v>0</v>
      </c>
      <c r="L9" s="24"/>
      <c r="M9" s="23"/>
      <c r="N9" s="23"/>
      <c r="O9" s="23"/>
      <c r="P9" s="23"/>
      <c r="Q9" s="25" t="s">
        <v>33</v>
      </c>
      <c r="R9" s="26" t="s">
        <v>34</v>
      </c>
    </row>
    <row r="10" spans="1:18" ht="15.75" customHeight="1">
      <c r="A10" s="21">
        <v>2007</v>
      </c>
      <c r="B10" s="51" t="s">
        <v>18</v>
      </c>
      <c r="C10" s="54" t="s">
        <v>47</v>
      </c>
      <c r="D10" s="51" t="s">
        <v>163</v>
      </c>
      <c r="E10" s="51" t="s">
        <v>274</v>
      </c>
      <c r="F10" s="63" t="s">
        <v>330</v>
      </c>
      <c r="G10" s="64" t="s">
        <v>332</v>
      </c>
      <c r="H10" s="51">
        <v>200</v>
      </c>
      <c r="I10" s="22" t="s">
        <v>12</v>
      </c>
      <c r="J10" s="47">
        <v>0</v>
      </c>
      <c r="K10" s="48">
        <f t="shared" si="0"/>
        <v>0</v>
      </c>
      <c r="L10" s="24"/>
      <c r="M10" s="23"/>
      <c r="N10" s="23"/>
      <c r="O10" s="23"/>
      <c r="P10" s="23"/>
      <c r="Q10" s="25" t="s">
        <v>33</v>
      </c>
      <c r="R10" s="26" t="s">
        <v>34</v>
      </c>
    </row>
    <row r="11" spans="1:18" ht="15.75" customHeight="1">
      <c r="A11" s="21">
        <v>2008</v>
      </c>
      <c r="B11" s="51" t="s">
        <v>20</v>
      </c>
      <c r="C11" s="54" t="s">
        <v>48</v>
      </c>
      <c r="D11" s="51" t="s">
        <v>164</v>
      </c>
      <c r="E11" s="51" t="s">
        <v>270</v>
      </c>
      <c r="F11" s="63" t="s">
        <v>330</v>
      </c>
      <c r="G11" s="64" t="s">
        <v>332</v>
      </c>
      <c r="H11" s="51" t="s">
        <v>317</v>
      </c>
      <c r="I11" s="22" t="s">
        <v>12</v>
      </c>
      <c r="J11" s="47">
        <v>0</v>
      </c>
      <c r="K11" s="48">
        <f t="shared" si="0"/>
        <v>0</v>
      </c>
      <c r="L11" s="24"/>
      <c r="M11" s="23"/>
      <c r="N11" s="23"/>
      <c r="O11" s="23"/>
      <c r="P11" s="23"/>
      <c r="Q11" s="25" t="s">
        <v>33</v>
      </c>
      <c r="R11" s="26" t="s">
        <v>34</v>
      </c>
    </row>
    <row r="12" spans="1:18" ht="15.75" customHeight="1">
      <c r="A12" s="21">
        <v>2009</v>
      </c>
      <c r="B12" s="51" t="s">
        <v>18</v>
      </c>
      <c r="C12" s="54" t="s">
        <v>49</v>
      </c>
      <c r="D12" s="51" t="s">
        <v>165</v>
      </c>
      <c r="E12" s="51" t="s">
        <v>275</v>
      </c>
      <c r="F12" s="63" t="s">
        <v>330</v>
      </c>
      <c r="G12" s="64" t="s">
        <v>332</v>
      </c>
      <c r="H12" s="51" t="s">
        <v>318</v>
      </c>
      <c r="I12" s="22" t="s">
        <v>12</v>
      </c>
      <c r="J12" s="47">
        <v>0</v>
      </c>
      <c r="K12" s="48">
        <f t="shared" si="0"/>
        <v>0</v>
      </c>
      <c r="L12" s="24"/>
      <c r="M12" s="23"/>
      <c r="N12" s="23"/>
      <c r="O12" s="23"/>
      <c r="P12" s="23"/>
      <c r="Q12" s="25" t="s">
        <v>33</v>
      </c>
      <c r="R12" s="26" t="s">
        <v>34</v>
      </c>
    </row>
    <row r="13" spans="1:18" ht="15.75" customHeight="1">
      <c r="A13" s="21">
        <v>2010</v>
      </c>
      <c r="B13" s="51" t="s">
        <v>18</v>
      </c>
      <c r="C13" s="54" t="s">
        <v>50</v>
      </c>
      <c r="D13" s="51" t="s">
        <v>166</v>
      </c>
      <c r="E13" s="51" t="s">
        <v>29</v>
      </c>
      <c r="F13" s="63" t="s">
        <v>330</v>
      </c>
      <c r="G13" s="64" t="s">
        <v>331</v>
      </c>
      <c r="H13" s="51" t="s">
        <v>319</v>
      </c>
      <c r="I13" s="22" t="s">
        <v>12</v>
      </c>
      <c r="J13" s="47">
        <v>0</v>
      </c>
      <c r="K13" s="48">
        <f t="shared" si="0"/>
        <v>0</v>
      </c>
      <c r="L13" s="24"/>
      <c r="M13" s="23"/>
      <c r="N13" s="23"/>
      <c r="O13" s="23"/>
      <c r="P13" s="23"/>
      <c r="Q13" s="25" t="s">
        <v>33</v>
      </c>
      <c r="R13" s="26" t="s">
        <v>34</v>
      </c>
    </row>
    <row r="14" spans="1:18" ht="15.75" customHeight="1">
      <c r="A14" s="21">
        <v>2011</v>
      </c>
      <c r="B14" s="51" t="s">
        <v>18</v>
      </c>
      <c r="C14" s="54" t="s">
        <v>51</v>
      </c>
      <c r="D14" s="51" t="s">
        <v>167</v>
      </c>
      <c r="E14" s="51" t="s">
        <v>276</v>
      </c>
      <c r="F14" s="63" t="s">
        <v>330</v>
      </c>
      <c r="G14" s="64" t="s">
        <v>333</v>
      </c>
      <c r="H14" s="51" t="s">
        <v>320</v>
      </c>
      <c r="I14" s="22" t="s">
        <v>12</v>
      </c>
      <c r="J14" s="47">
        <v>0</v>
      </c>
      <c r="K14" s="48">
        <f t="shared" si="0"/>
        <v>0</v>
      </c>
      <c r="L14" s="24"/>
      <c r="M14" s="23"/>
      <c r="N14" s="23"/>
      <c r="O14" s="23"/>
      <c r="P14" s="23"/>
      <c r="Q14" s="25" t="s">
        <v>33</v>
      </c>
      <c r="R14" s="26" t="s">
        <v>34</v>
      </c>
    </row>
    <row r="15" spans="1:18" ht="15.75" customHeight="1">
      <c r="A15" s="21">
        <v>2012</v>
      </c>
      <c r="B15" s="51" t="s">
        <v>18</v>
      </c>
      <c r="C15" s="54" t="s">
        <v>52</v>
      </c>
      <c r="D15" s="51" t="s">
        <v>168</v>
      </c>
      <c r="E15" s="51" t="s">
        <v>276</v>
      </c>
      <c r="F15" s="63" t="s">
        <v>330</v>
      </c>
      <c r="G15" s="64" t="s">
        <v>334</v>
      </c>
      <c r="H15" s="51" t="s">
        <v>321</v>
      </c>
      <c r="I15" s="22" t="s">
        <v>12</v>
      </c>
      <c r="J15" s="47">
        <v>0</v>
      </c>
      <c r="K15" s="48">
        <f t="shared" si="0"/>
        <v>0</v>
      </c>
      <c r="L15" s="24"/>
      <c r="M15" s="23"/>
      <c r="N15" s="23"/>
      <c r="O15" s="23"/>
      <c r="P15" s="23"/>
      <c r="Q15" s="25" t="s">
        <v>33</v>
      </c>
      <c r="R15" s="26" t="s">
        <v>34</v>
      </c>
    </row>
    <row r="16" spans="1:18" ht="15.75" customHeight="1">
      <c r="A16" s="21">
        <v>2013</v>
      </c>
      <c r="B16" s="51" t="s">
        <v>18</v>
      </c>
      <c r="C16" s="54" t="s">
        <v>53</v>
      </c>
      <c r="D16" s="51" t="s">
        <v>169</v>
      </c>
      <c r="E16" s="51" t="s">
        <v>273</v>
      </c>
      <c r="F16" s="63" t="s">
        <v>330</v>
      </c>
      <c r="G16" s="64" t="s">
        <v>334</v>
      </c>
      <c r="H16" s="51" t="s">
        <v>322</v>
      </c>
      <c r="I16" s="22" t="s">
        <v>12</v>
      </c>
      <c r="J16" s="47">
        <v>0</v>
      </c>
      <c r="K16" s="48">
        <f t="shared" si="0"/>
        <v>0</v>
      </c>
      <c r="L16" s="24"/>
      <c r="M16" s="23"/>
      <c r="N16" s="23"/>
      <c r="O16" s="23"/>
      <c r="P16" s="23"/>
      <c r="Q16" s="25" t="s">
        <v>33</v>
      </c>
      <c r="R16" s="26" t="s">
        <v>34</v>
      </c>
    </row>
    <row r="17" spans="1:18" ht="15.75" customHeight="1">
      <c r="A17" s="21">
        <v>2014</v>
      </c>
      <c r="B17" s="51" t="s">
        <v>21</v>
      </c>
      <c r="C17" s="54" t="s">
        <v>54</v>
      </c>
      <c r="D17" s="51" t="s">
        <v>170</v>
      </c>
      <c r="E17" s="51" t="s">
        <v>277</v>
      </c>
      <c r="F17" s="63" t="s">
        <v>330</v>
      </c>
      <c r="G17" s="64" t="s">
        <v>332</v>
      </c>
      <c r="H17" s="51">
        <v>100</v>
      </c>
      <c r="I17" s="22" t="s">
        <v>12</v>
      </c>
      <c r="J17" s="47">
        <v>0</v>
      </c>
      <c r="K17" s="48">
        <f t="shared" si="0"/>
        <v>0</v>
      </c>
      <c r="L17" s="24"/>
      <c r="M17" s="23"/>
      <c r="N17" s="23"/>
      <c r="O17" s="23"/>
      <c r="P17" s="23"/>
      <c r="Q17" s="25" t="s">
        <v>33</v>
      </c>
      <c r="R17" s="26" t="s">
        <v>34</v>
      </c>
    </row>
    <row r="18" spans="1:18" ht="15.75" customHeight="1">
      <c r="A18" s="21">
        <v>2015</v>
      </c>
      <c r="B18" s="51" t="s">
        <v>18</v>
      </c>
      <c r="C18" s="54" t="s">
        <v>55</v>
      </c>
      <c r="D18" s="51" t="s">
        <v>171</v>
      </c>
      <c r="E18" s="51" t="s">
        <v>273</v>
      </c>
      <c r="F18" s="63" t="s">
        <v>330</v>
      </c>
      <c r="G18" s="64" t="s">
        <v>332</v>
      </c>
      <c r="H18" s="51" t="s">
        <v>323</v>
      </c>
      <c r="I18" s="22" t="s">
        <v>12</v>
      </c>
      <c r="J18" s="47">
        <v>0</v>
      </c>
      <c r="K18" s="48">
        <f t="shared" si="0"/>
        <v>0</v>
      </c>
      <c r="L18" s="24"/>
      <c r="M18" s="23"/>
      <c r="N18" s="23"/>
      <c r="O18" s="23"/>
      <c r="P18" s="23"/>
      <c r="Q18" s="25" t="s">
        <v>33</v>
      </c>
      <c r="R18" s="26" t="s">
        <v>34</v>
      </c>
    </row>
    <row r="19" spans="1:18" ht="15.75" customHeight="1">
      <c r="A19" s="21">
        <v>2016</v>
      </c>
      <c r="B19" s="51" t="s">
        <v>20</v>
      </c>
      <c r="C19" s="54" t="s">
        <v>56</v>
      </c>
      <c r="D19" s="51" t="s">
        <v>172</v>
      </c>
      <c r="E19" s="51" t="s">
        <v>270</v>
      </c>
      <c r="F19" s="63" t="s">
        <v>330</v>
      </c>
      <c r="G19" s="64" t="s">
        <v>335</v>
      </c>
      <c r="H19" s="51">
        <v>50</v>
      </c>
      <c r="I19" s="22" t="s">
        <v>12</v>
      </c>
      <c r="J19" s="47">
        <v>0</v>
      </c>
      <c r="K19" s="48">
        <f t="shared" si="0"/>
        <v>0</v>
      </c>
      <c r="L19" s="24"/>
      <c r="M19" s="23"/>
      <c r="N19" s="23"/>
      <c r="O19" s="23"/>
      <c r="P19" s="23"/>
      <c r="Q19" s="25" t="s">
        <v>33</v>
      </c>
      <c r="R19" s="26" t="s">
        <v>34</v>
      </c>
    </row>
    <row r="20" spans="1:18" ht="15.75" customHeight="1">
      <c r="A20" s="21">
        <v>2017</v>
      </c>
      <c r="B20" s="51" t="s">
        <v>20</v>
      </c>
      <c r="C20" s="54" t="s">
        <v>57</v>
      </c>
      <c r="D20" s="51" t="s">
        <v>173</v>
      </c>
      <c r="E20" s="51" t="s">
        <v>270</v>
      </c>
      <c r="F20" s="63" t="s">
        <v>330</v>
      </c>
      <c r="G20" s="64" t="s">
        <v>336</v>
      </c>
      <c r="H20" s="51">
        <v>150</v>
      </c>
      <c r="I20" s="22" t="s">
        <v>12</v>
      </c>
      <c r="J20" s="47">
        <v>0</v>
      </c>
      <c r="K20" s="48">
        <f t="shared" si="0"/>
        <v>0</v>
      </c>
      <c r="L20" s="24"/>
      <c r="M20" s="23"/>
      <c r="N20" s="23"/>
      <c r="O20" s="23"/>
      <c r="P20" s="23"/>
      <c r="Q20" s="25" t="s">
        <v>33</v>
      </c>
      <c r="R20" s="26" t="s">
        <v>34</v>
      </c>
    </row>
    <row r="21" spans="1:18" ht="15.75" customHeight="1">
      <c r="A21" s="21">
        <v>2018</v>
      </c>
      <c r="B21" s="51" t="s">
        <v>20</v>
      </c>
      <c r="C21" s="54" t="s">
        <v>58</v>
      </c>
      <c r="D21" s="51" t="s">
        <v>174</v>
      </c>
      <c r="E21" s="51" t="s">
        <v>278</v>
      </c>
      <c r="F21" s="63" t="s">
        <v>330</v>
      </c>
      <c r="G21" s="64" t="s">
        <v>335</v>
      </c>
      <c r="H21" s="51">
        <v>50</v>
      </c>
      <c r="I21" s="22" t="s">
        <v>12</v>
      </c>
      <c r="J21" s="47">
        <v>0</v>
      </c>
      <c r="K21" s="48">
        <f t="shared" si="0"/>
        <v>0</v>
      </c>
      <c r="L21" s="24"/>
      <c r="M21" s="23"/>
      <c r="N21" s="23"/>
      <c r="O21" s="23"/>
      <c r="P21" s="23"/>
      <c r="Q21" s="25" t="s">
        <v>33</v>
      </c>
      <c r="R21" s="26" t="s">
        <v>34</v>
      </c>
    </row>
    <row r="22" spans="1:18" ht="15.75" customHeight="1">
      <c r="A22" s="21">
        <v>2019</v>
      </c>
      <c r="B22" s="51" t="s">
        <v>22</v>
      </c>
      <c r="C22" s="54" t="s">
        <v>59</v>
      </c>
      <c r="D22" s="51" t="s">
        <v>175</v>
      </c>
      <c r="E22" s="51" t="s">
        <v>279</v>
      </c>
      <c r="F22" s="63" t="s">
        <v>330</v>
      </c>
      <c r="G22" s="64" t="s">
        <v>332</v>
      </c>
      <c r="H22" s="51">
        <v>5</v>
      </c>
      <c r="I22" s="22" t="s">
        <v>12</v>
      </c>
      <c r="J22" s="47">
        <v>0</v>
      </c>
      <c r="K22" s="48">
        <f t="shared" si="0"/>
        <v>0</v>
      </c>
      <c r="L22" s="24"/>
      <c r="M22" s="23"/>
      <c r="N22" s="23"/>
      <c r="O22" s="23"/>
      <c r="P22" s="23"/>
      <c r="Q22" s="25" t="s">
        <v>33</v>
      </c>
      <c r="R22" s="26" t="s">
        <v>34</v>
      </c>
    </row>
    <row r="23" spans="1:18" ht="15.75" customHeight="1">
      <c r="A23" s="21">
        <v>2020</v>
      </c>
      <c r="B23" s="51" t="s">
        <v>18</v>
      </c>
      <c r="C23" s="54" t="s">
        <v>60</v>
      </c>
      <c r="D23" s="51" t="s">
        <v>176</v>
      </c>
      <c r="E23" s="51" t="s">
        <v>25</v>
      </c>
      <c r="F23" s="63" t="s">
        <v>330</v>
      </c>
      <c r="G23" s="64" t="s">
        <v>334</v>
      </c>
      <c r="H23" s="51" t="s">
        <v>324</v>
      </c>
      <c r="I23" s="22" t="s">
        <v>12</v>
      </c>
      <c r="J23" s="47">
        <v>0</v>
      </c>
      <c r="K23" s="48">
        <f t="shared" si="0"/>
        <v>0</v>
      </c>
      <c r="L23" s="24"/>
      <c r="M23" s="23"/>
      <c r="N23" s="23"/>
      <c r="O23" s="23"/>
      <c r="P23" s="23"/>
      <c r="Q23" s="25" t="s">
        <v>33</v>
      </c>
      <c r="R23" s="26" t="s">
        <v>34</v>
      </c>
    </row>
    <row r="24" spans="1:18" ht="15.75" customHeight="1">
      <c r="A24" s="21">
        <v>2021</v>
      </c>
      <c r="B24" s="51" t="s">
        <v>17</v>
      </c>
      <c r="C24" s="54" t="s">
        <v>61</v>
      </c>
      <c r="D24" s="51" t="s">
        <v>177</v>
      </c>
      <c r="E24" s="51" t="s">
        <v>280</v>
      </c>
      <c r="F24" s="63" t="s">
        <v>330</v>
      </c>
      <c r="G24" s="64" t="s">
        <v>337</v>
      </c>
      <c r="H24" s="51">
        <v>2</v>
      </c>
      <c r="I24" s="22" t="s">
        <v>12</v>
      </c>
      <c r="J24" s="47">
        <v>0</v>
      </c>
      <c r="K24" s="48">
        <f t="shared" si="0"/>
        <v>0</v>
      </c>
      <c r="L24" s="24"/>
      <c r="M24" s="23"/>
      <c r="N24" s="23"/>
      <c r="O24" s="23"/>
      <c r="P24" s="23"/>
      <c r="Q24" s="25" t="s">
        <v>33</v>
      </c>
      <c r="R24" s="26" t="s">
        <v>34</v>
      </c>
    </row>
    <row r="25" spans="1:18" ht="15.75" customHeight="1">
      <c r="A25" s="21">
        <v>2022</v>
      </c>
      <c r="B25" s="51" t="s">
        <v>16</v>
      </c>
      <c r="C25" s="54" t="s">
        <v>62</v>
      </c>
      <c r="D25" s="51" t="s">
        <v>178</v>
      </c>
      <c r="E25" s="51" t="s">
        <v>281</v>
      </c>
      <c r="F25" s="63" t="s">
        <v>330</v>
      </c>
      <c r="G25" s="64" t="s">
        <v>332</v>
      </c>
      <c r="H25" s="51">
        <v>200</v>
      </c>
      <c r="I25" s="22" t="s">
        <v>12</v>
      </c>
      <c r="J25" s="47">
        <v>0</v>
      </c>
      <c r="K25" s="48">
        <f t="shared" si="0"/>
        <v>0</v>
      </c>
      <c r="L25" s="24"/>
      <c r="M25" s="23"/>
      <c r="N25" s="23"/>
      <c r="O25" s="23"/>
      <c r="P25" s="23"/>
      <c r="Q25" s="25" t="s">
        <v>33</v>
      </c>
      <c r="R25" s="26" t="s">
        <v>34</v>
      </c>
    </row>
    <row r="26" spans="1:18" ht="15.75" customHeight="1">
      <c r="A26" s="21">
        <v>2023</v>
      </c>
      <c r="B26" s="51" t="s">
        <v>13</v>
      </c>
      <c r="C26" s="54" t="s">
        <v>63</v>
      </c>
      <c r="D26" s="51" t="s">
        <v>179</v>
      </c>
      <c r="E26" s="51" t="s">
        <v>282</v>
      </c>
      <c r="F26" s="63" t="s">
        <v>330</v>
      </c>
      <c r="G26" s="64" t="s">
        <v>332</v>
      </c>
      <c r="H26" s="51">
        <v>500</v>
      </c>
      <c r="I26" s="22" t="s">
        <v>12</v>
      </c>
      <c r="J26" s="47">
        <v>0</v>
      </c>
      <c r="K26" s="48">
        <f t="shared" si="0"/>
        <v>0</v>
      </c>
      <c r="L26" s="24"/>
      <c r="M26" s="23"/>
      <c r="N26" s="23"/>
      <c r="O26" s="23"/>
      <c r="P26" s="23"/>
      <c r="Q26" s="25" t="s">
        <v>33</v>
      </c>
      <c r="R26" s="26" t="s">
        <v>34</v>
      </c>
    </row>
    <row r="27" spans="1:18" ht="15.75" customHeight="1">
      <c r="A27" s="21">
        <v>2024</v>
      </c>
      <c r="B27" s="51" t="s">
        <v>18</v>
      </c>
      <c r="C27" s="54" t="s">
        <v>64</v>
      </c>
      <c r="D27" s="51" t="s">
        <v>180</v>
      </c>
      <c r="E27" s="51" t="s">
        <v>24</v>
      </c>
      <c r="F27" s="63" t="s">
        <v>330</v>
      </c>
      <c r="G27" s="64" t="s">
        <v>332</v>
      </c>
      <c r="H27" s="51" t="s">
        <v>325</v>
      </c>
      <c r="I27" s="22" t="s">
        <v>12</v>
      </c>
      <c r="J27" s="47">
        <v>0</v>
      </c>
      <c r="K27" s="48">
        <f t="shared" si="0"/>
        <v>0</v>
      </c>
      <c r="L27" s="24"/>
      <c r="M27" s="23"/>
      <c r="N27" s="23"/>
      <c r="O27" s="23"/>
      <c r="P27" s="23"/>
      <c r="Q27" s="25" t="s">
        <v>33</v>
      </c>
      <c r="R27" s="26" t="s">
        <v>34</v>
      </c>
    </row>
    <row r="28" spans="1:18" ht="15.75" customHeight="1">
      <c r="A28" s="21">
        <v>2025</v>
      </c>
      <c r="B28" s="51" t="s">
        <v>18</v>
      </c>
      <c r="C28" s="54" t="s">
        <v>65</v>
      </c>
      <c r="D28" s="51" t="s">
        <v>181</v>
      </c>
      <c r="E28" s="51" t="s">
        <v>276</v>
      </c>
      <c r="F28" s="63" t="s">
        <v>330</v>
      </c>
      <c r="G28" s="64" t="s">
        <v>332</v>
      </c>
      <c r="H28" s="51" t="s">
        <v>326</v>
      </c>
      <c r="I28" s="22" t="s">
        <v>12</v>
      </c>
      <c r="J28" s="47">
        <v>0</v>
      </c>
      <c r="K28" s="48">
        <f t="shared" si="0"/>
        <v>0</v>
      </c>
      <c r="L28" s="24"/>
      <c r="M28" s="23"/>
      <c r="N28" s="23"/>
      <c r="O28" s="23"/>
      <c r="P28" s="23"/>
      <c r="Q28" s="25" t="s">
        <v>33</v>
      </c>
      <c r="R28" s="26" t="s">
        <v>34</v>
      </c>
    </row>
    <row r="29" spans="1:18" ht="15.75" customHeight="1">
      <c r="A29" s="21">
        <v>2026</v>
      </c>
      <c r="B29" s="51" t="s">
        <v>18</v>
      </c>
      <c r="C29" s="54" t="s">
        <v>66</v>
      </c>
      <c r="D29" s="51" t="s">
        <v>182</v>
      </c>
      <c r="E29" s="51" t="s">
        <v>283</v>
      </c>
      <c r="F29" s="63" t="s">
        <v>330</v>
      </c>
      <c r="G29" s="64" t="s">
        <v>332</v>
      </c>
      <c r="H29" s="51" t="s">
        <v>320</v>
      </c>
      <c r="I29" s="22" t="s">
        <v>12</v>
      </c>
      <c r="J29" s="47">
        <v>0</v>
      </c>
      <c r="K29" s="48">
        <f t="shared" si="0"/>
        <v>0</v>
      </c>
      <c r="L29" s="24"/>
      <c r="M29" s="23"/>
      <c r="N29" s="23"/>
      <c r="O29" s="23"/>
      <c r="P29" s="23"/>
      <c r="Q29" s="25" t="s">
        <v>33</v>
      </c>
      <c r="R29" s="26" t="s">
        <v>34</v>
      </c>
    </row>
    <row r="30" spans="1:18" ht="15.75" customHeight="1">
      <c r="A30" s="21">
        <v>2027</v>
      </c>
      <c r="B30" s="51" t="s">
        <v>18</v>
      </c>
      <c r="C30" s="54" t="s">
        <v>67</v>
      </c>
      <c r="D30" s="51" t="s">
        <v>183</v>
      </c>
      <c r="E30" s="51" t="s">
        <v>284</v>
      </c>
      <c r="F30" s="63" t="s">
        <v>330</v>
      </c>
      <c r="G30" s="64" t="s">
        <v>334</v>
      </c>
      <c r="H30" s="51">
        <v>400</v>
      </c>
      <c r="I30" s="22" t="s">
        <v>12</v>
      </c>
      <c r="J30" s="47">
        <v>0</v>
      </c>
      <c r="K30" s="48">
        <f t="shared" si="0"/>
        <v>0</v>
      </c>
      <c r="L30" s="24"/>
      <c r="M30" s="23"/>
      <c r="N30" s="23"/>
      <c r="O30" s="23"/>
      <c r="P30" s="23"/>
      <c r="Q30" s="25" t="s">
        <v>33</v>
      </c>
      <c r="R30" s="26" t="s">
        <v>34</v>
      </c>
    </row>
    <row r="31" spans="1:18" ht="15.75" customHeight="1">
      <c r="A31" s="21">
        <v>2028</v>
      </c>
      <c r="B31" s="51" t="s">
        <v>20</v>
      </c>
      <c r="C31" s="54" t="s">
        <v>68</v>
      </c>
      <c r="D31" s="51" t="s">
        <v>184</v>
      </c>
      <c r="E31" s="51" t="s">
        <v>285</v>
      </c>
      <c r="F31" s="63" t="s">
        <v>330</v>
      </c>
      <c r="G31" s="64" t="s">
        <v>331</v>
      </c>
      <c r="H31" s="51">
        <v>100</v>
      </c>
      <c r="I31" s="22" t="s">
        <v>12</v>
      </c>
      <c r="J31" s="47">
        <v>0</v>
      </c>
      <c r="K31" s="48">
        <f t="shared" si="0"/>
        <v>0</v>
      </c>
      <c r="L31" s="24"/>
      <c r="M31" s="23"/>
      <c r="N31" s="23"/>
      <c r="O31" s="23"/>
      <c r="P31" s="23"/>
      <c r="Q31" s="25" t="s">
        <v>33</v>
      </c>
      <c r="R31" s="26" t="s">
        <v>34</v>
      </c>
    </row>
    <row r="32" spans="1:18" ht="15.75" customHeight="1">
      <c r="A32" s="21">
        <v>2029</v>
      </c>
      <c r="B32" s="51" t="s">
        <v>17</v>
      </c>
      <c r="C32" s="54" t="s">
        <v>69</v>
      </c>
      <c r="D32" s="51" t="s">
        <v>185</v>
      </c>
      <c r="E32" s="51" t="s">
        <v>286</v>
      </c>
      <c r="F32" s="63" t="s">
        <v>330</v>
      </c>
      <c r="G32" s="64" t="s">
        <v>332</v>
      </c>
      <c r="H32" s="51">
        <v>100</v>
      </c>
      <c r="I32" s="22" t="s">
        <v>12</v>
      </c>
      <c r="J32" s="47">
        <v>0</v>
      </c>
      <c r="K32" s="48">
        <f t="shared" si="0"/>
        <v>0</v>
      </c>
      <c r="L32" s="24"/>
      <c r="M32" s="23"/>
      <c r="N32" s="23"/>
      <c r="O32" s="23"/>
      <c r="P32" s="23"/>
      <c r="Q32" s="25" t="s">
        <v>33</v>
      </c>
      <c r="R32" s="26" t="s">
        <v>34</v>
      </c>
    </row>
    <row r="33" spans="1:18" ht="15.75" customHeight="1">
      <c r="A33" s="21">
        <v>2030</v>
      </c>
      <c r="B33" s="51" t="s">
        <v>20</v>
      </c>
      <c r="C33" s="54" t="s">
        <v>70</v>
      </c>
      <c r="D33" s="51" t="s">
        <v>186</v>
      </c>
      <c r="E33" s="51" t="s">
        <v>287</v>
      </c>
      <c r="F33" s="63" t="s">
        <v>330</v>
      </c>
      <c r="G33" s="64" t="s">
        <v>334</v>
      </c>
      <c r="H33" s="51" t="s">
        <v>320</v>
      </c>
      <c r="I33" s="22" t="s">
        <v>12</v>
      </c>
      <c r="J33" s="47">
        <v>0</v>
      </c>
      <c r="K33" s="48">
        <f t="shared" si="0"/>
        <v>0</v>
      </c>
      <c r="L33" s="24"/>
      <c r="M33" s="23"/>
      <c r="N33" s="23"/>
      <c r="O33" s="23"/>
      <c r="P33" s="23"/>
      <c r="Q33" s="25" t="s">
        <v>33</v>
      </c>
      <c r="R33" s="26" t="s">
        <v>34</v>
      </c>
    </row>
    <row r="34" spans="1:18" ht="15.75" customHeight="1">
      <c r="A34" s="21">
        <v>2031</v>
      </c>
      <c r="B34" s="51" t="s">
        <v>15</v>
      </c>
      <c r="C34" s="54" t="s">
        <v>71</v>
      </c>
      <c r="D34" s="51" t="s">
        <v>187</v>
      </c>
      <c r="E34" s="51" t="s">
        <v>288</v>
      </c>
      <c r="F34" s="63" t="s">
        <v>330</v>
      </c>
      <c r="G34" s="64" t="s">
        <v>332</v>
      </c>
      <c r="H34" s="51">
        <v>300</v>
      </c>
      <c r="I34" s="22" t="s">
        <v>12</v>
      </c>
      <c r="J34" s="47">
        <v>0</v>
      </c>
      <c r="K34" s="48">
        <f t="shared" si="0"/>
        <v>0</v>
      </c>
      <c r="L34" s="24"/>
      <c r="M34" s="23"/>
      <c r="N34" s="23"/>
      <c r="O34" s="23"/>
      <c r="P34" s="23"/>
      <c r="Q34" s="25" t="s">
        <v>33</v>
      </c>
      <c r="R34" s="26" t="s">
        <v>34</v>
      </c>
    </row>
    <row r="35" spans="1:18" ht="15.75" customHeight="1">
      <c r="A35" s="21">
        <v>2032</v>
      </c>
      <c r="B35" s="51" t="s">
        <v>20</v>
      </c>
      <c r="C35" s="54" t="s">
        <v>72</v>
      </c>
      <c r="D35" s="51" t="s">
        <v>188</v>
      </c>
      <c r="E35" s="51" t="s">
        <v>270</v>
      </c>
      <c r="F35" s="63" t="s">
        <v>330</v>
      </c>
      <c r="G35" s="64" t="s">
        <v>332</v>
      </c>
      <c r="H35" s="51">
        <v>400</v>
      </c>
      <c r="I35" s="22" t="s">
        <v>12</v>
      </c>
      <c r="J35" s="47">
        <v>0</v>
      </c>
      <c r="K35" s="48">
        <f t="shared" si="0"/>
        <v>0</v>
      </c>
      <c r="L35" s="24"/>
      <c r="M35" s="23"/>
      <c r="N35" s="23"/>
      <c r="O35" s="23"/>
      <c r="P35" s="23"/>
      <c r="Q35" s="25" t="s">
        <v>33</v>
      </c>
      <c r="R35" s="26" t="s">
        <v>34</v>
      </c>
    </row>
    <row r="36" spans="1:18" ht="15.75" customHeight="1">
      <c r="A36" s="21">
        <v>2033</v>
      </c>
      <c r="B36" s="51" t="s">
        <v>20</v>
      </c>
      <c r="C36" s="54" t="s">
        <v>73</v>
      </c>
      <c r="D36" s="51" t="s">
        <v>189</v>
      </c>
      <c r="E36" s="51" t="s">
        <v>270</v>
      </c>
      <c r="F36" s="63" t="s">
        <v>330</v>
      </c>
      <c r="G36" s="64" t="s">
        <v>332</v>
      </c>
      <c r="H36" s="51" t="s">
        <v>318</v>
      </c>
      <c r="I36" s="22" t="s">
        <v>12</v>
      </c>
      <c r="J36" s="47">
        <v>0</v>
      </c>
      <c r="K36" s="48">
        <f t="shared" si="0"/>
        <v>0</v>
      </c>
      <c r="L36" s="24"/>
      <c r="M36" s="23"/>
      <c r="N36" s="23"/>
      <c r="O36" s="23"/>
      <c r="P36" s="23"/>
      <c r="Q36" s="25" t="s">
        <v>33</v>
      </c>
      <c r="R36" s="26" t="s">
        <v>34</v>
      </c>
    </row>
    <row r="37" spans="1:18" ht="15.75" customHeight="1">
      <c r="A37" s="21">
        <v>2034</v>
      </c>
      <c r="B37" s="51" t="s">
        <v>18</v>
      </c>
      <c r="C37" s="54" t="s">
        <v>74</v>
      </c>
      <c r="D37" s="51" t="s">
        <v>190</v>
      </c>
      <c r="E37" s="51" t="s">
        <v>276</v>
      </c>
      <c r="F37" s="63" t="s">
        <v>330</v>
      </c>
      <c r="G37" s="64" t="s">
        <v>332</v>
      </c>
      <c r="H37" s="51">
        <v>800</v>
      </c>
      <c r="I37" s="22" t="s">
        <v>12</v>
      </c>
      <c r="J37" s="47">
        <v>0</v>
      </c>
      <c r="K37" s="48">
        <f t="shared" si="0"/>
        <v>0</v>
      </c>
      <c r="L37" s="24"/>
      <c r="M37" s="23"/>
      <c r="N37" s="23"/>
      <c r="O37" s="23"/>
      <c r="P37" s="23"/>
      <c r="Q37" s="25" t="s">
        <v>33</v>
      </c>
      <c r="R37" s="26" t="s">
        <v>34</v>
      </c>
    </row>
    <row r="38" spans="1:18" ht="15.75" customHeight="1">
      <c r="A38" s="21">
        <v>2035</v>
      </c>
      <c r="B38" s="51" t="s">
        <v>20</v>
      </c>
      <c r="C38" s="54" t="s">
        <v>75</v>
      </c>
      <c r="D38" s="51" t="s">
        <v>191</v>
      </c>
      <c r="E38" s="51" t="s">
        <v>30</v>
      </c>
      <c r="F38" s="63" t="s">
        <v>330</v>
      </c>
      <c r="G38" s="64" t="s">
        <v>337</v>
      </c>
      <c r="H38" s="51">
        <v>100</v>
      </c>
      <c r="I38" s="22" t="s">
        <v>12</v>
      </c>
      <c r="J38" s="47">
        <v>0</v>
      </c>
      <c r="K38" s="48">
        <f t="shared" si="0"/>
        <v>0</v>
      </c>
      <c r="L38" s="24"/>
      <c r="M38" s="23"/>
      <c r="N38" s="23"/>
      <c r="O38" s="23"/>
      <c r="P38" s="23"/>
      <c r="Q38" s="25" t="s">
        <v>33</v>
      </c>
      <c r="R38" s="26" t="s">
        <v>34</v>
      </c>
    </row>
    <row r="39" spans="1:18" ht="15.75" customHeight="1">
      <c r="A39" s="21">
        <v>2036</v>
      </c>
      <c r="B39" s="51" t="s">
        <v>15</v>
      </c>
      <c r="C39" s="54" t="s">
        <v>76</v>
      </c>
      <c r="D39" s="51" t="s">
        <v>192</v>
      </c>
      <c r="E39" s="51" t="s">
        <v>288</v>
      </c>
      <c r="F39" s="63" t="s">
        <v>330</v>
      </c>
      <c r="G39" s="64" t="s">
        <v>338</v>
      </c>
      <c r="H39" s="51">
        <v>60</v>
      </c>
      <c r="I39" s="22" t="s">
        <v>12</v>
      </c>
      <c r="J39" s="47">
        <v>0</v>
      </c>
      <c r="K39" s="48">
        <f t="shared" si="0"/>
        <v>0</v>
      </c>
      <c r="L39" s="24"/>
      <c r="M39" s="23"/>
      <c r="N39" s="23"/>
      <c r="O39" s="23"/>
      <c r="P39" s="23"/>
      <c r="Q39" s="25" t="s">
        <v>33</v>
      </c>
      <c r="R39" s="26" t="s">
        <v>34</v>
      </c>
    </row>
    <row r="40" spans="1:18" ht="15.75" customHeight="1">
      <c r="A40" s="21">
        <v>2037</v>
      </c>
      <c r="B40" s="51" t="s">
        <v>16</v>
      </c>
      <c r="C40" s="54" t="s">
        <v>77</v>
      </c>
      <c r="D40" s="51" t="s">
        <v>193</v>
      </c>
      <c r="E40" s="51" t="s">
        <v>289</v>
      </c>
      <c r="F40" s="63" t="s">
        <v>330</v>
      </c>
      <c r="G40" s="64" t="s">
        <v>338</v>
      </c>
      <c r="H40" s="51">
        <v>400</v>
      </c>
      <c r="I40" s="22" t="s">
        <v>12</v>
      </c>
      <c r="J40" s="47">
        <v>0</v>
      </c>
      <c r="K40" s="48">
        <f t="shared" si="0"/>
        <v>0</v>
      </c>
      <c r="L40" s="24"/>
      <c r="M40" s="23"/>
      <c r="N40" s="23"/>
      <c r="O40" s="23"/>
      <c r="P40" s="23"/>
      <c r="Q40" s="25" t="s">
        <v>33</v>
      </c>
      <c r="R40" s="26" t="s">
        <v>34</v>
      </c>
    </row>
    <row r="41" spans="1:18" ht="15.75" customHeight="1">
      <c r="A41" s="21">
        <v>2038</v>
      </c>
      <c r="B41" s="51" t="s">
        <v>14</v>
      </c>
      <c r="C41" s="54" t="s">
        <v>78</v>
      </c>
      <c r="D41" s="51" t="s">
        <v>194</v>
      </c>
      <c r="E41" s="51" t="s">
        <v>290</v>
      </c>
      <c r="F41" s="63" t="s">
        <v>330</v>
      </c>
      <c r="G41" s="64" t="s">
        <v>337</v>
      </c>
      <c r="H41" s="51">
        <v>120</v>
      </c>
      <c r="I41" s="22" t="s">
        <v>12</v>
      </c>
      <c r="J41" s="47">
        <v>0</v>
      </c>
      <c r="K41" s="48">
        <f t="shared" si="0"/>
        <v>0</v>
      </c>
      <c r="L41" s="24"/>
      <c r="M41" s="23"/>
      <c r="N41" s="23"/>
      <c r="O41" s="23"/>
      <c r="P41" s="23"/>
      <c r="Q41" s="25" t="s">
        <v>33</v>
      </c>
      <c r="R41" s="26" t="s">
        <v>34</v>
      </c>
    </row>
    <row r="42" spans="1:18" ht="15.75" customHeight="1">
      <c r="A42" s="21">
        <v>2039</v>
      </c>
      <c r="B42" s="51" t="s">
        <v>40</v>
      </c>
      <c r="C42" s="54" t="s">
        <v>79</v>
      </c>
      <c r="D42" s="51" t="s">
        <v>195</v>
      </c>
      <c r="E42" s="51" t="s">
        <v>270</v>
      </c>
      <c r="F42" s="63" t="s">
        <v>330</v>
      </c>
      <c r="G42" s="64" t="s">
        <v>337</v>
      </c>
      <c r="H42" s="51">
        <v>100</v>
      </c>
      <c r="I42" s="22" t="s">
        <v>12</v>
      </c>
      <c r="J42" s="47">
        <v>0</v>
      </c>
      <c r="K42" s="48">
        <f t="shared" si="0"/>
        <v>0</v>
      </c>
      <c r="L42" s="24"/>
      <c r="M42" s="23"/>
      <c r="N42" s="23"/>
      <c r="O42" s="23"/>
      <c r="P42" s="23"/>
      <c r="Q42" s="25" t="s">
        <v>33</v>
      </c>
      <c r="R42" s="26" t="s">
        <v>34</v>
      </c>
    </row>
    <row r="43" spans="1:18" ht="15.75" customHeight="1">
      <c r="A43" s="21">
        <v>2040</v>
      </c>
      <c r="B43" s="51">
        <v>5305</v>
      </c>
      <c r="C43" s="54" t="s">
        <v>80</v>
      </c>
      <c r="D43" s="51" t="s">
        <v>196</v>
      </c>
      <c r="E43" s="51" t="s">
        <v>30</v>
      </c>
      <c r="F43" s="63" t="s">
        <v>330</v>
      </c>
      <c r="G43" s="64" t="s">
        <v>339</v>
      </c>
      <c r="H43" s="55">
        <v>80</v>
      </c>
      <c r="I43" s="22" t="s">
        <v>12</v>
      </c>
      <c r="J43" s="47">
        <v>0</v>
      </c>
      <c r="K43" s="48">
        <f t="shared" si="0"/>
        <v>0</v>
      </c>
      <c r="L43" s="24"/>
      <c r="M43" s="23"/>
      <c r="N43" s="23"/>
      <c r="O43" s="23"/>
      <c r="P43" s="23"/>
      <c r="Q43" s="25" t="s">
        <v>33</v>
      </c>
      <c r="R43" s="26" t="s">
        <v>34</v>
      </c>
    </row>
    <row r="44" spans="1:18" ht="15.75" customHeight="1">
      <c r="A44" s="21">
        <v>2041</v>
      </c>
      <c r="B44" s="51">
        <v>5305</v>
      </c>
      <c r="C44" s="54" t="s">
        <v>81</v>
      </c>
      <c r="D44" s="51" t="s">
        <v>197</v>
      </c>
      <c r="E44" s="51" t="s">
        <v>30</v>
      </c>
      <c r="F44" s="63" t="s">
        <v>330</v>
      </c>
      <c r="G44" s="64" t="s">
        <v>333</v>
      </c>
      <c r="H44" s="55">
        <v>75</v>
      </c>
      <c r="I44" s="22" t="s">
        <v>12</v>
      </c>
      <c r="J44" s="47">
        <v>0</v>
      </c>
      <c r="K44" s="48">
        <f t="shared" si="0"/>
        <v>0</v>
      </c>
      <c r="L44" s="24"/>
      <c r="M44" s="25"/>
      <c r="N44" s="25"/>
      <c r="O44" s="25"/>
      <c r="P44" s="25"/>
      <c r="Q44" s="25" t="s">
        <v>33</v>
      </c>
      <c r="R44" s="26" t="s">
        <v>34</v>
      </c>
    </row>
    <row r="45" spans="1:18" ht="15.75" customHeight="1">
      <c r="A45" s="21">
        <v>2042</v>
      </c>
      <c r="B45" s="51">
        <v>5310</v>
      </c>
      <c r="C45" s="54" t="s">
        <v>82</v>
      </c>
      <c r="D45" s="51" t="s">
        <v>198</v>
      </c>
      <c r="E45" s="51" t="s">
        <v>291</v>
      </c>
      <c r="F45" s="63" t="s">
        <v>330</v>
      </c>
      <c r="G45" s="64" t="s">
        <v>340</v>
      </c>
      <c r="H45" s="55">
        <v>500</v>
      </c>
      <c r="I45" s="22" t="s">
        <v>12</v>
      </c>
      <c r="J45" s="47">
        <v>0</v>
      </c>
      <c r="K45" s="48">
        <f t="shared" si="0"/>
        <v>0</v>
      </c>
      <c r="L45" s="24"/>
      <c r="M45" s="23"/>
      <c r="N45" s="23"/>
      <c r="O45" s="23"/>
      <c r="P45" s="23"/>
      <c r="Q45" s="25" t="s">
        <v>33</v>
      </c>
      <c r="R45" s="26" t="s">
        <v>34</v>
      </c>
    </row>
    <row r="46" spans="1:18" ht="15.75" customHeight="1">
      <c r="A46" s="21">
        <v>2043</v>
      </c>
      <c r="B46" s="51">
        <v>5340</v>
      </c>
      <c r="C46" s="54" t="s">
        <v>83</v>
      </c>
      <c r="D46" s="51" t="s">
        <v>199</v>
      </c>
      <c r="E46" s="51" t="s">
        <v>31</v>
      </c>
      <c r="F46" s="63" t="s">
        <v>330</v>
      </c>
      <c r="G46" s="64" t="s">
        <v>336</v>
      </c>
      <c r="H46" s="55">
        <v>100</v>
      </c>
      <c r="I46" s="22" t="s">
        <v>12</v>
      </c>
      <c r="J46" s="47">
        <v>0</v>
      </c>
      <c r="K46" s="48">
        <f t="shared" si="0"/>
        <v>0</v>
      </c>
      <c r="L46" s="24"/>
      <c r="M46" s="23"/>
      <c r="N46" s="23"/>
      <c r="O46" s="23"/>
      <c r="P46" s="23"/>
      <c r="Q46" s="25" t="s">
        <v>33</v>
      </c>
      <c r="R46" s="26" t="s">
        <v>34</v>
      </c>
    </row>
    <row r="47" spans="1:18" ht="15.75" customHeight="1">
      <c r="A47" s="21">
        <v>2044</v>
      </c>
      <c r="B47" s="51">
        <v>5305</v>
      </c>
      <c r="C47" s="54" t="s">
        <v>84</v>
      </c>
      <c r="D47" s="51" t="s">
        <v>200</v>
      </c>
      <c r="E47" s="51" t="s">
        <v>23</v>
      </c>
      <c r="F47" s="63" t="s">
        <v>330</v>
      </c>
      <c r="G47" s="64" t="s">
        <v>338</v>
      </c>
      <c r="H47" s="55">
        <v>50</v>
      </c>
      <c r="I47" s="22" t="s">
        <v>12</v>
      </c>
      <c r="J47" s="47">
        <v>0</v>
      </c>
      <c r="K47" s="48">
        <f t="shared" si="0"/>
        <v>0</v>
      </c>
      <c r="L47" s="24"/>
      <c r="M47" s="23"/>
      <c r="N47" s="23"/>
      <c r="O47" s="23"/>
      <c r="P47" s="23"/>
      <c r="Q47" s="25" t="s">
        <v>33</v>
      </c>
      <c r="R47" s="26" t="s">
        <v>34</v>
      </c>
    </row>
    <row r="48" spans="1:18" ht="15.75" customHeight="1">
      <c r="A48" s="21">
        <v>2045</v>
      </c>
      <c r="B48" s="51">
        <v>5305</v>
      </c>
      <c r="C48" s="54" t="s">
        <v>85</v>
      </c>
      <c r="D48" s="51" t="s">
        <v>201</v>
      </c>
      <c r="E48" s="51" t="s">
        <v>292</v>
      </c>
      <c r="F48" s="63" t="s">
        <v>330</v>
      </c>
      <c r="G48" s="64" t="s">
        <v>335</v>
      </c>
      <c r="H48" s="55">
        <v>150</v>
      </c>
      <c r="I48" s="22" t="s">
        <v>12</v>
      </c>
      <c r="J48" s="47">
        <v>0</v>
      </c>
      <c r="K48" s="48">
        <f t="shared" si="0"/>
        <v>0</v>
      </c>
      <c r="L48" s="24"/>
      <c r="M48" s="23"/>
      <c r="N48" s="23"/>
      <c r="O48" s="23"/>
      <c r="P48" s="23"/>
      <c r="Q48" s="25" t="s">
        <v>33</v>
      </c>
      <c r="R48" s="26" t="s">
        <v>34</v>
      </c>
    </row>
    <row r="49" spans="1:18" ht="15.75" customHeight="1">
      <c r="A49" s="21">
        <v>2046</v>
      </c>
      <c r="B49" s="51">
        <v>5331</v>
      </c>
      <c r="C49" s="54" t="s">
        <v>86</v>
      </c>
      <c r="D49" s="51" t="s">
        <v>202</v>
      </c>
      <c r="E49" s="51" t="s">
        <v>277</v>
      </c>
      <c r="F49" s="63" t="s">
        <v>330</v>
      </c>
      <c r="G49" s="64" t="s">
        <v>331</v>
      </c>
      <c r="H49" s="55">
        <v>800</v>
      </c>
      <c r="I49" s="22" t="s">
        <v>12</v>
      </c>
      <c r="J49" s="47">
        <v>0</v>
      </c>
      <c r="K49" s="48">
        <f t="shared" si="0"/>
        <v>0</v>
      </c>
      <c r="L49" s="24"/>
      <c r="M49" s="23"/>
      <c r="N49" s="23"/>
      <c r="O49" s="23"/>
      <c r="P49" s="23"/>
      <c r="Q49" s="25" t="s">
        <v>33</v>
      </c>
      <c r="R49" s="26" t="s">
        <v>34</v>
      </c>
    </row>
    <row r="50" spans="1:18">
      <c r="A50" s="21">
        <v>2047</v>
      </c>
      <c r="B50" s="51">
        <v>5331</v>
      </c>
      <c r="C50" s="54" t="s">
        <v>87</v>
      </c>
      <c r="D50" s="51" t="s">
        <v>203</v>
      </c>
      <c r="E50" s="51" t="s">
        <v>277</v>
      </c>
      <c r="F50" s="68" t="s">
        <v>330</v>
      </c>
      <c r="G50" s="64" t="s">
        <v>340</v>
      </c>
      <c r="H50" s="55">
        <v>50</v>
      </c>
      <c r="I50" s="22" t="s">
        <v>12</v>
      </c>
      <c r="J50" s="47">
        <v>0</v>
      </c>
      <c r="K50" s="48">
        <f t="shared" si="0"/>
        <v>0</v>
      </c>
      <c r="L50" s="24"/>
      <c r="M50" s="23"/>
      <c r="N50" s="23"/>
      <c r="O50" s="23"/>
      <c r="P50" s="23"/>
      <c r="Q50" s="25" t="s">
        <v>33</v>
      </c>
      <c r="R50" s="26" t="s">
        <v>34</v>
      </c>
    </row>
    <row r="51" spans="1:18">
      <c r="A51" s="21">
        <v>2048</v>
      </c>
      <c r="B51" s="51">
        <v>4730</v>
      </c>
      <c r="C51" s="54" t="s">
        <v>88</v>
      </c>
      <c r="D51" s="51" t="s">
        <v>204</v>
      </c>
      <c r="E51" s="51" t="s">
        <v>31</v>
      </c>
      <c r="F51" s="63" t="s">
        <v>330</v>
      </c>
      <c r="G51" s="64" t="s">
        <v>331</v>
      </c>
      <c r="H51" s="55">
        <v>500</v>
      </c>
      <c r="I51" s="22" t="s">
        <v>12</v>
      </c>
      <c r="J51" s="47">
        <v>0</v>
      </c>
      <c r="K51" s="48">
        <f t="shared" si="0"/>
        <v>0</v>
      </c>
      <c r="L51" s="24"/>
      <c r="M51" s="23"/>
      <c r="N51" s="23"/>
      <c r="O51" s="23"/>
      <c r="P51" s="23"/>
      <c r="Q51" s="25" t="s">
        <v>33</v>
      </c>
      <c r="R51" s="26" t="s">
        <v>34</v>
      </c>
    </row>
    <row r="52" spans="1:18">
      <c r="A52" s="21">
        <v>2049</v>
      </c>
      <c r="B52" s="51">
        <v>5325</v>
      </c>
      <c r="C52" s="54" t="s">
        <v>89</v>
      </c>
      <c r="D52" s="51" t="s">
        <v>205</v>
      </c>
      <c r="E52" s="51" t="s">
        <v>28</v>
      </c>
      <c r="F52" s="63" t="s">
        <v>330</v>
      </c>
      <c r="G52" s="64" t="s">
        <v>340</v>
      </c>
      <c r="H52" s="55">
        <v>150</v>
      </c>
      <c r="I52" s="22" t="s">
        <v>12</v>
      </c>
      <c r="J52" s="47">
        <v>0</v>
      </c>
      <c r="K52" s="48">
        <f t="shared" si="0"/>
        <v>0</v>
      </c>
      <c r="L52" s="24"/>
      <c r="M52" s="23"/>
      <c r="N52" s="23"/>
      <c r="O52" s="23"/>
      <c r="P52" s="23"/>
      <c r="Q52" s="25" t="s">
        <v>33</v>
      </c>
      <c r="R52" s="26" t="s">
        <v>34</v>
      </c>
    </row>
    <row r="53" spans="1:18">
      <c r="A53" s="21">
        <v>2050</v>
      </c>
      <c r="B53" s="51">
        <v>5325</v>
      </c>
      <c r="C53" s="54" t="s">
        <v>90</v>
      </c>
      <c r="D53" s="51" t="s">
        <v>206</v>
      </c>
      <c r="E53" s="51" t="s">
        <v>28</v>
      </c>
      <c r="F53" s="63" t="s">
        <v>330</v>
      </c>
      <c r="G53" s="64" t="s">
        <v>340</v>
      </c>
      <c r="H53" s="55">
        <v>400</v>
      </c>
      <c r="I53" s="22" t="s">
        <v>12</v>
      </c>
      <c r="J53" s="47">
        <v>0</v>
      </c>
      <c r="K53" s="48">
        <f t="shared" si="0"/>
        <v>0</v>
      </c>
      <c r="L53" s="24"/>
      <c r="M53" s="23"/>
      <c r="N53" s="23"/>
      <c r="O53" s="23"/>
      <c r="P53" s="23"/>
      <c r="Q53" s="25" t="s">
        <v>33</v>
      </c>
      <c r="R53" s="26" t="s">
        <v>34</v>
      </c>
    </row>
    <row r="54" spans="1:18">
      <c r="A54" s="21">
        <v>2051</v>
      </c>
      <c r="B54" s="51">
        <v>5305</v>
      </c>
      <c r="C54" s="54" t="s">
        <v>91</v>
      </c>
      <c r="D54" s="51" t="s">
        <v>207</v>
      </c>
      <c r="E54" s="51" t="s">
        <v>30</v>
      </c>
      <c r="F54" s="63" t="s">
        <v>330</v>
      </c>
      <c r="G54" s="64" t="s">
        <v>340</v>
      </c>
      <c r="H54" s="55">
        <v>800</v>
      </c>
      <c r="I54" s="22" t="s">
        <v>12</v>
      </c>
      <c r="J54" s="47">
        <v>0</v>
      </c>
      <c r="K54" s="48">
        <f t="shared" si="0"/>
        <v>0</v>
      </c>
      <c r="L54" s="24"/>
      <c r="M54" s="23"/>
      <c r="N54" s="23"/>
      <c r="O54" s="23"/>
      <c r="P54" s="23"/>
      <c r="Q54" s="25" t="s">
        <v>33</v>
      </c>
      <c r="R54" s="26" t="s">
        <v>34</v>
      </c>
    </row>
    <row r="55" spans="1:18">
      <c r="A55" s="21">
        <v>2052</v>
      </c>
      <c r="B55" s="51">
        <v>5331</v>
      </c>
      <c r="C55" s="54" t="s">
        <v>92</v>
      </c>
      <c r="D55" s="51" t="s">
        <v>208</v>
      </c>
      <c r="E55" s="51" t="s">
        <v>277</v>
      </c>
      <c r="F55" s="63" t="s">
        <v>330</v>
      </c>
      <c r="G55" s="64" t="s">
        <v>340</v>
      </c>
      <c r="H55" s="55">
        <v>200</v>
      </c>
      <c r="I55" s="22" t="s">
        <v>12</v>
      </c>
      <c r="J55" s="47">
        <v>0</v>
      </c>
      <c r="K55" s="48">
        <f t="shared" si="0"/>
        <v>0</v>
      </c>
      <c r="L55" s="24"/>
      <c r="M55" s="23"/>
      <c r="N55" s="23"/>
      <c r="O55" s="23"/>
      <c r="P55" s="23"/>
      <c r="Q55" s="25" t="s">
        <v>33</v>
      </c>
      <c r="R55" s="26" t="s">
        <v>34</v>
      </c>
    </row>
    <row r="56" spans="1:18">
      <c r="A56" s="21">
        <v>2053</v>
      </c>
      <c r="B56" s="51">
        <v>5331</v>
      </c>
      <c r="C56" s="54" t="s">
        <v>93</v>
      </c>
      <c r="D56" s="51" t="s">
        <v>209</v>
      </c>
      <c r="E56" s="51" t="s">
        <v>277</v>
      </c>
      <c r="F56" s="63" t="s">
        <v>330</v>
      </c>
      <c r="G56" s="64" t="s">
        <v>340</v>
      </c>
      <c r="H56" s="55">
        <v>50</v>
      </c>
      <c r="I56" s="22" t="s">
        <v>12</v>
      </c>
      <c r="J56" s="47">
        <v>0</v>
      </c>
      <c r="K56" s="48">
        <f t="shared" si="0"/>
        <v>0</v>
      </c>
      <c r="L56" s="24"/>
      <c r="M56" s="23"/>
      <c r="N56" s="23"/>
      <c r="O56" s="23"/>
      <c r="P56" s="23"/>
      <c r="Q56" s="25" t="s">
        <v>33</v>
      </c>
      <c r="R56" s="26" t="s">
        <v>34</v>
      </c>
    </row>
    <row r="57" spans="1:18">
      <c r="A57" s="21">
        <v>2054</v>
      </c>
      <c r="B57" s="51">
        <v>5331</v>
      </c>
      <c r="C57" s="54" t="s">
        <v>94</v>
      </c>
      <c r="D57" s="51" t="s">
        <v>210</v>
      </c>
      <c r="E57" s="51" t="s">
        <v>277</v>
      </c>
      <c r="F57" s="63" t="s">
        <v>330</v>
      </c>
      <c r="G57" s="64" t="s">
        <v>340</v>
      </c>
      <c r="H57" s="55">
        <v>150</v>
      </c>
      <c r="I57" s="22" t="s">
        <v>12</v>
      </c>
      <c r="J57" s="47">
        <v>0</v>
      </c>
      <c r="K57" s="48">
        <f t="shared" si="0"/>
        <v>0</v>
      </c>
      <c r="L57" s="24"/>
      <c r="M57" s="23"/>
      <c r="N57" s="23"/>
      <c r="O57" s="23"/>
      <c r="P57" s="23"/>
      <c r="Q57" s="25" t="s">
        <v>33</v>
      </c>
      <c r="R57" s="26" t="s">
        <v>34</v>
      </c>
    </row>
    <row r="58" spans="1:18">
      <c r="A58" s="21">
        <v>2055</v>
      </c>
      <c r="B58" s="51">
        <v>5331</v>
      </c>
      <c r="C58" s="54" t="s">
        <v>95</v>
      </c>
      <c r="D58" s="51" t="s">
        <v>211</v>
      </c>
      <c r="E58" s="51" t="s">
        <v>277</v>
      </c>
      <c r="F58" s="63" t="s">
        <v>330</v>
      </c>
      <c r="G58" s="64" t="s">
        <v>335</v>
      </c>
      <c r="H58" s="55">
        <v>200</v>
      </c>
      <c r="I58" s="22" t="s">
        <v>12</v>
      </c>
      <c r="J58" s="47">
        <v>0</v>
      </c>
      <c r="K58" s="48">
        <f t="shared" si="0"/>
        <v>0</v>
      </c>
      <c r="L58" s="24"/>
      <c r="M58" s="23"/>
      <c r="N58" s="23"/>
      <c r="O58" s="23"/>
      <c r="P58" s="23"/>
      <c r="Q58" s="25" t="s">
        <v>33</v>
      </c>
      <c r="R58" s="26" t="s">
        <v>34</v>
      </c>
    </row>
    <row r="59" spans="1:18">
      <c r="A59" s="21">
        <v>2056</v>
      </c>
      <c r="B59" s="51">
        <v>5305</v>
      </c>
      <c r="C59" s="54" t="s">
        <v>96</v>
      </c>
      <c r="D59" s="51" t="s">
        <v>212</v>
      </c>
      <c r="E59" s="51" t="s">
        <v>293</v>
      </c>
      <c r="F59" s="68" t="s">
        <v>330</v>
      </c>
      <c r="G59" s="64" t="s">
        <v>340</v>
      </c>
      <c r="H59" s="55">
        <v>4500</v>
      </c>
      <c r="I59" s="22" t="s">
        <v>12</v>
      </c>
      <c r="J59" s="47">
        <v>0</v>
      </c>
      <c r="K59" s="48">
        <f t="shared" si="0"/>
        <v>0</v>
      </c>
      <c r="L59" s="24"/>
      <c r="M59" s="23"/>
      <c r="N59" s="23"/>
      <c r="O59" s="23"/>
      <c r="P59" s="23"/>
      <c r="Q59" s="25" t="s">
        <v>33</v>
      </c>
      <c r="R59" s="26" t="s">
        <v>34</v>
      </c>
    </row>
    <row r="60" spans="1:18">
      <c r="A60" s="21">
        <v>2057</v>
      </c>
      <c r="B60" s="51">
        <v>5305</v>
      </c>
      <c r="C60" s="54" t="s">
        <v>97</v>
      </c>
      <c r="D60" s="51" t="s">
        <v>213</v>
      </c>
      <c r="E60" s="51" t="s">
        <v>30</v>
      </c>
      <c r="F60" s="63" t="s">
        <v>330</v>
      </c>
      <c r="G60" s="64" t="s">
        <v>338</v>
      </c>
      <c r="H60" s="55">
        <v>2000</v>
      </c>
      <c r="I60" s="22" t="s">
        <v>12</v>
      </c>
      <c r="J60" s="47">
        <v>0</v>
      </c>
      <c r="K60" s="48">
        <f t="shared" si="0"/>
        <v>0</v>
      </c>
      <c r="L60" s="24"/>
      <c r="M60" s="23"/>
      <c r="N60" s="23"/>
      <c r="O60" s="23"/>
      <c r="P60" s="23"/>
      <c r="Q60" s="25" t="s">
        <v>33</v>
      </c>
      <c r="R60" s="26" t="s">
        <v>34</v>
      </c>
    </row>
    <row r="61" spans="1:18">
      <c r="A61" s="21">
        <v>2058</v>
      </c>
      <c r="B61" s="51">
        <v>5310</v>
      </c>
      <c r="C61" s="54" t="s">
        <v>98</v>
      </c>
      <c r="D61" s="51" t="s">
        <v>214</v>
      </c>
      <c r="E61" s="51" t="s">
        <v>294</v>
      </c>
      <c r="F61" s="63" t="s">
        <v>330</v>
      </c>
      <c r="G61" s="64" t="s">
        <v>335</v>
      </c>
      <c r="H61" s="55">
        <v>600</v>
      </c>
      <c r="I61" s="22" t="s">
        <v>12</v>
      </c>
      <c r="J61" s="47">
        <v>0</v>
      </c>
      <c r="K61" s="48">
        <f t="shared" si="0"/>
        <v>0</v>
      </c>
      <c r="L61" s="24"/>
      <c r="M61" s="23"/>
      <c r="N61" s="23"/>
      <c r="O61" s="23"/>
      <c r="P61" s="23"/>
      <c r="Q61" s="25" t="s">
        <v>33</v>
      </c>
      <c r="R61" s="26" t="s">
        <v>34</v>
      </c>
    </row>
    <row r="62" spans="1:18">
      <c r="A62" s="21">
        <v>2059</v>
      </c>
      <c r="B62" s="51">
        <v>5310</v>
      </c>
      <c r="C62" s="54" t="s">
        <v>99</v>
      </c>
      <c r="D62" s="51" t="s">
        <v>215</v>
      </c>
      <c r="E62" s="51" t="s">
        <v>294</v>
      </c>
      <c r="F62" s="63" t="s">
        <v>330</v>
      </c>
      <c r="G62" s="64" t="s">
        <v>335</v>
      </c>
      <c r="H62" s="55">
        <v>1200</v>
      </c>
      <c r="I62" s="22" t="s">
        <v>12</v>
      </c>
      <c r="J62" s="47">
        <v>0</v>
      </c>
      <c r="K62" s="48">
        <f t="shared" si="0"/>
        <v>0</v>
      </c>
      <c r="L62" s="24"/>
      <c r="M62" s="23"/>
      <c r="N62" s="23"/>
      <c r="O62" s="23"/>
      <c r="P62" s="23"/>
      <c r="Q62" s="25" t="s">
        <v>33</v>
      </c>
      <c r="R62" s="26" t="s">
        <v>34</v>
      </c>
    </row>
    <row r="63" spans="1:18">
      <c r="A63" s="21">
        <v>2060</v>
      </c>
      <c r="B63" s="51">
        <v>5305</v>
      </c>
      <c r="C63" s="54" t="s">
        <v>100</v>
      </c>
      <c r="D63" s="51" t="s">
        <v>216</v>
      </c>
      <c r="E63" s="51" t="s">
        <v>30</v>
      </c>
      <c r="F63" s="63" t="s">
        <v>330</v>
      </c>
      <c r="G63" s="64" t="s">
        <v>339</v>
      </c>
      <c r="H63" s="55">
        <v>400</v>
      </c>
      <c r="I63" s="22" t="s">
        <v>12</v>
      </c>
      <c r="J63" s="47">
        <v>0</v>
      </c>
      <c r="K63" s="48">
        <f t="shared" si="0"/>
        <v>0</v>
      </c>
      <c r="L63" s="24"/>
      <c r="M63" s="23"/>
      <c r="N63" s="23"/>
      <c r="O63" s="23"/>
      <c r="P63" s="23"/>
      <c r="Q63" s="25" t="s">
        <v>33</v>
      </c>
      <c r="R63" s="26" t="s">
        <v>34</v>
      </c>
    </row>
    <row r="64" spans="1:18">
      <c r="A64" s="21">
        <v>2061</v>
      </c>
      <c r="B64" s="51">
        <v>5305</v>
      </c>
      <c r="C64" s="54" t="s">
        <v>101</v>
      </c>
      <c r="D64" s="51" t="s">
        <v>217</v>
      </c>
      <c r="E64" s="51" t="s">
        <v>30</v>
      </c>
      <c r="F64" s="63" t="s">
        <v>330</v>
      </c>
      <c r="G64" s="64" t="s">
        <v>339</v>
      </c>
      <c r="H64" s="55">
        <v>800</v>
      </c>
      <c r="I64" s="22" t="s">
        <v>12</v>
      </c>
      <c r="J64" s="47">
        <v>0</v>
      </c>
      <c r="K64" s="48">
        <f t="shared" si="0"/>
        <v>0</v>
      </c>
      <c r="L64" s="24"/>
      <c r="M64" s="23"/>
      <c r="N64" s="23"/>
      <c r="O64" s="23"/>
      <c r="P64" s="23"/>
      <c r="Q64" s="25" t="s">
        <v>33</v>
      </c>
      <c r="R64" s="26" t="s">
        <v>34</v>
      </c>
    </row>
    <row r="65" spans="1:18">
      <c r="A65" s="21">
        <v>2062</v>
      </c>
      <c r="B65" s="51">
        <v>5305</v>
      </c>
      <c r="C65" s="54" t="s">
        <v>102</v>
      </c>
      <c r="D65" s="51" t="s">
        <v>218</v>
      </c>
      <c r="E65" s="51" t="s">
        <v>23</v>
      </c>
      <c r="F65" s="63" t="s">
        <v>330</v>
      </c>
      <c r="G65" s="64" t="s">
        <v>340</v>
      </c>
      <c r="H65" s="55">
        <v>4000</v>
      </c>
      <c r="I65" s="22" t="s">
        <v>12</v>
      </c>
      <c r="J65" s="47">
        <v>0</v>
      </c>
      <c r="K65" s="48">
        <f t="shared" si="0"/>
        <v>0</v>
      </c>
      <c r="L65" s="24"/>
      <c r="M65" s="23"/>
      <c r="N65" s="23"/>
      <c r="O65" s="23"/>
      <c r="P65" s="23"/>
      <c r="Q65" s="25" t="s">
        <v>33</v>
      </c>
      <c r="R65" s="26" t="s">
        <v>34</v>
      </c>
    </row>
    <row r="66" spans="1:18">
      <c r="A66" s="21">
        <v>2063</v>
      </c>
      <c r="B66" s="51">
        <v>5305</v>
      </c>
      <c r="C66" s="54" t="s">
        <v>103</v>
      </c>
      <c r="D66" s="51" t="s">
        <v>219</v>
      </c>
      <c r="E66" s="51" t="s">
        <v>23</v>
      </c>
      <c r="F66" s="63" t="s">
        <v>330</v>
      </c>
      <c r="G66" s="64" t="s">
        <v>340</v>
      </c>
      <c r="H66" s="55">
        <v>500</v>
      </c>
      <c r="I66" s="22" t="s">
        <v>12</v>
      </c>
      <c r="J66" s="47">
        <v>0</v>
      </c>
      <c r="K66" s="48">
        <f t="shared" si="0"/>
        <v>0</v>
      </c>
      <c r="L66" s="24"/>
      <c r="M66" s="23"/>
      <c r="N66" s="23"/>
      <c r="O66" s="23"/>
      <c r="P66" s="23"/>
      <c r="Q66" s="25" t="s">
        <v>33</v>
      </c>
      <c r="R66" s="26" t="s">
        <v>34</v>
      </c>
    </row>
    <row r="67" spans="1:18">
      <c r="A67" s="21">
        <v>2064</v>
      </c>
      <c r="B67" s="51">
        <v>5305</v>
      </c>
      <c r="C67" s="54" t="s">
        <v>104</v>
      </c>
      <c r="D67" s="51" t="s">
        <v>220</v>
      </c>
      <c r="E67" s="51" t="s">
        <v>23</v>
      </c>
      <c r="F67" s="63" t="s">
        <v>330</v>
      </c>
      <c r="G67" s="64" t="s">
        <v>340</v>
      </c>
      <c r="H67" s="55">
        <v>1500</v>
      </c>
      <c r="I67" s="22" t="s">
        <v>12</v>
      </c>
      <c r="J67" s="47">
        <v>0</v>
      </c>
      <c r="K67" s="48">
        <f t="shared" si="0"/>
        <v>0</v>
      </c>
      <c r="L67" s="24"/>
      <c r="M67" s="23"/>
      <c r="N67" s="23"/>
      <c r="O67" s="23"/>
      <c r="P67" s="23"/>
      <c r="Q67" s="25" t="s">
        <v>33</v>
      </c>
      <c r="R67" s="26" t="s">
        <v>34</v>
      </c>
    </row>
    <row r="68" spans="1:18">
      <c r="A68" s="21">
        <v>2065</v>
      </c>
      <c r="B68" s="51">
        <v>5340</v>
      </c>
      <c r="C68" s="54" t="s">
        <v>105</v>
      </c>
      <c r="D68" s="51" t="s">
        <v>221</v>
      </c>
      <c r="E68" s="51" t="s">
        <v>31</v>
      </c>
      <c r="F68" s="63" t="s">
        <v>330</v>
      </c>
      <c r="G68" s="64" t="s">
        <v>340</v>
      </c>
      <c r="H68" s="55">
        <v>160</v>
      </c>
      <c r="I68" s="22" t="s">
        <v>12</v>
      </c>
      <c r="J68" s="47">
        <v>0</v>
      </c>
      <c r="K68" s="48">
        <f t="shared" si="0"/>
        <v>0</v>
      </c>
      <c r="L68" s="24"/>
      <c r="M68" s="23"/>
      <c r="N68" s="23"/>
      <c r="O68" s="23"/>
      <c r="P68" s="23"/>
      <c r="Q68" s="25" t="s">
        <v>33</v>
      </c>
      <c r="R68" s="26" t="s">
        <v>34</v>
      </c>
    </row>
    <row r="69" spans="1:18">
      <c r="A69" s="21">
        <v>2066</v>
      </c>
      <c r="B69" s="51">
        <v>5310</v>
      </c>
      <c r="C69" s="54" t="s">
        <v>106</v>
      </c>
      <c r="D69" s="51" t="s">
        <v>222</v>
      </c>
      <c r="E69" s="51" t="s">
        <v>294</v>
      </c>
      <c r="F69" s="63" t="s">
        <v>330</v>
      </c>
      <c r="G69" s="64" t="s">
        <v>333</v>
      </c>
      <c r="H69" s="55">
        <v>2000</v>
      </c>
      <c r="I69" s="22" t="s">
        <v>12</v>
      </c>
      <c r="J69" s="47">
        <v>0</v>
      </c>
      <c r="K69" s="48">
        <f t="shared" ref="K69:K119" si="1">SUM(J69*H69)</f>
        <v>0</v>
      </c>
      <c r="L69" s="24"/>
      <c r="M69" s="23"/>
      <c r="N69" s="23"/>
      <c r="O69" s="23"/>
      <c r="P69" s="23"/>
      <c r="Q69" s="25" t="s">
        <v>33</v>
      </c>
      <c r="R69" s="26" t="s">
        <v>34</v>
      </c>
    </row>
    <row r="70" spans="1:18">
      <c r="A70" s="21">
        <v>2067</v>
      </c>
      <c r="B70" s="51">
        <v>5305</v>
      </c>
      <c r="C70" s="54" t="s">
        <v>107</v>
      </c>
      <c r="D70" s="51" t="s">
        <v>223</v>
      </c>
      <c r="E70" s="51" t="s">
        <v>30</v>
      </c>
      <c r="F70" s="63" t="s">
        <v>330</v>
      </c>
      <c r="G70" s="64" t="s">
        <v>331</v>
      </c>
      <c r="H70" s="55">
        <v>400</v>
      </c>
      <c r="I70" s="22" t="s">
        <v>12</v>
      </c>
      <c r="J70" s="47">
        <v>0</v>
      </c>
      <c r="K70" s="48">
        <f t="shared" si="1"/>
        <v>0</v>
      </c>
      <c r="L70" s="24"/>
      <c r="M70" s="23"/>
      <c r="N70" s="23"/>
      <c r="O70" s="23"/>
      <c r="P70" s="23"/>
      <c r="Q70" s="25" t="s">
        <v>33</v>
      </c>
      <c r="R70" s="26" t="s">
        <v>34</v>
      </c>
    </row>
    <row r="71" spans="1:18">
      <c r="A71" s="21">
        <v>2068</v>
      </c>
      <c r="B71" s="51">
        <v>5305</v>
      </c>
      <c r="C71" s="54" t="s">
        <v>108</v>
      </c>
      <c r="D71" s="51" t="s">
        <v>224</v>
      </c>
      <c r="E71" s="51" t="s">
        <v>30</v>
      </c>
      <c r="F71" s="63" t="s">
        <v>330</v>
      </c>
      <c r="G71" s="64" t="s">
        <v>340</v>
      </c>
      <c r="H71" s="55">
        <v>1200</v>
      </c>
      <c r="I71" s="22" t="s">
        <v>12</v>
      </c>
      <c r="J71" s="47">
        <v>0</v>
      </c>
      <c r="K71" s="48">
        <f t="shared" si="1"/>
        <v>0</v>
      </c>
      <c r="L71" s="24"/>
      <c r="M71" s="23"/>
      <c r="N71" s="23"/>
      <c r="O71" s="23"/>
      <c r="P71" s="23"/>
      <c r="Q71" s="25" t="s">
        <v>33</v>
      </c>
      <c r="R71" s="26" t="s">
        <v>34</v>
      </c>
    </row>
    <row r="72" spans="1:18">
      <c r="A72" s="21">
        <v>2069</v>
      </c>
      <c r="B72" s="51">
        <v>5305</v>
      </c>
      <c r="C72" s="54" t="s">
        <v>109</v>
      </c>
      <c r="D72" s="51" t="s">
        <v>225</v>
      </c>
      <c r="E72" s="51" t="s">
        <v>30</v>
      </c>
      <c r="F72" s="63" t="s">
        <v>330</v>
      </c>
      <c r="G72" s="64" t="s">
        <v>339</v>
      </c>
      <c r="H72" s="55">
        <v>250</v>
      </c>
      <c r="I72" s="22" t="s">
        <v>12</v>
      </c>
      <c r="J72" s="47">
        <v>0</v>
      </c>
      <c r="K72" s="48">
        <f t="shared" si="1"/>
        <v>0</v>
      </c>
      <c r="L72" s="24"/>
      <c r="M72" s="23"/>
      <c r="N72" s="23"/>
      <c r="O72" s="23"/>
      <c r="P72" s="23"/>
      <c r="Q72" s="25" t="s">
        <v>33</v>
      </c>
      <c r="R72" s="26" t="s">
        <v>34</v>
      </c>
    </row>
    <row r="73" spans="1:18">
      <c r="A73" s="21">
        <v>2070</v>
      </c>
      <c r="B73" s="51">
        <v>5305</v>
      </c>
      <c r="C73" s="54" t="s">
        <v>110</v>
      </c>
      <c r="D73" s="51" t="s">
        <v>226</v>
      </c>
      <c r="E73" s="51" t="s">
        <v>30</v>
      </c>
      <c r="F73" s="63" t="s">
        <v>330</v>
      </c>
      <c r="G73" s="64" t="s">
        <v>333</v>
      </c>
      <c r="H73" s="55">
        <v>50</v>
      </c>
      <c r="I73" s="22" t="s">
        <v>12</v>
      </c>
      <c r="J73" s="47">
        <v>0</v>
      </c>
      <c r="K73" s="48">
        <f t="shared" si="1"/>
        <v>0</v>
      </c>
      <c r="L73" s="24"/>
      <c r="M73" s="23"/>
      <c r="N73" s="23"/>
      <c r="O73" s="23"/>
      <c r="P73" s="23"/>
      <c r="Q73" s="25" t="s">
        <v>33</v>
      </c>
      <c r="R73" s="26" t="s">
        <v>34</v>
      </c>
    </row>
    <row r="74" spans="1:18">
      <c r="A74" s="21">
        <v>2071</v>
      </c>
      <c r="B74" s="51">
        <v>5305</v>
      </c>
      <c r="C74" s="54" t="s">
        <v>111</v>
      </c>
      <c r="D74" s="51" t="s">
        <v>227</v>
      </c>
      <c r="E74" s="51" t="s">
        <v>30</v>
      </c>
      <c r="F74" s="63" t="s">
        <v>330</v>
      </c>
      <c r="G74" s="64" t="s">
        <v>331</v>
      </c>
      <c r="H74" s="55">
        <v>500</v>
      </c>
      <c r="I74" s="22" t="s">
        <v>12</v>
      </c>
      <c r="J74" s="47">
        <v>0</v>
      </c>
      <c r="K74" s="48">
        <f t="shared" si="1"/>
        <v>0</v>
      </c>
      <c r="L74" s="24"/>
      <c r="M74" s="23"/>
      <c r="N74" s="23"/>
      <c r="O74" s="23"/>
      <c r="P74" s="23"/>
      <c r="Q74" s="25" t="s">
        <v>33</v>
      </c>
      <c r="R74" s="26" t="s">
        <v>34</v>
      </c>
    </row>
    <row r="75" spans="1:18">
      <c r="A75" s="21">
        <v>2072</v>
      </c>
      <c r="B75" s="51">
        <v>5305</v>
      </c>
      <c r="C75" s="54" t="s">
        <v>112</v>
      </c>
      <c r="D75" s="51" t="s">
        <v>228</v>
      </c>
      <c r="E75" s="51" t="s">
        <v>295</v>
      </c>
      <c r="F75" s="63" t="s">
        <v>330</v>
      </c>
      <c r="G75" s="64" t="s">
        <v>340</v>
      </c>
      <c r="H75" s="55">
        <v>200</v>
      </c>
      <c r="I75" s="22" t="s">
        <v>12</v>
      </c>
      <c r="J75" s="47">
        <v>0</v>
      </c>
      <c r="K75" s="48">
        <f t="shared" si="1"/>
        <v>0</v>
      </c>
      <c r="L75" s="24"/>
      <c r="M75" s="23"/>
      <c r="N75" s="23"/>
      <c r="O75" s="23"/>
      <c r="P75" s="23"/>
      <c r="Q75" s="25" t="s">
        <v>33</v>
      </c>
      <c r="R75" s="26" t="s">
        <v>34</v>
      </c>
    </row>
    <row r="76" spans="1:18">
      <c r="A76" s="21">
        <v>2073</v>
      </c>
      <c r="B76" s="51">
        <v>5930</v>
      </c>
      <c r="C76" s="54" t="s">
        <v>113</v>
      </c>
      <c r="D76" s="51" t="s">
        <v>229</v>
      </c>
      <c r="E76" s="51" t="s">
        <v>296</v>
      </c>
      <c r="F76" s="63" t="s">
        <v>330</v>
      </c>
      <c r="G76" s="64" t="s">
        <v>339</v>
      </c>
      <c r="H76" s="55">
        <v>8</v>
      </c>
      <c r="I76" s="22" t="s">
        <v>12</v>
      </c>
      <c r="J76" s="47">
        <v>0</v>
      </c>
      <c r="K76" s="48">
        <f t="shared" si="1"/>
        <v>0</v>
      </c>
      <c r="L76" s="24"/>
      <c r="M76" s="23"/>
      <c r="N76" s="23"/>
      <c r="O76" s="23"/>
      <c r="P76" s="23"/>
      <c r="Q76" s="25" t="s">
        <v>33</v>
      </c>
      <c r="R76" s="26" t="s">
        <v>34</v>
      </c>
    </row>
    <row r="77" spans="1:18">
      <c r="A77" s="21">
        <v>2074</v>
      </c>
      <c r="B77" s="51">
        <v>5305</v>
      </c>
      <c r="C77" s="54" t="s">
        <v>114</v>
      </c>
      <c r="D77" s="51" t="s">
        <v>230</v>
      </c>
      <c r="E77" s="51" t="s">
        <v>23</v>
      </c>
      <c r="F77" s="63" t="s">
        <v>330</v>
      </c>
      <c r="G77" s="64" t="s">
        <v>340</v>
      </c>
      <c r="H77" s="55">
        <v>200</v>
      </c>
      <c r="I77" s="22" t="s">
        <v>12</v>
      </c>
      <c r="J77" s="47">
        <v>0</v>
      </c>
      <c r="K77" s="48">
        <f t="shared" si="1"/>
        <v>0</v>
      </c>
      <c r="L77" s="24"/>
      <c r="M77" s="23"/>
      <c r="N77" s="23"/>
      <c r="O77" s="23"/>
      <c r="P77" s="23"/>
      <c r="Q77" s="25" t="s">
        <v>33</v>
      </c>
      <c r="R77" s="26" t="s">
        <v>34</v>
      </c>
    </row>
    <row r="78" spans="1:18">
      <c r="A78" s="21">
        <v>2075</v>
      </c>
      <c r="B78" s="51">
        <v>5331</v>
      </c>
      <c r="C78" s="54" t="s">
        <v>115</v>
      </c>
      <c r="D78" s="51" t="s">
        <v>231</v>
      </c>
      <c r="E78" s="51" t="s">
        <v>277</v>
      </c>
      <c r="F78" s="63" t="s">
        <v>330</v>
      </c>
      <c r="G78" s="64" t="s">
        <v>333</v>
      </c>
      <c r="H78" s="55">
        <v>25</v>
      </c>
      <c r="I78" s="22" t="s">
        <v>12</v>
      </c>
      <c r="J78" s="47">
        <v>0</v>
      </c>
      <c r="K78" s="48">
        <f t="shared" si="1"/>
        <v>0</v>
      </c>
      <c r="L78" s="24"/>
      <c r="M78" s="23"/>
      <c r="N78" s="23"/>
      <c r="O78" s="23"/>
      <c r="P78" s="23"/>
      <c r="Q78" s="25" t="s">
        <v>33</v>
      </c>
      <c r="R78" s="26" t="s">
        <v>34</v>
      </c>
    </row>
    <row r="79" spans="1:18">
      <c r="A79" s="21">
        <v>2076</v>
      </c>
      <c r="B79" s="51">
        <v>5310</v>
      </c>
      <c r="C79" s="54" t="s">
        <v>116</v>
      </c>
      <c r="D79" s="51" t="s">
        <v>232</v>
      </c>
      <c r="E79" s="51" t="s">
        <v>294</v>
      </c>
      <c r="F79" s="63" t="s">
        <v>330</v>
      </c>
      <c r="G79" s="64" t="s">
        <v>335</v>
      </c>
      <c r="H79" s="55">
        <v>2000</v>
      </c>
      <c r="I79" s="22" t="s">
        <v>12</v>
      </c>
      <c r="J79" s="47">
        <v>0</v>
      </c>
      <c r="K79" s="48">
        <f t="shared" si="1"/>
        <v>0</v>
      </c>
      <c r="L79" s="24"/>
      <c r="M79" s="23"/>
      <c r="N79" s="23"/>
      <c r="O79" s="23"/>
      <c r="P79" s="23"/>
      <c r="Q79" s="25" t="s">
        <v>33</v>
      </c>
      <c r="R79" s="26" t="s">
        <v>34</v>
      </c>
    </row>
    <row r="80" spans="1:18">
      <c r="A80" s="21">
        <v>2077</v>
      </c>
      <c r="B80" s="51">
        <v>5305</v>
      </c>
      <c r="C80" s="54" t="s">
        <v>117</v>
      </c>
      <c r="D80" s="51" t="s">
        <v>233</v>
      </c>
      <c r="E80" s="51" t="s">
        <v>30</v>
      </c>
      <c r="F80" s="63" t="s">
        <v>330</v>
      </c>
      <c r="G80" s="64" t="s">
        <v>339</v>
      </c>
      <c r="H80" s="55">
        <v>400</v>
      </c>
      <c r="I80" s="22" t="s">
        <v>12</v>
      </c>
      <c r="J80" s="47">
        <v>0</v>
      </c>
      <c r="K80" s="48">
        <f t="shared" si="1"/>
        <v>0</v>
      </c>
      <c r="L80" s="24"/>
      <c r="M80" s="23"/>
      <c r="N80" s="23"/>
      <c r="O80" s="23"/>
      <c r="P80" s="23"/>
      <c r="Q80" s="25" t="s">
        <v>33</v>
      </c>
      <c r="R80" s="26" t="s">
        <v>34</v>
      </c>
    </row>
    <row r="81" spans="1:18">
      <c r="A81" s="21">
        <v>2078</v>
      </c>
      <c r="B81" s="51">
        <v>5325</v>
      </c>
      <c r="C81" s="54" t="s">
        <v>118</v>
      </c>
      <c r="D81" s="51" t="s">
        <v>234</v>
      </c>
      <c r="E81" s="51" t="s">
        <v>297</v>
      </c>
      <c r="F81" s="63" t="s">
        <v>330</v>
      </c>
      <c r="G81" s="64" t="s">
        <v>340</v>
      </c>
      <c r="H81" s="55">
        <v>1600</v>
      </c>
      <c r="I81" s="22" t="s">
        <v>12</v>
      </c>
      <c r="J81" s="47">
        <v>0</v>
      </c>
      <c r="K81" s="48">
        <f t="shared" si="1"/>
        <v>0</v>
      </c>
      <c r="L81" s="24"/>
      <c r="M81" s="23"/>
      <c r="N81" s="23"/>
      <c r="O81" s="23"/>
      <c r="P81" s="23"/>
      <c r="Q81" s="25" t="s">
        <v>33</v>
      </c>
      <c r="R81" s="26" t="s">
        <v>34</v>
      </c>
    </row>
    <row r="82" spans="1:18">
      <c r="A82" s="21">
        <v>2079</v>
      </c>
      <c r="B82" s="51">
        <v>5331</v>
      </c>
      <c r="C82" s="54" t="s">
        <v>119</v>
      </c>
      <c r="D82" s="51" t="s">
        <v>235</v>
      </c>
      <c r="E82" s="51" t="s">
        <v>277</v>
      </c>
      <c r="F82" s="63" t="s">
        <v>330</v>
      </c>
      <c r="G82" s="64" t="s">
        <v>339</v>
      </c>
      <c r="H82" s="55">
        <v>50</v>
      </c>
      <c r="I82" s="22" t="s">
        <v>12</v>
      </c>
      <c r="J82" s="47">
        <v>0</v>
      </c>
      <c r="K82" s="48">
        <f t="shared" si="1"/>
        <v>0</v>
      </c>
      <c r="L82" s="24"/>
      <c r="M82" s="23"/>
      <c r="N82" s="23"/>
      <c r="O82" s="23"/>
      <c r="P82" s="23"/>
      <c r="Q82" s="25" t="s">
        <v>33</v>
      </c>
      <c r="R82" s="26" t="s">
        <v>34</v>
      </c>
    </row>
    <row r="83" spans="1:18">
      <c r="A83" s="21">
        <v>2080</v>
      </c>
      <c r="B83" s="51">
        <v>5331</v>
      </c>
      <c r="C83" s="54" t="s">
        <v>120</v>
      </c>
      <c r="D83" s="51" t="s">
        <v>236</v>
      </c>
      <c r="E83" s="51" t="s">
        <v>277</v>
      </c>
      <c r="F83" s="63" t="s">
        <v>330</v>
      </c>
      <c r="G83" s="64" t="s">
        <v>335</v>
      </c>
      <c r="H83" s="55">
        <v>80</v>
      </c>
      <c r="I83" s="22" t="s">
        <v>12</v>
      </c>
      <c r="J83" s="47">
        <v>0</v>
      </c>
      <c r="K83" s="49">
        <f t="shared" si="1"/>
        <v>0</v>
      </c>
      <c r="L83" s="24"/>
      <c r="M83" s="28"/>
      <c r="N83" s="28"/>
      <c r="O83" s="28"/>
      <c r="P83" s="28"/>
      <c r="Q83" s="25" t="s">
        <v>33</v>
      </c>
      <c r="R83" s="26" t="s">
        <v>34</v>
      </c>
    </row>
    <row r="84" spans="1:18">
      <c r="A84" s="21">
        <v>2081</v>
      </c>
      <c r="B84" s="51">
        <v>5315</v>
      </c>
      <c r="C84" s="54" t="s">
        <v>121</v>
      </c>
      <c r="D84" s="51" t="s">
        <v>237</v>
      </c>
      <c r="E84" s="51" t="s">
        <v>298</v>
      </c>
      <c r="F84" s="63" t="s">
        <v>330</v>
      </c>
      <c r="G84" s="64" t="s">
        <v>339</v>
      </c>
      <c r="H84" s="55">
        <v>100</v>
      </c>
      <c r="I84" s="22" t="s">
        <v>12</v>
      </c>
      <c r="J84" s="47">
        <v>0</v>
      </c>
      <c r="K84" s="48">
        <f t="shared" si="1"/>
        <v>0</v>
      </c>
      <c r="L84" s="24"/>
      <c r="M84" s="23"/>
      <c r="N84" s="23"/>
      <c r="O84" s="23"/>
      <c r="P84" s="23"/>
      <c r="Q84" s="25" t="s">
        <v>33</v>
      </c>
      <c r="R84" s="26" t="s">
        <v>34</v>
      </c>
    </row>
    <row r="85" spans="1:18">
      <c r="A85" s="21">
        <v>2082</v>
      </c>
      <c r="B85" s="51">
        <v>5340</v>
      </c>
      <c r="C85" s="54" t="s">
        <v>122</v>
      </c>
      <c r="D85" s="51" t="s">
        <v>238</v>
      </c>
      <c r="E85" s="51" t="s">
        <v>299</v>
      </c>
      <c r="F85" s="63" t="s">
        <v>330</v>
      </c>
      <c r="G85" s="64" t="s">
        <v>338</v>
      </c>
      <c r="H85" s="55">
        <v>100</v>
      </c>
      <c r="I85" s="22" t="s">
        <v>12</v>
      </c>
      <c r="J85" s="47">
        <v>0</v>
      </c>
      <c r="K85" s="48">
        <f t="shared" si="1"/>
        <v>0</v>
      </c>
      <c r="L85" s="24"/>
      <c r="M85" s="23"/>
      <c r="N85" s="23"/>
      <c r="O85" s="23"/>
      <c r="P85" s="23"/>
      <c r="Q85" s="25" t="s">
        <v>33</v>
      </c>
      <c r="R85" s="26" t="s">
        <v>34</v>
      </c>
    </row>
    <row r="86" spans="1:18">
      <c r="A86" s="21">
        <v>2083</v>
      </c>
      <c r="B86" s="51">
        <v>4020</v>
      </c>
      <c r="C86" s="54" t="s">
        <v>123</v>
      </c>
      <c r="D86" s="51" t="s">
        <v>239</v>
      </c>
      <c r="E86" s="51" t="s">
        <v>300</v>
      </c>
      <c r="F86" s="63" t="s">
        <v>330</v>
      </c>
      <c r="G86" s="64" t="s">
        <v>340</v>
      </c>
      <c r="H86" s="55">
        <v>150</v>
      </c>
      <c r="I86" s="22" t="s">
        <v>12</v>
      </c>
      <c r="J86" s="47">
        <v>0</v>
      </c>
      <c r="K86" s="48">
        <f t="shared" si="1"/>
        <v>0</v>
      </c>
      <c r="L86" s="24"/>
      <c r="M86" s="23"/>
      <c r="N86" s="23"/>
      <c r="O86" s="23"/>
      <c r="P86" s="23"/>
      <c r="Q86" s="25" t="s">
        <v>33</v>
      </c>
      <c r="R86" s="26" t="s">
        <v>34</v>
      </c>
    </row>
    <row r="87" spans="1:18">
      <c r="A87" s="21">
        <v>2084</v>
      </c>
      <c r="B87" s="51">
        <v>4020</v>
      </c>
      <c r="C87" s="54" t="s">
        <v>124</v>
      </c>
      <c r="D87" s="51" t="s">
        <v>240</v>
      </c>
      <c r="E87" s="51" t="s">
        <v>300</v>
      </c>
      <c r="F87" s="63" t="s">
        <v>330</v>
      </c>
      <c r="G87" s="64" t="s">
        <v>340</v>
      </c>
      <c r="H87" s="55">
        <v>300</v>
      </c>
      <c r="I87" s="22" t="s">
        <v>12</v>
      </c>
      <c r="J87" s="47">
        <v>0</v>
      </c>
      <c r="K87" s="48">
        <f t="shared" si="1"/>
        <v>0</v>
      </c>
      <c r="L87" s="24"/>
      <c r="M87" s="23"/>
      <c r="N87" s="23"/>
      <c r="O87" s="23"/>
      <c r="P87" s="23"/>
      <c r="Q87" s="25" t="s">
        <v>33</v>
      </c>
      <c r="R87" s="26" t="s">
        <v>34</v>
      </c>
    </row>
    <row r="88" spans="1:18">
      <c r="A88" s="21">
        <v>2085</v>
      </c>
      <c r="B88" s="51">
        <v>5305</v>
      </c>
      <c r="C88" s="54" t="s">
        <v>125</v>
      </c>
      <c r="D88" s="51" t="s">
        <v>241</v>
      </c>
      <c r="E88" s="51" t="s">
        <v>30</v>
      </c>
      <c r="F88" s="63" t="s">
        <v>330</v>
      </c>
      <c r="G88" s="64" t="s">
        <v>338</v>
      </c>
      <c r="H88" s="55">
        <v>400</v>
      </c>
      <c r="I88" s="22" t="s">
        <v>12</v>
      </c>
      <c r="J88" s="47">
        <v>0</v>
      </c>
      <c r="K88" s="48">
        <f t="shared" si="1"/>
        <v>0</v>
      </c>
      <c r="L88" s="24"/>
      <c r="M88" s="23"/>
      <c r="N88" s="23"/>
      <c r="O88" s="23"/>
      <c r="P88" s="23"/>
      <c r="Q88" s="25" t="s">
        <v>33</v>
      </c>
      <c r="R88" s="26" t="s">
        <v>34</v>
      </c>
    </row>
    <row r="89" spans="1:18">
      <c r="A89" s="21">
        <v>2086</v>
      </c>
      <c r="B89" s="51">
        <v>5305</v>
      </c>
      <c r="C89" s="54" t="s">
        <v>126</v>
      </c>
      <c r="D89" s="51" t="s">
        <v>242</v>
      </c>
      <c r="E89" s="51" t="s">
        <v>30</v>
      </c>
      <c r="F89" s="63" t="s">
        <v>330</v>
      </c>
      <c r="G89" s="64" t="s">
        <v>338</v>
      </c>
      <c r="H89" s="55">
        <v>200</v>
      </c>
      <c r="I89" s="22" t="s">
        <v>12</v>
      </c>
      <c r="J89" s="47">
        <v>0</v>
      </c>
      <c r="K89" s="48">
        <f t="shared" si="1"/>
        <v>0</v>
      </c>
      <c r="L89" s="24"/>
      <c r="M89" s="23"/>
      <c r="N89" s="23"/>
      <c r="O89" s="23"/>
      <c r="P89" s="23"/>
      <c r="Q89" s="25" t="s">
        <v>33</v>
      </c>
      <c r="R89" s="26" t="s">
        <v>34</v>
      </c>
    </row>
    <row r="90" spans="1:18">
      <c r="A90" s="21">
        <v>2087</v>
      </c>
      <c r="B90" s="51">
        <v>5310</v>
      </c>
      <c r="C90" s="54" t="s">
        <v>127</v>
      </c>
      <c r="D90" s="51" t="s">
        <v>243</v>
      </c>
      <c r="E90" s="51" t="s">
        <v>27</v>
      </c>
      <c r="F90" s="63" t="s">
        <v>330</v>
      </c>
      <c r="G90" s="64" t="s">
        <v>339</v>
      </c>
      <c r="H90" s="55">
        <v>100</v>
      </c>
      <c r="I90" s="22" t="s">
        <v>12</v>
      </c>
      <c r="J90" s="47">
        <v>0</v>
      </c>
      <c r="K90" s="48">
        <f t="shared" si="1"/>
        <v>0</v>
      </c>
      <c r="L90" s="24"/>
      <c r="M90" s="23"/>
      <c r="N90" s="23"/>
      <c r="O90" s="23"/>
      <c r="P90" s="23"/>
      <c r="Q90" s="25" t="s">
        <v>33</v>
      </c>
      <c r="R90" s="26" t="s">
        <v>34</v>
      </c>
    </row>
    <row r="91" spans="1:18">
      <c r="A91" s="21">
        <v>2088</v>
      </c>
      <c r="B91" s="51">
        <v>5315</v>
      </c>
      <c r="C91" s="54" t="s">
        <v>128</v>
      </c>
      <c r="D91" s="51" t="s">
        <v>244</v>
      </c>
      <c r="E91" s="51" t="s">
        <v>301</v>
      </c>
      <c r="F91" s="63" t="s">
        <v>330</v>
      </c>
      <c r="G91" s="64" t="s">
        <v>339</v>
      </c>
      <c r="H91" s="55">
        <v>20</v>
      </c>
      <c r="I91" s="22" t="s">
        <v>12</v>
      </c>
      <c r="J91" s="47">
        <v>0</v>
      </c>
      <c r="K91" s="48">
        <f t="shared" si="1"/>
        <v>0</v>
      </c>
      <c r="L91" s="24"/>
      <c r="M91" s="23"/>
      <c r="N91" s="23"/>
      <c r="O91" s="23"/>
      <c r="P91" s="23"/>
      <c r="Q91" s="25" t="s">
        <v>33</v>
      </c>
      <c r="R91" s="26" t="s">
        <v>34</v>
      </c>
    </row>
    <row r="92" spans="1:18">
      <c r="A92" s="21">
        <v>2089</v>
      </c>
      <c r="B92" s="51" t="s">
        <v>21</v>
      </c>
      <c r="C92" s="54" t="s">
        <v>129</v>
      </c>
      <c r="D92" s="51" t="s">
        <v>245</v>
      </c>
      <c r="E92" s="51" t="s">
        <v>302</v>
      </c>
      <c r="F92" s="63" t="s">
        <v>330</v>
      </c>
      <c r="G92" s="64" t="s">
        <v>341</v>
      </c>
      <c r="H92" s="55">
        <v>50</v>
      </c>
      <c r="I92" s="22" t="s">
        <v>12</v>
      </c>
      <c r="J92" s="47">
        <v>0</v>
      </c>
      <c r="K92" s="48">
        <f t="shared" si="1"/>
        <v>0</v>
      </c>
      <c r="L92" s="24"/>
      <c r="M92" s="23"/>
      <c r="N92" s="23"/>
      <c r="O92" s="23"/>
      <c r="P92" s="23"/>
      <c r="Q92" s="25" t="s">
        <v>33</v>
      </c>
      <c r="R92" s="26" t="s">
        <v>34</v>
      </c>
    </row>
    <row r="93" spans="1:18">
      <c r="A93" s="21">
        <v>2090</v>
      </c>
      <c r="B93" s="51">
        <v>5975</v>
      </c>
      <c r="C93" s="54" t="s">
        <v>130</v>
      </c>
      <c r="D93" s="51" t="s">
        <v>246</v>
      </c>
      <c r="E93" s="51" t="s">
        <v>303</v>
      </c>
      <c r="F93" s="63" t="s">
        <v>330</v>
      </c>
      <c r="G93" s="64" t="s">
        <v>339</v>
      </c>
      <c r="H93" s="55">
        <v>2000</v>
      </c>
      <c r="I93" s="22" t="s">
        <v>12</v>
      </c>
      <c r="J93" s="47">
        <v>0</v>
      </c>
      <c r="K93" s="48">
        <f t="shared" si="1"/>
        <v>0</v>
      </c>
      <c r="L93" s="24"/>
      <c r="M93" s="23"/>
      <c r="N93" s="23"/>
      <c r="O93" s="23"/>
      <c r="P93" s="23"/>
      <c r="Q93" s="25" t="s">
        <v>33</v>
      </c>
      <c r="R93" s="26" t="s">
        <v>34</v>
      </c>
    </row>
    <row r="94" spans="1:18">
      <c r="A94" s="21">
        <v>2091</v>
      </c>
      <c r="B94" s="51">
        <v>5330</v>
      </c>
      <c r="C94" s="54" t="s">
        <v>131</v>
      </c>
      <c r="D94" s="51" t="s">
        <v>247</v>
      </c>
      <c r="E94" s="51" t="s">
        <v>26</v>
      </c>
      <c r="F94" s="63" t="s">
        <v>330</v>
      </c>
      <c r="G94" s="64" t="s">
        <v>339</v>
      </c>
      <c r="H94" s="55">
        <v>80</v>
      </c>
      <c r="I94" s="22" t="s">
        <v>12</v>
      </c>
      <c r="J94" s="47">
        <v>0</v>
      </c>
      <c r="K94" s="48">
        <f t="shared" si="1"/>
        <v>0</v>
      </c>
      <c r="L94" s="24"/>
      <c r="M94" s="23"/>
      <c r="N94" s="23"/>
      <c r="O94" s="23"/>
      <c r="P94" s="23"/>
      <c r="Q94" s="25" t="s">
        <v>33</v>
      </c>
      <c r="R94" s="26" t="s">
        <v>34</v>
      </c>
    </row>
    <row r="95" spans="1:18">
      <c r="A95" s="21">
        <v>2092</v>
      </c>
      <c r="B95" s="51">
        <v>5331</v>
      </c>
      <c r="C95" s="54" t="s">
        <v>132</v>
      </c>
      <c r="D95" s="51" t="s">
        <v>248</v>
      </c>
      <c r="E95" s="51" t="s">
        <v>277</v>
      </c>
      <c r="F95" s="63" t="s">
        <v>330</v>
      </c>
      <c r="G95" s="64" t="s">
        <v>340</v>
      </c>
      <c r="H95" s="55">
        <v>50</v>
      </c>
      <c r="I95" s="22" t="s">
        <v>12</v>
      </c>
      <c r="J95" s="47">
        <v>0</v>
      </c>
      <c r="K95" s="48">
        <f t="shared" si="1"/>
        <v>0</v>
      </c>
      <c r="L95" s="24"/>
      <c r="M95" s="23"/>
      <c r="N95" s="23"/>
      <c r="O95" s="23"/>
      <c r="P95" s="23"/>
      <c r="Q95" s="25" t="s">
        <v>33</v>
      </c>
      <c r="R95" s="26" t="s">
        <v>34</v>
      </c>
    </row>
    <row r="96" spans="1:18">
      <c r="A96" s="21">
        <v>2093</v>
      </c>
      <c r="B96" s="51">
        <v>5340</v>
      </c>
      <c r="C96" s="54" t="s">
        <v>133</v>
      </c>
      <c r="D96" s="51" t="s">
        <v>249</v>
      </c>
      <c r="E96" s="51" t="s">
        <v>31</v>
      </c>
      <c r="F96" s="63" t="s">
        <v>330</v>
      </c>
      <c r="G96" s="64" t="s">
        <v>339</v>
      </c>
      <c r="H96" s="55">
        <v>150</v>
      </c>
      <c r="I96" s="22" t="s">
        <v>12</v>
      </c>
      <c r="J96" s="47">
        <v>0</v>
      </c>
      <c r="K96" s="48">
        <f t="shared" si="1"/>
        <v>0</v>
      </c>
      <c r="L96" s="24"/>
      <c r="M96" s="23"/>
      <c r="N96" s="23"/>
      <c r="O96" s="23"/>
      <c r="P96" s="23"/>
      <c r="Q96" s="25" t="s">
        <v>33</v>
      </c>
      <c r="R96" s="26" t="s">
        <v>34</v>
      </c>
    </row>
    <row r="97" spans="1:18">
      <c r="A97" s="21">
        <v>2094</v>
      </c>
      <c r="B97" s="51">
        <v>5930</v>
      </c>
      <c r="C97" s="54" t="s">
        <v>134</v>
      </c>
      <c r="D97" s="51" t="s">
        <v>250</v>
      </c>
      <c r="E97" s="51" t="s">
        <v>304</v>
      </c>
      <c r="F97" s="63" t="s">
        <v>330</v>
      </c>
      <c r="G97" s="64" t="s">
        <v>340</v>
      </c>
      <c r="H97" s="55">
        <v>10</v>
      </c>
      <c r="I97" s="22" t="s">
        <v>12</v>
      </c>
      <c r="J97" s="47">
        <v>0</v>
      </c>
      <c r="K97" s="48">
        <f t="shared" si="1"/>
        <v>0</v>
      </c>
      <c r="L97" s="24"/>
      <c r="M97" s="23"/>
      <c r="N97" s="23"/>
      <c r="O97" s="23"/>
      <c r="P97" s="23"/>
      <c r="Q97" s="25" t="s">
        <v>33</v>
      </c>
      <c r="R97" s="26" t="s">
        <v>34</v>
      </c>
    </row>
    <row r="98" spans="1:18">
      <c r="A98" s="21">
        <v>2095</v>
      </c>
      <c r="B98" s="51">
        <v>5315</v>
      </c>
      <c r="C98" s="54" t="s">
        <v>135</v>
      </c>
      <c r="D98" s="51" t="s">
        <v>251</v>
      </c>
      <c r="E98" s="51" t="s">
        <v>305</v>
      </c>
      <c r="F98" s="63" t="s">
        <v>330</v>
      </c>
      <c r="G98" s="64" t="s">
        <v>340</v>
      </c>
      <c r="H98" s="55">
        <v>8000</v>
      </c>
      <c r="I98" s="22" t="s">
        <v>12</v>
      </c>
      <c r="J98" s="47">
        <v>0</v>
      </c>
      <c r="K98" s="48">
        <f t="shared" si="1"/>
        <v>0</v>
      </c>
      <c r="L98" s="24"/>
      <c r="M98" s="23"/>
      <c r="N98" s="23"/>
      <c r="O98" s="23"/>
      <c r="P98" s="23"/>
      <c r="Q98" s="25" t="s">
        <v>33</v>
      </c>
      <c r="R98" s="26" t="s">
        <v>34</v>
      </c>
    </row>
    <row r="99" spans="1:18">
      <c r="A99" s="21">
        <v>2096</v>
      </c>
      <c r="B99" s="51">
        <v>5305</v>
      </c>
      <c r="C99" s="54" t="s">
        <v>136</v>
      </c>
      <c r="D99" s="51" t="s">
        <v>252</v>
      </c>
      <c r="E99" s="51" t="s">
        <v>30</v>
      </c>
      <c r="F99" s="63" t="s">
        <v>330</v>
      </c>
      <c r="G99" s="64" t="s">
        <v>339</v>
      </c>
      <c r="H99" s="55">
        <v>300</v>
      </c>
      <c r="I99" s="22" t="s">
        <v>12</v>
      </c>
      <c r="J99" s="47">
        <v>0</v>
      </c>
      <c r="K99" s="48">
        <f t="shared" si="1"/>
        <v>0</v>
      </c>
      <c r="L99" s="24"/>
      <c r="M99" s="23"/>
      <c r="N99" s="23"/>
      <c r="O99" s="23"/>
      <c r="P99" s="23"/>
      <c r="Q99" s="25" t="s">
        <v>33</v>
      </c>
      <c r="R99" s="26" t="s">
        <v>34</v>
      </c>
    </row>
    <row r="100" spans="1:18">
      <c r="A100" s="21">
        <v>2097</v>
      </c>
      <c r="B100" s="51">
        <v>5306</v>
      </c>
      <c r="C100" s="54" t="s">
        <v>137</v>
      </c>
      <c r="D100" s="51" t="s">
        <v>253</v>
      </c>
      <c r="E100" s="51" t="s">
        <v>23</v>
      </c>
      <c r="F100" s="63" t="s">
        <v>330</v>
      </c>
      <c r="G100" s="64" t="s">
        <v>339</v>
      </c>
      <c r="H100" s="55">
        <v>50</v>
      </c>
      <c r="I100" s="22" t="s">
        <v>12</v>
      </c>
      <c r="J100" s="47">
        <v>0</v>
      </c>
      <c r="K100" s="48">
        <f t="shared" si="1"/>
        <v>0</v>
      </c>
      <c r="L100" s="24"/>
      <c r="M100" s="23"/>
      <c r="N100" s="23"/>
      <c r="O100" s="23"/>
      <c r="P100" s="23"/>
      <c r="Q100" s="25" t="s">
        <v>33</v>
      </c>
      <c r="R100" s="26" t="s">
        <v>34</v>
      </c>
    </row>
    <row r="101" spans="1:18">
      <c r="A101" s="21">
        <v>2098</v>
      </c>
      <c r="B101" s="51">
        <v>5310</v>
      </c>
      <c r="C101" s="54" t="s">
        <v>138</v>
      </c>
      <c r="D101" s="51" t="s">
        <v>254</v>
      </c>
      <c r="E101" s="51" t="s">
        <v>294</v>
      </c>
      <c r="F101" s="63" t="s">
        <v>330</v>
      </c>
      <c r="G101" s="64" t="s">
        <v>340</v>
      </c>
      <c r="H101" s="55">
        <v>3000</v>
      </c>
      <c r="I101" s="22" t="s">
        <v>12</v>
      </c>
      <c r="J101" s="47">
        <v>0</v>
      </c>
      <c r="K101" s="48">
        <f t="shared" si="1"/>
        <v>0</v>
      </c>
      <c r="L101" s="24"/>
      <c r="M101" s="23"/>
      <c r="N101" s="23"/>
      <c r="O101" s="23"/>
      <c r="P101" s="23"/>
      <c r="Q101" s="25" t="s">
        <v>33</v>
      </c>
      <c r="R101" s="26" t="s">
        <v>34</v>
      </c>
    </row>
    <row r="102" spans="1:18">
      <c r="A102" s="21">
        <v>2099</v>
      </c>
      <c r="B102" s="51">
        <v>5330</v>
      </c>
      <c r="C102" s="54" t="s">
        <v>139</v>
      </c>
      <c r="D102" s="51" t="s">
        <v>255</v>
      </c>
      <c r="E102" s="51" t="s">
        <v>306</v>
      </c>
      <c r="F102" s="63" t="s">
        <v>330</v>
      </c>
      <c r="G102" s="64" t="s">
        <v>331</v>
      </c>
      <c r="H102" s="55">
        <v>30000</v>
      </c>
      <c r="I102" s="22" t="s">
        <v>12</v>
      </c>
      <c r="J102" s="47">
        <v>0</v>
      </c>
      <c r="K102" s="48">
        <f t="shared" si="1"/>
        <v>0</v>
      </c>
      <c r="L102" s="24"/>
      <c r="M102" s="23"/>
      <c r="N102" s="23"/>
      <c r="O102" s="23"/>
      <c r="P102" s="23"/>
      <c r="Q102" s="25" t="s">
        <v>33</v>
      </c>
      <c r="R102" s="26" t="s">
        <v>34</v>
      </c>
    </row>
    <row r="103" spans="1:18">
      <c r="A103" s="21">
        <v>2100</v>
      </c>
      <c r="B103" s="51">
        <v>5330</v>
      </c>
      <c r="C103" s="54" t="s">
        <v>140</v>
      </c>
      <c r="D103" s="51">
        <v>1750</v>
      </c>
      <c r="E103" s="51" t="s">
        <v>307</v>
      </c>
      <c r="F103" s="63" t="s">
        <v>330</v>
      </c>
      <c r="G103" s="64" t="s">
        <v>340</v>
      </c>
      <c r="H103" s="55">
        <v>300</v>
      </c>
      <c r="I103" s="22" t="s">
        <v>12</v>
      </c>
      <c r="J103" s="47">
        <v>0</v>
      </c>
      <c r="K103" s="48">
        <f t="shared" si="1"/>
        <v>0</v>
      </c>
      <c r="L103" s="24"/>
      <c r="M103" s="23"/>
      <c r="N103" s="23"/>
      <c r="O103" s="23"/>
      <c r="P103" s="23"/>
      <c r="Q103" s="25" t="s">
        <v>33</v>
      </c>
      <c r="R103" s="26" t="s">
        <v>34</v>
      </c>
    </row>
    <row r="104" spans="1:18">
      <c r="A104" s="21">
        <v>2101</v>
      </c>
      <c r="B104" s="51">
        <v>4730</v>
      </c>
      <c r="C104" s="54" t="s">
        <v>141</v>
      </c>
      <c r="D104" s="51" t="s">
        <v>256</v>
      </c>
      <c r="E104" s="51" t="s">
        <v>308</v>
      </c>
      <c r="F104" s="63" t="s">
        <v>330</v>
      </c>
      <c r="G104" s="64" t="s">
        <v>337</v>
      </c>
      <c r="H104" s="55">
        <v>30</v>
      </c>
      <c r="I104" s="22" t="s">
        <v>12</v>
      </c>
      <c r="J104" s="47">
        <v>0</v>
      </c>
      <c r="K104" s="48">
        <f t="shared" si="1"/>
        <v>0</v>
      </c>
      <c r="L104" s="24"/>
      <c r="M104" s="23"/>
      <c r="N104" s="23"/>
      <c r="O104" s="23"/>
      <c r="P104" s="23"/>
      <c r="Q104" s="25" t="s">
        <v>33</v>
      </c>
      <c r="R104" s="26" t="s">
        <v>34</v>
      </c>
    </row>
    <row r="105" spans="1:18">
      <c r="A105" s="21">
        <v>2102</v>
      </c>
      <c r="B105" s="51">
        <v>5305</v>
      </c>
      <c r="C105" s="54" t="s">
        <v>142</v>
      </c>
      <c r="D105" s="51" t="s">
        <v>257</v>
      </c>
      <c r="E105" s="51" t="s">
        <v>30</v>
      </c>
      <c r="F105" s="63" t="s">
        <v>330</v>
      </c>
      <c r="G105" s="64" t="s">
        <v>340</v>
      </c>
      <c r="H105" s="55">
        <v>350</v>
      </c>
      <c r="I105" s="22" t="s">
        <v>12</v>
      </c>
      <c r="J105" s="47">
        <v>0</v>
      </c>
      <c r="K105" s="48">
        <f t="shared" si="1"/>
        <v>0</v>
      </c>
      <c r="L105" s="24"/>
      <c r="M105" s="23"/>
      <c r="N105" s="23"/>
      <c r="O105" s="23"/>
      <c r="P105" s="23"/>
      <c r="Q105" s="25" t="s">
        <v>33</v>
      </c>
      <c r="R105" s="26" t="s">
        <v>34</v>
      </c>
    </row>
    <row r="106" spans="1:18">
      <c r="A106" s="21">
        <v>2103</v>
      </c>
      <c r="B106" s="51">
        <v>5305</v>
      </c>
      <c r="C106" s="54" t="s">
        <v>143</v>
      </c>
      <c r="D106" s="51" t="s">
        <v>258</v>
      </c>
      <c r="E106" s="51" t="s">
        <v>30</v>
      </c>
      <c r="F106" s="63" t="s">
        <v>330</v>
      </c>
      <c r="G106" s="64" t="s">
        <v>340</v>
      </c>
      <c r="H106" s="55">
        <v>600</v>
      </c>
      <c r="I106" s="22" t="s">
        <v>12</v>
      </c>
      <c r="J106" s="47">
        <v>0</v>
      </c>
      <c r="K106" s="48">
        <f t="shared" si="1"/>
        <v>0</v>
      </c>
      <c r="L106" s="24"/>
      <c r="M106" s="23"/>
      <c r="N106" s="23"/>
      <c r="O106" s="23"/>
      <c r="P106" s="23"/>
      <c r="Q106" s="25" t="s">
        <v>33</v>
      </c>
      <c r="R106" s="26" t="s">
        <v>34</v>
      </c>
    </row>
    <row r="107" spans="1:18">
      <c r="A107" s="21">
        <v>2104</v>
      </c>
      <c r="B107" s="51">
        <v>5305</v>
      </c>
      <c r="C107" s="54" t="s">
        <v>144</v>
      </c>
      <c r="D107" s="51" t="s">
        <v>259</v>
      </c>
      <c r="E107" s="51" t="s">
        <v>30</v>
      </c>
      <c r="F107" s="63" t="s">
        <v>330</v>
      </c>
      <c r="G107" s="64" t="s">
        <v>340</v>
      </c>
      <c r="H107" s="55">
        <v>150</v>
      </c>
      <c r="I107" s="22" t="s">
        <v>12</v>
      </c>
      <c r="J107" s="47">
        <v>0</v>
      </c>
      <c r="K107" s="48">
        <f t="shared" si="1"/>
        <v>0</v>
      </c>
      <c r="L107" s="24"/>
      <c r="M107" s="23"/>
      <c r="N107" s="23"/>
      <c r="O107" s="23"/>
      <c r="P107" s="23"/>
      <c r="Q107" s="25" t="s">
        <v>33</v>
      </c>
      <c r="R107" s="26" t="s">
        <v>34</v>
      </c>
    </row>
    <row r="108" spans="1:18">
      <c r="A108" s="21">
        <v>2105</v>
      </c>
      <c r="B108" s="51">
        <v>5305</v>
      </c>
      <c r="C108" s="54" t="s">
        <v>145</v>
      </c>
      <c r="D108" s="51" t="s">
        <v>260</v>
      </c>
      <c r="E108" s="51" t="s">
        <v>30</v>
      </c>
      <c r="F108" s="63" t="s">
        <v>330</v>
      </c>
      <c r="G108" s="64" t="s">
        <v>340</v>
      </c>
      <c r="H108" s="55">
        <v>40</v>
      </c>
      <c r="I108" s="22" t="s">
        <v>12</v>
      </c>
      <c r="J108" s="47">
        <v>0</v>
      </c>
      <c r="K108" s="48">
        <f t="shared" si="1"/>
        <v>0</v>
      </c>
      <c r="L108" s="24"/>
      <c r="M108" s="23"/>
      <c r="N108" s="23"/>
      <c r="O108" s="23"/>
      <c r="P108" s="23"/>
      <c r="Q108" s="25" t="s">
        <v>33</v>
      </c>
      <c r="R108" s="26" t="s">
        <v>34</v>
      </c>
    </row>
    <row r="109" spans="1:18">
      <c r="A109" s="21">
        <v>2106</v>
      </c>
      <c r="B109" s="51">
        <v>5330</v>
      </c>
      <c r="C109" s="54" t="s">
        <v>146</v>
      </c>
      <c r="D109" s="51" t="s">
        <v>261</v>
      </c>
      <c r="E109" s="51" t="s">
        <v>309</v>
      </c>
      <c r="F109" s="63" t="s">
        <v>330</v>
      </c>
      <c r="G109" s="64" t="s">
        <v>338</v>
      </c>
      <c r="H109" s="55">
        <v>100</v>
      </c>
      <c r="I109" s="22" t="s">
        <v>12</v>
      </c>
      <c r="J109" s="47">
        <v>0</v>
      </c>
      <c r="K109" s="48">
        <f t="shared" si="1"/>
        <v>0</v>
      </c>
      <c r="L109" s="24"/>
      <c r="M109" s="23"/>
      <c r="N109" s="23"/>
      <c r="O109" s="23"/>
      <c r="P109" s="23"/>
      <c r="Q109" s="25" t="s">
        <v>33</v>
      </c>
      <c r="R109" s="26" t="s">
        <v>34</v>
      </c>
    </row>
    <row r="110" spans="1:18">
      <c r="A110" s="21">
        <v>2107</v>
      </c>
      <c r="B110" s="51">
        <v>5330</v>
      </c>
      <c r="C110" s="54" t="s">
        <v>147</v>
      </c>
      <c r="D110" s="51" t="s">
        <v>262</v>
      </c>
      <c r="E110" s="51" t="s">
        <v>309</v>
      </c>
      <c r="F110" s="63" t="s">
        <v>330</v>
      </c>
      <c r="G110" s="64" t="s">
        <v>337</v>
      </c>
      <c r="H110" s="55">
        <v>40</v>
      </c>
      <c r="I110" s="22" t="s">
        <v>12</v>
      </c>
      <c r="J110" s="47">
        <v>0</v>
      </c>
      <c r="K110" s="48">
        <f t="shared" si="1"/>
        <v>0</v>
      </c>
      <c r="L110" s="24"/>
      <c r="M110" s="23"/>
      <c r="N110" s="23"/>
      <c r="O110" s="23"/>
      <c r="P110" s="23"/>
      <c r="Q110" s="25" t="s">
        <v>33</v>
      </c>
      <c r="R110" s="26" t="s">
        <v>34</v>
      </c>
    </row>
    <row r="111" spans="1:18">
      <c r="A111" s="21">
        <v>2108</v>
      </c>
      <c r="B111" s="51">
        <v>5330</v>
      </c>
      <c r="C111" s="54" t="s">
        <v>148</v>
      </c>
      <c r="D111" s="51" t="s">
        <v>263</v>
      </c>
      <c r="E111" s="51" t="s">
        <v>309</v>
      </c>
      <c r="F111" s="63" t="s">
        <v>330</v>
      </c>
      <c r="G111" s="64" t="s">
        <v>338</v>
      </c>
      <c r="H111" s="55">
        <v>300</v>
      </c>
      <c r="I111" s="22" t="s">
        <v>12</v>
      </c>
      <c r="J111" s="47">
        <v>0</v>
      </c>
      <c r="K111" s="48">
        <f t="shared" si="1"/>
        <v>0</v>
      </c>
      <c r="L111" s="24"/>
      <c r="M111" s="23"/>
      <c r="N111" s="23"/>
      <c r="O111" s="23"/>
      <c r="P111" s="23"/>
      <c r="Q111" s="25" t="s">
        <v>33</v>
      </c>
      <c r="R111" s="26" t="s">
        <v>34</v>
      </c>
    </row>
    <row r="112" spans="1:18">
      <c r="A112" s="21">
        <v>2109</v>
      </c>
      <c r="B112" s="51">
        <v>5330</v>
      </c>
      <c r="C112" s="54" t="s">
        <v>149</v>
      </c>
      <c r="D112" s="51" t="s">
        <v>264</v>
      </c>
      <c r="E112" s="51" t="s">
        <v>310</v>
      </c>
      <c r="F112" s="63" t="s">
        <v>330</v>
      </c>
      <c r="G112" s="64" t="s">
        <v>337</v>
      </c>
      <c r="H112" s="55">
        <v>60</v>
      </c>
      <c r="I112" s="22" t="s">
        <v>12</v>
      </c>
      <c r="J112" s="47">
        <v>0</v>
      </c>
      <c r="K112" s="48">
        <f t="shared" si="1"/>
        <v>0</v>
      </c>
      <c r="L112" s="24"/>
      <c r="M112" s="23"/>
      <c r="N112" s="23"/>
      <c r="O112" s="23"/>
      <c r="P112" s="23"/>
      <c r="Q112" s="25" t="s">
        <v>33</v>
      </c>
      <c r="R112" s="26" t="s">
        <v>34</v>
      </c>
    </row>
    <row r="113" spans="1:18">
      <c r="A113" s="21">
        <v>2110</v>
      </c>
      <c r="B113" s="51">
        <v>5330</v>
      </c>
      <c r="C113" s="54" t="s">
        <v>150</v>
      </c>
      <c r="D113" s="51" t="s">
        <v>265</v>
      </c>
      <c r="E113" s="51" t="s">
        <v>310</v>
      </c>
      <c r="F113" s="63" t="s">
        <v>330</v>
      </c>
      <c r="G113" s="64" t="s">
        <v>337</v>
      </c>
      <c r="H113" s="55">
        <v>300</v>
      </c>
      <c r="I113" s="22" t="s">
        <v>12</v>
      </c>
      <c r="J113" s="47">
        <v>0</v>
      </c>
      <c r="K113" s="48">
        <f t="shared" si="1"/>
        <v>0</v>
      </c>
      <c r="L113" s="24"/>
      <c r="M113" s="23"/>
      <c r="N113" s="23"/>
      <c r="O113" s="23"/>
      <c r="P113" s="23"/>
      <c r="Q113" s="25" t="s">
        <v>33</v>
      </c>
      <c r="R113" s="26" t="s">
        <v>34</v>
      </c>
    </row>
    <row r="114" spans="1:18">
      <c r="A114" s="21">
        <v>2111</v>
      </c>
      <c r="B114" s="51">
        <v>5945</v>
      </c>
      <c r="C114" s="54" t="s">
        <v>151</v>
      </c>
      <c r="D114" s="51" t="s">
        <v>266</v>
      </c>
      <c r="E114" s="51" t="s">
        <v>311</v>
      </c>
      <c r="F114" s="63" t="s">
        <v>330</v>
      </c>
      <c r="G114" s="64" t="s">
        <v>331</v>
      </c>
      <c r="H114" s="55">
        <v>100</v>
      </c>
      <c r="I114" s="22" t="s">
        <v>12</v>
      </c>
      <c r="J114" s="47">
        <v>0</v>
      </c>
      <c r="K114" s="48">
        <f t="shared" si="1"/>
        <v>0</v>
      </c>
      <c r="L114" s="24"/>
      <c r="M114" s="23"/>
      <c r="N114" s="23"/>
      <c r="O114" s="23"/>
      <c r="P114" s="23"/>
      <c r="Q114" s="25" t="s">
        <v>33</v>
      </c>
      <c r="R114" s="26" t="s">
        <v>34</v>
      </c>
    </row>
    <row r="115" spans="1:18">
      <c r="A115" s="21">
        <v>2112</v>
      </c>
      <c r="B115" s="51">
        <v>5920</v>
      </c>
      <c r="C115" s="54" t="s">
        <v>152</v>
      </c>
      <c r="D115" s="51" t="s">
        <v>267</v>
      </c>
      <c r="E115" s="51" t="s">
        <v>312</v>
      </c>
      <c r="F115" s="63" t="s">
        <v>330</v>
      </c>
      <c r="G115" s="64" t="s">
        <v>338</v>
      </c>
      <c r="H115" s="55">
        <v>100</v>
      </c>
      <c r="I115" s="22" t="s">
        <v>12</v>
      </c>
      <c r="J115" s="47">
        <v>0</v>
      </c>
      <c r="K115" s="48">
        <f t="shared" si="1"/>
        <v>0</v>
      </c>
      <c r="L115" s="24"/>
      <c r="M115" s="23"/>
      <c r="N115" s="23"/>
      <c r="O115" s="23"/>
      <c r="P115" s="23"/>
      <c r="Q115" s="25" t="s">
        <v>33</v>
      </c>
      <c r="R115" s="26" t="s">
        <v>34</v>
      </c>
    </row>
    <row r="116" spans="1:18">
      <c r="A116" s="21">
        <v>2113</v>
      </c>
      <c r="B116" s="51">
        <v>5310</v>
      </c>
      <c r="C116" s="54" t="s">
        <v>153</v>
      </c>
      <c r="D116" s="51" t="s">
        <v>268</v>
      </c>
      <c r="E116" s="51" t="s">
        <v>294</v>
      </c>
      <c r="F116" s="63" t="s">
        <v>330</v>
      </c>
      <c r="G116" s="64" t="s">
        <v>335</v>
      </c>
      <c r="H116" s="55">
        <v>1500</v>
      </c>
      <c r="I116" s="22" t="s">
        <v>12</v>
      </c>
      <c r="J116" s="47">
        <v>0</v>
      </c>
      <c r="K116" s="48">
        <f t="shared" si="1"/>
        <v>0</v>
      </c>
      <c r="L116" s="24"/>
      <c r="M116" s="23"/>
      <c r="N116" s="23"/>
      <c r="O116" s="23"/>
      <c r="P116" s="23"/>
      <c r="Q116" s="25" t="s">
        <v>33</v>
      </c>
      <c r="R116" s="26" t="s">
        <v>34</v>
      </c>
    </row>
    <row r="117" spans="1:18">
      <c r="A117" s="21">
        <v>2114</v>
      </c>
      <c r="B117" s="51">
        <v>5365</v>
      </c>
      <c r="C117" s="54" t="s">
        <v>154</v>
      </c>
      <c r="D117" s="51">
        <v>4191553</v>
      </c>
      <c r="E117" s="51" t="s">
        <v>313</v>
      </c>
      <c r="F117" s="63" t="s">
        <v>330</v>
      </c>
      <c r="G117" s="64" t="s">
        <v>337</v>
      </c>
      <c r="H117" s="55">
        <v>25</v>
      </c>
      <c r="I117" s="22" t="s">
        <v>12</v>
      </c>
      <c r="J117" s="47">
        <v>0</v>
      </c>
      <c r="K117" s="48">
        <f t="shared" si="1"/>
        <v>0</v>
      </c>
      <c r="L117" s="24"/>
      <c r="M117" s="23"/>
      <c r="N117" s="23"/>
      <c r="O117" s="23"/>
      <c r="P117" s="23"/>
      <c r="Q117" s="25" t="s">
        <v>33</v>
      </c>
      <c r="R117" s="26" t="s">
        <v>34</v>
      </c>
    </row>
    <row r="118" spans="1:18">
      <c r="A118" s="21">
        <v>2115</v>
      </c>
      <c r="B118" s="51">
        <v>6220</v>
      </c>
      <c r="C118" s="54" t="s">
        <v>155</v>
      </c>
      <c r="D118" s="51">
        <v>4700770280</v>
      </c>
      <c r="E118" s="51" t="s">
        <v>314</v>
      </c>
      <c r="F118" s="63" t="s">
        <v>330</v>
      </c>
      <c r="G118" s="64" t="s">
        <v>340</v>
      </c>
      <c r="H118" s="55">
        <v>8</v>
      </c>
      <c r="I118" s="22" t="s">
        <v>12</v>
      </c>
      <c r="J118" s="47">
        <v>0</v>
      </c>
      <c r="K118" s="48">
        <f t="shared" si="1"/>
        <v>0</v>
      </c>
      <c r="L118" s="24"/>
      <c r="M118" s="23"/>
      <c r="N118" s="23"/>
      <c r="O118" s="23"/>
      <c r="P118" s="23"/>
      <c r="Q118" s="25" t="s">
        <v>33</v>
      </c>
      <c r="R118" s="26" t="s">
        <v>34</v>
      </c>
    </row>
    <row r="119" spans="1:18">
      <c r="A119" s="21">
        <v>2116</v>
      </c>
      <c r="B119" s="51">
        <v>5930</v>
      </c>
      <c r="C119" s="54" t="s">
        <v>156</v>
      </c>
      <c r="D119" s="51" t="s">
        <v>269</v>
      </c>
      <c r="E119" s="51" t="s">
        <v>315</v>
      </c>
      <c r="F119" s="63" t="s">
        <v>330</v>
      </c>
      <c r="G119" s="64" t="s">
        <v>340</v>
      </c>
      <c r="H119" s="55">
        <v>25</v>
      </c>
      <c r="I119" s="22" t="s">
        <v>12</v>
      </c>
      <c r="J119" s="79">
        <v>0</v>
      </c>
      <c r="K119" s="81">
        <f t="shared" si="1"/>
        <v>0</v>
      </c>
      <c r="L119" s="24"/>
      <c r="M119" s="23"/>
      <c r="N119" s="93"/>
      <c r="O119" s="93"/>
      <c r="P119" s="93"/>
      <c r="Q119" s="83" t="s">
        <v>33</v>
      </c>
      <c r="R119" s="26" t="s">
        <v>34</v>
      </c>
    </row>
    <row r="120" spans="1:18">
      <c r="A120" s="30"/>
      <c r="B120" s="39"/>
      <c r="C120" s="39"/>
      <c r="D120" s="31"/>
      <c r="E120" s="31"/>
      <c r="F120" s="31"/>
      <c r="G120" s="31"/>
      <c r="H120" s="74" t="s">
        <v>347</v>
      </c>
      <c r="I120" s="77"/>
      <c r="J120" s="78"/>
      <c r="K120" s="78">
        <f>SUM(K4:K119)</f>
        <v>0</v>
      </c>
      <c r="L120" s="34"/>
      <c r="M120" s="34"/>
      <c r="N120" s="34"/>
      <c r="O120" s="34"/>
      <c r="P120" s="34"/>
      <c r="Q120" s="34"/>
      <c r="R120" s="34"/>
    </row>
  </sheetData>
  <conditionalFormatting sqref="I4:I119">
    <cfRule type="expression" dxfId="39" priority="8">
      <formula>MATCH("C",I4:M4,0)</formula>
    </cfRule>
  </conditionalFormatting>
  <conditionalFormatting sqref="J4:J119">
    <cfRule type="expression" dxfId="38" priority="9">
      <formula>MATCH("C",J4:M4,0)</formula>
    </cfRule>
  </conditionalFormatting>
  <conditionalFormatting sqref="Q3:Q119">
    <cfRule type="containsText" dxfId="37" priority="5" operator="containsText" text="rcv/rcv">
      <formula>NOT(ISERROR(SEARCH("rcv/rcv",Q3)))</formula>
    </cfRule>
    <cfRule type="containsText" dxfId="36" priority="6" operator="containsText" text="rcv/QA">
      <formula>NOT(ISERROR(SEARCH("rcv/QA",Q3)))</formula>
    </cfRule>
    <cfRule type="containsText" dxfId="35" priority="7" operator="containsText" text="QA/QA">
      <formula>NOT(ISERROR(SEARCH("QA/QA",Q3)))</formula>
    </cfRule>
  </conditionalFormatting>
  <conditionalFormatting sqref="Q120:R120">
    <cfRule type="containsText" dxfId="34" priority="37" operator="containsText" text="rcv/rcv">
      <formula>NOT(ISERROR(SEARCH("rcv/rcv",Q120)))</formula>
    </cfRule>
    <cfRule type="containsText" dxfId="33" priority="38" operator="containsText" text="rcv/QA">
      <formula>NOT(ISERROR(SEARCH("rcv/QA",Q120)))</formula>
    </cfRule>
    <cfRule type="containsText" dxfId="32" priority="39" operator="containsText" text="QA/QA">
      <formula>NOT(ISERROR(SEARCH("QA/QA",Q120)))</formula>
    </cfRule>
  </conditionalFormatting>
  <conditionalFormatting sqref="R3">
    <cfRule type="containsText" dxfId="31" priority="2" operator="containsText" text="rcv/rcv">
      <formula>NOT(ISERROR(SEARCH("rcv/rcv",R3)))</formula>
    </cfRule>
    <cfRule type="containsText" dxfId="30" priority="3" operator="containsText" text="rcv/QA">
      <formula>NOT(ISERROR(SEARCH("rcv/QA",R3)))</formula>
    </cfRule>
    <cfRule type="containsText" dxfId="29" priority="4" operator="containsText" text="QA/QA">
      <formula>NOT(ISERROR(SEARCH("QA/QA",R3)))</formula>
    </cfRule>
  </conditionalFormatting>
  <conditionalFormatting sqref="L4:L119">
    <cfRule type="expression" dxfId="28" priority="120">
      <formula>MATCH("C",L4:R4,0)</formula>
    </cfRule>
  </conditionalFormatting>
  <conditionalFormatting sqref="F4:F119">
    <cfRule type="containsText" dxfId="2" priority="1" operator="containsText" text="Y">
      <formula>NOT(ISERROR(SEARCH("Y",F4)))</formula>
    </cfRule>
  </conditionalFormatting>
  <pageMargins left="0.25" right="0.25" top="1" bottom="0.25" header="0.3" footer="0.3"/>
  <pageSetup scale="49" fitToHeight="0" orientation="landscape" r:id="rId1"/>
  <headerFooter>
    <oddHeader>&amp;L&amp;"Book Antiqua,Bold"&amp;14Schedule of Supplies
Contract Line Items&amp;R&amp;"Book Antiqua,Bold"&amp;14Solicitation 70Z03826QB0000013
Period of Performance: TBD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0"/>
  <sheetViews>
    <sheetView view="pageLayout" topLeftCell="E1" zoomScaleNormal="90" workbookViewId="0">
      <selection activeCell="G4" sqref="G4:G119"/>
    </sheetView>
  </sheetViews>
  <sheetFormatPr defaultRowHeight="15.75"/>
  <cols>
    <col min="1" max="1" width="14.42578125" style="8" customWidth="1"/>
    <col min="2" max="2" width="9.42578125" style="3" customWidth="1"/>
    <col min="3" max="3" width="14.5703125" style="10" customWidth="1"/>
    <col min="4" max="4" width="25" style="9" customWidth="1"/>
    <col min="5" max="5" width="32.28515625" style="6" customWidth="1"/>
    <col min="6" max="6" width="13.5703125" style="6" customWidth="1"/>
    <col min="7" max="7" width="6.5703125" style="6" customWidth="1"/>
    <col min="8" max="8" width="10" style="2" customWidth="1"/>
    <col min="9" max="9" width="13.7109375" style="4" bestFit="1" customWidth="1"/>
    <col min="10" max="10" width="8.85546875" style="2" bestFit="1" customWidth="1"/>
    <col min="11" max="11" width="20.7109375" style="5" customWidth="1"/>
    <col min="12" max="12" width="13.7109375" style="4" customWidth="1"/>
    <col min="13" max="13" width="14.28515625" style="6" bestFit="1" customWidth="1"/>
    <col min="14" max="16" width="14.28515625" style="6" customWidth="1"/>
    <col min="17" max="17" width="12.85546875" style="6" customWidth="1"/>
    <col min="18" max="18" width="16" style="1" customWidth="1"/>
    <col min="19" max="16384" width="9.140625" style="6"/>
  </cols>
  <sheetData>
    <row r="1" spans="1:18" ht="16.5">
      <c r="A1" s="7" t="s">
        <v>38</v>
      </c>
      <c r="C1" s="11"/>
      <c r="K1" s="50"/>
    </row>
    <row r="2" spans="1:18" ht="16.5">
      <c r="A2" s="7" t="s">
        <v>36</v>
      </c>
      <c r="C2" s="11"/>
      <c r="K2" s="50"/>
    </row>
    <row r="3" spans="1:18" ht="52.5" customHeight="1">
      <c r="A3" s="17" t="s">
        <v>8</v>
      </c>
      <c r="B3" s="40" t="s">
        <v>0</v>
      </c>
      <c r="C3" s="40" t="s">
        <v>7</v>
      </c>
      <c r="D3" s="41" t="s">
        <v>1</v>
      </c>
      <c r="E3" s="18" t="s">
        <v>2</v>
      </c>
      <c r="F3" s="18" t="s">
        <v>328</v>
      </c>
      <c r="G3" s="18" t="s">
        <v>329</v>
      </c>
      <c r="H3" s="19" t="s">
        <v>32</v>
      </c>
      <c r="I3" s="18" t="s">
        <v>3</v>
      </c>
      <c r="J3" s="42" t="s">
        <v>4</v>
      </c>
      <c r="K3" s="73" t="s">
        <v>5</v>
      </c>
      <c r="L3" s="20" t="s">
        <v>6</v>
      </c>
      <c r="M3" s="20" t="s">
        <v>9</v>
      </c>
      <c r="N3" s="20" t="s">
        <v>342</v>
      </c>
      <c r="O3" s="20" t="s">
        <v>343</v>
      </c>
      <c r="P3" s="20" t="s">
        <v>344</v>
      </c>
      <c r="Q3" s="20" t="s">
        <v>10</v>
      </c>
      <c r="R3" s="20" t="s">
        <v>327</v>
      </c>
    </row>
    <row r="4" spans="1:18">
      <c r="A4" s="21">
        <v>3001</v>
      </c>
      <c r="B4" s="51">
        <v>5305</v>
      </c>
      <c r="C4" s="59" t="s">
        <v>41</v>
      </c>
      <c r="D4" s="51" t="s">
        <v>157</v>
      </c>
      <c r="E4" s="51" t="s">
        <v>270</v>
      </c>
      <c r="F4" s="63" t="s">
        <v>330</v>
      </c>
      <c r="G4" s="64" t="s">
        <v>331</v>
      </c>
      <c r="H4" s="51">
        <v>500</v>
      </c>
      <c r="I4" s="22" t="s">
        <v>12</v>
      </c>
      <c r="J4" s="47">
        <v>0</v>
      </c>
      <c r="K4" s="48">
        <f>SUM(J4*H4)</f>
        <v>0</v>
      </c>
      <c r="L4" s="24"/>
      <c r="M4" s="23"/>
      <c r="N4" s="23"/>
      <c r="O4" s="23"/>
      <c r="P4" s="23"/>
      <c r="Q4" s="25" t="s">
        <v>33</v>
      </c>
      <c r="R4" s="26" t="s">
        <v>34</v>
      </c>
    </row>
    <row r="5" spans="1:18" ht="15.75" customHeight="1">
      <c r="A5" s="21">
        <v>3002</v>
      </c>
      <c r="B5" s="51">
        <v>5305</v>
      </c>
      <c r="C5" s="59" t="s">
        <v>42</v>
      </c>
      <c r="D5" s="51" t="s">
        <v>158</v>
      </c>
      <c r="E5" s="51" t="s">
        <v>271</v>
      </c>
      <c r="F5" s="63" t="s">
        <v>330</v>
      </c>
      <c r="G5" s="65" t="s">
        <v>332</v>
      </c>
      <c r="H5" s="54">
        <v>150</v>
      </c>
      <c r="I5" s="22" t="s">
        <v>12</v>
      </c>
      <c r="J5" s="47">
        <v>0</v>
      </c>
      <c r="K5" s="48">
        <f t="shared" ref="K5:K68" si="0">SUM(J5*H5)</f>
        <v>0</v>
      </c>
      <c r="L5" s="24"/>
      <c r="M5" s="23"/>
      <c r="N5" s="23"/>
      <c r="O5" s="23"/>
      <c r="P5" s="23"/>
      <c r="Q5" s="25" t="s">
        <v>33</v>
      </c>
      <c r="R5" s="26" t="s">
        <v>34</v>
      </c>
    </row>
    <row r="6" spans="1:18" ht="15.75" customHeight="1">
      <c r="A6" s="21">
        <v>3003</v>
      </c>
      <c r="B6" s="51" t="s">
        <v>19</v>
      </c>
      <c r="C6" s="54" t="s">
        <v>43</v>
      </c>
      <c r="D6" s="51" t="s">
        <v>159</v>
      </c>
      <c r="E6" s="51" t="s">
        <v>272</v>
      </c>
      <c r="F6" s="63" t="s">
        <v>330</v>
      </c>
      <c r="G6" s="64" t="s">
        <v>333</v>
      </c>
      <c r="H6" s="51">
        <v>75</v>
      </c>
      <c r="I6" s="22" t="s">
        <v>12</v>
      </c>
      <c r="J6" s="47">
        <v>0</v>
      </c>
      <c r="K6" s="48">
        <f t="shared" si="0"/>
        <v>0</v>
      </c>
      <c r="L6" s="24"/>
      <c r="M6" s="23"/>
      <c r="N6" s="23"/>
      <c r="O6" s="23"/>
      <c r="P6" s="23"/>
      <c r="Q6" s="25" t="s">
        <v>33</v>
      </c>
      <c r="R6" s="26" t="s">
        <v>34</v>
      </c>
    </row>
    <row r="7" spans="1:18" ht="15.75" customHeight="1">
      <c r="A7" s="21">
        <v>3004</v>
      </c>
      <c r="B7" s="51" t="s">
        <v>20</v>
      </c>
      <c r="C7" s="54" t="s">
        <v>44</v>
      </c>
      <c r="D7" s="51" t="s">
        <v>160</v>
      </c>
      <c r="E7" s="51" t="s">
        <v>270</v>
      </c>
      <c r="F7" s="63" t="s">
        <v>330</v>
      </c>
      <c r="G7" s="64" t="s">
        <v>332</v>
      </c>
      <c r="H7" s="51">
        <v>600</v>
      </c>
      <c r="I7" s="22" t="s">
        <v>12</v>
      </c>
      <c r="J7" s="47">
        <v>0</v>
      </c>
      <c r="K7" s="48">
        <f>SUM(J7*H7)</f>
        <v>0</v>
      </c>
      <c r="L7" s="24"/>
      <c r="M7" s="23"/>
      <c r="N7" s="23"/>
      <c r="O7" s="23"/>
      <c r="P7" s="23"/>
      <c r="Q7" s="25" t="s">
        <v>33</v>
      </c>
      <c r="R7" s="26" t="s">
        <v>34</v>
      </c>
    </row>
    <row r="8" spans="1:18" ht="15.75" customHeight="1">
      <c r="A8" s="21">
        <v>3005</v>
      </c>
      <c r="B8" s="51" t="s">
        <v>20</v>
      </c>
      <c r="C8" s="54" t="s">
        <v>45</v>
      </c>
      <c r="D8" s="51" t="s">
        <v>161</v>
      </c>
      <c r="E8" s="51" t="s">
        <v>270</v>
      </c>
      <c r="F8" s="63" t="s">
        <v>330</v>
      </c>
      <c r="G8" s="64" t="s">
        <v>334</v>
      </c>
      <c r="H8" s="51">
        <v>550</v>
      </c>
      <c r="I8" s="22" t="s">
        <v>12</v>
      </c>
      <c r="J8" s="47">
        <v>0</v>
      </c>
      <c r="K8" s="48">
        <f t="shared" si="0"/>
        <v>0</v>
      </c>
      <c r="L8" s="24"/>
      <c r="M8" s="23"/>
      <c r="N8" s="23"/>
      <c r="O8" s="23"/>
      <c r="P8" s="23"/>
      <c r="Q8" s="25" t="s">
        <v>33</v>
      </c>
      <c r="R8" s="26" t="s">
        <v>34</v>
      </c>
    </row>
    <row r="9" spans="1:18" ht="15.75" customHeight="1">
      <c r="A9" s="21">
        <v>3006</v>
      </c>
      <c r="B9" s="51" t="s">
        <v>18</v>
      </c>
      <c r="C9" s="54" t="s">
        <v>46</v>
      </c>
      <c r="D9" s="51" t="s">
        <v>162</v>
      </c>
      <c r="E9" s="51" t="s">
        <v>273</v>
      </c>
      <c r="F9" s="63" t="s">
        <v>330</v>
      </c>
      <c r="G9" s="64" t="s">
        <v>334</v>
      </c>
      <c r="H9" s="51" t="s">
        <v>316</v>
      </c>
      <c r="I9" s="22" t="s">
        <v>12</v>
      </c>
      <c r="J9" s="47">
        <v>0</v>
      </c>
      <c r="K9" s="48">
        <f t="shared" si="0"/>
        <v>0</v>
      </c>
      <c r="L9" s="24"/>
      <c r="M9" s="23"/>
      <c r="N9" s="23"/>
      <c r="O9" s="23"/>
      <c r="P9" s="23"/>
      <c r="Q9" s="25" t="s">
        <v>33</v>
      </c>
      <c r="R9" s="26" t="s">
        <v>34</v>
      </c>
    </row>
    <row r="10" spans="1:18" ht="15.75" customHeight="1">
      <c r="A10" s="21">
        <v>3007</v>
      </c>
      <c r="B10" s="51" t="s">
        <v>18</v>
      </c>
      <c r="C10" s="54" t="s">
        <v>47</v>
      </c>
      <c r="D10" s="51" t="s">
        <v>163</v>
      </c>
      <c r="E10" s="51" t="s">
        <v>274</v>
      </c>
      <c r="F10" s="63" t="s">
        <v>330</v>
      </c>
      <c r="G10" s="64" t="s">
        <v>332</v>
      </c>
      <c r="H10" s="51">
        <v>200</v>
      </c>
      <c r="I10" s="22" t="s">
        <v>12</v>
      </c>
      <c r="J10" s="47">
        <v>0</v>
      </c>
      <c r="K10" s="48">
        <f t="shared" si="0"/>
        <v>0</v>
      </c>
      <c r="L10" s="24"/>
      <c r="M10" s="23"/>
      <c r="N10" s="23"/>
      <c r="O10" s="23"/>
      <c r="P10" s="23"/>
      <c r="Q10" s="25" t="s">
        <v>33</v>
      </c>
      <c r="R10" s="26" t="s">
        <v>34</v>
      </c>
    </row>
    <row r="11" spans="1:18" ht="15.75" customHeight="1">
      <c r="A11" s="21">
        <v>3008</v>
      </c>
      <c r="B11" s="51" t="s">
        <v>20</v>
      </c>
      <c r="C11" s="54" t="s">
        <v>48</v>
      </c>
      <c r="D11" s="51" t="s">
        <v>164</v>
      </c>
      <c r="E11" s="51" t="s">
        <v>270</v>
      </c>
      <c r="F11" s="63" t="s">
        <v>330</v>
      </c>
      <c r="G11" s="64" t="s">
        <v>332</v>
      </c>
      <c r="H11" s="51" t="s">
        <v>317</v>
      </c>
      <c r="I11" s="22" t="s">
        <v>12</v>
      </c>
      <c r="J11" s="47">
        <v>0</v>
      </c>
      <c r="K11" s="48">
        <f t="shared" si="0"/>
        <v>0</v>
      </c>
      <c r="L11" s="24"/>
      <c r="M11" s="23"/>
      <c r="N11" s="23"/>
      <c r="O11" s="23"/>
      <c r="P11" s="23"/>
      <c r="Q11" s="25" t="s">
        <v>33</v>
      </c>
      <c r="R11" s="26" t="s">
        <v>34</v>
      </c>
    </row>
    <row r="12" spans="1:18" ht="15.75" customHeight="1">
      <c r="A12" s="21">
        <v>3009</v>
      </c>
      <c r="B12" s="51" t="s">
        <v>18</v>
      </c>
      <c r="C12" s="54" t="s">
        <v>49</v>
      </c>
      <c r="D12" s="51" t="s">
        <v>165</v>
      </c>
      <c r="E12" s="51" t="s">
        <v>275</v>
      </c>
      <c r="F12" s="63" t="s">
        <v>330</v>
      </c>
      <c r="G12" s="64" t="s">
        <v>332</v>
      </c>
      <c r="H12" s="51" t="s">
        <v>318</v>
      </c>
      <c r="I12" s="22" t="s">
        <v>12</v>
      </c>
      <c r="J12" s="47">
        <v>0</v>
      </c>
      <c r="K12" s="48">
        <f t="shared" si="0"/>
        <v>0</v>
      </c>
      <c r="L12" s="24"/>
      <c r="M12" s="23"/>
      <c r="N12" s="23"/>
      <c r="O12" s="23"/>
      <c r="P12" s="23"/>
      <c r="Q12" s="25" t="s">
        <v>33</v>
      </c>
      <c r="R12" s="26" t="s">
        <v>34</v>
      </c>
    </row>
    <row r="13" spans="1:18" ht="15.75" customHeight="1">
      <c r="A13" s="21">
        <v>3010</v>
      </c>
      <c r="B13" s="51" t="s">
        <v>18</v>
      </c>
      <c r="C13" s="54" t="s">
        <v>50</v>
      </c>
      <c r="D13" s="51" t="s">
        <v>166</v>
      </c>
      <c r="E13" s="51" t="s">
        <v>29</v>
      </c>
      <c r="F13" s="63" t="s">
        <v>330</v>
      </c>
      <c r="G13" s="64" t="s">
        <v>331</v>
      </c>
      <c r="H13" s="51" t="s">
        <v>319</v>
      </c>
      <c r="I13" s="22" t="s">
        <v>12</v>
      </c>
      <c r="J13" s="47">
        <v>0</v>
      </c>
      <c r="K13" s="48">
        <f t="shared" si="0"/>
        <v>0</v>
      </c>
      <c r="L13" s="24"/>
      <c r="M13" s="23"/>
      <c r="N13" s="23"/>
      <c r="O13" s="23"/>
      <c r="P13" s="23"/>
      <c r="Q13" s="25" t="s">
        <v>33</v>
      </c>
      <c r="R13" s="26" t="s">
        <v>34</v>
      </c>
    </row>
    <row r="14" spans="1:18" ht="15.75" customHeight="1">
      <c r="A14" s="21">
        <v>3011</v>
      </c>
      <c r="B14" s="51" t="s">
        <v>18</v>
      </c>
      <c r="C14" s="54" t="s">
        <v>51</v>
      </c>
      <c r="D14" s="51" t="s">
        <v>167</v>
      </c>
      <c r="E14" s="51" t="s">
        <v>276</v>
      </c>
      <c r="F14" s="63" t="s">
        <v>330</v>
      </c>
      <c r="G14" s="64" t="s">
        <v>333</v>
      </c>
      <c r="H14" s="51" t="s">
        <v>320</v>
      </c>
      <c r="I14" s="22" t="s">
        <v>12</v>
      </c>
      <c r="J14" s="47">
        <v>0</v>
      </c>
      <c r="K14" s="48">
        <f t="shared" si="0"/>
        <v>0</v>
      </c>
      <c r="L14" s="24"/>
      <c r="M14" s="23"/>
      <c r="N14" s="23"/>
      <c r="O14" s="23"/>
      <c r="P14" s="23"/>
      <c r="Q14" s="25" t="s">
        <v>33</v>
      </c>
      <c r="R14" s="26" t="s">
        <v>34</v>
      </c>
    </row>
    <row r="15" spans="1:18" ht="15.75" customHeight="1">
      <c r="A15" s="21">
        <v>3012</v>
      </c>
      <c r="B15" s="51" t="s">
        <v>18</v>
      </c>
      <c r="C15" s="54" t="s">
        <v>52</v>
      </c>
      <c r="D15" s="51" t="s">
        <v>168</v>
      </c>
      <c r="E15" s="51" t="s">
        <v>276</v>
      </c>
      <c r="F15" s="63" t="s">
        <v>330</v>
      </c>
      <c r="G15" s="64" t="s">
        <v>334</v>
      </c>
      <c r="H15" s="51" t="s">
        <v>321</v>
      </c>
      <c r="I15" s="22" t="s">
        <v>12</v>
      </c>
      <c r="J15" s="47">
        <v>0</v>
      </c>
      <c r="K15" s="48">
        <f t="shared" si="0"/>
        <v>0</v>
      </c>
      <c r="L15" s="24"/>
      <c r="M15" s="23"/>
      <c r="N15" s="23"/>
      <c r="O15" s="23"/>
      <c r="P15" s="23"/>
      <c r="Q15" s="25" t="s">
        <v>33</v>
      </c>
      <c r="R15" s="26" t="s">
        <v>34</v>
      </c>
    </row>
    <row r="16" spans="1:18" ht="15.75" customHeight="1">
      <c r="A16" s="21">
        <v>3013</v>
      </c>
      <c r="B16" s="51" t="s">
        <v>18</v>
      </c>
      <c r="C16" s="54" t="s">
        <v>53</v>
      </c>
      <c r="D16" s="51" t="s">
        <v>169</v>
      </c>
      <c r="E16" s="51" t="s">
        <v>273</v>
      </c>
      <c r="F16" s="63" t="s">
        <v>330</v>
      </c>
      <c r="G16" s="64" t="s">
        <v>334</v>
      </c>
      <c r="H16" s="51" t="s">
        <v>322</v>
      </c>
      <c r="I16" s="22" t="s">
        <v>12</v>
      </c>
      <c r="J16" s="47">
        <v>0</v>
      </c>
      <c r="K16" s="48">
        <f t="shared" si="0"/>
        <v>0</v>
      </c>
      <c r="L16" s="24"/>
      <c r="M16" s="23"/>
      <c r="N16" s="23"/>
      <c r="O16" s="23"/>
      <c r="P16" s="23"/>
      <c r="Q16" s="25" t="s">
        <v>33</v>
      </c>
      <c r="R16" s="26" t="s">
        <v>34</v>
      </c>
    </row>
    <row r="17" spans="1:18" ht="15.75" customHeight="1">
      <c r="A17" s="21">
        <v>3014</v>
      </c>
      <c r="B17" s="51" t="s">
        <v>21</v>
      </c>
      <c r="C17" s="54" t="s">
        <v>54</v>
      </c>
      <c r="D17" s="51" t="s">
        <v>170</v>
      </c>
      <c r="E17" s="51" t="s">
        <v>277</v>
      </c>
      <c r="F17" s="63" t="s">
        <v>330</v>
      </c>
      <c r="G17" s="64" t="s">
        <v>332</v>
      </c>
      <c r="H17" s="51">
        <v>100</v>
      </c>
      <c r="I17" s="22" t="s">
        <v>12</v>
      </c>
      <c r="J17" s="47">
        <v>0</v>
      </c>
      <c r="K17" s="48">
        <f t="shared" si="0"/>
        <v>0</v>
      </c>
      <c r="L17" s="24"/>
      <c r="M17" s="23"/>
      <c r="N17" s="23"/>
      <c r="O17" s="23"/>
      <c r="P17" s="23"/>
      <c r="Q17" s="25" t="s">
        <v>33</v>
      </c>
      <c r="R17" s="26" t="s">
        <v>34</v>
      </c>
    </row>
    <row r="18" spans="1:18" ht="15.75" customHeight="1">
      <c r="A18" s="21">
        <v>3015</v>
      </c>
      <c r="B18" s="51" t="s">
        <v>18</v>
      </c>
      <c r="C18" s="54" t="s">
        <v>55</v>
      </c>
      <c r="D18" s="51" t="s">
        <v>171</v>
      </c>
      <c r="E18" s="51" t="s">
        <v>273</v>
      </c>
      <c r="F18" s="63" t="s">
        <v>330</v>
      </c>
      <c r="G18" s="64" t="s">
        <v>332</v>
      </c>
      <c r="H18" s="51" t="s">
        <v>323</v>
      </c>
      <c r="I18" s="22" t="s">
        <v>12</v>
      </c>
      <c r="J18" s="47">
        <v>0</v>
      </c>
      <c r="K18" s="48">
        <f t="shared" si="0"/>
        <v>0</v>
      </c>
      <c r="L18" s="24"/>
      <c r="M18" s="23"/>
      <c r="N18" s="23"/>
      <c r="O18" s="23"/>
      <c r="P18" s="23"/>
      <c r="Q18" s="25" t="s">
        <v>33</v>
      </c>
      <c r="R18" s="26" t="s">
        <v>34</v>
      </c>
    </row>
    <row r="19" spans="1:18" ht="15.75" customHeight="1">
      <c r="A19" s="21">
        <v>3016</v>
      </c>
      <c r="B19" s="51" t="s">
        <v>20</v>
      </c>
      <c r="C19" s="54" t="s">
        <v>56</v>
      </c>
      <c r="D19" s="51" t="s">
        <v>172</v>
      </c>
      <c r="E19" s="51" t="s">
        <v>270</v>
      </c>
      <c r="F19" s="63" t="s">
        <v>330</v>
      </c>
      <c r="G19" s="64" t="s">
        <v>335</v>
      </c>
      <c r="H19" s="51">
        <v>50</v>
      </c>
      <c r="I19" s="22" t="s">
        <v>12</v>
      </c>
      <c r="J19" s="47">
        <v>0</v>
      </c>
      <c r="K19" s="48">
        <f t="shared" si="0"/>
        <v>0</v>
      </c>
      <c r="L19" s="24"/>
      <c r="M19" s="23"/>
      <c r="N19" s="23"/>
      <c r="O19" s="23"/>
      <c r="P19" s="23"/>
      <c r="Q19" s="25" t="s">
        <v>33</v>
      </c>
      <c r="R19" s="26" t="s">
        <v>34</v>
      </c>
    </row>
    <row r="20" spans="1:18" ht="15.75" customHeight="1">
      <c r="A20" s="21">
        <v>3017</v>
      </c>
      <c r="B20" s="51" t="s">
        <v>20</v>
      </c>
      <c r="C20" s="54" t="s">
        <v>57</v>
      </c>
      <c r="D20" s="51" t="s">
        <v>173</v>
      </c>
      <c r="E20" s="51" t="s">
        <v>270</v>
      </c>
      <c r="F20" s="63" t="s">
        <v>330</v>
      </c>
      <c r="G20" s="64" t="s">
        <v>336</v>
      </c>
      <c r="H20" s="51">
        <v>150</v>
      </c>
      <c r="I20" s="22" t="s">
        <v>12</v>
      </c>
      <c r="J20" s="47">
        <v>0</v>
      </c>
      <c r="K20" s="48">
        <f t="shared" si="0"/>
        <v>0</v>
      </c>
      <c r="L20" s="24"/>
      <c r="M20" s="23"/>
      <c r="N20" s="23"/>
      <c r="O20" s="23"/>
      <c r="P20" s="23"/>
      <c r="Q20" s="25" t="s">
        <v>33</v>
      </c>
      <c r="R20" s="26" t="s">
        <v>34</v>
      </c>
    </row>
    <row r="21" spans="1:18" ht="15.75" customHeight="1">
      <c r="A21" s="21">
        <v>3018</v>
      </c>
      <c r="B21" s="51" t="s">
        <v>20</v>
      </c>
      <c r="C21" s="54" t="s">
        <v>58</v>
      </c>
      <c r="D21" s="51" t="s">
        <v>174</v>
      </c>
      <c r="E21" s="51" t="s">
        <v>278</v>
      </c>
      <c r="F21" s="63" t="s">
        <v>330</v>
      </c>
      <c r="G21" s="64" t="s">
        <v>335</v>
      </c>
      <c r="H21" s="51">
        <v>50</v>
      </c>
      <c r="I21" s="22" t="s">
        <v>12</v>
      </c>
      <c r="J21" s="47">
        <v>0</v>
      </c>
      <c r="K21" s="48">
        <f t="shared" si="0"/>
        <v>0</v>
      </c>
      <c r="L21" s="24"/>
      <c r="M21" s="23"/>
      <c r="N21" s="23"/>
      <c r="O21" s="23"/>
      <c r="P21" s="23"/>
      <c r="Q21" s="25" t="s">
        <v>33</v>
      </c>
      <c r="R21" s="26" t="s">
        <v>34</v>
      </c>
    </row>
    <row r="22" spans="1:18" ht="15.75" customHeight="1">
      <c r="A22" s="21">
        <v>3019</v>
      </c>
      <c r="B22" s="51" t="s">
        <v>22</v>
      </c>
      <c r="C22" s="54" t="s">
        <v>59</v>
      </c>
      <c r="D22" s="51" t="s">
        <v>175</v>
      </c>
      <c r="E22" s="51" t="s">
        <v>279</v>
      </c>
      <c r="F22" s="63" t="s">
        <v>330</v>
      </c>
      <c r="G22" s="64" t="s">
        <v>332</v>
      </c>
      <c r="H22" s="51">
        <v>5</v>
      </c>
      <c r="I22" s="22" t="s">
        <v>12</v>
      </c>
      <c r="J22" s="47">
        <v>0</v>
      </c>
      <c r="K22" s="48">
        <f t="shared" si="0"/>
        <v>0</v>
      </c>
      <c r="L22" s="24"/>
      <c r="M22" s="23"/>
      <c r="N22" s="23"/>
      <c r="O22" s="23"/>
      <c r="P22" s="23"/>
      <c r="Q22" s="25" t="s">
        <v>33</v>
      </c>
      <c r="R22" s="26" t="s">
        <v>34</v>
      </c>
    </row>
    <row r="23" spans="1:18" ht="15.75" customHeight="1">
      <c r="A23" s="21">
        <v>3020</v>
      </c>
      <c r="B23" s="51" t="s">
        <v>18</v>
      </c>
      <c r="C23" s="54" t="s">
        <v>60</v>
      </c>
      <c r="D23" s="51" t="s">
        <v>176</v>
      </c>
      <c r="E23" s="51" t="s">
        <v>25</v>
      </c>
      <c r="F23" s="63" t="s">
        <v>330</v>
      </c>
      <c r="G23" s="64" t="s">
        <v>334</v>
      </c>
      <c r="H23" s="51" t="s">
        <v>324</v>
      </c>
      <c r="I23" s="22" t="s">
        <v>12</v>
      </c>
      <c r="J23" s="47">
        <v>0</v>
      </c>
      <c r="K23" s="48">
        <f t="shared" si="0"/>
        <v>0</v>
      </c>
      <c r="L23" s="24"/>
      <c r="M23" s="23"/>
      <c r="N23" s="23"/>
      <c r="O23" s="23"/>
      <c r="P23" s="23"/>
      <c r="Q23" s="25" t="s">
        <v>33</v>
      </c>
      <c r="R23" s="26" t="s">
        <v>34</v>
      </c>
    </row>
    <row r="24" spans="1:18" ht="15.75" customHeight="1">
      <c r="A24" s="21">
        <v>3021</v>
      </c>
      <c r="B24" s="51" t="s">
        <v>17</v>
      </c>
      <c r="C24" s="54" t="s">
        <v>61</v>
      </c>
      <c r="D24" s="51" t="s">
        <v>177</v>
      </c>
      <c r="E24" s="51" t="s">
        <v>280</v>
      </c>
      <c r="F24" s="63" t="s">
        <v>330</v>
      </c>
      <c r="G24" s="64" t="s">
        <v>337</v>
      </c>
      <c r="H24" s="51">
        <v>2</v>
      </c>
      <c r="I24" s="22" t="s">
        <v>12</v>
      </c>
      <c r="J24" s="47">
        <v>0</v>
      </c>
      <c r="K24" s="48">
        <f t="shared" si="0"/>
        <v>0</v>
      </c>
      <c r="L24" s="24"/>
      <c r="M24" s="23"/>
      <c r="N24" s="23"/>
      <c r="O24" s="23"/>
      <c r="P24" s="23"/>
      <c r="Q24" s="25" t="s">
        <v>33</v>
      </c>
      <c r="R24" s="26" t="s">
        <v>34</v>
      </c>
    </row>
    <row r="25" spans="1:18" ht="15.75" customHeight="1">
      <c r="A25" s="21">
        <v>3022</v>
      </c>
      <c r="B25" s="51" t="s">
        <v>16</v>
      </c>
      <c r="C25" s="54" t="s">
        <v>62</v>
      </c>
      <c r="D25" s="51" t="s">
        <v>178</v>
      </c>
      <c r="E25" s="51" t="s">
        <v>281</v>
      </c>
      <c r="F25" s="63" t="s">
        <v>330</v>
      </c>
      <c r="G25" s="64" t="s">
        <v>332</v>
      </c>
      <c r="H25" s="51">
        <v>200</v>
      </c>
      <c r="I25" s="22" t="s">
        <v>12</v>
      </c>
      <c r="J25" s="47">
        <v>0</v>
      </c>
      <c r="K25" s="48">
        <f t="shared" si="0"/>
        <v>0</v>
      </c>
      <c r="L25" s="24"/>
      <c r="M25" s="23"/>
      <c r="N25" s="23"/>
      <c r="O25" s="23"/>
      <c r="P25" s="23"/>
      <c r="Q25" s="25" t="s">
        <v>33</v>
      </c>
      <c r="R25" s="26" t="s">
        <v>34</v>
      </c>
    </row>
    <row r="26" spans="1:18" ht="15.75" customHeight="1">
      <c r="A26" s="21">
        <v>3023</v>
      </c>
      <c r="B26" s="51" t="s">
        <v>13</v>
      </c>
      <c r="C26" s="54" t="s">
        <v>63</v>
      </c>
      <c r="D26" s="51" t="s">
        <v>179</v>
      </c>
      <c r="E26" s="51" t="s">
        <v>282</v>
      </c>
      <c r="F26" s="63" t="s">
        <v>330</v>
      </c>
      <c r="G26" s="64" t="s">
        <v>332</v>
      </c>
      <c r="H26" s="51">
        <v>500</v>
      </c>
      <c r="I26" s="22" t="s">
        <v>12</v>
      </c>
      <c r="J26" s="47">
        <v>0</v>
      </c>
      <c r="K26" s="48">
        <f t="shared" si="0"/>
        <v>0</v>
      </c>
      <c r="L26" s="24"/>
      <c r="M26" s="23"/>
      <c r="N26" s="23"/>
      <c r="O26" s="23"/>
      <c r="P26" s="23"/>
      <c r="Q26" s="25" t="s">
        <v>33</v>
      </c>
      <c r="R26" s="26" t="s">
        <v>34</v>
      </c>
    </row>
    <row r="27" spans="1:18" ht="15.75" customHeight="1">
      <c r="A27" s="21">
        <v>3024</v>
      </c>
      <c r="B27" s="51" t="s">
        <v>18</v>
      </c>
      <c r="C27" s="54" t="s">
        <v>64</v>
      </c>
      <c r="D27" s="51" t="s">
        <v>180</v>
      </c>
      <c r="E27" s="51" t="s">
        <v>24</v>
      </c>
      <c r="F27" s="63" t="s">
        <v>330</v>
      </c>
      <c r="G27" s="64" t="s">
        <v>332</v>
      </c>
      <c r="H27" s="51" t="s">
        <v>325</v>
      </c>
      <c r="I27" s="22" t="s">
        <v>12</v>
      </c>
      <c r="J27" s="47">
        <v>0</v>
      </c>
      <c r="K27" s="48">
        <f t="shared" si="0"/>
        <v>0</v>
      </c>
      <c r="L27" s="24"/>
      <c r="M27" s="23"/>
      <c r="N27" s="23"/>
      <c r="O27" s="23"/>
      <c r="P27" s="23"/>
      <c r="Q27" s="25" t="s">
        <v>33</v>
      </c>
      <c r="R27" s="26" t="s">
        <v>34</v>
      </c>
    </row>
    <row r="28" spans="1:18" ht="15.75" customHeight="1">
      <c r="A28" s="21">
        <v>3025</v>
      </c>
      <c r="B28" s="51" t="s">
        <v>18</v>
      </c>
      <c r="C28" s="54" t="s">
        <v>65</v>
      </c>
      <c r="D28" s="51" t="s">
        <v>181</v>
      </c>
      <c r="E28" s="51" t="s">
        <v>276</v>
      </c>
      <c r="F28" s="63" t="s">
        <v>330</v>
      </c>
      <c r="G28" s="64" t="s">
        <v>332</v>
      </c>
      <c r="H28" s="51" t="s">
        <v>326</v>
      </c>
      <c r="I28" s="22" t="s">
        <v>12</v>
      </c>
      <c r="J28" s="47">
        <v>0</v>
      </c>
      <c r="K28" s="48">
        <f t="shared" si="0"/>
        <v>0</v>
      </c>
      <c r="L28" s="24"/>
      <c r="M28" s="23"/>
      <c r="N28" s="23"/>
      <c r="O28" s="23"/>
      <c r="P28" s="23"/>
      <c r="Q28" s="25" t="s">
        <v>33</v>
      </c>
      <c r="R28" s="26" t="s">
        <v>34</v>
      </c>
    </row>
    <row r="29" spans="1:18" ht="15.75" customHeight="1">
      <c r="A29" s="21">
        <v>3026</v>
      </c>
      <c r="B29" s="51" t="s">
        <v>18</v>
      </c>
      <c r="C29" s="54" t="s">
        <v>66</v>
      </c>
      <c r="D29" s="51" t="s">
        <v>182</v>
      </c>
      <c r="E29" s="51" t="s">
        <v>283</v>
      </c>
      <c r="F29" s="63" t="s">
        <v>330</v>
      </c>
      <c r="G29" s="64" t="s">
        <v>332</v>
      </c>
      <c r="H29" s="51" t="s">
        <v>320</v>
      </c>
      <c r="I29" s="22" t="s">
        <v>12</v>
      </c>
      <c r="J29" s="47">
        <v>0</v>
      </c>
      <c r="K29" s="48">
        <f t="shared" si="0"/>
        <v>0</v>
      </c>
      <c r="L29" s="24"/>
      <c r="M29" s="23"/>
      <c r="N29" s="23"/>
      <c r="O29" s="23"/>
      <c r="P29" s="23"/>
      <c r="Q29" s="25" t="s">
        <v>33</v>
      </c>
      <c r="R29" s="26" t="s">
        <v>34</v>
      </c>
    </row>
    <row r="30" spans="1:18" ht="15.75" customHeight="1">
      <c r="A30" s="21">
        <v>3027</v>
      </c>
      <c r="B30" s="51" t="s">
        <v>18</v>
      </c>
      <c r="C30" s="54" t="s">
        <v>67</v>
      </c>
      <c r="D30" s="51" t="s">
        <v>183</v>
      </c>
      <c r="E30" s="51" t="s">
        <v>284</v>
      </c>
      <c r="F30" s="63" t="s">
        <v>330</v>
      </c>
      <c r="G30" s="64" t="s">
        <v>334</v>
      </c>
      <c r="H30" s="51">
        <v>400</v>
      </c>
      <c r="I30" s="22" t="s">
        <v>12</v>
      </c>
      <c r="J30" s="47">
        <v>0</v>
      </c>
      <c r="K30" s="48">
        <f t="shared" si="0"/>
        <v>0</v>
      </c>
      <c r="L30" s="24"/>
      <c r="M30" s="23"/>
      <c r="N30" s="23"/>
      <c r="O30" s="23"/>
      <c r="P30" s="23"/>
      <c r="Q30" s="25" t="s">
        <v>33</v>
      </c>
      <c r="R30" s="26" t="s">
        <v>34</v>
      </c>
    </row>
    <row r="31" spans="1:18" ht="15.75" customHeight="1">
      <c r="A31" s="21">
        <v>3028</v>
      </c>
      <c r="B31" s="51" t="s">
        <v>20</v>
      </c>
      <c r="C31" s="54" t="s">
        <v>68</v>
      </c>
      <c r="D31" s="51" t="s">
        <v>184</v>
      </c>
      <c r="E31" s="51" t="s">
        <v>285</v>
      </c>
      <c r="F31" s="63" t="s">
        <v>330</v>
      </c>
      <c r="G31" s="64" t="s">
        <v>331</v>
      </c>
      <c r="H31" s="51">
        <v>100</v>
      </c>
      <c r="I31" s="22" t="s">
        <v>12</v>
      </c>
      <c r="J31" s="47">
        <v>0</v>
      </c>
      <c r="K31" s="48">
        <f t="shared" si="0"/>
        <v>0</v>
      </c>
      <c r="L31" s="24"/>
      <c r="M31" s="23"/>
      <c r="N31" s="23"/>
      <c r="O31" s="23"/>
      <c r="P31" s="23"/>
      <c r="Q31" s="25" t="s">
        <v>33</v>
      </c>
      <c r="R31" s="26" t="s">
        <v>34</v>
      </c>
    </row>
    <row r="32" spans="1:18" ht="15.75" customHeight="1">
      <c r="A32" s="21">
        <v>3029</v>
      </c>
      <c r="B32" s="51" t="s">
        <v>17</v>
      </c>
      <c r="C32" s="54" t="s">
        <v>69</v>
      </c>
      <c r="D32" s="51" t="s">
        <v>185</v>
      </c>
      <c r="E32" s="51" t="s">
        <v>286</v>
      </c>
      <c r="F32" s="63" t="s">
        <v>330</v>
      </c>
      <c r="G32" s="64" t="s">
        <v>332</v>
      </c>
      <c r="H32" s="51">
        <v>100</v>
      </c>
      <c r="I32" s="22" t="s">
        <v>12</v>
      </c>
      <c r="J32" s="47">
        <v>0</v>
      </c>
      <c r="K32" s="48">
        <f t="shared" si="0"/>
        <v>0</v>
      </c>
      <c r="L32" s="24"/>
      <c r="M32" s="23"/>
      <c r="N32" s="23"/>
      <c r="O32" s="23"/>
      <c r="P32" s="23"/>
      <c r="Q32" s="25" t="s">
        <v>33</v>
      </c>
      <c r="R32" s="26" t="s">
        <v>34</v>
      </c>
    </row>
    <row r="33" spans="1:18" ht="15.75" customHeight="1">
      <c r="A33" s="21">
        <v>3030</v>
      </c>
      <c r="B33" s="51" t="s">
        <v>20</v>
      </c>
      <c r="C33" s="54" t="s">
        <v>70</v>
      </c>
      <c r="D33" s="51" t="s">
        <v>186</v>
      </c>
      <c r="E33" s="51" t="s">
        <v>287</v>
      </c>
      <c r="F33" s="63" t="s">
        <v>330</v>
      </c>
      <c r="G33" s="64" t="s">
        <v>334</v>
      </c>
      <c r="H33" s="51" t="s">
        <v>320</v>
      </c>
      <c r="I33" s="22" t="s">
        <v>12</v>
      </c>
      <c r="J33" s="47">
        <v>0</v>
      </c>
      <c r="K33" s="48">
        <f t="shared" si="0"/>
        <v>0</v>
      </c>
      <c r="L33" s="24"/>
      <c r="M33" s="23"/>
      <c r="N33" s="23"/>
      <c r="O33" s="23"/>
      <c r="P33" s="23"/>
      <c r="Q33" s="25" t="s">
        <v>33</v>
      </c>
      <c r="R33" s="26" t="s">
        <v>34</v>
      </c>
    </row>
    <row r="34" spans="1:18" ht="15.75" customHeight="1">
      <c r="A34" s="21">
        <v>3031</v>
      </c>
      <c r="B34" s="51" t="s">
        <v>15</v>
      </c>
      <c r="C34" s="54" t="s">
        <v>71</v>
      </c>
      <c r="D34" s="51" t="s">
        <v>187</v>
      </c>
      <c r="E34" s="51" t="s">
        <v>288</v>
      </c>
      <c r="F34" s="63" t="s">
        <v>330</v>
      </c>
      <c r="G34" s="64" t="s">
        <v>332</v>
      </c>
      <c r="H34" s="51">
        <v>300</v>
      </c>
      <c r="I34" s="22" t="s">
        <v>12</v>
      </c>
      <c r="J34" s="47">
        <v>0</v>
      </c>
      <c r="K34" s="48">
        <f t="shared" si="0"/>
        <v>0</v>
      </c>
      <c r="L34" s="24"/>
      <c r="M34" s="23"/>
      <c r="N34" s="23"/>
      <c r="O34" s="23"/>
      <c r="P34" s="23"/>
      <c r="Q34" s="25" t="s">
        <v>33</v>
      </c>
      <c r="R34" s="26" t="s">
        <v>34</v>
      </c>
    </row>
    <row r="35" spans="1:18" ht="15.75" customHeight="1">
      <c r="A35" s="21">
        <v>3032</v>
      </c>
      <c r="B35" s="51" t="s">
        <v>20</v>
      </c>
      <c r="C35" s="54" t="s">
        <v>72</v>
      </c>
      <c r="D35" s="51" t="s">
        <v>188</v>
      </c>
      <c r="E35" s="51" t="s">
        <v>270</v>
      </c>
      <c r="F35" s="63" t="s">
        <v>330</v>
      </c>
      <c r="G35" s="64" t="s">
        <v>332</v>
      </c>
      <c r="H35" s="51">
        <v>400</v>
      </c>
      <c r="I35" s="22" t="s">
        <v>12</v>
      </c>
      <c r="J35" s="47">
        <v>0</v>
      </c>
      <c r="K35" s="48">
        <f t="shared" si="0"/>
        <v>0</v>
      </c>
      <c r="L35" s="24"/>
      <c r="M35" s="23"/>
      <c r="N35" s="23"/>
      <c r="O35" s="23"/>
      <c r="P35" s="23"/>
      <c r="Q35" s="25" t="s">
        <v>33</v>
      </c>
      <c r="R35" s="26" t="s">
        <v>34</v>
      </c>
    </row>
    <row r="36" spans="1:18" ht="15.75" customHeight="1">
      <c r="A36" s="21">
        <v>3033</v>
      </c>
      <c r="B36" s="51" t="s">
        <v>20</v>
      </c>
      <c r="C36" s="54" t="s">
        <v>73</v>
      </c>
      <c r="D36" s="51" t="s">
        <v>189</v>
      </c>
      <c r="E36" s="51" t="s">
        <v>270</v>
      </c>
      <c r="F36" s="63" t="s">
        <v>330</v>
      </c>
      <c r="G36" s="64" t="s">
        <v>332</v>
      </c>
      <c r="H36" s="51" t="s">
        <v>318</v>
      </c>
      <c r="I36" s="22" t="s">
        <v>12</v>
      </c>
      <c r="J36" s="47">
        <v>0</v>
      </c>
      <c r="K36" s="48">
        <f t="shared" si="0"/>
        <v>0</v>
      </c>
      <c r="L36" s="24"/>
      <c r="M36" s="23"/>
      <c r="N36" s="23"/>
      <c r="O36" s="23"/>
      <c r="P36" s="23"/>
      <c r="Q36" s="25" t="s">
        <v>33</v>
      </c>
      <c r="R36" s="26" t="s">
        <v>34</v>
      </c>
    </row>
    <row r="37" spans="1:18" ht="15.75" customHeight="1">
      <c r="A37" s="21">
        <v>3034</v>
      </c>
      <c r="B37" s="51" t="s">
        <v>18</v>
      </c>
      <c r="C37" s="54" t="s">
        <v>74</v>
      </c>
      <c r="D37" s="51" t="s">
        <v>190</v>
      </c>
      <c r="E37" s="51" t="s">
        <v>276</v>
      </c>
      <c r="F37" s="63" t="s">
        <v>330</v>
      </c>
      <c r="G37" s="64" t="s">
        <v>332</v>
      </c>
      <c r="H37" s="51">
        <v>800</v>
      </c>
      <c r="I37" s="22" t="s">
        <v>12</v>
      </c>
      <c r="J37" s="47">
        <v>0</v>
      </c>
      <c r="K37" s="48">
        <f t="shared" si="0"/>
        <v>0</v>
      </c>
      <c r="L37" s="24"/>
      <c r="M37" s="23"/>
      <c r="N37" s="23"/>
      <c r="O37" s="23"/>
      <c r="P37" s="23"/>
      <c r="Q37" s="25" t="s">
        <v>33</v>
      </c>
      <c r="R37" s="26" t="s">
        <v>34</v>
      </c>
    </row>
    <row r="38" spans="1:18" ht="15.75" customHeight="1">
      <c r="A38" s="21">
        <v>3035</v>
      </c>
      <c r="B38" s="51" t="s">
        <v>20</v>
      </c>
      <c r="C38" s="54" t="s">
        <v>75</v>
      </c>
      <c r="D38" s="51" t="s">
        <v>191</v>
      </c>
      <c r="E38" s="51" t="s">
        <v>30</v>
      </c>
      <c r="F38" s="63" t="s">
        <v>330</v>
      </c>
      <c r="G38" s="64" t="s">
        <v>337</v>
      </c>
      <c r="H38" s="51">
        <v>100</v>
      </c>
      <c r="I38" s="22" t="s">
        <v>12</v>
      </c>
      <c r="J38" s="47">
        <v>0</v>
      </c>
      <c r="K38" s="48">
        <f t="shared" si="0"/>
        <v>0</v>
      </c>
      <c r="L38" s="24"/>
      <c r="M38" s="23"/>
      <c r="N38" s="23"/>
      <c r="O38" s="23"/>
      <c r="P38" s="23"/>
      <c r="Q38" s="25" t="s">
        <v>33</v>
      </c>
      <c r="R38" s="26" t="s">
        <v>34</v>
      </c>
    </row>
    <row r="39" spans="1:18" ht="15.75" customHeight="1">
      <c r="A39" s="21">
        <v>3036</v>
      </c>
      <c r="B39" s="51" t="s">
        <v>15</v>
      </c>
      <c r="C39" s="54" t="s">
        <v>76</v>
      </c>
      <c r="D39" s="51" t="s">
        <v>192</v>
      </c>
      <c r="E39" s="51" t="s">
        <v>288</v>
      </c>
      <c r="F39" s="63" t="s">
        <v>330</v>
      </c>
      <c r="G39" s="64" t="s">
        <v>338</v>
      </c>
      <c r="H39" s="51">
        <v>60</v>
      </c>
      <c r="I39" s="22" t="s">
        <v>12</v>
      </c>
      <c r="J39" s="47">
        <v>0</v>
      </c>
      <c r="K39" s="48">
        <f t="shared" si="0"/>
        <v>0</v>
      </c>
      <c r="L39" s="24"/>
      <c r="M39" s="23"/>
      <c r="N39" s="23"/>
      <c r="O39" s="23"/>
      <c r="P39" s="23"/>
      <c r="Q39" s="25" t="s">
        <v>33</v>
      </c>
      <c r="R39" s="26" t="s">
        <v>34</v>
      </c>
    </row>
    <row r="40" spans="1:18" ht="15.75" customHeight="1">
      <c r="A40" s="21">
        <v>3037</v>
      </c>
      <c r="B40" s="51" t="s">
        <v>16</v>
      </c>
      <c r="C40" s="54" t="s">
        <v>77</v>
      </c>
      <c r="D40" s="51" t="s">
        <v>193</v>
      </c>
      <c r="E40" s="51" t="s">
        <v>289</v>
      </c>
      <c r="F40" s="63" t="s">
        <v>330</v>
      </c>
      <c r="G40" s="64" t="s">
        <v>338</v>
      </c>
      <c r="H40" s="51">
        <v>400</v>
      </c>
      <c r="I40" s="22" t="s">
        <v>12</v>
      </c>
      <c r="J40" s="47">
        <v>0</v>
      </c>
      <c r="K40" s="48">
        <f t="shared" si="0"/>
        <v>0</v>
      </c>
      <c r="L40" s="24"/>
      <c r="M40" s="23"/>
      <c r="N40" s="23"/>
      <c r="O40" s="23"/>
      <c r="P40" s="23"/>
      <c r="Q40" s="25" t="s">
        <v>33</v>
      </c>
      <c r="R40" s="26" t="s">
        <v>34</v>
      </c>
    </row>
    <row r="41" spans="1:18" ht="15.75" customHeight="1">
      <c r="A41" s="21">
        <v>3038</v>
      </c>
      <c r="B41" s="51" t="s">
        <v>14</v>
      </c>
      <c r="C41" s="54" t="s">
        <v>78</v>
      </c>
      <c r="D41" s="51" t="s">
        <v>194</v>
      </c>
      <c r="E41" s="51" t="s">
        <v>290</v>
      </c>
      <c r="F41" s="63" t="s">
        <v>330</v>
      </c>
      <c r="G41" s="64" t="s">
        <v>337</v>
      </c>
      <c r="H41" s="51">
        <v>120</v>
      </c>
      <c r="I41" s="22" t="s">
        <v>12</v>
      </c>
      <c r="J41" s="47">
        <v>0</v>
      </c>
      <c r="K41" s="48">
        <f t="shared" si="0"/>
        <v>0</v>
      </c>
      <c r="L41" s="24"/>
      <c r="M41" s="23"/>
      <c r="N41" s="23"/>
      <c r="O41" s="23"/>
      <c r="P41" s="23"/>
      <c r="Q41" s="25" t="s">
        <v>33</v>
      </c>
      <c r="R41" s="26" t="s">
        <v>34</v>
      </c>
    </row>
    <row r="42" spans="1:18" ht="15.75" customHeight="1">
      <c r="A42" s="21">
        <v>3039</v>
      </c>
      <c r="B42" s="51" t="s">
        <v>40</v>
      </c>
      <c r="C42" s="54" t="s">
        <v>79</v>
      </c>
      <c r="D42" s="51" t="s">
        <v>195</v>
      </c>
      <c r="E42" s="51" t="s">
        <v>270</v>
      </c>
      <c r="F42" s="63" t="s">
        <v>330</v>
      </c>
      <c r="G42" s="64" t="s">
        <v>337</v>
      </c>
      <c r="H42" s="51">
        <v>100</v>
      </c>
      <c r="I42" s="22" t="s">
        <v>12</v>
      </c>
      <c r="J42" s="47">
        <v>0</v>
      </c>
      <c r="K42" s="48">
        <f t="shared" si="0"/>
        <v>0</v>
      </c>
      <c r="L42" s="24"/>
      <c r="M42" s="23"/>
      <c r="N42" s="23"/>
      <c r="O42" s="23"/>
      <c r="P42" s="23"/>
      <c r="Q42" s="25" t="s">
        <v>33</v>
      </c>
      <c r="R42" s="26" t="s">
        <v>34</v>
      </c>
    </row>
    <row r="43" spans="1:18" ht="15.75" customHeight="1">
      <c r="A43" s="21">
        <v>3040</v>
      </c>
      <c r="B43" s="51">
        <v>5305</v>
      </c>
      <c r="C43" s="54" t="s">
        <v>80</v>
      </c>
      <c r="D43" s="51" t="s">
        <v>196</v>
      </c>
      <c r="E43" s="51" t="s">
        <v>30</v>
      </c>
      <c r="F43" s="63" t="s">
        <v>330</v>
      </c>
      <c r="G43" s="64" t="s">
        <v>339</v>
      </c>
      <c r="H43" s="55">
        <v>80</v>
      </c>
      <c r="I43" s="22" t="s">
        <v>12</v>
      </c>
      <c r="J43" s="47">
        <v>0</v>
      </c>
      <c r="K43" s="48">
        <f t="shared" si="0"/>
        <v>0</v>
      </c>
      <c r="L43" s="24"/>
      <c r="M43" s="23"/>
      <c r="N43" s="23"/>
      <c r="O43" s="23"/>
      <c r="P43" s="23"/>
      <c r="Q43" s="25" t="s">
        <v>33</v>
      </c>
      <c r="R43" s="26" t="s">
        <v>34</v>
      </c>
    </row>
    <row r="44" spans="1:18" ht="15.75" customHeight="1">
      <c r="A44" s="21">
        <v>3041</v>
      </c>
      <c r="B44" s="51">
        <v>5305</v>
      </c>
      <c r="C44" s="54" t="s">
        <v>81</v>
      </c>
      <c r="D44" s="51" t="s">
        <v>197</v>
      </c>
      <c r="E44" s="51" t="s">
        <v>30</v>
      </c>
      <c r="F44" s="63" t="s">
        <v>330</v>
      </c>
      <c r="G44" s="64" t="s">
        <v>333</v>
      </c>
      <c r="H44" s="55">
        <v>75</v>
      </c>
      <c r="I44" s="22" t="s">
        <v>12</v>
      </c>
      <c r="J44" s="47">
        <v>0</v>
      </c>
      <c r="K44" s="48">
        <f t="shared" si="0"/>
        <v>0</v>
      </c>
      <c r="L44" s="24"/>
      <c r="M44" s="25"/>
      <c r="N44" s="25"/>
      <c r="O44" s="25"/>
      <c r="P44" s="25"/>
      <c r="Q44" s="25" t="s">
        <v>33</v>
      </c>
      <c r="R44" s="26" t="s">
        <v>34</v>
      </c>
    </row>
    <row r="45" spans="1:18" ht="15.75" customHeight="1">
      <c r="A45" s="21">
        <v>3042</v>
      </c>
      <c r="B45" s="51">
        <v>5310</v>
      </c>
      <c r="C45" s="54" t="s">
        <v>82</v>
      </c>
      <c r="D45" s="51" t="s">
        <v>198</v>
      </c>
      <c r="E45" s="51" t="s">
        <v>291</v>
      </c>
      <c r="F45" s="63" t="s">
        <v>330</v>
      </c>
      <c r="G45" s="64" t="s">
        <v>340</v>
      </c>
      <c r="H45" s="55">
        <v>500</v>
      </c>
      <c r="I45" s="22" t="s">
        <v>12</v>
      </c>
      <c r="J45" s="47">
        <v>0</v>
      </c>
      <c r="K45" s="48">
        <f t="shared" si="0"/>
        <v>0</v>
      </c>
      <c r="L45" s="24"/>
      <c r="M45" s="23"/>
      <c r="N45" s="23"/>
      <c r="O45" s="23"/>
      <c r="P45" s="23"/>
      <c r="Q45" s="25" t="s">
        <v>33</v>
      </c>
      <c r="R45" s="26" t="s">
        <v>34</v>
      </c>
    </row>
    <row r="46" spans="1:18" ht="15.75" customHeight="1">
      <c r="A46" s="21">
        <v>3043</v>
      </c>
      <c r="B46" s="51">
        <v>5340</v>
      </c>
      <c r="C46" s="54" t="s">
        <v>83</v>
      </c>
      <c r="D46" s="51" t="s">
        <v>199</v>
      </c>
      <c r="E46" s="51" t="s">
        <v>31</v>
      </c>
      <c r="F46" s="63" t="s">
        <v>330</v>
      </c>
      <c r="G46" s="64" t="s">
        <v>336</v>
      </c>
      <c r="H46" s="55">
        <v>100</v>
      </c>
      <c r="I46" s="22" t="s">
        <v>12</v>
      </c>
      <c r="J46" s="47">
        <v>0</v>
      </c>
      <c r="K46" s="48">
        <f t="shared" si="0"/>
        <v>0</v>
      </c>
      <c r="L46" s="24"/>
      <c r="M46" s="23"/>
      <c r="N46" s="23"/>
      <c r="O46" s="23"/>
      <c r="P46" s="23"/>
      <c r="Q46" s="25" t="s">
        <v>33</v>
      </c>
      <c r="R46" s="26" t="s">
        <v>34</v>
      </c>
    </row>
    <row r="47" spans="1:18" ht="15.75" customHeight="1">
      <c r="A47" s="21">
        <v>3044</v>
      </c>
      <c r="B47" s="51">
        <v>5305</v>
      </c>
      <c r="C47" s="54" t="s">
        <v>84</v>
      </c>
      <c r="D47" s="51" t="s">
        <v>200</v>
      </c>
      <c r="E47" s="51" t="s">
        <v>23</v>
      </c>
      <c r="F47" s="63" t="s">
        <v>330</v>
      </c>
      <c r="G47" s="64" t="s">
        <v>338</v>
      </c>
      <c r="H47" s="55">
        <v>50</v>
      </c>
      <c r="I47" s="22" t="s">
        <v>12</v>
      </c>
      <c r="J47" s="47">
        <v>0</v>
      </c>
      <c r="K47" s="48">
        <f t="shared" si="0"/>
        <v>0</v>
      </c>
      <c r="L47" s="24"/>
      <c r="M47" s="23"/>
      <c r="N47" s="23"/>
      <c r="O47" s="23"/>
      <c r="P47" s="23"/>
      <c r="Q47" s="25" t="s">
        <v>33</v>
      </c>
      <c r="R47" s="26" t="s">
        <v>34</v>
      </c>
    </row>
    <row r="48" spans="1:18" ht="15.75" customHeight="1">
      <c r="A48" s="21">
        <v>3045</v>
      </c>
      <c r="B48" s="51">
        <v>5305</v>
      </c>
      <c r="C48" s="54" t="s">
        <v>85</v>
      </c>
      <c r="D48" s="51" t="s">
        <v>201</v>
      </c>
      <c r="E48" s="51" t="s">
        <v>292</v>
      </c>
      <c r="F48" s="63" t="s">
        <v>330</v>
      </c>
      <c r="G48" s="64" t="s">
        <v>335</v>
      </c>
      <c r="H48" s="55">
        <v>150</v>
      </c>
      <c r="I48" s="22" t="s">
        <v>12</v>
      </c>
      <c r="J48" s="47">
        <v>0</v>
      </c>
      <c r="K48" s="48">
        <f t="shared" si="0"/>
        <v>0</v>
      </c>
      <c r="L48" s="24"/>
      <c r="M48" s="23"/>
      <c r="N48" s="23"/>
      <c r="O48" s="23"/>
      <c r="P48" s="23"/>
      <c r="Q48" s="25" t="s">
        <v>33</v>
      </c>
      <c r="R48" s="26" t="s">
        <v>34</v>
      </c>
    </row>
    <row r="49" spans="1:18" ht="15.75" customHeight="1">
      <c r="A49" s="21">
        <v>3046</v>
      </c>
      <c r="B49" s="51">
        <v>5331</v>
      </c>
      <c r="C49" s="54" t="s">
        <v>86</v>
      </c>
      <c r="D49" s="51" t="s">
        <v>202</v>
      </c>
      <c r="E49" s="51" t="s">
        <v>277</v>
      </c>
      <c r="F49" s="63" t="s">
        <v>330</v>
      </c>
      <c r="G49" s="64" t="s">
        <v>331</v>
      </c>
      <c r="H49" s="55">
        <v>800</v>
      </c>
      <c r="I49" s="22" t="s">
        <v>12</v>
      </c>
      <c r="J49" s="47">
        <v>0</v>
      </c>
      <c r="K49" s="48">
        <f t="shared" si="0"/>
        <v>0</v>
      </c>
      <c r="L49" s="24"/>
      <c r="M49" s="23"/>
      <c r="N49" s="23"/>
      <c r="O49" s="23"/>
      <c r="P49" s="23"/>
      <c r="Q49" s="25" t="s">
        <v>33</v>
      </c>
      <c r="R49" s="26" t="s">
        <v>34</v>
      </c>
    </row>
    <row r="50" spans="1:18">
      <c r="A50" s="21">
        <v>3047</v>
      </c>
      <c r="B50" s="51">
        <v>5331</v>
      </c>
      <c r="C50" s="54" t="s">
        <v>87</v>
      </c>
      <c r="D50" s="51" t="s">
        <v>203</v>
      </c>
      <c r="E50" s="51" t="s">
        <v>277</v>
      </c>
      <c r="F50" s="68" t="s">
        <v>330</v>
      </c>
      <c r="G50" s="64" t="s">
        <v>340</v>
      </c>
      <c r="H50" s="55">
        <v>50</v>
      </c>
      <c r="I50" s="22" t="s">
        <v>12</v>
      </c>
      <c r="J50" s="47">
        <v>0</v>
      </c>
      <c r="K50" s="48">
        <f t="shared" si="0"/>
        <v>0</v>
      </c>
      <c r="L50" s="24"/>
      <c r="M50" s="23"/>
      <c r="N50" s="23"/>
      <c r="O50" s="23"/>
      <c r="P50" s="23"/>
      <c r="Q50" s="25" t="s">
        <v>33</v>
      </c>
      <c r="R50" s="26" t="s">
        <v>34</v>
      </c>
    </row>
    <row r="51" spans="1:18">
      <c r="A51" s="21">
        <v>3048</v>
      </c>
      <c r="B51" s="51">
        <v>4730</v>
      </c>
      <c r="C51" s="54" t="s">
        <v>88</v>
      </c>
      <c r="D51" s="51" t="s">
        <v>204</v>
      </c>
      <c r="E51" s="51" t="s">
        <v>31</v>
      </c>
      <c r="F51" s="63" t="s">
        <v>330</v>
      </c>
      <c r="G51" s="64" t="s">
        <v>331</v>
      </c>
      <c r="H51" s="55">
        <v>500</v>
      </c>
      <c r="I51" s="22" t="s">
        <v>12</v>
      </c>
      <c r="J51" s="47">
        <v>0</v>
      </c>
      <c r="K51" s="48">
        <f t="shared" si="0"/>
        <v>0</v>
      </c>
      <c r="L51" s="24"/>
      <c r="M51" s="23"/>
      <c r="N51" s="23"/>
      <c r="O51" s="23"/>
      <c r="P51" s="23"/>
      <c r="Q51" s="25" t="s">
        <v>33</v>
      </c>
      <c r="R51" s="26" t="s">
        <v>34</v>
      </c>
    </row>
    <row r="52" spans="1:18">
      <c r="A52" s="21">
        <v>3049</v>
      </c>
      <c r="B52" s="51">
        <v>5325</v>
      </c>
      <c r="C52" s="54" t="s">
        <v>89</v>
      </c>
      <c r="D52" s="51" t="s">
        <v>205</v>
      </c>
      <c r="E52" s="51" t="s">
        <v>28</v>
      </c>
      <c r="F52" s="63" t="s">
        <v>330</v>
      </c>
      <c r="G52" s="64" t="s">
        <v>340</v>
      </c>
      <c r="H52" s="55">
        <v>150</v>
      </c>
      <c r="I52" s="22" t="s">
        <v>12</v>
      </c>
      <c r="J52" s="47">
        <v>0</v>
      </c>
      <c r="K52" s="48">
        <f t="shared" si="0"/>
        <v>0</v>
      </c>
      <c r="L52" s="24"/>
      <c r="M52" s="23"/>
      <c r="N52" s="23"/>
      <c r="O52" s="23"/>
      <c r="P52" s="23"/>
      <c r="Q52" s="25" t="s">
        <v>33</v>
      </c>
      <c r="R52" s="26" t="s">
        <v>34</v>
      </c>
    </row>
    <row r="53" spans="1:18">
      <c r="A53" s="21">
        <v>3050</v>
      </c>
      <c r="B53" s="51">
        <v>5325</v>
      </c>
      <c r="C53" s="54" t="s">
        <v>90</v>
      </c>
      <c r="D53" s="51" t="s">
        <v>206</v>
      </c>
      <c r="E53" s="51" t="s">
        <v>28</v>
      </c>
      <c r="F53" s="63" t="s">
        <v>330</v>
      </c>
      <c r="G53" s="64" t="s">
        <v>340</v>
      </c>
      <c r="H53" s="55">
        <v>400</v>
      </c>
      <c r="I53" s="22" t="s">
        <v>12</v>
      </c>
      <c r="J53" s="47">
        <v>0</v>
      </c>
      <c r="K53" s="48">
        <f t="shared" si="0"/>
        <v>0</v>
      </c>
      <c r="L53" s="24"/>
      <c r="M53" s="23"/>
      <c r="N53" s="23"/>
      <c r="O53" s="23"/>
      <c r="P53" s="23"/>
      <c r="Q53" s="25" t="s">
        <v>33</v>
      </c>
      <c r="R53" s="26" t="s">
        <v>34</v>
      </c>
    </row>
    <row r="54" spans="1:18">
      <c r="A54" s="21">
        <v>3051</v>
      </c>
      <c r="B54" s="51">
        <v>5305</v>
      </c>
      <c r="C54" s="54" t="s">
        <v>91</v>
      </c>
      <c r="D54" s="51" t="s">
        <v>207</v>
      </c>
      <c r="E54" s="51" t="s">
        <v>30</v>
      </c>
      <c r="F54" s="63" t="s">
        <v>330</v>
      </c>
      <c r="G54" s="64" t="s">
        <v>340</v>
      </c>
      <c r="H54" s="55">
        <v>800</v>
      </c>
      <c r="I54" s="22" t="s">
        <v>12</v>
      </c>
      <c r="J54" s="47">
        <v>0</v>
      </c>
      <c r="K54" s="48">
        <f t="shared" si="0"/>
        <v>0</v>
      </c>
      <c r="L54" s="24"/>
      <c r="M54" s="23"/>
      <c r="N54" s="23"/>
      <c r="O54" s="23"/>
      <c r="P54" s="23"/>
      <c r="Q54" s="25" t="s">
        <v>33</v>
      </c>
      <c r="R54" s="26" t="s">
        <v>34</v>
      </c>
    </row>
    <row r="55" spans="1:18">
      <c r="A55" s="21">
        <v>3052</v>
      </c>
      <c r="B55" s="51">
        <v>5331</v>
      </c>
      <c r="C55" s="54" t="s">
        <v>92</v>
      </c>
      <c r="D55" s="51" t="s">
        <v>208</v>
      </c>
      <c r="E55" s="51" t="s">
        <v>277</v>
      </c>
      <c r="F55" s="63" t="s">
        <v>330</v>
      </c>
      <c r="G55" s="64" t="s">
        <v>340</v>
      </c>
      <c r="H55" s="55">
        <v>200</v>
      </c>
      <c r="I55" s="22" t="s">
        <v>12</v>
      </c>
      <c r="J55" s="47">
        <v>0</v>
      </c>
      <c r="K55" s="48">
        <f t="shared" si="0"/>
        <v>0</v>
      </c>
      <c r="L55" s="24"/>
      <c r="M55" s="23"/>
      <c r="N55" s="23"/>
      <c r="O55" s="23"/>
      <c r="P55" s="23"/>
      <c r="Q55" s="25" t="s">
        <v>33</v>
      </c>
      <c r="R55" s="26" t="s">
        <v>34</v>
      </c>
    </row>
    <row r="56" spans="1:18">
      <c r="A56" s="21">
        <v>3053</v>
      </c>
      <c r="B56" s="51">
        <v>5331</v>
      </c>
      <c r="C56" s="54" t="s">
        <v>93</v>
      </c>
      <c r="D56" s="51" t="s">
        <v>209</v>
      </c>
      <c r="E56" s="51" t="s">
        <v>277</v>
      </c>
      <c r="F56" s="63" t="s">
        <v>330</v>
      </c>
      <c r="G56" s="64" t="s">
        <v>340</v>
      </c>
      <c r="H56" s="55">
        <v>50</v>
      </c>
      <c r="I56" s="22" t="s">
        <v>12</v>
      </c>
      <c r="J56" s="47">
        <v>0</v>
      </c>
      <c r="K56" s="48">
        <f t="shared" si="0"/>
        <v>0</v>
      </c>
      <c r="L56" s="24"/>
      <c r="M56" s="23"/>
      <c r="N56" s="23"/>
      <c r="O56" s="23"/>
      <c r="P56" s="23"/>
      <c r="Q56" s="25" t="s">
        <v>33</v>
      </c>
      <c r="R56" s="26" t="s">
        <v>34</v>
      </c>
    </row>
    <row r="57" spans="1:18">
      <c r="A57" s="21">
        <v>3054</v>
      </c>
      <c r="B57" s="51">
        <v>5331</v>
      </c>
      <c r="C57" s="54" t="s">
        <v>94</v>
      </c>
      <c r="D57" s="51" t="s">
        <v>210</v>
      </c>
      <c r="E57" s="51" t="s">
        <v>277</v>
      </c>
      <c r="F57" s="63" t="s">
        <v>330</v>
      </c>
      <c r="G57" s="64" t="s">
        <v>340</v>
      </c>
      <c r="H57" s="55">
        <v>150</v>
      </c>
      <c r="I57" s="22" t="s">
        <v>12</v>
      </c>
      <c r="J57" s="47">
        <v>0</v>
      </c>
      <c r="K57" s="48">
        <f t="shared" si="0"/>
        <v>0</v>
      </c>
      <c r="L57" s="24"/>
      <c r="M57" s="23"/>
      <c r="N57" s="23"/>
      <c r="O57" s="23"/>
      <c r="P57" s="23"/>
      <c r="Q57" s="25" t="s">
        <v>33</v>
      </c>
      <c r="R57" s="26" t="s">
        <v>34</v>
      </c>
    </row>
    <row r="58" spans="1:18">
      <c r="A58" s="21">
        <v>3055</v>
      </c>
      <c r="B58" s="51">
        <v>5331</v>
      </c>
      <c r="C58" s="54" t="s">
        <v>95</v>
      </c>
      <c r="D58" s="51" t="s">
        <v>211</v>
      </c>
      <c r="E58" s="51" t="s">
        <v>277</v>
      </c>
      <c r="F58" s="63" t="s">
        <v>330</v>
      </c>
      <c r="G58" s="64" t="s">
        <v>335</v>
      </c>
      <c r="H58" s="55">
        <v>200</v>
      </c>
      <c r="I58" s="22" t="s">
        <v>12</v>
      </c>
      <c r="J58" s="47">
        <v>0</v>
      </c>
      <c r="K58" s="48">
        <f t="shared" si="0"/>
        <v>0</v>
      </c>
      <c r="L58" s="24"/>
      <c r="M58" s="23"/>
      <c r="N58" s="23"/>
      <c r="O58" s="23"/>
      <c r="P58" s="23"/>
      <c r="Q58" s="25" t="s">
        <v>33</v>
      </c>
      <c r="R58" s="26" t="s">
        <v>34</v>
      </c>
    </row>
    <row r="59" spans="1:18">
      <c r="A59" s="21">
        <v>3056</v>
      </c>
      <c r="B59" s="51">
        <v>5305</v>
      </c>
      <c r="C59" s="54" t="s">
        <v>96</v>
      </c>
      <c r="D59" s="51" t="s">
        <v>212</v>
      </c>
      <c r="E59" s="51" t="s">
        <v>293</v>
      </c>
      <c r="F59" s="68" t="s">
        <v>330</v>
      </c>
      <c r="G59" s="64" t="s">
        <v>340</v>
      </c>
      <c r="H59" s="55">
        <v>4500</v>
      </c>
      <c r="I59" s="22" t="s">
        <v>12</v>
      </c>
      <c r="J59" s="47">
        <v>0</v>
      </c>
      <c r="K59" s="48">
        <f t="shared" si="0"/>
        <v>0</v>
      </c>
      <c r="L59" s="24"/>
      <c r="M59" s="23"/>
      <c r="N59" s="23"/>
      <c r="O59" s="23"/>
      <c r="P59" s="23"/>
      <c r="Q59" s="25" t="s">
        <v>33</v>
      </c>
      <c r="R59" s="26" t="s">
        <v>34</v>
      </c>
    </row>
    <row r="60" spans="1:18">
      <c r="A60" s="21">
        <v>3057</v>
      </c>
      <c r="B60" s="51">
        <v>5305</v>
      </c>
      <c r="C60" s="54" t="s">
        <v>97</v>
      </c>
      <c r="D60" s="51" t="s">
        <v>213</v>
      </c>
      <c r="E60" s="51" t="s">
        <v>30</v>
      </c>
      <c r="F60" s="63" t="s">
        <v>330</v>
      </c>
      <c r="G60" s="64" t="s">
        <v>338</v>
      </c>
      <c r="H60" s="55">
        <v>2000</v>
      </c>
      <c r="I60" s="22" t="s">
        <v>12</v>
      </c>
      <c r="J60" s="47">
        <v>0</v>
      </c>
      <c r="K60" s="48">
        <f t="shared" si="0"/>
        <v>0</v>
      </c>
      <c r="L60" s="24"/>
      <c r="M60" s="23"/>
      <c r="N60" s="23"/>
      <c r="O60" s="23"/>
      <c r="P60" s="23"/>
      <c r="Q60" s="25" t="s">
        <v>33</v>
      </c>
      <c r="R60" s="26" t="s">
        <v>34</v>
      </c>
    </row>
    <row r="61" spans="1:18">
      <c r="A61" s="21">
        <v>3058</v>
      </c>
      <c r="B61" s="51">
        <v>5310</v>
      </c>
      <c r="C61" s="54" t="s">
        <v>98</v>
      </c>
      <c r="D61" s="51" t="s">
        <v>214</v>
      </c>
      <c r="E61" s="51" t="s">
        <v>294</v>
      </c>
      <c r="F61" s="63" t="s">
        <v>330</v>
      </c>
      <c r="G61" s="64" t="s">
        <v>335</v>
      </c>
      <c r="H61" s="55">
        <v>600</v>
      </c>
      <c r="I61" s="22" t="s">
        <v>12</v>
      </c>
      <c r="J61" s="47">
        <v>0</v>
      </c>
      <c r="K61" s="48">
        <f t="shared" si="0"/>
        <v>0</v>
      </c>
      <c r="L61" s="24"/>
      <c r="M61" s="23"/>
      <c r="N61" s="23"/>
      <c r="O61" s="23"/>
      <c r="P61" s="23"/>
      <c r="Q61" s="25" t="s">
        <v>33</v>
      </c>
      <c r="R61" s="26" t="s">
        <v>34</v>
      </c>
    </row>
    <row r="62" spans="1:18">
      <c r="A62" s="21">
        <v>3059</v>
      </c>
      <c r="B62" s="51">
        <v>5310</v>
      </c>
      <c r="C62" s="54" t="s">
        <v>99</v>
      </c>
      <c r="D62" s="51" t="s">
        <v>215</v>
      </c>
      <c r="E62" s="51" t="s">
        <v>294</v>
      </c>
      <c r="F62" s="63" t="s">
        <v>330</v>
      </c>
      <c r="G62" s="64" t="s">
        <v>335</v>
      </c>
      <c r="H62" s="55">
        <v>1200</v>
      </c>
      <c r="I62" s="22" t="s">
        <v>12</v>
      </c>
      <c r="J62" s="47">
        <v>0</v>
      </c>
      <c r="K62" s="48">
        <f t="shared" si="0"/>
        <v>0</v>
      </c>
      <c r="L62" s="24"/>
      <c r="M62" s="23"/>
      <c r="N62" s="23"/>
      <c r="O62" s="23"/>
      <c r="P62" s="23"/>
      <c r="Q62" s="25" t="s">
        <v>33</v>
      </c>
      <c r="R62" s="26" t="s">
        <v>34</v>
      </c>
    </row>
    <row r="63" spans="1:18">
      <c r="A63" s="21">
        <v>3060</v>
      </c>
      <c r="B63" s="51">
        <v>5305</v>
      </c>
      <c r="C63" s="54" t="s">
        <v>100</v>
      </c>
      <c r="D63" s="51" t="s">
        <v>216</v>
      </c>
      <c r="E63" s="51" t="s">
        <v>30</v>
      </c>
      <c r="F63" s="63" t="s">
        <v>330</v>
      </c>
      <c r="G63" s="64" t="s">
        <v>339</v>
      </c>
      <c r="H63" s="55">
        <v>400</v>
      </c>
      <c r="I63" s="22" t="s">
        <v>12</v>
      </c>
      <c r="J63" s="47">
        <v>0</v>
      </c>
      <c r="K63" s="48">
        <f t="shared" si="0"/>
        <v>0</v>
      </c>
      <c r="L63" s="24"/>
      <c r="M63" s="23"/>
      <c r="N63" s="23"/>
      <c r="O63" s="23"/>
      <c r="P63" s="23"/>
      <c r="Q63" s="25" t="s">
        <v>33</v>
      </c>
      <c r="R63" s="26" t="s">
        <v>34</v>
      </c>
    </row>
    <row r="64" spans="1:18">
      <c r="A64" s="21">
        <v>3061</v>
      </c>
      <c r="B64" s="51">
        <v>5305</v>
      </c>
      <c r="C64" s="54" t="s">
        <v>101</v>
      </c>
      <c r="D64" s="51" t="s">
        <v>217</v>
      </c>
      <c r="E64" s="51" t="s">
        <v>30</v>
      </c>
      <c r="F64" s="63" t="s">
        <v>330</v>
      </c>
      <c r="G64" s="64" t="s">
        <v>339</v>
      </c>
      <c r="H64" s="55">
        <v>800</v>
      </c>
      <c r="I64" s="22" t="s">
        <v>12</v>
      </c>
      <c r="J64" s="47">
        <v>0</v>
      </c>
      <c r="K64" s="48">
        <f t="shared" si="0"/>
        <v>0</v>
      </c>
      <c r="L64" s="24"/>
      <c r="M64" s="23"/>
      <c r="N64" s="23"/>
      <c r="O64" s="23"/>
      <c r="P64" s="23"/>
      <c r="Q64" s="25" t="s">
        <v>33</v>
      </c>
      <c r="R64" s="26" t="s">
        <v>34</v>
      </c>
    </row>
    <row r="65" spans="1:18">
      <c r="A65" s="21">
        <v>3062</v>
      </c>
      <c r="B65" s="51">
        <v>5305</v>
      </c>
      <c r="C65" s="54" t="s">
        <v>102</v>
      </c>
      <c r="D65" s="51" t="s">
        <v>218</v>
      </c>
      <c r="E65" s="51" t="s">
        <v>23</v>
      </c>
      <c r="F65" s="63" t="s">
        <v>330</v>
      </c>
      <c r="G65" s="64" t="s">
        <v>340</v>
      </c>
      <c r="H65" s="55">
        <v>4000</v>
      </c>
      <c r="I65" s="22" t="s">
        <v>12</v>
      </c>
      <c r="J65" s="47">
        <v>0</v>
      </c>
      <c r="K65" s="48">
        <f t="shared" si="0"/>
        <v>0</v>
      </c>
      <c r="L65" s="24"/>
      <c r="M65" s="23"/>
      <c r="N65" s="23"/>
      <c r="O65" s="23"/>
      <c r="P65" s="23"/>
      <c r="Q65" s="25" t="s">
        <v>33</v>
      </c>
      <c r="R65" s="26" t="s">
        <v>34</v>
      </c>
    </row>
    <row r="66" spans="1:18">
      <c r="A66" s="21">
        <v>3063</v>
      </c>
      <c r="B66" s="51">
        <v>5305</v>
      </c>
      <c r="C66" s="54" t="s">
        <v>103</v>
      </c>
      <c r="D66" s="51" t="s">
        <v>219</v>
      </c>
      <c r="E66" s="51" t="s">
        <v>23</v>
      </c>
      <c r="F66" s="63" t="s">
        <v>330</v>
      </c>
      <c r="G66" s="64" t="s">
        <v>340</v>
      </c>
      <c r="H66" s="55">
        <v>500</v>
      </c>
      <c r="I66" s="22" t="s">
        <v>12</v>
      </c>
      <c r="J66" s="47">
        <v>0</v>
      </c>
      <c r="K66" s="48">
        <f t="shared" si="0"/>
        <v>0</v>
      </c>
      <c r="L66" s="24"/>
      <c r="M66" s="23"/>
      <c r="N66" s="23"/>
      <c r="O66" s="23"/>
      <c r="P66" s="23"/>
      <c r="Q66" s="25" t="s">
        <v>33</v>
      </c>
      <c r="R66" s="26" t="s">
        <v>34</v>
      </c>
    </row>
    <row r="67" spans="1:18">
      <c r="A67" s="21">
        <v>3064</v>
      </c>
      <c r="B67" s="51">
        <v>5305</v>
      </c>
      <c r="C67" s="54" t="s">
        <v>104</v>
      </c>
      <c r="D67" s="51" t="s">
        <v>220</v>
      </c>
      <c r="E67" s="51" t="s">
        <v>23</v>
      </c>
      <c r="F67" s="63" t="s">
        <v>330</v>
      </c>
      <c r="G67" s="64" t="s">
        <v>340</v>
      </c>
      <c r="H67" s="55">
        <v>1500</v>
      </c>
      <c r="I67" s="22" t="s">
        <v>12</v>
      </c>
      <c r="J67" s="47">
        <v>0</v>
      </c>
      <c r="K67" s="48">
        <f t="shared" si="0"/>
        <v>0</v>
      </c>
      <c r="L67" s="24"/>
      <c r="M67" s="23"/>
      <c r="N67" s="23"/>
      <c r="O67" s="23"/>
      <c r="P67" s="23"/>
      <c r="Q67" s="25" t="s">
        <v>33</v>
      </c>
      <c r="R67" s="26" t="s">
        <v>34</v>
      </c>
    </row>
    <row r="68" spans="1:18">
      <c r="A68" s="21">
        <v>3065</v>
      </c>
      <c r="B68" s="51">
        <v>5340</v>
      </c>
      <c r="C68" s="54" t="s">
        <v>105</v>
      </c>
      <c r="D68" s="51" t="s">
        <v>221</v>
      </c>
      <c r="E68" s="51" t="s">
        <v>31</v>
      </c>
      <c r="F68" s="63" t="s">
        <v>330</v>
      </c>
      <c r="G68" s="64" t="s">
        <v>340</v>
      </c>
      <c r="H68" s="55">
        <v>160</v>
      </c>
      <c r="I68" s="22" t="s">
        <v>12</v>
      </c>
      <c r="J68" s="47">
        <v>0</v>
      </c>
      <c r="K68" s="48">
        <f t="shared" si="0"/>
        <v>0</v>
      </c>
      <c r="L68" s="24"/>
      <c r="M68" s="23"/>
      <c r="N68" s="23"/>
      <c r="O68" s="23"/>
      <c r="P68" s="23"/>
      <c r="Q68" s="25" t="s">
        <v>33</v>
      </c>
      <c r="R68" s="26" t="s">
        <v>34</v>
      </c>
    </row>
    <row r="69" spans="1:18">
      <c r="A69" s="21">
        <v>3066</v>
      </c>
      <c r="B69" s="51">
        <v>5310</v>
      </c>
      <c r="C69" s="54" t="s">
        <v>106</v>
      </c>
      <c r="D69" s="51" t="s">
        <v>222</v>
      </c>
      <c r="E69" s="51" t="s">
        <v>294</v>
      </c>
      <c r="F69" s="63" t="s">
        <v>330</v>
      </c>
      <c r="G69" s="64" t="s">
        <v>333</v>
      </c>
      <c r="H69" s="55">
        <v>2000</v>
      </c>
      <c r="I69" s="22" t="s">
        <v>12</v>
      </c>
      <c r="J69" s="47">
        <v>0</v>
      </c>
      <c r="K69" s="48">
        <f t="shared" ref="K69:K119" si="1">SUM(J69*H69)</f>
        <v>0</v>
      </c>
      <c r="L69" s="24"/>
      <c r="M69" s="23"/>
      <c r="N69" s="23"/>
      <c r="O69" s="23"/>
      <c r="P69" s="23"/>
      <c r="Q69" s="25" t="s">
        <v>33</v>
      </c>
      <c r="R69" s="26" t="s">
        <v>34</v>
      </c>
    </row>
    <row r="70" spans="1:18">
      <c r="A70" s="21">
        <v>3067</v>
      </c>
      <c r="B70" s="51">
        <v>5305</v>
      </c>
      <c r="C70" s="54" t="s">
        <v>107</v>
      </c>
      <c r="D70" s="51" t="s">
        <v>223</v>
      </c>
      <c r="E70" s="51" t="s">
        <v>30</v>
      </c>
      <c r="F70" s="63" t="s">
        <v>330</v>
      </c>
      <c r="G70" s="64" t="s">
        <v>331</v>
      </c>
      <c r="H70" s="55">
        <v>400</v>
      </c>
      <c r="I70" s="22" t="s">
        <v>12</v>
      </c>
      <c r="J70" s="47">
        <v>0</v>
      </c>
      <c r="K70" s="48">
        <f t="shared" si="1"/>
        <v>0</v>
      </c>
      <c r="L70" s="24"/>
      <c r="M70" s="23"/>
      <c r="N70" s="23"/>
      <c r="O70" s="23"/>
      <c r="P70" s="23"/>
      <c r="Q70" s="25" t="s">
        <v>33</v>
      </c>
      <c r="R70" s="26" t="s">
        <v>34</v>
      </c>
    </row>
    <row r="71" spans="1:18">
      <c r="A71" s="21">
        <v>3068</v>
      </c>
      <c r="B71" s="51">
        <v>5305</v>
      </c>
      <c r="C71" s="54" t="s">
        <v>108</v>
      </c>
      <c r="D71" s="51" t="s">
        <v>224</v>
      </c>
      <c r="E71" s="51" t="s">
        <v>30</v>
      </c>
      <c r="F71" s="63" t="s">
        <v>330</v>
      </c>
      <c r="G71" s="64" t="s">
        <v>340</v>
      </c>
      <c r="H71" s="55">
        <v>1200</v>
      </c>
      <c r="I71" s="22" t="s">
        <v>12</v>
      </c>
      <c r="J71" s="47">
        <v>0</v>
      </c>
      <c r="K71" s="48">
        <f t="shared" si="1"/>
        <v>0</v>
      </c>
      <c r="L71" s="24"/>
      <c r="M71" s="23"/>
      <c r="N71" s="23"/>
      <c r="O71" s="23"/>
      <c r="P71" s="23"/>
      <c r="Q71" s="25" t="s">
        <v>33</v>
      </c>
      <c r="R71" s="26" t="s">
        <v>34</v>
      </c>
    </row>
    <row r="72" spans="1:18">
      <c r="A72" s="21">
        <v>3069</v>
      </c>
      <c r="B72" s="51">
        <v>5305</v>
      </c>
      <c r="C72" s="54" t="s">
        <v>109</v>
      </c>
      <c r="D72" s="51" t="s">
        <v>225</v>
      </c>
      <c r="E72" s="51" t="s">
        <v>30</v>
      </c>
      <c r="F72" s="63" t="s">
        <v>330</v>
      </c>
      <c r="G72" s="64" t="s">
        <v>339</v>
      </c>
      <c r="H72" s="55">
        <v>250</v>
      </c>
      <c r="I72" s="22" t="s">
        <v>12</v>
      </c>
      <c r="J72" s="47">
        <v>0</v>
      </c>
      <c r="K72" s="48">
        <f t="shared" si="1"/>
        <v>0</v>
      </c>
      <c r="L72" s="24"/>
      <c r="M72" s="23"/>
      <c r="N72" s="23"/>
      <c r="O72" s="23"/>
      <c r="P72" s="23"/>
      <c r="Q72" s="25" t="s">
        <v>33</v>
      </c>
      <c r="R72" s="26" t="s">
        <v>34</v>
      </c>
    </row>
    <row r="73" spans="1:18">
      <c r="A73" s="21">
        <v>3070</v>
      </c>
      <c r="B73" s="51">
        <v>5305</v>
      </c>
      <c r="C73" s="54" t="s">
        <v>110</v>
      </c>
      <c r="D73" s="51" t="s">
        <v>226</v>
      </c>
      <c r="E73" s="51" t="s">
        <v>30</v>
      </c>
      <c r="F73" s="63" t="s">
        <v>330</v>
      </c>
      <c r="G73" s="64" t="s">
        <v>333</v>
      </c>
      <c r="H73" s="55">
        <v>50</v>
      </c>
      <c r="I73" s="22" t="s">
        <v>12</v>
      </c>
      <c r="J73" s="47">
        <v>0</v>
      </c>
      <c r="K73" s="48">
        <f t="shared" si="1"/>
        <v>0</v>
      </c>
      <c r="L73" s="24"/>
      <c r="M73" s="23"/>
      <c r="N73" s="23"/>
      <c r="O73" s="23"/>
      <c r="P73" s="23"/>
      <c r="Q73" s="25" t="s">
        <v>33</v>
      </c>
      <c r="R73" s="26" t="s">
        <v>34</v>
      </c>
    </row>
    <row r="74" spans="1:18">
      <c r="A74" s="21">
        <v>3071</v>
      </c>
      <c r="B74" s="51">
        <v>5305</v>
      </c>
      <c r="C74" s="54" t="s">
        <v>111</v>
      </c>
      <c r="D74" s="51" t="s">
        <v>227</v>
      </c>
      <c r="E74" s="51" t="s">
        <v>30</v>
      </c>
      <c r="F74" s="63" t="s">
        <v>330</v>
      </c>
      <c r="G74" s="64" t="s">
        <v>331</v>
      </c>
      <c r="H74" s="55">
        <v>500</v>
      </c>
      <c r="I74" s="22" t="s">
        <v>12</v>
      </c>
      <c r="J74" s="47">
        <v>0</v>
      </c>
      <c r="K74" s="48">
        <f t="shared" si="1"/>
        <v>0</v>
      </c>
      <c r="L74" s="24"/>
      <c r="M74" s="23"/>
      <c r="N74" s="23"/>
      <c r="O74" s="23"/>
      <c r="P74" s="23"/>
      <c r="Q74" s="25" t="s">
        <v>33</v>
      </c>
      <c r="R74" s="26" t="s">
        <v>34</v>
      </c>
    </row>
    <row r="75" spans="1:18">
      <c r="A75" s="21">
        <v>3072</v>
      </c>
      <c r="B75" s="51">
        <v>5305</v>
      </c>
      <c r="C75" s="54" t="s">
        <v>112</v>
      </c>
      <c r="D75" s="51" t="s">
        <v>228</v>
      </c>
      <c r="E75" s="51" t="s">
        <v>295</v>
      </c>
      <c r="F75" s="63" t="s">
        <v>330</v>
      </c>
      <c r="G75" s="64" t="s">
        <v>340</v>
      </c>
      <c r="H75" s="55">
        <v>200</v>
      </c>
      <c r="I75" s="22" t="s">
        <v>12</v>
      </c>
      <c r="J75" s="47">
        <v>0</v>
      </c>
      <c r="K75" s="48">
        <f t="shared" si="1"/>
        <v>0</v>
      </c>
      <c r="L75" s="24"/>
      <c r="M75" s="23"/>
      <c r="N75" s="23"/>
      <c r="O75" s="23"/>
      <c r="P75" s="23"/>
      <c r="Q75" s="25" t="s">
        <v>33</v>
      </c>
      <c r="R75" s="26" t="s">
        <v>34</v>
      </c>
    </row>
    <row r="76" spans="1:18">
      <c r="A76" s="21">
        <v>3073</v>
      </c>
      <c r="B76" s="51">
        <v>5930</v>
      </c>
      <c r="C76" s="54" t="s">
        <v>113</v>
      </c>
      <c r="D76" s="51" t="s">
        <v>229</v>
      </c>
      <c r="E76" s="51" t="s">
        <v>296</v>
      </c>
      <c r="F76" s="63" t="s">
        <v>330</v>
      </c>
      <c r="G76" s="64" t="s">
        <v>339</v>
      </c>
      <c r="H76" s="55">
        <v>8</v>
      </c>
      <c r="I76" s="22" t="s">
        <v>12</v>
      </c>
      <c r="J76" s="47">
        <v>0</v>
      </c>
      <c r="K76" s="48">
        <f t="shared" si="1"/>
        <v>0</v>
      </c>
      <c r="L76" s="24"/>
      <c r="M76" s="23"/>
      <c r="N76" s="23"/>
      <c r="O76" s="23"/>
      <c r="P76" s="23"/>
      <c r="Q76" s="25" t="s">
        <v>33</v>
      </c>
      <c r="R76" s="26" t="s">
        <v>34</v>
      </c>
    </row>
    <row r="77" spans="1:18">
      <c r="A77" s="21">
        <v>3074</v>
      </c>
      <c r="B77" s="51">
        <v>5305</v>
      </c>
      <c r="C77" s="54" t="s">
        <v>114</v>
      </c>
      <c r="D77" s="51" t="s">
        <v>230</v>
      </c>
      <c r="E77" s="51" t="s">
        <v>23</v>
      </c>
      <c r="F77" s="63" t="s">
        <v>330</v>
      </c>
      <c r="G77" s="64" t="s">
        <v>340</v>
      </c>
      <c r="H77" s="55">
        <v>200</v>
      </c>
      <c r="I77" s="22" t="s">
        <v>12</v>
      </c>
      <c r="J77" s="47">
        <v>0</v>
      </c>
      <c r="K77" s="48">
        <f t="shared" si="1"/>
        <v>0</v>
      </c>
      <c r="L77" s="24"/>
      <c r="M77" s="23"/>
      <c r="N77" s="23"/>
      <c r="O77" s="23"/>
      <c r="P77" s="23"/>
      <c r="Q77" s="25" t="s">
        <v>33</v>
      </c>
      <c r="R77" s="26" t="s">
        <v>34</v>
      </c>
    </row>
    <row r="78" spans="1:18">
      <c r="A78" s="21">
        <v>3075</v>
      </c>
      <c r="B78" s="51">
        <v>5331</v>
      </c>
      <c r="C78" s="54" t="s">
        <v>115</v>
      </c>
      <c r="D78" s="51" t="s">
        <v>231</v>
      </c>
      <c r="E78" s="51" t="s">
        <v>277</v>
      </c>
      <c r="F78" s="63" t="s">
        <v>330</v>
      </c>
      <c r="G78" s="64" t="s">
        <v>333</v>
      </c>
      <c r="H78" s="55">
        <v>25</v>
      </c>
      <c r="I78" s="22" t="s">
        <v>12</v>
      </c>
      <c r="J78" s="47">
        <v>0</v>
      </c>
      <c r="K78" s="48">
        <f t="shared" si="1"/>
        <v>0</v>
      </c>
      <c r="L78" s="24"/>
      <c r="M78" s="23"/>
      <c r="N78" s="23"/>
      <c r="O78" s="23"/>
      <c r="P78" s="23"/>
      <c r="Q78" s="25" t="s">
        <v>33</v>
      </c>
      <c r="R78" s="26" t="s">
        <v>34</v>
      </c>
    </row>
    <row r="79" spans="1:18">
      <c r="A79" s="21">
        <v>3076</v>
      </c>
      <c r="B79" s="51">
        <v>5310</v>
      </c>
      <c r="C79" s="54" t="s">
        <v>116</v>
      </c>
      <c r="D79" s="51" t="s">
        <v>232</v>
      </c>
      <c r="E79" s="51" t="s">
        <v>294</v>
      </c>
      <c r="F79" s="63" t="s">
        <v>330</v>
      </c>
      <c r="G79" s="64" t="s">
        <v>335</v>
      </c>
      <c r="H79" s="55">
        <v>2000</v>
      </c>
      <c r="I79" s="22" t="s">
        <v>12</v>
      </c>
      <c r="J79" s="47">
        <v>0</v>
      </c>
      <c r="K79" s="48">
        <f t="shared" si="1"/>
        <v>0</v>
      </c>
      <c r="L79" s="24"/>
      <c r="M79" s="23"/>
      <c r="N79" s="23"/>
      <c r="O79" s="23"/>
      <c r="P79" s="23"/>
      <c r="Q79" s="25" t="s">
        <v>33</v>
      </c>
      <c r="R79" s="26" t="s">
        <v>34</v>
      </c>
    </row>
    <row r="80" spans="1:18">
      <c r="A80" s="21">
        <v>3077</v>
      </c>
      <c r="B80" s="51">
        <v>5305</v>
      </c>
      <c r="C80" s="54" t="s">
        <v>117</v>
      </c>
      <c r="D80" s="51" t="s">
        <v>233</v>
      </c>
      <c r="E80" s="51" t="s">
        <v>30</v>
      </c>
      <c r="F80" s="63" t="s">
        <v>330</v>
      </c>
      <c r="G80" s="64" t="s">
        <v>339</v>
      </c>
      <c r="H80" s="55">
        <v>400</v>
      </c>
      <c r="I80" s="22" t="s">
        <v>12</v>
      </c>
      <c r="J80" s="47">
        <v>0</v>
      </c>
      <c r="K80" s="48">
        <f t="shared" si="1"/>
        <v>0</v>
      </c>
      <c r="L80" s="24"/>
      <c r="M80" s="23"/>
      <c r="N80" s="23"/>
      <c r="O80" s="23"/>
      <c r="P80" s="23"/>
      <c r="Q80" s="25" t="s">
        <v>33</v>
      </c>
      <c r="R80" s="26" t="s">
        <v>34</v>
      </c>
    </row>
    <row r="81" spans="1:18">
      <c r="A81" s="21">
        <v>3078</v>
      </c>
      <c r="B81" s="51">
        <v>5325</v>
      </c>
      <c r="C81" s="54" t="s">
        <v>118</v>
      </c>
      <c r="D81" s="51" t="s">
        <v>234</v>
      </c>
      <c r="E81" s="51" t="s">
        <v>297</v>
      </c>
      <c r="F81" s="63" t="s">
        <v>330</v>
      </c>
      <c r="G81" s="64" t="s">
        <v>340</v>
      </c>
      <c r="H81" s="55">
        <v>1600</v>
      </c>
      <c r="I81" s="22" t="s">
        <v>12</v>
      </c>
      <c r="J81" s="47">
        <v>0</v>
      </c>
      <c r="K81" s="48">
        <f t="shared" si="1"/>
        <v>0</v>
      </c>
      <c r="L81" s="24"/>
      <c r="M81" s="23"/>
      <c r="N81" s="23"/>
      <c r="O81" s="23"/>
      <c r="P81" s="23"/>
      <c r="Q81" s="25" t="s">
        <v>33</v>
      </c>
      <c r="R81" s="26" t="s">
        <v>34</v>
      </c>
    </row>
    <row r="82" spans="1:18">
      <c r="A82" s="21">
        <v>3079</v>
      </c>
      <c r="B82" s="51">
        <v>5331</v>
      </c>
      <c r="C82" s="54" t="s">
        <v>119</v>
      </c>
      <c r="D82" s="51" t="s">
        <v>235</v>
      </c>
      <c r="E82" s="51" t="s">
        <v>277</v>
      </c>
      <c r="F82" s="63" t="s">
        <v>330</v>
      </c>
      <c r="G82" s="64" t="s">
        <v>339</v>
      </c>
      <c r="H82" s="55">
        <v>50</v>
      </c>
      <c r="I82" s="22" t="s">
        <v>12</v>
      </c>
      <c r="J82" s="47">
        <v>0</v>
      </c>
      <c r="K82" s="48">
        <f t="shared" si="1"/>
        <v>0</v>
      </c>
      <c r="L82" s="24"/>
      <c r="M82" s="23"/>
      <c r="N82" s="23"/>
      <c r="O82" s="23"/>
      <c r="P82" s="23"/>
      <c r="Q82" s="25" t="s">
        <v>33</v>
      </c>
      <c r="R82" s="26" t="s">
        <v>34</v>
      </c>
    </row>
    <row r="83" spans="1:18">
      <c r="A83" s="21">
        <v>3080</v>
      </c>
      <c r="B83" s="51">
        <v>5331</v>
      </c>
      <c r="C83" s="54" t="s">
        <v>120</v>
      </c>
      <c r="D83" s="51" t="s">
        <v>236</v>
      </c>
      <c r="E83" s="51" t="s">
        <v>277</v>
      </c>
      <c r="F83" s="63" t="s">
        <v>330</v>
      </c>
      <c r="G83" s="64" t="s">
        <v>335</v>
      </c>
      <c r="H83" s="55">
        <v>80</v>
      </c>
      <c r="I83" s="22" t="s">
        <v>12</v>
      </c>
      <c r="J83" s="47">
        <v>0</v>
      </c>
      <c r="K83" s="49">
        <f t="shared" si="1"/>
        <v>0</v>
      </c>
      <c r="L83" s="24"/>
      <c r="M83" s="28"/>
      <c r="N83" s="28"/>
      <c r="O83" s="28"/>
      <c r="P83" s="28"/>
      <c r="Q83" s="25" t="s">
        <v>33</v>
      </c>
      <c r="R83" s="26" t="s">
        <v>34</v>
      </c>
    </row>
    <row r="84" spans="1:18">
      <c r="A84" s="21">
        <v>3081</v>
      </c>
      <c r="B84" s="51">
        <v>5315</v>
      </c>
      <c r="C84" s="54" t="s">
        <v>121</v>
      </c>
      <c r="D84" s="51" t="s">
        <v>237</v>
      </c>
      <c r="E84" s="51" t="s">
        <v>298</v>
      </c>
      <c r="F84" s="63" t="s">
        <v>330</v>
      </c>
      <c r="G84" s="64" t="s">
        <v>339</v>
      </c>
      <c r="H84" s="55">
        <v>100</v>
      </c>
      <c r="I84" s="22" t="s">
        <v>12</v>
      </c>
      <c r="J84" s="47">
        <v>0</v>
      </c>
      <c r="K84" s="48">
        <f t="shared" si="1"/>
        <v>0</v>
      </c>
      <c r="L84" s="24"/>
      <c r="M84" s="23"/>
      <c r="N84" s="23"/>
      <c r="O84" s="23"/>
      <c r="P84" s="23"/>
      <c r="Q84" s="25" t="s">
        <v>33</v>
      </c>
      <c r="R84" s="26" t="s">
        <v>34</v>
      </c>
    </row>
    <row r="85" spans="1:18">
      <c r="A85" s="21">
        <v>3082</v>
      </c>
      <c r="B85" s="51">
        <v>5340</v>
      </c>
      <c r="C85" s="54" t="s">
        <v>122</v>
      </c>
      <c r="D85" s="51" t="s">
        <v>238</v>
      </c>
      <c r="E85" s="51" t="s">
        <v>299</v>
      </c>
      <c r="F85" s="63" t="s">
        <v>330</v>
      </c>
      <c r="G85" s="64" t="s">
        <v>338</v>
      </c>
      <c r="H85" s="55">
        <v>100</v>
      </c>
      <c r="I85" s="22" t="s">
        <v>12</v>
      </c>
      <c r="J85" s="47">
        <v>0</v>
      </c>
      <c r="K85" s="48">
        <f t="shared" si="1"/>
        <v>0</v>
      </c>
      <c r="L85" s="24"/>
      <c r="M85" s="23"/>
      <c r="N85" s="23"/>
      <c r="O85" s="23"/>
      <c r="P85" s="23"/>
      <c r="Q85" s="25" t="s">
        <v>33</v>
      </c>
      <c r="R85" s="26" t="s">
        <v>34</v>
      </c>
    </row>
    <row r="86" spans="1:18">
      <c r="A86" s="21">
        <v>3083</v>
      </c>
      <c r="B86" s="51">
        <v>4020</v>
      </c>
      <c r="C86" s="54" t="s">
        <v>123</v>
      </c>
      <c r="D86" s="51" t="s">
        <v>239</v>
      </c>
      <c r="E86" s="51" t="s">
        <v>300</v>
      </c>
      <c r="F86" s="63" t="s">
        <v>330</v>
      </c>
      <c r="G86" s="64" t="s">
        <v>340</v>
      </c>
      <c r="H86" s="55">
        <v>150</v>
      </c>
      <c r="I86" s="22" t="s">
        <v>12</v>
      </c>
      <c r="J86" s="47">
        <v>0</v>
      </c>
      <c r="K86" s="48">
        <f t="shared" si="1"/>
        <v>0</v>
      </c>
      <c r="L86" s="24"/>
      <c r="M86" s="23"/>
      <c r="N86" s="23"/>
      <c r="O86" s="23"/>
      <c r="P86" s="23"/>
      <c r="Q86" s="25" t="s">
        <v>33</v>
      </c>
      <c r="R86" s="26" t="s">
        <v>34</v>
      </c>
    </row>
    <row r="87" spans="1:18">
      <c r="A87" s="21">
        <v>3084</v>
      </c>
      <c r="B87" s="51">
        <v>4020</v>
      </c>
      <c r="C87" s="54" t="s">
        <v>124</v>
      </c>
      <c r="D87" s="51" t="s">
        <v>240</v>
      </c>
      <c r="E87" s="51" t="s">
        <v>300</v>
      </c>
      <c r="F87" s="63" t="s">
        <v>330</v>
      </c>
      <c r="G87" s="64" t="s">
        <v>340</v>
      </c>
      <c r="H87" s="55">
        <v>300</v>
      </c>
      <c r="I87" s="22" t="s">
        <v>12</v>
      </c>
      <c r="J87" s="47">
        <v>0</v>
      </c>
      <c r="K87" s="48">
        <f t="shared" si="1"/>
        <v>0</v>
      </c>
      <c r="L87" s="24"/>
      <c r="M87" s="23"/>
      <c r="N87" s="23"/>
      <c r="O87" s="23"/>
      <c r="P87" s="23"/>
      <c r="Q87" s="25" t="s">
        <v>33</v>
      </c>
      <c r="R87" s="26" t="s">
        <v>34</v>
      </c>
    </row>
    <row r="88" spans="1:18">
      <c r="A88" s="21">
        <v>3085</v>
      </c>
      <c r="B88" s="51">
        <v>5305</v>
      </c>
      <c r="C88" s="54" t="s">
        <v>125</v>
      </c>
      <c r="D88" s="51" t="s">
        <v>241</v>
      </c>
      <c r="E88" s="51" t="s">
        <v>30</v>
      </c>
      <c r="F88" s="63" t="s">
        <v>330</v>
      </c>
      <c r="G88" s="64" t="s">
        <v>338</v>
      </c>
      <c r="H88" s="55">
        <v>400</v>
      </c>
      <c r="I88" s="22" t="s">
        <v>12</v>
      </c>
      <c r="J88" s="47">
        <v>0</v>
      </c>
      <c r="K88" s="48">
        <f t="shared" si="1"/>
        <v>0</v>
      </c>
      <c r="L88" s="24"/>
      <c r="M88" s="23"/>
      <c r="N88" s="23"/>
      <c r="O88" s="23"/>
      <c r="P88" s="23"/>
      <c r="Q88" s="25" t="s">
        <v>33</v>
      </c>
      <c r="R88" s="26" t="s">
        <v>34</v>
      </c>
    </row>
    <row r="89" spans="1:18">
      <c r="A89" s="21">
        <v>3086</v>
      </c>
      <c r="B89" s="51">
        <v>5305</v>
      </c>
      <c r="C89" s="54" t="s">
        <v>126</v>
      </c>
      <c r="D89" s="51" t="s">
        <v>242</v>
      </c>
      <c r="E89" s="51" t="s">
        <v>30</v>
      </c>
      <c r="F89" s="63" t="s">
        <v>330</v>
      </c>
      <c r="G89" s="64" t="s">
        <v>338</v>
      </c>
      <c r="H89" s="55">
        <v>200</v>
      </c>
      <c r="I89" s="22" t="s">
        <v>12</v>
      </c>
      <c r="J89" s="47">
        <v>0</v>
      </c>
      <c r="K89" s="48">
        <f t="shared" si="1"/>
        <v>0</v>
      </c>
      <c r="L89" s="24"/>
      <c r="M89" s="23"/>
      <c r="N89" s="23"/>
      <c r="O89" s="23"/>
      <c r="P89" s="23"/>
      <c r="Q89" s="25" t="s">
        <v>33</v>
      </c>
      <c r="R89" s="26" t="s">
        <v>34</v>
      </c>
    </row>
    <row r="90" spans="1:18">
      <c r="A90" s="21">
        <v>3087</v>
      </c>
      <c r="B90" s="51">
        <v>5310</v>
      </c>
      <c r="C90" s="54" t="s">
        <v>127</v>
      </c>
      <c r="D90" s="51" t="s">
        <v>243</v>
      </c>
      <c r="E90" s="51" t="s">
        <v>27</v>
      </c>
      <c r="F90" s="63" t="s">
        <v>330</v>
      </c>
      <c r="G90" s="64" t="s">
        <v>339</v>
      </c>
      <c r="H90" s="55">
        <v>100</v>
      </c>
      <c r="I90" s="22" t="s">
        <v>12</v>
      </c>
      <c r="J90" s="47">
        <v>0</v>
      </c>
      <c r="K90" s="48">
        <f t="shared" si="1"/>
        <v>0</v>
      </c>
      <c r="L90" s="24"/>
      <c r="M90" s="23"/>
      <c r="N90" s="23"/>
      <c r="O90" s="23"/>
      <c r="P90" s="23"/>
      <c r="Q90" s="25" t="s">
        <v>33</v>
      </c>
      <c r="R90" s="26" t="s">
        <v>34</v>
      </c>
    </row>
    <row r="91" spans="1:18">
      <c r="A91" s="21">
        <v>3088</v>
      </c>
      <c r="B91" s="51">
        <v>5315</v>
      </c>
      <c r="C91" s="54" t="s">
        <v>128</v>
      </c>
      <c r="D91" s="51" t="s">
        <v>244</v>
      </c>
      <c r="E91" s="51" t="s">
        <v>301</v>
      </c>
      <c r="F91" s="63" t="s">
        <v>330</v>
      </c>
      <c r="G91" s="64" t="s">
        <v>339</v>
      </c>
      <c r="H91" s="55">
        <v>20</v>
      </c>
      <c r="I91" s="22" t="s">
        <v>12</v>
      </c>
      <c r="J91" s="47">
        <v>0</v>
      </c>
      <c r="K91" s="48">
        <f t="shared" si="1"/>
        <v>0</v>
      </c>
      <c r="L91" s="24"/>
      <c r="M91" s="23"/>
      <c r="N91" s="23"/>
      <c r="O91" s="23"/>
      <c r="P91" s="23"/>
      <c r="Q91" s="25" t="s">
        <v>33</v>
      </c>
      <c r="R91" s="26" t="s">
        <v>34</v>
      </c>
    </row>
    <row r="92" spans="1:18">
      <c r="A92" s="21">
        <v>3089</v>
      </c>
      <c r="B92" s="51" t="s">
        <v>21</v>
      </c>
      <c r="C92" s="54" t="s">
        <v>129</v>
      </c>
      <c r="D92" s="51" t="s">
        <v>245</v>
      </c>
      <c r="E92" s="51" t="s">
        <v>302</v>
      </c>
      <c r="F92" s="63" t="s">
        <v>330</v>
      </c>
      <c r="G92" s="64" t="s">
        <v>341</v>
      </c>
      <c r="H92" s="55">
        <v>50</v>
      </c>
      <c r="I92" s="22" t="s">
        <v>12</v>
      </c>
      <c r="J92" s="47">
        <v>0</v>
      </c>
      <c r="K92" s="48">
        <f t="shared" si="1"/>
        <v>0</v>
      </c>
      <c r="L92" s="24"/>
      <c r="M92" s="23"/>
      <c r="N92" s="23"/>
      <c r="O92" s="23"/>
      <c r="P92" s="23"/>
      <c r="Q92" s="25" t="s">
        <v>33</v>
      </c>
      <c r="R92" s="26" t="s">
        <v>34</v>
      </c>
    </row>
    <row r="93" spans="1:18">
      <c r="A93" s="21">
        <v>3090</v>
      </c>
      <c r="B93" s="51">
        <v>5975</v>
      </c>
      <c r="C93" s="54" t="s">
        <v>130</v>
      </c>
      <c r="D93" s="51" t="s">
        <v>246</v>
      </c>
      <c r="E93" s="51" t="s">
        <v>303</v>
      </c>
      <c r="F93" s="63" t="s">
        <v>330</v>
      </c>
      <c r="G93" s="64" t="s">
        <v>339</v>
      </c>
      <c r="H93" s="55">
        <v>2000</v>
      </c>
      <c r="I93" s="22" t="s">
        <v>12</v>
      </c>
      <c r="J93" s="47">
        <v>0</v>
      </c>
      <c r="K93" s="48">
        <f t="shared" si="1"/>
        <v>0</v>
      </c>
      <c r="L93" s="24"/>
      <c r="M93" s="23"/>
      <c r="N93" s="23"/>
      <c r="O93" s="23"/>
      <c r="P93" s="23"/>
      <c r="Q93" s="25" t="s">
        <v>33</v>
      </c>
      <c r="R93" s="26" t="s">
        <v>34</v>
      </c>
    </row>
    <row r="94" spans="1:18">
      <c r="A94" s="21">
        <v>3091</v>
      </c>
      <c r="B94" s="51">
        <v>5330</v>
      </c>
      <c r="C94" s="54" t="s">
        <v>131</v>
      </c>
      <c r="D94" s="51" t="s">
        <v>247</v>
      </c>
      <c r="E94" s="51" t="s">
        <v>26</v>
      </c>
      <c r="F94" s="63" t="s">
        <v>330</v>
      </c>
      <c r="G94" s="64" t="s">
        <v>339</v>
      </c>
      <c r="H94" s="55">
        <v>80</v>
      </c>
      <c r="I94" s="22" t="s">
        <v>12</v>
      </c>
      <c r="J94" s="47">
        <v>0</v>
      </c>
      <c r="K94" s="48">
        <f t="shared" si="1"/>
        <v>0</v>
      </c>
      <c r="L94" s="24"/>
      <c r="M94" s="23"/>
      <c r="N94" s="23"/>
      <c r="O94" s="23"/>
      <c r="P94" s="23"/>
      <c r="Q94" s="25" t="s">
        <v>33</v>
      </c>
      <c r="R94" s="26" t="s">
        <v>34</v>
      </c>
    </row>
    <row r="95" spans="1:18">
      <c r="A95" s="21">
        <v>3092</v>
      </c>
      <c r="B95" s="51">
        <v>5331</v>
      </c>
      <c r="C95" s="54" t="s">
        <v>132</v>
      </c>
      <c r="D95" s="51" t="s">
        <v>248</v>
      </c>
      <c r="E95" s="51" t="s">
        <v>277</v>
      </c>
      <c r="F95" s="63" t="s">
        <v>330</v>
      </c>
      <c r="G95" s="64" t="s">
        <v>340</v>
      </c>
      <c r="H95" s="55">
        <v>50</v>
      </c>
      <c r="I95" s="22" t="s">
        <v>12</v>
      </c>
      <c r="J95" s="47">
        <v>0</v>
      </c>
      <c r="K95" s="48">
        <f t="shared" si="1"/>
        <v>0</v>
      </c>
      <c r="L95" s="24"/>
      <c r="M95" s="23"/>
      <c r="N95" s="23"/>
      <c r="O95" s="23"/>
      <c r="P95" s="23"/>
      <c r="Q95" s="25" t="s">
        <v>33</v>
      </c>
      <c r="R95" s="26" t="s">
        <v>34</v>
      </c>
    </row>
    <row r="96" spans="1:18">
      <c r="A96" s="21">
        <v>3093</v>
      </c>
      <c r="B96" s="51">
        <v>5340</v>
      </c>
      <c r="C96" s="54" t="s">
        <v>133</v>
      </c>
      <c r="D96" s="51" t="s">
        <v>249</v>
      </c>
      <c r="E96" s="51" t="s">
        <v>31</v>
      </c>
      <c r="F96" s="63" t="s">
        <v>330</v>
      </c>
      <c r="G96" s="64" t="s">
        <v>339</v>
      </c>
      <c r="H96" s="55">
        <v>150</v>
      </c>
      <c r="I96" s="22" t="s">
        <v>12</v>
      </c>
      <c r="J96" s="47">
        <v>0</v>
      </c>
      <c r="K96" s="48">
        <f t="shared" si="1"/>
        <v>0</v>
      </c>
      <c r="L96" s="24"/>
      <c r="M96" s="23"/>
      <c r="N96" s="23"/>
      <c r="O96" s="23"/>
      <c r="P96" s="23"/>
      <c r="Q96" s="25" t="s">
        <v>33</v>
      </c>
      <c r="R96" s="26" t="s">
        <v>34</v>
      </c>
    </row>
    <row r="97" spans="1:18">
      <c r="A97" s="21">
        <v>3094</v>
      </c>
      <c r="B97" s="51">
        <v>5930</v>
      </c>
      <c r="C97" s="54" t="s">
        <v>134</v>
      </c>
      <c r="D97" s="51" t="s">
        <v>250</v>
      </c>
      <c r="E97" s="51" t="s">
        <v>304</v>
      </c>
      <c r="F97" s="63" t="s">
        <v>330</v>
      </c>
      <c r="G97" s="64" t="s">
        <v>340</v>
      </c>
      <c r="H97" s="55">
        <v>10</v>
      </c>
      <c r="I97" s="22" t="s">
        <v>12</v>
      </c>
      <c r="J97" s="47">
        <v>0</v>
      </c>
      <c r="K97" s="48">
        <f t="shared" si="1"/>
        <v>0</v>
      </c>
      <c r="L97" s="24"/>
      <c r="M97" s="23"/>
      <c r="N97" s="23"/>
      <c r="O97" s="23"/>
      <c r="P97" s="23"/>
      <c r="Q97" s="25" t="s">
        <v>33</v>
      </c>
      <c r="R97" s="26" t="s">
        <v>34</v>
      </c>
    </row>
    <row r="98" spans="1:18">
      <c r="A98" s="21">
        <v>3095</v>
      </c>
      <c r="B98" s="51">
        <v>5315</v>
      </c>
      <c r="C98" s="54" t="s">
        <v>135</v>
      </c>
      <c r="D98" s="51" t="s">
        <v>251</v>
      </c>
      <c r="E98" s="51" t="s">
        <v>305</v>
      </c>
      <c r="F98" s="63" t="s">
        <v>330</v>
      </c>
      <c r="G98" s="64" t="s">
        <v>340</v>
      </c>
      <c r="H98" s="55">
        <v>8000</v>
      </c>
      <c r="I98" s="22" t="s">
        <v>12</v>
      </c>
      <c r="J98" s="47">
        <v>0</v>
      </c>
      <c r="K98" s="48">
        <f t="shared" si="1"/>
        <v>0</v>
      </c>
      <c r="L98" s="24"/>
      <c r="M98" s="23"/>
      <c r="N98" s="23"/>
      <c r="O98" s="23"/>
      <c r="P98" s="23"/>
      <c r="Q98" s="25" t="s">
        <v>33</v>
      </c>
      <c r="R98" s="26" t="s">
        <v>34</v>
      </c>
    </row>
    <row r="99" spans="1:18">
      <c r="A99" s="21">
        <v>3096</v>
      </c>
      <c r="B99" s="51">
        <v>5305</v>
      </c>
      <c r="C99" s="54" t="s">
        <v>136</v>
      </c>
      <c r="D99" s="51" t="s">
        <v>252</v>
      </c>
      <c r="E99" s="51" t="s">
        <v>30</v>
      </c>
      <c r="F99" s="63" t="s">
        <v>330</v>
      </c>
      <c r="G99" s="64" t="s">
        <v>339</v>
      </c>
      <c r="H99" s="55">
        <v>300</v>
      </c>
      <c r="I99" s="22" t="s">
        <v>12</v>
      </c>
      <c r="J99" s="47">
        <v>0</v>
      </c>
      <c r="K99" s="48">
        <f t="shared" si="1"/>
        <v>0</v>
      </c>
      <c r="L99" s="24"/>
      <c r="M99" s="23"/>
      <c r="N99" s="23"/>
      <c r="O99" s="23"/>
      <c r="P99" s="23"/>
      <c r="Q99" s="25" t="s">
        <v>33</v>
      </c>
      <c r="R99" s="26" t="s">
        <v>34</v>
      </c>
    </row>
    <row r="100" spans="1:18">
      <c r="A100" s="21">
        <v>3097</v>
      </c>
      <c r="B100" s="51">
        <v>5306</v>
      </c>
      <c r="C100" s="54" t="s">
        <v>137</v>
      </c>
      <c r="D100" s="51" t="s">
        <v>253</v>
      </c>
      <c r="E100" s="51" t="s">
        <v>23</v>
      </c>
      <c r="F100" s="63" t="s">
        <v>330</v>
      </c>
      <c r="G100" s="64" t="s">
        <v>339</v>
      </c>
      <c r="H100" s="55">
        <v>50</v>
      </c>
      <c r="I100" s="22" t="s">
        <v>12</v>
      </c>
      <c r="J100" s="47">
        <v>0</v>
      </c>
      <c r="K100" s="48">
        <f t="shared" si="1"/>
        <v>0</v>
      </c>
      <c r="L100" s="24"/>
      <c r="M100" s="23"/>
      <c r="N100" s="23"/>
      <c r="O100" s="23"/>
      <c r="P100" s="23"/>
      <c r="Q100" s="25" t="s">
        <v>33</v>
      </c>
      <c r="R100" s="26" t="s">
        <v>34</v>
      </c>
    </row>
    <row r="101" spans="1:18">
      <c r="A101" s="21">
        <v>3098</v>
      </c>
      <c r="B101" s="51">
        <v>5310</v>
      </c>
      <c r="C101" s="54" t="s">
        <v>138</v>
      </c>
      <c r="D101" s="51" t="s">
        <v>254</v>
      </c>
      <c r="E101" s="51" t="s">
        <v>294</v>
      </c>
      <c r="F101" s="63" t="s">
        <v>330</v>
      </c>
      <c r="G101" s="64" t="s">
        <v>340</v>
      </c>
      <c r="H101" s="55">
        <v>3000</v>
      </c>
      <c r="I101" s="22" t="s">
        <v>12</v>
      </c>
      <c r="J101" s="47">
        <v>0</v>
      </c>
      <c r="K101" s="48">
        <f t="shared" si="1"/>
        <v>0</v>
      </c>
      <c r="L101" s="24"/>
      <c r="M101" s="23"/>
      <c r="N101" s="23"/>
      <c r="O101" s="23"/>
      <c r="P101" s="23"/>
      <c r="Q101" s="25" t="s">
        <v>33</v>
      </c>
      <c r="R101" s="26" t="s">
        <v>34</v>
      </c>
    </row>
    <row r="102" spans="1:18">
      <c r="A102" s="21">
        <v>3099</v>
      </c>
      <c r="B102" s="51">
        <v>5330</v>
      </c>
      <c r="C102" s="54" t="s">
        <v>139</v>
      </c>
      <c r="D102" s="51" t="s">
        <v>255</v>
      </c>
      <c r="E102" s="51" t="s">
        <v>306</v>
      </c>
      <c r="F102" s="63" t="s">
        <v>330</v>
      </c>
      <c r="G102" s="64" t="s">
        <v>331</v>
      </c>
      <c r="H102" s="55">
        <v>30000</v>
      </c>
      <c r="I102" s="22" t="s">
        <v>12</v>
      </c>
      <c r="J102" s="47">
        <v>0</v>
      </c>
      <c r="K102" s="48">
        <f t="shared" si="1"/>
        <v>0</v>
      </c>
      <c r="L102" s="24"/>
      <c r="M102" s="23"/>
      <c r="N102" s="23"/>
      <c r="O102" s="23"/>
      <c r="P102" s="23"/>
      <c r="Q102" s="25" t="s">
        <v>33</v>
      </c>
      <c r="R102" s="26" t="s">
        <v>34</v>
      </c>
    </row>
    <row r="103" spans="1:18">
      <c r="A103" s="21">
        <v>3100</v>
      </c>
      <c r="B103" s="51">
        <v>5330</v>
      </c>
      <c r="C103" s="54" t="s">
        <v>140</v>
      </c>
      <c r="D103" s="51">
        <v>1750</v>
      </c>
      <c r="E103" s="51" t="s">
        <v>307</v>
      </c>
      <c r="F103" s="63" t="s">
        <v>330</v>
      </c>
      <c r="G103" s="64" t="s">
        <v>340</v>
      </c>
      <c r="H103" s="55">
        <v>300</v>
      </c>
      <c r="I103" s="22" t="s">
        <v>12</v>
      </c>
      <c r="J103" s="47">
        <v>0</v>
      </c>
      <c r="K103" s="48">
        <f t="shared" si="1"/>
        <v>0</v>
      </c>
      <c r="L103" s="24"/>
      <c r="M103" s="23"/>
      <c r="N103" s="23"/>
      <c r="O103" s="23"/>
      <c r="P103" s="23"/>
      <c r="Q103" s="25" t="s">
        <v>33</v>
      </c>
      <c r="R103" s="26" t="s">
        <v>34</v>
      </c>
    </row>
    <row r="104" spans="1:18">
      <c r="A104" s="21">
        <v>3101</v>
      </c>
      <c r="B104" s="51">
        <v>4730</v>
      </c>
      <c r="C104" s="54" t="s">
        <v>141</v>
      </c>
      <c r="D104" s="51" t="s">
        <v>256</v>
      </c>
      <c r="E104" s="51" t="s">
        <v>308</v>
      </c>
      <c r="F104" s="63" t="s">
        <v>330</v>
      </c>
      <c r="G104" s="64" t="s">
        <v>337</v>
      </c>
      <c r="H104" s="55">
        <v>30</v>
      </c>
      <c r="I104" s="22" t="s">
        <v>12</v>
      </c>
      <c r="J104" s="47">
        <v>0</v>
      </c>
      <c r="K104" s="48">
        <f t="shared" si="1"/>
        <v>0</v>
      </c>
      <c r="L104" s="24"/>
      <c r="M104" s="23"/>
      <c r="N104" s="23"/>
      <c r="O104" s="23"/>
      <c r="P104" s="23"/>
      <c r="Q104" s="25" t="s">
        <v>33</v>
      </c>
      <c r="R104" s="26" t="s">
        <v>34</v>
      </c>
    </row>
    <row r="105" spans="1:18">
      <c r="A105" s="21">
        <v>3102</v>
      </c>
      <c r="B105" s="51">
        <v>5305</v>
      </c>
      <c r="C105" s="54" t="s">
        <v>142</v>
      </c>
      <c r="D105" s="51" t="s">
        <v>257</v>
      </c>
      <c r="E105" s="51" t="s">
        <v>30</v>
      </c>
      <c r="F105" s="63" t="s">
        <v>330</v>
      </c>
      <c r="G105" s="64" t="s">
        <v>340</v>
      </c>
      <c r="H105" s="55">
        <v>350</v>
      </c>
      <c r="I105" s="22" t="s">
        <v>12</v>
      </c>
      <c r="J105" s="47">
        <v>0</v>
      </c>
      <c r="K105" s="48">
        <f t="shared" si="1"/>
        <v>0</v>
      </c>
      <c r="L105" s="24"/>
      <c r="M105" s="23"/>
      <c r="N105" s="23"/>
      <c r="O105" s="23"/>
      <c r="P105" s="23"/>
      <c r="Q105" s="25" t="s">
        <v>33</v>
      </c>
      <c r="R105" s="26" t="s">
        <v>34</v>
      </c>
    </row>
    <row r="106" spans="1:18">
      <c r="A106" s="21">
        <v>3103</v>
      </c>
      <c r="B106" s="51">
        <v>5305</v>
      </c>
      <c r="C106" s="54" t="s">
        <v>143</v>
      </c>
      <c r="D106" s="51" t="s">
        <v>258</v>
      </c>
      <c r="E106" s="51" t="s">
        <v>30</v>
      </c>
      <c r="F106" s="63" t="s">
        <v>330</v>
      </c>
      <c r="G106" s="64" t="s">
        <v>340</v>
      </c>
      <c r="H106" s="55">
        <v>600</v>
      </c>
      <c r="I106" s="22" t="s">
        <v>12</v>
      </c>
      <c r="J106" s="47">
        <v>0</v>
      </c>
      <c r="K106" s="48">
        <f t="shared" si="1"/>
        <v>0</v>
      </c>
      <c r="L106" s="24"/>
      <c r="M106" s="23"/>
      <c r="N106" s="23"/>
      <c r="O106" s="23"/>
      <c r="P106" s="23"/>
      <c r="Q106" s="25" t="s">
        <v>33</v>
      </c>
      <c r="R106" s="26" t="s">
        <v>34</v>
      </c>
    </row>
    <row r="107" spans="1:18">
      <c r="A107" s="21">
        <v>3104</v>
      </c>
      <c r="B107" s="51">
        <v>5305</v>
      </c>
      <c r="C107" s="54" t="s">
        <v>144</v>
      </c>
      <c r="D107" s="51" t="s">
        <v>259</v>
      </c>
      <c r="E107" s="51" t="s">
        <v>30</v>
      </c>
      <c r="F107" s="63" t="s">
        <v>330</v>
      </c>
      <c r="G107" s="64" t="s">
        <v>340</v>
      </c>
      <c r="H107" s="55">
        <v>150</v>
      </c>
      <c r="I107" s="22" t="s">
        <v>12</v>
      </c>
      <c r="J107" s="47">
        <v>0</v>
      </c>
      <c r="K107" s="48">
        <f t="shared" si="1"/>
        <v>0</v>
      </c>
      <c r="L107" s="24"/>
      <c r="M107" s="23"/>
      <c r="N107" s="23"/>
      <c r="O107" s="23"/>
      <c r="P107" s="23"/>
      <c r="Q107" s="25" t="s">
        <v>33</v>
      </c>
      <c r="R107" s="26" t="s">
        <v>34</v>
      </c>
    </row>
    <row r="108" spans="1:18">
      <c r="A108" s="21">
        <v>3105</v>
      </c>
      <c r="B108" s="51">
        <v>5305</v>
      </c>
      <c r="C108" s="54" t="s">
        <v>145</v>
      </c>
      <c r="D108" s="51" t="s">
        <v>260</v>
      </c>
      <c r="E108" s="51" t="s">
        <v>30</v>
      </c>
      <c r="F108" s="63" t="s">
        <v>330</v>
      </c>
      <c r="G108" s="64" t="s">
        <v>340</v>
      </c>
      <c r="H108" s="55">
        <v>40</v>
      </c>
      <c r="I108" s="22" t="s">
        <v>12</v>
      </c>
      <c r="J108" s="47">
        <v>0</v>
      </c>
      <c r="K108" s="48">
        <f t="shared" si="1"/>
        <v>0</v>
      </c>
      <c r="L108" s="24"/>
      <c r="M108" s="23"/>
      <c r="N108" s="23"/>
      <c r="O108" s="23"/>
      <c r="P108" s="23"/>
      <c r="Q108" s="25" t="s">
        <v>33</v>
      </c>
      <c r="R108" s="26" t="s">
        <v>34</v>
      </c>
    </row>
    <row r="109" spans="1:18">
      <c r="A109" s="21">
        <v>3106</v>
      </c>
      <c r="B109" s="51">
        <v>5330</v>
      </c>
      <c r="C109" s="54" t="s">
        <v>146</v>
      </c>
      <c r="D109" s="51" t="s">
        <v>261</v>
      </c>
      <c r="E109" s="51" t="s">
        <v>309</v>
      </c>
      <c r="F109" s="63" t="s">
        <v>330</v>
      </c>
      <c r="G109" s="64" t="s">
        <v>338</v>
      </c>
      <c r="H109" s="55">
        <v>100</v>
      </c>
      <c r="I109" s="22" t="s">
        <v>12</v>
      </c>
      <c r="J109" s="47">
        <v>0</v>
      </c>
      <c r="K109" s="48">
        <f t="shared" si="1"/>
        <v>0</v>
      </c>
      <c r="L109" s="24"/>
      <c r="M109" s="23"/>
      <c r="N109" s="23"/>
      <c r="O109" s="23"/>
      <c r="P109" s="23"/>
      <c r="Q109" s="25" t="s">
        <v>33</v>
      </c>
      <c r="R109" s="26" t="s">
        <v>34</v>
      </c>
    </row>
    <row r="110" spans="1:18">
      <c r="A110" s="21">
        <v>3107</v>
      </c>
      <c r="B110" s="51">
        <v>5330</v>
      </c>
      <c r="C110" s="54" t="s">
        <v>147</v>
      </c>
      <c r="D110" s="51" t="s">
        <v>262</v>
      </c>
      <c r="E110" s="51" t="s">
        <v>309</v>
      </c>
      <c r="F110" s="63" t="s">
        <v>330</v>
      </c>
      <c r="G110" s="64" t="s">
        <v>337</v>
      </c>
      <c r="H110" s="55">
        <v>40</v>
      </c>
      <c r="I110" s="22" t="s">
        <v>12</v>
      </c>
      <c r="J110" s="47">
        <v>0</v>
      </c>
      <c r="K110" s="48">
        <f t="shared" si="1"/>
        <v>0</v>
      </c>
      <c r="L110" s="24"/>
      <c r="M110" s="23"/>
      <c r="N110" s="23"/>
      <c r="O110" s="23"/>
      <c r="P110" s="23"/>
      <c r="Q110" s="25" t="s">
        <v>33</v>
      </c>
      <c r="R110" s="26" t="s">
        <v>34</v>
      </c>
    </row>
    <row r="111" spans="1:18">
      <c r="A111" s="21">
        <v>3108</v>
      </c>
      <c r="B111" s="51">
        <v>5330</v>
      </c>
      <c r="C111" s="54" t="s">
        <v>148</v>
      </c>
      <c r="D111" s="51" t="s">
        <v>263</v>
      </c>
      <c r="E111" s="51" t="s">
        <v>309</v>
      </c>
      <c r="F111" s="63" t="s">
        <v>330</v>
      </c>
      <c r="G111" s="64" t="s">
        <v>338</v>
      </c>
      <c r="H111" s="55">
        <v>300</v>
      </c>
      <c r="I111" s="22" t="s">
        <v>12</v>
      </c>
      <c r="J111" s="47">
        <v>0</v>
      </c>
      <c r="K111" s="48">
        <f t="shared" si="1"/>
        <v>0</v>
      </c>
      <c r="L111" s="24"/>
      <c r="M111" s="23"/>
      <c r="N111" s="23"/>
      <c r="O111" s="23"/>
      <c r="P111" s="23"/>
      <c r="Q111" s="25" t="s">
        <v>33</v>
      </c>
      <c r="R111" s="26" t="s">
        <v>34</v>
      </c>
    </row>
    <row r="112" spans="1:18">
      <c r="A112" s="21">
        <v>3109</v>
      </c>
      <c r="B112" s="51">
        <v>5330</v>
      </c>
      <c r="C112" s="54" t="s">
        <v>149</v>
      </c>
      <c r="D112" s="51" t="s">
        <v>264</v>
      </c>
      <c r="E112" s="51" t="s">
        <v>310</v>
      </c>
      <c r="F112" s="63" t="s">
        <v>330</v>
      </c>
      <c r="G112" s="64" t="s">
        <v>337</v>
      </c>
      <c r="H112" s="55">
        <v>60</v>
      </c>
      <c r="I112" s="22" t="s">
        <v>12</v>
      </c>
      <c r="J112" s="47">
        <v>0</v>
      </c>
      <c r="K112" s="48">
        <f t="shared" si="1"/>
        <v>0</v>
      </c>
      <c r="L112" s="24"/>
      <c r="M112" s="23"/>
      <c r="N112" s="23"/>
      <c r="O112" s="23"/>
      <c r="P112" s="23"/>
      <c r="Q112" s="25" t="s">
        <v>33</v>
      </c>
      <c r="R112" s="26" t="s">
        <v>34</v>
      </c>
    </row>
    <row r="113" spans="1:18">
      <c r="A113" s="21">
        <v>3110</v>
      </c>
      <c r="B113" s="51">
        <v>5330</v>
      </c>
      <c r="C113" s="54" t="s">
        <v>150</v>
      </c>
      <c r="D113" s="51" t="s">
        <v>265</v>
      </c>
      <c r="E113" s="51" t="s">
        <v>310</v>
      </c>
      <c r="F113" s="63" t="s">
        <v>330</v>
      </c>
      <c r="G113" s="64" t="s">
        <v>337</v>
      </c>
      <c r="H113" s="55">
        <v>300</v>
      </c>
      <c r="I113" s="22" t="s">
        <v>12</v>
      </c>
      <c r="J113" s="47">
        <v>0</v>
      </c>
      <c r="K113" s="48">
        <f t="shared" si="1"/>
        <v>0</v>
      </c>
      <c r="L113" s="24"/>
      <c r="M113" s="23"/>
      <c r="N113" s="23"/>
      <c r="O113" s="23"/>
      <c r="P113" s="23"/>
      <c r="Q113" s="25" t="s">
        <v>33</v>
      </c>
      <c r="R113" s="26" t="s">
        <v>34</v>
      </c>
    </row>
    <row r="114" spans="1:18">
      <c r="A114" s="21">
        <v>3111</v>
      </c>
      <c r="B114" s="51">
        <v>5945</v>
      </c>
      <c r="C114" s="54" t="s">
        <v>151</v>
      </c>
      <c r="D114" s="51" t="s">
        <v>266</v>
      </c>
      <c r="E114" s="51" t="s">
        <v>311</v>
      </c>
      <c r="F114" s="63" t="s">
        <v>330</v>
      </c>
      <c r="G114" s="64" t="s">
        <v>331</v>
      </c>
      <c r="H114" s="55">
        <v>100</v>
      </c>
      <c r="I114" s="22" t="s">
        <v>12</v>
      </c>
      <c r="J114" s="47">
        <v>0</v>
      </c>
      <c r="K114" s="48">
        <f t="shared" si="1"/>
        <v>0</v>
      </c>
      <c r="L114" s="24"/>
      <c r="M114" s="23"/>
      <c r="N114" s="23"/>
      <c r="O114" s="23"/>
      <c r="P114" s="23"/>
      <c r="Q114" s="25" t="s">
        <v>33</v>
      </c>
      <c r="R114" s="26" t="s">
        <v>34</v>
      </c>
    </row>
    <row r="115" spans="1:18">
      <c r="A115" s="21">
        <v>3112</v>
      </c>
      <c r="B115" s="51">
        <v>5920</v>
      </c>
      <c r="C115" s="54" t="s">
        <v>152</v>
      </c>
      <c r="D115" s="51" t="s">
        <v>267</v>
      </c>
      <c r="E115" s="51" t="s">
        <v>312</v>
      </c>
      <c r="F115" s="63" t="s">
        <v>330</v>
      </c>
      <c r="G115" s="64" t="s">
        <v>338</v>
      </c>
      <c r="H115" s="55">
        <v>100</v>
      </c>
      <c r="I115" s="22" t="s">
        <v>12</v>
      </c>
      <c r="J115" s="47">
        <v>0</v>
      </c>
      <c r="K115" s="48">
        <f t="shared" si="1"/>
        <v>0</v>
      </c>
      <c r="L115" s="24"/>
      <c r="M115" s="23"/>
      <c r="N115" s="23"/>
      <c r="O115" s="23"/>
      <c r="P115" s="23"/>
      <c r="Q115" s="25" t="s">
        <v>33</v>
      </c>
      <c r="R115" s="26" t="s">
        <v>34</v>
      </c>
    </row>
    <row r="116" spans="1:18">
      <c r="A116" s="21">
        <v>3113</v>
      </c>
      <c r="B116" s="51">
        <v>5310</v>
      </c>
      <c r="C116" s="54" t="s">
        <v>153</v>
      </c>
      <c r="D116" s="51" t="s">
        <v>268</v>
      </c>
      <c r="E116" s="51" t="s">
        <v>294</v>
      </c>
      <c r="F116" s="63" t="s">
        <v>330</v>
      </c>
      <c r="G116" s="64" t="s">
        <v>335</v>
      </c>
      <c r="H116" s="55">
        <v>1500</v>
      </c>
      <c r="I116" s="22" t="s">
        <v>12</v>
      </c>
      <c r="J116" s="47">
        <v>0</v>
      </c>
      <c r="K116" s="48">
        <f t="shared" si="1"/>
        <v>0</v>
      </c>
      <c r="L116" s="24"/>
      <c r="M116" s="23"/>
      <c r="N116" s="23"/>
      <c r="O116" s="23"/>
      <c r="P116" s="23"/>
      <c r="Q116" s="25" t="s">
        <v>33</v>
      </c>
      <c r="R116" s="26" t="s">
        <v>34</v>
      </c>
    </row>
    <row r="117" spans="1:18">
      <c r="A117" s="21">
        <v>3114</v>
      </c>
      <c r="B117" s="51">
        <v>5365</v>
      </c>
      <c r="C117" s="54" t="s">
        <v>154</v>
      </c>
      <c r="D117" s="51">
        <v>4191553</v>
      </c>
      <c r="E117" s="51" t="s">
        <v>313</v>
      </c>
      <c r="F117" s="63" t="s">
        <v>330</v>
      </c>
      <c r="G117" s="64" t="s">
        <v>337</v>
      </c>
      <c r="H117" s="55">
        <v>25</v>
      </c>
      <c r="I117" s="22" t="s">
        <v>12</v>
      </c>
      <c r="J117" s="47">
        <v>0</v>
      </c>
      <c r="K117" s="48">
        <f t="shared" si="1"/>
        <v>0</v>
      </c>
      <c r="L117" s="24"/>
      <c r="M117" s="23"/>
      <c r="N117" s="23"/>
      <c r="O117" s="23"/>
      <c r="P117" s="23"/>
      <c r="Q117" s="25" t="s">
        <v>33</v>
      </c>
      <c r="R117" s="26" t="s">
        <v>34</v>
      </c>
    </row>
    <row r="118" spans="1:18">
      <c r="A118" s="21">
        <v>3115</v>
      </c>
      <c r="B118" s="51">
        <v>6220</v>
      </c>
      <c r="C118" s="54" t="s">
        <v>155</v>
      </c>
      <c r="D118" s="51">
        <v>4700770280</v>
      </c>
      <c r="E118" s="51" t="s">
        <v>314</v>
      </c>
      <c r="F118" s="63" t="s">
        <v>330</v>
      </c>
      <c r="G118" s="64" t="s">
        <v>340</v>
      </c>
      <c r="H118" s="55">
        <v>8</v>
      </c>
      <c r="I118" s="22" t="s">
        <v>12</v>
      </c>
      <c r="J118" s="47">
        <v>0</v>
      </c>
      <c r="K118" s="48">
        <f t="shared" si="1"/>
        <v>0</v>
      </c>
      <c r="L118" s="24"/>
      <c r="M118" s="23"/>
      <c r="N118" s="23"/>
      <c r="O118" s="23"/>
      <c r="P118" s="23"/>
      <c r="Q118" s="25" t="s">
        <v>33</v>
      </c>
      <c r="R118" s="26" t="s">
        <v>34</v>
      </c>
    </row>
    <row r="119" spans="1:18">
      <c r="A119" s="21">
        <v>3116</v>
      </c>
      <c r="B119" s="51">
        <v>5930</v>
      </c>
      <c r="C119" s="54" t="s">
        <v>156</v>
      </c>
      <c r="D119" s="51" t="s">
        <v>269</v>
      </c>
      <c r="E119" s="51" t="s">
        <v>315</v>
      </c>
      <c r="F119" s="63" t="s">
        <v>330</v>
      </c>
      <c r="G119" s="64" t="s">
        <v>340</v>
      </c>
      <c r="H119" s="55">
        <v>25</v>
      </c>
      <c r="I119" s="22" t="s">
        <v>12</v>
      </c>
      <c r="J119" s="79">
        <v>0</v>
      </c>
      <c r="K119" s="48">
        <f t="shared" si="1"/>
        <v>0</v>
      </c>
      <c r="L119" s="84"/>
      <c r="M119" s="23"/>
      <c r="N119" s="93"/>
      <c r="O119" s="93"/>
      <c r="P119" s="93"/>
      <c r="Q119" s="83" t="s">
        <v>33</v>
      </c>
      <c r="R119" s="26" t="s">
        <v>34</v>
      </c>
    </row>
    <row r="120" spans="1:18">
      <c r="A120" s="30"/>
      <c r="B120" s="39"/>
      <c r="C120" s="39"/>
      <c r="D120" s="31"/>
      <c r="E120" s="31"/>
      <c r="F120" s="31"/>
      <c r="G120" s="31"/>
      <c r="H120" s="74" t="s">
        <v>348</v>
      </c>
      <c r="I120" s="77"/>
      <c r="J120" s="78"/>
      <c r="K120" s="78">
        <f>SUM(K4:K119)</f>
        <v>0</v>
      </c>
      <c r="L120" s="34"/>
      <c r="M120" s="34"/>
      <c r="N120" s="34"/>
      <c r="O120" s="34"/>
      <c r="P120" s="34"/>
      <c r="Q120" s="34"/>
      <c r="R120" s="35"/>
    </row>
  </sheetData>
  <conditionalFormatting sqref="I4:I119">
    <cfRule type="expression" dxfId="27" priority="8">
      <formula>MATCH("C",I4:M4,0)</formula>
    </cfRule>
  </conditionalFormatting>
  <conditionalFormatting sqref="J4:J119">
    <cfRule type="expression" dxfId="26" priority="9">
      <formula>MATCH("C",J4:M4,0)</formula>
    </cfRule>
  </conditionalFormatting>
  <conditionalFormatting sqref="Q3:Q119">
    <cfRule type="containsText" dxfId="25" priority="5" operator="containsText" text="rcv/rcv">
      <formula>NOT(ISERROR(SEARCH("rcv/rcv",Q3)))</formula>
    </cfRule>
    <cfRule type="containsText" dxfId="24" priority="6" operator="containsText" text="rcv/QA">
      <formula>NOT(ISERROR(SEARCH("rcv/QA",Q3)))</formula>
    </cfRule>
    <cfRule type="containsText" dxfId="23" priority="7" operator="containsText" text="QA/QA">
      <formula>NOT(ISERROR(SEARCH("QA/QA",Q3)))</formula>
    </cfRule>
  </conditionalFormatting>
  <conditionalFormatting sqref="Q120:R120">
    <cfRule type="containsText" dxfId="22" priority="37" operator="containsText" text="rcv/rcv">
      <formula>NOT(ISERROR(SEARCH("rcv/rcv",Q120)))</formula>
    </cfRule>
    <cfRule type="containsText" dxfId="21" priority="38" operator="containsText" text="rcv/QA">
      <formula>NOT(ISERROR(SEARCH("rcv/QA",Q120)))</formula>
    </cfRule>
    <cfRule type="containsText" dxfId="20" priority="39" operator="containsText" text="QA/QA">
      <formula>NOT(ISERROR(SEARCH("QA/QA",Q120)))</formula>
    </cfRule>
  </conditionalFormatting>
  <conditionalFormatting sqref="R3">
    <cfRule type="containsText" dxfId="19" priority="2" operator="containsText" text="rcv/rcv">
      <formula>NOT(ISERROR(SEARCH("rcv/rcv",R3)))</formula>
    </cfRule>
    <cfRule type="containsText" dxfId="18" priority="3" operator="containsText" text="rcv/QA">
      <formula>NOT(ISERROR(SEARCH("rcv/QA",R3)))</formula>
    </cfRule>
    <cfRule type="containsText" dxfId="17" priority="4" operator="containsText" text="QA/QA">
      <formula>NOT(ISERROR(SEARCH("QA/QA",R3)))</formula>
    </cfRule>
  </conditionalFormatting>
  <conditionalFormatting sqref="L4:L119">
    <cfRule type="expression" dxfId="16" priority="121">
      <formula>MATCH("C",L4:R4,0)</formula>
    </cfRule>
  </conditionalFormatting>
  <conditionalFormatting sqref="F4:F119">
    <cfRule type="containsText" dxfId="1" priority="1" operator="containsText" text="Y">
      <formula>NOT(ISERROR(SEARCH("Y",F4)))</formula>
    </cfRule>
  </conditionalFormatting>
  <pageMargins left="0.25" right="0.25" top="1" bottom="0.25" header="0.3" footer="0.3"/>
  <pageSetup scale="49" fitToHeight="0" orientation="landscape" r:id="rId1"/>
  <headerFooter>
    <oddHeader>&amp;L&amp;"Book Antiqua,Bold"&amp;14Schedule of Supplies
Contract Line Items&amp;R&amp;"Book Antiqua,Bold"&amp;14Solicitation 70Z03826QB0000013
Period of Performance: TBD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1"/>
  <sheetViews>
    <sheetView view="pageLayout" zoomScaleNormal="90" workbookViewId="0">
      <selection activeCell="H92" sqref="H92"/>
    </sheetView>
  </sheetViews>
  <sheetFormatPr defaultRowHeight="15.75"/>
  <cols>
    <col min="1" max="1" width="14.42578125" style="8" customWidth="1"/>
    <col min="2" max="2" width="9.42578125" style="3" customWidth="1"/>
    <col min="3" max="3" width="14.5703125" style="10" customWidth="1"/>
    <col min="4" max="4" width="25" style="9" customWidth="1"/>
    <col min="5" max="5" width="32.28515625" style="6" customWidth="1"/>
    <col min="6" max="6" width="14.140625" style="6" customWidth="1"/>
    <col min="7" max="7" width="6.7109375" style="6" customWidth="1"/>
    <col min="8" max="8" width="10.42578125" style="2" customWidth="1"/>
    <col min="9" max="9" width="13.7109375" style="4" bestFit="1" customWidth="1"/>
    <col min="10" max="10" width="8.85546875" style="2" bestFit="1" customWidth="1"/>
    <col min="11" max="11" width="20.7109375" style="5" customWidth="1"/>
    <col min="12" max="12" width="13.7109375" style="4" customWidth="1"/>
    <col min="13" max="13" width="14.28515625" style="6" bestFit="1" customWidth="1"/>
    <col min="14" max="16" width="14.28515625" style="6" customWidth="1"/>
    <col min="17" max="17" width="12.7109375" style="6" customWidth="1"/>
    <col min="18" max="18" width="16.42578125" style="1" customWidth="1"/>
    <col min="19" max="16384" width="9.140625" style="6"/>
  </cols>
  <sheetData>
    <row r="1" spans="1:18" ht="16.5">
      <c r="A1" s="7" t="s">
        <v>39</v>
      </c>
      <c r="C1" s="11"/>
      <c r="K1" s="50"/>
    </row>
    <row r="2" spans="1:18" ht="16.5">
      <c r="A2" s="7" t="s">
        <v>36</v>
      </c>
      <c r="C2" s="11"/>
      <c r="K2" s="50"/>
    </row>
    <row r="3" spans="1:18" ht="52.5" customHeight="1">
      <c r="A3" s="17" t="s">
        <v>8</v>
      </c>
      <c r="B3" s="40" t="s">
        <v>0</v>
      </c>
      <c r="C3" s="40" t="s">
        <v>7</v>
      </c>
      <c r="D3" s="41" t="s">
        <v>1</v>
      </c>
      <c r="E3" s="18" t="s">
        <v>2</v>
      </c>
      <c r="F3" s="18" t="s">
        <v>328</v>
      </c>
      <c r="G3" s="18" t="s">
        <v>329</v>
      </c>
      <c r="H3" s="19" t="s">
        <v>32</v>
      </c>
      <c r="I3" s="18" t="s">
        <v>3</v>
      </c>
      <c r="J3" s="42" t="s">
        <v>4</v>
      </c>
      <c r="K3" s="73" t="s">
        <v>5</v>
      </c>
      <c r="L3" s="20" t="s">
        <v>6</v>
      </c>
      <c r="M3" s="20" t="s">
        <v>9</v>
      </c>
      <c r="N3" s="20" t="s">
        <v>342</v>
      </c>
      <c r="O3" s="20" t="s">
        <v>343</v>
      </c>
      <c r="P3" s="20" t="s">
        <v>344</v>
      </c>
      <c r="Q3" s="20" t="s">
        <v>10</v>
      </c>
      <c r="R3" s="20" t="s">
        <v>327</v>
      </c>
    </row>
    <row r="4" spans="1:18">
      <c r="A4" s="21">
        <v>4001</v>
      </c>
      <c r="B4" s="51">
        <v>5305</v>
      </c>
      <c r="C4" s="59" t="s">
        <v>41</v>
      </c>
      <c r="D4" s="51" t="s">
        <v>157</v>
      </c>
      <c r="E4" s="51" t="s">
        <v>270</v>
      </c>
      <c r="F4" s="63" t="s">
        <v>330</v>
      </c>
      <c r="G4" s="64" t="s">
        <v>331</v>
      </c>
      <c r="H4" s="51">
        <v>500</v>
      </c>
      <c r="I4" s="22" t="s">
        <v>12</v>
      </c>
      <c r="J4" s="47">
        <v>0</v>
      </c>
      <c r="K4" s="48">
        <f>SUM(J4*H4)</f>
        <v>0</v>
      </c>
      <c r="L4" s="24"/>
      <c r="M4" s="23"/>
      <c r="N4" s="23"/>
      <c r="O4" s="23"/>
      <c r="P4" s="23"/>
      <c r="Q4" s="25" t="s">
        <v>33</v>
      </c>
      <c r="R4" s="26" t="s">
        <v>34</v>
      </c>
    </row>
    <row r="5" spans="1:18" ht="15.75" customHeight="1">
      <c r="A5" s="21">
        <v>4002</v>
      </c>
      <c r="B5" s="51">
        <v>5305</v>
      </c>
      <c r="C5" s="59" t="s">
        <v>42</v>
      </c>
      <c r="D5" s="51" t="s">
        <v>158</v>
      </c>
      <c r="E5" s="51" t="s">
        <v>271</v>
      </c>
      <c r="F5" s="63" t="s">
        <v>330</v>
      </c>
      <c r="G5" s="65" t="s">
        <v>332</v>
      </c>
      <c r="H5" s="54">
        <v>150</v>
      </c>
      <c r="I5" s="22" t="s">
        <v>12</v>
      </c>
      <c r="J5" s="47">
        <v>0</v>
      </c>
      <c r="K5" s="48">
        <f t="shared" ref="K5:K68" si="0">SUM(J5*H5)</f>
        <v>0</v>
      </c>
      <c r="L5" s="24"/>
      <c r="M5" s="23"/>
      <c r="N5" s="23"/>
      <c r="O5" s="23"/>
      <c r="P5" s="23"/>
      <c r="Q5" s="25" t="s">
        <v>33</v>
      </c>
      <c r="R5" s="26" t="s">
        <v>34</v>
      </c>
    </row>
    <row r="6" spans="1:18" ht="15.75" customHeight="1">
      <c r="A6" s="21">
        <v>4003</v>
      </c>
      <c r="B6" s="51" t="s">
        <v>19</v>
      </c>
      <c r="C6" s="54" t="s">
        <v>43</v>
      </c>
      <c r="D6" s="51" t="s">
        <v>159</v>
      </c>
      <c r="E6" s="51" t="s">
        <v>272</v>
      </c>
      <c r="F6" s="63" t="s">
        <v>330</v>
      </c>
      <c r="G6" s="64" t="s">
        <v>333</v>
      </c>
      <c r="H6" s="51">
        <v>75</v>
      </c>
      <c r="I6" s="22" t="s">
        <v>12</v>
      </c>
      <c r="J6" s="47">
        <v>0</v>
      </c>
      <c r="K6" s="48">
        <f t="shared" si="0"/>
        <v>0</v>
      </c>
      <c r="L6" s="24"/>
      <c r="M6" s="23"/>
      <c r="N6" s="23"/>
      <c r="O6" s="23"/>
      <c r="P6" s="23"/>
      <c r="Q6" s="25" t="s">
        <v>33</v>
      </c>
      <c r="R6" s="26" t="s">
        <v>34</v>
      </c>
    </row>
    <row r="7" spans="1:18" ht="15.75" customHeight="1">
      <c r="A7" s="21">
        <v>4004</v>
      </c>
      <c r="B7" s="51" t="s">
        <v>20</v>
      </c>
      <c r="C7" s="54" t="s">
        <v>44</v>
      </c>
      <c r="D7" s="51" t="s">
        <v>160</v>
      </c>
      <c r="E7" s="51" t="s">
        <v>270</v>
      </c>
      <c r="F7" s="63" t="s">
        <v>330</v>
      </c>
      <c r="G7" s="64" t="s">
        <v>332</v>
      </c>
      <c r="H7" s="51">
        <v>600</v>
      </c>
      <c r="I7" s="22" t="s">
        <v>12</v>
      </c>
      <c r="J7" s="47">
        <v>0</v>
      </c>
      <c r="K7" s="48">
        <f>SUM(J7*H7)</f>
        <v>0</v>
      </c>
      <c r="L7" s="24"/>
      <c r="M7" s="23"/>
      <c r="N7" s="23"/>
      <c r="O7" s="23"/>
      <c r="P7" s="23"/>
      <c r="Q7" s="25" t="s">
        <v>33</v>
      </c>
      <c r="R7" s="26" t="s">
        <v>34</v>
      </c>
    </row>
    <row r="8" spans="1:18" ht="15.75" customHeight="1">
      <c r="A8" s="21">
        <v>4005</v>
      </c>
      <c r="B8" s="51" t="s">
        <v>20</v>
      </c>
      <c r="C8" s="54" t="s">
        <v>45</v>
      </c>
      <c r="D8" s="51" t="s">
        <v>161</v>
      </c>
      <c r="E8" s="51" t="s">
        <v>270</v>
      </c>
      <c r="F8" s="63" t="s">
        <v>330</v>
      </c>
      <c r="G8" s="64" t="s">
        <v>334</v>
      </c>
      <c r="H8" s="51">
        <v>550</v>
      </c>
      <c r="I8" s="22" t="s">
        <v>12</v>
      </c>
      <c r="J8" s="47">
        <v>0</v>
      </c>
      <c r="K8" s="48">
        <f t="shared" si="0"/>
        <v>0</v>
      </c>
      <c r="L8" s="24"/>
      <c r="M8" s="23"/>
      <c r="N8" s="23"/>
      <c r="O8" s="23"/>
      <c r="P8" s="23"/>
      <c r="Q8" s="25" t="s">
        <v>33</v>
      </c>
      <c r="R8" s="26" t="s">
        <v>34</v>
      </c>
    </row>
    <row r="9" spans="1:18" ht="15.75" customHeight="1">
      <c r="A9" s="21">
        <v>4006</v>
      </c>
      <c r="B9" s="51" t="s">
        <v>18</v>
      </c>
      <c r="C9" s="54" t="s">
        <v>46</v>
      </c>
      <c r="D9" s="51" t="s">
        <v>162</v>
      </c>
      <c r="E9" s="51" t="s">
        <v>273</v>
      </c>
      <c r="F9" s="63" t="s">
        <v>330</v>
      </c>
      <c r="G9" s="64" t="s">
        <v>334</v>
      </c>
      <c r="H9" s="51" t="s">
        <v>316</v>
      </c>
      <c r="I9" s="22" t="s">
        <v>12</v>
      </c>
      <c r="J9" s="47">
        <v>0</v>
      </c>
      <c r="K9" s="48">
        <f t="shared" si="0"/>
        <v>0</v>
      </c>
      <c r="L9" s="24"/>
      <c r="M9" s="23"/>
      <c r="N9" s="23"/>
      <c r="O9" s="23"/>
      <c r="P9" s="23"/>
      <c r="Q9" s="25" t="s">
        <v>33</v>
      </c>
      <c r="R9" s="26" t="s">
        <v>34</v>
      </c>
    </row>
    <row r="10" spans="1:18" ht="15.75" customHeight="1">
      <c r="A10" s="21">
        <v>4007</v>
      </c>
      <c r="B10" s="51" t="s">
        <v>18</v>
      </c>
      <c r="C10" s="54" t="s">
        <v>47</v>
      </c>
      <c r="D10" s="51" t="s">
        <v>163</v>
      </c>
      <c r="E10" s="51" t="s">
        <v>274</v>
      </c>
      <c r="F10" s="63" t="s">
        <v>330</v>
      </c>
      <c r="G10" s="64" t="s">
        <v>332</v>
      </c>
      <c r="H10" s="51">
        <v>200</v>
      </c>
      <c r="I10" s="22" t="s">
        <v>12</v>
      </c>
      <c r="J10" s="47">
        <v>0</v>
      </c>
      <c r="K10" s="48">
        <f t="shared" si="0"/>
        <v>0</v>
      </c>
      <c r="L10" s="24"/>
      <c r="M10" s="23"/>
      <c r="N10" s="23"/>
      <c r="O10" s="23"/>
      <c r="P10" s="23"/>
      <c r="Q10" s="25" t="s">
        <v>33</v>
      </c>
      <c r="R10" s="26" t="s">
        <v>34</v>
      </c>
    </row>
    <row r="11" spans="1:18" ht="15.75" customHeight="1">
      <c r="A11" s="21">
        <v>4008</v>
      </c>
      <c r="B11" s="51" t="s">
        <v>20</v>
      </c>
      <c r="C11" s="54" t="s">
        <v>48</v>
      </c>
      <c r="D11" s="51" t="s">
        <v>164</v>
      </c>
      <c r="E11" s="51" t="s">
        <v>270</v>
      </c>
      <c r="F11" s="63" t="s">
        <v>330</v>
      </c>
      <c r="G11" s="64" t="s">
        <v>332</v>
      </c>
      <c r="H11" s="51" t="s">
        <v>317</v>
      </c>
      <c r="I11" s="22" t="s">
        <v>12</v>
      </c>
      <c r="J11" s="47">
        <v>0</v>
      </c>
      <c r="K11" s="48">
        <f t="shared" si="0"/>
        <v>0</v>
      </c>
      <c r="L11" s="24"/>
      <c r="M11" s="23"/>
      <c r="N11" s="23"/>
      <c r="O11" s="23"/>
      <c r="P11" s="23"/>
      <c r="Q11" s="25" t="s">
        <v>33</v>
      </c>
      <c r="R11" s="26" t="s">
        <v>34</v>
      </c>
    </row>
    <row r="12" spans="1:18" ht="15.75" customHeight="1">
      <c r="A12" s="21">
        <v>4009</v>
      </c>
      <c r="B12" s="51" t="s">
        <v>18</v>
      </c>
      <c r="C12" s="54" t="s">
        <v>49</v>
      </c>
      <c r="D12" s="51" t="s">
        <v>165</v>
      </c>
      <c r="E12" s="51" t="s">
        <v>275</v>
      </c>
      <c r="F12" s="63" t="s">
        <v>330</v>
      </c>
      <c r="G12" s="64" t="s">
        <v>332</v>
      </c>
      <c r="H12" s="51" t="s">
        <v>318</v>
      </c>
      <c r="I12" s="22" t="s">
        <v>12</v>
      </c>
      <c r="J12" s="47">
        <v>0</v>
      </c>
      <c r="K12" s="48">
        <f t="shared" si="0"/>
        <v>0</v>
      </c>
      <c r="L12" s="24"/>
      <c r="M12" s="23"/>
      <c r="N12" s="23"/>
      <c r="O12" s="23"/>
      <c r="P12" s="23"/>
      <c r="Q12" s="25" t="s">
        <v>33</v>
      </c>
      <c r="R12" s="26" t="s">
        <v>34</v>
      </c>
    </row>
    <row r="13" spans="1:18" ht="15.75" customHeight="1">
      <c r="A13" s="21">
        <v>4010</v>
      </c>
      <c r="B13" s="51" t="s">
        <v>18</v>
      </c>
      <c r="C13" s="54" t="s">
        <v>50</v>
      </c>
      <c r="D13" s="51" t="s">
        <v>166</v>
      </c>
      <c r="E13" s="51" t="s">
        <v>29</v>
      </c>
      <c r="F13" s="63" t="s">
        <v>330</v>
      </c>
      <c r="G13" s="64" t="s">
        <v>331</v>
      </c>
      <c r="H13" s="51" t="s">
        <v>319</v>
      </c>
      <c r="I13" s="22" t="s">
        <v>12</v>
      </c>
      <c r="J13" s="47">
        <v>0</v>
      </c>
      <c r="K13" s="48">
        <f t="shared" si="0"/>
        <v>0</v>
      </c>
      <c r="L13" s="24"/>
      <c r="M13" s="23"/>
      <c r="N13" s="23"/>
      <c r="O13" s="23"/>
      <c r="P13" s="23"/>
      <c r="Q13" s="25" t="s">
        <v>33</v>
      </c>
      <c r="R13" s="26" t="s">
        <v>34</v>
      </c>
    </row>
    <row r="14" spans="1:18" ht="15.75" customHeight="1">
      <c r="A14" s="21">
        <v>4011</v>
      </c>
      <c r="B14" s="51" t="s">
        <v>18</v>
      </c>
      <c r="C14" s="54" t="s">
        <v>51</v>
      </c>
      <c r="D14" s="51" t="s">
        <v>167</v>
      </c>
      <c r="E14" s="51" t="s">
        <v>276</v>
      </c>
      <c r="F14" s="63" t="s">
        <v>330</v>
      </c>
      <c r="G14" s="64" t="s">
        <v>333</v>
      </c>
      <c r="H14" s="51" t="s">
        <v>320</v>
      </c>
      <c r="I14" s="22" t="s">
        <v>12</v>
      </c>
      <c r="J14" s="47">
        <v>0</v>
      </c>
      <c r="K14" s="48">
        <f t="shared" si="0"/>
        <v>0</v>
      </c>
      <c r="L14" s="24"/>
      <c r="M14" s="23"/>
      <c r="N14" s="23"/>
      <c r="O14" s="23"/>
      <c r="P14" s="23"/>
      <c r="Q14" s="25" t="s">
        <v>33</v>
      </c>
      <c r="R14" s="26" t="s">
        <v>34</v>
      </c>
    </row>
    <row r="15" spans="1:18" ht="15.75" customHeight="1">
      <c r="A15" s="21">
        <v>4012</v>
      </c>
      <c r="B15" s="51" t="s">
        <v>18</v>
      </c>
      <c r="C15" s="54" t="s">
        <v>52</v>
      </c>
      <c r="D15" s="51" t="s">
        <v>168</v>
      </c>
      <c r="E15" s="51" t="s">
        <v>276</v>
      </c>
      <c r="F15" s="63" t="s">
        <v>330</v>
      </c>
      <c r="G15" s="64" t="s">
        <v>334</v>
      </c>
      <c r="H15" s="51" t="s">
        <v>321</v>
      </c>
      <c r="I15" s="22" t="s">
        <v>12</v>
      </c>
      <c r="J15" s="47">
        <v>0</v>
      </c>
      <c r="K15" s="48">
        <f t="shared" si="0"/>
        <v>0</v>
      </c>
      <c r="L15" s="24"/>
      <c r="M15" s="23"/>
      <c r="N15" s="23"/>
      <c r="O15" s="23"/>
      <c r="P15" s="23"/>
      <c r="Q15" s="25" t="s">
        <v>33</v>
      </c>
      <c r="R15" s="26" t="s">
        <v>34</v>
      </c>
    </row>
    <row r="16" spans="1:18" ht="15.75" customHeight="1">
      <c r="A16" s="21">
        <v>4013</v>
      </c>
      <c r="B16" s="51" t="s">
        <v>18</v>
      </c>
      <c r="C16" s="54" t="s">
        <v>53</v>
      </c>
      <c r="D16" s="51" t="s">
        <v>169</v>
      </c>
      <c r="E16" s="51" t="s">
        <v>273</v>
      </c>
      <c r="F16" s="63" t="s">
        <v>330</v>
      </c>
      <c r="G16" s="64" t="s">
        <v>334</v>
      </c>
      <c r="H16" s="51" t="s">
        <v>322</v>
      </c>
      <c r="I16" s="22" t="s">
        <v>12</v>
      </c>
      <c r="J16" s="47">
        <v>0</v>
      </c>
      <c r="K16" s="48">
        <f t="shared" si="0"/>
        <v>0</v>
      </c>
      <c r="L16" s="24"/>
      <c r="M16" s="23"/>
      <c r="N16" s="23"/>
      <c r="O16" s="23"/>
      <c r="P16" s="23"/>
      <c r="Q16" s="25" t="s">
        <v>33</v>
      </c>
      <c r="R16" s="26" t="s">
        <v>34</v>
      </c>
    </row>
    <row r="17" spans="1:18" ht="15.75" customHeight="1">
      <c r="A17" s="21">
        <v>4014</v>
      </c>
      <c r="B17" s="51" t="s">
        <v>21</v>
      </c>
      <c r="C17" s="54" t="s">
        <v>54</v>
      </c>
      <c r="D17" s="51" t="s">
        <v>170</v>
      </c>
      <c r="E17" s="51" t="s">
        <v>277</v>
      </c>
      <c r="F17" s="63" t="s">
        <v>330</v>
      </c>
      <c r="G17" s="64" t="s">
        <v>332</v>
      </c>
      <c r="H17" s="51">
        <v>100</v>
      </c>
      <c r="I17" s="22" t="s">
        <v>12</v>
      </c>
      <c r="J17" s="47">
        <v>0</v>
      </c>
      <c r="K17" s="48">
        <f t="shared" si="0"/>
        <v>0</v>
      </c>
      <c r="L17" s="24"/>
      <c r="M17" s="23"/>
      <c r="N17" s="23"/>
      <c r="O17" s="23"/>
      <c r="P17" s="23"/>
      <c r="Q17" s="25" t="s">
        <v>33</v>
      </c>
      <c r="R17" s="26" t="s">
        <v>34</v>
      </c>
    </row>
    <row r="18" spans="1:18" ht="15.75" customHeight="1">
      <c r="A18" s="21">
        <v>4015</v>
      </c>
      <c r="B18" s="51" t="s">
        <v>18</v>
      </c>
      <c r="C18" s="54" t="s">
        <v>55</v>
      </c>
      <c r="D18" s="51" t="s">
        <v>171</v>
      </c>
      <c r="E18" s="51" t="s">
        <v>273</v>
      </c>
      <c r="F18" s="63" t="s">
        <v>330</v>
      </c>
      <c r="G18" s="64" t="s">
        <v>332</v>
      </c>
      <c r="H18" s="51" t="s">
        <v>323</v>
      </c>
      <c r="I18" s="22" t="s">
        <v>12</v>
      </c>
      <c r="J18" s="47">
        <v>0</v>
      </c>
      <c r="K18" s="48">
        <f t="shared" si="0"/>
        <v>0</v>
      </c>
      <c r="L18" s="24"/>
      <c r="M18" s="23"/>
      <c r="N18" s="23"/>
      <c r="O18" s="23"/>
      <c r="P18" s="23"/>
      <c r="Q18" s="25" t="s">
        <v>33</v>
      </c>
      <c r="R18" s="26" t="s">
        <v>34</v>
      </c>
    </row>
    <row r="19" spans="1:18" ht="15.75" customHeight="1">
      <c r="A19" s="21">
        <v>4016</v>
      </c>
      <c r="B19" s="51" t="s">
        <v>20</v>
      </c>
      <c r="C19" s="54" t="s">
        <v>56</v>
      </c>
      <c r="D19" s="51" t="s">
        <v>172</v>
      </c>
      <c r="E19" s="51" t="s">
        <v>270</v>
      </c>
      <c r="F19" s="63" t="s">
        <v>330</v>
      </c>
      <c r="G19" s="64" t="s">
        <v>335</v>
      </c>
      <c r="H19" s="51">
        <v>50</v>
      </c>
      <c r="I19" s="22" t="s">
        <v>12</v>
      </c>
      <c r="J19" s="47">
        <v>0</v>
      </c>
      <c r="K19" s="48">
        <f t="shared" si="0"/>
        <v>0</v>
      </c>
      <c r="L19" s="24"/>
      <c r="M19" s="23"/>
      <c r="N19" s="23"/>
      <c r="O19" s="23"/>
      <c r="P19" s="23"/>
      <c r="Q19" s="25" t="s">
        <v>33</v>
      </c>
      <c r="R19" s="26" t="s">
        <v>34</v>
      </c>
    </row>
    <row r="20" spans="1:18" ht="15.75" customHeight="1">
      <c r="A20" s="21">
        <v>4017</v>
      </c>
      <c r="B20" s="51" t="s">
        <v>20</v>
      </c>
      <c r="C20" s="54" t="s">
        <v>57</v>
      </c>
      <c r="D20" s="51" t="s">
        <v>173</v>
      </c>
      <c r="E20" s="51" t="s">
        <v>270</v>
      </c>
      <c r="F20" s="63" t="s">
        <v>330</v>
      </c>
      <c r="G20" s="64" t="s">
        <v>336</v>
      </c>
      <c r="H20" s="51">
        <v>150</v>
      </c>
      <c r="I20" s="22" t="s">
        <v>12</v>
      </c>
      <c r="J20" s="47">
        <v>0</v>
      </c>
      <c r="K20" s="48">
        <f t="shared" si="0"/>
        <v>0</v>
      </c>
      <c r="L20" s="24"/>
      <c r="M20" s="23"/>
      <c r="N20" s="23"/>
      <c r="O20" s="23"/>
      <c r="P20" s="23"/>
      <c r="Q20" s="25" t="s">
        <v>33</v>
      </c>
      <c r="R20" s="26" t="s">
        <v>34</v>
      </c>
    </row>
    <row r="21" spans="1:18" ht="15.75" customHeight="1">
      <c r="A21" s="21">
        <v>4018</v>
      </c>
      <c r="B21" s="51" t="s">
        <v>20</v>
      </c>
      <c r="C21" s="54" t="s">
        <v>58</v>
      </c>
      <c r="D21" s="51" t="s">
        <v>174</v>
      </c>
      <c r="E21" s="51" t="s">
        <v>278</v>
      </c>
      <c r="F21" s="63" t="s">
        <v>330</v>
      </c>
      <c r="G21" s="64" t="s">
        <v>335</v>
      </c>
      <c r="H21" s="51">
        <v>50</v>
      </c>
      <c r="I21" s="22" t="s">
        <v>12</v>
      </c>
      <c r="J21" s="47">
        <v>0</v>
      </c>
      <c r="K21" s="48">
        <f t="shared" si="0"/>
        <v>0</v>
      </c>
      <c r="L21" s="24"/>
      <c r="M21" s="23"/>
      <c r="N21" s="23"/>
      <c r="O21" s="23"/>
      <c r="P21" s="23"/>
      <c r="Q21" s="25" t="s">
        <v>33</v>
      </c>
      <c r="R21" s="26" t="s">
        <v>34</v>
      </c>
    </row>
    <row r="22" spans="1:18" ht="15.75" customHeight="1">
      <c r="A22" s="21">
        <v>4019</v>
      </c>
      <c r="B22" s="51" t="s">
        <v>22</v>
      </c>
      <c r="C22" s="54" t="s">
        <v>59</v>
      </c>
      <c r="D22" s="51" t="s">
        <v>175</v>
      </c>
      <c r="E22" s="51" t="s">
        <v>279</v>
      </c>
      <c r="F22" s="63" t="s">
        <v>330</v>
      </c>
      <c r="G22" s="64" t="s">
        <v>332</v>
      </c>
      <c r="H22" s="51">
        <v>5</v>
      </c>
      <c r="I22" s="22" t="s">
        <v>12</v>
      </c>
      <c r="J22" s="47">
        <v>0</v>
      </c>
      <c r="K22" s="48">
        <f t="shared" si="0"/>
        <v>0</v>
      </c>
      <c r="L22" s="24"/>
      <c r="M22" s="23"/>
      <c r="N22" s="23"/>
      <c r="O22" s="23"/>
      <c r="P22" s="23"/>
      <c r="Q22" s="25" t="s">
        <v>33</v>
      </c>
      <c r="R22" s="26" t="s">
        <v>34</v>
      </c>
    </row>
    <row r="23" spans="1:18" ht="15.75" customHeight="1">
      <c r="A23" s="21">
        <v>4020</v>
      </c>
      <c r="B23" s="51" t="s">
        <v>18</v>
      </c>
      <c r="C23" s="54" t="s">
        <v>60</v>
      </c>
      <c r="D23" s="51" t="s">
        <v>176</v>
      </c>
      <c r="E23" s="51" t="s">
        <v>25</v>
      </c>
      <c r="F23" s="63" t="s">
        <v>330</v>
      </c>
      <c r="G23" s="64" t="s">
        <v>334</v>
      </c>
      <c r="H23" s="51" t="s">
        <v>324</v>
      </c>
      <c r="I23" s="22" t="s">
        <v>12</v>
      </c>
      <c r="J23" s="47">
        <v>0</v>
      </c>
      <c r="K23" s="48">
        <f t="shared" si="0"/>
        <v>0</v>
      </c>
      <c r="L23" s="24"/>
      <c r="M23" s="23"/>
      <c r="N23" s="23"/>
      <c r="O23" s="23"/>
      <c r="P23" s="23"/>
      <c r="Q23" s="25" t="s">
        <v>33</v>
      </c>
      <c r="R23" s="26" t="s">
        <v>34</v>
      </c>
    </row>
    <row r="24" spans="1:18" ht="15.75" customHeight="1">
      <c r="A24" s="21">
        <v>4021</v>
      </c>
      <c r="B24" s="51" t="s">
        <v>17</v>
      </c>
      <c r="C24" s="54" t="s">
        <v>61</v>
      </c>
      <c r="D24" s="51" t="s">
        <v>177</v>
      </c>
      <c r="E24" s="51" t="s">
        <v>280</v>
      </c>
      <c r="F24" s="63" t="s">
        <v>330</v>
      </c>
      <c r="G24" s="64" t="s">
        <v>337</v>
      </c>
      <c r="H24" s="51">
        <v>2</v>
      </c>
      <c r="I24" s="22" t="s">
        <v>12</v>
      </c>
      <c r="J24" s="47">
        <v>0</v>
      </c>
      <c r="K24" s="48">
        <f t="shared" si="0"/>
        <v>0</v>
      </c>
      <c r="L24" s="24"/>
      <c r="M24" s="23"/>
      <c r="N24" s="23"/>
      <c r="O24" s="23"/>
      <c r="P24" s="23"/>
      <c r="Q24" s="25" t="s">
        <v>33</v>
      </c>
      <c r="R24" s="26" t="s">
        <v>34</v>
      </c>
    </row>
    <row r="25" spans="1:18" ht="15.75" customHeight="1">
      <c r="A25" s="21">
        <v>4022</v>
      </c>
      <c r="B25" s="51" t="s">
        <v>16</v>
      </c>
      <c r="C25" s="54" t="s">
        <v>62</v>
      </c>
      <c r="D25" s="51" t="s">
        <v>178</v>
      </c>
      <c r="E25" s="51" t="s">
        <v>281</v>
      </c>
      <c r="F25" s="63" t="s">
        <v>330</v>
      </c>
      <c r="G25" s="64" t="s">
        <v>332</v>
      </c>
      <c r="H25" s="51">
        <v>200</v>
      </c>
      <c r="I25" s="22" t="s">
        <v>12</v>
      </c>
      <c r="J25" s="47">
        <v>0</v>
      </c>
      <c r="K25" s="48">
        <f t="shared" si="0"/>
        <v>0</v>
      </c>
      <c r="L25" s="24"/>
      <c r="M25" s="23"/>
      <c r="N25" s="23"/>
      <c r="O25" s="23"/>
      <c r="P25" s="23"/>
      <c r="Q25" s="25" t="s">
        <v>33</v>
      </c>
      <c r="R25" s="26" t="s">
        <v>34</v>
      </c>
    </row>
    <row r="26" spans="1:18" ht="15.75" customHeight="1">
      <c r="A26" s="21">
        <v>4023</v>
      </c>
      <c r="B26" s="51" t="s">
        <v>13</v>
      </c>
      <c r="C26" s="54" t="s">
        <v>63</v>
      </c>
      <c r="D26" s="51" t="s">
        <v>179</v>
      </c>
      <c r="E26" s="51" t="s">
        <v>282</v>
      </c>
      <c r="F26" s="63" t="s">
        <v>330</v>
      </c>
      <c r="G26" s="64" t="s">
        <v>332</v>
      </c>
      <c r="H26" s="51">
        <v>500</v>
      </c>
      <c r="I26" s="22" t="s">
        <v>12</v>
      </c>
      <c r="J26" s="47">
        <v>0</v>
      </c>
      <c r="K26" s="48">
        <f t="shared" si="0"/>
        <v>0</v>
      </c>
      <c r="L26" s="24"/>
      <c r="M26" s="23"/>
      <c r="N26" s="23"/>
      <c r="O26" s="23"/>
      <c r="P26" s="23"/>
      <c r="Q26" s="25" t="s">
        <v>33</v>
      </c>
      <c r="R26" s="26" t="s">
        <v>34</v>
      </c>
    </row>
    <row r="27" spans="1:18" ht="15.75" customHeight="1">
      <c r="A27" s="21">
        <v>4024</v>
      </c>
      <c r="B27" s="51" t="s">
        <v>18</v>
      </c>
      <c r="C27" s="54" t="s">
        <v>64</v>
      </c>
      <c r="D27" s="51" t="s">
        <v>180</v>
      </c>
      <c r="E27" s="51" t="s">
        <v>24</v>
      </c>
      <c r="F27" s="63" t="s">
        <v>330</v>
      </c>
      <c r="G27" s="64" t="s">
        <v>332</v>
      </c>
      <c r="H27" s="51" t="s">
        <v>325</v>
      </c>
      <c r="I27" s="22" t="s">
        <v>12</v>
      </c>
      <c r="J27" s="47">
        <v>0</v>
      </c>
      <c r="K27" s="48">
        <f t="shared" si="0"/>
        <v>0</v>
      </c>
      <c r="L27" s="24"/>
      <c r="M27" s="23"/>
      <c r="N27" s="23"/>
      <c r="O27" s="23"/>
      <c r="P27" s="23"/>
      <c r="Q27" s="25" t="s">
        <v>33</v>
      </c>
      <c r="R27" s="26" t="s">
        <v>34</v>
      </c>
    </row>
    <row r="28" spans="1:18" ht="15.75" customHeight="1">
      <c r="A28" s="21">
        <v>4025</v>
      </c>
      <c r="B28" s="51" t="s">
        <v>18</v>
      </c>
      <c r="C28" s="54" t="s">
        <v>65</v>
      </c>
      <c r="D28" s="51" t="s">
        <v>181</v>
      </c>
      <c r="E28" s="51" t="s">
        <v>276</v>
      </c>
      <c r="F28" s="63" t="s">
        <v>330</v>
      </c>
      <c r="G28" s="64" t="s">
        <v>332</v>
      </c>
      <c r="H28" s="51" t="s">
        <v>326</v>
      </c>
      <c r="I28" s="22" t="s">
        <v>12</v>
      </c>
      <c r="J28" s="47">
        <v>0</v>
      </c>
      <c r="K28" s="48">
        <f t="shared" si="0"/>
        <v>0</v>
      </c>
      <c r="L28" s="24"/>
      <c r="M28" s="23"/>
      <c r="N28" s="23"/>
      <c r="O28" s="23"/>
      <c r="P28" s="23"/>
      <c r="Q28" s="25" t="s">
        <v>33</v>
      </c>
      <c r="R28" s="26" t="s">
        <v>34</v>
      </c>
    </row>
    <row r="29" spans="1:18" ht="15.75" customHeight="1">
      <c r="A29" s="21">
        <v>4026</v>
      </c>
      <c r="B29" s="51" t="s">
        <v>18</v>
      </c>
      <c r="C29" s="54" t="s">
        <v>66</v>
      </c>
      <c r="D29" s="51" t="s">
        <v>182</v>
      </c>
      <c r="E29" s="51" t="s">
        <v>283</v>
      </c>
      <c r="F29" s="63" t="s">
        <v>330</v>
      </c>
      <c r="G29" s="64" t="s">
        <v>332</v>
      </c>
      <c r="H29" s="51" t="s">
        <v>320</v>
      </c>
      <c r="I29" s="22" t="s">
        <v>12</v>
      </c>
      <c r="J29" s="47">
        <v>0</v>
      </c>
      <c r="K29" s="48">
        <f t="shared" si="0"/>
        <v>0</v>
      </c>
      <c r="L29" s="24"/>
      <c r="M29" s="23"/>
      <c r="N29" s="23"/>
      <c r="O29" s="23"/>
      <c r="P29" s="23"/>
      <c r="Q29" s="25" t="s">
        <v>33</v>
      </c>
      <c r="R29" s="26" t="s">
        <v>34</v>
      </c>
    </row>
    <row r="30" spans="1:18" ht="15.75" customHeight="1">
      <c r="A30" s="21">
        <v>4027</v>
      </c>
      <c r="B30" s="51" t="s">
        <v>18</v>
      </c>
      <c r="C30" s="54" t="s">
        <v>67</v>
      </c>
      <c r="D30" s="51" t="s">
        <v>183</v>
      </c>
      <c r="E30" s="51" t="s">
        <v>284</v>
      </c>
      <c r="F30" s="63" t="s">
        <v>330</v>
      </c>
      <c r="G30" s="64" t="s">
        <v>334</v>
      </c>
      <c r="H30" s="51">
        <v>400</v>
      </c>
      <c r="I30" s="22" t="s">
        <v>12</v>
      </c>
      <c r="J30" s="47">
        <v>0</v>
      </c>
      <c r="K30" s="48">
        <f t="shared" si="0"/>
        <v>0</v>
      </c>
      <c r="L30" s="24"/>
      <c r="M30" s="23"/>
      <c r="N30" s="23"/>
      <c r="O30" s="23"/>
      <c r="P30" s="23"/>
      <c r="Q30" s="25" t="s">
        <v>33</v>
      </c>
      <c r="R30" s="26" t="s">
        <v>34</v>
      </c>
    </row>
    <row r="31" spans="1:18" ht="15.75" customHeight="1">
      <c r="A31" s="21">
        <v>4028</v>
      </c>
      <c r="B31" s="51" t="s">
        <v>20</v>
      </c>
      <c r="C31" s="54" t="s">
        <v>68</v>
      </c>
      <c r="D31" s="51" t="s">
        <v>184</v>
      </c>
      <c r="E31" s="51" t="s">
        <v>285</v>
      </c>
      <c r="F31" s="63" t="s">
        <v>330</v>
      </c>
      <c r="G31" s="64" t="s">
        <v>331</v>
      </c>
      <c r="H31" s="51">
        <v>100</v>
      </c>
      <c r="I31" s="22" t="s">
        <v>12</v>
      </c>
      <c r="J31" s="47">
        <v>0</v>
      </c>
      <c r="K31" s="48">
        <f t="shared" si="0"/>
        <v>0</v>
      </c>
      <c r="L31" s="24"/>
      <c r="M31" s="23"/>
      <c r="N31" s="23"/>
      <c r="O31" s="23"/>
      <c r="P31" s="23"/>
      <c r="Q31" s="25" t="s">
        <v>33</v>
      </c>
      <c r="R31" s="26" t="s">
        <v>34</v>
      </c>
    </row>
    <row r="32" spans="1:18" ht="15.75" customHeight="1">
      <c r="A32" s="21">
        <v>4029</v>
      </c>
      <c r="B32" s="51" t="s">
        <v>17</v>
      </c>
      <c r="C32" s="54" t="s">
        <v>69</v>
      </c>
      <c r="D32" s="51" t="s">
        <v>185</v>
      </c>
      <c r="E32" s="51" t="s">
        <v>286</v>
      </c>
      <c r="F32" s="63" t="s">
        <v>330</v>
      </c>
      <c r="G32" s="64" t="s">
        <v>332</v>
      </c>
      <c r="H32" s="51">
        <v>100</v>
      </c>
      <c r="I32" s="22" t="s">
        <v>12</v>
      </c>
      <c r="J32" s="47">
        <v>0</v>
      </c>
      <c r="K32" s="48">
        <f t="shared" si="0"/>
        <v>0</v>
      </c>
      <c r="L32" s="24"/>
      <c r="M32" s="23"/>
      <c r="N32" s="23"/>
      <c r="O32" s="23"/>
      <c r="P32" s="23"/>
      <c r="Q32" s="25" t="s">
        <v>33</v>
      </c>
      <c r="R32" s="26" t="s">
        <v>34</v>
      </c>
    </row>
    <row r="33" spans="1:18" ht="15.75" customHeight="1">
      <c r="A33" s="21">
        <v>4030</v>
      </c>
      <c r="B33" s="51" t="s">
        <v>20</v>
      </c>
      <c r="C33" s="54" t="s">
        <v>70</v>
      </c>
      <c r="D33" s="51" t="s">
        <v>186</v>
      </c>
      <c r="E33" s="51" t="s">
        <v>287</v>
      </c>
      <c r="F33" s="63" t="s">
        <v>330</v>
      </c>
      <c r="G33" s="64" t="s">
        <v>334</v>
      </c>
      <c r="H33" s="51" t="s">
        <v>320</v>
      </c>
      <c r="I33" s="22" t="s">
        <v>12</v>
      </c>
      <c r="J33" s="47">
        <v>0</v>
      </c>
      <c r="K33" s="48">
        <f t="shared" si="0"/>
        <v>0</v>
      </c>
      <c r="L33" s="24"/>
      <c r="M33" s="23"/>
      <c r="N33" s="23"/>
      <c r="O33" s="23"/>
      <c r="P33" s="23"/>
      <c r="Q33" s="25" t="s">
        <v>33</v>
      </c>
      <c r="R33" s="26" t="s">
        <v>34</v>
      </c>
    </row>
    <row r="34" spans="1:18" ht="15.75" customHeight="1">
      <c r="A34" s="21">
        <v>4031</v>
      </c>
      <c r="B34" s="51" t="s">
        <v>15</v>
      </c>
      <c r="C34" s="54" t="s">
        <v>71</v>
      </c>
      <c r="D34" s="51" t="s">
        <v>187</v>
      </c>
      <c r="E34" s="51" t="s">
        <v>288</v>
      </c>
      <c r="F34" s="63" t="s">
        <v>330</v>
      </c>
      <c r="G34" s="64" t="s">
        <v>332</v>
      </c>
      <c r="H34" s="51">
        <v>300</v>
      </c>
      <c r="I34" s="22" t="s">
        <v>12</v>
      </c>
      <c r="J34" s="47">
        <v>0</v>
      </c>
      <c r="K34" s="48">
        <f t="shared" si="0"/>
        <v>0</v>
      </c>
      <c r="L34" s="24"/>
      <c r="M34" s="23"/>
      <c r="N34" s="23"/>
      <c r="O34" s="23"/>
      <c r="P34" s="23"/>
      <c r="Q34" s="25" t="s">
        <v>33</v>
      </c>
      <c r="R34" s="26" t="s">
        <v>34</v>
      </c>
    </row>
    <row r="35" spans="1:18" ht="15.75" customHeight="1">
      <c r="A35" s="21">
        <v>4032</v>
      </c>
      <c r="B35" s="51" t="s">
        <v>20</v>
      </c>
      <c r="C35" s="54" t="s">
        <v>72</v>
      </c>
      <c r="D35" s="51" t="s">
        <v>188</v>
      </c>
      <c r="E35" s="51" t="s">
        <v>270</v>
      </c>
      <c r="F35" s="63" t="s">
        <v>330</v>
      </c>
      <c r="G35" s="64" t="s">
        <v>332</v>
      </c>
      <c r="H35" s="51">
        <v>400</v>
      </c>
      <c r="I35" s="22" t="s">
        <v>12</v>
      </c>
      <c r="J35" s="47">
        <v>0</v>
      </c>
      <c r="K35" s="48">
        <f t="shared" si="0"/>
        <v>0</v>
      </c>
      <c r="L35" s="24"/>
      <c r="M35" s="23"/>
      <c r="N35" s="23"/>
      <c r="O35" s="23"/>
      <c r="P35" s="23"/>
      <c r="Q35" s="25" t="s">
        <v>33</v>
      </c>
      <c r="R35" s="26" t="s">
        <v>34</v>
      </c>
    </row>
    <row r="36" spans="1:18" ht="15.75" customHeight="1">
      <c r="A36" s="21">
        <v>4033</v>
      </c>
      <c r="B36" s="51" t="s">
        <v>20</v>
      </c>
      <c r="C36" s="54" t="s">
        <v>73</v>
      </c>
      <c r="D36" s="51" t="s">
        <v>189</v>
      </c>
      <c r="E36" s="51" t="s">
        <v>270</v>
      </c>
      <c r="F36" s="63" t="s">
        <v>330</v>
      </c>
      <c r="G36" s="64" t="s">
        <v>332</v>
      </c>
      <c r="H36" s="51" t="s">
        <v>318</v>
      </c>
      <c r="I36" s="22" t="s">
        <v>12</v>
      </c>
      <c r="J36" s="47">
        <v>0</v>
      </c>
      <c r="K36" s="48">
        <f t="shared" si="0"/>
        <v>0</v>
      </c>
      <c r="L36" s="24"/>
      <c r="M36" s="23"/>
      <c r="N36" s="23"/>
      <c r="O36" s="23"/>
      <c r="P36" s="23"/>
      <c r="Q36" s="25" t="s">
        <v>33</v>
      </c>
      <c r="R36" s="26" t="s">
        <v>34</v>
      </c>
    </row>
    <row r="37" spans="1:18" ht="15.75" customHeight="1">
      <c r="A37" s="21">
        <v>4034</v>
      </c>
      <c r="B37" s="51" t="s">
        <v>18</v>
      </c>
      <c r="C37" s="54" t="s">
        <v>74</v>
      </c>
      <c r="D37" s="51" t="s">
        <v>190</v>
      </c>
      <c r="E37" s="51" t="s">
        <v>276</v>
      </c>
      <c r="F37" s="63" t="s">
        <v>330</v>
      </c>
      <c r="G37" s="64" t="s">
        <v>332</v>
      </c>
      <c r="H37" s="51">
        <v>800</v>
      </c>
      <c r="I37" s="22" t="s">
        <v>12</v>
      </c>
      <c r="J37" s="47">
        <v>0</v>
      </c>
      <c r="K37" s="48">
        <f t="shared" si="0"/>
        <v>0</v>
      </c>
      <c r="L37" s="24"/>
      <c r="M37" s="23"/>
      <c r="N37" s="23"/>
      <c r="O37" s="23"/>
      <c r="P37" s="23"/>
      <c r="Q37" s="25" t="s">
        <v>33</v>
      </c>
      <c r="R37" s="26" t="s">
        <v>34</v>
      </c>
    </row>
    <row r="38" spans="1:18" ht="15.75" customHeight="1">
      <c r="A38" s="21">
        <v>4035</v>
      </c>
      <c r="B38" s="51" t="s">
        <v>20</v>
      </c>
      <c r="C38" s="54" t="s">
        <v>75</v>
      </c>
      <c r="D38" s="51" t="s">
        <v>191</v>
      </c>
      <c r="E38" s="51" t="s">
        <v>30</v>
      </c>
      <c r="F38" s="63" t="s">
        <v>330</v>
      </c>
      <c r="G38" s="64" t="s">
        <v>337</v>
      </c>
      <c r="H38" s="51">
        <v>100</v>
      </c>
      <c r="I38" s="22" t="s">
        <v>12</v>
      </c>
      <c r="J38" s="47">
        <v>0</v>
      </c>
      <c r="K38" s="48">
        <f t="shared" si="0"/>
        <v>0</v>
      </c>
      <c r="L38" s="24"/>
      <c r="M38" s="23"/>
      <c r="N38" s="23"/>
      <c r="O38" s="23"/>
      <c r="P38" s="23"/>
      <c r="Q38" s="25" t="s">
        <v>33</v>
      </c>
      <c r="R38" s="26" t="s">
        <v>34</v>
      </c>
    </row>
    <row r="39" spans="1:18" ht="15.75" customHeight="1">
      <c r="A39" s="21">
        <v>4036</v>
      </c>
      <c r="B39" s="51" t="s">
        <v>15</v>
      </c>
      <c r="C39" s="54" t="s">
        <v>76</v>
      </c>
      <c r="D39" s="51" t="s">
        <v>192</v>
      </c>
      <c r="E39" s="51" t="s">
        <v>288</v>
      </c>
      <c r="F39" s="63" t="s">
        <v>330</v>
      </c>
      <c r="G39" s="64" t="s">
        <v>338</v>
      </c>
      <c r="H39" s="51">
        <v>60</v>
      </c>
      <c r="I39" s="22" t="s">
        <v>12</v>
      </c>
      <c r="J39" s="47">
        <v>0</v>
      </c>
      <c r="K39" s="48">
        <f t="shared" si="0"/>
        <v>0</v>
      </c>
      <c r="L39" s="24"/>
      <c r="M39" s="23"/>
      <c r="N39" s="23"/>
      <c r="O39" s="23"/>
      <c r="P39" s="23"/>
      <c r="Q39" s="25" t="s">
        <v>33</v>
      </c>
      <c r="R39" s="26" t="s">
        <v>34</v>
      </c>
    </row>
    <row r="40" spans="1:18" ht="15.75" customHeight="1">
      <c r="A40" s="21">
        <v>4037</v>
      </c>
      <c r="B40" s="51" t="s">
        <v>16</v>
      </c>
      <c r="C40" s="54" t="s">
        <v>77</v>
      </c>
      <c r="D40" s="51" t="s">
        <v>193</v>
      </c>
      <c r="E40" s="51" t="s">
        <v>289</v>
      </c>
      <c r="F40" s="63" t="s">
        <v>330</v>
      </c>
      <c r="G40" s="64" t="s">
        <v>338</v>
      </c>
      <c r="H40" s="51">
        <v>400</v>
      </c>
      <c r="I40" s="22" t="s">
        <v>12</v>
      </c>
      <c r="J40" s="47">
        <v>0</v>
      </c>
      <c r="K40" s="48">
        <f t="shared" si="0"/>
        <v>0</v>
      </c>
      <c r="L40" s="24"/>
      <c r="M40" s="23"/>
      <c r="N40" s="23"/>
      <c r="O40" s="23"/>
      <c r="P40" s="23"/>
      <c r="Q40" s="25" t="s">
        <v>33</v>
      </c>
      <c r="R40" s="26" t="s">
        <v>34</v>
      </c>
    </row>
    <row r="41" spans="1:18" ht="15.75" customHeight="1">
      <c r="A41" s="21">
        <v>4038</v>
      </c>
      <c r="B41" s="51" t="s">
        <v>14</v>
      </c>
      <c r="C41" s="54" t="s">
        <v>78</v>
      </c>
      <c r="D41" s="51" t="s">
        <v>194</v>
      </c>
      <c r="E41" s="51" t="s">
        <v>290</v>
      </c>
      <c r="F41" s="63" t="s">
        <v>330</v>
      </c>
      <c r="G41" s="64" t="s">
        <v>337</v>
      </c>
      <c r="H41" s="51">
        <v>120</v>
      </c>
      <c r="I41" s="22" t="s">
        <v>12</v>
      </c>
      <c r="J41" s="47">
        <v>0</v>
      </c>
      <c r="K41" s="48">
        <f t="shared" si="0"/>
        <v>0</v>
      </c>
      <c r="L41" s="24"/>
      <c r="M41" s="23"/>
      <c r="N41" s="23"/>
      <c r="O41" s="23"/>
      <c r="P41" s="23"/>
      <c r="Q41" s="25" t="s">
        <v>33</v>
      </c>
      <c r="R41" s="26" t="s">
        <v>34</v>
      </c>
    </row>
    <row r="42" spans="1:18" ht="15.75" customHeight="1">
      <c r="A42" s="21">
        <v>4039</v>
      </c>
      <c r="B42" s="51" t="s">
        <v>40</v>
      </c>
      <c r="C42" s="54" t="s">
        <v>79</v>
      </c>
      <c r="D42" s="51" t="s">
        <v>195</v>
      </c>
      <c r="E42" s="51" t="s">
        <v>270</v>
      </c>
      <c r="F42" s="63" t="s">
        <v>330</v>
      </c>
      <c r="G42" s="64" t="s">
        <v>337</v>
      </c>
      <c r="H42" s="51">
        <v>100</v>
      </c>
      <c r="I42" s="22" t="s">
        <v>12</v>
      </c>
      <c r="J42" s="47">
        <v>0</v>
      </c>
      <c r="K42" s="48">
        <f t="shared" si="0"/>
        <v>0</v>
      </c>
      <c r="L42" s="24"/>
      <c r="M42" s="23"/>
      <c r="N42" s="23"/>
      <c r="O42" s="23"/>
      <c r="P42" s="23"/>
      <c r="Q42" s="25" t="s">
        <v>33</v>
      </c>
      <c r="R42" s="26" t="s">
        <v>34</v>
      </c>
    </row>
    <row r="43" spans="1:18" ht="15.75" customHeight="1">
      <c r="A43" s="21">
        <v>4040</v>
      </c>
      <c r="B43" s="51">
        <v>5305</v>
      </c>
      <c r="C43" s="54" t="s">
        <v>80</v>
      </c>
      <c r="D43" s="51" t="s">
        <v>196</v>
      </c>
      <c r="E43" s="51" t="s">
        <v>30</v>
      </c>
      <c r="F43" s="63" t="s">
        <v>330</v>
      </c>
      <c r="G43" s="64" t="s">
        <v>339</v>
      </c>
      <c r="H43" s="55">
        <v>80</v>
      </c>
      <c r="I43" s="22" t="s">
        <v>12</v>
      </c>
      <c r="J43" s="47">
        <v>0</v>
      </c>
      <c r="K43" s="48">
        <f t="shared" si="0"/>
        <v>0</v>
      </c>
      <c r="L43" s="24"/>
      <c r="M43" s="23"/>
      <c r="N43" s="23"/>
      <c r="O43" s="23"/>
      <c r="P43" s="23"/>
      <c r="Q43" s="25" t="s">
        <v>33</v>
      </c>
      <c r="R43" s="26" t="s">
        <v>34</v>
      </c>
    </row>
    <row r="44" spans="1:18" ht="15.75" customHeight="1">
      <c r="A44" s="21">
        <v>4041</v>
      </c>
      <c r="B44" s="51">
        <v>5305</v>
      </c>
      <c r="C44" s="54" t="s">
        <v>81</v>
      </c>
      <c r="D44" s="51" t="s">
        <v>197</v>
      </c>
      <c r="E44" s="51" t="s">
        <v>30</v>
      </c>
      <c r="F44" s="63" t="s">
        <v>330</v>
      </c>
      <c r="G44" s="64" t="s">
        <v>333</v>
      </c>
      <c r="H44" s="55">
        <v>75</v>
      </c>
      <c r="I44" s="22" t="s">
        <v>12</v>
      </c>
      <c r="J44" s="47">
        <v>0</v>
      </c>
      <c r="K44" s="48">
        <f t="shared" si="0"/>
        <v>0</v>
      </c>
      <c r="L44" s="24"/>
      <c r="M44" s="25"/>
      <c r="N44" s="25"/>
      <c r="O44" s="25"/>
      <c r="P44" s="25"/>
      <c r="Q44" s="25" t="s">
        <v>33</v>
      </c>
      <c r="R44" s="26" t="s">
        <v>34</v>
      </c>
    </row>
    <row r="45" spans="1:18" ht="15.75" customHeight="1">
      <c r="A45" s="21">
        <v>4042</v>
      </c>
      <c r="B45" s="51">
        <v>5310</v>
      </c>
      <c r="C45" s="54" t="s">
        <v>82</v>
      </c>
      <c r="D45" s="51" t="s">
        <v>198</v>
      </c>
      <c r="E45" s="51" t="s">
        <v>291</v>
      </c>
      <c r="F45" s="63" t="s">
        <v>330</v>
      </c>
      <c r="G45" s="64" t="s">
        <v>340</v>
      </c>
      <c r="H45" s="55">
        <v>500</v>
      </c>
      <c r="I45" s="22" t="s">
        <v>12</v>
      </c>
      <c r="J45" s="47">
        <v>0</v>
      </c>
      <c r="K45" s="48">
        <f t="shared" si="0"/>
        <v>0</v>
      </c>
      <c r="L45" s="24"/>
      <c r="M45" s="23"/>
      <c r="N45" s="23"/>
      <c r="O45" s="23"/>
      <c r="P45" s="23"/>
      <c r="Q45" s="25" t="s">
        <v>33</v>
      </c>
      <c r="R45" s="26" t="s">
        <v>34</v>
      </c>
    </row>
    <row r="46" spans="1:18" ht="15.75" customHeight="1">
      <c r="A46" s="21">
        <v>4043</v>
      </c>
      <c r="B46" s="51">
        <v>5340</v>
      </c>
      <c r="C46" s="54" t="s">
        <v>83</v>
      </c>
      <c r="D46" s="51" t="s">
        <v>199</v>
      </c>
      <c r="E46" s="51" t="s">
        <v>31</v>
      </c>
      <c r="F46" s="63" t="s">
        <v>330</v>
      </c>
      <c r="G46" s="64" t="s">
        <v>336</v>
      </c>
      <c r="H46" s="55">
        <v>100</v>
      </c>
      <c r="I46" s="22" t="s">
        <v>12</v>
      </c>
      <c r="J46" s="47">
        <v>0</v>
      </c>
      <c r="K46" s="48">
        <f t="shared" si="0"/>
        <v>0</v>
      </c>
      <c r="L46" s="24"/>
      <c r="M46" s="23"/>
      <c r="N46" s="23"/>
      <c r="O46" s="23"/>
      <c r="P46" s="23"/>
      <c r="Q46" s="25" t="s">
        <v>33</v>
      </c>
      <c r="R46" s="26" t="s">
        <v>34</v>
      </c>
    </row>
    <row r="47" spans="1:18" ht="15.75" customHeight="1">
      <c r="A47" s="21">
        <v>4044</v>
      </c>
      <c r="B47" s="51">
        <v>5305</v>
      </c>
      <c r="C47" s="54" t="s">
        <v>84</v>
      </c>
      <c r="D47" s="51" t="s">
        <v>200</v>
      </c>
      <c r="E47" s="51" t="s">
        <v>23</v>
      </c>
      <c r="F47" s="63" t="s">
        <v>330</v>
      </c>
      <c r="G47" s="64" t="s">
        <v>338</v>
      </c>
      <c r="H47" s="55">
        <v>50</v>
      </c>
      <c r="I47" s="22" t="s">
        <v>12</v>
      </c>
      <c r="J47" s="47">
        <v>0</v>
      </c>
      <c r="K47" s="48">
        <f t="shared" si="0"/>
        <v>0</v>
      </c>
      <c r="L47" s="24"/>
      <c r="M47" s="23"/>
      <c r="N47" s="23"/>
      <c r="O47" s="23"/>
      <c r="P47" s="23"/>
      <c r="Q47" s="25" t="s">
        <v>33</v>
      </c>
      <c r="R47" s="26" t="s">
        <v>34</v>
      </c>
    </row>
    <row r="48" spans="1:18" ht="15.75" customHeight="1">
      <c r="A48" s="21">
        <v>4045</v>
      </c>
      <c r="B48" s="51">
        <v>5305</v>
      </c>
      <c r="C48" s="54" t="s">
        <v>85</v>
      </c>
      <c r="D48" s="51" t="s">
        <v>201</v>
      </c>
      <c r="E48" s="51" t="s">
        <v>292</v>
      </c>
      <c r="F48" s="63" t="s">
        <v>330</v>
      </c>
      <c r="G48" s="64" t="s">
        <v>335</v>
      </c>
      <c r="H48" s="55">
        <v>150</v>
      </c>
      <c r="I48" s="22" t="s">
        <v>12</v>
      </c>
      <c r="J48" s="47">
        <v>0</v>
      </c>
      <c r="K48" s="48">
        <f t="shared" si="0"/>
        <v>0</v>
      </c>
      <c r="L48" s="24"/>
      <c r="M48" s="23"/>
      <c r="N48" s="23"/>
      <c r="O48" s="23"/>
      <c r="P48" s="23"/>
      <c r="Q48" s="25" t="s">
        <v>33</v>
      </c>
      <c r="R48" s="26" t="s">
        <v>34</v>
      </c>
    </row>
    <row r="49" spans="1:18" ht="15.75" customHeight="1">
      <c r="A49" s="21">
        <v>4046</v>
      </c>
      <c r="B49" s="51">
        <v>5331</v>
      </c>
      <c r="C49" s="54" t="s">
        <v>86</v>
      </c>
      <c r="D49" s="51" t="s">
        <v>202</v>
      </c>
      <c r="E49" s="51" t="s">
        <v>277</v>
      </c>
      <c r="F49" s="63" t="s">
        <v>330</v>
      </c>
      <c r="G49" s="64" t="s">
        <v>331</v>
      </c>
      <c r="H49" s="55">
        <v>800</v>
      </c>
      <c r="I49" s="22" t="s">
        <v>12</v>
      </c>
      <c r="J49" s="47">
        <v>0</v>
      </c>
      <c r="K49" s="48">
        <f t="shared" si="0"/>
        <v>0</v>
      </c>
      <c r="L49" s="24"/>
      <c r="M49" s="23"/>
      <c r="N49" s="23"/>
      <c r="O49" s="23"/>
      <c r="P49" s="23"/>
      <c r="Q49" s="25" t="s">
        <v>33</v>
      </c>
      <c r="R49" s="26" t="s">
        <v>34</v>
      </c>
    </row>
    <row r="50" spans="1:18">
      <c r="A50" s="21">
        <v>4047</v>
      </c>
      <c r="B50" s="51">
        <v>5331</v>
      </c>
      <c r="C50" s="54" t="s">
        <v>87</v>
      </c>
      <c r="D50" s="51" t="s">
        <v>203</v>
      </c>
      <c r="E50" s="51" t="s">
        <v>277</v>
      </c>
      <c r="F50" s="68" t="s">
        <v>330</v>
      </c>
      <c r="G50" s="64" t="s">
        <v>340</v>
      </c>
      <c r="H50" s="55">
        <v>50</v>
      </c>
      <c r="I50" s="22" t="s">
        <v>12</v>
      </c>
      <c r="J50" s="47">
        <v>0</v>
      </c>
      <c r="K50" s="48">
        <f t="shared" si="0"/>
        <v>0</v>
      </c>
      <c r="L50" s="24"/>
      <c r="M50" s="23"/>
      <c r="N50" s="23"/>
      <c r="O50" s="23"/>
      <c r="P50" s="23"/>
      <c r="Q50" s="25" t="s">
        <v>33</v>
      </c>
      <c r="R50" s="26" t="s">
        <v>34</v>
      </c>
    </row>
    <row r="51" spans="1:18">
      <c r="A51" s="21">
        <v>4048</v>
      </c>
      <c r="B51" s="51">
        <v>4730</v>
      </c>
      <c r="C51" s="54" t="s">
        <v>88</v>
      </c>
      <c r="D51" s="51" t="s">
        <v>204</v>
      </c>
      <c r="E51" s="51" t="s">
        <v>31</v>
      </c>
      <c r="F51" s="63" t="s">
        <v>330</v>
      </c>
      <c r="G51" s="64" t="s">
        <v>331</v>
      </c>
      <c r="H51" s="55">
        <v>500</v>
      </c>
      <c r="I51" s="22" t="s">
        <v>12</v>
      </c>
      <c r="J51" s="47">
        <v>0</v>
      </c>
      <c r="K51" s="48">
        <f t="shared" si="0"/>
        <v>0</v>
      </c>
      <c r="L51" s="24"/>
      <c r="M51" s="23"/>
      <c r="N51" s="23"/>
      <c r="O51" s="23"/>
      <c r="P51" s="23"/>
      <c r="Q51" s="25" t="s">
        <v>33</v>
      </c>
      <c r="R51" s="26" t="s">
        <v>34</v>
      </c>
    </row>
    <row r="52" spans="1:18">
      <c r="A52" s="21">
        <v>4049</v>
      </c>
      <c r="B52" s="51">
        <v>5325</v>
      </c>
      <c r="C52" s="54" t="s">
        <v>89</v>
      </c>
      <c r="D52" s="51" t="s">
        <v>205</v>
      </c>
      <c r="E52" s="51" t="s">
        <v>28</v>
      </c>
      <c r="F52" s="63" t="s">
        <v>330</v>
      </c>
      <c r="G52" s="64" t="s">
        <v>340</v>
      </c>
      <c r="H52" s="55">
        <v>150</v>
      </c>
      <c r="I52" s="22" t="s">
        <v>12</v>
      </c>
      <c r="J52" s="47">
        <v>0</v>
      </c>
      <c r="K52" s="48">
        <f t="shared" si="0"/>
        <v>0</v>
      </c>
      <c r="L52" s="24"/>
      <c r="M52" s="23"/>
      <c r="N52" s="23"/>
      <c r="O52" s="23"/>
      <c r="P52" s="23"/>
      <c r="Q52" s="25" t="s">
        <v>33</v>
      </c>
      <c r="R52" s="26" t="s">
        <v>34</v>
      </c>
    </row>
    <row r="53" spans="1:18">
      <c r="A53" s="21">
        <v>4050</v>
      </c>
      <c r="B53" s="51">
        <v>5325</v>
      </c>
      <c r="C53" s="54" t="s">
        <v>90</v>
      </c>
      <c r="D53" s="51" t="s">
        <v>206</v>
      </c>
      <c r="E53" s="51" t="s">
        <v>28</v>
      </c>
      <c r="F53" s="63" t="s">
        <v>330</v>
      </c>
      <c r="G53" s="64" t="s">
        <v>340</v>
      </c>
      <c r="H53" s="55">
        <v>400</v>
      </c>
      <c r="I53" s="22" t="s">
        <v>12</v>
      </c>
      <c r="J53" s="47">
        <v>0</v>
      </c>
      <c r="K53" s="48">
        <f t="shared" si="0"/>
        <v>0</v>
      </c>
      <c r="L53" s="24"/>
      <c r="M53" s="23"/>
      <c r="N53" s="23"/>
      <c r="O53" s="23"/>
      <c r="P53" s="23"/>
      <c r="Q53" s="25" t="s">
        <v>33</v>
      </c>
      <c r="R53" s="26" t="s">
        <v>34</v>
      </c>
    </row>
    <row r="54" spans="1:18">
      <c r="A54" s="21">
        <v>4051</v>
      </c>
      <c r="B54" s="51">
        <v>5305</v>
      </c>
      <c r="C54" s="54" t="s">
        <v>91</v>
      </c>
      <c r="D54" s="51" t="s">
        <v>207</v>
      </c>
      <c r="E54" s="51" t="s">
        <v>30</v>
      </c>
      <c r="F54" s="63" t="s">
        <v>330</v>
      </c>
      <c r="G54" s="64" t="s">
        <v>340</v>
      </c>
      <c r="H54" s="55">
        <v>800</v>
      </c>
      <c r="I54" s="22" t="s">
        <v>12</v>
      </c>
      <c r="J54" s="47">
        <v>0</v>
      </c>
      <c r="K54" s="48">
        <f t="shared" si="0"/>
        <v>0</v>
      </c>
      <c r="L54" s="24"/>
      <c r="M54" s="23"/>
      <c r="N54" s="23"/>
      <c r="O54" s="23"/>
      <c r="P54" s="23"/>
      <c r="Q54" s="25" t="s">
        <v>33</v>
      </c>
      <c r="R54" s="26" t="s">
        <v>34</v>
      </c>
    </row>
    <row r="55" spans="1:18">
      <c r="A55" s="21">
        <v>4052</v>
      </c>
      <c r="B55" s="51">
        <v>5331</v>
      </c>
      <c r="C55" s="54" t="s">
        <v>92</v>
      </c>
      <c r="D55" s="51" t="s">
        <v>208</v>
      </c>
      <c r="E55" s="51" t="s">
        <v>277</v>
      </c>
      <c r="F55" s="63" t="s">
        <v>330</v>
      </c>
      <c r="G55" s="64" t="s">
        <v>340</v>
      </c>
      <c r="H55" s="55">
        <v>200</v>
      </c>
      <c r="I55" s="22" t="s">
        <v>12</v>
      </c>
      <c r="J55" s="47">
        <v>0</v>
      </c>
      <c r="K55" s="48">
        <f t="shared" si="0"/>
        <v>0</v>
      </c>
      <c r="L55" s="24"/>
      <c r="M55" s="23"/>
      <c r="N55" s="23"/>
      <c r="O55" s="23"/>
      <c r="P55" s="23"/>
      <c r="Q55" s="25" t="s">
        <v>33</v>
      </c>
      <c r="R55" s="26" t="s">
        <v>34</v>
      </c>
    </row>
    <row r="56" spans="1:18">
      <c r="A56" s="21">
        <v>4053</v>
      </c>
      <c r="B56" s="51">
        <v>5331</v>
      </c>
      <c r="C56" s="54" t="s">
        <v>93</v>
      </c>
      <c r="D56" s="51" t="s">
        <v>209</v>
      </c>
      <c r="E56" s="51" t="s">
        <v>277</v>
      </c>
      <c r="F56" s="63" t="s">
        <v>330</v>
      </c>
      <c r="G56" s="64" t="s">
        <v>340</v>
      </c>
      <c r="H56" s="55">
        <v>50</v>
      </c>
      <c r="I56" s="22" t="s">
        <v>12</v>
      </c>
      <c r="J56" s="47">
        <v>0</v>
      </c>
      <c r="K56" s="48">
        <f t="shared" si="0"/>
        <v>0</v>
      </c>
      <c r="L56" s="24"/>
      <c r="M56" s="23"/>
      <c r="N56" s="23"/>
      <c r="O56" s="23"/>
      <c r="P56" s="23"/>
      <c r="Q56" s="25" t="s">
        <v>33</v>
      </c>
      <c r="R56" s="26" t="s">
        <v>34</v>
      </c>
    </row>
    <row r="57" spans="1:18">
      <c r="A57" s="21">
        <v>4054</v>
      </c>
      <c r="B57" s="51">
        <v>5331</v>
      </c>
      <c r="C57" s="54" t="s">
        <v>94</v>
      </c>
      <c r="D57" s="51" t="s">
        <v>210</v>
      </c>
      <c r="E57" s="51" t="s">
        <v>277</v>
      </c>
      <c r="F57" s="63" t="s">
        <v>330</v>
      </c>
      <c r="G57" s="64" t="s">
        <v>340</v>
      </c>
      <c r="H57" s="55">
        <v>150</v>
      </c>
      <c r="I57" s="22" t="s">
        <v>12</v>
      </c>
      <c r="J57" s="47">
        <v>0</v>
      </c>
      <c r="K57" s="48">
        <f t="shared" si="0"/>
        <v>0</v>
      </c>
      <c r="L57" s="24"/>
      <c r="M57" s="23"/>
      <c r="N57" s="23"/>
      <c r="O57" s="23"/>
      <c r="P57" s="23"/>
      <c r="Q57" s="25" t="s">
        <v>33</v>
      </c>
      <c r="R57" s="26" t="s">
        <v>34</v>
      </c>
    </row>
    <row r="58" spans="1:18">
      <c r="A58" s="21">
        <v>4055</v>
      </c>
      <c r="B58" s="51">
        <v>5331</v>
      </c>
      <c r="C58" s="54" t="s">
        <v>95</v>
      </c>
      <c r="D58" s="51" t="s">
        <v>211</v>
      </c>
      <c r="E58" s="51" t="s">
        <v>277</v>
      </c>
      <c r="F58" s="63" t="s">
        <v>330</v>
      </c>
      <c r="G58" s="64" t="s">
        <v>335</v>
      </c>
      <c r="H58" s="55">
        <v>200</v>
      </c>
      <c r="I58" s="22" t="s">
        <v>12</v>
      </c>
      <c r="J58" s="47">
        <v>0</v>
      </c>
      <c r="K58" s="48">
        <f t="shared" si="0"/>
        <v>0</v>
      </c>
      <c r="L58" s="24"/>
      <c r="M58" s="23"/>
      <c r="N58" s="23"/>
      <c r="O58" s="23"/>
      <c r="P58" s="23"/>
      <c r="Q58" s="25" t="s">
        <v>33</v>
      </c>
      <c r="R58" s="26" t="s">
        <v>34</v>
      </c>
    </row>
    <row r="59" spans="1:18">
      <c r="A59" s="21">
        <v>4056</v>
      </c>
      <c r="B59" s="51">
        <v>5305</v>
      </c>
      <c r="C59" s="54" t="s">
        <v>96</v>
      </c>
      <c r="D59" s="51" t="s">
        <v>212</v>
      </c>
      <c r="E59" s="51" t="s">
        <v>293</v>
      </c>
      <c r="F59" s="68" t="s">
        <v>330</v>
      </c>
      <c r="G59" s="64" t="s">
        <v>340</v>
      </c>
      <c r="H59" s="55">
        <v>4500</v>
      </c>
      <c r="I59" s="22" t="s">
        <v>12</v>
      </c>
      <c r="J59" s="47">
        <v>0</v>
      </c>
      <c r="K59" s="48">
        <f t="shared" si="0"/>
        <v>0</v>
      </c>
      <c r="L59" s="24"/>
      <c r="M59" s="23"/>
      <c r="N59" s="23"/>
      <c r="O59" s="23"/>
      <c r="P59" s="23"/>
      <c r="Q59" s="25" t="s">
        <v>33</v>
      </c>
      <c r="R59" s="26" t="s">
        <v>34</v>
      </c>
    </row>
    <row r="60" spans="1:18">
      <c r="A60" s="21">
        <v>4057</v>
      </c>
      <c r="B60" s="51">
        <v>5305</v>
      </c>
      <c r="C60" s="54" t="s">
        <v>97</v>
      </c>
      <c r="D60" s="51" t="s">
        <v>213</v>
      </c>
      <c r="E60" s="51" t="s">
        <v>30</v>
      </c>
      <c r="F60" s="63" t="s">
        <v>330</v>
      </c>
      <c r="G60" s="64" t="s">
        <v>338</v>
      </c>
      <c r="H60" s="55">
        <v>2000</v>
      </c>
      <c r="I60" s="22" t="s">
        <v>12</v>
      </c>
      <c r="J60" s="47">
        <v>0</v>
      </c>
      <c r="K60" s="48">
        <f t="shared" si="0"/>
        <v>0</v>
      </c>
      <c r="L60" s="24"/>
      <c r="M60" s="23"/>
      <c r="N60" s="23"/>
      <c r="O60" s="23"/>
      <c r="P60" s="23"/>
      <c r="Q60" s="25" t="s">
        <v>33</v>
      </c>
      <c r="R60" s="26" t="s">
        <v>34</v>
      </c>
    </row>
    <row r="61" spans="1:18">
      <c r="A61" s="21">
        <v>4058</v>
      </c>
      <c r="B61" s="51">
        <v>5310</v>
      </c>
      <c r="C61" s="54" t="s">
        <v>98</v>
      </c>
      <c r="D61" s="51" t="s">
        <v>214</v>
      </c>
      <c r="E61" s="51" t="s">
        <v>294</v>
      </c>
      <c r="F61" s="63" t="s">
        <v>330</v>
      </c>
      <c r="G61" s="64" t="s">
        <v>335</v>
      </c>
      <c r="H61" s="55">
        <v>600</v>
      </c>
      <c r="I61" s="22" t="s">
        <v>12</v>
      </c>
      <c r="J61" s="47">
        <v>0</v>
      </c>
      <c r="K61" s="48">
        <f t="shared" si="0"/>
        <v>0</v>
      </c>
      <c r="L61" s="24"/>
      <c r="M61" s="23"/>
      <c r="N61" s="23"/>
      <c r="O61" s="23"/>
      <c r="P61" s="23"/>
      <c r="Q61" s="25" t="s">
        <v>33</v>
      </c>
      <c r="R61" s="26" t="s">
        <v>34</v>
      </c>
    </row>
    <row r="62" spans="1:18">
      <c r="A62" s="21">
        <v>4059</v>
      </c>
      <c r="B62" s="51">
        <v>5310</v>
      </c>
      <c r="C62" s="54" t="s">
        <v>99</v>
      </c>
      <c r="D62" s="51" t="s">
        <v>215</v>
      </c>
      <c r="E62" s="51" t="s">
        <v>294</v>
      </c>
      <c r="F62" s="63" t="s">
        <v>330</v>
      </c>
      <c r="G62" s="64" t="s">
        <v>335</v>
      </c>
      <c r="H62" s="55">
        <v>1200</v>
      </c>
      <c r="I62" s="22" t="s">
        <v>12</v>
      </c>
      <c r="J62" s="47">
        <v>0</v>
      </c>
      <c r="K62" s="48">
        <f t="shared" si="0"/>
        <v>0</v>
      </c>
      <c r="L62" s="24"/>
      <c r="M62" s="23"/>
      <c r="N62" s="23"/>
      <c r="O62" s="23"/>
      <c r="P62" s="23"/>
      <c r="Q62" s="25" t="s">
        <v>33</v>
      </c>
      <c r="R62" s="26" t="s">
        <v>34</v>
      </c>
    </row>
    <row r="63" spans="1:18">
      <c r="A63" s="21">
        <v>4060</v>
      </c>
      <c r="B63" s="51">
        <v>5305</v>
      </c>
      <c r="C63" s="54" t="s">
        <v>100</v>
      </c>
      <c r="D63" s="51" t="s">
        <v>216</v>
      </c>
      <c r="E63" s="51" t="s">
        <v>30</v>
      </c>
      <c r="F63" s="63" t="s">
        <v>330</v>
      </c>
      <c r="G63" s="64" t="s">
        <v>339</v>
      </c>
      <c r="H63" s="55">
        <v>400</v>
      </c>
      <c r="I63" s="22" t="s">
        <v>12</v>
      </c>
      <c r="J63" s="47">
        <v>0</v>
      </c>
      <c r="K63" s="48">
        <f t="shared" si="0"/>
        <v>0</v>
      </c>
      <c r="L63" s="24"/>
      <c r="M63" s="23"/>
      <c r="N63" s="23"/>
      <c r="O63" s="23"/>
      <c r="P63" s="23"/>
      <c r="Q63" s="25" t="s">
        <v>33</v>
      </c>
      <c r="R63" s="26" t="s">
        <v>34</v>
      </c>
    </row>
    <row r="64" spans="1:18">
      <c r="A64" s="21">
        <v>4061</v>
      </c>
      <c r="B64" s="51">
        <v>5305</v>
      </c>
      <c r="C64" s="54" t="s">
        <v>101</v>
      </c>
      <c r="D64" s="51" t="s">
        <v>217</v>
      </c>
      <c r="E64" s="51" t="s">
        <v>30</v>
      </c>
      <c r="F64" s="63" t="s">
        <v>330</v>
      </c>
      <c r="G64" s="64" t="s">
        <v>339</v>
      </c>
      <c r="H64" s="55">
        <v>800</v>
      </c>
      <c r="I64" s="22" t="s">
        <v>12</v>
      </c>
      <c r="J64" s="47">
        <v>0</v>
      </c>
      <c r="K64" s="48">
        <f t="shared" si="0"/>
        <v>0</v>
      </c>
      <c r="L64" s="24"/>
      <c r="M64" s="23"/>
      <c r="N64" s="23"/>
      <c r="O64" s="23"/>
      <c r="P64" s="23"/>
      <c r="Q64" s="25" t="s">
        <v>33</v>
      </c>
      <c r="R64" s="26" t="s">
        <v>34</v>
      </c>
    </row>
    <row r="65" spans="1:18">
      <c r="A65" s="21">
        <v>4062</v>
      </c>
      <c r="B65" s="51">
        <v>5305</v>
      </c>
      <c r="C65" s="54" t="s">
        <v>102</v>
      </c>
      <c r="D65" s="51" t="s">
        <v>218</v>
      </c>
      <c r="E65" s="51" t="s">
        <v>23</v>
      </c>
      <c r="F65" s="63" t="s">
        <v>330</v>
      </c>
      <c r="G65" s="64" t="s">
        <v>340</v>
      </c>
      <c r="H65" s="55">
        <v>4000</v>
      </c>
      <c r="I65" s="22" t="s">
        <v>12</v>
      </c>
      <c r="J65" s="47">
        <v>0</v>
      </c>
      <c r="K65" s="48">
        <f t="shared" si="0"/>
        <v>0</v>
      </c>
      <c r="L65" s="24"/>
      <c r="M65" s="23"/>
      <c r="N65" s="23"/>
      <c r="O65" s="23"/>
      <c r="P65" s="23"/>
      <c r="Q65" s="25" t="s">
        <v>33</v>
      </c>
      <c r="R65" s="26" t="s">
        <v>34</v>
      </c>
    </row>
    <row r="66" spans="1:18">
      <c r="A66" s="21">
        <v>4063</v>
      </c>
      <c r="B66" s="51">
        <v>5305</v>
      </c>
      <c r="C66" s="54" t="s">
        <v>103</v>
      </c>
      <c r="D66" s="51" t="s">
        <v>219</v>
      </c>
      <c r="E66" s="51" t="s">
        <v>23</v>
      </c>
      <c r="F66" s="63" t="s">
        <v>330</v>
      </c>
      <c r="G66" s="64" t="s">
        <v>340</v>
      </c>
      <c r="H66" s="55">
        <v>500</v>
      </c>
      <c r="I66" s="22" t="s">
        <v>12</v>
      </c>
      <c r="J66" s="47">
        <v>0</v>
      </c>
      <c r="K66" s="48">
        <f t="shared" si="0"/>
        <v>0</v>
      </c>
      <c r="L66" s="24"/>
      <c r="M66" s="23"/>
      <c r="N66" s="23"/>
      <c r="O66" s="23"/>
      <c r="P66" s="23"/>
      <c r="Q66" s="25" t="s">
        <v>33</v>
      </c>
      <c r="R66" s="26" t="s">
        <v>34</v>
      </c>
    </row>
    <row r="67" spans="1:18">
      <c r="A67" s="21">
        <v>4064</v>
      </c>
      <c r="B67" s="51">
        <v>5305</v>
      </c>
      <c r="C67" s="54" t="s">
        <v>104</v>
      </c>
      <c r="D67" s="51" t="s">
        <v>220</v>
      </c>
      <c r="E67" s="51" t="s">
        <v>23</v>
      </c>
      <c r="F67" s="63" t="s">
        <v>330</v>
      </c>
      <c r="G67" s="64" t="s">
        <v>340</v>
      </c>
      <c r="H67" s="55">
        <v>1500</v>
      </c>
      <c r="I67" s="22" t="s">
        <v>12</v>
      </c>
      <c r="J67" s="47">
        <v>0</v>
      </c>
      <c r="K67" s="48">
        <f t="shared" si="0"/>
        <v>0</v>
      </c>
      <c r="L67" s="24"/>
      <c r="M67" s="23"/>
      <c r="N67" s="23"/>
      <c r="O67" s="23"/>
      <c r="P67" s="23"/>
      <c r="Q67" s="25" t="s">
        <v>33</v>
      </c>
      <c r="R67" s="26" t="s">
        <v>34</v>
      </c>
    </row>
    <row r="68" spans="1:18">
      <c r="A68" s="21">
        <v>4065</v>
      </c>
      <c r="B68" s="51">
        <v>5340</v>
      </c>
      <c r="C68" s="54" t="s">
        <v>105</v>
      </c>
      <c r="D68" s="51" t="s">
        <v>221</v>
      </c>
      <c r="E68" s="51" t="s">
        <v>31</v>
      </c>
      <c r="F68" s="63" t="s">
        <v>330</v>
      </c>
      <c r="G68" s="64" t="s">
        <v>340</v>
      </c>
      <c r="H68" s="55">
        <v>160</v>
      </c>
      <c r="I68" s="22" t="s">
        <v>12</v>
      </c>
      <c r="J68" s="47">
        <v>0</v>
      </c>
      <c r="K68" s="48">
        <f t="shared" si="0"/>
        <v>0</v>
      </c>
      <c r="L68" s="24"/>
      <c r="M68" s="23"/>
      <c r="N68" s="23"/>
      <c r="O68" s="23"/>
      <c r="P68" s="23"/>
      <c r="Q68" s="25" t="s">
        <v>33</v>
      </c>
      <c r="R68" s="26" t="s">
        <v>34</v>
      </c>
    </row>
    <row r="69" spans="1:18">
      <c r="A69" s="21">
        <v>4066</v>
      </c>
      <c r="B69" s="51">
        <v>5310</v>
      </c>
      <c r="C69" s="54" t="s">
        <v>106</v>
      </c>
      <c r="D69" s="51" t="s">
        <v>222</v>
      </c>
      <c r="E69" s="51" t="s">
        <v>294</v>
      </c>
      <c r="F69" s="63" t="s">
        <v>330</v>
      </c>
      <c r="G69" s="64" t="s">
        <v>333</v>
      </c>
      <c r="H69" s="55">
        <v>2000</v>
      </c>
      <c r="I69" s="22" t="s">
        <v>12</v>
      </c>
      <c r="J69" s="47">
        <v>0</v>
      </c>
      <c r="K69" s="48">
        <f t="shared" ref="K69:K119" si="1">SUM(J69*H69)</f>
        <v>0</v>
      </c>
      <c r="L69" s="24"/>
      <c r="M69" s="23"/>
      <c r="N69" s="23"/>
      <c r="O69" s="23"/>
      <c r="P69" s="23"/>
      <c r="Q69" s="25" t="s">
        <v>33</v>
      </c>
      <c r="R69" s="26" t="s">
        <v>34</v>
      </c>
    </row>
    <row r="70" spans="1:18">
      <c r="A70" s="21">
        <v>4067</v>
      </c>
      <c r="B70" s="51">
        <v>5305</v>
      </c>
      <c r="C70" s="54" t="s">
        <v>107</v>
      </c>
      <c r="D70" s="51" t="s">
        <v>223</v>
      </c>
      <c r="E70" s="51" t="s">
        <v>30</v>
      </c>
      <c r="F70" s="63" t="s">
        <v>330</v>
      </c>
      <c r="G70" s="64" t="s">
        <v>331</v>
      </c>
      <c r="H70" s="55">
        <v>400</v>
      </c>
      <c r="I70" s="22" t="s">
        <v>12</v>
      </c>
      <c r="J70" s="47">
        <v>0</v>
      </c>
      <c r="K70" s="48">
        <f t="shared" si="1"/>
        <v>0</v>
      </c>
      <c r="L70" s="24"/>
      <c r="M70" s="23"/>
      <c r="N70" s="23"/>
      <c r="O70" s="23"/>
      <c r="P70" s="23"/>
      <c r="Q70" s="25" t="s">
        <v>33</v>
      </c>
      <c r="R70" s="26" t="s">
        <v>34</v>
      </c>
    </row>
    <row r="71" spans="1:18">
      <c r="A71" s="21">
        <v>4068</v>
      </c>
      <c r="B71" s="51">
        <v>5305</v>
      </c>
      <c r="C71" s="54" t="s">
        <v>108</v>
      </c>
      <c r="D71" s="51" t="s">
        <v>224</v>
      </c>
      <c r="E71" s="51" t="s">
        <v>30</v>
      </c>
      <c r="F71" s="63" t="s">
        <v>330</v>
      </c>
      <c r="G71" s="64" t="s">
        <v>340</v>
      </c>
      <c r="H71" s="55">
        <v>1200</v>
      </c>
      <c r="I71" s="22" t="s">
        <v>12</v>
      </c>
      <c r="J71" s="47">
        <v>0</v>
      </c>
      <c r="K71" s="48">
        <f t="shared" si="1"/>
        <v>0</v>
      </c>
      <c r="L71" s="24"/>
      <c r="M71" s="23"/>
      <c r="N71" s="23"/>
      <c r="O71" s="23"/>
      <c r="P71" s="23"/>
      <c r="Q71" s="25" t="s">
        <v>33</v>
      </c>
      <c r="R71" s="26" t="s">
        <v>34</v>
      </c>
    </row>
    <row r="72" spans="1:18">
      <c r="A72" s="21">
        <v>4069</v>
      </c>
      <c r="B72" s="51">
        <v>5305</v>
      </c>
      <c r="C72" s="54" t="s">
        <v>109</v>
      </c>
      <c r="D72" s="51" t="s">
        <v>225</v>
      </c>
      <c r="E72" s="51" t="s">
        <v>30</v>
      </c>
      <c r="F72" s="63" t="s">
        <v>330</v>
      </c>
      <c r="G72" s="64" t="s">
        <v>339</v>
      </c>
      <c r="H72" s="55">
        <v>250</v>
      </c>
      <c r="I72" s="22" t="s">
        <v>12</v>
      </c>
      <c r="J72" s="47">
        <v>0</v>
      </c>
      <c r="K72" s="48">
        <f t="shared" si="1"/>
        <v>0</v>
      </c>
      <c r="L72" s="24"/>
      <c r="M72" s="23"/>
      <c r="N72" s="23"/>
      <c r="O72" s="23"/>
      <c r="P72" s="23"/>
      <c r="Q72" s="25" t="s">
        <v>33</v>
      </c>
      <c r="R72" s="26" t="s">
        <v>34</v>
      </c>
    </row>
    <row r="73" spans="1:18">
      <c r="A73" s="21">
        <v>4070</v>
      </c>
      <c r="B73" s="51">
        <v>5305</v>
      </c>
      <c r="C73" s="54" t="s">
        <v>110</v>
      </c>
      <c r="D73" s="51" t="s">
        <v>226</v>
      </c>
      <c r="E73" s="51" t="s">
        <v>30</v>
      </c>
      <c r="F73" s="63" t="s">
        <v>330</v>
      </c>
      <c r="G73" s="64" t="s">
        <v>333</v>
      </c>
      <c r="H73" s="55">
        <v>50</v>
      </c>
      <c r="I73" s="22" t="s">
        <v>12</v>
      </c>
      <c r="J73" s="47">
        <v>0</v>
      </c>
      <c r="K73" s="48">
        <f t="shared" si="1"/>
        <v>0</v>
      </c>
      <c r="L73" s="24"/>
      <c r="M73" s="23"/>
      <c r="N73" s="23"/>
      <c r="O73" s="23"/>
      <c r="P73" s="23"/>
      <c r="Q73" s="25" t="s">
        <v>33</v>
      </c>
      <c r="R73" s="26" t="s">
        <v>34</v>
      </c>
    </row>
    <row r="74" spans="1:18">
      <c r="A74" s="21">
        <v>4071</v>
      </c>
      <c r="B74" s="51">
        <v>5305</v>
      </c>
      <c r="C74" s="54" t="s">
        <v>111</v>
      </c>
      <c r="D74" s="51" t="s">
        <v>227</v>
      </c>
      <c r="E74" s="51" t="s">
        <v>30</v>
      </c>
      <c r="F74" s="63" t="s">
        <v>330</v>
      </c>
      <c r="G74" s="64" t="s">
        <v>331</v>
      </c>
      <c r="H74" s="55">
        <v>500</v>
      </c>
      <c r="I74" s="22" t="s">
        <v>12</v>
      </c>
      <c r="J74" s="47">
        <v>0</v>
      </c>
      <c r="K74" s="48">
        <f t="shared" si="1"/>
        <v>0</v>
      </c>
      <c r="L74" s="24"/>
      <c r="M74" s="23"/>
      <c r="N74" s="23"/>
      <c r="O74" s="23"/>
      <c r="P74" s="23"/>
      <c r="Q74" s="25" t="s">
        <v>33</v>
      </c>
      <c r="R74" s="26" t="s">
        <v>34</v>
      </c>
    </row>
    <row r="75" spans="1:18">
      <c r="A75" s="21">
        <v>4072</v>
      </c>
      <c r="B75" s="51">
        <v>5305</v>
      </c>
      <c r="C75" s="54" t="s">
        <v>112</v>
      </c>
      <c r="D75" s="51" t="s">
        <v>228</v>
      </c>
      <c r="E75" s="51" t="s">
        <v>295</v>
      </c>
      <c r="F75" s="63" t="s">
        <v>330</v>
      </c>
      <c r="G75" s="64" t="s">
        <v>340</v>
      </c>
      <c r="H75" s="55">
        <v>200</v>
      </c>
      <c r="I75" s="22" t="s">
        <v>12</v>
      </c>
      <c r="J75" s="47">
        <v>0</v>
      </c>
      <c r="K75" s="48">
        <f t="shared" si="1"/>
        <v>0</v>
      </c>
      <c r="L75" s="24"/>
      <c r="M75" s="23"/>
      <c r="N75" s="23"/>
      <c r="O75" s="23"/>
      <c r="P75" s="23"/>
      <c r="Q75" s="25" t="s">
        <v>33</v>
      </c>
      <c r="R75" s="26" t="s">
        <v>34</v>
      </c>
    </row>
    <row r="76" spans="1:18">
      <c r="A76" s="21">
        <v>4073</v>
      </c>
      <c r="B76" s="51">
        <v>5930</v>
      </c>
      <c r="C76" s="54" t="s">
        <v>113</v>
      </c>
      <c r="D76" s="51" t="s">
        <v>229</v>
      </c>
      <c r="E76" s="51" t="s">
        <v>296</v>
      </c>
      <c r="F76" s="63" t="s">
        <v>330</v>
      </c>
      <c r="G76" s="64" t="s">
        <v>339</v>
      </c>
      <c r="H76" s="55">
        <v>8</v>
      </c>
      <c r="I76" s="22" t="s">
        <v>12</v>
      </c>
      <c r="J76" s="47">
        <v>0</v>
      </c>
      <c r="K76" s="48">
        <f t="shared" si="1"/>
        <v>0</v>
      </c>
      <c r="L76" s="24"/>
      <c r="M76" s="23"/>
      <c r="N76" s="23"/>
      <c r="O76" s="23"/>
      <c r="P76" s="23"/>
      <c r="Q76" s="25" t="s">
        <v>33</v>
      </c>
      <c r="R76" s="26" t="s">
        <v>34</v>
      </c>
    </row>
    <row r="77" spans="1:18">
      <c r="A77" s="21">
        <v>4074</v>
      </c>
      <c r="B77" s="51">
        <v>5305</v>
      </c>
      <c r="C77" s="54" t="s">
        <v>114</v>
      </c>
      <c r="D77" s="51" t="s">
        <v>230</v>
      </c>
      <c r="E77" s="51" t="s">
        <v>23</v>
      </c>
      <c r="F77" s="63" t="s">
        <v>330</v>
      </c>
      <c r="G77" s="64" t="s">
        <v>340</v>
      </c>
      <c r="H77" s="55">
        <v>200</v>
      </c>
      <c r="I77" s="22" t="s">
        <v>12</v>
      </c>
      <c r="J77" s="47">
        <v>0</v>
      </c>
      <c r="K77" s="48">
        <f t="shared" si="1"/>
        <v>0</v>
      </c>
      <c r="L77" s="24"/>
      <c r="M77" s="23"/>
      <c r="N77" s="23"/>
      <c r="O77" s="23"/>
      <c r="P77" s="23"/>
      <c r="Q77" s="25" t="s">
        <v>33</v>
      </c>
      <c r="R77" s="26" t="s">
        <v>34</v>
      </c>
    </row>
    <row r="78" spans="1:18">
      <c r="A78" s="21">
        <v>4075</v>
      </c>
      <c r="B78" s="51">
        <v>5331</v>
      </c>
      <c r="C78" s="54" t="s">
        <v>115</v>
      </c>
      <c r="D78" s="51" t="s">
        <v>231</v>
      </c>
      <c r="E78" s="51" t="s">
        <v>277</v>
      </c>
      <c r="F78" s="63" t="s">
        <v>330</v>
      </c>
      <c r="G78" s="64" t="s">
        <v>333</v>
      </c>
      <c r="H78" s="55">
        <v>25</v>
      </c>
      <c r="I78" s="22" t="s">
        <v>12</v>
      </c>
      <c r="J78" s="47">
        <v>0</v>
      </c>
      <c r="K78" s="48">
        <f t="shared" si="1"/>
        <v>0</v>
      </c>
      <c r="L78" s="24"/>
      <c r="M78" s="23"/>
      <c r="N78" s="23"/>
      <c r="O78" s="23"/>
      <c r="P78" s="23"/>
      <c r="Q78" s="25" t="s">
        <v>33</v>
      </c>
      <c r="R78" s="26" t="s">
        <v>34</v>
      </c>
    </row>
    <row r="79" spans="1:18">
      <c r="A79" s="21">
        <v>4076</v>
      </c>
      <c r="B79" s="51">
        <v>5310</v>
      </c>
      <c r="C79" s="54" t="s">
        <v>116</v>
      </c>
      <c r="D79" s="51" t="s">
        <v>232</v>
      </c>
      <c r="E79" s="51" t="s">
        <v>294</v>
      </c>
      <c r="F79" s="63" t="s">
        <v>330</v>
      </c>
      <c r="G79" s="64" t="s">
        <v>335</v>
      </c>
      <c r="H79" s="55">
        <v>2000</v>
      </c>
      <c r="I79" s="22" t="s">
        <v>12</v>
      </c>
      <c r="J79" s="47">
        <v>0</v>
      </c>
      <c r="K79" s="48">
        <f t="shared" si="1"/>
        <v>0</v>
      </c>
      <c r="L79" s="24"/>
      <c r="M79" s="23"/>
      <c r="N79" s="23"/>
      <c r="O79" s="23"/>
      <c r="P79" s="23"/>
      <c r="Q79" s="25" t="s">
        <v>33</v>
      </c>
      <c r="R79" s="26" t="s">
        <v>34</v>
      </c>
    </row>
    <row r="80" spans="1:18">
      <c r="A80" s="21">
        <v>4077</v>
      </c>
      <c r="B80" s="51">
        <v>5305</v>
      </c>
      <c r="C80" s="54" t="s">
        <v>117</v>
      </c>
      <c r="D80" s="51" t="s">
        <v>233</v>
      </c>
      <c r="E80" s="51" t="s">
        <v>30</v>
      </c>
      <c r="F80" s="63" t="s">
        <v>330</v>
      </c>
      <c r="G80" s="64" t="s">
        <v>339</v>
      </c>
      <c r="H80" s="55">
        <v>400</v>
      </c>
      <c r="I80" s="22" t="s">
        <v>12</v>
      </c>
      <c r="J80" s="47">
        <v>0</v>
      </c>
      <c r="K80" s="48">
        <f t="shared" si="1"/>
        <v>0</v>
      </c>
      <c r="L80" s="24"/>
      <c r="M80" s="23"/>
      <c r="N80" s="23"/>
      <c r="O80" s="23"/>
      <c r="P80" s="23"/>
      <c r="Q80" s="25" t="s">
        <v>33</v>
      </c>
      <c r="R80" s="26" t="s">
        <v>34</v>
      </c>
    </row>
    <row r="81" spans="1:18">
      <c r="A81" s="21">
        <v>4078</v>
      </c>
      <c r="B81" s="51">
        <v>5325</v>
      </c>
      <c r="C81" s="54" t="s">
        <v>118</v>
      </c>
      <c r="D81" s="51" t="s">
        <v>234</v>
      </c>
      <c r="E81" s="51" t="s">
        <v>297</v>
      </c>
      <c r="F81" s="63" t="s">
        <v>330</v>
      </c>
      <c r="G81" s="64" t="s">
        <v>340</v>
      </c>
      <c r="H81" s="55">
        <v>1600</v>
      </c>
      <c r="I81" s="22" t="s">
        <v>12</v>
      </c>
      <c r="J81" s="47">
        <v>0</v>
      </c>
      <c r="K81" s="48">
        <f t="shared" si="1"/>
        <v>0</v>
      </c>
      <c r="L81" s="24"/>
      <c r="M81" s="23"/>
      <c r="N81" s="23"/>
      <c r="O81" s="23"/>
      <c r="P81" s="23"/>
      <c r="Q81" s="25" t="s">
        <v>33</v>
      </c>
      <c r="R81" s="26" t="s">
        <v>34</v>
      </c>
    </row>
    <row r="82" spans="1:18">
      <c r="A82" s="21">
        <v>4079</v>
      </c>
      <c r="B82" s="51">
        <v>5331</v>
      </c>
      <c r="C82" s="54" t="s">
        <v>119</v>
      </c>
      <c r="D82" s="51" t="s">
        <v>235</v>
      </c>
      <c r="E82" s="51" t="s">
        <v>277</v>
      </c>
      <c r="F82" s="63" t="s">
        <v>330</v>
      </c>
      <c r="G82" s="64" t="s">
        <v>339</v>
      </c>
      <c r="H82" s="55">
        <v>50</v>
      </c>
      <c r="I82" s="22" t="s">
        <v>12</v>
      </c>
      <c r="J82" s="47">
        <v>0</v>
      </c>
      <c r="K82" s="48">
        <f t="shared" si="1"/>
        <v>0</v>
      </c>
      <c r="L82" s="24"/>
      <c r="M82" s="23"/>
      <c r="N82" s="23"/>
      <c r="O82" s="23"/>
      <c r="P82" s="23"/>
      <c r="Q82" s="25" t="s">
        <v>33</v>
      </c>
      <c r="R82" s="26" t="s">
        <v>34</v>
      </c>
    </row>
    <row r="83" spans="1:18">
      <c r="A83" s="21">
        <v>4080</v>
      </c>
      <c r="B83" s="51">
        <v>5331</v>
      </c>
      <c r="C83" s="54" t="s">
        <v>120</v>
      </c>
      <c r="D83" s="51" t="s">
        <v>236</v>
      </c>
      <c r="E83" s="51" t="s">
        <v>277</v>
      </c>
      <c r="F83" s="63" t="s">
        <v>330</v>
      </c>
      <c r="G83" s="64" t="s">
        <v>335</v>
      </c>
      <c r="H83" s="55">
        <v>80</v>
      </c>
      <c r="I83" s="22" t="s">
        <v>12</v>
      </c>
      <c r="J83" s="47">
        <v>0</v>
      </c>
      <c r="K83" s="49">
        <f t="shared" si="1"/>
        <v>0</v>
      </c>
      <c r="L83" s="24"/>
      <c r="M83" s="28"/>
      <c r="N83" s="28"/>
      <c r="O83" s="28"/>
      <c r="P83" s="28"/>
      <c r="Q83" s="25" t="s">
        <v>33</v>
      </c>
      <c r="R83" s="26" t="s">
        <v>34</v>
      </c>
    </row>
    <row r="84" spans="1:18">
      <c r="A84" s="21">
        <v>4081</v>
      </c>
      <c r="B84" s="51">
        <v>5315</v>
      </c>
      <c r="C84" s="54" t="s">
        <v>121</v>
      </c>
      <c r="D84" s="51" t="s">
        <v>237</v>
      </c>
      <c r="E84" s="51" t="s">
        <v>298</v>
      </c>
      <c r="F84" s="63" t="s">
        <v>330</v>
      </c>
      <c r="G84" s="64" t="s">
        <v>339</v>
      </c>
      <c r="H84" s="55">
        <v>100</v>
      </c>
      <c r="I84" s="22" t="s">
        <v>12</v>
      </c>
      <c r="J84" s="47">
        <v>0</v>
      </c>
      <c r="K84" s="48">
        <f t="shared" si="1"/>
        <v>0</v>
      </c>
      <c r="L84" s="24"/>
      <c r="M84" s="23"/>
      <c r="N84" s="23"/>
      <c r="O84" s="23"/>
      <c r="P84" s="23"/>
      <c r="Q84" s="25" t="s">
        <v>33</v>
      </c>
      <c r="R84" s="26" t="s">
        <v>34</v>
      </c>
    </row>
    <row r="85" spans="1:18">
      <c r="A85" s="21">
        <v>4082</v>
      </c>
      <c r="B85" s="51">
        <v>5340</v>
      </c>
      <c r="C85" s="54" t="s">
        <v>122</v>
      </c>
      <c r="D85" s="51" t="s">
        <v>238</v>
      </c>
      <c r="E85" s="51" t="s">
        <v>299</v>
      </c>
      <c r="F85" s="63" t="s">
        <v>330</v>
      </c>
      <c r="G85" s="64" t="s">
        <v>338</v>
      </c>
      <c r="H85" s="55">
        <v>100</v>
      </c>
      <c r="I85" s="22" t="s">
        <v>12</v>
      </c>
      <c r="J85" s="47">
        <v>0</v>
      </c>
      <c r="K85" s="48">
        <f t="shared" si="1"/>
        <v>0</v>
      </c>
      <c r="L85" s="24"/>
      <c r="M85" s="23"/>
      <c r="N85" s="23"/>
      <c r="O85" s="23"/>
      <c r="P85" s="23"/>
      <c r="Q85" s="25" t="s">
        <v>33</v>
      </c>
      <c r="R85" s="26" t="s">
        <v>34</v>
      </c>
    </row>
    <row r="86" spans="1:18">
      <c r="A86" s="21">
        <v>4083</v>
      </c>
      <c r="B86" s="51">
        <v>4020</v>
      </c>
      <c r="C86" s="54" t="s">
        <v>123</v>
      </c>
      <c r="D86" s="51" t="s">
        <v>239</v>
      </c>
      <c r="E86" s="51" t="s">
        <v>300</v>
      </c>
      <c r="F86" s="63" t="s">
        <v>330</v>
      </c>
      <c r="G86" s="64" t="s">
        <v>340</v>
      </c>
      <c r="H86" s="55">
        <v>150</v>
      </c>
      <c r="I86" s="22" t="s">
        <v>12</v>
      </c>
      <c r="J86" s="47">
        <v>0</v>
      </c>
      <c r="K86" s="48">
        <f t="shared" si="1"/>
        <v>0</v>
      </c>
      <c r="L86" s="24"/>
      <c r="M86" s="23"/>
      <c r="N86" s="23"/>
      <c r="O86" s="23"/>
      <c r="P86" s="23"/>
      <c r="Q86" s="25" t="s">
        <v>33</v>
      </c>
      <c r="R86" s="26" t="s">
        <v>34</v>
      </c>
    </row>
    <row r="87" spans="1:18">
      <c r="A87" s="21">
        <v>4084</v>
      </c>
      <c r="B87" s="51">
        <v>4020</v>
      </c>
      <c r="C87" s="54" t="s">
        <v>124</v>
      </c>
      <c r="D87" s="51" t="s">
        <v>240</v>
      </c>
      <c r="E87" s="51" t="s">
        <v>300</v>
      </c>
      <c r="F87" s="63" t="s">
        <v>330</v>
      </c>
      <c r="G87" s="64" t="s">
        <v>340</v>
      </c>
      <c r="H87" s="55">
        <v>300</v>
      </c>
      <c r="I87" s="22" t="s">
        <v>12</v>
      </c>
      <c r="J87" s="47">
        <v>0</v>
      </c>
      <c r="K87" s="48">
        <f t="shared" si="1"/>
        <v>0</v>
      </c>
      <c r="L87" s="24"/>
      <c r="M87" s="23"/>
      <c r="N87" s="23"/>
      <c r="O87" s="23"/>
      <c r="P87" s="23"/>
      <c r="Q87" s="25" t="s">
        <v>33</v>
      </c>
      <c r="R87" s="26" t="s">
        <v>34</v>
      </c>
    </row>
    <row r="88" spans="1:18">
      <c r="A88" s="21">
        <v>4085</v>
      </c>
      <c r="B88" s="51">
        <v>5305</v>
      </c>
      <c r="C88" s="54" t="s">
        <v>125</v>
      </c>
      <c r="D88" s="51" t="s">
        <v>241</v>
      </c>
      <c r="E88" s="51" t="s">
        <v>30</v>
      </c>
      <c r="F88" s="63" t="s">
        <v>330</v>
      </c>
      <c r="G88" s="64" t="s">
        <v>338</v>
      </c>
      <c r="H88" s="55">
        <v>400</v>
      </c>
      <c r="I88" s="22" t="s">
        <v>12</v>
      </c>
      <c r="J88" s="47">
        <v>0</v>
      </c>
      <c r="K88" s="48">
        <f t="shared" si="1"/>
        <v>0</v>
      </c>
      <c r="L88" s="24"/>
      <c r="M88" s="23"/>
      <c r="N88" s="23"/>
      <c r="O88" s="23"/>
      <c r="P88" s="23"/>
      <c r="Q88" s="25" t="s">
        <v>33</v>
      </c>
      <c r="R88" s="26" t="s">
        <v>34</v>
      </c>
    </row>
    <row r="89" spans="1:18">
      <c r="A89" s="21">
        <v>4086</v>
      </c>
      <c r="B89" s="51">
        <v>5305</v>
      </c>
      <c r="C89" s="54" t="s">
        <v>126</v>
      </c>
      <c r="D89" s="51" t="s">
        <v>242</v>
      </c>
      <c r="E89" s="51" t="s">
        <v>30</v>
      </c>
      <c r="F89" s="63" t="s">
        <v>330</v>
      </c>
      <c r="G89" s="64" t="s">
        <v>338</v>
      </c>
      <c r="H89" s="55">
        <v>200</v>
      </c>
      <c r="I89" s="22" t="s">
        <v>12</v>
      </c>
      <c r="J89" s="47">
        <v>0</v>
      </c>
      <c r="K89" s="48">
        <f t="shared" si="1"/>
        <v>0</v>
      </c>
      <c r="L89" s="24"/>
      <c r="M89" s="23"/>
      <c r="N89" s="23"/>
      <c r="O89" s="23"/>
      <c r="P89" s="23"/>
      <c r="Q89" s="25" t="s">
        <v>33</v>
      </c>
      <c r="R89" s="26" t="s">
        <v>34</v>
      </c>
    </row>
    <row r="90" spans="1:18">
      <c r="A90" s="21">
        <v>4087</v>
      </c>
      <c r="B90" s="51">
        <v>5310</v>
      </c>
      <c r="C90" s="54" t="s">
        <v>127</v>
      </c>
      <c r="D90" s="51" t="s">
        <v>243</v>
      </c>
      <c r="E90" s="51" t="s">
        <v>27</v>
      </c>
      <c r="F90" s="63" t="s">
        <v>330</v>
      </c>
      <c r="G90" s="64" t="s">
        <v>339</v>
      </c>
      <c r="H90" s="55">
        <v>100</v>
      </c>
      <c r="I90" s="22" t="s">
        <v>12</v>
      </c>
      <c r="J90" s="47">
        <v>0</v>
      </c>
      <c r="K90" s="48">
        <f t="shared" si="1"/>
        <v>0</v>
      </c>
      <c r="L90" s="24"/>
      <c r="M90" s="23"/>
      <c r="N90" s="23"/>
      <c r="O90" s="23"/>
      <c r="P90" s="23"/>
      <c r="Q90" s="25" t="s">
        <v>33</v>
      </c>
      <c r="R90" s="26" t="s">
        <v>34</v>
      </c>
    </row>
    <row r="91" spans="1:18">
      <c r="A91" s="21">
        <v>4088</v>
      </c>
      <c r="B91" s="51">
        <v>5315</v>
      </c>
      <c r="C91" s="54" t="s">
        <v>128</v>
      </c>
      <c r="D91" s="51" t="s">
        <v>244</v>
      </c>
      <c r="E91" s="51" t="s">
        <v>301</v>
      </c>
      <c r="F91" s="63" t="s">
        <v>330</v>
      </c>
      <c r="G91" s="64" t="s">
        <v>339</v>
      </c>
      <c r="H91" s="55">
        <v>20</v>
      </c>
      <c r="I91" s="22" t="s">
        <v>12</v>
      </c>
      <c r="J91" s="47">
        <v>0</v>
      </c>
      <c r="K91" s="48">
        <f t="shared" si="1"/>
        <v>0</v>
      </c>
      <c r="L91" s="24"/>
      <c r="M91" s="23"/>
      <c r="N91" s="23"/>
      <c r="O91" s="23"/>
      <c r="P91" s="23"/>
      <c r="Q91" s="25" t="s">
        <v>33</v>
      </c>
      <c r="R91" s="26" t="s">
        <v>34</v>
      </c>
    </row>
    <row r="92" spans="1:18">
      <c r="A92" s="21">
        <v>4089</v>
      </c>
      <c r="B92" s="51" t="s">
        <v>21</v>
      </c>
      <c r="C92" s="54" t="s">
        <v>129</v>
      </c>
      <c r="D92" s="51" t="s">
        <v>245</v>
      </c>
      <c r="E92" s="51" t="s">
        <v>302</v>
      </c>
      <c r="F92" s="63" t="s">
        <v>330</v>
      </c>
      <c r="G92" s="64" t="s">
        <v>341</v>
      </c>
      <c r="H92" s="55">
        <v>50</v>
      </c>
      <c r="I92" s="22" t="s">
        <v>12</v>
      </c>
      <c r="J92" s="47">
        <v>0</v>
      </c>
      <c r="K92" s="48">
        <f t="shared" si="1"/>
        <v>0</v>
      </c>
      <c r="L92" s="24"/>
      <c r="M92" s="23"/>
      <c r="N92" s="23"/>
      <c r="O92" s="23"/>
      <c r="P92" s="23"/>
      <c r="Q92" s="25" t="s">
        <v>33</v>
      </c>
      <c r="R92" s="26" t="s">
        <v>34</v>
      </c>
    </row>
    <row r="93" spans="1:18">
      <c r="A93" s="21">
        <v>4090</v>
      </c>
      <c r="B93" s="51">
        <v>5975</v>
      </c>
      <c r="C93" s="54" t="s">
        <v>130</v>
      </c>
      <c r="D93" s="51" t="s">
        <v>246</v>
      </c>
      <c r="E93" s="51" t="s">
        <v>303</v>
      </c>
      <c r="F93" s="63" t="s">
        <v>330</v>
      </c>
      <c r="G93" s="64" t="s">
        <v>339</v>
      </c>
      <c r="H93" s="55">
        <v>2000</v>
      </c>
      <c r="I93" s="22" t="s">
        <v>12</v>
      </c>
      <c r="J93" s="47">
        <v>0</v>
      </c>
      <c r="K93" s="48">
        <f t="shared" si="1"/>
        <v>0</v>
      </c>
      <c r="L93" s="24"/>
      <c r="M93" s="23"/>
      <c r="N93" s="23"/>
      <c r="O93" s="23"/>
      <c r="P93" s="23"/>
      <c r="Q93" s="25" t="s">
        <v>33</v>
      </c>
      <c r="R93" s="26" t="s">
        <v>34</v>
      </c>
    </row>
    <row r="94" spans="1:18">
      <c r="A94" s="21">
        <v>4091</v>
      </c>
      <c r="B94" s="51">
        <v>5330</v>
      </c>
      <c r="C94" s="54" t="s">
        <v>131</v>
      </c>
      <c r="D94" s="51" t="s">
        <v>247</v>
      </c>
      <c r="E94" s="51" t="s">
        <v>26</v>
      </c>
      <c r="F94" s="63" t="s">
        <v>330</v>
      </c>
      <c r="G94" s="64" t="s">
        <v>339</v>
      </c>
      <c r="H94" s="55">
        <v>80</v>
      </c>
      <c r="I94" s="22" t="s">
        <v>12</v>
      </c>
      <c r="J94" s="47">
        <v>0</v>
      </c>
      <c r="K94" s="48">
        <f t="shared" si="1"/>
        <v>0</v>
      </c>
      <c r="L94" s="24"/>
      <c r="M94" s="23"/>
      <c r="N94" s="23"/>
      <c r="O94" s="23"/>
      <c r="P94" s="23"/>
      <c r="Q94" s="25" t="s">
        <v>33</v>
      </c>
      <c r="R94" s="26" t="s">
        <v>34</v>
      </c>
    </row>
    <row r="95" spans="1:18">
      <c r="A95" s="21">
        <v>4092</v>
      </c>
      <c r="B95" s="51">
        <v>5331</v>
      </c>
      <c r="C95" s="54" t="s">
        <v>132</v>
      </c>
      <c r="D95" s="51" t="s">
        <v>248</v>
      </c>
      <c r="E95" s="51" t="s">
        <v>277</v>
      </c>
      <c r="F95" s="63" t="s">
        <v>330</v>
      </c>
      <c r="G95" s="64" t="s">
        <v>340</v>
      </c>
      <c r="H95" s="55">
        <v>50</v>
      </c>
      <c r="I95" s="22" t="s">
        <v>12</v>
      </c>
      <c r="J95" s="47">
        <v>0</v>
      </c>
      <c r="K95" s="48">
        <f t="shared" si="1"/>
        <v>0</v>
      </c>
      <c r="L95" s="24"/>
      <c r="M95" s="23"/>
      <c r="N95" s="23"/>
      <c r="O95" s="23"/>
      <c r="P95" s="23"/>
      <c r="Q95" s="25" t="s">
        <v>33</v>
      </c>
      <c r="R95" s="26" t="s">
        <v>34</v>
      </c>
    </row>
    <row r="96" spans="1:18">
      <c r="A96" s="21">
        <v>4093</v>
      </c>
      <c r="B96" s="51">
        <v>5340</v>
      </c>
      <c r="C96" s="54" t="s">
        <v>133</v>
      </c>
      <c r="D96" s="51" t="s">
        <v>249</v>
      </c>
      <c r="E96" s="51" t="s">
        <v>31</v>
      </c>
      <c r="F96" s="63" t="s">
        <v>330</v>
      </c>
      <c r="G96" s="64" t="s">
        <v>339</v>
      </c>
      <c r="H96" s="55">
        <v>150</v>
      </c>
      <c r="I96" s="22" t="s">
        <v>12</v>
      </c>
      <c r="J96" s="47">
        <v>0</v>
      </c>
      <c r="K96" s="48">
        <f t="shared" si="1"/>
        <v>0</v>
      </c>
      <c r="L96" s="24"/>
      <c r="M96" s="23"/>
      <c r="N96" s="23"/>
      <c r="O96" s="23"/>
      <c r="P96" s="23"/>
      <c r="Q96" s="25" t="s">
        <v>33</v>
      </c>
      <c r="R96" s="26" t="s">
        <v>34</v>
      </c>
    </row>
    <row r="97" spans="1:18">
      <c r="A97" s="21">
        <v>4094</v>
      </c>
      <c r="B97" s="51">
        <v>5930</v>
      </c>
      <c r="C97" s="54" t="s">
        <v>134</v>
      </c>
      <c r="D97" s="51" t="s">
        <v>250</v>
      </c>
      <c r="E97" s="51" t="s">
        <v>304</v>
      </c>
      <c r="F97" s="63" t="s">
        <v>330</v>
      </c>
      <c r="G97" s="64" t="s">
        <v>340</v>
      </c>
      <c r="H97" s="55">
        <v>10</v>
      </c>
      <c r="I97" s="22" t="s">
        <v>12</v>
      </c>
      <c r="J97" s="47">
        <v>0</v>
      </c>
      <c r="K97" s="48">
        <f t="shared" si="1"/>
        <v>0</v>
      </c>
      <c r="L97" s="24"/>
      <c r="M97" s="23"/>
      <c r="N97" s="23"/>
      <c r="O97" s="23"/>
      <c r="P97" s="23"/>
      <c r="Q97" s="25" t="s">
        <v>33</v>
      </c>
      <c r="R97" s="26" t="s">
        <v>34</v>
      </c>
    </row>
    <row r="98" spans="1:18">
      <c r="A98" s="21">
        <v>4095</v>
      </c>
      <c r="B98" s="51">
        <v>5315</v>
      </c>
      <c r="C98" s="54" t="s">
        <v>135</v>
      </c>
      <c r="D98" s="51" t="s">
        <v>251</v>
      </c>
      <c r="E98" s="51" t="s">
        <v>305</v>
      </c>
      <c r="F98" s="63" t="s">
        <v>330</v>
      </c>
      <c r="G98" s="64" t="s">
        <v>340</v>
      </c>
      <c r="H98" s="55">
        <v>8000</v>
      </c>
      <c r="I98" s="22" t="s">
        <v>12</v>
      </c>
      <c r="J98" s="47">
        <v>0</v>
      </c>
      <c r="K98" s="48">
        <f t="shared" si="1"/>
        <v>0</v>
      </c>
      <c r="L98" s="24"/>
      <c r="M98" s="23"/>
      <c r="N98" s="23"/>
      <c r="O98" s="23"/>
      <c r="P98" s="23"/>
      <c r="Q98" s="25" t="s">
        <v>33</v>
      </c>
      <c r="R98" s="26" t="s">
        <v>34</v>
      </c>
    </row>
    <row r="99" spans="1:18">
      <c r="A99" s="21">
        <v>4096</v>
      </c>
      <c r="B99" s="51">
        <v>5305</v>
      </c>
      <c r="C99" s="54" t="s">
        <v>136</v>
      </c>
      <c r="D99" s="51" t="s">
        <v>252</v>
      </c>
      <c r="E99" s="51" t="s">
        <v>30</v>
      </c>
      <c r="F99" s="63" t="s">
        <v>330</v>
      </c>
      <c r="G99" s="64" t="s">
        <v>339</v>
      </c>
      <c r="H99" s="55">
        <v>300</v>
      </c>
      <c r="I99" s="22" t="s">
        <v>12</v>
      </c>
      <c r="J99" s="47">
        <v>0</v>
      </c>
      <c r="K99" s="48">
        <f t="shared" si="1"/>
        <v>0</v>
      </c>
      <c r="L99" s="24"/>
      <c r="M99" s="23"/>
      <c r="N99" s="23"/>
      <c r="O99" s="23"/>
      <c r="P99" s="23"/>
      <c r="Q99" s="25" t="s">
        <v>33</v>
      </c>
      <c r="R99" s="26" t="s">
        <v>34</v>
      </c>
    </row>
    <row r="100" spans="1:18">
      <c r="A100" s="21">
        <v>4097</v>
      </c>
      <c r="B100" s="51">
        <v>5306</v>
      </c>
      <c r="C100" s="54" t="s">
        <v>137</v>
      </c>
      <c r="D100" s="51" t="s">
        <v>253</v>
      </c>
      <c r="E100" s="51" t="s">
        <v>23</v>
      </c>
      <c r="F100" s="63" t="s">
        <v>330</v>
      </c>
      <c r="G100" s="64" t="s">
        <v>339</v>
      </c>
      <c r="H100" s="55">
        <v>50</v>
      </c>
      <c r="I100" s="22" t="s">
        <v>12</v>
      </c>
      <c r="J100" s="47">
        <v>0</v>
      </c>
      <c r="K100" s="48">
        <f t="shared" si="1"/>
        <v>0</v>
      </c>
      <c r="L100" s="24"/>
      <c r="M100" s="23"/>
      <c r="N100" s="23"/>
      <c r="O100" s="23"/>
      <c r="P100" s="23"/>
      <c r="Q100" s="25" t="s">
        <v>33</v>
      </c>
      <c r="R100" s="26" t="s">
        <v>34</v>
      </c>
    </row>
    <row r="101" spans="1:18">
      <c r="A101" s="21">
        <v>4098</v>
      </c>
      <c r="B101" s="51">
        <v>5310</v>
      </c>
      <c r="C101" s="54" t="s">
        <v>138</v>
      </c>
      <c r="D101" s="51" t="s">
        <v>254</v>
      </c>
      <c r="E101" s="51" t="s">
        <v>294</v>
      </c>
      <c r="F101" s="63" t="s">
        <v>330</v>
      </c>
      <c r="G101" s="64" t="s">
        <v>340</v>
      </c>
      <c r="H101" s="55">
        <v>3000</v>
      </c>
      <c r="I101" s="22" t="s">
        <v>12</v>
      </c>
      <c r="J101" s="47">
        <v>0</v>
      </c>
      <c r="K101" s="48">
        <f t="shared" si="1"/>
        <v>0</v>
      </c>
      <c r="L101" s="24"/>
      <c r="M101" s="23"/>
      <c r="N101" s="23"/>
      <c r="O101" s="23"/>
      <c r="P101" s="23"/>
      <c r="Q101" s="25" t="s">
        <v>33</v>
      </c>
      <c r="R101" s="26" t="s">
        <v>34</v>
      </c>
    </row>
    <row r="102" spans="1:18">
      <c r="A102" s="21">
        <v>4099</v>
      </c>
      <c r="B102" s="51">
        <v>5330</v>
      </c>
      <c r="C102" s="54" t="s">
        <v>139</v>
      </c>
      <c r="D102" s="51" t="s">
        <v>255</v>
      </c>
      <c r="E102" s="51" t="s">
        <v>306</v>
      </c>
      <c r="F102" s="63" t="s">
        <v>330</v>
      </c>
      <c r="G102" s="64" t="s">
        <v>331</v>
      </c>
      <c r="H102" s="55">
        <v>30000</v>
      </c>
      <c r="I102" s="22" t="s">
        <v>12</v>
      </c>
      <c r="J102" s="47">
        <v>0</v>
      </c>
      <c r="K102" s="48">
        <f t="shared" si="1"/>
        <v>0</v>
      </c>
      <c r="L102" s="24"/>
      <c r="M102" s="23"/>
      <c r="N102" s="23"/>
      <c r="O102" s="23"/>
      <c r="P102" s="23"/>
      <c r="Q102" s="25" t="s">
        <v>33</v>
      </c>
      <c r="R102" s="26" t="s">
        <v>34</v>
      </c>
    </row>
    <row r="103" spans="1:18">
      <c r="A103" s="21">
        <v>4100</v>
      </c>
      <c r="B103" s="51">
        <v>5330</v>
      </c>
      <c r="C103" s="54" t="s">
        <v>140</v>
      </c>
      <c r="D103" s="51">
        <v>1750</v>
      </c>
      <c r="E103" s="51" t="s">
        <v>307</v>
      </c>
      <c r="F103" s="63" t="s">
        <v>330</v>
      </c>
      <c r="G103" s="64" t="s">
        <v>340</v>
      </c>
      <c r="H103" s="55">
        <v>300</v>
      </c>
      <c r="I103" s="22" t="s">
        <v>12</v>
      </c>
      <c r="J103" s="47">
        <v>0</v>
      </c>
      <c r="K103" s="48">
        <f t="shared" si="1"/>
        <v>0</v>
      </c>
      <c r="L103" s="24"/>
      <c r="M103" s="23"/>
      <c r="N103" s="23"/>
      <c r="O103" s="23"/>
      <c r="P103" s="23"/>
      <c r="Q103" s="25" t="s">
        <v>33</v>
      </c>
      <c r="R103" s="26" t="s">
        <v>34</v>
      </c>
    </row>
    <row r="104" spans="1:18">
      <c r="A104" s="21">
        <v>4101</v>
      </c>
      <c r="B104" s="51">
        <v>4730</v>
      </c>
      <c r="C104" s="54" t="s">
        <v>141</v>
      </c>
      <c r="D104" s="51" t="s">
        <v>256</v>
      </c>
      <c r="E104" s="51" t="s">
        <v>308</v>
      </c>
      <c r="F104" s="63" t="s">
        <v>330</v>
      </c>
      <c r="G104" s="64" t="s">
        <v>337</v>
      </c>
      <c r="H104" s="55">
        <v>30</v>
      </c>
      <c r="I104" s="22" t="s">
        <v>12</v>
      </c>
      <c r="J104" s="47">
        <v>0</v>
      </c>
      <c r="K104" s="48">
        <f t="shared" si="1"/>
        <v>0</v>
      </c>
      <c r="L104" s="24"/>
      <c r="M104" s="23"/>
      <c r="N104" s="23"/>
      <c r="O104" s="23"/>
      <c r="P104" s="23"/>
      <c r="Q104" s="25" t="s">
        <v>33</v>
      </c>
      <c r="R104" s="26" t="s">
        <v>34</v>
      </c>
    </row>
    <row r="105" spans="1:18">
      <c r="A105" s="21">
        <v>4102</v>
      </c>
      <c r="B105" s="51">
        <v>5305</v>
      </c>
      <c r="C105" s="54" t="s">
        <v>142</v>
      </c>
      <c r="D105" s="51" t="s">
        <v>257</v>
      </c>
      <c r="E105" s="51" t="s">
        <v>30</v>
      </c>
      <c r="F105" s="63" t="s">
        <v>330</v>
      </c>
      <c r="G105" s="64" t="s">
        <v>340</v>
      </c>
      <c r="H105" s="55">
        <v>350</v>
      </c>
      <c r="I105" s="22" t="s">
        <v>12</v>
      </c>
      <c r="J105" s="47">
        <v>0</v>
      </c>
      <c r="K105" s="48">
        <f t="shared" si="1"/>
        <v>0</v>
      </c>
      <c r="L105" s="24"/>
      <c r="M105" s="23"/>
      <c r="N105" s="23"/>
      <c r="O105" s="23"/>
      <c r="P105" s="23"/>
      <c r="Q105" s="25" t="s">
        <v>33</v>
      </c>
      <c r="R105" s="26" t="s">
        <v>34</v>
      </c>
    </row>
    <row r="106" spans="1:18">
      <c r="A106" s="21">
        <v>4103</v>
      </c>
      <c r="B106" s="51">
        <v>5305</v>
      </c>
      <c r="C106" s="54" t="s">
        <v>143</v>
      </c>
      <c r="D106" s="51" t="s">
        <v>258</v>
      </c>
      <c r="E106" s="51" t="s">
        <v>30</v>
      </c>
      <c r="F106" s="63" t="s">
        <v>330</v>
      </c>
      <c r="G106" s="64" t="s">
        <v>340</v>
      </c>
      <c r="H106" s="55">
        <v>600</v>
      </c>
      <c r="I106" s="22" t="s">
        <v>12</v>
      </c>
      <c r="J106" s="47">
        <v>0</v>
      </c>
      <c r="K106" s="48">
        <f t="shared" si="1"/>
        <v>0</v>
      </c>
      <c r="L106" s="24"/>
      <c r="M106" s="23"/>
      <c r="N106" s="23"/>
      <c r="O106" s="23"/>
      <c r="P106" s="23"/>
      <c r="Q106" s="25" t="s">
        <v>33</v>
      </c>
      <c r="R106" s="26" t="s">
        <v>34</v>
      </c>
    </row>
    <row r="107" spans="1:18">
      <c r="A107" s="21">
        <v>4104</v>
      </c>
      <c r="B107" s="51">
        <v>5305</v>
      </c>
      <c r="C107" s="54" t="s">
        <v>144</v>
      </c>
      <c r="D107" s="51" t="s">
        <v>259</v>
      </c>
      <c r="E107" s="51" t="s">
        <v>30</v>
      </c>
      <c r="F107" s="63" t="s">
        <v>330</v>
      </c>
      <c r="G107" s="64" t="s">
        <v>340</v>
      </c>
      <c r="H107" s="55">
        <v>150</v>
      </c>
      <c r="I107" s="22" t="s">
        <v>12</v>
      </c>
      <c r="J107" s="47">
        <v>0</v>
      </c>
      <c r="K107" s="48">
        <f t="shared" si="1"/>
        <v>0</v>
      </c>
      <c r="L107" s="24"/>
      <c r="M107" s="23"/>
      <c r="N107" s="23"/>
      <c r="O107" s="23"/>
      <c r="P107" s="23"/>
      <c r="Q107" s="25" t="s">
        <v>33</v>
      </c>
      <c r="R107" s="26" t="s">
        <v>34</v>
      </c>
    </row>
    <row r="108" spans="1:18">
      <c r="A108" s="21">
        <v>4105</v>
      </c>
      <c r="B108" s="51">
        <v>5305</v>
      </c>
      <c r="C108" s="54" t="s">
        <v>145</v>
      </c>
      <c r="D108" s="51" t="s">
        <v>260</v>
      </c>
      <c r="E108" s="51" t="s">
        <v>30</v>
      </c>
      <c r="F108" s="63" t="s">
        <v>330</v>
      </c>
      <c r="G108" s="64" t="s">
        <v>340</v>
      </c>
      <c r="H108" s="55">
        <v>40</v>
      </c>
      <c r="I108" s="22" t="s">
        <v>12</v>
      </c>
      <c r="J108" s="47">
        <v>0</v>
      </c>
      <c r="K108" s="48">
        <f t="shared" si="1"/>
        <v>0</v>
      </c>
      <c r="L108" s="24"/>
      <c r="M108" s="23"/>
      <c r="N108" s="23"/>
      <c r="O108" s="23"/>
      <c r="P108" s="23"/>
      <c r="Q108" s="25" t="s">
        <v>33</v>
      </c>
      <c r="R108" s="26" t="s">
        <v>34</v>
      </c>
    </row>
    <row r="109" spans="1:18">
      <c r="A109" s="21">
        <v>4106</v>
      </c>
      <c r="B109" s="51">
        <v>5330</v>
      </c>
      <c r="C109" s="54" t="s">
        <v>146</v>
      </c>
      <c r="D109" s="51" t="s">
        <v>261</v>
      </c>
      <c r="E109" s="51" t="s">
        <v>309</v>
      </c>
      <c r="F109" s="63" t="s">
        <v>330</v>
      </c>
      <c r="G109" s="64" t="s">
        <v>338</v>
      </c>
      <c r="H109" s="55">
        <v>100</v>
      </c>
      <c r="I109" s="22" t="s">
        <v>12</v>
      </c>
      <c r="J109" s="47">
        <v>0</v>
      </c>
      <c r="K109" s="48">
        <f t="shared" si="1"/>
        <v>0</v>
      </c>
      <c r="L109" s="24"/>
      <c r="M109" s="23"/>
      <c r="N109" s="23"/>
      <c r="O109" s="23"/>
      <c r="P109" s="23"/>
      <c r="Q109" s="25" t="s">
        <v>33</v>
      </c>
      <c r="R109" s="26" t="s">
        <v>34</v>
      </c>
    </row>
    <row r="110" spans="1:18">
      <c r="A110" s="21">
        <v>4107</v>
      </c>
      <c r="B110" s="51">
        <v>5330</v>
      </c>
      <c r="C110" s="54" t="s">
        <v>147</v>
      </c>
      <c r="D110" s="51" t="s">
        <v>262</v>
      </c>
      <c r="E110" s="51" t="s">
        <v>309</v>
      </c>
      <c r="F110" s="63" t="s">
        <v>330</v>
      </c>
      <c r="G110" s="64" t="s">
        <v>337</v>
      </c>
      <c r="H110" s="55">
        <v>40</v>
      </c>
      <c r="I110" s="22" t="s">
        <v>12</v>
      </c>
      <c r="J110" s="47">
        <v>0</v>
      </c>
      <c r="K110" s="48">
        <f t="shared" si="1"/>
        <v>0</v>
      </c>
      <c r="L110" s="24"/>
      <c r="M110" s="23"/>
      <c r="N110" s="23"/>
      <c r="O110" s="23"/>
      <c r="P110" s="23"/>
      <c r="Q110" s="25" t="s">
        <v>33</v>
      </c>
      <c r="R110" s="26" t="s">
        <v>34</v>
      </c>
    </row>
    <row r="111" spans="1:18">
      <c r="A111" s="21">
        <v>4108</v>
      </c>
      <c r="B111" s="51">
        <v>5330</v>
      </c>
      <c r="C111" s="54" t="s">
        <v>148</v>
      </c>
      <c r="D111" s="51" t="s">
        <v>263</v>
      </c>
      <c r="E111" s="51" t="s">
        <v>309</v>
      </c>
      <c r="F111" s="63" t="s">
        <v>330</v>
      </c>
      <c r="G111" s="64" t="s">
        <v>338</v>
      </c>
      <c r="H111" s="55">
        <v>300</v>
      </c>
      <c r="I111" s="22" t="s">
        <v>12</v>
      </c>
      <c r="J111" s="47">
        <v>0</v>
      </c>
      <c r="K111" s="48">
        <f t="shared" si="1"/>
        <v>0</v>
      </c>
      <c r="L111" s="24"/>
      <c r="M111" s="23"/>
      <c r="N111" s="23"/>
      <c r="O111" s="23"/>
      <c r="P111" s="23"/>
      <c r="Q111" s="25" t="s">
        <v>33</v>
      </c>
      <c r="R111" s="26" t="s">
        <v>34</v>
      </c>
    </row>
    <row r="112" spans="1:18">
      <c r="A112" s="21">
        <v>4109</v>
      </c>
      <c r="B112" s="51">
        <v>5330</v>
      </c>
      <c r="C112" s="54" t="s">
        <v>149</v>
      </c>
      <c r="D112" s="51" t="s">
        <v>264</v>
      </c>
      <c r="E112" s="51" t="s">
        <v>310</v>
      </c>
      <c r="F112" s="63" t="s">
        <v>330</v>
      </c>
      <c r="G112" s="64" t="s">
        <v>337</v>
      </c>
      <c r="H112" s="55">
        <v>60</v>
      </c>
      <c r="I112" s="22" t="s">
        <v>12</v>
      </c>
      <c r="J112" s="47">
        <v>0</v>
      </c>
      <c r="K112" s="48">
        <f t="shared" si="1"/>
        <v>0</v>
      </c>
      <c r="L112" s="24"/>
      <c r="M112" s="23"/>
      <c r="N112" s="23"/>
      <c r="O112" s="23"/>
      <c r="P112" s="23"/>
      <c r="Q112" s="25" t="s">
        <v>33</v>
      </c>
      <c r="R112" s="26" t="s">
        <v>34</v>
      </c>
    </row>
    <row r="113" spans="1:18">
      <c r="A113" s="21">
        <v>4110</v>
      </c>
      <c r="B113" s="51">
        <v>5330</v>
      </c>
      <c r="C113" s="54" t="s">
        <v>150</v>
      </c>
      <c r="D113" s="51" t="s">
        <v>265</v>
      </c>
      <c r="E113" s="51" t="s">
        <v>310</v>
      </c>
      <c r="F113" s="63" t="s">
        <v>330</v>
      </c>
      <c r="G113" s="64" t="s">
        <v>337</v>
      </c>
      <c r="H113" s="55">
        <v>300</v>
      </c>
      <c r="I113" s="22" t="s">
        <v>12</v>
      </c>
      <c r="J113" s="47">
        <v>0</v>
      </c>
      <c r="K113" s="48">
        <f t="shared" si="1"/>
        <v>0</v>
      </c>
      <c r="L113" s="24"/>
      <c r="M113" s="23"/>
      <c r="N113" s="23"/>
      <c r="O113" s="23"/>
      <c r="P113" s="23"/>
      <c r="Q113" s="25" t="s">
        <v>33</v>
      </c>
      <c r="R113" s="26" t="s">
        <v>34</v>
      </c>
    </row>
    <row r="114" spans="1:18">
      <c r="A114" s="21">
        <v>4111</v>
      </c>
      <c r="B114" s="51">
        <v>5945</v>
      </c>
      <c r="C114" s="54" t="s">
        <v>151</v>
      </c>
      <c r="D114" s="51" t="s">
        <v>266</v>
      </c>
      <c r="E114" s="51" t="s">
        <v>311</v>
      </c>
      <c r="F114" s="63" t="s">
        <v>330</v>
      </c>
      <c r="G114" s="64" t="s">
        <v>331</v>
      </c>
      <c r="H114" s="55">
        <v>100</v>
      </c>
      <c r="I114" s="22" t="s">
        <v>12</v>
      </c>
      <c r="J114" s="47">
        <v>0</v>
      </c>
      <c r="K114" s="48">
        <f t="shared" si="1"/>
        <v>0</v>
      </c>
      <c r="L114" s="24"/>
      <c r="M114" s="23"/>
      <c r="N114" s="23"/>
      <c r="O114" s="23"/>
      <c r="P114" s="23"/>
      <c r="Q114" s="25" t="s">
        <v>33</v>
      </c>
      <c r="R114" s="26" t="s">
        <v>34</v>
      </c>
    </row>
    <row r="115" spans="1:18">
      <c r="A115" s="21">
        <v>4112</v>
      </c>
      <c r="B115" s="51">
        <v>5920</v>
      </c>
      <c r="C115" s="54" t="s">
        <v>152</v>
      </c>
      <c r="D115" s="51" t="s">
        <v>267</v>
      </c>
      <c r="E115" s="51" t="s">
        <v>312</v>
      </c>
      <c r="F115" s="63" t="s">
        <v>330</v>
      </c>
      <c r="G115" s="64" t="s">
        <v>338</v>
      </c>
      <c r="H115" s="55">
        <v>100</v>
      </c>
      <c r="I115" s="22" t="s">
        <v>12</v>
      </c>
      <c r="J115" s="47">
        <v>0</v>
      </c>
      <c r="K115" s="48">
        <f t="shared" si="1"/>
        <v>0</v>
      </c>
      <c r="L115" s="24"/>
      <c r="M115" s="23"/>
      <c r="N115" s="23"/>
      <c r="O115" s="23"/>
      <c r="P115" s="23"/>
      <c r="Q115" s="25" t="s">
        <v>33</v>
      </c>
      <c r="R115" s="26" t="s">
        <v>34</v>
      </c>
    </row>
    <row r="116" spans="1:18">
      <c r="A116" s="21">
        <v>4113</v>
      </c>
      <c r="B116" s="51">
        <v>5310</v>
      </c>
      <c r="C116" s="54" t="s">
        <v>153</v>
      </c>
      <c r="D116" s="51" t="s">
        <v>268</v>
      </c>
      <c r="E116" s="51" t="s">
        <v>294</v>
      </c>
      <c r="F116" s="63" t="s">
        <v>330</v>
      </c>
      <c r="G116" s="64" t="s">
        <v>335</v>
      </c>
      <c r="H116" s="55">
        <v>1500</v>
      </c>
      <c r="I116" s="22" t="s">
        <v>12</v>
      </c>
      <c r="J116" s="47">
        <v>0</v>
      </c>
      <c r="K116" s="48">
        <f t="shared" si="1"/>
        <v>0</v>
      </c>
      <c r="L116" s="24"/>
      <c r="M116" s="23"/>
      <c r="N116" s="23"/>
      <c r="O116" s="23"/>
      <c r="P116" s="23"/>
      <c r="Q116" s="25" t="s">
        <v>33</v>
      </c>
      <c r="R116" s="26" t="s">
        <v>34</v>
      </c>
    </row>
    <row r="117" spans="1:18">
      <c r="A117" s="21">
        <v>4114</v>
      </c>
      <c r="B117" s="51">
        <v>5365</v>
      </c>
      <c r="C117" s="54" t="s">
        <v>154</v>
      </c>
      <c r="D117" s="51">
        <v>4191553</v>
      </c>
      <c r="E117" s="51" t="s">
        <v>313</v>
      </c>
      <c r="F117" s="63" t="s">
        <v>330</v>
      </c>
      <c r="G117" s="64" t="s">
        <v>337</v>
      </c>
      <c r="H117" s="55">
        <v>25</v>
      </c>
      <c r="I117" s="22" t="s">
        <v>12</v>
      </c>
      <c r="J117" s="47">
        <v>0</v>
      </c>
      <c r="K117" s="48">
        <f t="shared" si="1"/>
        <v>0</v>
      </c>
      <c r="L117" s="24"/>
      <c r="M117" s="23"/>
      <c r="N117" s="23"/>
      <c r="O117" s="23"/>
      <c r="P117" s="23"/>
      <c r="Q117" s="25" t="s">
        <v>33</v>
      </c>
      <c r="R117" s="26" t="s">
        <v>34</v>
      </c>
    </row>
    <row r="118" spans="1:18">
      <c r="A118" s="21">
        <v>4115</v>
      </c>
      <c r="B118" s="51">
        <v>6220</v>
      </c>
      <c r="C118" s="54" t="s">
        <v>155</v>
      </c>
      <c r="D118" s="51">
        <v>4700770280</v>
      </c>
      <c r="E118" s="51" t="s">
        <v>314</v>
      </c>
      <c r="F118" s="63" t="s">
        <v>330</v>
      </c>
      <c r="G118" s="64" t="s">
        <v>340</v>
      </c>
      <c r="H118" s="55">
        <v>8</v>
      </c>
      <c r="I118" s="22" t="s">
        <v>12</v>
      </c>
      <c r="J118" s="47">
        <v>0</v>
      </c>
      <c r="K118" s="48">
        <f t="shared" si="1"/>
        <v>0</v>
      </c>
      <c r="L118" s="24"/>
      <c r="M118" s="23"/>
      <c r="N118" s="23"/>
      <c r="O118" s="23"/>
      <c r="P118" s="23"/>
      <c r="Q118" s="25" t="s">
        <v>33</v>
      </c>
      <c r="R118" s="26" t="s">
        <v>34</v>
      </c>
    </row>
    <row r="119" spans="1:18">
      <c r="A119" s="21">
        <v>4116</v>
      </c>
      <c r="B119" s="51">
        <v>5930</v>
      </c>
      <c r="C119" s="54" t="s">
        <v>156</v>
      </c>
      <c r="D119" s="51" t="s">
        <v>269</v>
      </c>
      <c r="E119" s="88" t="s">
        <v>315</v>
      </c>
      <c r="F119" s="63" t="s">
        <v>330</v>
      </c>
      <c r="G119" s="64" t="s">
        <v>340</v>
      </c>
      <c r="H119" s="55">
        <v>25</v>
      </c>
      <c r="I119" s="22" t="s">
        <v>12</v>
      </c>
      <c r="J119" s="79">
        <v>0</v>
      </c>
      <c r="K119" s="48">
        <f t="shared" si="1"/>
        <v>0</v>
      </c>
      <c r="L119" s="84"/>
      <c r="M119" s="23"/>
      <c r="N119" s="23"/>
      <c r="O119" s="23"/>
      <c r="P119" s="23"/>
      <c r="Q119" s="25" t="s">
        <v>33</v>
      </c>
      <c r="R119" s="86" t="s">
        <v>34</v>
      </c>
    </row>
    <row r="120" spans="1:18">
      <c r="A120" s="30"/>
      <c r="B120" s="39"/>
      <c r="C120" s="39"/>
      <c r="D120" s="31"/>
      <c r="E120" s="89"/>
      <c r="F120" s="89"/>
      <c r="G120" s="89"/>
      <c r="H120" s="90" t="s">
        <v>349</v>
      </c>
      <c r="I120" s="77"/>
      <c r="J120" s="78"/>
      <c r="K120" s="91">
        <f>SUM(K4:K119)</f>
        <v>0</v>
      </c>
      <c r="L120" s="85"/>
      <c r="M120" s="34"/>
      <c r="N120" s="34"/>
      <c r="O120" s="34"/>
      <c r="P120" s="34"/>
      <c r="Q120" s="34"/>
      <c r="R120" s="87"/>
    </row>
    <row r="121" spans="1:18">
      <c r="A121" s="30"/>
      <c r="B121" s="39"/>
      <c r="C121" s="39"/>
      <c r="D121" s="31"/>
      <c r="E121" s="31"/>
      <c r="F121" s="31"/>
      <c r="G121" s="31"/>
      <c r="H121" s="90" t="s">
        <v>350</v>
      </c>
      <c r="I121" s="77"/>
      <c r="J121" s="78"/>
      <c r="K121" s="91">
        <f>SUM(Base!K120+'Opt Yr 1'!K120+'Opt Yr 2'!K120+'Opt Yr 3'!K120+'Opt Yr 4'!K120)</f>
        <v>0</v>
      </c>
      <c r="L121" s="34"/>
      <c r="M121" s="34"/>
      <c r="N121" s="34"/>
      <c r="O121" s="34"/>
      <c r="P121" s="34"/>
      <c r="Q121" s="34"/>
      <c r="R121" s="35"/>
    </row>
  </sheetData>
  <conditionalFormatting sqref="I4:I119">
    <cfRule type="expression" dxfId="15" priority="11">
      <formula>MATCH("C",I4:M4,0)</formula>
    </cfRule>
  </conditionalFormatting>
  <conditionalFormatting sqref="J4:J119">
    <cfRule type="expression" dxfId="14" priority="12">
      <formula>MATCH("C",J4:M4,0)</formula>
    </cfRule>
  </conditionalFormatting>
  <conditionalFormatting sqref="Q3:Q119">
    <cfRule type="containsText" dxfId="13" priority="8" operator="containsText" text="rcv/rcv">
      <formula>NOT(ISERROR(SEARCH("rcv/rcv",Q3)))</formula>
    </cfRule>
    <cfRule type="containsText" dxfId="12" priority="9" operator="containsText" text="rcv/QA">
      <formula>NOT(ISERROR(SEARCH("rcv/QA",Q3)))</formula>
    </cfRule>
    <cfRule type="containsText" dxfId="11" priority="10" operator="containsText" text="QA/QA">
      <formula>NOT(ISERROR(SEARCH("QA/QA",Q3)))</formula>
    </cfRule>
  </conditionalFormatting>
  <conditionalFormatting sqref="Q120:R121">
    <cfRule type="containsText" dxfId="10" priority="2" operator="containsText" text="rcv/rcv">
      <formula>NOT(ISERROR(SEARCH("rcv/rcv",Q120)))</formula>
    </cfRule>
    <cfRule type="containsText" dxfId="9" priority="3" operator="containsText" text="rcv/QA">
      <formula>NOT(ISERROR(SEARCH("rcv/QA",Q120)))</formula>
    </cfRule>
    <cfRule type="containsText" dxfId="8" priority="4" operator="containsText" text="QA/QA">
      <formula>NOT(ISERROR(SEARCH("QA/QA",Q120)))</formula>
    </cfRule>
  </conditionalFormatting>
  <conditionalFormatting sqref="R3">
    <cfRule type="containsText" dxfId="7" priority="5" operator="containsText" text="rcv/rcv">
      <formula>NOT(ISERROR(SEARCH("rcv/rcv",R3)))</formula>
    </cfRule>
    <cfRule type="containsText" dxfId="6" priority="6" operator="containsText" text="rcv/QA">
      <formula>NOT(ISERROR(SEARCH("rcv/QA",R3)))</formula>
    </cfRule>
    <cfRule type="containsText" dxfId="5" priority="7" operator="containsText" text="QA/QA">
      <formula>NOT(ISERROR(SEARCH("QA/QA",R3)))</formula>
    </cfRule>
  </conditionalFormatting>
  <conditionalFormatting sqref="L4:L119">
    <cfRule type="expression" dxfId="4" priority="122">
      <formula>MATCH("C",L4:R4,0)</formula>
    </cfRule>
  </conditionalFormatting>
  <conditionalFormatting sqref="F4:F119">
    <cfRule type="containsText" dxfId="0" priority="1" operator="containsText" text="Y">
      <formula>NOT(ISERROR(SEARCH("Y",F4)))</formula>
    </cfRule>
  </conditionalFormatting>
  <pageMargins left="0.25" right="0.25" top="1" bottom="0.25" header="0.3" footer="0.3"/>
  <pageSetup scale="49" fitToHeight="0" orientation="landscape" r:id="rId1"/>
  <headerFooter>
    <oddHeader>&amp;L&amp;"Book Antiqua,Bold"&amp;14Schedule of Supplies
Contract Line Items&amp;R&amp;"Book Antiqua,Bold"&amp;14Solicitation 70Z03826QB0000013
Period of Performance: TBD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3CQM5MWP7WXW-372832245-386362</_dlc_DocId>
    <_dlc_DocIdUrl xmlns="32bf085a-8c72-46fb-a8d1-a35b4ab27cc3">
      <Url>https://uscg.sharepoint-mil.us/sites/alc_spo/COCO/_layouts/15/DocIdRedir.aspx?ID=3CQM5MWP7WXW-372832245-386362</Url>
      <Description>3CQM5MWP7WXW-372832245-386362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39124-4A28-4BBD-BE05-64899AAD6952}">
  <ds:schemaRefs>
    <ds:schemaRef ds:uri="32bf085a-8c72-46fb-a8d1-a35b4ab27cc3"/>
    <ds:schemaRef ds:uri="e62508a4-a082-402f-affe-2b0e1ef06d99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b7e78edb-ada0-43c0-bce4-1f52a377e071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8ED9927-FC47-4708-B9B3-6C8D6C5F4687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48084468-E19D-47DF-91DD-646A15E152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623CAA1-1203-45EC-9FE4-80CC410AA63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Base</vt:lpstr>
      <vt:lpstr>Opt Yr 1</vt:lpstr>
      <vt:lpstr>Opt Yr 2</vt:lpstr>
      <vt:lpstr>Opt Yr 3</vt:lpstr>
      <vt:lpstr>Opt Yr 4</vt:lpstr>
      <vt:lpstr>Base!Print_Area</vt:lpstr>
      <vt:lpstr>Base!Print_Titles</vt:lpstr>
    </vt:vector>
  </TitlesOfParts>
  <Company>U.S.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 Admin</dc:creator>
  <cp:lastModifiedBy>Colson, Charles B CIV (USA)</cp:lastModifiedBy>
  <cp:lastPrinted>2026-03-24T14:29:40Z</cp:lastPrinted>
  <dcterms:created xsi:type="dcterms:W3CDTF">2021-07-28T14:19:51Z</dcterms:created>
  <dcterms:modified xsi:type="dcterms:W3CDTF">2026-04-09T17:10:30Z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0x0101002A03440CF6B0534D96786E60567E5BAA</vt:lpwstr>
  </property>
  <property fmtid="{D5CDD505-2E9C-101B-9397-08002B2CF9AE}" pid="3" name="_dlc_DocIdItemGuid">
    <vt:lpwstr>38a9f30e-5d21-4736-9acb-199571a163c5</vt:lpwstr>
  </property>
</Properties>
</file>